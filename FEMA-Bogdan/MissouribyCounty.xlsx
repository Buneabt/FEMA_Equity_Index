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ouri (1)" sheetId="1" r:id="rId4"/>
    <sheet state="visible" name="Jasper" sheetId="2" r:id="rId5"/>
    <sheet state="visible" name="Newton" sheetId="3" r:id="rId6"/>
    <sheet state="visible" name="Work" sheetId="4" r:id="rId7"/>
    <sheet state="visible" name="SVI_Damaged FIPS" sheetId="5" r:id="rId8"/>
  </sheets>
  <definedNames/>
  <calcPr/>
  <extLst>
    <ext uri="GoogleSheetsCustomDataVersion2">
      <go:sheetsCustomData xmlns:go="http://customooxmlschemas.google.com/" r:id="rId9" roundtripDataChecksum="XM0Zg8wXu6JQ5954ZjLl46NRxRrYlPhbwCWkKEGXcic="/>
    </ext>
  </extLst>
</workbook>
</file>

<file path=xl/sharedStrings.xml><?xml version="1.0" encoding="utf-8"?>
<sst xmlns="http://schemas.openxmlformats.org/spreadsheetml/2006/main" count="11492" uniqueCount="6079">
  <si>
    <t>GEO_ID</t>
  </si>
  <si>
    <t>STATE_FIPS</t>
  </si>
  <si>
    <t>CNTY_FIPS</t>
  </si>
  <si>
    <t>TRACT</t>
  </si>
  <si>
    <t>CENSUSAREA</t>
  </si>
  <si>
    <t>STCOFIPS</t>
  </si>
  <si>
    <t>FIPS</t>
  </si>
  <si>
    <t>STATE_ABBR</t>
  </si>
  <si>
    <t>STATE_NAME</t>
  </si>
  <si>
    <t>COUNTY</t>
  </si>
  <si>
    <t>LOCATION</t>
  </si>
  <si>
    <t>TOTPOP</t>
  </si>
  <si>
    <t>E_TOTPOP</t>
  </si>
  <si>
    <t>M_TOTPOP</t>
  </si>
  <si>
    <t>HU</t>
  </si>
  <si>
    <t>E_HU</t>
  </si>
  <si>
    <t>M_HU</t>
  </si>
  <si>
    <t>HH</t>
  </si>
  <si>
    <t>E_POV</t>
  </si>
  <si>
    <t>M_POV</t>
  </si>
  <si>
    <t>E_UNEMP</t>
  </si>
  <si>
    <t>M_UNEMP</t>
  </si>
  <si>
    <t>E_PCI</t>
  </si>
  <si>
    <t>M_PCI</t>
  </si>
  <si>
    <t>E_NOHSDIP</t>
  </si>
  <si>
    <t>M_NOHSDIP</t>
  </si>
  <si>
    <t>AGE65</t>
  </si>
  <si>
    <t>AGE17</t>
  </si>
  <si>
    <t>SNGPRNT</t>
  </si>
  <si>
    <t>MINORITY</t>
  </si>
  <si>
    <t>E_LIMENG</t>
  </si>
  <si>
    <t>M_LIMENG</t>
  </si>
  <si>
    <t>E_MUNIT</t>
  </si>
  <si>
    <t>M_MUNIT</t>
  </si>
  <si>
    <t>E_MOBILE</t>
  </si>
  <si>
    <t>M_MOBILE</t>
  </si>
  <si>
    <t>E_CROWD</t>
  </si>
  <si>
    <t>M_CROWD</t>
  </si>
  <si>
    <t>E_NOVEH</t>
  </si>
  <si>
    <t>M_NOVEH</t>
  </si>
  <si>
    <t>GROUPQ</t>
  </si>
  <si>
    <t>E_P_POV</t>
  </si>
  <si>
    <t>M_P_POV</t>
  </si>
  <si>
    <t>E_P_UNEMP</t>
  </si>
  <si>
    <t>M_P_UNEMP</t>
  </si>
  <si>
    <t>E_P_PCI</t>
  </si>
  <si>
    <t>M_P_PCI</t>
  </si>
  <si>
    <t>E_P_NOHSDIP</t>
  </si>
  <si>
    <t>M_P_NOHSDIP</t>
  </si>
  <si>
    <t>P_AGE65</t>
  </si>
  <si>
    <t>P_AGE17</t>
  </si>
  <si>
    <t>P_SNGPRNT</t>
  </si>
  <si>
    <t>P_MINORITY</t>
  </si>
  <si>
    <t>E_P_LIMENG</t>
  </si>
  <si>
    <t>M_P_LIMENG</t>
  </si>
  <si>
    <t>E_P_MUNIT</t>
  </si>
  <si>
    <t>M_P_MUNIT</t>
  </si>
  <si>
    <t>E_P_MOBILE</t>
  </si>
  <si>
    <t>M_P_MOBILE</t>
  </si>
  <si>
    <t>E_P_CROWD</t>
  </si>
  <si>
    <t>M_P_CROWD</t>
  </si>
  <si>
    <t>E_P_NOVEH</t>
  </si>
  <si>
    <t>M_P_NOVEH</t>
  </si>
  <si>
    <t>P_GROUPQ</t>
  </si>
  <si>
    <t>E_PL_POV</t>
  </si>
  <si>
    <t>E_PL_UNEMP</t>
  </si>
  <si>
    <t>E_PL_PCI</t>
  </si>
  <si>
    <t>E_PL_NOHSDIP</t>
  </si>
  <si>
    <t>S_PL_THEME1</t>
  </si>
  <si>
    <t>R_PL_THEME1</t>
  </si>
  <si>
    <t>PL_AGE65</t>
  </si>
  <si>
    <t>PL_AGE17</t>
  </si>
  <si>
    <t>PL_SNGPRNT</t>
  </si>
  <si>
    <t>S_PL_THEME2</t>
  </si>
  <si>
    <t>R_PL_THEME2</t>
  </si>
  <si>
    <t>PL_MINORITY</t>
  </si>
  <si>
    <t>E_PL_LIMENG</t>
  </si>
  <si>
    <t>S_PL_THEME3</t>
  </si>
  <si>
    <t>R_PL_THEME3</t>
  </si>
  <si>
    <t>E_PL_MUNIT</t>
  </si>
  <si>
    <t>E_PL_MOBILE</t>
  </si>
  <si>
    <t>E_PL_CROWD</t>
  </si>
  <si>
    <t>E_PL_NOVEH</t>
  </si>
  <si>
    <t>PL_GROUPQ</t>
  </si>
  <si>
    <t>S_PL_THEME4</t>
  </si>
  <si>
    <t>R_PL_THEME4</t>
  </si>
  <si>
    <t>S_PL_THEMES</t>
  </si>
  <si>
    <t>R_PL_THEMES</t>
  </si>
  <si>
    <t>F_PL_POV</t>
  </si>
  <si>
    <t>F_PL_UNEMP</t>
  </si>
  <si>
    <t>F_PL_PCI</t>
  </si>
  <si>
    <t>F_PL_NOHSDIP</t>
  </si>
  <si>
    <t>F_PL_THEME1</t>
  </si>
  <si>
    <t>F_PL_AGE65</t>
  </si>
  <si>
    <t>F_PL_AGE17</t>
  </si>
  <si>
    <t>F_PL_SNGPRNT</t>
  </si>
  <si>
    <t>F_PL_THEME2</t>
  </si>
  <si>
    <t>F_PL_MINORITY</t>
  </si>
  <si>
    <t>F_PL_LIMENG</t>
  </si>
  <si>
    <t>F_PL_THEME3</t>
  </si>
  <si>
    <t>F_PL_MUNIT</t>
  </si>
  <si>
    <t>F_PL_MOBILE</t>
  </si>
  <si>
    <t>F_PL_CROWD</t>
  </si>
  <si>
    <t>F_PL_NOVEH</t>
  </si>
  <si>
    <t>F_PL_GROUPQ</t>
  </si>
  <si>
    <t>F_PL_THEME4</t>
  </si>
  <si>
    <t>F_PL_TOTAL</t>
  </si>
  <si>
    <t>Shape</t>
  </si>
  <si>
    <t>Shape.STArea()</t>
  </si>
  <si>
    <t>Shape.STLength()</t>
  </si>
  <si>
    <t>1400000US29001950300</t>
  </si>
  <si>
    <t>001</t>
  </si>
  <si>
    <t>MO</t>
  </si>
  <si>
    <t>Missouri</t>
  </si>
  <si>
    <t>Adair County</t>
  </si>
  <si>
    <t>Census Tract 9503, Adair County, Missouri</t>
  </si>
  <si>
    <t>(-92.61444936593644, 40.22538791173708)</t>
  </si>
  <si>
    <t>0.3181967762684076</t>
  </si>
  <si>
    <t>1400000US29001950400</t>
  </si>
  <si>
    <t>Census Tract 9504, Adair County, Missouri</t>
  </si>
  <si>
    <t>(-92.56235487893272, 40.21899772397682)</t>
  </si>
  <si>
    <t>0.2408924972862329</t>
  </si>
  <si>
    <t>1400000US29001950100</t>
  </si>
  <si>
    <t>Census Tract 9501, Adair County, Missouri</t>
  </si>
  <si>
    <t>(-92.46691577770667, 40.21003710277253)</t>
  </si>
  <si>
    <t>1.3167750375657676</t>
  </si>
  <si>
    <t>1400000US29001950200</t>
  </si>
  <si>
    <t>Census Tract 9502, Adair County, Missouri</t>
  </si>
  <si>
    <t>(-92.72531239328066, 40.171508919218084)</t>
  </si>
  <si>
    <t>1.4866251289962238</t>
  </si>
  <si>
    <t>1400000US29001950500</t>
  </si>
  <si>
    <t>Census Tract 9505, Adair County, Missouri</t>
  </si>
  <si>
    <t>(-92.61711932736635, 40.180933183536)</t>
  </si>
  <si>
    <t>0.5273896290186537</t>
  </si>
  <si>
    <t>1400000US29001950900</t>
  </si>
  <si>
    <t>Census Tract 9509, Adair County, Missouri</t>
  </si>
  <si>
    <t>(-92.57430409062717, 40.19471635900403)</t>
  </si>
  <si>
    <t>1400000US29001951000</t>
  </si>
  <si>
    <t>Census Tract 9510, Adair County, Missouri</t>
  </si>
  <si>
    <t>(-92.58058896316552, 40.18519427166938)</t>
  </si>
  <si>
    <t>6.919898337179386e-05</t>
  </si>
  <si>
    <t>1400000US29003010100</t>
  </si>
  <si>
    <t>003</t>
  </si>
  <si>
    <t>010100</t>
  </si>
  <si>
    <t>Andrew County</t>
  </si>
  <si>
    <t>Census Tract 101, Andrew County, Missouri</t>
  </si>
  <si>
    <t>(-94.75035536815028, 39.855112880975696)</t>
  </si>
  <si>
    <t>0.018213885055663667</t>
  </si>
  <si>
    <t>0.7463909439122505</t>
  </si>
  <si>
    <t>1400000US29003010200</t>
  </si>
  <si>
    <t>010200</t>
  </si>
  <si>
    <t>Census Tract 102, Andrew County, Missouri</t>
  </si>
  <si>
    <t>(-94.827388098868, 39.959509124107406)</t>
  </si>
  <si>
    <t>0.010752793892895308</t>
  </si>
  <si>
    <t>0.4952251338642554</t>
  </si>
  <si>
    <t>1400000US29003010300</t>
  </si>
  <si>
    <t>010300</t>
  </si>
  <si>
    <t>Census Tract 103, Andrew County, Missouri</t>
  </si>
  <si>
    <t>(-94.94694680916884, 40.00133442371098)</t>
  </si>
  <si>
    <t>1.1802298120486299</t>
  </si>
  <si>
    <t>1400000US29003010400</t>
  </si>
  <si>
    <t>010400</t>
  </si>
  <si>
    <t>Census Tract 104, Andrew County, Missouri</t>
  </si>
  <si>
    <t>(-94.72631546660662, 40.01889582775246)</t>
  </si>
  <si>
    <t>0.056214420923513767</t>
  </si>
  <si>
    <t>1.1812298349320995</t>
  </si>
  <si>
    <t>1400000US29005950100</t>
  </si>
  <si>
    <t>005</t>
  </si>
  <si>
    <t>Atchison County</t>
  </si>
  <si>
    <t>Census Tract 9501, Atchison County, Missouri</t>
  </si>
  <si>
    <t>(-95.31156076943688, 40.417536536694634)</t>
  </si>
  <si>
    <t>1.2342055307466386</t>
  </si>
  <si>
    <t>1400000US29005950200</t>
  </si>
  <si>
    <t>Census Tract 9502, Atchison County, Missouri</t>
  </si>
  <si>
    <t>(-95.55775070299288, 40.44561069852723)</t>
  </si>
  <si>
    <t>1.5045638651498037</t>
  </si>
  <si>
    <t>1400000US29007950100</t>
  </si>
  <si>
    <t>007</t>
  </si>
  <si>
    <t>Audrain County</t>
  </si>
  <si>
    <t>Census Tract 9501, Audrain County, Missouri</t>
  </si>
  <si>
    <t>(-91.49406358552488, 39.30599546517992)</t>
  </si>
  <si>
    <t>0.2919619598352852</t>
  </si>
  <si>
    <t>1400000US29007950600</t>
  </si>
  <si>
    <t>Census Tract 9506, Audrain County, Missouri</t>
  </si>
  <si>
    <t>(-91.92280961014657, 39.158831454125405)</t>
  </si>
  <si>
    <t>0.2646855368188617</t>
  </si>
  <si>
    <t>1400000US29007950200</t>
  </si>
  <si>
    <t>Census Tract 9502, Audrain County, Missouri</t>
  </si>
  <si>
    <t>(-91.70641956419668, 39.21111885256495)</t>
  </si>
  <si>
    <t>0.10999824699578266</t>
  </si>
  <si>
    <t>2.1213853714958257</t>
  </si>
  <si>
    <t>1400000US29007950300</t>
  </si>
  <si>
    <t>Census Tract 9503, Audrain County, Missouri</t>
  </si>
  <si>
    <t>(-92.08599050663638, 39.2265404727495)</t>
  </si>
  <si>
    <t>1.4717639669620064</t>
  </si>
  <si>
    <t>1400000US29007950400</t>
  </si>
  <si>
    <t>Census Tract 9504, Audrain County, Missouri</t>
  </si>
  <si>
    <t>(-91.84497172049963, 39.18015155190388)</t>
  </si>
  <si>
    <t>0.3088923060010687</t>
  </si>
  <si>
    <t>1400000US29007950500</t>
  </si>
  <si>
    <t>Census Tract 9505, Audrain County, Missouri</t>
  </si>
  <si>
    <t>(-91.90685506051464, 39.19941590422084)</t>
  </si>
  <si>
    <t>0.2342357670113388</t>
  </si>
  <si>
    <t>1400000US29007950700</t>
  </si>
  <si>
    <t>Census Tract 9507, Audrain County, Missouri</t>
  </si>
  <si>
    <t>(-91.866893695359, 39.14326336148947)</t>
  </si>
  <si>
    <t>0.37377872615950997</t>
  </si>
  <si>
    <t>1400000US29009960300</t>
  </si>
  <si>
    <t>009</t>
  </si>
  <si>
    <t>Barry County</t>
  </si>
  <si>
    <t>Census Tract 9603, Barry County, Missouri</t>
  </si>
  <si>
    <t>(-93.93529499098366, 36.90135049133804)</t>
  </si>
  <si>
    <t>0.26165885194892247</t>
  </si>
  <si>
    <t>1400000US29009960402</t>
  </si>
  <si>
    <t>Census Tract 9604.02, Barry County, Missouri</t>
  </si>
  <si>
    <t>(-93.97964257866084, 36.69361701569102)</t>
  </si>
  <si>
    <t>0.020518241651175002</t>
  </si>
  <si>
    <t>0.7289054187874155</t>
  </si>
  <si>
    <t>1400000US29009960500</t>
  </si>
  <si>
    <t>Census Tract 9605, Barry County, Missouri</t>
  </si>
  <si>
    <t>(-93.84755158809095, 36.651867407983744)</t>
  </si>
  <si>
    <t>0.017614711838179226</t>
  </si>
  <si>
    <t>1400000US29009960600</t>
  </si>
  <si>
    <t>Census Tract 9606, Barry County, Missouri</t>
  </si>
  <si>
    <t>(-93.6464339859266, 36.53982965721335)</t>
  </si>
  <si>
    <t>0.6237392039146049</t>
  </si>
  <si>
    <t>1400000US29009960100</t>
  </si>
  <si>
    <t>Census Tract 9601, Barry County, Missouri</t>
  </si>
  <si>
    <t>(-93.69522661774658, 36.74448992556688)</t>
  </si>
  <si>
    <t>1.5223946765426895</t>
  </si>
  <si>
    <t>1400000US29009960200</t>
  </si>
  <si>
    <t>Census Tract 9602, Barry County, Missouri</t>
  </si>
  <si>
    <t>(-93.92602773996794, 36.82529288837706)</t>
  </si>
  <si>
    <t>0.045559149526850945</t>
  </si>
  <si>
    <t>1.313433048625097</t>
  </si>
  <si>
    <t>1400000US29009960401</t>
  </si>
  <si>
    <t>Census Tract 9604.01, Barry County, Missouri</t>
  </si>
  <si>
    <t>(-93.9352540289497, 36.55499473604166)</t>
  </si>
  <si>
    <t>0.034249051780438855</t>
  </si>
  <si>
    <t>1.0024556830710116</t>
  </si>
  <si>
    <t>1400000US29011960100</t>
  </si>
  <si>
    <t>011</t>
  </si>
  <si>
    <t>Barton County</t>
  </si>
  <si>
    <t>Census Tract 9601, Barton County, Missouri</t>
  </si>
  <si>
    <t>(-94.17851253130083, 37.49502617501359)</t>
  </si>
  <si>
    <t>0.058081546691491265</t>
  </si>
  <si>
    <t>1400000US29011960200</t>
  </si>
  <si>
    <t>Census Tract 9602, Barton County, Missouri</t>
  </si>
  <si>
    <t>(-94.45462855748012, 37.50761856351083)</t>
  </si>
  <si>
    <t>1.2988932259296477</t>
  </si>
  <si>
    <t>1400000US29011960300</t>
  </si>
  <si>
    <t>Census Tract 9603, Barton County, Missouri</t>
  </si>
  <si>
    <t>(-94.27664614013958, 37.48721823548631)</t>
  </si>
  <si>
    <t>0.3774946938406599</t>
  </si>
  <si>
    <t>1400000US29013070100</t>
  </si>
  <si>
    <t>013</t>
  </si>
  <si>
    <t>070100</t>
  </si>
  <si>
    <t>Bates County</t>
  </si>
  <si>
    <t>Census Tract 701, Bates County, Missouri</t>
  </si>
  <si>
    <t>(-94.23110835923389, 38.347725251817096)</t>
  </si>
  <si>
    <t>1.4382555742780978</t>
  </si>
  <si>
    <t>1400000US29013070200</t>
  </si>
  <si>
    <t>070200</t>
  </si>
  <si>
    <t>Census Tract 702, Bates County, Missouri</t>
  </si>
  <si>
    <t>(-94.50143623150173, 38.2607532267505)</t>
  </si>
  <si>
    <t>1.446619386224154</t>
  </si>
  <si>
    <t>1400000US29013070300</t>
  </si>
  <si>
    <t>070300</t>
  </si>
  <si>
    <t>Census Tract 703, Bates County, Missouri</t>
  </si>
  <si>
    <t>(-94.3362921063866, 38.260407289091575)</t>
  </si>
  <si>
    <t>0.2816572428573288</t>
  </si>
  <si>
    <t>1400000US29013070400</t>
  </si>
  <si>
    <t>070400</t>
  </si>
  <si>
    <t>Census Tract 704, Bates County, Missouri</t>
  </si>
  <si>
    <t>(-94.22043069570418, 38.1334375787573)</t>
  </si>
  <si>
    <t>1.292216050436748</t>
  </si>
  <si>
    <t>1400000US29015460200</t>
  </si>
  <si>
    <t>015</t>
  </si>
  <si>
    <t>Benton County</t>
  </si>
  <si>
    <t>Census Tract 4602, Benton County, Missouri</t>
  </si>
  <si>
    <t>(-93.40055504640561, 38.43999349085813)</t>
  </si>
  <si>
    <t>1400000US29015460300</t>
  </si>
  <si>
    <t>Census Tract 4603, Benton County, Missouri</t>
  </si>
  <si>
    <t>(-93.3965342055821, 38.32458422566202)</t>
  </si>
  <si>
    <t>0.020190378957370258</t>
  </si>
  <si>
    <t>0.7769681567473826</t>
  </si>
  <si>
    <t>1400000US29015460400</t>
  </si>
  <si>
    <t>Census Tract 4604, Benton County, Missouri</t>
  </si>
  <si>
    <t>(-93.17772301729, 38.306048245489116)</t>
  </si>
  <si>
    <t>0.8089296349524091</t>
  </si>
  <si>
    <t>1400000US29015460700</t>
  </si>
  <si>
    <t>Census Tract 4607, Benton County, Missouri</t>
  </si>
  <si>
    <t>(-93.43886450665872, 38.18514012104636)</t>
  </si>
  <si>
    <t>1.0176688940941083</t>
  </si>
  <si>
    <t>1400000US29015460100</t>
  </si>
  <si>
    <t>Census Tract 4601, Benton County, Missouri</t>
  </si>
  <si>
    <t>(-93.18357202224122, 38.44727792077374)</t>
  </si>
  <si>
    <t>0.9313575382045896</t>
  </si>
  <si>
    <t>1400000US29015460800</t>
  </si>
  <si>
    <t>Census Tract 4608, Benton County, Missouri</t>
  </si>
  <si>
    <t>(-93.21626320950112, 38.15941675600233)</t>
  </si>
  <si>
    <t>1.170227796263969</t>
  </si>
  <si>
    <t>1400000US29017950100</t>
  </si>
  <si>
    <t>017</t>
  </si>
  <si>
    <t>Bollinger County</t>
  </si>
  <si>
    <t>Census Tract 9501, Bollinger County, Missouri</t>
  </si>
  <si>
    <t>(-90.00691356171939, 37.480700377539925)</t>
  </si>
  <si>
    <t>1.1808857471151368</t>
  </si>
  <si>
    <t>1400000US29017950200</t>
  </si>
  <si>
    <t>Census Tract 9502, Bollinger County, Missouri</t>
  </si>
  <si>
    <t>(-89.98051461099001, 37.30866464525506)</t>
  </si>
  <si>
    <t>0.9605523625801625</t>
  </si>
  <si>
    <t>1400000US29017950300</t>
  </si>
  <si>
    <t>Census Tract 9503, Bollinger County, Missouri</t>
  </si>
  <si>
    <t>(-90.06468571834884, 37.17430064908815)</t>
  </si>
  <si>
    <t>1.4305907755850367</t>
  </si>
  <si>
    <t>1400000US29019000200</t>
  </si>
  <si>
    <t>019</t>
  </si>
  <si>
    <t>000200</t>
  </si>
  <si>
    <t>Boone County</t>
  </si>
  <si>
    <t>Census Tract 2, Boone County, Missouri</t>
  </si>
  <si>
    <t>(-92.31567471201593, 38.95560853265877)</t>
  </si>
  <si>
    <t>9.398973896563998e-05</t>
  </si>
  <si>
    <t>1400000US29019000300</t>
  </si>
  <si>
    <t>000300</t>
  </si>
  <si>
    <t>Census Tract 3, Boone County, Missouri</t>
  </si>
  <si>
    <t>(-92.31412195752849, 38.944850209611005)</t>
  </si>
  <si>
    <t>0.055191701553778096</t>
  </si>
  <si>
    <t>1400000US29019000500</t>
  </si>
  <si>
    <t>000500</t>
  </si>
  <si>
    <t>Census Tract 5, Boone County, Missouri</t>
  </si>
  <si>
    <t>(-92.32897933412545, 38.94654293552162)</t>
  </si>
  <si>
    <t>1400000US29019000600</t>
  </si>
  <si>
    <t>000600</t>
  </si>
  <si>
    <t>Census Tract 6, Boone County, Missouri</t>
  </si>
  <si>
    <t>(-92.35351795617005, 38.94544552040928)</t>
  </si>
  <si>
    <t>0.11360427477430064</t>
  </si>
  <si>
    <t>1400000US29019000700</t>
  </si>
  <si>
    <t>000700</t>
  </si>
  <si>
    <t>Census Tract 7, Boone County, Missouri</t>
  </si>
  <si>
    <t>(-92.352390203487, 38.958334517258905)</t>
  </si>
  <si>
    <t>1400000US29019001901</t>
  </si>
  <si>
    <t>001901</t>
  </si>
  <si>
    <t>Census Tract 19.01, Boone County, Missouri</t>
  </si>
  <si>
    <t>(-92.40760663624557, 39.13811594553559)</t>
  </si>
  <si>
    <t>0.030289676834680642</t>
  </si>
  <si>
    <t>0.8190583715267609</t>
  </si>
  <si>
    <t>1400000US29019001805</t>
  </si>
  <si>
    <t>001805</t>
  </si>
  <si>
    <t>Census Tract 18.05, Boone County, Missouri</t>
  </si>
  <si>
    <t>(-92.45594488621617, 38.93625918342254)</t>
  </si>
  <si>
    <t>0.4124357839608252</t>
  </si>
  <si>
    <t>1400000US29019001701</t>
  </si>
  <si>
    <t>001701</t>
  </si>
  <si>
    <t>Census Tract 17.01, Boone County, Missouri</t>
  </si>
  <si>
    <t>(-92.24585066970428, 38.75370797080111)</t>
  </si>
  <si>
    <t>0.025825200613373754</t>
  </si>
  <si>
    <t>0.9462843064245829</t>
  </si>
  <si>
    <t>1400000US29019001702</t>
  </si>
  <si>
    <t>001702</t>
  </si>
  <si>
    <t>Census Tract 17.02, Boone County, Missouri</t>
  </si>
  <si>
    <t>(-92.34877483226691, 38.8254060816857)</t>
  </si>
  <si>
    <t>0.021111631149766035</t>
  </si>
  <si>
    <t>0.8287185791547059</t>
  </si>
  <si>
    <t>1400000US29019001803</t>
  </si>
  <si>
    <t>001803</t>
  </si>
  <si>
    <t>Census Tract 18.03, Boone County, Missouri</t>
  </si>
  <si>
    <t>(-92.46015867787295, 39.01355290535562)</t>
  </si>
  <si>
    <t>0.015074317267462568</t>
  </si>
  <si>
    <t>0.6960901049040779</t>
  </si>
  <si>
    <t>1400000US29019001902</t>
  </si>
  <si>
    <t>001902</t>
  </si>
  <si>
    <t>Census Tract 19.02, Boone County, Missouri</t>
  </si>
  <si>
    <t>(-92.2370083344789, 39.129429048508285)</t>
  </si>
  <si>
    <t>0.8765739710420662</t>
  </si>
  <si>
    <t>1400000US29019002000</t>
  </si>
  <si>
    <t>002000</t>
  </si>
  <si>
    <t>Census Tract 20, Boone County, Missouri</t>
  </si>
  <si>
    <t>(-92.15313496168814, 39.1973417931794)</t>
  </si>
  <si>
    <t>0.36420638934548016</t>
  </si>
  <si>
    <t>1400000US29019002100</t>
  </si>
  <si>
    <t>002100</t>
  </si>
  <si>
    <t>Census Tract 21, Boone County, Missouri</t>
  </si>
  <si>
    <t>(-92.33215862280584, 38.95614818635063)</t>
  </si>
  <si>
    <t>1400000US29019002200</t>
  </si>
  <si>
    <t>002200</t>
  </si>
  <si>
    <t>Census Tract 22, Boone County, Missouri</t>
  </si>
  <si>
    <t>(-92.32114519764909, 38.93800512776667)</t>
  </si>
  <si>
    <t>1400000US29019000900</t>
  </si>
  <si>
    <t>000900</t>
  </si>
  <si>
    <t>Census Tract 9, Boone County, Missouri</t>
  </si>
  <si>
    <t>(-92.32916552845705, 38.964644156469944)</t>
  </si>
  <si>
    <t>1400000US29019001001</t>
  </si>
  <si>
    <t>001001</t>
  </si>
  <si>
    <t>Census Tract 10.01, Boone County, Missouri</t>
  </si>
  <si>
    <t>(-92.3017462006161, 38.94082423810535)</t>
  </si>
  <si>
    <t>0.1379619008526292</t>
  </si>
  <si>
    <t>1400000US29019001002</t>
  </si>
  <si>
    <t>001002</t>
  </si>
  <si>
    <t>Census Tract 10.02, Boone County, Missouri</t>
  </si>
  <si>
    <t>(-92.273320971375, 38.928581934977245)</t>
  </si>
  <si>
    <t>0.27999480791907394</t>
  </si>
  <si>
    <t>1400000US29019001101</t>
  </si>
  <si>
    <t>001101</t>
  </si>
  <si>
    <t>Census Tract 11.01, Boone County, Missouri</t>
  </si>
  <si>
    <t>(-92.31333120811271, 38.9027469061748)</t>
  </si>
  <si>
    <t>0.23232171875542548</t>
  </si>
  <si>
    <t>1400000US29019001103</t>
  </si>
  <si>
    <t>001103</t>
  </si>
  <si>
    <t>Census Tract 11.03, Boone County, Missouri</t>
  </si>
  <si>
    <t>(-92.35942632308853, 38.91971423244658)</t>
  </si>
  <si>
    <t>0.17420291965974263</t>
  </si>
  <si>
    <t>1400000US29019001104</t>
  </si>
  <si>
    <t>001104</t>
  </si>
  <si>
    <t>Census Tract 11.04, Boone County, Missouri</t>
  </si>
  <si>
    <t>(-92.37487944425479, 38.89083627014383)</t>
  </si>
  <si>
    <t>0.2340489905948437</t>
  </si>
  <si>
    <t>1400000US29019001202</t>
  </si>
  <si>
    <t>001202</t>
  </si>
  <si>
    <t>Census Tract 12.02, Boone County, Missouri</t>
  </si>
  <si>
    <t>(-92.3780026382302, 38.929553223363136)</t>
  </si>
  <si>
    <t>0.13213197480864747</t>
  </si>
  <si>
    <t>1400000US29019001300</t>
  </si>
  <si>
    <t>001300</t>
  </si>
  <si>
    <t>Census Tract 13, Boone County, Missouri</t>
  </si>
  <si>
    <t>(-92.38251904595269, 38.96241028402458)</t>
  </si>
  <si>
    <t>0.1172456969678558</t>
  </si>
  <si>
    <t>1400000US29019001400</t>
  </si>
  <si>
    <t>001400</t>
  </si>
  <si>
    <t>Census Tract 14, Boone County, Missouri</t>
  </si>
  <si>
    <t>(-92.35663680913967, 38.99081489147528)</t>
  </si>
  <si>
    <t>0.3381986643624227</t>
  </si>
  <si>
    <t>1400000US29019001502</t>
  </si>
  <si>
    <t>001502</t>
  </si>
  <si>
    <t>Census Tract 15.02, Boone County, Missouri</t>
  </si>
  <si>
    <t>(-92.27022638253261, 38.99808758156069)</t>
  </si>
  <si>
    <t>0.2903916332168451</t>
  </si>
  <si>
    <t>1400000US29019001503</t>
  </si>
  <si>
    <t>001503</t>
  </si>
  <si>
    <t>Census Tract 15.03, Boone County, Missouri</t>
  </si>
  <si>
    <t>(-92.29978089758636, 39.01478548441909)</t>
  </si>
  <si>
    <t>0.19340683839079464</t>
  </si>
  <si>
    <t>1400000US29019001504</t>
  </si>
  <si>
    <t>001504</t>
  </si>
  <si>
    <t>Census Tract 15.04, Boone County, Missouri</t>
  </si>
  <si>
    <t>(-92.30966972982905, 38.98522633697821)</t>
  </si>
  <si>
    <t>0.1254039364016056</t>
  </si>
  <si>
    <t>1400000US29019001601</t>
  </si>
  <si>
    <t>001601</t>
  </si>
  <si>
    <t>Census Tract 16.01, Boone County, Missouri</t>
  </si>
  <si>
    <t>(-92.22143787061681, 39.00170740523205)</t>
  </si>
  <si>
    <t>0.3638979397246761</t>
  </si>
  <si>
    <t>1400000US29019001602</t>
  </si>
  <si>
    <t>001602</t>
  </si>
  <si>
    <t>Census Tract 16.02, Boone County, Missouri</t>
  </si>
  <si>
    <t>(-92.19397163649911, 38.93749617797065)</t>
  </si>
  <si>
    <t>0.014198837989790714</t>
  </si>
  <si>
    <t>0.7209754146771848</t>
  </si>
  <si>
    <t>1400000US29019001201</t>
  </si>
  <si>
    <t>001201</t>
  </si>
  <si>
    <t>Census Tract 12.01, Boone County, Missouri</t>
  </si>
  <si>
    <t>(-92.38571903210206, 38.94496143630526)</t>
  </si>
  <si>
    <t>0.1002088843635924</t>
  </si>
  <si>
    <t>1400000US29021002400</t>
  </si>
  <si>
    <t>021</t>
  </si>
  <si>
    <t>002400</t>
  </si>
  <si>
    <t>Buchanan County</t>
  </si>
  <si>
    <t>Census Tract 24, Buchanan County, Missouri</t>
  </si>
  <si>
    <t>(-94.86291087569616, 39.715839284657484)</t>
  </si>
  <si>
    <t>1400000US29021000200</t>
  </si>
  <si>
    <t>Census Tract 2, Buchanan County, Missouri</t>
  </si>
  <si>
    <t>(-94.82800537283609, 39.80712812985063)</t>
  </si>
  <si>
    <t>0.10500179153160266</t>
  </si>
  <si>
    <t>1400000US29021000701</t>
  </si>
  <si>
    <t>000701</t>
  </si>
  <si>
    <t>Census Tract 7.01, Buchanan County, Missouri</t>
  </si>
  <si>
    <t>(-94.78601916969232, 39.76732477062199)</t>
  </si>
  <si>
    <t>0.12632174151640477</t>
  </si>
  <si>
    <t>1400000US29021001200</t>
  </si>
  <si>
    <t>001200</t>
  </si>
  <si>
    <t>Census Tract 12, Buchanan County, Missouri</t>
  </si>
  <si>
    <t>(-94.85210189649877, 39.77138439895531)</t>
  </si>
  <si>
    <t>1400000US29021000100</t>
  </si>
  <si>
    <t>000100</t>
  </si>
  <si>
    <t>Census Tract 1, Buchanan County, Missouri</t>
  </si>
  <si>
    <t>(-94.79115450261753, 39.80682166692708)</t>
  </si>
  <si>
    <t>0.1495849975086745</t>
  </si>
  <si>
    <t>1400000US29021000300</t>
  </si>
  <si>
    <t>Census Tract 3, Buchanan County, Missouri</t>
  </si>
  <si>
    <t>(-94.88410759291112, 39.789212580620124)</t>
  </si>
  <si>
    <t>1400000US29021000400</t>
  </si>
  <si>
    <t>000400</t>
  </si>
  <si>
    <t>Census Tract 4, Buchanan County, Missouri</t>
  </si>
  <si>
    <t>(-94.86390244028279, 39.777854287315265)</t>
  </si>
  <si>
    <t>1400000US29021002900</t>
  </si>
  <si>
    <t>002900</t>
  </si>
  <si>
    <t>Census Tract 29, Buchanan County, Missouri</t>
  </si>
  <si>
    <t>(-94.96806933908616, 39.61569739700385)</t>
  </si>
  <si>
    <t>0.8455759304927606</t>
  </si>
  <si>
    <t>1400000US29021003000</t>
  </si>
  <si>
    <t>003000</t>
  </si>
  <si>
    <t>Census Tract 30, Buchanan County, Missouri</t>
  </si>
  <si>
    <t>(-94.85550227711293, 39.74301580091482)</t>
  </si>
  <si>
    <t>0.21519515502766814</t>
  </si>
  <si>
    <t>1400000US29021000500</t>
  </si>
  <si>
    <t>Census Tract 5, Buchanan County, Missouri</t>
  </si>
  <si>
    <t>(-94.83933712193755, 39.788191344467876)</t>
  </si>
  <si>
    <t>1400000US29021000600</t>
  </si>
  <si>
    <t>Census Tract 6, Buchanan County, Missouri</t>
  </si>
  <si>
    <t>(-94.81593247177906, 39.78075717380765)</t>
  </si>
  <si>
    <t>0.11406277802362295</t>
  </si>
  <si>
    <t>1400000US29021000702</t>
  </si>
  <si>
    <t>000702</t>
  </si>
  <si>
    <t>Census Tract 7.02, Buchanan County, Missouri</t>
  </si>
  <si>
    <t>(-94.78870088838794, 39.78541493053498)</t>
  </si>
  <si>
    <t>0.10852203114916945</t>
  </si>
  <si>
    <t>1400000US29021000900</t>
  </si>
  <si>
    <t>Census Tract 9, Buchanan County, Missouri</t>
  </si>
  <si>
    <t>(-94.82535384430909, 39.76754048834602)</t>
  </si>
  <si>
    <t>1400000US29021001000</t>
  </si>
  <si>
    <t>001000</t>
  </si>
  <si>
    <t>Census Tract 10, Buchanan County, Missouri</t>
  </si>
  <si>
    <t>(-94.83995397828704, 39.76736431925507)</t>
  </si>
  <si>
    <t>1400000US29021001100</t>
  </si>
  <si>
    <t>001100</t>
  </si>
  <si>
    <t>Census Tract 11, Buchanan County, Missouri</t>
  </si>
  <si>
    <t>(-94.83868127483102, 39.77704837683217)</t>
  </si>
  <si>
    <t>1400000US29021001500</t>
  </si>
  <si>
    <t>001500</t>
  </si>
  <si>
    <t>Census Tract 15, Buchanan County, Missouri</t>
  </si>
  <si>
    <t>(-94.82561870811034, 39.754413720748744)</t>
  </si>
  <si>
    <t>1400000US29021001600</t>
  </si>
  <si>
    <t>001600</t>
  </si>
  <si>
    <t>Census Tract 16, Buchanan County, Missouri</t>
  </si>
  <si>
    <t>(-94.80971006121347, 39.75455782719285)</t>
  </si>
  <si>
    <t>1400000US29021001700</t>
  </si>
  <si>
    <t>001700</t>
  </si>
  <si>
    <t>Census Tract 17, Buchanan County, Missouri</t>
  </si>
  <si>
    <t>(-94.7812713046921, 39.73989000566824)</t>
  </si>
  <si>
    <t>0.14458476593199135</t>
  </si>
  <si>
    <t>1400000US29021001800</t>
  </si>
  <si>
    <t>001800</t>
  </si>
  <si>
    <t>Census Tract 18, Buchanan County, Missouri</t>
  </si>
  <si>
    <t>(-94.818019748324, 39.738665127058866)</t>
  </si>
  <si>
    <t>0.10584091187822472</t>
  </si>
  <si>
    <t>1400000US29021002100</t>
  </si>
  <si>
    <t>Census Tract 21, Buchanan County, Missouri</t>
  </si>
  <si>
    <t>(-94.84040550268233, 39.72603037338724)</t>
  </si>
  <si>
    <t>0.13155653086915584</t>
  </si>
  <si>
    <t>1400000US29021002200</t>
  </si>
  <si>
    <t>Census Tract 22, Buchanan County, Missouri</t>
  </si>
  <si>
    <t>(-94.79528457229159, 39.71550813058729)</t>
  </si>
  <si>
    <t>0.21244781492339826</t>
  </si>
  <si>
    <t>1400000US29021002300</t>
  </si>
  <si>
    <t>002300</t>
  </si>
  <si>
    <t>Census Tract 23, Buchanan County, Missouri</t>
  </si>
  <si>
    <t>(-94.84713509665231, 39.706993187252316)</t>
  </si>
  <si>
    <t>0.10633867491853866</t>
  </si>
  <si>
    <t>1400000US29021002500</t>
  </si>
  <si>
    <t>002500</t>
  </si>
  <si>
    <t>Census Tract 25, Buchanan County, Missouri</t>
  </si>
  <si>
    <t>(-94.8756825675682, 39.704858055025014)</t>
  </si>
  <si>
    <t>1400000US29021002700</t>
  </si>
  <si>
    <t>002700</t>
  </si>
  <si>
    <t>Census Tract 27, Buchanan County, Missouri</t>
  </si>
  <si>
    <t>(-94.67051080449133, 39.69374811178089)</t>
  </si>
  <si>
    <t>0.037209587206213354</t>
  </si>
  <si>
    <t>0.9997829558957518</t>
  </si>
  <si>
    <t>1400000US29021002800</t>
  </si>
  <si>
    <t>002800</t>
  </si>
  <si>
    <t>Census Tract 28, Buchanan County, Missouri</t>
  </si>
  <si>
    <t>(-94.79261422033827, 39.61426823738173)</t>
  </si>
  <si>
    <t>0.029459688937060913</t>
  </si>
  <si>
    <t>0.8797109098638924</t>
  </si>
  <si>
    <t>1400000US29023950300</t>
  </si>
  <si>
    <t>023</t>
  </si>
  <si>
    <t>Butler County</t>
  </si>
  <si>
    <t>Census Tract 9503, Butler County, Missouri</t>
  </si>
  <si>
    <t>(-90.4213241863722, 36.77968090264464)</t>
  </si>
  <si>
    <t>0.1711193393819375</t>
  </si>
  <si>
    <t>1400000US29023950600</t>
  </si>
  <si>
    <t>Census Tract 9506, Butler County, Missouri</t>
  </si>
  <si>
    <t>(-90.25808102258424, 36.639468207855934)</t>
  </si>
  <si>
    <t>1.566654322549323</t>
  </si>
  <si>
    <t>1400000US29023950100</t>
  </si>
  <si>
    <t>Census Tract 9501, Butler County, Missouri</t>
  </si>
  <si>
    <t>(-90.35765619583076, 36.85546201618152)</t>
  </si>
  <si>
    <t>1.1325623385728452</t>
  </si>
  <si>
    <t>1400000US29023950201</t>
  </si>
  <si>
    <t>Census Tract 9502.01, Butler County, Missouri</t>
  </si>
  <si>
    <t>(-90.5683725128341, 36.843691269816254)</t>
  </si>
  <si>
    <t>0.027828628303864244</t>
  </si>
  <si>
    <t>0.8579903966494218</t>
  </si>
  <si>
    <t>1400000US29023950202</t>
  </si>
  <si>
    <t>Census Tract 9502.02, Butler County, Missouri</t>
  </si>
  <si>
    <t>(-90.53845672653344, 36.70612353556368)</t>
  </si>
  <si>
    <t>0.6922475490005453</t>
  </si>
  <si>
    <t>1400000US29023950400</t>
  </si>
  <si>
    <t>Census Tract 9504, Butler County, Missouri</t>
  </si>
  <si>
    <t>(-90.39204867717342, 36.78022949176019)</t>
  </si>
  <si>
    <t>0.12238836377853497</t>
  </si>
  <si>
    <t>1400000US29023950500</t>
  </si>
  <si>
    <t>Census Tract 9505, Butler County, Missouri</t>
  </si>
  <si>
    <t>(-90.36317123014015, 36.757044590843996)</t>
  </si>
  <si>
    <t>0.23949190355652605</t>
  </si>
  <si>
    <t>1400000US29023950700</t>
  </si>
  <si>
    <t>Census Tract 9507, Butler County, Missouri</t>
  </si>
  <si>
    <t>(-90.39893592231323, 36.73340767086778)</t>
  </si>
  <si>
    <t>0.12199657520327194</t>
  </si>
  <si>
    <t>1400000US29023950800</t>
  </si>
  <si>
    <t>Census Tract 9508, Butler County, Missouri</t>
  </si>
  <si>
    <t>(-90.4259112850859, 36.746301784378936)</t>
  </si>
  <si>
    <t>0.19084254836663925</t>
  </si>
  <si>
    <t>1400000US29023950900</t>
  </si>
  <si>
    <t>Census Tract 9509, Butler County, Missouri</t>
  </si>
  <si>
    <t>(-90.44519083982861, 36.60308338970699)</t>
  </si>
  <si>
    <t>1.2349934997066327</t>
  </si>
  <si>
    <t>1400000US29025950100</t>
  </si>
  <si>
    <t>025</t>
  </si>
  <si>
    <t>Caldwell County</t>
  </si>
  <si>
    <t>Census Tract 9501, Caldwell County, Missouri</t>
  </si>
  <si>
    <t>(-93.8686215974204, 39.656445084448634)</t>
  </si>
  <si>
    <t>0.057168767365003155</t>
  </si>
  <si>
    <t>1.0604734268179565</t>
  </si>
  <si>
    <t>1400000US29025950200</t>
  </si>
  <si>
    <t>Census Tract 9502, Caldwell County, Missouri</t>
  </si>
  <si>
    <t>(-94.09222661702498, 39.655015962870394)</t>
  </si>
  <si>
    <t>1.0781192129586572</t>
  </si>
  <si>
    <t>1400000US29027070200</t>
  </si>
  <si>
    <t>027</t>
  </si>
  <si>
    <t>Callaway County</t>
  </si>
  <si>
    <t>Census Tract 702, Callaway County, Missouri</t>
  </si>
  <si>
    <t>(-91.76340377816351, 38.83125079776813)</t>
  </si>
  <si>
    <t>1.2703164426235423</t>
  </si>
  <si>
    <t>1400000US29027070600</t>
  </si>
  <si>
    <t>070600</t>
  </si>
  <si>
    <t>Census Tract 706, Callaway County, Missouri</t>
  </si>
  <si>
    <t>(-92.02122580396124, 38.742558499113144)</t>
  </si>
  <si>
    <t>0.049420923379331495</t>
  </si>
  <si>
    <t>1.5682800743606453</t>
  </si>
  <si>
    <t>1400000US29027070400</t>
  </si>
  <si>
    <t>Census Tract 704, Callaway County, Missouri</t>
  </si>
  <si>
    <t>(-91.96341860537186, 38.84946391107032)</t>
  </si>
  <si>
    <t>0.29988383543801367</t>
  </si>
  <si>
    <t>1400000US29027070100</t>
  </si>
  <si>
    <t>Census Tract 701, Callaway County, Missouri</t>
  </si>
  <si>
    <t>(-91.89256821765775, 38.99949586532285)</t>
  </si>
  <si>
    <t>1.493602850608731</t>
  </si>
  <si>
    <t>1400000US29027070300</t>
  </si>
  <si>
    <t>Census Tract 703, Callaway County, Missouri</t>
  </si>
  <si>
    <t>(-91.92314432531349, 38.84896707058582)</t>
  </si>
  <si>
    <t>0.4563314617858658</t>
  </si>
  <si>
    <t>1400000US29027070500</t>
  </si>
  <si>
    <t>070500</t>
  </si>
  <si>
    <t>Census Tract 705, Callaway County, Missouri</t>
  </si>
  <si>
    <t>(-92.05151178332193, 38.88467928350638)</t>
  </si>
  <si>
    <t>0.022722871216616453</t>
  </si>
  <si>
    <t>1.0708846386930144</t>
  </si>
  <si>
    <t>1400000US29027070700</t>
  </si>
  <si>
    <t>070700</t>
  </si>
  <si>
    <t>Census Tract 707, Callaway County, Missouri</t>
  </si>
  <si>
    <t>(-92.02562308865528, 38.624367558783156)</t>
  </si>
  <si>
    <t>0.020390450567387138</t>
  </si>
  <si>
    <t>1400000US29027070800</t>
  </si>
  <si>
    <t>070800</t>
  </si>
  <si>
    <t>Census Tract 708, Callaway County, Missouri</t>
  </si>
  <si>
    <t>(-92.16125799766863, 38.6317422125555)</t>
  </si>
  <si>
    <t>0.5454464980560162</t>
  </si>
  <si>
    <t>1400000US29029950100</t>
  </si>
  <si>
    <t>029</t>
  </si>
  <si>
    <t>Camden County</t>
  </si>
  <si>
    <t>Census Tract 9501, Camden County, Missouri</t>
  </si>
  <si>
    <t>(-92.70381682893533, 38.19934161954325)</t>
  </si>
  <si>
    <t>0.3009913054733694</t>
  </si>
  <si>
    <t>1400000US29029950200</t>
  </si>
  <si>
    <t>Census Tract 9502, Camden County, Missouri</t>
  </si>
  <si>
    <t>(-92.6730291019675, 38.12774286492829)</t>
  </si>
  <si>
    <t>0.45446105543602955</t>
  </si>
  <si>
    <t>1400000US29029950300</t>
  </si>
  <si>
    <t>Census Tract 9503, Camden County, Missouri</t>
  </si>
  <si>
    <t>(-92.82067207416098, 38.056021533961456)</t>
  </si>
  <si>
    <t>0.5716174221219351</t>
  </si>
  <si>
    <t>1400000US29029950400</t>
  </si>
  <si>
    <t>Census Tract 9504, Camden County, Missouri</t>
  </si>
  <si>
    <t>(-92.7761522967302, 38.04827687855255)</t>
  </si>
  <si>
    <t>0.3746853591486104</t>
  </si>
  <si>
    <t>1400000US29029950500</t>
  </si>
  <si>
    <t>Census Tract 9505, Camden County, Missouri</t>
  </si>
  <si>
    <t>(-92.75183406479243, 38.00533037039255)</t>
  </si>
  <si>
    <t>0.2876658493588205</t>
  </si>
  <si>
    <t>1400000US29029950600</t>
  </si>
  <si>
    <t>Census Tract 9506, Camden County, Missouri</t>
  </si>
  <si>
    <t>(-92.65397765708717, 38.05895467593048)</t>
  </si>
  <si>
    <t>1400000US29029950700</t>
  </si>
  <si>
    <t>Census Tract 9507, Camden County, Missouri</t>
  </si>
  <si>
    <t>(-92.96337024529127, 38.145131116914165)</t>
  </si>
  <si>
    <t>1.2549933543042926</t>
  </si>
  <si>
    <t>1400000US29029950800</t>
  </si>
  <si>
    <t>Census Tract 9508, Camden County, Missouri</t>
  </si>
  <si>
    <t>(-92.8886560178076, 37.97076185779486)</t>
  </si>
  <si>
    <t>1.4856736967710142</t>
  </si>
  <si>
    <t>1400000US29029950900</t>
  </si>
  <si>
    <t>Census Tract 9509, Camden County, Missouri</t>
  </si>
  <si>
    <t>(-92.52455872757454, 37.93243024407481)</t>
  </si>
  <si>
    <t>1.0311283906394078</t>
  </si>
  <si>
    <t>1400000US29029951100</t>
  </si>
  <si>
    <t>Census Tract 9511, Camden County, Missouri</t>
  </si>
  <si>
    <t>(-92.72389803359607, 38.14209723632174)</t>
  </si>
  <si>
    <t>0.6124854904544109</t>
  </si>
  <si>
    <t>1400000US29029951200</t>
  </si>
  <si>
    <t>Census Tract 9512, Camden County, Missouri</t>
  </si>
  <si>
    <t>(-92.84513020249776, 38.1730773405783)</t>
  </si>
  <si>
    <t>0.7332601607777954</t>
  </si>
  <si>
    <t>1400000US29031880100</t>
  </si>
  <si>
    <t>031</t>
  </si>
  <si>
    <t>Cape Girardeau County</t>
  </si>
  <si>
    <t>Census Tract 8801, Cape Girardeau County, Missouri</t>
  </si>
  <si>
    <t>(-89.66904729116042, 37.52405594344411)</t>
  </si>
  <si>
    <t>1.294552136601572</t>
  </si>
  <si>
    <t>1400000US29031880500</t>
  </si>
  <si>
    <t>Census Tract 8805, Cape Girardeau County, Missouri</t>
  </si>
  <si>
    <t>(-89.63894751748784, 37.37472784592889)</t>
  </si>
  <si>
    <t>0.2594797474281225</t>
  </si>
  <si>
    <t>1400000US29031880800</t>
  </si>
  <si>
    <t>Census Tract 8808, Cape Girardeau County, Missouri</t>
  </si>
  <si>
    <t>(-89.53293459519297, 37.31152754540071)</t>
  </si>
  <si>
    <t>1400000US29031881100</t>
  </si>
  <si>
    <t>Census Tract 8811, Cape Girardeau County, Missouri</t>
  </si>
  <si>
    <t>(-89.54496743345507, 37.31433466200924)</t>
  </si>
  <si>
    <t>1400000US29031881400</t>
  </si>
  <si>
    <t>Census Tract 8814, Cape Girardeau County, Missouri</t>
  </si>
  <si>
    <t>(-89.533997553376, 37.26639187823406)</t>
  </si>
  <si>
    <t>0.2580641187533119</t>
  </si>
  <si>
    <t>1400000US29031881600</t>
  </si>
  <si>
    <t>Census Tract 8816, Cape Girardeau County, Missouri</t>
  </si>
  <si>
    <t>(-89.54422275130732, 37.297566040763186)</t>
  </si>
  <si>
    <t>1400000US29031881200</t>
  </si>
  <si>
    <t>Census Tract 8812, Cape Girardeau County, Missouri</t>
  </si>
  <si>
    <t>(-89.57497103007668, 37.342138374781946)</t>
  </si>
  <si>
    <t>0.20914123939537546</t>
  </si>
  <si>
    <t>1400000US29031881300</t>
  </si>
  <si>
    <t>Census Tract 8813, Cape Girardeau County, Missouri</t>
  </si>
  <si>
    <t>(-89.5755697051797, 37.31981365117969)</t>
  </si>
  <si>
    <t>0.1571245240591606</t>
  </si>
  <si>
    <t>1400000US29031881500</t>
  </si>
  <si>
    <t>Census Tract 8815, Cape Girardeau County, Missouri</t>
  </si>
  <si>
    <t>(-89.61879505363362, 37.281173296962976)</t>
  </si>
  <si>
    <t>0.010593037231270095</t>
  </si>
  <si>
    <t>0.5000591973503044</t>
  </si>
  <si>
    <t>1400000US29031880700</t>
  </si>
  <si>
    <t>Census Tract 8807, Cape Girardeau County, Missouri</t>
  </si>
  <si>
    <t>(-89.54283417744811, 37.34118115569914)</t>
  </si>
  <si>
    <t>0.1454872893359019</t>
  </si>
  <si>
    <t>1400000US29031880900</t>
  </si>
  <si>
    <t>Census Tract 8809, Cape Girardeau County, Missouri</t>
  </si>
  <si>
    <t>(-89.51082676767892, 37.321252518818255)</t>
  </si>
  <si>
    <t>0.12179270962569815</t>
  </si>
  <si>
    <t>1400000US29031880200</t>
  </si>
  <si>
    <t>Census Tract 8802, Cape Girardeau County, Missouri</t>
  </si>
  <si>
    <t>(-89.7673710500831, 37.42758574823549)</t>
  </si>
  <si>
    <t>0.8714277610926798</t>
  </si>
  <si>
    <t>1400000US29031880300</t>
  </si>
  <si>
    <t>Census Tract 8803, Cape Girardeau County, Missouri</t>
  </si>
  <si>
    <t>(-89.776509779698, 37.25634292201325)</t>
  </si>
  <si>
    <t>1.0329215978047657</t>
  </si>
  <si>
    <t>1400000US29031880400</t>
  </si>
  <si>
    <t>Census Tract 8804, Cape Girardeau County, Missouri</t>
  </si>
  <si>
    <t>(-89.67657179044716, 37.393419381374976)</t>
  </si>
  <si>
    <t>0.4032397433206473</t>
  </si>
  <si>
    <t>1400000US29031880600</t>
  </si>
  <si>
    <t>Census Tract 8806, Cape Girardeau County, Missouri</t>
  </si>
  <si>
    <t>(-89.52501436662615, 37.39654404252661)</t>
  </si>
  <si>
    <t>0.6735243703133257</t>
  </si>
  <si>
    <t>1400000US29031881000</t>
  </si>
  <si>
    <t>Census Tract 8810, Cape Girardeau County, Missouri</t>
  </si>
  <si>
    <t>(-89.5212431822819, 37.30519347188513)</t>
  </si>
  <si>
    <t>1400000US29033960100</t>
  </si>
  <si>
    <t>033</t>
  </si>
  <si>
    <t>Carroll County</t>
  </si>
  <si>
    <t>Census Tract 9601, Carroll County, Missouri</t>
  </si>
  <si>
    <t>(-93.35462892069826, 39.43770426420162)</t>
  </si>
  <si>
    <t>1.9732074482161184</t>
  </si>
  <si>
    <t>1400000US29033960200</t>
  </si>
  <si>
    <t>Census Tract 9602, Carroll County, Missouri</t>
  </si>
  <si>
    <t>(-93.6258400308224, 39.42253337131131)</t>
  </si>
  <si>
    <t>0.10267647658174955</t>
  </si>
  <si>
    <t>1.5020172109575822</t>
  </si>
  <si>
    <t>1400000US29033960300</t>
  </si>
  <si>
    <t>Census Tract 9603, Carroll County, Missouri</t>
  </si>
  <si>
    <t>(-93.49145403593803, 39.35228276637149)</t>
  </si>
  <si>
    <t>0.3519364119244201</t>
  </si>
  <si>
    <t>1400000US29035960100</t>
  </si>
  <si>
    <t>035</t>
  </si>
  <si>
    <t>Carter County</t>
  </si>
  <si>
    <t>Census Tract 9601, Carter County, Missouri</t>
  </si>
  <si>
    <t>(-90.81963091699748, 36.929711793679274)</t>
  </si>
  <si>
    <t>1.2102684234173624</t>
  </si>
  <si>
    <t>1400000US29035960200</t>
  </si>
  <si>
    <t>Census Tract 9602, Carter County, Missouri</t>
  </si>
  <si>
    <t>(-91.08198217233222, 36.95094114490208)</t>
  </si>
  <si>
    <t>1.2396660943621556</t>
  </si>
  <si>
    <t>1400000US29037060003</t>
  </si>
  <si>
    <t>037</t>
  </si>
  <si>
    <t>060003</t>
  </si>
  <si>
    <t>Cass County</t>
  </si>
  <si>
    <t>Census Tract 600.03, Cass County, Missouri</t>
  </si>
  <si>
    <t>(-94.50327813463412, 38.82153219022886)</t>
  </si>
  <si>
    <t>1400000US29037060004</t>
  </si>
  <si>
    <t>060004</t>
  </si>
  <si>
    <t>Census Tract 600.04, Cass County, Missouri</t>
  </si>
  <si>
    <t>(-94.51571757314308, 38.83050097522922)</t>
  </si>
  <si>
    <t>0.16796645557080261</t>
  </si>
  <si>
    <t>1400000US29037060700</t>
  </si>
  <si>
    <t>060700</t>
  </si>
  <si>
    <t>Census Tract 607, Cass County, Missouri</t>
  </si>
  <si>
    <t>(-94.20438921943648, 38.6291645814311)</t>
  </si>
  <si>
    <t>0.024207304998947143</t>
  </si>
  <si>
    <t>0.6523848219403668</t>
  </si>
  <si>
    <t>1400000US29037061400</t>
  </si>
  <si>
    <t>061400</t>
  </si>
  <si>
    <t>Census Tract 614, Cass County, Missouri</t>
  </si>
  <si>
    <t>(-94.35164910908304, 38.644610806574114)</t>
  </si>
  <si>
    <t>0.15926134564559616</t>
  </si>
  <si>
    <t>1400000US29037060001</t>
  </si>
  <si>
    <t>060001</t>
  </si>
  <si>
    <t>Census Tract 600.01, Cass County, Missouri</t>
  </si>
  <si>
    <t>(-94.57796747829052, 38.82963002545681)</t>
  </si>
  <si>
    <t>0.2819303430584859</t>
  </si>
  <si>
    <t>1400000US29037060100</t>
  </si>
  <si>
    <t>060100</t>
  </si>
  <si>
    <t>Census Tract 601, Cass County, Missouri</t>
  </si>
  <si>
    <t>(-94.5524453195875, 38.83355378925363)</t>
  </si>
  <si>
    <t>0.10273224442323403</t>
  </si>
  <si>
    <t>1400000US29037060202</t>
  </si>
  <si>
    <t>060202</t>
  </si>
  <si>
    <t>Census Tract 602.02, Cass County, Missouri</t>
  </si>
  <si>
    <t>(-94.57055926025014, 38.80175133310212)</t>
  </si>
  <si>
    <t>0.20553527095029472</t>
  </si>
  <si>
    <t>1400000US29037060301</t>
  </si>
  <si>
    <t>060301</t>
  </si>
  <si>
    <t>Census Tract 603.01, Cass County, Missouri</t>
  </si>
  <si>
    <t>(-94.47539482867072, 38.818427020456916)</t>
  </si>
  <si>
    <t>0.17548510635121778</t>
  </si>
  <si>
    <t>1400000US29037060302</t>
  </si>
  <si>
    <t>060302</t>
  </si>
  <si>
    <t>Census Tract 603.02, Cass County, Missouri</t>
  </si>
  <si>
    <t>(-94.42958809796427, 38.79593902125178)</t>
  </si>
  <si>
    <t>1400000US29037060305</t>
  </si>
  <si>
    <t>060305</t>
  </si>
  <si>
    <t>Census Tract 603.05, Cass County, Missouri</t>
  </si>
  <si>
    <t>(-94.47613486396068, 38.77730347270222)</t>
  </si>
  <si>
    <t>0.16529688020957756</t>
  </si>
  <si>
    <t>1400000US29037060400</t>
  </si>
  <si>
    <t>060400</t>
  </si>
  <si>
    <t>Census Tract 604, Cass County, Missouri</t>
  </si>
  <si>
    <t>(-94.34582350422967, 38.793593703677445)</t>
  </si>
  <si>
    <t>0.3983614471508136</t>
  </si>
  <si>
    <t>1400000US29037060500</t>
  </si>
  <si>
    <t>060500</t>
  </si>
  <si>
    <t>Census Tract 605, Cass County, Missouri</t>
  </si>
  <si>
    <t>(-94.20097142181916, 38.76584961877008)</t>
  </si>
  <si>
    <t>0.020167485511600736</t>
  </si>
  <si>
    <t>0.7775996560320783</t>
  </si>
  <si>
    <t>1400000US29037060600</t>
  </si>
  <si>
    <t>060600</t>
  </si>
  <si>
    <t>Census Tract 606, Cass County, Missouri</t>
  </si>
  <si>
    <t>(-94.26434652539214, 38.793043627243975)</t>
  </si>
  <si>
    <t>0.22907503904654025</t>
  </si>
  <si>
    <t>1400000US29037061001</t>
  </si>
  <si>
    <t>061001</t>
  </si>
  <si>
    <t>Census Tract 610.01, Cass County, Missouri</t>
  </si>
  <si>
    <t>(-94.54832238700453, 38.724933690125816)</t>
  </si>
  <si>
    <t>0.49344910763820093</t>
  </si>
  <si>
    <t>1400000US29037060800</t>
  </si>
  <si>
    <t>060800</t>
  </si>
  <si>
    <t>Census Tract 608, Cass County, Missouri</t>
  </si>
  <si>
    <t>(-94.36188088220841, 38.64507248127744)</t>
  </si>
  <si>
    <t>0.025263884745350313</t>
  </si>
  <si>
    <t>0.9549867680931726</t>
  </si>
  <si>
    <t>1400000US29037060904</t>
  </si>
  <si>
    <t>060904</t>
  </si>
  <si>
    <t>Census Tract 609.04, Cass County, Missouri</t>
  </si>
  <si>
    <t>(-94.3490383058569, 38.66319508651484)</t>
  </si>
  <si>
    <t>0.1787843114591805</t>
  </si>
  <si>
    <t>1400000US29037061002</t>
  </si>
  <si>
    <t>061002</t>
  </si>
  <si>
    <t>Census Tract 610.02, Cass County, Missouri</t>
  </si>
  <si>
    <t>(-94.44249363301445, 38.70926662118393)</t>
  </si>
  <si>
    <t>0.3388351222093322</t>
  </si>
  <si>
    <t>1400000US29037061100</t>
  </si>
  <si>
    <t>061100</t>
  </si>
  <si>
    <t>Census Tract 611, Cass County, Missouri</t>
  </si>
  <si>
    <t>(-94.51795438187348, 38.565613898956855)</t>
  </si>
  <si>
    <t>0.035762513806882605</t>
  </si>
  <si>
    <t>1400000US29037061200</t>
  </si>
  <si>
    <t>061200</t>
  </si>
  <si>
    <t>Census Tract 612, Cass County, Missouri</t>
  </si>
  <si>
    <t>(-94.22377098041649, 38.50835226635083)</t>
  </si>
  <si>
    <t>1.0385954695827244</t>
  </si>
  <si>
    <t>1400000US29037061300</t>
  </si>
  <si>
    <t>061300</t>
  </si>
  <si>
    <t>Census Tract 613, Cass County, Missouri</t>
  </si>
  <si>
    <t>(-94.51128312139143, 38.786367668250854)</t>
  </si>
  <si>
    <t>0.21764673357442293</t>
  </si>
  <si>
    <t>1400000US29039870200</t>
  </si>
  <si>
    <t>039</t>
  </si>
  <si>
    <t>Cedar County</t>
  </si>
  <si>
    <t>Census Tract 8702, Cedar County, Missouri</t>
  </si>
  <si>
    <t>(-94.01570404499061, 37.86173806736001)</t>
  </si>
  <si>
    <t>0.3898101906283384</t>
  </si>
  <si>
    <t>1400000US29039870100</t>
  </si>
  <si>
    <t>Census Tract 8701, Cedar County, Missouri</t>
  </si>
  <si>
    <t>(-93.85097080223015, 37.73402500438269)</t>
  </si>
  <si>
    <t>0.10049393331084205</t>
  </si>
  <si>
    <t>1.9703195726923552</t>
  </si>
  <si>
    <t>1400000US29039870300</t>
  </si>
  <si>
    <t>Census Tract 8703, Cedar County, Missouri</t>
  </si>
  <si>
    <t>(-93.82704825676097, 37.63388068922175)</t>
  </si>
  <si>
    <t>0.9676679155172357</t>
  </si>
  <si>
    <t>1400000US29041470200</t>
  </si>
  <si>
    <t>041</t>
  </si>
  <si>
    <t>Chariton County</t>
  </si>
  <si>
    <t>Census Tract 4702, Chariton County, Missouri</t>
  </si>
  <si>
    <t>(-93.04295268276799, 39.43732122830065)</t>
  </si>
  <si>
    <t>1.9466009596141163</t>
  </si>
  <si>
    <t>1400000US29041470100</t>
  </si>
  <si>
    <t>Census Tract 4701, Chariton County, Missouri</t>
  </si>
  <si>
    <t>(-92.98711146853452, 39.618606819257785)</t>
  </si>
  <si>
    <t>1.6854597718670292</t>
  </si>
  <si>
    <t>1400000US29041470300</t>
  </si>
  <si>
    <t>Census Tract 4703, Chariton County, Missouri</t>
  </si>
  <si>
    <t>(-92.80287244492615, 39.411566735467666)</t>
  </si>
  <si>
    <t>1.099330975337974</t>
  </si>
  <si>
    <t>1400000US29043020202</t>
  </si>
  <si>
    <t>043</t>
  </si>
  <si>
    <t>020202</t>
  </si>
  <si>
    <t>Christian County</t>
  </si>
  <si>
    <t>Census Tract 202.02, Christian County, Missouri</t>
  </si>
  <si>
    <t>(-93.31048863764126, 37.068427351229175)</t>
  </si>
  <si>
    <t>0.16429864132618607</t>
  </si>
  <si>
    <t>1400000US29043020305</t>
  </si>
  <si>
    <t>020305</t>
  </si>
  <si>
    <t>Census Tract 203.05, Christian County, Missouri</t>
  </si>
  <si>
    <t>(-93.24548769121918, 37.05992149754585)</t>
  </si>
  <si>
    <t>0.19997052921800487</t>
  </si>
  <si>
    <t>1400000US29043020303</t>
  </si>
  <si>
    <t>020303</t>
  </si>
  <si>
    <t>Census Tract 203.03, Christian County, Missouri</t>
  </si>
  <si>
    <t>(-93.22478617398443, 36.97347818180106)</t>
  </si>
  <si>
    <t>0.34351663238945707</t>
  </si>
  <si>
    <t>1400000US29043020304</t>
  </si>
  <si>
    <t>020304</t>
  </si>
  <si>
    <t>Census Tract 203.04, Christian County, Missouri</t>
  </si>
  <si>
    <t>(-93.24520854953153, 37.01401270635803)</t>
  </si>
  <si>
    <t>0.24010090889956123</t>
  </si>
  <si>
    <t>1400000US29043020101</t>
  </si>
  <si>
    <t>020101</t>
  </si>
  <si>
    <t>Census Tract 201.01, Christian County, Missouri</t>
  </si>
  <si>
    <t>(-93.55366893577265, 37.047206202316474)</t>
  </si>
  <si>
    <t>0.011457946097965717</t>
  </si>
  <si>
    <t>0.4419736424793617</t>
  </si>
  <si>
    <t>1400000US29043020102</t>
  </si>
  <si>
    <t>020102</t>
  </si>
  <si>
    <t>Census Tract 201.02, Christian County, Missouri</t>
  </si>
  <si>
    <t>(-93.43965797763005, 37.03970352474463)</t>
  </si>
  <si>
    <t>0.011691902943851392</t>
  </si>
  <si>
    <t>0.4873563383358915</t>
  </si>
  <si>
    <t>1400000US29043020201</t>
  </si>
  <si>
    <t>020201</t>
  </si>
  <si>
    <t>Census Tract 202.01, Christian County, Missouri</t>
  </si>
  <si>
    <t>(-93.35984803694517, 37.05584846498644)</t>
  </si>
  <si>
    <t>0.37450070146957387</t>
  </si>
  <si>
    <t>1400000US29043020203</t>
  </si>
  <si>
    <t>020203</t>
  </si>
  <si>
    <t>Census Tract 202.03, Christian County, Missouri</t>
  </si>
  <si>
    <t>(-93.27974805052351, 37.06858857361596)</t>
  </si>
  <si>
    <t>0.17045089747545755</t>
  </si>
  <si>
    <t>1400000US29043020204</t>
  </si>
  <si>
    <t>020204</t>
  </si>
  <si>
    <t>Census Tract 202.04, Christian County, Missouri</t>
  </si>
  <si>
    <t>(-93.28611293844754, 37.02112703448005)</t>
  </si>
  <si>
    <t>0.1727432068264103</t>
  </si>
  <si>
    <t>1400000US29043020205</t>
  </si>
  <si>
    <t>020205</t>
  </si>
  <si>
    <t>Census Tract 202.05, Christian County, Missouri</t>
  </si>
  <si>
    <t>(-93.31857099312988, 37.00734300793392)</t>
  </si>
  <si>
    <t>0.2122886731890077</t>
  </si>
  <si>
    <t>1400000US29043020302</t>
  </si>
  <si>
    <t>020302</t>
  </si>
  <si>
    <t>Census Tract 203.02, Christian County, Missouri</t>
  </si>
  <si>
    <t>(-93.1708907710267, 37.02330941610358)</t>
  </si>
  <si>
    <t>0.23413769855105473</t>
  </si>
  <si>
    <t>1400000US29043020306</t>
  </si>
  <si>
    <t>020306</t>
  </si>
  <si>
    <t>Census Tract 203.06, Christian County, Missouri</t>
  </si>
  <si>
    <t>(-93.19274316665644, 37.06117190277616)</t>
  </si>
  <si>
    <t>0.32678256278011136</t>
  </si>
  <si>
    <t>1400000US29043020400</t>
  </si>
  <si>
    <t>020400</t>
  </si>
  <si>
    <t>Census Tract 204, Christian County, Missouri</t>
  </si>
  <si>
    <t>(-93.0354561296527, 37.01892751254753)</t>
  </si>
  <si>
    <t>0.8954868368412475</t>
  </si>
  <si>
    <t>1400000US29043020500</t>
  </si>
  <si>
    <t>020500</t>
  </si>
  <si>
    <t>Census Tract 205, Christian County, Missouri</t>
  </si>
  <si>
    <t>(-93.12410833365304, 36.88532182690367)</t>
  </si>
  <si>
    <t>0.061411489494045596</t>
  </si>
  <si>
    <t>1.315126661591247</t>
  </si>
  <si>
    <t>1400000US29045950300</t>
  </si>
  <si>
    <t>045</t>
  </si>
  <si>
    <t>Clark County</t>
  </si>
  <si>
    <t>Census Tract 9503, Clark County, Missouri</t>
  </si>
  <si>
    <t>(-91.71793811903459, 40.42306896911848)</t>
  </si>
  <si>
    <t>0.6959708067915786</t>
  </si>
  <si>
    <t>1400000US29045950100</t>
  </si>
  <si>
    <t>Census Tract 9501, Clark County, Missouri</t>
  </si>
  <si>
    <t>(-91.81837302861808, 40.44214377386431)</t>
  </si>
  <si>
    <t>1.7109794970351626</t>
  </si>
  <si>
    <t>1400000US29045950200</t>
  </si>
  <si>
    <t>Census Tract 9502, Clark County, Missouri</t>
  </si>
  <si>
    <t>(-91.59066546595457, 40.34560398774048)</t>
  </si>
  <si>
    <t>1.140913670194841</t>
  </si>
  <si>
    <t>1400000US29047022000</t>
  </si>
  <si>
    <t>047</t>
  </si>
  <si>
    <t>022000</t>
  </si>
  <si>
    <t>Clay County</t>
  </si>
  <si>
    <t>Census Tract 220, Clay County, Missouri</t>
  </si>
  <si>
    <t>(-94.57766864096281, 39.38531113407928)</t>
  </si>
  <si>
    <t>0.2532038768123241</t>
  </si>
  <si>
    <t>1400000US29047020201</t>
  </si>
  <si>
    <t>Census Tract 202.01, Clay County, Missouri</t>
  </si>
  <si>
    <t>(-94.5684801333421, 39.16517484555085)</t>
  </si>
  <si>
    <t>1400000US29047020400</t>
  </si>
  <si>
    <t>Census Tract 204, Clay County, Missouri</t>
  </si>
  <si>
    <t>(-94.55237059315284, 39.17855204444053)</t>
  </si>
  <si>
    <t>0.10186789924091223</t>
  </si>
  <si>
    <t>1400000US29047020603</t>
  </si>
  <si>
    <t>020603</t>
  </si>
  <si>
    <t>Census Tract 206.03, Clay County, Missouri</t>
  </si>
  <si>
    <t>(-94.50556146286306, 39.187504033096836)</t>
  </si>
  <si>
    <t>0.10121067614146195</t>
  </si>
  <si>
    <t>1400000US29047021001</t>
  </si>
  <si>
    <t>021001</t>
  </si>
  <si>
    <t>Census Tract 210.01, Clay County, Missouri</t>
  </si>
  <si>
    <t>(-94.57437335001146, 39.202890364801554)</t>
  </si>
  <si>
    <t>1400000US29047021204</t>
  </si>
  <si>
    <t>021204</t>
  </si>
  <si>
    <t>Census Tract 212.04, Clay County, Missouri</t>
  </si>
  <si>
    <t>(-94.59362388211485, 39.20666966555517)</t>
  </si>
  <si>
    <t>1400000US29047021303</t>
  </si>
  <si>
    <t>021303</t>
  </si>
  <si>
    <t>Census Tract 213.03, Clay County, Missouri</t>
  </si>
  <si>
    <t>(-94.53263277244397, 39.288312067995214)</t>
  </si>
  <si>
    <t>0.18887782881101228</t>
  </si>
  <si>
    <t>1400000US29047022301</t>
  </si>
  <si>
    <t>022301</t>
  </si>
  <si>
    <t>Census Tract 223.01, Clay County, Missouri</t>
  </si>
  <si>
    <t>(-94.42421059113737, 39.209386331062554)</t>
  </si>
  <si>
    <t>0.18225218773033638</t>
  </si>
  <si>
    <t>1400000US29047022302</t>
  </si>
  <si>
    <t>022302</t>
  </si>
  <si>
    <t>Census Tract 223.02, Clay County, Missouri</t>
  </si>
  <si>
    <t>(-94.45755967685066, 39.20923502825017)</t>
  </si>
  <si>
    <t>0.24703100919572663</t>
  </si>
  <si>
    <t>1400000US29047020202</t>
  </si>
  <si>
    <t>Census Tract 202.02, Clay County, Missouri</t>
  </si>
  <si>
    <t>(-94.58933988934719, 39.173911811095955)</t>
  </si>
  <si>
    <t>0.12761875134662343</t>
  </si>
  <si>
    <t>1400000US29047020300</t>
  </si>
  <si>
    <t>020300</t>
  </si>
  <si>
    <t>Census Tract 203, Clay County, Missouri</t>
  </si>
  <si>
    <t>(-94.57026169984225, 39.188567686566586)</t>
  </si>
  <si>
    <t>0.10851379073354143</t>
  </si>
  <si>
    <t>1400000US29047020500</t>
  </si>
  <si>
    <t>Census Tract 205, Clay County, Missouri</t>
  </si>
  <si>
    <t>(-94.54614328746455, 39.16254611516451)</t>
  </si>
  <si>
    <t>1400000US29047020602</t>
  </si>
  <si>
    <t>020602</t>
  </si>
  <si>
    <t>Census Tract 206.02, Clay County, Missouri</t>
  </si>
  <si>
    <t>(-94.51498125198364, 39.15902016055165)</t>
  </si>
  <si>
    <t>0.11605092855163715</t>
  </si>
  <si>
    <t>1400000US29047020604</t>
  </si>
  <si>
    <t>020604</t>
  </si>
  <si>
    <t>Census Tract 206.04, Clay County, Missouri</t>
  </si>
  <si>
    <t>(-94.51416821905951, 39.17415756267285)</t>
  </si>
  <si>
    <t>0.10705616179854861</t>
  </si>
  <si>
    <t>1400000US29047020801</t>
  </si>
  <si>
    <t>020801</t>
  </si>
  <si>
    <t>Census Tract 208.01, Clay County, Missouri</t>
  </si>
  <si>
    <t>(-94.47230546944967, 39.22309103157079)</t>
  </si>
  <si>
    <t>0.21487850147506754</t>
  </si>
  <si>
    <t>1400000US29047020901</t>
  </si>
  <si>
    <t>020901</t>
  </si>
  <si>
    <t>Census Tract 209.01, Clay County, Missouri</t>
  </si>
  <si>
    <t>(-94.53149136248163, 39.19258385974043)</t>
  </si>
  <si>
    <t>0.12389403474465169</t>
  </si>
  <si>
    <t>1400000US29047020902</t>
  </si>
  <si>
    <t>020902</t>
  </si>
  <si>
    <t>Census Tract 209.02, Clay County, Missouri</t>
  </si>
  <si>
    <t>(-94.51106568237356, 39.2053632494359)</t>
  </si>
  <si>
    <t>0.11157469328455581</t>
  </si>
  <si>
    <t>1400000US29047021003</t>
  </si>
  <si>
    <t>021003</t>
  </si>
  <si>
    <t>Census Tract 210.03, Clay County, Missouri</t>
  </si>
  <si>
    <t>(-94.53944194767806, 39.20249077784746)</t>
  </si>
  <si>
    <t>1400000US29047021004</t>
  </si>
  <si>
    <t>021004</t>
  </si>
  <si>
    <t>Census Tract 210.04, Clay County, Missouri</t>
  </si>
  <si>
    <t>(-94.55572789593573, 39.20311218124662)</t>
  </si>
  <si>
    <t>1400000US29047021101</t>
  </si>
  <si>
    <t>021101</t>
  </si>
  <si>
    <t>Census Tract 211.01, Clay County, Missouri</t>
  </si>
  <si>
    <t>(-94.57612175841075, 39.221990548184834)</t>
  </si>
  <si>
    <t>1400000US29047021102</t>
  </si>
  <si>
    <t>021102</t>
  </si>
  <si>
    <t>Census Tract 211.02, Clay County, Missouri</t>
  </si>
  <si>
    <t>(-94.5478617032732, 39.21734784729291)</t>
  </si>
  <si>
    <t>1400000US29047021103</t>
  </si>
  <si>
    <t>021103</t>
  </si>
  <si>
    <t>Census Tract 211.03, Clay County, Missouri</t>
  </si>
  <si>
    <t>(-94.54840958024849, 39.22903431775828)</t>
  </si>
  <si>
    <t>1400000US29047021205</t>
  </si>
  <si>
    <t>021205</t>
  </si>
  <si>
    <t>Census Tract 212.05, Clay County, Missouri</t>
  </si>
  <si>
    <t>(-94.54277599956752, 39.2567326977159)</t>
  </si>
  <si>
    <t>0.20768007331676283</t>
  </si>
  <si>
    <t>1400000US29047021206</t>
  </si>
  <si>
    <t>021206</t>
  </si>
  <si>
    <t>Census Tract 212.06, Clay County, Missouri</t>
  </si>
  <si>
    <t>(-94.53210572121783, 39.23331594481715)</t>
  </si>
  <si>
    <t>0.21299722621522604</t>
  </si>
  <si>
    <t>1400000US29047021207</t>
  </si>
  <si>
    <t>021207</t>
  </si>
  <si>
    <t>Census Tract 212.07, Clay County, Missouri</t>
  </si>
  <si>
    <t>(-94.58859065282422, 39.25670201880748)</t>
  </si>
  <si>
    <t>1400000US29047021208</t>
  </si>
  <si>
    <t>021208</t>
  </si>
  <si>
    <t>Census Tract 212.08, Clay County, Missouri</t>
  </si>
  <si>
    <t>(-94.59084128012418, 39.233740628718735)</t>
  </si>
  <si>
    <t>0.10790986012642916</t>
  </si>
  <si>
    <t>1400000US29047021305</t>
  </si>
  <si>
    <t>021305</t>
  </si>
  <si>
    <t>Census Tract 213.05, Clay County, Missouri</t>
  </si>
  <si>
    <t>(-94.57697989380758, 39.29884286157637)</t>
  </si>
  <si>
    <t>0.1348920639139874</t>
  </si>
  <si>
    <t>1400000US29047021306</t>
  </si>
  <si>
    <t>021306</t>
  </si>
  <si>
    <t>Census Tract 213.06, Clay County, Missouri</t>
  </si>
  <si>
    <t>(-94.57975291800213, 39.27759911030263)</t>
  </si>
  <si>
    <t>0.1329527258143256</t>
  </si>
  <si>
    <t>1400000US29047021307</t>
  </si>
  <si>
    <t>021307</t>
  </si>
  <si>
    <t>Census Tract 213.07, Clay County, Missouri</t>
  </si>
  <si>
    <t>(-94.48393295923132, 39.234502852219535)</t>
  </si>
  <si>
    <t>0.1365727346584411</t>
  </si>
  <si>
    <t>1400000US29047021309</t>
  </si>
  <si>
    <t>021309</t>
  </si>
  <si>
    <t>Census Tract 213.09, Clay County, Missouri</t>
  </si>
  <si>
    <t>(-94.47970375286869, 39.25642248852381)</t>
  </si>
  <si>
    <t>0.16456280770391926</t>
  </si>
  <si>
    <t>1400000US29047021401</t>
  </si>
  <si>
    <t>021401</t>
  </si>
  <si>
    <t>Census Tract 214.01, Clay County, Missouri</t>
  </si>
  <si>
    <t>(-94.41457606931388, 39.2655128756477)</t>
  </si>
  <si>
    <t>0.15202397820693886</t>
  </si>
  <si>
    <t>1400000US29047021403</t>
  </si>
  <si>
    <t>021403</t>
  </si>
  <si>
    <t>Census Tract 214.03, Clay County, Missouri</t>
  </si>
  <si>
    <t>(-94.4223797188559, 39.24211027900069)</t>
  </si>
  <si>
    <t>0.10825552190807251</t>
  </si>
  <si>
    <t>1400000US29047021404</t>
  </si>
  <si>
    <t>021404</t>
  </si>
  <si>
    <t>Census Tract 214.04, Clay County, Missouri</t>
  </si>
  <si>
    <t>(-94.43643070313175, 39.25402634959579)</t>
  </si>
  <si>
    <t>1400000US29047021600</t>
  </si>
  <si>
    <t>021600</t>
  </si>
  <si>
    <t>Census Tract 216, Clay County, Missouri</t>
  </si>
  <si>
    <t>(-94.31704161619034, 39.2546432861694)</t>
  </si>
  <si>
    <t>0.019331868003951872</t>
  </si>
  <si>
    <t>0.7286317663861519</t>
  </si>
  <si>
    <t>1400000US29047021701</t>
  </si>
  <si>
    <t>021701</t>
  </si>
  <si>
    <t>Census Tract 217.01, Clay County, Missouri</t>
  </si>
  <si>
    <t>(-94.25249396294205, 39.36143091513959)</t>
  </si>
  <si>
    <t>0.2763236708145323</t>
  </si>
  <si>
    <t>1400000US29047021702</t>
  </si>
  <si>
    <t>021702</t>
  </si>
  <si>
    <t>Census Tract 217.02, Clay County, Missouri</t>
  </si>
  <si>
    <t>(-94.23036825655831, 39.33051217585717)</t>
  </si>
  <si>
    <t>0.28584935231063757</t>
  </si>
  <si>
    <t>1400000US29047021803</t>
  </si>
  <si>
    <t>021803</t>
  </si>
  <si>
    <t>Census Tract 218.03, Clay County, Missouri</t>
  </si>
  <si>
    <t>(-94.44727135622102, 39.294965586190166)</t>
  </si>
  <si>
    <t>0.2509559302075019</t>
  </si>
  <si>
    <t>1400000US29047021804</t>
  </si>
  <si>
    <t>021804</t>
  </si>
  <si>
    <t>Census Tract 218.04, Clay County, Missouri</t>
  </si>
  <si>
    <t>(-94.42083980402894, 39.39031999454418)</t>
  </si>
  <si>
    <t>0.016970575060047982</t>
  </si>
  <si>
    <t>0.6046709802076076</t>
  </si>
  <si>
    <t>1400000US29047021805</t>
  </si>
  <si>
    <t>021805</t>
  </si>
  <si>
    <t>Census Tract 218.05, Clay County, Missouri</t>
  </si>
  <si>
    <t>(-94.34300068480741, 39.33545914803809)</t>
  </si>
  <si>
    <t>0.4264246540646127</t>
  </si>
  <si>
    <t>1400000US29047021806</t>
  </si>
  <si>
    <t>021806</t>
  </si>
  <si>
    <t>Census Tract 218.06, Clay County, Missouri</t>
  </si>
  <si>
    <t>(-94.28534509569008, 39.413602760057785)</t>
  </si>
  <si>
    <t>0.010479443106937842</t>
  </si>
  <si>
    <t>0.46663975101697547</t>
  </si>
  <si>
    <t>1400000US29047021900</t>
  </si>
  <si>
    <t>021900</t>
  </si>
  <si>
    <t>Census Tract 219, Clay County, Missouri</t>
  </si>
  <si>
    <t>(-94.5343262998291, 39.38382508396643)</t>
  </si>
  <si>
    <t>0.6935332873356146</t>
  </si>
  <si>
    <t>1400000US29047022100</t>
  </si>
  <si>
    <t>022100</t>
  </si>
  <si>
    <t>Census Tract 221, Clay County, Missouri</t>
  </si>
  <si>
    <t>(-94.57433789898758, 39.136215457970714)</t>
  </si>
  <si>
    <t>0.23918387837208385</t>
  </si>
  <si>
    <t>1400000US29047022200</t>
  </si>
  <si>
    <t>022200</t>
  </si>
  <si>
    <t>Census Tract 222, Clay County, Missouri</t>
  </si>
  <si>
    <t>(-94.45160522448788, 39.16350242328828)</t>
  </si>
  <si>
    <t>1400000US29047021310</t>
  </si>
  <si>
    <t>021310</t>
  </si>
  <si>
    <t>Census Tract 213.10, Clay County, Missouri</t>
  </si>
  <si>
    <t>(-94.49042066919951, 39.28244088070341)</t>
  </si>
  <si>
    <t>0.15100899955206465</t>
  </si>
  <si>
    <t>1400000US29049960100</t>
  </si>
  <si>
    <t>049</t>
  </si>
  <si>
    <t>Clinton County</t>
  </si>
  <si>
    <t>Census Tract 9601, Clinton County, Missouri</t>
  </si>
  <si>
    <t>(-94.2470943406424, 39.72981700188489)</t>
  </si>
  <si>
    <t>0.2861139098580322</t>
  </si>
  <si>
    <t>1400000US29049960200</t>
  </si>
  <si>
    <t>Census Tract 9602, Clinton County, Missouri</t>
  </si>
  <si>
    <t>(-94.27767922405036, 39.58819843621725)</t>
  </si>
  <si>
    <t>1.104182101152217</t>
  </si>
  <si>
    <t>1400000US29049960300</t>
  </si>
  <si>
    <t>Census Tract 9603, Clinton County, Missouri</t>
  </si>
  <si>
    <t>(-94.40946133524675, 39.604301710984)</t>
  </si>
  <si>
    <t>1.1358502233179006</t>
  </si>
  <si>
    <t>1400000US29049960400</t>
  </si>
  <si>
    <t>Census Tract 9604, Clinton County, Missouri</t>
  </si>
  <si>
    <t>(-94.53844506206761, 39.60507254697409)</t>
  </si>
  <si>
    <t>0.9310678380758475</t>
  </si>
  <si>
    <t>1400000US29051010600</t>
  </si>
  <si>
    <t>051</t>
  </si>
  <si>
    <t>010600</t>
  </si>
  <si>
    <t>Cole County</t>
  </si>
  <si>
    <t>Census Tract 106, Cole County, Missouri</t>
  </si>
  <si>
    <t>(-92.1931373057352, 38.57152188164591)</t>
  </si>
  <si>
    <t>1400000US29051020700</t>
  </si>
  <si>
    <t>020700</t>
  </si>
  <si>
    <t>Census Tract 207, Cole County, Missouri</t>
  </si>
  <si>
    <t>(-92.16418915771365, 38.574254350760334)</t>
  </si>
  <si>
    <t>0.11787540873094975</t>
  </si>
  <si>
    <t>1400000US29051010500</t>
  </si>
  <si>
    <t>010500</t>
  </si>
  <si>
    <t>Census Tract 105, Cole County, Missouri</t>
  </si>
  <si>
    <t>(-92.1795424235313, 38.56308166857373)</t>
  </si>
  <si>
    <t>0.11422788868368015</t>
  </si>
  <si>
    <t>1400000US29051020500</t>
  </si>
  <si>
    <t>Census Tract 205, Cole County, Missouri</t>
  </si>
  <si>
    <t>(-92.40642250165091, 38.50665879591351)</t>
  </si>
  <si>
    <t>0.8190722577312111</t>
  </si>
  <si>
    <t>1400000US29051020600</t>
  </si>
  <si>
    <t>020600</t>
  </si>
  <si>
    <t>Census Tract 206, Cole County, Missouri</t>
  </si>
  <si>
    <t>(-92.36157344088181, 38.6385888906396)</t>
  </si>
  <si>
    <t>0.017588485203027297</t>
  </si>
  <si>
    <t>0.7670458371552952</t>
  </si>
  <si>
    <t>1400000US29051010300</t>
  </si>
  <si>
    <t>Census Tract 103, Cole County, Missouri</t>
  </si>
  <si>
    <t>(-92.12638249002543, 38.556092671801686)</t>
  </si>
  <si>
    <t>0.17789055748932694</t>
  </si>
  <si>
    <t>1400000US29051010400</t>
  </si>
  <si>
    <t>Census Tract 104, Cole County, Missouri</t>
  </si>
  <si>
    <t>(-92.16225503836154, 38.53278240372095)</t>
  </si>
  <si>
    <t>0.5062120198277232</t>
  </si>
  <si>
    <t>1400000US29051010701</t>
  </si>
  <si>
    <t>010701</t>
  </si>
  <si>
    <t>Census Tract 107.01, Cole County, Missouri</t>
  </si>
  <si>
    <t>(-92.25159555501487, 38.566136720082135)</t>
  </si>
  <si>
    <t>0.24883806224538563</t>
  </si>
  <si>
    <t>1400000US29051010702</t>
  </si>
  <si>
    <t>010702</t>
  </si>
  <si>
    <t>Census Tract 107.02, Cole County, Missouri</t>
  </si>
  <si>
    <t>(-92.21470541888091, 38.552154415907246)</t>
  </si>
  <si>
    <t>0.16601505949933928</t>
  </si>
  <si>
    <t>1400000US29051010800</t>
  </si>
  <si>
    <t>010800</t>
  </si>
  <si>
    <t>Census Tract 108, Cole County, Missouri</t>
  </si>
  <si>
    <t>(-92.25922311680621, 38.60145311177462)</t>
  </si>
  <si>
    <t>0.29257869920531243</t>
  </si>
  <si>
    <t>1400000US29051010900</t>
  </si>
  <si>
    <t>010900</t>
  </si>
  <si>
    <t>Census Tract 109, Cole County, Missouri</t>
  </si>
  <si>
    <t>(-92.2196633188206, 38.618067174881524)</t>
  </si>
  <si>
    <t>0.22717828772410528</t>
  </si>
  <si>
    <t>1400000US29051020198</t>
  </si>
  <si>
    <t>020198</t>
  </si>
  <si>
    <t>Census Tract 201.98, Cole County, Missouri</t>
  </si>
  <si>
    <t>(-92.07164956127039, 38.51199064480114)</t>
  </si>
  <si>
    <t>0.011521091529652396</t>
  </si>
  <si>
    <t>0.7205083949922053</t>
  </si>
  <si>
    <t>1400000US29051020200</t>
  </si>
  <si>
    <t>020200</t>
  </si>
  <si>
    <t>Census Tract 202, Cole County, Missouri</t>
  </si>
  <si>
    <t>(-92.20619050601827, 38.42938660630945)</t>
  </si>
  <si>
    <t>0.018630818189074593</t>
  </si>
  <si>
    <t>1400000US29051020300</t>
  </si>
  <si>
    <t>Census Tract 203, Cole County, Missouri</t>
  </si>
  <si>
    <t>(-92.32788790180761, 38.41291103176093)</t>
  </si>
  <si>
    <t>0.022581950442621693</t>
  </si>
  <si>
    <t>0.9253435909910703</t>
  </si>
  <si>
    <t>1400000US29051020400</t>
  </si>
  <si>
    <t>Census Tract 204, Cole County, Missouri</t>
  </si>
  <si>
    <t>(-92.2827841605476, 38.538064836316735)</t>
  </si>
  <si>
    <t>1400000US29053950400</t>
  </si>
  <si>
    <t>053</t>
  </si>
  <si>
    <t>Cooper County</t>
  </si>
  <si>
    <t>Census Tract 9504, Cooper County, Missouri</t>
  </si>
  <si>
    <t>(-92.72507224270333, 38.94932873594864)</t>
  </si>
  <si>
    <t>0.16174525991981512</t>
  </si>
  <si>
    <t>1400000US29053950300</t>
  </si>
  <si>
    <t>Census Tract 9503, Cooper County, Missouri</t>
  </si>
  <si>
    <t>(-92.77137565071371, 38.95361363338686)</t>
  </si>
  <si>
    <t>0.22539006121240485</t>
  </si>
  <si>
    <t>1400000US29053950100</t>
  </si>
  <si>
    <t>Census Tract 9501, Cooper County, Missouri</t>
  </si>
  <si>
    <t>(-92.66169912708857, 38.82419638036312)</t>
  </si>
  <si>
    <t>1.1020393478624095</t>
  </si>
  <si>
    <t>1400000US29053950200</t>
  </si>
  <si>
    <t>Census Tract 9502, Cooper County, Missouri</t>
  </si>
  <si>
    <t>(-92.68164665172796, 38.96058288454599)</t>
  </si>
  <si>
    <t>0.3044158190637548</t>
  </si>
  <si>
    <t>1400000US29053950500</t>
  </si>
  <si>
    <t>Census Tract 9505, Cooper County, Missouri</t>
  </si>
  <si>
    <t>(-92.91952071539168, 38.84808142134008)</t>
  </si>
  <si>
    <t>1.2884656690096359</t>
  </si>
  <si>
    <t>1400000US29055450101</t>
  </si>
  <si>
    <t>055</t>
  </si>
  <si>
    <t>Crawford County</t>
  </si>
  <si>
    <t>Census Tract 4501.01, Crawford County, Missouri</t>
  </si>
  <si>
    <t>(-91.4163950726927, 38.16324406243102)</t>
  </si>
  <si>
    <t>0.020224042649023954</t>
  </si>
  <si>
    <t>0.7283016026312661</t>
  </si>
  <si>
    <t>1400000US29055450102</t>
  </si>
  <si>
    <t>Census Tract 4501.02, Crawford County, Missouri</t>
  </si>
  <si>
    <t>(-91.19311604103333, 38.15103843166962)</t>
  </si>
  <si>
    <t>0.022168746706231316</t>
  </si>
  <si>
    <t>0.6732285908956379</t>
  </si>
  <si>
    <t>1400000US29055450200</t>
  </si>
  <si>
    <t>Census Tract 4502, Crawford County, Missouri</t>
  </si>
  <si>
    <t>(-91.2057022563052, 37.910219901460266)</t>
  </si>
  <si>
    <t>1.588801660158398</t>
  </si>
  <si>
    <t>1400000US29055450301</t>
  </si>
  <si>
    <t>Census Tract 4503.01, Crawford County, Missouri</t>
  </si>
  <si>
    <t>(-91.4739331138521, 38.052641137848994)</t>
  </si>
  <si>
    <t>0.015373868471608312</t>
  </si>
  <si>
    <t>0.7243959484576385</t>
  </si>
  <si>
    <t>1400000US29055450302</t>
  </si>
  <si>
    <t>Census Tract 4503.02, Crawford County, Missouri</t>
  </si>
  <si>
    <t>(-91.38333085907549, 38.0701230151795)</t>
  </si>
  <si>
    <t>1400000US29055450400</t>
  </si>
  <si>
    <t>Census Tract 4504, Crawford County, Missouri</t>
  </si>
  <si>
    <t>(-91.39798852287315, 37.8998581350971)</t>
  </si>
  <si>
    <t>1.2641965696446262</t>
  </si>
  <si>
    <t>1400000US29057480200</t>
  </si>
  <si>
    <t>057</t>
  </si>
  <si>
    <t>Dade County</t>
  </si>
  <si>
    <t>Census Tract 4802, Dade County, Missouri</t>
  </si>
  <si>
    <t>(-93.9413879066721, 37.42655682488899)</t>
  </si>
  <si>
    <t>1.5571690702180871</t>
  </si>
  <si>
    <t>1400000US29057480100</t>
  </si>
  <si>
    <t>Census Tract 4801, Dade County, Missouri</t>
  </si>
  <si>
    <t>(-93.72711562940133, 37.43948060190906)</t>
  </si>
  <si>
    <t>1.2217053461707272</t>
  </si>
  <si>
    <t>1400000US29059480100</t>
  </si>
  <si>
    <t>059</t>
  </si>
  <si>
    <t>Dallas County</t>
  </si>
  <si>
    <t>Census Tract 4801, Dallas County, Missouri</t>
  </si>
  <si>
    <t>(-93.006730237067, 37.78942251697002)</t>
  </si>
  <si>
    <t>1.4629243885247019</t>
  </si>
  <si>
    <t>1400000US29059480200</t>
  </si>
  <si>
    <t>Census Tract 4802, Dallas County, Missouri</t>
  </si>
  <si>
    <t>(-93.10823797125224, 37.67228266179257)</t>
  </si>
  <si>
    <t>0.6951358698996317</t>
  </si>
  <si>
    <t>1400000US29059480300</t>
  </si>
  <si>
    <t>Census Tract 4803, Dallas County, Missouri</t>
  </si>
  <si>
    <t>(-93.02065368669227, 37.54878543623026)</t>
  </si>
  <si>
    <t>1.2101649602182412</t>
  </si>
  <si>
    <t>1400000US29061470200</t>
  </si>
  <si>
    <t>061</t>
  </si>
  <si>
    <t>Daviess County</t>
  </si>
  <si>
    <t>Census Tract 4702, Daviess County, Missouri</t>
  </si>
  <si>
    <t>(-93.95674697970264, 39.85981584582758)</t>
  </si>
  <si>
    <t>1.2893119339464307</t>
  </si>
  <si>
    <t>1400000US29061470100</t>
  </si>
  <si>
    <t>Census Tract 4701, Daviess County, Missouri</t>
  </si>
  <si>
    <t>(-94.00480359426828, 40.028659752864066)</t>
  </si>
  <si>
    <t>1.3131024504060391</t>
  </si>
  <si>
    <t>1400000US29063080200</t>
  </si>
  <si>
    <t>063</t>
  </si>
  <si>
    <t>080200</t>
  </si>
  <si>
    <t>DeKalb County</t>
  </si>
  <si>
    <t>Census Tract 802, DeKalb County, Missouri</t>
  </si>
  <si>
    <t>(-94.49562085218506, 39.872011571571335)</t>
  </si>
  <si>
    <t>1.1730112721583486</t>
  </si>
  <si>
    <t>1400000US29063080100</t>
  </si>
  <si>
    <t>080100</t>
  </si>
  <si>
    <t>Census Tract 801, DeKalb County, Missouri</t>
  </si>
  <si>
    <t>(-94.3126335966999, 39.91462385583668)</t>
  </si>
  <si>
    <t>0.057689964320505674</t>
  </si>
  <si>
    <t>1.1016945982068729</t>
  </si>
  <si>
    <t>1400000US29065960100</t>
  </si>
  <si>
    <t>065</t>
  </si>
  <si>
    <t>Dent County</t>
  </si>
  <si>
    <t>Census Tract 9601, Dent County, Missouri</t>
  </si>
  <si>
    <t>(-91.39130123238354, 37.58932492605869)</t>
  </si>
  <si>
    <t>0.11467819055042154</t>
  </si>
  <si>
    <t>1.9420309474510622</t>
  </si>
  <si>
    <t>1400000US29065960200</t>
  </si>
  <si>
    <t>Census Tract 9602, Dent County, Missouri</t>
  </si>
  <si>
    <t>(-91.66941731694017, 37.6297740118855)</t>
  </si>
  <si>
    <t>1.4112207244807637</t>
  </si>
  <si>
    <t>1400000US29065960300</t>
  </si>
  <si>
    <t>Census Tract 9603, Dent County, Missouri</t>
  </si>
  <si>
    <t>(-91.54754680754785, 37.64449516488675)</t>
  </si>
  <si>
    <t>0.11458793249584157</t>
  </si>
  <si>
    <t>1400000US29065960400</t>
  </si>
  <si>
    <t>Census Tract 9604, Dent County, Missouri</t>
  </si>
  <si>
    <t>(-91.5161633069879, 37.64149930116392)</t>
  </si>
  <si>
    <t>0.18092742010481833</t>
  </si>
  <si>
    <t>1400000US29067950200</t>
  </si>
  <si>
    <t>067</t>
  </si>
  <si>
    <t>Douglas County</t>
  </si>
  <si>
    <t>Census Tract 9502, Douglas County, Missouri</t>
  </si>
  <si>
    <t>(-92.72161005760032, 36.935444647150455)</t>
  </si>
  <si>
    <t>1.9931217884612336</t>
  </si>
  <si>
    <t>1400000US29067950100</t>
  </si>
  <si>
    <t>Census Tract 9501, Douglas County, Missouri</t>
  </si>
  <si>
    <t>(-92.30891879780775, 36.92928824706542)</t>
  </si>
  <si>
    <t>0.11373496502041451</t>
  </si>
  <si>
    <t>1.5806834066832829</t>
  </si>
  <si>
    <t>1400000US29067950500</t>
  </si>
  <si>
    <t>Census Tract 9505, Douglas County, Missouri</t>
  </si>
  <si>
    <t>(-92.66526375473724, 36.94419538344702)</t>
  </si>
  <si>
    <t>0.010833317858866627</t>
  </si>
  <si>
    <t>1400000US29069360100</t>
  </si>
  <si>
    <t>069</t>
  </si>
  <si>
    <t>Dunklin County</t>
  </si>
  <si>
    <t>Census Tract 3601, Dunklin County, Missouri</t>
  </si>
  <si>
    <t>(-89.96714427097473, 36.57157453758688)</t>
  </si>
  <si>
    <t>0.24063006680760884</t>
  </si>
  <si>
    <t>1400000US29069360200</t>
  </si>
  <si>
    <t>Census Tract 3602, Dunklin County, Missouri</t>
  </si>
  <si>
    <t>(-89.99177702345179, 36.589271138558445)</t>
  </si>
  <si>
    <t>0.2760536825382485</t>
  </si>
  <si>
    <t>1400000US29069360600</t>
  </si>
  <si>
    <t>Census Tract 3606, Dunklin County, Missouri</t>
  </si>
  <si>
    <t>(-90.02355872088465, 36.24720943432105)</t>
  </si>
  <si>
    <t>0.24269058574824465</t>
  </si>
  <si>
    <t>1400000US29069360300</t>
  </si>
  <si>
    <t>Census Tract 3603, Dunklin County, Missouri</t>
  </si>
  <si>
    <t>(-90.10414668325627, 36.535356029045346)</t>
  </si>
  <si>
    <t>1.1201994452086566</t>
  </si>
  <si>
    <t>1400000US29069360500</t>
  </si>
  <si>
    <t>Census Tract 3605, Dunklin County, Missouri</t>
  </si>
  <si>
    <t>(-90.055920702962, 36.24769803305878)</t>
  </si>
  <si>
    <t>0.25761339984921633</t>
  </si>
  <si>
    <t>1400000US29069360400</t>
  </si>
  <si>
    <t>Census Tract 3604, Dunklin County, Missouri</t>
  </si>
  <si>
    <t>(-90.01562435799688, 36.384848024070685)</t>
  </si>
  <si>
    <t>1.139650376724799</t>
  </si>
  <si>
    <t>1400000US29069360700</t>
  </si>
  <si>
    <t>Census Tract 3607, Dunklin County, Missouri</t>
  </si>
  <si>
    <t>(-90.07495049841935, 36.23153492428862)</t>
  </si>
  <si>
    <t>0.1575254987453881</t>
  </si>
  <si>
    <t>1400000US29069360800</t>
  </si>
  <si>
    <t>Census Tract 3608, Dunklin County, Missouri</t>
  </si>
  <si>
    <t>(-90.17127475912544, 36.152641873282235)</t>
  </si>
  <si>
    <t>0.016023825667095547</t>
  </si>
  <si>
    <t>0.6352354185334084</t>
  </si>
  <si>
    <t>1400000US29069360900</t>
  </si>
  <si>
    <t>Census Tract 3609, Dunklin County, Missouri</t>
  </si>
  <si>
    <t>(-90.05162071164736, 36.09878113282319)</t>
  </si>
  <si>
    <t>0.040421721154232614</t>
  </si>
  <si>
    <t>0.9193524529975334</t>
  </si>
  <si>
    <t>1400000US29069361000</t>
  </si>
  <si>
    <t>Census Tract 3610, Dunklin County, Missouri</t>
  </si>
  <si>
    <t>(-90.26464234732256, 36.04515481555758)</t>
  </si>
  <si>
    <t>0.016396597819819198</t>
  </si>
  <si>
    <t>0.6539699712599505</t>
  </si>
  <si>
    <t>1400000US29071800702</t>
  </si>
  <si>
    <t>071</t>
  </si>
  <si>
    <t>Franklin County</t>
  </si>
  <si>
    <t>Census Tract 8007.02, Franklin County, Missouri</t>
  </si>
  <si>
    <t>(-90.76442292147787, 38.50504417524896)</t>
  </si>
  <si>
    <t>1400000US29071800100</t>
  </si>
  <si>
    <t>Census Tract 8001, Franklin County, Missouri</t>
  </si>
  <si>
    <t>(-90.84243606728104, 38.52520381201595)</t>
  </si>
  <si>
    <t>0.019545503762129837</t>
  </si>
  <si>
    <t>1400000US29071800201</t>
  </si>
  <si>
    <t>Census Tract 8002.01, Franklin County, Missouri</t>
  </si>
  <si>
    <t>(-90.98260448509225, 38.543712395862244)</t>
  </si>
  <si>
    <t>0.18122399893479657</t>
  </si>
  <si>
    <t>1400000US29071800202</t>
  </si>
  <si>
    <t>Census Tract 8002.02, Franklin County, Missouri</t>
  </si>
  <si>
    <t>(-90.99317255181133, 38.5060306307972)</t>
  </si>
  <si>
    <t>0.30563763798080373</t>
  </si>
  <si>
    <t>1400000US29071800300</t>
  </si>
  <si>
    <t>Census Tract 8003, Franklin County, Missouri</t>
  </si>
  <si>
    <t>(-91.05596384033106, 38.551606363443106)</t>
  </si>
  <si>
    <t>0.36606113463841067</t>
  </si>
  <si>
    <t>1400000US29071800401</t>
  </si>
  <si>
    <t>Census Tract 8004.01, Franklin County, Missouri</t>
  </si>
  <si>
    <t>(-91.25335485545232, 38.606053251310286)</t>
  </si>
  <si>
    <t>1.0153335199498243</t>
  </si>
  <si>
    <t>1400000US29071800402</t>
  </si>
  <si>
    <t>Census Tract 8004.02, Franklin County, Missouri</t>
  </si>
  <si>
    <t>(-91.22399267038965, 38.483173864766734)</t>
  </si>
  <si>
    <t>0.038459626194821704</t>
  </si>
  <si>
    <t>0.9667420065295234</t>
  </si>
  <si>
    <t>1400000US29071800500</t>
  </si>
  <si>
    <t>Census Tract 8005, Franklin County, Missouri</t>
  </si>
  <si>
    <t>(-91.21780018502452, 38.335400095603596)</t>
  </si>
  <si>
    <t>0.053046052616377626</t>
  </si>
  <si>
    <t>1.3683938918618606</t>
  </si>
  <si>
    <t>1400000US29071800601</t>
  </si>
  <si>
    <t>Census Tract 8006.01, Franklin County, Missouri</t>
  </si>
  <si>
    <t>(-91.00541728362235, 38.46113010208523)</t>
  </si>
  <si>
    <t>0.27823792412770365</t>
  </si>
  <si>
    <t>1400000US29071801101</t>
  </si>
  <si>
    <t>Census Tract 8011.01, Franklin County, Missouri</t>
  </si>
  <si>
    <t>(-91.1159790810233, 38.231696004459046)</t>
  </si>
  <si>
    <t>0.3452969536619286</t>
  </si>
  <si>
    <t>1400000US29071800602</t>
  </si>
  <si>
    <t>Census Tract 8006.02, Franklin County, Missouri</t>
  </si>
  <si>
    <t>(-90.99405827772708, 38.425678033121585)</t>
  </si>
  <si>
    <t>0.5762000013973424</t>
  </si>
  <si>
    <t>1400000US29071800701</t>
  </si>
  <si>
    <t>Census Tract 8007.01, Franklin County, Missouri</t>
  </si>
  <si>
    <t>(-90.81732882036707, 38.458988811418095)</t>
  </si>
  <si>
    <t>0.48402920181715603</t>
  </si>
  <si>
    <t>1400000US29071800800</t>
  </si>
  <si>
    <t>Census Tract 8008, Franklin County, Missouri</t>
  </si>
  <si>
    <t>(-90.82866423913607, 38.37978667991742)</t>
  </si>
  <si>
    <t>0.023130351684058626</t>
  </si>
  <si>
    <t>0.8991533142201791</t>
  </si>
  <si>
    <t>1400000US29071800901</t>
  </si>
  <si>
    <t>Census Tract 8009.01, Franklin County, Missouri</t>
  </si>
  <si>
    <t>(-90.98297820119487, 38.30465816137057)</t>
  </si>
  <si>
    <t>0.5204312496207276</t>
  </si>
  <si>
    <t>1400000US29071800902</t>
  </si>
  <si>
    <t>Census Tract 8009.02, Franklin County, Missouri</t>
  </si>
  <si>
    <t>(-90.97882623414988, 38.36129411238826)</t>
  </si>
  <si>
    <t>0.7019476493857972</t>
  </si>
  <si>
    <t>1400000US29071801000</t>
  </si>
  <si>
    <t>Census Tract 8010, Franklin County, Missouri</t>
  </si>
  <si>
    <t>(-90.92295355365431, 38.25410538748792)</t>
  </si>
  <si>
    <t>0.029750264033514457</t>
  </si>
  <si>
    <t>1.1549317369405228</t>
  </si>
  <si>
    <t>1400000US29071801102</t>
  </si>
  <si>
    <t>Census Tract 8011.02, Franklin County, Missouri</t>
  </si>
  <si>
    <t>(-91.20696487759461, 38.23825565580042)</t>
  </si>
  <si>
    <t>0.5665446260808881</t>
  </si>
  <si>
    <t>1400000US29073960100</t>
  </si>
  <si>
    <t>073</t>
  </si>
  <si>
    <t>Gasconade County</t>
  </si>
  <si>
    <t>Census Tract 9601, Gasconade County, Missouri</t>
  </si>
  <si>
    <t>(-91.45192221031232, 38.68637943835616)</t>
  </si>
  <si>
    <t>0.2776892864563594</t>
  </si>
  <si>
    <t>1400000US29073960200</t>
  </si>
  <si>
    <t>Census Tract 9602, Gasconade County, Missouri</t>
  </si>
  <si>
    <t>(-91.5160601444027, 38.62637880526386)</t>
  </si>
  <si>
    <t>0.031045307613176126</t>
  </si>
  <si>
    <t>1.1950516109496578</t>
  </si>
  <si>
    <t>1400000US29073960300</t>
  </si>
  <si>
    <t>Census Tract 9603, Gasconade County, Missouri</t>
  </si>
  <si>
    <t>(-91.50414644346658, 38.47083543292136)</t>
  </si>
  <si>
    <t>1.1750903721682764</t>
  </si>
  <si>
    <t>1400000US29073960400</t>
  </si>
  <si>
    <t>Census Tract 9604, Gasconade County, Missouri</t>
  </si>
  <si>
    <t>(-91.5027978392964, 38.34398716435643)</t>
  </si>
  <si>
    <t>0.39368201219318893</t>
  </si>
  <si>
    <t>1400000US29073960500</t>
  </si>
  <si>
    <t>Census Tract 9605, Gasconade County, Missouri</t>
  </si>
  <si>
    <t>(-91.51096723723913, 38.27277374237227)</t>
  </si>
  <si>
    <t>1.2968016854804132</t>
  </si>
  <si>
    <t>1400000US29075960100</t>
  </si>
  <si>
    <t>075</t>
  </si>
  <si>
    <t>Gentry County</t>
  </si>
  <si>
    <t>Census Tract 9601, Gentry County, Missouri</t>
  </si>
  <si>
    <t>(-94.32351306170865, 40.2064125133889)</t>
  </si>
  <si>
    <t>1.1803405659465942</t>
  </si>
  <si>
    <t>1400000US29075960200</t>
  </si>
  <si>
    <t>Census Tract 9602, Gentry County, Missouri</t>
  </si>
  <si>
    <t>(-94.51626836521082, 40.21905350209872)</t>
  </si>
  <si>
    <t>0.060373745779593056</t>
  </si>
  <si>
    <t>1.1177380815837732</t>
  </si>
  <si>
    <t>1400000US29077002700</t>
  </si>
  <si>
    <t>077</t>
  </si>
  <si>
    <t>Greene County</t>
  </si>
  <si>
    <t>Census Tract 27, Greene County, Missouri</t>
  </si>
  <si>
    <t>(-93.26766277611047, 37.14926406523133)</t>
  </si>
  <si>
    <t>1400000US29077003300</t>
  </si>
  <si>
    <t>003300</t>
  </si>
  <si>
    <t>Census Tract 33, Greene County, Missouri</t>
  </si>
  <si>
    <t>(-93.33072023695094, 37.233769124622505)</t>
  </si>
  <si>
    <t>0.10977848158544182</t>
  </si>
  <si>
    <t>1400000US29077000300</t>
  </si>
  <si>
    <t>Census Tract 3, Greene County, Missouri</t>
  </si>
  <si>
    <t>(-93.28560118754432, 37.18945770879506)</t>
  </si>
  <si>
    <t>1400000US29077000400</t>
  </si>
  <si>
    <t>Census Tract 4, Greene County, Missouri</t>
  </si>
  <si>
    <t>(-93.30620235226516, 37.18968116661716)</t>
  </si>
  <si>
    <t>1400000US29077000502</t>
  </si>
  <si>
    <t>000502</t>
  </si>
  <si>
    <t>Census Tract 5.02, Greene County, Missouri</t>
  </si>
  <si>
    <t>(-93.2977064536608, 37.201391408696566)</t>
  </si>
  <si>
    <t>1400000US29077000100</t>
  </si>
  <si>
    <t>Census Tract 1, Greene County, Missouri</t>
  </si>
  <si>
    <t>(-93.29018866119985, 37.20712157175127)</t>
  </si>
  <si>
    <t>1400000US29077000501</t>
  </si>
  <si>
    <t>000501</t>
  </si>
  <si>
    <t>Census Tract 5.01, Greene County, Missouri</t>
  </si>
  <si>
    <t>(-93.30898053658078, 37.20229250321917)</t>
  </si>
  <si>
    <t>1400000US29077000800</t>
  </si>
  <si>
    <t>000800</t>
  </si>
  <si>
    <t>Census Tract 8, Greene County, Missouri</t>
  </si>
  <si>
    <t>(-93.26843901909913, 37.221560584979194)</t>
  </si>
  <si>
    <t>1400000US29077001302</t>
  </si>
  <si>
    <t>001302</t>
  </si>
  <si>
    <t>Census Tract 13.02, Greene County, Missouri</t>
  </si>
  <si>
    <t>(-93.28666037699418, 37.15630140904246)</t>
  </si>
  <si>
    <t>1400000US29077001900</t>
  </si>
  <si>
    <t>001900</t>
  </si>
  <si>
    <t>Census Tract 19, Greene County, Missouri</t>
  </si>
  <si>
    <t>(-93.3024723817453, 37.235334083374035)</t>
  </si>
  <si>
    <t>1400000US29077004101</t>
  </si>
  <si>
    <t>004101</t>
  </si>
  <si>
    <t>Census Tract 41.01, Greene County, Missouri</t>
  </si>
  <si>
    <t>(-93.37060963673257, 37.12138842332136)</t>
  </si>
  <si>
    <t>0.1798007550402818</t>
  </si>
  <si>
    <t>1400000US29077004400</t>
  </si>
  <si>
    <t>004400</t>
  </si>
  <si>
    <t>Census Tract 44, Greene County, Missouri</t>
  </si>
  <si>
    <t>(-93.2913755992908, 37.26430877327974)</t>
  </si>
  <si>
    <t>0.1706952047980221</t>
  </si>
  <si>
    <t>1400000US29077004802</t>
  </si>
  <si>
    <t>004802</t>
  </si>
  <si>
    <t>Census Tract 48.02, Greene County, Missouri</t>
  </si>
  <si>
    <t>(-93.46312096238357, 37.11351123471522)</t>
  </si>
  <si>
    <t>0.13909834655334669</t>
  </si>
  <si>
    <t>1400000US29077005500</t>
  </si>
  <si>
    <t>005500</t>
  </si>
  <si>
    <t>Census Tract 55, Greene County, Missouri</t>
  </si>
  <si>
    <t>(-93.27815825245985, 37.235922236951964)</t>
  </si>
  <si>
    <t>1400000US29077003002</t>
  </si>
  <si>
    <t>003002</t>
  </si>
  <si>
    <t>Census Tract 30.02, Greene County, Missouri</t>
  </si>
  <si>
    <t>(-93.32964149721836, 37.15862058563912)</t>
  </si>
  <si>
    <t>0.11359816284724189</t>
  </si>
  <si>
    <t>1400000US29077003100</t>
  </si>
  <si>
    <t>003100</t>
  </si>
  <si>
    <t>Census Tract 31, Greene County, Missouri</t>
  </si>
  <si>
    <t>(-93.34005463960771, 37.20478776792717)</t>
  </si>
  <si>
    <t>1400000US29077003200</t>
  </si>
  <si>
    <t>003200</t>
  </si>
  <si>
    <t>Census Tract 32, Greene County, Missouri</t>
  </si>
  <si>
    <t>(-93.33414680420339, 37.21905626658663)</t>
  </si>
  <si>
    <t>1400000US29077003600</t>
  </si>
  <si>
    <t>003600</t>
  </si>
  <si>
    <t>Census Tract 36, Greene County, Missouri</t>
  </si>
  <si>
    <t>(-93.27287496264003, 37.24522010100389)</t>
  </si>
  <si>
    <t>1400000US29077003700</t>
  </si>
  <si>
    <t>003700</t>
  </si>
  <si>
    <t>Census Tract 37, Greene County, Missouri</t>
  </si>
  <si>
    <t>(-93.19813014602819, 37.215072065750505)</t>
  </si>
  <si>
    <t>1400000US29077003800</t>
  </si>
  <si>
    <t>003800</t>
  </si>
  <si>
    <t>Census Tract 38, Greene County, Missouri</t>
  </si>
  <si>
    <t>(-93.20000341252252, 37.13470784077863)</t>
  </si>
  <si>
    <t>0.31253332646629095</t>
  </si>
  <si>
    <t>1400000US29077003900</t>
  </si>
  <si>
    <t>003900</t>
  </si>
  <si>
    <t>Census Tract 39, Greene County, Missouri</t>
  </si>
  <si>
    <t>(-93.23634452546182, 37.143212017063895)</t>
  </si>
  <si>
    <t>0.10673005994582706</t>
  </si>
  <si>
    <t>1400000US29077004001</t>
  </si>
  <si>
    <t>004001</t>
  </si>
  <si>
    <t>Census Tract 40.01, Greene County, Missouri</t>
  </si>
  <si>
    <t>(-93.27746397791775, 37.131997445496204)</t>
  </si>
  <si>
    <t>0.12107351942374246</t>
  </si>
  <si>
    <t>1400000US29077004002</t>
  </si>
  <si>
    <t>004002</t>
  </si>
  <si>
    <t>Census Tract 40.02, Greene County, Missouri</t>
  </si>
  <si>
    <t>(-93.24913480579102, 37.119836460769235)</t>
  </si>
  <si>
    <t>0.1334218935989679</t>
  </si>
  <si>
    <t>1400000US29077000200</t>
  </si>
  <si>
    <t>Census Tract 2, Greene County, Missouri</t>
  </si>
  <si>
    <t>(-93.28308325229608, 37.20041395126421)</t>
  </si>
  <si>
    <t>1400000US29077000600</t>
  </si>
  <si>
    <t>Census Tract 6, Greene County, Missouri</t>
  </si>
  <si>
    <t>(-93.29898385422152, 37.21834437050536)</t>
  </si>
  <si>
    <t>1400000US29077000700</t>
  </si>
  <si>
    <t>Census Tract 7, Greene County, Missouri</t>
  </si>
  <si>
    <t>(-93.28380389590501, 37.22079761710648)</t>
  </si>
  <si>
    <t>1400000US29077000900</t>
  </si>
  <si>
    <t>Census Tract 9, Greene County, Missouri</t>
  </si>
  <si>
    <t>(-93.27054005727567, 37.2042789618624)</t>
  </si>
  <si>
    <t>1400000US29077001000</t>
  </si>
  <si>
    <t>Census Tract 10, Greene County, Missouri</t>
  </si>
  <si>
    <t>(-93.26930805298194, 37.18906120756584)</t>
  </si>
  <si>
    <t>0.057860045524661945</t>
  </si>
  <si>
    <t>1400000US29077001100</t>
  </si>
  <si>
    <t>Census Tract 11, Greene County, Missouri</t>
  </si>
  <si>
    <t>(-93.26973733243706, 37.170579195367225)</t>
  </si>
  <si>
    <t>1400000US29077001200</t>
  </si>
  <si>
    <t>Census Tract 12, Greene County, Missouri</t>
  </si>
  <si>
    <t>(-93.28625806957, 37.17450726297082)</t>
  </si>
  <si>
    <t>1400000US29077001301</t>
  </si>
  <si>
    <t>001301</t>
  </si>
  <si>
    <t>Census Tract 13.01, Greene County, Missouri</t>
  </si>
  <si>
    <t>(-93.28578083813697, 37.16338665066072)</t>
  </si>
  <si>
    <t>1400000US29077001400</t>
  </si>
  <si>
    <t>Census Tract 14, Greene County, Missouri</t>
  </si>
  <si>
    <t>(-93.3063099566601, 37.15943036345998)</t>
  </si>
  <si>
    <t>1400000US29077001500</t>
  </si>
  <si>
    <t>Census Tract 15, Greene County, Missouri</t>
  </si>
  <si>
    <t>(-93.30616572085424, 37.17447494955559)</t>
  </si>
  <si>
    <t>1400000US29077001700</t>
  </si>
  <si>
    <t>Census Tract 17, Greene County, Missouri</t>
  </si>
  <si>
    <t>(-93.32227252809899, 37.20501895956162)</t>
  </si>
  <si>
    <t>1400000US29077001800</t>
  </si>
  <si>
    <t>Census Tract 18, Greene County, Missouri</t>
  </si>
  <si>
    <t>(-93.31184932435646, 37.22040897240898)</t>
  </si>
  <si>
    <t>1400000US29077002200</t>
  </si>
  <si>
    <t>Census Tract 22, Greene County, Missouri</t>
  </si>
  <si>
    <t>(-93.24293913304379, 37.23063075332207)</t>
  </si>
  <si>
    <t>0.15197608654098443</t>
  </si>
  <si>
    <t>1400000US29077002300</t>
  </si>
  <si>
    <t>Census Tract 23, Greene County, Missouri</t>
  </si>
  <si>
    <t>(-93.24472054142922, 37.20329444235179)</t>
  </si>
  <si>
    <t>0.10610250984206623</t>
  </si>
  <si>
    <t>1400000US29077002402</t>
  </si>
  <si>
    <t>002402</t>
  </si>
  <si>
    <t>Census Tract 24.02, Greene County, Missouri</t>
  </si>
  <si>
    <t>(-93.23479172602659, 37.187784893589715)</t>
  </si>
  <si>
    <t>1400000US29077002502</t>
  </si>
  <si>
    <t>002502</t>
  </si>
  <si>
    <t>Census Tract 25.02, Greene County, Missouri</t>
  </si>
  <si>
    <t>(-93.23394123204952, 37.16992091484009)</t>
  </si>
  <si>
    <t>1400000US29077002600</t>
  </si>
  <si>
    <t>002600</t>
  </si>
  <si>
    <t>Census Tract 26, Greene County, Missouri</t>
  </si>
  <si>
    <t>(-93.25156219427325, 37.15991314771022)</t>
  </si>
  <si>
    <t>0.1005136550492713</t>
  </si>
  <si>
    <t>1400000US29077002800</t>
  </si>
  <si>
    <t>Census Tract 28, Greene County, Missouri</t>
  </si>
  <si>
    <t>(-93.28755358429147, 37.14578561563604)</t>
  </si>
  <si>
    <t>1400000US29077002900</t>
  </si>
  <si>
    <t>Census Tract 29, Greene County, Missouri</t>
  </si>
  <si>
    <t>(-93.3066581468032, 37.14501227484678)</t>
  </si>
  <si>
    <t>1400000US29077004003</t>
  </si>
  <si>
    <t>004003</t>
  </si>
  <si>
    <t>Census Tract 40.03, Greene County, Missouri</t>
  </si>
  <si>
    <t>(-93.27188388071961, 37.105678018008355)</t>
  </si>
  <si>
    <t>0.1818010868822536</t>
  </si>
  <si>
    <t>1400000US29077004102</t>
  </si>
  <si>
    <t>004102</t>
  </si>
  <si>
    <t>Census Tract 41.02, Greene County, Missouri</t>
  </si>
  <si>
    <t>(-93.3428620567037, 37.11409014169114)</t>
  </si>
  <si>
    <t>0.20270444860561762</t>
  </si>
  <si>
    <t>1400000US29077004103</t>
  </si>
  <si>
    <t>004103</t>
  </si>
  <si>
    <t>Census Tract 41.03, Greene County, Missouri</t>
  </si>
  <si>
    <t>(-93.3119234034917, 37.11609855876048)</t>
  </si>
  <si>
    <t>0.15534121027054326</t>
  </si>
  <si>
    <t>1400000US29077004201</t>
  </si>
  <si>
    <t>004201</t>
  </si>
  <si>
    <t>Census Tract 42.01, Greene County, Missouri</t>
  </si>
  <si>
    <t>(-93.36191363081794, 37.16853077311682)</t>
  </si>
  <si>
    <t>0.13984161334300563</t>
  </si>
  <si>
    <t>1400000US29077004202</t>
  </si>
  <si>
    <t>004202</t>
  </si>
  <si>
    <t>Census Tract 42.02, Greene County, Missouri</t>
  </si>
  <si>
    <t>(-93.36664525766372, 37.14912003063361)</t>
  </si>
  <si>
    <t>0.16565945368894067</t>
  </si>
  <si>
    <t>1400000US29077004301</t>
  </si>
  <si>
    <t>004301</t>
  </si>
  <si>
    <t>Census Tract 43.01, Greene County, Missouri</t>
  </si>
  <si>
    <t>(-93.36967388399805, 37.19409090377191)</t>
  </si>
  <si>
    <t>0.15099601294987325</t>
  </si>
  <si>
    <t>1400000US29077004302</t>
  </si>
  <si>
    <t>004302</t>
  </si>
  <si>
    <t>Census Tract 43.02, Greene County, Missouri</t>
  </si>
  <si>
    <t>(-93.37134982461411, 37.24711611379891)</t>
  </si>
  <si>
    <t>0.3286453356740125</t>
  </si>
  <si>
    <t>1400000US29077004500</t>
  </si>
  <si>
    <t>004500</t>
  </si>
  <si>
    <t>Census Tract 45, Greene County, Missouri</t>
  </si>
  <si>
    <t>(-93.21823333819498, 37.26162193295729)</t>
  </si>
  <si>
    <t>0.23083223412618292</t>
  </si>
  <si>
    <t>1400000US29077004600</t>
  </si>
  <si>
    <t>004600</t>
  </si>
  <si>
    <t>Census Tract 46, Greene County, Missouri</t>
  </si>
  <si>
    <t>(-93.12721365634394, 37.326344423246326)</t>
  </si>
  <si>
    <t>0.019584313442466257</t>
  </si>
  <si>
    <t>0.6101104965725022</t>
  </si>
  <si>
    <t>1400000US29077004700</t>
  </si>
  <si>
    <t>004700</t>
  </si>
  <si>
    <t>Census Tract 47, Greene County, Missouri</t>
  </si>
  <si>
    <t>(-93.11765010434765, 37.16322867169009)</t>
  </si>
  <si>
    <t>0.015779968052546216</t>
  </si>
  <si>
    <t>0.5402707266043849</t>
  </si>
  <si>
    <t>1400000US29077004801</t>
  </si>
  <si>
    <t>004801</t>
  </si>
  <si>
    <t>Census Tract 48.01, Greene County, Missouri</t>
  </si>
  <si>
    <t>(-93.4375508317125, 37.154099598419435)</t>
  </si>
  <si>
    <t>0.5323853444252507</t>
  </si>
  <si>
    <t>1400000US29077004803</t>
  </si>
  <si>
    <t>004803</t>
  </si>
  <si>
    <t>Census Tract 48.03, Greene County, Missouri</t>
  </si>
  <si>
    <t>(-93.48991416568673, 37.12494724901691)</t>
  </si>
  <si>
    <t>0.21235099193818632</t>
  </si>
  <si>
    <t>1400000US29077004900</t>
  </si>
  <si>
    <t>004900</t>
  </si>
  <si>
    <t>Census Tract 49, Greene County, Missouri</t>
  </si>
  <si>
    <t>(-93.52221775926789, 37.20252069902141)</t>
  </si>
  <si>
    <t>0.8075055830060254</t>
  </si>
  <si>
    <t>1400000US29077005001</t>
  </si>
  <si>
    <t>005001</t>
  </si>
  <si>
    <t>Census Tract 50.01, Greene County, Missouri</t>
  </si>
  <si>
    <t>(-93.57464307670767, 37.34843109207637)</t>
  </si>
  <si>
    <t>0.5829223588537734</t>
  </si>
  <si>
    <t>1400000US29077005002</t>
  </si>
  <si>
    <t>005002</t>
  </si>
  <si>
    <t>Census Tract 50.02, Greene County, Missouri</t>
  </si>
  <si>
    <t>(-93.47409950040561, 37.34545569015071)</t>
  </si>
  <si>
    <t>0.014411283302834081</t>
  </si>
  <si>
    <t>0.5753326523863312</t>
  </si>
  <si>
    <t>1400000US29077005100</t>
  </si>
  <si>
    <t>005100</t>
  </si>
  <si>
    <t>Census Tract 51, Greene County, Missouri</t>
  </si>
  <si>
    <t>(-93.3797115530399, 37.34917764573053)</t>
  </si>
  <si>
    <t>0.013124328686659772</t>
  </si>
  <si>
    <t>0.5038943221687308</t>
  </si>
  <si>
    <t>1400000US29077005200</t>
  </si>
  <si>
    <t>005200</t>
  </si>
  <si>
    <t>Census Tract 52, Greene County, Missouri</t>
  </si>
  <si>
    <t>(-93.25979581105867, 37.34880311181179)</t>
  </si>
  <si>
    <t>0.021778098063378905</t>
  </si>
  <si>
    <t>0.6113226053898306</t>
  </si>
  <si>
    <t>1400000US29077005600</t>
  </si>
  <si>
    <t>005600</t>
  </si>
  <si>
    <t>Census Tract 56, Greene County, Missouri</t>
  </si>
  <si>
    <t>(-93.31509818825909, 37.24570600036733)</t>
  </si>
  <si>
    <t>0.14658919158602413</t>
  </si>
  <si>
    <t>1400000US29077005700</t>
  </si>
  <si>
    <t>005700</t>
  </si>
  <si>
    <t>Census Tract 57, Greene County, Missouri</t>
  </si>
  <si>
    <t>(-93.253185105543, 37.18492666711388)</t>
  </si>
  <si>
    <t>1400000US29077005800</t>
  </si>
  <si>
    <t>005800</t>
  </si>
  <si>
    <t>Census Tract 58, Greene County, Missouri</t>
  </si>
  <si>
    <t>(-93.33279465086603, 37.186194706461144)</t>
  </si>
  <si>
    <t>0.11663389591253488</t>
  </si>
  <si>
    <t>1400000US29079960100</t>
  </si>
  <si>
    <t>079</t>
  </si>
  <si>
    <t>Grundy County</t>
  </si>
  <si>
    <t>Census Tract 9601, Grundy County, Missouri</t>
  </si>
  <si>
    <t>(-93.48206130792929, 40.13011660113274)</t>
  </si>
  <si>
    <t>1.3064292009582434</t>
  </si>
  <si>
    <t>1400000US29079960200</t>
  </si>
  <si>
    <t>Census Tract 9602, Grundy County, Missouri</t>
  </si>
  <si>
    <t>(-93.66867111344358, 40.09583351935938)</t>
  </si>
  <si>
    <t>0.050803803244217474</t>
  </si>
  <si>
    <t>1.4706597661846827</t>
  </si>
  <si>
    <t>1400000US29079960300</t>
  </si>
  <si>
    <t>Census Tract 9603, Grundy County, Missouri</t>
  </si>
  <si>
    <t>(-93.62557954440422, 40.07915212294579)</t>
  </si>
  <si>
    <t>0.23677478935636265</t>
  </si>
  <si>
    <t>1400000US29079960400</t>
  </si>
  <si>
    <t>Census Tract 9604, Grundy County, Missouri</t>
  </si>
  <si>
    <t>(-93.58939133402357, 40.0807349393217)</t>
  </si>
  <si>
    <t>0.22595671971226472</t>
  </si>
  <si>
    <t>1400000US29081950100</t>
  </si>
  <si>
    <t>081</t>
  </si>
  <si>
    <t>Harrison County</t>
  </si>
  <si>
    <t>Census Tract 9501, Harrison County, Missouri</t>
  </si>
  <si>
    <t>(-93.88401443863992, 40.35116652018393)</t>
  </si>
  <si>
    <t>0.10408990064674604</t>
  </si>
  <si>
    <t>1.591991899114642</t>
  </si>
  <si>
    <t>1400000US29081950200</t>
  </si>
  <si>
    <t>Census Tract 9502, Harrison County, Missouri</t>
  </si>
  <si>
    <t>(-94.11177226596713, 40.36033121781563)</t>
  </si>
  <si>
    <t>1.6860238775424865</t>
  </si>
  <si>
    <t>1400000US29081950300</t>
  </si>
  <si>
    <t>Census Tract 9503, Harrison County, Missouri</t>
  </si>
  <si>
    <t>(-94.02667661620617, 40.27026513756688)</t>
  </si>
  <si>
    <t>0.3525719048019398</t>
  </si>
  <si>
    <t>1400000US29083950300</t>
  </si>
  <si>
    <t>083</t>
  </si>
  <si>
    <t>Henry County</t>
  </si>
  <si>
    <t>Census Tract 9503, Henry County, Missouri</t>
  </si>
  <si>
    <t>(-93.89816978526257, 38.47629391518496)</t>
  </si>
  <si>
    <t>1.2115862482337623</t>
  </si>
  <si>
    <t>1400000US29083950100</t>
  </si>
  <si>
    <t>Census Tract 9501, Henry County, Missouri</t>
  </si>
  <si>
    <t>(-93.5335096329386, 38.53661743958925)</t>
  </si>
  <si>
    <t>0.21908569206604966</t>
  </si>
  <si>
    <t>1400000US29083950200</t>
  </si>
  <si>
    <t>Census Tract 9502, Henry County, Missouri</t>
  </si>
  <si>
    <t>(-93.62562649569412, 38.4035396496799)</t>
  </si>
  <si>
    <t>1.2862486205926245</t>
  </si>
  <si>
    <t>1400000US29083950400</t>
  </si>
  <si>
    <t>Census Tract 9504, Henry County, Missouri</t>
  </si>
  <si>
    <t>(-93.8601119749231, 38.28099135035702)</t>
  </si>
  <si>
    <t>1.8083515015674068</t>
  </si>
  <si>
    <t>1400000US29083950500</t>
  </si>
  <si>
    <t>Census Tract 9505, Henry County, Missouri</t>
  </si>
  <si>
    <t>(-93.78370101567344, 38.372574093279)</t>
  </si>
  <si>
    <t>0.29374873409933044</t>
  </si>
  <si>
    <t>1400000US29083950600</t>
  </si>
  <si>
    <t>Census Tract 9506, Henry County, Missouri</t>
  </si>
  <si>
    <t>(-93.75589916166146, 38.36554507449881)</t>
  </si>
  <si>
    <t>0.26522731165880403</t>
  </si>
  <si>
    <t>1400000US29085470100</t>
  </si>
  <si>
    <t>085</t>
  </si>
  <si>
    <t>Hickory County</t>
  </si>
  <si>
    <t>Census Tract 4701, Hickory County, Missouri</t>
  </si>
  <si>
    <t>(-93.28135457625906, 37.99183243465851)</t>
  </si>
  <si>
    <t>0.061773666115338466</t>
  </si>
  <si>
    <t>1.6460962445085068</t>
  </si>
  <si>
    <t>1400000US29085470300</t>
  </si>
  <si>
    <t>Census Tract 4703, Hickory County, Missouri</t>
  </si>
  <si>
    <t>(-93.31644391665183, 37.92876450602801)</t>
  </si>
  <si>
    <t>0.012127529274667297</t>
  </si>
  <si>
    <t>0.9009999106696264</t>
  </si>
  <si>
    <t>1400000US29085470500</t>
  </si>
  <si>
    <t>Census Tract 4705, Hickory County, Missouri</t>
  </si>
  <si>
    <t>(-93.39087668451272, 37.85586858400617)</t>
  </si>
  <si>
    <t>1.2312080402263215</t>
  </si>
  <si>
    <t>1400000US29087960100</t>
  </si>
  <si>
    <t>087</t>
  </si>
  <si>
    <t>Holt County</t>
  </si>
  <si>
    <t>Census Tract 9601, Holt County, Missouri</t>
  </si>
  <si>
    <t>(-95.2452240173436, 40.17653861992102)</t>
  </si>
  <si>
    <t>0.061698421352292795</t>
  </si>
  <si>
    <t>1.923291087225285</t>
  </si>
  <si>
    <t>1400000US29087960200</t>
  </si>
  <si>
    <t>Census Tract 9602, Holt County, Missouri</t>
  </si>
  <si>
    <t>(-95.26695246225695, 40.1061212543426)</t>
  </si>
  <si>
    <t>0.8497665077021449</t>
  </si>
  <si>
    <t>1400000US29087960300</t>
  </si>
  <si>
    <t>Census Tract 9603, Holt County, Missouri</t>
  </si>
  <si>
    <t>(-95.1482803591344, 39.97419239916058)</t>
  </si>
  <si>
    <t>1.3215446837428884</t>
  </si>
  <si>
    <t>1400000US29089960100</t>
  </si>
  <si>
    <t>089</t>
  </si>
  <si>
    <t>Howard County</t>
  </si>
  <si>
    <t>Census Tract 9601, Howard County, Missouri</t>
  </si>
  <si>
    <t>(-92.6822364890003, 39.23416620716743)</t>
  </si>
  <si>
    <t>1.427776904172587</t>
  </si>
  <si>
    <t>1400000US29089960200</t>
  </si>
  <si>
    <t>Census Tract 9602, Howard County, Missouri</t>
  </si>
  <si>
    <t>(-92.71190681620106, 39.061391893316475)</t>
  </si>
  <si>
    <t>1.5848618683411468</t>
  </si>
  <si>
    <t>1400000US29089960300</t>
  </si>
  <si>
    <t>Census Tract 9603, Howard County, Missouri</t>
  </si>
  <si>
    <t>(-92.68610704785664, 39.1468076715962)</t>
  </si>
  <si>
    <t>0.019656746475647018</t>
  </si>
  <si>
    <t>0.7770930711970501</t>
  </si>
  <si>
    <t>1400000US29091090100</t>
  </si>
  <si>
    <t>091</t>
  </si>
  <si>
    <t>090100</t>
  </si>
  <si>
    <t>Howell County</t>
  </si>
  <si>
    <t>Census Tract 901, Howell County, Missouri</t>
  </si>
  <si>
    <t>(-91.97617873605459, 36.98028300504421)</t>
  </si>
  <si>
    <t>0.9317466264265187</t>
  </si>
  <si>
    <t>1400000US29091090500</t>
  </si>
  <si>
    <t>090500</t>
  </si>
  <si>
    <t>Census Tract 905, Howell County, Missouri</t>
  </si>
  <si>
    <t>(-91.89582956311821, 36.70087982922325)</t>
  </si>
  <si>
    <t>0.017684128700870085</t>
  </si>
  <si>
    <t>1400000US29091090600</t>
  </si>
  <si>
    <t>090600</t>
  </si>
  <si>
    <t>Census Tract 906, Howell County, Missouri</t>
  </si>
  <si>
    <t>(-91.78857297396175, 36.62442903643758)</t>
  </si>
  <si>
    <t>1.4024223618727762</t>
  </si>
  <si>
    <t>1400000US29091090700</t>
  </si>
  <si>
    <t>090700</t>
  </si>
  <si>
    <t>Census Tract 907, Howell County, Missouri</t>
  </si>
  <si>
    <t>(-91.85485979390486, 36.737576204045126)</t>
  </si>
  <si>
    <t>0.2894454974829007</t>
  </si>
  <si>
    <t>1400000US29091090800</t>
  </si>
  <si>
    <t>090800</t>
  </si>
  <si>
    <t>Census Tract 908, Howell County, Missouri</t>
  </si>
  <si>
    <t>(-91.89223412378192, 36.74594822785281)</t>
  </si>
  <si>
    <t>0.2723304126789542</t>
  </si>
  <si>
    <t>1400000US29091090200</t>
  </si>
  <si>
    <t>090200</t>
  </si>
  <si>
    <t>Census Tract 902, Howell County, Missouri</t>
  </si>
  <si>
    <t>(-91.7283723960138, 37.00952517704862)</t>
  </si>
  <si>
    <t>1400000US29091090300</t>
  </si>
  <si>
    <t>090300</t>
  </si>
  <si>
    <t>Census Tract 903, Howell County, Missouri</t>
  </si>
  <si>
    <t>(-91.8117377157462, 36.879534388158596)</t>
  </si>
  <si>
    <t>1.215290966605935</t>
  </si>
  <si>
    <t>1400000US29091090400</t>
  </si>
  <si>
    <t>090400</t>
  </si>
  <si>
    <t>Census Tract 904, Howell County, Missouri</t>
  </si>
  <si>
    <t>(-92.03771570479289, 36.67761271743673)</t>
  </si>
  <si>
    <t>1.3419172675602682</t>
  </si>
  <si>
    <t>1400000US29093950100</t>
  </si>
  <si>
    <t>093</t>
  </si>
  <si>
    <t>Iron County</t>
  </si>
  <si>
    <t>Census Tract 9501, Iron County, Missouri</t>
  </si>
  <si>
    <t>(-90.91848768519509, 37.671209486531346)</t>
  </si>
  <si>
    <t>1.2667174523309608</t>
  </si>
  <si>
    <t>1400000US29093950300</t>
  </si>
  <si>
    <t>Census Tract 9503, Iron County, Missouri</t>
  </si>
  <si>
    <t>(-90.59908213060217, 37.61877103500124)</t>
  </si>
  <si>
    <t>0.4299778498660136</t>
  </si>
  <si>
    <t>1400000US29093950200</t>
  </si>
  <si>
    <t>Census Tract 9502, Iron County, Missouri</t>
  </si>
  <si>
    <t>(-90.66603727511445, 37.562119456439696)</t>
  </si>
  <si>
    <t>0.9346843381457406</t>
  </si>
  <si>
    <t>1400000US29093950400</t>
  </si>
  <si>
    <t>Census Tract 9504, Iron County, Missouri</t>
  </si>
  <si>
    <t>(-90.65686498333885, 37.393756126813294)</t>
  </si>
  <si>
    <t>1.0497240525012748</t>
  </si>
  <si>
    <t>1400000US29095015000</t>
  </si>
  <si>
    <t>095</t>
  </si>
  <si>
    <t>015000</t>
  </si>
  <si>
    <t>Jackson County</t>
  </si>
  <si>
    <t>Census Tract 150, Jackson County, Missouri</t>
  </si>
  <si>
    <t>(-94.2363729853198, 39.17654159875341)</t>
  </si>
  <si>
    <t>0.015191441249570923</t>
  </si>
  <si>
    <t>0.6519591787593824</t>
  </si>
  <si>
    <t>1400000US29095015700</t>
  </si>
  <si>
    <t>015700</t>
  </si>
  <si>
    <t>Census Tract 157, Jackson County, Missouri</t>
  </si>
  <si>
    <t>(-94.58342070528347, 39.10138849041361)</t>
  </si>
  <si>
    <t>1400000US29095016200</t>
  </si>
  <si>
    <t>016200</t>
  </si>
  <si>
    <t>Census Tract 162, Jackson County, Missouri</t>
  </si>
  <si>
    <t>(-94.56634013799294, 39.07757697964674)</t>
  </si>
  <si>
    <t>1400000US29095016400</t>
  </si>
  <si>
    <t>016400</t>
  </si>
  <si>
    <t>Census Tract 164, Jackson County, Missouri</t>
  </si>
  <si>
    <t>(-94.52505402899722, 39.072593140967506)</t>
  </si>
  <si>
    <t>1400000US29095016900</t>
  </si>
  <si>
    <t>016900</t>
  </si>
  <si>
    <t>Census Tract 169, Jackson County, Missouri</t>
  </si>
  <si>
    <t>(-94.56305150360136, 39.05217074117773)</t>
  </si>
  <si>
    <t>1400000US29095017800</t>
  </si>
  <si>
    <t>017800</t>
  </si>
  <si>
    <t>Census Tract 178, Jackson County, Missouri</t>
  </si>
  <si>
    <t>(-94.57855999695545, 39.06624694112495)</t>
  </si>
  <si>
    <t>0.046169200091865724</t>
  </si>
  <si>
    <t>1400000US29095018100</t>
  </si>
  <si>
    <t>018100</t>
  </si>
  <si>
    <t>Census Tract 181, Jackson County, Missouri</t>
  </si>
  <si>
    <t>(-94.42903933422149, 38.84739511556402)</t>
  </si>
  <si>
    <t>0.3076274208507458</t>
  </si>
  <si>
    <t>1400000US29095012701</t>
  </si>
  <si>
    <t>012701</t>
  </si>
  <si>
    <t>Census Tract 127.01, Jackson County, Missouri</t>
  </si>
  <si>
    <t>(-94.45266843653354, 38.992557130409786)</t>
  </si>
  <si>
    <t>0.11113766064086023</t>
  </si>
  <si>
    <t>1400000US29095012904</t>
  </si>
  <si>
    <t>012904</t>
  </si>
  <si>
    <t>Census Tract 129.04, Jackson County, Missouri</t>
  </si>
  <si>
    <t>(-94.47622273893612, 38.958772981006526)</t>
  </si>
  <si>
    <t>1400000US29095013210</t>
  </si>
  <si>
    <t>013210</t>
  </si>
  <si>
    <t>Census Tract 132.10, Jackson County, Missouri</t>
  </si>
  <si>
    <t>(-94.48816719089753, 38.92322895962107)</t>
  </si>
  <si>
    <t>1400000US29095013407</t>
  </si>
  <si>
    <t>013407</t>
  </si>
  <si>
    <t>Census Tract 134.07, Jackson County, Missouri</t>
  </si>
  <si>
    <t>(-94.60094118278411, 38.902673507994095)</t>
  </si>
  <si>
    <t>1400000US29095014501</t>
  </si>
  <si>
    <t>014501</t>
  </si>
  <si>
    <t>Census Tract 145.01, Jackson County, Missouri</t>
  </si>
  <si>
    <t>(-94.38945539543637, 39.03950765859577)</t>
  </si>
  <si>
    <t>0.12654904982317453</t>
  </si>
  <si>
    <t>1400000US29095014806</t>
  </si>
  <si>
    <t>014806</t>
  </si>
  <si>
    <t>Census Tract 148.06, Jackson County, Missouri</t>
  </si>
  <si>
    <t>(-94.28895422680223, 39.040825952132)</t>
  </si>
  <si>
    <t>0.1630546460244825</t>
  </si>
  <si>
    <t>1400000US29095015600</t>
  </si>
  <si>
    <t>015600</t>
  </si>
  <si>
    <t>Census Tract 156, Jackson County, Missouri</t>
  </si>
  <si>
    <t>(-94.47608484223231, 39.09464092245506)</t>
  </si>
  <si>
    <t>0.12207041302319539</t>
  </si>
  <si>
    <t>1400000US29095015800</t>
  </si>
  <si>
    <t>015800</t>
  </si>
  <si>
    <t>Census Tract 158, Jackson County, Missouri</t>
  </si>
  <si>
    <t>(-94.5802116769902, 39.08997781365287)</t>
  </si>
  <si>
    <t>1400000US29095015900</t>
  </si>
  <si>
    <t>015900</t>
  </si>
  <si>
    <t>Census Tract 159, Jackson County, Missouri</t>
  </si>
  <si>
    <t>(-94.57428489735523, 39.10132673432902)</t>
  </si>
  <si>
    <t>8.800405023027731e-05</t>
  </si>
  <si>
    <t>1400000US29095016000</t>
  </si>
  <si>
    <t>016000</t>
  </si>
  <si>
    <t>Census Tract 160, Jackson County, Missouri</t>
  </si>
  <si>
    <t>(-94.54485790851676, 39.091453612087115)</t>
  </si>
  <si>
    <t>0.056617650493906914</t>
  </si>
  <si>
    <t>1400000US29095013410</t>
  </si>
  <si>
    <t>013410</t>
  </si>
  <si>
    <t>Census Tract 134.10, Jackson County, Missouri</t>
  </si>
  <si>
    <t>(-94.51037903754538, 38.84988751210859)</t>
  </si>
  <si>
    <t>0.10335763072635844</t>
  </si>
  <si>
    <t>1400000US29095013904</t>
  </si>
  <si>
    <t>013904</t>
  </si>
  <si>
    <t>Census Tract 139.04, Jackson County, Missouri</t>
  </si>
  <si>
    <t>(-94.32020377980189, 38.9078699640137)</t>
  </si>
  <si>
    <t>0.12761467653468989</t>
  </si>
  <si>
    <t>1400000US29095014006</t>
  </si>
  <si>
    <t>014006</t>
  </si>
  <si>
    <t>Census Tract 140.06, Jackson County, Missouri</t>
  </si>
  <si>
    <t>(-94.21191134334902, 38.996806691149104)</t>
  </si>
  <si>
    <t>0.1108821195735526</t>
  </si>
  <si>
    <t>1400000US29095014111</t>
  </si>
  <si>
    <t>014111</t>
  </si>
  <si>
    <t>Census Tract 141.11, Jackson County, Missouri</t>
  </si>
  <si>
    <t>(-94.24162160239084, 38.97783173075075)</t>
  </si>
  <si>
    <t>0.2044413966149607</t>
  </si>
  <si>
    <t>1400000US29095000300</t>
  </si>
  <si>
    <t>Census Tract 3, Jackson County, Missouri</t>
  </si>
  <si>
    <t>(-94.57128199176834, 39.11422917161282)</t>
  </si>
  <si>
    <t>1400000US29095000600</t>
  </si>
  <si>
    <t>Census Tract 6, Jackson County, Missouri</t>
  </si>
  <si>
    <t>(-94.51390406810532, 39.11295775956034)</t>
  </si>
  <si>
    <t>1400000US29095000700</t>
  </si>
  <si>
    <t>Census Tract 7, Jackson County, Missouri</t>
  </si>
  <si>
    <t>(-94.52331680226304, 39.112731395279184)</t>
  </si>
  <si>
    <t>1400000US29095002200</t>
  </si>
  <si>
    <t>Census Tract 22, Jackson County, Missouri</t>
  </si>
  <si>
    <t>(-94.52121658613042, 39.09077178615987)</t>
  </si>
  <si>
    <t>1400000US29095002300</t>
  </si>
  <si>
    <t>Census Tract 23, Jackson County, Missouri</t>
  </si>
  <si>
    <t>(-94.53270063989544, 39.09069968213846)</t>
  </si>
  <si>
    <t>0.051346610508468275</t>
  </si>
  <si>
    <t>1400000US29095003400</t>
  </si>
  <si>
    <t>003400</t>
  </si>
  <si>
    <t>Census Tract 34, Jackson County, Missouri</t>
  </si>
  <si>
    <t>(-94.52470767217477, 39.079817986708136)</t>
  </si>
  <si>
    <t>1400000US29095003700</t>
  </si>
  <si>
    <t>Census Tract 37, Jackson County, Missouri</t>
  </si>
  <si>
    <t>(-94.54770502549492, 39.080685061493085)</t>
  </si>
  <si>
    <t>6.921953373861383e-05</t>
  </si>
  <si>
    <t>0.033410816757765506</t>
  </si>
  <si>
    <t>1400000US29095003800</t>
  </si>
  <si>
    <t>Census Tract 38, Jackson County, Missouri</t>
  </si>
  <si>
    <t>(-94.54806555237181, 39.07332726119859)</t>
  </si>
  <si>
    <t>6.656971163282268e-05</t>
  </si>
  <si>
    <t>0.032900796041280794</t>
  </si>
  <si>
    <t>1400000US29095005100</t>
  </si>
  <si>
    <t>Census Tract 51, Jackson County, Missouri</t>
  </si>
  <si>
    <t>(-94.57898463611058, 39.05902276908319)</t>
  </si>
  <si>
    <t>7.543088083843388e-05</t>
  </si>
  <si>
    <t>0.038720065998989646</t>
  </si>
  <si>
    <t>1400000US29095005300</t>
  </si>
  <si>
    <t>005300</t>
  </si>
  <si>
    <t>Census Tract 53, Jackson County, Missouri</t>
  </si>
  <si>
    <t>(-94.56729440123281, 39.05951173101332)</t>
  </si>
  <si>
    <t>6.658684530919883e-05</t>
  </si>
  <si>
    <t>1400000US29095005601</t>
  </si>
  <si>
    <t>005601</t>
  </si>
  <si>
    <t>Census Tract 56.01, Jackson County, Missouri</t>
  </si>
  <si>
    <t>(-94.54842510119869, 39.06610508157187)</t>
  </si>
  <si>
    <t>6.665253485988647e-05</t>
  </si>
  <si>
    <t>1400000US29095006300</t>
  </si>
  <si>
    <t>006300</t>
  </si>
  <si>
    <t>Census Tract 63, Jackson County, Missouri</t>
  </si>
  <si>
    <t>(-94.56322375813983, 39.044602994339925)</t>
  </si>
  <si>
    <t>1400000US29095006900</t>
  </si>
  <si>
    <t>006900</t>
  </si>
  <si>
    <t>Census Tract 69, Jackson County, Missouri</t>
  </si>
  <si>
    <t>(-94.59093634756987, 39.046457792636645)</t>
  </si>
  <si>
    <t>5.155006152058216e-05</t>
  </si>
  <si>
    <t>1400000US29095007500</t>
  </si>
  <si>
    <t>007500</t>
  </si>
  <si>
    <t>Census Tract 75, Jackson County, Missouri</t>
  </si>
  <si>
    <t>(-94.56879251153579, 39.03403973203635)</t>
  </si>
  <si>
    <t>0.048312054502684706</t>
  </si>
  <si>
    <t>1400000US29095008000</t>
  </si>
  <si>
    <t>008000</t>
  </si>
  <si>
    <t>Census Tract 80, Jackson County, Missouri</t>
  </si>
  <si>
    <t>(-94.56131520276456, 39.01920122002785)</t>
  </si>
  <si>
    <t>1400000US29095008400</t>
  </si>
  <si>
    <t>008400</t>
  </si>
  <si>
    <t>Census Tract 84, Jackson County, Missouri</t>
  </si>
  <si>
    <t>(-94.6002769940124, 39.021323644072325)</t>
  </si>
  <si>
    <t>0.057100359777701976</t>
  </si>
  <si>
    <t>1400000US29095009000</t>
  </si>
  <si>
    <t>009000</t>
  </si>
  <si>
    <t>Census Tract 90, Jackson County, Missouri</t>
  </si>
  <si>
    <t>(-94.56647329011929, 38.99118680690528)</t>
  </si>
  <si>
    <t>1400000US29095009700</t>
  </si>
  <si>
    <t>009700</t>
  </si>
  <si>
    <t>Census Tract 97, Jackson County, Missouri</t>
  </si>
  <si>
    <t>(-94.57620515654448, 38.96563100974646)</t>
  </si>
  <si>
    <t>1400000US29095009900</t>
  </si>
  <si>
    <t>009900</t>
  </si>
  <si>
    <t>Census Tract 99, Jackson County, Missouri</t>
  </si>
  <si>
    <t>(-94.60181251521402, 38.96545672626017)</t>
  </si>
  <si>
    <t>1400000US29095010204</t>
  </si>
  <si>
    <t>010204</t>
  </si>
  <si>
    <t>Census Tract 102.04, Jackson County, Missouri</t>
  </si>
  <si>
    <t>(-94.54713863459625, 38.91711473030785)</t>
  </si>
  <si>
    <t>0.11880207308898993</t>
  </si>
  <si>
    <t>1400000US29095011200</t>
  </si>
  <si>
    <t>011200</t>
  </si>
  <si>
    <t>Census Tract 112, Jackson County, Missouri</t>
  </si>
  <si>
    <t>(-94.42204066942138, 39.11373523400108)</t>
  </si>
  <si>
    <t>1400000US29095011700</t>
  </si>
  <si>
    <t>011700</t>
  </si>
  <si>
    <t>Census Tract 117, Jackson County, Missouri</t>
  </si>
  <si>
    <t>(-94.43507689550003, 39.08670680715155)</t>
  </si>
  <si>
    <t>1400000US29095012200</t>
  </si>
  <si>
    <t>012200</t>
  </si>
  <si>
    <t>Census Tract 122, Jackson County, Missouri</t>
  </si>
  <si>
    <t>(-94.42384014846557, 39.06286124268927)</t>
  </si>
  <si>
    <t>0.10339315481560367</t>
  </si>
  <si>
    <t>1400000US29095017900</t>
  </si>
  <si>
    <t>017900</t>
  </si>
  <si>
    <t>Census Tract 179, Jackson County, Missouri</t>
  </si>
  <si>
    <t>(-94.38272060358851, 38.935656267817905)</t>
  </si>
  <si>
    <t>0.13401966244402466</t>
  </si>
  <si>
    <t>1400000US29095018000</t>
  </si>
  <si>
    <t>018000</t>
  </si>
  <si>
    <t>Census Tract 180, Jackson County, Missouri</t>
  </si>
  <si>
    <t>(-94.3891213005356, 38.91555600711007)</t>
  </si>
  <si>
    <t>1400000US29095015100</t>
  </si>
  <si>
    <t>015100</t>
  </si>
  <si>
    <t>Census Tract 151, Jackson County, Missouri</t>
  </si>
  <si>
    <t>(-94.37244188340944, 39.15411764480113)</t>
  </si>
  <si>
    <t>0.3797586354848597</t>
  </si>
  <si>
    <t>1400000US29095015200</t>
  </si>
  <si>
    <t>015200</t>
  </si>
  <si>
    <t>Census Tract 152, Jackson County, Missouri</t>
  </si>
  <si>
    <t>(-94.59659363347329, 39.103056280248325)</t>
  </si>
  <si>
    <t>0.12403951635857387</t>
  </si>
  <si>
    <t>1400000US29095015300</t>
  </si>
  <si>
    <t>015300</t>
  </si>
  <si>
    <t>Census Tract 153, Jackson County, Missouri</t>
  </si>
  <si>
    <t>(-94.59809819443491, 39.083414875302225)</t>
  </si>
  <si>
    <t>1400000US29095015400</t>
  </si>
  <si>
    <t>015400</t>
  </si>
  <si>
    <t>Census Tract 154, Jackson County, Missouri</t>
  </si>
  <si>
    <t>(-94.56180379285631, 39.10252130465974)</t>
  </si>
  <si>
    <t>1400000US29095015500</t>
  </si>
  <si>
    <t>015500</t>
  </si>
  <si>
    <t>Census Tract 155, Jackson County, Missouri</t>
  </si>
  <si>
    <t>(-94.5080830771034, 39.12785662221699)</t>
  </si>
  <si>
    <t>0.3047444327767285</t>
  </si>
  <si>
    <t>1400000US29095016100</t>
  </si>
  <si>
    <t>016100</t>
  </si>
  <si>
    <t>Census Tract 161, Jackson County, Missouri</t>
  </si>
  <si>
    <t>(-94.56042442064687, 39.091191275446825)</t>
  </si>
  <si>
    <t>1400000US29095016300</t>
  </si>
  <si>
    <t>016300</t>
  </si>
  <si>
    <t>Census Tract 163, Jackson County, Missouri</t>
  </si>
  <si>
    <t>(-94.50462738460853, 39.0586156484212)</t>
  </si>
  <si>
    <t>0.2008833363575897</t>
  </si>
  <si>
    <t>1400000US29095016500</t>
  </si>
  <si>
    <t>016500</t>
  </si>
  <si>
    <t>Census Tract 165, Jackson County, Missouri</t>
  </si>
  <si>
    <t>(-94.53870038219816, 39.07665871500301)</t>
  </si>
  <si>
    <t>0.047681186267670386</t>
  </si>
  <si>
    <t>1400000US29095016600</t>
  </si>
  <si>
    <t>016600</t>
  </si>
  <si>
    <t>Census Tract 166, Jackson County, Missouri</t>
  </si>
  <si>
    <t>(-94.55710329121126, 39.07725791127135)</t>
  </si>
  <si>
    <t>1400000US29095016700</t>
  </si>
  <si>
    <t>016700</t>
  </si>
  <si>
    <t>Census Tract 167, Jackson County, Missouri</t>
  </si>
  <si>
    <t>(-94.59036054252574, 39.06395450437829)</t>
  </si>
  <si>
    <t>1400000US29095016800</t>
  </si>
  <si>
    <t>016800</t>
  </si>
  <si>
    <t>Census Tract 168, Jackson County, Missouri</t>
  </si>
  <si>
    <t>(-94.59680524796906, 39.053360908228015)</t>
  </si>
  <si>
    <t>1400000US29095017000</t>
  </si>
  <si>
    <t>017000</t>
  </si>
  <si>
    <t>Census Tract 170, Jackson County, Missouri</t>
  </si>
  <si>
    <t>(-94.47560855693366, 39.06456253642643)</t>
  </si>
  <si>
    <t>0.15625326658768865</t>
  </si>
  <si>
    <t>1400000US29095017100</t>
  </si>
  <si>
    <t>017100</t>
  </si>
  <si>
    <t>Census Tract 171, Jackson County, Missouri</t>
  </si>
  <si>
    <t>(-94.52560190753768, 39.045847972848726)</t>
  </si>
  <si>
    <t>0.11734773034265823</t>
  </si>
  <si>
    <t>1400000US29095017200</t>
  </si>
  <si>
    <t>017200</t>
  </si>
  <si>
    <t>Census Tract 172, Jackson County, Missouri</t>
  </si>
  <si>
    <t>(-94.51108398110344, 38.9794464113097)</t>
  </si>
  <si>
    <t>0.17536373569089056</t>
  </si>
  <si>
    <t>1400000US29095017300</t>
  </si>
  <si>
    <t>017300</t>
  </si>
  <si>
    <t>Census Tract 173, Jackson County, Missouri</t>
  </si>
  <si>
    <t>(-94.58310433113297, 38.9306392962448)</t>
  </si>
  <si>
    <t>0.10193935916429554</t>
  </si>
  <si>
    <t>1400000US29095017400</t>
  </si>
  <si>
    <t>017400</t>
  </si>
  <si>
    <t>Census Tract 174, Jackson County, Missouri</t>
  </si>
  <si>
    <t>(-94.52329179545029, 38.959819648954465)</t>
  </si>
  <si>
    <t>1400000US29095017500</t>
  </si>
  <si>
    <t>017500</t>
  </si>
  <si>
    <t>Census Tract 175, Jackson County, Missouri</t>
  </si>
  <si>
    <t>(-94.50563751119306, 39.01293293731672)</t>
  </si>
  <si>
    <t>0.16234686990367148</t>
  </si>
  <si>
    <t>1400000US29095017600</t>
  </si>
  <si>
    <t>017600</t>
  </si>
  <si>
    <t>Census Tract 176, Jackson County, Missouri</t>
  </si>
  <si>
    <t>(-94.43345472076784, 38.99530359363014)</t>
  </si>
  <si>
    <t>0.16587424395429995</t>
  </si>
  <si>
    <t>1400000US29095017700</t>
  </si>
  <si>
    <t>017700</t>
  </si>
  <si>
    <t>Census Tract 177, Jackson County, Missouri</t>
  </si>
  <si>
    <t>(-94.27706458752301, 39.11265600868221)</t>
  </si>
  <si>
    <t>0.39739770388016527</t>
  </si>
  <si>
    <t>1400000US29095018200</t>
  </si>
  <si>
    <t>018200</t>
  </si>
  <si>
    <t>Census Tract 182, Jackson County, Missouri</t>
  </si>
  <si>
    <t>(-94.4442844395922, 38.878968985906866)</t>
  </si>
  <si>
    <t>0.2202093921283877</t>
  </si>
  <si>
    <t>1400000US29095018500</t>
  </si>
  <si>
    <t>018500</t>
  </si>
  <si>
    <t>Census Tract 185, Jackson County, Missouri</t>
  </si>
  <si>
    <t>(-94.34962601356604, 38.98053750439736)</t>
  </si>
  <si>
    <t>0.2580052480237842</t>
  </si>
  <si>
    <t>1400000US29095018600</t>
  </si>
  <si>
    <t>018600</t>
  </si>
  <si>
    <t>Census Tract 186, Jackson County, Missouri</t>
  </si>
  <si>
    <t>(-94.34950557030534, 38.939783137938626)</t>
  </si>
  <si>
    <t>1400000US29095019300</t>
  </si>
  <si>
    <t>019300</t>
  </si>
  <si>
    <t>Census Tract 193, Jackson County, Missouri</t>
  </si>
  <si>
    <t>(-94.31784172894803, 39.02291541898365)</t>
  </si>
  <si>
    <t>0.1378405599778521</t>
  </si>
  <si>
    <t>1400000US29095980101</t>
  </si>
  <si>
    <t>Census Tract 9801.01, Jackson County, Missouri</t>
  </si>
  <si>
    <t>(-94.52128005751213, 38.99970338013223)</t>
  </si>
  <si>
    <t>0.1490569118433631</t>
  </si>
  <si>
    <t>1400000US29095988300</t>
  </si>
  <si>
    <t>Census Tract 9883, Jackson County, Missouri</t>
  </si>
  <si>
    <t>(-94.4689189234416, 38.900955188235734)</t>
  </si>
  <si>
    <t>0.2918681018589737</t>
  </si>
  <si>
    <t>1400000US29095989100</t>
  </si>
  <si>
    <t>Census Tract 9891, Jackson County, Missouri</t>
  </si>
  <si>
    <t>(-94.32258219579492, 38.977900311691165)</t>
  </si>
  <si>
    <t>0.4882173338724401</t>
  </si>
  <si>
    <t>1400000US29095008100</t>
  </si>
  <si>
    <t>008100</t>
  </si>
  <si>
    <t>Census Tract 81, Jackson County, Missouri</t>
  </si>
  <si>
    <t>(-94.57014915162347, 39.02089482368721)</t>
  </si>
  <si>
    <t>1400000US29095008200</t>
  </si>
  <si>
    <t>008200</t>
  </si>
  <si>
    <t>Census Tract 82, Jackson County, Missouri</t>
  </si>
  <si>
    <t>(-94.57881712059573, 39.0204136935794)</t>
  </si>
  <si>
    <t>0.046348222325594386</t>
  </si>
  <si>
    <t>1400000US29095008300</t>
  </si>
  <si>
    <t>008300</t>
  </si>
  <si>
    <t>Census Tract 83, Jackson County, Missouri</t>
  </si>
  <si>
    <t>(-94.58811888231406, 39.02076877728367)</t>
  </si>
  <si>
    <t>1400000US29095008500</t>
  </si>
  <si>
    <t>008500</t>
  </si>
  <si>
    <t>Census Tract 85, Jackson County, Missouri</t>
  </si>
  <si>
    <t>(-94.60070997556566, 39.00723316152953)</t>
  </si>
  <si>
    <t>1400000US29095008600</t>
  </si>
  <si>
    <t>008600</t>
  </si>
  <si>
    <t>Census Tract 86, Jackson County, Missouri</t>
  </si>
  <si>
    <t>(-94.58417622190437, 39.0064543010291)</t>
  </si>
  <si>
    <t>1400000US29095008700</t>
  </si>
  <si>
    <t>008700</t>
  </si>
  <si>
    <t>Census Tract 87, Jackson County, Missouri</t>
  </si>
  <si>
    <t>(-94.56574502885672, 39.005652268707436)</t>
  </si>
  <si>
    <t>1400000US29095008800</t>
  </si>
  <si>
    <t>008800</t>
  </si>
  <si>
    <t>Census Tract 88, Jackson County, Missouri</t>
  </si>
  <si>
    <t>(-94.54679048623866, 39.0040230326256)</t>
  </si>
  <si>
    <t>1400000US29095008900</t>
  </si>
  <si>
    <t>008900</t>
  </si>
  <si>
    <t>Census Tract 89, Jackson County, Missouri</t>
  </si>
  <si>
    <t>(-94.54532518059426, 38.99319935045826)</t>
  </si>
  <si>
    <t>1400000US29095009100</t>
  </si>
  <si>
    <t>009100</t>
  </si>
  <si>
    <t>Census Tract 91, Jackson County, Missouri</t>
  </si>
  <si>
    <t>(-94.58488270651857, 38.99378353008483)</t>
  </si>
  <si>
    <t>1400000US29095009200</t>
  </si>
  <si>
    <t>009200</t>
  </si>
  <si>
    <t>Census Tract 92, Jackson County, Missouri</t>
  </si>
  <si>
    <t>(-94.60135247309321, 38.99430349147402)</t>
  </si>
  <si>
    <t>1400000US29095009300</t>
  </si>
  <si>
    <t>009300</t>
  </si>
  <si>
    <t>Census Tract 93, Jackson County, Missouri</t>
  </si>
  <si>
    <t>(-94.6013826047998, 38.98160268115616)</t>
  </si>
  <si>
    <t>1400000US29095009400</t>
  </si>
  <si>
    <t>009400</t>
  </si>
  <si>
    <t>Census Tract 94, Jackson County, Missouri</t>
  </si>
  <si>
    <t>(-94.58548328469034, 38.98109939598756)</t>
  </si>
  <si>
    <t>1400000US29095009500</t>
  </si>
  <si>
    <t>009500</t>
  </si>
  <si>
    <t>Census Tract 95, Jackson County, Missouri</t>
  </si>
  <si>
    <t>(-94.56847170828839, 38.97578898942438)</t>
  </si>
  <si>
    <t>1400000US29095009600</t>
  </si>
  <si>
    <t>009600</t>
  </si>
  <si>
    <t>Census Tract 96, Jackson County, Missouri</t>
  </si>
  <si>
    <t>(-94.55407438065248, 38.973981432754684)</t>
  </si>
  <si>
    <t>0.15587868634779492</t>
  </si>
  <si>
    <t>1400000US29095009800</t>
  </si>
  <si>
    <t>009800</t>
  </si>
  <si>
    <t>Census Tract 98, Jackson County, Missouri</t>
  </si>
  <si>
    <t>(-94.58848315666951, 38.964817086467775)</t>
  </si>
  <si>
    <t>1400000US29095010001</t>
  </si>
  <si>
    <t>010001</t>
  </si>
  <si>
    <t>Census Tract 100.01, Jackson County, Missouri</t>
  </si>
  <si>
    <t>(-94.6024350336195, 38.94760614393461)</t>
  </si>
  <si>
    <t>1400000US29095005200</t>
  </si>
  <si>
    <t>Census Tract 52, Jackson County, Missouri</t>
  </si>
  <si>
    <t>(-94.56690954602749, 39.06672296240831)</t>
  </si>
  <si>
    <t>6.716361804607589e-05</t>
  </si>
  <si>
    <t>1400000US29095005400</t>
  </si>
  <si>
    <t>005400</t>
  </si>
  <si>
    <t>Census Tract 54, Jackson County, Missouri</t>
  </si>
  <si>
    <t>(-94.55765621960207, 39.066409115868055)</t>
  </si>
  <si>
    <t>6.718453067457881e-05</t>
  </si>
  <si>
    <t>1400000US29095005500</t>
  </si>
  <si>
    <t>Census Tract 55, Jackson County, Missouri</t>
  </si>
  <si>
    <t>(-94.55803573571838, 39.05919413160976)</t>
  </si>
  <si>
    <t>6.669690804768068e-05</t>
  </si>
  <si>
    <t>1400000US29095005602</t>
  </si>
  <si>
    <t>005602</t>
  </si>
  <si>
    <t>Census Tract 56.02, Jackson County, Missouri</t>
  </si>
  <si>
    <t>(-94.54879543908041, 39.05889097220766)</t>
  </si>
  <si>
    <t>6.636422094599395e-05</t>
  </si>
  <si>
    <t>1400000US29095005700</t>
  </si>
  <si>
    <t>Census Tract 57, Jackson County, Missouri</t>
  </si>
  <si>
    <t>(-94.53940806092282, 39.06219307340666)</t>
  </si>
  <si>
    <t>0.047269095324511894</t>
  </si>
  <si>
    <t>1400000US29095005801</t>
  </si>
  <si>
    <t>005801</t>
  </si>
  <si>
    <t>Census Tract 58.01, Jackson County, Missouri</t>
  </si>
  <si>
    <t>(-94.52566663081402, 39.061756351458406)</t>
  </si>
  <si>
    <t>1400000US29095006000</t>
  </si>
  <si>
    <t>006000</t>
  </si>
  <si>
    <t>Census Tract 60, Jackson County, Missouri</t>
  </si>
  <si>
    <t>(-94.54040365062546, 39.04860954035417)</t>
  </si>
  <si>
    <t>1400000US29095006100</t>
  </si>
  <si>
    <t>006100</t>
  </si>
  <si>
    <t>Census Tract 61, Jackson County, Missouri</t>
  </si>
  <si>
    <t>(-94.54913896707686, 39.047729648013636)</t>
  </si>
  <si>
    <t>1400000US29095001100</t>
  </si>
  <si>
    <t>Census Tract 11, Jackson County, Missouri</t>
  </si>
  <si>
    <t>(-94.59155121635264, 39.10114725288931)</t>
  </si>
  <si>
    <t>6.502776157706285e-05</t>
  </si>
  <si>
    <t>1400000US29095013606</t>
  </si>
  <si>
    <t>013606</t>
  </si>
  <si>
    <t>Census Tract 136.06, Jackson County, Missouri</t>
  </si>
  <si>
    <t>(-94.42709795648308, 38.93424279196549)</t>
  </si>
  <si>
    <t>0.1196628401187211</t>
  </si>
  <si>
    <t>1400000US29095000800</t>
  </si>
  <si>
    <t>Census Tract 8, Jackson County, Missouri</t>
  </si>
  <si>
    <t>(-94.53245565723006, 39.11267057906238)</t>
  </si>
  <si>
    <t>1400000US29095000900</t>
  </si>
  <si>
    <t>Census Tract 9, Jackson County, Missouri</t>
  </si>
  <si>
    <t>(-94.54240314650878, 39.112742325918695)</t>
  </si>
  <si>
    <t>0.050356090238159415</t>
  </si>
  <si>
    <t>1400000US29095001000</t>
  </si>
  <si>
    <t>Census Tract 10, Jackson County, Missouri</t>
  </si>
  <si>
    <t>(-94.55575048834316, 39.11161738215951)</t>
  </si>
  <si>
    <t>1400000US29095001800</t>
  </si>
  <si>
    <t>Census Tract 18, Jackson County, Missouri</t>
  </si>
  <si>
    <t>(-94.5443229618317, 39.10235251943845)</t>
  </si>
  <si>
    <t>1400000US29095001900</t>
  </si>
  <si>
    <t>Census Tract 19, Jackson County, Missouri</t>
  </si>
  <si>
    <t>(-94.52533484962463, 39.10180046083316)</t>
  </si>
  <si>
    <t>1400000US29095002000</t>
  </si>
  <si>
    <t>Census Tract 20, Jackson County, Missouri</t>
  </si>
  <si>
    <t>(-94.50005346823043, 39.10076477393569)</t>
  </si>
  <si>
    <t>1400000US29095002100</t>
  </si>
  <si>
    <t>Census Tract 21, Jackson County, Missouri</t>
  </si>
  <si>
    <t>(-94.50152047194211, 39.09003264342997)</t>
  </si>
  <si>
    <t>1400000US29095004300</t>
  </si>
  <si>
    <t>004300</t>
  </si>
  <si>
    <t>Census Tract 43, Jackson County, Missouri</t>
  </si>
  <si>
    <t>(-94.57543397038773, 39.07780811962454)</t>
  </si>
  <si>
    <t>1400000US29095004400</t>
  </si>
  <si>
    <t>Census Tract 44, Jackson County, Missouri</t>
  </si>
  <si>
    <t>(-94.58709873382081, 39.07751446990332)</t>
  </si>
  <si>
    <t>0.058709011906332535</t>
  </si>
  <si>
    <t>1400000US29095004600</t>
  </si>
  <si>
    <t>Census Tract 46, Jackson County, Missouri</t>
  </si>
  <si>
    <t>(-94.60114494562936, 39.06448015652703)</t>
  </si>
  <si>
    <t>1400000US29095006500</t>
  </si>
  <si>
    <t>006500</t>
  </si>
  <si>
    <t>Census Tract 65, Jackson County, Missouri</t>
  </si>
  <si>
    <t>(-94.57585349634013, 39.05272267755661)</t>
  </si>
  <si>
    <t>5.0549709728964265e-05</t>
  </si>
  <si>
    <t>0.028707040601286368</t>
  </si>
  <si>
    <t>1400000US29095006600</t>
  </si>
  <si>
    <t>006600</t>
  </si>
  <si>
    <t>Census Tract 66, Jackson County, Missouri</t>
  </si>
  <si>
    <t>(-94.57973004720832, 39.04550916017766)</t>
  </si>
  <si>
    <t>1400000US29095006700</t>
  </si>
  <si>
    <t>006700</t>
  </si>
  <si>
    <t>Census Tract 67, Jackson County, Missouri</t>
  </si>
  <si>
    <t>(-94.58282173476101, 39.05270699557461)</t>
  </si>
  <si>
    <t>5.0771296802031126e-05</t>
  </si>
  <si>
    <t>1400000US29095007100</t>
  </si>
  <si>
    <t>007100</t>
  </si>
  <si>
    <t>Census Tract 71, Jackson County, Missouri</t>
  </si>
  <si>
    <t>(-94.60185983098434, 39.046531963548595)</t>
  </si>
  <si>
    <t>8.192077044275769e-05</t>
  </si>
  <si>
    <t>0.040410461627757514</t>
  </si>
  <si>
    <t>1400000US29095007200</t>
  </si>
  <si>
    <t>007200</t>
  </si>
  <si>
    <t>Census Tract 72, Jackson County, Missouri</t>
  </si>
  <si>
    <t>(-94.60030671198099, 39.03475667619901)</t>
  </si>
  <si>
    <t>0.062478824163635545</t>
  </si>
  <si>
    <t>1400000US29095007300</t>
  </si>
  <si>
    <t>007300</t>
  </si>
  <si>
    <t>Census Tract 73, Jackson County, Missouri</t>
  </si>
  <si>
    <t>(-94.59142505175463, 39.041164313593185)</t>
  </si>
  <si>
    <t>7.321151242954328e-05</t>
  </si>
  <si>
    <t>0.045656831624029344</t>
  </si>
  <si>
    <t>1400000US29095007400</t>
  </si>
  <si>
    <t>007400</t>
  </si>
  <si>
    <t>Census Tract 74, Jackson County, Missouri</t>
  </si>
  <si>
    <t>(-94.58206419934196, 39.03399405504737)</t>
  </si>
  <si>
    <t>1400000US29095007600</t>
  </si>
  <si>
    <t>007600</t>
  </si>
  <si>
    <t>Census Tract 76, Jackson County, Missouri</t>
  </si>
  <si>
    <t>(-94.55955043202027, 39.03353674695707)</t>
  </si>
  <si>
    <t>0.045479892229318024</t>
  </si>
  <si>
    <t>1400000US29095007700</t>
  </si>
  <si>
    <t>007700</t>
  </si>
  <si>
    <t>Census Tract 77, Jackson County, Missouri</t>
  </si>
  <si>
    <t>(-94.54885138801168, 39.03325263199574)</t>
  </si>
  <si>
    <t>0.053534377646615394</t>
  </si>
  <si>
    <t>1400000US29095013612</t>
  </si>
  <si>
    <t>013612</t>
  </si>
  <si>
    <t>Census Tract 136.12, Jackson County, Missouri</t>
  </si>
  <si>
    <t>(-94.43341814908477, 38.90280026790747)</t>
  </si>
  <si>
    <t>0.1373207624834187</t>
  </si>
  <si>
    <t>1400000US29095013703</t>
  </si>
  <si>
    <t>013703</t>
  </si>
  <si>
    <t>Census Tract 137.03, Jackson County, Missouri</t>
  </si>
  <si>
    <t>(-94.37172436550391, 38.91568251324768)</t>
  </si>
  <si>
    <t>1400000US29095013704</t>
  </si>
  <si>
    <t>013704</t>
  </si>
  <si>
    <t>Census Tract 137.04, Jackson County, Missouri</t>
  </si>
  <si>
    <t>(-94.39512406817235, 38.89865039197926)</t>
  </si>
  <si>
    <t>0.13736367405241173</t>
  </si>
  <si>
    <t>1400000US29095013801</t>
  </si>
  <si>
    <t>013801</t>
  </si>
  <si>
    <t>Census Tract 138.01, Jackson County, Missouri</t>
  </si>
  <si>
    <t>(-94.34848911699436, 38.92555971952717)</t>
  </si>
  <si>
    <t>1400000US29095013802</t>
  </si>
  <si>
    <t>013802</t>
  </si>
  <si>
    <t>Census Tract 138.02, Jackson County, Missouri</t>
  </si>
  <si>
    <t>(-94.35453186548305, 38.893702025815216)</t>
  </si>
  <si>
    <t>0.16603150197834576</t>
  </si>
  <si>
    <t>1400000US29095013901</t>
  </si>
  <si>
    <t>013901</t>
  </si>
  <si>
    <t>Census Tract 139.01, Jackson County, Missouri</t>
  </si>
  <si>
    <t>(-94.21954728352163, 38.888496230572045)</t>
  </si>
  <si>
    <t>0.018111103303967042</t>
  </si>
  <si>
    <t>0.9120366474196367</t>
  </si>
  <si>
    <t>1400000US29095014101</t>
  </si>
  <si>
    <t>014101</t>
  </si>
  <si>
    <t>Census Tract 141.01, Jackson County, Missouri</t>
  </si>
  <si>
    <t>(-94.25633152047713, 39.0203253335144)</t>
  </si>
  <si>
    <t>0.16243002952593144</t>
  </si>
  <si>
    <t>1400000US29095014105</t>
  </si>
  <si>
    <t>014105</t>
  </si>
  <si>
    <t>Census Tract 141.05, Jackson County, Missouri</t>
  </si>
  <si>
    <t>(-94.25012178288851, 39.00012433472628)</t>
  </si>
  <si>
    <t>0.1503859602439304</t>
  </si>
  <si>
    <t>1400000US29095014108</t>
  </si>
  <si>
    <t>014108</t>
  </si>
  <si>
    <t>Census Tract 141.08, Jackson County, Missouri</t>
  </si>
  <si>
    <t>(-94.29282153953451, 39.02132494153124)</t>
  </si>
  <si>
    <t>1400000US29095014112</t>
  </si>
  <si>
    <t>014112</t>
  </si>
  <si>
    <t>Census Tract 141.12, Jackson County, Missouri</t>
  </si>
  <si>
    <t>(-94.2398257523673, 38.95678304570947)</t>
  </si>
  <si>
    <t>0.19760924459894086</t>
  </si>
  <si>
    <t>1400000US29095011600</t>
  </si>
  <si>
    <t>011600</t>
  </si>
  <si>
    <t>Census Tract 116, Jackson County, Missouri</t>
  </si>
  <si>
    <t>(-94.42165100273651, 39.09300042599817)</t>
  </si>
  <si>
    <t>0.10043999350084439</t>
  </si>
  <si>
    <t>1400000US29095011800</t>
  </si>
  <si>
    <t>011800</t>
  </si>
  <si>
    <t>Census Tract 118, Jackson County, Missouri</t>
  </si>
  <si>
    <t>(-94.45737931631156, 39.08817120907564)</t>
  </si>
  <si>
    <t>1400000US29095014204</t>
  </si>
  <si>
    <t>014204</t>
  </si>
  <si>
    <t>Census Tract 142.04, Jackson County, Missouri</t>
  </si>
  <si>
    <t>(-94.37231087082695, 38.97532668012689)</t>
  </si>
  <si>
    <t>0.16874808868842767</t>
  </si>
  <si>
    <t>1400000US29095014300</t>
  </si>
  <si>
    <t>014300</t>
  </si>
  <si>
    <t>Census Tract 143, Jackson County, Missouri</t>
  </si>
  <si>
    <t>(-94.40617128819635, 38.99109833553751)</t>
  </si>
  <si>
    <t>0.2870540834184079</t>
  </si>
  <si>
    <t>1400000US29095014502</t>
  </si>
  <si>
    <t>014502</t>
  </si>
  <si>
    <t>Census Tract 145.02, Jackson County, Missouri</t>
  </si>
  <si>
    <t>(-94.36087386813765, 39.03053966679947)</t>
  </si>
  <si>
    <t>0.15421193719744247</t>
  </si>
  <si>
    <t>1400000US29095014601</t>
  </si>
  <si>
    <t>014601</t>
  </si>
  <si>
    <t>Census Tract 146.01, Jackson County, Missouri</t>
  </si>
  <si>
    <t>(-94.40270059355112, 39.052581286998176)</t>
  </si>
  <si>
    <t>1400000US29095007802</t>
  </si>
  <si>
    <t>007802</t>
  </si>
  <si>
    <t>Census Tract 78.02, Jackson County, Missouri</t>
  </si>
  <si>
    <t>(-94.53224354353183, 39.02453502103853)</t>
  </si>
  <si>
    <t>0.10166614519235442</t>
  </si>
  <si>
    <t>1400000US29095007900</t>
  </si>
  <si>
    <t>007900</t>
  </si>
  <si>
    <t>Census Tract 79, Jackson County, Missouri</t>
  </si>
  <si>
    <t>(-94.5463801106363, 39.01912559730696)</t>
  </si>
  <si>
    <t>1400000US29095010002</t>
  </si>
  <si>
    <t>010002</t>
  </si>
  <si>
    <t>Census Tract 100.02, Jackson County, Missouri</t>
  </si>
  <si>
    <t>(-94.58934665478631, 38.94806857211114)</t>
  </si>
  <si>
    <t>1400000US29095010103</t>
  </si>
  <si>
    <t>010103</t>
  </si>
  <si>
    <t>Census Tract 101.03, Jackson County, Missouri</t>
  </si>
  <si>
    <t>(-94.57041720558635, 38.94844389441682)</t>
  </si>
  <si>
    <t>1400000US29095010105</t>
  </si>
  <si>
    <t>010105</t>
  </si>
  <si>
    <t>Census Tract 101.05, Jackson County, Missouri</t>
  </si>
  <si>
    <t>(-94.60107101989692, 38.92575055328284)</t>
  </si>
  <si>
    <t>1400000US29095010201</t>
  </si>
  <si>
    <t>010201</t>
  </si>
  <si>
    <t>Census Tract 102.01, Jackson County, Missouri</t>
  </si>
  <si>
    <t>(-94.54939021410807, 38.95162404295688)</t>
  </si>
  <si>
    <t>1400000US29095010203</t>
  </si>
  <si>
    <t>010203</t>
  </si>
  <si>
    <t>Census Tract 102.03, Jackson County, Missouri</t>
  </si>
  <si>
    <t>(-94.55016340223962, 38.93158733437633)</t>
  </si>
  <si>
    <t>0.11720060835335518</t>
  </si>
  <si>
    <t>1400000US29095010500</t>
  </si>
  <si>
    <t>Census Tract 105, Jackson County, Missouri</t>
  </si>
  <si>
    <t>(-94.49037270862998, 39.028888888691235)</t>
  </si>
  <si>
    <t>0.12277184868214944</t>
  </si>
  <si>
    <t>1400000US29095010600</t>
  </si>
  <si>
    <t>Census Tract 106, Jackson County, Missouri</t>
  </si>
  <si>
    <t>(-94.45880363209531, 39.03223145538822)</t>
  </si>
  <si>
    <t>0.10590913108528088</t>
  </si>
  <si>
    <t>1400000US29095010702</t>
  </si>
  <si>
    <t>Census Tract 107.02, Jackson County, Missouri</t>
  </si>
  <si>
    <t>(-94.45739043866033, 39.04233223311277)</t>
  </si>
  <si>
    <t>0.10793223005625677</t>
  </si>
  <si>
    <t>1400000US29095011100</t>
  </si>
  <si>
    <t>011100</t>
  </si>
  <si>
    <t>Census Tract 111, Jackson County, Missouri</t>
  </si>
  <si>
    <t>(-94.4384920409614, 39.11917077703062)</t>
  </si>
  <si>
    <t>0.14540059622311738</t>
  </si>
  <si>
    <t>1400000US29095011300</t>
  </si>
  <si>
    <t>011300</t>
  </si>
  <si>
    <t>Census Tract 113, Jackson County, Missouri</t>
  </si>
  <si>
    <t>(-94.39662258143963, 39.11829379719432)</t>
  </si>
  <si>
    <t>0.15749145298395026</t>
  </si>
  <si>
    <t>1400000US29095011401</t>
  </si>
  <si>
    <t>011401</t>
  </si>
  <si>
    <t>Census Tract 114.01, Jackson County, Missouri</t>
  </si>
  <si>
    <t>(-94.36628621562507, 39.0936231313056)</t>
  </si>
  <si>
    <t>0.20034207058295486</t>
  </si>
  <si>
    <t>1400000US29095011405</t>
  </si>
  <si>
    <t>011405</t>
  </si>
  <si>
    <t>Census Tract 114.05, Jackson County, Missouri</t>
  </si>
  <si>
    <t>(-94.3806267023889, 39.11274578380549)</t>
  </si>
  <si>
    <t>1400000US29095011406</t>
  </si>
  <si>
    <t>011406</t>
  </si>
  <si>
    <t>Census Tract 114.06, Jackson County, Missouri</t>
  </si>
  <si>
    <t>(-94.36054209085788, 39.1159996803714)</t>
  </si>
  <si>
    <t>1400000US29095011500</t>
  </si>
  <si>
    <t>011500</t>
  </si>
  <si>
    <t>Census Tract 115, Jackson County, Missouri</t>
  </si>
  <si>
    <t>(-94.40237514075862, 39.08926517666686)</t>
  </si>
  <si>
    <t>0.10324352831523699</t>
  </si>
  <si>
    <t>1400000US29095011900</t>
  </si>
  <si>
    <t>011900</t>
  </si>
  <si>
    <t>Census Tract 119, Jackson County, Missouri</t>
  </si>
  <si>
    <t>(-94.45829232938048, 39.07375724562745)</t>
  </si>
  <si>
    <t>1400000US29095012000</t>
  </si>
  <si>
    <t>012000</t>
  </si>
  <si>
    <t>Census Tract 120, Jackson County, Missouri</t>
  </si>
  <si>
    <t>(-94.45899680569894, 39.06007094428723)</t>
  </si>
  <si>
    <t>1400000US29095012100</t>
  </si>
  <si>
    <t>012100</t>
  </si>
  <si>
    <t>Census Tract 121, Jackson County, Missouri</t>
  </si>
  <si>
    <t>(-94.43991575924422, 39.063646810611225)</t>
  </si>
  <si>
    <t>1400000US29095012300</t>
  </si>
  <si>
    <t>012300</t>
  </si>
  <si>
    <t>Census Tract 123, Jackson County, Missouri</t>
  </si>
  <si>
    <t>(-94.40174602317609, 39.068926945980515)</t>
  </si>
  <si>
    <t>1400000US29095012400</t>
  </si>
  <si>
    <t>012400</t>
  </si>
  <si>
    <t>Census Tract 124, Jackson County, Missouri</t>
  </si>
  <si>
    <t>(-94.42762469722912, 39.03777798667679)</t>
  </si>
  <si>
    <t>0.10027428609107229</t>
  </si>
  <si>
    <t>1400000US29095012501</t>
  </si>
  <si>
    <t>012501</t>
  </si>
  <si>
    <t>Census Tract 125.01, Jackson County, Missouri</t>
  </si>
  <si>
    <t>(-94.4667379145089, 39.02172851377829)</t>
  </si>
  <si>
    <t>0.10333523240724202</t>
  </si>
  <si>
    <t>1400000US29095012502</t>
  </si>
  <si>
    <t>012502</t>
  </si>
  <si>
    <t>Census Tract 125.02, Jackson County, Missouri</t>
  </si>
  <si>
    <t>(-94.44976923952055, 39.01705973848835)</t>
  </si>
  <si>
    <t>1400000US29095012600</t>
  </si>
  <si>
    <t>012600</t>
  </si>
  <si>
    <t>Census Tract 126, Jackson County, Missouri</t>
  </si>
  <si>
    <t>(-94.47229208738592, 39.00499035560915)</t>
  </si>
  <si>
    <t>1400000US29095012802</t>
  </si>
  <si>
    <t>012802</t>
  </si>
  <si>
    <t>Census Tract 128.02, Jackson County, Missouri</t>
  </si>
  <si>
    <t>(-94.45008045167579, 38.969144252096655)</t>
  </si>
  <si>
    <t>0.10830141562446703</t>
  </si>
  <si>
    <t>1400000US29095012803</t>
  </si>
  <si>
    <t>012803</t>
  </si>
  <si>
    <t>Census Tract 128.03, Jackson County, Missouri</t>
  </si>
  <si>
    <t>(-94.47532842434961, 38.98785060242833)</t>
  </si>
  <si>
    <t>1400000US29095012804</t>
  </si>
  <si>
    <t>012804</t>
  </si>
  <si>
    <t>Census Tract 128.04, Jackson County, Missouri</t>
  </si>
  <si>
    <t>(-94.47903158430422, 38.97250895468213)</t>
  </si>
  <si>
    <t>1400000US29095012903</t>
  </si>
  <si>
    <t>012903</t>
  </si>
  <si>
    <t>Census Tract 129.03, Jackson County, Missouri</t>
  </si>
  <si>
    <t>(-94.49438324754902, 38.9576642407135)</t>
  </si>
  <si>
    <t>1400000US29095012906</t>
  </si>
  <si>
    <t>012906</t>
  </si>
  <si>
    <t>Census Tract 129.06, Jackson County, Missouri</t>
  </si>
  <si>
    <t>(-94.4884880012789, 38.94081330642841)</t>
  </si>
  <si>
    <t>0.13093820649937188</t>
  </si>
  <si>
    <t>1400000US29095013003</t>
  </si>
  <si>
    <t>013003</t>
  </si>
  <si>
    <t>Census Tract 130.03, Jackson County, Missouri</t>
  </si>
  <si>
    <t>(-94.52198716230687, 38.94364051477295)</t>
  </si>
  <si>
    <t>1400000US29095013100</t>
  </si>
  <si>
    <t>013100</t>
  </si>
  <si>
    <t>Census Tract 131, Jackson County, Missouri</t>
  </si>
  <si>
    <t>(-94.51814690115881, 38.92460084847887)</t>
  </si>
  <si>
    <t>1400000US29095013203</t>
  </si>
  <si>
    <t>013203</t>
  </si>
  <si>
    <t>Census Tract 132.03, Jackson County, Missouri</t>
  </si>
  <si>
    <t>(-94.50254750069342, 38.92248694028415)</t>
  </si>
  <si>
    <t>1400000US29095011000</t>
  </si>
  <si>
    <t>011000</t>
  </si>
  <si>
    <t>Census Tract 110, Jackson County, Missouri</t>
  </si>
  <si>
    <t>(-94.4563593548118, 39.10621220733095)</t>
  </si>
  <si>
    <t>0.13713246709183788</t>
  </si>
  <si>
    <t>1400000US29095013208</t>
  </si>
  <si>
    <t>013208</t>
  </si>
  <si>
    <t>Census Tract 132.08, Jackson County, Missouri</t>
  </si>
  <si>
    <t>(-94.50134106422159, 38.911359570081885)</t>
  </si>
  <si>
    <t>1400000US29095013301</t>
  </si>
  <si>
    <t>013301</t>
  </si>
  <si>
    <t>Census Tract 133.01, Jackson County, Missouri</t>
  </si>
  <si>
    <t>(-94.53285073902666, 38.89009692544731)</t>
  </si>
  <si>
    <t>0.11625521254972196</t>
  </si>
  <si>
    <t>1400000US29095013307</t>
  </si>
  <si>
    <t>013307</t>
  </si>
  <si>
    <t>Census Tract 133.07, Jackson County, Missouri</t>
  </si>
  <si>
    <t>(-94.50832053594655, 38.90327893758807)</t>
  </si>
  <si>
    <t>1400000US29095013309</t>
  </si>
  <si>
    <t>013309</t>
  </si>
  <si>
    <t>Census Tract 133.09, Jackson County, Missouri</t>
  </si>
  <si>
    <t>(-94.50598166757041, 38.89257996519276)</t>
  </si>
  <si>
    <t>0.10331649017801117</t>
  </si>
  <si>
    <t>1400000US29095013313</t>
  </si>
  <si>
    <t>013313</t>
  </si>
  <si>
    <t>Census Tract 133.13, Jackson County, Missouri</t>
  </si>
  <si>
    <t>(-94.50799644246548, 38.87897069371843)</t>
  </si>
  <si>
    <t>0.1023238997187588</t>
  </si>
  <si>
    <t>1400000US29095013401</t>
  </si>
  <si>
    <t>013401</t>
  </si>
  <si>
    <t>Census Tract 134.01, Jackson County, Missouri</t>
  </si>
  <si>
    <t>(-94.54939405675039, 38.88692043507552)</t>
  </si>
  <si>
    <t>0.1761009566231499</t>
  </si>
  <si>
    <t>1400000US29095013405</t>
  </si>
  <si>
    <t>013405</t>
  </si>
  <si>
    <t>Census Tract 134.05, Jackson County, Missouri</t>
  </si>
  <si>
    <t>(-94.57424924470739, 38.86550131041744)</t>
  </si>
  <si>
    <t>0.2613829980056275</t>
  </si>
  <si>
    <t>1400000US29095013408</t>
  </si>
  <si>
    <t>013408</t>
  </si>
  <si>
    <t>Census Tract 134.08, Jackson County, Missouri</t>
  </si>
  <si>
    <t>(-94.57931224063599, 38.90563319336259)</t>
  </si>
  <si>
    <t>0.14014649828407988</t>
  </si>
  <si>
    <t>1400000US29095013416</t>
  </si>
  <si>
    <t>013416</t>
  </si>
  <si>
    <t>Census Tract 134.16, Jackson County, Missouri</t>
  </si>
  <si>
    <t>(-94.50885480074652, 38.86447029033085)</t>
  </si>
  <si>
    <t>0.10318821242074057</t>
  </si>
  <si>
    <t>1400000US29095013502</t>
  </si>
  <si>
    <t>013502</t>
  </si>
  <si>
    <t>Census Tract 135.02, Jackson County, Missouri</t>
  </si>
  <si>
    <t>(-94.32449562817581, 38.85172512484542)</t>
  </si>
  <si>
    <t>0.2219573575710028</t>
  </si>
  <si>
    <t>1400000US29095013504</t>
  </si>
  <si>
    <t>013504</t>
  </si>
  <si>
    <t>Census Tract 135.04, Jackson County, Missouri</t>
  </si>
  <si>
    <t>(-94.40978221040673, 38.867477416265594)</t>
  </si>
  <si>
    <t>0.33613596678001323</t>
  </si>
  <si>
    <t>1400000US29095013608</t>
  </si>
  <si>
    <t>013608</t>
  </si>
  <si>
    <t>Census Tract 136.08, Jackson County, Missouri</t>
  </si>
  <si>
    <t>(-94.42549051760385, 38.919381027967844)</t>
  </si>
  <si>
    <t>0.13602640410674702</t>
  </si>
  <si>
    <t>1400000US29095013902</t>
  </si>
  <si>
    <t>013902</t>
  </si>
  <si>
    <t>Census Tract 139.02, Jackson County, Missouri</t>
  </si>
  <si>
    <t>(-94.1682994147681, 38.879476731601905)</t>
  </si>
  <si>
    <t>0.23886882599112902</t>
  </si>
  <si>
    <t>1400000US29095013916</t>
  </si>
  <si>
    <t>013916</t>
  </si>
  <si>
    <t>Census Tract 139.16, Jackson County, Missouri</t>
  </si>
  <si>
    <t>(-94.31401665988733, 38.929087481738044)</t>
  </si>
  <si>
    <t>0.2442729683563853</t>
  </si>
  <si>
    <t>1400000US29095014002</t>
  </si>
  <si>
    <t>014002</t>
  </si>
  <si>
    <t>Census Tract 140.02, Jackson County, Missouri</t>
  </si>
  <si>
    <t>(-94.16763461968236, 38.969220336774974)</t>
  </si>
  <si>
    <t>0.3838481039153451</t>
  </si>
  <si>
    <t>1400000US29095014004</t>
  </si>
  <si>
    <t>014004</t>
  </si>
  <si>
    <t>Census Tract 140.04, Jackson County, Missouri</t>
  </si>
  <si>
    <t>(-94.13012675709291, 39.01641863360451)</t>
  </si>
  <si>
    <t>0.15326057881459598</t>
  </si>
  <si>
    <t>1400000US29095014005</t>
  </si>
  <si>
    <t>014005</t>
  </si>
  <si>
    <t>Census Tract 140.05, Jackson County, Missouri</t>
  </si>
  <si>
    <t>(-94.1303987282888, 38.98519806184941)</t>
  </si>
  <si>
    <t>0.2199225029707453</t>
  </si>
  <si>
    <t>1400000US29095014007</t>
  </si>
  <si>
    <t>014007</t>
  </si>
  <si>
    <t>Census Tract 140.07, Jackson County, Missouri</t>
  </si>
  <si>
    <t>(-94.20525924032408, 39.02240254050492)</t>
  </si>
  <si>
    <t>0.16296612336067798</t>
  </si>
  <si>
    <t>1400000US29095014114</t>
  </si>
  <si>
    <t>014114</t>
  </si>
  <si>
    <t>Census Tract 141.14, Jackson County, Missouri</t>
  </si>
  <si>
    <t>(-94.28565979633602, 38.99762792910463)</t>
  </si>
  <si>
    <t>0.14177910122167672</t>
  </si>
  <si>
    <t>1400000US29095014120</t>
  </si>
  <si>
    <t>014120</t>
  </si>
  <si>
    <t>Census Tract 141.20, Jackson County, Missouri</t>
  </si>
  <si>
    <t>(-94.29117781148533, 38.961130483198616)</t>
  </si>
  <si>
    <t>0.2000520760162555</t>
  </si>
  <si>
    <t>1400000US29095014203</t>
  </si>
  <si>
    <t>014203</t>
  </si>
  <si>
    <t>Census Tract 142.03, Jackson County, Missouri</t>
  </si>
  <si>
    <t>(-94.37284487744525, 39.01033466238293)</t>
  </si>
  <si>
    <t>0.11027205258576497</t>
  </si>
  <si>
    <t>1400000US29095014400</t>
  </si>
  <si>
    <t>014400</t>
  </si>
  <si>
    <t>Census Tract 144, Jackson County, Missouri</t>
  </si>
  <si>
    <t>(-94.44518076196775, 38.947564285132785)</t>
  </si>
  <si>
    <t>0.19482182816199306</t>
  </si>
  <si>
    <t>1400000US29095014603</t>
  </si>
  <si>
    <t>014603</t>
  </si>
  <si>
    <t>Census Tract 146.03, Jackson County, Missouri</t>
  </si>
  <si>
    <t>(-94.3821988771085, 39.053505752163055)</t>
  </si>
  <si>
    <t>1400000US29095014604</t>
  </si>
  <si>
    <t>014604</t>
  </si>
  <si>
    <t>Census Tract 146.04, Jackson County, Missouri</t>
  </si>
  <si>
    <t>(-94.37763974390964, 39.06156990496072)</t>
  </si>
  <si>
    <t>0.13173841902139816</t>
  </si>
  <si>
    <t>1400000US29095014701</t>
  </si>
  <si>
    <t>014701</t>
  </si>
  <si>
    <t>Census Tract 147.01, Jackson County, Missouri</t>
  </si>
  <si>
    <t>(-94.3513414666705, 39.05314860540309)</t>
  </si>
  <si>
    <t>0.11626009333556171</t>
  </si>
  <si>
    <t>1400000US29095014702</t>
  </si>
  <si>
    <t>014702</t>
  </si>
  <si>
    <t>Census Tract 147.02, Jackson County, Missouri</t>
  </si>
  <si>
    <t>(-94.34369871842051, 39.075623983385654)</t>
  </si>
  <si>
    <t>0.19715749753746958</t>
  </si>
  <si>
    <t>1400000US29095014804</t>
  </si>
  <si>
    <t>014804</t>
  </si>
  <si>
    <t>Census Tract 148.04, Jackson County, Missouri</t>
  </si>
  <si>
    <t>(-94.3061317277432, 39.067942412597695)</t>
  </si>
  <si>
    <t>0.3124462950413934</t>
  </si>
  <si>
    <t>1400000US29095014902</t>
  </si>
  <si>
    <t>014902</t>
  </si>
  <si>
    <t>Census Tract 149.02, Jackson County, Missouri</t>
  </si>
  <si>
    <t>(-94.20397210951269, 39.12685232202634)</t>
  </si>
  <si>
    <t>0.1080110600734898</t>
  </si>
  <si>
    <t>1400000US29095014903</t>
  </si>
  <si>
    <t>014903</t>
  </si>
  <si>
    <t>Census Tract 149.03, Jackson County, Missouri</t>
  </si>
  <si>
    <t>(-94.16991972731381, 39.07694779674719)</t>
  </si>
  <si>
    <t>0.012883310782849546</t>
  </si>
  <si>
    <t>0.5998155541072911</t>
  </si>
  <si>
    <t>1400000US29095014904</t>
  </si>
  <si>
    <t>014904</t>
  </si>
  <si>
    <t>Census Tract 149.04, Jackson County, Missouri</t>
  </si>
  <si>
    <t>(-94.26379160015331, 39.04813335545838)</t>
  </si>
  <si>
    <t>0.12413290598348274</t>
  </si>
  <si>
    <t>1400000US29095014905</t>
  </si>
  <si>
    <t>014905</t>
  </si>
  <si>
    <t>Census Tract 149.05, Jackson County, Missouri</t>
  </si>
  <si>
    <t>(-94.23577963482188, 39.03952971453144)</t>
  </si>
  <si>
    <t>0.13368248845837322</t>
  </si>
  <si>
    <t>1400000US29095980802</t>
  </si>
  <si>
    <t>(-94.48534211147879, 39.049317661828276)</t>
  </si>
  <si>
    <t>1400000US29095989200</t>
  </si>
  <si>
    <t>(-94.29263109058141, 39.05003585040698)</t>
  </si>
  <si>
    <t>0.11756476562775828</t>
  </si>
  <si>
    <t>1400000US29097010500</t>
  </si>
  <si>
    <t>097</t>
  </si>
  <si>
    <t>Jasper County</t>
  </si>
  <si>
    <t>Census Tract 105, Jasper County, Missouri</t>
  </si>
  <si>
    <t>(-94.48611581829928, 37.069349298343504)</t>
  </si>
  <si>
    <t>1400000US29097010800</t>
  </si>
  <si>
    <t>Census Tract 108, Jasper County, Missouri</t>
  </si>
  <si>
    <t>(-94.52294008270151, 37.069717710129595)</t>
  </si>
  <si>
    <t>1400000US29097011600</t>
  </si>
  <si>
    <t>Census Tract 116, Jasper County, Missouri</t>
  </si>
  <si>
    <t>(-94.31911197273503, 37.18286559891292)</t>
  </si>
  <si>
    <t>0.26580925283439627</t>
  </si>
  <si>
    <t>1400000US29097010900</t>
  </si>
  <si>
    <t>Census Tract 109, Jasper County, Missouri</t>
  </si>
  <si>
    <t>(-94.57416733588903, 37.07048048305646)</t>
  </si>
  <si>
    <t>0.22533818623411014</t>
  </si>
  <si>
    <t>1400000US29097011000</t>
  </si>
  <si>
    <t>Census Tract 110, Jasper County, Missouri</t>
  </si>
  <si>
    <t>(-94.52230590187148, 37.08566271136961)</t>
  </si>
  <si>
    <t>1400000US29097011100</t>
  </si>
  <si>
    <t>Census Tract 111, Jasper County, Missouri</t>
  </si>
  <si>
    <t>(-94.52987680991627, 37.102999966233206)</t>
  </si>
  <si>
    <t>0.10467496018655338</t>
  </si>
  <si>
    <t>1400000US29097011200</t>
  </si>
  <si>
    <t>Census Tract 112, Jasper County, Missouri</t>
  </si>
  <si>
    <t>(-94.56926210970126, 37.12075329684371)</t>
  </si>
  <si>
    <t>0.4628829801530879</t>
  </si>
  <si>
    <t>1400000US29097011300</t>
  </si>
  <si>
    <t>Census Tract 113, Jasper County, Missouri</t>
  </si>
  <si>
    <t>(-94.55682625083651, 37.172531862920486)</t>
  </si>
  <si>
    <t>1400000US29097011400</t>
  </si>
  <si>
    <t>011400</t>
  </si>
  <si>
    <t>Census Tract 114, Jasper County, Missouri</t>
  </si>
  <si>
    <t>(-94.48304615632642, 37.160021701546185)</t>
  </si>
  <si>
    <t>0.18302664267726593</t>
  </si>
  <si>
    <t>1400000US29097011500</t>
  </si>
  <si>
    <t>Census Tract 115, Jasper County, Missouri</t>
  </si>
  <si>
    <t>(-94.42768779197947, 37.17002391833174)</t>
  </si>
  <si>
    <t>0.4810942684705006</t>
  </si>
  <si>
    <t>1400000US29097011700</t>
  </si>
  <si>
    <t>Census Tract 117, Jasper County, Missouri</t>
  </si>
  <si>
    <t>(-94.2925277572714, 37.15715575587953)</t>
  </si>
  <si>
    <t>0.15137011628747798</t>
  </si>
  <si>
    <t>1400000US29097011800</t>
  </si>
  <si>
    <t>Census Tract 118, Jasper County, Missouri</t>
  </si>
  <si>
    <t>(-94.33816002609734, 37.15437231606546)</t>
  </si>
  <si>
    <t>0.17243633643499925</t>
  </si>
  <si>
    <t>1400000US29097011900</t>
  </si>
  <si>
    <t>Census Tract 119, Jasper County, Missouri</t>
  </si>
  <si>
    <t>(-94.37380186189876, 37.097299133024976)</t>
  </si>
  <si>
    <t>0.010538155494340966</t>
  </si>
  <si>
    <t>0.4713788359260652</t>
  </si>
  <si>
    <t>1400000US29097012000</t>
  </si>
  <si>
    <t>Census Tract 120, Jasper County, Missouri</t>
  </si>
  <si>
    <t>(-94.1866950969295, 37.098522001825806)</t>
  </si>
  <si>
    <t>0.023982829647944775</t>
  </si>
  <si>
    <t>0.7041721240858895</t>
  </si>
  <si>
    <t>1400000US29097012100</t>
  </si>
  <si>
    <t>Census Tract 121, Jasper County, Missouri</t>
  </si>
  <si>
    <t>(-94.17730633289072, 37.24869903514915)</t>
  </si>
  <si>
    <t>0.9399708685178254</t>
  </si>
  <si>
    <t>1400000US29097012200</t>
  </si>
  <si>
    <t>Census Tract 122, Jasper County, Missouri</t>
  </si>
  <si>
    <t>(-94.46291981823391, 37.278007116805014)</t>
  </si>
  <si>
    <t>0.9906654230757709</t>
  </si>
  <si>
    <t>1400000US29097010200</t>
  </si>
  <si>
    <t>Census Tract 102, Jasper County, Missouri</t>
  </si>
  <si>
    <t>(-94.49055144527, 37.11454406926162)</t>
  </si>
  <si>
    <t>0.15036226075769396</t>
  </si>
  <si>
    <t>1400000US29097010100</t>
  </si>
  <si>
    <t>Census Tract 101, Jasper County, Missouri</t>
  </si>
  <si>
    <t>(-94.49649710682999, 37.093673534209934)</t>
  </si>
  <si>
    <t>0.11503815072416505</t>
  </si>
  <si>
    <t>1400000US29097010300</t>
  </si>
  <si>
    <t>Census Tract 103, Jasper County, Missouri</t>
  </si>
  <si>
    <t>(-94.46323850081538, 37.12268078951391)</t>
  </si>
  <si>
    <t>0.30152904218003307</t>
  </si>
  <si>
    <t>1400000US29097010400</t>
  </si>
  <si>
    <t>Census Tract 104, Jasper County, Missouri</t>
  </si>
  <si>
    <t>(-94.45233512805386, 37.07151411081392)</t>
  </si>
  <si>
    <t>0.19161393761929324</t>
  </si>
  <si>
    <t>1400000US29097010600</t>
  </si>
  <si>
    <t>Census Tract 106, Jasper County, Missouri</t>
  </si>
  <si>
    <t>(-94.5039447070564, 37.072750683073515)</t>
  </si>
  <si>
    <t>1400000US29097010700</t>
  </si>
  <si>
    <t>010700</t>
  </si>
  <si>
    <t>Census Tract 107, Jasper County, Missouri</t>
  </si>
  <si>
    <t>(-94.51462721422968, 37.058466720973925)</t>
  </si>
  <si>
    <t>1400000US29099700110</t>
  </si>
  <si>
    <t>099</t>
  </si>
  <si>
    <t>Jefferson County</t>
  </si>
  <si>
    <t>Census Tract 7001.10, Jefferson County, Missouri</t>
  </si>
  <si>
    <t>(-90.37280309806573, 38.42843372255358)</t>
  </si>
  <si>
    <t>0.14905630080188403</t>
  </si>
  <si>
    <t>1400000US29099700116</t>
  </si>
  <si>
    <t>Census Tract 7001.16, Jefferson County, Missouri</t>
  </si>
  <si>
    <t>(-90.41274834464045, 38.41092950997048)</t>
  </si>
  <si>
    <t>1400000US29099700203</t>
  </si>
  <si>
    <t>Census Tract 7002.03, Jefferson County, Missouri</t>
  </si>
  <si>
    <t>(-90.42604440977767, 38.48642501284568)</t>
  </si>
  <si>
    <t>0.1526200718088239</t>
  </si>
  <si>
    <t>1400000US29099700303</t>
  </si>
  <si>
    <t>Census Tract 7003.03, Jefferson County, Missouri</t>
  </si>
  <si>
    <t>(-90.49632653213693, 38.49376954569207)</t>
  </si>
  <si>
    <t>0.1495788166432544</t>
  </si>
  <si>
    <t>1400000US29099700801</t>
  </si>
  <si>
    <t>Census Tract 7008.01, Jefferson County, Missouri</t>
  </si>
  <si>
    <t>(-90.4106583040453, 38.22507887783374)</t>
  </si>
  <si>
    <t>0.1397344570235719</t>
  </si>
  <si>
    <t>1400000US29099701300</t>
  </si>
  <si>
    <t>Census Tract 7013, Jefferson County, Missouri</t>
  </si>
  <si>
    <t>(-90.51573985096026, 38.12137410687856)</t>
  </si>
  <si>
    <t>0.25000218071117447</t>
  </si>
  <si>
    <t>1400000US29099700208</t>
  </si>
  <si>
    <t>Census Tract 7002.08, Jefferson County, Missouri</t>
  </si>
  <si>
    <t>(-90.44655103177254, 38.47430794553984)</t>
  </si>
  <si>
    <t>0.1541196207245438</t>
  </si>
  <si>
    <t>1400000US29099700209</t>
  </si>
  <si>
    <t>Census Tract 7002.09, Jefferson County, Missouri</t>
  </si>
  <si>
    <t>(-90.46907122105398, 38.45432002035306)</t>
  </si>
  <si>
    <t>0.14117275325583475</t>
  </si>
  <si>
    <t>1400000US29099700210</t>
  </si>
  <si>
    <t>Census Tract 7002.10, Jefferson County, Missouri</t>
  </si>
  <si>
    <t>(-90.46938109930116, 38.48753276054138)</t>
  </si>
  <si>
    <t>0.11961631323762001</t>
  </si>
  <si>
    <t>1400000US29099700211</t>
  </si>
  <si>
    <t>Census Tract 7002.11, Jefferson County, Missouri</t>
  </si>
  <si>
    <t>(-90.50502793305544, 38.462164541248114)</t>
  </si>
  <si>
    <t>0.19000570201180358</t>
  </si>
  <si>
    <t>1400000US29099700107</t>
  </si>
  <si>
    <t>Census Tract 7001.07, Jefferson County, Missouri</t>
  </si>
  <si>
    <t>(-90.4689549892214, 38.39915624445303)</t>
  </si>
  <si>
    <t>1400000US29099700118</t>
  </si>
  <si>
    <t>Census Tract 7001.18, Jefferson County, Missouri</t>
  </si>
  <si>
    <t>(-90.39482242970139, 38.43963218908601)</t>
  </si>
  <si>
    <t>0.15657023662317943</t>
  </si>
  <si>
    <t>1400000US29099700119</t>
  </si>
  <si>
    <t>Census Tract 7001.19, Jefferson County, Missouri</t>
  </si>
  <si>
    <t>(-90.42312026294282, 38.448328442983495)</t>
  </si>
  <si>
    <t>0.11502985052424068</t>
  </si>
  <si>
    <t>1400000US29099700401</t>
  </si>
  <si>
    <t>Census Tract 7004.01, Jefferson County, Missouri</t>
  </si>
  <si>
    <t>(-90.70204746024349, 38.354807343373785)</t>
  </si>
  <si>
    <t>0.4196150906359226</t>
  </si>
  <si>
    <t>1400000US29099700503</t>
  </si>
  <si>
    <t>Census Tract 7005.03, Jefferson County, Missouri</t>
  </si>
  <si>
    <t>(-90.54867209723241, 38.36408569391237)</t>
  </si>
  <si>
    <t>0.3240827979736598</t>
  </si>
  <si>
    <t>1400000US29099700402</t>
  </si>
  <si>
    <t>Census Tract 7004.02, Jefferson County, Missouri</t>
  </si>
  <si>
    <t>(-90.6686301211261, 38.42708060696729)</t>
  </si>
  <si>
    <t>0.011116478453247739</t>
  </si>
  <si>
    <t>0.5907189372574218</t>
  </si>
  <si>
    <t>1400000US29099700502</t>
  </si>
  <si>
    <t>Census Tract 7005.02, Jefferson County, Missouri</t>
  </si>
  <si>
    <t>(-90.58650422768831, 38.284334287797)</t>
  </si>
  <si>
    <t>0.5216007828081755</t>
  </si>
  <si>
    <t>1400000US29099700504</t>
  </si>
  <si>
    <t>Census Tract 7005.04, Jefferson County, Missouri</t>
  </si>
  <si>
    <t>(-90.60623015029769, 38.35658420149044)</t>
  </si>
  <si>
    <t>0.31496786098629187</t>
  </si>
  <si>
    <t>1400000US29099700601</t>
  </si>
  <si>
    <t>Census Tract 7006.01, Jefferson County, Missouri</t>
  </si>
  <si>
    <t>(-90.38732699628918, 38.300405795120454)</t>
  </si>
  <si>
    <t>0.2543039006398283</t>
  </si>
  <si>
    <t>1400000US29099700603</t>
  </si>
  <si>
    <t>Census Tract 7006.03, Jefferson County, Missouri</t>
  </si>
  <si>
    <t>(-90.42197283235613, 38.32761645981609)</t>
  </si>
  <si>
    <t>0.19861883118087217</t>
  </si>
  <si>
    <t>1400000US29099700802</t>
  </si>
  <si>
    <t>Census Tract 7008.02, Jefferson County, Missouri</t>
  </si>
  <si>
    <t>(-90.41233705097854, 38.24774109744665)</t>
  </si>
  <si>
    <t>0.2025568060302808</t>
  </si>
  <si>
    <t>1400000US29099700604</t>
  </si>
  <si>
    <t>Census Tract 7006.04, Jefferson County, Missouri</t>
  </si>
  <si>
    <t>(-90.4970727431025, 38.30798018117733)</t>
  </si>
  <si>
    <t>0.4903708966054063</t>
  </si>
  <si>
    <t>1400000US29099700605</t>
  </si>
  <si>
    <t>Census Tract 7006.05, Jefferson County, Missouri</t>
  </si>
  <si>
    <t>(-90.4518561536357, 38.2805720930344)</t>
  </si>
  <si>
    <t>0.43240376318133283</t>
  </si>
  <si>
    <t>1400000US29099700700</t>
  </si>
  <si>
    <t>Census Tract 7007, Jefferson County, Missouri</t>
  </si>
  <si>
    <t>(-90.38007736425057, 38.2256709038524)</t>
  </si>
  <si>
    <t>0.28384350585760754</t>
  </si>
  <si>
    <t>1400000US29099700900</t>
  </si>
  <si>
    <t>Census Tract 7009, Jefferson County, Missouri</t>
  </si>
  <si>
    <t>(-90.43444325513327, 38.20331613118137)</t>
  </si>
  <si>
    <t>0.24005339517495453</t>
  </si>
  <si>
    <t>1400000US29099701200</t>
  </si>
  <si>
    <t>Census Tract 7012, Jefferson County, Missouri</t>
  </si>
  <si>
    <t>(-90.57915926521322, 38.12389278237044)</t>
  </si>
  <si>
    <t>0.2615167922992745</t>
  </si>
  <si>
    <t>1400000US29099701000</t>
  </si>
  <si>
    <t>Census Tract 7010, Jefferson County, Missouri</t>
  </si>
  <si>
    <t>(-90.5093105936397, 38.19645100558337)</t>
  </si>
  <si>
    <t>0.011138382962592393</t>
  </si>
  <si>
    <t>0.5288851914041518</t>
  </si>
  <si>
    <t>1400000US29099701101</t>
  </si>
  <si>
    <t>Census Tract 7011.01, Jefferson County, Missouri</t>
  </si>
  <si>
    <t>(-90.62751284971786, 38.17177011841348)</t>
  </si>
  <si>
    <t>0.014051741408318299</t>
  </si>
  <si>
    <t>0.6397789500085633</t>
  </si>
  <si>
    <t>1400000US29099701102</t>
  </si>
  <si>
    <t>Census Tract 7011.02, Jefferson County, Missouri</t>
  </si>
  <si>
    <t>(-90.7038230029355, 38.23916361182579)</t>
  </si>
  <si>
    <t>1400000US29099701401</t>
  </si>
  <si>
    <t>Census Tract 7014.01, Jefferson County, Missouri</t>
  </si>
  <si>
    <t>(-90.55813893421941, 38.056834677561035)</t>
  </si>
  <si>
    <t>0.011698868425569749</t>
  </si>
  <si>
    <t>1400000US29099700109</t>
  </si>
  <si>
    <t>Census Tract 7001.09, Jefferson County, Missouri</t>
  </si>
  <si>
    <t>(-90.41884198644908, 38.37881008506503)</t>
  </si>
  <si>
    <t>0.25037427641265664</t>
  </si>
  <si>
    <t>1400000US29099700111</t>
  </si>
  <si>
    <t>Census Tract 7001.11, Jefferson County, Missouri</t>
  </si>
  <si>
    <t>(-90.35277969718572, 38.4396873186207)</t>
  </si>
  <si>
    <t>0.14333958016398188</t>
  </si>
  <si>
    <t>1400000US29099700113</t>
  </si>
  <si>
    <t>Census Tract 7001.13, Jefferson County, Missouri</t>
  </si>
  <si>
    <t>(-90.43194734844216, 38.429466672676604)</t>
  </si>
  <si>
    <t>0.16660566243781658</t>
  </si>
  <si>
    <t>1400000US29099700114</t>
  </si>
  <si>
    <t>Census Tract 7001.14, Jefferson County, Missouri</t>
  </si>
  <si>
    <t>(-90.37515852626616, 38.36569746160117)</t>
  </si>
  <si>
    <t>1400000US29099700115</t>
  </si>
  <si>
    <t>Census Tract 7001.15, Jefferson County, Missouri</t>
  </si>
  <si>
    <t>(-90.3582282342596, 38.39368097903702)</t>
  </si>
  <si>
    <t>0.1645295385995468</t>
  </si>
  <si>
    <t>1400000US29099700117</t>
  </si>
  <si>
    <t>Census Tract 7001.17, Jefferson County, Missouri</t>
  </si>
  <si>
    <t>(-90.39639601238756, 38.40767146551047)</t>
  </si>
  <si>
    <t>1400000US29099700206</t>
  </si>
  <si>
    <t>Census Tract 7002.06, Jefferson County, Missouri</t>
  </si>
  <si>
    <t>(-90.50522868328567, 38.412000470917064)</t>
  </si>
  <si>
    <t>0.28552825924542047</t>
  </si>
  <si>
    <t>1400000US29099700207</t>
  </si>
  <si>
    <t>Census Tract 7002.07, Jefferson County, Missouri</t>
  </si>
  <si>
    <t>(-90.54150910159419, 38.421209808993545)</t>
  </si>
  <si>
    <t>0.1909147368687655</t>
  </si>
  <si>
    <t>1400000US29099700302</t>
  </si>
  <si>
    <t>Census Tract 7003.02, Jefferson County, Missouri</t>
  </si>
  <si>
    <t>(-90.58201148842315, 38.44445302890753)</t>
  </si>
  <si>
    <t>0.27357619315299403</t>
  </si>
  <si>
    <t>1400000US29099700304</t>
  </si>
  <si>
    <t>Census Tract 7003.04, Jefferson County, Missouri</t>
  </si>
  <si>
    <t>(-90.56062621574168, 38.48089030135576)</t>
  </si>
  <si>
    <t>0.34012651503634095</t>
  </si>
  <si>
    <t>1400000US29099701403</t>
  </si>
  <si>
    <t>Census Tract 7014.03, Jefferson County, Missouri</t>
  </si>
  <si>
    <t>(-90.42213832332948, 38.08841880068542)</t>
  </si>
  <si>
    <t>0.012080743590516398</t>
  </si>
  <si>
    <t>0.5367256977223115</t>
  </si>
  <si>
    <t>1400000US29099701404</t>
  </si>
  <si>
    <t>Census Tract 7014.04, Jefferson County, Missouri</t>
  </si>
  <si>
    <t>(-90.35226354721951, 38.152057498305176)</t>
  </si>
  <si>
    <t>0.013419503716099311</t>
  </si>
  <si>
    <t>0.6731046852805049</t>
  </si>
  <si>
    <t>1400000US29101960300</t>
  </si>
  <si>
    <t>Johnson County</t>
  </si>
  <si>
    <t>Census Tract 9603, Johnson County, Missouri</t>
  </si>
  <si>
    <t>(-93.7630361906036, 38.752765035158724)</t>
  </si>
  <si>
    <t>1.5177822919859827</t>
  </si>
  <si>
    <t>1400000US29101960400</t>
  </si>
  <si>
    <t>Census Tract 9604, Johnson County, Missouri</t>
  </si>
  <si>
    <t>(-93.74880503523163, 38.74784693344278)</t>
  </si>
  <si>
    <t>0.13472641767707547</t>
  </si>
  <si>
    <t>1400000US29101960200</t>
  </si>
  <si>
    <t>Census Tract 9602, Johnson County, Missouri</t>
  </si>
  <si>
    <t>(-94.02310974070424, 38.740202072630055)</t>
  </si>
  <si>
    <t>0.024699004694005176</t>
  </si>
  <si>
    <t>0.7578815554968095</t>
  </si>
  <si>
    <t>1400000US29101960100</t>
  </si>
  <si>
    <t>Census Tract 9601, Johnson County, Missouri</t>
  </si>
  <si>
    <t>(-93.80713438910244, 38.868658119719605)</t>
  </si>
  <si>
    <t>1.6990532858666334</t>
  </si>
  <si>
    <t>1400000US29101960500</t>
  </si>
  <si>
    <t>Census Tract 9605, Johnson County, Missouri</t>
  </si>
  <si>
    <t>(-93.71267171239658, 38.751869636513675)</t>
  </si>
  <si>
    <t>0.20893905846507357</t>
  </si>
  <si>
    <t>1400000US29101960600</t>
  </si>
  <si>
    <t>Census Tract 9606, Johnson County, Missouri</t>
  </si>
  <si>
    <t>(-93.74675027405677, 38.76779755133767)</t>
  </si>
  <si>
    <t>0.13715966494134454</t>
  </si>
  <si>
    <t>1400000US29101980000</t>
  </si>
  <si>
    <t>Census Tract 9800, Johnson County, Missouri</t>
  </si>
  <si>
    <t>(-93.56069171328889, 38.73079552671256)</t>
  </si>
  <si>
    <t>0.23591986188900735</t>
  </si>
  <si>
    <t>1400000US29101960700</t>
  </si>
  <si>
    <t>Census Tract 9607, Johnson County, Missouri</t>
  </si>
  <si>
    <t>(-93.54957866517528, 38.754185692596)</t>
  </si>
  <si>
    <t>0.011795350124196158</t>
  </si>
  <si>
    <t>0.8885747034186564</t>
  </si>
  <si>
    <t>1400000US29101960900</t>
  </si>
  <si>
    <t>Census Tract 9609, Johnson County, Missouri</t>
  </si>
  <si>
    <t>(-93.80725684740372, 38.6226776605853)</t>
  </si>
  <si>
    <t>1.6275118860292999</t>
  </si>
  <si>
    <t>1400000US29103960200</t>
  </si>
  <si>
    <t>Knox County</t>
  </si>
  <si>
    <t>Census Tract 9602, Knox County, Missouri</t>
  </si>
  <si>
    <t>(-92.25892139950473, 40.20941441102989)</t>
  </si>
  <si>
    <t>0.032693175607621174</t>
  </si>
  <si>
    <t>0.8282649769686614</t>
  </si>
  <si>
    <t>1400000US29103960100</t>
  </si>
  <si>
    <t>Census Tract 9601, Knox County, Missouri</t>
  </si>
  <si>
    <t>(-92.11393428249643, 40.10325055170178)</t>
  </si>
  <si>
    <t>0.10602308018380047</t>
  </si>
  <si>
    <t>1.6007628834310585</t>
  </si>
  <si>
    <t>1400000US29105960400</t>
  </si>
  <si>
    <t>Laclede County</t>
  </si>
  <si>
    <t>Census Tract 9604, Laclede County, Missouri</t>
  </si>
  <si>
    <t>(-92.66825856532111, 37.697147745385806)</t>
  </si>
  <si>
    <t>0.17442994944096923</t>
  </si>
  <si>
    <t>1400000US29105960500</t>
  </si>
  <si>
    <t>Census Tract 9605, Laclede County, Missouri</t>
  </si>
  <si>
    <t>(-92.6443730041443, 37.66427201213068)</t>
  </si>
  <si>
    <t>0.23111053876242682</t>
  </si>
  <si>
    <t>1400000US29105960600</t>
  </si>
  <si>
    <t>Census Tract 9606, Laclede County, Missouri</t>
  </si>
  <si>
    <t>(-92.6848449266258, 37.6663452474716)</t>
  </si>
  <si>
    <t>0.20332273452073893</t>
  </si>
  <si>
    <t>1400000US29105960100</t>
  </si>
  <si>
    <t>Census Tract 9601, Laclede County, Missouri</t>
  </si>
  <si>
    <t>(-92.75046305974035, 37.72436561249154)</t>
  </si>
  <si>
    <t>1.5720168697018448</t>
  </si>
  <si>
    <t>1400000US29105960298</t>
  </si>
  <si>
    <t>Census Tract 9602.98, Laclede County, Missouri</t>
  </si>
  <si>
    <t>(-92.46499564046535, 37.60896996280354)</t>
  </si>
  <si>
    <t>0.1053867892805745</t>
  </si>
  <si>
    <t>1.8332729960278313</t>
  </si>
  <si>
    <t>1400000US29105960300</t>
  </si>
  <si>
    <t>Census Tract 9603, Laclede County, Missouri</t>
  </si>
  <si>
    <t>(-92.65219815009597, 37.675647302593944)</t>
  </si>
  <si>
    <t>0.020745203247859924</t>
  </si>
  <si>
    <t>1.2266869371755678</t>
  </si>
  <si>
    <t>1400000US29107090601</t>
  </si>
  <si>
    <t>090601</t>
  </si>
  <si>
    <t>Lafayette County</t>
  </si>
  <si>
    <t>Census Tract 906.01, Lafayette County, Missouri</t>
  </si>
  <si>
    <t>(-93.94915290629716, 38.98176639369986)</t>
  </si>
  <si>
    <t>1400000US29107090400</t>
  </si>
  <si>
    <t>Census Tract 904, Lafayette County, Missouri</t>
  </si>
  <si>
    <t>(-93.66765530059918, 39.04597496048093)</t>
  </si>
  <si>
    <t>1.015607036874855</t>
  </si>
  <si>
    <t>1400000US29107090602</t>
  </si>
  <si>
    <t>090602</t>
  </si>
  <si>
    <t>Census Tract 906.02, Lafayette County, Missouri</t>
  </si>
  <si>
    <t>(-94.02147327231488, 38.95300916739016)</t>
  </si>
  <si>
    <t>0.015030908572833799</t>
  </si>
  <si>
    <t>1400000US29107090100</t>
  </si>
  <si>
    <t>Census Tract 901, Lafayette County, Missouri</t>
  </si>
  <si>
    <t>(-93.98870956084446, 39.09098455880949)</t>
  </si>
  <si>
    <t>0.035184720413531746</t>
  </si>
  <si>
    <t>0.9395698011228881</t>
  </si>
  <si>
    <t>1400000US29107090200</t>
  </si>
  <si>
    <t>Census Tract 902, Lafayette County, Missouri</t>
  </si>
  <si>
    <t>(-93.7853808844839, 39.14413308208442)</t>
  </si>
  <si>
    <t>0.025632536266172398</t>
  </si>
  <si>
    <t>0.6991447583974237</t>
  </si>
  <si>
    <t>1400000US29107090300</t>
  </si>
  <si>
    <t>Census Tract 903, Lafayette County, Missouri</t>
  </si>
  <si>
    <t>(-93.58376159403592, 39.17356543206189)</t>
  </si>
  <si>
    <t>0.8240300071673041</t>
  </si>
  <si>
    <t>1400000US29107090500</t>
  </si>
  <si>
    <t>Census Tract 905, Lafayette County, Missouri</t>
  </si>
  <si>
    <t>(-93.70636989051852, 38.9628583948387)</t>
  </si>
  <si>
    <t>0.9719747820411745</t>
  </si>
  <si>
    <t>1400000US29109470601</t>
  </si>
  <si>
    <t>Lawrence County</t>
  </si>
  <si>
    <t>Census Tract 4706.01, Lawrence County, Missouri</t>
  </si>
  <si>
    <t>(-93.73229253731974, 36.97142800337356)</t>
  </si>
  <si>
    <t>0.17796325688102485</t>
  </si>
  <si>
    <t>1400000US29109470400</t>
  </si>
  <si>
    <t>Census Tract 4704, Lawrence County, Missouri</t>
  </si>
  <si>
    <t>(-93.97190329295921, 36.961444742129366)</t>
  </si>
  <si>
    <t>0.011245690585279135</t>
  </si>
  <si>
    <t>0.5427897051735987</t>
  </si>
  <si>
    <t>1400000US29109470500</t>
  </si>
  <si>
    <t>Census Tract 4705, Lawrence County, Missouri</t>
  </si>
  <si>
    <t>(-93.66790688004443, 37.043978716253676)</t>
  </si>
  <si>
    <t>0.027024655472844862</t>
  </si>
  <si>
    <t>1.0344396984024193</t>
  </si>
  <si>
    <t>1400000US29109470602</t>
  </si>
  <si>
    <t>Census Tract 4706.02, Lawrence County, Missouri</t>
  </si>
  <si>
    <t>(-93.70366483602965, 36.973549074828405)</t>
  </si>
  <si>
    <t>0.17028012916267807</t>
  </si>
  <si>
    <t>1400000US29109470100</t>
  </si>
  <si>
    <t>Census Tract 4701, Lawrence County, Missouri</t>
  </si>
  <si>
    <t>(-93.83214398266209, 37.229140209545065)</t>
  </si>
  <si>
    <t>1.2249866716241253</t>
  </si>
  <si>
    <t>1400000US29109470200</t>
  </si>
  <si>
    <t>Census Tract 4702, Lawrence County, Missouri</t>
  </si>
  <si>
    <t>(-93.79440644489121, 37.11183194247861)</t>
  </si>
  <si>
    <t>0.023750747475308295</t>
  </si>
  <si>
    <t>0.7735874682603584</t>
  </si>
  <si>
    <t>1400000US29109470300</t>
  </si>
  <si>
    <t>Census Tract 4703, Lawrence County, Missouri</t>
  </si>
  <si>
    <t>(-93.92328877308402, 37.048417349085305)</t>
  </si>
  <si>
    <t>1.2019722723730852</t>
  </si>
  <si>
    <t>1400000US29111970100</t>
  </si>
  <si>
    <t>Lewis County</t>
  </si>
  <si>
    <t>Census Tract 9701, Lewis County, Missouri</t>
  </si>
  <si>
    <t>(-91.55634524742351, 40.17420288126142)</t>
  </si>
  <si>
    <t>0.014568196259725627</t>
  </si>
  <si>
    <t>0.7109874146344766</t>
  </si>
  <si>
    <t>1400000US29111970200</t>
  </si>
  <si>
    <t>Census Tract 9702, Lewis County, Missouri</t>
  </si>
  <si>
    <t>(-91.80808669283333, 40.167301252409004)</t>
  </si>
  <si>
    <t>0.053557341441456206</t>
  </si>
  <si>
    <t>1.3605769893684294</t>
  </si>
  <si>
    <t>1400000US29111970300</t>
  </si>
  <si>
    <t>Census Tract 9703, Lewis County, Missouri</t>
  </si>
  <si>
    <t>(-91.74929106216472, 40.03397581168339)</t>
  </si>
  <si>
    <t>0.051518314292157814</t>
  </si>
  <si>
    <t>1.4923667578797075</t>
  </si>
  <si>
    <t>1400000US29111970400</t>
  </si>
  <si>
    <t>Census Tract 9704, Lewis County, Missouri</t>
  </si>
  <si>
    <t>(-91.54355357672694, 40.014452478012196)</t>
  </si>
  <si>
    <t>0.020100046381548692</t>
  </si>
  <si>
    <t>0.7887674967984124</t>
  </si>
  <si>
    <t>1400000US29113810301</t>
  </si>
  <si>
    <t>Lincoln County</t>
  </si>
  <si>
    <t>Census Tract 8103.01, Lincoln County, Missouri</t>
  </si>
  <si>
    <t>(-90.9787584779217, 39.01396605944803)</t>
  </si>
  <si>
    <t>1400000US29113810100</t>
  </si>
  <si>
    <t>Census Tract 8101, Lincoln County, Missouri</t>
  </si>
  <si>
    <t>(-90.83638625772802, 39.16497378557045)</t>
  </si>
  <si>
    <t>0.7766189045521217</t>
  </si>
  <si>
    <t>1400000US29113810201</t>
  </si>
  <si>
    <t>Census Tract 8102.01, Lincoln County, Missouri</t>
  </si>
  <si>
    <t>(-91.08157944737269, 38.942403073967085)</t>
  </si>
  <si>
    <t>0.017729087262482287</t>
  </si>
  <si>
    <t>0.6275489199408263</t>
  </si>
  <si>
    <t>1400000US29113810202</t>
  </si>
  <si>
    <t>Census Tract 8102.02, Lincoln County, Missouri</t>
  </si>
  <si>
    <t>(-91.10285313954166, 39.10687876039442)</t>
  </si>
  <si>
    <t>1.160928825668506</t>
  </si>
  <si>
    <t>1400000US29113810303</t>
  </si>
  <si>
    <t>Census Tract 8103.03, Lincoln County, Missouri</t>
  </si>
  <si>
    <t>(-90.91599567063592, 38.914790109198364)</t>
  </si>
  <si>
    <t>0.013351340481422244</t>
  </si>
  <si>
    <t>0.6447240664137533</t>
  </si>
  <si>
    <t>1400000US29113810304</t>
  </si>
  <si>
    <t>Census Tract 8103.04, Lincoln County, Missouri</t>
  </si>
  <si>
    <t>(-90.88755899227918, 39.01866438525935)</t>
  </si>
  <si>
    <t>0.017047321571697763</t>
  </si>
  <si>
    <t>0.6979679693741484</t>
  </si>
  <si>
    <t>1400000US29113810400</t>
  </si>
  <si>
    <t>Census Tract 8104, Lincoln County, Missouri</t>
  </si>
  <si>
    <t>(-90.75887617118993, 39.02007461632224)</t>
  </si>
  <si>
    <t>0.028440244275491158</t>
  </si>
  <si>
    <t>0.8975335208422534</t>
  </si>
  <si>
    <t>1400000US29115490100</t>
  </si>
  <si>
    <t>Linn County</t>
  </si>
  <si>
    <t>Census Tract 4901, Linn County, Missouri</t>
  </si>
  <si>
    <t>(-92.97442941179763, 39.91255255300561)</t>
  </si>
  <si>
    <t>1.1701432412677977</t>
  </si>
  <si>
    <t>1400000US29115490400</t>
  </si>
  <si>
    <t>Census Tract 4904, Linn County, Missouri</t>
  </si>
  <si>
    <t>(-93.05292099545015, 39.78100060584837)</t>
  </si>
  <si>
    <t>1400000US29115490200</t>
  </si>
  <si>
    <t>Census Tract 4902, Linn County, Missouri</t>
  </si>
  <si>
    <t>(-93.25200797191526, 39.89136145704946)</t>
  </si>
  <si>
    <t>1.5613711674276243</t>
  </si>
  <si>
    <t>1400000US29115490300</t>
  </si>
  <si>
    <t>Census Tract 4903, Linn County, Missouri</t>
  </si>
  <si>
    <t>(-93.13522995061189, 39.77170865539131)</t>
  </si>
  <si>
    <t>1.1529687626460823</t>
  </si>
  <si>
    <t>1400000US29115490500</t>
  </si>
  <si>
    <t>Census Tract 4905, Linn County, Missouri</t>
  </si>
  <si>
    <t>(-92.94166345296952, 39.73093577838887)</t>
  </si>
  <si>
    <t>0.4713674391389371</t>
  </si>
  <si>
    <t>1400000US29117480300</t>
  </si>
  <si>
    <t>Livingston County</t>
  </si>
  <si>
    <t>Census Tract 4803, Livingston County, Missouri</t>
  </si>
  <si>
    <t>(-93.55186466033594, 39.80674526515887)</t>
  </si>
  <si>
    <t>0.13820454045785435</t>
  </si>
  <si>
    <t>1400000US29117480400</t>
  </si>
  <si>
    <t>Census Tract 4804, Livingston County, Missouri</t>
  </si>
  <si>
    <t>(-93.5665131981952, 39.78733464817189)</t>
  </si>
  <si>
    <t>0.1094331952705016</t>
  </si>
  <si>
    <t>1400000US29117480100</t>
  </si>
  <si>
    <t>Census Tract 4801, Livingston County, Missouri</t>
  </si>
  <si>
    <t>(-93.46435000949731, 39.8484950713372)</t>
  </si>
  <si>
    <t>1.4364626698269762</t>
  </si>
  <si>
    <t>1400000US29117480200</t>
  </si>
  <si>
    <t>Census Tract 4802, Livingston County, Missouri</t>
  </si>
  <si>
    <t>(-93.595902872482, 39.74413434047096)</t>
  </si>
  <si>
    <t>1.7674276381319134</t>
  </si>
  <si>
    <t>1400000US29117480500</t>
  </si>
  <si>
    <t>Census Tract 4805, Livingston County, Missouri</t>
  </si>
  <si>
    <t>(-93.54267390729956, 39.78690250234581)</t>
  </si>
  <si>
    <t>1400000US29119070100</t>
  </si>
  <si>
    <t>McDonald County</t>
  </si>
  <si>
    <t>Census Tract 701, McDonald County, Missouri</t>
  </si>
  <si>
    <t>(-94.20561953613317, 36.63018162342767)</t>
  </si>
  <si>
    <t>1.3594917880641473</t>
  </si>
  <si>
    <t>1400000US29119070200</t>
  </si>
  <si>
    <t>Census Tract 702, McDonald County, Missouri</t>
  </si>
  <si>
    <t>(-94.52311840091879, 36.69880365941479)</t>
  </si>
  <si>
    <t>0.9181535751054815</t>
  </si>
  <si>
    <t>1400000US29119070300</t>
  </si>
  <si>
    <t>Census Tract 703, McDonald County, Missouri</t>
  </si>
  <si>
    <t>(-94.49554128995301, 36.54785928701455)</t>
  </si>
  <si>
    <t>0.025346195979607997</t>
  </si>
  <si>
    <t>0.9210311121610169</t>
  </si>
  <si>
    <t>1400000US29119070400</t>
  </si>
  <si>
    <t>Census Tract 704, McDonald County, Missouri</t>
  </si>
  <si>
    <t>(-94.39802859125469, 36.63492370530414)</t>
  </si>
  <si>
    <t>0.023824906864902455</t>
  </si>
  <si>
    <t>0.9936819106437045</t>
  </si>
  <si>
    <t>1400000US29121960300</t>
  </si>
  <si>
    <t>Macon County</t>
  </si>
  <si>
    <t>Census Tract 9603, Macon County, Missouri</t>
  </si>
  <si>
    <t>(-92.4725609641053, 39.73623284836281)</t>
  </si>
  <si>
    <t>2.250803006834805</t>
  </si>
  <si>
    <t>1400000US29121960400</t>
  </si>
  <si>
    <t>Census Tract 9604, Macon County, Missouri</t>
  </si>
  <si>
    <t>(-92.45320137360711, 39.759042177505926)</t>
  </si>
  <si>
    <t>0.3693390313969332</t>
  </si>
  <si>
    <t>1400000US29121960100</t>
  </si>
  <si>
    <t>Census Tract 9601, Macon County, Missouri</t>
  </si>
  <si>
    <t>(-92.40890869791957, 39.94330232460615)</t>
  </si>
  <si>
    <t>0.8795748041859185</t>
  </si>
  <si>
    <t>1400000US29121960200</t>
  </si>
  <si>
    <t>Census Tract 9602, Macon County, Missouri</t>
  </si>
  <si>
    <t>(-92.70456636834795, 39.883780695688785)</t>
  </si>
  <si>
    <t>1.5095727876714715</t>
  </si>
  <si>
    <t>1400000US29121960500</t>
  </si>
  <si>
    <t>Census Tract 9605, Macon County, Missouri</t>
  </si>
  <si>
    <t>(-92.48170706548049, 39.695150930355254)</t>
  </si>
  <si>
    <t>0.5866225691021604</t>
  </si>
  <si>
    <t>1400000US29123960100</t>
  </si>
  <si>
    <t>Madison County</t>
  </si>
  <si>
    <t>Census Tract 9601, Madison County, Missouri</t>
  </si>
  <si>
    <t>(-90.31347902677192, 37.427336370864055)</t>
  </si>
  <si>
    <t>1.5388665691557883</t>
  </si>
  <si>
    <t>1400000US29123960200</t>
  </si>
  <si>
    <t>Census Tract 9602, Madison County, Missouri</t>
  </si>
  <si>
    <t>(-90.29060688052014, 37.560433696916625)</t>
  </si>
  <si>
    <t>0.36361835177092594</t>
  </si>
  <si>
    <t>1400000US29123960300</t>
  </si>
  <si>
    <t>Census Tract 9603, Madison County, Missouri</t>
  </si>
  <si>
    <t>(-90.40532898104087, 37.56027542186592)</t>
  </si>
  <si>
    <t>1.3526811417269058</t>
  </si>
  <si>
    <t>1400000US29125880100</t>
  </si>
  <si>
    <t>Maries County</t>
  </si>
  <si>
    <t>Census Tract 8801, Maries County, Missouri</t>
  </si>
  <si>
    <t>(-91.73603685652631, 38.223763568384896)</t>
  </si>
  <si>
    <t>0.024915079844647615</t>
  </si>
  <si>
    <t>0.8467825985712881</t>
  </si>
  <si>
    <t>1400000US29125880298</t>
  </si>
  <si>
    <t>Census Tract 8802.98, Maries County, Missouri</t>
  </si>
  <si>
    <t>(-92.0033311763844, 38.21522867629684)</t>
  </si>
  <si>
    <t>1.2759543423943416</t>
  </si>
  <si>
    <t>1400000US29125880300</t>
  </si>
  <si>
    <t>Census Tract 8803, Maries County, Missouri</t>
  </si>
  <si>
    <t>(-91.93337894595163, 38.09190269986822)</t>
  </si>
  <si>
    <t>1.5626238332697422</t>
  </si>
  <si>
    <t>1400000US29127960300</t>
  </si>
  <si>
    <t>Marion County</t>
  </si>
  <si>
    <t>Census Tract 9603, Marion County, Missouri</t>
  </si>
  <si>
    <t>(-91.52631968637128, 39.79943120456794)</t>
  </si>
  <si>
    <t>0.2630716459754096</t>
  </si>
  <si>
    <t>1400000US29127960500</t>
  </si>
  <si>
    <t>Census Tract 9605, Marion County, Missouri</t>
  </si>
  <si>
    <t>(-91.36915567343615, 39.70868003979533)</t>
  </si>
  <si>
    <t>1400000US29127960800</t>
  </si>
  <si>
    <t>Census Tract 9608, Marion County, Missouri</t>
  </si>
  <si>
    <t>(-91.34818133023062, 39.69574835962947)</t>
  </si>
  <si>
    <t>0.17729281997215374</t>
  </si>
  <si>
    <t>1400000US29127960100</t>
  </si>
  <si>
    <t>Census Tract 9601, Marion County, Missouri</t>
  </si>
  <si>
    <t>(-91.51281302471065, 39.81082475561499)</t>
  </si>
  <si>
    <t>1.466610022033167</t>
  </si>
  <si>
    <t>1400000US29127960200</t>
  </si>
  <si>
    <t>Census Tract 9602, Marion County, Missouri</t>
  </si>
  <si>
    <t>(-91.73157014234577, 39.80910075775097)</t>
  </si>
  <si>
    <t>1.1457264871677595</t>
  </si>
  <si>
    <t>1400000US29127960400</t>
  </si>
  <si>
    <t>Census Tract 9604, Marion County, Missouri</t>
  </si>
  <si>
    <t>(-91.38757527659688, 39.7440875499754)</t>
  </si>
  <si>
    <t>0.2940020547103124</t>
  </si>
  <si>
    <t>1400000US29127960600</t>
  </si>
  <si>
    <t>Census Tract 9606, Marion County, Missouri</t>
  </si>
  <si>
    <t>(-91.39426678140381, 39.7096419160154)</t>
  </si>
  <si>
    <t>0.10786342799423043</t>
  </si>
  <si>
    <t>1400000US29127960900</t>
  </si>
  <si>
    <t>Census Tract 9609, Marion County, Missouri</t>
  </si>
  <si>
    <t>(-91.39486152257989, 39.69559981284826)</t>
  </si>
  <si>
    <t>0.12393737056544299</t>
  </si>
  <si>
    <t>1400000US29129470100</t>
  </si>
  <si>
    <t>Mercer County</t>
  </si>
  <si>
    <t>Census Tract 4701, Mercer County, Missouri</t>
  </si>
  <si>
    <t>(-93.51922185437117, 40.46080288003212)</t>
  </si>
  <si>
    <t>1.612537167646433</t>
  </si>
  <si>
    <t>1400000US29129470200</t>
  </si>
  <si>
    <t>Census Tract 4702, Mercer County, Missouri</t>
  </si>
  <si>
    <t>(-93.63951992686606, 40.36706083324281)</t>
  </si>
  <si>
    <t>1.0596926967953326</t>
  </si>
  <si>
    <t>1400000US29131962900</t>
  </si>
  <si>
    <t>Miller County</t>
  </si>
  <si>
    <t>Census Tract 9629, Miller County, Missouri</t>
  </si>
  <si>
    <t>(-92.58082254920409, 38.3461903597779)</t>
  </si>
  <si>
    <t>0.2046602468318821</t>
  </si>
  <si>
    <t>1400000US29131962700</t>
  </si>
  <si>
    <t>Census Tract 9627, Miller County, Missouri</t>
  </si>
  <si>
    <t>(-92.63455504273452, 38.28245719538638)</t>
  </si>
  <si>
    <t>0.5600207483993144</t>
  </si>
  <si>
    <t>1400000US29131962500</t>
  </si>
  <si>
    <t>Census Tract 9625, Miller County, Missouri</t>
  </si>
  <si>
    <t>(-92.30252963300195, 38.1730981090461)</t>
  </si>
  <si>
    <t>1.196760131920447</t>
  </si>
  <si>
    <t>1400000US29131962600</t>
  </si>
  <si>
    <t>Census Tract 9626, Miller County, Missouri</t>
  </si>
  <si>
    <t>(-92.50645037576265, 38.36587166295271)</t>
  </si>
  <si>
    <t>0.8927736187562846</t>
  </si>
  <si>
    <t>1400000US29131962800</t>
  </si>
  <si>
    <t>Census Tract 9628, Miller County, Missouri</t>
  </si>
  <si>
    <t>(-92.5044871003589, 38.1651986672959)</t>
  </si>
  <si>
    <t>1.1307225474375124</t>
  </si>
  <si>
    <t>1400000US29133950100</t>
  </si>
  <si>
    <t>Mississippi County</t>
  </si>
  <si>
    <t>Census Tract 9501, Mississippi County, Missouri</t>
  </si>
  <si>
    <t>(-89.29487762272537, 36.92049724592009)</t>
  </si>
  <si>
    <t>0.052690643211419655</t>
  </si>
  <si>
    <t>1.7004018724424252</t>
  </si>
  <si>
    <t>1400000US29133950200</t>
  </si>
  <si>
    <t>Census Tract 9502, Mississippi County, Missouri</t>
  </si>
  <si>
    <t>(-89.34362092694158, 36.92037184164301)</t>
  </si>
  <si>
    <t>0.2677822000190932</t>
  </si>
  <si>
    <t>1400000US29133950400</t>
  </si>
  <si>
    <t>Census Tract 9504, Mississippi County, Missouri</t>
  </si>
  <si>
    <t>(-89.39214537061501, 36.77962301812262)</t>
  </si>
  <si>
    <t>0.16343847728844046</t>
  </si>
  <si>
    <t>1400000US29133950300</t>
  </si>
  <si>
    <t>Census Tract 9503, Mississippi County, Missouri</t>
  </si>
  <si>
    <t>(-89.28266455018199, 36.73607115115436)</t>
  </si>
  <si>
    <t>1.5800763427905566</t>
  </si>
  <si>
    <t>1400000US29135385200</t>
  </si>
  <si>
    <t>Moniteau County</t>
  </si>
  <si>
    <t>Census Tract 3852, Moniteau County, Missouri</t>
  </si>
  <si>
    <t>(-92.5658312885878, 38.62737984041717)</t>
  </si>
  <si>
    <t>0.18235975131902457</t>
  </si>
  <si>
    <t>1400000US29135385400</t>
  </si>
  <si>
    <t>Census Tract 3854, Moniteau County, Missouri</t>
  </si>
  <si>
    <t>(-92.78014909339932, 38.62207775185845)</t>
  </si>
  <si>
    <t>0.013980612984062056</t>
  </si>
  <si>
    <t>0.5700665333054705</t>
  </si>
  <si>
    <t>1400000US29135385100</t>
  </si>
  <si>
    <t>Census Tract 3851, Moniteau County, Missouri</t>
  </si>
  <si>
    <t>(-92.5010301916886, 38.71752727943708)</t>
  </si>
  <si>
    <t>1.329783866476787</t>
  </si>
  <si>
    <t>1400000US29135385300</t>
  </si>
  <si>
    <t>Census Tract 3853, Moniteau County, Missouri</t>
  </si>
  <si>
    <t>(-92.61524157838622, 38.54115545671827)</t>
  </si>
  <si>
    <t>1.1237970550194292</t>
  </si>
  <si>
    <t>1400000US29137960100</t>
  </si>
  <si>
    <t>Monroe County</t>
  </si>
  <si>
    <t>Census Tract 9601, Monroe County, Missouri</t>
  </si>
  <si>
    <t>(-91.81461984573139, 39.48187246171659)</t>
  </si>
  <si>
    <t>0.061007184713037683</t>
  </si>
  <si>
    <t>1.3930273533690087</t>
  </si>
  <si>
    <t>1400000US29137960200</t>
  </si>
  <si>
    <t>Census Tract 9602, Monroe County, Missouri</t>
  </si>
  <si>
    <t>(-91.99329487443293, 39.50103165638611)</t>
  </si>
  <si>
    <t>1.4652763685225596</t>
  </si>
  <si>
    <t>1400000US29137960300</t>
  </si>
  <si>
    <t>Census Tract 9603, Monroe County, Missouri</t>
  </si>
  <si>
    <t>(-92.18515594966637, 39.50345684147467)</t>
  </si>
  <si>
    <t>1.1991100898385256</t>
  </si>
  <si>
    <t>1400000US29139970100</t>
  </si>
  <si>
    <t>Montgomery County</t>
  </si>
  <si>
    <t>Census Tract 9701, Montgomery County, Missouri</t>
  </si>
  <si>
    <t>(-91.44974326003624, 39.09080044584889)</t>
  </si>
  <si>
    <t>1.1678291360730193</t>
  </si>
  <si>
    <t>1400000US29139970200</t>
  </si>
  <si>
    <t>Census Tract 9702, Montgomery County, Missouri</t>
  </si>
  <si>
    <t>(-91.51271315926807, 38.99447002404439)</t>
  </si>
  <si>
    <t>0.024198225834110385</t>
  </si>
  <si>
    <t>1400000US29139970300</t>
  </si>
  <si>
    <t>Census Tract 9703, Montgomery County, Missouri</t>
  </si>
  <si>
    <t>(-91.5292062285397, 38.81778030526408)</t>
  </si>
  <si>
    <t>0.056660831879511805</t>
  </si>
  <si>
    <t>1.0732548043425103</t>
  </si>
  <si>
    <t>1400000US29139970400</t>
  </si>
  <si>
    <t>Census Tract 9704, Montgomery County, Missouri</t>
  </si>
  <si>
    <t>(-91.33569712564793, 38.93770544121008)</t>
  </si>
  <si>
    <t>0.026590299837594672</t>
  </si>
  <si>
    <t>0.7232288347117172</t>
  </si>
  <si>
    <t>1400000US29141470100</t>
  </si>
  <si>
    <t>Morgan County</t>
  </si>
  <si>
    <t>Census Tract 4701, Morgan County, Missouri</t>
  </si>
  <si>
    <t>(-92.8526153653652, 38.52009198977967)</t>
  </si>
  <si>
    <t>1.7435808530455086</t>
  </si>
  <si>
    <t>1400000US29141470200</t>
  </si>
  <si>
    <t>Census Tract 4702, Morgan County, Missouri</t>
  </si>
  <si>
    <t>(-92.96015815288384, 38.440686965743474)</t>
  </si>
  <si>
    <t>1.0332223508550724</t>
  </si>
  <si>
    <t>1400000US29141470300</t>
  </si>
  <si>
    <t>Census Tract 4703, Morgan County, Missouri</t>
  </si>
  <si>
    <t>(-92.8390980608753, 38.43564701448476)</t>
  </si>
  <si>
    <t>0.36053028578562696</t>
  </si>
  <si>
    <t>1400000US29141470400</t>
  </si>
  <si>
    <t>Census Tract 4704, Morgan County, Missouri</t>
  </si>
  <si>
    <t>(-92.75521272690074, 38.29373210420515)</t>
  </si>
  <si>
    <t>0.012915751119448975</t>
  </si>
  <si>
    <t>0.6406207264328826</t>
  </si>
  <si>
    <t>1400000US29141470500</t>
  </si>
  <si>
    <t>Census Tract 4705, Morgan County, Missouri</t>
  </si>
  <si>
    <t>(-92.92269199248221, 38.27372823589299)</t>
  </si>
  <si>
    <t>0.039419865434864525</t>
  </si>
  <si>
    <t>1.171916688638128</t>
  </si>
  <si>
    <t>1400000US29143960100</t>
  </si>
  <si>
    <t>New Madrid County</t>
  </si>
  <si>
    <t>Census Tract 9601, New Madrid County, Missouri</t>
  </si>
  <si>
    <t>(-89.58987293053264, 36.79591173421411)</t>
  </si>
  <si>
    <t>0.029089379924064265</t>
  </si>
  <si>
    <t>0.8350097553844302</t>
  </si>
  <si>
    <t>1400000US29143960200</t>
  </si>
  <si>
    <t>Census Tract 9602, New Madrid County, Missouri</t>
  </si>
  <si>
    <t>(-89.51639260645422, 36.64424277751707)</t>
  </si>
  <si>
    <t>0.058251568115136265</t>
  </si>
  <si>
    <t>1.5219852546458565</t>
  </si>
  <si>
    <t>1400000US29143960300</t>
  </si>
  <si>
    <t>Census Tract 9603, New Madrid County, Missouri</t>
  </si>
  <si>
    <t>(-89.56170560212949, 36.5848005877218)</t>
  </si>
  <si>
    <t>0.45817062192363917</t>
  </si>
  <si>
    <t>1400000US29143960600</t>
  </si>
  <si>
    <t>Census Tract 9606, New Madrid County, Missouri</t>
  </si>
  <si>
    <t>(-89.69028154987247, 36.44287804514254)</t>
  </si>
  <si>
    <t>0.23741931961535964</t>
  </si>
  <si>
    <t>1400000US29143960400</t>
  </si>
  <si>
    <t>Census Tract 9604, New Madrid County, Missouri</t>
  </si>
  <si>
    <t>(-89.66417045177813, 36.50993098709683)</t>
  </si>
  <si>
    <t>1.3330518120508341</t>
  </si>
  <si>
    <t>1400000US29143960500</t>
  </si>
  <si>
    <t>Census Tract 9605, New Madrid County, Missouri</t>
  </si>
  <si>
    <t>(-89.84729934750985, 36.490175747933414)</t>
  </si>
  <si>
    <t>0.048597152635404386</t>
  </si>
  <si>
    <t>1.064444665575622</t>
  </si>
  <si>
    <t>1400000US29145020100</t>
  </si>
  <si>
    <t>020100</t>
  </si>
  <si>
    <t>Newton County</t>
  </si>
  <si>
    <t>Census Tract 201, Newton County, Missouri</t>
  </si>
  <si>
    <t>(-94.38687440667324, 36.86256644571499)</t>
  </si>
  <si>
    <t>0.13133520301057855</t>
  </si>
  <si>
    <t>1400000US29145020200</t>
  </si>
  <si>
    <t>Census Tract 202, Newton County, Missouri</t>
  </si>
  <si>
    <t>(-94.35860631821416, 36.8593222482682)</t>
  </si>
  <si>
    <t>0.24126032571135644</t>
  </si>
  <si>
    <t>1400000US29145020300</t>
  </si>
  <si>
    <t>Census Tract 203, Newton County, Missouri</t>
  </si>
  <si>
    <t>(-94.35081294723184, 36.89123150259363)</t>
  </si>
  <si>
    <t>1400000US29145020400</t>
  </si>
  <si>
    <t>Census Tract 204, Newton County, Missouri</t>
  </si>
  <si>
    <t>(-94.25346385218442, 36.99387378450193)</t>
  </si>
  <si>
    <t>1.072899483865651</t>
  </si>
  <si>
    <t>1400000US29145020501</t>
  </si>
  <si>
    <t>020501</t>
  </si>
  <si>
    <t>Census Tract 205.01, Newton County, Missouri</t>
  </si>
  <si>
    <t>(-94.47075409468059, 37.034550083112876)</t>
  </si>
  <si>
    <t>0.23176782505029567</t>
  </si>
  <si>
    <t>1400000US29145020502</t>
  </si>
  <si>
    <t>020502</t>
  </si>
  <si>
    <t>Census Tract 205.02, Newton County, Missouri</t>
  </si>
  <si>
    <t>(-94.5275462533308, 37.0267803017642)</t>
  </si>
  <si>
    <t>0.27556032693424687</t>
  </si>
  <si>
    <t>1400000US29145020601</t>
  </si>
  <si>
    <t>020601</t>
  </si>
  <si>
    <t>Census Tract 206.01, Newton County, Missouri</t>
  </si>
  <si>
    <t>(-94.56424457231209, 36.987421298033496)</t>
  </si>
  <si>
    <t>0.011533541061553293</t>
  </si>
  <si>
    <t>0.6982791493127786</t>
  </si>
  <si>
    <t>1400000US29145020602</t>
  </si>
  <si>
    <t>Census Tract 206.02, Newton County, Missouri</t>
  </si>
  <si>
    <t>(-94.47710612880606, 36.927447884284476)</t>
  </si>
  <si>
    <t>0.016504730509124207</t>
  </si>
  <si>
    <t>0.6678391313923491</t>
  </si>
  <si>
    <t>1400000US29145020700</t>
  </si>
  <si>
    <t>Census Tract 207, Newton County, Missouri</t>
  </si>
  <si>
    <t>(-94.57050182417993, 36.830677598639305)</t>
  </si>
  <si>
    <t>0.012552958820592113</t>
  </si>
  <si>
    <t>0.4572064187700498</t>
  </si>
  <si>
    <t>1400000US29145020800</t>
  </si>
  <si>
    <t>020800</t>
  </si>
  <si>
    <t>Census Tract 208, Newton County, Missouri</t>
  </si>
  <si>
    <t>(-94.43070367339503, 36.815969959038526)</t>
  </si>
  <si>
    <t>0.021561309629159562</t>
  </si>
  <si>
    <t>0.6890681738160025</t>
  </si>
  <si>
    <t>1400000US29145020900</t>
  </si>
  <si>
    <t>020900</t>
  </si>
  <si>
    <t>Census Tract 209, Newton County, Missouri</t>
  </si>
  <si>
    <t>(-94.25405280571066, 36.88341672444829)</t>
  </si>
  <si>
    <t>0.014436662823235078</t>
  </si>
  <si>
    <t>0.4991491905410035</t>
  </si>
  <si>
    <t>1400000US29145021000</t>
  </si>
  <si>
    <t>021000</t>
  </si>
  <si>
    <t>Census Tract 210, Newton County, Missouri</t>
  </si>
  <si>
    <t>(-94.16629527526626, 36.82848663954244)</t>
  </si>
  <si>
    <t>0.9032641223657804</t>
  </si>
  <si>
    <t>1400000US29147470300</t>
  </si>
  <si>
    <t>Nodaway County</t>
  </si>
  <si>
    <t>Census Tract 4703, Nodaway County, Missouri</t>
  </si>
  <si>
    <t>(-94.88358162390472, 40.342539192729554)</t>
  </si>
  <si>
    <t>0.18131457631719966</t>
  </si>
  <si>
    <t>1400000US29147470100</t>
  </si>
  <si>
    <t>Census Tract 4701, Nodaway County, Missouri</t>
  </si>
  <si>
    <t>(-94.91885464368971, 40.516993449029926)</t>
  </si>
  <si>
    <t>0.059876084880079825</t>
  </si>
  <si>
    <t>1.7325665522445621</t>
  </si>
  <si>
    <t>1400000US29147470200</t>
  </si>
  <si>
    <t>Census Tract 4702, Nodaway County, Missouri</t>
  </si>
  <si>
    <t>(-94.99679339538596, 40.30148104418862)</t>
  </si>
  <si>
    <t>1.7414763216268443</t>
  </si>
  <si>
    <t>1400000US29147470400</t>
  </si>
  <si>
    <t>Census Tract 4704, Nodaway County, Missouri</t>
  </si>
  <si>
    <t>(-94.85615839215181, 40.34822271951011)</t>
  </si>
  <si>
    <t>0.1849352033303308</t>
  </si>
  <si>
    <t>1400000US29147470500</t>
  </si>
  <si>
    <t>Census Tract 4705, Nodaway County, Missouri</t>
  </si>
  <si>
    <t>(-94.74431358800193, 40.31587972574671)</t>
  </si>
  <si>
    <t>1.8097046560051555</t>
  </si>
  <si>
    <t>1400000US29149480100</t>
  </si>
  <si>
    <t>Oregon County</t>
  </si>
  <si>
    <t>Census Tract 4801, Oregon County, Missouri</t>
  </si>
  <si>
    <t>(-91.37638431977417, 36.771743818894706)</t>
  </si>
  <si>
    <t>0.10594601902055865</t>
  </si>
  <si>
    <t>2.0676998261332113</t>
  </si>
  <si>
    <t>1400000US29149480200</t>
  </si>
  <si>
    <t>Census Tract 4802, Oregon County, Missouri</t>
  </si>
  <si>
    <t>(-91.60993157555295, 36.62385132465112)</t>
  </si>
  <si>
    <t>1.0815924769421983</t>
  </si>
  <si>
    <t>1400000US29149480300</t>
  </si>
  <si>
    <t>Census Tract 4803, Oregon County, Missouri</t>
  </si>
  <si>
    <t>(-91.34997986196011, 36.58508423486172)</t>
  </si>
  <si>
    <t>1.749275875603379</t>
  </si>
  <si>
    <t>1400000US29151490300</t>
  </si>
  <si>
    <t>Osage County</t>
  </si>
  <si>
    <t>Census Tract 4903, Osage County, Missouri</t>
  </si>
  <si>
    <t>(-92.04482662997404, 38.39050372337521)</t>
  </si>
  <si>
    <t>0.039868789926335184</t>
  </si>
  <si>
    <t>1.324041048666627</t>
  </si>
  <si>
    <t>1400000US29151490400</t>
  </si>
  <si>
    <t>Census Tract 4904, Osage County, Missouri</t>
  </si>
  <si>
    <t>(-91.8124643122101, 38.35001497400503)</t>
  </si>
  <si>
    <t>0.041028712304867584</t>
  </si>
  <si>
    <t>1.1753388937575666</t>
  </si>
  <si>
    <t>1400000US29151490100</t>
  </si>
  <si>
    <t>Census Tract 4901, Osage County, Missouri</t>
  </si>
  <si>
    <t>(-91.82217303478122, 38.593785674761165)</t>
  </si>
  <si>
    <t>0.048084237881502234</t>
  </si>
  <si>
    <t>1.2606294039640797</t>
  </si>
  <si>
    <t>1400000US29151490200</t>
  </si>
  <si>
    <t>Census Tract 4902, Osage County, Missouri</t>
  </si>
  <si>
    <t>(-91.7607873334755, 38.48392889776229)</t>
  </si>
  <si>
    <t>0.9855560388380332</t>
  </si>
  <si>
    <t>1400000US29153470100</t>
  </si>
  <si>
    <t>Ozark County</t>
  </si>
  <si>
    <t>Census Tract 4701, Ozark County, Missouri</t>
  </si>
  <si>
    <t>(-92.61148978759539, 36.63242955602009)</t>
  </si>
  <si>
    <t>1.4123115693782449</t>
  </si>
  <si>
    <t>1400000US29153470200</t>
  </si>
  <si>
    <t>Census Tract 4702, Ozark County, Missouri</t>
  </si>
  <si>
    <t>(-92.30042951897533, 36.663928468978604)</t>
  </si>
  <si>
    <t>0.10570244890339206</t>
  </si>
  <si>
    <t>1.6641768993336044</t>
  </si>
  <si>
    <t>1400000US29155470200</t>
  </si>
  <si>
    <t>Pemiscot County</t>
  </si>
  <si>
    <t>Census Tract 4702, Pemiscot County, Missouri</t>
  </si>
  <si>
    <t>(-89.77298977549283, 36.23359272259731)</t>
  </si>
  <si>
    <t>0.20976524892710535</t>
  </si>
  <si>
    <t>1400000US29155470300</t>
  </si>
  <si>
    <t>Census Tract 4703, Pemiscot County, Missouri</t>
  </si>
  <si>
    <t>(-89.6727027760186, 36.17647286554731)</t>
  </si>
  <si>
    <t>0.24799572391882171</t>
  </si>
  <si>
    <t>1400000US29155470400</t>
  </si>
  <si>
    <t>Census Tract 4704, Pemiscot County, Missouri</t>
  </si>
  <si>
    <t>(-89.62518498407186, 36.15863526961366)</t>
  </si>
  <si>
    <t>0.2669530275234276</t>
  </si>
  <si>
    <t>1400000US29155470100</t>
  </si>
  <si>
    <t>Census Tract 4701, Pemiscot County, Missouri</t>
  </si>
  <si>
    <t>(-89.76388673089168, 36.318443678769135)</t>
  </si>
  <si>
    <t>1.3780340679577041</t>
  </si>
  <si>
    <t>1400000US29155470600</t>
  </si>
  <si>
    <t>Census Tract 4706, Pemiscot County, Missouri</t>
  </si>
  <si>
    <t>(-89.80998235916422, 36.047413942863365)</t>
  </si>
  <si>
    <t>0.40323534793509114</t>
  </si>
  <si>
    <t>1400000US29155470500</t>
  </si>
  <si>
    <t>Census Tract 4705, Pemiscot County, Missouri</t>
  </si>
  <si>
    <t>(-89.81740697964197, 36.124175490671426)</t>
  </si>
  <si>
    <t>1.4798678197458877</t>
  </si>
  <si>
    <t>1400000US29157470100</t>
  </si>
  <si>
    <t>Perry County</t>
  </si>
  <si>
    <t>Census Tract 4701, Perry County, Missouri</t>
  </si>
  <si>
    <t>(-89.80938820677875, 37.795541579692255)</t>
  </si>
  <si>
    <t>1.441964736507386</t>
  </si>
  <si>
    <t>1400000US29157470200</t>
  </si>
  <si>
    <t>Census Tract 4702, Perry County, Missouri</t>
  </si>
  <si>
    <t>(-89.96735713350314, 37.695804347922945)</t>
  </si>
  <si>
    <t>0.040855937020478655</t>
  </si>
  <si>
    <t>1.5726907909331513</t>
  </si>
  <si>
    <t>1400000US29157470500</t>
  </si>
  <si>
    <t>Census Tract 4705, Perry County, Missouri</t>
  </si>
  <si>
    <t>(-89.70921990229523, 37.642661868683724)</t>
  </si>
  <si>
    <t>1.5536201811118004</t>
  </si>
  <si>
    <t>1400000US29157470300</t>
  </si>
  <si>
    <t>Census Tract 4703, Perry County, Missouri</t>
  </si>
  <si>
    <t>(-89.85826852496334, 37.733410103794725)</t>
  </si>
  <si>
    <t>0.24763440682245497</t>
  </si>
  <si>
    <t>1400000US29157470400</t>
  </si>
  <si>
    <t>Census Tract 4704, Perry County, Missouri</t>
  </si>
  <si>
    <t>(-89.87142116377804, 37.716522665500975)</t>
  </si>
  <si>
    <t>0.20059597868591836</t>
  </si>
  <si>
    <t>1400000US29159480600</t>
  </si>
  <si>
    <t>Pettis County</t>
  </si>
  <si>
    <t>Census Tract 4806, Pettis County, Missouri</t>
  </si>
  <si>
    <t>(-93.2205493948007, 38.72320880330673)</t>
  </si>
  <si>
    <t>0.1439906074653751</t>
  </si>
  <si>
    <t>1400000US29159481000</t>
  </si>
  <si>
    <t>Census Tract 4810, Pettis County, Missouri</t>
  </si>
  <si>
    <t>(-93.2327651308044, 38.68279433174308)</t>
  </si>
  <si>
    <t>0.18573002903844604</t>
  </si>
  <si>
    <t>1400000US29159481100</t>
  </si>
  <si>
    <t>Census Tract 4811, Pettis County, Missouri</t>
  </si>
  <si>
    <t>(-93.26228029348087, 38.69292566210582)</t>
  </si>
  <si>
    <t>0.16720055251199836</t>
  </si>
  <si>
    <t>1400000US29159480100</t>
  </si>
  <si>
    <t>Census Tract 4801, Pettis County, Missouri</t>
  </si>
  <si>
    <t>(-93.20166805094539, 38.837457796355714)</t>
  </si>
  <si>
    <t>1.2214172110214967</t>
  </si>
  <si>
    <t>1400000US29159480200</t>
  </si>
  <si>
    <t>Census Tract 4802, Pettis County, Missouri</t>
  </si>
  <si>
    <t>(-93.40268235104296, 38.760498892034214)</t>
  </si>
  <si>
    <t>1.2749539681404256</t>
  </si>
  <si>
    <t>1400000US29159480300</t>
  </si>
  <si>
    <t>Census Tract 4803, Pettis County, Missouri</t>
  </si>
  <si>
    <t>(-93.3436836048035, 38.58006680304091)</t>
  </si>
  <si>
    <t>1400000US29159480400</t>
  </si>
  <si>
    <t>Census Tract 4804, Pettis County, Missouri</t>
  </si>
  <si>
    <t>(-93.12415188487057, 38.6258335295078)</t>
  </si>
  <si>
    <t>0.7271299343365525</t>
  </si>
  <si>
    <t>1400000US29159480500</t>
  </si>
  <si>
    <t>Census Tract 4805, Pettis County, Missouri</t>
  </si>
  <si>
    <t>(-93.18940816564562, 38.70523042959325)</t>
  </si>
  <si>
    <t>0.1784167273333214</t>
  </si>
  <si>
    <t>1400000US29159480700</t>
  </si>
  <si>
    <t>Census Tract 4807, Pettis County, Missouri</t>
  </si>
  <si>
    <t>(-93.26913342708208, 38.71107387664624)</t>
  </si>
  <si>
    <t>0.18899355811779706</t>
  </si>
  <si>
    <t>1400000US29159480800</t>
  </si>
  <si>
    <t>Census Tract 4808, Pettis County, Missouri</t>
  </si>
  <si>
    <t>(-93.24259520950345, 38.70854110305279)</t>
  </si>
  <si>
    <t>1400000US29159480900</t>
  </si>
  <si>
    <t>Census Tract 4809, Pettis County, Missouri</t>
  </si>
  <si>
    <t>(-93.2218018587333, 38.706004828858894)</t>
  </si>
  <si>
    <t>1400000US29161890800</t>
  </si>
  <si>
    <t>Phelps County</t>
  </si>
  <si>
    <t>Census Tract 8908, Phelps County, Missouri</t>
  </si>
  <si>
    <t>(-91.7802737234568, 37.93258430846294)</t>
  </si>
  <si>
    <t>0.15217888845371683</t>
  </si>
  <si>
    <t>1400000US29161890100</t>
  </si>
  <si>
    <t>Census Tract 8901, Phelps County, Missouri</t>
  </si>
  <si>
    <t>(-91.61568860825864, 38.0445578387179)</t>
  </si>
  <si>
    <t>0.027398753557198726</t>
  </si>
  <si>
    <t>1.137489510021933</t>
  </si>
  <si>
    <t>1400000US29161890200</t>
  </si>
  <si>
    <t>Census Tract 8902, Phelps County, Missouri</t>
  </si>
  <si>
    <t>(-91.61471507484737, 37.99627610967814)</t>
  </si>
  <si>
    <t>0.3620531353904289</t>
  </si>
  <si>
    <t>1400000US29161890300</t>
  </si>
  <si>
    <t>Census Tract 8903, Phelps County, Missouri</t>
  </si>
  <si>
    <t>(-91.7427836597205, 37.953444276917374)</t>
  </si>
  <si>
    <t>0.24293622803525644</t>
  </si>
  <si>
    <t>1400000US29161890400</t>
  </si>
  <si>
    <t>Census Tract 8904, Phelps County, Missouri</t>
  </si>
  <si>
    <t>(-91.77696730729002, 37.962587572080515)</t>
  </si>
  <si>
    <t>0.24907428875516804</t>
  </si>
  <si>
    <t>1400000US29161890500</t>
  </si>
  <si>
    <t>Census Tract 8905, Phelps County, Missouri</t>
  </si>
  <si>
    <t>(-91.86756080899409, 37.9943292926968)</t>
  </si>
  <si>
    <t>0.8230653956759975</t>
  </si>
  <si>
    <t>1400000US29161890600</t>
  </si>
  <si>
    <t>Census Tract 8906, Phelps County, Missouri</t>
  </si>
  <si>
    <t>(-91.93192143250775, 37.75968692364854)</t>
  </si>
  <si>
    <t>1.3170860500513217</t>
  </si>
  <si>
    <t>1400000US29161890700</t>
  </si>
  <si>
    <t>Census Tract 8907, Phelps County, Missouri</t>
  </si>
  <si>
    <t>(-91.8347885676613, 37.90691367718769)</t>
  </si>
  <si>
    <t>0.7379150707027576</t>
  </si>
  <si>
    <t>1400000US29161890900</t>
  </si>
  <si>
    <t>Census Tract 8909, Phelps County, Missouri</t>
  </si>
  <si>
    <t>(-91.7593540984704, 37.93712769757963)</t>
  </si>
  <si>
    <t>0.10317884287841925</t>
  </si>
  <si>
    <t>1400000US29161891000</t>
  </si>
  <si>
    <t>Census Tract 8910, Phelps County, Missouri</t>
  </si>
  <si>
    <t>(-91.66576205821279, 37.86646252474081)</t>
  </si>
  <si>
    <t>1.1966025271892198</t>
  </si>
  <si>
    <t>1400000US29163460200</t>
  </si>
  <si>
    <t>Pike County</t>
  </si>
  <si>
    <t>Census Tract 4602, Pike County, Missouri</t>
  </si>
  <si>
    <t>(-91.16696613590186, 39.4509901299785)</t>
  </si>
  <si>
    <t>1.7669137582164423</t>
  </si>
  <si>
    <t>1400000US29163460100</t>
  </si>
  <si>
    <t>Census Tract 4601, Pike County, Missouri</t>
  </si>
  <si>
    <t>(-91.06924245287836, 39.44461725321844)</t>
  </si>
  <si>
    <t>0.22635874676206305</t>
  </si>
  <si>
    <t>1400000US29163460300</t>
  </si>
  <si>
    <t>Census Tract 4603, Pike County, Missouri</t>
  </si>
  <si>
    <t>(-91.29350570339632, 39.29521593036866)</t>
  </si>
  <si>
    <t>1.8618038441033127</t>
  </si>
  <si>
    <t>1400000US29163460400</t>
  </si>
  <si>
    <t>Census Tract 4604, Pike County, Missouri</t>
  </si>
  <si>
    <t>(-91.20512705032155, 39.33707033873446)</t>
  </si>
  <si>
    <t>0.35654884578904994</t>
  </si>
  <si>
    <t>1400000US29163460500</t>
  </si>
  <si>
    <t>Census Tract 4605, Pike County, Missouri</t>
  </si>
  <si>
    <t>(-90.91806965869063, 39.28963953497956)</t>
  </si>
  <si>
    <t>0.039602558583044845</t>
  </si>
  <si>
    <t>0.9878567418300317</t>
  </si>
  <si>
    <t>1400000US29165030001</t>
  </si>
  <si>
    <t>030001</t>
  </si>
  <si>
    <t>Platte County</t>
  </si>
  <si>
    <t>Census Tract 300.01, Platte County, Missouri</t>
  </si>
  <si>
    <t>(-94.6194953899525, 39.20747855105662)</t>
  </si>
  <si>
    <t>0.1539918621456845</t>
  </si>
  <si>
    <t>1400000US29165030201</t>
  </si>
  <si>
    <t>030201</t>
  </si>
  <si>
    <t>Census Tract 302.01, Platte County, Missouri</t>
  </si>
  <si>
    <t>(-94.6397172795586, 39.28608502678279)</t>
  </si>
  <si>
    <t>0.29980488378344444</t>
  </si>
  <si>
    <t>1400000US29165030205</t>
  </si>
  <si>
    <t>030205</t>
  </si>
  <si>
    <t>Census Tract 302.05, Platte County, Missouri</t>
  </si>
  <si>
    <t>(-94.61668188442702, 39.238858595791726)</t>
  </si>
  <si>
    <t>0.13880571834890312</t>
  </si>
  <si>
    <t>1400000US29165030210</t>
  </si>
  <si>
    <t>030210</t>
  </si>
  <si>
    <t>Census Tract 302.10, Platte County, Missouri</t>
  </si>
  <si>
    <t>(-94.64453377067791, 39.25809638257505)</t>
  </si>
  <si>
    <t>1400000US29165030211</t>
  </si>
  <si>
    <t>030211</t>
  </si>
  <si>
    <t>Census Tract 302.11, Platte County, Missouri</t>
  </si>
  <si>
    <t>(-94.64462428249531, 39.25054274113073)</t>
  </si>
  <si>
    <t>1400000US29165030102</t>
  </si>
  <si>
    <t>030102</t>
  </si>
  <si>
    <t>Census Tract 301.02, Platte County, Missouri</t>
  </si>
  <si>
    <t>(-94.64322567390741, 39.202557184130946)</t>
  </si>
  <si>
    <t>1400000US29165030207</t>
  </si>
  <si>
    <t>030207</t>
  </si>
  <si>
    <t>Census Tract 302.07, Platte County, Missouri</t>
  </si>
  <si>
    <t>(-94.64196165336256, 39.23443992313197)</t>
  </si>
  <si>
    <t>0.11626569359996451</t>
  </si>
  <si>
    <t>1400000US29165030208</t>
  </si>
  <si>
    <t>030208</t>
  </si>
  <si>
    <t>Census Tract 302.08, Platte County, Missouri</t>
  </si>
  <si>
    <t>(-94.69481269985648, 39.235837026826616)</t>
  </si>
  <si>
    <t>0.16564557835073804</t>
  </si>
  <si>
    <t>1400000US29165030209</t>
  </si>
  <si>
    <t>030209</t>
  </si>
  <si>
    <t>Census Tract 302.09, Platte County, Missouri</t>
  </si>
  <si>
    <t>(-94.669000312427, 39.232379634151926)</t>
  </si>
  <si>
    <t>0.13487563299226513</t>
  </si>
  <si>
    <t>1400000US29165030305</t>
  </si>
  <si>
    <t>030305</t>
  </si>
  <si>
    <t>Census Tract 303.05, Platte County, Missouri</t>
  </si>
  <si>
    <t>(-94.70964654303386, 39.21519660286514)</t>
  </si>
  <si>
    <t>0.24046909836198033</t>
  </si>
  <si>
    <t>1400000US29165030002</t>
  </si>
  <si>
    <t>030002</t>
  </si>
  <si>
    <t>Census Tract 300.02, Platte County, Missouri</t>
  </si>
  <si>
    <t>(-94.61255110949904, 39.17360059456077)</t>
  </si>
  <si>
    <t>0.10304104060324668</t>
  </si>
  <si>
    <t>1400000US29165030101</t>
  </si>
  <si>
    <t>030101</t>
  </si>
  <si>
    <t>Census Tract 301.01, Platte County, Missouri</t>
  </si>
  <si>
    <t>(-94.64228103556245, 39.17743368953649)</t>
  </si>
  <si>
    <t>0.20474010238045515</t>
  </si>
  <si>
    <t>1400000US29165030103</t>
  </si>
  <si>
    <t>030103</t>
  </si>
  <si>
    <t>Census Tract 301.03, Platte County, Missouri</t>
  </si>
  <si>
    <t>(-94.66632209020933, 39.20284490184789)</t>
  </si>
  <si>
    <t>0.1872210784080881</t>
  </si>
  <si>
    <t>1400000US29165030306</t>
  </si>
  <si>
    <t>030306</t>
  </si>
  <si>
    <t>Census Tract 303.06, Platte County, Missouri</t>
  </si>
  <si>
    <t>(-94.73713327999091, 39.199790448022256)</t>
  </si>
  <si>
    <t>0.29973983187304176</t>
  </si>
  <si>
    <t>1400000US29165030307</t>
  </si>
  <si>
    <t>030307</t>
  </si>
  <si>
    <t>Census Tract 303.07, Platte County, Missouri</t>
  </si>
  <si>
    <t>(-94.72611942673974, 39.30045609254216)</t>
  </si>
  <si>
    <t>0.2894079293519387</t>
  </si>
  <si>
    <t>1400000US29165030308</t>
  </si>
  <si>
    <t>030308</t>
  </si>
  <si>
    <t>Census Tract 303.08, Platte County, Missouri</t>
  </si>
  <si>
    <t>(-94.70602801825343, 39.26039343375611)</t>
  </si>
  <si>
    <t>0.2818634828167912</t>
  </si>
  <si>
    <t>1400000US29165030500</t>
  </si>
  <si>
    <t>030500</t>
  </si>
  <si>
    <t>Census Tract 305, Platte County, Missouri</t>
  </si>
  <si>
    <t>(-94.78051218726871, 39.355021278680354)</t>
  </si>
  <si>
    <t>0.25129631567487826</t>
  </si>
  <si>
    <t>1400000US29165030401</t>
  </si>
  <si>
    <t>030401</t>
  </si>
  <si>
    <t>Census Tract 304.01, Platte County, Missouri</t>
  </si>
  <si>
    <t>(-94.82244916794801, 39.308696195561396)</t>
  </si>
  <si>
    <t>0.019874126469826094</t>
  </si>
  <si>
    <t>0.8195798081429119</t>
  </si>
  <si>
    <t>1400000US29165030600</t>
  </si>
  <si>
    <t>030600</t>
  </si>
  <si>
    <t>Census Tract 306, Platte County, Missouri</t>
  </si>
  <si>
    <t>(-94.68908133871226, 39.4283433703643)</t>
  </si>
  <si>
    <t>0.7735120938321862</t>
  </si>
  <si>
    <t>1400000US29165030700</t>
  </si>
  <si>
    <t>030700</t>
  </si>
  <si>
    <t>Census Tract 307, Platte County, Missouri</t>
  </si>
  <si>
    <t>(-94.91191284417879, 39.47115924893722)</t>
  </si>
  <si>
    <t>0.9064726784071986</t>
  </si>
  <si>
    <t>1400000US29167960200</t>
  </si>
  <si>
    <t>Polk County</t>
  </si>
  <si>
    <t>Census Tract 9602, Polk County, Missouri</t>
  </si>
  <si>
    <t>(-93.31171244057302, 37.71035327989542)</t>
  </si>
  <si>
    <t>0.049020756785426736</t>
  </si>
  <si>
    <t>1400000US29167960400</t>
  </si>
  <si>
    <t>Census Tract 9604, Polk County, Missouri</t>
  </si>
  <si>
    <t>(-93.49525925679986, 37.51717073584031)</t>
  </si>
  <si>
    <t>0.8994225784358209</t>
  </si>
  <si>
    <t>1400000US29167960300</t>
  </si>
  <si>
    <t>Census Tract 9603, Polk County, Missouri</t>
  </si>
  <si>
    <t>(-93.27400393463665, 37.52373458279506)</t>
  </si>
  <si>
    <t>0.037264134333117344</t>
  </si>
  <si>
    <t>0.8579673976249983</t>
  </si>
  <si>
    <t>1400000US29167960100</t>
  </si>
  <si>
    <t>Census Tract 9601, Polk County, Missouri</t>
  </si>
  <si>
    <t>(-93.52799952643575, 37.71900485688805)</t>
  </si>
  <si>
    <t>0.8796658772041334</t>
  </si>
  <si>
    <t>1400000US29169470287</t>
  </si>
  <si>
    <t>Pulaski County</t>
  </si>
  <si>
    <t>Census Tract 4702.87, Pulaski County, Missouri</t>
  </si>
  <si>
    <t>(-92.1356752103089, 37.82315694336448)</t>
  </si>
  <si>
    <t>0.3339452756715265</t>
  </si>
  <si>
    <t>1400000US29169470389</t>
  </si>
  <si>
    <t>Census Tract 4703.89, Pulaski County, Missouri</t>
  </si>
  <si>
    <t>(-92.1291688535279, 37.75625443212459)</t>
  </si>
  <si>
    <t>0.15049854210859653</t>
  </si>
  <si>
    <t>1400000US29169470101</t>
  </si>
  <si>
    <t>Census Tract 4701.01, Pulaski County, Missouri</t>
  </si>
  <si>
    <t>(-92.11250275300941, 37.95512042237833)</t>
  </si>
  <si>
    <t>0.021202102186366773</t>
  </si>
  <si>
    <t>0.8646888379272377</t>
  </si>
  <si>
    <t>1400000US29169470102</t>
  </si>
  <si>
    <t>Census Tract 4701.02, Pulaski County, Missouri</t>
  </si>
  <si>
    <t>(-92.28000281646571, 37.952231169680566)</t>
  </si>
  <si>
    <t>1.0471923592450991</t>
  </si>
  <si>
    <t>1400000US29169470286</t>
  </si>
  <si>
    <t>Census Tract 4702.86, Pulaski County, Missouri</t>
  </si>
  <si>
    <t>(-92.07828586721662, 37.75877494290377)</t>
  </si>
  <si>
    <t>0.023709249924014724</t>
  </si>
  <si>
    <t>1.5005524835169584</t>
  </si>
  <si>
    <t>1400000US29169470390</t>
  </si>
  <si>
    <t>Census Tract 4703.90, Pulaski County, Missouri</t>
  </si>
  <si>
    <t>(-92.11570848529273, 37.78201032249711)</t>
  </si>
  <si>
    <t>0.16882824071784086</t>
  </si>
  <si>
    <t>1400000US29169470400</t>
  </si>
  <si>
    <t>Census Tract 4704, Pulaski County, Missouri</t>
  </si>
  <si>
    <t>(-92.2372878389125, 37.8094701512067)</t>
  </si>
  <si>
    <t>0.013704315657268583</t>
  </si>
  <si>
    <t>1.078813905978165</t>
  </si>
  <si>
    <t>1400000US29169470500</t>
  </si>
  <si>
    <t>Census Tract 4705, Pulaski County, Missouri</t>
  </si>
  <si>
    <t>(-92.33741979992585, 37.801979679122)</t>
  </si>
  <si>
    <t>0.035467578188738955</t>
  </si>
  <si>
    <t>1.0807749943577345</t>
  </si>
  <si>
    <t>1400000US29169470600</t>
  </si>
  <si>
    <t>Census Tract 4706, Pulaski County, Missouri</t>
  </si>
  <si>
    <t>(-92.1596805819042, 37.70060902500008)</t>
  </si>
  <si>
    <t>0.9828399057042748</t>
  </si>
  <si>
    <t>1400000US29171960100</t>
  </si>
  <si>
    <t>Putnam County</t>
  </si>
  <si>
    <t>Census Tract 9601, Putnam County, Missouri</t>
  </si>
  <si>
    <t>(-93.01557435245435, 40.482771005096694)</t>
  </si>
  <si>
    <t>0.1301970480771256</t>
  </si>
  <si>
    <t>2.6502034328227793</t>
  </si>
  <si>
    <t>1400000US29171960200</t>
  </si>
  <si>
    <t>Census Tract 9602, Putnam County, Missouri</t>
  </si>
  <si>
    <t>(-93.02082073893837, 40.43941637432508)</t>
  </si>
  <si>
    <t>0.012699627939056378</t>
  </si>
  <si>
    <t>0.6596646163461707</t>
  </si>
  <si>
    <t>1400000US29173470100</t>
  </si>
  <si>
    <t>Ralls County</t>
  </si>
  <si>
    <t>Census Tract 4701, Ralls County, Missouri</t>
  </si>
  <si>
    <t>(-91.31608071041116, 39.60625667070581)</t>
  </si>
  <si>
    <t>0.6343296149123601</t>
  </si>
  <si>
    <t>1400000US29173470200</t>
  </si>
  <si>
    <t>Census Tract 4702, Ralls County, Missouri</t>
  </si>
  <si>
    <t>(-91.46531957220913, 39.58129249779881)</t>
  </si>
  <si>
    <t>0.034160414254071625</t>
  </si>
  <si>
    <t>1.0071276924242376</t>
  </si>
  <si>
    <t>1400000US29173470300</t>
  </si>
  <si>
    <t>Census Tract 4703, Ralls County, Missouri</t>
  </si>
  <si>
    <t>(-91.60202916288088, 39.48294641264691)</t>
  </si>
  <si>
    <t>1.4434243247902625</t>
  </si>
  <si>
    <t>1400000US29175490300</t>
  </si>
  <si>
    <t>Randolph County</t>
  </si>
  <si>
    <t>Census Tract 4903, Randolph County, Missouri</t>
  </si>
  <si>
    <t>(-92.44063396216109, 39.434740398143184)</t>
  </si>
  <si>
    <t>0.19125196899450286</t>
  </si>
  <si>
    <t>1400000US29175490400</t>
  </si>
  <si>
    <t>Census Tract 4904, Randolph County, Missouri</t>
  </si>
  <si>
    <t>(-92.45895000415658, 39.40893128962425)</t>
  </si>
  <si>
    <t>0.15968061668615033</t>
  </si>
  <si>
    <t>1400000US29175490100</t>
  </si>
  <si>
    <t>Census Tract 4901, Randolph County, Missouri</t>
  </si>
  <si>
    <t>(-92.46120197816937, 39.52798124291934)</t>
  </si>
  <si>
    <t>1.3597031044610286</t>
  </si>
  <si>
    <t>1400000US29175490200</t>
  </si>
  <si>
    <t>Census Tract 4902, Randolph County, Missouri</t>
  </si>
  <si>
    <t>(-92.589548051881, 39.45364046162998)</t>
  </si>
  <si>
    <t>0.9559344548214558</t>
  </si>
  <si>
    <t>1400000US29175490500</t>
  </si>
  <si>
    <t>Census Tract 4905, Randolph County, Missouri</t>
  </si>
  <si>
    <t>(-92.42564183539558, 39.40080606230476)</t>
  </si>
  <si>
    <t>0.15358785654385132</t>
  </si>
  <si>
    <t>1400000US29175490600</t>
  </si>
  <si>
    <t>Census Tract 4906, Randolph County, Missouri</t>
  </si>
  <si>
    <t>(-92.48836694868072, 39.33067715232972)</t>
  </si>
  <si>
    <t>0.046399973414229724</t>
  </si>
  <si>
    <t>1.2245920346556636</t>
  </si>
  <si>
    <t>1400000US29177080200</t>
  </si>
  <si>
    <t>Ray County</t>
  </si>
  <si>
    <t>Census Tract 802, Ray County, Missouri</t>
  </si>
  <si>
    <t>(-93.97247762596997, 39.27591232041832)</t>
  </si>
  <si>
    <t>0.3265416361839135</t>
  </si>
  <si>
    <t>1400000US29177080000</t>
  </si>
  <si>
    <t>080000</t>
  </si>
  <si>
    <t>Census Tract 800, Ray County, Missouri</t>
  </si>
  <si>
    <t>(-94.0965659025586, 39.41577653211332)</t>
  </si>
  <si>
    <t>0.040353310394873526</t>
  </si>
  <si>
    <t>0.8603447913245066</t>
  </si>
  <si>
    <t>1400000US29177080100</t>
  </si>
  <si>
    <t>Census Tract 801, Ray County, Missouri</t>
  </si>
  <si>
    <t>(-93.88083333828581, 39.36771427157637)</t>
  </si>
  <si>
    <t>1.4701839492363329</t>
  </si>
  <si>
    <t>1400000US29177080300</t>
  </si>
  <si>
    <t>080300</t>
  </si>
  <si>
    <t>Census Tract 803, Ray County, Missouri</t>
  </si>
  <si>
    <t>(-94.11688663934126, 39.249661231004374)</t>
  </si>
  <si>
    <t>0.9752127265284809</t>
  </si>
  <si>
    <t>1400000US29179380100</t>
  </si>
  <si>
    <t>Reynolds County</t>
  </si>
  <si>
    <t>Census Tract 3801, Reynolds County, Missouri</t>
  </si>
  <si>
    <t>(-91.01800033715573, 37.46989058777631)</t>
  </si>
  <si>
    <t>0.11832235262807211</t>
  </si>
  <si>
    <t>2.395939802027544</t>
  </si>
  <si>
    <t>1400000US29179380200</t>
  </si>
  <si>
    <t>Census Tract 3802, Reynolds County, Missouri</t>
  </si>
  <si>
    <t>(-90.90897376059375, 37.23011152464392)</t>
  </si>
  <si>
    <t>1.8945963675576105</t>
  </si>
  <si>
    <t>1400000US29181870100</t>
  </si>
  <si>
    <t>Ripley County</t>
  </si>
  <si>
    <t>Census Tract 8701, Ripley County, Missouri</t>
  </si>
  <si>
    <t>(-90.75869137201919, 36.72729223484034)</t>
  </si>
  <si>
    <t>1.2203515357564532</t>
  </si>
  <si>
    <t>1400000US29181870200</t>
  </si>
  <si>
    <t>Census Tract 8702, Ripley County, Missouri</t>
  </si>
  <si>
    <t>(-90.9957942490651, 36.64120213847832)</t>
  </si>
  <si>
    <t>1.3465784778677357</t>
  </si>
  <si>
    <t>1400000US29181870300</t>
  </si>
  <si>
    <t>Census Tract 8703, Ripley County, Missouri</t>
  </si>
  <si>
    <t>(-90.80944500312307, 36.59337655369009)</t>
  </si>
  <si>
    <t>0.010309676736338235</t>
  </si>
  <si>
    <t>0.5545377591343522</t>
  </si>
  <si>
    <t>1400000US29181870400</t>
  </si>
  <si>
    <t>Census Tract 8704, Ripley County, Missouri</t>
  </si>
  <si>
    <t>(-90.68255491565625, 36.56263566267573)</t>
  </si>
  <si>
    <t>0.024918412297916196</t>
  </si>
  <si>
    <t>1400000US29183311221</t>
  </si>
  <si>
    <t>St. Charles County</t>
  </si>
  <si>
    <t>Census Tract 3112.21, St. Charles County, Missouri</t>
  </si>
  <si>
    <t>(-90.59608762981543, 38.75076287503474)</t>
  </si>
  <si>
    <t>1400000US29183311331</t>
  </si>
  <si>
    <t>Census Tract 3113.31, St. Charles County, Missouri</t>
  </si>
  <si>
    <t>(-90.60985087684658, 38.759527049765055)</t>
  </si>
  <si>
    <t>1400000US29183310901</t>
  </si>
  <si>
    <t>Census Tract 3109.01, St. Charles County, Missouri</t>
  </si>
  <si>
    <t>(-90.52362228661296, 38.778202601622574)</t>
  </si>
  <si>
    <t>1400000US29183310902</t>
  </si>
  <si>
    <t>Census Tract 3109.02, St. Charles County, Missouri</t>
  </si>
  <si>
    <t>(-90.53624990317911, 38.771806711926715)</t>
  </si>
  <si>
    <t>1400000US29183310903</t>
  </si>
  <si>
    <t>Census Tract 3109.03, St. Charles County, Missouri</t>
  </si>
  <si>
    <t>(-90.55080192986583, 38.783402676671855)</t>
  </si>
  <si>
    <t>1400000US29183310201</t>
  </si>
  <si>
    <t>Census Tract 3102.01, St. Charles County, Missouri</t>
  </si>
  <si>
    <t>(-90.49113873479799, 38.83451121263971)</t>
  </si>
  <si>
    <t>0.10029483829056705</t>
  </si>
  <si>
    <t>1400000US29183310302</t>
  </si>
  <si>
    <t>Census Tract 3103.02, St. Charles County, Missouri</t>
  </si>
  <si>
    <t>(-90.48964984715285, 38.79756990817689)</t>
  </si>
  <si>
    <t>1400000US29183310801</t>
  </si>
  <si>
    <t>Census Tract 3108.01, St. Charles County, Missouri</t>
  </si>
  <si>
    <t>(-90.56991511112184, 38.8014320639111)</t>
  </si>
  <si>
    <t>1400000US29183311003</t>
  </si>
  <si>
    <t>Census Tract 3110.03, St. Charles County, Missouri</t>
  </si>
  <si>
    <t>(-90.49538945808763, 38.761065473104175)</t>
  </si>
  <si>
    <t>1400000US29183311147</t>
  </si>
  <si>
    <t>Census Tract 3111.47, St. Charles County, Missouri</t>
  </si>
  <si>
    <t>(-90.569989920269, 38.74213176760046)</t>
  </si>
  <si>
    <t>1400000US29183311712</t>
  </si>
  <si>
    <t>Census Tract 3117.12, St. Charles County, Missouri</t>
  </si>
  <si>
    <t>(-90.71835067077744, 38.79526292897765)</t>
  </si>
  <si>
    <t>1400000US29183311903</t>
  </si>
  <si>
    <t>Census Tract 3119.03, St. Charles County, Missouri</t>
  </si>
  <si>
    <t>(-90.79983854876873, 38.79883313606039)</t>
  </si>
  <si>
    <t>0.15479241574070826</t>
  </si>
  <si>
    <t>1400000US29183312094</t>
  </si>
  <si>
    <t>Census Tract 3120.94, St. Charles County, Missouri</t>
  </si>
  <si>
    <t>(-90.84546566683561, 38.84461036934941)</t>
  </si>
  <si>
    <t>0.13192248828498543</t>
  </si>
  <si>
    <t>1400000US29183312194</t>
  </si>
  <si>
    <t>Census Tract 3121.94, St. Charles County, Missouri</t>
  </si>
  <si>
    <t>(-90.89204991416071, 38.81512589408425)</t>
  </si>
  <si>
    <t>1400000US29183310602</t>
  </si>
  <si>
    <t>Census Tract 3106.02, St. Charles County, Missouri</t>
  </si>
  <si>
    <t>(-90.52046322905655, 38.80473040511827)</t>
  </si>
  <si>
    <t>0.10277492030380461</t>
  </si>
  <si>
    <t>1400000US29183310700</t>
  </si>
  <si>
    <t>Census Tract 3107, St. Charles County, Missouri</t>
  </si>
  <si>
    <t>(-90.52319319231138, 38.78914134840921)</t>
  </si>
  <si>
    <t>1400000US29183310802</t>
  </si>
  <si>
    <t>Census Tract 3108.02, St. Charles County, Missouri</t>
  </si>
  <si>
    <t>(-90.54675255074295, 38.79863804831457)</t>
  </si>
  <si>
    <t>1400000US29183311152</t>
  </si>
  <si>
    <t>Census Tract 3111.52, St. Charles County, Missouri</t>
  </si>
  <si>
    <t>(-90.71237786307239, 38.74543379569962)</t>
  </si>
  <si>
    <t>1400000US29183311153</t>
  </si>
  <si>
    <t>Census Tract 3111.53, St. Charles County, Missouri</t>
  </si>
  <si>
    <t>(-90.74551583046356, 38.75303183942091)</t>
  </si>
  <si>
    <t>0.12093050692206582</t>
  </si>
  <si>
    <t>1400000US29183311154</t>
  </si>
  <si>
    <t>Census Tract 3111.54, St. Charles County, Missouri</t>
  </si>
  <si>
    <t>(-90.7257520831872, 38.75581188022452)</t>
  </si>
  <si>
    <t>1400000US29183311203</t>
  </si>
  <si>
    <t>Census Tract 3112.03, St. Charles County, Missouri</t>
  </si>
  <si>
    <t>(-90.58985989339912, 38.784206657759356)</t>
  </si>
  <si>
    <t>1400000US29183312001</t>
  </si>
  <si>
    <t>Census Tract 3120.01, St. Charles County, Missouri</t>
  </si>
  <si>
    <t>(-90.79659450259528, 38.87922367434836)</t>
  </si>
  <si>
    <t>0.5674420022916521</t>
  </si>
  <si>
    <t>1400000US29183312095</t>
  </si>
  <si>
    <t>Census Tract 3120.95, St. Charles County, Missouri</t>
  </si>
  <si>
    <t>(-90.79579648852011, 38.82794559464732)</t>
  </si>
  <si>
    <t>0.29702786849931095</t>
  </si>
  <si>
    <t>1400000US29183310202</t>
  </si>
  <si>
    <t>Census Tract 3102.02, St. Charles County, Missouri</t>
  </si>
  <si>
    <t>(-90.48179709402702, 38.81747229237297)</t>
  </si>
  <si>
    <t>1400000US29183310100</t>
  </si>
  <si>
    <t>Census Tract 3101, St. Charles County, Missouri</t>
  </si>
  <si>
    <t>(-90.35863184720377, 38.883660544631745)</t>
  </si>
  <si>
    <t>1.1715773009024553</t>
  </si>
  <si>
    <t>1400000US29183310301</t>
  </si>
  <si>
    <t>Census Tract 3103.01, St. Charles County, Missouri</t>
  </si>
  <si>
    <t>(-90.50070388429424, 38.80974955762646)</t>
  </si>
  <si>
    <t>1400000US29183310400</t>
  </si>
  <si>
    <t>Census Tract 3104, St. Charles County, Missouri</t>
  </si>
  <si>
    <t>(-90.47790701737405, 38.793614266376785)</t>
  </si>
  <si>
    <t>1400000US29183310502</t>
  </si>
  <si>
    <t>Census Tract 3105.02, St. Charles County, Missouri</t>
  </si>
  <si>
    <t>(-90.48557655977164, 38.77690875690975)</t>
  </si>
  <si>
    <t>1400000US29183310601</t>
  </si>
  <si>
    <t>Census Tract 3106.01, St. Charles County, Missouri</t>
  </si>
  <si>
    <t>(-90.50414634038331, 38.78992376196983)</t>
  </si>
  <si>
    <t>1400000US29183310501</t>
  </si>
  <si>
    <t>Census Tract 3105.01, St. Charles County, Missouri</t>
  </si>
  <si>
    <t>(-90.49869590001137, 38.77731760306049)</t>
  </si>
  <si>
    <t>1400000US29183311001</t>
  </si>
  <si>
    <t>Census Tract 3110.01, St. Charles County, Missouri</t>
  </si>
  <si>
    <t>(-90.51770394250013, 38.751299946407954)</t>
  </si>
  <si>
    <t>0.11917867127396141</t>
  </si>
  <si>
    <t>1400000US29183311004</t>
  </si>
  <si>
    <t>Census Tract 3110.04, St. Charles County, Missouri</t>
  </si>
  <si>
    <t>(-90.51195752595905, 38.76656078427684)</t>
  </si>
  <si>
    <t>1400000US29183311103</t>
  </si>
  <si>
    <t>Census Tract 3111.03, St. Charles County, Missouri</t>
  </si>
  <si>
    <t>(-90.65002183974616, 38.708015740966154)</t>
  </si>
  <si>
    <t>0.23175276830688346</t>
  </si>
  <si>
    <t>1400000US29183311114</t>
  </si>
  <si>
    <t>Census Tract 3111.14, St. Charles County, Missouri</t>
  </si>
  <si>
    <t>(-90.65518773165101, 38.73226996450365)</t>
  </si>
  <si>
    <t>0.12134586623601813</t>
  </si>
  <si>
    <t>1400000US29183311122</t>
  </si>
  <si>
    <t>Census Tract 3111.22, St. Charles County, Missouri</t>
  </si>
  <si>
    <t>(-90.61494494914473, 38.73204529022039)</t>
  </si>
  <si>
    <t>0.10204942858967483</t>
  </si>
  <si>
    <t>1400000US29183311124</t>
  </si>
  <si>
    <t>Census Tract 3111.24, St. Charles County, Missouri</t>
  </si>
  <si>
    <t>(-90.68064503437355, 38.73562521957257)</t>
  </si>
  <si>
    <t>0.19228831549426942</t>
  </si>
  <si>
    <t>1400000US29183311132</t>
  </si>
  <si>
    <t>Census Tract 3111.32, St. Charles County, Missouri</t>
  </si>
  <si>
    <t>(-90.5968606211777, 38.699549819024625)</t>
  </si>
  <si>
    <t>0.1938106367145101</t>
  </si>
  <si>
    <t>1400000US29183311145</t>
  </si>
  <si>
    <t>Census Tract 3111.45, St. Charles County, Missouri</t>
  </si>
  <si>
    <t>(-90.54763524822752, 38.73876662686945)</t>
  </si>
  <si>
    <t>0.12189819290665226</t>
  </si>
  <si>
    <t>1400000US29183311146</t>
  </si>
  <si>
    <t>Census Tract 3111.46, St. Charles County, Missouri</t>
  </si>
  <si>
    <t>(-90.54099918166584, 38.746459812154164)</t>
  </si>
  <si>
    <t>1400000US29183311149</t>
  </si>
  <si>
    <t>Census Tract 3111.49, St. Charles County, Missouri</t>
  </si>
  <si>
    <t>(-90.58806187761358, 38.73880307019282)</t>
  </si>
  <si>
    <t>1400000US29183311148</t>
  </si>
  <si>
    <t>Census Tract 3111.48, St. Charles County, Missouri</t>
  </si>
  <si>
    <t>(-90.55497262931557, 38.70909664172819)</t>
  </si>
  <si>
    <t>0.2253993380447748</t>
  </si>
  <si>
    <t>1400000US29183311151</t>
  </si>
  <si>
    <t>Census Tract 3111.51, St. Charles County, Missouri</t>
  </si>
  <si>
    <t>(-90.71249290632974, 38.72880794699354)</t>
  </si>
  <si>
    <t>0.11847312483172583</t>
  </si>
  <si>
    <t>1400000US29183311211</t>
  </si>
  <si>
    <t>Census Tract 3112.11, St. Charles County, Missouri</t>
  </si>
  <si>
    <t>(-90.55756544849686, 38.758779641828006)</t>
  </si>
  <si>
    <t>0.1189613429149157</t>
  </si>
  <si>
    <t>1400000US29183311212</t>
  </si>
  <si>
    <t>Census Tract 3112.12, St. Charles County, Missouri</t>
  </si>
  <si>
    <t>(-90.57111448716293, 38.781045702390465)</t>
  </si>
  <si>
    <t>1400000US29183311294</t>
  </si>
  <si>
    <t>Census Tract 3112.94, St. Charles County, Missouri</t>
  </si>
  <si>
    <t>(-90.59141073677822, 38.76713595171318)</t>
  </si>
  <si>
    <t>1400000US29183311296</t>
  </si>
  <si>
    <t>Census Tract 3112.96, St. Charles County, Missouri</t>
  </si>
  <si>
    <t>(-90.57181644262809, 38.76275694264244)</t>
  </si>
  <si>
    <t>1400000US29183311311</t>
  </si>
  <si>
    <t>Census Tract 3113.11, St. Charles County, Missouri</t>
  </si>
  <si>
    <t>(-90.61354016859761, 38.78213377027518)</t>
  </si>
  <si>
    <t>1400000US29183311312</t>
  </si>
  <si>
    <t>Census Tract 3113.12, St. Charles County, Missouri</t>
  </si>
  <si>
    <t>(-90.64166504835445, 38.778563660312315)</t>
  </si>
  <si>
    <t>0.10810542695579381</t>
  </si>
  <si>
    <t>1400000US29183311322</t>
  </si>
  <si>
    <t>Census Tract 3113.22, St. Charles County, Missouri</t>
  </si>
  <si>
    <t>(-90.63650379917193, 38.755464708498856)</t>
  </si>
  <si>
    <t>0.17205580644225113</t>
  </si>
  <si>
    <t>1400000US29183311391</t>
  </si>
  <si>
    <t>Census Tract 3113.91, St. Charles County, Missouri</t>
  </si>
  <si>
    <t>(-90.61184611307378, 38.77129204200249)</t>
  </si>
  <si>
    <t>1400000US29183311422</t>
  </si>
  <si>
    <t>Census Tract 3114.22, St. Charles County, Missouri</t>
  </si>
  <si>
    <t>(-90.65858003361788, 38.794982669239815)</t>
  </si>
  <si>
    <t>1400000US29183311735</t>
  </si>
  <si>
    <t>Census Tract 3117.35, St. Charles County, Missouri</t>
  </si>
  <si>
    <t>(-90.68910816968446, 38.774118549754746)</t>
  </si>
  <si>
    <t>1400000US29183311736</t>
  </si>
  <si>
    <t>Census Tract 3117.36, St. Charles County, Missouri</t>
  </si>
  <si>
    <t>(-90.67719124081782, 38.75868038826015)</t>
  </si>
  <si>
    <t>0.11812629495336832</t>
  </si>
  <si>
    <t>1400000US29183311601</t>
  </si>
  <si>
    <t>Census Tract 3116.01, St. Charles County, Missouri</t>
  </si>
  <si>
    <t>(-90.6844814262655, 38.829006306417256)</t>
  </si>
  <si>
    <t>0.11589092398274477</t>
  </si>
  <si>
    <t>1400000US29183311500</t>
  </si>
  <si>
    <t>Census Tract 3115, St. Charles County, Missouri</t>
  </si>
  <si>
    <t>(-90.63050411911152, 38.858590444997226)</t>
  </si>
  <si>
    <t>0.8310014111633763</t>
  </si>
  <si>
    <t>1400000US29183311602</t>
  </si>
  <si>
    <t>Census Tract 3116.02, St. Charles County, Missouri</t>
  </si>
  <si>
    <t>(-90.67580676229406, 38.81176030317475)</t>
  </si>
  <si>
    <t>0.1349087274455188</t>
  </si>
  <si>
    <t>1400000US29183311721</t>
  </si>
  <si>
    <t>Census Tract 3117.21, St. Charles County, Missouri</t>
  </si>
  <si>
    <t>(-90.6687462869007, 38.77552751317424)</t>
  </si>
  <si>
    <t>1400000US29183311722</t>
  </si>
  <si>
    <t>Census Tract 3117.22, St. Charles County, Missouri</t>
  </si>
  <si>
    <t>(-90.72012786398356, 38.782215132267375)</t>
  </si>
  <si>
    <t>0.10715334187445918</t>
  </si>
  <si>
    <t>1400000US29183311732</t>
  </si>
  <si>
    <t>Census Tract 3117.32, St. Charles County, Missouri</t>
  </si>
  <si>
    <t>(-90.71406246976923, 38.76883132087514)</t>
  </si>
  <si>
    <t>0.1046567145673083</t>
  </si>
  <si>
    <t>1400000US29183311733</t>
  </si>
  <si>
    <t>Census Tract 3117.33, St. Charles County, Missouri</t>
  </si>
  <si>
    <t>(-90.68883811657066, 38.78631584030681)</t>
  </si>
  <si>
    <t>1400000US29183311734</t>
  </si>
  <si>
    <t>Census Tract 3117.34, St. Charles County, Missouri</t>
  </si>
  <si>
    <t>(-90.68577802693801, 38.796336806718145)</t>
  </si>
  <si>
    <t>1400000US29183311801</t>
  </si>
  <si>
    <t>Census Tract 3118.01, St. Charles County, Missouri</t>
  </si>
  <si>
    <t>(-90.72377062320673, 38.840878868988405)</t>
  </si>
  <si>
    <t>0.17866336837038657</t>
  </si>
  <si>
    <t>1400000US29183311802</t>
  </si>
  <si>
    <t>Census Tract 3118.02, St. Charles County, Missouri</t>
  </si>
  <si>
    <t>(-90.72572027249078, 38.81317465320544)</t>
  </si>
  <si>
    <t>0.17422475559960798</t>
  </si>
  <si>
    <t>1400000US29183311904</t>
  </si>
  <si>
    <t>Census Tract 3119.04, St. Charles County, Missouri</t>
  </si>
  <si>
    <t>(-90.75371178736876, 38.778087699828255)</t>
  </si>
  <si>
    <t>0.15423566169169714</t>
  </si>
  <si>
    <t>1400000US29183311907</t>
  </si>
  <si>
    <t>Census Tract 3119.07, St. Charles County, Missouri</t>
  </si>
  <si>
    <t>(-90.74339335503372, 38.79400626917955)</t>
  </si>
  <si>
    <t>1400000US29183311908</t>
  </si>
  <si>
    <t>Census Tract 3119.08, St. Charles County, Missouri</t>
  </si>
  <si>
    <t>(-90.80766393405831, 38.77581506674393)</t>
  </si>
  <si>
    <t>0.1498546974050333</t>
  </si>
  <si>
    <t>1400000US29183311909</t>
  </si>
  <si>
    <t>Census Tract 3119.09, St. Charles County, Missouri</t>
  </si>
  <si>
    <t>(-90.77643599744663, 38.786448308201265)</t>
  </si>
  <si>
    <t>0.13807003543829574</t>
  </si>
  <si>
    <t>1400000US29183312096</t>
  </si>
  <si>
    <t>Census Tract 3120.96, St. Charles County, Missouri</t>
  </si>
  <si>
    <t>(-90.87324729975182, 38.83610181153709)</t>
  </si>
  <si>
    <t>0.12909174660493583</t>
  </si>
  <si>
    <t>1400000US29183312097</t>
  </si>
  <si>
    <t>Census Tract 3120.97, St. Charles County, Missouri</t>
  </si>
  <si>
    <t>(-90.92837640842866, 38.83255277463472)</t>
  </si>
  <si>
    <t>0.4010236213046061</t>
  </si>
  <si>
    <t>1400000US29183312192</t>
  </si>
  <si>
    <t>Census Tract 3121.92, St. Charles County, Missouri</t>
  </si>
  <si>
    <t>(-90.88100829229238, 38.792668014846235)</t>
  </si>
  <si>
    <t>0.17246496907668366</t>
  </si>
  <si>
    <t>1400000US29183312193</t>
  </si>
  <si>
    <t>Census Tract 3121.93, St. Charles County, Missouri</t>
  </si>
  <si>
    <t>(-90.8406846721223, 38.78449212880084)</t>
  </si>
  <si>
    <t>0.15520788849240763</t>
  </si>
  <si>
    <t>1400000US29183312195</t>
  </si>
  <si>
    <t>Census Tract 3121.95, St. Charles County, Missouri</t>
  </si>
  <si>
    <t>(-90.85892465806255, 38.815329921920345)</t>
  </si>
  <si>
    <t>0.10631630085833248</t>
  </si>
  <si>
    <t>1400000US29183312204</t>
  </si>
  <si>
    <t>Census Tract 3122.04, St. Charles County, Missouri</t>
  </si>
  <si>
    <t>(-90.87123808781071, 38.6272035140449)</t>
  </si>
  <si>
    <t>0.027625861793757096</t>
  </si>
  <si>
    <t>0.7158886905995545</t>
  </si>
  <si>
    <t>1400000US29183312205</t>
  </si>
  <si>
    <t>Census Tract 3122.05, St. Charles County, Missouri</t>
  </si>
  <si>
    <t>(-90.79125665272325, 38.75068864189801)</t>
  </si>
  <si>
    <t>0.22374979099153133</t>
  </si>
  <si>
    <t>1400000US29183312206</t>
  </si>
  <si>
    <t>Census Tract 3122.06, St. Charles County, Missouri</t>
  </si>
  <si>
    <t>(-90.88942728468594, 38.734282073227426)</t>
  </si>
  <si>
    <t>0.5302393020503169</t>
  </si>
  <si>
    <t>1400000US29183312300</t>
  </si>
  <si>
    <t>Census Tract 3123, St. Charles County, Missouri</t>
  </si>
  <si>
    <t>(-90.5607642150465, 38.7736315790797)</t>
  </si>
  <si>
    <t>1400000US29183312400</t>
  </si>
  <si>
    <t>Census Tract 3124, St. Charles County, Missouri</t>
  </si>
  <si>
    <t>(-90.61045933814634, 38.79433799482287)</t>
  </si>
  <si>
    <t>0.19173411733172066</t>
  </si>
  <si>
    <t>1400000US29183980000</t>
  </si>
  <si>
    <t>Census Tract 9800, St. Charles County, Missouri</t>
  </si>
  <si>
    <t>(-90.74042604535516, 38.69259703573226)</t>
  </si>
  <si>
    <t>0.4510456796843136</t>
  </si>
  <si>
    <t>1400000US29183311150</t>
  </si>
  <si>
    <t>Census Tract 3111.50, St. Charles County, Missouri</t>
  </si>
  <si>
    <t>(-90.59265083476045, 38.726761366407175)</t>
  </si>
  <si>
    <t>1400000US29185480100</t>
  </si>
  <si>
    <t>St. Clair County</t>
  </si>
  <si>
    <t>Census Tract 4801, St. Clair County, Missouri</t>
  </si>
  <si>
    <t>(-93.81684453081856, 38.14689834129971)</t>
  </si>
  <si>
    <t>1.4641651762787247</t>
  </si>
  <si>
    <t>1400000US29185480200</t>
  </si>
  <si>
    <t>Census Tract 4802, St. Clair County, Missouri</t>
  </si>
  <si>
    <t>(-93.8487559948252, 37.9681065596345)</t>
  </si>
  <si>
    <t>1.966521140656325</t>
  </si>
  <si>
    <t>1400000US29185480300</t>
  </si>
  <si>
    <t>Census Tract 4803, St. Clair County, Missouri</t>
  </si>
  <si>
    <t>(-93.60234134709061, 38.034123042123554)</t>
  </si>
  <si>
    <t>1.5242138053219279</t>
  </si>
  <si>
    <t>1400000US29186960300</t>
  </si>
  <si>
    <t>Ste. Genevieve County</t>
  </si>
  <si>
    <t>Census Tract 9603, Ste. Genevieve County, Missouri</t>
  </si>
  <si>
    <t>(-90.12872154694318, 37.93943343521499)</t>
  </si>
  <si>
    <t>0.029697360036785338</t>
  </si>
  <si>
    <t>1.378321270483751</t>
  </si>
  <si>
    <t>1400000US29186960100</t>
  </si>
  <si>
    <t>Census Tract 9601, Ste. Genevieve County, Missouri</t>
  </si>
  <si>
    <t>(-90.30284256844239, 37.960244921845664)</t>
  </si>
  <si>
    <t>1.4286548951222844</t>
  </si>
  <si>
    <t>1400000US29186960200</t>
  </si>
  <si>
    <t>Census Tract 9602, Ste. Genevieve County, Missouri</t>
  </si>
  <si>
    <t>(-90.05777867003113, 37.97205240773508)</t>
  </si>
  <si>
    <t>0.48558930857844773</t>
  </si>
  <si>
    <t>1400000US29186960400</t>
  </si>
  <si>
    <t>Census Tract 9604, Ste. Genevieve County, Missouri</t>
  </si>
  <si>
    <t>(-90.1397100602795, 37.79503662507089)</t>
  </si>
  <si>
    <t>1.1072649881507846</t>
  </si>
  <si>
    <t>1400000US29187950600</t>
  </si>
  <si>
    <t>St. Francois County</t>
  </si>
  <si>
    <t>Census Tract 9506, St. Francois County, Missouri</t>
  </si>
  <si>
    <t>(-90.5944860345128, 37.713829597053774)</t>
  </si>
  <si>
    <t>0.013304417910710967</t>
  </si>
  <si>
    <t>0.5529995801146057</t>
  </si>
  <si>
    <t>1400000US29187950901</t>
  </si>
  <si>
    <t>Census Tract 9509.01, St. Francois County, Missouri</t>
  </si>
  <si>
    <t>(-90.43254259318061, 37.80170148818206)</t>
  </si>
  <si>
    <t>1400000US29187950902</t>
  </si>
  <si>
    <t>Census Tract 9509.02, St. Francois County, Missouri</t>
  </si>
  <si>
    <t>(-90.43217656844105, 37.775250112790616)</t>
  </si>
  <si>
    <t>0.1366050563431242</t>
  </si>
  <si>
    <t>1400000US29187950101</t>
  </si>
  <si>
    <t>Census Tract 9501.01, St. Francois County, Missouri</t>
  </si>
  <si>
    <t>(-90.44920506720383, 37.95808829381495)</t>
  </si>
  <si>
    <t>0.023476791262951893</t>
  </si>
  <si>
    <t>0.9178326946253884</t>
  </si>
  <si>
    <t>1400000US29187950102</t>
  </si>
  <si>
    <t>Census Tract 9501.02, St. Francois County, Missouri</t>
  </si>
  <si>
    <t>(-90.59817429473584, 37.95477668829235)</t>
  </si>
  <si>
    <t>0.013183641394131232</t>
  </si>
  <si>
    <t>0.8968191184849702</t>
  </si>
  <si>
    <t>1400000US29187950300</t>
  </si>
  <si>
    <t>Census Tract 9503, St. Francois County, Missouri</t>
  </si>
  <si>
    <t>(-90.54414487908645, 37.936794805784324)</t>
  </si>
  <si>
    <t>0.3555022865772111</t>
  </si>
  <si>
    <t>1400000US29187950400</t>
  </si>
  <si>
    <t>Census Tract 9504, St. Francois County, Missouri</t>
  </si>
  <si>
    <t>(-90.53880049847774, 37.813008413941375)</t>
  </si>
  <si>
    <t>0.016818873417405573</t>
  </si>
  <si>
    <t>1.0439699700592915</t>
  </si>
  <si>
    <t>1400000US29187950700</t>
  </si>
  <si>
    <t>Census Tract 9507, St. Francois County, Missouri</t>
  </si>
  <si>
    <t>(-90.37354723169452, 37.702204055055645)</t>
  </si>
  <si>
    <t>1.4333243234045345</t>
  </si>
  <si>
    <t>1400000US29187950800</t>
  </si>
  <si>
    <t>Census Tract 9508, St. Francois County, Missouri</t>
  </si>
  <si>
    <t>(-90.4021038066774, 37.78517904153781)</t>
  </si>
  <si>
    <t>0.18227821878305117</t>
  </si>
  <si>
    <t>1400000US29187951000</t>
  </si>
  <si>
    <t>Census Tract 9510, St. Francois County, Missouri</t>
  </si>
  <si>
    <t>(-90.54674655346786, 37.841431744900845)</t>
  </si>
  <si>
    <t>0.34543753985508563</t>
  </si>
  <si>
    <t>1400000US29187951100</t>
  </si>
  <si>
    <t>Census Tract 9511, St. Francois County, Missouri</t>
  </si>
  <si>
    <t>(-90.52032724643281, 37.86918080830435)</t>
  </si>
  <si>
    <t>0.2995717158809027</t>
  </si>
  <si>
    <t>1400000US29189219300</t>
  </si>
  <si>
    <t>St. Louis County</t>
  </si>
  <si>
    <t>Census Tract 2193, St. Louis County, Missouri</t>
  </si>
  <si>
    <t>(-90.3664193240078, 38.59475589312533)</t>
  </si>
  <si>
    <t>1400000US29189219400</t>
  </si>
  <si>
    <t>Census Tract 2194, St. Louis County, Missouri</t>
  </si>
  <si>
    <t>(-90.36706280363248, 38.57699629837389)</t>
  </si>
  <si>
    <t>1400000US29189219700</t>
  </si>
  <si>
    <t>Census Tract 2197, St. Louis County, Missouri</t>
  </si>
  <si>
    <t>(-90.32936015111942, 38.56504563662143)</t>
  </si>
  <si>
    <t>1400000US29189220432</t>
  </si>
  <si>
    <t>Census Tract 2204.32, St. Louis County, Missouri</t>
  </si>
  <si>
    <t>(-90.33812781977561, 38.47163896888637)</t>
  </si>
  <si>
    <t>0.13726550893335515</t>
  </si>
  <si>
    <t>1400000US29189220446</t>
  </si>
  <si>
    <t>Census Tract 2204.46, St. Louis County, Missouri</t>
  </si>
  <si>
    <t>(-90.31705854044581, 38.430245628550495)</t>
  </si>
  <si>
    <t>1400000US29189220702</t>
  </si>
  <si>
    <t>Census Tract 2207.02, St. Louis County, Missouri</t>
  </si>
  <si>
    <t>(-90.35566192261268, 38.53417716750252)</t>
  </si>
  <si>
    <t>1400000US29189221302</t>
  </si>
  <si>
    <t>Census Tract 2213.02, St. Louis County, Missouri</t>
  </si>
  <si>
    <t>(-90.36474996821133, 38.49522932928987)</t>
  </si>
  <si>
    <t>0.1021177923741093</t>
  </si>
  <si>
    <t>1400000US29189221424</t>
  </si>
  <si>
    <t>Census Tract 2214.24, St. Louis County, Missouri</t>
  </si>
  <si>
    <t>(-90.46390832732358, 38.5123176696876)</t>
  </si>
  <si>
    <t>1400000US29189221624</t>
  </si>
  <si>
    <t>Census Tract 2216.24, St. Louis County, Missouri</t>
  </si>
  <si>
    <t>(-90.60603361919868, 38.59797414237223)</t>
  </si>
  <si>
    <t>1400000US29189221900</t>
  </si>
  <si>
    <t>Census Tract 2219, St. Louis County, Missouri</t>
  </si>
  <si>
    <t>(-90.38151510399798, 38.57053216716255)</t>
  </si>
  <si>
    <t>1400000US29189210100</t>
  </si>
  <si>
    <t>Census Tract 2101, St. Louis County, Missouri</t>
  </si>
  <si>
    <t>(-90.17539838973252, 38.803442799556144)</t>
  </si>
  <si>
    <t>0.3357201656437394</t>
  </si>
  <si>
    <t>1400000US29189210300</t>
  </si>
  <si>
    <t>Census Tract 2103, St. Louis County, Missouri</t>
  </si>
  <si>
    <t>(-90.21172259084445, 38.7445378599708)</t>
  </si>
  <si>
    <t>1400000US29189210702</t>
  </si>
  <si>
    <t>Census Tract 2107.02, St. Louis County, Missouri</t>
  </si>
  <si>
    <t>(-90.22089931526159, 38.77830183983138)</t>
  </si>
  <si>
    <t>1400000US29189210921</t>
  </si>
  <si>
    <t>Census Tract 2109.21, St. Louis County, Missouri</t>
  </si>
  <si>
    <t>(-90.33994730004893, 38.83898379224821)</t>
  </si>
  <si>
    <t>0.12422883662348246</t>
  </si>
  <si>
    <t>1400000US29189210928</t>
  </si>
  <si>
    <t>Census Tract 2109.28, St. Louis County, Missouri</t>
  </si>
  <si>
    <t>(-90.30726691193192, 38.83433794029665)</t>
  </si>
  <si>
    <t>1400000US29189211401</t>
  </si>
  <si>
    <t>Census Tract 2114.01, St. Louis County, Missouri</t>
  </si>
  <si>
    <t>(-90.42341232393427, 38.796683854078566)</t>
  </si>
  <si>
    <t>0.2288760064126128</t>
  </si>
  <si>
    <t>1400000US29189211801</t>
  </si>
  <si>
    <t>Census Tract 2118.01, St. Louis County, Missouri</t>
  </si>
  <si>
    <t>(-90.26617828177376, 38.76114655486721)</t>
  </si>
  <si>
    <t>1400000US29189212500</t>
  </si>
  <si>
    <t>Census Tract 2125, St. Louis County, Missouri</t>
  </si>
  <si>
    <t>(-90.28766148676227, 38.743116293257266)</t>
  </si>
  <si>
    <t>1400000US29189214100</t>
  </si>
  <si>
    <t>Census Tract 2141, St. Louis County, Missouri</t>
  </si>
  <si>
    <t>(-90.30429090985997, 38.676900139649945)</t>
  </si>
  <si>
    <t>0.045236607055686905</t>
  </si>
  <si>
    <t>1400000US29189214400</t>
  </si>
  <si>
    <t>Census Tract 2144, St. Louis County, Missouri</t>
  </si>
  <si>
    <t>(-90.35427209117934, 38.70632277750519)</t>
  </si>
  <si>
    <t>1400000US29189215004</t>
  </si>
  <si>
    <t>Census Tract 2150.04, St. Louis County, Missouri</t>
  </si>
  <si>
    <t>(-90.41812126181772, 38.69156968217302)</t>
  </si>
  <si>
    <t>1400000US29189215144</t>
  </si>
  <si>
    <t>Census Tract 2151.44, St. Louis County, Missouri</t>
  </si>
  <si>
    <t>(-90.46597224574188, 38.72338730462213)</t>
  </si>
  <si>
    <t>0.10265612765918015</t>
  </si>
  <si>
    <t>1400000US29189215301</t>
  </si>
  <si>
    <t>Census Tract 2153.01, St. Louis County, Missouri</t>
  </si>
  <si>
    <t>(-90.4231662018198, 38.66414537247518)</t>
  </si>
  <si>
    <t>0.1134312971101664</t>
  </si>
  <si>
    <t>1400000US29189216000</t>
  </si>
  <si>
    <t>Census Tract 2160, St. Louis County, Missouri</t>
  </si>
  <si>
    <t>(-90.30541902783631, 38.66618329910409)</t>
  </si>
  <si>
    <t>7.132488310334549e-05</t>
  </si>
  <si>
    <t>1400000US29189216700</t>
  </si>
  <si>
    <t>Census Tract 2167, St. Louis County, Missouri</t>
  </si>
  <si>
    <t>(-90.3274834855523, 38.62973708554472)</t>
  </si>
  <si>
    <t>1400000US29189217200</t>
  </si>
  <si>
    <t>Census Tract 2172, St. Louis County, Missouri</t>
  </si>
  <si>
    <t>(-90.32804991672808, 38.61809304077772)</t>
  </si>
  <si>
    <t>0.044811304449694576</t>
  </si>
  <si>
    <t>1400000US29189217807</t>
  </si>
  <si>
    <t>Census Tract 2178.07, St. Louis County, Missouri</t>
  </si>
  <si>
    <t>(-90.54370125250891, 38.603190126196786)</t>
  </si>
  <si>
    <t>0.11107631816955657</t>
  </si>
  <si>
    <t>1400000US29189217932</t>
  </si>
  <si>
    <t>Census Tract 2179.32, St. Louis County, Missouri</t>
  </si>
  <si>
    <t>(-90.53409453829659, 38.56021820306429)</t>
  </si>
  <si>
    <t>1400000US29189218201</t>
  </si>
  <si>
    <t>Census Tract 2182.01, St. Louis County, Missouri</t>
  </si>
  <si>
    <t>(-90.43440308881385, 38.574427907312966)</t>
  </si>
  <si>
    <t>1400000US29189218500</t>
  </si>
  <si>
    <t>Census Tract 2185, St. Louis County, Missouri</t>
  </si>
  <si>
    <t>(-90.39874015083284, 38.59328561387155)</t>
  </si>
  <si>
    <t>1400000US29189221621</t>
  </si>
  <si>
    <t>Census Tract 2216.21, St. Louis County, Missouri</t>
  </si>
  <si>
    <t>(-90.69635422154228, 38.600382694566896)</t>
  </si>
  <si>
    <t>0.37037862534336735</t>
  </si>
  <si>
    <t>1400000US29189221625</t>
  </si>
  <si>
    <t>Census Tract 2216.25, St. Louis County, Missouri</t>
  </si>
  <si>
    <t>(-90.62789194778084, 38.58832865553054)</t>
  </si>
  <si>
    <t>0.11076739849544036</t>
  </si>
  <si>
    <t>1400000US29189217931</t>
  </si>
  <si>
    <t>Census Tract 2179.31, St. Louis County, Missouri</t>
  </si>
  <si>
    <t>(-90.53161765486368, 38.58291712617128)</t>
  </si>
  <si>
    <t>1400000US29189217941</t>
  </si>
  <si>
    <t>Census Tract 2179.41, St. Louis County, Missouri</t>
  </si>
  <si>
    <t>(-90.51270269274771, 38.577976393213596)</t>
  </si>
  <si>
    <t>1400000US29189220002</t>
  </si>
  <si>
    <t>Census Tract 2200.02, St. Louis County, Missouri</t>
  </si>
  <si>
    <t>(-90.32222449836328, 38.549655765887046)</t>
  </si>
  <si>
    <t>1400000US29189220100</t>
  </si>
  <si>
    <t>Census Tract 2201, St. Louis County, Missouri</t>
  </si>
  <si>
    <t>(-90.29104378198652, 38.53980502510332)</t>
  </si>
  <si>
    <t>0.11541738225541952</t>
  </si>
  <si>
    <t>1400000US29189215302</t>
  </si>
  <si>
    <t>Census Tract 2153.02, St. Louis County, Missouri</t>
  </si>
  <si>
    <t>(-90.42462598726783, 38.64417163577705)</t>
  </si>
  <si>
    <t>0.1222284508289104</t>
  </si>
  <si>
    <t>1400000US29189215400</t>
  </si>
  <si>
    <t>Census Tract 2154, St. Louis County, Missouri</t>
  </si>
  <si>
    <t>(-90.37992162164116, 38.64963966468501)</t>
  </si>
  <si>
    <t>0.15833909550667355</t>
  </si>
  <si>
    <t>1400000US29189217400</t>
  </si>
  <si>
    <t>Census Tract 2174, St. Louis County, Missouri</t>
  </si>
  <si>
    <t>(-90.35449238689867, 38.62246867738509)</t>
  </si>
  <si>
    <t>1400000US29189217500</t>
  </si>
  <si>
    <t>Census Tract 2175, St. Louis County, Missouri</t>
  </si>
  <si>
    <t>(-90.38507045994183, 38.62299734692553)</t>
  </si>
  <si>
    <t>0.15814969203559376</t>
  </si>
  <si>
    <t>1400000US29189217600</t>
  </si>
  <si>
    <t>Census Tract 2176, St. Louis County, Missouri</t>
  </si>
  <si>
    <t>(-90.42444373674864, 38.61673071045523)</t>
  </si>
  <si>
    <t>0.13717302663301914</t>
  </si>
  <si>
    <t>1400000US29189217701</t>
  </si>
  <si>
    <t>Census Tract 2177.01, St. Louis County, Missouri</t>
  </si>
  <si>
    <t>(-90.46413648875671, 38.619308728887226)</t>
  </si>
  <si>
    <t>0.15734848032650395</t>
  </si>
  <si>
    <t>1400000US29189217702</t>
  </si>
  <si>
    <t>Census Tract 2177.02, St. Louis County, Missouri</t>
  </si>
  <si>
    <t>(-90.49809590383607, 38.6182035162976)</t>
  </si>
  <si>
    <t>0.16482293630166675</t>
  </si>
  <si>
    <t>1400000US29189217802</t>
  </si>
  <si>
    <t>Census Tract 2178.02, St. Louis County, Missouri</t>
  </si>
  <si>
    <t>(-90.52236561579885, 38.60863818217256)</t>
  </si>
  <si>
    <t>0.10402353950875923</t>
  </si>
  <si>
    <t>1400000US29189217806</t>
  </si>
  <si>
    <t>Census Tract 2178.06, St. Louis County, Missouri</t>
  </si>
  <si>
    <t>(-90.5732469157147, 38.598635700381536)</t>
  </si>
  <si>
    <t>0.1252727534616184</t>
  </si>
  <si>
    <t>1400000US29189217841</t>
  </si>
  <si>
    <t>Census Tract 2178.41, St. Louis County, Missouri</t>
  </si>
  <si>
    <t>(-90.55037804020436, 38.642043874781926)</t>
  </si>
  <si>
    <t>0.10347992179944793</t>
  </si>
  <si>
    <t>1400000US29189217842</t>
  </si>
  <si>
    <t>Census Tract 2178.42, St. Louis County, Missouri</t>
  </si>
  <si>
    <t>(-90.53006476186569, 38.63224550334465)</t>
  </si>
  <si>
    <t>0.11232367241295758</t>
  </si>
  <si>
    <t>1400000US29189217851</t>
  </si>
  <si>
    <t>Census Tract 2178.51, St. Louis County, Missouri</t>
  </si>
  <si>
    <t>(-90.5672906872945, 38.63244343589822)</t>
  </si>
  <si>
    <t>1400000US29189217852</t>
  </si>
  <si>
    <t>Census Tract 2178.52, St. Louis County, Missouri</t>
  </si>
  <si>
    <t>(-90.56514035067877, 38.61721322138334)</t>
  </si>
  <si>
    <t>0.1230915387198178</t>
  </si>
  <si>
    <t>1400000US29189217921</t>
  </si>
  <si>
    <t>Census Tract 2179.21, St. Louis County, Missouri</t>
  </si>
  <si>
    <t>(-90.58127283967121, 38.55539096204737)</t>
  </si>
  <si>
    <t>0.24587564740300702</t>
  </si>
  <si>
    <t>1400000US29189217923</t>
  </si>
  <si>
    <t>Census Tract 2179.23, St. Louis County, Missouri</t>
  </si>
  <si>
    <t>(-90.54955386054387, 38.57639339415841)</t>
  </si>
  <si>
    <t>0.11169794092213967</t>
  </si>
  <si>
    <t>1400000US29189220200</t>
  </si>
  <si>
    <t>Census Tract 2202, St. Louis County, Missouri</t>
  </si>
  <si>
    <t>(-90.27356242804952, 38.53041460626384)</t>
  </si>
  <si>
    <t>1400000US29189220300</t>
  </si>
  <si>
    <t>Census Tract 2203, St. Louis County, Missouri</t>
  </si>
  <si>
    <t>(-90.2810898173457, 38.503883138767534)</t>
  </si>
  <si>
    <t>0.12011547453274135</t>
  </si>
  <si>
    <t>1400000US29189220431</t>
  </si>
  <si>
    <t>Census Tract 2204.31, St. Louis County, Missouri</t>
  </si>
  <si>
    <t>(-90.33182929610246, 38.49276805557622)</t>
  </si>
  <si>
    <t>0.11659799655952176</t>
  </si>
  <si>
    <t>1400000US29189220441</t>
  </si>
  <si>
    <t>Census Tract 2204.41, St. Louis County, Missouri</t>
  </si>
  <si>
    <t>(-90.31147004966938, 38.48314789769471)</t>
  </si>
  <si>
    <t>1400000US29189220442</t>
  </si>
  <si>
    <t>Census Tract 2204.42, St. Louis County, Missouri</t>
  </si>
  <si>
    <t>(-90.29046750692487, 38.47784206478351)</t>
  </si>
  <si>
    <t>0.11616455743398132</t>
  </si>
  <si>
    <t>1400000US29189220443</t>
  </si>
  <si>
    <t>Census Tract 2204.43, St. Louis County, Missouri</t>
  </si>
  <si>
    <t>(-90.3151556540148, 38.46221591665366)</t>
  </si>
  <si>
    <t>1400000US29189220444</t>
  </si>
  <si>
    <t>Census Tract 2204.44, St. Louis County, Missouri</t>
  </si>
  <si>
    <t>(-90.33196351468926, 38.42570621441363)</t>
  </si>
  <si>
    <t>0.2282404437408658</t>
  </si>
  <si>
    <t>1400000US29189220445</t>
  </si>
  <si>
    <t>Census Tract 2204.45, St. Louis County, Missouri</t>
  </si>
  <si>
    <t>(-90.30025417958426, 38.443338228909305)</t>
  </si>
  <si>
    <t>0.17712868434370563</t>
  </si>
  <si>
    <t>1400000US29189218012</t>
  </si>
  <si>
    <t>Census Tract 2180.12, St. Louis County, Missouri</t>
  </si>
  <si>
    <t>(-90.45711946212685, 38.59131786349187)</t>
  </si>
  <si>
    <t>1400000US29189218102</t>
  </si>
  <si>
    <t>Census Tract 2181.02, St. Louis County, Missouri</t>
  </si>
  <si>
    <t>(-90.50184066072244, 38.55420388405108)</t>
  </si>
  <si>
    <t>1400000US29189220501</t>
  </si>
  <si>
    <t>Census Tract 2205.01, St. Louis County, Missouri</t>
  </si>
  <si>
    <t>(-90.29326463747455, 38.51914836635888)</t>
  </si>
  <si>
    <t>1400000US29189220502</t>
  </si>
  <si>
    <t>Census Tract 2205.02, St. Louis County, Missouri</t>
  </si>
  <si>
    <t>(-90.30757907684196, 38.506438326791276)</t>
  </si>
  <si>
    <t>1400000US29189220601</t>
  </si>
  <si>
    <t>Census Tract 2206.01, St. Louis County, Missouri</t>
  </si>
  <si>
    <t>(-90.33281304106457, 38.52873489402405)</t>
  </si>
  <si>
    <t>0.12428127694670262</t>
  </si>
  <si>
    <t>1400000US29189220602</t>
  </si>
  <si>
    <t>Census Tract 2206.02, St. Louis County, Missouri</t>
  </si>
  <si>
    <t>(-90.3179444248166, 38.519443088489915)</t>
  </si>
  <si>
    <t>1400000US29189220701</t>
  </si>
  <si>
    <t>Census Tract 2207.01, St. Louis County, Missouri</t>
  </si>
  <si>
    <t>(-90.34256547683975, 38.54172591305978)</t>
  </si>
  <si>
    <t>1400000US29189220703</t>
  </si>
  <si>
    <t>Census Tract 2207.03, St. Louis County, Missouri</t>
  </si>
  <si>
    <t>(-90.37036607676718, 38.533611909785094)</t>
  </si>
  <si>
    <t>1400000US29189220801</t>
  </si>
  <si>
    <t>Census Tract 2208.01, St. Louis County, Missouri</t>
  </si>
  <si>
    <t>(-90.35166382212873, 38.55565497942082)</t>
  </si>
  <si>
    <t>0.1137377984626978</t>
  </si>
  <si>
    <t>1400000US29189220802</t>
  </si>
  <si>
    <t>Census Tract 2208.02, St. Louis County, Missouri</t>
  </si>
  <si>
    <t>(-90.37138917598843, 38.550301931383075)</t>
  </si>
  <si>
    <t>1400000US29189217942</t>
  </si>
  <si>
    <t>Census Tract 2179.42, St. Louis County, Missouri</t>
  </si>
  <si>
    <t>(-90.51447498976947, 38.559378250655314)</t>
  </si>
  <si>
    <t>0.10132309977166679</t>
  </si>
  <si>
    <t>1400000US29189217943</t>
  </si>
  <si>
    <t>Census Tract 2179.43, St. Louis County, Missouri</t>
  </si>
  <si>
    <t>(-90.57321453051807, 38.58709159007124)</t>
  </si>
  <si>
    <t>1400000US29189217944</t>
  </si>
  <si>
    <t>Census Tract 2179.44, St. Louis County, Missouri</t>
  </si>
  <si>
    <t>(-90.5675644636459, 38.57392192132332)</t>
  </si>
  <si>
    <t>1400000US29189218003</t>
  </si>
  <si>
    <t>Census Tract 2180.03, St. Louis County, Missouri</t>
  </si>
  <si>
    <t>(-90.47139613613345, 38.573564061818985)</t>
  </si>
  <si>
    <t>0.14909722869054642</t>
  </si>
  <si>
    <t>1400000US29189218011</t>
  </si>
  <si>
    <t>Census Tract 2180.11, St. Louis County, Missouri</t>
  </si>
  <si>
    <t>(-90.48577567384825, 38.58711384177399)</t>
  </si>
  <si>
    <t>0.11532411651006466</t>
  </si>
  <si>
    <t>1400000US29189218103</t>
  </si>
  <si>
    <t>Census Tract 2181.03, St. Louis County, Missouri</t>
  </si>
  <si>
    <t>(-90.47238671728265, 38.558778463087094)</t>
  </si>
  <si>
    <t>0.14885441423458248</t>
  </si>
  <si>
    <t>1400000US29189218300</t>
  </si>
  <si>
    <t>Census Tract 2183, St. Louis County, Missouri</t>
  </si>
  <si>
    <t>(-90.41579180511529, 38.575103239551986)</t>
  </si>
  <si>
    <t>1400000US29189218401</t>
  </si>
  <si>
    <t>Census Tract 2184.01, St. Louis County, Missouri</t>
  </si>
  <si>
    <t>(-90.43375733473454, 38.59476162015317)</t>
  </si>
  <si>
    <t>1400000US29189218402</t>
  </si>
  <si>
    <t>Census Tract 2184.02, St. Louis County, Missouri</t>
  </si>
  <si>
    <t>(-90.42046848137903, 38.588765271756294)</t>
  </si>
  <si>
    <t>0.10499226163839098</t>
  </si>
  <si>
    <t>1400000US29189218600</t>
  </si>
  <si>
    <t>Census Tract 2186, St. Louis County, Missouri</t>
  </si>
  <si>
    <t>(-90.39908711281628, 38.575248716212855)</t>
  </si>
  <si>
    <t>0.062199813372508635</t>
  </si>
  <si>
    <t>1400000US29189218800</t>
  </si>
  <si>
    <t>Census Tract 2188, St. Louis County, Missouri</t>
  </si>
  <si>
    <t>(-90.38255883522139, 38.59352845342043)</t>
  </si>
  <si>
    <t>1400000US29189218900</t>
  </si>
  <si>
    <t>Census Tract 2189, St. Louis County, Missouri</t>
  </si>
  <si>
    <t>(-90.36006243421127, 38.6082711521752)</t>
  </si>
  <si>
    <t>0.12931721975466542</t>
  </si>
  <si>
    <t>1400000US29189219100</t>
  </si>
  <si>
    <t>Census Tract 2191, St. Louis County, Missouri</t>
  </si>
  <si>
    <t>(-90.33912562079757, 38.60047931471686)</t>
  </si>
  <si>
    <t>1400000US29189219200</t>
  </si>
  <si>
    <t>Census Tract 2192, St. Louis County, Missouri</t>
  </si>
  <si>
    <t>(-90.3492125362243, 38.59333429376738)</t>
  </si>
  <si>
    <t>1400000US29189220001</t>
  </si>
  <si>
    <t>Census Tract 2200.01, St. Louis County, Missouri</t>
  </si>
  <si>
    <t>(-90.31413633055037, 38.54172216802997)</t>
  </si>
  <si>
    <t>1400000US29189220803</t>
  </si>
  <si>
    <t>Census Tract 2208.03, St. Louis County, Missouri</t>
  </si>
  <si>
    <t>(-90.39099912802637, 38.547277301652954)</t>
  </si>
  <si>
    <t>1400000US29189221000</t>
  </si>
  <si>
    <t>Census Tract 2210, St. Louis County, Missouri</t>
  </si>
  <si>
    <t>(-90.39580023186349, 38.56204840560883)</t>
  </si>
  <si>
    <t>1400000US29189221100</t>
  </si>
  <si>
    <t>Census Tract 2211, St. Louis County, Missouri</t>
  </si>
  <si>
    <t>(-90.42548221670472, 38.558329619867344)</t>
  </si>
  <si>
    <t>1400000US29189221201</t>
  </si>
  <si>
    <t>Census Tract 2212.01, St. Louis County, Missouri</t>
  </si>
  <si>
    <t>(-90.41524395716372, 38.533608758600046)</t>
  </si>
  <si>
    <t>0.15777797029033613</t>
  </si>
  <si>
    <t>1400000US29189221202</t>
  </si>
  <si>
    <t>Census Tract 2212.02, St. Louis County, Missouri</t>
  </si>
  <si>
    <t>(-90.39171307694247, 38.51556530852479)</t>
  </si>
  <si>
    <t>0.18324258260325413</t>
  </si>
  <si>
    <t>1400000US29189221301</t>
  </si>
  <si>
    <t>Census Tract 2213.01, St. Louis County, Missouri</t>
  </si>
  <si>
    <t>(-90.35112771178801, 38.50899360748192)</t>
  </si>
  <si>
    <t>0.11858140910765891</t>
  </si>
  <si>
    <t>1400000US29189221332</t>
  </si>
  <si>
    <t>Census Tract 2213.32, St. Louis County, Missouri</t>
  </si>
  <si>
    <t>(-90.36481253006237, 38.47045639804452)</t>
  </si>
  <si>
    <t>0.10734877112191714</t>
  </si>
  <si>
    <t>1400000US29189221335</t>
  </si>
  <si>
    <t>Census Tract 2213.35, St. Louis County, Missouri</t>
  </si>
  <si>
    <t>(-90.38750006327007, 38.469287726999326)</t>
  </si>
  <si>
    <t>0.16251631763660396</t>
  </si>
  <si>
    <t>1400000US29189221421</t>
  </si>
  <si>
    <t>Census Tract 2214.21, St. Louis County, Missouri</t>
  </si>
  <si>
    <t>(-90.55003101311786, 38.52308886423313)</t>
  </si>
  <si>
    <t>0.3621014765777458</t>
  </si>
  <si>
    <t>1400000US29189221422</t>
  </si>
  <si>
    <t>Census Tract 2214.22, St. Louis County, Missouri</t>
  </si>
  <si>
    <t>(-90.48351132552531, 38.52483421494745)</t>
  </si>
  <si>
    <t>0.13347793414760878</t>
  </si>
  <si>
    <t>1400000US29189221423</t>
  </si>
  <si>
    <t>Census Tract 2214.23, St. Louis County, Missouri</t>
  </si>
  <si>
    <t>(-90.44848595323025, 38.52933768484845)</t>
  </si>
  <si>
    <t>0.24261060857621697</t>
  </si>
  <si>
    <t>1400000US29189221502</t>
  </si>
  <si>
    <t>Census Tract 2215.02, St. Louis County, Missouri</t>
  </si>
  <si>
    <t>(-90.6759276177772, 38.52560830301734)</t>
  </si>
  <si>
    <t>0.3897322042896723</t>
  </si>
  <si>
    <t>1400000US29189221503</t>
  </si>
  <si>
    <t>Census Tract 2215.03, St. Louis County, Missouri</t>
  </si>
  <si>
    <t>(-90.66593318671079, 38.48463401320522)</t>
  </si>
  <si>
    <t>0.4491445536525606</t>
  </si>
  <si>
    <t>1400000US29189221506</t>
  </si>
  <si>
    <t>Census Tract 2215.06, St. Louis County, Missouri</t>
  </si>
  <si>
    <t>(-90.60856652833978, 38.57900315233321)</t>
  </si>
  <si>
    <t>1400000US29189221626</t>
  </si>
  <si>
    <t>Census Tract 2216.26, St. Louis County, Missouri</t>
  </si>
  <si>
    <t>(-90.61191878869559, 38.61804885911431)</t>
  </si>
  <si>
    <t>0.18228330969522746</t>
  </si>
  <si>
    <t>1400000US29189221627</t>
  </si>
  <si>
    <t>Census Tract 2216.27, St. Louis County, Missouri</t>
  </si>
  <si>
    <t>(-90.64073757725777, 38.63334286826153)</t>
  </si>
  <si>
    <t>0.19540649741717211</t>
  </si>
  <si>
    <t>1400000US29189221628</t>
  </si>
  <si>
    <t>Census Tract 2216.28, St. Louis County, Missouri</t>
  </si>
  <si>
    <t>(-90.58510630042531, 38.67121950313097)</t>
  </si>
  <si>
    <t>0.39081977025349585</t>
  </si>
  <si>
    <t>1400000US29189222000</t>
  </si>
  <si>
    <t>Census Tract 2220, St. Louis County, Missouri</t>
  </si>
  <si>
    <t>(-90.40009013818172, 38.48552886781276)</t>
  </si>
  <si>
    <t>0.15532500240806746</t>
  </si>
  <si>
    <t>1400000US29189221629</t>
  </si>
  <si>
    <t>Census Tract 2216.29, St. Louis County, Missouri</t>
  </si>
  <si>
    <t>(-90.63526814232281, 38.65713378459748)</t>
  </si>
  <si>
    <t>0.42021113734740545</t>
  </si>
  <si>
    <t>1400000US29189221800</t>
  </si>
  <si>
    <t>Census Tract 2218, St. Louis County, Missouri</t>
  </si>
  <si>
    <t>(-90.35114432051152, 38.745698011630736)</t>
  </si>
  <si>
    <t>0.1895764034477096</t>
  </si>
  <si>
    <t>1400000US29189222100</t>
  </si>
  <si>
    <t>Census Tract 2221, St. Louis County, Missouri</t>
  </si>
  <si>
    <t>(-90.6466560566506, 38.56407506312732)</t>
  </si>
  <si>
    <t>0.2694186309696939</t>
  </si>
  <si>
    <t>1400000US29189210927</t>
  </si>
  <si>
    <t>Census Tract 2109.27, St. Louis County, Missouri</t>
  </si>
  <si>
    <t>(-90.30647719965849, 38.86485170467292)</t>
  </si>
  <si>
    <t>0.23258038168890222</t>
  </si>
  <si>
    <t>1400000US29189211000</t>
  </si>
  <si>
    <t>Census Tract 2110, St. Louis County, Missouri</t>
  </si>
  <si>
    <t>(-90.3036638551221, 38.79589010035415)</t>
  </si>
  <si>
    <t>1400000US29189213102</t>
  </si>
  <si>
    <t>Census Tract 2131.02, St. Louis County, Missouri</t>
  </si>
  <si>
    <t>(-90.45026348526176, 38.77152087512774)</t>
  </si>
  <si>
    <t>0.19858945787675766</t>
  </si>
  <si>
    <t>1400000US29189210200</t>
  </si>
  <si>
    <t>Census Tract 2102, St. Louis County, Missouri</t>
  </si>
  <si>
    <t>(-90.20256186558203, 38.759228599906756)</t>
  </si>
  <si>
    <t>0.10013325110978016</t>
  </si>
  <si>
    <t>1400000US29189210400</t>
  </si>
  <si>
    <t>Census Tract 2104, St. Louis County, Missouri</t>
  </si>
  <si>
    <t>(-90.2355838628938, 38.73308265793631)</t>
  </si>
  <si>
    <t>1400000US29189210501</t>
  </si>
  <si>
    <t>Census Tract 2105.01, St. Louis County, Missouri</t>
  </si>
  <si>
    <t>(-90.24883646732648, 38.76418047168183)</t>
  </si>
  <si>
    <t>1400000US29189210502</t>
  </si>
  <si>
    <t>Census Tract 2105.02, St. Louis County, Missouri</t>
  </si>
  <si>
    <t>(-90.2481021721318, 38.749726828472795)</t>
  </si>
  <si>
    <t>1400000US29189210600</t>
  </si>
  <si>
    <t>Census Tract 2106, St. Louis County, Missouri</t>
  </si>
  <si>
    <t>(-90.22804204065866, 38.75504268317135)</t>
  </si>
  <si>
    <t>0.12254248858875177</t>
  </si>
  <si>
    <t>1400000US29189211102</t>
  </si>
  <si>
    <t>Census Tract 2111.02, St. Louis County, Missouri</t>
  </si>
  <si>
    <t>(-90.28713087437076, 38.77977072371167)</t>
  </si>
  <si>
    <t>0.10028534041387152</t>
  </si>
  <si>
    <t>1400000US29189210703</t>
  </si>
  <si>
    <t>Census Tract 2107.03, St. Louis County, Missouri</t>
  </si>
  <si>
    <t>(-90.21870105723808, 38.8022855718675)</t>
  </si>
  <si>
    <t>0.10010729893501276</t>
  </si>
  <si>
    <t>1400000US29189210704</t>
  </si>
  <si>
    <t>Census Tract 2107.04, St. Louis County, Missouri</t>
  </si>
  <si>
    <t>(-90.22394329068125, 38.79024083752999)</t>
  </si>
  <si>
    <t>1400000US29189210803</t>
  </si>
  <si>
    <t>Census Tract 2108.03, St. Louis County, Missouri</t>
  </si>
  <si>
    <t>(-90.28345352206824, 38.803380128232746)</t>
  </si>
  <si>
    <t>1400000US29189210804</t>
  </si>
  <si>
    <t>Census Tract 2108.04, St. Louis County, Missouri</t>
  </si>
  <si>
    <t>(-90.2525165788471, 38.808673164539556)</t>
  </si>
  <si>
    <t>0.14149832342705684</t>
  </si>
  <si>
    <t>1400000US29189210805</t>
  </si>
  <si>
    <t>Census Tract 2108.05, St. Louis County, Missouri</t>
  </si>
  <si>
    <t>(-90.26036685869222, 38.77993257835459)</t>
  </si>
  <si>
    <t>0.14421857121619736</t>
  </si>
  <si>
    <t>1400000US29189210806</t>
  </si>
  <si>
    <t>Census Tract 2108.06, St. Louis County, Missouri</t>
  </si>
  <si>
    <t>(-90.25110538367191, 38.788521020827865)</t>
  </si>
  <si>
    <t>1400000US29189210912</t>
  </si>
  <si>
    <t>Census Tract 2109.12, St. Louis County, Missouri</t>
  </si>
  <si>
    <t>(-90.26887089405352, 38.833250059336486)</t>
  </si>
  <si>
    <t>0.22049888768320658</t>
  </si>
  <si>
    <t>1400000US29189210923</t>
  </si>
  <si>
    <t>Census Tract 2109.23, St. Louis County, Missouri</t>
  </si>
  <si>
    <t>(-90.33044109180467, 38.81965869517673)</t>
  </si>
  <si>
    <t>1400000US29189210924</t>
  </si>
  <si>
    <t>Census Tract 2109.24, St. Louis County, Missouri</t>
  </si>
  <si>
    <t>(-90.32089004202724, 38.8307793856718)</t>
  </si>
  <si>
    <t>1400000US29189210925</t>
  </si>
  <si>
    <t>Census Tract 2109.25, St. Louis County, Missouri</t>
  </si>
  <si>
    <t>(-90.31356007237953, 38.80869333385426)</t>
  </si>
  <si>
    <t>1400000US29189210926</t>
  </si>
  <si>
    <t>Census Tract 2109.26, St. Louis County, Missouri</t>
  </si>
  <si>
    <t>(-90.3208589470802, 38.813137683338475)</t>
  </si>
  <si>
    <t>1400000US29189211101</t>
  </si>
  <si>
    <t>Census Tract 2111.01, St. Louis County, Missouri</t>
  </si>
  <si>
    <t>(-90.31075824269024, 38.78063458402326)</t>
  </si>
  <si>
    <t>1400000US29189213500</t>
  </si>
  <si>
    <t>Census Tract 2135, St. Louis County, Missouri</t>
  </si>
  <si>
    <t>(-90.34471033133576, 38.71497954672946)</t>
  </si>
  <si>
    <t>1400000US29189213600</t>
  </si>
  <si>
    <t>Census Tract 2136, St. Louis County, Missouri</t>
  </si>
  <si>
    <t>(-90.32775803447495, 38.7135199308646)</t>
  </si>
  <si>
    <t>1400000US29189211201</t>
  </si>
  <si>
    <t>Census Tract 2112.01, St. Louis County, Missouri</t>
  </si>
  <si>
    <t>(-90.3405700151308, 38.78696685608745)</t>
  </si>
  <si>
    <t>0.10634108802775272</t>
  </si>
  <si>
    <t>1400000US29189211202</t>
  </si>
  <si>
    <t>Census Tract 2112.02, St. Louis County, Missouri</t>
  </si>
  <si>
    <t>(-90.32702710678068, 38.78461939920385)</t>
  </si>
  <si>
    <t>1400000US29189211301</t>
  </si>
  <si>
    <t>Census Tract 2113.01, St. Louis County, Missouri</t>
  </si>
  <si>
    <t>(-90.34161421059652, 38.807663925547544)</t>
  </si>
  <si>
    <t>1400000US29189211331</t>
  </si>
  <si>
    <t>Census Tract 2113.31, St. Louis County, Missouri</t>
  </si>
  <si>
    <t>(-90.35366334894658, 38.798492991316806)</t>
  </si>
  <si>
    <t>1400000US29189211332</t>
  </si>
  <si>
    <t>Census Tract 2113.32, St. Louis County, Missouri</t>
  </si>
  <si>
    <t>(-90.36455680225966, 38.78769191757982)</t>
  </si>
  <si>
    <t>1400000US29189211333</t>
  </si>
  <si>
    <t>Census Tract 2113.33, St. Louis County, Missouri</t>
  </si>
  <si>
    <t>(-90.37933924700647, 38.80404024152723)</t>
  </si>
  <si>
    <t>0.11422046322463214</t>
  </si>
  <si>
    <t>1400000US29189211334</t>
  </si>
  <si>
    <t>Census Tract 2113.34, St. Louis County, Missouri</t>
  </si>
  <si>
    <t>(-90.39004459799402, 38.81892257949163)</t>
  </si>
  <si>
    <t>0.22003210788076924</t>
  </si>
  <si>
    <t>1400000US29189211402</t>
  </si>
  <si>
    <t>Census Tract 2114.02, St. Louis County, Missouri</t>
  </si>
  <si>
    <t>(-90.38043149688603, 38.770998418041806)</t>
  </si>
  <si>
    <t>0.1019371635300841</t>
  </si>
  <si>
    <t>1400000US29189211500</t>
  </si>
  <si>
    <t>Census Tract 2115, St. Louis County, Missouri</t>
  </si>
  <si>
    <t>(-90.34690781250838, 38.7643169938493)</t>
  </si>
  <si>
    <t>0.14269248732477646</t>
  </si>
  <si>
    <t>1400000US29189211600</t>
  </si>
  <si>
    <t>Census Tract 2116, St. Louis County, Missouri</t>
  </si>
  <si>
    <t>(-90.32327254709914, 38.7689104024941)</t>
  </si>
  <si>
    <t>0.10862379932027354</t>
  </si>
  <si>
    <t>1400000US29189211700</t>
  </si>
  <si>
    <t>Census Tract 2117, St. Louis County, Missouri</t>
  </si>
  <si>
    <t>(-90.29081749554967, 38.760697521922765)</t>
  </si>
  <si>
    <t>0.10025765021337625</t>
  </si>
  <si>
    <t>1400000US29189211802</t>
  </si>
  <si>
    <t>Census Tract 2118.02, St. Louis County, Missouri</t>
  </si>
  <si>
    <t>(-90.27299622807115, 38.75668326494801)</t>
  </si>
  <si>
    <t>1400000US29189211900</t>
  </si>
  <si>
    <t>Census Tract 2119, St. Louis County, Missouri</t>
  </si>
  <si>
    <t>(-90.2649409541301, 38.74438591847967)</t>
  </si>
  <si>
    <t>1400000US29189212001</t>
  </si>
  <si>
    <t>Census Tract 2120.01, St. Louis County, Missouri</t>
  </si>
  <si>
    <t>(-90.25653359141604, 38.726545068112806)</t>
  </si>
  <si>
    <t>1400000US29189212002</t>
  </si>
  <si>
    <t>Census Tract 2120.02, St. Louis County, Missouri</t>
  </si>
  <si>
    <t>(-90.2669309734762, 38.73492819231413)</t>
  </si>
  <si>
    <t>1400000US29189212101</t>
  </si>
  <si>
    <t>Census Tract 2121.01, St. Louis County, Missouri</t>
  </si>
  <si>
    <t>(-90.26466897674597, 38.71209703343806)</t>
  </si>
  <si>
    <t>0.060981737617465906</t>
  </si>
  <si>
    <t>1400000US29189212102</t>
  </si>
  <si>
    <t>Census Tract 2121.02, St. Louis County, Missouri</t>
  </si>
  <si>
    <t>(-90.27565279620744, 38.71568661981804)</t>
  </si>
  <si>
    <t>1400000US29189212200</t>
  </si>
  <si>
    <t>Census Tract 2122, St. Louis County, Missouri</t>
  </si>
  <si>
    <t>(-90.27918407379681, 38.7009296445323)</t>
  </si>
  <si>
    <t>1400000US29189212300</t>
  </si>
  <si>
    <t>Census Tract 2123, St. Louis County, Missouri</t>
  </si>
  <si>
    <t>(-90.29433532236975, 38.71192043634284)</t>
  </si>
  <si>
    <t>1400000US29189212400</t>
  </si>
  <si>
    <t>Census Tract 2124, St. Louis County, Missouri</t>
  </si>
  <si>
    <t>(-90.28901733267962, 38.72757829159355)</t>
  </si>
  <si>
    <t>1400000US29189212600</t>
  </si>
  <si>
    <t>Census Tract 2126, St. Louis County, Missouri</t>
  </si>
  <si>
    <t>(-90.30942003700252, 38.75390809636945)</t>
  </si>
  <si>
    <t>1400000US29189212700</t>
  </si>
  <si>
    <t>Census Tract 2127, St. Louis County, Missouri</t>
  </si>
  <si>
    <t>(-90.3099925229602, 38.73182948471877)</t>
  </si>
  <si>
    <t>1400000US29189213101</t>
  </si>
  <si>
    <t>Census Tract 2131.01, St. Louis County, Missouri</t>
  </si>
  <si>
    <t>(-90.41007479797887, 38.75530290547632)</t>
  </si>
  <si>
    <t>0.1486047533740399</t>
  </si>
  <si>
    <t>1400000US29189213202</t>
  </si>
  <si>
    <t>Census Tract 2132.02, St. Louis County, Missouri</t>
  </si>
  <si>
    <t>(-90.43737918281931, 38.72655773440098)</t>
  </si>
  <si>
    <t>0.10911700157933547</t>
  </si>
  <si>
    <t>1400000US29189213203</t>
  </si>
  <si>
    <t>Census Tract 2132.03, St. Louis County, Missouri</t>
  </si>
  <si>
    <t>(-90.41771152258511, 38.73650274373333)</t>
  </si>
  <si>
    <t>0.12708481530633922</t>
  </si>
  <si>
    <t>1400000US29189213204</t>
  </si>
  <si>
    <t>Census Tract 2132.04, St. Louis County, Missouri</t>
  </si>
  <si>
    <t>(-90.4137583166036, 38.71780828535996)</t>
  </si>
  <si>
    <t>1400000US29189213300</t>
  </si>
  <si>
    <t>Census Tract 2133, St. Louis County, Missouri</t>
  </si>
  <si>
    <t>(-90.3783658062758, 38.73381650120364)</t>
  </si>
  <si>
    <t>0.10110592523926841</t>
  </si>
  <si>
    <t>1400000US29189213400</t>
  </si>
  <si>
    <t>Census Tract 2134, St. Louis County, Missouri</t>
  </si>
  <si>
    <t>(-90.35039053976192, 38.727354955423145)</t>
  </si>
  <si>
    <t>0.10048594021708178</t>
  </si>
  <si>
    <t>1400000US29189213700</t>
  </si>
  <si>
    <t>Census Tract 2137, St. Louis County, Missouri</t>
  </si>
  <si>
    <t>(-90.30912071550809, 38.701742159312914)</t>
  </si>
  <si>
    <t>0.12842817527278708</t>
  </si>
  <si>
    <t>1400000US29189213800</t>
  </si>
  <si>
    <t>Census Tract 2138, St. Louis County, Missouri</t>
  </si>
  <si>
    <t>(-90.28756766637451, 38.69018086270393)</t>
  </si>
  <si>
    <t>1400000US29189213900</t>
  </si>
  <si>
    <t>Census Tract 2139, St. Louis County, Missouri</t>
  </si>
  <si>
    <t>(-90.29335157739551, 38.674480657870824)</t>
  </si>
  <si>
    <t>1400000US29189214200</t>
  </si>
  <si>
    <t>Census Tract 2142, St. Louis County, Missouri</t>
  </si>
  <si>
    <t>(-90.31843553915121, 38.685077054085326)</t>
  </si>
  <si>
    <t>1400000US29189214300</t>
  </si>
  <si>
    <t>Census Tract 2143, St. Louis County, Missouri</t>
  </si>
  <si>
    <t>(-90.33953202854487, 38.69110496200082)</t>
  </si>
  <si>
    <t>1400000US29189214500</t>
  </si>
  <si>
    <t>Census Tract 2145, St. Louis County, Missouri</t>
  </si>
  <si>
    <t>(-90.35769576736826, 38.692562673949325)</t>
  </si>
  <si>
    <t>1400000US29189214601</t>
  </si>
  <si>
    <t>Census Tract 2146.01, St. Louis County, Missouri</t>
  </si>
  <si>
    <t>(-90.3801914166678, 38.70068672087707)</t>
  </si>
  <si>
    <t>1400000US29189214602</t>
  </si>
  <si>
    <t>Census Tract 2146.02, St. Louis County, Missouri</t>
  </si>
  <si>
    <t>(-90.37399514712274, 38.694542456724776)</t>
  </si>
  <si>
    <t>0.057704427855461274</t>
  </si>
  <si>
    <t>1400000US29189214700</t>
  </si>
  <si>
    <t>Census Tract 2147, St. Louis County, Missouri</t>
  </si>
  <si>
    <t>(-90.37723413344831, 38.712814113309896)</t>
  </si>
  <si>
    <t>1400000US29189214800</t>
  </si>
  <si>
    <t>Census Tract 2148, St. Louis County, Missouri</t>
  </si>
  <si>
    <t>(-90.39126430677827, 38.72689324513515)</t>
  </si>
  <si>
    <t>1400000US29189214900</t>
  </si>
  <si>
    <t>Census Tract 2149, St. Louis County, Missouri</t>
  </si>
  <si>
    <t>(-90.39910699036443, 38.70861936161356)</t>
  </si>
  <si>
    <t>1400000US29189215001</t>
  </si>
  <si>
    <t>Census Tract 2150.01, St. Louis County, Missouri</t>
  </si>
  <si>
    <t>(-90.4343520586913, 38.706209509287675)</t>
  </si>
  <si>
    <t>0.12303029385208292</t>
  </si>
  <si>
    <t>1400000US29189215003</t>
  </si>
  <si>
    <t>Census Tract 2150.03, St. Louis County, Missouri</t>
  </si>
  <si>
    <t>(-90.43600630684878, 38.687146636913155)</t>
  </si>
  <si>
    <t>1400000US29189215005</t>
  </si>
  <si>
    <t>Census Tract 2150.05, St. Louis County, Missouri</t>
  </si>
  <si>
    <t>(-90.41782179767407, 38.68044491871913)</t>
  </si>
  <si>
    <t>1400000US29189215102</t>
  </si>
  <si>
    <t>Census Tract 2151.02, St. Louis County, Missouri</t>
  </si>
  <si>
    <t>(-90.44922207332371, 38.682291706882125)</t>
  </si>
  <si>
    <t>0.10284351307952894</t>
  </si>
  <si>
    <t>1400000US29189215103</t>
  </si>
  <si>
    <t>Census Tract 2151.03, St. Louis County, Missouri</t>
  </si>
  <si>
    <t>(-90.46548196546438, 38.68530282542728)</t>
  </si>
  <si>
    <t>1400000US29189215105</t>
  </si>
  <si>
    <t>Census Tract 2151.05, St. Louis County, Missouri</t>
  </si>
  <si>
    <t>(-90.51312952181355, 38.70924825192196)</t>
  </si>
  <si>
    <t>0.20411800669273217</t>
  </si>
  <si>
    <t>1400000US29189215141</t>
  </si>
  <si>
    <t>Census Tract 2151.41, St. Louis County, Missouri</t>
  </si>
  <si>
    <t>(-90.48611774957227, 38.704200260882935)</t>
  </si>
  <si>
    <t>0.13148722976418045</t>
  </si>
  <si>
    <t>1400000US29189215142</t>
  </si>
  <si>
    <t>Census Tract 2151.42, St. Louis County, Missouri</t>
  </si>
  <si>
    <t>(-90.46544460743392, 38.70227161895682)</t>
  </si>
  <si>
    <t>1400000US29189215143</t>
  </si>
  <si>
    <t>Census Tract 2151.43, St. Louis County, Missouri</t>
  </si>
  <si>
    <t>(-90.47296494431305, 38.74387571276653)</t>
  </si>
  <si>
    <t>0.17746737116226374</t>
  </si>
  <si>
    <t>1400000US29189215201</t>
  </si>
  <si>
    <t>Census Tract 2152.01, St. Louis County, Missouri</t>
  </si>
  <si>
    <t>(-90.46108518106384, 38.65518670977622)</t>
  </si>
  <si>
    <t>0.15148595850015523</t>
  </si>
  <si>
    <t>1400000US29189215202</t>
  </si>
  <si>
    <t>Census Tract 2152.02, St. Louis County, Missouri</t>
  </si>
  <si>
    <t>(-90.4902882724201, 38.66060774402956)</t>
  </si>
  <si>
    <t>0.15846352668890792</t>
  </si>
  <si>
    <t>1400000US29189215231</t>
  </si>
  <si>
    <t>Census Tract 2152.31, St. Louis County, Missouri</t>
  </si>
  <si>
    <t>(-90.51450823496445, 38.671782130270756)</t>
  </si>
  <si>
    <t>1400000US29189215232</t>
  </si>
  <si>
    <t>Census Tract 2152.32, St. Louis County, Missouri</t>
  </si>
  <si>
    <t>(-90.52897087310394, 38.65600355523713)</t>
  </si>
  <si>
    <t>0.12653607898075128</t>
  </si>
  <si>
    <t>1400000US29189215500</t>
  </si>
  <si>
    <t>Census Tract 2155, St. Louis County, Missouri</t>
  </si>
  <si>
    <t>(-90.38332520173725, 38.66739093087763)</t>
  </si>
  <si>
    <t>0.11413369603634378</t>
  </si>
  <si>
    <t>1400000US29189215600</t>
  </si>
  <si>
    <t>Census Tract 2156, St. Louis County, Missouri</t>
  </si>
  <si>
    <t>(-90.3849047843268, 38.68256201099453)</t>
  </si>
  <si>
    <t>0.13094036242536602</t>
  </si>
  <si>
    <t>1400000US29189215700</t>
  </si>
  <si>
    <t>Census Tract 2157, St. Louis County, Missouri</t>
  </si>
  <si>
    <t>(-90.34751961485674, 38.67471597552136)</t>
  </si>
  <si>
    <t>1400000US29189215800</t>
  </si>
  <si>
    <t>Census Tract 2158, St. Louis County, Missouri</t>
  </si>
  <si>
    <t>(-90.34794590517765, 38.66255208928723)</t>
  </si>
  <si>
    <t>1400000US29189215900</t>
  </si>
  <si>
    <t>Census Tract 2159, St. Louis County, Missouri</t>
  </si>
  <si>
    <t>(-90.32381467308103, 38.67180918673377)</t>
  </si>
  <si>
    <t>1400000US29189216100</t>
  </si>
  <si>
    <t>Census Tract 2161, St. Louis County, Missouri</t>
  </si>
  <si>
    <t>(-90.30739347401105, 38.65710181730665)</t>
  </si>
  <si>
    <t>1400000US29189216200</t>
  </si>
  <si>
    <t>Census Tract 2162, St. Louis County, Missouri</t>
  </si>
  <si>
    <t>(-90.3236704309002, 38.65549377802195)</t>
  </si>
  <si>
    <t>1400000US29189216300</t>
  </si>
  <si>
    <t>Census Tract 2163, St. Louis County, Missouri</t>
  </si>
  <si>
    <t>(-90.31076148886669, 38.64244633842753)</t>
  </si>
  <si>
    <t>1400000US29189216400</t>
  </si>
  <si>
    <t>Census Tract 2164, St. Louis County, Missouri</t>
  </si>
  <si>
    <t>(-90.32908659994828, 38.642847493806684)</t>
  </si>
  <si>
    <t>1400000US29189216500</t>
  </si>
  <si>
    <t>Census Tract 2165, St. Louis County, Missouri</t>
  </si>
  <si>
    <t>(-90.34395651933119, 38.64848801223565)</t>
  </si>
  <si>
    <t>1400000US29189216600</t>
  </si>
  <si>
    <t>Census Tract 2166, St. Louis County, Missouri</t>
  </si>
  <si>
    <t>(-90.3490897743064, 38.63426457168707)</t>
  </si>
  <si>
    <t>1400000US29189216800</t>
  </si>
  <si>
    <t>Census Tract 2168, St. Louis County, Missouri</t>
  </si>
  <si>
    <t>(-90.314858430299, 38.62706826859698)</t>
  </si>
  <si>
    <t>0.054880240630586864</t>
  </si>
  <si>
    <t>1400000US29189216900</t>
  </si>
  <si>
    <t>Census Tract 2169, St. Louis County, Missouri</t>
  </si>
  <si>
    <t>(-90.31664323489574, 38.61676566102289)</t>
  </si>
  <si>
    <t>7.047751912320426e-05</t>
  </si>
  <si>
    <t>1400000US29189217000</t>
  </si>
  <si>
    <t>Census Tract 2170, St. Louis County, Missouri</t>
  </si>
  <si>
    <t>(-90.32416605187697, 38.60738498498182)</t>
  </si>
  <si>
    <t>1400000US29189217300</t>
  </si>
  <si>
    <t>Census Tract 2173, St. Louis County, Missouri</t>
  </si>
  <si>
    <t>(-90.34122772515207, 38.620452367997224)</t>
  </si>
  <si>
    <t>1400000US29189219500</t>
  </si>
  <si>
    <t>Census Tract 2195, St. Louis County, Missouri</t>
  </si>
  <si>
    <t>(-90.34856552921077, 38.57776008817932)</t>
  </si>
  <si>
    <t>1400000US29189219600</t>
  </si>
  <si>
    <t>Census Tract 2196, St. Louis County, Missouri</t>
  </si>
  <si>
    <t>(-90.32856951632812, 38.586979895150016)</t>
  </si>
  <si>
    <t>1400000US29189219800</t>
  </si>
  <si>
    <t>Census Tract 2198, St. Louis County, Missouri</t>
  </si>
  <si>
    <t>(-90.31250526852385, 38.565920851187364)</t>
  </si>
  <si>
    <t>1400000US29189219900</t>
  </si>
  <si>
    <t>Census Tract 2199, St. Louis County, Missouri</t>
  </si>
  <si>
    <t>(-90.30019801041612, 38.55244180421217)</t>
  </si>
  <si>
    <t>1400000US29195090200</t>
  </si>
  <si>
    <t>Saline County</t>
  </si>
  <si>
    <t>Census Tract 902, Saline County, Missouri</t>
  </si>
  <si>
    <t>(-93.25315464063983, 39.21460566604565)</t>
  </si>
  <si>
    <t>1400000US29195090100</t>
  </si>
  <si>
    <t>Census Tract 901, Saline County, Missouri</t>
  </si>
  <si>
    <t>(-93.01053202440684, 39.25359532861)</t>
  </si>
  <si>
    <t>0.023647097492106896</t>
  </si>
  <si>
    <t>0.9068417570179461</t>
  </si>
  <si>
    <t>1400000US29195090300</t>
  </si>
  <si>
    <t>Census Tract 903, Saline County, Missouri</t>
  </si>
  <si>
    <t>(-93.2208750197815, 39.12578513389922)</t>
  </si>
  <si>
    <t>0.2551766570997507</t>
  </si>
  <si>
    <t>1400000US29195090400</t>
  </si>
  <si>
    <t>Census Tract 904, Saline County, Missouri</t>
  </si>
  <si>
    <t>(-93.18146618650168, 39.123811586573126)</t>
  </si>
  <si>
    <t>1400000US29195090500</t>
  </si>
  <si>
    <t>Census Tract 905, Saline County, Missouri</t>
  </si>
  <si>
    <t>(-93.18995541535907, 39.10056465331161)</t>
  </si>
  <si>
    <t>0.2106714516508749</t>
  </si>
  <si>
    <t>1400000US29195090700</t>
  </si>
  <si>
    <t>Census Tract 907, Saline County, Missouri</t>
  </si>
  <si>
    <t>(-93.41229134046614, 39.04767579561933)</t>
  </si>
  <si>
    <t>0.8751337839214586</t>
  </si>
  <si>
    <t>1400000US29195090800</t>
  </si>
  <si>
    <t>Census Tract 908, Saline County, Missouri</t>
  </si>
  <si>
    <t>(-93.11482100762403, 39.05267289198713)</t>
  </si>
  <si>
    <t>1.7376758454630026</t>
  </si>
  <si>
    <t>1400000US29195090600</t>
  </si>
  <si>
    <t>Census Tract 906, Saline County, Missouri</t>
  </si>
  <si>
    <t>(-93.20231659283097, 39.1126316870847)</t>
  </si>
  <si>
    <t>0.057238677925161865</t>
  </si>
  <si>
    <t>1400000US29197470200</t>
  </si>
  <si>
    <t>Schuyler County</t>
  </si>
  <si>
    <t>Census Tract 4702, Schuyler County, Missouri</t>
  </si>
  <si>
    <t>(-92.59486343892777, 40.45367164869516)</t>
  </si>
  <si>
    <t>1.424108307323819</t>
  </si>
  <si>
    <t>1400000US29197470100</t>
  </si>
  <si>
    <t>Census Tract 4701, Schuyler County, Missouri</t>
  </si>
  <si>
    <t>(-92.43603093540723, 40.4893222007676)</t>
  </si>
  <si>
    <t>0.039460031956792437</t>
  </si>
  <si>
    <t>0.9322107693760096</t>
  </si>
  <si>
    <t>1400000US29199480200</t>
  </si>
  <si>
    <t>Scotland County</t>
  </si>
  <si>
    <t>Census Tract 4802, Scotland County, Missouri</t>
  </si>
  <si>
    <t>(-92.17046030648356, 40.45544244416187)</t>
  </si>
  <si>
    <t>0.3033871167863287</t>
  </si>
  <si>
    <t>1400000US29199480100</t>
  </si>
  <si>
    <t>Census Tract 4801, Scotland County, Missouri</t>
  </si>
  <si>
    <t>(-92.14662130282635, 40.45257610157376)</t>
  </si>
  <si>
    <t>0.11872789868715926</t>
  </si>
  <si>
    <t>1.7116141123065771</t>
  </si>
  <si>
    <t>1400000US29201780600</t>
  </si>
  <si>
    <t>Scott County</t>
  </si>
  <si>
    <t>Census Tract 7806, Scott County, Missouri</t>
  </si>
  <si>
    <t>(-89.53632009368242, 36.8964401410806)</t>
  </si>
  <si>
    <t>0.2670315669777281</t>
  </si>
  <si>
    <t>1400000US29201781300</t>
  </si>
  <si>
    <t>Census Tract 7813, Scott County, Missouri</t>
  </si>
  <si>
    <t>(-89.61190716543089, 36.8996357661715)</t>
  </si>
  <si>
    <t>0.17411414040062473</t>
  </si>
  <si>
    <t>1400000US29201780100</t>
  </si>
  <si>
    <t>Census Tract 7801, Scott County, Missouri</t>
  </si>
  <si>
    <t>(-89.51464407239543, 37.231040641870294)</t>
  </si>
  <si>
    <t>0.3595326847298555</t>
  </si>
  <si>
    <t>1400000US29201780200</t>
  </si>
  <si>
    <t>Census Tract 7802, Scott County, Missouri</t>
  </si>
  <si>
    <t>(-89.63450499277334, 37.17688605768522)</t>
  </si>
  <si>
    <t>0.010447614935555512</t>
  </si>
  <si>
    <t>0.5642138089382346</t>
  </si>
  <si>
    <t>1400000US29201780700</t>
  </si>
  <si>
    <t>Census Tract 7807, Scott County, Missouri</t>
  </si>
  <si>
    <t>(-89.6167270136871, 36.87645495679053)</t>
  </si>
  <si>
    <t>0.12747680783843218</t>
  </si>
  <si>
    <t>1400000US29201781200</t>
  </si>
  <si>
    <t>Census Tract 7812, Scott County, Missouri</t>
  </si>
  <si>
    <t>(-89.58449994365553, 36.896981078437925)</t>
  </si>
  <si>
    <t>0.25730172470696533</t>
  </si>
  <si>
    <t>1400000US29201780400</t>
  </si>
  <si>
    <t>Census Tract 7804, Scott County, Missouri</t>
  </si>
  <si>
    <t>(-89.55177471149307, 36.98178879469942)</t>
  </si>
  <si>
    <t>1.401739281428767</t>
  </si>
  <si>
    <t>1400000US29201781000</t>
  </si>
  <si>
    <t>Census Tract 7810, Scott County, Missouri</t>
  </si>
  <si>
    <t>(-89.51317092100433, 37.098922766191386)</t>
  </si>
  <si>
    <t>0.023452804003176262</t>
  </si>
  <si>
    <t>0.8651989335142573</t>
  </si>
  <si>
    <t>1400000US29201781100</t>
  </si>
  <si>
    <t>Census Tract 7811, Scott County, Missouri</t>
  </si>
  <si>
    <t>(-89.53024352266704, 37.18052410032092)</t>
  </si>
  <si>
    <t>0.5757225898516712</t>
  </si>
  <si>
    <t>1400000US29201780300</t>
  </si>
  <si>
    <t>Census Tract 7803, Scott County, Missouri</t>
  </si>
  <si>
    <t>(-89.70108797575195, 37.08636745982347)</t>
  </si>
  <si>
    <t>0.6091440466269701</t>
  </si>
  <si>
    <t>1400000US29203470100</t>
  </si>
  <si>
    <t>Shannon County</t>
  </si>
  <si>
    <t>Census Tract 4701, Shannon County, Missouri</t>
  </si>
  <si>
    <t>(-91.38414011277806, 37.2367307541865)</t>
  </si>
  <si>
    <t>0.1815557051573759</t>
  </si>
  <si>
    <t>2.2892533835327606</t>
  </si>
  <si>
    <t>1400000US29203470200</t>
  </si>
  <si>
    <t>Census Tract 4702, Shannon County, Missouri</t>
  </si>
  <si>
    <t>(-91.43666569933566, 36.9821735653008)</t>
  </si>
  <si>
    <t>1.4750919022753204</t>
  </si>
  <si>
    <t>1400000US29205450100</t>
  </si>
  <si>
    <t>Shelby County</t>
  </si>
  <si>
    <t>Census Tract 4501, Shelby County, Missouri</t>
  </si>
  <si>
    <t>(-91.99629907156466, 39.85708604787499)</t>
  </si>
  <si>
    <t>1.1428139696177655</t>
  </si>
  <si>
    <t>1400000US29205450200</t>
  </si>
  <si>
    <t>Census Tract 4502, Shelby County, Missouri</t>
  </si>
  <si>
    <t>(-91.98710052755936, 39.717678398806044)</t>
  </si>
  <si>
    <t>0.9780886543047101</t>
  </si>
  <si>
    <t>1400000US29205450300</t>
  </si>
  <si>
    <t>Census Tract 4503, Shelby County, Missouri</t>
  </si>
  <si>
    <t>(-92.21598125396291, 39.786591071062716)</t>
  </si>
  <si>
    <t>0.051357861130075864</t>
  </si>
  <si>
    <t>1.2801010177328171</t>
  </si>
  <si>
    <t>1400000US29207470500</t>
  </si>
  <si>
    <t>Stoddard County</t>
  </si>
  <si>
    <t>Census Tract 4705, Stoddard County, Missouri</t>
  </si>
  <si>
    <t>(-89.96973501439658, 36.80241611672099)</t>
  </si>
  <si>
    <t>0.14942767040725796</t>
  </si>
  <si>
    <t>1400000US29207470100</t>
  </si>
  <si>
    <t>Census Tract 4701, Stoddard County, Missouri</t>
  </si>
  <si>
    <t>(-89.84230717899672, 37.032790755396704)</t>
  </si>
  <si>
    <t>1.0472964597533327</t>
  </si>
  <si>
    <t>1400000US29207470200</t>
  </si>
  <si>
    <t>Census Tract 4702, Stoddard County, Missouri</t>
  </si>
  <si>
    <t>(-90.10419690352545, 36.912837016283135)</t>
  </si>
  <si>
    <t>0.058669938386029616</t>
  </si>
  <si>
    <t>1.3968013366234913</t>
  </si>
  <si>
    <t>1400000US29207470300</t>
  </si>
  <si>
    <t>Census Tract 4703, Stoddard County, Missouri</t>
  </si>
  <si>
    <t>(-89.97652267291332, 36.88061444772083)</t>
  </si>
  <si>
    <t>0.013429050471226434</t>
  </si>
  <si>
    <t>1400000US29207470400</t>
  </si>
  <si>
    <t>Census Tract 4704, Stoddard County, Missouri</t>
  </si>
  <si>
    <t>(-89.81679522197501, 36.84991878624398)</t>
  </si>
  <si>
    <t>0.9554063172812975</t>
  </si>
  <si>
    <t>1400000US29207470600</t>
  </si>
  <si>
    <t>Census Tract 4706, Stoddard County, Missouri</t>
  </si>
  <si>
    <t>(-89.95998404960875, 36.78359312205735)</t>
  </si>
  <si>
    <t>0.2683833938874226</t>
  </si>
  <si>
    <t>1400000US29207470700</t>
  </si>
  <si>
    <t>Census Tract 4707, Stoddard County, Missouri</t>
  </si>
  <si>
    <t>(-89.84197637020537, 36.689622236981684)</t>
  </si>
  <si>
    <t>0.8551888775162586</t>
  </si>
  <si>
    <t>1400000US29207470800</t>
  </si>
  <si>
    <t>Census Tract 4708, Stoddard County, Missouri</t>
  </si>
  <si>
    <t>(-90.05746647871844, 36.71198544062137)</t>
  </si>
  <si>
    <t>0.026907982439224157</t>
  </si>
  <si>
    <t>1.177710112749841</t>
  </si>
  <si>
    <t>1400000US29209090100</t>
  </si>
  <si>
    <t>Stone County</t>
  </si>
  <si>
    <t>Census Tract 901, Stone County, Missouri</t>
  </si>
  <si>
    <t>(-93.47591334716152, 36.90899120284161)</t>
  </si>
  <si>
    <t>1.122284198031653</t>
  </si>
  <si>
    <t>1400000US29209090400</t>
  </si>
  <si>
    <t>Census Tract 904, Stone County, Missouri</t>
  </si>
  <si>
    <t>(-93.44845091375379, 36.550523141197594)</t>
  </si>
  <si>
    <t>1.0665038212928186</t>
  </si>
  <si>
    <t>1400000US29209090500</t>
  </si>
  <si>
    <t>Census Tract 905, Stone County, Missouri</t>
  </si>
  <si>
    <t>(-93.43445397726101, 36.63780565258926)</t>
  </si>
  <si>
    <t>0.41146387075092267</t>
  </si>
  <si>
    <t>1400000US29209090601</t>
  </si>
  <si>
    <t>Census Tract 906.01, Stone County, Missouri</t>
  </si>
  <si>
    <t>(-93.35721556200447, 36.63347425495021)</t>
  </si>
  <si>
    <t>1400000US29209090602</t>
  </si>
  <si>
    <t>Census Tract 906.02, Stone County, Missouri</t>
  </si>
  <si>
    <t>(-93.37187272492821, 36.74711669728469)</t>
  </si>
  <si>
    <t>0.017604561341173528</t>
  </si>
  <si>
    <t>0.7420392714294365</t>
  </si>
  <si>
    <t>1400000US29209090200</t>
  </si>
  <si>
    <t>Census Tract 902, Stone County, Missouri</t>
  </si>
  <si>
    <t>(-93.50980310792728, 36.721281903735296)</t>
  </si>
  <si>
    <t>0.030199923267090843</t>
  </si>
  <si>
    <t>1.2827525676188056</t>
  </si>
  <si>
    <t>1400000US29211480100</t>
  </si>
  <si>
    <t>Sullivan County</t>
  </si>
  <si>
    <t>Census Tract 4801, Sullivan County, Missouri</t>
  </si>
  <si>
    <t>(-92.98065312588005, 40.237466419802224)</t>
  </si>
  <si>
    <t>1.5107379229347313</t>
  </si>
  <si>
    <t>1400000US29211480200</t>
  </si>
  <si>
    <t>Census Tract 4802, Sullivan County, Missouri</t>
  </si>
  <si>
    <t>(-93.23901917014867, 40.1834073604264)</t>
  </si>
  <si>
    <t>1.5490366852707378</t>
  </si>
  <si>
    <t>1400000US29211480300</t>
  </si>
  <si>
    <t>Census Tract 4803, Sullivan County, Missouri</t>
  </si>
  <si>
    <t>(-93.12008851068457, 40.21306956486526)</t>
  </si>
  <si>
    <t>0.020726568685443925</t>
  </si>
  <si>
    <t>0.7927623696623326</t>
  </si>
  <si>
    <t>1400000US29213480105</t>
  </si>
  <si>
    <t>Taney County</t>
  </si>
  <si>
    <t>Census Tract 4801.05, Taney County, Missouri</t>
  </si>
  <si>
    <t>(-93.28372947050799, 36.62596905123482)</t>
  </si>
  <si>
    <t>0.3278102757133406</t>
  </si>
  <si>
    <t>1400000US29213480302</t>
  </si>
  <si>
    <t>Census Tract 4803.02, Taney County, Missouri</t>
  </si>
  <si>
    <t>(-93.08129830710143, 36.5655588412216)</t>
  </si>
  <si>
    <t>1.0792092190750497</t>
  </si>
  <si>
    <t>1400000US29213480106</t>
  </si>
  <si>
    <t>Census Tract 4801.06, Taney County, Missouri</t>
  </si>
  <si>
    <t>(-93.28116472570028, 36.66278987866546)</t>
  </si>
  <si>
    <t>0.25089328424685853</t>
  </si>
  <si>
    <t>1400000US29213480201</t>
  </si>
  <si>
    <t>Census Tract 4802.01, Taney County, Missouri</t>
  </si>
  <si>
    <t>(-93.25095649779672, 36.69450570276187)</t>
  </si>
  <si>
    <t>0.5328602497599986</t>
  </si>
  <si>
    <t>1400000US29213480202</t>
  </si>
  <si>
    <t>Census Tract 4802.02, Taney County, Missouri</t>
  </si>
  <si>
    <t>(-93.20973373467824, 36.76542269312749)</t>
  </si>
  <si>
    <t>0.6558400381419671</t>
  </si>
  <si>
    <t>1400000US29213480301</t>
  </si>
  <si>
    <t>Census Tract 4803.01, Taney County, Missouri</t>
  </si>
  <si>
    <t>(-93.15492754686971, 36.661866996636896)</t>
  </si>
  <si>
    <t>0.4431393545721071</t>
  </si>
  <si>
    <t>1400000US29213480401</t>
  </si>
  <si>
    <t>Census Tract 4804.01, Taney County, Missouri</t>
  </si>
  <si>
    <t>(-93.05703022891537, 36.749062962103494)</t>
  </si>
  <si>
    <t>0.018005195143409196</t>
  </si>
  <si>
    <t>0.9256067405346168</t>
  </si>
  <si>
    <t>1400000US29213480402</t>
  </si>
  <si>
    <t>Census Tract 4804.02, Taney County, Missouri</t>
  </si>
  <si>
    <t>(-92.88487490182405, 36.66117503452605)</t>
  </si>
  <si>
    <t>1.2855656550204175</t>
  </si>
  <si>
    <t>1400000US29213480501</t>
  </si>
  <si>
    <t>Census Tract 4805.01, Taney County, Missouri</t>
  </si>
  <si>
    <t>(-93.2782466040151, 36.53527109441579)</t>
  </si>
  <si>
    <t>0.35321106147218956</t>
  </si>
  <si>
    <t>1400000US29213480502</t>
  </si>
  <si>
    <t>Census Tract 4805.02, Taney County, Missouri</t>
  </si>
  <si>
    <t>(-93.23618024581637, 36.58014879109253)</t>
  </si>
  <si>
    <t>0.5557719864064814</t>
  </si>
  <si>
    <t>1400000US29215480300</t>
  </si>
  <si>
    <t>Texas County</t>
  </si>
  <si>
    <t>Census Tract 4803, Texas County, Missouri</t>
  </si>
  <si>
    <t>(-92.08913169166735, 37.36637823128133)</t>
  </si>
  <si>
    <t>1.3945323440190334</t>
  </si>
  <si>
    <t>1400000US29215480400</t>
  </si>
  <si>
    <t>Census Tract 4804, Texas County, Missouri</t>
  </si>
  <si>
    <t>(-92.09228630976135, 37.14853123349256)</t>
  </si>
  <si>
    <t>1.3360350128746314</t>
  </si>
  <si>
    <t>1400000US29215480100</t>
  </si>
  <si>
    <t>Census Tract 4801, Texas County, Missouri</t>
  </si>
  <si>
    <t>(-91.9835498418957, 37.52809017798428)</t>
  </si>
  <si>
    <t>1.4306023991819314</t>
  </si>
  <si>
    <t>1400000US29215480200</t>
  </si>
  <si>
    <t>Census Tract 4802, Texas County, Missouri</t>
  </si>
  <si>
    <t>(-91.79311187877958, 37.24609717041159)</t>
  </si>
  <si>
    <t>0.10607072445188646</t>
  </si>
  <si>
    <t>1.786881906039607</t>
  </si>
  <si>
    <t>1400000US29217950300</t>
  </si>
  <si>
    <t>Vernon County</t>
  </si>
  <si>
    <t>Census Tract 9503, Vernon County, Missouri</t>
  </si>
  <si>
    <t>(-94.36837532616954, 37.8465651414168)</t>
  </si>
  <si>
    <t>0.23725936028454125</t>
  </si>
  <si>
    <t>1400000US29217950100</t>
  </si>
  <si>
    <t>Census Tract 9501, Vernon County, Missouri</t>
  </si>
  <si>
    <t>(-94.18039152928301, 37.89754554365809)</t>
  </si>
  <si>
    <t>1.3809558469189214</t>
  </si>
  <si>
    <t>1400000US29217950200</t>
  </si>
  <si>
    <t>Census Tract 9502, Vernon County, Missouri</t>
  </si>
  <si>
    <t>(-94.45129521570742, 37.95839872278561)</t>
  </si>
  <si>
    <t>1.2852395666749021</t>
  </si>
  <si>
    <t>1400000US29217950400</t>
  </si>
  <si>
    <t>Census Tract 9504, Vernon County, Missouri</t>
  </si>
  <si>
    <t>(-94.33722112597701, 37.83248812950926)</t>
  </si>
  <si>
    <t>0.17766984597863722</t>
  </si>
  <si>
    <t>1400000US29217950500</t>
  </si>
  <si>
    <t>Census Tract 9505, Vernon County, Missouri</t>
  </si>
  <si>
    <t>(-94.50696175257265, 37.77688024700081)</t>
  </si>
  <si>
    <t>1.208771842749709</t>
  </si>
  <si>
    <t>1400000US29217950600</t>
  </si>
  <si>
    <t>Census Tract 9506, Vernon County, Missouri</t>
  </si>
  <si>
    <t>(-94.29537188308564, 37.704783298011904)</t>
  </si>
  <si>
    <t>0.050669173998701945</t>
  </si>
  <si>
    <t>1.2086508839071524</t>
  </si>
  <si>
    <t>1400000US29219820103</t>
  </si>
  <si>
    <t>Warren County</t>
  </si>
  <si>
    <t>Census Tract 8201.03, Warren County, Missouri</t>
  </si>
  <si>
    <t>(-91.01218785697499, 38.82516333180335)</t>
  </si>
  <si>
    <t>0.010578271634727287</t>
  </si>
  <si>
    <t>0.4875768788536842</t>
  </si>
  <si>
    <t>1400000US29219820101</t>
  </si>
  <si>
    <t>Census Tract 8201.01, Warren County, Missouri</t>
  </si>
  <si>
    <t>(-91.19963581907882, 38.87624746379563)</t>
  </si>
  <si>
    <t>0.028363408668090204</t>
  </si>
  <si>
    <t>0.9296729693591601</t>
  </si>
  <si>
    <t>1400000US29219820102</t>
  </si>
  <si>
    <t>Census Tract 8201.02, Warren County, Missouri</t>
  </si>
  <si>
    <t>(-91.13170744334357, 38.786404755545114)</t>
  </si>
  <si>
    <t>0.41926514135025006</t>
  </si>
  <si>
    <t>1400000US29219820201</t>
  </si>
  <si>
    <t>Census Tract 8202.01, Warren County, Missouri</t>
  </si>
  <si>
    <t>(-91.02650182553562, 38.74008995862797)</t>
  </si>
  <si>
    <t>0.4358494715997158</t>
  </si>
  <si>
    <t>1400000US29219820202</t>
  </si>
  <si>
    <t>Census Tract 8202.02, Warren County, Missouri</t>
  </si>
  <si>
    <t>(-91.19386015368269, 38.703509118844046)</t>
  </si>
  <si>
    <t>1.4257385938947074</t>
  </si>
  <si>
    <t>1400000US29221460100</t>
  </si>
  <si>
    <t>Washington County</t>
  </si>
  <si>
    <t>Census Tract 4601, Washington County, Missouri</t>
  </si>
  <si>
    <t>(-90.74706047588849, 38.063695894487715)</t>
  </si>
  <si>
    <t>0.9929881748494009</t>
  </si>
  <si>
    <t>1400000US29221460200</t>
  </si>
  <si>
    <t>Census Tract 4602, Washington County, Missouri</t>
  </si>
  <si>
    <t>(-90.95490179233838, 38.05550062081959)</t>
  </si>
  <si>
    <t>1.389296738716699</t>
  </si>
  <si>
    <t>1400000US29221460300</t>
  </si>
  <si>
    <t>Census Tract 4603, Washington County, Missouri</t>
  </si>
  <si>
    <t>(-90.77337711431359, 37.93695053189806)</t>
  </si>
  <si>
    <t>0.38391969176649965</t>
  </si>
  <si>
    <t>1400000US29221460400</t>
  </si>
  <si>
    <t>Census Tract 4604, Washington County, Missouri</t>
  </si>
  <si>
    <t>(-90.70244587653207, 37.89606763326584)</t>
  </si>
  <si>
    <t>0.016587577361094213</t>
  </si>
  <si>
    <t>0.5763713353910398</t>
  </si>
  <si>
    <t>1400000US29221460500</t>
  </si>
  <si>
    <t>Census Tract 4605, Washington County, Missouri</t>
  </si>
  <si>
    <t>(-90.89710779594738, 37.81593611901642)</t>
  </si>
  <si>
    <t>1.3459150950600696</t>
  </si>
  <si>
    <t>1400000US29223690100</t>
  </si>
  <si>
    <t>Wayne County</t>
  </si>
  <si>
    <t>Census Tract 6901, Wayne County, Missouri</t>
  </si>
  <si>
    <t>(-90.30180443788775, 37.15279160257074)</t>
  </si>
  <si>
    <t>1.9611077163244734</t>
  </si>
  <si>
    <t>1400000US29223690200</t>
  </si>
  <si>
    <t>Census Tract 6902, Wayne County, Missouri</t>
  </si>
  <si>
    <t>(-90.48080797430264, 37.14826541075781)</t>
  </si>
  <si>
    <t>0.061304974617324245</t>
  </si>
  <si>
    <t>1.7570990438789613</t>
  </si>
  <si>
    <t>1400000US29223690300</t>
  </si>
  <si>
    <t>Census Tract 6903, Wayne County, Missouri</t>
  </si>
  <si>
    <t>(-90.68896362654786, 37.169411464513864)</t>
  </si>
  <si>
    <t>0.017427407223952963</t>
  </si>
  <si>
    <t>0.9135292069754097</t>
  </si>
  <si>
    <t>1400000US29223690400</t>
  </si>
  <si>
    <t>Census Tract 6904, Wayne County, Missouri</t>
  </si>
  <si>
    <t>(-90.56649785305339, 37.005945259873926)</t>
  </si>
  <si>
    <t>1.4656848412749932</t>
  </si>
  <si>
    <t>1400000US29225470202</t>
  </si>
  <si>
    <t>Webster County</t>
  </si>
  <si>
    <t>Census Tract 4702.02, Webster County, Missouri</t>
  </si>
  <si>
    <t>(-92.94504398519213, 37.300260093739254)</t>
  </si>
  <si>
    <t>1400000US29225470401</t>
  </si>
  <si>
    <t>Census Tract 4704.01, Webster County, Missouri</t>
  </si>
  <si>
    <t>(-92.76748495758179, 37.117803776366074)</t>
  </si>
  <si>
    <t>0.016131129933285034</t>
  </si>
  <si>
    <t>0.6018393061136772</t>
  </si>
  <si>
    <t>1400000US29225470402</t>
  </si>
  <si>
    <t>Census Tract 4704.02, Webster County, Missouri</t>
  </si>
  <si>
    <t>(-92.90986224986094, 37.12927163093371)</t>
  </si>
  <si>
    <t>0.012581856831718112</t>
  </si>
  <si>
    <t>0.5181240180203514</t>
  </si>
  <si>
    <t>1400000US29225470101</t>
  </si>
  <si>
    <t>Census Tract 4701.01, Webster County, Missouri</t>
  </si>
  <si>
    <t>(-92.77717954499141, 37.368839079798015)</t>
  </si>
  <si>
    <t>0.041915393756602845</t>
  </si>
  <si>
    <t>0.9551759469556437</t>
  </si>
  <si>
    <t>1400000US29225470102</t>
  </si>
  <si>
    <t>Census Tract 4701.02, Webster County, Missouri</t>
  </si>
  <si>
    <t>(-92.98805864740001, 37.39954708419819)</t>
  </si>
  <si>
    <t>0.7702714640145247</t>
  </si>
  <si>
    <t>1400000US29225470201</t>
  </si>
  <si>
    <t>Census Tract 4702.01, Webster County, Missouri</t>
  </si>
  <si>
    <t>(-92.87240267352723, 37.30184316976742)</t>
  </si>
  <si>
    <t>0.41664400328739337</t>
  </si>
  <si>
    <t>1400000US29225470301</t>
  </si>
  <si>
    <t>Census Tract 4703.01, Webster County, Missouri</t>
  </si>
  <si>
    <t>(-93.01906470670129, 37.146625650896176)</t>
  </si>
  <si>
    <t>0.010683394449178112</t>
  </si>
  <si>
    <t>0.4534182198655594</t>
  </si>
  <si>
    <t>1400000US29225470302</t>
  </si>
  <si>
    <t>Census Tract 4703.02, Webster County, Missouri</t>
  </si>
  <si>
    <t>(-92.87322691925883, 37.219327985363435)</t>
  </si>
  <si>
    <t>0.029832381664856824</t>
  </si>
  <si>
    <t>1.1374488500849402</t>
  </si>
  <si>
    <t>1400000US29227960100</t>
  </si>
  <si>
    <t>Worth County</t>
  </si>
  <si>
    <t>Census Tract 9601, Worth County, Missouri</t>
  </si>
  <si>
    <t>(-94.4221302846966, 40.47910972827402)</t>
  </si>
  <si>
    <t>1.2067969225801853</t>
  </si>
  <si>
    <t>1400000US29229490100</t>
  </si>
  <si>
    <t>Wright County</t>
  </si>
  <si>
    <t>Census Tract 4901, Wright County, Missouri</t>
  </si>
  <si>
    <t>(-92.42550490630674, 37.36246065497697)</t>
  </si>
  <si>
    <t>1.642870596791858</t>
  </si>
  <si>
    <t>1400000US29229490200</t>
  </si>
  <si>
    <t>Census Tract 4902, Wright County, Missouri</t>
  </si>
  <si>
    <t>(-92.54687260014853, 37.25338850102809)</t>
  </si>
  <si>
    <t>0.050821770046239466</t>
  </si>
  <si>
    <t>1.190115232529647</t>
  </si>
  <si>
    <t>1400000US29229490400</t>
  </si>
  <si>
    <t>Census Tract 4904, Wright County, Missouri</t>
  </si>
  <si>
    <t>(-92.31988537176596, 37.09599892915386)</t>
  </si>
  <si>
    <t>0.010653488444401858</t>
  </si>
  <si>
    <t>0.4712390233295175</t>
  </si>
  <si>
    <t>1400000US29229490300</t>
  </si>
  <si>
    <t>Census Tract 4903, Wright County, Missouri</t>
  </si>
  <si>
    <t>(-92.50558445097124, 37.121336828911)</t>
  </si>
  <si>
    <t>1.1715344107013173</t>
  </si>
  <si>
    <t>1400000US29510107400</t>
  </si>
  <si>
    <t>St. Louis city</t>
  </si>
  <si>
    <t>Census Tract 1074, St. Louis city, Missouri</t>
  </si>
  <si>
    <t>(-90.25053344276941, 38.69591246867841)</t>
  </si>
  <si>
    <t>1400000US29510109700</t>
  </si>
  <si>
    <t>Census Tract 1097, St. Louis city, Missouri</t>
  </si>
  <si>
    <t>(-90.2016692379535, 38.67524281461753)</t>
  </si>
  <si>
    <t>1400000US29510111100</t>
  </si>
  <si>
    <t>Census Tract 1111, St. Louis city, Missouri</t>
  </si>
  <si>
    <t>(-90.23978717718917, 38.64849035958762)</t>
  </si>
  <si>
    <t>1400000US29510101100</t>
  </si>
  <si>
    <t>Census Tract 1011, St. Louis city, Missouri</t>
  </si>
  <si>
    <t>(-90.27457440297292, 38.55494132147551)</t>
  </si>
  <si>
    <t>1400000US29510102100</t>
  </si>
  <si>
    <t>Census Tract 1021, St. Louis city, Missouri</t>
  </si>
  <si>
    <t>(-90.29706156324212, 38.570033543727355)</t>
  </si>
  <si>
    <t>1400000US29510103400</t>
  </si>
  <si>
    <t>Census Tract 1034, St. Louis city, Missouri</t>
  </si>
  <si>
    <t>(-90.30154864796305, 38.607749761950124)</t>
  </si>
  <si>
    <t>9.449713262395195e-05</t>
  </si>
  <si>
    <t>1400000US29510104500</t>
  </si>
  <si>
    <t>Census Tract 1045, St. Louis city, Missouri</t>
  </si>
  <si>
    <t>(-90.28086639424079, 38.62653770333915)</t>
  </si>
  <si>
    <t>1400000US29510105400</t>
  </si>
  <si>
    <t>Census Tract 1054, St. Louis city, Missouri</t>
  </si>
  <si>
    <t>(-90.28944658895942, 38.66504922696756)</t>
  </si>
  <si>
    <t>7.310260137903212e-05</t>
  </si>
  <si>
    <t>1400000US29510106400</t>
  </si>
  <si>
    <t>Census Tract 1064, St. Louis city, Missouri</t>
  </si>
  <si>
    <t>(-90.26073891286346, 38.67548185015383)</t>
  </si>
  <si>
    <t>1400000US29510111500</t>
  </si>
  <si>
    <t>Census Tract 1115, St. Louis city, Missouri</t>
  </si>
  <si>
    <t>(-90.22514348584453, 38.65069352212304)</t>
  </si>
  <si>
    <t>8.154889652390696e-05</t>
  </si>
  <si>
    <t>1400000US29510114101</t>
  </si>
  <si>
    <t>Census Tract 1141.01, St. Louis city, Missouri</t>
  </si>
  <si>
    <t>(-90.28215990548169, 38.59300034474619)</t>
  </si>
  <si>
    <t>9.815891055782757e-05</t>
  </si>
  <si>
    <t>0.048219884776525106</t>
  </si>
  <si>
    <t>1400000US29510115300</t>
  </si>
  <si>
    <t>Census Tract 1153, St. Louis city, Missouri</t>
  </si>
  <si>
    <t>(-90.2550847565703, 38.580776658651985)</t>
  </si>
  <si>
    <t>1400000US29510116301</t>
  </si>
  <si>
    <t>Census Tract 1163.01, St. Louis city, Missouri</t>
  </si>
  <si>
    <t>(-90.24658483999804, 38.59866436460457)</t>
  </si>
  <si>
    <t>6.675606130258861e-05</t>
  </si>
  <si>
    <t>1400000US29510117100</t>
  </si>
  <si>
    <t>Census Tract 1171, St. Louis city, Missouri</t>
  </si>
  <si>
    <t>(-90.26202041979585, 38.61462184854996)</t>
  </si>
  <si>
    <t>0.043238362952553545</t>
  </si>
  <si>
    <t>1400000US29510118400</t>
  </si>
  <si>
    <t>Census Tract 1184, St. Louis city, Missouri</t>
  </si>
  <si>
    <t>(-90.2267093630338, 38.62872448794647)</t>
  </si>
  <si>
    <t>1400000US29510119200</t>
  </si>
  <si>
    <t>Census Tract 1192, St. Louis city, Missouri</t>
  </si>
  <si>
    <t>(-90.24829632069454, 38.646221142989475)</t>
  </si>
  <si>
    <t>7.588486919582703e-05</t>
  </si>
  <si>
    <t>1400000US29510125500</t>
  </si>
  <si>
    <t>Census Tract 1255, St. Louis city, Missouri</t>
  </si>
  <si>
    <t>(-90.20291826967595, 38.62930237529826)</t>
  </si>
  <si>
    <t>1400000US29510126700</t>
  </si>
  <si>
    <t>Census Tract 1267, St. Louis city, Missouri</t>
  </si>
  <si>
    <t>(-90.19325903949205, 38.662985819478905)</t>
  </si>
  <si>
    <t>1400000US29510127300</t>
  </si>
  <si>
    <t>Census Tract 1273, St. Louis city, Missouri</t>
  </si>
  <si>
    <t>(-90.23574624950858, 38.619319243567396)</t>
  </si>
  <si>
    <t>0.061077357730606505</t>
  </si>
  <si>
    <t>1400000US29510103700</t>
  </si>
  <si>
    <t>Census Tract 1037, St. Louis city, Missouri</t>
  </si>
  <si>
    <t>(-90.29184585326902, 38.607970610982164)</t>
  </si>
  <si>
    <t>9.494749950029708e-05</t>
  </si>
  <si>
    <t>1400000US29510103800</t>
  </si>
  <si>
    <t>Census Tract 1038, St. Louis city, Missouri</t>
  </si>
  <si>
    <t>(-90.30922052249262, 38.597686742339036)</t>
  </si>
  <si>
    <t>0.058272424598621204</t>
  </si>
  <si>
    <t>1400000US29510104200</t>
  </si>
  <si>
    <t>Census Tract 1042, St. Louis city, Missouri</t>
  </si>
  <si>
    <t>(-90.30004707585802, 38.62837360578647)</t>
  </si>
  <si>
    <t>0.049972537169178835</t>
  </si>
  <si>
    <t>1400000US29510105198</t>
  </si>
  <si>
    <t>Census Tract 1051.98, St. Louis city, Missouri</t>
  </si>
  <si>
    <t>(-90.2997613428578, 38.649446151884675)</t>
  </si>
  <si>
    <t>1400000US29510102400</t>
  </si>
  <si>
    <t>Census Tract 1024, St. Louis city, Missouri</t>
  </si>
  <si>
    <t>(-90.27778939165994, 38.577214363457784)</t>
  </si>
  <si>
    <t>6.052160485647565e-05</t>
  </si>
  <si>
    <t>1400000US29510102500</t>
  </si>
  <si>
    <t>Census Tract 1025, St. Louis city, Missouri</t>
  </si>
  <si>
    <t>(-90.27695211638543, 38.57199498512978)</t>
  </si>
  <si>
    <t>9.782338932718485e-05</t>
  </si>
  <si>
    <t>1400000US29510103100</t>
  </si>
  <si>
    <t>Census Tract 1031, St. Louis city, Missouri</t>
  </si>
  <si>
    <t>(-90.31037050299709, 38.58872036521202)</t>
  </si>
  <si>
    <t>1400000US29510101200</t>
  </si>
  <si>
    <t>Census Tract 1012, St. Louis city, Missouri</t>
  </si>
  <si>
    <t>(-90.27496216218135, 38.56174840086335)</t>
  </si>
  <si>
    <t>1400000US29510101300</t>
  </si>
  <si>
    <t>Census Tract 1013, St. Louis city, Missouri</t>
  </si>
  <si>
    <t>(-90.26416278017194, 38.566513178040154)</t>
  </si>
  <si>
    <t>1400000US29510101400</t>
  </si>
  <si>
    <t>Census Tract 1014, St. Louis city, Missouri</t>
  </si>
  <si>
    <t>(-90.25347356934307, 38.56235223409039)</t>
  </si>
  <si>
    <t>8.668647895647609e-05</t>
  </si>
  <si>
    <t>1400000US29510101500</t>
  </si>
  <si>
    <t>Census Tract 1015, St. Louis city, Missouri</t>
  </si>
  <si>
    <t>(-90.26509290397607, 38.54848645580254)</t>
  </si>
  <si>
    <t>1400000US29510101800</t>
  </si>
  <si>
    <t>Census Tract 1018, St. Louis city, Missouri</t>
  </si>
  <si>
    <t>(-90.25367817826589, 38.54739101606632)</t>
  </si>
  <si>
    <t>1400000US29510102200</t>
  </si>
  <si>
    <t>Census Tract 1022, St. Louis city, Missouri</t>
  </si>
  <si>
    <t>(-90.29773114163832, 38.578478649210005)</t>
  </si>
  <si>
    <t>1400000US29510102300</t>
  </si>
  <si>
    <t>Census Tract 1023, St. Louis city, Missouri</t>
  </si>
  <si>
    <t>(-90.28695059073276, 38.56294599254191)</t>
  </si>
  <si>
    <t>1400000US29510103600</t>
  </si>
  <si>
    <t>Census Tract 1036, St. Louis city, Missouri</t>
  </si>
  <si>
    <t>(-90.28932536273295, 38.61692418573529)</t>
  </si>
  <si>
    <t>1400000US29510105200</t>
  </si>
  <si>
    <t>Census Tract 1052, St. Louis city, Missouri</t>
  </si>
  <si>
    <t>(-90.28885657676679, 38.65056977130047)</t>
  </si>
  <si>
    <t>8.555342594757068e-05</t>
  </si>
  <si>
    <t>1400000US29510105300</t>
  </si>
  <si>
    <t>Census Tract 1053, St. Louis city, Missouri</t>
  </si>
  <si>
    <t>(-90.28831878713238, 38.657599866902494)</t>
  </si>
  <si>
    <t>9.881470487645993e-05</t>
  </si>
  <si>
    <t>1400000US29510105500</t>
  </si>
  <si>
    <t>Census Tract 1055, St. Louis city, Missouri</t>
  </si>
  <si>
    <t>(-90.27698040001782, 38.66003481481306)</t>
  </si>
  <si>
    <t>1400000US29510106100</t>
  </si>
  <si>
    <t>Census Tract 1061, St. Louis city, Missouri</t>
  </si>
  <si>
    <t>(-90.28111215181126, 38.66938186181331)</t>
  </si>
  <si>
    <t>9.904089202453952e-05</t>
  </si>
  <si>
    <t>1400000US29510106200</t>
  </si>
  <si>
    <t>Census Tract 1062, St. Louis city, Missouri</t>
  </si>
  <si>
    <t>(-90.27806400119997, 38.68026141841931)</t>
  </si>
  <si>
    <t>1400000US29510106300</t>
  </si>
  <si>
    <t>Census Tract 1063, St. Louis city, Missouri</t>
  </si>
  <si>
    <t>(-90.27148392706196, 38.67785710084167)</t>
  </si>
  <si>
    <t>0.047887514132037845</t>
  </si>
  <si>
    <t>1400000US29510106500</t>
  </si>
  <si>
    <t>Census Tract 1065, St. Louis city, Missouri</t>
  </si>
  <si>
    <t>(-90.26557625662635, 38.668930449779054)</t>
  </si>
  <si>
    <t>1400000US29510106600</t>
  </si>
  <si>
    <t>Census Tract 1066, St. Louis city, Missouri</t>
  </si>
  <si>
    <t>(-90.26644073387524, 38.6627179199386)</t>
  </si>
  <si>
    <t>8.841180771699555e-05</t>
  </si>
  <si>
    <t>1400000US29510106700</t>
  </si>
  <si>
    <t>Census Tract 1067, St. Louis city, Missouri</t>
  </si>
  <si>
    <t>(-90.25275069817775, 38.66813080182153)</t>
  </si>
  <si>
    <t>1400000US29510107200</t>
  </si>
  <si>
    <t>Census Tract 1072, St. Louis city, Missouri</t>
  </si>
  <si>
    <t>(-90.2534629638483, 38.700623657261445)</t>
  </si>
  <si>
    <t>6.777549425440603e-05</t>
  </si>
  <si>
    <t>1400000US29510107300</t>
  </si>
  <si>
    <t>Census Tract 1073, St. Louis city, Missouri</t>
  </si>
  <si>
    <t>(-90.25537681951198, 38.707306649755616)</t>
  </si>
  <si>
    <t>0.057269818253165725</t>
  </si>
  <si>
    <t>1400000US29510107500</t>
  </si>
  <si>
    <t>Census Tract 1075, St. Louis city, Missouri</t>
  </si>
  <si>
    <t>(-90.24442026144663, 38.691340071689304)</t>
  </si>
  <si>
    <t>9.459158707464495e-05</t>
  </si>
  <si>
    <t>1400000US29510107600</t>
  </si>
  <si>
    <t>Census Tract 1076, St. Louis city, Missouri</t>
  </si>
  <si>
    <t>(-90.2390332162588, 38.68491781853225)</t>
  </si>
  <si>
    <t>1400000US29510108100</t>
  </si>
  <si>
    <t>Census Tract 1081, St. Louis city, Missouri</t>
  </si>
  <si>
    <t>(-90.23923615579834, 38.707305251931096)</t>
  </si>
  <si>
    <t>1400000US29510108200</t>
  </si>
  <si>
    <t>Census Tract 1082, St. Louis city, Missouri</t>
  </si>
  <si>
    <t>(-90.23992813460846, 38.71844278558064)</t>
  </si>
  <si>
    <t>8.547728297847821e-05</t>
  </si>
  <si>
    <t>1400000US29510108300</t>
  </si>
  <si>
    <t>Census Tract 1083, St. Louis city, Missouri</t>
  </si>
  <si>
    <t>(-90.23332700336334, 38.72266010511204)</t>
  </si>
  <si>
    <t>7.763249246410527e-05</t>
  </si>
  <si>
    <t>1400000US29510109600</t>
  </si>
  <si>
    <t>Census Tract 1096, St. Louis city, Missouri</t>
  </si>
  <si>
    <t>(-90.21498554386834, 38.68274191129105)</t>
  </si>
  <si>
    <t>1400000US29510110100</t>
  </si>
  <si>
    <t>Census Tract 1101, St. Louis city, Missouri</t>
  </si>
  <si>
    <t>(-90.23948408528, 38.67126942840567)</t>
  </si>
  <si>
    <t>1400000US29510110200</t>
  </si>
  <si>
    <t>Census Tract 1102, St. Louis city, Missouri</t>
  </si>
  <si>
    <t>(-90.22826398685588, 38.672199203455385)</t>
  </si>
  <si>
    <t>8.062983937123901e-05</t>
  </si>
  <si>
    <t>0.044119819012251184</t>
  </si>
  <si>
    <t>1400000US29510110300</t>
  </si>
  <si>
    <t>Census Tract 1103, St. Louis city, Missouri</t>
  </si>
  <si>
    <t>(-90.2324137948143, 38.6650495241507)</t>
  </si>
  <si>
    <t>9.707442603629778e-05</t>
  </si>
  <si>
    <t>1400000US29510110400</t>
  </si>
  <si>
    <t>Census Tract 1104, St. Louis city, Missouri</t>
  </si>
  <si>
    <t>(-90.22108427318243, 38.65916123462432)</t>
  </si>
  <si>
    <t>9.166133804316811e-05</t>
  </si>
  <si>
    <t>0.040902122233699795</t>
  </si>
  <si>
    <t>1400000US29510110500</t>
  </si>
  <si>
    <t>Census Tract 1105, St. Louis city, Missouri</t>
  </si>
  <si>
    <t>(-90.21771888041759, 38.66594665297112)</t>
  </si>
  <si>
    <t>1400000US29510111200</t>
  </si>
  <si>
    <t>Census Tract 1112, St. Louis city, Missouri</t>
  </si>
  <si>
    <t>(-90.24731825534772, 38.65884378480506)</t>
  </si>
  <si>
    <t>1400000US29510111300</t>
  </si>
  <si>
    <t>Census Tract 1113, St. Louis city, Missouri</t>
  </si>
  <si>
    <t>(-90.24040211276566, 38.659220895795315)</t>
  </si>
  <si>
    <t>9.847166698059495e-05</t>
  </si>
  <si>
    <t>1400000US29510111400</t>
  </si>
  <si>
    <t>Census Tract 1114, St. Louis city, Missouri</t>
  </si>
  <si>
    <t>(-90.23169521159639, 38.65473476615846)</t>
  </si>
  <si>
    <t>9.430742790048012e-05</t>
  </si>
  <si>
    <t>0.043405561814511565</t>
  </si>
  <si>
    <t>1400000US29510112100</t>
  </si>
  <si>
    <t>Census Tract 1121, St. Louis city, Missouri</t>
  </si>
  <si>
    <t>(-90.28202194301568, 38.64039373586507)</t>
  </si>
  <si>
    <t>0.12251035858516668</t>
  </si>
  <si>
    <t>1400000US29510112200</t>
  </si>
  <si>
    <t>Census Tract 1122, St. Louis city, Missouri</t>
  </si>
  <si>
    <t>(-90.26895156027965, 38.65501452299091)</t>
  </si>
  <si>
    <t>7.205674782056786e-05</t>
  </si>
  <si>
    <t>1400000US29510112300</t>
  </si>
  <si>
    <t>Census Tract 1123, St. Louis city, Missouri</t>
  </si>
  <si>
    <t>(-90.25734338260803, 38.65490596933048)</t>
  </si>
  <si>
    <t>8.829350558931812e-05</t>
  </si>
  <si>
    <t>0.038648077350672286</t>
  </si>
  <si>
    <t>1400000US29510112400</t>
  </si>
  <si>
    <t>Census Tract 1124, St. Louis city, Missouri</t>
  </si>
  <si>
    <t>(-90.26104453776304, 38.64505000371033)</t>
  </si>
  <si>
    <t>9.705040396827988e-05</t>
  </si>
  <si>
    <t>1400000US29510113500</t>
  </si>
  <si>
    <t>Census Tract 1135, St. Louis city, Missouri</t>
  </si>
  <si>
    <t>(-90.27439287024929, 38.61747807076406)</t>
  </si>
  <si>
    <t>0.055113380275413015</t>
  </si>
  <si>
    <t>1400000US29510114102</t>
  </si>
  <si>
    <t>Census Tract 1141.02, St. Louis city, Missouri</t>
  </si>
  <si>
    <t>(-90.29760005863872, 38.589308550421954)</t>
  </si>
  <si>
    <t>0.051432922761998484</t>
  </si>
  <si>
    <t>1400000US29510114200</t>
  </si>
  <si>
    <t>Census Tract 1142, St. Louis city, Missouri</t>
  </si>
  <si>
    <t>(-90.2852859874447, 38.598588079271956)</t>
  </si>
  <si>
    <t>1400000US29510114300</t>
  </si>
  <si>
    <t>Census Tract 1143, St. Louis city, Missouri</t>
  </si>
  <si>
    <t>(-90.28461889942275, 38.586139201941315)</t>
  </si>
  <si>
    <t>1400000US29510115100</t>
  </si>
  <si>
    <t>Census Tract 1151, St. Louis city, Missouri</t>
  </si>
  <si>
    <t>(-90.27124220617551, 38.58536858162625)</t>
  </si>
  <si>
    <t>0.043815722066972894</t>
  </si>
  <si>
    <t>1400000US29510115200</t>
  </si>
  <si>
    <t>Census Tract 1152, St. Louis city, Missouri</t>
  </si>
  <si>
    <t>(-90.26457274374764, 38.59278850164697)</t>
  </si>
  <si>
    <t>1400000US29510115400</t>
  </si>
  <si>
    <t>Census Tract 1154, St. Louis city, Missouri</t>
  </si>
  <si>
    <t>(-90.26046857040892, 38.57501329319836)</t>
  </si>
  <si>
    <t>1400000US29510115500</t>
  </si>
  <si>
    <t>Census Tract 1155, St. Louis city, Missouri</t>
  </si>
  <si>
    <t>(-90.2460842118582, 38.572324450154504)</t>
  </si>
  <si>
    <t>1400000US29510115600</t>
  </si>
  <si>
    <t>Census Tract 1156, St. Louis city, Missouri</t>
  </si>
  <si>
    <t>(-90.23552081343877, 38.57041793167219)</t>
  </si>
  <si>
    <t>1400000US29510115700</t>
  </si>
  <si>
    <t>Census Tract 1157, St. Louis city, Missouri</t>
  </si>
  <si>
    <t>(-90.23527677520194, 38.581659908097066)</t>
  </si>
  <si>
    <t>1400000US29510116200</t>
  </si>
  <si>
    <t>Census Tract 1162, St. Louis city, Missouri</t>
  </si>
  <si>
    <t>(-90.25745509735943, 38.60378768453634)</t>
  </si>
  <si>
    <t>1400000US29510116302</t>
  </si>
  <si>
    <t>Census Tract 1163.02, St. Louis city, Missouri</t>
  </si>
  <si>
    <t>(-90.24793083663646, 38.589904720694804)</t>
  </si>
  <si>
    <t>6.289997660022298e-05</t>
  </si>
  <si>
    <t>0.032338538400031876</t>
  </si>
  <si>
    <t>1400000US29510116400</t>
  </si>
  <si>
    <t>Census Tract 1164, St. Louis city, Missouri</t>
  </si>
  <si>
    <t>(-90.23983271427643, 38.59104450450587)</t>
  </si>
  <si>
    <t>1400000US29510116500</t>
  </si>
  <si>
    <t>Census Tract 1165, St. Louis city, Missouri</t>
  </si>
  <si>
    <t>(-90.23726170911145, 38.60118677262981)</t>
  </si>
  <si>
    <t>9.349318250921906e-05</t>
  </si>
  <si>
    <t>1400000US29510117200</t>
  </si>
  <si>
    <t>Census Tract 1172, St. Louis city, Missouri</t>
  </si>
  <si>
    <t>(-90.25095699293159, 38.6139843046463)</t>
  </si>
  <si>
    <t>1400000US29510117400</t>
  </si>
  <si>
    <t>Census Tract 1174, St. Louis city, Missouri</t>
  </si>
  <si>
    <t>(-90.23740523721325, 38.609529743425405)</t>
  </si>
  <si>
    <t>0.048859572154438424</t>
  </si>
  <si>
    <t>1400000US29510118100</t>
  </si>
  <si>
    <t>Census Tract 1181, St. Louis city, Missouri</t>
  </si>
  <si>
    <t>(-90.253949876043, 38.623557566788044)</t>
  </si>
  <si>
    <t>1400000US29510118600</t>
  </si>
  <si>
    <t>Census Tract 1186, St. Louis city, Missouri</t>
  </si>
  <si>
    <t>(-90.25051468457225, 38.63182324648059)</t>
  </si>
  <si>
    <t>1400000US29510119101</t>
  </si>
  <si>
    <t>Census Tract 1191.01, St. Louis city, Missouri</t>
  </si>
  <si>
    <t>(-90.25585709902897, 38.63857890194329)</t>
  </si>
  <si>
    <t>5.240497406591935e-05</t>
  </si>
  <si>
    <t>1400000US29510119102</t>
  </si>
  <si>
    <t>Census Tract 1191.02, St. Louis city, Missouri</t>
  </si>
  <si>
    <t>(-90.25289073883654, 38.64206333584222)</t>
  </si>
  <si>
    <t>6.011196484556808e-05</t>
  </si>
  <si>
    <t>1400000US29510119300</t>
  </si>
  <si>
    <t>Census Tract 1193, St. Louis city, Missouri</t>
  </si>
  <si>
    <t>(-90.23817080189605, 38.64002015397166)</t>
  </si>
  <si>
    <t>1400000US29510120200</t>
  </si>
  <si>
    <t>Census Tract 1202, St. Louis city, Missouri</t>
  </si>
  <si>
    <t>(-90.20861694456427, 38.65960879924876)</t>
  </si>
  <si>
    <t>5.990440902387478e-05</t>
  </si>
  <si>
    <t>1400000US29510121100</t>
  </si>
  <si>
    <t>Census Tract 1211, St. Louis city, Missouri</t>
  </si>
  <si>
    <t>(-90.22492721587616, 38.636360925138405)</t>
  </si>
  <si>
    <t>1400000US29510121200</t>
  </si>
  <si>
    <t>Census Tract 1212, St. Louis city, Missouri</t>
  </si>
  <si>
    <t>(-90.22201138627248, 38.64319851561771)</t>
  </si>
  <si>
    <t>8.839319361095719e-05</t>
  </si>
  <si>
    <t>1400000US29510123100</t>
  </si>
  <si>
    <t>Census Tract 1231, St. Louis city, Missouri</t>
  </si>
  <si>
    <t>(-90.2251931282654, 38.611284614050156)</t>
  </si>
  <si>
    <t>1400000US29510123200</t>
  </si>
  <si>
    <t>Census Tract 1232, St. Louis city, Missouri</t>
  </si>
  <si>
    <t>(-90.21381810241006, 38.61330724298398)</t>
  </si>
  <si>
    <t>1400000US29510124100</t>
  </si>
  <si>
    <t>Census Tract 1241, St. Louis city, Missouri</t>
  </si>
  <si>
    <t>(-90.23162925165174, 38.5882583213732)</t>
  </si>
  <si>
    <t>1400000US29510124200</t>
  </si>
  <si>
    <t>Census Tract 1242, St. Louis city, Missouri</t>
  </si>
  <si>
    <t>(-90.22842813431964, 38.59881460045206)</t>
  </si>
  <si>
    <t>8.238757469095408e-05</t>
  </si>
  <si>
    <t>1400000US29510124300</t>
  </si>
  <si>
    <t>Census Tract 1243, St. Louis city, Missouri</t>
  </si>
  <si>
    <t>(-90.22076664191893, 38.59512712402897)</t>
  </si>
  <si>
    <t>0.051145597782017806</t>
  </si>
  <si>
    <t>1400000US29510124600</t>
  </si>
  <si>
    <t>Census Tract 1246, St. Louis city, Missouri</t>
  </si>
  <si>
    <t>(-90.2140514701462, 38.58872904645213)</t>
  </si>
  <si>
    <t>1400000US29510125600</t>
  </si>
  <si>
    <t>Census Tract 1256, St. Louis city, Missouri</t>
  </si>
  <si>
    <t>(-90.188561863968, 38.627508374572656)</t>
  </si>
  <si>
    <t>1400000US29510125700</t>
  </si>
  <si>
    <t>Census Tract 1257, St. Louis city, Missouri</t>
  </si>
  <si>
    <t>(-90.1904223787833, 38.63788793460538)</t>
  </si>
  <si>
    <t>1400000US29510126600</t>
  </si>
  <si>
    <t>Census Tract 1266, St. Louis city, Missouri</t>
  </si>
  <si>
    <t>(-90.19056457726144, 38.648815723495375)</t>
  </si>
  <si>
    <t>1400000US29510126800</t>
  </si>
  <si>
    <t>Census Tract 1268, St. Louis city, Missouri</t>
  </si>
  <si>
    <t>(-90.30642003728171, 38.61518279914794)</t>
  </si>
  <si>
    <t>1400000US29510116100</t>
  </si>
  <si>
    <t>Census Tract 1161, St. Louis city, Missouri</t>
  </si>
  <si>
    <t>(-90.2550317175585, 38.592268831150534)</t>
  </si>
  <si>
    <t>7.995477353893857e-05</t>
  </si>
  <si>
    <t>1400000US29510126900</t>
  </si>
  <si>
    <t>Census Tract 1269, St. Louis city, Missouri</t>
  </si>
  <si>
    <t>(-90.25636191625055, 38.685467789891476)</t>
  </si>
  <si>
    <t>0.12388693898949162</t>
  </si>
  <si>
    <t>1400000US29510127000</t>
  </si>
  <si>
    <t>Census Tract 1270, St. Louis city, Missouri</t>
  </si>
  <si>
    <t>(-90.20834155610932, 38.72407450569003)</t>
  </si>
  <si>
    <t>0.2706217590530675</t>
  </si>
  <si>
    <t>1400000US29510127100</t>
  </si>
  <si>
    <t>Census Tract 1271, St. Louis city, Missouri</t>
  </si>
  <si>
    <t>(-90.21109505098018, 38.65059073573153)</t>
  </si>
  <si>
    <t>1400000US29510127200</t>
  </si>
  <si>
    <t>Census Tract 1272, St. Louis city, Missouri</t>
  </si>
  <si>
    <t>(-90.2783400493402, 38.60585516133265)</t>
  </si>
  <si>
    <t>1400000US29510127400</t>
  </si>
  <si>
    <t>Census Tract 1274, St. Louis city, Missouri</t>
  </si>
  <si>
    <t>(-90.20468911291526, 38.6199239251752)</t>
  </si>
  <si>
    <t>0.1096910922606685</t>
  </si>
  <si>
    <t>1400000US29510127500</t>
  </si>
  <si>
    <t>Census Tract 1275, St. Louis city, Missouri</t>
  </si>
  <si>
    <t>(-90.21031305492508, 38.63749370649895)</t>
  </si>
  <si>
    <t>1400000US29510127600</t>
  </si>
  <si>
    <t>Census Tract 1276, St. Louis city, Missouri</t>
  </si>
  <si>
    <t>(-90.19953508479546, 38.60418315794246)</t>
  </si>
  <si>
    <t>1400000US29510123300</t>
  </si>
  <si>
    <t>Census Tract 1233, St. Louis city, Missouri</t>
  </si>
  <si>
    <t>(-90.21694920076487, 38.6056451780769)</t>
  </si>
  <si>
    <t>9.487577016542959e-05</t>
  </si>
  <si>
    <t>0.039444246918203724</t>
  </si>
  <si>
    <t>Z Pov</t>
  </si>
  <si>
    <t>Z Unemp</t>
  </si>
  <si>
    <t>Z PCI</t>
  </si>
  <si>
    <t>Z NOHSDIP</t>
  </si>
  <si>
    <t>Z Age65</t>
  </si>
  <si>
    <t>Z Age17</t>
  </si>
  <si>
    <t>Z Sngprnt</t>
  </si>
  <si>
    <t>Z Limeng</t>
  </si>
  <si>
    <t>Z Minority</t>
  </si>
  <si>
    <t>Z Munit</t>
  </si>
  <si>
    <t>Z Mobile</t>
  </si>
  <si>
    <t>Z Crowd</t>
  </si>
  <si>
    <t>Z Noveh</t>
  </si>
  <si>
    <t>Z Groupq</t>
  </si>
  <si>
    <t>Age 17</t>
  </si>
  <si>
    <t>Age17/HH</t>
  </si>
  <si>
    <t>Z Age17/HH</t>
  </si>
  <si>
    <t>Download</t>
  </si>
  <si>
    <t>Download Z</t>
  </si>
  <si>
    <t>Upload</t>
  </si>
  <si>
    <t>Upload Z</t>
  </si>
  <si>
    <t>Combined Econ Z Score</t>
  </si>
  <si>
    <t>Combined Social Z Score</t>
  </si>
  <si>
    <t>Combined Minority StatusZ Score</t>
  </si>
  <si>
    <t>Combined Housing Z Score</t>
  </si>
  <si>
    <t>Digital Access</t>
  </si>
  <si>
    <t>Vuln. Index</t>
  </si>
  <si>
    <t>Index w/Digital Access</t>
  </si>
  <si>
    <t>Population Average:</t>
  </si>
  <si>
    <t>Population St. Dev:</t>
  </si>
  <si>
    <t>Average</t>
  </si>
  <si>
    <t>St Dev</t>
  </si>
  <si>
    <t>Z SNGPRNT</t>
  </si>
  <si>
    <t>Z MUNIT</t>
  </si>
  <si>
    <t>Z GroupQ</t>
  </si>
  <si>
    <t>P Age 17/HH</t>
  </si>
  <si>
    <t>Z Download</t>
  </si>
  <si>
    <t>Z Upload</t>
  </si>
  <si>
    <t>Digital Access Z</t>
  </si>
  <si>
    <t>Rank w/o Dig</t>
  </si>
  <si>
    <t>Rank w/ Dig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</si>
</sst>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674EA7"/>
        <bgColor rgb="FF674EA7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  <xf borderId="1" fillId="0" fontId="2" numFmtId="0" xfId="0" applyBorder="1" applyFont="1"/>
    <xf borderId="2" fillId="2" fontId="1" numFmtId="0" xfId="0" applyBorder="1" applyFill="1" applyFont="1"/>
    <xf borderId="2" fillId="3" fontId="1" numFmtId="0" xfId="0" applyBorder="1" applyFill="1" applyFont="1"/>
    <xf borderId="2" fillId="3" fontId="3" numFmtId="0" xfId="0" applyAlignment="1" applyBorder="1" applyFont="1">
      <alignment readingOrder="0"/>
    </xf>
    <xf borderId="2" fillId="2" fontId="3" numFmtId="0" xfId="0" applyAlignment="1" applyBorder="1" applyFont="1">
      <alignment readingOrder="0"/>
    </xf>
    <xf borderId="2" fillId="2" fontId="2" numFmtId="0" xfId="0" applyAlignment="1" applyBorder="1" applyFont="1">
      <alignment vertical="bottom"/>
    </xf>
    <xf borderId="2" fillId="2" fontId="4" numFmtId="0" xfId="0" applyAlignment="1" applyBorder="1" applyFont="1">
      <alignment vertical="bottom"/>
    </xf>
    <xf borderId="2" fillId="4" fontId="1" numFmtId="0" xfId="0" applyBorder="1" applyFill="1" applyFont="1"/>
    <xf borderId="2" fillId="4" fontId="3" numFmtId="0" xfId="0" applyAlignment="1" applyBorder="1" applyFont="1">
      <alignment readingOrder="0"/>
    </xf>
    <xf borderId="2" fillId="5" fontId="1" numFmtId="0" xfId="0" applyBorder="1" applyFill="1" applyFont="1"/>
    <xf borderId="2" fillId="5" fontId="3" numFmtId="0" xfId="0" applyAlignment="1" applyBorder="1" applyFont="1">
      <alignment readingOrder="0"/>
    </xf>
    <xf borderId="2" fillId="6" fontId="3" numFmtId="0" xfId="0" applyAlignment="1" applyBorder="1" applyFill="1" applyFont="1">
      <alignment readingOrder="0"/>
    </xf>
    <xf borderId="0" fillId="3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6" fontId="3" numFmtId="0" xfId="0" applyAlignment="1" applyFont="1">
      <alignment readingOrder="0"/>
    </xf>
    <xf borderId="2" fillId="0" fontId="1" numFmtId="0" xfId="0" applyBorder="1" applyFont="1"/>
    <xf quotePrefix="1" borderId="2" fillId="0" fontId="2" numFmtId="0" xfId="0" applyAlignment="1" applyBorder="1" applyFont="1">
      <alignment horizontal="right"/>
    </xf>
    <xf quotePrefix="1" borderId="2" fillId="0" fontId="2" numFmtId="0" xfId="0" applyBorder="1" applyFont="1"/>
    <xf borderId="2" fillId="0" fontId="1" numFmtId="164" xfId="0" applyBorder="1" applyFont="1" applyNumberFormat="1"/>
    <xf borderId="2" fillId="0" fontId="2" numFmtId="164" xfId="0" applyAlignment="1" applyBorder="1" applyFont="1" applyNumberFormat="1">
      <alignment horizontal="right" vertical="bottom"/>
    </xf>
    <xf borderId="2" fillId="0" fontId="1" numFmtId="1" xfId="0" applyBorder="1" applyFont="1" applyNumberFormat="1"/>
    <xf borderId="2" fillId="0" fontId="5" numFmtId="0" xfId="0" applyAlignment="1" applyBorder="1" applyFont="1">
      <alignment horizontal="right" readingOrder="0" shrinkToFit="0" vertical="bottom" wrapText="0"/>
    </xf>
    <xf borderId="0" fillId="0" fontId="1" numFmtId="164" xfId="0" applyFont="1" applyNumberFormat="1"/>
    <xf borderId="2" fillId="9" fontId="2" numFmtId="0" xfId="0" applyAlignment="1" applyBorder="1" applyFill="1" applyFont="1">
      <alignment horizontal="right" vertical="bottom"/>
    </xf>
    <xf quotePrefix="1" borderId="2" fillId="9" fontId="2" numFmtId="0" xfId="0" applyAlignment="1" applyBorder="1" applyFont="1">
      <alignment horizontal="right" vertical="bottom"/>
    </xf>
    <xf quotePrefix="1" borderId="2" fillId="9" fontId="2" numFmtId="0" xfId="0" applyAlignment="1" applyBorder="1" applyFont="1">
      <alignment vertical="bottom"/>
    </xf>
    <xf borderId="2" fillId="9" fontId="2" numFmtId="0" xfId="0" applyAlignment="1" applyBorder="1" applyFont="1">
      <alignment vertical="bottom"/>
    </xf>
    <xf borderId="2" fillId="9" fontId="2" numFmtId="164" xfId="0" applyAlignment="1" applyBorder="1" applyFont="1" applyNumberFormat="1">
      <alignment horizontal="right" vertical="bottom"/>
    </xf>
    <xf borderId="2" fillId="9" fontId="1" numFmtId="164" xfId="0" applyBorder="1" applyFont="1" applyNumberFormat="1"/>
    <xf borderId="2" fillId="9" fontId="1" numFmtId="1" xfId="0" applyBorder="1" applyFont="1" applyNumberFormat="1"/>
    <xf borderId="2" fillId="9" fontId="1" numFmtId="0" xfId="0" applyBorder="1" applyFont="1"/>
    <xf borderId="2" fillId="9" fontId="5" numFmtId="0" xfId="0" applyAlignment="1" applyBorder="1" applyFont="1">
      <alignment horizontal="right" readingOrder="0" shrinkToFit="0" vertical="bottom" wrapText="0"/>
    </xf>
    <xf borderId="0" fillId="9" fontId="2" numFmtId="0" xfId="0" applyAlignment="1" applyFont="1">
      <alignment horizontal="right" vertical="bottom"/>
    </xf>
    <xf quotePrefix="1" borderId="2" fillId="9" fontId="2" numFmtId="0" xfId="0" applyAlignment="1" applyBorder="1" applyFont="1">
      <alignment horizontal="right"/>
    </xf>
    <xf quotePrefix="1" borderId="2" fillId="9" fontId="2" numFmtId="0" xfId="0" applyBorder="1" applyFont="1"/>
    <xf borderId="0" fillId="9" fontId="1" numFmtId="0" xfId="0" applyFont="1"/>
    <xf borderId="2" fillId="0" fontId="2" numFmtId="0" xfId="0" applyAlignment="1" applyBorder="1" applyFont="1">
      <alignment horizontal="right" vertical="bottom"/>
    </xf>
    <xf quotePrefix="1" borderId="2" fillId="0" fontId="2" numFmtId="0" xfId="0" applyAlignment="1" applyBorder="1" applyFont="1">
      <alignment horizontal="right" vertical="bottom"/>
    </xf>
    <xf quotePrefix="1"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2" fillId="10" fontId="1" numFmtId="0" xfId="0" applyBorder="1" applyFill="1" applyFont="1"/>
    <xf borderId="2" fillId="10" fontId="1" numFmtId="0" xfId="0" applyAlignment="1" applyBorder="1" applyFont="1">
      <alignment horizontal="right"/>
    </xf>
    <xf quotePrefix="1" borderId="2" fillId="10" fontId="2" numFmtId="0" xfId="0" applyBorder="1" applyFont="1"/>
    <xf borderId="2" fillId="10" fontId="1" numFmtId="164" xfId="0" applyBorder="1" applyFont="1" applyNumberFormat="1"/>
    <xf borderId="2" fillId="10" fontId="2" numFmtId="164" xfId="0" applyAlignment="1" applyBorder="1" applyFont="1" applyNumberFormat="1">
      <alignment horizontal="right" vertical="bottom"/>
    </xf>
    <xf borderId="2" fillId="10" fontId="1" numFmtId="1" xfId="0" applyBorder="1" applyFont="1" applyNumberFormat="1"/>
    <xf borderId="2" fillId="10" fontId="5" numFmtId="0" xfId="0" applyAlignment="1" applyBorder="1" applyFont="1">
      <alignment horizontal="right" readingOrder="0" shrinkToFit="0" vertical="bottom" wrapText="0"/>
    </xf>
    <xf borderId="0" fillId="10" fontId="1" numFmtId="0" xfId="0" applyFont="1"/>
    <xf borderId="0" fillId="0" fontId="2" numFmtId="0" xfId="0" applyAlignment="1" applyFont="1">
      <alignment vertical="bottom"/>
    </xf>
    <xf borderId="3" fillId="11" fontId="3" numFmtId="0" xfId="0" applyAlignment="1" applyBorder="1" applyFill="1" applyFont="1">
      <alignment readingOrder="0"/>
    </xf>
    <xf borderId="2" fillId="0" fontId="5" numFmtId="165" xfId="0" applyAlignment="1" applyBorder="1" applyFont="1" applyNumberFormat="1">
      <alignment horizontal="right" readingOrder="0" shrinkToFit="0" vertical="bottom" wrapText="0"/>
    </xf>
    <xf borderId="0" fillId="0" fontId="1" numFmtId="165" xfId="0" applyFont="1" applyNumberFormat="1"/>
    <xf borderId="2" fillId="0" fontId="2" numFmtId="165" xfId="0" applyAlignment="1" applyBorder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5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8.63"/>
    <col customWidth="1" min="7" max="7" width="12.5"/>
    <col customWidth="1" min="8" max="110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>
      <c r="A2" s="1" t="s">
        <v>110</v>
      </c>
      <c r="B2" s="1">
        <v>29.0</v>
      </c>
      <c r="C2" s="2" t="s">
        <v>111</v>
      </c>
      <c r="D2" s="1">
        <v>950300.0</v>
      </c>
      <c r="E2" s="1">
        <v>8.134</v>
      </c>
      <c r="F2" s="1">
        <v>29001.0</v>
      </c>
      <c r="G2" s="1">
        <v>2.90019503E10</v>
      </c>
      <c r="H2" s="1" t="s">
        <v>112</v>
      </c>
      <c r="I2" s="1" t="s">
        <v>113</v>
      </c>
      <c r="J2" s="1" t="s">
        <v>114</v>
      </c>
      <c r="K2" s="1" t="s">
        <v>115</v>
      </c>
      <c r="L2" s="1">
        <v>2951.0</v>
      </c>
      <c r="M2" s="1">
        <v>3138.0</v>
      </c>
      <c r="N2" s="1">
        <v>418.0</v>
      </c>
      <c r="O2" s="1">
        <v>1615.0</v>
      </c>
      <c r="P2" s="1">
        <v>1682.0</v>
      </c>
      <c r="Q2" s="1">
        <v>141.0</v>
      </c>
      <c r="R2" s="1">
        <v>1388.0</v>
      </c>
      <c r="S2" s="1">
        <v>1334.0</v>
      </c>
      <c r="T2" s="1">
        <v>472.0</v>
      </c>
      <c r="U2" s="1">
        <v>111.0</v>
      </c>
      <c r="V2" s="1">
        <v>449.0</v>
      </c>
      <c r="W2" s="1">
        <v>12764.0</v>
      </c>
      <c r="X2" s="1">
        <v>2246.0</v>
      </c>
      <c r="Y2" s="1">
        <v>212.0</v>
      </c>
      <c r="Z2" s="1">
        <v>242.0</v>
      </c>
      <c r="AA2" s="1">
        <v>269.0</v>
      </c>
      <c r="AB2" s="1">
        <v>483.0</v>
      </c>
      <c r="AC2" s="1">
        <v>135.0</v>
      </c>
      <c r="AD2" s="1">
        <v>277.0</v>
      </c>
      <c r="AE2" s="1">
        <v>0.0</v>
      </c>
      <c r="AF2" s="1">
        <v>456.0</v>
      </c>
      <c r="AG2" s="1">
        <v>223.0</v>
      </c>
      <c r="AH2" s="1">
        <v>167.0</v>
      </c>
      <c r="AI2" s="1">
        <v>114.0</v>
      </c>
      <c r="AJ2" s="1">
        <v>49.0</v>
      </c>
      <c r="AK2" s="1">
        <v>10.0</v>
      </c>
      <c r="AL2" s="1">
        <v>115.0</v>
      </c>
      <c r="AM2" s="1">
        <v>179.0</v>
      </c>
      <c r="AN2" s="1">
        <v>108.0</v>
      </c>
      <c r="AO2" s="1">
        <v>52.0</v>
      </c>
      <c r="AP2" s="1">
        <v>0.425111</v>
      </c>
      <c r="AQ2" s="1">
        <v>0.139347</v>
      </c>
      <c r="AR2" s="1">
        <v>0.075613</v>
      </c>
      <c r="AS2" s="1">
        <v>0.305446</v>
      </c>
      <c r="AT2" s="1">
        <v>12764.0</v>
      </c>
      <c r="AU2" s="1">
        <v>2246.0</v>
      </c>
      <c r="AV2" s="1">
        <v>0.131595</v>
      </c>
      <c r="AW2" s="1">
        <v>0.149503</v>
      </c>
      <c r="AX2" s="1">
        <v>0.091155</v>
      </c>
      <c r="AY2" s="1">
        <v>0.163673</v>
      </c>
      <c r="AZ2" s="1">
        <v>0.09726224</v>
      </c>
      <c r="BA2" s="1">
        <v>0.093866</v>
      </c>
      <c r="BB2" s="1">
        <v>0.0</v>
      </c>
      <c r="BC2" s="1">
        <v>0.152559</v>
      </c>
      <c r="BD2" s="1">
        <v>0.13258</v>
      </c>
      <c r="BE2" s="1">
        <v>0.098662</v>
      </c>
      <c r="BF2" s="1">
        <v>0.067776</v>
      </c>
      <c r="BG2" s="1">
        <v>0.028572</v>
      </c>
      <c r="BH2" s="1">
        <v>0.006775</v>
      </c>
      <c r="BI2" s="1">
        <v>0.07791</v>
      </c>
      <c r="BJ2" s="1">
        <v>0.121273</v>
      </c>
      <c r="BK2" s="1">
        <v>0.072068</v>
      </c>
      <c r="BL2" s="1">
        <v>0.017621</v>
      </c>
      <c r="BM2" s="1">
        <v>0.971</v>
      </c>
      <c r="BN2" s="1">
        <v>0.567</v>
      </c>
      <c r="BO2" s="1">
        <v>0.9401</v>
      </c>
      <c r="BP2" s="1">
        <v>0.477</v>
      </c>
      <c r="BQ2" s="1">
        <v>2.9551</v>
      </c>
      <c r="BR2" s="1">
        <v>0.7978</v>
      </c>
      <c r="BS2" s="1">
        <v>0.165</v>
      </c>
      <c r="BT2" s="1">
        <v>0.089</v>
      </c>
      <c r="BU2" s="1">
        <v>0.468</v>
      </c>
      <c r="BV2" s="1">
        <v>0.722</v>
      </c>
      <c r="BW2" s="1">
        <v>0.061</v>
      </c>
      <c r="BX2" s="1">
        <v>0.445</v>
      </c>
      <c r="BY2" s="1">
        <v>0.0</v>
      </c>
      <c r="BZ2" s="1">
        <v>0.445</v>
      </c>
      <c r="CA2" s="1">
        <v>0.187</v>
      </c>
      <c r="CB2" s="1">
        <v>0.816</v>
      </c>
      <c r="CC2" s="1">
        <v>0.646</v>
      </c>
      <c r="CD2" s="1">
        <v>0.384</v>
      </c>
      <c r="CE2" s="1">
        <v>0.811</v>
      </c>
      <c r="CF2" s="1">
        <v>0.681</v>
      </c>
      <c r="CG2" s="1">
        <v>3.338</v>
      </c>
      <c r="CH2" s="1">
        <v>0.889</v>
      </c>
      <c r="CI2" s="1">
        <v>7.4601</v>
      </c>
      <c r="CJ2" s="1">
        <v>0.6325</v>
      </c>
      <c r="CK2" s="1">
        <v>1.0</v>
      </c>
      <c r="CL2" s="1">
        <v>0.0</v>
      </c>
      <c r="CM2" s="1">
        <v>1.0</v>
      </c>
      <c r="CN2" s="1">
        <v>0.0</v>
      </c>
      <c r="CO2" s="1">
        <v>2.0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0.0</v>
      </c>
      <c r="DA2" s="1">
        <v>0.0</v>
      </c>
      <c r="DB2" s="1">
        <v>0.0</v>
      </c>
      <c r="DC2" s="1">
        <v>2.0</v>
      </c>
      <c r="DD2" s="1" t="s">
        <v>116</v>
      </c>
      <c r="DE2" s="1">
        <v>0.00222046127296999</v>
      </c>
      <c r="DF2" s="2" t="s">
        <v>117</v>
      </c>
    </row>
    <row r="3">
      <c r="A3" s="1" t="s">
        <v>118</v>
      </c>
      <c r="B3" s="1">
        <v>29.0</v>
      </c>
      <c r="C3" s="2" t="s">
        <v>111</v>
      </c>
      <c r="D3" s="1">
        <v>950400.0</v>
      </c>
      <c r="E3" s="1">
        <v>7.596</v>
      </c>
      <c r="F3" s="1">
        <v>29001.0</v>
      </c>
      <c r="G3" s="1">
        <v>2.90019504E10</v>
      </c>
      <c r="H3" s="1" t="s">
        <v>112</v>
      </c>
      <c r="I3" s="1" t="s">
        <v>113</v>
      </c>
      <c r="J3" s="1" t="s">
        <v>114</v>
      </c>
      <c r="K3" s="1" t="s">
        <v>119</v>
      </c>
      <c r="L3" s="1">
        <v>3892.0</v>
      </c>
      <c r="M3" s="1">
        <v>4071.0</v>
      </c>
      <c r="N3" s="1">
        <v>326.0</v>
      </c>
      <c r="O3" s="1">
        <v>1855.0</v>
      </c>
      <c r="P3" s="1">
        <v>1798.0</v>
      </c>
      <c r="Q3" s="1">
        <v>105.0</v>
      </c>
      <c r="R3" s="1">
        <v>1727.0</v>
      </c>
      <c r="S3" s="1">
        <v>551.0</v>
      </c>
      <c r="T3" s="1">
        <v>195.0</v>
      </c>
      <c r="U3" s="1">
        <v>98.0</v>
      </c>
      <c r="V3" s="1">
        <v>432.0</v>
      </c>
      <c r="W3" s="1">
        <v>22437.0</v>
      </c>
      <c r="X3" s="1">
        <v>3061.0</v>
      </c>
      <c r="Y3" s="1">
        <v>184.0</v>
      </c>
      <c r="Z3" s="1">
        <v>368.0</v>
      </c>
      <c r="AA3" s="1">
        <v>663.0</v>
      </c>
      <c r="AB3" s="1">
        <v>975.0</v>
      </c>
      <c r="AC3" s="1">
        <v>157.0</v>
      </c>
      <c r="AD3" s="1">
        <v>237.0</v>
      </c>
      <c r="AE3" s="1">
        <v>0.0</v>
      </c>
      <c r="AF3" s="1">
        <v>456.0</v>
      </c>
      <c r="AG3" s="1">
        <v>92.0</v>
      </c>
      <c r="AH3" s="1">
        <v>60.0</v>
      </c>
      <c r="AI3" s="1">
        <v>49.0</v>
      </c>
      <c r="AJ3" s="1">
        <v>43.0</v>
      </c>
      <c r="AK3" s="1">
        <v>4.0</v>
      </c>
      <c r="AL3" s="1">
        <v>114.0</v>
      </c>
      <c r="AM3" s="1">
        <v>125.0</v>
      </c>
      <c r="AN3" s="1">
        <v>59.0</v>
      </c>
      <c r="AO3" s="1">
        <v>41.0</v>
      </c>
      <c r="AP3" s="1">
        <v>0.13568</v>
      </c>
      <c r="AQ3" s="1">
        <v>0.046773</v>
      </c>
      <c r="AR3" s="1">
        <v>0.050882</v>
      </c>
      <c r="AS3" s="1">
        <v>0.224214</v>
      </c>
      <c r="AT3" s="1">
        <v>22437.0</v>
      </c>
      <c r="AU3" s="1">
        <v>3061.0</v>
      </c>
      <c r="AV3" s="1">
        <v>0.068785</v>
      </c>
      <c r="AW3" s="1">
        <v>0.137489</v>
      </c>
      <c r="AX3" s="1">
        <v>0.170349</v>
      </c>
      <c r="AY3" s="1">
        <v>0.250513</v>
      </c>
      <c r="AZ3" s="1">
        <v>0.09090909</v>
      </c>
      <c r="BA3" s="1">
        <v>0.060894</v>
      </c>
      <c r="BB3" s="1">
        <v>0.0</v>
      </c>
      <c r="BC3" s="1">
        <v>0.122877</v>
      </c>
      <c r="BD3" s="1">
        <v>0.051167</v>
      </c>
      <c r="BE3" s="1">
        <v>0.033236</v>
      </c>
      <c r="BF3" s="1">
        <v>0.027252</v>
      </c>
      <c r="BG3" s="1">
        <v>0.023862</v>
      </c>
      <c r="BH3" s="1">
        <v>0.002318</v>
      </c>
      <c r="BI3" s="1">
        <v>0.066086</v>
      </c>
      <c r="BJ3" s="1">
        <v>0.072463</v>
      </c>
      <c r="BK3" s="1">
        <v>0.033938</v>
      </c>
      <c r="BL3" s="1">
        <v>0.010534</v>
      </c>
      <c r="BM3" s="1">
        <v>0.523</v>
      </c>
      <c r="BN3" s="1">
        <v>0.3</v>
      </c>
      <c r="BO3" s="1">
        <v>0.4722</v>
      </c>
      <c r="BP3" s="1">
        <v>0.197</v>
      </c>
      <c r="BQ3" s="1">
        <v>1.4922</v>
      </c>
      <c r="BR3" s="1">
        <v>0.3379</v>
      </c>
      <c r="BS3" s="1">
        <v>0.739</v>
      </c>
      <c r="BT3" s="1">
        <v>0.602</v>
      </c>
      <c r="BU3" s="1">
        <v>0.411</v>
      </c>
      <c r="BV3" s="1">
        <v>1.752</v>
      </c>
      <c r="BW3" s="1">
        <v>0.684</v>
      </c>
      <c r="BX3" s="1">
        <v>0.317</v>
      </c>
      <c r="BY3" s="1">
        <v>0.0</v>
      </c>
      <c r="BZ3" s="1">
        <v>0.317</v>
      </c>
      <c r="CA3" s="1">
        <v>0.135</v>
      </c>
      <c r="CB3" s="1">
        <v>0.659</v>
      </c>
      <c r="CC3" s="1">
        <v>0.541</v>
      </c>
      <c r="CD3" s="1">
        <v>0.286</v>
      </c>
      <c r="CE3" s="1">
        <v>0.636</v>
      </c>
      <c r="CF3" s="1">
        <v>0.587</v>
      </c>
      <c r="CG3" s="1">
        <v>2.709</v>
      </c>
      <c r="CH3" s="1">
        <v>0.648</v>
      </c>
      <c r="CI3" s="1">
        <v>6.2702</v>
      </c>
      <c r="CJ3" s="1">
        <v>0.4217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 t="s">
        <v>120</v>
      </c>
      <c r="DE3" s="1">
        <v>0.00208613439178568</v>
      </c>
      <c r="DF3" s="2" t="s">
        <v>121</v>
      </c>
    </row>
    <row r="4">
      <c r="A4" s="1" t="s">
        <v>122</v>
      </c>
      <c r="B4" s="1">
        <v>29.0</v>
      </c>
      <c r="C4" s="2" t="s">
        <v>111</v>
      </c>
      <c r="D4" s="1">
        <v>950100.0</v>
      </c>
      <c r="E4" s="1">
        <v>253.455</v>
      </c>
      <c r="F4" s="1">
        <v>29001.0</v>
      </c>
      <c r="G4" s="1">
        <v>2.90019501E10</v>
      </c>
      <c r="H4" s="1" t="s">
        <v>112</v>
      </c>
      <c r="I4" s="1" t="s">
        <v>113</v>
      </c>
      <c r="J4" s="1" t="s">
        <v>114</v>
      </c>
      <c r="K4" s="1" t="s">
        <v>123</v>
      </c>
      <c r="L4" s="1">
        <v>3802.0</v>
      </c>
      <c r="M4" s="1">
        <v>3538.0</v>
      </c>
      <c r="N4" s="1">
        <v>300.0</v>
      </c>
      <c r="O4" s="1">
        <v>1679.0</v>
      </c>
      <c r="P4" s="1">
        <v>1708.0</v>
      </c>
      <c r="Q4" s="1">
        <v>117.0</v>
      </c>
      <c r="R4" s="1">
        <v>1456.0</v>
      </c>
      <c r="S4" s="1">
        <v>560.0</v>
      </c>
      <c r="T4" s="1">
        <v>213.0</v>
      </c>
      <c r="U4" s="1">
        <v>118.0</v>
      </c>
      <c r="V4" s="1">
        <v>365.0</v>
      </c>
      <c r="W4" s="1">
        <v>20733.0</v>
      </c>
      <c r="X4" s="1">
        <v>1993.0</v>
      </c>
      <c r="Y4" s="1">
        <v>212.0</v>
      </c>
      <c r="Z4" s="1">
        <v>264.0</v>
      </c>
      <c r="AA4" s="1">
        <v>553.0</v>
      </c>
      <c r="AB4" s="1">
        <v>1046.0</v>
      </c>
      <c r="AC4" s="1">
        <v>108.0</v>
      </c>
      <c r="AD4" s="1">
        <v>96.0</v>
      </c>
      <c r="AE4" s="1">
        <v>37.0</v>
      </c>
      <c r="AF4" s="1">
        <v>428.0</v>
      </c>
      <c r="AG4" s="1">
        <v>2.0</v>
      </c>
      <c r="AH4" s="1">
        <v>161.0</v>
      </c>
      <c r="AI4" s="1">
        <v>231.0</v>
      </c>
      <c r="AJ4" s="1">
        <v>72.0</v>
      </c>
      <c r="AK4" s="1">
        <v>20.0</v>
      </c>
      <c r="AL4" s="1">
        <v>20.0</v>
      </c>
      <c r="AM4" s="1">
        <v>75.0</v>
      </c>
      <c r="AN4" s="1">
        <v>124.0</v>
      </c>
      <c r="AO4" s="1">
        <v>0.0</v>
      </c>
      <c r="AP4" s="1">
        <v>0.158595</v>
      </c>
      <c r="AQ4" s="1">
        <v>0.058808</v>
      </c>
      <c r="AR4" s="1">
        <v>0.069698</v>
      </c>
      <c r="AS4" s="1">
        <v>0.215453</v>
      </c>
      <c r="AT4" s="1">
        <v>20733.0</v>
      </c>
      <c r="AU4" s="1">
        <v>1993.0</v>
      </c>
      <c r="AV4" s="1">
        <v>0.085483</v>
      </c>
      <c r="AW4" s="1">
        <v>0.106195</v>
      </c>
      <c r="AX4" s="1">
        <v>0.145449</v>
      </c>
      <c r="AY4" s="1">
        <v>0.275118</v>
      </c>
      <c r="AZ4" s="1">
        <v>0.07417582</v>
      </c>
      <c r="BA4" s="1">
        <v>0.025249</v>
      </c>
      <c r="BB4" s="1">
        <v>0.011229</v>
      </c>
      <c r="BC4" s="1">
        <v>0.129889</v>
      </c>
      <c r="BD4" s="1">
        <v>0.00117</v>
      </c>
      <c r="BE4" s="1">
        <v>0.094262</v>
      </c>
      <c r="BF4" s="1">
        <v>0.135245</v>
      </c>
      <c r="BG4" s="1">
        <v>0.041123</v>
      </c>
      <c r="BH4" s="1">
        <v>0.014316</v>
      </c>
      <c r="BI4" s="1">
        <v>0.014264</v>
      </c>
      <c r="BJ4" s="1">
        <v>0.053686</v>
      </c>
      <c r="BK4" s="1">
        <v>0.088643</v>
      </c>
      <c r="BL4" s="1">
        <v>0.0</v>
      </c>
      <c r="BM4" s="1">
        <v>0.607</v>
      </c>
      <c r="BN4" s="1">
        <v>0.512</v>
      </c>
      <c r="BO4" s="1">
        <v>0.5704</v>
      </c>
      <c r="BP4" s="1">
        <v>0.272</v>
      </c>
      <c r="BQ4" s="1">
        <v>1.9614</v>
      </c>
      <c r="BR4" s="1">
        <v>0.4809</v>
      </c>
      <c r="BS4" s="1">
        <v>0.543</v>
      </c>
      <c r="BT4" s="1">
        <v>0.822</v>
      </c>
      <c r="BU4" s="1">
        <v>0.251</v>
      </c>
      <c r="BV4" s="1">
        <v>1.616</v>
      </c>
      <c r="BW4" s="1">
        <v>0.579</v>
      </c>
      <c r="BX4" s="1">
        <v>0.047</v>
      </c>
      <c r="BY4" s="1">
        <v>0.753</v>
      </c>
      <c r="BZ4" s="1">
        <v>0.8</v>
      </c>
      <c r="CA4" s="1">
        <v>0.4</v>
      </c>
      <c r="CB4" s="1">
        <v>0.261</v>
      </c>
      <c r="CC4" s="1">
        <v>0.787</v>
      </c>
      <c r="CD4" s="1">
        <v>0.579</v>
      </c>
      <c r="CE4" s="1">
        <v>0.516</v>
      </c>
      <c r="CF4" s="1">
        <v>0.0</v>
      </c>
      <c r="CG4" s="1">
        <v>2.143</v>
      </c>
      <c r="CH4" s="1">
        <v>0.398</v>
      </c>
      <c r="CI4" s="1">
        <v>6.5204</v>
      </c>
      <c r="CJ4" s="1">
        <v>0.4621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 t="s">
        <v>124</v>
      </c>
      <c r="DE4" s="1">
        <v>0.0696497403238499</v>
      </c>
      <c r="DF4" s="2" t="s">
        <v>125</v>
      </c>
    </row>
    <row r="5">
      <c r="A5" s="1" t="s">
        <v>126</v>
      </c>
      <c r="B5" s="1">
        <v>29.0</v>
      </c>
      <c r="C5" s="2" t="s">
        <v>111</v>
      </c>
      <c r="D5" s="1">
        <v>950200.0</v>
      </c>
      <c r="E5" s="1">
        <v>270.774</v>
      </c>
      <c r="F5" s="1">
        <v>29001.0</v>
      </c>
      <c r="G5" s="1">
        <v>2.90019502E10</v>
      </c>
      <c r="H5" s="1" t="s">
        <v>112</v>
      </c>
      <c r="I5" s="1" t="s">
        <v>113</v>
      </c>
      <c r="J5" s="1" t="s">
        <v>114</v>
      </c>
      <c r="K5" s="1" t="s">
        <v>127</v>
      </c>
      <c r="L5" s="1">
        <v>3019.0</v>
      </c>
      <c r="M5" s="1">
        <v>3209.0</v>
      </c>
      <c r="N5" s="1">
        <v>305.0</v>
      </c>
      <c r="O5" s="1">
        <v>1613.0</v>
      </c>
      <c r="P5" s="1">
        <v>1550.0</v>
      </c>
      <c r="Q5" s="1">
        <v>105.0</v>
      </c>
      <c r="R5" s="1">
        <v>1223.0</v>
      </c>
      <c r="S5" s="1">
        <v>477.0</v>
      </c>
      <c r="T5" s="1">
        <v>289.0</v>
      </c>
      <c r="U5" s="1">
        <v>110.0</v>
      </c>
      <c r="V5" s="1">
        <v>415.0</v>
      </c>
      <c r="W5" s="1">
        <v>19279.0</v>
      </c>
      <c r="X5" s="1">
        <v>2215.0</v>
      </c>
      <c r="Y5" s="1">
        <v>319.0</v>
      </c>
      <c r="Z5" s="1">
        <v>186.0</v>
      </c>
      <c r="AA5" s="1">
        <v>510.0</v>
      </c>
      <c r="AB5" s="1">
        <v>723.0</v>
      </c>
      <c r="AC5" s="1">
        <v>81.0</v>
      </c>
      <c r="AD5" s="1">
        <v>66.0</v>
      </c>
      <c r="AE5" s="1">
        <v>0.0</v>
      </c>
      <c r="AF5" s="1">
        <v>456.0</v>
      </c>
      <c r="AG5" s="1">
        <v>0.0</v>
      </c>
      <c r="AH5" s="1">
        <v>197.0</v>
      </c>
      <c r="AI5" s="1">
        <v>213.0</v>
      </c>
      <c r="AJ5" s="1">
        <v>68.0</v>
      </c>
      <c r="AK5" s="1">
        <v>75.0</v>
      </c>
      <c r="AL5" s="1">
        <v>132.0</v>
      </c>
      <c r="AM5" s="1">
        <v>68.0</v>
      </c>
      <c r="AN5" s="1">
        <v>47.0</v>
      </c>
      <c r="AO5" s="1">
        <v>0.0</v>
      </c>
      <c r="AP5" s="1">
        <v>0.148783</v>
      </c>
      <c r="AQ5" s="1">
        <v>0.089025</v>
      </c>
      <c r="AR5" s="1">
        <v>0.075342</v>
      </c>
      <c r="AS5" s="1">
        <v>0.284091</v>
      </c>
      <c r="AT5" s="1">
        <v>19279.0</v>
      </c>
      <c r="AU5" s="1">
        <v>2215.0</v>
      </c>
      <c r="AV5" s="1">
        <v>0.1514</v>
      </c>
      <c r="AW5" s="1">
        <v>0.087215</v>
      </c>
      <c r="AX5" s="1">
        <v>0.16893</v>
      </c>
      <c r="AY5" s="1">
        <v>0.239483</v>
      </c>
      <c r="AZ5" s="1">
        <v>0.06623058</v>
      </c>
      <c r="BA5" s="1">
        <v>0.021861</v>
      </c>
      <c r="BB5" s="1">
        <v>0.0</v>
      </c>
      <c r="BC5" s="1">
        <v>0.153742</v>
      </c>
      <c r="BD5" s="1">
        <v>0.0</v>
      </c>
      <c r="BE5" s="1">
        <v>0.127096</v>
      </c>
      <c r="BF5" s="1">
        <v>0.137419</v>
      </c>
      <c r="BG5" s="1">
        <v>0.042871</v>
      </c>
      <c r="BH5" s="1">
        <v>0.061274</v>
      </c>
      <c r="BI5" s="1">
        <v>0.107724</v>
      </c>
      <c r="BJ5" s="1">
        <v>0.055555</v>
      </c>
      <c r="BK5" s="1">
        <v>0.038124</v>
      </c>
      <c r="BL5" s="1">
        <v>0.0</v>
      </c>
      <c r="BM5" s="1">
        <v>0.576</v>
      </c>
      <c r="BN5" s="1">
        <v>0.563</v>
      </c>
      <c r="BO5" s="1">
        <v>0.652</v>
      </c>
      <c r="BP5" s="1">
        <v>0.574</v>
      </c>
      <c r="BQ5" s="1">
        <v>2.365</v>
      </c>
      <c r="BR5" s="1">
        <v>0.6202</v>
      </c>
      <c r="BS5" s="1">
        <v>0.728</v>
      </c>
      <c r="BT5" s="1">
        <v>0.493</v>
      </c>
      <c r="BU5" s="1">
        <v>0.183</v>
      </c>
      <c r="BV5" s="1">
        <v>1.404</v>
      </c>
      <c r="BW5" s="1">
        <v>0.394</v>
      </c>
      <c r="BX5" s="1">
        <v>0.025</v>
      </c>
      <c r="BY5" s="1">
        <v>0.0</v>
      </c>
      <c r="BZ5" s="1">
        <v>0.025</v>
      </c>
      <c r="CA5" s="1">
        <v>0.015</v>
      </c>
      <c r="CB5" s="1">
        <v>0.0</v>
      </c>
      <c r="CC5" s="1">
        <v>0.794</v>
      </c>
      <c r="CD5" s="1">
        <v>0.966</v>
      </c>
      <c r="CE5" s="1">
        <v>0.536</v>
      </c>
      <c r="CF5" s="1">
        <v>0.0</v>
      </c>
      <c r="CG5" s="1">
        <v>2.296</v>
      </c>
      <c r="CH5" s="1">
        <v>0.456</v>
      </c>
      <c r="CI5" s="1">
        <v>6.09</v>
      </c>
      <c r="CJ5" s="1">
        <v>0.3877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1.0</v>
      </c>
      <c r="CZ5" s="1">
        <v>0.0</v>
      </c>
      <c r="DA5" s="1">
        <v>0.0</v>
      </c>
      <c r="DB5" s="1">
        <v>1.0</v>
      </c>
      <c r="DC5" s="1">
        <v>1.0</v>
      </c>
      <c r="DD5" s="1" t="s">
        <v>128</v>
      </c>
      <c r="DE5" s="1">
        <v>0.0742410666568882</v>
      </c>
      <c r="DF5" s="2" t="s">
        <v>129</v>
      </c>
    </row>
    <row r="6">
      <c r="A6" s="1" t="s">
        <v>130</v>
      </c>
      <c r="B6" s="1">
        <v>29.0</v>
      </c>
      <c r="C6" s="2" t="s">
        <v>111</v>
      </c>
      <c r="D6" s="1">
        <v>950500.0</v>
      </c>
      <c r="E6" s="1">
        <v>26.623</v>
      </c>
      <c r="F6" s="1">
        <v>29001.0</v>
      </c>
      <c r="G6" s="1">
        <v>2.90019505E10</v>
      </c>
      <c r="H6" s="1" t="s">
        <v>112</v>
      </c>
      <c r="I6" s="1" t="s">
        <v>113</v>
      </c>
      <c r="J6" s="1" t="s">
        <v>114</v>
      </c>
      <c r="K6" s="1" t="s">
        <v>131</v>
      </c>
      <c r="L6" s="1">
        <v>7079.0</v>
      </c>
      <c r="M6" s="1">
        <v>6522.0</v>
      </c>
      <c r="N6" s="1">
        <v>510.0</v>
      </c>
      <c r="O6" s="1">
        <v>3310.0</v>
      </c>
      <c r="P6" s="1">
        <v>3275.0</v>
      </c>
      <c r="Q6" s="1">
        <v>169.0</v>
      </c>
      <c r="R6" s="1">
        <v>2992.0</v>
      </c>
      <c r="S6" s="1">
        <v>1638.0</v>
      </c>
      <c r="T6" s="1">
        <v>367.0</v>
      </c>
      <c r="U6" s="1">
        <v>207.0</v>
      </c>
      <c r="V6" s="1">
        <v>394.0</v>
      </c>
      <c r="W6" s="1">
        <v>20377.0</v>
      </c>
      <c r="X6" s="1">
        <v>2460.0</v>
      </c>
      <c r="Y6" s="1">
        <v>612.0</v>
      </c>
      <c r="Z6" s="1">
        <v>228.0</v>
      </c>
      <c r="AA6" s="1">
        <v>998.0</v>
      </c>
      <c r="AB6" s="1">
        <v>1359.0</v>
      </c>
      <c r="AC6" s="1">
        <v>228.0</v>
      </c>
      <c r="AD6" s="1">
        <v>590.0</v>
      </c>
      <c r="AE6" s="1">
        <v>12.0</v>
      </c>
      <c r="AF6" s="1">
        <v>442.0</v>
      </c>
      <c r="AG6" s="1">
        <v>197.0</v>
      </c>
      <c r="AH6" s="1">
        <v>96.0</v>
      </c>
      <c r="AI6" s="1">
        <v>237.0</v>
      </c>
      <c r="AJ6" s="1">
        <v>94.0</v>
      </c>
      <c r="AK6" s="1">
        <v>74.0</v>
      </c>
      <c r="AL6" s="1">
        <v>134.0</v>
      </c>
      <c r="AM6" s="1">
        <v>257.0</v>
      </c>
      <c r="AN6" s="1">
        <v>97.0</v>
      </c>
      <c r="AO6" s="1">
        <v>379.0</v>
      </c>
      <c r="AP6" s="1">
        <v>0.265349</v>
      </c>
      <c r="AQ6" s="1">
        <v>0.055804</v>
      </c>
      <c r="AR6" s="1">
        <v>0.064687</v>
      </c>
      <c r="AS6" s="1">
        <v>0.12289</v>
      </c>
      <c r="AT6" s="1">
        <v>20377.0</v>
      </c>
      <c r="AU6" s="1">
        <v>2460.0</v>
      </c>
      <c r="AV6" s="1">
        <v>0.156441</v>
      </c>
      <c r="AW6" s="1">
        <v>0.056841</v>
      </c>
      <c r="AX6" s="1">
        <v>0.14098</v>
      </c>
      <c r="AY6" s="1">
        <v>0.191976</v>
      </c>
      <c r="AZ6" s="1">
        <v>0.0762032</v>
      </c>
      <c r="BA6" s="1">
        <v>0.083345</v>
      </c>
      <c r="BB6" s="1">
        <v>0.001937</v>
      </c>
      <c r="BC6" s="1">
        <v>0.07137</v>
      </c>
      <c r="BD6" s="1">
        <v>0.060152</v>
      </c>
      <c r="BE6" s="1">
        <v>0.029148</v>
      </c>
      <c r="BF6" s="1">
        <v>0.072366</v>
      </c>
      <c r="BG6" s="1">
        <v>0.028458</v>
      </c>
      <c r="BH6" s="1">
        <v>0.02659</v>
      </c>
      <c r="BI6" s="1">
        <v>0.048105</v>
      </c>
      <c r="BJ6" s="1">
        <v>0.092346</v>
      </c>
      <c r="BK6" s="1">
        <v>0.034109</v>
      </c>
      <c r="BL6" s="1">
        <v>0.053538</v>
      </c>
      <c r="BM6" s="1">
        <v>0.848</v>
      </c>
      <c r="BN6" s="1">
        <v>0.467</v>
      </c>
      <c r="BO6" s="1">
        <v>0.5899</v>
      </c>
      <c r="BP6" s="1">
        <v>0.594</v>
      </c>
      <c r="BQ6" s="1">
        <v>2.4989</v>
      </c>
      <c r="BR6" s="1">
        <v>0.6643</v>
      </c>
      <c r="BS6" s="1">
        <v>0.506</v>
      </c>
      <c r="BT6" s="1">
        <v>0.158</v>
      </c>
      <c r="BU6" s="1">
        <v>0.267</v>
      </c>
      <c r="BV6" s="1">
        <v>0.931</v>
      </c>
      <c r="BW6" s="1">
        <v>0.094</v>
      </c>
      <c r="BX6" s="1">
        <v>0.408</v>
      </c>
      <c r="BY6" s="1">
        <v>0.378</v>
      </c>
      <c r="BZ6" s="1">
        <v>0.786</v>
      </c>
      <c r="CA6" s="1">
        <v>0.388</v>
      </c>
      <c r="CB6" s="1">
        <v>0.685</v>
      </c>
      <c r="CC6" s="1">
        <v>0.656</v>
      </c>
      <c r="CD6" s="1">
        <v>0.776</v>
      </c>
      <c r="CE6" s="1">
        <v>0.728</v>
      </c>
      <c r="CF6" s="1">
        <v>0.901</v>
      </c>
      <c r="CG6" s="1">
        <v>3.746</v>
      </c>
      <c r="CH6" s="1">
        <v>0.982</v>
      </c>
      <c r="CI6" s="1">
        <v>7.9619</v>
      </c>
      <c r="CJ6" s="1">
        <v>0.709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1.0</v>
      </c>
      <c r="DB6" s="1">
        <v>1.0</v>
      </c>
      <c r="DC6" s="1">
        <v>1.0</v>
      </c>
      <c r="DD6" s="1" t="s">
        <v>132</v>
      </c>
      <c r="DE6" s="1">
        <v>0.00756116736444197</v>
      </c>
      <c r="DF6" s="2" t="s">
        <v>133</v>
      </c>
    </row>
    <row r="7">
      <c r="A7" s="1" t="s">
        <v>134</v>
      </c>
      <c r="B7" s="1">
        <v>29.0</v>
      </c>
      <c r="C7" s="2" t="s">
        <v>111</v>
      </c>
      <c r="D7" s="1">
        <v>950900.0</v>
      </c>
      <c r="E7" s="1">
        <v>0.482</v>
      </c>
      <c r="F7" s="1">
        <v>29001.0</v>
      </c>
      <c r="G7" s="1">
        <v>2.90019509E10</v>
      </c>
      <c r="H7" s="1" t="s">
        <v>112</v>
      </c>
      <c r="I7" s="1" t="s">
        <v>113</v>
      </c>
      <c r="J7" s="1" t="s">
        <v>114</v>
      </c>
      <c r="K7" s="1" t="s">
        <v>135</v>
      </c>
      <c r="L7" s="1">
        <v>2277.0</v>
      </c>
      <c r="M7" s="1">
        <v>2171.0</v>
      </c>
      <c r="N7" s="1">
        <v>401.0</v>
      </c>
      <c r="O7" s="1">
        <v>1116.0</v>
      </c>
      <c r="P7" s="1">
        <v>1173.0</v>
      </c>
      <c r="Q7" s="1">
        <v>101.0</v>
      </c>
      <c r="R7" s="1">
        <v>1017.0</v>
      </c>
      <c r="S7" s="1">
        <v>1108.0</v>
      </c>
      <c r="T7" s="1">
        <v>353.0</v>
      </c>
      <c r="U7" s="1">
        <v>42.0</v>
      </c>
      <c r="V7" s="1">
        <v>472.0</v>
      </c>
      <c r="W7" s="1">
        <v>12088.0</v>
      </c>
      <c r="X7" s="1">
        <v>2249.0</v>
      </c>
      <c r="Y7" s="1">
        <v>86.0</v>
      </c>
      <c r="Z7" s="1">
        <v>345.0</v>
      </c>
      <c r="AA7" s="1">
        <v>208.0</v>
      </c>
      <c r="AB7" s="1">
        <v>373.0</v>
      </c>
      <c r="AC7" s="1">
        <v>75.0</v>
      </c>
      <c r="AD7" s="1">
        <v>221.0</v>
      </c>
      <c r="AE7" s="1">
        <v>0.0</v>
      </c>
      <c r="AF7" s="1">
        <v>456.0</v>
      </c>
      <c r="AG7" s="1">
        <v>31.0</v>
      </c>
      <c r="AH7" s="1">
        <v>118.0</v>
      </c>
      <c r="AI7" s="1">
        <v>30.0</v>
      </c>
      <c r="AJ7" s="1">
        <v>47.0</v>
      </c>
      <c r="AK7" s="1">
        <v>6.0</v>
      </c>
      <c r="AL7" s="1">
        <v>114.0</v>
      </c>
      <c r="AM7" s="1">
        <v>105.0</v>
      </c>
      <c r="AN7" s="1">
        <v>41.0</v>
      </c>
      <c r="AO7" s="1">
        <v>0.0</v>
      </c>
      <c r="AP7" s="1">
        <v>0.510363</v>
      </c>
      <c r="AQ7" s="1">
        <v>0.132482</v>
      </c>
      <c r="AR7" s="1">
        <v>0.033386</v>
      </c>
      <c r="AS7" s="1">
        <v>0.375038</v>
      </c>
      <c r="AT7" s="1">
        <v>12088.0</v>
      </c>
      <c r="AU7" s="1">
        <v>2249.0</v>
      </c>
      <c r="AV7" s="1">
        <v>0.101775</v>
      </c>
      <c r="AW7" s="1">
        <v>0.407992</v>
      </c>
      <c r="AX7" s="1">
        <v>0.091348</v>
      </c>
      <c r="AY7" s="1">
        <v>0.163812</v>
      </c>
      <c r="AZ7" s="1">
        <v>0.07374631</v>
      </c>
      <c r="BA7" s="1">
        <v>0.097057</v>
      </c>
      <c r="BB7" s="1">
        <v>0.0</v>
      </c>
      <c r="BC7" s="1">
        <v>0.222439</v>
      </c>
      <c r="BD7" s="1">
        <v>0.026427</v>
      </c>
      <c r="BE7" s="1">
        <v>0.100571</v>
      </c>
      <c r="BF7" s="1">
        <v>0.025575</v>
      </c>
      <c r="BG7" s="1">
        <v>0.040007</v>
      </c>
      <c r="BH7" s="1">
        <v>0.006507</v>
      </c>
      <c r="BI7" s="1">
        <v>0.12364</v>
      </c>
      <c r="BJ7" s="1">
        <v>0.113882</v>
      </c>
      <c r="BK7" s="1">
        <v>0.041322</v>
      </c>
      <c r="BL7" s="1">
        <v>0.0</v>
      </c>
      <c r="BM7" s="1">
        <v>0.991</v>
      </c>
      <c r="BN7" s="1">
        <v>0.114</v>
      </c>
      <c r="BO7" s="1">
        <v>0.9588</v>
      </c>
      <c r="BP7" s="1">
        <v>0.346</v>
      </c>
      <c r="BQ7" s="1">
        <v>2.4098</v>
      </c>
      <c r="BR7" s="1">
        <v>0.6361</v>
      </c>
      <c r="BS7" s="1">
        <v>0.166</v>
      </c>
      <c r="BT7" s="1">
        <v>0.09</v>
      </c>
      <c r="BU7" s="1">
        <v>0.248</v>
      </c>
      <c r="BV7" s="1">
        <v>0.504</v>
      </c>
      <c r="BW7" s="1">
        <v>0.035</v>
      </c>
      <c r="BX7" s="1">
        <v>0.459</v>
      </c>
      <c r="BY7" s="1">
        <v>0.0</v>
      </c>
      <c r="BZ7" s="1">
        <v>0.459</v>
      </c>
      <c r="CA7" s="1">
        <v>0.189</v>
      </c>
      <c r="CB7" s="1">
        <v>0.523</v>
      </c>
      <c r="CC7" s="1">
        <v>0.534</v>
      </c>
      <c r="CD7" s="1">
        <v>0.374</v>
      </c>
      <c r="CE7" s="1">
        <v>0.794</v>
      </c>
      <c r="CF7" s="1">
        <v>0.0</v>
      </c>
      <c r="CG7" s="1">
        <v>2.225</v>
      </c>
      <c r="CH7" s="1">
        <v>0.428</v>
      </c>
      <c r="CI7" s="1">
        <v>5.5978</v>
      </c>
      <c r="CJ7" s="1">
        <v>0.3025</v>
      </c>
      <c r="CK7" s="1">
        <v>1.0</v>
      </c>
      <c r="CL7" s="1">
        <v>0.0</v>
      </c>
      <c r="CM7" s="1">
        <v>1.0</v>
      </c>
      <c r="CN7" s="1">
        <v>0.0</v>
      </c>
      <c r="CO7" s="1">
        <v>2.0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2.0</v>
      </c>
      <c r="DD7" s="1" t="s">
        <v>136</v>
      </c>
      <c r="DE7" s="1">
        <v>1.29966614397044E-4</v>
      </c>
      <c r="DF7" s="1">
        <v>0.0624379476756188</v>
      </c>
    </row>
    <row r="8">
      <c r="A8" s="1" t="s">
        <v>137</v>
      </c>
      <c r="B8" s="1">
        <v>29.0</v>
      </c>
      <c r="C8" s="2" t="s">
        <v>111</v>
      </c>
      <c r="D8" s="1">
        <v>951000.0</v>
      </c>
      <c r="E8" s="1">
        <v>0.26</v>
      </c>
      <c r="F8" s="1">
        <v>29001.0</v>
      </c>
      <c r="G8" s="1">
        <v>2.9001951E10</v>
      </c>
      <c r="H8" s="1" t="s">
        <v>112</v>
      </c>
      <c r="I8" s="1" t="s">
        <v>113</v>
      </c>
      <c r="J8" s="1" t="s">
        <v>114</v>
      </c>
      <c r="K8" s="1" t="s">
        <v>138</v>
      </c>
      <c r="L8" s="1">
        <v>2587.0</v>
      </c>
      <c r="M8" s="1">
        <v>2666.0</v>
      </c>
      <c r="N8" s="1">
        <v>602.0</v>
      </c>
      <c r="O8" s="1">
        <v>75.0</v>
      </c>
      <c r="P8" s="1">
        <v>57.0</v>
      </c>
      <c r="Q8" s="1">
        <v>36.0</v>
      </c>
      <c r="R8" s="1">
        <v>74.0</v>
      </c>
      <c r="S8" s="1">
        <v>159.0</v>
      </c>
      <c r="T8" s="1">
        <v>120.0</v>
      </c>
      <c r="U8" s="1">
        <v>12.0</v>
      </c>
      <c r="V8" s="1">
        <v>497.0</v>
      </c>
      <c r="W8" s="1">
        <v>2659.0</v>
      </c>
      <c r="X8" s="1">
        <v>328.0</v>
      </c>
      <c r="Y8" s="1">
        <v>0.0</v>
      </c>
      <c r="Z8" s="1">
        <v>456.0</v>
      </c>
      <c r="AA8" s="1">
        <v>9.0</v>
      </c>
      <c r="AB8" s="1">
        <v>13.0</v>
      </c>
      <c r="AC8" s="1">
        <v>3.0</v>
      </c>
      <c r="AD8" s="1">
        <v>369.0</v>
      </c>
      <c r="AE8" s="1">
        <v>0.0</v>
      </c>
      <c r="AF8" s="1">
        <v>456.0</v>
      </c>
      <c r="AG8" s="1">
        <v>36.0</v>
      </c>
      <c r="AH8" s="1">
        <v>118.0</v>
      </c>
      <c r="AI8" s="1">
        <v>0.0</v>
      </c>
      <c r="AJ8" s="1">
        <v>114.0</v>
      </c>
      <c r="AK8" s="1">
        <v>0.0</v>
      </c>
      <c r="AL8" s="1">
        <v>161.0</v>
      </c>
      <c r="AM8" s="1">
        <v>22.0</v>
      </c>
      <c r="AN8" s="1">
        <v>117.0</v>
      </c>
      <c r="AO8" s="1">
        <v>2428.0</v>
      </c>
      <c r="AP8" s="1">
        <v>1.0</v>
      </c>
      <c r="AQ8" s="1">
        <v>0.754716</v>
      </c>
      <c r="AR8" s="1">
        <v>0.021739</v>
      </c>
      <c r="AS8" s="1">
        <v>0.900183</v>
      </c>
      <c r="AT8" s="1">
        <v>2659.0</v>
      </c>
      <c r="AU8" s="1">
        <v>328.0</v>
      </c>
      <c r="AV8" s="1">
        <v>0.0</v>
      </c>
      <c r="AW8" s="1">
        <v>41.454544</v>
      </c>
      <c r="AX8" s="1">
        <v>0.003478</v>
      </c>
      <c r="AY8" s="1">
        <v>0.005025</v>
      </c>
      <c r="AZ8" s="1">
        <v>0.04054054</v>
      </c>
      <c r="BA8" s="1">
        <v>0.142636</v>
      </c>
      <c r="BB8" s="1">
        <v>0.0</v>
      </c>
      <c r="BC8" s="1">
        <v>0.171042</v>
      </c>
      <c r="BD8" s="1">
        <v>0.631578</v>
      </c>
      <c r="BE8" s="1">
        <v>2.031381</v>
      </c>
      <c r="BF8" s="1">
        <v>0.0</v>
      </c>
      <c r="BG8" s="1">
        <v>2.0</v>
      </c>
      <c r="BH8" s="1">
        <v>0.0</v>
      </c>
      <c r="BI8" s="1">
        <v>2.824561</v>
      </c>
      <c r="BJ8" s="1">
        <v>0.385964</v>
      </c>
      <c r="BK8" s="1">
        <v>2.038105</v>
      </c>
      <c r="BL8" s="1">
        <v>0.938538</v>
      </c>
      <c r="BM8" s="1">
        <v>1.0</v>
      </c>
      <c r="BN8" s="1">
        <v>0.038</v>
      </c>
      <c r="BO8" s="1">
        <v>1.0</v>
      </c>
      <c r="BP8" s="1">
        <v>0.0</v>
      </c>
      <c r="BQ8" s="1">
        <v>2.038</v>
      </c>
      <c r="BR8" s="1">
        <v>0.5112</v>
      </c>
      <c r="BS8" s="1">
        <v>0.003</v>
      </c>
      <c r="BT8" s="1">
        <v>0.0</v>
      </c>
      <c r="BU8" s="1">
        <v>0.041</v>
      </c>
      <c r="BV8" s="1">
        <v>0.044</v>
      </c>
      <c r="BW8" s="1">
        <v>0.004</v>
      </c>
      <c r="BX8" s="1">
        <v>0.6</v>
      </c>
      <c r="BY8" s="1">
        <v>0.0</v>
      </c>
      <c r="BZ8" s="1">
        <v>0.6</v>
      </c>
      <c r="CA8" s="1">
        <v>0.269</v>
      </c>
      <c r="CB8" s="1">
        <v>0.987</v>
      </c>
      <c r="CC8" s="1">
        <v>0.0</v>
      </c>
      <c r="CD8" s="1">
        <v>0.0</v>
      </c>
      <c r="CE8" s="1">
        <v>0.982</v>
      </c>
      <c r="CF8" s="1">
        <v>1.0</v>
      </c>
      <c r="CG8" s="1">
        <v>2.969</v>
      </c>
      <c r="CH8" s="1">
        <v>0.761</v>
      </c>
      <c r="CI8" s="1">
        <v>5.651</v>
      </c>
      <c r="CJ8" s="1">
        <v>0.3105</v>
      </c>
      <c r="CK8" s="1">
        <v>1.0</v>
      </c>
      <c r="CL8" s="1">
        <v>0.0</v>
      </c>
      <c r="CM8" s="1">
        <v>1.0</v>
      </c>
      <c r="CN8" s="1">
        <v>0.0</v>
      </c>
      <c r="CO8" s="1">
        <v>2.0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1.0</v>
      </c>
      <c r="CX8" s="1">
        <v>0.0</v>
      </c>
      <c r="CY8" s="1">
        <v>0.0</v>
      </c>
      <c r="CZ8" s="1">
        <v>1.0</v>
      </c>
      <c r="DA8" s="1">
        <v>1.0</v>
      </c>
      <c r="DB8" s="1">
        <v>3.0</v>
      </c>
      <c r="DC8" s="1">
        <v>5.0</v>
      </c>
      <c r="DD8" s="1" t="s">
        <v>139</v>
      </c>
      <c r="DE8" s="2" t="s">
        <v>140</v>
      </c>
      <c r="DF8" s="1">
        <v>0.0386365597977074</v>
      </c>
    </row>
    <row r="9">
      <c r="A9" s="1" t="s">
        <v>141</v>
      </c>
      <c r="B9" s="1">
        <v>29.0</v>
      </c>
      <c r="C9" s="2" t="s">
        <v>142</v>
      </c>
      <c r="D9" s="2" t="s">
        <v>143</v>
      </c>
      <c r="E9" s="1">
        <v>66.01</v>
      </c>
      <c r="F9" s="1">
        <v>29003.0</v>
      </c>
      <c r="G9" s="1">
        <v>2.90030101E10</v>
      </c>
      <c r="H9" s="1" t="s">
        <v>112</v>
      </c>
      <c r="I9" s="1" t="s">
        <v>113</v>
      </c>
      <c r="J9" s="1" t="s">
        <v>144</v>
      </c>
      <c r="K9" s="1" t="s">
        <v>145</v>
      </c>
      <c r="L9" s="1">
        <v>5439.0</v>
      </c>
      <c r="M9" s="1">
        <v>5772.0</v>
      </c>
      <c r="N9" s="1">
        <v>311.0</v>
      </c>
      <c r="O9" s="1">
        <v>2197.0</v>
      </c>
      <c r="P9" s="1">
        <v>2326.0</v>
      </c>
      <c r="Q9" s="1">
        <v>103.0</v>
      </c>
      <c r="R9" s="1">
        <v>2078.0</v>
      </c>
      <c r="S9" s="1">
        <v>509.0</v>
      </c>
      <c r="T9" s="1">
        <v>269.0</v>
      </c>
      <c r="U9" s="1">
        <v>245.0</v>
      </c>
      <c r="V9" s="1">
        <v>271.0</v>
      </c>
      <c r="W9" s="1">
        <v>28158.0</v>
      </c>
      <c r="X9" s="1">
        <v>2801.0</v>
      </c>
      <c r="Y9" s="1">
        <v>299.0</v>
      </c>
      <c r="Z9" s="1">
        <v>266.0</v>
      </c>
      <c r="AA9" s="1">
        <v>771.0</v>
      </c>
      <c r="AB9" s="1">
        <v>1246.0</v>
      </c>
      <c r="AC9" s="1">
        <v>146.0</v>
      </c>
      <c r="AD9" s="1">
        <v>278.0</v>
      </c>
      <c r="AE9" s="1">
        <v>3.0</v>
      </c>
      <c r="AF9" s="1">
        <v>442.0</v>
      </c>
      <c r="AG9" s="1">
        <v>0.0</v>
      </c>
      <c r="AH9" s="1">
        <v>197.0</v>
      </c>
      <c r="AI9" s="1">
        <v>265.0</v>
      </c>
      <c r="AJ9" s="1">
        <v>106.0</v>
      </c>
      <c r="AK9" s="1">
        <v>24.0</v>
      </c>
      <c r="AL9" s="1">
        <v>117.0</v>
      </c>
      <c r="AM9" s="1">
        <v>90.0</v>
      </c>
      <c r="AN9" s="1">
        <v>55.0</v>
      </c>
      <c r="AO9" s="1">
        <v>0.0</v>
      </c>
      <c r="AP9" s="1">
        <v>0.088184</v>
      </c>
      <c r="AQ9" s="1">
        <v>0.046361</v>
      </c>
      <c r="AR9" s="1">
        <v>0.077679</v>
      </c>
      <c r="AS9" s="1">
        <v>0.085687</v>
      </c>
      <c r="AT9" s="1">
        <v>28158.0</v>
      </c>
      <c r="AU9" s="1">
        <v>2801.0</v>
      </c>
      <c r="AV9" s="1">
        <v>0.076081</v>
      </c>
      <c r="AW9" s="1">
        <v>0.067561</v>
      </c>
      <c r="AX9" s="1">
        <v>0.141754</v>
      </c>
      <c r="AY9" s="1">
        <v>0.229086</v>
      </c>
      <c r="AZ9" s="1">
        <v>0.07025986</v>
      </c>
      <c r="BA9" s="1">
        <v>0.051112</v>
      </c>
      <c r="BB9" s="1">
        <v>5.44E-4</v>
      </c>
      <c r="BC9" s="1">
        <v>0.080246</v>
      </c>
      <c r="BD9" s="1">
        <v>0.0</v>
      </c>
      <c r="BE9" s="1">
        <v>0.084694</v>
      </c>
      <c r="BF9" s="1">
        <v>0.113929</v>
      </c>
      <c r="BG9" s="1">
        <v>0.045291</v>
      </c>
      <c r="BH9" s="1">
        <v>0.01109</v>
      </c>
      <c r="BI9" s="1">
        <v>0.054062</v>
      </c>
      <c r="BJ9" s="1">
        <v>0.041589</v>
      </c>
      <c r="BK9" s="1">
        <v>0.025307</v>
      </c>
      <c r="BL9" s="1">
        <v>0.0</v>
      </c>
      <c r="BM9" s="1">
        <v>0.331</v>
      </c>
      <c r="BN9" s="1">
        <v>0.59</v>
      </c>
      <c r="BO9" s="1">
        <v>0.2462</v>
      </c>
      <c r="BP9" s="1">
        <v>0.23</v>
      </c>
      <c r="BQ9" s="1">
        <v>1.3972</v>
      </c>
      <c r="BR9" s="1">
        <v>0.3105</v>
      </c>
      <c r="BS9" s="1">
        <v>0.511</v>
      </c>
      <c r="BT9" s="1">
        <v>0.374</v>
      </c>
      <c r="BU9" s="1">
        <v>0.217</v>
      </c>
      <c r="BV9" s="1">
        <v>1.102</v>
      </c>
      <c r="BW9" s="1">
        <v>0.166</v>
      </c>
      <c r="BX9" s="1">
        <v>0.255</v>
      </c>
      <c r="BY9" s="1">
        <v>0.32</v>
      </c>
      <c r="BZ9" s="1">
        <v>0.575</v>
      </c>
      <c r="CA9" s="1">
        <v>0.257</v>
      </c>
      <c r="CB9" s="1">
        <v>0.0</v>
      </c>
      <c r="CC9" s="1">
        <v>0.747</v>
      </c>
      <c r="CD9" s="1">
        <v>0.5</v>
      </c>
      <c r="CE9" s="1">
        <v>0.408</v>
      </c>
      <c r="CF9" s="1">
        <v>0.0</v>
      </c>
      <c r="CG9" s="1">
        <v>1.655</v>
      </c>
      <c r="CH9" s="1">
        <v>0.217</v>
      </c>
      <c r="CI9" s="1">
        <v>4.7292</v>
      </c>
      <c r="CJ9" s="1">
        <v>0.1639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 t="s">
        <v>146</v>
      </c>
      <c r="DE9" s="2" t="s">
        <v>147</v>
      </c>
      <c r="DF9" s="2" t="s">
        <v>148</v>
      </c>
    </row>
    <row r="10">
      <c r="A10" s="1" t="s">
        <v>149</v>
      </c>
      <c r="B10" s="1">
        <v>29.0</v>
      </c>
      <c r="C10" s="2" t="s">
        <v>142</v>
      </c>
      <c r="D10" s="2" t="s">
        <v>150</v>
      </c>
      <c r="E10" s="1">
        <v>39.012</v>
      </c>
      <c r="F10" s="1">
        <v>29003.0</v>
      </c>
      <c r="G10" s="1">
        <v>2.90030102E10</v>
      </c>
      <c r="H10" s="1" t="s">
        <v>112</v>
      </c>
      <c r="I10" s="1" t="s">
        <v>113</v>
      </c>
      <c r="J10" s="1" t="s">
        <v>144</v>
      </c>
      <c r="K10" s="1" t="s">
        <v>151</v>
      </c>
      <c r="L10" s="1">
        <v>6738.0</v>
      </c>
      <c r="M10" s="1">
        <v>6692.0</v>
      </c>
      <c r="N10" s="1">
        <v>351.0</v>
      </c>
      <c r="O10" s="1">
        <v>2827.0</v>
      </c>
      <c r="P10" s="1">
        <v>2760.0</v>
      </c>
      <c r="Q10" s="1">
        <v>180.0</v>
      </c>
      <c r="R10" s="1">
        <v>2645.0</v>
      </c>
      <c r="S10" s="1">
        <v>535.0</v>
      </c>
      <c r="T10" s="1">
        <v>195.0</v>
      </c>
      <c r="U10" s="1">
        <v>222.0</v>
      </c>
      <c r="V10" s="1">
        <v>410.0</v>
      </c>
      <c r="W10" s="1">
        <v>21031.0</v>
      </c>
      <c r="X10" s="1">
        <v>1431.0</v>
      </c>
      <c r="Y10" s="1">
        <v>595.0</v>
      </c>
      <c r="Z10" s="1">
        <v>321.0</v>
      </c>
      <c r="AA10" s="1">
        <v>1169.0</v>
      </c>
      <c r="AB10" s="1">
        <v>1712.0</v>
      </c>
      <c r="AC10" s="1">
        <v>308.0</v>
      </c>
      <c r="AD10" s="1">
        <v>223.0</v>
      </c>
      <c r="AE10" s="1">
        <v>67.0</v>
      </c>
      <c r="AF10" s="1">
        <v>413.0</v>
      </c>
      <c r="AG10" s="1">
        <v>104.0</v>
      </c>
      <c r="AH10" s="1">
        <v>66.0</v>
      </c>
      <c r="AI10" s="1">
        <v>235.0</v>
      </c>
      <c r="AJ10" s="1">
        <v>103.0</v>
      </c>
      <c r="AK10" s="1">
        <v>33.0</v>
      </c>
      <c r="AL10" s="1">
        <v>121.0</v>
      </c>
      <c r="AM10" s="1">
        <v>60.0</v>
      </c>
      <c r="AN10" s="1">
        <v>43.0</v>
      </c>
      <c r="AO10" s="1">
        <v>131.0</v>
      </c>
      <c r="AP10" s="1">
        <v>0.083685</v>
      </c>
      <c r="AQ10" s="1">
        <v>0.029943</v>
      </c>
      <c r="AR10" s="1">
        <v>0.063193</v>
      </c>
      <c r="AS10" s="1">
        <v>0.116587</v>
      </c>
      <c r="AT10" s="1">
        <v>21031.0</v>
      </c>
      <c r="AU10" s="1">
        <v>1431.0</v>
      </c>
      <c r="AV10" s="1">
        <v>0.133978</v>
      </c>
      <c r="AW10" s="1">
        <v>0.071899</v>
      </c>
      <c r="AX10" s="1">
        <v>0.173493</v>
      </c>
      <c r="AY10" s="1">
        <v>0.254081</v>
      </c>
      <c r="AZ10" s="1">
        <v>0.11644612</v>
      </c>
      <c r="BA10" s="1">
        <v>0.033095</v>
      </c>
      <c r="BB10" s="1">
        <v>0.010857</v>
      </c>
      <c r="BC10" s="1">
        <v>0.066923</v>
      </c>
      <c r="BD10" s="1">
        <v>0.037681</v>
      </c>
      <c r="BE10" s="1">
        <v>0.023786</v>
      </c>
      <c r="BF10" s="1">
        <v>0.085144</v>
      </c>
      <c r="BG10" s="1">
        <v>0.036903</v>
      </c>
      <c r="BH10" s="1">
        <v>0.01241</v>
      </c>
      <c r="BI10" s="1">
        <v>0.045498</v>
      </c>
      <c r="BJ10" s="1">
        <v>0.022564</v>
      </c>
      <c r="BK10" s="1">
        <v>0.016104</v>
      </c>
      <c r="BL10" s="1">
        <v>0.019441</v>
      </c>
      <c r="BM10" s="1">
        <v>0.308</v>
      </c>
      <c r="BN10" s="1">
        <v>0.453</v>
      </c>
      <c r="BO10" s="1">
        <v>0.5502</v>
      </c>
      <c r="BP10" s="1">
        <v>0.492</v>
      </c>
      <c r="BQ10" s="1">
        <v>1.8032</v>
      </c>
      <c r="BR10" s="1">
        <v>0.4325</v>
      </c>
      <c r="BS10" s="1">
        <v>0.756</v>
      </c>
      <c r="BT10" s="1">
        <v>0.648</v>
      </c>
      <c r="BU10" s="1">
        <v>0.645</v>
      </c>
      <c r="BV10" s="1">
        <v>2.049</v>
      </c>
      <c r="BW10" s="1">
        <v>0.893</v>
      </c>
      <c r="BX10" s="1">
        <v>0.103</v>
      </c>
      <c r="BY10" s="1">
        <v>0.742</v>
      </c>
      <c r="BZ10" s="1">
        <v>0.845</v>
      </c>
      <c r="CA10" s="1">
        <v>0.427</v>
      </c>
      <c r="CB10" s="1">
        <v>0.598</v>
      </c>
      <c r="CC10" s="1">
        <v>0.687</v>
      </c>
      <c r="CD10" s="1">
        <v>0.536</v>
      </c>
      <c r="CE10" s="1">
        <v>0.21</v>
      </c>
      <c r="CF10" s="1">
        <v>0.702</v>
      </c>
      <c r="CG10" s="1">
        <v>2.733</v>
      </c>
      <c r="CH10" s="1">
        <v>0.659</v>
      </c>
      <c r="CI10" s="1">
        <v>7.4302</v>
      </c>
      <c r="CJ10" s="1">
        <v>0.6303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0.0</v>
      </c>
      <c r="DA10" s="1">
        <v>0.0</v>
      </c>
      <c r="DB10" s="1">
        <v>0.0</v>
      </c>
      <c r="DC10" s="1">
        <v>0.0</v>
      </c>
      <c r="DD10" s="1" t="s">
        <v>152</v>
      </c>
      <c r="DE10" s="2" t="s">
        <v>153</v>
      </c>
      <c r="DF10" s="2" t="s">
        <v>154</v>
      </c>
    </row>
    <row r="11">
      <c r="A11" s="1" t="s">
        <v>155</v>
      </c>
      <c r="B11" s="1">
        <v>29.0</v>
      </c>
      <c r="C11" s="2" t="s">
        <v>142</v>
      </c>
      <c r="D11" s="2" t="s">
        <v>156</v>
      </c>
      <c r="E11" s="1">
        <v>123.71</v>
      </c>
      <c r="F11" s="1">
        <v>29003.0</v>
      </c>
      <c r="G11" s="1">
        <v>2.90030103E10</v>
      </c>
      <c r="H11" s="1" t="s">
        <v>112</v>
      </c>
      <c r="I11" s="1" t="s">
        <v>113</v>
      </c>
      <c r="J11" s="1" t="s">
        <v>144</v>
      </c>
      <c r="K11" s="1" t="s">
        <v>157</v>
      </c>
      <c r="L11" s="1">
        <v>2063.0</v>
      </c>
      <c r="M11" s="1">
        <v>1879.0</v>
      </c>
      <c r="N11" s="1">
        <v>240.0</v>
      </c>
      <c r="O11" s="1">
        <v>940.0</v>
      </c>
      <c r="P11" s="1">
        <v>870.0</v>
      </c>
      <c r="Q11" s="1">
        <v>73.0</v>
      </c>
      <c r="R11" s="1">
        <v>793.0</v>
      </c>
      <c r="S11" s="1">
        <v>199.0</v>
      </c>
      <c r="T11" s="1">
        <v>82.0</v>
      </c>
      <c r="U11" s="1">
        <v>74.0</v>
      </c>
      <c r="V11" s="1">
        <v>429.0</v>
      </c>
      <c r="W11" s="1">
        <v>19877.0</v>
      </c>
      <c r="X11" s="1">
        <v>2791.0</v>
      </c>
      <c r="Y11" s="1">
        <v>138.0</v>
      </c>
      <c r="Z11" s="1">
        <v>233.0</v>
      </c>
      <c r="AA11" s="1">
        <v>249.0</v>
      </c>
      <c r="AB11" s="1">
        <v>527.0</v>
      </c>
      <c r="AC11" s="1">
        <v>53.0</v>
      </c>
      <c r="AD11" s="1">
        <v>63.0</v>
      </c>
      <c r="AE11" s="1">
        <v>0.0</v>
      </c>
      <c r="AF11" s="1">
        <v>456.0</v>
      </c>
      <c r="AG11" s="1">
        <v>0.0</v>
      </c>
      <c r="AH11" s="1">
        <v>197.0</v>
      </c>
      <c r="AI11" s="1">
        <v>221.0</v>
      </c>
      <c r="AJ11" s="1">
        <v>81.0</v>
      </c>
      <c r="AK11" s="1">
        <v>31.0</v>
      </c>
      <c r="AL11" s="1">
        <v>119.0</v>
      </c>
      <c r="AM11" s="1">
        <v>26.0</v>
      </c>
      <c r="AN11" s="1">
        <v>116.0</v>
      </c>
      <c r="AO11" s="1">
        <v>0.0</v>
      </c>
      <c r="AP11" s="1">
        <v>0.105907</v>
      </c>
      <c r="AQ11" s="1">
        <v>0.04149</v>
      </c>
      <c r="AR11" s="1">
        <v>0.082681</v>
      </c>
      <c r="AS11" s="1">
        <v>0.479203</v>
      </c>
      <c r="AT11" s="1">
        <v>19877.0</v>
      </c>
      <c r="AU11" s="1">
        <v>2791.0</v>
      </c>
      <c r="AV11" s="1">
        <v>0.107644</v>
      </c>
      <c r="AW11" s="1">
        <v>0.181429</v>
      </c>
      <c r="AX11" s="1">
        <v>0.120698</v>
      </c>
      <c r="AY11" s="1">
        <v>0.255453</v>
      </c>
      <c r="AZ11" s="1">
        <v>0.0668348</v>
      </c>
      <c r="BA11" s="1">
        <v>0.030538</v>
      </c>
      <c r="BB11" s="1">
        <v>0.0</v>
      </c>
      <c r="BC11" s="1">
        <v>0.258064</v>
      </c>
      <c r="BD11" s="1">
        <v>0.0</v>
      </c>
      <c r="BE11" s="1">
        <v>0.226436</v>
      </c>
      <c r="BF11" s="1">
        <v>0.254022</v>
      </c>
      <c r="BG11" s="1">
        <v>0.09063</v>
      </c>
      <c r="BH11" s="1">
        <v>0.043971</v>
      </c>
      <c r="BI11" s="1">
        <v>0.168734</v>
      </c>
      <c r="BJ11" s="1">
        <v>0.036879</v>
      </c>
      <c r="BK11" s="1">
        <v>0.164495</v>
      </c>
      <c r="BL11" s="1">
        <v>0.0</v>
      </c>
      <c r="BM11" s="1">
        <v>0.398</v>
      </c>
      <c r="BN11" s="1">
        <v>0.637</v>
      </c>
      <c r="BO11" s="1">
        <v>0.6217</v>
      </c>
      <c r="BP11" s="1">
        <v>0.37</v>
      </c>
      <c r="BQ11" s="1">
        <v>2.0267</v>
      </c>
      <c r="BR11" s="1">
        <v>0.5076</v>
      </c>
      <c r="BS11" s="1">
        <v>0.35</v>
      </c>
      <c r="BT11" s="1">
        <v>0.656</v>
      </c>
      <c r="BU11" s="1">
        <v>0.188</v>
      </c>
      <c r="BV11" s="1">
        <v>1.194</v>
      </c>
      <c r="BW11" s="1">
        <v>0.225</v>
      </c>
      <c r="BX11" s="1">
        <v>0.082</v>
      </c>
      <c r="BY11" s="1">
        <v>0.0</v>
      </c>
      <c r="BZ11" s="1">
        <v>0.082</v>
      </c>
      <c r="CA11" s="1">
        <v>0.039</v>
      </c>
      <c r="CB11" s="1">
        <v>0.0</v>
      </c>
      <c r="CC11" s="1">
        <v>0.953</v>
      </c>
      <c r="CD11" s="1">
        <v>0.91</v>
      </c>
      <c r="CE11" s="1">
        <v>0.358</v>
      </c>
      <c r="CF11" s="1">
        <v>0.0</v>
      </c>
      <c r="CG11" s="1">
        <v>2.221</v>
      </c>
      <c r="CH11" s="1">
        <v>0.425</v>
      </c>
      <c r="CI11" s="1">
        <v>5.5237</v>
      </c>
      <c r="CJ11" s="1">
        <v>0.2866</v>
      </c>
      <c r="CK11" s="1">
        <v>0.0</v>
      </c>
      <c r="CL11" s="1">
        <v>0.0</v>
      </c>
      <c r="CM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  <c r="CX11" s="1">
        <v>1.0</v>
      </c>
      <c r="CY11" s="1">
        <v>1.0</v>
      </c>
      <c r="CZ11" s="1">
        <v>0.0</v>
      </c>
      <c r="DA11" s="1">
        <v>0.0</v>
      </c>
      <c r="DB11" s="1">
        <v>2.0</v>
      </c>
      <c r="DC11" s="1">
        <v>2.0</v>
      </c>
      <c r="DD11" s="1" t="s">
        <v>158</v>
      </c>
      <c r="DE11" s="1">
        <v>0.0340050821922962</v>
      </c>
      <c r="DF11" s="2" t="s">
        <v>159</v>
      </c>
    </row>
    <row r="12">
      <c r="A12" s="1" t="s">
        <v>160</v>
      </c>
      <c r="B12" s="1">
        <v>29.0</v>
      </c>
      <c r="C12" s="2" t="s">
        <v>142</v>
      </c>
      <c r="D12" s="2" t="s">
        <v>161</v>
      </c>
      <c r="E12" s="1">
        <v>203.971</v>
      </c>
      <c r="F12" s="1">
        <v>29003.0</v>
      </c>
      <c r="G12" s="1">
        <v>2.90030104E10</v>
      </c>
      <c r="H12" s="1" t="s">
        <v>112</v>
      </c>
      <c r="I12" s="1" t="s">
        <v>113</v>
      </c>
      <c r="J12" s="1" t="s">
        <v>144</v>
      </c>
      <c r="K12" s="1" t="s">
        <v>162</v>
      </c>
      <c r="L12" s="1">
        <v>3051.0</v>
      </c>
      <c r="M12" s="1">
        <v>2663.0</v>
      </c>
      <c r="N12" s="1">
        <v>200.0</v>
      </c>
      <c r="O12" s="1">
        <v>1342.0</v>
      </c>
      <c r="P12" s="1">
        <v>1290.0</v>
      </c>
      <c r="Q12" s="1">
        <v>78.0</v>
      </c>
      <c r="R12" s="1">
        <v>1184.0</v>
      </c>
      <c r="S12" s="1">
        <v>180.0</v>
      </c>
      <c r="T12" s="1">
        <v>72.0</v>
      </c>
      <c r="U12" s="1">
        <v>65.0</v>
      </c>
      <c r="V12" s="1">
        <v>343.0</v>
      </c>
      <c r="W12" s="1">
        <v>25416.0</v>
      </c>
      <c r="X12" s="1">
        <v>2272.0</v>
      </c>
      <c r="Y12" s="1">
        <v>165.0</v>
      </c>
      <c r="Z12" s="1">
        <v>284.0</v>
      </c>
      <c r="AA12" s="1">
        <v>492.0</v>
      </c>
      <c r="AB12" s="1">
        <v>679.0</v>
      </c>
      <c r="AC12" s="1">
        <v>69.0</v>
      </c>
      <c r="AD12" s="1">
        <v>86.0</v>
      </c>
      <c r="AE12" s="1">
        <v>6.0</v>
      </c>
      <c r="AF12" s="1">
        <v>442.0</v>
      </c>
      <c r="AG12" s="1">
        <v>18.0</v>
      </c>
      <c r="AH12" s="1">
        <v>163.0</v>
      </c>
      <c r="AI12" s="1">
        <v>164.0</v>
      </c>
      <c r="AJ12" s="1">
        <v>44.0</v>
      </c>
      <c r="AK12" s="1">
        <v>5.0</v>
      </c>
      <c r="AL12" s="1">
        <v>114.0</v>
      </c>
      <c r="AM12" s="1">
        <v>54.0</v>
      </c>
      <c r="AN12" s="1">
        <v>33.0</v>
      </c>
      <c r="AO12" s="1">
        <v>61.0</v>
      </c>
      <c r="AP12" s="1">
        <v>0.067873</v>
      </c>
      <c r="AQ12" s="1">
        <v>0.026677</v>
      </c>
      <c r="AR12" s="1">
        <v>0.04741</v>
      </c>
      <c r="AS12" s="1">
        <v>0.250139</v>
      </c>
      <c r="AT12" s="1">
        <v>25416.0</v>
      </c>
      <c r="AU12" s="1">
        <v>2272.0</v>
      </c>
      <c r="AV12" s="1">
        <v>0.086796</v>
      </c>
      <c r="AW12" s="1">
        <v>0.149244</v>
      </c>
      <c r="AX12" s="1">
        <v>0.161258</v>
      </c>
      <c r="AY12" s="1">
        <v>0.222549</v>
      </c>
      <c r="AZ12" s="1">
        <v>0.05827702</v>
      </c>
      <c r="BA12" s="1">
        <v>0.028187</v>
      </c>
      <c r="BB12" s="1">
        <v>0.002328</v>
      </c>
      <c r="BC12" s="1">
        <v>0.171517</v>
      </c>
      <c r="BD12" s="1">
        <v>0.013953</v>
      </c>
      <c r="BE12" s="1">
        <v>0.126353</v>
      </c>
      <c r="BF12" s="1">
        <v>0.127131</v>
      </c>
      <c r="BG12" s="1">
        <v>0.033231</v>
      </c>
      <c r="BH12" s="1">
        <v>0.004524</v>
      </c>
      <c r="BI12" s="1">
        <v>0.103166</v>
      </c>
      <c r="BJ12" s="1">
        <v>0.048868</v>
      </c>
      <c r="BK12" s="1">
        <v>0.029567</v>
      </c>
      <c r="BL12" s="1">
        <v>0.019993</v>
      </c>
      <c r="BM12" s="1">
        <v>0.238</v>
      </c>
      <c r="BN12" s="1">
        <v>0.269</v>
      </c>
      <c r="BO12" s="1">
        <v>0.33</v>
      </c>
      <c r="BP12" s="1">
        <v>0.28</v>
      </c>
      <c r="BQ12" s="1">
        <v>1.117</v>
      </c>
      <c r="BR12" s="1">
        <v>0.231</v>
      </c>
      <c r="BS12" s="1">
        <v>0.677</v>
      </c>
      <c r="BT12" s="1">
        <v>0.322</v>
      </c>
      <c r="BU12" s="1">
        <v>0.122</v>
      </c>
      <c r="BV12" s="1">
        <v>1.121</v>
      </c>
      <c r="BW12" s="1">
        <v>0.182</v>
      </c>
      <c r="BX12" s="1">
        <v>0.068</v>
      </c>
      <c r="BY12" s="1">
        <v>0.4</v>
      </c>
      <c r="BZ12" s="1">
        <v>0.468</v>
      </c>
      <c r="CA12" s="1">
        <v>0.193</v>
      </c>
      <c r="CB12" s="1">
        <v>0.42</v>
      </c>
      <c r="CC12" s="1">
        <v>0.771</v>
      </c>
      <c r="CD12" s="1">
        <v>0.323</v>
      </c>
      <c r="CE12" s="1">
        <v>0.479</v>
      </c>
      <c r="CF12" s="1">
        <v>0.712</v>
      </c>
      <c r="CG12" s="1">
        <v>2.705</v>
      </c>
      <c r="CH12" s="1">
        <v>0.643</v>
      </c>
      <c r="CI12" s="1">
        <v>5.411</v>
      </c>
      <c r="CJ12" s="1">
        <v>0.2664</v>
      </c>
      <c r="CK12" s="1">
        <v>0.0</v>
      </c>
      <c r="CL12" s="1">
        <v>0.0</v>
      </c>
      <c r="CM12" s="1">
        <v>0.0</v>
      </c>
      <c r="CN12" s="1">
        <v>0.0</v>
      </c>
      <c r="CO12" s="1">
        <v>0.0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0.0</v>
      </c>
      <c r="CX12" s="1">
        <v>0.0</v>
      </c>
      <c r="CY12" s="1">
        <v>0.0</v>
      </c>
      <c r="CZ12" s="1">
        <v>0.0</v>
      </c>
      <c r="DA12" s="1">
        <v>0.0</v>
      </c>
      <c r="DB12" s="1">
        <v>0.0</v>
      </c>
      <c r="DC12" s="1">
        <v>0.0</v>
      </c>
      <c r="DD12" s="1" t="s">
        <v>163</v>
      </c>
      <c r="DE12" s="2" t="s">
        <v>164</v>
      </c>
      <c r="DF12" s="2" t="s">
        <v>165</v>
      </c>
    </row>
    <row r="13">
      <c r="A13" s="1" t="s">
        <v>166</v>
      </c>
      <c r="B13" s="1">
        <v>29.0</v>
      </c>
      <c r="C13" s="2" t="s">
        <v>167</v>
      </c>
      <c r="D13" s="1">
        <v>950100.0</v>
      </c>
      <c r="E13" s="1">
        <v>289.679</v>
      </c>
      <c r="F13" s="1">
        <v>29005.0</v>
      </c>
      <c r="G13" s="1">
        <v>2.90059501E10</v>
      </c>
      <c r="H13" s="1" t="s">
        <v>112</v>
      </c>
      <c r="I13" s="1" t="s">
        <v>113</v>
      </c>
      <c r="J13" s="1" t="s">
        <v>168</v>
      </c>
      <c r="K13" s="1" t="s">
        <v>169</v>
      </c>
      <c r="L13" s="1">
        <v>3215.0</v>
      </c>
      <c r="M13" s="1">
        <v>3290.0</v>
      </c>
      <c r="N13" s="1">
        <v>174.0</v>
      </c>
      <c r="O13" s="1">
        <v>1715.0</v>
      </c>
      <c r="P13" s="1">
        <v>1727.0</v>
      </c>
      <c r="Q13" s="1">
        <v>83.0</v>
      </c>
      <c r="R13" s="1">
        <v>1421.0</v>
      </c>
      <c r="S13" s="1">
        <v>450.0</v>
      </c>
      <c r="T13" s="1">
        <v>135.0</v>
      </c>
      <c r="U13" s="1">
        <v>93.0</v>
      </c>
      <c r="V13" s="1">
        <v>305.0</v>
      </c>
      <c r="W13" s="1">
        <v>22661.0</v>
      </c>
      <c r="X13" s="1">
        <v>2902.0</v>
      </c>
      <c r="Y13" s="1">
        <v>299.0</v>
      </c>
      <c r="Z13" s="1">
        <v>239.0</v>
      </c>
      <c r="AA13" s="1">
        <v>684.0</v>
      </c>
      <c r="AB13" s="1">
        <v>653.0</v>
      </c>
      <c r="AC13" s="1">
        <v>98.0</v>
      </c>
      <c r="AD13" s="1">
        <v>76.0</v>
      </c>
      <c r="AE13" s="1">
        <v>11.0</v>
      </c>
      <c r="AF13" s="1">
        <v>427.0</v>
      </c>
      <c r="AG13" s="1">
        <v>55.0</v>
      </c>
      <c r="AH13" s="1">
        <v>47.0</v>
      </c>
      <c r="AI13" s="1">
        <v>45.0</v>
      </c>
      <c r="AJ13" s="1">
        <v>20.0</v>
      </c>
      <c r="AK13" s="1">
        <v>6.0</v>
      </c>
      <c r="AL13" s="1">
        <v>114.0</v>
      </c>
      <c r="AM13" s="1">
        <v>83.0</v>
      </c>
      <c r="AN13" s="1">
        <v>32.0</v>
      </c>
      <c r="AO13" s="1">
        <v>43.0</v>
      </c>
      <c r="AP13" s="1">
        <v>0.141198</v>
      </c>
      <c r="AQ13" s="1">
        <v>0.041431</v>
      </c>
      <c r="AR13" s="1">
        <v>0.0595</v>
      </c>
      <c r="AS13" s="1">
        <v>0.195084</v>
      </c>
      <c r="AT13" s="1">
        <v>22661.0</v>
      </c>
      <c r="AU13" s="1">
        <v>2902.0</v>
      </c>
      <c r="AV13" s="1">
        <v>0.127887</v>
      </c>
      <c r="AW13" s="1">
        <v>0.101867</v>
      </c>
      <c r="AX13" s="1">
        <v>0.212752</v>
      </c>
      <c r="AY13" s="1">
        <v>0.20311</v>
      </c>
      <c r="AZ13" s="1">
        <v>0.06896551</v>
      </c>
      <c r="BA13" s="1">
        <v>0.023639</v>
      </c>
      <c r="BB13" s="1">
        <v>0.003532</v>
      </c>
      <c r="BC13" s="1">
        <v>0.137122</v>
      </c>
      <c r="BD13" s="1">
        <v>0.031847</v>
      </c>
      <c r="BE13" s="1">
        <v>0.027171</v>
      </c>
      <c r="BF13" s="1">
        <v>0.026056</v>
      </c>
      <c r="BG13" s="1">
        <v>0.011512</v>
      </c>
      <c r="BH13" s="1">
        <v>0.004379</v>
      </c>
      <c r="BI13" s="1">
        <v>0.083211</v>
      </c>
      <c r="BJ13" s="1">
        <v>0.060583</v>
      </c>
      <c r="BK13" s="1">
        <v>0.022935</v>
      </c>
      <c r="BL13" s="1">
        <v>0.013374</v>
      </c>
      <c r="BM13" s="1">
        <v>0.551</v>
      </c>
      <c r="BN13" s="1">
        <v>0.411</v>
      </c>
      <c r="BO13" s="1">
        <v>0.4628</v>
      </c>
      <c r="BP13" s="1">
        <v>0.461</v>
      </c>
      <c r="BQ13" s="1">
        <v>1.8858</v>
      </c>
      <c r="BR13" s="1">
        <v>0.4585</v>
      </c>
      <c r="BS13" s="1">
        <v>0.915</v>
      </c>
      <c r="BT13" s="1">
        <v>0.2</v>
      </c>
      <c r="BU13" s="1">
        <v>0.206</v>
      </c>
      <c r="BV13" s="1">
        <v>1.321</v>
      </c>
      <c r="BW13" s="1">
        <v>0.319</v>
      </c>
      <c r="BX13" s="1">
        <v>0.035</v>
      </c>
      <c r="BY13" s="1">
        <v>0.484</v>
      </c>
      <c r="BZ13" s="1">
        <v>0.519</v>
      </c>
      <c r="CA13" s="1">
        <v>0.218</v>
      </c>
      <c r="CB13" s="1">
        <v>0.558</v>
      </c>
      <c r="CC13" s="1">
        <v>0.535</v>
      </c>
      <c r="CD13" s="1">
        <v>0.317</v>
      </c>
      <c r="CE13" s="1">
        <v>0.571</v>
      </c>
      <c r="CF13" s="1">
        <v>0.625</v>
      </c>
      <c r="CG13" s="1">
        <v>2.606</v>
      </c>
      <c r="CH13" s="1">
        <v>0.607</v>
      </c>
      <c r="CI13" s="1">
        <v>6.3318</v>
      </c>
      <c r="CJ13" s="1">
        <v>0.4347</v>
      </c>
      <c r="CK13" s="1">
        <v>0.0</v>
      </c>
      <c r="CL13" s="1">
        <v>0.0</v>
      </c>
      <c r="CM13" s="1">
        <v>0.0</v>
      </c>
      <c r="CN13" s="1">
        <v>0.0</v>
      </c>
      <c r="CO13" s="1">
        <v>0.0</v>
      </c>
      <c r="CP13" s="1">
        <v>1.0</v>
      </c>
      <c r="CQ13" s="1">
        <v>0.0</v>
      </c>
      <c r="CR13" s="1">
        <v>0.0</v>
      </c>
      <c r="CS13" s="1">
        <v>1.0</v>
      </c>
      <c r="CT13" s="1">
        <v>0.0</v>
      </c>
      <c r="CU13" s="1">
        <v>0.0</v>
      </c>
      <c r="CV13" s="1">
        <v>0.0</v>
      </c>
      <c r="CW13" s="1">
        <v>0.0</v>
      </c>
      <c r="CX13" s="1">
        <v>0.0</v>
      </c>
      <c r="CY13" s="1">
        <v>0.0</v>
      </c>
      <c r="CZ13" s="1">
        <v>0.0</v>
      </c>
      <c r="DA13" s="1">
        <v>0.0</v>
      </c>
      <c r="DB13" s="1">
        <v>0.0</v>
      </c>
      <c r="DC13" s="1">
        <v>1.0</v>
      </c>
      <c r="DD13" s="1" t="s">
        <v>170</v>
      </c>
      <c r="DE13" s="1">
        <v>0.0796281965420605</v>
      </c>
      <c r="DF13" s="2" t="s">
        <v>171</v>
      </c>
    </row>
    <row r="14">
      <c r="A14" s="1" t="s">
        <v>172</v>
      </c>
      <c r="B14" s="1">
        <v>29.0</v>
      </c>
      <c r="C14" s="2" t="s">
        <v>167</v>
      </c>
      <c r="D14" s="1">
        <v>950200.0</v>
      </c>
      <c r="E14" s="1">
        <v>257.623</v>
      </c>
      <c r="F14" s="1">
        <v>29005.0</v>
      </c>
      <c r="G14" s="1">
        <v>2.90059502E10</v>
      </c>
      <c r="H14" s="1" t="s">
        <v>112</v>
      </c>
      <c r="I14" s="1" t="s">
        <v>113</v>
      </c>
      <c r="J14" s="1" t="s">
        <v>168</v>
      </c>
      <c r="K14" s="1" t="s">
        <v>173</v>
      </c>
      <c r="L14" s="1">
        <v>2470.0</v>
      </c>
      <c r="M14" s="1">
        <v>2521.0</v>
      </c>
      <c r="N14" s="1">
        <v>174.0</v>
      </c>
      <c r="O14" s="1">
        <v>1270.0</v>
      </c>
      <c r="P14" s="1">
        <v>1288.0</v>
      </c>
      <c r="Q14" s="1">
        <v>58.0</v>
      </c>
      <c r="R14" s="1">
        <v>1077.0</v>
      </c>
      <c r="S14" s="1">
        <v>299.0</v>
      </c>
      <c r="T14" s="1">
        <v>124.0</v>
      </c>
      <c r="U14" s="1">
        <v>41.0</v>
      </c>
      <c r="V14" s="1">
        <v>395.0</v>
      </c>
      <c r="W14" s="1">
        <v>24962.0</v>
      </c>
      <c r="X14" s="1">
        <v>2759.0</v>
      </c>
      <c r="Y14" s="1">
        <v>289.0</v>
      </c>
      <c r="Z14" s="1">
        <v>244.0</v>
      </c>
      <c r="AA14" s="1">
        <v>543.0</v>
      </c>
      <c r="AB14" s="1">
        <v>529.0</v>
      </c>
      <c r="AC14" s="1">
        <v>85.0</v>
      </c>
      <c r="AD14" s="1">
        <v>53.0</v>
      </c>
      <c r="AE14" s="1">
        <v>0.0</v>
      </c>
      <c r="AF14" s="1">
        <v>456.0</v>
      </c>
      <c r="AG14" s="1">
        <v>16.0</v>
      </c>
      <c r="AH14" s="1">
        <v>115.0</v>
      </c>
      <c r="AI14" s="1">
        <v>59.0</v>
      </c>
      <c r="AJ14" s="1">
        <v>25.0</v>
      </c>
      <c r="AK14" s="1">
        <v>2.0</v>
      </c>
      <c r="AL14" s="1">
        <v>114.0</v>
      </c>
      <c r="AM14" s="1">
        <v>63.0</v>
      </c>
      <c r="AN14" s="1">
        <v>27.0</v>
      </c>
      <c r="AO14" s="1">
        <v>55.0</v>
      </c>
      <c r="AP14" s="1">
        <v>0.118603</v>
      </c>
      <c r="AQ14" s="1">
        <v>0.0485</v>
      </c>
      <c r="AR14" s="1">
        <v>0.035528</v>
      </c>
      <c r="AS14" s="1">
        <v>0.342238</v>
      </c>
      <c r="AT14" s="1">
        <v>24962.0</v>
      </c>
      <c r="AU14" s="1">
        <v>2759.0</v>
      </c>
      <c r="AV14" s="1">
        <v>0.157321</v>
      </c>
      <c r="AW14" s="1">
        <v>0.132116</v>
      </c>
      <c r="AX14" s="1">
        <v>0.219838</v>
      </c>
      <c r="AY14" s="1">
        <v>0.21417</v>
      </c>
      <c r="AZ14" s="1">
        <v>0.07892293</v>
      </c>
      <c r="BA14" s="1">
        <v>0.021457</v>
      </c>
      <c r="BB14" s="1">
        <v>0.0</v>
      </c>
      <c r="BC14" s="1">
        <v>0.193548</v>
      </c>
      <c r="BD14" s="1">
        <v>0.012422</v>
      </c>
      <c r="BE14" s="1">
        <v>0.089283</v>
      </c>
      <c r="BF14" s="1">
        <v>0.045807</v>
      </c>
      <c r="BG14" s="1">
        <v>0.0193</v>
      </c>
      <c r="BH14" s="1">
        <v>0.001811</v>
      </c>
      <c r="BI14" s="1">
        <v>0.10326</v>
      </c>
      <c r="BJ14" s="1">
        <v>0.057065</v>
      </c>
      <c r="BK14" s="1">
        <v>0.024049</v>
      </c>
      <c r="BL14" s="1">
        <v>0.022267</v>
      </c>
      <c r="BM14" s="1">
        <v>0.449</v>
      </c>
      <c r="BN14" s="1">
        <v>0.141</v>
      </c>
      <c r="BO14" s="1">
        <v>0.3509</v>
      </c>
      <c r="BP14" s="1">
        <v>0.598</v>
      </c>
      <c r="BQ14" s="1">
        <v>1.5389</v>
      </c>
      <c r="BR14" s="1">
        <v>0.3538</v>
      </c>
      <c r="BS14" s="1">
        <v>0.932</v>
      </c>
      <c r="BT14" s="1">
        <v>0.259</v>
      </c>
      <c r="BU14" s="1">
        <v>0.293</v>
      </c>
      <c r="BV14" s="1">
        <v>1.484</v>
      </c>
      <c r="BW14" s="1">
        <v>0.471</v>
      </c>
      <c r="BX14" s="1">
        <v>0.023</v>
      </c>
      <c r="BY14" s="1">
        <v>0.0</v>
      </c>
      <c r="BZ14" s="1">
        <v>0.023</v>
      </c>
      <c r="CA14" s="1">
        <v>0.012</v>
      </c>
      <c r="CB14" s="1">
        <v>0.405</v>
      </c>
      <c r="CC14" s="1">
        <v>0.594</v>
      </c>
      <c r="CD14" s="1">
        <v>0.28</v>
      </c>
      <c r="CE14" s="1">
        <v>0.547</v>
      </c>
      <c r="CF14" s="1">
        <v>0.74</v>
      </c>
      <c r="CG14" s="1">
        <v>2.566</v>
      </c>
      <c r="CH14" s="1">
        <v>0.59</v>
      </c>
      <c r="CI14" s="1">
        <v>5.6119</v>
      </c>
      <c r="CJ14" s="1">
        <v>0.3054</v>
      </c>
      <c r="CK14" s="1">
        <v>0.0</v>
      </c>
      <c r="CL14" s="1">
        <v>0.0</v>
      </c>
      <c r="CM14" s="1">
        <v>0.0</v>
      </c>
      <c r="CN14" s="1">
        <v>0.0</v>
      </c>
      <c r="CO14" s="1">
        <v>0.0</v>
      </c>
      <c r="CP14" s="1">
        <v>1.0</v>
      </c>
      <c r="CQ14" s="1">
        <v>0.0</v>
      </c>
      <c r="CR14" s="1">
        <v>0.0</v>
      </c>
      <c r="CS14" s="1">
        <v>1.0</v>
      </c>
      <c r="CT14" s="1">
        <v>0.0</v>
      </c>
      <c r="CU14" s="1">
        <v>0.0</v>
      </c>
      <c r="CV14" s="1">
        <v>0.0</v>
      </c>
      <c r="CW14" s="1">
        <v>0.0</v>
      </c>
      <c r="CX14" s="1">
        <v>0.0</v>
      </c>
      <c r="CY14" s="1">
        <v>0.0</v>
      </c>
      <c r="CZ14" s="1">
        <v>0.0</v>
      </c>
      <c r="DA14" s="1">
        <v>0.0</v>
      </c>
      <c r="DB14" s="1">
        <v>0.0</v>
      </c>
      <c r="DC14" s="1">
        <v>1.0</v>
      </c>
      <c r="DD14" s="1" t="s">
        <v>174</v>
      </c>
      <c r="DE14" s="1">
        <v>0.0715714595278955</v>
      </c>
      <c r="DF14" s="2" t="s">
        <v>175</v>
      </c>
    </row>
    <row r="15">
      <c r="A15" s="1" t="s">
        <v>176</v>
      </c>
      <c r="B15" s="1">
        <v>29.0</v>
      </c>
      <c r="C15" s="2" t="s">
        <v>177</v>
      </c>
      <c r="D15" s="1">
        <v>950100.0</v>
      </c>
      <c r="E15" s="1">
        <v>12.577</v>
      </c>
      <c r="F15" s="1">
        <v>29007.0</v>
      </c>
      <c r="G15" s="1">
        <v>2.90079501E10</v>
      </c>
      <c r="H15" s="1" t="s">
        <v>112</v>
      </c>
      <c r="I15" s="1" t="s">
        <v>113</v>
      </c>
      <c r="J15" s="1" t="s">
        <v>178</v>
      </c>
      <c r="K15" s="1" t="s">
        <v>179</v>
      </c>
      <c r="L15" s="1">
        <v>4180.0</v>
      </c>
      <c r="M15" s="1">
        <v>4206.0</v>
      </c>
      <c r="N15" s="1">
        <v>236.0</v>
      </c>
      <c r="O15" s="1">
        <v>1391.0</v>
      </c>
      <c r="P15" s="1">
        <v>1202.0</v>
      </c>
      <c r="Q15" s="1">
        <v>177.0</v>
      </c>
      <c r="R15" s="1">
        <v>1185.0</v>
      </c>
      <c r="S15" s="1">
        <v>524.0</v>
      </c>
      <c r="T15" s="1">
        <v>297.0</v>
      </c>
      <c r="U15" s="1">
        <v>75.0</v>
      </c>
      <c r="V15" s="1">
        <v>447.0</v>
      </c>
      <c r="W15" s="1">
        <v>10017.0</v>
      </c>
      <c r="X15" s="1">
        <v>1342.0</v>
      </c>
      <c r="Y15" s="1">
        <v>859.0</v>
      </c>
      <c r="Z15" s="1">
        <v>293.0</v>
      </c>
      <c r="AA15" s="1">
        <v>596.0</v>
      </c>
      <c r="AB15" s="1">
        <v>633.0</v>
      </c>
      <c r="AC15" s="1">
        <v>167.0</v>
      </c>
      <c r="AD15" s="1">
        <v>787.0</v>
      </c>
      <c r="AE15" s="1">
        <v>22.0</v>
      </c>
      <c r="AF15" s="1">
        <v>412.0</v>
      </c>
      <c r="AG15" s="1">
        <v>6.0</v>
      </c>
      <c r="AH15" s="1">
        <v>162.0</v>
      </c>
      <c r="AI15" s="1">
        <v>43.0</v>
      </c>
      <c r="AJ15" s="1">
        <v>55.0</v>
      </c>
      <c r="AK15" s="1">
        <v>27.0</v>
      </c>
      <c r="AL15" s="1">
        <v>119.0</v>
      </c>
      <c r="AM15" s="1">
        <v>132.0</v>
      </c>
      <c r="AN15" s="1">
        <v>84.0</v>
      </c>
      <c r="AO15" s="1">
        <v>1505.0</v>
      </c>
      <c r="AP15" s="1">
        <v>0.232578</v>
      </c>
      <c r="AQ15" s="1">
        <v>0.12751</v>
      </c>
      <c r="AR15" s="1">
        <v>0.077081</v>
      </c>
      <c r="AS15" s="1">
        <v>0.459119</v>
      </c>
      <c r="AT15" s="1">
        <v>10017.0</v>
      </c>
      <c r="AU15" s="1">
        <v>1342.0</v>
      </c>
      <c r="AV15" s="1">
        <v>0.259516</v>
      </c>
      <c r="AW15" s="1">
        <v>0.086462</v>
      </c>
      <c r="AX15" s="1">
        <v>0.142583</v>
      </c>
      <c r="AY15" s="1">
        <v>0.151435</v>
      </c>
      <c r="AZ15" s="1">
        <v>0.14092827</v>
      </c>
      <c r="BA15" s="1">
        <v>0.188277</v>
      </c>
      <c r="BB15" s="1">
        <v>0.005412</v>
      </c>
      <c r="BC15" s="1">
        <v>0.101352</v>
      </c>
      <c r="BD15" s="1">
        <v>0.004991</v>
      </c>
      <c r="BE15" s="1">
        <v>0.134773</v>
      </c>
      <c r="BF15" s="1">
        <v>0.035773</v>
      </c>
      <c r="BG15" s="1">
        <v>0.045452</v>
      </c>
      <c r="BH15" s="1">
        <v>0.027054</v>
      </c>
      <c r="BI15" s="1">
        <v>0.119165</v>
      </c>
      <c r="BJ15" s="1">
        <v>0.132264</v>
      </c>
      <c r="BK15" s="1">
        <v>0.081656</v>
      </c>
      <c r="BL15" s="1">
        <v>0.360047</v>
      </c>
      <c r="BM15" s="1">
        <v>0.796</v>
      </c>
      <c r="BN15" s="1">
        <v>0.581</v>
      </c>
      <c r="BO15" s="1">
        <v>0.9884</v>
      </c>
      <c r="BP15" s="1">
        <v>0.889</v>
      </c>
      <c r="BQ15" s="1">
        <v>3.2544</v>
      </c>
      <c r="BR15" s="1">
        <v>0.8686</v>
      </c>
      <c r="BS15" s="1">
        <v>0.523</v>
      </c>
      <c r="BT15" s="1">
        <v>0.071</v>
      </c>
      <c r="BU15" s="1">
        <v>0.762</v>
      </c>
      <c r="BV15" s="1">
        <v>1.356</v>
      </c>
      <c r="BW15" s="1">
        <v>0.352</v>
      </c>
      <c r="BX15" s="1">
        <v>0.692</v>
      </c>
      <c r="BY15" s="1">
        <v>0.576</v>
      </c>
      <c r="BZ15" s="1">
        <v>1.268</v>
      </c>
      <c r="CA15" s="1">
        <v>0.694</v>
      </c>
      <c r="CB15" s="1">
        <v>0.316</v>
      </c>
      <c r="CC15" s="1">
        <v>0.566</v>
      </c>
      <c r="CD15" s="1">
        <v>0.78</v>
      </c>
      <c r="CE15" s="1">
        <v>0.834</v>
      </c>
      <c r="CF15" s="1">
        <v>0.986</v>
      </c>
      <c r="CG15" s="1">
        <v>3.482</v>
      </c>
      <c r="CH15" s="1">
        <v>0.93</v>
      </c>
      <c r="CI15" s="1">
        <v>9.3604</v>
      </c>
      <c r="CJ15" s="1">
        <v>0.8953</v>
      </c>
      <c r="CK15" s="1">
        <v>0.0</v>
      </c>
      <c r="CL15" s="1">
        <v>0.0</v>
      </c>
      <c r="CM15" s="1">
        <v>1.0</v>
      </c>
      <c r="CN15" s="1">
        <v>0.0</v>
      </c>
      <c r="CO15" s="1">
        <v>1.0</v>
      </c>
      <c r="CP15" s="1">
        <v>0.0</v>
      </c>
      <c r="CQ15" s="1">
        <v>0.0</v>
      </c>
      <c r="CR15" s="1">
        <v>0.0</v>
      </c>
      <c r="CS15" s="1">
        <v>0.0</v>
      </c>
      <c r="CT15" s="1">
        <v>0.0</v>
      </c>
      <c r="CU15" s="1">
        <v>0.0</v>
      </c>
      <c r="CV15" s="1">
        <v>0.0</v>
      </c>
      <c r="CW15" s="1">
        <v>0.0</v>
      </c>
      <c r="CX15" s="1">
        <v>0.0</v>
      </c>
      <c r="CY15" s="1">
        <v>0.0</v>
      </c>
      <c r="CZ15" s="1">
        <v>0.0</v>
      </c>
      <c r="DA15" s="1">
        <v>1.0</v>
      </c>
      <c r="DB15" s="1">
        <v>1.0</v>
      </c>
      <c r="DC15" s="1">
        <v>2.0</v>
      </c>
      <c r="DD15" s="1" t="s">
        <v>180</v>
      </c>
      <c r="DE15" s="1">
        <v>0.00341167085495438</v>
      </c>
      <c r="DF15" s="2" t="s">
        <v>181</v>
      </c>
    </row>
    <row r="16">
      <c r="A16" s="1" t="s">
        <v>182</v>
      </c>
      <c r="B16" s="1">
        <v>29.0</v>
      </c>
      <c r="C16" s="2" t="s">
        <v>177</v>
      </c>
      <c r="D16" s="1">
        <v>950600.0</v>
      </c>
      <c r="E16" s="1">
        <v>6.557</v>
      </c>
      <c r="F16" s="1">
        <v>29007.0</v>
      </c>
      <c r="G16" s="1">
        <v>2.90079506E10</v>
      </c>
      <c r="H16" s="1" t="s">
        <v>112</v>
      </c>
      <c r="I16" s="1" t="s">
        <v>113</v>
      </c>
      <c r="J16" s="1" t="s">
        <v>178</v>
      </c>
      <c r="K16" s="1" t="s">
        <v>183</v>
      </c>
      <c r="L16" s="1">
        <v>2899.0</v>
      </c>
      <c r="M16" s="1">
        <v>2935.0</v>
      </c>
      <c r="N16" s="1">
        <v>331.0</v>
      </c>
      <c r="O16" s="1">
        <v>1356.0</v>
      </c>
      <c r="P16" s="1">
        <v>1400.0</v>
      </c>
      <c r="Q16" s="1">
        <v>90.0</v>
      </c>
      <c r="R16" s="1">
        <v>1215.0</v>
      </c>
      <c r="S16" s="1">
        <v>373.0</v>
      </c>
      <c r="T16" s="1">
        <v>247.0</v>
      </c>
      <c r="U16" s="1">
        <v>50.0</v>
      </c>
      <c r="V16" s="1">
        <v>458.0</v>
      </c>
      <c r="W16" s="1">
        <v>21236.0</v>
      </c>
      <c r="X16" s="1">
        <v>2391.0</v>
      </c>
      <c r="Y16" s="1">
        <v>287.0</v>
      </c>
      <c r="Z16" s="1">
        <v>337.0</v>
      </c>
      <c r="AA16" s="1">
        <v>504.0</v>
      </c>
      <c r="AB16" s="1">
        <v>750.0</v>
      </c>
      <c r="AC16" s="1">
        <v>205.0</v>
      </c>
      <c r="AD16" s="1">
        <v>367.0</v>
      </c>
      <c r="AE16" s="1">
        <v>0.0</v>
      </c>
      <c r="AF16" s="1">
        <v>456.0</v>
      </c>
      <c r="AG16" s="1">
        <v>10.0</v>
      </c>
      <c r="AH16" s="1">
        <v>162.0</v>
      </c>
      <c r="AI16" s="1">
        <v>93.0</v>
      </c>
      <c r="AJ16" s="1">
        <v>75.0</v>
      </c>
      <c r="AK16" s="1">
        <v>0.0</v>
      </c>
      <c r="AL16" s="1">
        <v>161.0</v>
      </c>
      <c r="AM16" s="1">
        <v>87.0</v>
      </c>
      <c r="AN16" s="1">
        <v>57.0</v>
      </c>
      <c r="AO16" s="1">
        <v>29.0</v>
      </c>
      <c r="AP16" s="1">
        <v>0.127086</v>
      </c>
      <c r="AQ16" s="1">
        <v>0.082927</v>
      </c>
      <c r="AR16" s="1">
        <v>0.037878</v>
      </c>
      <c r="AS16" s="1">
        <v>0.346913</v>
      </c>
      <c r="AT16" s="1">
        <v>21236.0</v>
      </c>
      <c r="AU16" s="1">
        <v>2391.0</v>
      </c>
      <c r="AV16" s="1">
        <v>0.150261</v>
      </c>
      <c r="AW16" s="1">
        <v>0.176001</v>
      </c>
      <c r="AX16" s="1">
        <v>0.173853</v>
      </c>
      <c r="AY16" s="1">
        <v>0.258709</v>
      </c>
      <c r="AZ16" s="1">
        <v>0.16872427</v>
      </c>
      <c r="BA16" s="1">
        <v>0.126595</v>
      </c>
      <c r="BB16" s="1">
        <v>0.0</v>
      </c>
      <c r="BC16" s="1">
        <v>0.172792</v>
      </c>
      <c r="BD16" s="1">
        <v>0.007142</v>
      </c>
      <c r="BE16" s="1">
        <v>0.115713</v>
      </c>
      <c r="BF16" s="1">
        <v>0.066428</v>
      </c>
      <c r="BG16" s="1">
        <v>0.0534</v>
      </c>
      <c r="BH16" s="1">
        <v>0.0</v>
      </c>
      <c r="BI16" s="1">
        <v>0.131321</v>
      </c>
      <c r="BJ16" s="1">
        <v>0.070962</v>
      </c>
      <c r="BK16" s="1">
        <v>0.046046</v>
      </c>
      <c r="BL16" s="1">
        <v>0.010003</v>
      </c>
      <c r="BM16" s="1">
        <v>0.485</v>
      </c>
      <c r="BN16" s="1">
        <v>0.161</v>
      </c>
      <c r="BO16" s="1">
        <v>0.5379</v>
      </c>
      <c r="BP16" s="1">
        <v>0.568</v>
      </c>
      <c r="BQ16" s="1">
        <v>1.7519</v>
      </c>
      <c r="BR16" s="1">
        <v>0.4159</v>
      </c>
      <c r="BS16" s="1">
        <v>0.757</v>
      </c>
      <c r="BT16" s="1">
        <v>0.693</v>
      </c>
      <c r="BU16" s="1">
        <v>0.843</v>
      </c>
      <c r="BV16" s="1">
        <v>2.293</v>
      </c>
      <c r="BW16" s="1">
        <v>0.979</v>
      </c>
      <c r="BX16" s="1">
        <v>0.551</v>
      </c>
      <c r="BY16" s="1">
        <v>0.0</v>
      </c>
      <c r="BZ16" s="1">
        <v>0.551</v>
      </c>
      <c r="CA16" s="1">
        <v>0.241</v>
      </c>
      <c r="CB16" s="1">
        <v>0.353</v>
      </c>
      <c r="CC16" s="1">
        <v>0.641</v>
      </c>
      <c r="CD16" s="1">
        <v>0.0</v>
      </c>
      <c r="CE16" s="1">
        <v>0.63</v>
      </c>
      <c r="CF16" s="1">
        <v>0.58</v>
      </c>
      <c r="CG16" s="1">
        <v>2.204</v>
      </c>
      <c r="CH16" s="1">
        <v>0.42</v>
      </c>
      <c r="CI16" s="1">
        <v>6.7999</v>
      </c>
      <c r="CJ16" s="1">
        <v>0.5119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0.0</v>
      </c>
      <c r="CX16" s="1">
        <v>0.0</v>
      </c>
      <c r="CY16" s="1">
        <v>0.0</v>
      </c>
      <c r="CZ16" s="1">
        <v>0.0</v>
      </c>
      <c r="DA16" s="1">
        <v>0.0</v>
      </c>
      <c r="DB16" s="1">
        <v>0.0</v>
      </c>
      <c r="DC16" s="1">
        <v>0.0</v>
      </c>
      <c r="DD16" s="1" t="s">
        <v>184</v>
      </c>
      <c r="DE16" s="1">
        <v>0.0017786718351584</v>
      </c>
      <c r="DF16" s="2" t="s">
        <v>185</v>
      </c>
    </row>
    <row r="17">
      <c r="A17" s="1" t="s">
        <v>186</v>
      </c>
      <c r="B17" s="1">
        <v>29.0</v>
      </c>
      <c r="C17" s="2" t="s">
        <v>177</v>
      </c>
      <c r="D17" s="1">
        <v>950200.0</v>
      </c>
      <c r="E17" s="1">
        <v>404.809</v>
      </c>
      <c r="F17" s="1">
        <v>29007.0</v>
      </c>
      <c r="G17" s="1">
        <v>2.90079502E10</v>
      </c>
      <c r="H17" s="1" t="s">
        <v>112</v>
      </c>
      <c r="I17" s="1" t="s">
        <v>113</v>
      </c>
      <c r="J17" s="1" t="s">
        <v>178</v>
      </c>
      <c r="K17" s="1" t="s">
        <v>187</v>
      </c>
      <c r="L17" s="1">
        <v>4917.0</v>
      </c>
      <c r="M17" s="1">
        <v>5083.0</v>
      </c>
      <c r="N17" s="1">
        <v>435.0</v>
      </c>
      <c r="O17" s="1">
        <v>2318.0</v>
      </c>
      <c r="P17" s="1">
        <v>2273.0</v>
      </c>
      <c r="Q17" s="1">
        <v>154.0</v>
      </c>
      <c r="R17" s="1">
        <v>2019.0</v>
      </c>
      <c r="S17" s="1">
        <v>352.0</v>
      </c>
      <c r="T17" s="1">
        <v>127.0</v>
      </c>
      <c r="U17" s="1">
        <v>116.0</v>
      </c>
      <c r="V17" s="1">
        <v>329.0</v>
      </c>
      <c r="W17" s="1">
        <v>23750.0</v>
      </c>
      <c r="X17" s="1">
        <v>2794.0</v>
      </c>
      <c r="Y17" s="1">
        <v>613.0</v>
      </c>
      <c r="Z17" s="1">
        <v>208.0</v>
      </c>
      <c r="AA17" s="1">
        <v>894.0</v>
      </c>
      <c r="AB17" s="1">
        <v>1129.0</v>
      </c>
      <c r="AC17" s="1">
        <v>183.0</v>
      </c>
      <c r="AD17" s="1">
        <v>99.0</v>
      </c>
      <c r="AE17" s="1">
        <v>44.0</v>
      </c>
      <c r="AF17" s="1">
        <v>428.0</v>
      </c>
      <c r="AG17" s="1">
        <v>2.0</v>
      </c>
      <c r="AH17" s="1">
        <v>161.0</v>
      </c>
      <c r="AI17" s="1">
        <v>361.0</v>
      </c>
      <c r="AJ17" s="1">
        <v>108.0</v>
      </c>
      <c r="AK17" s="1">
        <v>12.0</v>
      </c>
      <c r="AL17" s="1">
        <v>115.0</v>
      </c>
      <c r="AM17" s="1">
        <v>37.0</v>
      </c>
      <c r="AN17" s="1">
        <v>23.0</v>
      </c>
      <c r="AO17" s="1">
        <v>0.0</v>
      </c>
      <c r="AP17" s="1">
        <v>0.069441</v>
      </c>
      <c r="AQ17" s="1">
        <v>0.024345</v>
      </c>
      <c r="AR17" s="1">
        <v>0.047231</v>
      </c>
      <c r="AS17" s="1">
        <v>0.133878</v>
      </c>
      <c r="AT17" s="1">
        <v>23750.0</v>
      </c>
      <c r="AU17" s="1">
        <v>2794.0</v>
      </c>
      <c r="AV17" s="1">
        <v>0.166576</v>
      </c>
      <c r="AW17" s="1">
        <v>0.054943</v>
      </c>
      <c r="AX17" s="1">
        <v>0.181818</v>
      </c>
      <c r="AY17" s="1">
        <v>0.229611</v>
      </c>
      <c r="AZ17" s="1">
        <v>0.09063893</v>
      </c>
      <c r="BA17" s="1">
        <v>0.020134</v>
      </c>
      <c r="BB17" s="1">
        <v>0.008979</v>
      </c>
      <c r="BC17" s="1">
        <v>0.087343</v>
      </c>
      <c r="BD17" s="1">
        <v>8.79E-4</v>
      </c>
      <c r="BE17" s="1">
        <v>0.070831</v>
      </c>
      <c r="BF17" s="1">
        <v>0.15882</v>
      </c>
      <c r="BG17" s="1">
        <v>0.046279</v>
      </c>
      <c r="BH17" s="1">
        <v>0.005879</v>
      </c>
      <c r="BI17" s="1">
        <v>0.056342</v>
      </c>
      <c r="BJ17" s="1">
        <v>0.018128</v>
      </c>
      <c r="BK17" s="1">
        <v>0.011173</v>
      </c>
      <c r="BL17" s="1">
        <v>0.0</v>
      </c>
      <c r="BM17" s="1">
        <v>0.248</v>
      </c>
      <c r="BN17" s="1">
        <v>0.266</v>
      </c>
      <c r="BO17" s="1">
        <v>0.4079</v>
      </c>
      <c r="BP17" s="1">
        <v>0.641</v>
      </c>
      <c r="BQ17" s="1">
        <v>1.5629</v>
      </c>
      <c r="BR17" s="1">
        <v>0.361</v>
      </c>
      <c r="BS17" s="1">
        <v>0.802</v>
      </c>
      <c r="BT17" s="1">
        <v>0.38</v>
      </c>
      <c r="BU17" s="1">
        <v>0.409</v>
      </c>
      <c r="BV17" s="1">
        <v>1.591</v>
      </c>
      <c r="BW17" s="1">
        <v>0.563</v>
      </c>
      <c r="BX17" s="1">
        <v>0.02</v>
      </c>
      <c r="BY17" s="1">
        <v>0.695</v>
      </c>
      <c r="BZ17" s="1">
        <v>0.715</v>
      </c>
      <c r="CA17" s="1">
        <v>0.346</v>
      </c>
      <c r="CB17" s="1">
        <v>0.253</v>
      </c>
      <c r="CC17" s="1">
        <v>0.836</v>
      </c>
      <c r="CD17" s="1">
        <v>0.353</v>
      </c>
      <c r="CE17" s="1">
        <v>0.165</v>
      </c>
      <c r="CF17" s="1">
        <v>0.0</v>
      </c>
      <c r="CG17" s="1">
        <v>1.607</v>
      </c>
      <c r="CH17" s="1">
        <v>0.201</v>
      </c>
      <c r="CI17" s="1">
        <v>5.4759</v>
      </c>
      <c r="CJ17" s="1">
        <v>0.2758</v>
      </c>
      <c r="CK17" s="1">
        <v>0.0</v>
      </c>
      <c r="CL17" s="1">
        <v>0.0</v>
      </c>
      <c r="CM17" s="1">
        <v>0.0</v>
      </c>
      <c r="CN17" s="1">
        <v>0.0</v>
      </c>
      <c r="CO17" s="1">
        <v>0.0</v>
      </c>
      <c r="CP17" s="1">
        <v>0.0</v>
      </c>
      <c r="CQ17" s="1">
        <v>0.0</v>
      </c>
      <c r="CR17" s="1">
        <v>0.0</v>
      </c>
      <c r="CS17" s="1">
        <v>0.0</v>
      </c>
      <c r="CT17" s="1">
        <v>0.0</v>
      </c>
      <c r="CU17" s="1">
        <v>0.0</v>
      </c>
      <c r="CV17" s="1">
        <v>0.0</v>
      </c>
      <c r="CW17" s="1">
        <v>0.0</v>
      </c>
      <c r="CX17" s="1">
        <v>0.0</v>
      </c>
      <c r="CY17" s="1">
        <v>0.0</v>
      </c>
      <c r="CZ17" s="1">
        <v>0.0</v>
      </c>
      <c r="DA17" s="1">
        <v>0.0</v>
      </c>
      <c r="DB17" s="1">
        <v>0.0</v>
      </c>
      <c r="DC17" s="1">
        <v>0.0</v>
      </c>
      <c r="DD17" s="1" t="s">
        <v>188</v>
      </c>
      <c r="DE17" s="2" t="s">
        <v>189</v>
      </c>
      <c r="DF17" s="2" t="s">
        <v>190</v>
      </c>
    </row>
    <row r="18">
      <c r="A18" s="1" t="s">
        <v>191</v>
      </c>
      <c r="B18" s="1">
        <v>29.0</v>
      </c>
      <c r="C18" s="2" t="s">
        <v>177</v>
      </c>
      <c r="D18" s="1">
        <v>950300.0</v>
      </c>
      <c r="E18" s="1">
        <v>236.042</v>
      </c>
      <c r="F18" s="1">
        <v>29007.0</v>
      </c>
      <c r="G18" s="1">
        <v>2.90079503E10</v>
      </c>
      <c r="H18" s="1" t="s">
        <v>112</v>
      </c>
      <c r="I18" s="1" t="s">
        <v>113</v>
      </c>
      <c r="J18" s="1" t="s">
        <v>178</v>
      </c>
      <c r="K18" s="1" t="s">
        <v>192</v>
      </c>
      <c r="L18" s="1">
        <v>3609.0</v>
      </c>
      <c r="M18" s="1">
        <v>3917.0</v>
      </c>
      <c r="N18" s="1">
        <v>453.0</v>
      </c>
      <c r="O18" s="1">
        <v>1256.0</v>
      </c>
      <c r="P18" s="1">
        <v>1343.0</v>
      </c>
      <c r="Q18" s="1">
        <v>121.0</v>
      </c>
      <c r="R18" s="1">
        <v>1148.0</v>
      </c>
      <c r="S18" s="1">
        <v>994.0</v>
      </c>
      <c r="T18" s="1">
        <v>520.0</v>
      </c>
      <c r="U18" s="1">
        <v>59.0</v>
      </c>
      <c r="V18" s="1">
        <v>444.0</v>
      </c>
      <c r="W18" s="1">
        <v>18894.0</v>
      </c>
      <c r="X18" s="1">
        <v>3389.0</v>
      </c>
      <c r="Y18" s="1">
        <v>384.0</v>
      </c>
      <c r="Z18" s="1">
        <v>335.0</v>
      </c>
      <c r="AA18" s="1">
        <v>413.0</v>
      </c>
      <c r="AB18" s="1">
        <v>1231.0</v>
      </c>
      <c r="AC18" s="1">
        <v>56.0</v>
      </c>
      <c r="AD18" s="1">
        <v>95.0</v>
      </c>
      <c r="AE18" s="1">
        <v>18.0</v>
      </c>
      <c r="AF18" s="1">
        <v>442.0</v>
      </c>
      <c r="AG18" s="1">
        <v>8.0</v>
      </c>
      <c r="AH18" s="1">
        <v>162.0</v>
      </c>
      <c r="AI18" s="1">
        <v>136.0</v>
      </c>
      <c r="AJ18" s="1">
        <v>66.0</v>
      </c>
      <c r="AK18" s="1">
        <v>22.0</v>
      </c>
      <c r="AL18" s="1">
        <v>29.0</v>
      </c>
      <c r="AM18" s="1">
        <v>122.0</v>
      </c>
      <c r="AN18" s="1">
        <v>88.0</v>
      </c>
      <c r="AO18" s="1">
        <v>58.0</v>
      </c>
      <c r="AP18" s="1">
        <v>0.253765</v>
      </c>
      <c r="AQ18" s="1">
        <v>0.12947</v>
      </c>
      <c r="AR18" s="1">
        <v>0.033484</v>
      </c>
      <c r="AS18" s="1">
        <v>0.251919</v>
      </c>
      <c r="AT18" s="1">
        <v>18894.0</v>
      </c>
      <c r="AU18" s="1">
        <v>3389.0</v>
      </c>
      <c r="AV18" s="1">
        <v>0.168273</v>
      </c>
      <c r="AW18" s="1">
        <v>0.14602</v>
      </c>
      <c r="AX18" s="1">
        <v>0.114436</v>
      </c>
      <c r="AY18" s="1">
        <v>0.341091</v>
      </c>
      <c r="AZ18" s="1">
        <v>0.04878048</v>
      </c>
      <c r="BA18" s="1">
        <v>0.026323</v>
      </c>
      <c r="BB18" s="1">
        <v>0.005116</v>
      </c>
      <c r="BC18" s="1">
        <v>0.125638</v>
      </c>
      <c r="BD18" s="1">
        <v>0.005956</v>
      </c>
      <c r="BE18" s="1">
        <v>0.120624</v>
      </c>
      <c r="BF18" s="1">
        <v>0.101265</v>
      </c>
      <c r="BG18" s="1">
        <v>0.048289</v>
      </c>
      <c r="BH18" s="1">
        <v>0.017336</v>
      </c>
      <c r="BI18" s="1">
        <v>0.02279</v>
      </c>
      <c r="BJ18" s="1">
        <v>0.096138</v>
      </c>
      <c r="BK18" s="1">
        <v>0.068717</v>
      </c>
      <c r="BL18" s="1">
        <v>0.01607</v>
      </c>
      <c r="BM18" s="1">
        <v>0.832</v>
      </c>
      <c r="BN18" s="1">
        <v>0.117</v>
      </c>
      <c r="BO18" s="1">
        <v>0.678</v>
      </c>
      <c r="BP18" s="1">
        <v>0.649</v>
      </c>
      <c r="BQ18" s="1">
        <v>2.276</v>
      </c>
      <c r="BR18" s="1">
        <v>0.5935</v>
      </c>
      <c r="BS18" s="1">
        <v>0.307</v>
      </c>
      <c r="BT18" s="1">
        <v>0.981</v>
      </c>
      <c r="BU18" s="1">
        <v>0.065</v>
      </c>
      <c r="BV18" s="1">
        <v>1.353</v>
      </c>
      <c r="BW18" s="1">
        <v>0.347</v>
      </c>
      <c r="BX18" s="1">
        <v>0.053</v>
      </c>
      <c r="BY18" s="1">
        <v>0.568</v>
      </c>
      <c r="BZ18" s="1">
        <v>0.621</v>
      </c>
      <c r="CA18" s="1">
        <v>0.286</v>
      </c>
      <c r="CB18" s="1">
        <v>0.336</v>
      </c>
      <c r="CC18" s="1">
        <v>0.718</v>
      </c>
      <c r="CD18" s="1">
        <v>0.634</v>
      </c>
      <c r="CE18" s="1">
        <v>0.741</v>
      </c>
      <c r="CF18" s="1">
        <v>0.661</v>
      </c>
      <c r="CG18" s="1">
        <v>3.09</v>
      </c>
      <c r="CH18" s="1">
        <v>0.814</v>
      </c>
      <c r="CI18" s="1">
        <v>7.34</v>
      </c>
      <c r="CJ18" s="1">
        <v>0.6166</v>
      </c>
      <c r="CK18" s="1">
        <v>0.0</v>
      </c>
      <c r="CL18" s="1">
        <v>0.0</v>
      </c>
      <c r="CM18" s="1">
        <v>0.0</v>
      </c>
      <c r="CN18" s="1">
        <v>0.0</v>
      </c>
      <c r="CO18" s="1">
        <v>0.0</v>
      </c>
      <c r="CP18" s="1">
        <v>0.0</v>
      </c>
      <c r="CQ18" s="1">
        <v>1.0</v>
      </c>
      <c r="CR18" s="1">
        <v>0.0</v>
      </c>
      <c r="CS18" s="1">
        <v>1.0</v>
      </c>
      <c r="CT18" s="1">
        <v>0.0</v>
      </c>
      <c r="CU18" s="1">
        <v>0.0</v>
      </c>
      <c r="CV18" s="1">
        <v>0.0</v>
      </c>
      <c r="CW18" s="1">
        <v>0.0</v>
      </c>
      <c r="CX18" s="1">
        <v>0.0</v>
      </c>
      <c r="CY18" s="1">
        <v>0.0</v>
      </c>
      <c r="CZ18" s="1">
        <v>0.0</v>
      </c>
      <c r="DA18" s="1">
        <v>0.0</v>
      </c>
      <c r="DB18" s="1">
        <v>0.0</v>
      </c>
      <c r="DC18" s="1">
        <v>1.0</v>
      </c>
      <c r="DD18" s="1" t="s">
        <v>193</v>
      </c>
      <c r="DE18" s="1">
        <v>0.0640893608394485</v>
      </c>
      <c r="DF18" s="2" t="s">
        <v>194</v>
      </c>
    </row>
    <row r="19">
      <c r="A19" s="1" t="s">
        <v>195</v>
      </c>
      <c r="B19" s="1">
        <v>29.0</v>
      </c>
      <c r="C19" s="2" t="s">
        <v>177</v>
      </c>
      <c r="D19" s="1">
        <v>950400.0</v>
      </c>
      <c r="E19" s="1">
        <v>12.425</v>
      </c>
      <c r="F19" s="1">
        <v>29007.0</v>
      </c>
      <c r="G19" s="1">
        <v>2.90079504E10</v>
      </c>
      <c r="H19" s="1" t="s">
        <v>112</v>
      </c>
      <c r="I19" s="1" t="s">
        <v>113</v>
      </c>
      <c r="J19" s="1" t="s">
        <v>178</v>
      </c>
      <c r="K19" s="1" t="s">
        <v>196</v>
      </c>
      <c r="L19" s="1">
        <v>2942.0</v>
      </c>
      <c r="M19" s="1">
        <v>2703.0</v>
      </c>
      <c r="N19" s="1">
        <v>371.0</v>
      </c>
      <c r="O19" s="1">
        <v>1229.0</v>
      </c>
      <c r="P19" s="1">
        <v>1272.0</v>
      </c>
      <c r="Q19" s="1">
        <v>103.0</v>
      </c>
      <c r="R19" s="1">
        <v>1095.0</v>
      </c>
      <c r="S19" s="1">
        <v>355.0</v>
      </c>
      <c r="T19" s="1">
        <v>173.0</v>
      </c>
      <c r="U19" s="1">
        <v>77.0</v>
      </c>
      <c r="V19" s="1">
        <v>414.0</v>
      </c>
      <c r="W19" s="1">
        <v>19023.0</v>
      </c>
      <c r="X19" s="1">
        <v>2646.0</v>
      </c>
      <c r="Y19" s="1">
        <v>263.0</v>
      </c>
      <c r="Z19" s="1">
        <v>317.0</v>
      </c>
      <c r="AA19" s="1">
        <v>401.0</v>
      </c>
      <c r="AB19" s="1">
        <v>866.0</v>
      </c>
      <c r="AC19" s="1">
        <v>149.0</v>
      </c>
      <c r="AD19" s="1">
        <v>561.0</v>
      </c>
      <c r="AE19" s="1">
        <v>0.0</v>
      </c>
      <c r="AF19" s="1">
        <v>456.0</v>
      </c>
      <c r="AG19" s="1">
        <v>43.0</v>
      </c>
      <c r="AH19" s="1">
        <v>174.0</v>
      </c>
      <c r="AI19" s="1">
        <v>0.0</v>
      </c>
      <c r="AJ19" s="1">
        <v>114.0</v>
      </c>
      <c r="AK19" s="1">
        <v>0.0</v>
      </c>
      <c r="AL19" s="1">
        <v>161.0</v>
      </c>
      <c r="AM19" s="1">
        <v>37.0</v>
      </c>
      <c r="AN19" s="1">
        <v>30.0</v>
      </c>
      <c r="AO19" s="1">
        <v>353.0</v>
      </c>
      <c r="AP19" s="1">
        <v>0.14104</v>
      </c>
      <c r="AQ19" s="1">
        <v>0.065618</v>
      </c>
      <c r="AR19" s="1">
        <v>0.074468</v>
      </c>
      <c r="AS19" s="1">
        <v>0.400049</v>
      </c>
      <c r="AT19" s="1">
        <v>19023.0</v>
      </c>
      <c r="AU19" s="1">
        <v>2646.0</v>
      </c>
      <c r="AV19" s="1">
        <v>0.148839</v>
      </c>
      <c r="AW19" s="1">
        <v>0.178129</v>
      </c>
      <c r="AX19" s="1">
        <v>0.136301</v>
      </c>
      <c r="AY19" s="1">
        <v>0.294357</v>
      </c>
      <c r="AZ19" s="1">
        <v>0.13607305</v>
      </c>
      <c r="BA19" s="1">
        <v>0.190686</v>
      </c>
      <c r="BB19" s="1">
        <v>0.0</v>
      </c>
      <c r="BC19" s="1">
        <v>0.183353</v>
      </c>
      <c r="BD19" s="1">
        <v>0.033805</v>
      </c>
      <c r="BE19" s="1">
        <v>0.136765</v>
      </c>
      <c r="BF19" s="1">
        <v>0.0</v>
      </c>
      <c r="BG19" s="1">
        <v>0.089622</v>
      </c>
      <c r="BH19" s="1">
        <v>0.0</v>
      </c>
      <c r="BI19" s="1">
        <v>0.147031</v>
      </c>
      <c r="BJ19" s="1">
        <v>0.033789</v>
      </c>
      <c r="BK19" s="1">
        <v>0.027088</v>
      </c>
      <c r="BL19" s="1">
        <v>0.119986</v>
      </c>
      <c r="BM19" s="1">
        <v>0.549</v>
      </c>
      <c r="BN19" s="1">
        <v>0.551</v>
      </c>
      <c r="BO19" s="1">
        <v>0.6693</v>
      </c>
      <c r="BP19" s="1">
        <v>0.562</v>
      </c>
      <c r="BQ19" s="1">
        <v>2.3313</v>
      </c>
      <c r="BR19" s="1">
        <v>0.6087</v>
      </c>
      <c r="BS19" s="1">
        <v>0.466</v>
      </c>
      <c r="BT19" s="1">
        <v>0.901</v>
      </c>
      <c r="BU19" s="1">
        <v>0.744</v>
      </c>
      <c r="BV19" s="1">
        <v>2.111</v>
      </c>
      <c r="BW19" s="1">
        <v>0.922</v>
      </c>
      <c r="BX19" s="1">
        <v>0.696</v>
      </c>
      <c r="BY19" s="1">
        <v>0.0</v>
      </c>
      <c r="BZ19" s="1">
        <v>0.696</v>
      </c>
      <c r="CA19" s="1">
        <v>0.333</v>
      </c>
      <c r="CB19" s="1">
        <v>0.57</v>
      </c>
      <c r="CC19" s="1">
        <v>0.0</v>
      </c>
      <c r="CD19" s="1">
        <v>0.0</v>
      </c>
      <c r="CE19" s="1">
        <v>0.324</v>
      </c>
      <c r="CF19" s="1">
        <v>0.948</v>
      </c>
      <c r="CG19" s="1">
        <v>1.842</v>
      </c>
      <c r="CH19" s="1">
        <v>0.282</v>
      </c>
      <c r="CI19" s="1">
        <v>6.9803</v>
      </c>
      <c r="CJ19" s="1">
        <v>0.5415</v>
      </c>
      <c r="CK19" s="1">
        <v>0.0</v>
      </c>
      <c r="CL19" s="1">
        <v>0.0</v>
      </c>
      <c r="CM19" s="1">
        <v>0.0</v>
      </c>
      <c r="CN19" s="1">
        <v>0.0</v>
      </c>
      <c r="CO19" s="1">
        <v>0.0</v>
      </c>
      <c r="CP19" s="1">
        <v>0.0</v>
      </c>
      <c r="CQ19" s="1">
        <v>1.0</v>
      </c>
      <c r="CR19" s="1">
        <v>0.0</v>
      </c>
      <c r="CS19" s="1">
        <v>1.0</v>
      </c>
      <c r="CT19" s="1">
        <v>0.0</v>
      </c>
      <c r="CU19" s="1">
        <v>0.0</v>
      </c>
      <c r="CV19" s="1">
        <v>0.0</v>
      </c>
      <c r="CW19" s="1">
        <v>0.0</v>
      </c>
      <c r="CX19" s="1">
        <v>0.0</v>
      </c>
      <c r="CY19" s="1">
        <v>0.0</v>
      </c>
      <c r="CZ19" s="1">
        <v>0.0</v>
      </c>
      <c r="DA19" s="1">
        <v>1.0</v>
      </c>
      <c r="DB19" s="1">
        <v>1.0</v>
      </c>
      <c r="DC19" s="1">
        <v>2.0</v>
      </c>
      <c r="DD19" s="1" t="s">
        <v>197</v>
      </c>
      <c r="DE19" s="1">
        <v>0.00346254863157598</v>
      </c>
      <c r="DF19" s="2" t="s">
        <v>198</v>
      </c>
    </row>
    <row r="20">
      <c r="A20" s="1" t="s">
        <v>199</v>
      </c>
      <c r="B20" s="1">
        <v>29.0</v>
      </c>
      <c r="C20" s="2" t="s">
        <v>177</v>
      </c>
      <c r="D20" s="1">
        <v>950500.0</v>
      </c>
      <c r="E20" s="1">
        <v>8.603</v>
      </c>
      <c r="F20" s="1">
        <v>29007.0</v>
      </c>
      <c r="G20" s="1">
        <v>2.90079505E10</v>
      </c>
      <c r="H20" s="1" t="s">
        <v>112</v>
      </c>
      <c r="I20" s="1" t="s">
        <v>113</v>
      </c>
      <c r="J20" s="1" t="s">
        <v>178</v>
      </c>
      <c r="K20" s="1" t="s">
        <v>200</v>
      </c>
      <c r="L20" s="1">
        <v>3582.0</v>
      </c>
      <c r="M20" s="1">
        <v>3153.0</v>
      </c>
      <c r="N20" s="1">
        <v>282.0</v>
      </c>
      <c r="O20" s="1">
        <v>1602.0</v>
      </c>
      <c r="P20" s="1">
        <v>1627.0</v>
      </c>
      <c r="Q20" s="1">
        <v>110.0</v>
      </c>
      <c r="R20" s="1">
        <v>1450.0</v>
      </c>
      <c r="S20" s="1">
        <v>537.0</v>
      </c>
      <c r="T20" s="1">
        <v>325.0</v>
      </c>
      <c r="U20" s="1">
        <v>21.0</v>
      </c>
      <c r="V20" s="1">
        <v>471.0</v>
      </c>
      <c r="W20" s="1">
        <v>21741.0</v>
      </c>
      <c r="X20" s="1">
        <v>3472.0</v>
      </c>
      <c r="Y20" s="1">
        <v>390.0</v>
      </c>
      <c r="Z20" s="1">
        <v>267.0</v>
      </c>
      <c r="AA20" s="1">
        <v>688.0</v>
      </c>
      <c r="AB20" s="1">
        <v>889.0</v>
      </c>
      <c r="AC20" s="1">
        <v>192.0</v>
      </c>
      <c r="AD20" s="1">
        <v>392.0</v>
      </c>
      <c r="AE20" s="1">
        <v>37.0</v>
      </c>
      <c r="AF20" s="1">
        <v>443.0</v>
      </c>
      <c r="AG20" s="1">
        <v>35.0</v>
      </c>
      <c r="AH20" s="1">
        <v>168.0</v>
      </c>
      <c r="AI20" s="1">
        <v>116.0</v>
      </c>
      <c r="AJ20" s="1">
        <v>78.0</v>
      </c>
      <c r="AK20" s="1">
        <v>0.0</v>
      </c>
      <c r="AL20" s="1">
        <v>161.0</v>
      </c>
      <c r="AM20" s="1">
        <v>130.0</v>
      </c>
      <c r="AN20" s="1">
        <v>86.0</v>
      </c>
      <c r="AO20" s="1">
        <v>84.0</v>
      </c>
      <c r="AP20" s="1">
        <v>0.171182</v>
      </c>
      <c r="AQ20" s="1">
        <v>0.102477</v>
      </c>
      <c r="AR20" s="1">
        <v>0.013833</v>
      </c>
      <c r="AS20" s="1">
        <v>0.310266</v>
      </c>
      <c r="AT20" s="1">
        <v>21741.0</v>
      </c>
      <c r="AU20" s="1">
        <v>3472.0</v>
      </c>
      <c r="AV20" s="1">
        <v>0.17687</v>
      </c>
      <c r="AW20" s="1">
        <v>0.120042</v>
      </c>
      <c r="AX20" s="1">
        <v>0.192071</v>
      </c>
      <c r="AY20" s="1">
        <v>0.248185</v>
      </c>
      <c r="AZ20" s="1">
        <v>0.13241379</v>
      </c>
      <c r="BA20" s="1">
        <v>0.109436</v>
      </c>
      <c r="BB20" s="1">
        <v>0.012239</v>
      </c>
      <c r="BC20" s="1">
        <v>0.146539</v>
      </c>
      <c r="BD20" s="1">
        <v>0.021511</v>
      </c>
      <c r="BE20" s="1">
        <v>0.103247</v>
      </c>
      <c r="BF20" s="1">
        <v>0.071296</v>
      </c>
      <c r="BG20" s="1">
        <v>0.047698</v>
      </c>
      <c r="BH20" s="1">
        <v>0.0</v>
      </c>
      <c r="BI20" s="1">
        <v>0.118035</v>
      </c>
      <c r="BJ20" s="1">
        <v>0.095307</v>
      </c>
      <c r="BK20" s="1">
        <v>0.062371</v>
      </c>
      <c r="BL20" s="1">
        <v>0.02345</v>
      </c>
      <c r="BM20" s="1">
        <v>0.648</v>
      </c>
      <c r="BN20" s="1">
        <v>0.014</v>
      </c>
      <c r="BO20" s="1">
        <v>0.5097</v>
      </c>
      <c r="BP20" s="1">
        <v>0.676</v>
      </c>
      <c r="BQ20" s="1">
        <v>1.8477</v>
      </c>
      <c r="BR20" s="1">
        <v>0.4462</v>
      </c>
      <c r="BS20" s="1">
        <v>0.848</v>
      </c>
      <c r="BT20" s="1">
        <v>0.576</v>
      </c>
      <c r="BU20" s="1">
        <v>0.727</v>
      </c>
      <c r="BV20" s="1">
        <v>2.151</v>
      </c>
      <c r="BW20" s="1">
        <v>0.948</v>
      </c>
      <c r="BX20" s="1">
        <v>0.502</v>
      </c>
      <c r="BY20" s="1">
        <v>0.775</v>
      </c>
      <c r="BZ20" s="1">
        <v>1.277</v>
      </c>
      <c r="CA20" s="1">
        <v>0.7</v>
      </c>
      <c r="CB20" s="1">
        <v>0.481</v>
      </c>
      <c r="CC20" s="1">
        <v>0.653</v>
      </c>
      <c r="CD20" s="1">
        <v>0.0</v>
      </c>
      <c r="CE20" s="1">
        <v>0.738</v>
      </c>
      <c r="CF20" s="1">
        <v>0.75</v>
      </c>
      <c r="CG20" s="1">
        <v>2.622</v>
      </c>
      <c r="CH20" s="1">
        <v>0.61</v>
      </c>
      <c r="CI20" s="1">
        <v>7.8977</v>
      </c>
      <c r="CJ20" s="1">
        <v>0.6975</v>
      </c>
      <c r="CK20" s="1">
        <v>0.0</v>
      </c>
      <c r="CL20" s="1">
        <v>0.0</v>
      </c>
      <c r="CM20" s="1">
        <v>0.0</v>
      </c>
      <c r="CN20" s="1">
        <v>0.0</v>
      </c>
      <c r="CO20" s="1">
        <v>0.0</v>
      </c>
      <c r="CP20" s="1">
        <v>0.0</v>
      </c>
      <c r="CQ20" s="1">
        <v>0.0</v>
      </c>
      <c r="CR20" s="1">
        <v>0.0</v>
      </c>
      <c r="CS20" s="1">
        <v>0.0</v>
      </c>
      <c r="CT20" s="1">
        <v>0.0</v>
      </c>
      <c r="CU20" s="1">
        <v>0.0</v>
      </c>
      <c r="CV20" s="1">
        <v>0.0</v>
      </c>
      <c r="CW20" s="1">
        <v>0.0</v>
      </c>
      <c r="CX20" s="1">
        <v>0.0</v>
      </c>
      <c r="CY20" s="1">
        <v>0.0</v>
      </c>
      <c r="CZ20" s="1">
        <v>0.0</v>
      </c>
      <c r="DA20" s="1">
        <v>0.0</v>
      </c>
      <c r="DB20" s="1">
        <v>0.0</v>
      </c>
      <c r="DC20" s="1">
        <v>0.0</v>
      </c>
      <c r="DD20" s="1" t="s">
        <v>201</v>
      </c>
      <c r="DE20" s="1">
        <v>0.00235397341397523</v>
      </c>
      <c r="DF20" s="2" t="s">
        <v>202</v>
      </c>
    </row>
    <row r="21" ht="15.75" customHeight="1">
      <c r="A21" s="1" t="s">
        <v>203</v>
      </c>
      <c r="B21" s="1">
        <v>29.0</v>
      </c>
      <c r="C21" s="2" t="s">
        <v>177</v>
      </c>
      <c r="D21" s="1">
        <v>950700.0</v>
      </c>
      <c r="E21" s="1">
        <v>11.222</v>
      </c>
      <c r="F21" s="1">
        <v>29007.0</v>
      </c>
      <c r="G21" s="1">
        <v>2.90079507E10</v>
      </c>
      <c r="H21" s="1" t="s">
        <v>112</v>
      </c>
      <c r="I21" s="1" t="s">
        <v>113</v>
      </c>
      <c r="J21" s="1" t="s">
        <v>178</v>
      </c>
      <c r="K21" s="1" t="s">
        <v>204</v>
      </c>
      <c r="L21" s="1">
        <v>3400.0</v>
      </c>
      <c r="M21" s="1">
        <v>3687.0</v>
      </c>
      <c r="N21" s="1">
        <v>400.0</v>
      </c>
      <c r="O21" s="1">
        <v>1700.0</v>
      </c>
      <c r="P21" s="1">
        <v>1790.0</v>
      </c>
      <c r="Q21" s="1">
        <v>104.0</v>
      </c>
      <c r="R21" s="1">
        <v>1478.0</v>
      </c>
      <c r="S21" s="1">
        <v>850.0</v>
      </c>
      <c r="T21" s="1">
        <v>312.0</v>
      </c>
      <c r="U21" s="1">
        <v>84.0</v>
      </c>
      <c r="V21" s="1">
        <v>444.0</v>
      </c>
      <c r="W21" s="1">
        <v>17277.0</v>
      </c>
      <c r="X21" s="1">
        <v>2489.0</v>
      </c>
      <c r="Y21" s="1">
        <v>465.0</v>
      </c>
      <c r="Z21" s="1">
        <v>335.0</v>
      </c>
      <c r="AA21" s="1">
        <v>588.0</v>
      </c>
      <c r="AB21" s="1">
        <v>871.0</v>
      </c>
      <c r="AC21" s="1">
        <v>226.0</v>
      </c>
      <c r="AD21" s="1">
        <v>615.0</v>
      </c>
      <c r="AE21" s="1">
        <v>106.0</v>
      </c>
      <c r="AF21" s="1">
        <v>423.0</v>
      </c>
      <c r="AG21" s="1">
        <v>89.0</v>
      </c>
      <c r="AH21" s="1">
        <v>124.0</v>
      </c>
      <c r="AI21" s="1">
        <v>113.0</v>
      </c>
      <c r="AJ21" s="1">
        <v>69.0</v>
      </c>
      <c r="AK21" s="1">
        <v>42.0</v>
      </c>
      <c r="AL21" s="1">
        <v>124.0</v>
      </c>
      <c r="AM21" s="1">
        <v>226.0</v>
      </c>
      <c r="AN21" s="1">
        <v>114.0</v>
      </c>
      <c r="AO21" s="1">
        <v>71.0</v>
      </c>
      <c r="AP21" s="1">
        <v>0.233644</v>
      </c>
      <c r="AQ21" s="1">
        <v>0.082215</v>
      </c>
      <c r="AR21" s="1">
        <v>0.055263</v>
      </c>
      <c r="AS21" s="1">
        <v>0.291995</v>
      </c>
      <c r="AT21" s="1">
        <v>17277.0</v>
      </c>
      <c r="AU21" s="1">
        <v>2489.0</v>
      </c>
      <c r="AV21" s="1">
        <v>0.216379</v>
      </c>
      <c r="AW21" s="1">
        <v>0.153954</v>
      </c>
      <c r="AX21" s="1">
        <v>0.172941</v>
      </c>
      <c r="AY21" s="1">
        <v>0.256176</v>
      </c>
      <c r="AZ21" s="1">
        <v>0.15290933</v>
      </c>
      <c r="BA21" s="1">
        <v>0.180882</v>
      </c>
      <c r="BB21" s="1">
        <v>0.032111</v>
      </c>
      <c r="BC21" s="1">
        <v>0.128099</v>
      </c>
      <c r="BD21" s="1">
        <v>0.04972</v>
      </c>
      <c r="BE21" s="1">
        <v>0.069213</v>
      </c>
      <c r="BF21" s="1">
        <v>0.063128</v>
      </c>
      <c r="BG21" s="1">
        <v>0.038372</v>
      </c>
      <c r="BH21" s="1">
        <v>0.02729</v>
      </c>
      <c r="BI21" s="1">
        <v>0.080537</v>
      </c>
      <c r="BJ21" s="1">
        <v>0.146848</v>
      </c>
      <c r="BK21" s="1">
        <v>0.072978</v>
      </c>
      <c r="BL21" s="1">
        <v>0.020882</v>
      </c>
      <c r="BM21" s="1">
        <v>0.799</v>
      </c>
      <c r="BN21" s="1">
        <v>0.348</v>
      </c>
      <c r="BO21" s="1">
        <v>0.7668</v>
      </c>
      <c r="BP21" s="1">
        <v>0.794</v>
      </c>
      <c r="BQ21" s="1">
        <v>2.7078</v>
      </c>
      <c r="BR21" s="1">
        <v>0.7242</v>
      </c>
      <c r="BS21" s="1">
        <v>0.753</v>
      </c>
      <c r="BT21" s="1">
        <v>0.664</v>
      </c>
      <c r="BU21" s="1">
        <v>0.803</v>
      </c>
      <c r="BV21" s="1">
        <v>2.22</v>
      </c>
      <c r="BW21" s="1">
        <v>0.967</v>
      </c>
      <c r="BX21" s="1">
        <v>0.681</v>
      </c>
      <c r="BY21" s="1">
        <v>0.923</v>
      </c>
      <c r="BZ21" s="1">
        <v>1.604</v>
      </c>
      <c r="CA21" s="1">
        <v>0.874</v>
      </c>
      <c r="CB21" s="1">
        <v>0.656</v>
      </c>
      <c r="CC21" s="1">
        <v>0.633</v>
      </c>
      <c r="CD21" s="1">
        <v>0.783</v>
      </c>
      <c r="CE21" s="1">
        <v>0.853</v>
      </c>
      <c r="CF21" s="1">
        <v>0.719</v>
      </c>
      <c r="CG21" s="1">
        <v>3.644</v>
      </c>
      <c r="CH21" s="1">
        <v>0.967</v>
      </c>
      <c r="CI21" s="1">
        <v>10.1758</v>
      </c>
      <c r="CJ21" s="1">
        <v>0.9596</v>
      </c>
      <c r="CK21" s="1">
        <v>0.0</v>
      </c>
      <c r="CL21" s="1">
        <v>0.0</v>
      </c>
      <c r="CM21" s="1">
        <v>0.0</v>
      </c>
      <c r="CN21" s="1">
        <v>0.0</v>
      </c>
      <c r="CO21" s="1">
        <v>0.0</v>
      </c>
      <c r="CP21" s="1">
        <v>0.0</v>
      </c>
      <c r="CQ21" s="1">
        <v>0.0</v>
      </c>
      <c r="CR21" s="1">
        <v>0.0</v>
      </c>
      <c r="CS21" s="1">
        <v>0.0</v>
      </c>
      <c r="CT21" s="1">
        <v>0.0</v>
      </c>
      <c r="CU21" s="1">
        <v>1.0</v>
      </c>
      <c r="CV21" s="1">
        <v>1.0</v>
      </c>
      <c r="CW21" s="1">
        <v>0.0</v>
      </c>
      <c r="CX21" s="1">
        <v>0.0</v>
      </c>
      <c r="CY21" s="1">
        <v>0.0</v>
      </c>
      <c r="CZ21" s="1">
        <v>0.0</v>
      </c>
      <c r="DA21" s="1">
        <v>0.0</v>
      </c>
      <c r="DB21" s="1">
        <v>0.0</v>
      </c>
      <c r="DC21" s="1">
        <v>1.0</v>
      </c>
      <c r="DD21" s="1" t="s">
        <v>205</v>
      </c>
      <c r="DE21" s="1">
        <v>0.00313224761401426</v>
      </c>
      <c r="DF21" s="2" t="s">
        <v>206</v>
      </c>
    </row>
    <row r="22" ht="15.75" customHeight="1">
      <c r="A22" s="1" t="s">
        <v>207</v>
      </c>
      <c r="B22" s="1">
        <v>29.0</v>
      </c>
      <c r="C22" s="2" t="s">
        <v>208</v>
      </c>
      <c r="D22" s="1">
        <v>960300.0</v>
      </c>
      <c r="E22" s="1">
        <v>15.023</v>
      </c>
      <c r="F22" s="1">
        <v>29009.0</v>
      </c>
      <c r="G22" s="1">
        <v>2.90099603E10</v>
      </c>
      <c r="H22" s="1" t="s">
        <v>112</v>
      </c>
      <c r="I22" s="1" t="s">
        <v>113</v>
      </c>
      <c r="J22" s="1" t="s">
        <v>209</v>
      </c>
      <c r="K22" s="1" t="s">
        <v>210</v>
      </c>
      <c r="L22" s="1">
        <v>6400.0</v>
      </c>
      <c r="M22" s="1">
        <v>6601.0</v>
      </c>
      <c r="N22" s="1">
        <v>354.0</v>
      </c>
      <c r="O22" s="1">
        <v>2778.0</v>
      </c>
      <c r="P22" s="1">
        <v>2736.0</v>
      </c>
      <c r="Q22" s="1">
        <v>266.0</v>
      </c>
      <c r="R22" s="1">
        <v>2444.0</v>
      </c>
      <c r="S22" s="1">
        <v>1566.0</v>
      </c>
      <c r="T22" s="1">
        <v>616.0</v>
      </c>
      <c r="U22" s="1">
        <v>193.0</v>
      </c>
      <c r="V22" s="1">
        <v>473.0</v>
      </c>
      <c r="W22" s="1">
        <v>21940.0</v>
      </c>
      <c r="X22" s="1">
        <v>4115.0</v>
      </c>
      <c r="Y22" s="1">
        <v>927.0</v>
      </c>
      <c r="Z22" s="1">
        <v>293.0</v>
      </c>
      <c r="AA22" s="1">
        <v>909.0</v>
      </c>
      <c r="AB22" s="1">
        <v>1782.0</v>
      </c>
      <c r="AC22" s="1">
        <v>344.0</v>
      </c>
      <c r="AD22" s="1">
        <v>1539.0</v>
      </c>
      <c r="AE22" s="1">
        <v>288.0</v>
      </c>
      <c r="AF22" s="1">
        <v>439.0</v>
      </c>
      <c r="AG22" s="1">
        <v>158.0</v>
      </c>
      <c r="AH22" s="1">
        <v>165.0</v>
      </c>
      <c r="AI22" s="1">
        <v>153.0</v>
      </c>
      <c r="AJ22" s="1">
        <v>109.0</v>
      </c>
      <c r="AK22" s="1">
        <v>105.0</v>
      </c>
      <c r="AL22" s="1">
        <v>137.0</v>
      </c>
      <c r="AM22" s="1">
        <v>130.0</v>
      </c>
      <c r="AN22" s="1">
        <v>80.0</v>
      </c>
      <c r="AO22" s="1">
        <v>132.0</v>
      </c>
      <c r="AP22" s="1">
        <v>0.249243</v>
      </c>
      <c r="AQ22" s="1">
        <v>0.09665</v>
      </c>
      <c r="AR22" s="1">
        <v>0.065534</v>
      </c>
      <c r="AS22" s="1">
        <v>0.160394</v>
      </c>
      <c r="AT22" s="1">
        <v>21940.0</v>
      </c>
      <c r="AU22" s="1">
        <v>4115.0</v>
      </c>
      <c r="AV22" s="1">
        <v>0.216386</v>
      </c>
      <c r="AW22" s="1">
        <v>0.065645</v>
      </c>
      <c r="AX22" s="1">
        <v>0.142031</v>
      </c>
      <c r="AY22" s="1">
        <v>0.278437</v>
      </c>
      <c r="AZ22" s="1">
        <v>0.14075286</v>
      </c>
      <c r="BA22" s="1">
        <v>0.240468</v>
      </c>
      <c r="BB22" s="1">
        <v>0.048024</v>
      </c>
      <c r="BC22" s="1">
        <v>0.073131</v>
      </c>
      <c r="BD22" s="1">
        <v>0.057748</v>
      </c>
      <c r="BE22" s="1">
        <v>0.060045</v>
      </c>
      <c r="BF22" s="1">
        <v>0.055921</v>
      </c>
      <c r="BG22" s="1">
        <v>0.039466</v>
      </c>
      <c r="BH22" s="1">
        <v>0.040887</v>
      </c>
      <c r="BI22" s="1">
        <v>0.05317</v>
      </c>
      <c r="BJ22" s="1">
        <v>0.050623</v>
      </c>
      <c r="BK22" s="1">
        <v>0.03068</v>
      </c>
      <c r="BL22" s="1">
        <v>0.020625</v>
      </c>
      <c r="BM22" s="1">
        <v>0.826</v>
      </c>
      <c r="BN22" s="1">
        <v>0.474</v>
      </c>
      <c r="BO22" s="1">
        <v>0.4968</v>
      </c>
      <c r="BP22" s="1">
        <v>0.794</v>
      </c>
      <c r="BQ22" s="1">
        <v>2.5908</v>
      </c>
      <c r="BR22" s="1">
        <v>0.6989</v>
      </c>
      <c r="BS22" s="1">
        <v>0.516</v>
      </c>
      <c r="BT22" s="1">
        <v>0.841</v>
      </c>
      <c r="BU22" s="1">
        <v>0.761</v>
      </c>
      <c r="BV22" s="1">
        <v>2.118</v>
      </c>
      <c r="BW22" s="1">
        <v>0.927</v>
      </c>
      <c r="BX22" s="1">
        <v>0.753</v>
      </c>
      <c r="BY22" s="1">
        <v>0.957</v>
      </c>
      <c r="BZ22" s="1">
        <v>1.71</v>
      </c>
      <c r="CA22" s="1">
        <v>0.928</v>
      </c>
      <c r="CB22" s="1">
        <v>0.68</v>
      </c>
      <c r="CC22" s="1">
        <v>0.621</v>
      </c>
      <c r="CD22" s="1">
        <v>0.896</v>
      </c>
      <c r="CE22" s="1">
        <v>0.49</v>
      </c>
      <c r="CF22" s="1">
        <v>0.717</v>
      </c>
      <c r="CG22" s="1">
        <v>3.404</v>
      </c>
      <c r="CH22" s="1">
        <v>0.917</v>
      </c>
      <c r="CI22" s="1">
        <v>9.8228</v>
      </c>
      <c r="CJ22" s="1">
        <v>0.9372</v>
      </c>
      <c r="CK22" s="1">
        <v>0.0</v>
      </c>
      <c r="CL22" s="1">
        <v>0.0</v>
      </c>
      <c r="CM22" s="1">
        <v>0.0</v>
      </c>
      <c r="CN22" s="1">
        <v>0.0</v>
      </c>
      <c r="CO22" s="1">
        <v>0.0</v>
      </c>
      <c r="CP22" s="1">
        <v>0.0</v>
      </c>
      <c r="CQ22" s="1">
        <v>0.0</v>
      </c>
      <c r="CR22" s="1">
        <v>0.0</v>
      </c>
      <c r="CS22" s="1">
        <v>0.0</v>
      </c>
      <c r="CT22" s="1">
        <v>0.0</v>
      </c>
      <c r="CU22" s="1">
        <v>1.0</v>
      </c>
      <c r="CV22" s="1">
        <v>1.0</v>
      </c>
      <c r="CW22" s="1">
        <v>0.0</v>
      </c>
      <c r="CX22" s="1">
        <v>0.0</v>
      </c>
      <c r="CY22" s="1">
        <v>0.0</v>
      </c>
      <c r="CZ22" s="1">
        <v>0.0</v>
      </c>
      <c r="DA22" s="1">
        <v>0.0</v>
      </c>
      <c r="DB22" s="1">
        <v>0.0</v>
      </c>
      <c r="DC22" s="1">
        <v>1.0</v>
      </c>
      <c r="DD22" s="1" t="s">
        <v>211</v>
      </c>
      <c r="DE22" s="1">
        <v>0.0039407881502727</v>
      </c>
      <c r="DF22" s="2" t="s">
        <v>212</v>
      </c>
    </row>
    <row r="23" ht="15.75" customHeight="1">
      <c r="A23" s="1" t="s">
        <v>213</v>
      </c>
      <c r="B23" s="1">
        <v>29.0</v>
      </c>
      <c r="C23" s="2" t="s">
        <v>208</v>
      </c>
      <c r="D23" s="1">
        <v>960402.0</v>
      </c>
      <c r="E23" s="1">
        <v>78.446</v>
      </c>
      <c r="F23" s="1">
        <v>29009.0</v>
      </c>
      <c r="G23" s="1">
        <v>2.9009960402E10</v>
      </c>
      <c r="H23" s="1" t="s">
        <v>112</v>
      </c>
      <c r="I23" s="1" t="s">
        <v>113</v>
      </c>
      <c r="J23" s="1" t="s">
        <v>209</v>
      </c>
      <c r="K23" s="1" t="s">
        <v>214</v>
      </c>
      <c r="L23" s="1">
        <v>3641.0</v>
      </c>
      <c r="M23" s="1">
        <v>3266.0</v>
      </c>
      <c r="N23" s="1">
        <v>377.0</v>
      </c>
      <c r="O23" s="1">
        <v>1540.0</v>
      </c>
      <c r="P23" s="1">
        <v>1551.0</v>
      </c>
      <c r="Q23" s="1">
        <v>128.0</v>
      </c>
      <c r="R23" s="1">
        <v>1330.0</v>
      </c>
      <c r="S23" s="1">
        <v>520.0</v>
      </c>
      <c r="T23" s="1">
        <v>214.0</v>
      </c>
      <c r="U23" s="1">
        <v>129.0</v>
      </c>
      <c r="V23" s="1">
        <v>347.0</v>
      </c>
      <c r="W23" s="1">
        <v>16973.0</v>
      </c>
      <c r="X23" s="1">
        <v>2425.0</v>
      </c>
      <c r="Y23" s="1">
        <v>572.0</v>
      </c>
      <c r="Z23" s="1">
        <v>137.0</v>
      </c>
      <c r="AA23" s="1">
        <v>487.0</v>
      </c>
      <c r="AB23" s="1">
        <v>1064.0</v>
      </c>
      <c r="AC23" s="1">
        <v>143.0</v>
      </c>
      <c r="AD23" s="1">
        <v>526.0</v>
      </c>
      <c r="AE23" s="1">
        <v>75.0</v>
      </c>
      <c r="AF23" s="1">
        <v>399.0</v>
      </c>
      <c r="AG23" s="1">
        <v>0.0</v>
      </c>
      <c r="AH23" s="1">
        <v>197.0</v>
      </c>
      <c r="AI23" s="1">
        <v>365.0</v>
      </c>
      <c r="AJ23" s="1">
        <v>103.0</v>
      </c>
      <c r="AK23" s="1">
        <v>30.0</v>
      </c>
      <c r="AL23" s="1">
        <v>117.0</v>
      </c>
      <c r="AM23" s="1">
        <v>70.0</v>
      </c>
      <c r="AN23" s="1">
        <v>37.0</v>
      </c>
      <c r="AO23" s="1">
        <v>0.0</v>
      </c>
      <c r="AP23" s="1">
        <v>0.16124</v>
      </c>
      <c r="AQ23" s="1">
        <v>0.063711</v>
      </c>
      <c r="AR23" s="1">
        <v>0.082586</v>
      </c>
      <c r="AS23" s="1">
        <v>0.221878</v>
      </c>
      <c r="AT23" s="1">
        <v>16973.0</v>
      </c>
      <c r="AU23" s="1">
        <v>2425.0</v>
      </c>
      <c r="AV23" s="1">
        <v>0.264447</v>
      </c>
      <c r="AW23" s="1">
        <v>0.056384</v>
      </c>
      <c r="AX23" s="1">
        <v>0.133754</v>
      </c>
      <c r="AY23" s="1">
        <v>0.292227</v>
      </c>
      <c r="AZ23" s="1">
        <v>0.10751879</v>
      </c>
      <c r="BA23" s="1">
        <v>0.144465</v>
      </c>
      <c r="BB23" s="1">
        <v>0.02439</v>
      </c>
      <c r="BC23" s="1">
        <v>0.129726</v>
      </c>
      <c r="BD23" s="1">
        <v>0.0</v>
      </c>
      <c r="BE23" s="1">
        <v>0.127014</v>
      </c>
      <c r="BF23" s="1">
        <v>0.235332</v>
      </c>
      <c r="BG23" s="1">
        <v>0.063505</v>
      </c>
      <c r="BH23" s="1">
        <v>0.023076</v>
      </c>
      <c r="BI23" s="1">
        <v>0.089965</v>
      </c>
      <c r="BJ23" s="1">
        <v>0.053846</v>
      </c>
      <c r="BK23" s="1">
        <v>0.027864</v>
      </c>
      <c r="BL23" s="1">
        <v>0.0</v>
      </c>
      <c r="BM23" s="1">
        <v>0.615</v>
      </c>
      <c r="BN23" s="1">
        <v>0.636</v>
      </c>
      <c r="BO23" s="1">
        <v>0.7877</v>
      </c>
      <c r="BP23" s="1">
        <v>0.896</v>
      </c>
      <c r="BQ23" s="1">
        <v>2.9347</v>
      </c>
      <c r="BR23" s="1">
        <v>0.7913</v>
      </c>
      <c r="BS23" s="1">
        <v>0.448</v>
      </c>
      <c r="BT23" s="1">
        <v>0.894</v>
      </c>
      <c r="BU23" s="1">
        <v>0.564</v>
      </c>
      <c r="BV23" s="1">
        <v>1.906</v>
      </c>
      <c r="BW23" s="1">
        <v>0.805</v>
      </c>
      <c r="BX23" s="1">
        <v>0.602</v>
      </c>
      <c r="BY23" s="1">
        <v>0.886</v>
      </c>
      <c r="BZ23" s="1">
        <v>1.488</v>
      </c>
      <c r="CA23" s="1">
        <v>0.817</v>
      </c>
      <c r="CB23" s="1">
        <v>0.0</v>
      </c>
      <c r="CC23" s="1">
        <v>0.937</v>
      </c>
      <c r="CD23" s="1">
        <v>0.728</v>
      </c>
      <c r="CE23" s="1">
        <v>0.519</v>
      </c>
      <c r="CF23" s="1">
        <v>0.0</v>
      </c>
      <c r="CG23" s="1">
        <v>2.184</v>
      </c>
      <c r="CH23" s="1">
        <v>0.412</v>
      </c>
      <c r="CI23" s="1">
        <v>8.5127</v>
      </c>
      <c r="CJ23" s="1">
        <v>0.7892</v>
      </c>
      <c r="CK23" s="1">
        <v>0.0</v>
      </c>
      <c r="CL23" s="1">
        <v>0.0</v>
      </c>
      <c r="CM23" s="1">
        <v>0.0</v>
      </c>
      <c r="CN23" s="1">
        <v>0.0</v>
      </c>
      <c r="CO23" s="1">
        <v>0.0</v>
      </c>
      <c r="CP23" s="1">
        <v>0.0</v>
      </c>
      <c r="CQ23" s="1">
        <v>0.0</v>
      </c>
      <c r="CR23" s="1">
        <v>0.0</v>
      </c>
      <c r="CS23" s="1">
        <v>0.0</v>
      </c>
      <c r="CT23" s="1">
        <v>0.0</v>
      </c>
      <c r="CU23" s="1">
        <v>0.0</v>
      </c>
      <c r="CV23" s="1">
        <v>0.0</v>
      </c>
      <c r="CW23" s="1">
        <v>0.0</v>
      </c>
      <c r="CX23" s="1">
        <v>1.0</v>
      </c>
      <c r="CY23" s="1">
        <v>0.0</v>
      </c>
      <c r="CZ23" s="1">
        <v>0.0</v>
      </c>
      <c r="DA23" s="1">
        <v>0.0</v>
      </c>
      <c r="DB23" s="1">
        <v>1.0</v>
      </c>
      <c r="DC23" s="1">
        <v>1.0</v>
      </c>
      <c r="DD23" s="1" t="s">
        <v>215</v>
      </c>
      <c r="DE23" s="2" t="s">
        <v>216</v>
      </c>
      <c r="DF23" s="2" t="s">
        <v>217</v>
      </c>
    </row>
    <row r="24" ht="15.75" customHeight="1">
      <c r="A24" s="1" t="s">
        <v>218</v>
      </c>
      <c r="B24" s="1">
        <v>29.0</v>
      </c>
      <c r="C24" s="2" t="s">
        <v>208</v>
      </c>
      <c r="D24" s="1">
        <v>960500.0</v>
      </c>
      <c r="E24" s="1">
        <v>67.413</v>
      </c>
      <c r="F24" s="1">
        <v>29009.0</v>
      </c>
      <c r="G24" s="1">
        <v>2.90099605E10</v>
      </c>
      <c r="H24" s="1" t="s">
        <v>112</v>
      </c>
      <c r="I24" s="1" t="s">
        <v>113</v>
      </c>
      <c r="J24" s="1" t="s">
        <v>209</v>
      </c>
      <c r="K24" s="1" t="s">
        <v>219</v>
      </c>
      <c r="L24" s="1">
        <v>6054.0</v>
      </c>
      <c r="M24" s="1">
        <v>5727.0</v>
      </c>
      <c r="N24" s="1">
        <v>552.0</v>
      </c>
      <c r="O24" s="1">
        <v>2626.0</v>
      </c>
      <c r="P24" s="1">
        <v>2588.0</v>
      </c>
      <c r="Q24" s="1">
        <v>191.0</v>
      </c>
      <c r="R24" s="1">
        <v>2377.0</v>
      </c>
      <c r="S24" s="1">
        <v>698.0</v>
      </c>
      <c r="T24" s="1">
        <v>271.0</v>
      </c>
      <c r="U24" s="1">
        <v>159.0</v>
      </c>
      <c r="V24" s="1">
        <v>438.0</v>
      </c>
      <c r="W24" s="1">
        <v>20198.0</v>
      </c>
      <c r="X24" s="1">
        <v>2553.0</v>
      </c>
      <c r="Y24" s="1">
        <v>424.0</v>
      </c>
      <c r="Z24" s="1">
        <v>297.0</v>
      </c>
      <c r="AA24" s="1">
        <v>1121.0</v>
      </c>
      <c r="AB24" s="1">
        <v>1445.0</v>
      </c>
      <c r="AC24" s="1">
        <v>246.0</v>
      </c>
      <c r="AD24" s="1">
        <v>375.0</v>
      </c>
      <c r="AE24" s="1">
        <v>49.0</v>
      </c>
      <c r="AF24" s="1">
        <v>429.0</v>
      </c>
      <c r="AG24" s="1">
        <v>96.0</v>
      </c>
      <c r="AH24" s="1">
        <v>135.0</v>
      </c>
      <c r="AI24" s="1">
        <v>492.0</v>
      </c>
      <c r="AJ24" s="1">
        <v>169.0</v>
      </c>
      <c r="AK24" s="1">
        <v>73.0</v>
      </c>
      <c r="AL24" s="1">
        <v>131.0</v>
      </c>
      <c r="AM24" s="1">
        <v>138.0</v>
      </c>
      <c r="AN24" s="1">
        <v>81.0</v>
      </c>
      <c r="AO24" s="1">
        <v>164.0</v>
      </c>
      <c r="AP24" s="1">
        <v>0.123343</v>
      </c>
      <c r="AQ24" s="1">
        <v>0.04634</v>
      </c>
      <c r="AR24" s="1">
        <v>0.059572</v>
      </c>
      <c r="AS24" s="1">
        <v>0.163854</v>
      </c>
      <c r="AT24" s="1">
        <v>20198.0</v>
      </c>
      <c r="AU24" s="1">
        <v>2553.0</v>
      </c>
      <c r="AV24" s="1">
        <v>0.112946</v>
      </c>
      <c r="AW24" s="1">
        <v>0.078222</v>
      </c>
      <c r="AX24" s="1">
        <v>0.185166</v>
      </c>
      <c r="AY24" s="1">
        <v>0.238685</v>
      </c>
      <c r="AZ24" s="1">
        <v>0.10349179</v>
      </c>
      <c r="BA24" s="1">
        <v>0.061942</v>
      </c>
      <c r="BB24" s="1">
        <v>0.009082</v>
      </c>
      <c r="BC24" s="1">
        <v>0.079513</v>
      </c>
      <c r="BD24" s="1">
        <v>0.037094</v>
      </c>
      <c r="BE24" s="1">
        <v>0.052091</v>
      </c>
      <c r="BF24" s="1">
        <v>0.190108</v>
      </c>
      <c r="BG24" s="1">
        <v>0.063776</v>
      </c>
      <c r="BH24" s="1">
        <v>0.030366</v>
      </c>
      <c r="BI24" s="1">
        <v>0.054422</v>
      </c>
      <c r="BJ24" s="1">
        <v>0.057404</v>
      </c>
      <c r="BK24" s="1">
        <v>0.033285</v>
      </c>
      <c r="BL24" s="1">
        <v>0.027089</v>
      </c>
      <c r="BM24" s="1">
        <v>0.466</v>
      </c>
      <c r="BN24" s="1">
        <v>0.413</v>
      </c>
      <c r="BO24" s="1">
        <v>0.6007</v>
      </c>
      <c r="BP24" s="1">
        <v>0.392</v>
      </c>
      <c r="BQ24" s="1">
        <v>1.8717</v>
      </c>
      <c r="BR24" s="1">
        <v>0.4542</v>
      </c>
      <c r="BS24" s="1">
        <v>0.817</v>
      </c>
      <c r="BT24" s="1">
        <v>0.482</v>
      </c>
      <c r="BU24" s="1">
        <v>0.527</v>
      </c>
      <c r="BV24" s="1">
        <v>1.826</v>
      </c>
      <c r="BW24" s="1">
        <v>0.746</v>
      </c>
      <c r="BX24" s="1">
        <v>0.323</v>
      </c>
      <c r="BY24" s="1">
        <v>0.699</v>
      </c>
      <c r="BZ24" s="1">
        <v>1.022</v>
      </c>
      <c r="CA24" s="1">
        <v>0.57</v>
      </c>
      <c r="CB24" s="1">
        <v>0.595</v>
      </c>
      <c r="CC24" s="1">
        <v>0.882</v>
      </c>
      <c r="CD24" s="1">
        <v>0.814</v>
      </c>
      <c r="CE24" s="1">
        <v>0.551</v>
      </c>
      <c r="CF24" s="1">
        <v>0.787</v>
      </c>
      <c r="CG24" s="1">
        <v>3.629</v>
      </c>
      <c r="CH24" s="1">
        <v>0.964</v>
      </c>
      <c r="CI24" s="1">
        <v>8.3487</v>
      </c>
      <c r="CJ24" s="1">
        <v>0.7668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0.0</v>
      </c>
      <c r="CQ24" s="1">
        <v>0.0</v>
      </c>
      <c r="CR24" s="1">
        <v>0.0</v>
      </c>
      <c r="CS24" s="1">
        <v>0.0</v>
      </c>
      <c r="CT24" s="1">
        <v>0.0</v>
      </c>
      <c r="CU24" s="1">
        <v>0.0</v>
      </c>
      <c r="CV24" s="1">
        <v>0.0</v>
      </c>
      <c r="CW24" s="1">
        <v>0.0</v>
      </c>
      <c r="CX24" s="1">
        <v>0.0</v>
      </c>
      <c r="CY24" s="1">
        <v>0.0</v>
      </c>
      <c r="CZ24" s="1">
        <v>0.0</v>
      </c>
      <c r="DA24" s="1">
        <v>0.0</v>
      </c>
      <c r="DB24" s="1">
        <v>0.0</v>
      </c>
      <c r="DC24" s="1">
        <v>0.0</v>
      </c>
      <c r="DD24" s="1" t="s">
        <v>220</v>
      </c>
      <c r="DE24" s="2" t="s">
        <v>221</v>
      </c>
      <c r="DF24" s="1">
        <v>0.726723094811748</v>
      </c>
    </row>
    <row r="25" ht="15.75" customHeight="1">
      <c r="A25" s="1" t="s">
        <v>222</v>
      </c>
      <c r="B25" s="1">
        <v>29.0</v>
      </c>
      <c r="C25" s="2" t="s">
        <v>208</v>
      </c>
      <c r="D25" s="1">
        <v>960600.0</v>
      </c>
      <c r="E25" s="1">
        <v>35.897</v>
      </c>
      <c r="F25" s="1">
        <v>29009.0</v>
      </c>
      <c r="G25" s="1">
        <v>2.90099606E10</v>
      </c>
      <c r="H25" s="1" t="s">
        <v>112</v>
      </c>
      <c r="I25" s="1" t="s">
        <v>113</v>
      </c>
      <c r="J25" s="1" t="s">
        <v>209</v>
      </c>
      <c r="K25" s="1" t="s">
        <v>223</v>
      </c>
      <c r="L25" s="1">
        <v>2767.0</v>
      </c>
      <c r="M25" s="1">
        <v>3134.0</v>
      </c>
      <c r="N25" s="1">
        <v>519.0</v>
      </c>
      <c r="O25" s="1">
        <v>2352.0</v>
      </c>
      <c r="P25" s="1">
        <v>2276.0</v>
      </c>
      <c r="Q25" s="1">
        <v>89.0</v>
      </c>
      <c r="R25" s="1">
        <v>1344.0</v>
      </c>
      <c r="S25" s="1">
        <v>433.0</v>
      </c>
      <c r="T25" s="1">
        <v>231.0</v>
      </c>
      <c r="U25" s="1">
        <v>145.0</v>
      </c>
      <c r="V25" s="1">
        <v>386.0</v>
      </c>
      <c r="W25" s="1">
        <v>21932.0</v>
      </c>
      <c r="X25" s="1">
        <v>3274.0</v>
      </c>
      <c r="Y25" s="1">
        <v>404.0</v>
      </c>
      <c r="Z25" s="1">
        <v>241.0</v>
      </c>
      <c r="AA25" s="1">
        <v>1005.0</v>
      </c>
      <c r="AB25" s="1">
        <v>293.0</v>
      </c>
      <c r="AC25" s="1">
        <v>54.0</v>
      </c>
      <c r="AD25" s="1">
        <v>85.0</v>
      </c>
      <c r="AE25" s="1">
        <v>51.0</v>
      </c>
      <c r="AF25" s="1">
        <v>448.0</v>
      </c>
      <c r="AG25" s="1">
        <v>0.0</v>
      </c>
      <c r="AH25" s="1">
        <v>197.0</v>
      </c>
      <c r="AI25" s="1">
        <v>473.0</v>
      </c>
      <c r="AJ25" s="1">
        <v>130.0</v>
      </c>
      <c r="AK25" s="1">
        <v>27.0</v>
      </c>
      <c r="AL25" s="1">
        <v>116.0</v>
      </c>
      <c r="AM25" s="1">
        <v>18.0</v>
      </c>
      <c r="AN25" s="1">
        <v>17.0</v>
      </c>
      <c r="AO25" s="1">
        <v>0.0</v>
      </c>
      <c r="AP25" s="1">
        <v>0.13825</v>
      </c>
      <c r="AQ25" s="1">
        <v>0.070106</v>
      </c>
      <c r="AR25" s="1">
        <v>0.133272</v>
      </c>
      <c r="AS25" s="1">
        <v>0.352634</v>
      </c>
      <c r="AT25" s="1">
        <v>21932.0</v>
      </c>
      <c r="AU25" s="1">
        <v>3274.0</v>
      </c>
      <c r="AV25" s="1">
        <v>0.158617</v>
      </c>
      <c r="AW25" s="1">
        <v>0.092221</v>
      </c>
      <c r="AX25" s="1">
        <v>0.363209</v>
      </c>
      <c r="AY25" s="1">
        <v>0.10589</v>
      </c>
      <c r="AZ25" s="1">
        <v>0.04017857</v>
      </c>
      <c r="BA25" s="1">
        <v>0.030719</v>
      </c>
      <c r="BB25" s="1">
        <v>0.016612</v>
      </c>
      <c r="BC25" s="1">
        <v>0.145904</v>
      </c>
      <c r="BD25" s="1">
        <v>0.0</v>
      </c>
      <c r="BE25" s="1">
        <v>0.086555</v>
      </c>
      <c r="BF25" s="1">
        <v>0.20782</v>
      </c>
      <c r="BG25" s="1">
        <v>0.056536</v>
      </c>
      <c r="BH25" s="1">
        <v>0.019536</v>
      </c>
      <c r="BI25" s="1">
        <v>0.083901</v>
      </c>
      <c r="BJ25" s="1">
        <v>0.013024</v>
      </c>
      <c r="BK25" s="1">
        <v>0.012194</v>
      </c>
      <c r="BL25" s="1">
        <v>0.0</v>
      </c>
      <c r="BM25" s="1">
        <v>0.535</v>
      </c>
      <c r="BN25" s="1">
        <v>0.865</v>
      </c>
      <c r="BO25" s="1">
        <v>0.4982</v>
      </c>
      <c r="BP25" s="1">
        <v>0.605</v>
      </c>
      <c r="BQ25" s="1">
        <v>2.5032</v>
      </c>
      <c r="BR25" s="1">
        <v>0.6664</v>
      </c>
      <c r="BS25" s="1">
        <v>0.997</v>
      </c>
      <c r="BT25" s="1">
        <v>0.027</v>
      </c>
      <c r="BU25" s="1">
        <v>0.038</v>
      </c>
      <c r="BV25" s="1">
        <v>1.062</v>
      </c>
      <c r="BW25" s="1">
        <v>0.143</v>
      </c>
      <c r="BX25" s="1">
        <v>0.084</v>
      </c>
      <c r="BY25" s="1">
        <v>0.834</v>
      </c>
      <c r="BZ25" s="1">
        <v>0.918</v>
      </c>
      <c r="CA25" s="1">
        <v>0.481</v>
      </c>
      <c r="CB25" s="1">
        <v>0.0</v>
      </c>
      <c r="CC25" s="1">
        <v>0.908</v>
      </c>
      <c r="CD25" s="1">
        <v>0.676</v>
      </c>
      <c r="CE25" s="1">
        <v>0.114</v>
      </c>
      <c r="CF25" s="1">
        <v>0.0</v>
      </c>
      <c r="CG25" s="1">
        <v>1.698</v>
      </c>
      <c r="CH25" s="1">
        <v>0.233</v>
      </c>
      <c r="CI25" s="1">
        <v>6.1812</v>
      </c>
      <c r="CJ25" s="1">
        <v>0.4022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1.0</v>
      </c>
      <c r="CQ25" s="1">
        <v>0.0</v>
      </c>
      <c r="CR25" s="1">
        <v>0.0</v>
      </c>
      <c r="CS25" s="1">
        <v>1.0</v>
      </c>
      <c r="CT25" s="1">
        <v>0.0</v>
      </c>
      <c r="CU25" s="1">
        <v>0.0</v>
      </c>
      <c r="CV25" s="1">
        <v>0.0</v>
      </c>
      <c r="CW25" s="1">
        <v>0.0</v>
      </c>
      <c r="CX25" s="1">
        <v>1.0</v>
      </c>
      <c r="CY25" s="1">
        <v>0.0</v>
      </c>
      <c r="CZ25" s="1">
        <v>0.0</v>
      </c>
      <c r="DA25" s="1">
        <v>0.0</v>
      </c>
      <c r="DB25" s="1">
        <v>1.0</v>
      </c>
      <c r="DC25" s="1">
        <v>2.0</v>
      </c>
      <c r="DD25" s="1" t="s">
        <v>224</v>
      </c>
      <c r="DE25" s="1">
        <v>0.0111833422639863</v>
      </c>
      <c r="DF25" s="2" t="s">
        <v>225</v>
      </c>
    </row>
    <row r="26" ht="15.75" customHeight="1">
      <c r="A26" s="1" t="s">
        <v>226</v>
      </c>
      <c r="B26" s="1">
        <v>29.0</v>
      </c>
      <c r="C26" s="2" t="s">
        <v>208</v>
      </c>
      <c r="D26" s="1">
        <v>960100.0</v>
      </c>
      <c r="E26" s="1">
        <v>277.076</v>
      </c>
      <c r="F26" s="1">
        <v>29009.0</v>
      </c>
      <c r="G26" s="1">
        <v>2.90099601E10</v>
      </c>
      <c r="H26" s="1" t="s">
        <v>112</v>
      </c>
      <c r="I26" s="1" t="s">
        <v>113</v>
      </c>
      <c r="J26" s="1" t="s">
        <v>209</v>
      </c>
      <c r="K26" s="1" t="s">
        <v>227</v>
      </c>
      <c r="L26" s="1">
        <v>6127.0</v>
      </c>
      <c r="M26" s="1">
        <v>6163.0</v>
      </c>
      <c r="N26" s="1">
        <v>563.0</v>
      </c>
      <c r="O26" s="1">
        <v>3551.0</v>
      </c>
      <c r="P26" s="1">
        <v>3382.0</v>
      </c>
      <c r="Q26" s="1">
        <v>155.0</v>
      </c>
      <c r="R26" s="1">
        <v>2556.0</v>
      </c>
      <c r="S26" s="1">
        <v>639.0</v>
      </c>
      <c r="T26" s="1">
        <v>235.0</v>
      </c>
      <c r="U26" s="1">
        <v>239.0</v>
      </c>
      <c r="V26" s="1">
        <v>401.0</v>
      </c>
      <c r="W26" s="1">
        <v>19899.0</v>
      </c>
      <c r="X26" s="1">
        <v>2570.0</v>
      </c>
      <c r="Y26" s="1">
        <v>803.0</v>
      </c>
      <c r="Z26" s="1">
        <v>292.0</v>
      </c>
      <c r="AA26" s="1">
        <v>1259.0</v>
      </c>
      <c r="AB26" s="1">
        <v>1220.0</v>
      </c>
      <c r="AC26" s="1">
        <v>177.0</v>
      </c>
      <c r="AD26" s="1">
        <v>289.0</v>
      </c>
      <c r="AE26" s="1">
        <v>0.0</v>
      </c>
      <c r="AF26" s="1">
        <v>456.0</v>
      </c>
      <c r="AG26" s="1">
        <v>0.0</v>
      </c>
      <c r="AH26" s="1">
        <v>197.0</v>
      </c>
      <c r="AI26" s="1">
        <v>661.0</v>
      </c>
      <c r="AJ26" s="1">
        <v>173.0</v>
      </c>
      <c r="AK26" s="1">
        <v>63.0</v>
      </c>
      <c r="AL26" s="1">
        <v>127.0</v>
      </c>
      <c r="AM26" s="1">
        <v>39.0</v>
      </c>
      <c r="AN26" s="1">
        <v>34.0</v>
      </c>
      <c r="AO26" s="1">
        <v>0.0</v>
      </c>
      <c r="AP26" s="1">
        <v>0.105029</v>
      </c>
      <c r="AQ26" s="1">
        <v>0.037501</v>
      </c>
      <c r="AR26" s="1">
        <v>0.098273</v>
      </c>
      <c r="AS26" s="1">
        <v>0.164334</v>
      </c>
      <c r="AT26" s="1">
        <v>19899.0</v>
      </c>
      <c r="AU26" s="1">
        <v>2570.0</v>
      </c>
      <c r="AV26" s="1">
        <v>0.183584</v>
      </c>
      <c r="AW26" s="1">
        <v>0.064793</v>
      </c>
      <c r="AX26" s="1">
        <v>0.205483</v>
      </c>
      <c r="AY26" s="1">
        <v>0.199118</v>
      </c>
      <c r="AZ26" s="1">
        <v>0.06924882</v>
      </c>
      <c r="BA26" s="1">
        <v>0.047168</v>
      </c>
      <c r="BB26" s="1">
        <v>0.0</v>
      </c>
      <c r="BC26" s="1">
        <v>0.078458</v>
      </c>
      <c r="BD26" s="1">
        <v>0.0</v>
      </c>
      <c r="BE26" s="1">
        <v>0.058249</v>
      </c>
      <c r="BF26" s="1">
        <v>0.195446</v>
      </c>
      <c r="BG26" s="1">
        <v>0.050362</v>
      </c>
      <c r="BH26" s="1">
        <v>0.024174</v>
      </c>
      <c r="BI26" s="1">
        <v>0.048692</v>
      </c>
      <c r="BJ26" s="1">
        <v>0.014965</v>
      </c>
      <c r="BK26" s="1">
        <v>0.012988</v>
      </c>
      <c r="BL26" s="1">
        <v>0.0</v>
      </c>
      <c r="BM26" s="1">
        <v>0.39</v>
      </c>
      <c r="BN26" s="1">
        <v>0.722</v>
      </c>
      <c r="BO26" s="1">
        <v>0.6209</v>
      </c>
      <c r="BP26" s="1">
        <v>0.697</v>
      </c>
      <c r="BQ26" s="1">
        <v>2.4299</v>
      </c>
      <c r="BR26" s="1">
        <v>0.6419</v>
      </c>
      <c r="BS26" s="1">
        <v>0.897</v>
      </c>
      <c r="BT26" s="1">
        <v>0.184</v>
      </c>
      <c r="BU26" s="1">
        <v>0.209</v>
      </c>
      <c r="BV26" s="1">
        <v>1.29</v>
      </c>
      <c r="BW26" s="1">
        <v>0.294</v>
      </c>
      <c r="BX26" s="1">
        <v>0.23</v>
      </c>
      <c r="BY26" s="1">
        <v>0.0</v>
      </c>
      <c r="BZ26" s="1">
        <v>0.23</v>
      </c>
      <c r="CA26" s="1">
        <v>0.101</v>
      </c>
      <c r="CB26" s="1">
        <v>0.0</v>
      </c>
      <c r="CC26" s="1">
        <v>0.892</v>
      </c>
      <c r="CD26" s="1">
        <v>0.745</v>
      </c>
      <c r="CE26" s="1">
        <v>0.133</v>
      </c>
      <c r="CF26" s="1">
        <v>0.0</v>
      </c>
      <c r="CG26" s="1">
        <v>1.77</v>
      </c>
      <c r="CH26" s="1">
        <v>0.258</v>
      </c>
      <c r="CI26" s="1">
        <v>5.7199</v>
      </c>
      <c r="CJ26" s="1">
        <v>0.3242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>
        <v>0.0</v>
      </c>
      <c r="CV26" s="1">
        <v>0.0</v>
      </c>
      <c r="CW26" s="1">
        <v>0.0</v>
      </c>
      <c r="CX26" s="1">
        <v>0.0</v>
      </c>
      <c r="CY26" s="1">
        <v>0.0</v>
      </c>
      <c r="CZ26" s="1">
        <v>0.0</v>
      </c>
      <c r="DA26" s="1">
        <v>0.0</v>
      </c>
      <c r="DB26" s="1">
        <v>0.0</v>
      </c>
      <c r="DC26" s="1">
        <v>0.0</v>
      </c>
      <c r="DD26" s="1" t="s">
        <v>228</v>
      </c>
      <c r="DE26" s="1">
        <v>0.0735543845933059</v>
      </c>
      <c r="DF26" s="2" t="s">
        <v>229</v>
      </c>
    </row>
    <row r="27" ht="15.75" customHeight="1">
      <c r="A27" s="1" t="s">
        <v>230</v>
      </c>
      <c r="B27" s="1">
        <v>29.0</v>
      </c>
      <c r="C27" s="2" t="s">
        <v>208</v>
      </c>
      <c r="D27" s="1">
        <v>960200.0</v>
      </c>
      <c r="E27" s="1">
        <v>173.85</v>
      </c>
      <c r="F27" s="1">
        <v>29009.0</v>
      </c>
      <c r="G27" s="1">
        <v>2.90099602E10</v>
      </c>
      <c r="H27" s="1" t="s">
        <v>112</v>
      </c>
      <c r="I27" s="1" t="s">
        <v>113</v>
      </c>
      <c r="J27" s="1" t="s">
        <v>209</v>
      </c>
      <c r="K27" s="1" t="s">
        <v>231</v>
      </c>
      <c r="L27" s="1">
        <v>6418.0</v>
      </c>
      <c r="M27" s="1">
        <v>7123.0</v>
      </c>
      <c r="N27" s="1">
        <v>627.0</v>
      </c>
      <c r="O27" s="1">
        <v>2752.0</v>
      </c>
      <c r="P27" s="1">
        <v>2907.0</v>
      </c>
      <c r="Q27" s="1">
        <v>150.0</v>
      </c>
      <c r="R27" s="1">
        <v>2389.0</v>
      </c>
      <c r="S27" s="1">
        <v>1316.0</v>
      </c>
      <c r="T27" s="1">
        <v>386.0</v>
      </c>
      <c r="U27" s="1">
        <v>360.0</v>
      </c>
      <c r="V27" s="1">
        <v>304.0</v>
      </c>
      <c r="W27" s="1">
        <v>17093.0</v>
      </c>
      <c r="X27" s="1">
        <v>2275.0</v>
      </c>
      <c r="Y27" s="1">
        <v>1157.0</v>
      </c>
      <c r="Z27" s="1">
        <v>254.0</v>
      </c>
      <c r="AA27" s="1">
        <v>875.0</v>
      </c>
      <c r="AB27" s="1">
        <v>1787.0</v>
      </c>
      <c r="AC27" s="1">
        <v>268.0</v>
      </c>
      <c r="AD27" s="1">
        <v>1034.0</v>
      </c>
      <c r="AE27" s="1">
        <v>265.0</v>
      </c>
      <c r="AF27" s="1">
        <v>416.0</v>
      </c>
      <c r="AG27" s="1">
        <v>22.0</v>
      </c>
      <c r="AH27" s="1">
        <v>115.0</v>
      </c>
      <c r="AI27" s="1">
        <v>559.0</v>
      </c>
      <c r="AJ27" s="1">
        <v>146.0</v>
      </c>
      <c r="AK27" s="1">
        <v>105.0</v>
      </c>
      <c r="AL27" s="1">
        <v>136.0</v>
      </c>
      <c r="AM27" s="1">
        <v>52.0</v>
      </c>
      <c r="AN27" s="1">
        <v>28.0</v>
      </c>
      <c r="AO27" s="1">
        <v>0.0</v>
      </c>
      <c r="AP27" s="1">
        <v>0.185039</v>
      </c>
      <c r="AQ27" s="1">
        <v>0.051773</v>
      </c>
      <c r="AR27" s="1">
        <v>0.112079</v>
      </c>
      <c r="AS27" s="1">
        <v>0.093812</v>
      </c>
      <c r="AT27" s="1">
        <v>17093.0</v>
      </c>
      <c r="AU27" s="1">
        <v>2275.0</v>
      </c>
      <c r="AV27" s="1">
        <v>0.257626</v>
      </c>
      <c r="AW27" s="1">
        <v>0.051845</v>
      </c>
      <c r="AX27" s="1">
        <v>0.136335</v>
      </c>
      <c r="AY27" s="1">
        <v>0.278435</v>
      </c>
      <c r="AZ27" s="1">
        <v>0.11218082</v>
      </c>
      <c r="BA27" s="1">
        <v>0.161109</v>
      </c>
      <c r="BB27" s="1">
        <v>0.040012</v>
      </c>
      <c r="BC27" s="1">
        <v>0.062716</v>
      </c>
      <c r="BD27" s="1">
        <v>0.007567</v>
      </c>
      <c r="BE27" s="1">
        <v>0.039557</v>
      </c>
      <c r="BF27" s="1">
        <v>0.192294</v>
      </c>
      <c r="BG27" s="1">
        <v>0.049233</v>
      </c>
      <c r="BH27" s="1">
        <v>0.04165</v>
      </c>
      <c r="BI27" s="1">
        <v>0.053852</v>
      </c>
      <c r="BJ27" s="1">
        <v>0.020626</v>
      </c>
      <c r="BK27" s="1">
        <v>0.010993</v>
      </c>
      <c r="BL27" s="1">
        <v>0.0</v>
      </c>
      <c r="BM27" s="1">
        <v>0.688</v>
      </c>
      <c r="BN27" s="1">
        <v>0.793</v>
      </c>
      <c r="BO27" s="1">
        <v>0.7805</v>
      </c>
      <c r="BP27" s="1">
        <v>0.886</v>
      </c>
      <c r="BQ27" s="1">
        <v>3.1475</v>
      </c>
      <c r="BR27" s="1">
        <v>0.839</v>
      </c>
      <c r="BS27" s="1">
        <v>0.466</v>
      </c>
      <c r="BT27" s="1">
        <v>0.841</v>
      </c>
      <c r="BU27" s="1">
        <v>0.605</v>
      </c>
      <c r="BV27" s="1">
        <v>1.912</v>
      </c>
      <c r="BW27" s="1">
        <v>0.807</v>
      </c>
      <c r="BX27" s="1">
        <v>0.653</v>
      </c>
      <c r="BY27" s="1">
        <v>0.947</v>
      </c>
      <c r="BZ27" s="1">
        <v>1.6</v>
      </c>
      <c r="CA27" s="1">
        <v>0.871</v>
      </c>
      <c r="CB27" s="1">
        <v>0.359</v>
      </c>
      <c r="CC27" s="1">
        <v>0.886</v>
      </c>
      <c r="CD27" s="1">
        <v>0.9</v>
      </c>
      <c r="CE27" s="1">
        <v>0.189</v>
      </c>
      <c r="CF27" s="1">
        <v>0.0</v>
      </c>
      <c r="CG27" s="1">
        <v>2.334</v>
      </c>
      <c r="CH27" s="1">
        <v>0.473</v>
      </c>
      <c r="CI27" s="1">
        <v>8.9935</v>
      </c>
      <c r="CJ27" s="1">
        <v>0.852</v>
      </c>
      <c r="CK27" s="1">
        <v>0.0</v>
      </c>
      <c r="CL27" s="1">
        <v>0.0</v>
      </c>
      <c r="CM27" s="1">
        <v>0.0</v>
      </c>
      <c r="CN27" s="1">
        <v>0.0</v>
      </c>
      <c r="CO27" s="1">
        <v>0.0</v>
      </c>
      <c r="CP27" s="1">
        <v>0.0</v>
      </c>
      <c r="CQ27" s="1">
        <v>0.0</v>
      </c>
      <c r="CR27" s="1">
        <v>0.0</v>
      </c>
      <c r="CS27" s="1">
        <v>0.0</v>
      </c>
      <c r="CT27" s="1">
        <v>0.0</v>
      </c>
      <c r="CU27" s="1">
        <v>1.0</v>
      </c>
      <c r="CV27" s="1">
        <v>1.0</v>
      </c>
      <c r="CW27" s="1">
        <v>0.0</v>
      </c>
      <c r="CX27" s="1">
        <v>0.0</v>
      </c>
      <c r="CY27" s="1">
        <v>1.0</v>
      </c>
      <c r="CZ27" s="1">
        <v>0.0</v>
      </c>
      <c r="DA27" s="1">
        <v>0.0</v>
      </c>
      <c r="DB27" s="1">
        <v>1.0</v>
      </c>
      <c r="DC27" s="1">
        <v>2.0</v>
      </c>
      <c r="DD27" s="1" t="s">
        <v>232</v>
      </c>
      <c r="DE27" s="2" t="s">
        <v>233</v>
      </c>
      <c r="DF27" s="2" t="s">
        <v>234</v>
      </c>
    </row>
    <row r="28" ht="15.75" customHeight="1">
      <c r="A28" s="1" t="s">
        <v>235</v>
      </c>
      <c r="B28" s="1">
        <v>29.0</v>
      </c>
      <c r="C28" s="2" t="s">
        <v>208</v>
      </c>
      <c r="D28" s="1">
        <v>960401.0</v>
      </c>
      <c r="E28" s="1">
        <v>130.545</v>
      </c>
      <c r="F28" s="1">
        <v>29009.0</v>
      </c>
      <c r="G28" s="1">
        <v>2.9009960401E10</v>
      </c>
      <c r="H28" s="1" t="s">
        <v>112</v>
      </c>
      <c r="I28" s="1" t="s">
        <v>113</v>
      </c>
      <c r="J28" s="1" t="s">
        <v>209</v>
      </c>
      <c r="K28" s="1" t="s">
        <v>236</v>
      </c>
      <c r="L28" s="1">
        <v>4190.0</v>
      </c>
      <c r="M28" s="1">
        <v>3739.0</v>
      </c>
      <c r="N28" s="1">
        <v>394.0</v>
      </c>
      <c r="O28" s="1">
        <v>1924.0</v>
      </c>
      <c r="P28" s="1">
        <v>1941.0</v>
      </c>
      <c r="Q28" s="1">
        <v>106.0</v>
      </c>
      <c r="R28" s="1">
        <v>1617.0</v>
      </c>
      <c r="S28" s="1">
        <v>859.0</v>
      </c>
      <c r="T28" s="1">
        <v>338.0</v>
      </c>
      <c r="U28" s="1">
        <v>139.0</v>
      </c>
      <c r="V28" s="1">
        <v>371.0</v>
      </c>
      <c r="W28" s="1">
        <v>16905.0</v>
      </c>
      <c r="X28" s="1">
        <v>3480.0</v>
      </c>
      <c r="Y28" s="1">
        <v>577.0</v>
      </c>
      <c r="Z28" s="1">
        <v>297.0</v>
      </c>
      <c r="AA28" s="1">
        <v>615.0</v>
      </c>
      <c r="AB28" s="1">
        <v>1049.0</v>
      </c>
      <c r="AC28" s="1">
        <v>166.0</v>
      </c>
      <c r="AD28" s="1">
        <v>244.0</v>
      </c>
      <c r="AE28" s="1">
        <v>0.0</v>
      </c>
      <c r="AF28" s="1">
        <v>456.0</v>
      </c>
      <c r="AG28" s="1">
        <v>0.0</v>
      </c>
      <c r="AH28" s="1">
        <v>197.0</v>
      </c>
      <c r="AI28" s="1">
        <v>643.0</v>
      </c>
      <c r="AJ28" s="1">
        <v>143.0</v>
      </c>
      <c r="AK28" s="1">
        <v>49.0</v>
      </c>
      <c r="AL28" s="1">
        <v>118.0</v>
      </c>
      <c r="AM28" s="1">
        <v>78.0</v>
      </c>
      <c r="AN28" s="1">
        <v>63.0</v>
      </c>
      <c r="AO28" s="1">
        <v>0.0</v>
      </c>
      <c r="AP28" s="1">
        <v>0.230913</v>
      </c>
      <c r="AQ28" s="1">
        <v>0.087558</v>
      </c>
      <c r="AR28" s="1">
        <v>0.077093</v>
      </c>
      <c r="AS28" s="1">
        <v>0.205455</v>
      </c>
      <c r="AT28" s="1">
        <v>16905.0</v>
      </c>
      <c r="AU28" s="1">
        <v>3480.0</v>
      </c>
      <c r="AV28" s="1">
        <v>0.243665</v>
      </c>
      <c r="AW28" s="1">
        <v>0.122646</v>
      </c>
      <c r="AX28" s="1">
        <v>0.146778</v>
      </c>
      <c r="AY28" s="1">
        <v>0.250358</v>
      </c>
      <c r="AZ28" s="1">
        <v>0.10265924</v>
      </c>
      <c r="BA28" s="1">
        <v>0.058233</v>
      </c>
      <c r="BB28" s="1">
        <v>0.0</v>
      </c>
      <c r="BC28" s="1">
        <v>0.135835</v>
      </c>
      <c r="BD28" s="1">
        <v>0.0</v>
      </c>
      <c r="BE28" s="1">
        <v>0.101494</v>
      </c>
      <c r="BF28" s="1">
        <v>0.331272</v>
      </c>
      <c r="BG28" s="1">
        <v>0.071417</v>
      </c>
      <c r="BH28" s="1">
        <v>0.03322</v>
      </c>
      <c r="BI28" s="1">
        <v>0.079934</v>
      </c>
      <c r="BJ28" s="1">
        <v>0.052881</v>
      </c>
      <c r="BK28" s="1">
        <v>0.042398</v>
      </c>
      <c r="BL28" s="1">
        <v>0.0</v>
      </c>
      <c r="BM28" s="1">
        <v>0.792</v>
      </c>
      <c r="BN28" s="1">
        <v>0.582</v>
      </c>
      <c r="BO28" s="1">
        <v>0.7928</v>
      </c>
      <c r="BP28" s="1">
        <v>0.857</v>
      </c>
      <c r="BQ28" s="1">
        <v>3.0238</v>
      </c>
      <c r="BR28" s="1">
        <v>0.8072</v>
      </c>
      <c r="BS28" s="1">
        <v>0.552</v>
      </c>
      <c r="BT28" s="1">
        <v>0.6</v>
      </c>
      <c r="BU28" s="1">
        <v>0.516</v>
      </c>
      <c r="BV28" s="1">
        <v>1.668</v>
      </c>
      <c r="BW28" s="1">
        <v>0.614</v>
      </c>
      <c r="BX28" s="1">
        <v>0.303</v>
      </c>
      <c r="BY28" s="1">
        <v>0.0</v>
      </c>
      <c r="BZ28" s="1">
        <v>0.303</v>
      </c>
      <c r="CA28" s="1">
        <v>0.13</v>
      </c>
      <c r="CB28" s="1">
        <v>0.0</v>
      </c>
      <c r="CC28" s="1">
        <v>0.985</v>
      </c>
      <c r="CD28" s="1">
        <v>0.845</v>
      </c>
      <c r="CE28" s="1">
        <v>0.511</v>
      </c>
      <c r="CF28" s="1">
        <v>0.0</v>
      </c>
      <c r="CG28" s="1">
        <v>2.341</v>
      </c>
      <c r="CH28" s="1">
        <v>0.48</v>
      </c>
      <c r="CI28" s="1">
        <v>7.3358</v>
      </c>
      <c r="CJ28" s="1">
        <v>0.6159</v>
      </c>
      <c r="CK28" s="1">
        <v>0.0</v>
      </c>
      <c r="CL28" s="1">
        <v>0.0</v>
      </c>
      <c r="CM28" s="1">
        <v>0.0</v>
      </c>
      <c r="CN28" s="1">
        <v>0.0</v>
      </c>
      <c r="CO28" s="1">
        <v>0.0</v>
      </c>
      <c r="CP28" s="1">
        <v>0.0</v>
      </c>
      <c r="CQ28" s="1">
        <v>0.0</v>
      </c>
      <c r="CR28" s="1">
        <v>0.0</v>
      </c>
      <c r="CS28" s="1">
        <v>0.0</v>
      </c>
      <c r="CT28" s="1">
        <v>0.0</v>
      </c>
      <c r="CU28" s="1">
        <v>0.0</v>
      </c>
      <c r="CV28" s="1">
        <v>0.0</v>
      </c>
      <c r="CW28" s="1">
        <v>0.0</v>
      </c>
      <c r="CX28" s="1">
        <v>1.0</v>
      </c>
      <c r="CY28" s="1">
        <v>0.0</v>
      </c>
      <c r="CZ28" s="1">
        <v>0.0</v>
      </c>
      <c r="DA28" s="1">
        <v>0.0</v>
      </c>
      <c r="DB28" s="1">
        <v>1.0</v>
      </c>
      <c r="DC28" s="1">
        <v>1.0</v>
      </c>
      <c r="DD28" s="1" t="s">
        <v>237</v>
      </c>
      <c r="DE28" s="2" t="s">
        <v>238</v>
      </c>
      <c r="DF28" s="2" t="s">
        <v>239</v>
      </c>
    </row>
    <row r="29" ht="15.75" customHeight="1">
      <c r="A29" s="1" t="s">
        <v>240</v>
      </c>
      <c r="B29" s="1">
        <v>29.0</v>
      </c>
      <c r="C29" s="2" t="s">
        <v>241</v>
      </c>
      <c r="D29" s="1">
        <v>960100.0</v>
      </c>
      <c r="E29" s="1">
        <v>218.526</v>
      </c>
      <c r="F29" s="1">
        <v>29011.0</v>
      </c>
      <c r="G29" s="1">
        <v>2.90119601E10</v>
      </c>
      <c r="H29" s="1" t="s">
        <v>112</v>
      </c>
      <c r="I29" s="1" t="s">
        <v>113</v>
      </c>
      <c r="J29" s="1" t="s">
        <v>242</v>
      </c>
      <c r="K29" s="1" t="s">
        <v>243</v>
      </c>
      <c r="L29" s="1">
        <v>2986.0</v>
      </c>
      <c r="M29" s="1">
        <v>3142.0</v>
      </c>
      <c r="N29" s="1">
        <v>208.0</v>
      </c>
      <c r="O29" s="1">
        <v>1391.0</v>
      </c>
      <c r="P29" s="1">
        <v>1359.0</v>
      </c>
      <c r="Q29" s="1">
        <v>91.0</v>
      </c>
      <c r="R29" s="1">
        <v>1203.0</v>
      </c>
      <c r="S29" s="1">
        <v>490.0</v>
      </c>
      <c r="T29" s="1">
        <v>165.0</v>
      </c>
      <c r="U29" s="1">
        <v>107.0</v>
      </c>
      <c r="V29" s="1">
        <v>364.0</v>
      </c>
      <c r="W29" s="1">
        <v>18701.0</v>
      </c>
      <c r="X29" s="1">
        <v>2442.0</v>
      </c>
      <c r="Y29" s="1">
        <v>280.0</v>
      </c>
      <c r="Z29" s="1">
        <v>207.0</v>
      </c>
      <c r="AA29" s="1">
        <v>517.0</v>
      </c>
      <c r="AB29" s="1">
        <v>712.0</v>
      </c>
      <c r="AC29" s="1">
        <v>99.0</v>
      </c>
      <c r="AD29" s="1">
        <v>139.0</v>
      </c>
      <c r="AE29" s="1">
        <v>9.0</v>
      </c>
      <c r="AF29" s="1">
        <v>442.0</v>
      </c>
      <c r="AG29" s="1">
        <v>0.0</v>
      </c>
      <c r="AH29" s="1">
        <v>197.0</v>
      </c>
      <c r="AI29" s="1">
        <v>203.0</v>
      </c>
      <c r="AJ29" s="1">
        <v>54.0</v>
      </c>
      <c r="AK29" s="1">
        <v>14.0</v>
      </c>
      <c r="AL29" s="1">
        <v>115.0</v>
      </c>
      <c r="AM29" s="1">
        <v>100.0</v>
      </c>
      <c r="AN29" s="1">
        <v>46.0</v>
      </c>
      <c r="AO29" s="1">
        <v>6.0</v>
      </c>
      <c r="AP29" s="1">
        <v>0.1561</v>
      </c>
      <c r="AQ29" s="1">
        <v>0.051526</v>
      </c>
      <c r="AR29" s="1">
        <v>0.075511</v>
      </c>
      <c r="AS29" s="1">
        <v>0.256754</v>
      </c>
      <c r="AT29" s="1">
        <v>18701.0</v>
      </c>
      <c r="AU29" s="1">
        <v>2442.0</v>
      </c>
      <c r="AV29" s="1">
        <v>0.133143</v>
      </c>
      <c r="AW29" s="1">
        <v>0.097953</v>
      </c>
      <c r="AX29" s="1">
        <v>0.173141</v>
      </c>
      <c r="AY29" s="1">
        <v>0.238446</v>
      </c>
      <c r="AZ29" s="1">
        <v>0.08229426</v>
      </c>
      <c r="BA29" s="1">
        <v>0.04655</v>
      </c>
      <c r="BB29" s="1">
        <v>0.003012</v>
      </c>
      <c r="BC29" s="1">
        <v>0.147924</v>
      </c>
      <c r="BD29" s="1">
        <v>0.0</v>
      </c>
      <c r="BE29" s="1">
        <v>0.144959</v>
      </c>
      <c r="BF29" s="1">
        <v>0.149374</v>
      </c>
      <c r="BG29" s="1">
        <v>0.038455</v>
      </c>
      <c r="BH29" s="1">
        <v>0.011447</v>
      </c>
      <c r="BI29" s="1">
        <v>0.094027</v>
      </c>
      <c r="BJ29" s="1">
        <v>0.081766</v>
      </c>
      <c r="BK29" s="1">
        <v>0.037106</v>
      </c>
      <c r="BL29" s="1">
        <v>0.002009</v>
      </c>
      <c r="BM29" s="1">
        <v>0.6</v>
      </c>
      <c r="BN29" s="1">
        <v>0.566</v>
      </c>
      <c r="BO29" s="1">
        <v>0.6903</v>
      </c>
      <c r="BP29" s="1">
        <v>0.485</v>
      </c>
      <c r="BQ29" s="1">
        <v>2.3413</v>
      </c>
      <c r="BR29" s="1">
        <v>0.6101</v>
      </c>
      <c r="BS29" s="1">
        <v>0.754</v>
      </c>
      <c r="BT29" s="1">
        <v>0.479</v>
      </c>
      <c r="BU29" s="1">
        <v>0.327</v>
      </c>
      <c r="BV29" s="1">
        <v>1.56</v>
      </c>
      <c r="BW29" s="1">
        <v>0.532</v>
      </c>
      <c r="BX29" s="1">
        <v>0.227</v>
      </c>
      <c r="BY29" s="1">
        <v>0.451</v>
      </c>
      <c r="BZ29" s="1">
        <v>0.678</v>
      </c>
      <c r="CA29" s="1">
        <v>0.323</v>
      </c>
      <c r="CB29" s="1">
        <v>0.0</v>
      </c>
      <c r="CC29" s="1">
        <v>0.816</v>
      </c>
      <c r="CD29" s="1">
        <v>0.511</v>
      </c>
      <c r="CE29" s="1">
        <v>0.685</v>
      </c>
      <c r="CF29" s="1">
        <v>0.443</v>
      </c>
      <c r="CG29" s="1">
        <v>2.455</v>
      </c>
      <c r="CH29" s="1">
        <v>0.541</v>
      </c>
      <c r="CI29" s="1">
        <v>7.0343</v>
      </c>
      <c r="CJ29" s="1">
        <v>0.5531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0.0</v>
      </c>
      <c r="CQ29" s="1">
        <v>0.0</v>
      </c>
      <c r="CR29" s="1">
        <v>0.0</v>
      </c>
      <c r="CS29" s="1">
        <v>0.0</v>
      </c>
      <c r="CT29" s="1">
        <v>0.0</v>
      </c>
      <c r="CU29" s="1">
        <v>0.0</v>
      </c>
      <c r="CV29" s="1">
        <v>0.0</v>
      </c>
      <c r="CW29" s="1">
        <v>0.0</v>
      </c>
      <c r="CX29" s="1">
        <v>0.0</v>
      </c>
      <c r="CY29" s="1">
        <v>0.0</v>
      </c>
      <c r="CZ29" s="1">
        <v>0.0</v>
      </c>
      <c r="DA29" s="1">
        <v>0.0</v>
      </c>
      <c r="DB29" s="1">
        <v>0.0</v>
      </c>
      <c r="DC29" s="1">
        <v>0.0</v>
      </c>
      <c r="DD29" s="1" t="s">
        <v>244</v>
      </c>
      <c r="DE29" s="2" t="s">
        <v>245</v>
      </c>
      <c r="DF29" s="1">
        <v>1.18257632897781</v>
      </c>
    </row>
    <row r="30" ht="15.75" customHeight="1">
      <c r="A30" s="1" t="s">
        <v>246</v>
      </c>
      <c r="B30" s="1">
        <v>29.0</v>
      </c>
      <c r="C30" s="2" t="s">
        <v>241</v>
      </c>
      <c r="D30" s="1">
        <v>960200.0</v>
      </c>
      <c r="E30" s="1">
        <v>354.829</v>
      </c>
      <c r="F30" s="1">
        <v>29011.0</v>
      </c>
      <c r="G30" s="1">
        <v>2.90119602E10</v>
      </c>
      <c r="H30" s="1" t="s">
        <v>112</v>
      </c>
      <c r="I30" s="1" t="s">
        <v>113</v>
      </c>
      <c r="J30" s="1" t="s">
        <v>242</v>
      </c>
      <c r="K30" s="1" t="s">
        <v>247</v>
      </c>
      <c r="L30" s="1">
        <v>4104.0</v>
      </c>
      <c r="M30" s="1">
        <v>4158.0</v>
      </c>
      <c r="N30" s="1">
        <v>224.0</v>
      </c>
      <c r="O30" s="1">
        <v>1766.0</v>
      </c>
      <c r="P30" s="1">
        <v>1786.0</v>
      </c>
      <c r="Q30" s="1">
        <v>128.0</v>
      </c>
      <c r="R30" s="1">
        <v>1546.0</v>
      </c>
      <c r="S30" s="1">
        <v>534.0</v>
      </c>
      <c r="T30" s="1">
        <v>179.0</v>
      </c>
      <c r="U30" s="1">
        <v>110.0</v>
      </c>
      <c r="V30" s="1">
        <v>400.0</v>
      </c>
      <c r="W30" s="1">
        <v>19593.0</v>
      </c>
      <c r="X30" s="1">
        <v>2302.0</v>
      </c>
      <c r="Y30" s="1">
        <v>359.0</v>
      </c>
      <c r="Z30" s="1">
        <v>182.0</v>
      </c>
      <c r="AA30" s="1">
        <v>586.0</v>
      </c>
      <c r="AB30" s="1">
        <v>1158.0</v>
      </c>
      <c r="AC30" s="1">
        <v>106.0</v>
      </c>
      <c r="AD30" s="1">
        <v>224.0</v>
      </c>
      <c r="AE30" s="1">
        <v>62.0</v>
      </c>
      <c r="AF30" s="1">
        <v>415.0</v>
      </c>
      <c r="AG30" s="1">
        <v>0.0</v>
      </c>
      <c r="AH30" s="1">
        <v>197.0</v>
      </c>
      <c r="AI30" s="1">
        <v>278.0</v>
      </c>
      <c r="AJ30" s="1">
        <v>67.0</v>
      </c>
      <c r="AK30" s="1">
        <v>60.0</v>
      </c>
      <c r="AL30" s="1">
        <v>120.0</v>
      </c>
      <c r="AM30" s="1">
        <v>88.0</v>
      </c>
      <c r="AN30" s="1">
        <v>37.0</v>
      </c>
      <c r="AO30" s="1">
        <v>0.0</v>
      </c>
      <c r="AP30" s="1">
        <v>0.128674</v>
      </c>
      <c r="AQ30" s="1">
        <v>0.042569</v>
      </c>
      <c r="AR30" s="1">
        <v>0.058448</v>
      </c>
      <c r="AS30" s="1">
        <v>0.212465</v>
      </c>
      <c r="AT30" s="1">
        <v>19593.0</v>
      </c>
      <c r="AU30" s="1">
        <v>2302.0</v>
      </c>
      <c r="AV30" s="1">
        <v>0.126009</v>
      </c>
      <c r="AW30" s="1">
        <v>0.063389</v>
      </c>
      <c r="AX30" s="1">
        <v>0.142787</v>
      </c>
      <c r="AY30" s="1">
        <v>0.282163</v>
      </c>
      <c r="AZ30" s="1">
        <v>0.06856403</v>
      </c>
      <c r="BA30" s="1">
        <v>0.05458</v>
      </c>
      <c r="BB30" s="1">
        <v>0.016</v>
      </c>
      <c r="BC30" s="1">
        <v>0.107093</v>
      </c>
      <c r="BD30" s="1">
        <v>0.0</v>
      </c>
      <c r="BE30" s="1">
        <v>0.110302</v>
      </c>
      <c r="BF30" s="1">
        <v>0.155655</v>
      </c>
      <c r="BG30" s="1">
        <v>0.035816</v>
      </c>
      <c r="BH30" s="1">
        <v>0.037313</v>
      </c>
      <c r="BI30" s="1">
        <v>0.074564</v>
      </c>
      <c r="BJ30" s="1">
        <v>0.054726</v>
      </c>
      <c r="BK30" s="1">
        <v>0.022573</v>
      </c>
      <c r="BL30" s="1">
        <v>0.0</v>
      </c>
      <c r="BM30" s="1">
        <v>0.491</v>
      </c>
      <c r="BN30" s="1">
        <v>0.398</v>
      </c>
      <c r="BO30" s="1">
        <v>0.6404</v>
      </c>
      <c r="BP30" s="1">
        <v>0.453</v>
      </c>
      <c r="BQ30" s="1">
        <v>1.9824</v>
      </c>
      <c r="BR30" s="1">
        <v>0.4895</v>
      </c>
      <c r="BS30" s="1">
        <v>0.523</v>
      </c>
      <c r="BT30" s="1">
        <v>0.856</v>
      </c>
      <c r="BU30" s="1">
        <v>0.203</v>
      </c>
      <c r="BV30" s="1">
        <v>1.582</v>
      </c>
      <c r="BW30" s="1">
        <v>0.553</v>
      </c>
      <c r="BX30" s="1">
        <v>0.281</v>
      </c>
      <c r="BY30" s="1">
        <v>0.824</v>
      </c>
      <c r="BZ30" s="1">
        <v>1.105</v>
      </c>
      <c r="CA30" s="1">
        <v>0.617</v>
      </c>
      <c r="CB30" s="1">
        <v>0.0</v>
      </c>
      <c r="CC30" s="1">
        <v>0.83</v>
      </c>
      <c r="CD30" s="1">
        <v>0.876</v>
      </c>
      <c r="CE30" s="1">
        <v>0.527</v>
      </c>
      <c r="CF30" s="1">
        <v>0.0</v>
      </c>
      <c r="CG30" s="1">
        <v>2.233</v>
      </c>
      <c r="CH30" s="1">
        <v>0.431</v>
      </c>
      <c r="CI30" s="1">
        <v>6.9024</v>
      </c>
      <c r="CJ30" s="1">
        <v>0.5307</v>
      </c>
      <c r="CK30" s="1">
        <v>0.0</v>
      </c>
      <c r="CL30" s="1">
        <v>0.0</v>
      </c>
      <c r="CM30" s="1">
        <v>0.0</v>
      </c>
      <c r="CN30" s="1">
        <v>0.0</v>
      </c>
      <c r="CO30" s="1">
        <v>0.0</v>
      </c>
      <c r="CP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>
        <v>0.0</v>
      </c>
      <c r="CV30" s="1">
        <v>0.0</v>
      </c>
      <c r="CW30" s="1">
        <v>0.0</v>
      </c>
      <c r="CX30" s="1">
        <v>0.0</v>
      </c>
      <c r="CY30" s="1">
        <v>0.0</v>
      </c>
      <c r="CZ30" s="1">
        <v>0.0</v>
      </c>
      <c r="DA30" s="1">
        <v>0.0</v>
      </c>
      <c r="DB30" s="1">
        <v>0.0</v>
      </c>
      <c r="DC30" s="1">
        <v>0.0</v>
      </c>
      <c r="DD30" s="1" t="s">
        <v>248</v>
      </c>
      <c r="DE30" s="1">
        <v>0.0943744785033712</v>
      </c>
      <c r="DF30" s="2" t="s">
        <v>249</v>
      </c>
    </row>
    <row r="31" ht="15.75" customHeight="1">
      <c r="A31" s="1" t="s">
        <v>250</v>
      </c>
      <c r="B31" s="1">
        <v>29.0</v>
      </c>
      <c r="C31" s="2" t="s">
        <v>241</v>
      </c>
      <c r="D31" s="1">
        <v>960300.0</v>
      </c>
      <c r="E31" s="1">
        <v>18.566</v>
      </c>
      <c r="F31" s="1">
        <v>29011.0</v>
      </c>
      <c r="G31" s="1">
        <v>2.90119603E10</v>
      </c>
      <c r="H31" s="1" t="s">
        <v>112</v>
      </c>
      <c r="I31" s="1" t="s">
        <v>113</v>
      </c>
      <c r="J31" s="1" t="s">
        <v>242</v>
      </c>
      <c r="K31" s="1" t="s">
        <v>251</v>
      </c>
      <c r="L31" s="1">
        <v>5312.0</v>
      </c>
      <c r="M31" s="1">
        <v>5334.0</v>
      </c>
      <c r="N31" s="1">
        <v>206.0</v>
      </c>
      <c r="O31" s="1">
        <v>2443.0</v>
      </c>
      <c r="P31" s="1">
        <v>2473.0</v>
      </c>
      <c r="Q31" s="1">
        <v>174.0</v>
      </c>
      <c r="R31" s="1">
        <v>2180.0</v>
      </c>
      <c r="S31" s="1">
        <v>938.0</v>
      </c>
      <c r="T31" s="1">
        <v>274.0</v>
      </c>
      <c r="U31" s="1">
        <v>119.0</v>
      </c>
      <c r="V31" s="1">
        <v>401.0</v>
      </c>
      <c r="W31" s="1">
        <v>18991.0</v>
      </c>
      <c r="X31" s="1">
        <v>2206.0</v>
      </c>
      <c r="Y31" s="1">
        <v>633.0</v>
      </c>
      <c r="Z31" s="1">
        <v>280.0</v>
      </c>
      <c r="AA31" s="1">
        <v>1029.0</v>
      </c>
      <c r="AB31" s="1">
        <v>1344.0</v>
      </c>
      <c r="AC31" s="1">
        <v>257.0</v>
      </c>
      <c r="AD31" s="1">
        <v>335.0</v>
      </c>
      <c r="AE31" s="1">
        <v>15.0</v>
      </c>
      <c r="AF31" s="1">
        <v>442.0</v>
      </c>
      <c r="AG31" s="1">
        <v>69.0</v>
      </c>
      <c r="AH31" s="1">
        <v>124.0</v>
      </c>
      <c r="AI31" s="1">
        <v>173.0</v>
      </c>
      <c r="AJ31" s="1">
        <v>99.0</v>
      </c>
      <c r="AK31" s="1">
        <v>93.0</v>
      </c>
      <c r="AL31" s="1">
        <v>135.0</v>
      </c>
      <c r="AM31" s="1">
        <v>203.0</v>
      </c>
      <c r="AN31" s="1">
        <v>101.0</v>
      </c>
      <c r="AO31" s="1">
        <v>84.0</v>
      </c>
      <c r="AP31" s="1">
        <v>0.1799</v>
      </c>
      <c r="AQ31" s="1">
        <v>0.051916</v>
      </c>
      <c r="AR31" s="1">
        <v>0.053773</v>
      </c>
      <c r="AS31" s="1">
        <v>0.181124</v>
      </c>
      <c r="AT31" s="1">
        <v>18991.0</v>
      </c>
      <c r="AU31" s="1">
        <v>2206.0</v>
      </c>
      <c r="AV31" s="1">
        <v>0.18634</v>
      </c>
      <c r="AW31" s="1">
        <v>0.081504</v>
      </c>
      <c r="AX31" s="1">
        <v>0.193712</v>
      </c>
      <c r="AY31" s="1">
        <v>0.253012</v>
      </c>
      <c r="AZ31" s="1">
        <v>0.1178899</v>
      </c>
      <c r="BA31" s="1">
        <v>0.063064</v>
      </c>
      <c r="BB31" s="1">
        <v>0.003046</v>
      </c>
      <c r="BC31" s="1">
        <v>0.089782</v>
      </c>
      <c r="BD31" s="1">
        <v>0.027901</v>
      </c>
      <c r="BE31" s="1">
        <v>0.050103</v>
      </c>
      <c r="BF31" s="1">
        <v>0.069955</v>
      </c>
      <c r="BG31" s="1">
        <v>0.039728</v>
      </c>
      <c r="BH31" s="1">
        <v>0.043195</v>
      </c>
      <c r="BI31" s="1">
        <v>0.062582</v>
      </c>
      <c r="BJ31" s="1">
        <v>0.094287</v>
      </c>
      <c r="BK31" s="1">
        <v>0.046135</v>
      </c>
      <c r="BL31" s="1">
        <v>0.015813</v>
      </c>
      <c r="BM31" s="1">
        <v>0.675</v>
      </c>
      <c r="BN31" s="1">
        <v>0.335</v>
      </c>
      <c r="BO31" s="1">
        <v>0.6715</v>
      </c>
      <c r="BP31" s="1">
        <v>0.71</v>
      </c>
      <c r="BQ31" s="1">
        <v>2.3915</v>
      </c>
      <c r="BR31" s="1">
        <v>0.6274</v>
      </c>
      <c r="BS31" s="1">
        <v>0.853</v>
      </c>
      <c r="BT31" s="1">
        <v>0.64</v>
      </c>
      <c r="BU31" s="1">
        <v>0.655</v>
      </c>
      <c r="BV31" s="1">
        <v>2.148</v>
      </c>
      <c r="BW31" s="1">
        <v>0.946</v>
      </c>
      <c r="BX31" s="1">
        <v>0.33</v>
      </c>
      <c r="BY31" s="1">
        <v>0.452</v>
      </c>
      <c r="BZ31" s="1">
        <v>0.782</v>
      </c>
      <c r="CA31" s="1">
        <v>0.383</v>
      </c>
      <c r="CB31" s="1">
        <v>0.535</v>
      </c>
      <c r="CC31" s="1">
        <v>0.649</v>
      </c>
      <c r="CD31" s="1">
        <v>0.907</v>
      </c>
      <c r="CE31" s="1">
        <v>0.734</v>
      </c>
      <c r="CF31" s="1">
        <v>0.658</v>
      </c>
      <c r="CG31" s="1">
        <v>3.483</v>
      </c>
      <c r="CH31" s="1">
        <v>0.931</v>
      </c>
      <c r="CI31" s="1">
        <v>8.8045</v>
      </c>
      <c r="CJ31" s="1">
        <v>0.8274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</v>
      </c>
      <c r="CS31" s="1">
        <v>0.0</v>
      </c>
      <c r="CT31" s="1">
        <v>0.0</v>
      </c>
      <c r="CU31" s="1">
        <v>0.0</v>
      </c>
      <c r="CV31" s="1">
        <v>0.0</v>
      </c>
      <c r="CW31" s="1">
        <v>0.0</v>
      </c>
      <c r="CX31" s="1">
        <v>0.0</v>
      </c>
      <c r="CY31" s="1">
        <v>1.0</v>
      </c>
      <c r="CZ31" s="1">
        <v>0.0</v>
      </c>
      <c r="DA31" s="1">
        <v>0.0</v>
      </c>
      <c r="DB31" s="1">
        <v>1.0</v>
      </c>
      <c r="DC31" s="1">
        <v>1.0</v>
      </c>
      <c r="DD31" s="1" t="s">
        <v>252</v>
      </c>
      <c r="DE31" s="1">
        <v>0.00501848482028585</v>
      </c>
      <c r="DF31" s="2" t="s">
        <v>253</v>
      </c>
    </row>
    <row r="32" ht="15.75" customHeight="1">
      <c r="A32" s="1" t="s">
        <v>254</v>
      </c>
      <c r="B32" s="1">
        <v>29.0</v>
      </c>
      <c r="C32" s="2" t="s">
        <v>255</v>
      </c>
      <c r="D32" s="2" t="s">
        <v>256</v>
      </c>
      <c r="E32" s="1">
        <v>277.196</v>
      </c>
      <c r="F32" s="1">
        <v>29013.0</v>
      </c>
      <c r="G32" s="1">
        <v>2.90130701E10</v>
      </c>
      <c r="H32" s="1" t="s">
        <v>112</v>
      </c>
      <c r="I32" s="1" t="s">
        <v>113</v>
      </c>
      <c r="J32" s="1" t="s">
        <v>257</v>
      </c>
      <c r="K32" s="1" t="s">
        <v>258</v>
      </c>
      <c r="L32" s="1">
        <v>5248.0</v>
      </c>
      <c r="M32" s="1">
        <v>5219.0</v>
      </c>
      <c r="N32" s="1">
        <v>374.0</v>
      </c>
      <c r="O32" s="1">
        <v>2286.0</v>
      </c>
      <c r="P32" s="1">
        <v>2219.0</v>
      </c>
      <c r="Q32" s="1">
        <v>105.0</v>
      </c>
      <c r="R32" s="1">
        <v>2036.0</v>
      </c>
      <c r="S32" s="1">
        <v>558.0</v>
      </c>
      <c r="T32" s="1">
        <v>181.0</v>
      </c>
      <c r="U32" s="1">
        <v>196.0</v>
      </c>
      <c r="V32" s="1">
        <v>291.0</v>
      </c>
      <c r="W32" s="1">
        <v>19991.0</v>
      </c>
      <c r="X32" s="1">
        <v>1767.0</v>
      </c>
      <c r="Y32" s="1">
        <v>564.0</v>
      </c>
      <c r="Z32" s="1">
        <v>233.0</v>
      </c>
      <c r="AA32" s="1">
        <v>885.0</v>
      </c>
      <c r="AB32" s="1">
        <v>1333.0</v>
      </c>
      <c r="AC32" s="1">
        <v>166.0</v>
      </c>
      <c r="AD32" s="1">
        <v>126.0</v>
      </c>
      <c r="AE32" s="1">
        <v>8.0</v>
      </c>
      <c r="AF32" s="1">
        <v>442.0</v>
      </c>
      <c r="AG32" s="1">
        <v>8.0</v>
      </c>
      <c r="AH32" s="1">
        <v>114.0</v>
      </c>
      <c r="AI32" s="1">
        <v>309.0</v>
      </c>
      <c r="AJ32" s="1">
        <v>103.0</v>
      </c>
      <c r="AK32" s="1">
        <v>13.0</v>
      </c>
      <c r="AL32" s="1">
        <v>115.0</v>
      </c>
      <c r="AM32" s="1">
        <v>34.0</v>
      </c>
      <c r="AN32" s="1">
        <v>21.0</v>
      </c>
      <c r="AO32" s="1">
        <v>73.0</v>
      </c>
      <c r="AP32" s="1">
        <v>0.109907</v>
      </c>
      <c r="AQ32" s="1">
        <v>0.034631</v>
      </c>
      <c r="AR32" s="1">
        <v>0.085851</v>
      </c>
      <c r="AS32" s="1">
        <v>0.127187</v>
      </c>
      <c r="AT32" s="1">
        <v>19991.0</v>
      </c>
      <c r="AU32" s="1">
        <v>1767.0</v>
      </c>
      <c r="AV32" s="1">
        <v>0.159277</v>
      </c>
      <c r="AW32" s="1">
        <v>0.065163</v>
      </c>
      <c r="AX32" s="1">
        <v>0.168635</v>
      </c>
      <c r="AY32" s="1">
        <v>0.254001</v>
      </c>
      <c r="AZ32" s="1">
        <v>0.08153241</v>
      </c>
      <c r="BA32" s="1">
        <v>0.024009</v>
      </c>
      <c r="BB32" s="1">
        <v>0.001631</v>
      </c>
      <c r="BC32" s="1">
        <v>0.090167</v>
      </c>
      <c r="BD32" s="1">
        <v>0.003605</v>
      </c>
      <c r="BE32" s="1">
        <v>0.051374</v>
      </c>
      <c r="BF32" s="1">
        <v>0.139251</v>
      </c>
      <c r="BG32" s="1">
        <v>0.045947</v>
      </c>
      <c r="BH32" s="1">
        <v>0.006559</v>
      </c>
      <c r="BI32" s="1">
        <v>0.05802</v>
      </c>
      <c r="BJ32" s="1">
        <v>0.017154</v>
      </c>
      <c r="BK32" s="1">
        <v>0.01054</v>
      </c>
      <c r="BL32" s="1">
        <v>0.01391</v>
      </c>
      <c r="BM32" s="1">
        <v>0.415</v>
      </c>
      <c r="BN32" s="1">
        <v>0.655</v>
      </c>
      <c r="BO32" s="1">
        <v>0.6152</v>
      </c>
      <c r="BP32" s="1">
        <v>0.606</v>
      </c>
      <c r="BQ32" s="1">
        <v>2.2912</v>
      </c>
      <c r="BR32" s="1">
        <v>0.5986</v>
      </c>
      <c r="BS32" s="1">
        <v>0.725</v>
      </c>
      <c r="BT32" s="1">
        <v>0.647</v>
      </c>
      <c r="BU32" s="1">
        <v>0.32</v>
      </c>
      <c r="BV32" s="1">
        <v>1.692</v>
      </c>
      <c r="BW32" s="1">
        <v>0.635</v>
      </c>
      <c r="BX32" s="1">
        <v>0.038</v>
      </c>
      <c r="BY32" s="1">
        <v>0.361</v>
      </c>
      <c r="BZ32" s="1">
        <v>0.399</v>
      </c>
      <c r="CA32" s="1">
        <v>0.161</v>
      </c>
      <c r="CB32" s="1">
        <v>0.295</v>
      </c>
      <c r="CC32" s="1">
        <v>0.799</v>
      </c>
      <c r="CD32" s="1">
        <v>0.376</v>
      </c>
      <c r="CE32" s="1">
        <v>0.152</v>
      </c>
      <c r="CF32" s="1">
        <v>0.634</v>
      </c>
      <c r="CG32" s="1">
        <v>2.256</v>
      </c>
      <c r="CH32" s="1">
        <v>0.441</v>
      </c>
      <c r="CI32" s="1">
        <v>6.6382</v>
      </c>
      <c r="CJ32" s="1">
        <v>0.4816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0.0</v>
      </c>
      <c r="CW32" s="1">
        <v>0.0</v>
      </c>
      <c r="CX32" s="1">
        <v>0.0</v>
      </c>
      <c r="CY32" s="1">
        <v>0.0</v>
      </c>
      <c r="CZ32" s="1">
        <v>0.0</v>
      </c>
      <c r="DA32" s="1">
        <v>0.0</v>
      </c>
      <c r="DB32" s="1">
        <v>0.0</v>
      </c>
      <c r="DC32" s="1">
        <v>0.0</v>
      </c>
      <c r="DD32" s="1" t="s">
        <v>259</v>
      </c>
      <c r="DE32" s="1">
        <v>0.0743710716081553</v>
      </c>
      <c r="DF32" s="2" t="s">
        <v>260</v>
      </c>
    </row>
    <row r="33" ht="15.75" customHeight="1">
      <c r="A33" s="1" t="s">
        <v>261</v>
      </c>
      <c r="B33" s="1">
        <v>29.0</v>
      </c>
      <c r="C33" s="2" t="s">
        <v>255</v>
      </c>
      <c r="D33" s="2" t="s">
        <v>262</v>
      </c>
      <c r="E33" s="1">
        <v>341.777</v>
      </c>
      <c r="F33" s="1">
        <v>29013.0</v>
      </c>
      <c r="G33" s="1">
        <v>2.90130702E10</v>
      </c>
      <c r="H33" s="1" t="s">
        <v>112</v>
      </c>
      <c r="I33" s="1" t="s">
        <v>113</v>
      </c>
      <c r="J33" s="1" t="s">
        <v>257</v>
      </c>
      <c r="K33" s="1" t="s">
        <v>263</v>
      </c>
      <c r="L33" s="1">
        <v>4411.0</v>
      </c>
      <c r="M33" s="1">
        <v>4506.0</v>
      </c>
      <c r="N33" s="1">
        <v>305.0</v>
      </c>
      <c r="O33" s="1">
        <v>1971.0</v>
      </c>
      <c r="P33" s="1">
        <v>1908.0</v>
      </c>
      <c r="Q33" s="1">
        <v>87.0</v>
      </c>
      <c r="R33" s="1">
        <v>1695.0</v>
      </c>
      <c r="S33" s="1">
        <v>782.0</v>
      </c>
      <c r="T33" s="1">
        <v>277.0</v>
      </c>
      <c r="U33" s="1">
        <v>158.0</v>
      </c>
      <c r="V33" s="1">
        <v>306.0</v>
      </c>
      <c r="W33" s="1">
        <v>19761.0</v>
      </c>
      <c r="X33" s="1">
        <v>1772.0</v>
      </c>
      <c r="Y33" s="1">
        <v>424.0</v>
      </c>
      <c r="Z33" s="1">
        <v>243.0</v>
      </c>
      <c r="AA33" s="1">
        <v>672.0</v>
      </c>
      <c r="AB33" s="1">
        <v>1122.0</v>
      </c>
      <c r="AC33" s="1">
        <v>112.0</v>
      </c>
      <c r="AD33" s="1">
        <v>197.0</v>
      </c>
      <c r="AE33" s="1">
        <v>4.0</v>
      </c>
      <c r="AF33" s="1">
        <v>442.0</v>
      </c>
      <c r="AG33" s="1">
        <v>0.0</v>
      </c>
      <c r="AH33" s="1">
        <v>197.0</v>
      </c>
      <c r="AI33" s="1">
        <v>301.0</v>
      </c>
      <c r="AJ33" s="1">
        <v>68.0</v>
      </c>
      <c r="AK33" s="1">
        <v>52.0</v>
      </c>
      <c r="AL33" s="1">
        <v>39.0</v>
      </c>
      <c r="AM33" s="1">
        <v>44.0</v>
      </c>
      <c r="AN33" s="1">
        <v>23.0</v>
      </c>
      <c r="AO33" s="1">
        <v>0.0</v>
      </c>
      <c r="AP33" s="1">
        <v>0.1751</v>
      </c>
      <c r="AQ33" s="1">
        <v>0.060845</v>
      </c>
      <c r="AR33" s="1">
        <v>0.077986</v>
      </c>
      <c r="AS33" s="1">
        <v>0.150868</v>
      </c>
      <c r="AT33" s="1">
        <v>19761.0</v>
      </c>
      <c r="AU33" s="1">
        <v>1772.0</v>
      </c>
      <c r="AV33" s="1">
        <v>0.143437</v>
      </c>
      <c r="AW33" s="1">
        <v>0.081745</v>
      </c>
      <c r="AX33" s="1">
        <v>0.152346</v>
      </c>
      <c r="AY33" s="1">
        <v>0.254364</v>
      </c>
      <c r="AZ33" s="1">
        <v>0.06607669</v>
      </c>
      <c r="BA33" s="1">
        <v>0.044661</v>
      </c>
      <c r="BB33" s="1">
        <v>9.38E-4</v>
      </c>
      <c r="BC33" s="1">
        <v>0.103755</v>
      </c>
      <c r="BD33" s="1">
        <v>0.0</v>
      </c>
      <c r="BE33" s="1">
        <v>0.103249</v>
      </c>
      <c r="BF33" s="1">
        <v>0.157756</v>
      </c>
      <c r="BG33" s="1">
        <v>0.034905</v>
      </c>
      <c r="BH33" s="1">
        <v>0.031843</v>
      </c>
      <c r="BI33" s="1">
        <v>0.023791</v>
      </c>
      <c r="BJ33" s="1">
        <v>0.026944</v>
      </c>
      <c r="BK33" s="1">
        <v>0.013973</v>
      </c>
      <c r="BL33" s="1">
        <v>0.0</v>
      </c>
      <c r="BM33" s="1">
        <v>0.664</v>
      </c>
      <c r="BN33" s="1">
        <v>0.592</v>
      </c>
      <c r="BO33" s="1">
        <v>0.6303</v>
      </c>
      <c r="BP33" s="1">
        <v>0.539</v>
      </c>
      <c r="BQ33" s="1">
        <v>2.4253</v>
      </c>
      <c r="BR33" s="1">
        <v>0.6404</v>
      </c>
      <c r="BS33" s="1">
        <v>0.601</v>
      </c>
      <c r="BT33" s="1">
        <v>0.65</v>
      </c>
      <c r="BU33" s="1">
        <v>0.182</v>
      </c>
      <c r="BV33" s="1">
        <v>1.433</v>
      </c>
      <c r="BW33" s="1">
        <v>0.42</v>
      </c>
      <c r="BX33" s="1">
        <v>0.21</v>
      </c>
      <c r="BY33" s="1">
        <v>0.33</v>
      </c>
      <c r="BZ33" s="1">
        <v>0.54</v>
      </c>
      <c r="CA33" s="1">
        <v>0.234</v>
      </c>
      <c r="CB33" s="1">
        <v>0.0</v>
      </c>
      <c r="CC33" s="1">
        <v>0.835</v>
      </c>
      <c r="CD33" s="1">
        <v>0.829</v>
      </c>
      <c r="CE33" s="1">
        <v>0.258</v>
      </c>
      <c r="CF33" s="1">
        <v>0.0</v>
      </c>
      <c r="CG33" s="1">
        <v>1.922</v>
      </c>
      <c r="CH33" s="1">
        <v>0.312</v>
      </c>
      <c r="CI33" s="1">
        <v>6.3203</v>
      </c>
      <c r="CJ33" s="1">
        <v>0.4332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0.0</v>
      </c>
      <c r="CU33" s="1">
        <v>0.0</v>
      </c>
      <c r="CV33" s="1">
        <v>0.0</v>
      </c>
      <c r="CW33" s="1">
        <v>0.0</v>
      </c>
      <c r="CX33" s="1">
        <v>0.0</v>
      </c>
      <c r="CY33" s="1">
        <v>0.0</v>
      </c>
      <c r="CZ33" s="1">
        <v>0.0</v>
      </c>
      <c r="DA33" s="1">
        <v>0.0</v>
      </c>
      <c r="DB33" s="1">
        <v>0.0</v>
      </c>
      <c r="DC33" s="1">
        <v>0.0</v>
      </c>
      <c r="DD33" s="1" t="s">
        <v>264</v>
      </c>
      <c r="DE33" s="1">
        <v>0.0925209004305848</v>
      </c>
      <c r="DF33" s="2" t="s">
        <v>265</v>
      </c>
    </row>
    <row r="34" ht="15.75" customHeight="1">
      <c r="A34" s="1" t="s">
        <v>266</v>
      </c>
      <c r="B34" s="1">
        <v>29.0</v>
      </c>
      <c r="C34" s="2" t="s">
        <v>255</v>
      </c>
      <c r="D34" s="2" t="s">
        <v>267</v>
      </c>
      <c r="E34" s="1">
        <v>11.475</v>
      </c>
      <c r="F34" s="1">
        <v>29013.0</v>
      </c>
      <c r="G34" s="1">
        <v>2.90130703E10</v>
      </c>
      <c r="H34" s="1" t="s">
        <v>112</v>
      </c>
      <c r="I34" s="1" t="s">
        <v>113</v>
      </c>
      <c r="J34" s="1" t="s">
        <v>257</v>
      </c>
      <c r="K34" s="1" t="s">
        <v>268</v>
      </c>
      <c r="L34" s="1">
        <v>4520.0</v>
      </c>
      <c r="M34" s="1">
        <v>4513.0</v>
      </c>
      <c r="N34" s="1">
        <v>206.0</v>
      </c>
      <c r="O34" s="1">
        <v>2182.0</v>
      </c>
      <c r="P34" s="1">
        <v>2219.0</v>
      </c>
      <c r="Q34" s="1">
        <v>196.0</v>
      </c>
      <c r="R34" s="1">
        <v>1860.0</v>
      </c>
      <c r="S34" s="1">
        <v>1071.0</v>
      </c>
      <c r="T34" s="1">
        <v>368.0</v>
      </c>
      <c r="U34" s="1">
        <v>111.0</v>
      </c>
      <c r="V34" s="1">
        <v>433.0</v>
      </c>
      <c r="W34" s="1">
        <v>17035.0</v>
      </c>
      <c r="X34" s="1">
        <v>1927.0</v>
      </c>
      <c r="Y34" s="1">
        <v>508.0</v>
      </c>
      <c r="Z34" s="1">
        <v>315.0</v>
      </c>
      <c r="AA34" s="1">
        <v>948.0</v>
      </c>
      <c r="AB34" s="1">
        <v>1082.0</v>
      </c>
      <c r="AC34" s="1">
        <v>212.0</v>
      </c>
      <c r="AD34" s="1">
        <v>308.0</v>
      </c>
      <c r="AE34" s="1">
        <v>0.0</v>
      </c>
      <c r="AF34" s="1">
        <v>456.0</v>
      </c>
      <c r="AG34" s="1">
        <v>46.0</v>
      </c>
      <c r="AH34" s="1">
        <v>170.0</v>
      </c>
      <c r="AI34" s="1">
        <v>63.0</v>
      </c>
      <c r="AJ34" s="1">
        <v>46.0</v>
      </c>
      <c r="AK34" s="1">
        <v>64.0</v>
      </c>
      <c r="AL34" s="1">
        <v>124.0</v>
      </c>
      <c r="AM34" s="1">
        <v>174.0</v>
      </c>
      <c r="AN34" s="1">
        <v>94.0</v>
      </c>
      <c r="AO34" s="1">
        <v>215.0</v>
      </c>
      <c r="AP34" s="1">
        <v>0.246376</v>
      </c>
      <c r="AQ34" s="1">
        <v>0.083442</v>
      </c>
      <c r="AR34" s="1">
        <v>0.061941</v>
      </c>
      <c r="AS34" s="1">
        <v>0.241457</v>
      </c>
      <c r="AT34" s="1">
        <v>17035.0</v>
      </c>
      <c r="AU34" s="1">
        <v>1927.0</v>
      </c>
      <c r="AV34" s="1">
        <v>0.164454</v>
      </c>
      <c r="AW34" s="1">
        <v>0.101557</v>
      </c>
      <c r="AX34" s="1">
        <v>0.209734</v>
      </c>
      <c r="AY34" s="1">
        <v>0.23938</v>
      </c>
      <c r="AZ34" s="1">
        <v>0.11397849</v>
      </c>
      <c r="BA34" s="1">
        <v>0.068141</v>
      </c>
      <c r="BB34" s="1">
        <v>0.0</v>
      </c>
      <c r="BC34" s="1">
        <v>0.110867</v>
      </c>
      <c r="BD34" s="1">
        <v>0.02073</v>
      </c>
      <c r="BE34" s="1">
        <v>0.076589</v>
      </c>
      <c r="BF34" s="1">
        <v>0.028391</v>
      </c>
      <c r="BG34" s="1">
        <v>0.020577</v>
      </c>
      <c r="BH34" s="1">
        <v>0.034707</v>
      </c>
      <c r="BI34" s="1">
        <v>0.067163</v>
      </c>
      <c r="BJ34" s="1">
        <v>0.09436</v>
      </c>
      <c r="BK34" s="1">
        <v>0.050174</v>
      </c>
      <c r="BL34" s="1">
        <v>0.047566</v>
      </c>
      <c r="BM34" s="1">
        <v>0.82</v>
      </c>
      <c r="BN34" s="1">
        <v>0.436</v>
      </c>
      <c r="BO34" s="1">
        <v>0.7841</v>
      </c>
      <c r="BP34" s="1">
        <v>0.63</v>
      </c>
      <c r="BQ34" s="1">
        <v>2.6701</v>
      </c>
      <c r="BR34" s="1">
        <v>0.7119</v>
      </c>
      <c r="BS34" s="1">
        <v>0.907</v>
      </c>
      <c r="BT34" s="1">
        <v>0.492</v>
      </c>
      <c r="BU34" s="1">
        <v>0.621</v>
      </c>
      <c r="BV34" s="1">
        <v>2.02</v>
      </c>
      <c r="BW34" s="1">
        <v>0.867</v>
      </c>
      <c r="BX34" s="1">
        <v>0.354</v>
      </c>
      <c r="BY34" s="1">
        <v>0.0</v>
      </c>
      <c r="BZ34" s="1">
        <v>0.354</v>
      </c>
      <c r="CA34" s="1">
        <v>0.148</v>
      </c>
      <c r="CB34" s="1">
        <v>0.471</v>
      </c>
      <c r="CC34" s="1">
        <v>0.543</v>
      </c>
      <c r="CD34" s="1">
        <v>0.858</v>
      </c>
      <c r="CE34" s="1">
        <v>0.735</v>
      </c>
      <c r="CF34" s="1">
        <v>0.887</v>
      </c>
      <c r="CG34" s="1">
        <v>3.494</v>
      </c>
      <c r="CH34" s="1">
        <v>0.935</v>
      </c>
      <c r="CI34" s="1">
        <v>8.5381</v>
      </c>
      <c r="CJ34" s="1">
        <v>0.7913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1.0</v>
      </c>
      <c r="CQ34" s="1">
        <v>0.0</v>
      </c>
      <c r="CR34" s="1">
        <v>0.0</v>
      </c>
      <c r="CS34" s="1">
        <v>1.0</v>
      </c>
      <c r="CT34" s="1">
        <v>0.0</v>
      </c>
      <c r="CU34" s="1">
        <v>0.0</v>
      </c>
      <c r="CV34" s="1">
        <v>0.0</v>
      </c>
      <c r="CW34" s="1">
        <v>0.0</v>
      </c>
      <c r="CX34" s="1">
        <v>0.0</v>
      </c>
      <c r="CY34" s="1">
        <v>0.0</v>
      </c>
      <c r="CZ34" s="1">
        <v>0.0</v>
      </c>
      <c r="DA34" s="1">
        <v>0.0</v>
      </c>
      <c r="DB34" s="1">
        <v>0.0</v>
      </c>
      <c r="DC34" s="1">
        <v>1.0</v>
      </c>
      <c r="DD34" s="1" t="s">
        <v>269</v>
      </c>
      <c r="DE34" s="1">
        <v>0.00310067468417029</v>
      </c>
      <c r="DF34" s="2" t="s">
        <v>270</v>
      </c>
    </row>
    <row r="35" ht="15.75" customHeight="1">
      <c r="A35" s="1" t="s">
        <v>271</v>
      </c>
      <c r="B35" s="1">
        <v>29.0</v>
      </c>
      <c r="C35" s="2" t="s">
        <v>255</v>
      </c>
      <c r="D35" s="2" t="s">
        <v>272</v>
      </c>
      <c r="E35" s="1">
        <v>206.241</v>
      </c>
      <c r="F35" s="1">
        <v>29013.0</v>
      </c>
      <c r="G35" s="1">
        <v>2.90130704E10</v>
      </c>
      <c r="H35" s="1" t="s">
        <v>112</v>
      </c>
      <c r="I35" s="1" t="s">
        <v>113</v>
      </c>
      <c r="J35" s="1" t="s">
        <v>257</v>
      </c>
      <c r="K35" s="1" t="s">
        <v>273</v>
      </c>
      <c r="L35" s="1">
        <v>2870.0</v>
      </c>
      <c r="M35" s="1">
        <v>2894.0</v>
      </c>
      <c r="N35" s="1">
        <v>302.0</v>
      </c>
      <c r="O35" s="1">
        <v>1403.0</v>
      </c>
      <c r="P35" s="1">
        <v>1453.0</v>
      </c>
      <c r="Q35" s="1">
        <v>83.0</v>
      </c>
      <c r="R35" s="1">
        <v>1153.0</v>
      </c>
      <c r="S35" s="1">
        <v>507.0</v>
      </c>
      <c r="T35" s="1">
        <v>158.0</v>
      </c>
      <c r="U35" s="1">
        <v>77.0</v>
      </c>
      <c r="V35" s="1">
        <v>303.0</v>
      </c>
      <c r="W35" s="1">
        <v>19423.0</v>
      </c>
      <c r="X35" s="1">
        <v>1892.0</v>
      </c>
      <c r="Y35" s="1">
        <v>450.0</v>
      </c>
      <c r="Z35" s="1">
        <v>243.0</v>
      </c>
      <c r="AA35" s="1">
        <v>514.0</v>
      </c>
      <c r="AB35" s="1">
        <v>717.0</v>
      </c>
      <c r="AC35" s="1">
        <v>85.0</v>
      </c>
      <c r="AD35" s="1">
        <v>122.0</v>
      </c>
      <c r="AE35" s="1">
        <v>3.0</v>
      </c>
      <c r="AF35" s="1">
        <v>442.0</v>
      </c>
      <c r="AG35" s="1">
        <v>6.0</v>
      </c>
      <c r="AH35" s="1">
        <v>161.0</v>
      </c>
      <c r="AI35" s="1">
        <v>225.0</v>
      </c>
      <c r="AJ35" s="1">
        <v>59.0</v>
      </c>
      <c r="AK35" s="1">
        <v>25.0</v>
      </c>
      <c r="AL35" s="1">
        <v>116.0</v>
      </c>
      <c r="AM35" s="1">
        <v>83.0</v>
      </c>
      <c r="AN35" s="1">
        <v>41.0</v>
      </c>
      <c r="AO35" s="1">
        <v>23.0</v>
      </c>
      <c r="AP35" s="1">
        <v>0.175432</v>
      </c>
      <c r="AQ35" s="1">
        <v>0.051506</v>
      </c>
      <c r="AR35" s="1">
        <v>0.059276</v>
      </c>
      <c r="AS35" s="1">
        <v>0.233136</v>
      </c>
      <c r="AT35" s="1">
        <v>19423.0</v>
      </c>
      <c r="AU35" s="1">
        <v>1892.0</v>
      </c>
      <c r="AV35" s="1">
        <v>0.231006</v>
      </c>
      <c r="AW35" s="1">
        <v>0.123757</v>
      </c>
      <c r="AX35" s="1">
        <v>0.179094</v>
      </c>
      <c r="AY35" s="1">
        <v>0.249825</v>
      </c>
      <c r="AZ35" s="1">
        <v>0.07372072</v>
      </c>
      <c r="BA35" s="1">
        <v>0.042508</v>
      </c>
      <c r="BB35" s="1">
        <v>0.001092</v>
      </c>
      <c r="BC35" s="1">
        <v>0.161019</v>
      </c>
      <c r="BD35" s="1">
        <v>0.004129</v>
      </c>
      <c r="BE35" s="1">
        <v>0.110804</v>
      </c>
      <c r="BF35" s="1">
        <v>0.154852</v>
      </c>
      <c r="BG35" s="1">
        <v>0.03963</v>
      </c>
      <c r="BH35" s="1">
        <v>0.021815</v>
      </c>
      <c r="BI35" s="1">
        <v>0.101206</v>
      </c>
      <c r="BJ35" s="1">
        <v>0.072425</v>
      </c>
      <c r="BK35" s="1">
        <v>0.0353</v>
      </c>
      <c r="BL35" s="1">
        <v>0.008013</v>
      </c>
      <c r="BM35" s="1">
        <v>0.666</v>
      </c>
      <c r="BN35" s="1">
        <v>0.407</v>
      </c>
      <c r="BO35" s="1">
        <v>0.6477</v>
      </c>
      <c r="BP35" s="1">
        <v>0.829</v>
      </c>
      <c r="BQ35" s="1">
        <v>2.5497</v>
      </c>
      <c r="BR35" s="1">
        <v>0.6823</v>
      </c>
      <c r="BS35" s="1">
        <v>0.782</v>
      </c>
      <c r="BT35" s="1">
        <v>0.593</v>
      </c>
      <c r="BU35" s="1">
        <v>0.247</v>
      </c>
      <c r="BV35" s="1">
        <v>1.622</v>
      </c>
      <c r="BW35" s="1">
        <v>0.582</v>
      </c>
      <c r="BX35" s="1">
        <v>0.189</v>
      </c>
      <c r="BY35" s="1">
        <v>0.336</v>
      </c>
      <c r="BZ35" s="1">
        <v>0.525</v>
      </c>
      <c r="CA35" s="1">
        <v>0.225</v>
      </c>
      <c r="CB35" s="1">
        <v>0.302</v>
      </c>
      <c r="CC35" s="1">
        <v>0.828</v>
      </c>
      <c r="CD35" s="1">
        <v>0.707</v>
      </c>
      <c r="CE35" s="1">
        <v>0.635</v>
      </c>
      <c r="CF35" s="1">
        <v>0.551</v>
      </c>
      <c r="CG35" s="1">
        <v>3.023</v>
      </c>
      <c r="CH35" s="1">
        <v>0.786</v>
      </c>
      <c r="CI35" s="1">
        <v>7.7197</v>
      </c>
      <c r="CJ35" s="1">
        <v>0.6736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>
        <v>0.0</v>
      </c>
      <c r="CW35" s="1">
        <v>0.0</v>
      </c>
      <c r="CX35" s="1">
        <v>0.0</v>
      </c>
      <c r="CY35" s="1">
        <v>0.0</v>
      </c>
      <c r="CZ35" s="1">
        <v>0.0</v>
      </c>
      <c r="DA35" s="1">
        <v>0.0</v>
      </c>
      <c r="DB35" s="1">
        <v>0.0</v>
      </c>
      <c r="DC35" s="1">
        <v>0.0</v>
      </c>
      <c r="DD35" s="1" t="s">
        <v>274</v>
      </c>
      <c r="DE35" s="1">
        <v>0.0570079814017056</v>
      </c>
      <c r="DF35" s="2" t="s">
        <v>275</v>
      </c>
    </row>
    <row r="36" ht="15.75" customHeight="1">
      <c r="A36" s="1" t="s">
        <v>276</v>
      </c>
      <c r="B36" s="1">
        <v>29.0</v>
      </c>
      <c r="C36" s="2" t="s">
        <v>277</v>
      </c>
      <c r="D36" s="1">
        <v>460200.0</v>
      </c>
      <c r="E36" s="1">
        <v>112.934</v>
      </c>
      <c r="F36" s="1">
        <v>29015.0</v>
      </c>
      <c r="G36" s="1">
        <v>2.90154602E10</v>
      </c>
      <c r="H36" s="1" t="s">
        <v>112</v>
      </c>
      <c r="I36" s="1" t="s">
        <v>113</v>
      </c>
      <c r="J36" s="1" t="s">
        <v>278</v>
      </c>
      <c r="K36" s="1" t="s">
        <v>279</v>
      </c>
      <c r="L36" s="1">
        <v>2466.0</v>
      </c>
      <c r="M36" s="1">
        <v>2688.0</v>
      </c>
      <c r="N36" s="1">
        <v>340.0</v>
      </c>
      <c r="O36" s="1">
        <v>1128.0</v>
      </c>
      <c r="P36" s="1">
        <v>1169.0</v>
      </c>
      <c r="Q36" s="1">
        <v>93.0</v>
      </c>
      <c r="R36" s="1">
        <v>989.0</v>
      </c>
      <c r="S36" s="1">
        <v>706.0</v>
      </c>
      <c r="T36" s="1">
        <v>230.0</v>
      </c>
      <c r="U36" s="1">
        <v>107.0</v>
      </c>
      <c r="V36" s="1">
        <v>399.0</v>
      </c>
      <c r="W36" s="1">
        <v>16126.0</v>
      </c>
      <c r="X36" s="1">
        <v>2203.0</v>
      </c>
      <c r="Y36" s="1">
        <v>376.0</v>
      </c>
      <c r="Z36" s="1">
        <v>273.0</v>
      </c>
      <c r="AA36" s="1">
        <v>537.0</v>
      </c>
      <c r="AB36" s="1">
        <v>595.0</v>
      </c>
      <c r="AC36" s="1">
        <v>86.0</v>
      </c>
      <c r="AD36" s="1">
        <v>91.0</v>
      </c>
      <c r="AE36" s="1">
        <v>6.0</v>
      </c>
      <c r="AF36" s="1">
        <v>442.0</v>
      </c>
      <c r="AG36" s="1">
        <v>3.0</v>
      </c>
      <c r="AH36" s="1">
        <v>161.0</v>
      </c>
      <c r="AI36" s="1">
        <v>95.0</v>
      </c>
      <c r="AJ36" s="1">
        <v>54.0</v>
      </c>
      <c r="AK36" s="1">
        <v>14.0</v>
      </c>
      <c r="AL36" s="1">
        <v>115.0</v>
      </c>
      <c r="AM36" s="1">
        <v>59.0</v>
      </c>
      <c r="AN36" s="1">
        <v>44.0</v>
      </c>
      <c r="AO36" s="1">
        <v>58.0</v>
      </c>
      <c r="AP36" s="1">
        <v>0.273537</v>
      </c>
      <c r="AQ36" s="1">
        <v>0.083166</v>
      </c>
      <c r="AR36" s="1">
        <v>0.106573</v>
      </c>
      <c r="AS36" s="1">
        <v>0.396842</v>
      </c>
      <c r="AT36" s="1">
        <v>16126.0</v>
      </c>
      <c r="AU36" s="1">
        <v>2203.0</v>
      </c>
      <c r="AV36" s="1">
        <v>0.207276</v>
      </c>
      <c r="AW36" s="1">
        <v>0.148323</v>
      </c>
      <c r="AX36" s="1">
        <v>0.217761</v>
      </c>
      <c r="AY36" s="1">
        <v>0.241281</v>
      </c>
      <c r="AZ36" s="1">
        <v>0.08695652</v>
      </c>
      <c r="BA36" s="1">
        <v>0.036901</v>
      </c>
      <c r="BB36" s="1">
        <v>0.002442</v>
      </c>
      <c r="BC36" s="1">
        <v>0.179967</v>
      </c>
      <c r="BD36" s="1">
        <v>0.002566</v>
      </c>
      <c r="BE36" s="1">
        <v>0.137724</v>
      </c>
      <c r="BF36" s="1">
        <v>0.081266</v>
      </c>
      <c r="BG36" s="1">
        <v>0.045738</v>
      </c>
      <c r="BH36" s="1">
        <v>0.01327</v>
      </c>
      <c r="BI36" s="1">
        <v>0.108998</v>
      </c>
      <c r="BJ36" s="1">
        <v>0.055924</v>
      </c>
      <c r="BK36" s="1">
        <v>0.041401</v>
      </c>
      <c r="BL36" s="1">
        <v>0.023519</v>
      </c>
      <c r="BM36" s="1">
        <v>0.862</v>
      </c>
      <c r="BN36" s="1">
        <v>0.77</v>
      </c>
      <c r="BO36" s="1">
        <v>0.8303</v>
      </c>
      <c r="BP36" s="1">
        <v>0.774</v>
      </c>
      <c r="BQ36" s="1">
        <v>3.2363</v>
      </c>
      <c r="BR36" s="1">
        <v>0.8628</v>
      </c>
      <c r="BS36" s="1">
        <v>0.927</v>
      </c>
      <c r="BT36" s="1">
        <v>0.506</v>
      </c>
      <c r="BU36" s="1">
        <v>0.376</v>
      </c>
      <c r="BV36" s="1">
        <v>1.809</v>
      </c>
      <c r="BW36" s="1">
        <v>0.728</v>
      </c>
      <c r="BX36" s="1">
        <v>0.135</v>
      </c>
      <c r="BY36" s="1">
        <v>0.407</v>
      </c>
      <c r="BZ36" s="1">
        <v>0.542</v>
      </c>
      <c r="CA36" s="1">
        <v>0.236</v>
      </c>
      <c r="CB36" s="1">
        <v>0.279</v>
      </c>
      <c r="CC36" s="1">
        <v>0.677</v>
      </c>
      <c r="CD36" s="1">
        <v>0.556</v>
      </c>
      <c r="CE36" s="1">
        <v>0.541</v>
      </c>
      <c r="CF36" s="1">
        <v>0.752</v>
      </c>
      <c r="CG36" s="1">
        <v>2.805</v>
      </c>
      <c r="CH36" s="1">
        <v>0.691</v>
      </c>
      <c r="CI36" s="1">
        <v>8.3923</v>
      </c>
      <c r="CJ36" s="1">
        <v>0.7726</v>
      </c>
      <c r="CK36" s="1">
        <v>0.0</v>
      </c>
      <c r="CL36" s="1">
        <v>0.0</v>
      </c>
      <c r="CM36" s="1">
        <v>0.0</v>
      </c>
      <c r="CN36" s="1">
        <v>0.0</v>
      </c>
      <c r="CO36" s="1">
        <v>0.0</v>
      </c>
      <c r="CP36" s="1">
        <v>1.0</v>
      </c>
      <c r="CQ36" s="1">
        <v>0.0</v>
      </c>
      <c r="CR36" s="1">
        <v>0.0</v>
      </c>
      <c r="CS36" s="1">
        <v>1.0</v>
      </c>
      <c r="CT36" s="1">
        <v>0.0</v>
      </c>
      <c r="CU36" s="1">
        <v>0.0</v>
      </c>
      <c r="CV36" s="1">
        <v>0.0</v>
      </c>
      <c r="CW36" s="1">
        <v>0.0</v>
      </c>
      <c r="CX36" s="1">
        <v>0.0</v>
      </c>
      <c r="CY36" s="1">
        <v>0.0</v>
      </c>
      <c r="CZ36" s="1">
        <v>0.0</v>
      </c>
      <c r="DA36" s="1">
        <v>0.0</v>
      </c>
      <c r="DB36" s="1">
        <v>0.0</v>
      </c>
      <c r="DC36" s="1">
        <v>1.0</v>
      </c>
      <c r="DD36" s="1" t="s">
        <v>280</v>
      </c>
      <c r="DE36" s="1">
        <v>0.0302610677318081</v>
      </c>
      <c r="DF36" s="1">
        <v>0.829372055042764</v>
      </c>
    </row>
    <row r="37" ht="15.75" customHeight="1">
      <c r="A37" s="1" t="s">
        <v>281</v>
      </c>
      <c r="B37" s="1">
        <v>29.0</v>
      </c>
      <c r="C37" s="2" t="s">
        <v>277</v>
      </c>
      <c r="D37" s="1">
        <v>460300.0</v>
      </c>
      <c r="E37" s="1">
        <v>67.292</v>
      </c>
      <c r="F37" s="1">
        <v>29015.0</v>
      </c>
      <c r="G37" s="1">
        <v>2.90154603E10</v>
      </c>
      <c r="H37" s="1" t="s">
        <v>112</v>
      </c>
      <c r="I37" s="1" t="s">
        <v>113</v>
      </c>
      <c r="J37" s="1" t="s">
        <v>278</v>
      </c>
      <c r="K37" s="1" t="s">
        <v>282</v>
      </c>
      <c r="L37" s="1">
        <v>4378.0</v>
      </c>
      <c r="M37" s="1">
        <v>4080.0</v>
      </c>
      <c r="N37" s="1">
        <v>371.0</v>
      </c>
      <c r="O37" s="1">
        <v>2581.0</v>
      </c>
      <c r="P37" s="1">
        <v>2581.0</v>
      </c>
      <c r="Q37" s="1">
        <v>114.0</v>
      </c>
      <c r="R37" s="1">
        <v>1917.0</v>
      </c>
      <c r="S37" s="1">
        <v>674.0</v>
      </c>
      <c r="T37" s="1">
        <v>254.0</v>
      </c>
      <c r="U37" s="1">
        <v>117.0</v>
      </c>
      <c r="V37" s="1">
        <v>384.0</v>
      </c>
      <c r="W37" s="1">
        <v>20395.0</v>
      </c>
      <c r="X37" s="1">
        <v>2325.0</v>
      </c>
      <c r="Y37" s="1">
        <v>681.0</v>
      </c>
      <c r="Z37" s="1">
        <v>276.0</v>
      </c>
      <c r="AA37" s="1">
        <v>1166.0</v>
      </c>
      <c r="AB37" s="1">
        <v>835.0</v>
      </c>
      <c r="AC37" s="1">
        <v>161.0</v>
      </c>
      <c r="AD37" s="1">
        <v>223.0</v>
      </c>
      <c r="AE37" s="1">
        <v>0.0</v>
      </c>
      <c r="AF37" s="1">
        <v>456.0</v>
      </c>
      <c r="AG37" s="1">
        <v>0.0</v>
      </c>
      <c r="AH37" s="1">
        <v>197.0</v>
      </c>
      <c r="AI37" s="1">
        <v>358.0</v>
      </c>
      <c r="AJ37" s="1">
        <v>102.0</v>
      </c>
      <c r="AK37" s="1">
        <v>32.0</v>
      </c>
      <c r="AL37" s="1">
        <v>32.0</v>
      </c>
      <c r="AM37" s="1">
        <v>143.0</v>
      </c>
      <c r="AN37" s="1">
        <v>79.0</v>
      </c>
      <c r="AO37" s="1">
        <v>115.0</v>
      </c>
      <c r="AP37" s="1">
        <v>0.171632</v>
      </c>
      <c r="AQ37" s="1">
        <v>0.062476</v>
      </c>
      <c r="AR37" s="1">
        <v>0.072942</v>
      </c>
      <c r="AS37" s="1">
        <v>0.239146</v>
      </c>
      <c r="AT37" s="1">
        <v>20395.0</v>
      </c>
      <c r="AU37" s="1">
        <v>2325.0</v>
      </c>
      <c r="AV37" s="1">
        <v>0.217989</v>
      </c>
      <c r="AW37" s="1">
        <v>0.086391</v>
      </c>
      <c r="AX37" s="1">
        <v>0.266331</v>
      </c>
      <c r="AY37" s="1">
        <v>0.190726</v>
      </c>
      <c r="AZ37" s="1">
        <v>0.08398539</v>
      </c>
      <c r="BA37" s="1">
        <v>0.050936</v>
      </c>
      <c r="BB37" s="1">
        <v>0.0</v>
      </c>
      <c r="BC37" s="1">
        <v>0.11518</v>
      </c>
      <c r="BD37" s="1">
        <v>0.0</v>
      </c>
      <c r="BE37" s="1">
        <v>0.076327</v>
      </c>
      <c r="BF37" s="1">
        <v>0.138705</v>
      </c>
      <c r="BG37" s="1">
        <v>0.039041</v>
      </c>
      <c r="BH37" s="1">
        <v>0.017316</v>
      </c>
      <c r="BI37" s="1">
        <v>0.017252</v>
      </c>
      <c r="BJ37" s="1">
        <v>0.07738</v>
      </c>
      <c r="BK37" s="1">
        <v>0.042233</v>
      </c>
      <c r="BL37" s="1">
        <v>0.026267</v>
      </c>
      <c r="BM37" s="1">
        <v>0.65</v>
      </c>
      <c r="BN37" s="1">
        <v>0.538</v>
      </c>
      <c r="BO37" s="1">
        <v>0.5884</v>
      </c>
      <c r="BP37" s="1">
        <v>0.797</v>
      </c>
      <c r="BQ37" s="1">
        <v>2.5734</v>
      </c>
      <c r="BR37" s="1">
        <v>0.6924</v>
      </c>
      <c r="BS37" s="1">
        <v>0.979</v>
      </c>
      <c r="BT37" s="1">
        <v>0.152</v>
      </c>
      <c r="BU37" s="1">
        <v>0.35</v>
      </c>
      <c r="BV37" s="1">
        <v>1.481</v>
      </c>
      <c r="BW37" s="1">
        <v>0.466</v>
      </c>
      <c r="BX37" s="1">
        <v>0.251</v>
      </c>
      <c r="BY37" s="1">
        <v>0.0</v>
      </c>
      <c r="BZ37" s="1">
        <v>0.251</v>
      </c>
      <c r="CA37" s="1">
        <v>0.108</v>
      </c>
      <c r="CB37" s="1">
        <v>0.0</v>
      </c>
      <c r="CC37" s="1">
        <v>0.795</v>
      </c>
      <c r="CD37" s="1">
        <v>0.633</v>
      </c>
      <c r="CE37" s="1">
        <v>0.658</v>
      </c>
      <c r="CF37" s="1">
        <v>0.782</v>
      </c>
      <c r="CG37" s="1">
        <v>2.868</v>
      </c>
      <c r="CH37" s="1">
        <v>0.719</v>
      </c>
      <c r="CI37" s="1">
        <v>7.1734</v>
      </c>
      <c r="CJ37" s="1">
        <v>0.5848</v>
      </c>
      <c r="CK37" s="1">
        <v>0.0</v>
      </c>
      <c r="CL37" s="1">
        <v>0.0</v>
      </c>
      <c r="CM37" s="1">
        <v>0.0</v>
      </c>
      <c r="CN37" s="1">
        <v>0.0</v>
      </c>
      <c r="CO37" s="1">
        <v>0.0</v>
      </c>
      <c r="CP37" s="1">
        <v>1.0</v>
      </c>
      <c r="CQ37" s="1">
        <v>0.0</v>
      </c>
      <c r="CR37" s="1">
        <v>0.0</v>
      </c>
      <c r="CS37" s="1">
        <v>1.0</v>
      </c>
      <c r="CT37" s="1">
        <v>0.0</v>
      </c>
      <c r="CU37" s="1">
        <v>0.0</v>
      </c>
      <c r="CV37" s="1">
        <v>0.0</v>
      </c>
      <c r="CW37" s="1">
        <v>0.0</v>
      </c>
      <c r="CX37" s="1">
        <v>0.0</v>
      </c>
      <c r="CY37" s="1">
        <v>0.0</v>
      </c>
      <c r="CZ37" s="1">
        <v>0.0</v>
      </c>
      <c r="DA37" s="1">
        <v>0.0</v>
      </c>
      <c r="DB37" s="1">
        <v>0.0</v>
      </c>
      <c r="DC37" s="1">
        <v>1.0</v>
      </c>
      <c r="DD37" s="1" t="s">
        <v>283</v>
      </c>
      <c r="DE37" s="2" t="s">
        <v>284</v>
      </c>
      <c r="DF37" s="2" t="s">
        <v>285</v>
      </c>
    </row>
    <row r="38" ht="15.75" customHeight="1">
      <c r="A38" s="1" t="s">
        <v>286</v>
      </c>
      <c r="B38" s="1">
        <v>29.0</v>
      </c>
      <c r="C38" s="2" t="s">
        <v>277</v>
      </c>
      <c r="D38" s="1">
        <v>460400.0</v>
      </c>
      <c r="E38" s="1">
        <v>83.533</v>
      </c>
      <c r="F38" s="1">
        <v>29015.0</v>
      </c>
      <c r="G38" s="1">
        <v>2.90154604E10</v>
      </c>
      <c r="H38" s="1" t="s">
        <v>112</v>
      </c>
      <c r="I38" s="1" t="s">
        <v>113</v>
      </c>
      <c r="J38" s="1" t="s">
        <v>278</v>
      </c>
      <c r="K38" s="1" t="s">
        <v>287</v>
      </c>
      <c r="L38" s="1">
        <v>2269.0</v>
      </c>
      <c r="M38" s="1">
        <v>2124.0</v>
      </c>
      <c r="N38" s="1">
        <v>299.0</v>
      </c>
      <c r="O38" s="1">
        <v>2373.0</v>
      </c>
      <c r="P38" s="1">
        <v>2241.0</v>
      </c>
      <c r="Q38" s="1">
        <v>139.0</v>
      </c>
      <c r="R38" s="1">
        <v>1066.0</v>
      </c>
      <c r="S38" s="1">
        <v>328.0</v>
      </c>
      <c r="T38" s="1">
        <v>171.0</v>
      </c>
      <c r="U38" s="1">
        <v>70.0</v>
      </c>
      <c r="V38" s="1">
        <v>473.0</v>
      </c>
      <c r="W38" s="1">
        <v>16449.0</v>
      </c>
      <c r="X38" s="1">
        <v>2266.0</v>
      </c>
      <c r="Y38" s="1">
        <v>369.0</v>
      </c>
      <c r="Z38" s="1">
        <v>291.0</v>
      </c>
      <c r="AA38" s="1">
        <v>653.0</v>
      </c>
      <c r="AB38" s="1">
        <v>322.0</v>
      </c>
      <c r="AC38" s="1">
        <v>54.0</v>
      </c>
      <c r="AD38" s="1">
        <v>80.0</v>
      </c>
      <c r="AE38" s="1">
        <v>0.0</v>
      </c>
      <c r="AF38" s="1">
        <v>456.0</v>
      </c>
      <c r="AG38" s="1">
        <v>0.0</v>
      </c>
      <c r="AH38" s="1">
        <v>197.0</v>
      </c>
      <c r="AI38" s="1">
        <v>474.0</v>
      </c>
      <c r="AJ38" s="1">
        <v>150.0</v>
      </c>
      <c r="AK38" s="1">
        <v>73.0</v>
      </c>
      <c r="AL38" s="1">
        <v>127.0</v>
      </c>
      <c r="AM38" s="1">
        <v>74.0</v>
      </c>
      <c r="AN38" s="1">
        <v>66.0</v>
      </c>
      <c r="AO38" s="1">
        <v>4.0</v>
      </c>
      <c r="AP38" s="1">
        <v>0.154425</v>
      </c>
      <c r="AQ38" s="1">
        <v>0.077517</v>
      </c>
      <c r="AR38" s="1">
        <v>0.10558</v>
      </c>
      <c r="AS38" s="1">
        <v>0.711052</v>
      </c>
      <c r="AT38" s="1">
        <v>16449.0</v>
      </c>
      <c r="AU38" s="1">
        <v>2266.0</v>
      </c>
      <c r="AV38" s="1">
        <v>0.20297</v>
      </c>
      <c r="AW38" s="1">
        <v>0.157158</v>
      </c>
      <c r="AX38" s="1">
        <v>0.287791</v>
      </c>
      <c r="AY38" s="1">
        <v>0.141912</v>
      </c>
      <c r="AZ38" s="1">
        <v>0.05065666</v>
      </c>
      <c r="BA38" s="1">
        <v>0.035257</v>
      </c>
      <c r="BB38" s="1">
        <v>0.0</v>
      </c>
      <c r="BC38" s="1">
        <v>0.214689</v>
      </c>
      <c r="BD38" s="1">
        <v>0.0</v>
      </c>
      <c r="BE38" s="1">
        <v>0.087907</v>
      </c>
      <c r="BF38" s="1">
        <v>0.211512</v>
      </c>
      <c r="BG38" s="1">
        <v>0.065636</v>
      </c>
      <c r="BH38" s="1">
        <v>0.073514</v>
      </c>
      <c r="BI38" s="1">
        <v>0.127366</v>
      </c>
      <c r="BJ38" s="1">
        <v>0.074521</v>
      </c>
      <c r="BK38" s="1">
        <v>0.065412</v>
      </c>
      <c r="BL38" s="1">
        <v>0.001762</v>
      </c>
      <c r="BM38" s="1">
        <v>0.593</v>
      </c>
      <c r="BN38" s="1">
        <v>0.766</v>
      </c>
      <c r="BO38" s="1">
        <v>0.8152</v>
      </c>
      <c r="BP38" s="1">
        <v>0.758</v>
      </c>
      <c r="BQ38" s="1">
        <v>2.9322</v>
      </c>
      <c r="BR38" s="1">
        <v>0.7892</v>
      </c>
      <c r="BS38" s="1">
        <v>0.984</v>
      </c>
      <c r="BT38" s="1">
        <v>0.054</v>
      </c>
      <c r="BU38" s="1">
        <v>0.076</v>
      </c>
      <c r="BV38" s="1">
        <v>1.114</v>
      </c>
      <c r="BW38" s="1">
        <v>0.176</v>
      </c>
      <c r="BX38" s="1">
        <v>0.122</v>
      </c>
      <c r="BY38" s="1">
        <v>0.0</v>
      </c>
      <c r="BZ38" s="1">
        <v>0.122</v>
      </c>
      <c r="CA38" s="1">
        <v>0.058</v>
      </c>
      <c r="CB38" s="1">
        <v>0.0</v>
      </c>
      <c r="CC38" s="1">
        <v>0.912</v>
      </c>
      <c r="CD38" s="1">
        <v>0.981</v>
      </c>
      <c r="CE38" s="1">
        <v>0.646</v>
      </c>
      <c r="CF38" s="1">
        <v>0.435</v>
      </c>
      <c r="CG38" s="1">
        <v>2.974</v>
      </c>
      <c r="CH38" s="1">
        <v>0.764</v>
      </c>
      <c r="CI38" s="1">
        <v>7.1422</v>
      </c>
      <c r="CJ38" s="1">
        <v>0.5776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1.0</v>
      </c>
      <c r="CQ38" s="1">
        <v>0.0</v>
      </c>
      <c r="CR38" s="1">
        <v>0.0</v>
      </c>
      <c r="CS38" s="1">
        <v>1.0</v>
      </c>
      <c r="CT38" s="1">
        <v>0.0</v>
      </c>
      <c r="CU38" s="1">
        <v>0.0</v>
      </c>
      <c r="CV38" s="1">
        <v>0.0</v>
      </c>
      <c r="CW38" s="1">
        <v>0.0</v>
      </c>
      <c r="CX38" s="1">
        <v>1.0</v>
      </c>
      <c r="CY38" s="1">
        <v>1.0</v>
      </c>
      <c r="CZ38" s="1">
        <v>0.0</v>
      </c>
      <c r="DA38" s="1">
        <v>0.0</v>
      </c>
      <c r="DB38" s="1">
        <v>2.0</v>
      </c>
      <c r="DC38" s="1">
        <v>3.0</v>
      </c>
      <c r="DD38" s="1" t="s">
        <v>288</v>
      </c>
      <c r="DE38" s="1">
        <v>0.0234656429508601</v>
      </c>
      <c r="DF38" s="2" t="s">
        <v>289</v>
      </c>
    </row>
    <row r="39" ht="15.75" customHeight="1">
      <c r="A39" s="1" t="s">
        <v>290</v>
      </c>
      <c r="B39" s="1">
        <v>29.0</v>
      </c>
      <c r="C39" s="2" t="s">
        <v>277</v>
      </c>
      <c r="D39" s="1">
        <v>460700.0</v>
      </c>
      <c r="E39" s="1">
        <v>95.449</v>
      </c>
      <c r="F39" s="1">
        <v>29015.0</v>
      </c>
      <c r="G39" s="1">
        <v>2.90154607E10</v>
      </c>
      <c r="H39" s="1" t="s">
        <v>112</v>
      </c>
      <c r="I39" s="1" t="s">
        <v>113</v>
      </c>
      <c r="J39" s="1" t="s">
        <v>278</v>
      </c>
      <c r="K39" s="1" t="s">
        <v>291</v>
      </c>
      <c r="L39" s="1">
        <v>2821.0</v>
      </c>
      <c r="M39" s="1">
        <v>2649.0</v>
      </c>
      <c r="N39" s="1">
        <v>426.0</v>
      </c>
      <c r="O39" s="1">
        <v>3272.0</v>
      </c>
      <c r="P39" s="1">
        <v>3073.0</v>
      </c>
      <c r="Q39" s="1">
        <v>170.0</v>
      </c>
      <c r="R39" s="1">
        <v>1368.0</v>
      </c>
      <c r="S39" s="1">
        <v>435.0</v>
      </c>
      <c r="T39" s="1">
        <v>220.0</v>
      </c>
      <c r="U39" s="1">
        <v>51.0</v>
      </c>
      <c r="V39" s="1">
        <v>487.0</v>
      </c>
      <c r="W39" s="1">
        <v>24278.0</v>
      </c>
      <c r="X39" s="1">
        <v>4254.0</v>
      </c>
      <c r="Y39" s="1">
        <v>567.0</v>
      </c>
      <c r="Z39" s="1">
        <v>319.0</v>
      </c>
      <c r="AA39" s="1">
        <v>925.0</v>
      </c>
      <c r="AB39" s="1">
        <v>320.0</v>
      </c>
      <c r="AC39" s="1">
        <v>52.0</v>
      </c>
      <c r="AD39" s="1">
        <v>87.0</v>
      </c>
      <c r="AE39" s="1">
        <v>0.0</v>
      </c>
      <c r="AF39" s="1">
        <v>456.0</v>
      </c>
      <c r="AG39" s="1">
        <v>38.0</v>
      </c>
      <c r="AH39" s="1">
        <v>169.0</v>
      </c>
      <c r="AI39" s="1">
        <v>924.0</v>
      </c>
      <c r="AJ39" s="1">
        <v>185.0</v>
      </c>
      <c r="AK39" s="1">
        <v>23.0</v>
      </c>
      <c r="AL39" s="1">
        <v>120.0</v>
      </c>
      <c r="AM39" s="1">
        <v>12.0</v>
      </c>
      <c r="AN39" s="1">
        <v>116.0</v>
      </c>
      <c r="AO39" s="1">
        <v>10.0</v>
      </c>
      <c r="AP39" s="1">
        <v>0.164212</v>
      </c>
      <c r="AQ39" s="1">
        <v>0.078739</v>
      </c>
      <c r="AR39" s="1">
        <v>0.053125</v>
      </c>
      <c r="AS39" s="1">
        <v>0.50682</v>
      </c>
      <c r="AT39" s="1">
        <v>24278.0</v>
      </c>
      <c r="AU39" s="1">
        <v>4254.0</v>
      </c>
      <c r="AV39" s="1">
        <v>0.240764</v>
      </c>
      <c r="AW39" s="1">
        <v>0.130893</v>
      </c>
      <c r="AX39" s="1">
        <v>0.327897</v>
      </c>
      <c r="AY39" s="1">
        <v>0.113434</v>
      </c>
      <c r="AZ39" s="1">
        <v>0.03801169</v>
      </c>
      <c r="BA39" s="1">
        <v>0.03084</v>
      </c>
      <c r="BB39" s="1">
        <v>0.0</v>
      </c>
      <c r="BC39" s="1">
        <v>0.173449</v>
      </c>
      <c r="BD39" s="1">
        <v>0.012365</v>
      </c>
      <c r="BE39" s="1">
        <v>0.05499</v>
      </c>
      <c r="BF39" s="1">
        <v>0.300683</v>
      </c>
      <c r="BG39" s="1">
        <v>0.057858</v>
      </c>
      <c r="BH39" s="1">
        <v>0.017189</v>
      </c>
      <c r="BI39" s="1">
        <v>0.089648</v>
      </c>
      <c r="BJ39" s="1">
        <v>0.008968</v>
      </c>
      <c r="BK39" s="1">
        <v>0.086686</v>
      </c>
      <c r="BL39" s="1">
        <v>0.003544</v>
      </c>
      <c r="BM39" s="1">
        <v>0.624</v>
      </c>
      <c r="BN39" s="1">
        <v>0.325</v>
      </c>
      <c r="BO39" s="1">
        <v>0.3819</v>
      </c>
      <c r="BP39" s="1">
        <v>0.848</v>
      </c>
      <c r="BQ39" s="1">
        <v>2.1789</v>
      </c>
      <c r="BR39" s="1">
        <v>0.5574</v>
      </c>
      <c r="BS39" s="1">
        <v>0.993</v>
      </c>
      <c r="BT39" s="1">
        <v>0.033</v>
      </c>
      <c r="BU39" s="1">
        <v>0.032</v>
      </c>
      <c r="BV39" s="1">
        <v>1.058</v>
      </c>
      <c r="BW39" s="1">
        <v>0.14</v>
      </c>
      <c r="BX39" s="1">
        <v>0.085</v>
      </c>
      <c r="BY39" s="1">
        <v>0.0</v>
      </c>
      <c r="BZ39" s="1">
        <v>0.085</v>
      </c>
      <c r="CA39" s="1">
        <v>0.04</v>
      </c>
      <c r="CB39" s="1">
        <v>0.403</v>
      </c>
      <c r="CC39" s="1">
        <v>0.981</v>
      </c>
      <c r="CD39" s="1">
        <v>0.633</v>
      </c>
      <c r="CE39" s="1">
        <v>0.076</v>
      </c>
      <c r="CF39" s="1">
        <v>0.488</v>
      </c>
      <c r="CG39" s="1">
        <v>2.581</v>
      </c>
      <c r="CH39" s="1">
        <v>0.596</v>
      </c>
      <c r="CI39" s="1">
        <v>5.9029</v>
      </c>
      <c r="CJ39" s="1">
        <v>0.3552</v>
      </c>
      <c r="CK39" s="1">
        <v>0.0</v>
      </c>
      <c r="CL39" s="1">
        <v>0.0</v>
      </c>
      <c r="CM39" s="1">
        <v>0.0</v>
      </c>
      <c r="CN39" s="1">
        <v>0.0</v>
      </c>
      <c r="CO39" s="1">
        <v>0.0</v>
      </c>
      <c r="CP39" s="1">
        <v>1.0</v>
      </c>
      <c r="CQ39" s="1">
        <v>0.0</v>
      </c>
      <c r="CR39" s="1">
        <v>0.0</v>
      </c>
      <c r="CS39" s="1">
        <v>1.0</v>
      </c>
      <c r="CT39" s="1">
        <v>0.0</v>
      </c>
      <c r="CU39" s="1">
        <v>0.0</v>
      </c>
      <c r="CV39" s="1">
        <v>0.0</v>
      </c>
      <c r="CW39" s="1">
        <v>0.0</v>
      </c>
      <c r="CX39" s="1">
        <v>1.0</v>
      </c>
      <c r="CY39" s="1">
        <v>0.0</v>
      </c>
      <c r="CZ39" s="1">
        <v>0.0</v>
      </c>
      <c r="DA39" s="1">
        <v>0.0</v>
      </c>
      <c r="DB39" s="1">
        <v>1.0</v>
      </c>
      <c r="DC39" s="1">
        <v>2.0</v>
      </c>
      <c r="DD39" s="1" t="s">
        <v>292</v>
      </c>
      <c r="DE39" s="1">
        <v>0.0329499070865766</v>
      </c>
      <c r="DF39" s="2" t="s">
        <v>293</v>
      </c>
    </row>
    <row r="40" ht="15.75" customHeight="1">
      <c r="A40" s="1" t="s">
        <v>294</v>
      </c>
      <c r="B40" s="1">
        <v>29.0</v>
      </c>
      <c r="C40" s="2" t="s">
        <v>277</v>
      </c>
      <c r="D40" s="1">
        <v>460100.0</v>
      </c>
      <c r="E40" s="1">
        <v>143.388</v>
      </c>
      <c r="F40" s="1">
        <v>29015.0</v>
      </c>
      <c r="G40" s="1">
        <v>2.90154601E10</v>
      </c>
      <c r="H40" s="1" t="s">
        <v>112</v>
      </c>
      <c r="I40" s="1" t="s">
        <v>113</v>
      </c>
      <c r="J40" s="1" t="s">
        <v>278</v>
      </c>
      <c r="K40" s="1" t="s">
        <v>295</v>
      </c>
      <c r="L40" s="1">
        <v>3211.0</v>
      </c>
      <c r="M40" s="1">
        <v>3350.0</v>
      </c>
      <c r="N40" s="1">
        <v>323.0</v>
      </c>
      <c r="O40" s="1">
        <v>1512.0</v>
      </c>
      <c r="P40" s="1">
        <v>1618.0</v>
      </c>
      <c r="Q40" s="1">
        <v>95.0</v>
      </c>
      <c r="R40" s="1">
        <v>1312.0</v>
      </c>
      <c r="S40" s="1">
        <v>586.0</v>
      </c>
      <c r="T40" s="1">
        <v>256.0</v>
      </c>
      <c r="U40" s="1">
        <v>74.0</v>
      </c>
      <c r="V40" s="1">
        <v>443.0</v>
      </c>
      <c r="W40" s="1">
        <v>22583.0</v>
      </c>
      <c r="X40" s="1">
        <v>3945.0</v>
      </c>
      <c r="Y40" s="1">
        <v>346.0</v>
      </c>
      <c r="Z40" s="1">
        <v>277.0</v>
      </c>
      <c r="AA40" s="1">
        <v>659.0</v>
      </c>
      <c r="AB40" s="1">
        <v>724.0</v>
      </c>
      <c r="AC40" s="1">
        <v>109.0</v>
      </c>
      <c r="AD40" s="1">
        <v>95.0</v>
      </c>
      <c r="AE40" s="1">
        <v>0.0</v>
      </c>
      <c r="AF40" s="1">
        <v>456.0</v>
      </c>
      <c r="AG40" s="1">
        <v>0.0</v>
      </c>
      <c r="AH40" s="1">
        <v>197.0</v>
      </c>
      <c r="AI40" s="1">
        <v>212.0</v>
      </c>
      <c r="AJ40" s="1">
        <v>92.0</v>
      </c>
      <c r="AK40" s="1">
        <v>34.0</v>
      </c>
      <c r="AL40" s="1">
        <v>120.0</v>
      </c>
      <c r="AM40" s="1">
        <v>46.0</v>
      </c>
      <c r="AN40" s="1">
        <v>37.0</v>
      </c>
      <c r="AO40" s="1">
        <v>56.0</v>
      </c>
      <c r="AP40" s="1">
        <v>0.175554</v>
      </c>
      <c r="AQ40" s="1">
        <v>0.074811</v>
      </c>
      <c r="AR40" s="1">
        <v>0.056748</v>
      </c>
      <c r="AS40" s="1">
        <v>0.339636</v>
      </c>
      <c r="AT40" s="1">
        <v>22583.0</v>
      </c>
      <c r="AU40" s="1">
        <v>3945.0</v>
      </c>
      <c r="AV40" s="1">
        <v>0.155365</v>
      </c>
      <c r="AW40" s="1">
        <v>0.1235</v>
      </c>
      <c r="AX40" s="1">
        <v>0.205232</v>
      </c>
      <c r="AY40" s="1">
        <v>0.225474</v>
      </c>
      <c r="AZ40" s="1">
        <v>0.08307926</v>
      </c>
      <c r="BA40" s="1">
        <v>0.029585</v>
      </c>
      <c r="BB40" s="1">
        <v>0.0</v>
      </c>
      <c r="BC40" s="1">
        <v>0.145593</v>
      </c>
      <c r="BD40" s="1">
        <v>0.0</v>
      </c>
      <c r="BE40" s="1">
        <v>0.121755</v>
      </c>
      <c r="BF40" s="1">
        <v>0.131025</v>
      </c>
      <c r="BG40" s="1">
        <v>0.056337</v>
      </c>
      <c r="BH40" s="1">
        <v>0.024926</v>
      </c>
      <c r="BI40" s="1">
        <v>0.087946</v>
      </c>
      <c r="BJ40" s="1">
        <v>0.033724</v>
      </c>
      <c r="BK40" s="1">
        <v>0.026949</v>
      </c>
      <c r="BL40" s="1">
        <v>0.01744</v>
      </c>
      <c r="BM40" s="1">
        <v>0.666</v>
      </c>
      <c r="BN40" s="1">
        <v>0.378</v>
      </c>
      <c r="BO40" s="1">
        <v>0.465</v>
      </c>
      <c r="BP40" s="1">
        <v>0.587</v>
      </c>
      <c r="BQ40" s="1">
        <v>2.096</v>
      </c>
      <c r="BR40" s="1">
        <v>0.5271</v>
      </c>
      <c r="BS40" s="1">
        <v>0.894</v>
      </c>
      <c r="BT40" s="1">
        <v>0.344</v>
      </c>
      <c r="BU40" s="1">
        <v>0.338</v>
      </c>
      <c r="BV40" s="1">
        <v>1.576</v>
      </c>
      <c r="BW40" s="1">
        <v>0.546</v>
      </c>
      <c r="BX40" s="1">
        <v>0.077</v>
      </c>
      <c r="BY40" s="1">
        <v>0.0</v>
      </c>
      <c r="BZ40" s="1">
        <v>0.077</v>
      </c>
      <c r="CA40" s="1">
        <v>0.038</v>
      </c>
      <c r="CB40" s="1">
        <v>0.0</v>
      </c>
      <c r="CC40" s="1">
        <v>0.778</v>
      </c>
      <c r="CD40" s="1">
        <v>0.755</v>
      </c>
      <c r="CE40" s="1">
        <v>0.322</v>
      </c>
      <c r="CF40" s="1">
        <v>0.678</v>
      </c>
      <c r="CG40" s="1">
        <v>2.533</v>
      </c>
      <c r="CH40" s="1">
        <v>0.574</v>
      </c>
      <c r="CI40" s="1">
        <v>6.282</v>
      </c>
      <c r="CJ40" s="1">
        <v>0.4245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>
        <v>0.0</v>
      </c>
      <c r="CV40" s="1">
        <v>0.0</v>
      </c>
      <c r="CW40" s="1">
        <v>0.0</v>
      </c>
      <c r="CX40" s="1">
        <v>0.0</v>
      </c>
      <c r="CY40" s="1">
        <v>0.0</v>
      </c>
      <c r="CZ40" s="1">
        <v>0.0</v>
      </c>
      <c r="DA40" s="1">
        <v>0.0</v>
      </c>
      <c r="DB40" s="1">
        <v>0.0</v>
      </c>
      <c r="DC40" s="1">
        <v>0.0</v>
      </c>
      <c r="DD40" s="1" t="s">
        <v>296</v>
      </c>
      <c r="DE40" s="1">
        <v>0.0384609389137768</v>
      </c>
      <c r="DF40" s="2" t="s">
        <v>297</v>
      </c>
    </row>
    <row r="41" ht="15.75" customHeight="1">
      <c r="A41" s="1" t="s">
        <v>298</v>
      </c>
      <c r="B41" s="1">
        <v>29.0</v>
      </c>
      <c r="C41" s="2" t="s">
        <v>277</v>
      </c>
      <c r="D41" s="1">
        <v>460800.0</v>
      </c>
      <c r="E41" s="1">
        <v>201.463</v>
      </c>
      <c r="F41" s="1">
        <v>29015.0</v>
      </c>
      <c r="G41" s="1">
        <v>2.90154608E10</v>
      </c>
      <c r="H41" s="1" t="s">
        <v>112</v>
      </c>
      <c r="I41" s="1" t="s">
        <v>113</v>
      </c>
      <c r="J41" s="1" t="s">
        <v>278</v>
      </c>
      <c r="K41" s="1" t="s">
        <v>299</v>
      </c>
      <c r="L41" s="1">
        <v>3911.0</v>
      </c>
      <c r="M41" s="1">
        <v>4084.0</v>
      </c>
      <c r="N41" s="1">
        <v>518.0</v>
      </c>
      <c r="O41" s="1">
        <v>3284.0</v>
      </c>
      <c r="P41" s="1">
        <v>3301.0</v>
      </c>
      <c r="Q41" s="1">
        <v>131.0</v>
      </c>
      <c r="R41" s="1">
        <v>1797.0</v>
      </c>
      <c r="S41" s="1">
        <v>697.0</v>
      </c>
      <c r="T41" s="1">
        <v>316.0</v>
      </c>
      <c r="U41" s="1">
        <v>74.0</v>
      </c>
      <c r="V41" s="1">
        <v>490.0</v>
      </c>
      <c r="W41" s="1">
        <v>18900.0</v>
      </c>
      <c r="X41" s="1">
        <v>4199.0</v>
      </c>
      <c r="Y41" s="1">
        <v>454.0</v>
      </c>
      <c r="Z41" s="1">
        <v>337.0</v>
      </c>
      <c r="AA41" s="1">
        <v>996.0</v>
      </c>
      <c r="AB41" s="1">
        <v>641.0</v>
      </c>
      <c r="AC41" s="1">
        <v>111.0</v>
      </c>
      <c r="AD41" s="1">
        <v>169.0</v>
      </c>
      <c r="AE41" s="1">
        <v>0.0</v>
      </c>
      <c r="AF41" s="1">
        <v>456.0</v>
      </c>
      <c r="AG41" s="1">
        <v>0.0</v>
      </c>
      <c r="AH41" s="1">
        <v>197.0</v>
      </c>
      <c r="AI41" s="1">
        <v>624.0</v>
      </c>
      <c r="AJ41" s="1">
        <v>137.0</v>
      </c>
      <c r="AK41" s="1">
        <v>30.0</v>
      </c>
      <c r="AL41" s="1">
        <v>123.0</v>
      </c>
      <c r="AM41" s="1">
        <v>107.0</v>
      </c>
      <c r="AN41" s="1">
        <v>78.0</v>
      </c>
      <c r="AO41" s="1">
        <v>1.0</v>
      </c>
      <c r="AP41" s="1">
        <v>0.170666</v>
      </c>
      <c r="AQ41" s="1">
        <v>0.074285</v>
      </c>
      <c r="AR41" s="1">
        <v>0.051353</v>
      </c>
      <c r="AS41" s="1">
        <v>0.339803</v>
      </c>
      <c r="AT41" s="1">
        <v>18900.0</v>
      </c>
      <c r="AU41" s="1">
        <v>4199.0</v>
      </c>
      <c r="AV41" s="1">
        <v>0.151031</v>
      </c>
      <c r="AW41" s="1">
        <v>0.110853</v>
      </c>
      <c r="AX41" s="1">
        <v>0.254666</v>
      </c>
      <c r="AY41" s="1">
        <v>0.163896</v>
      </c>
      <c r="AZ41" s="1">
        <v>0.06176961</v>
      </c>
      <c r="BA41" s="1">
        <v>0.043211</v>
      </c>
      <c r="BB41" s="1">
        <v>0.0</v>
      </c>
      <c r="BC41" s="1">
        <v>0.117163</v>
      </c>
      <c r="BD41" s="1">
        <v>0.0</v>
      </c>
      <c r="BE41" s="1">
        <v>0.059678</v>
      </c>
      <c r="BF41" s="1">
        <v>0.189033</v>
      </c>
      <c r="BG41" s="1">
        <v>0.040818</v>
      </c>
      <c r="BH41" s="1">
        <v>0.01791</v>
      </c>
      <c r="BI41" s="1">
        <v>0.0734</v>
      </c>
      <c r="BJ41" s="1">
        <v>0.06388</v>
      </c>
      <c r="BK41" s="1">
        <v>0.045919</v>
      </c>
      <c r="BL41" s="1">
        <v>2.55E-4</v>
      </c>
      <c r="BM41" s="1">
        <v>0.645</v>
      </c>
      <c r="BN41" s="1">
        <v>0.309</v>
      </c>
      <c r="BO41" s="1">
        <v>0.6773</v>
      </c>
      <c r="BP41" s="1">
        <v>0.571</v>
      </c>
      <c r="BQ41" s="1">
        <v>2.2023</v>
      </c>
      <c r="BR41" s="1">
        <v>0.5682</v>
      </c>
      <c r="BS41" s="1">
        <v>0.969</v>
      </c>
      <c r="BT41" s="1">
        <v>0.091</v>
      </c>
      <c r="BU41" s="1">
        <v>0.143</v>
      </c>
      <c r="BV41" s="1">
        <v>1.203</v>
      </c>
      <c r="BW41" s="1">
        <v>0.231</v>
      </c>
      <c r="BX41" s="1">
        <v>0.199</v>
      </c>
      <c r="BY41" s="1">
        <v>0.0</v>
      </c>
      <c r="BZ41" s="1">
        <v>0.199</v>
      </c>
      <c r="CA41" s="1">
        <v>0.091</v>
      </c>
      <c r="CB41" s="1">
        <v>0.0</v>
      </c>
      <c r="CC41" s="1">
        <v>0.876</v>
      </c>
      <c r="CD41" s="1">
        <v>0.645</v>
      </c>
      <c r="CE41" s="1">
        <v>0.589</v>
      </c>
      <c r="CF41" s="1">
        <v>0.348</v>
      </c>
      <c r="CG41" s="1">
        <v>2.458</v>
      </c>
      <c r="CH41" s="1">
        <v>0.543</v>
      </c>
      <c r="CI41" s="1">
        <v>6.0623</v>
      </c>
      <c r="CJ41" s="1">
        <v>0.3819</v>
      </c>
      <c r="CK41" s="1">
        <v>0.0</v>
      </c>
      <c r="CL41" s="1">
        <v>0.0</v>
      </c>
      <c r="CM41" s="1">
        <v>0.0</v>
      </c>
      <c r="CN41" s="1">
        <v>0.0</v>
      </c>
      <c r="CO41" s="1">
        <v>0.0</v>
      </c>
      <c r="CP41" s="1">
        <v>1.0</v>
      </c>
      <c r="CQ41" s="1">
        <v>0.0</v>
      </c>
      <c r="CR41" s="1">
        <v>0.0</v>
      </c>
      <c r="CS41" s="1">
        <v>1.0</v>
      </c>
      <c r="CT41" s="1">
        <v>0.0</v>
      </c>
      <c r="CU41" s="1">
        <v>0.0</v>
      </c>
      <c r="CV41" s="1">
        <v>0.0</v>
      </c>
      <c r="CW41" s="1">
        <v>0.0</v>
      </c>
      <c r="CX41" s="1">
        <v>0.0</v>
      </c>
      <c r="CY41" s="1">
        <v>0.0</v>
      </c>
      <c r="CZ41" s="1">
        <v>0.0</v>
      </c>
      <c r="DA41" s="1">
        <v>0.0</v>
      </c>
      <c r="DB41" s="1">
        <v>0.0</v>
      </c>
      <c r="DC41" s="1">
        <v>1.0</v>
      </c>
      <c r="DD41" s="1" t="s">
        <v>300</v>
      </c>
      <c r="DE41" s="1">
        <v>0.0553829159139099</v>
      </c>
      <c r="DF41" s="2" t="s">
        <v>301</v>
      </c>
    </row>
    <row r="42" ht="15.75" customHeight="1">
      <c r="A42" s="1" t="s">
        <v>302</v>
      </c>
      <c r="B42" s="1">
        <v>29.0</v>
      </c>
      <c r="C42" s="2" t="s">
        <v>303</v>
      </c>
      <c r="D42" s="1">
        <v>950100.0</v>
      </c>
      <c r="E42" s="1">
        <v>248.637</v>
      </c>
      <c r="F42" s="1">
        <v>29017.0</v>
      </c>
      <c r="G42" s="1">
        <v>2.90179501E10</v>
      </c>
      <c r="H42" s="1" t="s">
        <v>112</v>
      </c>
      <c r="I42" s="1" t="s">
        <v>113</v>
      </c>
      <c r="J42" s="1" t="s">
        <v>304</v>
      </c>
      <c r="K42" s="1" t="s">
        <v>305</v>
      </c>
      <c r="L42" s="1">
        <v>4691.0</v>
      </c>
      <c r="M42" s="1">
        <v>4559.0</v>
      </c>
      <c r="N42" s="1">
        <v>355.0</v>
      </c>
      <c r="O42" s="1">
        <v>2163.0</v>
      </c>
      <c r="P42" s="1">
        <v>2071.0</v>
      </c>
      <c r="Q42" s="1">
        <v>110.0</v>
      </c>
      <c r="R42" s="1">
        <v>1803.0</v>
      </c>
      <c r="S42" s="1">
        <v>564.0</v>
      </c>
      <c r="T42" s="1">
        <v>223.0</v>
      </c>
      <c r="U42" s="1">
        <v>169.0</v>
      </c>
      <c r="V42" s="1">
        <v>436.0</v>
      </c>
      <c r="W42" s="1">
        <v>20910.0</v>
      </c>
      <c r="X42" s="1">
        <v>2463.0</v>
      </c>
      <c r="Y42" s="1">
        <v>784.0</v>
      </c>
      <c r="Z42" s="1">
        <v>272.0</v>
      </c>
      <c r="AA42" s="1">
        <v>752.0</v>
      </c>
      <c r="AB42" s="1">
        <v>1090.0</v>
      </c>
      <c r="AC42" s="1">
        <v>141.0</v>
      </c>
      <c r="AD42" s="1">
        <v>134.0</v>
      </c>
      <c r="AE42" s="1">
        <v>0.0</v>
      </c>
      <c r="AF42" s="1">
        <v>456.0</v>
      </c>
      <c r="AG42" s="1">
        <v>0.0</v>
      </c>
      <c r="AH42" s="1">
        <v>197.0</v>
      </c>
      <c r="AI42" s="1">
        <v>461.0</v>
      </c>
      <c r="AJ42" s="1">
        <v>134.0</v>
      </c>
      <c r="AK42" s="1">
        <v>4.0</v>
      </c>
      <c r="AL42" s="1">
        <v>114.0</v>
      </c>
      <c r="AM42" s="1">
        <v>61.0</v>
      </c>
      <c r="AN42" s="1">
        <v>49.0</v>
      </c>
      <c r="AO42" s="1">
        <v>60.0</v>
      </c>
      <c r="AP42" s="1">
        <v>0.124065</v>
      </c>
      <c r="AQ42" s="1">
        <v>0.048093</v>
      </c>
      <c r="AR42" s="1">
        <v>0.080056</v>
      </c>
      <c r="AS42" s="1">
        <v>0.206346</v>
      </c>
      <c r="AT42" s="1">
        <v>20910.0</v>
      </c>
      <c r="AU42" s="1">
        <v>2463.0</v>
      </c>
      <c r="AV42" s="1">
        <v>0.244236</v>
      </c>
      <c r="AW42" s="1">
        <v>0.083111</v>
      </c>
      <c r="AX42" s="1">
        <v>0.160306</v>
      </c>
      <c r="AY42" s="1">
        <v>0.232359</v>
      </c>
      <c r="AZ42" s="1">
        <v>0.07820299</v>
      </c>
      <c r="BA42" s="1">
        <v>0.028565</v>
      </c>
      <c r="BB42" s="1">
        <v>0.0</v>
      </c>
      <c r="BC42" s="1">
        <v>0.108287</v>
      </c>
      <c r="BD42" s="1">
        <v>0.0</v>
      </c>
      <c r="BE42" s="1">
        <v>0.095123</v>
      </c>
      <c r="BF42" s="1">
        <v>0.222597</v>
      </c>
      <c r="BG42" s="1">
        <v>0.063613</v>
      </c>
      <c r="BH42" s="1">
        <v>0.002302</v>
      </c>
      <c r="BI42" s="1">
        <v>0.06563</v>
      </c>
      <c r="BJ42" s="1">
        <v>0.035118</v>
      </c>
      <c r="BK42" s="1">
        <v>0.028092</v>
      </c>
      <c r="BL42" s="1">
        <v>0.01279</v>
      </c>
      <c r="BM42" s="1">
        <v>0.469</v>
      </c>
      <c r="BN42" s="1">
        <v>0.61</v>
      </c>
      <c r="BO42" s="1">
        <v>0.5588</v>
      </c>
      <c r="BP42" s="1">
        <v>0.858</v>
      </c>
      <c r="BQ42" s="1">
        <v>2.4958</v>
      </c>
      <c r="BR42" s="1">
        <v>0.6635</v>
      </c>
      <c r="BS42" s="1">
        <v>0.666</v>
      </c>
      <c r="BT42" s="1">
        <v>0.414</v>
      </c>
      <c r="BU42" s="1">
        <v>0.287</v>
      </c>
      <c r="BV42" s="1">
        <v>1.367</v>
      </c>
      <c r="BW42" s="1">
        <v>0.363</v>
      </c>
      <c r="BX42" s="1">
        <v>0.069</v>
      </c>
      <c r="BY42" s="1">
        <v>0.0</v>
      </c>
      <c r="BZ42" s="1">
        <v>0.069</v>
      </c>
      <c r="CA42" s="1">
        <v>0.033</v>
      </c>
      <c r="CB42" s="1">
        <v>0.0</v>
      </c>
      <c r="CC42" s="1">
        <v>0.923</v>
      </c>
      <c r="CD42" s="1">
        <v>0.285</v>
      </c>
      <c r="CE42" s="1">
        <v>0.337</v>
      </c>
      <c r="CF42" s="1">
        <v>0.617</v>
      </c>
      <c r="CG42" s="1">
        <v>2.162</v>
      </c>
      <c r="CH42" s="1">
        <v>0.403</v>
      </c>
      <c r="CI42" s="1">
        <v>6.0938</v>
      </c>
      <c r="CJ42" s="1">
        <v>0.3892</v>
      </c>
      <c r="CK42" s="1">
        <v>0.0</v>
      </c>
      <c r="CL42" s="1">
        <v>0.0</v>
      </c>
      <c r="CM42" s="1">
        <v>0.0</v>
      </c>
      <c r="CN42" s="1">
        <v>0.0</v>
      </c>
      <c r="CO42" s="1">
        <v>0.0</v>
      </c>
      <c r="CP42" s="1">
        <v>0.0</v>
      </c>
      <c r="CQ42" s="1">
        <v>0.0</v>
      </c>
      <c r="CR42" s="1">
        <v>0.0</v>
      </c>
      <c r="CS42" s="1">
        <v>0.0</v>
      </c>
      <c r="CT42" s="1">
        <v>0.0</v>
      </c>
      <c r="CU42" s="1">
        <v>0.0</v>
      </c>
      <c r="CV42" s="1">
        <v>0.0</v>
      </c>
      <c r="CW42" s="1">
        <v>0.0</v>
      </c>
      <c r="CX42" s="1">
        <v>1.0</v>
      </c>
      <c r="CY42" s="1">
        <v>0.0</v>
      </c>
      <c r="CZ42" s="1">
        <v>0.0</v>
      </c>
      <c r="DA42" s="1">
        <v>0.0</v>
      </c>
      <c r="DB42" s="1">
        <v>1.0</v>
      </c>
      <c r="DC42" s="1">
        <v>1.0</v>
      </c>
      <c r="DD42" s="1" t="s">
        <v>306</v>
      </c>
      <c r="DE42" s="1">
        <v>0.0657027063453461</v>
      </c>
      <c r="DF42" s="2" t="s">
        <v>307</v>
      </c>
    </row>
    <row r="43" ht="15.75" customHeight="1">
      <c r="A43" s="1" t="s">
        <v>308</v>
      </c>
      <c r="B43" s="1">
        <v>29.0</v>
      </c>
      <c r="C43" s="2" t="s">
        <v>303</v>
      </c>
      <c r="D43" s="1">
        <v>950200.0</v>
      </c>
      <c r="E43" s="1">
        <v>114.484</v>
      </c>
      <c r="F43" s="1">
        <v>29017.0</v>
      </c>
      <c r="G43" s="1">
        <v>2.90179502E10</v>
      </c>
      <c r="H43" s="1" t="s">
        <v>112</v>
      </c>
      <c r="I43" s="1" t="s">
        <v>113</v>
      </c>
      <c r="J43" s="1" t="s">
        <v>304</v>
      </c>
      <c r="K43" s="1" t="s">
        <v>309</v>
      </c>
      <c r="L43" s="1">
        <v>4609.0</v>
      </c>
      <c r="M43" s="1">
        <v>4738.0</v>
      </c>
      <c r="N43" s="1">
        <v>379.0</v>
      </c>
      <c r="O43" s="1">
        <v>2086.0</v>
      </c>
      <c r="P43" s="1">
        <v>2080.0</v>
      </c>
      <c r="Q43" s="1">
        <v>101.0</v>
      </c>
      <c r="R43" s="1">
        <v>1803.0</v>
      </c>
      <c r="S43" s="1">
        <v>1311.0</v>
      </c>
      <c r="T43" s="1">
        <v>401.0</v>
      </c>
      <c r="U43" s="1">
        <v>144.0</v>
      </c>
      <c r="V43" s="1">
        <v>400.0</v>
      </c>
      <c r="W43" s="1">
        <v>16295.0</v>
      </c>
      <c r="X43" s="1">
        <v>2095.0</v>
      </c>
      <c r="Y43" s="1">
        <v>712.0</v>
      </c>
      <c r="Z43" s="1">
        <v>220.0</v>
      </c>
      <c r="AA43" s="1">
        <v>810.0</v>
      </c>
      <c r="AB43" s="1">
        <v>1145.0</v>
      </c>
      <c r="AC43" s="1">
        <v>177.0</v>
      </c>
      <c r="AD43" s="1">
        <v>140.0</v>
      </c>
      <c r="AE43" s="1">
        <v>19.0</v>
      </c>
      <c r="AF43" s="1">
        <v>427.0</v>
      </c>
      <c r="AG43" s="1">
        <v>39.0</v>
      </c>
      <c r="AH43" s="1">
        <v>25.0</v>
      </c>
      <c r="AI43" s="1">
        <v>352.0</v>
      </c>
      <c r="AJ43" s="1">
        <v>100.0</v>
      </c>
      <c r="AK43" s="1">
        <v>72.0</v>
      </c>
      <c r="AL43" s="1">
        <v>53.0</v>
      </c>
      <c r="AM43" s="1">
        <v>237.0</v>
      </c>
      <c r="AN43" s="1">
        <v>83.0</v>
      </c>
      <c r="AO43" s="1">
        <v>103.0</v>
      </c>
      <c r="AP43" s="1">
        <v>0.281996</v>
      </c>
      <c r="AQ43" s="1">
        <v>0.083397</v>
      </c>
      <c r="AR43" s="1">
        <v>0.07826</v>
      </c>
      <c r="AS43" s="1">
        <v>0.217221</v>
      </c>
      <c r="AT43" s="1">
        <v>16295.0</v>
      </c>
      <c r="AU43" s="1">
        <v>2095.0</v>
      </c>
      <c r="AV43" s="1">
        <v>0.239006</v>
      </c>
      <c r="AW43" s="1">
        <v>0.07169</v>
      </c>
      <c r="AX43" s="1">
        <v>0.175743</v>
      </c>
      <c r="AY43" s="1">
        <v>0.248426</v>
      </c>
      <c r="AZ43" s="1">
        <v>0.09816971</v>
      </c>
      <c r="BA43" s="1">
        <v>0.030375</v>
      </c>
      <c r="BB43" s="1">
        <v>0.004307</v>
      </c>
      <c r="BC43" s="1">
        <v>0.096802</v>
      </c>
      <c r="BD43" s="1">
        <v>0.01875</v>
      </c>
      <c r="BE43" s="1">
        <v>0.011984</v>
      </c>
      <c r="BF43" s="1">
        <v>0.16923</v>
      </c>
      <c r="BG43" s="1">
        <v>0.047369</v>
      </c>
      <c r="BH43" s="1">
        <v>0.039473</v>
      </c>
      <c r="BI43" s="1">
        <v>0.028905</v>
      </c>
      <c r="BJ43" s="1">
        <v>0.129934</v>
      </c>
      <c r="BK43" s="1">
        <v>0.044445</v>
      </c>
      <c r="BL43" s="1">
        <v>0.022347</v>
      </c>
      <c r="BM43" s="1">
        <v>0.868</v>
      </c>
      <c r="BN43" s="1">
        <v>0.595</v>
      </c>
      <c r="BO43" s="1">
        <v>0.8245</v>
      </c>
      <c r="BP43" s="1">
        <v>0.843</v>
      </c>
      <c r="BQ43" s="1">
        <v>3.1305</v>
      </c>
      <c r="BR43" s="1">
        <v>0.8339</v>
      </c>
      <c r="BS43" s="1">
        <v>0.764</v>
      </c>
      <c r="BT43" s="1">
        <v>0.579</v>
      </c>
      <c r="BU43" s="1">
        <v>0.476</v>
      </c>
      <c r="BV43" s="1">
        <v>1.819</v>
      </c>
      <c r="BW43" s="1">
        <v>0.735</v>
      </c>
      <c r="BX43" s="1">
        <v>0.081</v>
      </c>
      <c r="BY43" s="1">
        <v>0.528</v>
      </c>
      <c r="BZ43" s="1">
        <v>0.609</v>
      </c>
      <c r="CA43" s="1">
        <v>0.276</v>
      </c>
      <c r="CB43" s="1">
        <v>0.454</v>
      </c>
      <c r="CC43" s="1">
        <v>0.851</v>
      </c>
      <c r="CD43" s="1">
        <v>0.891</v>
      </c>
      <c r="CE43" s="1">
        <v>0.829</v>
      </c>
      <c r="CF43" s="1">
        <v>0.741</v>
      </c>
      <c r="CG43" s="1">
        <v>3.766</v>
      </c>
      <c r="CH43" s="1">
        <v>0.983</v>
      </c>
      <c r="CI43" s="1">
        <v>9.3245</v>
      </c>
      <c r="CJ43" s="1">
        <v>0.8888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1">
        <v>0.0</v>
      </c>
      <c r="CV43" s="1">
        <v>0.0</v>
      </c>
      <c r="CW43" s="1">
        <v>0.0</v>
      </c>
      <c r="CX43" s="1">
        <v>0.0</v>
      </c>
      <c r="CY43" s="1">
        <v>0.0</v>
      </c>
      <c r="CZ43" s="1">
        <v>0.0</v>
      </c>
      <c r="DA43" s="1">
        <v>0.0</v>
      </c>
      <c r="DB43" s="1">
        <v>0.0</v>
      </c>
      <c r="DC43" s="1">
        <v>0.0</v>
      </c>
      <c r="DD43" s="1" t="s">
        <v>310</v>
      </c>
      <c r="DE43" s="1">
        <v>0.0301896033242927</v>
      </c>
      <c r="DF43" s="2" t="s">
        <v>311</v>
      </c>
    </row>
    <row r="44" ht="15.75" customHeight="1">
      <c r="A44" s="1" t="s">
        <v>312</v>
      </c>
      <c r="B44" s="1">
        <v>29.0</v>
      </c>
      <c r="C44" s="2" t="s">
        <v>303</v>
      </c>
      <c r="D44" s="1">
        <v>950300.0</v>
      </c>
      <c r="E44" s="1">
        <v>254.785</v>
      </c>
      <c r="F44" s="1">
        <v>29017.0</v>
      </c>
      <c r="G44" s="1">
        <v>2.90179503E10</v>
      </c>
      <c r="H44" s="1" t="s">
        <v>112</v>
      </c>
      <c r="I44" s="1" t="s">
        <v>113</v>
      </c>
      <c r="J44" s="1" t="s">
        <v>304</v>
      </c>
      <c r="K44" s="1" t="s">
        <v>313</v>
      </c>
      <c r="L44" s="1">
        <v>3063.0</v>
      </c>
      <c r="M44" s="1">
        <v>3148.0</v>
      </c>
      <c r="N44" s="1">
        <v>328.0</v>
      </c>
      <c r="O44" s="1">
        <v>1629.0</v>
      </c>
      <c r="P44" s="1">
        <v>1712.0</v>
      </c>
      <c r="Q44" s="1">
        <v>79.0</v>
      </c>
      <c r="R44" s="1">
        <v>1241.0</v>
      </c>
      <c r="S44" s="1">
        <v>549.0</v>
      </c>
      <c r="T44" s="1">
        <v>133.0</v>
      </c>
      <c r="U44" s="1">
        <v>94.0</v>
      </c>
      <c r="V44" s="1">
        <v>325.0</v>
      </c>
      <c r="W44" s="1">
        <v>17032.0</v>
      </c>
      <c r="X44" s="1">
        <v>1473.0</v>
      </c>
      <c r="Y44" s="1">
        <v>607.0</v>
      </c>
      <c r="Z44" s="1">
        <v>156.0</v>
      </c>
      <c r="AA44" s="1">
        <v>497.0</v>
      </c>
      <c r="AB44" s="1">
        <v>682.0</v>
      </c>
      <c r="AC44" s="1">
        <v>94.0</v>
      </c>
      <c r="AD44" s="1">
        <v>52.0</v>
      </c>
      <c r="AE44" s="1">
        <v>0.0</v>
      </c>
      <c r="AF44" s="1">
        <v>456.0</v>
      </c>
      <c r="AG44" s="1">
        <v>0.0</v>
      </c>
      <c r="AH44" s="1">
        <v>197.0</v>
      </c>
      <c r="AI44" s="1">
        <v>446.0</v>
      </c>
      <c r="AJ44" s="1">
        <v>69.0</v>
      </c>
      <c r="AK44" s="1">
        <v>48.0</v>
      </c>
      <c r="AL44" s="1">
        <v>119.0</v>
      </c>
      <c r="AM44" s="1">
        <v>43.0</v>
      </c>
      <c r="AN44" s="1">
        <v>28.0</v>
      </c>
      <c r="AO44" s="1">
        <v>0.0</v>
      </c>
      <c r="AP44" s="1">
        <v>0.17484</v>
      </c>
      <c r="AQ44" s="1">
        <v>0.038322</v>
      </c>
      <c r="AR44" s="1">
        <v>0.066197</v>
      </c>
      <c r="AS44" s="1">
        <v>0.228747</v>
      </c>
      <c r="AT44" s="1">
        <v>17032.0</v>
      </c>
      <c r="AU44" s="1">
        <v>1473.0</v>
      </c>
      <c r="AV44" s="1">
        <v>0.270982</v>
      </c>
      <c r="AW44" s="1">
        <v>0.065569</v>
      </c>
      <c r="AX44" s="1">
        <v>0.162259</v>
      </c>
      <c r="AY44" s="1">
        <v>0.222657</v>
      </c>
      <c r="AZ44" s="1">
        <v>0.07574536</v>
      </c>
      <c r="BA44" s="1">
        <v>0.016976</v>
      </c>
      <c r="BB44" s="1">
        <v>0.0</v>
      </c>
      <c r="BC44" s="1">
        <v>0.15205</v>
      </c>
      <c r="BD44" s="1">
        <v>0.0</v>
      </c>
      <c r="BE44" s="1">
        <v>0.11507</v>
      </c>
      <c r="BF44" s="1">
        <v>0.260514</v>
      </c>
      <c r="BG44" s="1">
        <v>0.038469</v>
      </c>
      <c r="BH44" s="1">
        <v>0.038523</v>
      </c>
      <c r="BI44" s="1">
        <v>0.095453</v>
      </c>
      <c r="BJ44" s="1">
        <v>0.03451</v>
      </c>
      <c r="BK44" s="1">
        <v>0.022293</v>
      </c>
      <c r="BL44" s="1">
        <v>0.0</v>
      </c>
      <c r="BM44" s="1">
        <v>0.663</v>
      </c>
      <c r="BN44" s="1">
        <v>0.48</v>
      </c>
      <c r="BO44" s="1">
        <v>0.7848</v>
      </c>
      <c r="BP44" s="1">
        <v>0.907</v>
      </c>
      <c r="BQ44" s="1">
        <v>2.8348</v>
      </c>
      <c r="BR44" s="1">
        <v>0.7603</v>
      </c>
      <c r="BS44" s="1">
        <v>0.684</v>
      </c>
      <c r="BT44" s="1">
        <v>0.325</v>
      </c>
      <c r="BU44" s="1">
        <v>0.263</v>
      </c>
      <c r="BV44" s="1">
        <v>1.272</v>
      </c>
      <c r="BW44" s="1">
        <v>0.284</v>
      </c>
      <c r="BX44" s="1">
        <v>0.009</v>
      </c>
      <c r="BY44" s="1">
        <v>0.0</v>
      </c>
      <c r="BZ44" s="1">
        <v>0.009</v>
      </c>
      <c r="CA44" s="1">
        <v>0.005</v>
      </c>
      <c r="CB44" s="1">
        <v>0.0</v>
      </c>
      <c r="CC44" s="1">
        <v>0.964</v>
      </c>
      <c r="CD44" s="1">
        <v>0.884</v>
      </c>
      <c r="CE44" s="1">
        <v>0.328</v>
      </c>
      <c r="CF44" s="1">
        <v>0.0</v>
      </c>
      <c r="CG44" s="1">
        <v>2.176</v>
      </c>
      <c r="CH44" s="1">
        <v>0.409</v>
      </c>
      <c r="CI44" s="1">
        <v>6.2918</v>
      </c>
      <c r="CJ44" s="1">
        <v>0.4267</v>
      </c>
      <c r="CK44" s="1">
        <v>0.0</v>
      </c>
      <c r="CL44" s="1">
        <v>0.0</v>
      </c>
      <c r="CM44" s="1">
        <v>0.0</v>
      </c>
      <c r="CN44" s="1">
        <v>1.0</v>
      </c>
      <c r="CO44" s="1">
        <v>1.0</v>
      </c>
      <c r="CP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1">
        <v>0.0</v>
      </c>
      <c r="CV44" s="1">
        <v>0.0</v>
      </c>
      <c r="CW44" s="1">
        <v>0.0</v>
      </c>
      <c r="CX44" s="1">
        <v>1.0</v>
      </c>
      <c r="CY44" s="1">
        <v>0.0</v>
      </c>
      <c r="CZ44" s="1">
        <v>0.0</v>
      </c>
      <c r="DA44" s="1">
        <v>0.0</v>
      </c>
      <c r="DB44" s="1">
        <v>1.0</v>
      </c>
      <c r="DC44" s="1">
        <v>2.0</v>
      </c>
      <c r="DD44" s="1" t="s">
        <v>314</v>
      </c>
      <c r="DE44" s="1">
        <v>0.0676800649588576</v>
      </c>
      <c r="DF44" s="2" t="s">
        <v>315</v>
      </c>
    </row>
    <row r="45" ht="15.75" customHeight="1">
      <c r="A45" s="1" t="s">
        <v>316</v>
      </c>
      <c r="B45" s="1">
        <v>29.0</v>
      </c>
      <c r="C45" s="2" t="s">
        <v>317</v>
      </c>
      <c r="D45" s="2" t="s">
        <v>318</v>
      </c>
      <c r="E45" s="1">
        <v>0.347</v>
      </c>
      <c r="F45" s="1">
        <v>29019.0</v>
      </c>
      <c r="G45" s="1">
        <v>2.90190002E10</v>
      </c>
      <c r="H45" s="1" t="s">
        <v>112</v>
      </c>
      <c r="I45" s="1" t="s">
        <v>113</v>
      </c>
      <c r="J45" s="1" t="s">
        <v>319</v>
      </c>
      <c r="K45" s="1" t="s">
        <v>320</v>
      </c>
      <c r="L45" s="1">
        <v>1730.0</v>
      </c>
      <c r="M45" s="1">
        <v>2035.0</v>
      </c>
      <c r="N45" s="1">
        <v>444.0</v>
      </c>
      <c r="O45" s="1">
        <v>858.0</v>
      </c>
      <c r="P45" s="1">
        <v>893.0</v>
      </c>
      <c r="Q45" s="1">
        <v>63.0</v>
      </c>
      <c r="R45" s="1">
        <v>795.0</v>
      </c>
      <c r="S45" s="1">
        <v>531.0</v>
      </c>
      <c r="T45" s="1">
        <v>205.0</v>
      </c>
      <c r="U45" s="1">
        <v>69.0</v>
      </c>
      <c r="V45" s="1">
        <v>460.0</v>
      </c>
      <c r="W45" s="1">
        <v>13349.0</v>
      </c>
      <c r="X45" s="1">
        <v>2153.0</v>
      </c>
      <c r="Y45" s="1">
        <v>152.0</v>
      </c>
      <c r="Z45" s="1">
        <v>368.0</v>
      </c>
      <c r="AA45" s="1">
        <v>53.0</v>
      </c>
      <c r="AB45" s="1">
        <v>108.0</v>
      </c>
      <c r="AC45" s="1">
        <v>49.0</v>
      </c>
      <c r="AD45" s="1">
        <v>310.0</v>
      </c>
      <c r="AE45" s="1">
        <v>24.0</v>
      </c>
      <c r="AF45" s="1">
        <v>427.0</v>
      </c>
      <c r="AG45" s="1">
        <v>87.0</v>
      </c>
      <c r="AH45" s="1">
        <v>62.0</v>
      </c>
      <c r="AI45" s="1">
        <v>0.0</v>
      </c>
      <c r="AJ45" s="1">
        <v>114.0</v>
      </c>
      <c r="AK45" s="1">
        <v>5.0</v>
      </c>
      <c r="AL45" s="1">
        <v>115.0</v>
      </c>
      <c r="AM45" s="1">
        <v>88.0</v>
      </c>
      <c r="AN45" s="1">
        <v>132.0</v>
      </c>
      <c r="AO45" s="1">
        <v>349.0</v>
      </c>
      <c r="AP45" s="1">
        <v>0.342139</v>
      </c>
      <c r="AQ45" s="1">
        <v>0.114082</v>
      </c>
      <c r="AR45" s="1">
        <v>0.046843</v>
      </c>
      <c r="AS45" s="1">
        <v>0.312102</v>
      </c>
      <c r="AT45" s="1">
        <v>13349.0</v>
      </c>
      <c r="AU45" s="1">
        <v>2153.0</v>
      </c>
      <c r="AV45" s="1">
        <v>0.157024</v>
      </c>
      <c r="AW45" s="1">
        <v>0.377403</v>
      </c>
      <c r="AX45" s="1">
        <v>0.030635</v>
      </c>
      <c r="AY45" s="1">
        <v>0.062427</v>
      </c>
      <c r="AZ45" s="1">
        <v>0.06163522</v>
      </c>
      <c r="BA45" s="1">
        <v>0.17919</v>
      </c>
      <c r="BB45" s="1">
        <v>0.012</v>
      </c>
      <c r="BC45" s="1">
        <v>0.213484</v>
      </c>
      <c r="BD45" s="1">
        <v>0.097424</v>
      </c>
      <c r="BE45" s="1">
        <v>0.069087</v>
      </c>
      <c r="BF45" s="1">
        <v>0.0</v>
      </c>
      <c r="BG45" s="1">
        <v>0.127659</v>
      </c>
      <c r="BH45" s="1">
        <v>0.005952</v>
      </c>
      <c r="BI45" s="1">
        <v>0.136903</v>
      </c>
      <c r="BJ45" s="1">
        <v>0.104761</v>
      </c>
      <c r="BK45" s="1">
        <v>0.156833</v>
      </c>
      <c r="BL45" s="1">
        <v>0.201734</v>
      </c>
      <c r="BM45" s="1">
        <v>0.92</v>
      </c>
      <c r="BN45" s="1">
        <v>0.26</v>
      </c>
      <c r="BO45" s="1">
        <v>0.9271</v>
      </c>
      <c r="BP45" s="1">
        <v>0.597</v>
      </c>
      <c r="BQ45" s="1">
        <v>2.7041</v>
      </c>
      <c r="BR45" s="1">
        <v>0.7235</v>
      </c>
      <c r="BS45" s="1">
        <v>0.009</v>
      </c>
      <c r="BT45" s="1">
        <v>0.016</v>
      </c>
      <c r="BU45" s="1">
        <v>0.141</v>
      </c>
      <c r="BV45" s="1">
        <v>0.166</v>
      </c>
      <c r="BW45" s="1">
        <v>0.011</v>
      </c>
      <c r="BX45" s="1">
        <v>0.676</v>
      </c>
      <c r="BY45" s="1">
        <v>0.771</v>
      </c>
      <c r="BZ45" s="1">
        <v>1.447</v>
      </c>
      <c r="CA45" s="1">
        <v>0.792</v>
      </c>
      <c r="CB45" s="1">
        <v>0.766</v>
      </c>
      <c r="CC45" s="1">
        <v>0.0</v>
      </c>
      <c r="CD45" s="1">
        <v>0.354</v>
      </c>
      <c r="CE45" s="1">
        <v>0.766</v>
      </c>
      <c r="CF45" s="1">
        <v>0.966</v>
      </c>
      <c r="CG45" s="1">
        <v>2.852</v>
      </c>
      <c r="CH45" s="1">
        <v>0.71</v>
      </c>
      <c r="CI45" s="1">
        <v>7.1691</v>
      </c>
      <c r="CJ45" s="1">
        <v>0.5834</v>
      </c>
      <c r="CK45" s="1">
        <v>1.0</v>
      </c>
      <c r="CL45" s="1">
        <v>0.0</v>
      </c>
      <c r="CM45" s="1">
        <v>1.0</v>
      </c>
      <c r="CN45" s="1">
        <v>0.0</v>
      </c>
      <c r="CO45" s="1">
        <v>2.0</v>
      </c>
      <c r="CP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1">
        <v>0.0</v>
      </c>
      <c r="CV45" s="1">
        <v>0.0</v>
      </c>
      <c r="CW45" s="1">
        <v>0.0</v>
      </c>
      <c r="CX45" s="1">
        <v>0.0</v>
      </c>
      <c r="CY45" s="1">
        <v>0.0</v>
      </c>
      <c r="CZ45" s="1">
        <v>0.0</v>
      </c>
      <c r="DA45" s="1">
        <v>1.0</v>
      </c>
      <c r="DB45" s="1">
        <v>1.0</v>
      </c>
      <c r="DC45" s="1">
        <v>3.0</v>
      </c>
      <c r="DD45" s="1" t="s">
        <v>321</v>
      </c>
      <c r="DE45" s="2" t="s">
        <v>322</v>
      </c>
      <c r="DF45" s="1">
        <v>0.0459431437246445</v>
      </c>
    </row>
    <row r="46" ht="15.75" customHeight="1">
      <c r="A46" s="1" t="s">
        <v>323</v>
      </c>
      <c r="B46" s="1">
        <v>29.0</v>
      </c>
      <c r="C46" s="2" t="s">
        <v>317</v>
      </c>
      <c r="D46" s="2" t="s">
        <v>324</v>
      </c>
      <c r="E46" s="1">
        <v>0.535</v>
      </c>
      <c r="F46" s="1">
        <v>29019.0</v>
      </c>
      <c r="G46" s="1">
        <v>2.90190003E10</v>
      </c>
      <c r="H46" s="1" t="s">
        <v>112</v>
      </c>
      <c r="I46" s="1" t="s">
        <v>113</v>
      </c>
      <c r="J46" s="1" t="s">
        <v>319</v>
      </c>
      <c r="K46" s="1" t="s">
        <v>325</v>
      </c>
      <c r="L46" s="1">
        <v>3010.0</v>
      </c>
      <c r="M46" s="1">
        <v>3525.0</v>
      </c>
      <c r="N46" s="1">
        <v>458.0</v>
      </c>
      <c r="O46" s="1">
        <v>1184.0</v>
      </c>
      <c r="P46" s="1">
        <v>1414.0</v>
      </c>
      <c r="Q46" s="1">
        <v>118.0</v>
      </c>
      <c r="R46" s="1">
        <v>1093.0</v>
      </c>
      <c r="S46" s="1">
        <v>1745.0</v>
      </c>
      <c r="T46" s="1">
        <v>383.0</v>
      </c>
      <c r="U46" s="1">
        <v>264.0</v>
      </c>
      <c r="V46" s="1">
        <v>429.0</v>
      </c>
      <c r="W46" s="1">
        <v>13067.0</v>
      </c>
      <c r="X46" s="1">
        <v>1677.0</v>
      </c>
      <c r="Y46" s="1">
        <v>25.0</v>
      </c>
      <c r="Z46" s="1">
        <v>428.0</v>
      </c>
      <c r="AA46" s="1">
        <v>102.0</v>
      </c>
      <c r="AB46" s="1">
        <v>155.0</v>
      </c>
      <c r="AC46" s="1">
        <v>39.0</v>
      </c>
      <c r="AD46" s="1">
        <v>376.0</v>
      </c>
      <c r="AE46" s="1">
        <v>24.0</v>
      </c>
      <c r="AF46" s="1">
        <v>427.0</v>
      </c>
      <c r="AG46" s="1">
        <v>262.0</v>
      </c>
      <c r="AH46" s="1">
        <v>109.0</v>
      </c>
      <c r="AI46" s="1">
        <v>0.0</v>
      </c>
      <c r="AJ46" s="1">
        <v>114.0</v>
      </c>
      <c r="AK46" s="1">
        <v>22.0</v>
      </c>
      <c r="AL46" s="1">
        <v>118.0</v>
      </c>
      <c r="AM46" s="1">
        <v>103.0</v>
      </c>
      <c r="AN46" s="1">
        <v>62.0</v>
      </c>
      <c r="AO46" s="1">
        <v>426.0</v>
      </c>
      <c r="AP46" s="1">
        <v>0.59273</v>
      </c>
      <c r="AQ46" s="1">
        <v>0.099885</v>
      </c>
      <c r="AR46" s="1">
        <v>0.111017</v>
      </c>
      <c r="AS46" s="1">
        <v>0.179203</v>
      </c>
      <c r="AT46" s="1">
        <v>13067.0</v>
      </c>
      <c r="AU46" s="1">
        <v>1677.0</v>
      </c>
      <c r="AV46" s="1">
        <v>0.030012</v>
      </c>
      <c r="AW46" s="1">
        <v>0.513787</v>
      </c>
      <c r="AX46" s="1">
        <v>0.033887</v>
      </c>
      <c r="AY46" s="1">
        <v>0.051495</v>
      </c>
      <c r="AZ46" s="1">
        <v>0.03568161</v>
      </c>
      <c r="BA46" s="1">
        <v>0.124916</v>
      </c>
      <c r="BB46" s="1">
        <v>0.006876</v>
      </c>
      <c r="BC46" s="1">
        <v>0.122346</v>
      </c>
      <c r="BD46" s="1">
        <v>0.185289</v>
      </c>
      <c r="BE46" s="1">
        <v>0.075519</v>
      </c>
      <c r="BF46" s="1">
        <v>0.0</v>
      </c>
      <c r="BG46" s="1">
        <v>0.080622</v>
      </c>
      <c r="BH46" s="1">
        <v>0.017377</v>
      </c>
      <c r="BI46" s="1">
        <v>0.093184</v>
      </c>
      <c r="BJ46" s="1">
        <v>0.081358</v>
      </c>
      <c r="BK46" s="1">
        <v>0.04804</v>
      </c>
      <c r="BL46" s="1">
        <v>0.141528</v>
      </c>
      <c r="BM46" s="1">
        <v>0.996</v>
      </c>
      <c r="BN46" s="1">
        <v>0.792</v>
      </c>
      <c r="BO46" s="1">
        <v>0.935</v>
      </c>
      <c r="BP46" s="1">
        <v>0.064</v>
      </c>
      <c r="BQ46" s="1">
        <v>2.787</v>
      </c>
      <c r="BR46" s="1">
        <v>0.7451</v>
      </c>
      <c r="BS46" s="1">
        <v>0.012</v>
      </c>
      <c r="BT46" s="1">
        <v>0.011</v>
      </c>
      <c r="BU46" s="1">
        <v>0.027</v>
      </c>
      <c r="BV46" s="1">
        <v>0.05</v>
      </c>
      <c r="BW46" s="1">
        <v>0.005</v>
      </c>
      <c r="BX46" s="1">
        <v>0.548</v>
      </c>
      <c r="BY46" s="1">
        <v>0.628</v>
      </c>
      <c r="BZ46" s="1">
        <v>1.176</v>
      </c>
      <c r="CA46" s="1">
        <v>0.65</v>
      </c>
      <c r="CB46" s="1">
        <v>0.884</v>
      </c>
      <c r="CC46" s="1">
        <v>0.0</v>
      </c>
      <c r="CD46" s="1">
        <v>0.636</v>
      </c>
      <c r="CE46" s="1">
        <v>0.682</v>
      </c>
      <c r="CF46" s="1">
        <v>0.955</v>
      </c>
      <c r="CG46" s="1">
        <v>3.157</v>
      </c>
      <c r="CH46" s="1">
        <v>0.834</v>
      </c>
      <c r="CI46" s="1">
        <v>7.17</v>
      </c>
      <c r="CJ46" s="1">
        <v>0.5841</v>
      </c>
      <c r="CK46" s="1">
        <v>1.0</v>
      </c>
      <c r="CL46" s="1">
        <v>0.0</v>
      </c>
      <c r="CM46" s="1">
        <v>1.0</v>
      </c>
      <c r="CN46" s="1">
        <v>0.0</v>
      </c>
      <c r="CO46" s="1">
        <v>2.0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>
        <v>0.0</v>
      </c>
      <c r="CV46" s="1">
        <v>0.0</v>
      </c>
      <c r="CW46" s="1">
        <v>0.0</v>
      </c>
      <c r="CX46" s="1">
        <v>0.0</v>
      </c>
      <c r="CY46" s="1">
        <v>0.0</v>
      </c>
      <c r="CZ46" s="1">
        <v>0.0</v>
      </c>
      <c r="DA46" s="1">
        <v>1.0</v>
      </c>
      <c r="DB46" s="1">
        <v>1.0</v>
      </c>
      <c r="DC46" s="1">
        <v>3.0</v>
      </c>
      <c r="DD46" s="1" t="s">
        <v>326</v>
      </c>
      <c r="DE46" s="1">
        <v>1.4258673005581E-4</v>
      </c>
      <c r="DF46" s="2" t="s">
        <v>327</v>
      </c>
    </row>
    <row r="47" ht="15.75" customHeight="1">
      <c r="A47" s="1" t="s">
        <v>328</v>
      </c>
      <c r="B47" s="1">
        <v>29.0</v>
      </c>
      <c r="C47" s="2" t="s">
        <v>317</v>
      </c>
      <c r="D47" s="2" t="s">
        <v>329</v>
      </c>
      <c r="E47" s="1">
        <v>0.482</v>
      </c>
      <c r="F47" s="1">
        <v>29019.0</v>
      </c>
      <c r="G47" s="1">
        <v>2.90190005E10</v>
      </c>
      <c r="H47" s="1" t="s">
        <v>112</v>
      </c>
      <c r="I47" s="1" t="s">
        <v>113</v>
      </c>
      <c r="J47" s="1" t="s">
        <v>319</v>
      </c>
      <c r="K47" s="1" t="s">
        <v>330</v>
      </c>
      <c r="L47" s="1">
        <v>2794.0</v>
      </c>
      <c r="M47" s="1">
        <v>3300.0</v>
      </c>
      <c r="N47" s="1">
        <v>548.0</v>
      </c>
      <c r="O47" s="1">
        <v>1167.0</v>
      </c>
      <c r="P47" s="1">
        <v>1343.0</v>
      </c>
      <c r="Q47" s="1">
        <v>101.0</v>
      </c>
      <c r="R47" s="1">
        <v>1083.0</v>
      </c>
      <c r="S47" s="1">
        <v>1487.0</v>
      </c>
      <c r="T47" s="1">
        <v>414.0</v>
      </c>
      <c r="U47" s="1">
        <v>337.0</v>
      </c>
      <c r="V47" s="1">
        <v>381.0</v>
      </c>
      <c r="W47" s="1">
        <v>7351.0</v>
      </c>
      <c r="X47" s="1">
        <v>1061.0</v>
      </c>
      <c r="Y47" s="1">
        <v>228.0</v>
      </c>
      <c r="Z47" s="1">
        <v>358.0</v>
      </c>
      <c r="AA47" s="1">
        <v>39.0</v>
      </c>
      <c r="AB47" s="1">
        <v>52.0</v>
      </c>
      <c r="AC47" s="1">
        <v>10.0</v>
      </c>
      <c r="AD47" s="1">
        <v>794.0</v>
      </c>
      <c r="AE47" s="1">
        <v>112.0</v>
      </c>
      <c r="AF47" s="1">
        <v>418.0</v>
      </c>
      <c r="AG47" s="1">
        <v>930.0</v>
      </c>
      <c r="AH47" s="1">
        <v>147.0</v>
      </c>
      <c r="AI47" s="1">
        <v>0.0</v>
      </c>
      <c r="AJ47" s="1">
        <v>114.0</v>
      </c>
      <c r="AK47" s="1">
        <v>29.0</v>
      </c>
      <c r="AL47" s="1">
        <v>122.0</v>
      </c>
      <c r="AM47" s="1">
        <v>444.0</v>
      </c>
      <c r="AN47" s="1">
        <v>155.0</v>
      </c>
      <c r="AO47" s="1">
        <v>887.0</v>
      </c>
      <c r="AP47" s="1">
        <v>0.665622</v>
      </c>
      <c r="AQ47" s="1">
        <v>0.089839</v>
      </c>
      <c r="AR47" s="1">
        <v>0.181671</v>
      </c>
      <c r="AS47" s="1">
        <v>0.200861</v>
      </c>
      <c r="AT47" s="1">
        <v>7351.0</v>
      </c>
      <c r="AU47" s="1">
        <v>1061.0</v>
      </c>
      <c r="AV47" s="1">
        <v>0.206334</v>
      </c>
      <c r="AW47" s="1">
        <v>0.318031</v>
      </c>
      <c r="AX47" s="1">
        <v>0.013958</v>
      </c>
      <c r="AY47" s="1">
        <v>0.018611</v>
      </c>
      <c r="AZ47" s="1">
        <v>0.00923361</v>
      </c>
      <c r="BA47" s="1">
        <v>0.28418</v>
      </c>
      <c r="BB47" s="1">
        <v>0.034083</v>
      </c>
      <c r="BC47" s="1">
        <v>0.127082</v>
      </c>
      <c r="BD47" s="1">
        <v>0.692479</v>
      </c>
      <c r="BE47" s="1">
        <v>0.096273</v>
      </c>
      <c r="BF47" s="1">
        <v>0.0</v>
      </c>
      <c r="BG47" s="1">
        <v>0.084884</v>
      </c>
      <c r="BH47" s="1">
        <v>0.024956</v>
      </c>
      <c r="BI47" s="1">
        <v>0.104963</v>
      </c>
      <c r="BJ47" s="1">
        <v>0.382099</v>
      </c>
      <c r="BK47" s="1">
        <v>0.128205</v>
      </c>
      <c r="BL47" s="1">
        <v>0.317466</v>
      </c>
      <c r="BM47" s="1">
        <v>0.999</v>
      </c>
      <c r="BN47" s="1">
        <v>0.936</v>
      </c>
      <c r="BO47" s="1">
        <v>0.9971</v>
      </c>
      <c r="BP47" s="1">
        <v>0.769</v>
      </c>
      <c r="BQ47" s="1">
        <v>3.7011</v>
      </c>
      <c r="BR47" s="1">
        <v>0.961</v>
      </c>
      <c r="BS47" s="1">
        <v>0.006</v>
      </c>
      <c r="BT47" s="1">
        <v>0.003</v>
      </c>
      <c r="BU47" s="1">
        <v>0.001</v>
      </c>
      <c r="BV47" s="1">
        <v>0.01</v>
      </c>
      <c r="BW47" s="1">
        <v>0.0</v>
      </c>
      <c r="BX47" s="1">
        <v>0.781</v>
      </c>
      <c r="BY47" s="1">
        <v>0.931</v>
      </c>
      <c r="BZ47" s="1">
        <v>1.712</v>
      </c>
      <c r="CA47" s="1">
        <v>0.929</v>
      </c>
      <c r="CB47" s="1">
        <v>0.992</v>
      </c>
      <c r="CC47" s="1">
        <v>0.0</v>
      </c>
      <c r="CD47" s="1">
        <v>0.756</v>
      </c>
      <c r="CE47" s="1">
        <v>0.981</v>
      </c>
      <c r="CF47" s="1">
        <v>0.982</v>
      </c>
      <c r="CG47" s="1">
        <v>3.711</v>
      </c>
      <c r="CH47" s="1">
        <v>0.979</v>
      </c>
      <c r="CI47" s="1">
        <v>9.1341</v>
      </c>
      <c r="CJ47" s="1">
        <v>0.8686</v>
      </c>
      <c r="CK47" s="1">
        <v>1.0</v>
      </c>
      <c r="CL47" s="1">
        <v>1.0</v>
      </c>
      <c r="CM47" s="1">
        <v>1.0</v>
      </c>
      <c r="CN47" s="1">
        <v>0.0</v>
      </c>
      <c r="CO47" s="1">
        <v>3.0</v>
      </c>
      <c r="CP47" s="1">
        <v>0.0</v>
      </c>
      <c r="CQ47" s="1">
        <v>0.0</v>
      </c>
      <c r="CR47" s="1">
        <v>0.0</v>
      </c>
      <c r="CS47" s="1">
        <v>0.0</v>
      </c>
      <c r="CT47" s="1">
        <v>0.0</v>
      </c>
      <c r="CU47" s="1">
        <v>1.0</v>
      </c>
      <c r="CV47" s="1">
        <v>1.0</v>
      </c>
      <c r="CW47" s="1">
        <v>1.0</v>
      </c>
      <c r="CX47" s="1">
        <v>0.0</v>
      </c>
      <c r="CY47" s="1">
        <v>0.0</v>
      </c>
      <c r="CZ47" s="1">
        <v>1.0</v>
      </c>
      <c r="DA47" s="1">
        <v>1.0</v>
      </c>
      <c r="DB47" s="1">
        <v>3.0</v>
      </c>
      <c r="DC47" s="1">
        <v>7.0</v>
      </c>
      <c r="DD47" s="1" t="s">
        <v>331</v>
      </c>
      <c r="DE47" s="1">
        <v>1.27806502802331E-4</v>
      </c>
      <c r="DF47" s="1">
        <v>0.055392668411508</v>
      </c>
    </row>
    <row r="48" ht="15.75" customHeight="1">
      <c r="A48" s="1" t="s">
        <v>332</v>
      </c>
      <c r="B48" s="1">
        <v>29.0</v>
      </c>
      <c r="C48" s="2" t="s">
        <v>317</v>
      </c>
      <c r="D48" s="2" t="s">
        <v>333</v>
      </c>
      <c r="E48" s="1">
        <v>1.859</v>
      </c>
      <c r="F48" s="1">
        <v>29019.0</v>
      </c>
      <c r="G48" s="1">
        <v>2.90190006E10</v>
      </c>
      <c r="H48" s="1" t="s">
        <v>112</v>
      </c>
      <c r="I48" s="1" t="s">
        <v>113</v>
      </c>
      <c r="J48" s="1" t="s">
        <v>319</v>
      </c>
      <c r="K48" s="1" t="s">
        <v>334</v>
      </c>
      <c r="L48" s="1">
        <v>4602.0</v>
      </c>
      <c r="M48" s="1">
        <v>4840.0</v>
      </c>
      <c r="N48" s="1">
        <v>401.0</v>
      </c>
      <c r="O48" s="1">
        <v>2130.0</v>
      </c>
      <c r="P48" s="1">
        <v>2192.0</v>
      </c>
      <c r="Q48" s="1">
        <v>59.0</v>
      </c>
      <c r="R48" s="1">
        <v>2020.0</v>
      </c>
      <c r="S48" s="1">
        <v>679.0</v>
      </c>
      <c r="T48" s="1">
        <v>368.0</v>
      </c>
      <c r="U48" s="1">
        <v>100.0</v>
      </c>
      <c r="V48" s="1">
        <v>460.0</v>
      </c>
      <c r="W48" s="1">
        <v>41291.0</v>
      </c>
      <c r="X48" s="1">
        <v>6582.0</v>
      </c>
      <c r="Y48" s="1">
        <v>83.0</v>
      </c>
      <c r="Z48" s="1">
        <v>418.0</v>
      </c>
      <c r="AA48" s="1">
        <v>780.0</v>
      </c>
      <c r="AB48" s="1">
        <v>888.0</v>
      </c>
      <c r="AC48" s="1">
        <v>132.0</v>
      </c>
      <c r="AD48" s="1">
        <v>426.0</v>
      </c>
      <c r="AE48" s="1">
        <v>16.0</v>
      </c>
      <c r="AF48" s="1">
        <v>442.0</v>
      </c>
      <c r="AG48" s="1">
        <v>46.0</v>
      </c>
      <c r="AH48" s="1">
        <v>42.0</v>
      </c>
      <c r="AI48" s="1">
        <v>59.0</v>
      </c>
      <c r="AJ48" s="1">
        <v>72.0</v>
      </c>
      <c r="AK48" s="1">
        <v>0.0</v>
      </c>
      <c r="AL48" s="1">
        <v>161.0</v>
      </c>
      <c r="AM48" s="1">
        <v>59.0</v>
      </c>
      <c r="AN48" s="1">
        <v>49.0</v>
      </c>
      <c r="AO48" s="1">
        <v>83.0</v>
      </c>
      <c r="AP48" s="1">
        <v>0.140289</v>
      </c>
      <c r="AQ48" s="1">
        <v>0.075139</v>
      </c>
      <c r="AR48" s="1">
        <v>0.039138</v>
      </c>
      <c r="AS48" s="1">
        <v>0.17997</v>
      </c>
      <c r="AT48" s="1">
        <v>41291.0</v>
      </c>
      <c r="AU48" s="1">
        <v>6582.0</v>
      </c>
      <c r="AV48" s="1">
        <v>0.02366</v>
      </c>
      <c r="AW48" s="1">
        <v>0.119145</v>
      </c>
      <c r="AX48" s="1">
        <v>0.169491</v>
      </c>
      <c r="AY48" s="1">
        <v>0.192959</v>
      </c>
      <c r="AZ48" s="1">
        <v>0.06534653</v>
      </c>
      <c r="BA48" s="1">
        <v>0.092568</v>
      </c>
      <c r="BB48" s="1">
        <v>0.003467</v>
      </c>
      <c r="BC48" s="1">
        <v>0.095794</v>
      </c>
      <c r="BD48" s="1">
        <v>0.020985</v>
      </c>
      <c r="BE48" s="1">
        <v>0.019152</v>
      </c>
      <c r="BF48" s="1">
        <v>0.026916</v>
      </c>
      <c r="BG48" s="1">
        <v>0.032838</v>
      </c>
      <c r="BH48" s="1">
        <v>0.0</v>
      </c>
      <c r="BI48" s="1">
        <v>0.073448</v>
      </c>
      <c r="BJ48" s="1">
        <v>0.026916</v>
      </c>
      <c r="BK48" s="1">
        <v>0.022342</v>
      </c>
      <c r="BL48" s="1">
        <v>0.018035</v>
      </c>
      <c r="BM48" s="1">
        <v>0.546</v>
      </c>
      <c r="BN48" s="1">
        <v>0.176</v>
      </c>
      <c r="BO48" s="1">
        <v>0.0556</v>
      </c>
      <c r="BP48" s="1">
        <v>0.041</v>
      </c>
      <c r="BQ48" s="1">
        <v>0.8186</v>
      </c>
      <c r="BR48" s="1">
        <v>0.161</v>
      </c>
      <c r="BS48" s="1">
        <v>0.733</v>
      </c>
      <c r="BT48" s="1">
        <v>0.161</v>
      </c>
      <c r="BU48" s="1">
        <v>0.176</v>
      </c>
      <c r="BV48" s="1">
        <v>1.07</v>
      </c>
      <c r="BW48" s="1">
        <v>0.146</v>
      </c>
      <c r="BX48" s="1">
        <v>0.438</v>
      </c>
      <c r="BY48" s="1">
        <v>0.479</v>
      </c>
      <c r="BZ48" s="1">
        <v>0.917</v>
      </c>
      <c r="CA48" s="1">
        <v>0.479</v>
      </c>
      <c r="CB48" s="1">
        <v>0.474</v>
      </c>
      <c r="CC48" s="1">
        <v>0.539</v>
      </c>
      <c r="CD48" s="1">
        <v>0.0</v>
      </c>
      <c r="CE48" s="1">
        <v>0.256</v>
      </c>
      <c r="CF48" s="1">
        <v>0.686</v>
      </c>
      <c r="CG48" s="1">
        <v>1.955</v>
      </c>
      <c r="CH48" s="1">
        <v>0.326</v>
      </c>
      <c r="CI48" s="1">
        <v>4.7606</v>
      </c>
      <c r="CJ48" s="1">
        <v>0.1704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0.0</v>
      </c>
      <c r="CQ48" s="1">
        <v>0.0</v>
      </c>
      <c r="CR48" s="1">
        <v>0.0</v>
      </c>
      <c r="CS48" s="1">
        <v>0.0</v>
      </c>
      <c r="CT48" s="1">
        <v>0.0</v>
      </c>
      <c r="CU48" s="1">
        <v>0.0</v>
      </c>
      <c r="CV48" s="1">
        <v>0.0</v>
      </c>
      <c r="CW48" s="1">
        <v>0.0</v>
      </c>
      <c r="CX48" s="1">
        <v>0.0</v>
      </c>
      <c r="CY48" s="1">
        <v>0.0</v>
      </c>
      <c r="CZ48" s="1">
        <v>0.0</v>
      </c>
      <c r="DA48" s="1">
        <v>0.0</v>
      </c>
      <c r="DB48" s="1">
        <v>0.0</v>
      </c>
      <c r="DC48" s="1">
        <v>0.0</v>
      </c>
      <c r="DD48" s="1" t="s">
        <v>335</v>
      </c>
      <c r="DE48" s="1">
        <v>5.02976435150386E-4</v>
      </c>
      <c r="DF48" s="2" t="s">
        <v>336</v>
      </c>
    </row>
    <row r="49" ht="15.75" customHeight="1">
      <c r="A49" s="1" t="s">
        <v>337</v>
      </c>
      <c r="B49" s="1">
        <v>29.0</v>
      </c>
      <c r="C49" s="2" t="s">
        <v>317</v>
      </c>
      <c r="D49" s="2" t="s">
        <v>338</v>
      </c>
      <c r="E49" s="1">
        <v>0.91</v>
      </c>
      <c r="F49" s="1">
        <v>29019.0</v>
      </c>
      <c r="G49" s="1">
        <v>2.90190007E10</v>
      </c>
      <c r="H49" s="1" t="s">
        <v>112</v>
      </c>
      <c r="I49" s="1" t="s">
        <v>113</v>
      </c>
      <c r="J49" s="1" t="s">
        <v>319</v>
      </c>
      <c r="K49" s="1" t="s">
        <v>339</v>
      </c>
      <c r="L49" s="1">
        <v>3542.0</v>
      </c>
      <c r="M49" s="1">
        <v>3983.0</v>
      </c>
      <c r="N49" s="1">
        <v>380.0</v>
      </c>
      <c r="O49" s="1">
        <v>1898.0</v>
      </c>
      <c r="P49" s="1">
        <v>2038.0</v>
      </c>
      <c r="Q49" s="1">
        <v>81.0</v>
      </c>
      <c r="R49" s="1">
        <v>1765.0</v>
      </c>
      <c r="S49" s="1">
        <v>786.0</v>
      </c>
      <c r="T49" s="1">
        <v>293.0</v>
      </c>
      <c r="U49" s="1">
        <v>143.0</v>
      </c>
      <c r="V49" s="1">
        <v>402.0</v>
      </c>
      <c r="W49" s="1">
        <v>19169.0</v>
      </c>
      <c r="X49" s="1">
        <v>2058.0</v>
      </c>
      <c r="Y49" s="1">
        <v>339.0</v>
      </c>
      <c r="Z49" s="1">
        <v>261.0</v>
      </c>
      <c r="AA49" s="1">
        <v>320.0</v>
      </c>
      <c r="AB49" s="1">
        <v>602.0</v>
      </c>
      <c r="AC49" s="1">
        <v>176.0</v>
      </c>
      <c r="AD49" s="1">
        <v>1005.0</v>
      </c>
      <c r="AE49" s="1">
        <v>251.0</v>
      </c>
      <c r="AF49" s="1">
        <v>400.0</v>
      </c>
      <c r="AG49" s="1">
        <v>73.0</v>
      </c>
      <c r="AH49" s="1">
        <v>123.0</v>
      </c>
      <c r="AI49" s="1">
        <v>0.0</v>
      </c>
      <c r="AJ49" s="1">
        <v>114.0</v>
      </c>
      <c r="AK49" s="1">
        <v>60.0</v>
      </c>
      <c r="AL49" s="1">
        <v>124.0</v>
      </c>
      <c r="AM49" s="1">
        <v>179.0</v>
      </c>
      <c r="AN49" s="1">
        <v>74.0</v>
      </c>
      <c r="AO49" s="1">
        <v>0.0</v>
      </c>
      <c r="AP49" s="1">
        <v>0.197686</v>
      </c>
      <c r="AQ49" s="1">
        <v>0.071215</v>
      </c>
      <c r="AR49" s="1">
        <v>0.06021</v>
      </c>
      <c r="AS49" s="1">
        <v>0.169094</v>
      </c>
      <c r="AT49" s="1">
        <v>19169.0</v>
      </c>
      <c r="AU49" s="1">
        <v>2058.0</v>
      </c>
      <c r="AV49" s="1">
        <v>0.12836</v>
      </c>
      <c r="AW49" s="1">
        <v>0.098117</v>
      </c>
      <c r="AX49" s="1">
        <v>0.090344</v>
      </c>
      <c r="AY49" s="1">
        <v>0.16996</v>
      </c>
      <c r="AZ49" s="1">
        <v>0.09971671</v>
      </c>
      <c r="BA49" s="1">
        <v>0.283738</v>
      </c>
      <c r="BB49" s="1">
        <v>0.067673</v>
      </c>
      <c r="BC49" s="1">
        <v>0.107678</v>
      </c>
      <c r="BD49" s="1">
        <v>0.035819</v>
      </c>
      <c r="BE49" s="1">
        <v>0.060336</v>
      </c>
      <c r="BF49" s="1">
        <v>0.0</v>
      </c>
      <c r="BG49" s="1">
        <v>0.055937</v>
      </c>
      <c r="BH49" s="1">
        <v>0.032485</v>
      </c>
      <c r="BI49" s="1">
        <v>0.067102</v>
      </c>
      <c r="BJ49" s="1">
        <v>0.096913</v>
      </c>
      <c r="BK49" s="1">
        <v>0.039558</v>
      </c>
      <c r="BL49" s="1">
        <v>0.0</v>
      </c>
      <c r="BM49" s="1">
        <v>0.723</v>
      </c>
      <c r="BN49" s="1">
        <v>0.418</v>
      </c>
      <c r="BO49" s="1">
        <v>0.6585</v>
      </c>
      <c r="BP49" s="1">
        <v>0.465</v>
      </c>
      <c r="BQ49" s="1">
        <v>2.2645</v>
      </c>
      <c r="BR49" s="1">
        <v>0.5877</v>
      </c>
      <c r="BS49" s="1">
        <v>0.161</v>
      </c>
      <c r="BT49" s="1">
        <v>0.101</v>
      </c>
      <c r="BU49" s="1">
        <v>0.492</v>
      </c>
      <c r="BV49" s="1">
        <v>0.754</v>
      </c>
      <c r="BW49" s="1">
        <v>0.068</v>
      </c>
      <c r="BX49" s="1">
        <v>0.78</v>
      </c>
      <c r="BY49" s="1">
        <v>0.975</v>
      </c>
      <c r="BZ49" s="1">
        <v>1.755</v>
      </c>
      <c r="CA49" s="1">
        <v>0.945</v>
      </c>
      <c r="CB49" s="1">
        <v>0.586</v>
      </c>
      <c r="CC49" s="1">
        <v>0.0</v>
      </c>
      <c r="CD49" s="1">
        <v>0.836</v>
      </c>
      <c r="CE49" s="1">
        <v>0.744</v>
      </c>
      <c r="CF49" s="1">
        <v>0.0</v>
      </c>
      <c r="CG49" s="1">
        <v>2.166</v>
      </c>
      <c r="CH49" s="1">
        <v>0.405</v>
      </c>
      <c r="CI49" s="1">
        <v>6.9395</v>
      </c>
      <c r="CJ49" s="1">
        <v>0.5365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>
        <v>1.0</v>
      </c>
      <c r="CV49" s="1">
        <v>1.0</v>
      </c>
      <c r="CW49" s="1">
        <v>0.0</v>
      </c>
      <c r="CX49" s="1">
        <v>0.0</v>
      </c>
      <c r="CY49" s="1">
        <v>0.0</v>
      </c>
      <c r="CZ49" s="1">
        <v>0.0</v>
      </c>
      <c r="DA49" s="1">
        <v>0.0</v>
      </c>
      <c r="DB49" s="1">
        <v>0.0</v>
      </c>
      <c r="DC49" s="1">
        <v>1.0</v>
      </c>
      <c r="DD49" s="1" t="s">
        <v>340</v>
      </c>
      <c r="DE49" s="1">
        <v>2.45590391483978E-4</v>
      </c>
      <c r="DF49" s="1">
        <v>0.0633458505325285</v>
      </c>
    </row>
    <row r="50" ht="15.75" customHeight="1">
      <c r="A50" s="1" t="s">
        <v>341</v>
      </c>
      <c r="B50" s="1">
        <v>29.0</v>
      </c>
      <c r="C50" s="2" t="s">
        <v>317</v>
      </c>
      <c r="D50" s="2" t="s">
        <v>342</v>
      </c>
      <c r="E50" s="1">
        <v>111.952</v>
      </c>
      <c r="F50" s="1">
        <v>29019.0</v>
      </c>
      <c r="G50" s="1">
        <v>2.9019001901E10</v>
      </c>
      <c r="H50" s="1" t="s">
        <v>112</v>
      </c>
      <c r="I50" s="1" t="s">
        <v>113</v>
      </c>
      <c r="J50" s="1" t="s">
        <v>319</v>
      </c>
      <c r="K50" s="1" t="s">
        <v>343</v>
      </c>
      <c r="L50" s="1">
        <v>4270.0</v>
      </c>
      <c r="M50" s="1">
        <v>4333.0</v>
      </c>
      <c r="N50" s="1">
        <v>273.0</v>
      </c>
      <c r="O50" s="1">
        <v>1783.0</v>
      </c>
      <c r="P50" s="1">
        <v>1806.0</v>
      </c>
      <c r="Q50" s="1">
        <v>110.0</v>
      </c>
      <c r="R50" s="1">
        <v>1630.0</v>
      </c>
      <c r="S50" s="1">
        <v>328.0</v>
      </c>
      <c r="T50" s="1">
        <v>173.0</v>
      </c>
      <c r="U50" s="1">
        <v>157.0</v>
      </c>
      <c r="V50" s="1">
        <v>350.0</v>
      </c>
      <c r="W50" s="1">
        <v>26265.0</v>
      </c>
      <c r="X50" s="1">
        <v>2367.0</v>
      </c>
      <c r="Y50" s="1">
        <v>220.0</v>
      </c>
      <c r="Z50" s="1">
        <v>240.0</v>
      </c>
      <c r="AA50" s="1">
        <v>504.0</v>
      </c>
      <c r="AB50" s="1">
        <v>1034.0</v>
      </c>
      <c r="AC50" s="1">
        <v>131.0</v>
      </c>
      <c r="AD50" s="1">
        <v>198.0</v>
      </c>
      <c r="AE50" s="1">
        <v>7.0</v>
      </c>
      <c r="AF50" s="1">
        <v>442.0</v>
      </c>
      <c r="AG50" s="1">
        <v>0.0</v>
      </c>
      <c r="AH50" s="1">
        <v>197.0</v>
      </c>
      <c r="AI50" s="1">
        <v>327.0</v>
      </c>
      <c r="AJ50" s="1">
        <v>107.0</v>
      </c>
      <c r="AK50" s="1">
        <v>39.0</v>
      </c>
      <c r="AL50" s="1">
        <v>119.0</v>
      </c>
      <c r="AM50" s="1">
        <v>40.0</v>
      </c>
      <c r="AN50" s="1">
        <v>31.0</v>
      </c>
      <c r="AO50" s="1">
        <v>2.0</v>
      </c>
      <c r="AP50" s="1">
        <v>0.075768</v>
      </c>
      <c r="AQ50" s="1">
        <v>0.039676</v>
      </c>
      <c r="AR50" s="1">
        <v>0.064715</v>
      </c>
      <c r="AS50" s="1">
        <v>0.144099</v>
      </c>
      <c r="AT50" s="1">
        <v>26265.0</v>
      </c>
      <c r="AU50" s="1">
        <v>2367.0</v>
      </c>
      <c r="AV50" s="1">
        <v>0.072944</v>
      </c>
      <c r="AW50" s="1">
        <v>0.079432</v>
      </c>
      <c r="AX50" s="1">
        <v>0.118032</v>
      </c>
      <c r="AY50" s="1">
        <v>0.242154</v>
      </c>
      <c r="AZ50" s="1">
        <v>0.08036809</v>
      </c>
      <c r="BA50" s="1">
        <v>0.04637</v>
      </c>
      <c r="BB50" s="1">
        <v>0.001745</v>
      </c>
      <c r="BC50" s="1">
        <v>0.110196</v>
      </c>
      <c r="BD50" s="1">
        <v>0.0</v>
      </c>
      <c r="BE50" s="1">
        <v>0.10908</v>
      </c>
      <c r="BF50" s="1">
        <v>0.181063</v>
      </c>
      <c r="BG50" s="1">
        <v>0.058211</v>
      </c>
      <c r="BH50" s="1">
        <v>0.02309</v>
      </c>
      <c r="BI50" s="1">
        <v>0.070441</v>
      </c>
      <c r="BJ50" s="1">
        <v>0.023682</v>
      </c>
      <c r="BK50" s="1">
        <v>0.018296</v>
      </c>
      <c r="BL50" s="1">
        <v>4.68E-4</v>
      </c>
      <c r="BM50" s="1">
        <v>0.27</v>
      </c>
      <c r="BN50" s="1">
        <v>0.468</v>
      </c>
      <c r="BO50" s="1">
        <v>0.3025</v>
      </c>
      <c r="BP50" s="1">
        <v>0.215</v>
      </c>
      <c r="BQ50" s="1">
        <v>1.2555</v>
      </c>
      <c r="BR50" s="1">
        <v>0.27</v>
      </c>
      <c r="BS50" s="1">
        <v>0.33</v>
      </c>
      <c r="BT50" s="1">
        <v>0.515</v>
      </c>
      <c r="BU50" s="1">
        <v>0.307</v>
      </c>
      <c r="BV50" s="1">
        <v>1.152</v>
      </c>
      <c r="BW50" s="1">
        <v>0.2</v>
      </c>
      <c r="BX50" s="1">
        <v>0.222</v>
      </c>
      <c r="BY50" s="1">
        <v>0.369</v>
      </c>
      <c r="BZ50" s="1">
        <v>0.591</v>
      </c>
      <c r="CA50" s="1">
        <v>0.263</v>
      </c>
      <c r="CB50" s="1">
        <v>0.0</v>
      </c>
      <c r="CC50" s="1">
        <v>0.869</v>
      </c>
      <c r="CD50" s="1">
        <v>0.729</v>
      </c>
      <c r="CE50" s="1">
        <v>0.226</v>
      </c>
      <c r="CF50" s="1">
        <v>0.367</v>
      </c>
      <c r="CG50" s="1">
        <v>2.191</v>
      </c>
      <c r="CH50" s="1">
        <v>0.415</v>
      </c>
      <c r="CI50" s="1">
        <v>5.1895</v>
      </c>
      <c r="CJ50" s="1">
        <v>0.2289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0.0</v>
      </c>
      <c r="CQ50" s="1">
        <v>0.0</v>
      </c>
      <c r="CR50" s="1">
        <v>0.0</v>
      </c>
      <c r="CS50" s="1">
        <v>0.0</v>
      </c>
      <c r="CT50" s="1">
        <v>0.0</v>
      </c>
      <c r="CU50" s="1">
        <v>0.0</v>
      </c>
      <c r="CV50" s="1">
        <v>0.0</v>
      </c>
      <c r="CW50" s="1">
        <v>0.0</v>
      </c>
      <c r="CX50" s="1">
        <v>0.0</v>
      </c>
      <c r="CY50" s="1">
        <v>0.0</v>
      </c>
      <c r="CZ50" s="1">
        <v>0.0</v>
      </c>
      <c r="DA50" s="1">
        <v>0.0</v>
      </c>
      <c r="DB50" s="1">
        <v>0.0</v>
      </c>
      <c r="DC50" s="1">
        <v>0.0</v>
      </c>
      <c r="DD50" s="1" t="s">
        <v>344</v>
      </c>
      <c r="DE50" s="2" t="s">
        <v>345</v>
      </c>
      <c r="DF50" s="2" t="s">
        <v>346</v>
      </c>
    </row>
    <row r="51" ht="15.75" customHeight="1">
      <c r="A51" s="1" t="s">
        <v>347</v>
      </c>
      <c r="B51" s="1">
        <v>29.0</v>
      </c>
      <c r="C51" s="2" t="s">
        <v>317</v>
      </c>
      <c r="D51" s="2" t="s">
        <v>348</v>
      </c>
      <c r="E51" s="1">
        <v>32.197</v>
      </c>
      <c r="F51" s="1">
        <v>29019.0</v>
      </c>
      <c r="G51" s="1">
        <v>2.9019001805E10</v>
      </c>
      <c r="H51" s="1" t="s">
        <v>112</v>
      </c>
      <c r="I51" s="1" t="s">
        <v>113</v>
      </c>
      <c r="J51" s="1" t="s">
        <v>319</v>
      </c>
      <c r="K51" s="1" t="s">
        <v>349</v>
      </c>
      <c r="L51" s="1">
        <v>9020.0</v>
      </c>
      <c r="M51" s="1">
        <v>8601.0</v>
      </c>
      <c r="N51" s="1">
        <v>463.0</v>
      </c>
      <c r="O51" s="1">
        <v>3383.0</v>
      </c>
      <c r="P51" s="1">
        <v>3277.0</v>
      </c>
      <c r="Q51" s="1">
        <v>128.0</v>
      </c>
      <c r="R51" s="1">
        <v>3221.0</v>
      </c>
      <c r="S51" s="1">
        <v>573.0</v>
      </c>
      <c r="T51" s="1">
        <v>296.0</v>
      </c>
      <c r="U51" s="1">
        <v>154.0</v>
      </c>
      <c r="V51" s="1">
        <v>455.0</v>
      </c>
      <c r="W51" s="1">
        <v>31832.0</v>
      </c>
      <c r="X51" s="1">
        <v>3075.0</v>
      </c>
      <c r="Y51" s="1">
        <v>280.0</v>
      </c>
      <c r="Z51" s="1">
        <v>301.0</v>
      </c>
      <c r="AA51" s="1">
        <v>561.0</v>
      </c>
      <c r="AB51" s="1">
        <v>2829.0</v>
      </c>
      <c r="AC51" s="1">
        <v>381.0</v>
      </c>
      <c r="AD51" s="1">
        <v>1850.0</v>
      </c>
      <c r="AE51" s="1">
        <v>160.0</v>
      </c>
      <c r="AF51" s="1">
        <v>432.0</v>
      </c>
      <c r="AG51" s="1">
        <v>19.0</v>
      </c>
      <c r="AH51" s="1">
        <v>116.0</v>
      </c>
      <c r="AI51" s="1">
        <v>80.0</v>
      </c>
      <c r="AJ51" s="1">
        <v>54.0</v>
      </c>
      <c r="AK51" s="1">
        <v>43.0</v>
      </c>
      <c r="AL51" s="1">
        <v>123.0</v>
      </c>
      <c r="AM51" s="1">
        <v>31.0</v>
      </c>
      <c r="AN51" s="1">
        <v>120.0</v>
      </c>
      <c r="AO51" s="1">
        <v>3.0</v>
      </c>
      <c r="AP51" s="1">
        <v>0.066713</v>
      </c>
      <c r="AQ51" s="1">
        <v>0.034275</v>
      </c>
      <c r="AR51" s="1">
        <v>0.032934</v>
      </c>
      <c r="AS51" s="1">
        <v>0.097259</v>
      </c>
      <c r="AT51" s="1">
        <v>31832.0</v>
      </c>
      <c r="AU51" s="1">
        <v>3075.0</v>
      </c>
      <c r="AV51" s="1">
        <v>0.053242</v>
      </c>
      <c r="AW51" s="1">
        <v>0.057158</v>
      </c>
      <c r="AX51" s="1">
        <v>0.062195</v>
      </c>
      <c r="AY51" s="1">
        <v>0.313636</v>
      </c>
      <c r="AZ51" s="1">
        <v>0.11828624</v>
      </c>
      <c r="BA51" s="1">
        <v>0.205099</v>
      </c>
      <c r="BB51" s="1">
        <v>0.020669</v>
      </c>
      <c r="BC51" s="1">
        <v>0.055795</v>
      </c>
      <c r="BD51" s="1">
        <v>0.005797</v>
      </c>
      <c r="BE51" s="1">
        <v>0.035397</v>
      </c>
      <c r="BF51" s="1">
        <v>0.024412</v>
      </c>
      <c r="BG51" s="1">
        <v>0.01645</v>
      </c>
      <c r="BH51" s="1">
        <v>0.013965</v>
      </c>
      <c r="BI51" s="1">
        <v>0.039939</v>
      </c>
      <c r="BJ51" s="1">
        <v>0.010068</v>
      </c>
      <c r="BK51" s="1">
        <v>0.038969</v>
      </c>
      <c r="BL51" s="1">
        <v>3.32E-4</v>
      </c>
      <c r="BM51" s="1">
        <v>0.234</v>
      </c>
      <c r="BN51" s="1">
        <v>0.112</v>
      </c>
      <c r="BO51" s="1">
        <v>0.1581</v>
      </c>
      <c r="BP51" s="1">
        <v>0.141</v>
      </c>
      <c r="BQ51" s="1">
        <v>0.6451</v>
      </c>
      <c r="BR51" s="1">
        <v>0.1097</v>
      </c>
      <c r="BS51" s="1">
        <v>0.051</v>
      </c>
      <c r="BT51" s="1">
        <v>0.953</v>
      </c>
      <c r="BU51" s="1">
        <v>0.658</v>
      </c>
      <c r="BV51" s="1">
        <v>1.662</v>
      </c>
      <c r="BW51" s="1">
        <v>0.609</v>
      </c>
      <c r="BX51" s="1">
        <v>0.715</v>
      </c>
      <c r="BY51" s="1">
        <v>0.866</v>
      </c>
      <c r="BZ51" s="1">
        <v>1.581</v>
      </c>
      <c r="CA51" s="1">
        <v>0.864</v>
      </c>
      <c r="CB51" s="1">
        <v>0.333</v>
      </c>
      <c r="CC51" s="1">
        <v>0.531</v>
      </c>
      <c r="CD51" s="1">
        <v>0.569</v>
      </c>
      <c r="CE51" s="1">
        <v>0.086</v>
      </c>
      <c r="CF51" s="1">
        <v>0.353</v>
      </c>
      <c r="CG51" s="1">
        <v>1.872</v>
      </c>
      <c r="CH51" s="1">
        <v>0.294</v>
      </c>
      <c r="CI51" s="1">
        <v>5.7601</v>
      </c>
      <c r="CJ51" s="1">
        <v>0.3329</v>
      </c>
      <c r="CK51" s="1">
        <v>0.0</v>
      </c>
      <c r="CL51" s="1">
        <v>0.0</v>
      </c>
      <c r="CM51" s="1">
        <v>0.0</v>
      </c>
      <c r="CN51" s="1">
        <v>0.0</v>
      </c>
      <c r="CO51" s="1">
        <v>0.0</v>
      </c>
      <c r="CP51" s="1">
        <v>0.0</v>
      </c>
      <c r="CQ51" s="1">
        <v>1.0</v>
      </c>
      <c r="CR51" s="1">
        <v>0.0</v>
      </c>
      <c r="CS51" s="1">
        <v>1.0</v>
      </c>
      <c r="CT51" s="1">
        <v>0.0</v>
      </c>
      <c r="CU51" s="1">
        <v>0.0</v>
      </c>
      <c r="CV51" s="1">
        <v>0.0</v>
      </c>
      <c r="CW51" s="1">
        <v>0.0</v>
      </c>
      <c r="CX51" s="1">
        <v>0.0</v>
      </c>
      <c r="CY51" s="1">
        <v>0.0</v>
      </c>
      <c r="CZ51" s="1">
        <v>0.0</v>
      </c>
      <c r="DA51" s="1">
        <v>0.0</v>
      </c>
      <c r="DB51" s="1">
        <v>0.0</v>
      </c>
      <c r="DC51" s="1">
        <v>1.0</v>
      </c>
      <c r="DD51" s="1" t="s">
        <v>350</v>
      </c>
      <c r="DE51" s="1">
        <v>0.00882967813729195</v>
      </c>
      <c r="DF51" s="2" t="s">
        <v>351</v>
      </c>
    </row>
    <row r="52" ht="15.75" customHeight="1">
      <c r="A52" s="1" t="s">
        <v>352</v>
      </c>
      <c r="B52" s="1">
        <v>29.0</v>
      </c>
      <c r="C52" s="2" t="s">
        <v>317</v>
      </c>
      <c r="D52" s="2" t="s">
        <v>353</v>
      </c>
      <c r="E52" s="1">
        <v>94.59</v>
      </c>
      <c r="F52" s="1">
        <v>29019.0</v>
      </c>
      <c r="G52" s="1">
        <v>2.9019001701E10</v>
      </c>
      <c r="H52" s="1" t="s">
        <v>112</v>
      </c>
      <c r="I52" s="1" t="s">
        <v>113</v>
      </c>
      <c r="J52" s="1" t="s">
        <v>319</v>
      </c>
      <c r="K52" s="1" t="s">
        <v>354</v>
      </c>
      <c r="L52" s="1">
        <v>6909.0</v>
      </c>
      <c r="M52" s="1">
        <v>6903.0</v>
      </c>
      <c r="N52" s="1">
        <v>492.0</v>
      </c>
      <c r="O52" s="1">
        <v>2909.0</v>
      </c>
      <c r="P52" s="1">
        <v>2897.0</v>
      </c>
      <c r="Q52" s="1">
        <v>189.0</v>
      </c>
      <c r="R52" s="1">
        <v>2689.0</v>
      </c>
      <c r="S52" s="1">
        <v>186.0</v>
      </c>
      <c r="T52" s="1">
        <v>114.0</v>
      </c>
      <c r="U52" s="1">
        <v>218.0</v>
      </c>
      <c r="V52" s="1">
        <v>352.0</v>
      </c>
      <c r="W52" s="1">
        <v>27475.0</v>
      </c>
      <c r="X52" s="1">
        <v>3004.0</v>
      </c>
      <c r="Y52" s="1">
        <v>399.0</v>
      </c>
      <c r="Z52" s="1">
        <v>263.0</v>
      </c>
      <c r="AA52" s="1">
        <v>814.0</v>
      </c>
      <c r="AB52" s="1">
        <v>1815.0</v>
      </c>
      <c r="AC52" s="1">
        <v>260.0</v>
      </c>
      <c r="AD52" s="1">
        <v>291.0</v>
      </c>
      <c r="AE52" s="1">
        <v>20.0</v>
      </c>
      <c r="AF52" s="1">
        <v>427.0</v>
      </c>
      <c r="AG52" s="1">
        <v>10.0</v>
      </c>
      <c r="AH52" s="1">
        <v>115.0</v>
      </c>
      <c r="AI52" s="1">
        <v>133.0</v>
      </c>
      <c r="AJ52" s="1">
        <v>70.0</v>
      </c>
      <c r="AK52" s="1">
        <v>41.0</v>
      </c>
      <c r="AL52" s="1">
        <v>119.0</v>
      </c>
      <c r="AM52" s="1">
        <v>72.0</v>
      </c>
      <c r="AN52" s="1">
        <v>46.0</v>
      </c>
      <c r="AO52" s="1">
        <v>83.0</v>
      </c>
      <c r="AP52" s="1">
        <v>0.026944</v>
      </c>
      <c r="AQ52" s="1">
        <v>0.016402</v>
      </c>
      <c r="AR52" s="1">
        <v>0.05784</v>
      </c>
      <c r="AS52" s="1">
        <v>0.093253</v>
      </c>
      <c r="AT52" s="1">
        <v>27475.0</v>
      </c>
      <c r="AU52" s="1">
        <v>3004.0</v>
      </c>
      <c r="AV52" s="1">
        <v>0.084301</v>
      </c>
      <c r="AW52" s="1">
        <v>0.055191</v>
      </c>
      <c r="AX52" s="1">
        <v>0.117817</v>
      </c>
      <c r="AY52" s="1">
        <v>0.2627</v>
      </c>
      <c r="AZ52" s="1">
        <v>0.09669021</v>
      </c>
      <c r="BA52" s="1">
        <v>0.042118</v>
      </c>
      <c r="BB52" s="1">
        <v>0.003121</v>
      </c>
      <c r="BC52" s="1">
        <v>0.066635</v>
      </c>
      <c r="BD52" s="1">
        <v>0.003451</v>
      </c>
      <c r="BE52" s="1">
        <v>0.039695</v>
      </c>
      <c r="BF52" s="1">
        <v>0.045909</v>
      </c>
      <c r="BG52" s="1">
        <v>0.023976</v>
      </c>
      <c r="BH52" s="1">
        <v>0.015067</v>
      </c>
      <c r="BI52" s="1">
        <v>0.04372</v>
      </c>
      <c r="BJ52" s="1">
        <v>0.02646</v>
      </c>
      <c r="BK52" s="1">
        <v>0.016801</v>
      </c>
      <c r="BL52" s="1">
        <v>0.012013</v>
      </c>
      <c r="BM52" s="1">
        <v>0.077</v>
      </c>
      <c r="BN52" s="1">
        <v>0.39</v>
      </c>
      <c r="BO52" s="1">
        <v>0.2693</v>
      </c>
      <c r="BP52" s="1">
        <v>0.265</v>
      </c>
      <c r="BQ52" s="1">
        <v>1.0013</v>
      </c>
      <c r="BR52" s="1">
        <v>0.2036</v>
      </c>
      <c r="BS52" s="1">
        <v>0.327</v>
      </c>
      <c r="BT52" s="1">
        <v>0.73</v>
      </c>
      <c r="BU52" s="1">
        <v>0.463</v>
      </c>
      <c r="BV52" s="1">
        <v>1.52</v>
      </c>
      <c r="BW52" s="1">
        <v>0.497</v>
      </c>
      <c r="BX52" s="1">
        <v>0.187</v>
      </c>
      <c r="BY52" s="1">
        <v>0.456</v>
      </c>
      <c r="BZ52" s="1">
        <v>0.643</v>
      </c>
      <c r="CA52" s="1">
        <v>0.298</v>
      </c>
      <c r="CB52" s="1">
        <v>0.292</v>
      </c>
      <c r="CC52" s="1">
        <v>0.595</v>
      </c>
      <c r="CD52" s="1">
        <v>0.599</v>
      </c>
      <c r="CE52" s="1">
        <v>0.253</v>
      </c>
      <c r="CF52" s="1">
        <v>0.605</v>
      </c>
      <c r="CG52" s="1">
        <v>2.344</v>
      </c>
      <c r="CH52" s="1">
        <v>0.482</v>
      </c>
      <c r="CI52" s="1">
        <v>5.5083</v>
      </c>
      <c r="CJ52" s="1">
        <v>0.2845</v>
      </c>
      <c r="CK52" s="1">
        <v>0.0</v>
      </c>
      <c r="CL52" s="1">
        <v>0.0</v>
      </c>
      <c r="CM52" s="1">
        <v>0.0</v>
      </c>
      <c r="CN52" s="1">
        <v>0.0</v>
      </c>
      <c r="CO52" s="1">
        <v>0.0</v>
      </c>
      <c r="CP52" s="1">
        <v>0.0</v>
      </c>
      <c r="CQ52" s="1">
        <v>0.0</v>
      </c>
      <c r="CR52" s="1">
        <v>0.0</v>
      </c>
      <c r="CS52" s="1">
        <v>0.0</v>
      </c>
      <c r="CT52" s="1">
        <v>0.0</v>
      </c>
      <c r="CU52" s="1">
        <v>0.0</v>
      </c>
      <c r="CV52" s="1">
        <v>0.0</v>
      </c>
      <c r="CW52" s="1">
        <v>0.0</v>
      </c>
      <c r="CX52" s="1">
        <v>0.0</v>
      </c>
      <c r="CY52" s="1">
        <v>0.0</v>
      </c>
      <c r="CZ52" s="1">
        <v>0.0</v>
      </c>
      <c r="DA52" s="1">
        <v>0.0</v>
      </c>
      <c r="DB52" s="1">
        <v>0.0</v>
      </c>
      <c r="DC52" s="1">
        <v>0.0</v>
      </c>
      <c r="DD52" s="1" t="s">
        <v>355</v>
      </c>
      <c r="DE52" s="2" t="s">
        <v>356</v>
      </c>
      <c r="DF52" s="2" t="s">
        <v>357</v>
      </c>
    </row>
    <row r="53" ht="15.75" customHeight="1">
      <c r="A53" s="1" t="s">
        <v>358</v>
      </c>
      <c r="B53" s="1">
        <v>29.0</v>
      </c>
      <c r="C53" s="2" t="s">
        <v>317</v>
      </c>
      <c r="D53" s="2" t="s">
        <v>359</v>
      </c>
      <c r="E53" s="1">
        <v>76.852</v>
      </c>
      <c r="F53" s="1">
        <v>29019.0</v>
      </c>
      <c r="G53" s="1">
        <v>2.9019001702E10</v>
      </c>
      <c r="H53" s="1" t="s">
        <v>112</v>
      </c>
      <c r="I53" s="1" t="s">
        <v>113</v>
      </c>
      <c r="J53" s="1" t="s">
        <v>319</v>
      </c>
      <c r="K53" s="1" t="s">
        <v>360</v>
      </c>
      <c r="L53" s="1">
        <v>4306.0</v>
      </c>
      <c r="M53" s="1">
        <v>4243.0</v>
      </c>
      <c r="N53" s="1">
        <v>273.0</v>
      </c>
      <c r="O53" s="1">
        <v>1792.0</v>
      </c>
      <c r="P53" s="1">
        <v>1777.0</v>
      </c>
      <c r="Q53" s="1">
        <v>74.0</v>
      </c>
      <c r="R53" s="1">
        <v>1673.0</v>
      </c>
      <c r="S53" s="1">
        <v>251.0</v>
      </c>
      <c r="T53" s="1">
        <v>165.0</v>
      </c>
      <c r="U53" s="1">
        <v>128.0</v>
      </c>
      <c r="V53" s="1">
        <v>419.0</v>
      </c>
      <c r="W53" s="1">
        <v>30792.0</v>
      </c>
      <c r="X53" s="1">
        <v>3554.0</v>
      </c>
      <c r="Y53" s="1">
        <v>230.0</v>
      </c>
      <c r="Z53" s="1">
        <v>316.0</v>
      </c>
      <c r="AA53" s="1">
        <v>516.0</v>
      </c>
      <c r="AB53" s="1">
        <v>1012.0</v>
      </c>
      <c r="AC53" s="1">
        <v>123.0</v>
      </c>
      <c r="AD53" s="1">
        <v>335.0</v>
      </c>
      <c r="AE53" s="1">
        <v>59.0</v>
      </c>
      <c r="AF53" s="1">
        <v>414.0</v>
      </c>
      <c r="AG53" s="1">
        <v>0.0</v>
      </c>
      <c r="AH53" s="1">
        <v>197.0</v>
      </c>
      <c r="AI53" s="1">
        <v>125.0</v>
      </c>
      <c r="AJ53" s="1">
        <v>64.0</v>
      </c>
      <c r="AK53" s="1">
        <v>0.0</v>
      </c>
      <c r="AL53" s="1">
        <v>161.0</v>
      </c>
      <c r="AM53" s="1">
        <v>64.0</v>
      </c>
      <c r="AN53" s="1">
        <v>122.0</v>
      </c>
      <c r="AO53" s="1">
        <v>8.0</v>
      </c>
      <c r="AP53" s="1">
        <v>0.060351</v>
      </c>
      <c r="AQ53" s="1">
        <v>0.039523</v>
      </c>
      <c r="AR53" s="1">
        <v>0.058931</v>
      </c>
      <c r="AS53" s="1">
        <v>0.192778</v>
      </c>
      <c r="AT53" s="1">
        <v>30792.0</v>
      </c>
      <c r="AU53" s="1">
        <v>3554.0</v>
      </c>
      <c r="AV53" s="1">
        <v>0.081243</v>
      </c>
      <c r="AW53" s="1">
        <v>0.1115</v>
      </c>
      <c r="AX53" s="1">
        <v>0.119832</v>
      </c>
      <c r="AY53" s="1">
        <v>0.23502</v>
      </c>
      <c r="AZ53" s="1">
        <v>0.07352062</v>
      </c>
      <c r="BA53" s="1">
        <v>0.077798</v>
      </c>
      <c r="BB53" s="1">
        <v>0.014959</v>
      </c>
      <c r="BC53" s="1">
        <v>0.104965</v>
      </c>
      <c r="BD53" s="1">
        <v>0.0</v>
      </c>
      <c r="BE53" s="1">
        <v>0.110861</v>
      </c>
      <c r="BF53" s="1">
        <v>0.070343</v>
      </c>
      <c r="BG53" s="1">
        <v>0.035896</v>
      </c>
      <c r="BH53" s="1">
        <v>0.0</v>
      </c>
      <c r="BI53" s="1">
        <v>0.09355</v>
      </c>
      <c r="BJ53" s="1">
        <v>0.037187</v>
      </c>
      <c r="BK53" s="1">
        <v>0.070865</v>
      </c>
      <c r="BL53" s="1">
        <v>0.001857</v>
      </c>
      <c r="BM53" s="1">
        <v>0.204</v>
      </c>
      <c r="BN53" s="1">
        <v>0.404</v>
      </c>
      <c r="BO53" s="1">
        <v>0.1812</v>
      </c>
      <c r="BP53" s="1">
        <v>0.253</v>
      </c>
      <c r="BQ53" s="1">
        <v>1.0422</v>
      </c>
      <c r="BR53" s="1">
        <v>0.213</v>
      </c>
      <c r="BS53" s="1">
        <v>0.343</v>
      </c>
      <c r="BT53" s="1">
        <v>0.438</v>
      </c>
      <c r="BU53" s="1">
        <v>0.244</v>
      </c>
      <c r="BV53" s="1">
        <v>1.025</v>
      </c>
      <c r="BW53" s="1">
        <v>0.125</v>
      </c>
      <c r="BX53" s="1">
        <v>0.387</v>
      </c>
      <c r="BY53" s="1">
        <v>0.808</v>
      </c>
      <c r="BZ53" s="1">
        <v>1.195</v>
      </c>
      <c r="CA53" s="1">
        <v>0.66</v>
      </c>
      <c r="CB53" s="1">
        <v>0.0</v>
      </c>
      <c r="CC53" s="1">
        <v>0.651</v>
      </c>
      <c r="CD53" s="1">
        <v>0.0</v>
      </c>
      <c r="CE53" s="1">
        <v>0.364</v>
      </c>
      <c r="CF53" s="1">
        <v>0.438</v>
      </c>
      <c r="CG53" s="1">
        <v>1.453</v>
      </c>
      <c r="CH53" s="1">
        <v>0.161</v>
      </c>
      <c r="CI53" s="1">
        <v>4.7152</v>
      </c>
      <c r="CJ53" s="1">
        <v>0.1625</v>
      </c>
      <c r="CK53" s="1">
        <v>0.0</v>
      </c>
      <c r="CL53" s="1">
        <v>0.0</v>
      </c>
      <c r="CM53" s="1">
        <v>0.0</v>
      </c>
      <c r="CN53" s="1">
        <v>0.0</v>
      </c>
      <c r="CO53" s="1">
        <v>0.0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0.0</v>
      </c>
      <c r="CX53" s="1">
        <v>0.0</v>
      </c>
      <c r="CY53" s="1">
        <v>0.0</v>
      </c>
      <c r="CZ53" s="1">
        <v>0.0</v>
      </c>
      <c r="DA53" s="1">
        <v>0.0</v>
      </c>
      <c r="DB53" s="1">
        <v>0.0</v>
      </c>
      <c r="DC53" s="1">
        <v>0.0</v>
      </c>
      <c r="DD53" s="1" t="s">
        <v>361</v>
      </c>
      <c r="DE53" s="2" t="s">
        <v>362</v>
      </c>
      <c r="DF53" s="2" t="s">
        <v>363</v>
      </c>
    </row>
    <row r="54" ht="15.75" customHeight="1">
      <c r="A54" s="1" t="s">
        <v>364</v>
      </c>
      <c r="B54" s="1">
        <v>29.0</v>
      </c>
      <c r="C54" s="2" t="s">
        <v>317</v>
      </c>
      <c r="D54" s="2" t="s">
        <v>365</v>
      </c>
      <c r="E54" s="1">
        <v>55.813</v>
      </c>
      <c r="F54" s="1">
        <v>29019.0</v>
      </c>
      <c r="G54" s="1">
        <v>2.9019001803E10</v>
      </c>
      <c r="H54" s="1" t="s">
        <v>112</v>
      </c>
      <c r="I54" s="1" t="s">
        <v>113</v>
      </c>
      <c r="J54" s="1" t="s">
        <v>319</v>
      </c>
      <c r="K54" s="1" t="s">
        <v>366</v>
      </c>
      <c r="L54" s="1">
        <v>4222.0</v>
      </c>
      <c r="M54" s="1">
        <v>4226.0</v>
      </c>
      <c r="N54" s="1">
        <v>288.0</v>
      </c>
      <c r="O54" s="1">
        <v>1810.0</v>
      </c>
      <c r="P54" s="1">
        <v>1775.0</v>
      </c>
      <c r="Q54" s="1">
        <v>93.0</v>
      </c>
      <c r="R54" s="1">
        <v>1599.0</v>
      </c>
      <c r="S54" s="1">
        <v>438.0</v>
      </c>
      <c r="T54" s="1">
        <v>224.0</v>
      </c>
      <c r="U54" s="1">
        <v>100.0</v>
      </c>
      <c r="V54" s="1">
        <v>418.0</v>
      </c>
      <c r="W54" s="1">
        <v>27024.0</v>
      </c>
      <c r="X54" s="1">
        <v>3314.0</v>
      </c>
      <c r="Y54" s="1">
        <v>251.0</v>
      </c>
      <c r="Z54" s="1">
        <v>268.0</v>
      </c>
      <c r="AA54" s="1">
        <v>448.0</v>
      </c>
      <c r="AB54" s="1">
        <v>1063.0</v>
      </c>
      <c r="AC54" s="1">
        <v>129.0</v>
      </c>
      <c r="AD54" s="1">
        <v>393.0</v>
      </c>
      <c r="AE54" s="1">
        <v>0.0</v>
      </c>
      <c r="AF54" s="1">
        <v>456.0</v>
      </c>
      <c r="AG54" s="1">
        <v>2.0</v>
      </c>
      <c r="AH54" s="1">
        <v>161.0</v>
      </c>
      <c r="AI54" s="1">
        <v>175.0</v>
      </c>
      <c r="AJ54" s="1">
        <v>90.0</v>
      </c>
      <c r="AK54" s="1">
        <v>13.0</v>
      </c>
      <c r="AL54" s="1">
        <v>116.0</v>
      </c>
      <c r="AM54" s="1">
        <v>28.0</v>
      </c>
      <c r="AN54" s="1">
        <v>26.0</v>
      </c>
      <c r="AO54" s="1">
        <v>1.0</v>
      </c>
      <c r="AP54" s="1">
        <v>0.103644</v>
      </c>
      <c r="AQ54" s="1">
        <v>0.052532</v>
      </c>
      <c r="AR54" s="1">
        <v>0.041545</v>
      </c>
      <c r="AS54" s="1">
        <v>0.173599</v>
      </c>
      <c r="AT54" s="1">
        <v>27024.0</v>
      </c>
      <c r="AU54" s="1">
        <v>3314.0</v>
      </c>
      <c r="AV54" s="1">
        <v>0.088944</v>
      </c>
      <c r="AW54" s="1">
        <v>0.094783</v>
      </c>
      <c r="AX54" s="1">
        <v>0.10611</v>
      </c>
      <c r="AY54" s="1">
        <v>0.251776</v>
      </c>
      <c r="AZ54" s="1">
        <v>0.08067542</v>
      </c>
      <c r="BA54" s="1">
        <v>0.093083</v>
      </c>
      <c r="BB54" s="1">
        <v>0.0</v>
      </c>
      <c r="BC54" s="1">
        <v>0.115589</v>
      </c>
      <c r="BD54" s="1">
        <v>0.001126</v>
      </c>
      <c r="BE54" s="1">
        <v>0.090704</v>
      </c>
      <c r="BF54" s="1">
        <v>0.098591</v>
      </c>
      <c r="BG54" s="1">
        <v>0.05044</v>
      </c>
      <c r="BH54" s="1">
        <v>0.007701</v>
      </c>
      <c r="BI54" s="1">
        <v>0.068718</v>
      </c>
      <c r="BJ54" s="1">
        <v>0.016587</v>
      </c>
      <c r="BK54" s="1">
        <v>0.015368</v>
      </c>
      <c r="BL54" s="1">
        <v>2.36E-4</v>
      </c>
      <c r="BM54" s="1">
        <v>0.384</v>
      </c>
      <c r="BN54" s="1">
        <v>0.2</v>
      </c>
      <c r="BO54" s="1">
        <v>0.2823</v>
      </c>
      <c r="BP54" s="1">
        <v>0.289</v>
      </c>
      <c r="BQ54" s="1">
        <v>1.1553</v>
      </c>
      <c r="BR54" s="1">
        <v>0.2404</v>
      </c>
      <c r="BS54" s="1">
        <v>0.246</v>
      </c>
      <c r="BT54" s="1">
        <v>0.623</v>
      </c>
      <c r="BU54" s="1">
        <v>0.311</v>
      </c>
      <c r="BV54" s="1">
        <v>1.18</v>
      </c>
      <c r="BW54" s="1">
        <v>0.215</v>
      </c>
      <c r="BX54" s="1">
        <v>0.443</v>
      </c>
      <c r="BY54" s="1">
        <v>0.0</v>
      </c>
      <c r="BZ54" s="1">
        <v>0.443</v>
      </c>
      <c r="CA54" s="1">
        <v>0.186</v>
      </c>
      <c r="CB54" s="1">
        <v>0.258</v>
      </c>
      <c r="CC54" s="1">
        <v>0.712</v>
      </c>
      <c r="CD54" s="1">
        <v>0.423</v>
      </c>
      <c r="CE54" s="1">
        <v>0.148</v>
      </c>
      <c r="CF54" s="1">
        <v>0.348</v>
      </c>
      <c r="CG54" s="1">
        <v>1.889</v>
      </c>
      <c r="CH54" s="1">
        <v>0.3</v>
      </c>
      <c r="CI54" s="1">
        <v>4.6673</v>
      </c>
      <c r="CJ54" s="1">
        <v>0.1531</v>
      </c>
      <c r="CK54" s="1">
        <v>0.0</v>
      </c>
      <c r="CL54" s="1">
        <v>0.0</v>
      </c>
      <c r="CM54" s="1">
        <v>0.0</v>
      </c>
      <c r="CN54" s="1">
        <v>0.0</v>
      </c>
      <c r="CO54" s="1">
        <v>0.0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>
        <v>0.0</v>
      </c>
      <c r="CV54" s="1">
        <v>0.0</v>
      </c>
      <c r="CW54" s="1">
        <v>0.0</v>
      </c>
      <c r="CX54" s="1">
        <v>0.0</v>
      </c>
      <c r="CY54" s="1">
        <v>0.0</v>
      </c>
      <c r="CZ54" s="1">
        <v>0.0</v>
      </c>
      <c r="DA54" s="1">
        <v>0.0</v>
      </c>
      <c r="DB54" s="1">
        <v>0.0</v>
      </c>
      <c r="DC54" s="1">
        <v>0.0</v>
      </c>
      <c r="DD54" s="1" t="s">
        <v>367</v>
      </c>
      <c r="DE54" s="2" t="s">
        <v>368</v>
      </c>
      <c r="DF54" s="2" t="s">
        <v>369</v>
      </c>
    </row>
    <row r="55" ht="15.75" customHeight="1">
      <c r="A55" s="1" t="s">
        <v>370</v>
      </c>
      <c r="B55" s="1">
        <v>29.0</v>
      </c>
      <c r="C55" s="2" t="s">
        <v>317</v>
      </c>
      <c r="D55" s="2" t="s">
        <v>371</v>
      </c>
      <c r="E55" s="1">
        <v>135.065</v>
      </c>
      <c r="F55" s="1">
        <v>29019.0</v>
      </c>
      <c r="G55" s="1">
        <v>2.9019001902E10</v>
      </c>
      <c r="H55" s="1" t="s">
        <v>112</v>
      </c>
      <c r="I55" s="1" t="s">
        <v>113</v>
      </c>
      <c r="J55" s="1" t="s">
        <v>319</v>
      </c>
      <c r="K55" s="1" t="s">
        <v>372</v>
      </c>
      <c r="L55" s="1">
        <v>8249.0</v>
      </c>
      <c r="M55" s="1">
        <v>7560.0</v>
      </c>
      <c r="N55" s="1">
        <v>408.0</v>
      </c>
      <c r="O55" s="1">
        <v>3418.0</v>
      </c>
      <c r="P55" s="1">
        <v>3223.0</v>
      </c>
      <c r="Q55" s="1">
        <v>181.0</v>
      </c>
      <c r="R55" s="1">
        <v>3184.0</v>
      </c>
      <c r="S55" s="1">
        <v>573.0</v>
      </c>
      <c r="T55" s="1">
        <v>202.0</v>
      </c>
      <c r="U55" s="1">
        <v>187.0</v>
      </c>
      <c r="V55" s="1">
        <v>388.0</v>
      </c>
      <c r="W55" s="1">
        <v>23828.0</v>
      </c>
      <c r="X55" s="1">
        <v>1766.0</v>
      </c>
      <c r="Y55" s="1">
        <v>626.0</v>
      </c>
      <c r="Z55" s="1">
        <v>223.0</v>
      </c>
      <c r="AA55" s="1">
        <v>955.0</v>
      </c>
      <c r="AB55" s="1">
        <v>2136.0</v>
      </c>
      <c r="AC55" s="1">
        <v>322.0</v>
      </c>
      <c r="AD55" s="1">
        <v>422.0</v>
      </c>
      <c r="AE55" s="1">
        <v>10.0</v>
      </c>
      <c r="AF55" s="1">
        <v>442.0</v>
      </c>
      <c r="AG55" s="1">
        <v>0.0</v>
      </c>
      <c r="AH55" s="1">
        <v>197.0</v>
      </c>
      <c r="AI55" s="1">
        <v>642.0</v>
      </c>
      <c r="AJ55" s="1">
        <v>156.0</v>
      </c>
      <c r="AK55" s="1">
        <v>14.0</v>
      </c>
      <c r="AL55" s="1">
        <v>115.0</v>
      </c>
      <c r="AM55" s="1">
        <v>57.0</v>
      </c>
      <c r="AN55" s="1">
        <v>34.0</v>
      </c>
      <c r="AO55" s="1">
        <v>20.0</v>
      </c>
      <c r="AP55" s="1">
        <v>0.076318</v>
      </c>
      <c r="AQ55" s="1">
        <v>0.026581</v>
      </c>
      <c r="AR55" s="1">
        <v>0.046321</v>
      </c>
      <c r="AS55" s="1">
        <v>0.096043</v>
      </c>
      <c r="AT55" s="1">
        <v>23828.0</v>
      </c>
      <c r="AU55" s="1">
        <v>1766.0</v>
      </c>
      <c r="AV55" s="1">
        <v>0.122528</v>
      </c>
      <c r="AW55" s="1">
        <v>0.043139</v>
      </c>
      <c r="AX55" s="1">
        <v>0.115771</v>
      </c>
      <c r="AY55" s="1">
        <v>0.25894</v>
      </c>
      <c r="AZ55" s="1">
        <v>0.10113065</v>
      </c>
      <c r="BA55" s="1">
        <v>0.051157</v>
      </c>
      <c r="BB55" s="1">
        <v>0.001387</v>
      </c>
      <c r="BC55" s="1">
        <v>0.06132</v>
      </c>
      <c r="BD55" s="1">
        <v>0.0</v>
      </c>
      <c r="BE55" s="1">
        <v>0.061123</v>
      </c>
      <c r="BF55" s="1">
        <v>0.199193</v>
      </c>
      <c r="BG55" s="1">
        <v>0.047091</v>
      </c>
      <c r="BH55" s="1">
        <v>0.004576</v>
      </c>
      <c r="BI55" s="1">
        <v>0.037592</v>
      </c>
      <c r="BJ55" s="1">
        <v>0.018633</v>
      </c>
      <c r="BK55" s="1">
        <v>0.011058</v>
      </c>
      <c r="BL55" s="1">
        <v>0.002424</v>
      </c>
      <c r="BM55" s="1">
        <v>0.276</v>
      </c>
      <c r="BN55" s="1">
        <v>0.255</v>
      </c>
      <c r="BO55" s="1">
        <v>0.4029</v>
      </c>
      <c r="BP55" s="1">
        <v>0.438</v>
      </c>
      <c r="BQ55" s="1">
        <v>1.3719</v>
      </c>
      <c r="BR55" s="1">
        <v>0.3032</v>
      </c>
      <c r="BS55" s="1">
        <v>0.312</v>
      </c>
      <c r="BT55" s="1">
        <v>0.696</v>
      </c>
      <c r="BU55" s="1">
        <v>0.502</v>
      </c>
      <c r="BV55" s="1">
        <v>1.51</v>
      </c>
      <c r="BW55" s="1">
        <v>0.493</v>
      </c>
      <c r="BX55" s="1">
        <v>0.256</v>
      </c>
      <c r="BY55" s="1">
        <v>0.35</v>
      </c>
      <c r="BZ55" s="1">
        <v>0.606</v>
      </c>
      <c r="CA55" s="1">
        <v>0.274</v>
      </c>
      <c r="CB55" s="1">
        <v>0.0</v>
      </c>
      <c r="CC55" s="1">
        <v>0.897</v>
      </c>
      <c r="CD55" s="1">
        <v>0.324</v>
      </c>
      <c r="CE55" s="1">
        <v>0.169</v>
      </c>
      <c r="CF55" s="1">
        <v>0.458</v>
      </c>
      <c r="CG55" s="1">
        <v>1.848</v>
      </c>
      <c r="CH55" s="1">
        <v>0.286</v>
      </c>
      <c r="CI55" s="1">
        <v>5.3359</v>
      </c>
      <c r="CJ55" s="1">
        <v>0.2513</v>
      </c>
      <c r="CK55" s="1">
        <v>0.0</v>
      </c>
      <c r="CL55" s="1">
        <v>0.0</v>
      </c>
      <c r="CM55" s="1">
        <v>0.0</v>
      </c>
      <c r="CN55" s="1">
        <v>0.0</v>
      </c>
      <c r="CO55" s="1">
        <v>0.0</v>
      </c>
      <c r="CP55" s="1">
        <v>0.0</v>
      </c>
      <c r="CQ55" s="1">
        <v>0.0</v>
      </c>
      <c r="CR55" s="1">
        <v>0.0</v>
      </c>
      <c r="CS55" s="1">
        <v>0.0</v>
      </c>
      <c r="CT55" s="1">
        <v>0.0</v>
      </c>
      <c r="CU55" s="1">
        <v>0.0</v>
      </c>
      <c r="CV55" s="1">
        <v>0.0</v>
      </c>
      <c r="CW55" s="1">
        <v>0.0</v>
      </c>
      <c r="CX55" s="1">
        <v>0.0</v>
      </c>
      <c r="CY55" s="1">
        <v>0.0</v>
      </c>
      <c r="CZ55" s="1">
        <v>0.0</v>
      </c>
      <c r="DA55" s="1">
        <v>0.0</v>
      </c>
      <c r="DB55" s="1">
        <v>0.0</v>
      </c>
      <c r="DC55" s="1">
        <v>0.0</v>
      </c>
      <c r="DD55" s="1" t="s">
        <v>373</v>
      </c>
      <c r="DE55" s="1">
        <v>0.0365635906324938</v>
      </c>
      <c r="DF55" s="2" t="s">
        <v>374</v>
      </c>
    </row>
    <row r="56" ht="15.75" customHeight="1">
      <c r="A56" s="1" t="s">
        <v>375</v>
      </c>
      <c r="B56" s="1">
        <v>29.0</v>
      </c>
      <c r="C56" s="2" t="s">
        <v>317</v>
      </c>
      <c r="D56" s="2" t="s">
        <v>376</v>
      </c>
      <c r="E56" s="1">
        <v>30.545</v>
      </c>
      <c r="F56" s="1">
        <v>29019.0</v>
      </c>
      <c r="G56" s="1">
        <v>2.9019002E10</v>
      </c>
      <c r="H56" s="1" t="s">
        <v>112</v>
      </c>
      <c r="I56" s="1" t="s">
        <v>113</v>
      </c>
      <c r="J56" s="1" t="s">
        <v>319</v>
      </c>
      <c r="K56" s="1" t="s">
        <v>377</v>
      </c>
      <c r="L56" s="1">
        <v>4906.0</v>
      </c>
      <c r="M56" s="1">
        <v>4835.0</v>
      </c>
      <c r="N56" s="1">
        <v>205.0</v>
      </c>
      <c r="O56" s="1">
        <v>2111.0</v>
      </c>
      <c r="P56" s="1">
        <v>2069.0</v>
      </c>
      <c r="Q56" s="1">
        <v>180.0</v>
      </c>
      <c r="R56" s="1">
        <v>1939.0</v>
      </c>
      <c r="S56" s="1">
        <v>407.0</v>
      </c>
      <c r="T56" s="1">
        <v>249.0</v>
      </c>
      <c r="U56" s="1">
        <v>194.0</v>
      </c>
      <c r="V56" s="1">
        <v>313.0</v>
      </c>
      <c r="W56" s="1">
        <v>21212.0</v>
      </c>
      <c r="X56" s="1">
        <v>2116.0</v>
      </c>
      <c r="Y56" s="1">
        <v>517.0</v>
      </c>
      <c r="Z56" s="1">
        <v>264.0</v>
      </c>
      <c r="AA56" s="1">
        <v>842.0</v>
      </c>
      <c r="AB56" s="1">
        <v>1264.0</v>
      </c>
      <c r="AC56" s="1">
        <v>238.0</v>
      </c>
      <c r="AD56" s="1">
        <v>195.0</v>
      </c>
      <c r="AE56" s="1">
        <v>22.0</v>
      </c>
      <c r="AF56" s="1">
        <v>443.0</v>
      </c>
      <c r="AG56" s="1">
        <v>23.0</v>
      </c>
      <c r="AH56" s="1">
        <v>117.0</v>
      </c>
      <c r="AI56" s="1">
        <v>122.0</v>
      </c>
      <c r="AJ56" s="1">
        <v>65.0</v>
      </c>
      <c r="AK56" s="1">
        <v>0.0</v>
      </c>
      <c r="AL56" s="1">
        <v>161.0</v>
      </c>
      <c r="AM56" s="1">
        <v>11.0</v>
      </c>
      <c r="AN56" s="1">
        <v>115.0</v>
      </c>
      <c r="AO56" s="1">
        <v>68.0</v>
      </c>
      <c r="AP56" s="1">
        <v>0.085468</v>
      </c>
      <c r="AQ56" s="1">
        <v>0.052102</v>
      </c>
      <c r="AR56" s="1">
        <v>0.080298</v>
      </c>
      <c r="AS56" s="1">
        <v>0.12923</v>
      </c>
      <c r="AT56" s="1">
        <v>21212.0</v>
      </c>
      <c r="AU56" s="1">
        <v>2116.0</v>
      </c>
      <c r="AV56" s="1">
        <v>0.156146</v>
      </c>
      <c r="AW56" s="1">
        <v>0.078986</v>
      </c>
      <c r="AX56" s="1">
        <v>0.171626</v>
      </c>
      <c r="AY56" s="1">
        <v>0.257643</v>
      </c>
      <c r="AZ56" s="1">
        <v>0.12274368</v>
      </c>
      <c r="BA56" s="1">
        <v>0.039747</v>
      </c>
      <c r="BB56" s="1">
        <v>0.004895</v>
      </c>
      <c r="BC56" s="1">
        <v>0.098575</v>
      </c>
      <c r="BD56" s="1">
        <v>0.011116</v>
      </c>
      <c r="BE56" s="1">
        <v>0.05654</v>
      </c>
      <c r="BF56" s="1">
        <v>0.058965</v>
      </c>
      <c r="BG56" s="1">
        <v>0.030994</v>
      </c>
      <c r="BH56" s="1">
        <v>0.0</v>
      </c>
      <c r="BI56" s="1">
        <v>0.082479</v>
      </c>
      <c r="BJ56" s="1">
        <v>0.005635</v>
      </c>
      <c r="BK56" s="1">
        <v>0.058912</v>
      </c>
      <c r="BL56" s="1">
        <v>0.01386</v>
      </c>
      <c r="BM56" s="1">
        <v>0.317</v>
      </c>
      <c r="BN56" s="1">
        <v>0.613</v>
      </c>
      <c r="BO56" s="1">
        <v>0.5394</v>
      </c>
      <c r="BP56" s="1">
        <v>0.592</v>
      </c>
      <c r="BQ56" s="1">
        <v>2.0614</v>
      </c>
      <c r="BR56" s="1">
        <v>0.5191</v>
      </c>
      <c r="BS56" s="1">
        <v>0.748</v>
      </c>
      <c r="BT56" s="1">
        <v>0.68</v>
      </c>
      <c r="BU56" s="1">
        <v>0.684</v>
      </c>
      <c r="BV56" s="1">
        <v>2.112</v>
      </c>
      <c r="BW56" s="1">
        <v>0.923</v>
      </c>
      <c r="BX56" s="1">
        <v>0.162</v>
      </c>
      <c r="BY56" s="1">
        <v>0.556</v>
      </c>
      <c r="BZ56" s="1">
        <v>0.718</v>
      </c>
      <c r="CA56" s="1">
        <v>0.348</v>
      </c>
      <c r="CB56" s="1">
        <v>0.393</v>
      </c>
      <c r="CC56" s="1">
        <v>0.625</v>
      </c>
      <c r="CD56" s="1">
        <v>0.0</v>
      </c>
      <c r="CE56" s="1">
        <v>0.053</v>
      </c>
      <c r="CF56" s="1">
        <v>0.633</v>
      </c>
      <c r="CG56" s="1">
        <v>1.704</v>
      </c>
      <c r="CH56" s="1">
        <v>0.235</v>
      </c>
      <c r="CI56" s="1">
        <v>6.5954</v>
      </c>
      <c r="CJ56" s="1">
        <v>0.4773</v>
      </c>
      <c r="CK56" s="1">
        <v>0.0</v>
      </c>
      <c r="CL56" s="1">
        <v>0.0</v>
      </c>
      <c r="CM56" s="1">
        <v>0.0</v>
      </c>
      <c r="CN56" s="1">
        <v>0.0</v>
      </c>
      <c r="CO56" s="1">
        <v>0.0</v>
      </c>
      <c r="CP56" s="1">
        <v>0.0</v>
      </c>
      <c r="CQ56" s="1">
        <v>0.0</v>
      </c>
      <c r="CR56" s="1">
        <v>0.0</v>
      </c>
      <c r="CS56" s="1">
        <v>0.0</v>
      </c>
      <c r="CT56" s="1">
        <v>0.0</v>
      </c>
      <c r="CU56" s="1">
        <v>0.0</v>
      </c>
      <c r="CV56" s="1">
        <v>0.0</v>
      </c>
      <c r="CW56" s="1">
        <v>0.0</v>
      </c>
      <c r="CX56" s="1">
        <v>0.0</v>
      </c>
      <c r="CY56" s="1">
        <v>0.0</v>
      </c>
      <c r="CZ56" s="1">
        <v>0.0</v>
      </c>
      <c r="DA56" s="1">
        <v>0.0</v>
      </c>
      <c r="DB56" s="1">
        <v>0.0</v>
      </c>
      <c r="DC56" s="1">
        <v>0.0</v>
      </c>
      <c r="DD56" s="1" t="s">
        <v>378</v>
      </c>
      <c r="DE56" s="1">
        <v>0.00827476220071142</v>
      </c>
      <c r="DF56" s="2" t="s">
        <v>379</v>
      </c>
    </row>
    <row r="57" ht="15.75" customHeight="1">
      <c r="A57" s="1" t="s">
        <v>380</v>
      </c>
      <c r="B57" s="1">
        <v>29.0</v>
      </c>
      <c r="C57" s="2" t="s">
        <v>317</v>
      </c>
      <c r="D57" s="2" t="s">
        <v>381</v>
      </c>
      <c r="E57" s="1">
        <v>0.703</v>
      </c>
      <c r="F57" s="1">
        <v>29019.0</v>
      </c>
      <c r="G57" s="1">
        <v>2.90190021E10</v>
      </c>
      <c r="H57" s="1" t="s">
        <v>112</v>
      </c>
      <c r="I57" s="1" t="s">
        <v>113</v>
      </c>
      <c r="J57" s="1" t="s">
        <v>319</v>
      </c>
      <c r="K57" s="1" t="s">
        <v>382</v>
      </c>
      <c r="L57" s="1">
        <v>3120.0</v>
      </c>
      <c r="M57" s="1">
        <v>2783.0</v>
      </c>
      <c r="N57" s="1">
        <v>419.0</v>
      </c>
      <c r="O57" s="1">
        <v>1647.0</v>
      </c>
      <c r="P57" s="1">
        <v>1698.0</v>
      </c>
      <c r="Q57" s="1">
        <v>100.0</v>
      </c>
      <c r="R57" s="1">
        <v>1432.0</v>
      </c>
      <c r="S57" s="1">
        <v>1276.0</v>
      </c>
      <c r="T57" s="1">
        <v>317.0</v>
      </c>
      <c r="U57" s="1">
        <v>194.0</v>
      </c>
      <c r="V57" s="1">
        <v>390.0</v>
      </c>
      <c r="W57" s="1">
        <v>11333.0</v>
      </c>
      <c r="X57" s="1">
        <v>1810.0</v>
      </c>
      <c r="Y57" s="1">
        <v>179.0</v>
      </c>
      <c r="Z57" s="1">
        <v>290.0</v>
      </c>
      <c r="AA57" s="1">
        <v>209.0</v>
      </c>
      <c r="AB57" s="1">
        <v>565.0</v>
      </c>
      <c r="AC57" s="1">
        <v>223.0</v>
      </c>
      <c r="AD57" s="1">
        <v>1614.0</v>
      </c>
      <c r="AE57" s="1">
        <v>28.0</v>
      </c>
      <c r="AF57" s="1">
        <v>427.0</v>
      </c>
      <c r="AG57" s="1">
        <v>319.0</v>
      </c>
      <c r="AH57" s="1">
        <v>86.0</v>
      </c>
      <c r="AI57" s="1">
        <v>35.0</v>
      </c>
      <c r="AJ57" s="1">
        <v>49.0</v>
      </c>
      <c r="AK57" s="1">
        <v>0.0</v>
      </c>
      <c r="AL57" s="1">
        <v>161.0</v>
      </c>
      <c r="AM57" s="1">
        <v>463.0</v>
      </c>
      <c r="AN57" s="1">
        <v>121.0</v>
      </c>
      <c r="AO57" s="1">
        <v>328.0</v>
      </c>
      <c r="AP57" s="1">
        <v>0.505747</v>
      </c>
      <c r="AQ57" s="1">
        <v>0.105938</v>
      </c>
      <c r="AR57" s="1">
        <v>0.12443800000000001</v>
      </c>
      <c r="AS57" s="1">
        <v>0.24898</v>
      </c>
      <c r="AT57" s="1">
        <v>11333.0</v>
      </c>
      <c r="AU57" s="1">
        <v>1810.0</v>
      </c>
      <c r="AV57" s="1">
        <v>0.118857</v>
      </c>
      <c r="AW57" s="1">
        <v>0.192153</v>
      </c>
      <c r="AX57" s="1">
        <v>0.066987</v>
      </c>
      <c r="AY57" s="1">
        <v>0.181089</v>
      </c>
      <c r="AZ57" s="1">
        <v>0.15572625</v>
      </c>
      <c r="BA57" s="1">
        <v>0.517307</v>
      </c>
      <c r="BB57" s="1">
        <v>0.010424</v>
      </c>
      <c r="BC57" s="1">
        <v>0.158964</v>
      </c>
      <c r="BD57" s="1">
        <v>0.187868</v>
      </c>
      <c r="BE57" s="1">
        <v>0.049424</v>
      </c>
      <c r="BF57" s="1">
        <v>0.020612</v>
      </c>
      <c r="BG57" s="1">
        <v>0.028831</v>
      </c>
      <c r="BH57" s="1">
        <v>0.0</v>
      </c>
      <c r="BI57" s="1">
        <v>0.109897</v>
      </c>
      <c r="BJ57" s="1">
        <v>0.31604</v>
      </c>
      <c r="BK57" s="1">
        <v>0.078573</v>
      </c>
      <c r="BL57" s="1">
        <v>0.105128</v>
      </c>
      <c r="BM57" s="1">
        <v>0.989</v>
      </c>
      <c r="BN57" s="1">
        <v>0.838</v>
      </c>
      <c r="BO57" s="1">
        <v>0.9704</v>
      </c>
      <c r="BP57" s="1">
        <v>0.423</v>
      </c>
      <c r="BQ57" s="1">
        <v>3.2204</v>
      </c>
      <c r="BR57" s="1">
        <v>0.857</v>
      </c>
      <c r="BS57" s="1">
        <v>0.071</v>
      </c>
      <c r="BT57" s="1">
        <v>0.122</v>
      </c>
      <c r="BU57" s="1">
        <v>0.813</v>
      </c>
      <c r="BV57" s="1">
        <v>1.006</v>
      </c>
      <c r="BW57" s="1">
        <v>0.118</v>
      </c>
      <c r="BX57" s="1">
        <v>0.866</v>
      </c>
      <c r="BY57" s="1">
        <v>0.732</v>
      </c>
      <c r="BZ57" s="1">
        <v>1.598</v>
      </c>
      <c r="CA57" s="1">
        <v>0.871</v>
      </c>
      <c r="CB57" s="1">
        <v>0.886</v>
      </c>
      <c r="CC57" s="1">
        <v>0.515</v>
      </c>
      <c r="CD57" s="1">
        <v>0.0</v>
      </c>
      <c r="CE57" s="1">
        <v>0.971</v>
      </c>
      <c r="CF57" s="1">
        <v>0.946</v>
      </c>
      <c r="CG57" s="1">
        <v>3.318</v>
      </c>
      <c r="CH57" s="1">
        <v>0.876</v>
      </c>
      <c r="CI57" s="1">
        <v>9.1424</v>
      </c>
      <c r="CJ57" s="1">
        <v>0.8693</v>
      </c>
      <c r="CK57" s="1">
        <v>1.0</v>
      </c>
      <c r="CL57" s="1">
        <v>0.0</v>
      </c>
      <c r="CM57" s="1">
        <v>1.0</v>
      </c>
      <c r="CN57" s="1">
        <v>0.0</v>
      </c>
      <c r="CO57" s="1">
        <v>2.0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0.0</v>
      </c>
      <c r="CX57" s="1">
        <v>0.0</v>
      </c>
      <c r="CY57" s="1">
        <v>0.0</v>
      </c>
      <c r="CZ57" s="1">
        <v>1.0</v>
      </c>
      <c r="DA57" s="1">
        <v>1.0</v>
      </c>
      <c r="DB57" s="1">
        <v>2.0</v>
      </c>
      <c r="DC57" s="1">
        <v>4.0</v>
      </c>
      <c r="DD57" s="1" t="s">
        <v>383</v>
      </c>
      <c r="DE57" s="1">
        <v>1.89488457809672E-4</v>
      </c>
      <c r="DF57" s="1">
        <v>0.0612471368558025</v>
      </c>
    </row>
    <row r="58" ht="15.75" customHeight="1">
      <c r="A58" s="1" t="s">
        <v>384</v>
      </c>
      <c r="B58" s="1">
        <v>29.0</v>
      </c>
      <c r="C58" s="2" t="s">
        <v>317</v>
      </c>
      <c r="D58" s="2" t="s">
        <v>385</v>
      </c>
      <c r="E58" s="1">
        <v>0.659</v>
      </c>
      <c r="F58" s="1">
        <v>29019.0</v>
      </c>
      <c r="G58" s="1">
        <v>2.90190022E10</v>
      </c>
      <c r="H58" s="1" t="s">
        <v>112</v>
      </c>
      <c r="I58" s="1" t="s">
        <v>113</v>
      </c>
      <c r="J58" s="1" t="s">
        <v>319</v>
      </c>
      <c r="K58" s="1" t="s">
        <v>386</v>
      </c>
      <c r="L58" s="1">
        <v>6753.0</v>
      </c>
      <c r="M58" s="1">
        <v>6879.0</v>
      </c>
      <c r="N58" s="1">
        <v>922.0</v>
      </c>
      <c r="O58" s="1">
        <v>654.0</v>
      </c>
      <c r="P58" s="1">
        <v>836.0</v>
      </c>
      <c r="Q58" s="1">
        <v>122.0</v>
      </c>
      <c r="R58" s="1">
        <v>612.0</v>
      </c>
      <c r="S58" s="1">
        <v>507.0</v>
      </c>
      <c r="T58" s="1">
        <v>152.0</v>
      </c>
      <c r="U58" s="1">
        <v>346.0</v>
      </c>
      <c r="V58" s="1">
        <v>415.0</v>
      </c>
      <c r="W58" s="1">
        <v>5259.0</v>
      </c>
      <c r="X58" s="1">
        <v>632.0</v>
      </c>
      <c r="Y58" s="1">
        <v>22.0</v>
      </c>
      <c r="Z58" s="1">
        <v>427.0</v>
      </c>
      <c r="AA58" s="1">
        <v>56.0</v>
      </c>
      <c r="AB58" s="1">
        <v>92.0</v>
      </c>
      <c r="AC58" s="1">
        <v>16.0</v>
      </c>
      <c r="AD58" s="1">
        <v>1125.0</v>
      </c>
      <c r="AE58" s="1">
        <v>30.0</v>
      </c>
      <c r="AF58" s="1">
        <v>428.0</v>
      </c>
      <c r="AG58" s="1">
        <v>398.0</v>
      </c>
      <c r="AH58" s="1">
        <v>137.0</v>
      </c>
      <c r="AI58" s="1">
        <v>0.0</v>
      </c>
      <c r="AJ58" s="1">
        <v>114.0</v>
      </c>
      <c r="AK58" s="1">
        <v>23.0</v>
      </c>
      <c r="AL58" s="1">
        <v>116.0</v>
      </c>
      <c r="AM58" s="1">
        <v>66.0</v>
      </c>
      <c r="AN58" s="1">
        <v>124.0</v>
      </c>
      <c r="AO58" s="1">
        <v>5677.0</v>
      </c>
      <c r="AP58" s="1">
        <v>0.465137</v>
      </c>
      <c r="AQ58" s="1">
        <v>0.116105</v>
      </c>
      <c r="AR58" s="1">
        <v>0.103376</v>
      </c>
      <c r="AS58" s="1">
        <v>0.122852</v>
      </c>
      <c r="AT58" s="1">
        <v>5259.0</v>
      </c>
      <c r="AU58" s="1">
        <v>632.0</v>
      </c>
      <c r="AV58" s="1">
        <v>0.038596</v>
      </c>
      <c r="AW58" s="1">
        <v>0.749088</v>
      </c>
      <c r="AX58" s="1">
        <v>0.008292</v>
      </c>
      <c r="AY58" s="1">
        <v>0.013623</v>
      </c>
      <c r="AZ58" s="1">
        <v>0.02614379</v>
      </c>
      <c r="BA58" s="1">
        <v>0.166592</v>
      </c>
      <c r="BB58" s="1">
        <v>0.004372</v>
      </c>
      <c r="BC58" s="1">
        <v>0.062378</v>
      </c>
      <c r="BD58" s="1">
        <v>0.476076</v>
      </c>
      <c r="BE58" s="1">
        <v>0.148419</v>
      </c>
      <c r="BF58" s="1">
        <v>0.0</v>
      </c>
      <c r="BG58" s="1">
        <v>0.136363</v>
      </c>
      <c r="BH58" s="1">
        <v>0.031988</v>
      </c>
      <c r="BI58" s="1">
        <v>0.161262</v>
      </c>
      <c r="BJ58" s="1">
        <v>0.091794</v>
      </c>
      <c r="BK58" s="1">
        <v>0.171899</v>
      </c>
      <c r="BL58" s="1">
        <v>0.840663</v>
      </c>
      <c r="BM58" s="1">
        <v>0.981</v>
      </c>
      <c r="BN58" s="1">
        <v>0.751</v>
      </c>
      <c r="BO58" s="1">
        <v>0.9993</v>
      </c>
      <c r="BP58" s="1">
        <v>0.091</v>
      </c>
      <c r="BQ58" s="1">
        <v>2.8223</v>
      </c>
      <c r="BR58" s="1">
        <v>0.7567</v>
      </c>
      <c r="BS58" s="1">
        <v>0.005</v>
      </c>
      <c r="BT58" s="1">
        <v>0.002</v>
      </c>
      <c r="BU58" s="1">
        <v>0.012</v>
      </c>
      <c r="BV58" s="1">
        <v>0.019</v>
      </c>
      <c r="BW58" s="1">
        <v>0.001</v>
      </c>
      <c r="BX58" s="1">
        <v>0.661</v>
      </c>
      <c r="BY58" s="1">
        <v>0.53</v>
      </c>
      <c r="BZ58" s="1">
        <v>1.191</v>
      </c>
      <c r="CA58" s="1">
        <v>0.658</v>
      </c>
      <c r="CB58" s="1">
        <v>0.978</v>
      </c>
      <c r="CC58" s="1">
        <v>0.0</v>
      </c>
      <c r="CD58" s="1">
        <v>0.831</v>
      </c>
      <c r="CE58" s="1">
        <v>0.724</v>
      </c>
      <c r="CF58" s="1">
        <v>0.999</v>
      </c>
      <c r="CG58" s="1">
        <v>3.532</v>
      </c>
      <c r="CH58" s="1">
        <v>0.943</v>
      </c>
      <c r="CI58" s="1">
        <v>7.5643</v>
      </c>
      <c r="CJ58" s="1">
        <v>0.6448</v>
      </c>
      <c r="CK58" s="1">
        <v>1.0</v>
      </c>
      <c r="CL58" s="1">
        <v>0.0</v>
      </c>
      <c r="CM58" s="1">
        <v>1.0</v>
      </c>
      <c r="CN58" s="1">
        <v>0.0</v>
      </c>
      <c r="CO58" s="1">
        <v>2.0</v>
      </c>
      <c r="CP58" s="1">
        <v>0.0</v>
      </c>
      <c r="CQ58" s="1">
        <v>0.0</v>
      </c>
      <c r="CR58" s="1">
        <v>0.0</v>
      </c>
      <c r="CS58" s="1">
        <v>0.0</v>
      </c>
      <c r="CT58" s="1">
        <v>0.0</v>
      </c>
      <c r="CU58" s="1">
        <v>0.0</v>
      </c>
      <c r="CV58" s="1">
        <v>0.0</v>
      </c>
      <c r="CW58" s="1">
        <v>1.0</v>
      </c>
      <c r="CX58" s="1">
        <v>0.0</v>
      </c>
      <c r="CY58" s="1">
        <v>0.0</v>
      </c>
      <c r="CZ58" s="1">
        <v>0.0</v>
      </c>
      <c r="DA58" s="1">
        <v>1.0</v>
      </c>
      <c r="DB58" s="1">
        <v>2.0</v>
      </c>
      <c r="DC58" s="1">
        <v>4.0</v>
      </c>
      <c r="DD58" s="1" t="s">
        <v>387</v>
      </c>
      <c r="DE58" s="1">
        <v>1.79455476368343E-4</v>
      </c>
      <c r="DF58" s="1">
        <v>0.0639409229241861</v>
      </c>
    </row>
    <row r="59" ht="15.75" customHeight="1">
      <c r="A59" s="1" t="s">
        <v>388</v>
      </c>
      <c r="B59" s="1">
        <v>29.0</v>
      </c>
      <c r="C59" s="2" t="s">
        <v>317</v>
      </c>
      <c r="D59" s="2" t="s">
        <v>389</v>
      </c>
      <c r="E59" s="1">
        <v>1.118</v>
      </c>
      <c r="F59" s="1">
        <v>29019.0</v>
      </c>
      <c r="G59" s="1">
        <v>2.90190009E10</v>
      </c>
      <c r="H59" s="1" t="s">
        <v>112</v>
      </c>
      <c r="I59" s="1" t="s">
        <v>113</v>
      </c>
      <c r="J59" s="1" t="s">
        <v>319</v>
      </c>
      <c r="K59" s="1" t="s">
        <v>390</v>
      </c>
      <c r="L59" s="1">
        <v>1511.0</v>
      </c>
      <c r="M59" s="1">
        <v>1690.0</v>
      </c>
      <c r="N59" s="1">
        <v>275.0</v>
      </c>
      <c r="O59" s="1">
        <v>847.0</v>
      </c>
      <c r="P59" s="1">
        <v>854.0</v>
      </c>
      <c r="Q59" s="1">
        <v>82.0</v>
      </c>
      <c r="R59" s="1">
        <v>704.0</v>
      </c>
      <c r="S59" s="1">
        <v>681.0</v>
      </c>
      <c r="T59" s="1">
        <v>289.0</v>
      </c>
      <c r="U59" s="1">
        <v>125.0</v>
      </c>
      <c r="V59" s="1">
        <v>433.0</v>
      </c>
      <c r="W59" s="1">
        <v>12149.0</v>
      </c>
      <c r="X59" s="1">
        <v>2102.0</v>
      </c>
      <c r="Y59" s="1">
        <v>136.0</v>
      </c>
      <c r="Z59" s="1">
        <v>367.0</v>
      </c>
      <c r="AA59" s="1">
        <v>95.0</v>
      </c>
      <c r="AB59" s="1">
        <v>277.0</v>
      </c>
      <c r="AC59" s="1">
        <v>104.0</v>
      </c>
      <c r="AD59" s="1">
        <v>653.0</v>
      </c>
      <c r="AE59" s="1">
        <v>0.0</v>
      </c>
      <c r="AF59" s="1">
        <v>456.0</v>
      </c>
      <c r="AG59" s="1">
        <v>0.0</v>
      </c>
      <c r="AH59" s="1">
        <v>197.0</v>
      </c>
      <c r="AI59" s="1">
        <v>0.0</v>
      </c>
      <c r="AJ59" s="1">
        <v>114.0</v>
      </c>
      <c r="AK59" s="1">
        <v>0.0</v>
      </c>
      <c r="AL59" s="1">
        <v>161.0</v>
      </c>
      <c r="AM59" s="1">
        <v>103.0</v>
      </c>
      <c r="AN59" s="1">
        <v>56.0</v>
      </c>
      <c r="AO59" s="1">
        <v>61.0</v>
      </c>
      <c r="AP59" s="1">
        <v>0.412477</v>
      </c>
      <c r="AQ59" s="1">
        <v>0.162844</v>
      </c>
      <c r="AR59" s="1">
        <v>0.128205</v>
      </c>
      <c r="AS59" s="1">
        <v>0.442066</v>
      </c>
      <c r="AT59" s="1">
        <v>12149.0</v>
      </c>
      <c r="AU59" s="1">
        <v>2102.0</v>
      </c>
      <c r="AV59" s="1">
        <v>0.143459</v>
      </c>
      <c r="AW59" s="1">
        <v>0.386591</v>
      </c>
      <c r="AX59" s="1">
        <v>0.062872</v>
      </c>
      <c r="AY59" s="1">
        <v>0.183322</v>
      </c>
      <c r="AZ59" s="1">
        <v>0.14772727</v>
      </c>
      <c r="BA59" s="1">
        <v>0.432164</v>
      </c>
      <c r="BB59" s="1">
        <v>0.0</v>
      </c>
      <c r="BC59" s="1">
        <v>0.295911</v>
      </c>
      <c r="BD59" s="1">
        <v>0.0</v>
      </c>
      <c r="BE59" s="1">
        <v>0.230679</v>
      </c>
      <c r="BF59" s="1">
        <v>0.0</v>
      </c>
      <c r="BG59" s="1">
        <v>0.133489</v>
      </c>
      <c r="BH59" s="1">
        <v>0.0</v>
      </c>
      <c r="BI59" s="1">
        <v>0.216981</v>
      </c>
      <c r="BJ59" s="1">
        <v>0.138814</v>
      </c>
      <c r="BK59" s="1">
        <v>0.073482</v>
      </c>
      <c r="BL59" s="1">
        <v>0.04037</v>
      </c>
      <c r="BM59" s="1">
        <v>0.963</v>
      </c>
      <c r="BN59" s="1">
        <v>0.85</v>
      </c>
      <c r="BO59" s="1">
        <v>0.9574</v>
      </c>
      <c r="BP59" s="1">
        <v>0.54</v>
      </c>
      <c r="BQ59" s="1">
        <v>3.3104</v>
      </c>
      <c r="BR59" s="1">
        <v>0.8809</v>
      </c>
      <c r="BS59" s="1">
        <v>0.056</v>
      </c>
      <c r="BT59" s="1">
        <v>0.128</v>
      </c>
      <c r="BU59" s="1">
        <v>0.786</v>
      </c>
      <c r="BV59" s="1">
        <v>0.97</v>
      </c>
      <c r="BW59" s="1">
        <v>0.104</v>
      </c>
      <c r="BX59" s="1">
        <v>0.851</v>
      </c>
      <c r="BY59" s="1">
        <v>0.0</v>
      </c>
      <c r="BZ59" s="1">
        <v>0.851</v>
      </c>
      <c r="CA59" s="1">
        <v>0.434</v>
      </c>
      <c r="CB59" s="1">
        <v>0.0</v>
      </c>
      <c r="CC59" s="1">
        <v>0.0</v>
      </c>
      <c r="CD59" s="1">
        <v>0.0</v>
      </c>
      <c r="CE59" s="1">
        <v>0.845</v>
      </c>
      <c r="CF59" s="1">
        <v>0.868</v>
      </c>
      <c r="CG59" s="1">
        <v>1.713</v>
      </c>
      <c r="CH59" s="1">
        <v>0.237</v>
      </c>
      <c r="CI59" s="1">
        <v>6.8444</v>
      </c>
      <c r="CJ59" s="1">
        <v>0.5199</v>
      </c>
      <c r="CK59" s="1">
        <v>1.0</v>
      </c>
      <c r="CL59" s="1">
        <v>0.0</v>
      </c>
      <c r="CM59" s="1">
        <v>1.0</v>
      </c>
      <c r="CN59" s="1">
        <v>0.0</v>
      </c>
      <c r="CO59" s="1">
        <v>2.0</v>
      </c>
      <c r="CP59" s="1">
        <v>0.0</v>
      </c>
      <c r="CQ59" s="1">
        <v>0.0</v>
      </c>
      <c r="CR59" s="1">
        <v>0.0</v>
      </c>
      <c r="CS59" s="1">
        <v>0.0</v>
      </c>
      <c r="CT59" s="1">
        <v>0.0</v>
      </c>
      <c r="CU59" s="1">
        <v>0.0</v>
      </c>
      <c r="CV59" s="1">
        <v>0.0</v>
      </c>
      <c r="CW59" s="1">
        <v>0.0</v>
      </c>
      <c r="CX59" s="1">
        <v>0.0</v>
      </c>
      <c r="CY59" s="1">
        <v>0.0</v>
      </c>
      <c r="CZ59" s="1">
        <v>0.0</v>
      </c>
      <c r="DA59" s="1">
        <v>0.0</v>
      </c>
      <c r="DB59" s="1">
        <v>0.0</v>
      </c>
      <c r="DC59" s="1">
        <v>2.0</v>
      </c>
      <c r="DD59" s="1" t="s">
        <v>391</v>
      </c>
      <c r="DE59" s="1">
        <v>3.02870397665511E-4</v>
      </c>
      <c r="DF59" s="1">
        <v>0.0978558110920159</v>
      </c>
    </row>
    <row r="60" ht="15.75" customHeight="1">
      <c r="A60" s="1" t="s">
        <v>392</v>
      </c>
      <c r="B60" s="1">
        <v>29.0</v>
      </c>
      <c r="C60" s="2" t="s">
        <v>317</v>
      </c>
      <c r="D60" s="2" t="s">
        <v>393</v>
      </c>
      <c r="E60" s="1">
        <v>2.885</v>
      </c>
      <c r="F60" s="1">
        <v>29019.0</v>
      </c>
      <c r="G60" s="1">
        <v>2.9019001001E10</v>
      </c>
      <c r="H60" s="1" t="s">
        <v>112</v>
      </c>
      <c r="I60" s="1" t="s">
        <v>113</v>
      </c>
      <c r="J60" s="1" t="s">
        <v>319</v>
      </c>
      <c r="K60" s="1" t="s">
        <v>394</v>
      </c>
      <c r="L60" s="1">
        <v>4656.0</v>
      </c>
      <c r="M60" s="1">
        <v>3901.0</v>
      </c>
      <c r="N60" s="1">
        <v>525.0</v>
      </c>
      <c r="O60" s="1">
        <v>2265.0</v>
      </c>
      <c r="P60" s="1">
        <v>2332.0</v>
      </c>
      <c r="Q60" s="1">
        <v>117.0</v>
      </c>
      <c r="R60" s="1">
        <v>2175.0</v>
      </c>
      <c r="S60" s="1">
        <v>1046.0</v>
      </c>
      <c r="T60" s="1">
        <v>323.0</v>
      </c>
      <c r="U60" s="1">
        <v>48.0</v>
      </c>
      <c r="V60" s="1">
        <v>458.0</v>
      </c>
      <c r="W60" s="1">
        <v>28859.0</v>
      </c>
      <c r="X60" s="1">
        <v>4008.0</v>
      </c>
      <c r="Y60" s="1">
        <v>69.0</v>
      </c>
      <c r="Z60" s="1">
        <v>380.0</v>
      </c>
      <c r="AA60" s="1">
        <v>660.0</v>
      </c>
      <c r="AB60" s="1">
        <v>511.0</v>
      </c>
      <c r="AC60" s="1">
        <v>114.0</v>
      </c>
      <c r="AD60" s="1">
        <v>1041.0</v>
      </c>
      <c r="AE60" s="1">
        <v>0.0</v>
      </c>
      <c r="AF60" s="1">
        <v>456.0</v>
      </c>
      <c r="AG60" s="1">
        <v>581.0</v>
      </c>
      <c r="AH60" s="1">
        <v>192.0</v>
      </c>
      <c r="AI60" s="1">
        <v>0.0</v>
      </c>
      <c r="AJ60" s="1">
        <v>114.0</v>
      </c>
      <c r="AK60" s="1">
        <v>47.0</v>
      </c>
      <c r="AL60" s="1">
        <v>137.0</v>
      </c>
      <c r="AM60" s="1">
        <v>82.0</v>
      </c>
      <c r="AN60" s="1">
        <v>57.0</v>
      </c>
      <c r="AO60" s="1">
        <v>165.0</v>
      </c>
      <c r="AP60" s="1">
        <v>0.268136</v>
      </c>
      <c r="AQ60" s="1">
        <v>0.074521</v>
      </c>
      <c r="AR60" s="1">
        <v>0.023199</v>
      </c>
      <c r="AS60" s="1">
        <v>0.221331</v>
      </c>
      <c r="AT60" s="1">
        <v>28859.0</v>
      </c>
      <c r="AU60" s="1">
        <v>4008.0</v>
      </c>
      <c r="AV60" s="1">
        <v>0.033173</v>
      </c>
      <c r="AW60" s="1">
        <v>0.182656</v>
      </c>
      <c r="AX60" s="1">
        <v>0.141752</v>
      </c>
      <c r="AY60" s="1">
        <v>0.10975</v>
      </c>
      <c r="AZ60" s="1">
        <v>0.05241379</v>
      </c>
      <c r="BA60" s="1">
        <v>0.223582</v>
      </c>
      <c r="BB60" s="1">
        <v>0.0</v>
      </c>
      <c r="BC60" s="1">
        <v>0.12341</v>
      </c>
      <c r="BD60" s="1">
        <v>0.249142</v>
      </c>
      <c r="BE60" s="1">
        <v>0.081378</v>
      </c>
      <c r="BF60" s="1">
        <v>0.0</v>
      </c>
      <c r="BG60" s="1">
        <v>0.048885</v>
      </c>
      <c r="BH60" s="1">
        <v>0.024251</v>
      </c>
      <c r="BI60" s="1">
        <v>0.070657</v>
      </c>
      <c r="BJ60" s="1">
        <v>0.042311</v>
      </c>
      <c r="BK60" s="1">
        <v>0.029165</v>
      </c>
      <c r="BL60" s="1">
        <v>0.035438</v>
      </c>
      <c r="BM60" s="1">
        <v>0.852</v>
      </c>
      <c r="BN60" s="1">
        <v>0.043</v>
      </c>
      <c r="BO60" s="1">
        <v>0.2245</v>
      </c>
      <c r="BP60" s="1">
        <v>0.072</v>
      </c>
      <c r="BQ60" s="1">
        <v>1.1915</v>
      </c>
      <c r="BR60" s="1">
        <v>0.2527</v>
      </c>
      <c r="BS60" s="1">
        <v>0.51</v>
      </c>
      <c r="BT60" s="1">
        <v>0.029</v>
      </c>
      <c r="BU60" s="1">
        <v>0.087</v>
      </c>
      <c r="BV60" s="1">
        <v>0.626</v>
      </c>
      <c r="BW60" s="1">
        <v>0.048</v>
      </c>
      <c r="BX60" s="1">
        <v>0.735</v>
      </c>
      <c r="BY60" s="1">
        <v>0.0</v>
      </c>
      <c r="BZ60" s="1">
        <v>0.735</v>
      </c>
      <c r="CA60" s="1">
        <v>0.355</v>
      </c>
      <c r="CB60" s="1">
        <v>0.92</v>
      </c>
      <c r="CC60" s="1">
        <v>0.0</v>
      </c>
      <c r="CD60" s="1">
        <v>0.747</v>
      </c>
      <c r="CE60" s="1">
        <v>0.417</v>
      </c>
      <c r="CF60" s="1">
        <v>0.842</v>
      </c>
      <c r="CG60" s="1">
        <v>2.926</v>
      </c>
      <c r="CH60" s="1">
        <v>0.741</v>
      </c>
      <c r="CI60" s="1">
        <v>5.4785</v>
      </c>
      <c r="CJ60" s="1">
        <v>0.2765</v>
      </c>
      <c r="CK60" s="1">
        <v>0.0</v>
      </c>
      <c r="CL60" s="1">
        <v>0.0</v>
      </c>
      <c r="CM60" s="1">
        <v>0.0</v>
      </c>
      <c r="CN60" s="1">
        <v>0.0</v>
      </c>
      <c r="CO60" s="1">
        <v>0.0</v>
      </c>
      <c r="CP60" s="1">
        <v>0.0</v>
      </c>
      <c r="CQ60" s="1">
        <v>0.0</v>
      </c>
      <c r="CR60" s="1">
        <v>0.0</v>
      </c>
      <c r="CS60" s="1">
        <v>0.0</v>
      </c>
      <c r="CT60" s="1">
        <v>0.0</v>
      </c>
      <c r="CU60" s="1">
        <v>0.0</v>
      </c>
      <c r="CV60" s="1">
        <v>0.0</v>
      </c>
      <c r="CW60" s="1">
        <v>1.0</v>
      </c>
      <c r="CX60" s="1">
        <v>0.0</v>
      </c>
      <c r="CY60" s="1">
        <v>0.0</v>
      </c>
      <c r="CZ60" s="1">
        <v>0.0</v>
      </c>
      <c r="DA60" s="1">
        <v>0.0</v>
      </c>
      <c r="DB60" s="1">
        <v>1.0</v>
      </c>
      <c r="DC60" s="1">
        <v>1.0</v>
      </c>
      <c r="DD60" s="1" t="s">
        <v>395</v>
      </c>
      <c r="DE60" s="1">
        <v>7.85447548160257E-4</v>
      </c>
      <c r="DF60" s="2" t="s">
        <v>396</v>
      </c>
    </row>
    <row r="61" ht="15.75" customHeight="1">
      <c r="A61" s="1" t="s">
        <v>397</v>
      </c>
      <c r="B61" s="1">
        <v>29.0</v>
      </c>
      <c r="C61" s="2" t="s">
        <v>317</v>
      </c>
      <c r="D61" s="2" t="s">
        <v>398</v>
      </c>
      <c r="E61" s="1">
        <v>8.86</v>
      </c>
      <c r="F61" s="1">
        <v>29019.0</v>
      </c>
      <c r="G61" s="1">
        <v>2.9019001002E10</v>
      </c>
      <c r="H61" s="1" t="s">
        <v>112</v>
      </c>
      <c r="I61" s="1" t="s">
        <v>113</v>
      </c>
      <c r="J61" s="1" t="s">
        <v>319</v>
      </c>
      <c r="K61" s="1" t="s">
        <v>399</v>
      </c>
      <c r="L61" s="1">
        <v>5950.0</v>
      </c>
      <c r="M61" s="1">
        <v>6363.0</v>
      </c>
      <c r="N61" s="1">
        <v>503.0</v>
      </c>
      <c r="O61" s="1">
        <v>2851.0</v>
      </c>
      <c r="P61" s="1">
        <v>2850.0</v>
      </c>
      <c r="Q61" s="1">
        <v>126.0</v>
      </c>
      <c r="R61" s="1">
        <v>2437.0</v>
      </c>
      <c r="S61" s="1">
        <v>1237.0</v>
      </c>
      <c r="T61" s="1">
        <v>413.0</v>
      </c>
      <c r="U61" s="1">
        <v>222.0</v>
      </c>
      <c r="V61" s="1">
        <v>443.0</v>
      </c>
      <c r="W61" s="1">
        <v>25105.0</v>
      </c>
      <c r="X61" s="1">
        <v>2581.0</v>
      </c>
      <c r="Y61" s="1">
        <v>337.0</v>
      </c>
      <c r="Z61" s="1">
        <v>374.0</v>
      </c>
      <c r="AA61" s="1">
        <v>900.0</v>
      </c>
      <c r="AB61" s="1">
        <v>1420.0</v>
      </c>
      <c r="AC61" s="1">
        <v>302.0</v>
      </c>
      <c r="AD61" s="1">
        <v>1088.0</v>
      </c>
      <c r="AE61" s="1">
        <v>9.0</v>
      </c>
      <c r="AF61" s="1">
        <v>442.0</v>
      </c>
      <c r="AG61" s="1">
        <v>302.0</v>
      </c>
      <c r="AH61" s="1">
        <v>124.0</v>
      </c>
      <c r="AI61" s="1">
        <v>509.0</v>
      </c>
      <c r="AJ61" s="1">
        <v>108.0</v>
      </c>
      <c r="AK61" s="1">
        <v>25.0</v>
      </c>
      <c r="AL61" s="1">
        <v>121.0</v>
      </c>
      <c r="AM61" s="1">
        <v>324.0</v>
      </c>
      <c r="AN61" s="1">
        <v>113.0</v>
      </c>
      <c r="AO61" s="1">
        <v>116.0</v>
      </c>
      <c r="AP61" s="1">
        <v>0.19754</v>
      </c>
      <c r="AQ61" s="1">
        <v>0.064154</v>
      </c>
      <c r="AR61" s="1">
        <v>0.065255</v>
      </c>
      <c r="AS61" s="1">
        <v>0.12998</v>
      </c>
      <c r="AT61" s="1">
        <v>25105.0</v>
      </c>
      <c r="AU61" s="1">
        <v>2581.0</v>
      </c>
      <c r="AV61" s="1">
        <v>0.085707</v>
      </c>
      <c r="AW61" s="1">
        <v>0.09487</v>
      </c>
      <c r="AX61" s="1">
        <v>0.15126</v>
      </c>
      <c r="AY61" s="1">
        <v>0.238655</v>
      </c>
      <c r="AZ61" s="1">
        <v>0.12392285</v>
      </c>
      <c r="BA61" s="1">
        <v>0.182857</v>
      </c>
      <c r="BB61" s="1">
        <v>0.001511</v>
      </c>
      <c r="BC61" s="1">
        <v>0.074248</v>
      </c>
      <c r="BD61" s="1">
        <v>0.105964</v>
      </c>
      <c r="BE61" s="1">
        <v>0.043255</v>
      </c>
      <c r="BF61" s="1">
        <v>0.178596</v>
      </c>
      <c r="BG61" s="1">
        <v>0.037063</v>
      </c>
      <c r="BH61" s="1">
        <v>0.009873</v>
      </c>
      <c r="BI61" s="1">
        <v>0.047782</v>
      </c>
      <c r="BJ61" s="1">
        <v>0.127962</v>
      </c>
      <c r="BK61" s="1">
        <v>0.043659</v>
      </c>
      <c r="BL61" s="1">
        <v>0.019495</v>
      </c>
      <c r="BM61" s="1">
        <v>0.722</v>
      </c>
      <c r="BN61" s="1">
        <v>0.474</v>
      </c>
      <c r="BO61" s="1">
        <v>0.3415</v>
      </c>
      <c r="BP61" s="1">
        <v>0.275</v>
      </c>
      <c r="BQ61" s="1">
        <v>1.8125</v>
      </c>
      <c r="BR61" s="1">
        <v>0.4354</v>
      </c>
      <c r="BS61" s="1">
        <v>0.589</v>
      </c>
      <c r="BT61" s="1">
        <v>0.482</v>
      </c>
      <c r="BU61" s="1">
        <v>0.693</v>
      </c>
      <c r="BV61" s="1">
        <v>1.764</v>
      </c>
      <c r="BW61" s="1">
        <v>0.695</v>
      </c>
      <c r="BX61" s="1">
        <v>0.687</v>
      </c>
      <c r="BY61" s="1">
        <v>0.355</v>
      </c>
      <c r="BZ61" s="1">
        <v>1.042</v>
      </c>
      <c r="CA61" s="1">
        <v>0.575</v>
      </c>
      <c r="CB61" s="1">
        <v>0.782</v>
      </c>
      <c r="CC61" s="1">
        <v>0.864</v>
      </c>
      <c r="CD61" s="1">
        <v>0.47</v>
      </c>
      <c r="CE61" s="1">
        <v>0.825</v>
      </c>
      <c r="CF61" s="1">
        <v>0.705</v>
      </c>
      <c r="CG61" s="1">
        <v>3.646</v>
      </c>
      <c r="CH61" s="1">
        <v>0.968</v>
      </c>
      <c r="CI61" s="1">
        <v>8.2645</v>
      </c>
      <c r="CJ61" s="1">
        <v>0.7552</v>
      </c>
      <c r="CK61" s="1">
        <v>0.0</v>
      </c>
      <c r="CL61" s="1">
        <v>0.0</v>
      </c>
      <c r="CM61" s="1">
        <v>0.0</v>
      </c>
      <c r="CN61" s="1">
        <v>0.0</v>
      </c>
      <c r="CO61" s="1">
        <v>0.0</v>
      </c>
      <c r="CP61" s="1">
        <v>0.0</v>
      </c>
      <c r="CQ61" s="1">
        <v>0.0</v>
      </c>
      <c r="CR61" s="1">
        <v>0.0</v>
      </c>
      <c r="CS61" s="1">
        <v>0.0</v>
      </c>
      <c r="CT61" s="1">
        <v>0.0</v>
      </c>
      <c r="CU61" s="1">
        <v>0.0</v>
      </c>
      <c r="CV61" s="1">
        <v>0.0</v>
      </c>
      <c r="CW61" s="1">
        <v>0.0</v>
      </c>
      <c r="CX61" s="1">
        <v>0.0</v>
      </c>
      <c r="CY61" s="1">
        <v>0.0</v>
      </c>
      <c r="CZ61" s="1">
        <v>0.0</v>
      </c>
      <c r="DA61" s="1">
        <v>0.0</v>
      </c>
      <c r="DB61" s="1">
        <v>0.0</v>
      </c>
      <c r="DC61" s="1">
        <v>0.0</v>
      </c>
      <c r="DD61" s="1" t="s">
        <v>400</v>
      </c>
      <c r="DE61" s="1">
        <v>0.00239972734936933</v>
      </c>
      <c r="DF61" s="2" t="s">
        <v>401</v>
      </c>
    </row>
    <row r="62" ht="15.75" customHeight="1">
      <c r="A62" s="1" t="s">
        <v>402</v>
      </c>
      <c r="B62" s="1">
        <v>29.0</v>
      </c>
      <c r="C62" s="2" t="s">
        <v>317</v>
      </c>
      <c r="D62" s="2" t="s">
        <v>403</v>
      </c>
      <c r="E62" s="1">
        <v>8.484</v>
      </c>
      <c r="F62" s="1">
        <v>29019.0</v>
      </c>
      <c r="G62" s="1">
        <v>2.9019001101E10</v>
      </c>
      <c r="H62" s="1" t="s">
        <v>112</v>
      </c>
      <c r="I62" s="1" t="s">
        <v>113</v>
      </c>
      <c r="J62" s="1" t="s">
        <v>319</v>
      </c>
      <c r="K62" s="1" t="s">
        <v>404</v>
      </c>
      <c r="L62" s="1">
        <v>8628.0</v>
      </c>
      <c r="M62" s="1">
        <v>7852.0</v>
      </c>
      <c r="N62" s="1">
        <v>796.0</v>
      </c>
      <c r="O62" s="1">
        <v>3807.0</v>
      </c>
      <c r="P62" s="1">
        <v>3550.0</v>
      </c>
      <c r="Q62" s="1">
        <v>173.0</v>
      </c>
      <c r="R62" s="1">
        <v>3554.0</v>
      </c>
      <c r="S62" s="1">
        <v>3878.0</v>
      </c>
      <c r="T62" s="1">
        <v>628.0</v>
      </c>
      <c r="U62" s="1">
        <v>462.0</v>
      </c>
      <c r="V62" s="1">
        <v>404.0</v>
      </c>
      <c r="W62" s="1">
        <v>16345.0</v>
      </c>
      <c r="X62" s="1">
        <v>4312.0</v>
      </c>
      <c r="Y62" s="1">
        <v>181.0</v>
      </c>
      <c r="Z62" s="1">
        <v>319.0</v>
      </c>
      <c r="AA62" s="1">
        <v>277.0</v>
      </c>
      <c r="AB62" s="1">
        <v>756.0</v>
      </c>
      <c r="AC62" s="1">
        <v>205.0</v>
      </c>
      <c r="AD62" s="1">
        <v>1689.0</v>
      </c>
      <c r="AE62" s="1">
        <v>55.0</v>
      </c>
      <c r="AF62" s="1">
        <v>413.0</v>
      </c>
      <c r="AG62" s="1">
        <v>634.0</v>
      </c>
      <c r="AH62" s="1">
        <v>174.0</v>
      </c>
      <c r="AI62" s="1">
        <v>482.0</v>
      </c>
      <c r="AJ62" s="1">
        <v>149.0</v>
      </c>
      <c r="AK62" s="1">
        <v>53.0</v>
      </c>
      <c r="AL62" s="1">
        <v>125.0</v>
      </c>
      <c r="AM62" s="1">
        <v>186.0</v>
      </c>
      <c r="AN62" s="1">
        <v>123.0</v>
      </c>
      <c r="AO62" s="1">
        <v>111.0</v>
      </c>
      <c r="AP62" s="1">
        <v>0.509793</v>
      </c>
      <c r="AQ62" s="1">
        <v>0.066596</v>
      </c>
      <c r="AR62" s="1">
        <v>0.099226</v>
      </c>
      <c r="AS62" s="1">
        <v>0.085828</v>
      </c>
      <c r="AT62" s="1">
        <v>16345.0</v>
      </c>
      <c r="AU62" s="1">
        <v>4312.0</v>
      </c>
      <c r="AV62" s="1">
        <v>0.068379</v>
      </c>
      <c r="AW62" s="1">
        <v>0.120193</v>
      </c>
      <c r="AX62" s="1">
        <v>0.032104</v>
      </c>
      <c r="AY62" s="1">
        <v>0.087621</v>
      </c>
      <c r="AZ62" s="1">
        <v>0.05768148</v>
      </c>
      <c r="BA62" s="1">
        <v>0.195758</v>
      </c>
      <c r="BB62" s="1">
        <v>0.007408</v>
      </c>
      <c r="BC62" s="1">
        <v>0.055625</v>
      </c>
      <c r="BD62" s="1">
        <v>0.178591</v>
      </c>
      <c r="BE62" s="1">
        <v>0.048235</v>
      </c>
      <c r="BF62" s="1">
        <v>0.135774</v>
      </c>
      <c r="BG62" s="1">
        <v>0.041447</v>
      </c>
      <c r="BH62" s="1">
        <v>0.01593</v>
      </c>
      <c r="BI62" s="1">
        <v>0.037556</v>
      </c>
      <c r="BJ62" s="1">
        <v>0.055906</v>
      </c>
      <c r="BK62" s="1">
        <v>0.036779</v>
      </c>
      <c r="BL62" s="1">
        <v>0.012865</v>
      </c>
      <c r="BM62" s="1">
        <v>0.99</v>
      </c>
      <c r="BN62" s="1">
        <v>0.728</v>
      </c>
      <c r="BO62" s="1">
        <v>0.8202</v>
      </c>
      <c r="BP62" s="1">
        <v>0.194</v>
      </c>
      <c r="BQ62" s="1">
        <v>2.7322</v>
      </c>
      <c r="BR62" s="1">
        <v>0.7321</v>
      </c>
      <c r="BS62" s="1">
        <v>0.01</v>
      </c>
      <c r="BT62" s="1">
        <v>0.02</v>
      </c>
      <c r="BU62" s="1">
        <v>0.117</v>
      </c>
      <c r="BV62" s="1">
        <v>0.147</v>
      </c>
      <c r="BW62" s="1">
        <v>0.01</v>
      </c>
      <c r="BX62" s="1">
        <v>0.707</v>
      </c>
      <c r="BY62" s="1">
        <v>0.646</v>
      </c>
      <c r="BZ62" s="1">
        <v>1.353</v>
      </c>
      <c r="CA62" s="1">
        <v>0.74</v>
      </c>
      <c r="CB62" s="1">
        <v>0.878</v>
      </c>
      <c r="CC62" s="1">
        <v>0.789</v>
      </c>
      <c r="CD62" s="1">
        <v>0.615</v>
      </c>
      <c r="CE62" s="1">
        <v>0.54</v>
      </c>
      <c r="CF62" s="1">
        <v>0.619</v>
      </c>
      <c r="CG62" s="1">
        <v>3.441</v>
      </c>
      <c r="CH62" s="1">
        <v>0.926</v>
      </c>
      <c r="CI62" s="1">
        <v>7.6732</v>
      </c>
      <c r="CJ62" s="1">
        <v>0.665</v>
      </c>
      <c r="CK62" s="1">
        <v>1.0</v>
      </c>
      <c r="CL62" s="1">
        <v>0.0</v>
      </c>
      <c r="CM62" s="1">
        <v>0.0</v>
      </c>
      <c r="CN62" s="1">
        <v>0.0</v>
      </c>
      <c r="CO62" s="1">
        <v>1.0</v>
      </c>
      <c r="CP62" s="1">
        <v>0.0</v>
      </c>
      <c r="CQ62" s="1">
        <v>0.0</v>
      </c>
      <c r="CR62" s="1">
        <v>0.0</v>
      </c>
      <c r="CS62" s="1">
        <v>0.0</v>
      </c>
      <c r="CT62" s="1">
        <v>0.0</v>
      </c>
      <c r="CU62" s="1">
        <v>0.0</v>
      </c>
      <c r="CV62" s="1">
        <v>0.0</v>
      </c>
      <c r="CW62" s="1">
        <v>0.0</v>
      </c>
      <c r="CX62" s="1">
        <v>0.0</v>
      </c>
      <c r="CY62" s="1">
        <v>0.0</v>
      </c>
      <c r="CZ62" s="1">
        <v>0.0</v>
      </c>
      <c r="DA62" s="1">
        <v>0.0</v>
      </c>
      <c r="DB62" s="1">
        <v>0.0</v>
      </c>
      <c r="DC62" s="1">
        <v>1.0</v>
      </c>
      <c r="DD62" s="1" t="s">
        <v>405</v>
      </c>
      <c r="DE62" s="1">
        <v>0.00229448198104226</v>
      </c>
      <c r="DF62" s="2" t="s">
        <v>406</v>
      </c>
    </row>
    <row r="63" ht="15.75" customHeight="1">
      <c r="A63" s="1" t="s">
        <v>407</v>
      </c>
      <c r="B63" s="1">
        <v>29.0</v>
      </c>
      <c r="C63" s="2" t="s">
        <v>317</v>
      </c>
      <c r="D63" s="2" t="s">
        <v>408</v>
      </c>
      <c r="E63" s="1">
        <v>4.037</v>
      </c>
      <c r="F63" s="1">
        <v>29019.0</v>
      </c>
      <c r="G63" s="1">
        <v>2.9019001103E10</v>
      </c>
      <c r="H63" s="1" t="s">
        <v>112</v>
      </c>
      <c r="I63" s="1" t="s">
        <v>113</v>
      </c>
      <c r="J63" s="1" t="s">
        <v>319</v>
      </c>
      <c r="K63" s="1" t="s">
        <v>409</v>
      </c>
      <c r="L63" s="1">
        <v>6714.0</v>
      </c>
      <c r="M63" s="1">
        <v>6892.0</v>
      </c>
      <c r="N63" s="1">
        <v>356.0</v>
      </c>
      <c r="O63" s="1">
        <v>3331.0</v>
      </c>
      <c r="P63" s="1">
        <v>3329.0</v>
      </c>
      <c r="Q63" s="1">
        <v>102.0</v>
      </c>
      <c r="R63" s="1">
        <v>3151.0</v>
      </c>
      <c r="S63" s="1">
        <v>958.0</v>
      </c>
      <c r="T63" s="1">
        <v>368.0</v>
      </c>
      <c r="U63" s="1">
        <v>108.0</v>
      </c>
      <c r="V63" s="1">
        <v>416.0</v>
      </c>
      <c r="W63" s="1">
        <v>39499.0</v>
      </c>
      <c r="X63" s="1">
        <v>5482.0</v>
      </c>
      <c r="Y63" s="1">
        <v>307.0</v>
      </c>
      <c r="Z63" s="1">
        <v>357.0</v>
      </c>
      <c r="AA63" s="1">
        <v>935.0</v>
      </c>
      <c r="AB63" s="1">
        <v>1143.0</v>
      </c>
      <c r="AC63" s="1">
        <v>177.0</v>
      </c>
      <c r="AD63" s="1">
        <v>1018.0</v>
      </c>
      <c r="AE63" s="1">
        <v>163.0</v>
      </c>
      <c r="AF63" s="1">
        <v>416.0</v>
      </c>
      <c r="AG63" s="1">
        <v>200.0</v>
      </c>
      <c r="AH63" s="1">
        <v>98.0</v>
      </c>
      <c r="AI63" s="1">
        <v>0.0</v>
      </c>
      <c r="AJ63" s="1">
        <v>114.0</v>
      </c>
      <c r="AK63" s="1">
        <v>72.0</v>
      </c>
      <c r="AL63" s="1">
        <v>137.0</v>
      </c>
      <c r="AM63" s="1">
        <v>74.0</v>
      </c>
      <c r="AN63" s="1">
        <v>47.0</v>
      </c>
      <c r="AO63" s="1">
        <v>3.0</v>
      </c>
      <c r="AP63" s="1">
        <v>0.139001</v>
      </c>
      <c r="AQ63" s="1">
        <v>0.05291</v>
      </c>
      <c r="AR63" s="1">
        <v>0.031114</v>
      </c>
      <c r="AS63" s="1">
        <v>0.119801</v>
      </c>
      <c r="AT63" s="1">
        <v>39499.0</v>
      </c>
      <c r="AU63" s="1">
        <v>5482.0</v>
      </c>
      <c r="AV63" s="1">
        <v>0.067206</v>
      </c>
      <c r="AW63" s="1">
        <v>0.078041</v>
      </c>
      <c r="AX63" s="1">
        <v>0.139261</v>
      </c>
      <c r="AY63" s="1">
        <v>0.170241</v>
      </c>
      <c r="AZ63" s="1">
        <v>0.05617264</v>
      </c>
      <c r="BA63" s="1">
        <v>0.151623</v>
      </c>
      <c r="BB63" s="1">
        <v>0.025162</v>
      </c>
      <c r="BC63" s="1">
        <v>0.064203</v>
      </c>
      <c r="BD63" s="1">
        <v>0.060078</v>
      </c>
      <c r="BE63" s="1">
        <v>0.02938</v>
      </c>
      <c r="BF63" s="1">
        <v>0.0</v>
      </c>
      <c r="BG63" s="1">
        <v>0.034244</v>
      </c>
      <c r="BH63" s="1">
        <v>0.022332</v>
      </c>
      <c r="BI63" s="1">
        <v>0.042485</v>
      </c>
      <c r="BJ63" s="1">
        <v>0.022952</v>
      </c>
      <c r="BK63" s="1">
        <v>0.014551</v>
      </c>
      <c r="BL63" s="1">
        <v>4.46E-4</v>
      </c>
      <c r="BM63" s="1">
        <v>0.541</v>
      </c>
      <c r="BN63" s="1">
        <v>0.096</v>
      </c>
      <c r="BO63" s="1">
        <v>0.07</v>
      </c>
      <c r="BP63" s="1">
        <v>0.19</v>
      </c>
      <c r="BQ63" s="1">
        <v>0.897</v>
      </c>
      <c r="BR63" s="1">
        <v>0.1783</v>
      </c>
      <c r="BS63" s="1">
        <v>0.489</v>
      </c>
      <c r="BT63" s="1">
        <v>0.104</v>
      </c>
      <c r="BU63" s="1">
        <v>0.109</v>
      </c>
      <c r="BV63" s="1">
        <v>0.702</v>
      </c>
      <c r="BW63" s="1">
        <v>0.057</v>
      </c>
      <c r="BX63" s="1">
        <v>0.629</v>
      </c>
      <c r="BY63" s="1">
        <v>0.892</v>
      </c>
      <c r="BZ63" s="1">
        <v>1.521</v>
      </c>
      <c r="CA63" s="1">
        <v>0.841</v>
      </c>
      <c r="CB63" s="1">
        <v>0.684</v>
      </c>
      <c r="CC63" s="1">
        <v>0.0</v>
      </c>
      <c r="CD63" s="1">
        <v>0.715</v>
      </c>
      <c r="CE63" s="1">
        <v>0.214</v>
      </c>
      <c r="CF63" s="1">
        <v>0.364</v>
      </c>
      <c r="CG63" s="1">
        <v>1.977</v>
      </c>
      <c r="CH63" s="1">
        <v>0.338</v>
      </c>
      <c r="CI63" s="1">
        <v>5.097</v>
      </c>
      <c r="CJ63" s="1">
        <v>0.2159</v>
      </c>
      <c r="CK63" s="1">
        <v>0.0</v>
      </c>
      <c r="CL63" s="1">
        <v>0.0</v>
      </c>
      <c r="CM63" s="1">
        <v>0.0</v>
      </c>
      <c r="CN63" s="1">
        <v>0.0</v>
      </c>
      <c r="CO63" s="1">
        <v>0.0</v>
      </c>
      <c r="CP63" s="1">
        <v>0.0</v>
      </c>
      <c r="CQ63" s="1">
        <v>0.0</v>
      </c>
      <c r="CR63" s="1">
        <v>0.0</v>
      </c>
      <c r="CS63" s="1">
        <v>0.0</v>
      </c>
      <c r="CT63" s="1">
        <v>0.0</v>
      </c>
      <c r="CU63" s="1">
        <v>0.0</v>
      </c>
      <c r="CV63" s="1">
        <v>0.0</v>
      </c>
      <c r="CW63" s="1">
        <v>0.0</v>
      </c>
      <c r="CX63" s="1">
        <v>0.0</v>
      </c>
      <c r="CY63" s="1">
        <v>0.0</v>
      </c>
      <c r="CZ63" s="1">
        <v>0.0</v>
      </c>
      <c r="DA63" s="1">
        <v>0.0</v>
      </c>
      <c r="DB63" s="1">
        <v>0.0</v>
      </c>
      <c r="DC63" s="1">
        <v>0.0</v>
      </c>
      <c r="DD63" s="1" t="s">
        <v>410</v>
      </c>
      <c r="DE63" s="1">
        <v>0.00108804200441948</v>
      </c>
      <c r="DF63" s="2" t="s">
        <v>411</v>
      </c>
    </row>
    <row r="64" ht="15.75" customHeight="1">
      <c r="A64" s="1" t="s">
        <v>412</v>
      </c>
      <c r="B64" s="1">
        <v>29.0</v>
      </c>
      <c r="C64" s="2" t="s">
        <v>317</v>
      </c>
      <c r="D64" s="2" t="s">
        <v>413</v>
      </c>
      <c r="E64" s="1">
        <v>9.28</v>
      </c>
      <c r="F64" s="1">
        <v>29019.0</v>
      </c>
      <c r="G64" s="1">
        <v>2.9019001104E10</v>
      </c>
      <c r="H64" s="1" t="s">
        <v>112</v>
      </c>
      <c r="I64" s="1" t="s">
        <v>113</v>
      </c>
      <c r="J64" s="1" t="s">
        <v>319</v>
      </c>
      <c r="K64" s="1" t="s">
        <v>414</v>
      </c>
      <c r="L64" s="1">
        <v>10629.0</v>
      </c>
      <c r="M64" s="1">
        <v>9895.0</v>
      </c>
      <c r="N64" s="1">
        <v>612.0</v>
      </c>
      <c r="O64" s="1">
        <v>4185.0</v>
      </c>
      <c r="P64" s="1">
        <v>3859.0</v>
      </c>
      <c r="Q64" s="1">
        <v>166.0</v>
      </c>
      <c r="R64" s="1">
        <v>3948.0</v>
      </c>
      <c r="S64" s="1">
        <v>1651.0</v>
      </c>
      <c r="T64" s="1">
        <v>475.0</v>
      </c>
      <c r="U64" s="1">
        <v>206.0</v>
      </c>
      <c r="V64" s="1">
        <v>412.0</v>
      </c>
      <c r="W64" s="1">
        <v>33920.0</v>
      </c>
      <c r="X64" s="1">
        <v>4342.0</v>
      </c>
      <c r="Y64" s="1">
        <v>127.0</v>
      </c>
      <c r="Z64" s="1">
        <v>402.0</v>
      </c>
      <c r="AA64" s="1">
        <v>784.0</v>
      </c>
      <c r="AB64" s="1">
        <v>2460.0</v>
      </c>
      <c r="AC64" s="1">
        <v>326.0</v>
      </c>
      <c r="AD64" s="1">
        <v>1795.0</v>
      </c>
      <c r="AE64" s="1">
        <v>19.0</v>
      </c>
      <c r="AF64" s="1">
        <v>442.0</v>
      </c>
      <c r="AG64" s="1">
        <v>243.0</v>
      </c>
      <c r="AH64" s="1">
        <v>185.0</v>
      </c>
      <c r="AI64" s="1">
        <v>18.0</v>
      </c>
      <c r="AJ64" s="1">
        <v>25.0</v>
      </c>
      <c r="AK64" s="1">
        <v>177.0</v>
      </c>
      <c r="AL64" s="1">
        <v>161.0</v>
      </c>
      <c r="AM64" s="1">
        <v>77.0</v>
      </c>
      <c r="AN64" s="1">
        <v>86.0</v>
      </c>
      <c r="AO64" s="1">
        <v>99.0</v>
      </c>
      <c r="AP64" s="1">
        <v>0.168435</v>
      </c>
      <c r="AQ64" s="1">
        <v>0.047296</v>
      </c>
      <c r="AR64" s="1">
        <v>0.036402</v>
      </c>
      <c r="AS64" s="1">
        <v>0.072721</v>
      </c>
      <c r="AT64" s="1">
        <v>33920.0</v>
      </c>
      <c r="AU64" s="1">
        <v>4342.0</v>
      </c>
      <c r="AV64" s="1">
        <v>0.022936</v>
      </c>
      <c r="AW64" s="1">
        <v>0.072578</v>
      </c>
      <c r="AX64" s="1">
        <v>0.07376</v>
      </c>
      <c r="AY64" s="1">
        <v>0.231442</v>
      </c>
      <c r="AZ64" s="1">
        <v>0.08257345</v>
      </c>
      <c r="BA64" s="1">
        <v>0.168877</v>
      </c>
      <c r="BB64" s="1">
        <v>0.002064</v>
      </c>
      <c r="BC64" s="1">
        <v>0.048017</v>
      </c>
      <c r="BD64" s="1">
        <v>0.062969</v>
      </c>
      <c r="BE64" s="1">
        <v>0.047863</v>
      </c>
      <c r="BF64" s="1">
        <v>0.004664</v>
      </c>
      <c r="BG64" s="1">
        <v>0.006475</v>
      </c>
      <c r="BH64" s="1">
        <v>0.048413</v>
      </c>
      <c r="BI64" s="1">
        <v>0.043924</v>
      </c>
      <c r="BJ64" s="1">
        <v>0.021061</v>
      </c>
      <c r="BK64" s="1">
        <v>0.023482</v>
      </c>
      <c r="BL64" s="1">
        <v>0.009314</v>
      </c>
      <c r="BM64" s="1">
        <v>0.636</v>
      </c>
      <c r="BN64" s="1">
        <v>0.151</v>
      </c>
      <c r="BO64" s="1">
        <v>0.13</v>
      </c>
      <c r="BP64" s="1">
        <v>0.038</v>
      </c>
      <c r="BQ64" s="1">
        <v>0.955</v>
      </c>
      <c r="BR64" s="1">
        <v>0.1892</v>
      </c>
      <c r="BS64" s="1">
        <v>0.097</v>
      </c>
      <c r="BT64" s="1">
        <v>0.402</v>
      </c>
      <c r="BU64" s="1">
        <v>0.331</v>
      </c>
      <c r="BV64" s="1">
        <v>0.83</v>
      </c>
      <c r="BW64" s="1">
        <v>0.079</v>
      </c>
      <c r="BX64" s="1">
        <v>0.665</v>
      </c>
      <c r="BY64" s="1">
        <v>0.382</v>
      </c>
      <c r="BZ64" s="1">
        <v>1.047</v>
      </c>
      <c r="CA64" s="1">
        <v>0.582</v>
      </c>
      <c r="CB64" s="1">
        <v>0.69</v>
      </c>
      <c r="CC64" s="1">
        <v>0.387</v>
      </c>
      <c r="CD64" s="1">
        <v>0.928</v>
      </c>
      <c r="CE64" s="1">
        <v>0.194</v>
      </c>
      <c r="CF64" s="1">
        <v>0.564</v>
      </c>
      <c r="CG64" s="1">
        <v>2.763</v>
      </c>
      <c r="CH64" s="1">
        <v>0.671</v>
      </c>
      <c r="CI64" s="1">
        <v>5.595</v>
      </c>
      <c r="CJ64" s="1">
        <v>0.3011</v>
      </c>
      <c r="CK64" s="1">
        <v>0.0</v>
      </c>
      <c r="CL64" s="1">
        <v>0.0</v>
      </c>
      <c r="CM64" s="1">
        <v>0.0</v>
      </c>
      <c r="CN64" s="1">
        <v>0.0</v>
      </c>
      <c r="CO64" s="1">
        <v>0.0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1">
        <v>0.0</v>
      </c>
      <c r="CV64" s="1">
        <v>0.0</v>
      </c>
      <c r="CW64" s="1">
        <v>0.0</v>
      </c>
      <c r="CX64" s="1">
        <v>0.0</v>
      </c>
      <c r="CY64" s="1">
        <v>1.0</v>
      </c>
      <c r="CZ64" s="1">
        <v>0.0</v>
      </c>
      <c r="DA64" s="1">
        <v>0.0</v>
      </c>
      <c r="DB64" s="1">
        <v>1.0</v>
      </c>
      <c r="DC64" s="1">
        <v>1.0</v>
      </c>
      <c r="DD64" s="1" t="s">
        <v>415</v>
      </c>
      <c r="DE64" s="1">
        <v>0.00250875173712837</v>
      </c>
      <c r="DF64" s="2" t="s">
        <v>416</v>
      </c>
    </row>
    <row r="65" ht="15.75" customHeight="1">
      <c r="A65" s="1" t="s">
        <v>417</v>
      </c>
      <c r="B65" s="1">
        <v>29.0</v>
      </c>
      <c r="C65" s="2" t="s">
        <v>317</v>
      </c>
      <c r="D65" s="2" t="s">
        <v>418</v>
      </c>
      <c r="E65" s="1">
        <v>2.265</v>
      </c>
      <c r="F65" s="1">
        <v>29019.0</v>
      </c>
      <c r="G65" s="1">
        <v>2.9019001202E10</v>
      </c>
      <c r="H65" s="1" t="s">
        <v>112</v>
      </c>
      <c r="I65" s="1" t="s">
        <v>113</v>
      </c>
      <c r="J65" s="1" t="s">
        <v>319</v>
      </c>
      <c r="K65" s="1" t="s">
        <v>419</v>
      </c>
      <c r="L65" s="1">
        <v>5223.0</v>
      </c>
      <c r="M65" s="1">
        <v>5299.0</v>
      </c>
      <c r="N65" s="1">
        <v>359.0</v>
      </c>
      <c r="O65" s="1">
        <v>2183.0</v>
      </c>
      <c r="P65" s="1">
        <v>2192.0</v>
      </c>
      <c r="Q65" s="1">
        <v>75.0</v>
      </c>
      <c r="R65" s="1">
        <v>2088.0</v>
      </c>
      <c r="S65" s="1">
        <v>662.0</v>
      </c>
      <c r="T65" s="1">
        <v>261.0</v>
      </c>
      <c r="U65" s="1">
        <v>52.0</v>
      </c>
      <c r="V65" s="1">
        <v>443.0</v>
      </c>
      <c r="W65" s="1">
        <v>39710.0</v>
      </c>
      <c r="X65" s="1">
        <v>6555.0</v>
      </c>
      <c r="Y65" s="1">
        <v>40.0</v>
      </c>
      <c r="Z65" s="1">
        <v>413.0</v>
      </c>
      <c r="AA65" s="1">
        <v>558.0</v>
      </c>
      <c r="AB65" s="1">
        <v>1266.0</v>
      </c>
      <c r="AC65" s="1">
        <v>136.0</v>
      </c>
      <c r="AD65" s="1">
        <v>787.0</v>
      </c>
      <c r="AE65" s="1">
        <v>114.0</v>
      </c>
      <c r="AF65" s="1">
        <v>405.0</v>
      </c>
      <c r="AG65" s="1">
        <v>199.0</v>
      </c>
      <c r="AH65" s="1">
        <v>105.0</v>
      </c>
      <c r="AI65" s="1">
        <v>0.0</v>
      </c>
      <c r="AJ65" s="1">
        <v>114.0</v>
      </c>
      <c r="AK65" s="1">
        <v>0.0</v>
      </c>
      <c r="AL65" s="1">
        <v>161.0</v>
      </c>
      <c r="AM65" s="1">
        <v>67.0</v>
      </c>
      <c r="AN65" s="1">
        <v>125.0</v>
      </c>
      <c r="AO65" s="1">
        <v>1.0</v>
      </c>
      <c r="AP65" s="1">
        <v>0.124929</v>
      </c>
      <c r="AQ65" s="1">
        <v>0.048521</v>
      </c>
      <c r="AR65" s="1">
        <v>0.018525</v>
      </c>
      <c r="AS65" s="1">
        <v>0.157801</v>
      </c>
      <c r="AT65" s="1">
        <v>39710.0</v>
      </c>
      <c r="AU65" s="1">
        <v>6555.0</v>
      </c>
      <c r="AV65" s="1">
        <v>0.011574</v>
      </c>
      <c r="AW65" s="1">
        <v>0.119498</v>
      </c>
      <c r="AX65" s="1">
        <v>0.106835</v>
      </c>
      <c r="AY65" s="1">
        <v>0.242389</v>
      </c>
      <c r="AZ65" s="1">
        <v>0.06513409</v>
      </c>
      <c r="BA65" s="1">
        <v>0.150679</v>
      </c>
      <c r="BB65" s="1">
        <v>0.022511</v>
      </c>
      <c r="BC65" s="1">
        <v>0.079961</v>
      </c>
      <c r="BD65" s="1">
        <v>0.090784</v>
      </c>
      <c r="BE65" s="1">
        <v>0.0478</v>
      </c>
      <c r="BF65" s="1">
        <v>0.0</v>
      </c>
      <c r="BG65" s="1">
        <v>0.052007</v>
      </c>
      <c r="BH65" s="1">
        <v>0.0</v>
      </c>
      <c r="BI65" s="1">
        <v>0.080782</v>
      </c>
      <c r="BJ65" s="1">
        <v>0.033617</v>
      </c>
      <c r="BK65" s="1">
        <v>0.062681</v>
      </c>
      <c r="BL65" s="1">
        <v>1.91E-4</v>
      </c>
      <c r="BM65" s="1">
        <v>0.474</v>
      </c>
      <c r="BN65" s="1">
        <v>0.024</v>
      </c>
      <c r="BO65" s="1">
        <v>0.0664</v>
      </c>
      <c r="BP65" s="1">
        <v>0.02</v>
      </c>
      <c r="BQ65" s="1">
        <v>0.5844</v>
      </c>
      <c r="BR65" s="1">
        <v>0.0888</v>
      </c>
      <c r="BS65" s="1">
        <v>0.248</v>
      </c>
      <c r="BT65" s="1">
        <v>0.518</v>
      </c>
      <c r="BU65" s="1">
        <v>0.174</v>
      </c>
      <c r="BV65" s="1">
        <v>0.94</v>
      </c>
      <c r="BW65" s="1">
        <v>0.098</v>
      </c>
      <c r="BX65" s="1">
        <v>0.625</v>
      </c>
      <c r="BY65" s="1">
        <v>0.872</v>
      </c>
      <c r="BZ65" s="1">
        <v>1.497</v>
      </c>
      <c r="CA65" s="1">
        <v>0.823</v>
      </c>
      <c r="CB65" s="1">
        <v>0.749</v>
      </c>
      <c r="CC65" s="1">
        <v>0.0</v>
      </c>
      <c r="CD65" s="1">
        <v>0.0</v>
      </c>
      <c r="CE65" s="1">
        <v>0.32</v>
      </c>
      <c r="CF65" s="1">
        <v>0.346</v>
      </c>
      <c r="CG65" s="1">
        <v>1.415</v>
      </c>
      <c r="CH65" s="1">
        <v>0.153</v>
      </c>
      <c r="CI65" s="1">
        <v>4.4364</v>
      </c>
      <c r="CJ65" s="1">
        <v>0.1264</v>
      </c>
      <c r="CK65" s="1">
        <v>0.0</v>
      </c>
      <c r="CL65" s="1">
        <v>0.0</v>
      </c>
      <c r="CM65" s="1">
        <v>0.0</v>
      </c>
      <c r="CN65" s="1">
        <v>0.0</v>
      </c>
      <c r="CO65" s="1">
        <v>0.0</v>
      </c>
      <c r="CP65" s="1">
        <v>0.0</v>
      </c>
      <c r="CQ65" s="1">
        <v>0.0</v>
      </c>
      <c r="CR65" s="1">
        <v>0.0</v>
      </c>
      <c r="CS65" s="1">
        <v>0.0</v>
      </c>
      <c r="CT65" s="1">
        <v>0.0</v>
      </c>
      <c r="CU65" s="1">
        <v>0.0</v>
      </c>
      <c r="CV65" s="1">
        <v>0.0</v>
      </c>
      <c r="CW65" s="1">
        <v>0.0</v>
      </c>
      <c r="CX65" s="1">
        <v>0.0</v>
      </c>
      <c r="CY65" s="1">
        <v>0.0</v>
      </c>
      <c r="CZ65" s="1">
        <v>0.0</v>
      </c>
      <c r="DA65" s="1">
        <v>0.0</v>
      </c>
      <c r="DB65" s="1">
        <v>0.0</v>
      </c>
      <c r="DC65" s="1">
        <v>0.0</v>
      </c>
      <c r="DD65" s="1" t="s">
        <v>420</v>
      </c>
      <c r="DE65" s="1">
        <v>6.23433914608058E-4</v>
      </c>
      <c r="DF65" s="2" t="s">
        <v>421</v>
      </c>
    </row>
    <row r="66" ht="15.75" customHeight="1">
      <c r="A66" s="1" t="s">
        <v>422</v>
      </c>
      <c r="B66" s="1">
        <v>29.0</v>
      </c>
      <c r="C66" s="2" t="s">
        <v>317</v>
      </c>
      <c r="D66" s="2" t="s">
        <v>423</v>
      </c>
      <c r="E66" s="1">
        <v>2.069</v>
      </c>
      <c r="F66" s="1">
        <v>29019.0</v>
      </c>
      <c r="G66" s="1">
        <v>2.90190013E10</v>
      </c>
      <c r="H66" s="1" t="s">
        <v>112</v>
      </c>
      <c r="I66" s="1" t="s">
        <v>113</v>
      </c>
      <c r="J66" s="1" t="s">
        <v>319</v>
      </c>
      <c r="K66" s="1" t="s">
        <v>424</v>
      </c>
      <c r="L66" s="1">
        <v>3836.0</v>
      </c>
      <c r="M66" s="1">
        <v>3318.0</v>
      </c>
      <c r="N66" s="1">
        <v>397.0</v>
      </c>
      <c r="O66" s="1">
        <v>2290.0</v>
      </c>
      <c r="P66" s="1">
        <v>2294.0</v>
      </c>
      <c r="Q66" s="1">
        <v>65.0</v>
      </c>
      <c r="R66" s="1">
        <v>2088.0</v>
      </c>
      <c r="S66" s="1">
        <v>696.0</v>
      </c>
      <c r="T66" s="1">
        <v>247.0</v>
      </c>
      <c r="U66" s="1">
        <v>149.0</v>
      </c>
      <c r="V66" s="1">
        <v>510.0</v>
      </c>
      <c r="W66" s="1">
        <v>27263.0</v>
      </c>
      <c r="X66" s="1">
        <v>4919.0</v>
      </c>
      <c r="Y66" s="1">
        <v>154.0</v>
      </c>
      <c r="Z66" s="1">
        <v>371.0</v>
      </c>
      <c r="AA66" s="1">
        <v>357.0</v>
      </c>
      <c r="AB66" s="1">
        <v>790.0</v>
      </c>
      <c r="AC66" s="1">
        <v>249.0</v>
      </c>
      <c r="AD66" s="1">
        <v>1350.0</v>
      </c>
      <c r="AE66" s="1">
        <v>125.0</v>
      </c>
      <c r="AF66" s="1">
        <v>388.0</v>
      </c>
      <c r="AG66" s="1">
        <v>1044.0</v>
      </c>
      <c r="AH66" s="1">
        <v>202.0</v>
      </c>
      <c r="AI66" s="1">
        <v>0.0</v>
      </c>
      <c r="AJ66" s="1">
        <v>114.0</v>
      </c>
      <c r="AK66" s="1">
        <v>9.0</v>
      </c>
      <c r="AL66" s="1">
        <v>115.0</v>
      </c>
      <c r="AM66" s="1">
        <v>207.0</v>
      </c>
      <c r="AN66" s="1">
        <v>86.0</v>
      </c>
      <c r="AO66" s="1">
        <v>2.0</v>
      </c>
      <c r="AP66" s="1">
        <v>0.209764</v>
      </c>
      <c r="AQ66" s="1">
        <v>0.070083</v>
      </c>
      <c r="AR66" s="1">
        <v>0.069985</v>
      </c>
      <c r="AS66" s="1">
        <v>0.239204</v>
      </c>
      <c r="AT66" s="1">
        <v>27263.0</v>
      </c>
      <c r="AU66" s="1">
        <v>4919.0</v>
      </c>
      <c r="AV66" s="1">
        <v>0.079422</v>
      </c>
      <c r="AW66" s="1">
        <v>0.191068</v>
      </c>
      <c r="AX66" s="1">
        <v>0.093065</v>
      </c>
      <c r="AY66" s="1">
        <v>0.205943</v>
      </c>
      <c r="AZ66" s="1">
        <v>0.11925287</v>
      </c>
      <c r="BA66" s="1">
        <v>0.351929</v>
      </c>
      <c r="BB66" s="1">
        <v>0.039619</v>
      </c>
      <c r="BC66" s="1">
        <v>0.122886</v>
      </c>
      <c r="BD66" s="1">
        <v>0.4551</v>
      </c>
      <c r="BE66" s="1">
        <v>0.087106</v>
      </c>
      <c r="BF66" s="1">
        <v>0.0</v>
      </c>
      <c r="BG66" s="1">
        <v>0.049694</v>
      </c>
      <c r="BH66" s="1">
        <v>0.004495</v>
      </c>
      <c r="BI66" s="1">
        <v>0.057441</v>
      </c>
      <c r="BJ66" s="1">
        <v>0.103396</v>
      </c>
      <c r="BK66" s="1">
        <v>0.04228</v>
      </c>
      <c r="BL66" s="1">
        <v>5.21E-4</v>
      </c>
      <c r="BM66" s="1">
        <v>0.751</v>
      </c>
      <c r="BN66" s="1">
        <v>0.515</v>
      </c>
      <c r="BO66" s="1">
        <v>0.2744</v>
      </c>
      <c r="BP66" s="1">
        <v>0.244</v>
      </c>
      <c r="BQ66" s="1">
        <v>1.7844</v>
      </c>
      <c r="BR66" s="1">
        <v>0.426</v>
      </c>
      <c r="BS66" s="1">
        <v>0.175</v>
      </c>
      <c r="BT66" s="1">
        <v>0.22</v>
      </c>
      <c r="BU66" s="1">
        <v>0.665</v>
      </c>
      <c r="BV66" s="1">
        <v>1.06</v>
      </c>
      <c r="BW66" s="1">
        <v>0.141</v>
      </c>
      <c r="BX66" s="1">
        <v>0.82</v>
      </c>
      <c r="BY66" s="1">
        <v>0.945</v>
      </c>
      <c r="BZ66" s="1">
        <v>1.765</v>
      </c>
      <c r="CA66" s="1">
        <v>0.949</v>
      </c>
      <c r="CB66" s="1">
        <v>0.976</v>
      </c>
      <c r="CC66" s="1">
        <v>0.0</v>
      </c>
      <c r="CD66" s="1">
        <v>0.322</v>
      </c>
      <c r="CE66" s="1">
        <v>0.764</v>
      </c>
      <c r="CF66" s="1">
        <v>0.371</v>
      </c>
      <c r="CG66" s="1">
        <v>2.433</v>
      </c>
      <c r="CH66" s="1">
        <v>0.534</v>
      </c>
      <c r="CI66" s="1">
        <v>7.0424</v>
      </c>
      <c r="CJ66" s="1">
        <v>0.5552</v>
      </c>
      <c r="CK66" s="1">
        <v>0.0</v>
      </c>
      <c r="CL66" s="1">
        <v>0.0</v>
      </c>
      <c r="CM66" s="1">
        <v>0.0</v>
      </c>
      <c r="CN66" s="1">
        <v>0.0</v>
      </c>
      <c r="CO66" s="1">
        <v>0.0</v>
      </c>
      <c r="CP66" s="1">
        <v>0.0</v>
      </c>
      <c r="CQ66" s="1">
        <v>0.0</v>
      </c>
      <c r="CR66" s="1">
        <v>0.0</v>
      </c>
      <c r="CS66" s="1">
        <v>0.0</v>
      </c>
      <c r="CT66" s="1">
        <v>0.0</v>
      </c>
      <c r="CU66" s="1">
        <v>1.0</v>
      </c>
      <c r="CV66" s="1">
        <v>1.0</v>
      </c>
      <c r="CW66" s="1">
        <v>1.0</v>
      </c>
      <c r="CX66" s="1">
        <v>0.0</v>
      </c>
      <c r="CY66" s="1">
        <v>0.0</v>
      </c>
      <c r="CZ66" s="1">
        <v>0.0</v>
      </c>
      <c r="DA66" s="1">
        <v>0.0</v>
      </c>
      <c r="DB66" s="1">
        <v>1.0</v>
      </c>
      <c r="DC66" s="1">
        <v>2.0</v>
      </c>
      <c r="DD66" s="1" t="s">
        <v>425</v>
      </c>
      <c r="DE66" s="1">
        <v>5.59762527699787E-4</v>
      </c>
      <c r="DF66" s="2" t="s">
        <v>426</v>
      </c>
    </row>
    <row r="67" ht="15.75" customHeight="1">
      <c r="A67" s="1" t="s">
        <v>427</v>
      </c>
      <c r="B67" s="1">
        <v>29.0</v>
      </c>
      <c r="C67" s="2" t="s">
        <v>317</v>
      </c>
      <c r="D67" s="2" t="s">
        <v>428</v>
      </c>
      <c r="E67" s="1">
        <v>11.834</v>
      </c>
      <c r="F67" s="1">
        <v>29019.0</v>
      </c>
      <c r="G67" s="1">
        <v>2.90190014E10</v>
      </c>
      <c r="H67" s="1" t="s">
        <v>112</v>
      </c>
      <c r="I67" s="1" t="s">
        <v>113</v>
      </c>
      <c r="J67" s="1" t="s">
        <v>319</v>
      </c>
      <c r="K67" s="1" t="s">
        <v>429</v>
      </c>
      <c r="L67" s="1">
        <v>11433.0</v>
      </c>
      <c r="M67" s="1">
        <v>11027.0</v>
      </c>
      <c r="N67" s="1">
        <v>550.0</v>
      </c>
      <c r="O67" s="1">
        <v>4780.0</v>
      </c>
      <c r="P67" s="1">
        <v>4693.0</v>
      </c>
      <c r="Q67" s="1">
        <v>142.0</v>
      </c>
      <c r="R67" s="1">
        <v>4433.0</v>
      </c>
      <c r="S67" s="1">
        <v>1430.0</v>
      </c>
      <c r="T67" s="1">
        <v>352.0</v>
      </c>
      <c r="U67" s="1">
        <v>334.0</v>
      </c>
      <c r="V67" s="1">
        <v>415.0</v>
      </c>
      <c r="W67" s="1">
        <v>23581.0</v>
      </c>
      <c r="X67" s="1">
        <v>2009.0</v>
      </c>
      <c r="Y67" s="1">
        <v>448.0</v>
      </c>
      <c r="Z67" s="1">
        <v>286.0</v>
      </c>
      <c r="AA67" s="1">
        <v>1113.0</v>
      </c>
      <c r="AB67" s="1">
        <v>2804.0</v>
      </c>
      <c r="AC67" s="1">
        <v>545.0</v>
      </c>
      <c r="AD67" s="1">
        <v>2712.0</v>
      </c>
      <c r="AE67" s="1">
        <v>272.0</v>
      </c>
      <c r="AF67" s="1">
        <v>399.0</v>
      </c>
      <c r="AG67" s="1">
        <v>194.0</v>
      </c>
      <c r="AH67" s="1">
        <v>168.0</v>
      </c>
      <c r="AI67" s="1">
        <v>143.0</v>
      </c>
      <c r="AJ67" s="1">
        <v>107.0</v>
      </c>
      <c r="AK67" s="1">
        <v>110.0</v>
      </c>
      <c r="AL67" s="1">
        <v>136.0</v>
      </c>
      <c r="AM67" s="1">
        <v>346.0</v>
      </c>
      <c r="AN67" s="1">
        <v>140.0</v>
      </c>
      <c r="AO67" s="1">
        <v>114.0</v>
      </c>
      <c r="AP67" s="1">
        <v>0.131385</v>
      </c>
      <c r="AQ67" s="1">
        <v>0.031611</v>
      </c>
      <c r="AR67" s="1">
        <v>0.054415</v>
      </c>
      <c r="AS67" s="1">
        <v>0.06744</v>
      </c>
      <c r="AT67" s="1">
        <v>23581.0</v>
      </c>
      <c r="AU67" s="1">
        <v>2009.0</v>
      </c>
      <c r="AV67" s="1">
        <v>0.068891</v>
      </c>
      <c r="AW67" s="1">
        <v>0.043837</v>
      </c>
      <c r="AX67" s="1">
        <v>0.097349</v>
      </c>
      <c r="AY67" s="1">
        <v>0.245254</v>
      </c>
      <c r="AZ67" s="1">
        <v>0.12294157</v>
      </c>
      <c r="BA67" s="1">
        <v>0.237208</v>
      </c>
      <c r="BB67" s="1">
        <v>0.027273</v>
      </c>
      <c r="BC67" s="1">
        <v>0.039983</v>
      </c>
      <c r="BD67" s="1">
        <v>0.041338</v>
      </c>
      <c r="BE67" s="1">
        <v>0.035776</v>
      </c>
      <c r="BF67" s="1">
        <v>0.03047</v>
      </c>
      <c r="BG67" s="1">
        <v>0.022781</v>
      </c>
      <c r="BH67" s="1">
        <v>0.025217</v>
      </c>
      <c r="BI67" s="1">
        <v>0.031159</v>
      </c>
      <c r="BJ67" s="1">
        <v>0.079321</v>
      </c>
      <c r="BK67" s="1">
        <v>0.031912</v>
      </c>
      <c r="BL67" s="1">
        <v>0.009971</v>
      </c>
      <c r="BM67" s="1">
        <v>0.503</v>
      </c>
      <c r="BN67" s="1">
        <v>0.34</v>
      </c>
      <c r="BO67" s="1">
        <v>0.4217</v>
      </c>
      <c r="BP67" s="1">
        <v>0.198</v>
      </c>
      <c r="BQ67" s="1">
        <v>1.4627</v>
      </c>
      <c r="BR67" s="1">
        <v>0.3307</v>
      </c>
      <c r="BS67" s="1">
        <v>0.194</v>
      </c>
      <c r="BT67" s="1">
        <v>0.549</v>
      </c>
      <c r="BU67" s="1">
        <v>0.684</v>
      </c>
      <c r="BV67" s="1">
        <v>1.427</v>
      </c>
      <c r="BW67" s="1">
        <v>0.413</v>
      </c>
      <c r="BX67" s="1">
        <v>0.749</v>
      </c>
      <c r="BY67" s="1">
        <v>0.903</v>
      </c>
      <c r="BZ67" s="1">
        <v>1.652</v>
      </c>
      <c r="CA67" s="1">
        <v>0.898</v>
      </c>
      <c r="CB67" s="1">
        <v>0.617</v>
      </c>
      <c r="CC67" s="1">
        <v>0.55</v>
      </c>
      <c r="CD67" s="1">
        <v>0.76</v>
      </c>
      <c r="CE67" s="1">
        <v>0.67</v>
      </c>
      <c r="CF67" s="1">
        <v>0.577</v>
      </c>
      <c r="CG67" s="1">
        <v>3.174</v>
      </c>
      <c r="CH67" s="1">
        <v>0.838</v>
      </c>
      <c r="CI67" s="1">
        <v>7.7157</v>
      </c>
      <c r="CJ67" s="1">
        <v>0.6729</v>
      </c>
      <c r="CK67" s="1">
        <v>0.0</v>
      </c>
      <c r="CL67" s="1">
        <v>0.0</v>
      </c>
      <c r="CM67" s="1">
        <v>0.0</v>
      </c>
      <c r="CN67" s="1">
        <v>0.0</v>
      </c>
      <c r="CO67" s="1">
        <v>0.0</v>
      </c>
      <c r="CP67" s="1">
        <v>0.0</v>
      </c>
      <c r="CQ67" s="1">
        <v>0.0</v>
      </c>
      <c r="CR67" s="1">
        <v>0.0</v>
      </c>
      <c r="CS67" s="1">
        <v>0.0</v>
      </c>
      <c r="CT67" s="1">
        <v>0.0</v>
      </c>
      <c r="CU67" s="1">
        <v>1.0</v>
      </c>
      <c r="CV67" s="1">
        <v>1.0</v>
      </c>
      <c r="CW67" s="1">
        <v>0.0</v>
      </c>
      <c r="CX67" s="1">
        <v>0.0</v>
      </c>
      <c r="CY67" s="1">
        <v>0.0</v>
      </c>
      <c r="CZ67" s="1">
        <v>0.0</v>
      </c>
      <c r="DA67" s="1">
        <v>0.0</v>
      </c>
      <c r="DB67" s="1">
        <v>0.0</v>
      </c>
      <c r="DC67" s="1">
        <v>1.0</v>
      </c>
      <c r="DD67" s="1" t="s">
        <v>430</v>
      </c>
      <c r="DE67" s="1">
        <v>0.00320642516353149</v>
      </c>
      <c r="DF67" s="2" t="s">
        <v>431</v>
      </c>
    </row>
    <row r="68" ht="15.75" customHeight="1">
      <c r="A68" s="1" t="s">
        <v>432</v>
      </c>
      <c r="B68" s="1">
        <v>29.0</v>
      </c>
      <c r="C68" s="2" t="s">
        <v>317</v>
      </c>
      <c r="D68" s="2" t="s">
        <v>433</v>
      </c>
      <c r="E68" s="1">
        <v>8.151</v>
      </c>
      <c r="F68" s="1">
        <v>29019.0</v>
      </c>
      <c r="G68" s="1">
        <v>2.9019001502E10</v>
      </c>
      <c r="H68" s="1" t="s">
        <v>112</v>
      </c>
      <c r="I68" s="1" t="s">
        <v>113</v>
      </c>
      <c r="J68" s="1" t="s">
        <v>319</v>
      </c>
      <c r="K68" s="1" t="s">
        <v>434</v>
      </c>
      <c r="L68" s="1">
        <v>6356.0</v>
      </c>
      <c r="M68" s="1">
        <v>6391.0</v>
      </c>
      <c r="N68" s="1">
        <v>499.0</v>
      </c>
      <c r="O68" s="1">
        <v>3162.0</v>
      </c>
      <c r="P68" s="1">
        <v>3254.0</v>
      </c>
      <c r="Q68" s="1">
        <v>144.0</v>
      </c>
      <c r="R68" s="1">
        <v>2710.0</v>
      </c>
      <c r="S68" s="1">
        <v>1486.0</v>
      </c>
      <c r="T68" s="1">
        <v>454.0</v>
      </c>
      <c r="U68" s="1">
        <v>330.0</v>
      </c>
      <c r="V68" s="1">
        <v>395.0</v>
      </c>
      <c r="W68" s="1">
        <v>18808.0</v>
      </c>
      <c r="X68" s="1">
        <v>2781.0</v>
      </c>
      <c r="Y68" s="1">
        <v>571.0</v>
      </c>
      <c r="Z68" s="1">
        <v>292.0</v>
      </c>
      <c r="AA68" s="1">
        <v>539.0</v>
      </c>
      <c r="AB68" s="1">
        <v>1581.0</v>
      </c>
      <c r="AC68" s="1">
        <v>511.0</v>
      </c>
      <c r="AD68" s="1">
        <v>2266.0</v>
      </c>
      <c r="AE68" s="1">
        <v>107.0</v>
      </c>
      <c r="AF68" s="1">
        <v>421.0</v>
      </c>
      <c r="AG68" s="1">
        <v>212.0</v>
      </c>
      <c r="AH68" s="1">
        <v>150.0</v>
      </c>
      <c r="AI68" s="1">
        <v>276.0</v>
      </c>
      <c r="AJ68" s="1">
        <v>122.0</v>
      </c>
      <c r="AK68" s="1">
        <v>33.0</v>
      </c>
      <c r="AL68" s="1">
        <v>125.0</v>
      </c>
      <c r="AM68" s="1">
        <v>456.0</v>
      </c>
      <c r="AN68" s="1">
        <v>206.0</v>
      </c>
      <c r="AO68" s="1">
        <v>89.0</v>
      </c>
      <c r="AP68" s="1">
        <v>0.241665</v>
      </c>
      <c r="AQ68" s="1">
        <v>0.071495</v>
      </c>
      <c r="AR68" s="1">
        <v>0.100151</v>
      </c>
      <c r="AS68" s="1">
        <v>0.119126</v>
      </c>
      <c r="AT68" s="1">
        <v>18808.0</v>
      </c>
      <c r="AU68" s="1">
        <v>2781.0</v>
      </c>
      <c r="AV68" s="1">
        <v>0.149868</v>
      </c>
      <c r="AW68" s="1">
        <v>0.075291</v>
      </c>
      <c r="AX68" s="1">
        <v>0.084801</v>
      </c>
      <c r="AY68" s="1">
        <v>0.248741</v>
      </c>
      <c r="AZ68" s="1">
        <v>0.18856088</v>
      </c>
      <c r="BA68" s="1">
        <v>0.356513</v>
      </c>
      <c r="BB68" s="1">
        <v>0.018602</v>
      </c>
      <c r="BC68" s="1">
        <v>0.073178</v>
      </c>
      <c r="BD68" s="1">
        <v>0.06515</v>
      </c>
      <c r="BE68" s="1">
        <v>0.046006</v>
      </c>
      <c r="BF68" s="1">
        <v>0.084818</v>
      </c>
      <c r="BG68" s="1">
        <v>0.037303</v>
      </c>
      <c r="BH68" s="1">
        <v>0.010945</v>
      </c>
      <c r="BI68" s="1">
        <v>0.041454</v>
      </c>
      <c r="BJ68" s="1">
        <v>0.151243</v>
      </c>
      <c r="BK68" s="1">
        <v>0.06779</v>
      </c>
      <c r="BL68" s="1">
        <v>0.014002</v>
      </c>
      <c r="BM68" s="1">
        <v>0.812</v>
      </c>
      <c r="BN68" s="1">
        <v>0.73</v>
      </c>
      <c r="BO68" s="1">
        <v>0.683</v>
      </c>
      <c r="BP68" s="1">
        <v>0.566</v>
      </c>
      <c r="BQ68" s="1">
        <v>2.791</v>
      </c>
      <c r="BR68" s="1">
        <v>0.748</v>
      </c>
      <c r="BS68" s="1">
        <v>0.137</v>
      </c>
      <c r="BT68" s="1">
        <v>0.584</v>
      </c>
      <c r="BU68" s="1">
        <v>0.882</v>
      </c>
      <c r="BV68" s="1">
        <v>1.603</v>
      </c>
      <c r="BW68" s="1">
        <v>0.568</v>
      </c>
      <c r="BX68" s="1">
        <v>0.821</v>
      </c>
      <c r="BY68" s="1">
        <v>0.848</v>
      </c>
      <c r="BZ68" s="1">
        <v>1.669</v>
      </c>
      <c r="CA68" s="1">
        <v>0.907</v>
      </c>
      <c r="CB68" s="1">
        <v>0.705</v>
      </c>
      <c r="CC68" s="1">
        <v>0.685</v>
      </c>
      <c r="CD68" s="1">
        <v>0.498</v>
      </c>
      <c r="CE68" s="1">
        <v>0.859</v>
      </c>
      <c r="CF68" s="1">
        <v>0.635</v>
      </c>
      <c r="CG68" s="1">
        <v>3.382</v>
      </c>
      <c r="CH68" s="1">
        <v>0.907</v>
      </c>
      <c r="CI68" s="1">
        <v>9.445</v>
      </c>
      <c r="CJ68" s="1">
        <v>0.8982</v>
      </c>
      <c r="CK68" s="1">
        <v>0.0</v>
      </c>
      <c r="CL68" s="1">
        <v>0.0</v>
      </c>
      <c r="CM68" s="1">
        <v>0.0</v>
      </c>
      <c r="CN68" s="1">
        <v>0.0</v>
      </c>
      <c r="CO68" s="1">
        <v>0.0</v>
      </c>
      <c r="CP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>
        <v>0.0</v>
      </c>
      <c r="CV68" s="1">
        <v>0.0</v>
      </c>
      <c r="CW68" s="1">
        <v>0.0</v>
      </c>
      <c r="CX68" s="1">
        <v>0.0</v>
      </c>
      <c r="CY68" s="1">
        <v>0.0</v>
      </c>
      <c r="CZ68" s="1">
        <v>0.0</v>
      </c>
      <c r="DA68" s="1">
        <v>0.0</v>
      </c>
      <c r="DB68" s="1">
        <v>0.0</v>
      </c>
      <c r="DC68" s="1">
        <v>0.0</v>
      </c>
      <c r="DD68" s="1" t="s">
        <v>435</v>
      </c>
      <c r="DE68" s="1">
        <v>0.00219160931702699</v>
      </c>
      <c r="DF68" s="2" t="s">
        <v>436</v>
      </c>
    </row>
    <row r="69" ht="15.75" customHeight="1">
      <c r="A69" s="1" t="s">
        <v>437</v>
      </c>
      <c r="B69" s="1">
        <v>29.0</v>
      </c>
      <c r="C69" s="2" t="s">
        <v>317</v>
      </c>
      <c r="D69" s="2" t="s">
        <v>438</v>
      </c>
      <c r="E69" s="1">
        <v>6.09</v>
      </c>
      <c r="F69" s="1">
        <v>29019.0</v>
      </c>
      <c r="G69" s="1">
        <v>2.9019001503E10</v>
      </c>
      <c r="H69" s="1" t="s">
        <v>112</v>
      </c>
      <c r="I69" s="1" t="s">
        <v>113</v>
      </c>
      <c r="J69" s="1" t="s">
        <v>319</v>
      </c>
      <c r="K69" s="1" t="s">
        <v>439</v>
      </c>
      <c r="L69" s="1">
        <v>4023.0</v>
      </c>
      <c r="M69" s="1">
        <v>3330.0</v>
      </c>
      <c r="N69" s="1">
        <v>506.0</v>
      </c>
      <c r="O69" s="1">
        <v>1553.0</v>
      </c>
      <c r="P69" s="1">
        <v>1422.0</v>
      </c>
      <c r="Q69" s="1">
        <v>130.0</v>
      </c>
      <c r="R69" s="1">
        <v>1379.0</v>
      </c>
      <c r="S69" s="1">
        <v>836.0</v>
      </c>
      <c r="T69" s="1">
        <v>472.0</v>
      </c>
      <c r="U69" s="1">
        <v>89.0</v>
      </c>
      <c r="V69" s="1">
        <v>448.0</v>
      </c>
      <c r="W69" s="1">
        <v>16862.0</v>
      </c>
      <c r="X69" s="1">
        <v>2762.0</v>
      </c>
      <c r="Y69" s="1">
        <v>294.0</v>
      </c>
      <c r="Z69" s="1">
        <v>326.0</v>
      </c>
      <c r="AA69" s="1">
        <v>203.0</v>
      </c>
      <c r="AB69" s="1">
        <v>1122.0</v>
      </c>
      <c r="AC69" s="1">
        <v>269.0</v>
      </c>
      <c r="AD69" s="1">
        <v>1211.0</v>
      </c>
      <c r="AE69" s="1">
        <v>0.0</v>
      </c>
      <c r="AF69" s="1">
        <v>456.0</v>
      </c>
      <c r="AG69" s="1">
        <v>0.0</v>
      </c>
      <c r="AH69" s="1">
        <v>197.0</v>
      </c>
      <c r="AI69" s="1">
        <v>198.0</v>
      </c>
      <c r="AJ69" s="1">
        <v>101.0</v>
      </c>
      <c r="AK69" s="1">
        <v>76.0</v>
      </c>
      <c r="AL69" s="1">
        <v>143.0</v>
      </c>
      <c r="AM69" s="1">
        <v>39.0</v>
      </c>
      <c r="AN69" s="1">
        <v>128.0</v>
      </c>
      <c r="AO69" s="1">
        <v>274.0</v>
      </c>
      <c r="AP69" s="1">
        <v>0.273113</v>
      </c>
      <c r="AQ69" s="1">
        <v>0.148386</v>
      </c>
      <c r="AR69" s="1">
        <v>0.053453</v>
      </c>
      <c r="AS69" s="1">
        <v>0.268848</v>
      </c>
      <c r="AT69" s="1">
        <v>16862.0</v>
      </c>
      <c r="AU69" s="1">
        <v>2762.0</v>
      </c>
      <c r="AV69" s="1">
        <v>0.146487</v>
      </c>
      <c r="AW69" s="1">
        <v>0.161476</v>
      </c>
      <c r="AX69" s="1">
        <v>0.050459</v>
      </c>
      <c r="AY69" s="1">
        <v>0.278896</v>
      </c>
      <c r="AZ69" s="1">
        <v>0.19506889</v>
      </c>
      <c r="BA69" s="1">
        <v>0.301019</v>
      </c>
      <c r="BB69" s="1">
        <v>0.0</v>
      </c>
      <c r="BC69" s="1">
        <v>0.152559</v>
      </c>
      <c r="BD69" s="1">
        <v>0.0</v>
      </c>
      <c r="BE69" s="1">
        <v>0.138537</v>
      </c>
      <c r="BF69" s="1">
        <v>0.13924</v>
      </c>
      <c r="BG69" s="1">
        <v>0.069876</v>
      </c>
      <c r="BH69" s="1">
        <v>0.0625</v>
      </c>
      <c r="BI69" s="1">
        <v>0.117405</v>
      </c>
      <c r="BJ69" s="1">
        <v>0.032072</v>
      </c>
      <c r="BK69" s="1">
        <v>0.105206</v>
      </c>
      <c r="BL69" s="1">
        <v>0.068108</v>
      </c>
      <c r="BM69" s="1">
        <v>0.859</v>
      </c>
      <c r="BN69" s="1">
        <v>0.33</v>
      </c>
      <c r="BO69" s="1">
        <v>0.7964</v>
      </c>
      <c r="BP69" s="1">
        <v>0.551</v>
      </c>
      <c r="BQ69" s="1">
        <v>2.5364</v>
      </c>
      <c r="BR69" s="1">
        <v>0.678</v>
      </c>
      <c r="BS69" s="1">
        <v>0.023</v>
      </c>
      <c r="BT69" s="1">
        <v>0.843</v>
      </c>
      <c r="BU69" s="1">
        <v>0.892</v>
      </c>
      <c r="BV69" s="1">
        <v>1.758</v>
      </c>
      <c r="BW69" s="1">
        <v>0.689</v>
      </c>
      <c r="BX69" s="1">
        <v>0.789</v>
      </c>
      <c r="BY69" s="1">
        <v>0.0</v>
      </c>
      <c r="BZ69" s="1">
        <v>0.789</v>
      </c>
      <c r="CA69" s="1">
        <v>0.39</v>
      </c>
      <c r="CB69" s="1">
        <v>0.0</v>
      </c>
      <c r="CC69" s="1">
        <v>0.798</v>
      </c>
      <c r="CD69" s="1">
        <v>0.968</v>
      </c>
      <c r="CE69" s="1">
        <v>0.302</v>
      </c>
      <c r="CF69" s="1">
        <v>0.917</v>
      </c>
      <c r="CG69" s="1">
        <v>2.985</v>
      </c>
      <c r="CH69" s="1">
        <v>0.77</v>
      </c>
      <c r="CI69" s="1">
        <v>8.0684</v>
      </c>
      <c r="CJ69" s="1">
        <v>0.7249</v>
      </c>
      <c r="CK69" s="1">
        <v>0.0</v>
      </c>
      <c r="CL69" s="1">
        <v>0.0</v>
      </c>
      <c r="CM69" s="1">
        <v>0.0</v>
      </c>
      <c r="CN69" s="1">
        <v>0.0</v>
      </c>
      <c r="CO69" s="1">
        <v>0.0</v>
      </c>
      <c r="CP69" s="1">
        <v>0.0</v>
      </c>
      <c r="CQ69" s="1">
        <v>0.0</v>
      </c>
      <c r="CR69" s="1">
        <v>0.0</v>
      </c>
      <c r="CS69" s="1">
        <v>0.0</v>
      </c>
      <c r="CT69" s="1">
        <v>0.0</v>
      </c>
      <c r="CU69" s="1">
        <v>0.0</v>
      </c>
      <c r="CV69" s="1">
        <v>0.0</v>
      </c>
      <c r="CW69" s="1">
        <v>0.0</v>
      </c>
      <c r="CX69" s="1">
        <v>0.0</v>
      </c>
      <c r="CY69" s="1">
        <v>1.0</v>
      </c>
      <c r="CZ69" s="1">
        <v>0.0</v>
      </c>
      <c r="DA69" s="1">
        <v>1.0</v>
      </c>
      <c r="DB69" s="1">
        <v>2.0</v>
      </c>
      <c r="DC69" s="1">
        <v>2.0</v>
      </c>
      <c r="DD69" s="1" t="s">
        <v>440</v>
      </c>
      <c r="DE69" s="1">
        <v>0.00164047429143923</v>
      </c>
      <c r="DF69" s="2" t="s">
        <v>441</v>
      </c>
    </row>
    <row r="70" ht="15.75" customHeight="1">
      <c r="A70" s="1" t="s">
        <v>442</v>
      </c>
      <c r="B70" s="1">
        <v>29.0</v>
      </c>
      <c r="C70" s="2" t="s">
        <v>317</v>
      </c>
      <c r="D70" s="2" t="s">
        <v>443</v>
      </c>
      <c r="E70" s="1">
        <v>3.651</v>
      </c>
      <c r="F70" s="1">
        <v>29019.0</v>
      </c>
      <c r="G70" s="1">
        <v>2.9019001504E10</v>
      </c>
      <c r="H70" s="1" t="s">
        <v>112</v>
      </c>
      <c r="I70" s="1" t="s">
        <v>113</v>
      </c>
      <c r="J70" s="1" t="s">
        <v>319</v>
      </c>
      <c r="K70" s="1" t="s">
        <v>444</v>
      </c>
      <c r="L70" s="1">
        <v>9106.0</v>
      </c>
      <c r="M70" s="1">
        <v>8690.0</v>
      </c>
      <c r="N70" s="1">
        <v>598.0</v>
      </c>
      <c r="O70" s="1">
        <v>3939.0</v>
      </c>
      <c r="P70" s="1">
        <v>3823.0</v>
      </c>
      <c r="Q70" s="1">
        <v>158.0</v>
      </c>
      <c r="R70" s="1">
        <v>3631.0</v>
      </c>
      <c r="S70" s="1">
        <v>1474.0</v>
      </c>
      <c r="T70" s="1">
        <v>446.0</v>
      </c>
      <c r="U70" s="1">
        <v>301.0</v>
      </c>
      <c r="V70" s="1">
        <v>383.0</v>
      </c>
      <c r="W70" s="1">
        <v>20998.0</v>
      </c>
      <c r="X70" s="1">
        <v>1627.0</v>
      </c>
      <c r="Y70" s="1">
        <v>536.0</v>
      </c>
      <c r="Z70" s="1">
        <v>319.0</v>
      </c>
      <c r="AA70" s="1">
        <v>673.0</v>
      </c>
      <c r="AB70" s="1">
        <v>2463.0</v>
      </c>
      <c r="AC70" s="1">
        <v>566.0</v>
      </c>
      <c r="AD70" s="1">
        <v>3043.0</v>
      </c>
      <c r="AE70" s="1">
        <v>202.0</v>
      </c>
      <c r="AF70" s="1">
        <v>334.0</v>
      </c>
      <c r="AG70" s="1">
        <v>110.0</v>
      </c>
      <c r="AH70" s="1">
        <v>180.0</v>
      </c>
      <c r="AI70" s="1">
        <v>454.0</v>
      </c>
      <c r="AJ70" s="1">
        <v>132.0</v>
      </c>
      <c r="AK70" s="1">
        <v>61.0</v>
      </c>
      <c r="AL70" s="1">
        <v>123.0</v>
      </c>
      <c r="AM70" s="1">
        <v>124.0</v>
      </c>
      <c r="AN70" s="1">
        <v>60.0</v>
      </c>
      <c r="AO70" s="1">
        <v>11.0</v>
      </c>
      <c r="AP70" s="1">
        <v>0.16962</v>
      </c>
      <c r="AQ70" s="1">
        <v>0.049978</v>
      </c>
      <c r="AR70" s="1">
        <v>0.061617</v>
      </c>
      <c r="AS70" s="1">
        <v>0.078153</v>
      </c>
      <c r="AT70" s="1">
        <v>20998.0</v>
      </c>
      <c r="AU70" s="1">
        <v>1627.0</v>
      </c>
      <c r="AV70" s="1">
        <v>0.10802</v>
      </c>
      <c r="AW70" s="1">
        <v>0.063787</v>
      </c>
      <c r="AX70" s="1">
        <v>0.073907</v>
      </c>
      <c r="AY70" s="1">
        <v>0.270481</v>
      </c>
      <c r="AZ70" s="1">
        <v>0.15587992</v>
      </c>
      <c r="BA70" s="1">
        <v>0.334175</v>
      </c>
      <c r="BB70" s="1">
        <v>0.02458</v>
      </c>
      <c r="BC70" s="1">
        <v>0.040606</v>
      </c>
      <c r="BD70" s="1">
        <v>0.028773</v>
      </c>
      <c r="BE70" s="1">
        <v>0.047068</v>
      </c>
      <c r="BF70" s="1">
        <v>0.118754</v>
      </c>
      <c r="BG70" s="1">
        <v>0.034177</v>
      </c>
      <c r="BH70" s="1">
        <v>0.017173</v>
      </c>
      <c r="BI70" s="1">
        <v>0.034615</v>
      </c>
      <c r="BJ70" s="1">
        <v>0.034909</v>
      </c>
      <c r="BK70" s="1">
        <v>0.016785</v>
      </c>
      <c r="BL70" s="1">
        <v>0.001207</v>
      </c>
      <c r="BM70" s="1">
        <v>0.641</v>
      </c>
      <c r="BN70" s="1">
        <v>0.433</v>
      </c>
      <c r="BO70" s="1">
        <v>0.5545</v>
      </c>
      <c r="BP70" s="1">
        <v>0.374</v>
      </c>
      <c r="BQ70" s="1">
        <v>2.0025</v>
      </c>
      <c r="BR70" s="1">
        <v>0.496</v>
      </c>
      <c r="BS70" s="1">
        <v>0.098</v>
      </c>
      <c r="BT70" s="1">
        <v>0.793</v>
      </c>
      <c r="BU70" s="1">
        <v>0.815</v>
      </c>
      <c r="BV70" s="1">
        <v>1.706</v>
      </c>
      <c r="BW70" s="1">
        <v>0.643</v>
      </c>
      <c r="BX70" s="1">
        <v>0.81</v>
      </c>
      <c r="BY70" s="1">
        <v>0.889</v>
      </c>
      <c r="BZ70" s="1">
        <v>1.699</v>
      </c>
      <c r="CA70" s="1">
        <v>0.923</v>
      </c>
      <c r="CB70" s="1">
        <v>0.541</v>
      </c>
      <c r="CC70" s="1">
        <v>0.757</v>
      </c>
      <c r="CD70" s="1">
        <v>0.632</v>
      </c>
      <c r="CE70" s="1">
        <v>0.333</v>
      </c>
      <c r="CF70" s="1">
        <v>0.412</v>
      </c>
      <c r="CG70" s="1">
        <v>2.675</v>
      </c>
      <c r="CH70" s="1">
        <v>0.635</v>
      </c>
      <c r="CI70" s="1">
        <v>8.0825</v>
      </c>
      <c r="CJ70" s="1">
        <v>0.7292</v>
      </c>
      <c r="CK70" s="1">
        <v>0.0</v>
      </c>
      <c r="CL70" s="1">
        <v>0.0</v>
      </c>
      <c r="CM70" s="1">
        <v>0.0</v>
      </c>
      <c r="CN70" s="1">
        <v>0.0</v>
      </c>
      <c r="CO70" s="1">
        <v>0.0</v>
      </c>
      <c r="CP70" s="1">
        <v>0.0</v>
      </c>
      <c r="CQ70" s="1">
        <v>0.0</v>
      </c>
      <c r="CR70" s="1">
        <v>0.0</v>
      </c>
      <c r="CS70" s="1">
        <v>0.0</v>
      </c>
      <c r="CT70" s="1">
        <v>0.0</v>
      </c>
      <c r="CU70" s="1">
        <v>0.0</v>
      </c>
      <c r="CV70" s="1">
        <v>0.0</v>
      </c>
      <c r="CW70" s="1">
        <v>0.0</v>
      </c>
      <c r="CX70" s="1">
        <v>0.0</v>
      </c>
      <c r="CY70" s="1">
        <v>0.0</v>
      </c>
      <c r="CZ70" s="1">
        <v>0.0</v>
      </c>
      <c r="DA70" s="1">
        <v>0.0</v>
      </c>
      <c r="DB70" s="1">
        <v>0.0</v>
      </c>
      <c r="DC70" s="1">
        <v>0.0</v>
      </c>
      <c r="DD70" s="1" t="s">
        <v>445</v>
      </c>
      <c r="DE70" s="1">
        <v>9.82534655055249E-4</v>
      </c>
      <c r="DF70" s="2" t="s">
        <v>446</v>
      </c>
    </row>
    <row r="71" ht="15.75" customHeight="1">
      <c r="A71" s="1" t="s">
        <v>447</v>
      </c>
      <c r="B71" s="1">
        <v>29.0</v>
      </c>
      <c r="C71" s="2" t="s">
        <v>317</v>
      </c>
      <c r="D71" s="2" t="s">
        <v>448</v>
      </c>
      <c r="E71" s="1">
        <v>19.562</v>
      </c>
      <c r="F71" s="1">
        <v>29019.0</v>
      </c>
      <c r="G71" s="1">
        <v>2.9019001601E10</v>
      </c>
      <c r="H71" s="1" t="s">
        <v>112</v>
      </c>
      <c r="I71" s="1" t="s">
        <v>113</v>
      </c>
      <c r="J71" s="1" t="s">
        <v>319</v>
      </c>
      <c r="K71" s="1" t="s">
        <v>449</v>
      </c>
      <c r="L71" s="1">
        <v>8052.0</v>
      </c>
      <c r="M71" s="1">
        <v>6639.0</v>
      </c>
      <c r="N71" s="1">
        <v>738.0</v>
      </c>
      <c r="O71" s="1">
        <v>3800.0</v>
      </c>
      <c r="P71" s="1">
        <v>3172.0</v>
      </c>
      <c r="Q71" s="1">
        <v>147.0</v>
      </c>
      <c r="R71" s="1">
        <v>3421.0</v>
      </c>
      <c r="S71" s="1">
        <v>932.0</v>
      </c>
      <c r="T71" s="1">
        <v>444.0</v>
      </c>
      <c r="U71" s="1">
        <v>121.0</v>
      </c>
      <c r="V71" s="1">
        <v>435.0</v>
      </c>
      <c r="W71" s="1">
        <v>25962.0</v>
      </c>
      <c r="X71" s="1">
        <v>3130.0</v>
      </c>
      <c r="Y71" s="1">
        <v>300.0</v>
      </c>
      <c r="Z71" s="1">
        <v>331.0</v>
      </c>
      <c r="AA71" s="1">
        <v>557.0</v>
      </c>
      <c r="AB71" s="1">
        <v>1918.0</v>
      </c>
      <c r="AC71" s="1">
        <v>407.0</v>
      </c>
      <c r="AD71" s="1">
        <v>1786.0</v>
      </c>
      <c r="AE71" s="1">
        <v>53.0</v>
      </c>
      <c r="AF71" s="1">
        <v>415.0</v>
      </c>
      <c r="AG71" s="1">
        <v>151.0</v>
      </c>
      <c r="AH71" s="1">
        <v>103.0</v>
      </c>
      <c r="AI71" s="1">
        <v>62.0</v>
      </c>
      <c r="AJ71" s="1">
        <v>87.0</v>
      </c>
      <c r="AK71" s="1">
        <v>87.0</v>
      </c>
      <c r="AL71" s="1">
        <v>155.0</v>
      </c>
      <c r="AM71" s="1">
        <v>50.0</v>
      </c>
      <c r="AN71" s="1">
        <v>41.0</v>
      </c>
      <c r="AO71" s="1">
        <v>5.0</v>
      </c>
      <c r="AP71" s="1">
        <v>0.140679</v>
      </c>
      <c r="AQ71" s="1">
        <v>0.06516</v>
      </c>
      <c r="AR71" s="1">
        <v>0.028857</v>
      </c>
      <c r="AS71" s="1">
        <v>0.103698</v>
      </c>
      <c r="AT71" s="1">
        <v>25962.0</v>
      </c>
      <c r="AU71" s="1">
        <v>3130.0</v>
      </c>
      <c r="AV71" s="1">
        <v>0.072886</v>
      </c>
      <c r="AW71" s="1">
        <v>0.080119</v>
      </c>
      <c r="AX71" s="1">
        <v>0.069175</v>
      </c>
      <c r="AY71" s="1">
        <v>0.238201</v>
      </c>
      <c r="AZ71" s="1">
        <v>0.11897106</v>
      </c>
      <c r="BA71" s="1">
        <v>0.221808</v>
      </c>
      <c r="BB71" s="1">
        <v>0.008631</v>
      </c>
      <c r="BC71" s="1">
        <v>0.067583</v>
      </c>
      <c r="BD71" s="1">
        <v>0.047604</v>
      </c>
      <c r="BE71" s="1">
        <v>0.032396</v>
      </c>
      <c r="BF71" s="1">
        <v>0.019546</v>
      </c>
      <c r="BG71" s="1">
        <v>0.027412</v>
      </c>
      <c r="BH71" s="1">
        <v>0.030082</v>
      </c>
      <c r="BI71" s="1">
        <v>0.053556</v>
      </c>
      <c r="BJ71" s="1">
        <v>0.017289</v>
      </c>
      <c r="BK71" s="1">
        <v>0.014128</v>
      </c>
      <c r="BL71" s="1">
        <v>6.2E-4</v>
      </c>
      <c r="BM71" s="1">
        <v>0.548</v>
      </c>
      <c r="BN71" s="1">
        <v>0.078</v>
      </c>
      <c r="BO71" s="1">
        <v>0.3126</v>
      </c>
      <c r="BP71" s="1">
        <v>0.214</v>
      </c>
      <c r="BQ71" s="1">
        <v>1.1526</v>
      </c>
      <c r="BR71" s="1">
        <v>0.239</v>
      </c>
      <c r="BS71" s="1">
        <v>0.083</v>
      </c>
      <c r="BT71" s="1">
        <v>0.476</v>
      </c>
      <c r="BU71" s="1">
        <v>0.664</v>
      </c>
      <c r="BV71" s="1">
        <v>1.223</v>
      </c>
      <c r="BW71" s="1">
        <v>0.249</v>
      </c>
      <c r="BX71" s="1">
        <v>0.734</v>
      </c>
      <c r="BY71" s="1">
        <v>0.683</v>
      </c>
      <c r="BZ71" s="1">
        <v>1.417</v>
      </c>
      <c r="CA71" s="1">
        <v>0.772</v>
      </c>
      <c r="CB71" s="1">
        <v>0.648</v>
      </c>
      <c r="CC71" s="1">
        <v>0.509</v>
      </c>
      <c r="CD71" s="1">
        <v>0.807</v>
      </c>
      <c r="CE71" s="1">
        <v>0.155</v>
      </c>
      <c r="CF71" s="1">
        <v>0.374</v>
      </c>
      <c r="CG71" s="1">
        <v>2.493</v>
      </c>
      <c r="CH71" s="1">
        <v>0.559</v>
      </c>
      <c r="CI71" s="1">
        <v>6.2856</v>
      </c>
      <c r="CJ71" s="1">
        <v>0.4253</v>
      </c>
      <c r="CK71" s="1">
        <v>0.0</v>
      </c>
      <c r="CL71" s="1">
        <v>0.0</v>
      </c>
      <c r="CM71" s="1">
        <v>0.0</v>
      </c>
      <c r="CN71" s="1">
        <v>0.0</v>
      </c>
      <c r="CO71" s="1">
        <v>0.0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0.0</v>
      </c>
      <c r="DA71" s="1">
        <v>0.0</v>
      </c>
      <c r="DB71" s="1">
        <v>0.0</v>
      </c>
      <c r="DC71" s="1">
        <v>0.0</v>
      </c>
      <c r="DD71" s="1" t="s">
        <v>450</v>
      </c>
      <c r="DE71" s="1">
        <v>0.00527765679767835</v>
      </c>
      <c r="DF71" s="2" t="s">
        <v>451</v>
      </c>
    </row>
    <row r="72" ht="15.75" customHeight="1">
      <c r="A72" s="1" t="s">
        <v>452</v>
      </c>
      <c r="B72" s="1">
        <v>29.0</v>
      </c>
      <c r="C72" s="2" t="s">
        <v>317</v>
      </c>
      <c r="D72" s="2" t="s">
        <v>453</v>
      </c>
      <c r="E72" s="1">
        <v>52.585</v>
      </c>
      <c r="F72" s="1">
        <v>29019.0</v>
      </c>
      <c r="G72" s="1">
        <v>2.9019001602E10</v>
      </c>
      <c r="H72" s="1" t="s">
        <v>112</v>
      </c>
      <c r="I72" s="1" t="s">
        <v>113</v>
      </c>
      <c r="J72" s="1" t="s">
        <v>319</v>
      </c>
      <c r="K72" s="1" t="s">
        <v>454</v>
      </c>
      <c r="L72" s="1">
        <v>3272.0</v>
      </c>
      <c r="M72" s="1">
        <v>3073.0</v>
      </c>
      <c r="N72" s="1">
        <v>179.0</v>
      </c>
      <c r="O72" s="1">
        <v>1432.0</v>
      </c>
      <c r="P72" s="1">
        <v>1343.0</v>
      </c>
      <c r="Q72" s="1">
        <v>81.0</v>
      </c>
      <c r="R72" s="1">
        <v>1330.0</v>
      </c>
      <c r="S72" s="1">
        <v>203.0</v>
      </c>
      <c r="T72" s="1">
        <v>114.0</v>
      </c>
      <c r="U72" s="1">
        <v>32.0</v>
      </c>
      <c r="V72" s="1">
        <v>471.0</v>
      </c>
      <c r="W72" s="1">
        <v>40616.0</v>
      </c>
      <c r="X72" s="1">
        <v>11818.0</v>
      </c>
      <c r="Y72" s="1">
        <v>126.0</v>
      </c>
      <c r="Z72" s="1">
        <v>347.0</v>
      </c>
      <c r="AA72" s="1">
        <v>337.0</v>
      </c>
      <c r="AB72" s="1">
        <v>710.0</v>
      </c>
      <c r="AC72" s="1">
        <v>111.0</v>
      </c>
      <c r="AD72" s="1">
        <v>287.0</v>
      </c>
      <c r="AE72" s="1">
        <v>12.0</v>
      </c>
      <c r="AF72" s="1">
        <v>442.0</v>
      </c>
      <c r="AG72" s="1">
        <v>14.0</v>
      </c>
      <c r="AH72" s="1">
        <v>163.0</v>
      </c>
      <c r="AI72" s="1">
        <v>102.0</v>
      </c>
      <c r="AJ72" s="1">
        <v>58.0</v>
      </c>
      <c r="AK72" s="1">
        <v>0.0</v>
      </c>
      <c r="AL72" s="1">
        <v>161.0</v>
      </c>
      <c r="AM72" s="1">
        <v>0.0</v>
      </c>
      <c r="AN72" s="1">
        <v>161.0</v>
      </c>
      <c r="AO72" s="1">
        <v>7.0</v>
      </c>
      <c r="AP72" s="1">
        <v>0.066059</v>
      </c>
      <c r="AQ72" s="1">
        <v>0.036897</v>
      </c>
      <c r="AR72" s="1">
        <v>0.018768</v>
      </c>
      <c r="AS72" s="1">
        <v>0.276231</v>
      </c>
      <c r="AT72" s="1">
        <v>40616.0</v>
      </c>
      <c r="AU72" s="1">
        <v>11818.0</v>
      </c>
      <c r="AV72" s="1">
        <v>0.059099</v>
      </c>
      <c r="AW72" s="1">
        <v>0.162707</v>
      </c>
      <c r="AX72" s="1">
        <v>0.102995</v>
      </c>
      <c r="AY72" s="1">
        <v>0.216992</v>
      </c>
      <c r="AZ72" s="1">
        <v>0.08345864</v>
      </c>
      <c r="BA72" s="1">
        <v>0.087713</v>
      </c>
      <c r="BB72" s="1">
        <v>0.004165</v>
      </c>
      <c r="BC72" s="1">
        <v>0.153418</v>
      </c>
      <c r="BD72" s="1">
        <v>0.010424</v>
      </c>
      <c r="BE72" s="1">
        <v>0.121368</v>
      </c>
      <c r="BF72" s="1">
        <v>0.075949</v>
      </c>
      <c r="BG72" s="1">
        <v>0.042943</v>
      </c>
      <c r="BH72" s="1">
        <v>0.0</v>
      </c>
      <c r="BI72" s="1">
        <v>0.123655</v>
      </c>
      <c r="BJ72" s="1">
        <v>0.0</v>
      </c>
      <c r="BK72" s="1">
        <v>0.123655</v>
      </c>
      <c r="BL72" s="1">
        <v>0.002139</v>
      </c>
      <c r="BM72" s="1">
        <v>0.23</v>
      </c>
      <c r="BN72" s="1">
        <v>0.025</v>
      </c>
      <c r="BO72" s="1">
        <v>0.0599</v>
      </c>
      <c r="BP72" s="1">
        <v>0.165</v>
      </c>
      <c r="BQ72" s="1">
        <v>0.4799</v>
      </c>
      <c r="BR72" s="1">
        <v>0.0606</v>
      </c>
      <c r="BS72" s="1">
        <v>0.23</v>
      </c>
      <c r="BT72" s="1">
        <v>0.282</v>
      </c>
      <c r="BU72" s="1">
        <v>0.344</v>
      </c>
      <c r="BV72" s="1">
        <v>0.856</v>
      </c>
      <c r="BW72" s="1">
        <v>0.084</v>
      </c>
      <c r="BX72" s="1">
        <v>0.422</v>
      </c>
      <c r="BY72" s="1">
        <v>0.523</v>
      </c>
      <c r="BZ72" s="1">
        <v>0.945</v>
      </c>
      <c r="CA72" s="1">
        <v>0.507</v>
      </c>
      <c r="CB72" s="1">
        <v>0.385</v>
      </c>
      <c r="CC72" s="1">
        <v>0.667</v>
      </c>
      <c r="CD72" s="1">
        <v>0.0</v>
      </c>
      <c r="CE72" s="1">
        <v>0.0</v>
      </c>
      <c r="CF72" s="1">
        <v>0.451</v>
      </c>
      <c r="CG72" s="1">
        <v>1.503</v>
      </c>
      <c r="CH72" s="1">
        <v>0.176</v>
      </c>
      <c r="CI72" s="1">
        <v>3.7839</v>
      </c>
      <c r="CJ72" s="1">
        <v>0.065</v>
      </c>
      <c r="CK72" s="1">
        <v>0.0</v>
      </c>
      <c r="CL72" s="1">
        <v>0.0</v>
      </c>
      <c r="CM72" s="1">
        <v>0.0</v>
      </c>
      <c r="CN72" s="1">
        <v>0.0</v>
      </c>
      <c r="CO72" s="1">
        <v>0.0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0.0</v>
      </c>
      <c r="CZ72" s="1">
        <v>0.0</v>
      </c>
      <c r="DA72" s="1">
        <v>0.0</v>
      </c>
      <c r="DB72" s="1">
        <v>0.0</v>
      </c>
      <c r="DC72" s="1">
        <v>0.0</v>
      </c>
      <c r="DD72" s="1" t="s">
        <v>455</v>
      </c>
      <c r="DE72" s="2" t="s">
        <v>456</v>
      </c>
      <c r="DF72" s="2" t="s">
        <v>457</v>
      </c>
    </row>
    <row r="73" ht="15.75" customHeight="1">
      <c r="A73" s="1" t="s">
        <v>458</v>
      </c>
      <c r="B73" s="1">
        <v>29.0</v>
      </c>
      <c r="C73" s="2" t="s">
        <v>317</v>
      </c>
      <c r="D73" s="2" t="s">
        <v>459</v>
      </c>
      <c r="E73" s="1">
        <v>2.032</v>
      </c>
      <c r="F73" s="1">
        <v>29019.0</v>
      </c>
      <c r="G73" s="1">
        <v>2.9019001201E10</v>
      </c>
      <c r="H73" s="1" t="s">
        <v>112</v>
      </c>
      <c r="I73" s="1" t="s">
        <v>113</v>
      </c>
      <c r="J73" s="1" t="s">
        <v>319</v>
      </c>
      <c r="K73" s="1" t="s">
        <v>460</v>
      </c>
      <c r="L73" s="1">
        <v>5820.0</v>
      </c>
      <c r="M73" s="1">
        <v>5661.0</v>
      </c>
      <c r="N73" s="1">
        <v>428.0</v>
      </c>
      <c r="O73" s="1">
        <v>2382.0</v>
      </c>
      <c r="P73" s="1">
        <v>2391.0</v>
      </c>
      <c r="Q73" s="1">
        <v>96.0</v>
      </c>
      <c r="R73" s="1">
        <v>2293.0</v>
      </c>
      <c r="S73" s="1">
        <v>408.0</v>
      </c>
      <c r="T73" s="1">
        <v>277.0</v>
      </c>
      <c r="U73" s="1">
        <v>135.0</v>
      </c>
      <c r="V73" s="1">
        <v>434.0</v>
      </c>
      <c r="W73" s="1">
        <v>31625.0</v>
      </c>
      <c r="X73" s="1">
        <v>2651.0</v>
      </c>
      <c r="Y73" s="1">
        <v>130.0</v>
      </c>
      <c r="Z73" s="1">
        <v>369.0</v>
      </c>
      <c r="AA73" s="1">
        <v>885.0</v>
      </c>
      <c r="AB73" s="1">
        <v>1415.0</v>
      </c>
      <c r="AC73" s="1">
        <v>162.0</v>
      </c>
      <c r="AD73" s="1">
        <v>905.0</v>
      </c>
      <c r="AE73" s="1">
        <v>88.0</v>
      </c>
      <c r="AF73" s="1">
        <v>421.0</v>
      </c>
      <c r="AG73" s="1">
        <v>0.0</v>
      </c>
      <c r="AH73" s="1">
        <v>197.0</v>
      </c>
      <c r="AI73" s="1">
        <v>0.0</v>
      </c>
      <c r="AJ73" s="1">
        <v>114.0</v>
      </c>
      <c r="AK73" s="1">
        <v>21.0</v>
      </c>
      <c r="AL73" s="1">
        <v>117.0</v>
      </c>
      <c r="AM73" s="1">
        <v>73.0</v>
      </c>
      <c r="AN73" s="1">
        <v>128.0</v>
      </c>
      <c r="AO73" s="1">
        <v>5.0</v>
      </c>
      <c r="AP73" s="1">
        <v>0.072072</v>
      </c>
      <c r="AQ73" s="1">
        <v>0.048626</v>
      </c>
      <c r="AR73" s="1">
        <v>0.047153</v>
      </c>
      <c r="AS73" s="1">
        <v>0.151457</v>
      </c>
      <c r="AT73" s="1">
        <v>31625.0</v>
      </c>
      <c r="AU73" s="1">
        <v>2651.0</v>
      </c>
      <c r="AV73" s="1">
        <v>0.033775</v>
      </c>
      <c r="AW73" s="1">
        <v>0.095838</v>
      </c>
      <c r="AX73" s="1">
        <v>0.152061</v>
      </c>
      <c r="AY73" s="1">
        <v>0.243127</v>
      </c>
      <c r="AZ73" s="1">
        <v>0.0706498</v>
      </c>
      <c r="BA73" s="1">
        <v>0.155498</v>
      </c>
      <c r="BB73" s="1">
        <v>0.016356</v>
      </c>
      <c r="BC73" s="1">
        <v>0.078242</v>
      </c>
      <c r="BD73" s="1">
        <v>0.0</v>
      </c>
      <c r="BE73" s="1">
        <v>0.082392</v>
      </c>
      <c r="BF73" s="1">
        <v>0.0</v>
      </c>
      <c r="BG73" s="1">
        <v>0.047678</v>
      </c>
      <c r="BH73" s="1">
        <v>0.009263</v>
      </c>
      <c r="BI73" s="1">
        <v>0.051606</v>
      </c>
      <c r="BJ73" s="1">
        <v>0.032201</v>
      </c>
      <c r="BK73" s="1">
        <v>0.056424</v>
      </c>
      <c r="BL73" s="1">
        <v>8.59E-4</v>
      </c>
      <c r="BM73" s="1">
        <v>0.258</v>
      </c>
      <c r="BN73" s="1">
        <v>0.265</v>
      </c>
      <c r="BO73" s="1">
        <v>0.1639</v>
      </c>
      <c r="BP73" s="1">
        <v>0.077</v>
      </c>
      <c r="BQ73" s="1">
        <v>0.7639</v>
      </c>
      <c r="BR73" s="1">
        <v>0.1473</v>
      </c>
      <c r="BS73" s="1">
        <v>0.598</v>
      </c>
      <c r="BT73" s="1">
        <v>0.527</v>
      </c>
      <c r="BU73" s="1">
        <v>0.22</v>
      </c>
      <c r="BV73" s="1">
        <v>1.345</v>
      </c>
      <c r="BW73" s="1">
        <v>0.339</v>
      </c>
      <c r="BX73" s="1">
        <v>0.641</v>
      </c>
      <c r="BY73" s="1">
        <v>0.828</v>
      </c>
      <c r="BZ73" s="1">
        <v>1.469</v>
      </c>
      <c r="CA73" s="1">
        <v>0.804</v>
      </c>
      <c r="CB73" s="1">
        <v>0.0</v>
      </c>
      <c r="CC73" s="1">
        <v>0.0</v>
      </c>
      <c r="CD73" s="1">
        <v>0.463</v>
      </c>
      <c r="CE73" s="1">
        <v>0.304</v>
      </c>
      <c r="CF73" s="1">
        <v>0.388</v>
      </c>
      <c r="CG73" s="1">
        <v>1.155</v>
      </c>
      <c r="CH73" s="1">
        <v>0.101</v>
      </c>
      <c r="CI73" s="1">
        <v>4.7329</v>
      </c>
      <c r="CJ73" s="1">
        <v>0.1646</v>
      </c>
      <c r="CK73" s="1">
        <v>0.0</v>
      </c>
      <c r="CL73" s="1">
        <v>0.0</v>
      </c>
      <c r="CM73" s="1">
        <v>0.0</v>
      </c>
      <c r="CN73" s="1">
        <v>0.0</v>
      </c>
      <c r="CO73" s="1">
        <v>0.0</v>
      </c>
      <c r="CP73" s="1">
        <v>0.0</v>
      </c>
      <c r="CQ73" s="1">
        <v>0.0</v>
      </c>
      <c r="CR73" s="1">
        <v>0.0</v>
      </c>
      <c r="CS73" s="1">
        <v>0.0</v>
      </c>
      <c r="CT73" s="1">
        <v>0.0</v>
      </c>
      <c r="CU73" s="1">
        <v>0.0</v>
      </c>
      <c r="CV73" s="1">
        <v>0.0</v>
      </c>
      <c r="CW73" s="1">
        <v>0.0</v>
      </c>
      <c r="CX73" s="1">
        <v>0.0</v>
      </c>
      <c r="CY73" s="1">
        <v>0.0</v>
      </c>
      <c r="CZ73" s="1">
        <v>0.0</v>
      </c>
      <c r="DA73" s="1">
        <v>0.0</v>
      </c>
      <c r="DB73" s="1">
        <v>0.0</v>
      </c>
      <c r="DC73" s="1">
        <v>0.0</v>
      </c>
      <c r="DD73" s="1" t="s">
        <v>461</v>
      </c>
      <c r="DE73" s="1">
        <v>5.60763650957442E-4</v>
      </c>
      <c r="DF73" s="2" t="s">
        <v>462</v>
      </c>
    </row>
    <row r="74" ht="15.75" customHeight="1">
      <c r="A74" s="1" t="s">
        <v>463</v>
      </c>
      <c r="B74" s="1">
        <v>29.0</v>
      </c>
      <c r="C74" s="2" t="s">
        <v>464</v>
      </c>
      <c r="D74" s="2" t="s">
        <v>465</v>
      </c>
      <c r="E74" s="1">
        <v>0.478</v>
      </c>
      <c r="F74" s="1">
        <v>29021.0</v>
      </c>
      <c r="G74" s="1">
        <v>2.90210024E10</v>
      </c>
      <c r="H74" s="1" t="s">
        <v>112</v>
      </c>
      <c r="I74" s="1" t="s">
        <v>113</v>
      </c>
      <c r="J74" s="1" t="s">
        <v>466</v>
      </c>
      <c r="K74" s="1" t="s">
        <v>467</v>
      </c>
      <c r="L74" s="1">
        <v>1988.0</v>
      </c>
      <c r="M74" s="1">
        <v>1802.0</v>
      </c>
      <c r="N74" s="1">
        <v>209.0</v>
      </c>
      <c r="O74" s="1">
        <v>886.0</v>
      </c>
      <c r="P74" s="1">
        <v>847.0</v>
      </c>
      <c r="Q74" s="1">
        <v>71.0</v>
      </c>
      <c r="R74" s="1">
        <v>795.0</v>
      </c>
      <c r="S74" s="1">
        <v>352.0</v>
      </c>
      <c r="T74" s="1">
        <v>191.0</v>
      </c>
      <c r="U74" s="1">
        <v>53.0</v>
      </c>
      <c r="V74" s="1">
        <v>458.0</v>
      </c>
      <c r="W74" s="1">
        <v>17445.0</v>
      </c>
      <c r="X74" s="1">
        <v>2370.0</v>
      </c>
      <c r="Y74" s="1">
        <v>265.0</v>
      </c>
      <c r="Z74" s="1">
        <v>335.0</v>
      </c>
      <c r="AA74" s="1">
        <v>269.0</v>
      </c>
      <c r="AB74" s="1">
        <v>475.0</v>
      </c>
      <c r="AC74" s="1">
        <v>118.0</v>
      </c>
      <c r="AD74" s="1">
        <v>313.0</v>
      </c>
      <c r="AE74" s="1">
        <v>11.0</v>
      </c>
      <c r="AF74" s="1">
        <v>442.0</v>
      </c>
      <c r="AG74" s="1">
        <v>138.0</v>
      </c>
      <c r="AH74" s="1">
        <v>131.0</v>
      </c>
      <c r="AI74" s="1">
        <v>0.0</v>
      </c>
      <c r="AJ74" s="1">
        <v>114.0</v>
      </c>
      <c r="AK74" s="1">
        <v>9.0</v>
      </c>
      <c r="AL74" s="1">
        <v>115.0</v>
      </c>
      <c r="AM74" s="1">
        <v>113.0</v>
      </c>
      <c r="AN74" s="1">
        <v>55.0</v>
      </c>
      <c r="AO74" s="1">
        <v>15.0</v>
      </c>
      <c r="AP74" s="1">
        <v>0.195338</v>
      </c>
      <c r="AQ74" s="1">
        <v>0.103543</v>
      </c>
      <c r="AR74" s="1">
        <v>0.055848</v>
      </c>
      <c r="AS74" s="1">
        <v>0.482474</v>
      </c>
      <c r="AT74" s="1">
        <v>17445.0</v>
      </c>
      <c r="AU74" s="1">
        <v>2370.0</v>
      </c>
      <c r="AV74" s="1">
        <v>0.230434</v>
      </c>
      <c r="AW74" s="1">
        <v>0.290225</v>
      </c>
      <c r="AX74" s="1">
        <v>0.135311</v>
      </c>
      <c r="AY74" s="1">
        <v>0.238933</v>
      </c>
      <c r="AZ74" s="1">
        <v>0.14842767</v>
      </c>
      <c r="BA74" s="1">
        <v>0.157444</v>
      </c>
      <c r="BB74" s="1">
        <v>0.006736</v>
      </c>
      <c r="BC74" s="1">
        <v>0.270666</v>
      </c>
      <c r="BD74" s="1">
        <v>0.162927</v>
      </c>
      <c r="BE74" s="1">
        <v>0.154059</v>
      </c>
      <c r="BF74" s="1">
        <v>0.0</v>
      </c>
      <c r="BG74" s="1">
        <v>0.134592</v>
      </c>
      <c r="BH74" s="1">
        <v>0.011795</v>
      </c>
      <c r="BI74" s="1">
        <v>0.150714</v>
      </c>
      <c r="BJ74" s="1">
        <v>0.148099</v>
      </c>
      <c r="BK74" s="1">
        <v>0.069886</v>
      </c>
      <c r="BL74" s="1">
        <v>0.007545</v>
      </c>
      <c r="BM74" s="1">
        <v>0.717</v>
      </c>
      <c r="BN74" s="1">
        <v>0.361</v>
      </c>
      <c r="BO74" s="1">
        <v>0.7574</v>
      </c>
      <c r="BP74" s="1">
        <v>0.827</v>
      </c>
      <c r="BQ74" s="1">
        <v>2.6624</v>
      </c>
      <c r="BR74" s="1">
        <v>0.7105</v>
      </c>
      <c r="BS74" s="1">
        <v>0.454</v>
      </c>
      <c r="BT74" s="1">
        <v>0.487</v>
      </c>
      <c r="BU74" s="1">
        <v>0.787</v>
      </c>
      <c r="BV74" s="1">
        <v>1.728</v>
      </c>
      <c r="BW74" s="1">
        <v>0.663</v>
      </c>
      <c r="BX74" s="1">
        <v>0.645</v>
      </c>
      <c r="BY74" s="1">
        <v>0.621</v>
      </c>
      <c r="BZ74" s="1">
        <v>1.266</v>
      </c>
      <c r="CA74" s="1">
        <v>0.692</v>
      </c>
      <c r="CB74" s="1">
        <v>0.856</v>
      </c>
      <c r="CC74" s="1">
        <v>0.0</v>
      </c>
      <c r="CD74" s="1">
        <v>0.524</v>
      </c>
      <c r="CE74" s="1">
        <v>0.855</v>
      </c>
      <c r="CF74" s="1">
        <v>0.544</v>
      </c>
      <c r="CG74" s="1">
        <v>2.779</v>
      </c>
      <c r="CH74" s="1">
        <v>0.681</v>
      </c>
      <c r="CI74" s="1">
        <v>8.4354</v>
      </c>
      <c r="CJ74" s="1">
        <v>0.7755</v>
      </c>
      <c r="CK74" s="1">
        <v>0.0</v>
      </c>
      <c r="CL74" s="1">
        <v>0.0</v>
      </c>
      <c r="CM74" s="1">
        <v>0.0</v>
      </c>
      <c r="CN74" s="1">
        <v>0.0</v>
      </c>
      <c r="CO74" s="1">
        <v>0.0</v>
      </c>
      <c r="CP74" s="1">
        <v>0.0</v>
      </c>
      <c r="CQ74" s="1">
        <v>0.0</v>
      </c>
      <c r="CR74" s="1">
        <v>0.0</v>
      </c>
      <c r="CS74" s="1">
        <v>0.0</v>
      </c>
      <c r="CT74" s="1">
        <v>0.0</v>
      </c>
      <c r="CU74" s="1">
        <v>0.0</v>
      </c>
      <c r="CV74" s="1">
        <v>0.0</v>
      </c>
      <c r="CW74" s="1">
        <v>0.0</v>
      </c>
      <c r="CX74" s="1">
        <v>0.0</v>
      </c>
      <c r="CY74" s="1">
        <v>0.0</v>
      </c>
      <c r="CZ74" s="1">
        <v>0.0</v>
      </c>
      <c r="DA74" s="1">
        <v>0.0</v>
      </c>
      <c r="DB74" s="1">
        <v>0.0</v>
      </c>
      <c r="DC74" s="1">
        <v>0.0</v>
      </c>
      <c r="DD74" s="1" t="s">
        <v>468</v>
      </c>
      <c r="DE74" s="1">
        <v>1.3079168750098E-4</v>
      </c>
      <c r="DF74" s="1">
        <v>0.0587717541630747</v>
      </c>
    </row>
    <row r="75" ht="15.75" customHeight="1">
      <c r="A75" s="1" t="s">
        <v>469</v>
      </c>
      <c r="B75" s="1">
        <v>29.0</v>
      </c>
      <c r="C75" s="2" t="s">
        <v>464</v>
      </c>
      <c r="D75" s="2" t="s">
        <v>318</v>
      </c>
      <c r="E75" s="1">
        <v>2.455</v>
      </c>
      <c r="F75" s="1">
        <v>29021.0</v>
      </c>
      <c r="G75" s="1">
        <v>2.90210002E10</v>
      </c>
      <c r="H75" s="1" t="s">
        <v>112</v>
      </c>
      <c r="I75" s="1" t="s">
        <v>113</v>
      </c>
      <c r="J75" s="1" t="s">
        <v>466</v>
      </c>
      <c r="K75" s="1" t="s">
        <v>470</v>
      </c>
      <c r="L75" s="1">
        <v>4415.0</v>
      </c>
      <c r="M75" s="1">
        <v>4753.0</v>
      </c>
      <c r="N75" s="1">
        <v>298.0</v>
      </c>
      <c r="O75" s="1">
        <v>1853.0</v>
      </c>
      <c r="P75" s="1">
        <v>1930.0</v>
      </c>
      <c r="Q75" s="1">
        <v>59.0</v>
      </c>
      <c r="R75" s="1">
        <v>1775.0</v>
      </c>
      <c r="S75" s="1">
        <v>431.0</v>
      </c>
      <c r="T75" s="1">
        <v>235.0</v>
      </c>
      <c r="U75" s="1">
        <v>66.0</v>
      </c>
      <c r="V75" s="1">
        <v>459.0</v>
      </c>
      <c r="W75" s="1">
        <v>28438.0</v>
      </c>
      <c r="X75" s="1">
        <v>2884.0</v>
      </c>
      <c r="Y75" s="1">
        <v>246.0</v>
      </c>
      <c r="Z75" s="1">
        <v>271.0</v>
      </c>
      <c r="AA75" s="1">
        <v>760.0</v>
      </c>
      <c r="AB75" s="1">
        <v>1044.0</v>
      </c>
      <c r="AC75" s="1">
        <v>166.0</v>
      </c>
      <c r="AD75" s="1">
        <v>344.0</v>
      </c>
      <c r="AE75" s="1">
        <v>49.0</v>
      </c>
      <c r="AF75" s="1">
        <v>412.0</v>
      </c>
      <c r="AG75" s="1">
        <v>14.0</v>
      </c>
      <c r="AH75" s="1">
        <v>163.0</v>
      </c>
      <c r="AI75" s="1">
        <v>73.0</v>
      </c>
      <c r="AJ75" s="1">
        <v>72.0</v>
      </c>
      <c r="AK75" s="1">
        <v>13.0</v>
      </c>
      <c r="AL75" s="1">
        <v>116.0</v>
      </c>
      <c r="AM75" s="1">
        <v>105.0</v>
      </c>
      <c r="AN75" s="1">
        <v>75.0</v>
      </c>
      <c r="AO75" s="1">
        <v>0.0</v>
      </c>
      <c r="AP75" s="1">
        <v>0.091062</v>
      </c>
      <c r="AQ75" s="1">
        <v>0.049319</v>
      </c>
      <c r="AR75" s="1">
        <v>0.028314</v>
      </c>
      <c r="AS75" s="1">
        <v>0.196882</v>
      </c>
      <c r="AT75" s="1">
        <v>28438.0</v>
      </c>
      <c r="AU75" s="1">
        <v>2884.0</v>
      </c>
      <c r="AV75" s="1">
        <v>0.075298</v>
      </c>
      <c r="AW75" s="1">
        <v>0.082802</v>
      </c>
      <c r="AX75" s="1">
        <v>0.17214</v>
      </c>
      <c r="AY75" s="1">
        <v>0.236466</v>
      </c>
      <c r="AZ75" s="1">
        <v>0.09352112</v>
      </c>
      <c r="BA75" s="1">
        <v>0.077916</v>
      </c>
      <c r="BB75" s="1">
        <v>0.011123</v>
      </c>
      <c r="BC75" s="1">
        <v>0.093527</v>
      </c>
      <c r="BD75" s="1">
        <v>0.007253</v>
      </c>
      <c r="BE75" s="1">
        <v>0.084455</v>
      </c>
      <c r="BF75" s="1">
        <v>0.037823</v>
      </c>
      <c r="BG75" s="1">
        <v>0.037287</v>
      </c>
      <c r="BH75" s="1">
        <v>0.006777</v>
      </c>
      <c r="BI75" s="1">
        <v>0.060479</v>
      </c>
      <c r="BJ75" s="1">
        <v>0.054744</v>
      </c>
      <c r="BK75" s="1">
        <v>0.039063</v>
      </c>
      <c r="BL75" s="1">
        <v>0.0</v>
      </c>
      <c r="BM75" s="1">
        <v>0.342</v>
      </c>
      <c r="BN75" s="1">
        <v>0.073</v>
      </c>
      <c r="BO75" s="1">
        <v>0.2339</v>
      </c>
      <c r="BP75" s="1">
        <v>0.223</v>
      </c>
      <c r="BQ75" s="1">
        <v>0.8719</v>
      </c>
      <c r="BR75" s="1">
        <v>0.1755</v>
      </c>
      <c r="BS75" s="1">
        <v>0.75</v>
      </c>
      <c r="BT75" s="1">
        <v>0.457</v>
      </c>
      <c r="BU75" s="1">
        <v>0.435</v>
      </c>
      <c r="BV75" s="1">
        <v>1.642</v>
      </c>
      <c r="BW75" s="1">
        <v>0.598</v>
      </c>
      <c r="BX75" s="1">
        <v>0.389</v>
      </c>
      <c r="BY75" s="1">
        <v>0.749</v>
      </c>
      <c r="BZ75" s="1">
        <v>1.138</v>
      </c>
      <c r="CA75" s="1">
        <v>0.627</v>
      </c>
      <c r="CB75" s="1">
        <v>0.355</v>
      </c>
      <c r="CC75" s="1">
        <v>0.571</v>
      </c>
      <c r="CD75" s="1">
        <v>0.384</v>
      </c>
      <c r="CE75" s="1">
        <v>0.528</v>
      </c>
      <c r="CF75" s="1">
        <v>0.0</v>
      </c>
      <c r="CG75" s="1">
        <v>1.838</v>
      </c>
      <c r="CH75" s="1">
        <v>0.279</v>
      </c>
      <c r="CI75" s="1">
        <v>5.4899</v>
      </c>
      <c r="CJ75" s="1">
        <v>0.2801</v>
      </c>
      <c r="CK75" s="1">
        <v>0.0</v>
      </c>
      <c r="CL75" s="1">
        <v>0.0</v>
      </c>
      <c r="CM75" s="1">
        <v>0.0</v>
      </c>
      <c r="CN75" s="1">
        <v>0.0</v>
      </c>
      <c r="CO75" s="1">
        <v>0.0</v>
      </c>
      <c r="CP75" s="1">
        <v>0.0</v>
      </c>
      <c r="CQ75" s="1">
        <v>0.0</v>
      </c>
      <c r="CR75" s="1">
        <v>0.0</v>
      </c>
      <c r="CS75" s="1">
        <v>0.0</v>
      </c>
      <c r="CT75" s="1">
        <v>0.0</v>
      </c>
      <c r="CU75" s="1">
        <v>0.0</v>
      </c>
      <c r="CV75" s="1">
        <v>0.0</v>
      </c>
      <c r="CW75" s="1">
        <v>0.0</v>
      </c>
      <c r="CX75" s="1">
        <v>0.0</v>
      </c>
      <c r="CY75" s="1">
        <v>0.0</v>
      </c>
      <c r="CZ75" s="1">
        <v>0.0</v>
      </c>
      <c r="DA75" s="1">
        <v>0.0</v>
      </c>
      <c r="DB75" s="1">
        <v>0.0</v>
      </c>
      <c r="DC75" s="1">
        <v>0.0</v>
      </c>
      <c r="DD75" s="1" t="s">
        <v>471</v>
      </c>
      <c r="DE75" s="1">
        <v>6.69724029871498E-4</v>
      </c>
      <c r="DF75" s="2" t="s">
        <v>472</v>
      </c>
    </row>
    <row r="76" ht="15.75" customHeight="1">
      <c r="A76" s="1" t="s">
        <v>473</v>
      </c>
      <c r="B76" s="1">
        <v>29.0</v>
      </c>
      <c r="C76" s="2" t="s">
        <v>464</v>
      </c>
      <c r="D76" s="2" t="s">
        <v>474</v>
      </c>
      <c r="E76" s="1">
        <v>3.188</v>
      </c>
      <c r="F76" s="1">
        <v>29021.0</v>
      </c>
      <c r="G76" s="1">
        <v>2.9021000701E10</v>
      </c>
      <c r="H76" s="1" t="s">
        <v>112</v>
      </c>
      <c r="I76" s="1" t="s">
        <v>113</v>
      </c>
      <c r="J76" s="1" t="s">
        <v>466</v>
      </c>
      <c r="K76" s="1" t="s">
        <v>475</v>
      </c>
      <c r="L76" s="1">
        <v>4427.0</v>
      </c>
      <c r="M76" s="1">
        <v>4593.0</v>
      </c>
      <c r="N76" s="1">
        <v>525.0</v>
      </c>
      <c r="O76" s="1">
        <v>1626.0</v>
      </c>
      <c r="P76" s="1">
        <v>1640.0</v>
      </c>
      <c r="Q76" s="1">
        <v>78.0</v>
      </c>
      <c r="R76" s="1">
        <v>1528.0</v>
      </c>
      <c r="S76" s="1">
        <v>199.0</v>
      </c>
      <c r="T76" s="1">
        <v>172.0</v>
      </c>
      <c r="U76" s="1">
        <v>263.0</v>
      </c>
      <c r="V76" s="1">
        <v>409.0</v>
      </c>
      <c r="W76" s="1">
        <v>23661.0</v>
      </c>
      <c r="X76" s="1">
        <v>3816.0</v>
      </c>
      <c r="Y76" s="1">
        <v>324.0</v>
      </c>
      <c r="Z76" s="1">
        <v>234.0</v>
      </c>
      <c r="AA76" s="1">
        <v>943.0</v>
      </c>
      <c r="AB76" s="1">
        <v>600.0</v>
      </c>
      <c r="AC76" s="1">
        <v>94.0</v>
      </c>
      <c r="AD76" s="1">
        <v>666.0</v>
      </c>
      <c r="AE76" s="1">
        <v>26.0</v>
      </c>
      <c r="AF76" s="1">
        <v>428.0</v>
      </c>
      <c r="AG76" s="1">
        <v>68.0</v>
      </c>
      <c r="AH76" s="1">
        <v>44.0</v>
      </c>
      <c r="AI76" s="1">
        <v>137.0</v>
      </c>
      <c r="AJ76" s="1">
        <v>47.0</v>
      </c>
      <c r="AK76" s="1">
        <v>54.0</v>
      </c>
      <c r="AL76" s="1">
        <v>126.0</v>
      </c>
      <c r="AM76" s="1">
        <v>83.0</v>
      </c>
      <c r="AN76" s="1">
        <v>47.0</v>
      </c>
      <c r="AO76" s="1">
        <v>1210.0</v>
      </c>
      <c r="AP76" s="1">
        <v>0.05834</v>
      </c>
      <c r="AQ76" s="1">
        <v>0.05003</v>
      </c>
      <c r="AR76" s="1">
        <v>0.13494</v>
      </c>
      <c r="AS76" s="1">
        <v>0.208743</v>
      </c>
      <c r="AT76" s="1">
        <v>23661.0</v>
      </c>
      <c r="AU76" s="1">
        <v>3816.0</v>
      </c>
      <c r="AV76" s="1">
        <v>0.122448</v>
      </c>
      <c r="AW76" s="1">
        <v>0.087155</v>
      </c>
      <c r="AX76" s="1">
        <v>0.213011</v>
      </c>
      <c r="AY76" s="1">
        <v>0.135531</v>
      </c>
      <c r="AZ76" s="1">
        <v>0.06151832</v>
      </c>
      <c r="BA76" s="1">
        <v>0.15044</v>
      </c>
      <c r="BB76" s="1">
        <v>0.006026</v>
      </c>
      <c r="BC76" s="1">
        <v>0.099209</v>
      </c>
      <c r="BD76" s="1">
        <v>0.041463</v>
      </c>
      <c r="BE76" s="1">
        <v>0.026756</v>
      </c>
      <c r="BF76" s="1">
        <v>0.083536</v>
      </c>
      <c r="BG76" s="1">
        <v>0.028381</v>
      </c>
      <c r="BH76" s="1">
        <v>0.03661</v>
      </c>
      <c r="BI76" s="1">
        <v>0.085386</v>
      </c>
      <c r="BJ76" s="1">
        <v>0.056271</v>
      </c>
      <c r="BK76" s="1">
        <v>0.03163</v>
      </c>
      <c r="BL76" s="1">
        <v>0.273322</v>
      </c>
      <c r="BM76" s="1">
        <v>0.199</v>
      </c>
      <c r="BN76" s="1">
        <v>0.869</v>
      </c>
      <c r="BO76" s="1">
        <v>0.4166</v>
      </c>
      <c r="BP76" s="1">
        <v>0.438</v>
      </c>
      <c r="BQ76" s="1">
        <v>1.9226</v>
      </c>
      <c r="BR76" s="1">
        <v>0.4679</v>
      </c>
      <c r="BS76" s="1">
        <v>0.917</v>
      </c>
      <c r="BT76" s="1">
        <v>0.048</v>
      </c>
      <c r="BU76" s="1">
        <v>0.14</v>
      </c>
      <c r="BV76" s="1">
        <v>1.105</v>
      </c>
      <c r="BW76" s="1">
        <v>0.17</v>
      </c>
      <c r="BX76" s="1">
        <v>0.625</v>
      </c>
      <c r="BY76" s="1">
        <v>0.6</v>
      </c>
      <c r="BZ76" s="1">
        <v>1.225</v>
      </c>
      <c r="CA76" s="1">
        <v>0.672</v>
      </c>
      <c r="CB76" s="1">
        <v>0.618</v>
      </c>
      <c r="CC76" s="1">
        <v>0.682</v>
      </c>
      <c r="CD76" s="1">
        <v>0.869</v>
      </c>
      <c r="CE76" s="1">
        <v>0.543</v>
      </c>
      <c r="CF76" s="1">
        <v>0.975</v>
      </c>
      <c r="CG76" s="1">
        <v>3.687</v>
      </c>
      <c r="CH76" s="1">
        <v>0.974</v>
      </c>
      <c r="CI76" s="1">
        <v>7.9396</v>
      </c>
      <c r="CJ76" s="1">
        <v>0.7047</v>
      </c>
      <c r="CK76" s="1">
        <v>0.0</v>
      </c>
      <c r="CL76" s="1">
        <v>0.0</v>
      </c>
      <c r="CM76" s="1">
        <v>0.0</v>
      </c>
      <c r="CN76" s="1">
        <v>0.0</v>
      </c>
      <c r="CO76" s="1">
        <v>0.0</v>
      </c>
      <c r="CP76" s="1">
        <v>1.0</v>
      </c>
      <c r="CQ76" s="1">
        <v>0.0</v>
      </c>
      <c r="CR76" s="1">
        <v>0.0</v>
      </c>
      <c r="CS76" s="1">
        <v>1.0</v>
      </c>
      <c r="CT76" s="1">
        <v>0.0</v>
      </c>
      <c r="CU76" s="1">
        <v>0.0</v>
      </c>
      <c r="CV76" s="1">
        <v>0.0</v>
      </c>
      <c r="CW76" s="1">
        <v>0.0</v>
      </c>
      <c r="CX76" s="1">
        <v>0.0</v>
      </c>
      <c r="CY76" s="1">
        <v>0.0</v>
      </c>
      <c r="CZ76" s="1">
        <v>0.0</v>
      </c>
      <c r="DA76" s="1">
        <v>1.0</v>
      </c>
      <c r="DB76" s="1">
        <v>1.0</v>
      </c>
      <c r="DC76" s="1">
        <v>2.0</v>
      </c>
      <c r="DD76" s="1" t="s">
        <v>476</v>
      </c>
      <c r="DE76" s="1">
        <v>8.71820970140498E-4</v>
      </c>
      <c r="DF76" s="2" t="s">
        <v>477</v>
      </c>
    </row>
    <row r="77" ht="15.75" customHeight="1">
      <c r="A77" s="1" t="s">
        <v>478</v>
      </c>
      <c r="B77" s="1">
        <v>29.0</v>
      </c>
      <c r="C77" s="2" t="s">
        <v>464</v>
      </c>
      <c r="D77" s="2" t="s">
        <v>479</v>
      </c>
      <c r="E77" s="1">
        <v>0.585</v>
      </c>
      <c r="F77" s="1">
        <v>29021.0</v>
      </c>
      <c r="G77" s="1">
        <v>2.90210012E10</v>
      </c>
      <c r="H77" s="1" t="s">
        <v>112</v>
      </c>
      <c r="I77" s="1" t="s">
        <v>113</v>
      </c>
      <c r="J77" s="1" t="s">
        <v>466</v>
      </c>
      <c r="K77" s="1" t="s">
        <v>480</v>
      </c>
      <c r="L77" s="1">
        <v>2065.0</v>
      </c>
      <c r="M77" s="1">
        <v>2183.0</v>
      </c>
      <c r="N77" s="1">
        <v>373.0</v>
      </c>
      <c r="O77" s="1">
        <v>1072.0</v>
      </c>
      <c r="P77" s="1">
        <v>1136.0</v>
      </c>
      <c r="Q77" s="1">
        <v>76.0</v>
      </c>
      <c r="R77" s="1">
        <v>849.0</v>
      </c>
      <c r="S77" s="1">
        <v>583.0</v>
      </c>
      <c r="T77" s="1">
        <v>333.0</v>
      </c>
      <c r="U77" s="1">
        <v>97.0</v>
      </c>
      <c r="V77" s="1">
        <v>448.0</v>
      </c>
      <c r="W77" s="1">
        <v>15615.0</v>
      </c>
      <c r="X77" s="1">
        <v>3779.0</v>
      </c>
      <c r="Y77" s="1">
        <v>240.0</v>
      </c>
      <c r="Z77" s="1">
        <v>298.0</v>
      </c>
      <c r="AA77" s="1">
        <v>225.0</v>
      </c>
      <c r="AB77" s="1">
        <v>446.0</v>
      </c>
      <c r="AC77" s="1">
        <v>143.0</v>
      </c>
      <c r="AD77" s="1">
        <v>510.0</v>
      </c>
      <c r="AE77" s="1">
        <v>27.0</v>
      </c>
      <c r="AF77" s="1">
        <v>427.0</v>
      </c>
      <c r="AG77" s="1">
        <v>356.0</v>
      </c>
      <c r="AH77" s="1">
        <v>125.0</v>
      </c>
      <c r="AI77" s="1">
        <v>0.0</v>
      </c>
      <c r="AJ77" s="1">
        <v>114.0</v>
      </c>
      <c r="AK77" s="1">
        <v>53.0</v>
      </c>
      <c r="AL77" s="1">
        <v>121.0</v>
      </c>
      <c r="AM77" s="1">
        <v>209.0</v>
      </c>
      <c r="AN77" s="1">
        <v>77.0</v>
      </c>
      <c r="AO77" s="1">
        <v>289.0</v>
      </c>
      <c r="AP77" s="1">
        <v>0.309283</v>
      </c>
      <c r="AQ77" s="1">
        <v>0.169177</v>
      </c>
      <c r="AR77" s="1">
        <v>0.1073</v>
      </c>
      <c r="AS77" s="1">
        <v>0.494336</v>
      </c>
      <c r="AT77" s="1">
        <v>15615.0</v>
      </c>
      <c r="AU77" s="1">
        <v>3779.0</v>
      </c>
      <c r="AV77" s="1">
        <v>0.187207</v>
      </c>
      <c r="AW77" s="1">
        <v>0.23104</v>
      </c>
      <c r="AX77" s="1">
        <v>0.108958</v>
      </c>
      <c r="AY77" s="1">
        <v>0.21598</v>
      </c>
      <c r="AZ77" s="1">
        <v>0.16843345</v>
      </c>
      <c r="BA77" s="1">
        <v>0.246973</v>
      </c>
      <c r="BB77" s="1">
        <v>0.013426</v>
      </c>
      <c r="BC77" s="1">
        <v>0.21232</v>
      </c>
      <c r="BD77" s="1">
        <v>0.31338</v>
      </c>
      <c r="BE77" s="1">
        <v>0.108019</v>
      </c>
      <c r="BF77" s="1">
        <v>0.0</v>
      </c>
      <c r="BG77" s="1">
        <v>0.100352</v>
      </c>
      <c r="BH77" s="1">
        <v>0.062279</v>
      </c>
      <c r="BI77" s="1">
        <v>0.141957</v>
      </c>
      <c r="BJ77" s="1">
        <v>0.245593</v>
      </c>
      <c r="BK77" s="1">
        <v>0.08473</v>
      </c>
      <c r="BL77" s="1">
        <v>0.139951</v>
      </c>
      <c r="BM77" s="1">
        <v>0.892</v>
      </c>
      <c r="BN77" s="1">
        <v>0.774</v>
      </c>
      <c r="BO77" s="1">
        <v>0.8542</v>
      </c>
      <c r="BP77" s="1">
        <v>0.715</v>
      </c>
      <c r="BQ77" s="1">
        <v>3.2352</v>
      </c>
      <c r="BR77" s="1">
        <v>0.8614</v>
      </c>
      <c r="BS77" s="1">
        <v>0.264</v>
      </c>
      <c r="BT77" s="1">
        <v>0.276</v>
      </c>
      <c r="BU77" s="1">
        <v>0.842</v>
      </c>
      <c r="BV77" s="1">
        <v>1.382</v>
      </c>
      <c r="BW77" s="1">
        <v>0.376</v>
      </c>
      <c r="BX77" s="1">
        <v>0.758</v>
      </c>
      <c r="BY77" s="1">
        <v>0.79</v>
      </c>
      <c r="BZ77" s="1">
        <v>1.548</v>
      </c>
      <c r="CA77" s="1">
        <v>0.85</v>
      </c>
      <c r="CB77" s="1">
        <v>0.948</v>
      </c>
      <c r="CC77" s="1">
        <v>0.0</v>
      </c>
      <c r="CD77" s="1">
        <v>0.967</v>
      </c>
      <c r="CE77" s="1">
        <v>0.937</v>
      </c>
      <c r="CF77" s="1">
        <v>0.953</v>
      </c>
      <c r="CG77" s="1">
        <v>3.805</v>
      </c>
      <c r="CH77" s="1">
        <v>0.987</v>
      </c>
      <c r="CI77" s="1">
        <v>9.9702</v>
      </c>
      <c r="CJ77" s="1">
        <v>0.9466</v>
      </c>
      <c r="CK77" s="1">
        <v>0.0</v>
      </c>
      <c r="CL77" s="1">
        <v>0.0</v>
      </c>
      <c r="CM77" s="1">
        <v>0.0</v>
      </c>
      <c r="CN77" s="1">
        <v>0.0</v>
      </c>
      <c r="CO77" s="1">
        <v>0.0</v>
      </c>
      <c r="CP77" s="1">
        <v>0.0</v>
      </c>
      <c r="CQ77" s="1">
        <v>0.0</v>
      </c>
      <c r="CR77" s="1">
        <v>0.0</v>
      </c>
      <c r="CS77" s="1">
        <v>0.0</v>
      </c>
      <c r="CT77" s="1">
        <v>0.0</v>
      </c>
      <c r="CU77" s="1">
        <v>0.0</v>
      </c>
      <c r="CV77" s="1">
        <v>0.0</v>
      </c>
      <c r="CW77" s="1">
        <v>1.0</v>
      </c>
      <c r="CX77" s="1">
        <v>0.0</v>
      </c>
      <c r="CY77" s="1">
        <v>1.0</v>
      </c>
      <c r="CZ77" s="1">
        <v>1.0</v>
      </c>
      <c r="DA77" s="1">
        <v>1.0</v>
      </c>
      <c r="DB77" s="1">
        <v>4.0</v>
      </c>
      <c r="DC77" s="1">
        <v>4.0</v>
      </c>
      <c r="DD77" s="1" t="s">
        <v>481</v>
      </c>
      <c r="DE77" s="1">
        <v>1.6071079568715E-4</v>
      </c>
      <c r="DF77" s="1">
        <v>0.0601308613243773</v>
      </c>
    </row>
    <row r="78" ht="15.75" customHeight="1">
      <c r="A78" s="1" t="s">
        <v>482</v>
      </c>
      <c r="B78" s="1">
        <v>29.0</v>
      </c>
      <c r="C78" s="2" t="s">
        <v>464</v>
      </c>
      <c r="D78" s="2" t="s">
        <v>483</v>
      </c>
      <c r="E78" s="1">
        <v>4.974</v>
      </c>
      <c r="F78" s="1">
        <v>29021.0</v>
      </c>
      <c r="G78" s="1">
        <v>2.90210001E10</v>
      </c>
      <c r="H78" s="1" t="s">
        <v>112</v>
      </c>
      <c r="I78" s="1" t="s">
        <v>113</v>
      </c>
      <c r="J78" s="1" t="s">
        <v>466</v>
      </c>
      <c r="K78" s="1" t="s">
        <v>484</v>
      </c>
      <c r="L78" s="1">
        <v>5397.0</v>
      </c>
      <c r="M78" s="1">
        <v>5862.0</v>
      </c>
      <c r="N78" s="1">
        <v>360.0</v>
      </c>
      <c r="O78" s="1">
        <v>2366.0</v>
      </c>
      <c r="P78" s="1">
        <v>2286.0</v>
      </c>
      <c r="Q78" s="1">
        <v>90.0</v>
      </c>
      <c r="R78" s="1">
        <v>2124.0</v>
      </c>
      <c r="S78" s="1">
        <v>574.0</v>
      </c>
      <c r="T78" s="1">
        <v>302.0</v>
      </c>
      <c r="U78" s="1">
        <v>99.0</v>
      </c>
      <c r="V78" s="1">
        <v>416.0</v>
      </c>
      <c r="W78" s="1">
        <v>33195.0</v>
      </c>
      <c r="X78" s="1">
        <v>4197.0</v>
      </c>
      <c r="Y78" s="1">
        <v>161.0</v>
      </c>
      <c r="Z78" s="1">
        <v>350.0</v>
      </c>
      <c r="AA78" s="1">
        <v>840.0</v>
      </c>
      <c r="AB78" s="1">
        <v>1310.0</v>
      </c>
      <c r="AC78" s="1">
        <v>171.0</v>
      </c>
      <c r="AD78" s="1">
        <v>761.0</v>
      </c>
      <c r="AE78" s="1">
        <v>90.0</v>
      </c>
      <c r="AF78" s="1">
        <v>401.0</v>
      </c>
      <c r="AG78" s="1">
        <v>347.0</v>
      </c>
      <c r="AH78" s="1">
        <v>138.0</v>
      </c>
      <c r="AI78" s="1">
        <v>0.0</v>
      </c>
      <c r="AJ78" s="1">
        <v>114.0</v>
      </c>
      <c r="AK78" s="1">
        <v>12.0</v>
      </c>
      <c r="AL78" s="1">
        <v>115.0</v>
      </c>
      <c r="AM78" s="1">
        <v>50.0</v>
      </c>
      <c r="AN78" s="1">
        <v>35.0</v>
      </c>
      <c r="AO78" s="1">
        <v>140.0</v>
      </c>
      <c r="AP78" s="1">
        <v>0.099566</v>
      </c>
      <c r="AQ78" s="1">
        <v>0.052054</v>
      </c>
      <c r="AR78" s="1">
        <v>0.031518</v>
      </c>
      <c r="AS78" s="1">
        <v>0.1324</v>
      </c>
      <c r="AT78" s="1">
        <v>33195.0</v>
      </c>
      <c r="AU78" s="1">
        <v>4197.0</v>
      </c>
      <c r="AV78" s="1">
        <v>0.046131</v>
      </c>
      <c r="AW78" s="1">
        <v>0.100213</v>
      </c>
      <c r="AX78" s="1">
        <v>0.155642</v>
      </c>
      <c r="AY78" s="1">
        <v>0.242727</v>
      </c>
      <c r="AZ78" s="1">
        <v>0.08050847</v>
      </c>
      <c r="BA78" s="1">
        <v>0.141004</v>
      </c>
      <c r="BB78" s="1">
        <v>0.016611</v>
      </c>
      <c r="BC78" s="1">
        <v>0.074003</v>
      </c>
      <c r="BD78" s="1">
        <v>0.151793</v>
      </c>
      <c r="BE78" s="1">
        <v>0.06007</v>
      </c>
      <c r="BF78" s="1">
        <v>0.0</v>
      </c>
      <c r="BG78" s="1">
        <v>0.049868</v>
      </c>
      <c r="BH78" s="1">
        <v>0.005545</v>
      </c>
      <c r="BI78" s="1">
        <v>0.053141</v>
      </c>
      <c r="BJ78" s="1">
        <v>0.023105</v>
      </c>
      <c r="BK78" s="1">
        <v>0.01612</v>
      </c>
      <c r="BL78" s="1">
        <v>0.02594</v>
      </c>
      <c r="BM78" s="1">
        <v>0.369</v>
      </c>
      <c r="BN78" s="1">
        <v>0.099</v>
      </c>
      <c r="BO78" s="1">
        <v>0.1408</v>
      </c>
      <c r="BP78" s="1">
        <v>0.115</v>
      </c>
      <c r="BQ78" s="1">
        <v>0.7238</v>
      </c>
      <c r="BR78" s="1">
        <v>0.1321</v>
      </c>
      <c r="BS78" s="1">
        <v>0.628</v>
      </c>
      <c r="BT78" s="1">
        <v>0.523</v>
      </c>
      <c r="BU78" s="1">
        <v>0.309</v>
      </c>
      <c r="BV78" s="1">
        <v>1.46</v>
      </c>
      <c r="BW78" s="1">
        <v>0.445</v>
      </c>
      <c r="BX78" s="1">
        <v>0.595</v>
      </c>
      <c r="BY78" s="1">
        <v>0.833</v>
      </c>
      <c r="BZ78" s="1">
        <v>1.428</v>
      </c>
      <c r="CA78" s="1">
        <v>0.778</v>
      </c>
      <c r="CB78" s="1">
        <v>0.84</v>
      </c>
      <c r="CC78" s="1">
        <v>0.0</v>
      </c>
      <c r="CD78" s="1">
        <v>0.349</v>
      </c>
      <c r="CE78" s="1">
        <v>0.216</v>
      </c>
      <c r="CF78" s="1">
        <v>0.779</v>
      </c>
      <c r="CG78" s="1">
        <v>2.184</v>
      </c>
      <c r="CH78" s="1">
        <v>0.412</v>
      </c>
      <c r="CI78" s="1">
        <v>5.7958</v>
      </c>
      <c r="CJ78" s="1">
        <v>0.3408</v>
      </c>
      <c r="CK78" s="1">
        <v>0.0</v>
      </c>
      <c r="CL78" s="1">
        <v>0.0</v>
      </c>
      <c r="CM78" s="1">
        <v>0.0</v>
      </c>
      <c r="CN78" s="1">
        <v>0.0</v>
      </c>
      <c r="CO78" s="1">
        <v>0.0</v>
      </c>
      <c r="CP78" s="1">
        <v>0.0</v>
      </c>
      <c r="CQ78" s="1">
        <v>0.0</v>
      </c>
      <c r="CR78" s="1">
        <v>0.0</v>
      </c>
      <c r="CS78" s="1">
        <v>0.0</v>
      </c>
      <c r="CT78" s="1">
        <v>0.0</v>
      </c>
      <c r="CU78" s="1">
        <v>0.0</v>
      </c>
      <c r="CV78" s="1">
        <v>0.0</v>
      </c>
      <c r="CW78" s="1">
        <v>0.0</v>
      </c>
      <c r="CX78" s="1">
        <v>0.0</v>
      </c>
      <c r="CY78" s="1">
        <v>0.0</v>
      </c>
      <c r="CZ78" s="1">
        <v>0.0</v>
      </c>
      <c r="DA78" s="1">
        <v>0.0</v>
      </c>
      <c r="DB78" s="1">
        <v>0.0</v>
      </c>
      <c r="DC78" s="1">
        <v>0.0</v>
      </c>
      <c r="DD78" s="1" t="s">
        <v>485</v>
      </c>
      <c r="DE78" s="1">
        <v>0.00135754139019369</v>
      </c>
      <c r="DF78" s="2" t="s">
        <v>486</v>
      </c>
    </row>
    <row r="79" ht="15.75" customHeight="1">
      <c r="A79" s="1" t="s">
        <v>487</v>
      </c>
      <c r="B79" s="1">
        <v>29.0</v>
      </c>
      <c r="C79" s="2" t="s">
        <v>464</v>
      </c>
      <c r="D79" s="2" t="s">
        <v>324</v>
      </c>
      <c r="E79" s="1">
        <v>9.995</v>
      </c>
      <c r="F79" s="1">
        <v>29021.0</v>
      </c>
      <c r="G79" s="1">
        <v>2.90210003E10</v>
      </c>
      <c r="H79" s="1" t="s">
        <v>112</v>
      </c>
      <c r="I79" s="1" t="s">
        <v>113</v>
      </c>
      <c r="J79" s="1" t="s">
        <v>466</v>
      </c>
      <c r="K79" s="1" t="s">
        <v>488</v>
      </c>
      <c r="L79" s="1">
        <v>3297.0</v>
      </c>
      <c r="M79" s="1">
        <v>3286.0</v>
      </c>
      <c r="N79" s="1">
        <v>256.0</v>
      </c>
      <c r="O79" s="1">
        <v>1441.0</v>
      </c>
      <c r="P79" s="1">
        <v>1471.0</v>
      </c>
      <c r="Q79" s="1">
        <v>72.0</v>
      </c>
      <c r="R79" s="1">
        <v>1277.0</v>
      </c>
      <c r="S79" s="1">
        <v>316.0</v>
      </c>
      <c r="T79" s="1">
        <v>233.0</v>
      </c>
      <c r="U79" s="1">
        <v>169.0</v>
      </c>
      <c r="V79" s="1">
        <v>419.0</v>
      </c>
      <c r="W79" s="1">
        <v>18827.0</v>
      </c>
      <c r="X79" s="1">
        <v>1900.0</v>
      </c>
      <c r="Y79" s="1">
        <v>371.0</v>
      </c>
      <c r="Z79" s="1">
        <v>329.0</v>
      </c>
      <c r="AA79" s="1">
        <v>362.0</v>
      </c>
      <c r="AB79" s="1">
        <v>888.0</v>
      </c>
      <c r="AC79" s="1">
        <v>235.0</v>
      </c>
      <c r="AD79" s="1">
        <v>302.0</v>
      </c>
      <c r="AE79" s="1">
        <v>0.0</v>
      </c>
      <c r="AF79" s="1">
        <v>456.0</v>
      </c>
      <c r="AG79" s="1">
        <v>9.0</v>
      </c>
      <c r="AH79" s="1">
        <v>162.0</v>
      </c>
      <c r="AI79" s="1">
        <v>64.0</v>
      </c>
      <c r="AJ79" s="1">
        <v>48.0</v>
      </c>
      <c r="AK79" s="1">
        <v>20.0</v>
      </c>
      <c r="AL79" s="1">
        <v>118.0</v>
      </c>
      <c r="AM79" s="1">
        <v>156.0</v>
      </c>
      <c r="AN79" s="1">
        <v>79.0</v>
      </c>
      <c r="AO79" s="1">
        <v>8.0</v>
      </c>
      <c r="AP79" s="1">
        <v>0.096488</v>
      </c>
      <c r="AQ79" s="1">
        <v>0.07074</v>
      </c>
      <c r="AR79" s="1">
        <v>0.109173</v>
      </c>
      <c r="AS79" s="1">
        <v>0.26995</v>
      </c>
      <c r="AT79" s="1">
        <v>18827.0</v>
      </c>
      <c r="AU79" s="1">
        <v>1900.0</v>
      </c>
      <c r="AV79" s="1">
        <v>0.181329</v>
      </c>
      <c r="AW79" s="1">
        <v>0.160258</v>
      </c>
      <c r="AX79" s="1">
        <v>0.109796</v>
      </c>
      <c r="AY79" s="1">
        <v>0.269335</v>
      </c>
      <c r="AZ79" s="1">
        <v>0.18402505</v>
      </c>
      <c r="BA79" s="1">
        <v>0.091598</v>
      </c>
      <c r="BB79" s="1">
        <v>0.0</v>
      </c>
      <c r="BC79" s="1">
        <v>0.148534</v>
      </c>
      <c r="BD79" s="1">
        <v>0.006118</v>
      </c>
      <c r="BE79" s="1">
        <v>0.110128</v>
      </c>
      <c r="BF79" s="1">
        <v>0.043507</v>
      </c>
      <c r="BG79" s="1">
        <v>0.032561</v>
      </c>
      <c r="BH79" s="1">
        <v>0.015325</v>
      </c>
      <c r="BI79" s="1">
        <v>0.090413</v>
      </c>
      <c r="BJ79" s="1">
        <v>0.11954</v>
      </c>
      <c r="BK79" s="1">
        <v>0.059796</v>
      </c>
      <c r="BL79" s="1">
        <v>0.002426</v>
      </c>
      <c r="BM79" s="1">
        <v>0.358</v>
      </c>
      <c r="BN79" s="1">
        <v>0.784</v>
      </c>
      <c r="BO79" s="1">
        <v>0.6809</v>
      </c>
      <c r="BP79" s="1">
        <v>0.692</v>
      </c>
      <c r="BQ79" s="1">
        <v>2.5149</v>
      </c>
      <c r="BR79" s="1">
        <v>0.67</v>
      </c>
      <c r="BS79" s="1">
        <v>0.271</v>
      </c>
      <c r="BT79" s="1">
        <v>0.785</v>
      </c>
      <c r="BU79" s="1">
        <v>0.871</v>
      </c>
      <c r="BV79" s="1">
        <v>1.927</v>
      </c>
      <c r="BW79" s="1">
        <v>0.818</v>
      </c>
      <c r="BX79" s="1">
        <v>0.435</v>
      </c>
      <c r="BY79" s="1">
        <v>0.0</v>
      </c>
      <c r="BZ79" s="1">
        <v>0.435</v>
      </c>
      <c r="CA79" s="1">
        <v>0.181</v>
      </c>
      <c r="CB79" s="1">
        <v>0.339</v>
      </c>
      <c r="CC79" s="1">
        <v>0.589</v>
      </c>
      <c r="CD79" s="1">
        <v>0.605</v>
      </c>
      <c r="CE79" s="1">
        <v>0.805</v>
      </c>
      <c r="CF79" s="1">
        <v>0.458</v>
      </c>
      <c r="CG79" s="1">
        <v>2.796</v>
      </c>
      <c r="CH79" s="1">
        <v>0.685</v>
      </c>
      <c r="CI79" s="1">
        <v>7.6729</v>
      </c>
      <c r="CJ79" s="1">
        <v>0.6635</v>
      </c>
      <c r="CK79" s="1">
        <v>0.0</v>
      </c>
      <c r="CL79" s="1">
        <v>0.0</v>
      </c>
      <c r="CM79" s="1">
        <v>0.0</v>
      </c>
      <c r="CN79" s="1">
        <v>0.0</v>
      </c>
      <c r="CO79" s="1">
        <v>0.0</v>
      </c>
      <c r="CP79" s="1">
        <v>0.0</v>
      </c>
      <c r="CQ79" s="1">
        <v>0.0</v>
      </c>
      <c r="CR79" s="1">
        <v>0.0</v>
      </c>
      <c r="CS79" s="1">
        <v>0.0</v>
      </c>
      <c r="CT79" s="1">
        <v>0.0</v>
      </c>
      <c r="CU79" s="1">
        <v>0.0</v>
      </c>
      <c r="CV79" s="1">
        <v>0.0</v>
      </c>
      <c r="CW79" s="1">
        <v>0.0</v>
      </c>
      <c r="CX79" s="1">
        <v>0.0</v>
      </c>
      <c r="CY79" s="1">
        <v>0.0</v>
      </c>
      <c r="CZ79" s="1">
        <v>0.0</v>
      </c>
      <c r="DA79" s="1">
        <v>0.0</v>
      </c>
      <c r="DB79" s="1">
        <v>0.0</v>
      </c>
      <c r="DC79" s="1">
        <v>0.0</v>
      </c>
      <c r="DD79" s="1" t="s">
        <v>489</v>
      </c>
      <c r="DE79" s="1">
        <v>0.00284478751756453</v>
      </c>
      <c r="DF79" s="1">
        <v>0.29097952115479</v>
      </c>
    </row>
    <row r="80" ht="15.75" customHeight="1">
      <c r="A80" s="1" t="s">
        <v>490</v>
      </c>
      <c r="B80" s="1">
        <v>29.0</v>
      </c>
      <c r="C80" s="2" t="s">
        <v>464</v>
      </c>
      <c r="D80" s="2" t="s">
        <v>491</v>
      </c>
      <c r="E80" s="1">
        <v>0.625</v>
      </c>
      <c r="F80" s="1">
        <v>29021.0</v>
      </c>
      <c r="G80" s="1">
        <v>2.90210004E10</v>
      </c>
      <c r="H80" s="1" t="s">
        <v>112</v>
      </c>
      <c r="I80" s="1" t="s">
        <v>113</v>
      </c>
      <c r="J80" s="1" t="s">
        <v>466</v>
      </c>
      <c r="K80" s="1" t="s">
        <v>492</v>
      </c>
      <c r="L80" s="1">
        <v>1785.0</v>
      </c>
      <c r="M80" s="1">
        <v>1628.0</v>
      </c>
      <c r="N80" s="1">
        <v>276.0</v>
      </c>
      <c r="O80" s="1">
        <v>769.0</v>
      </c>
      <c r="P80" s="1">
        <v>763.0</v>
      </c>
      <c r="Q80" s="1">
        <v>67.0</v>
      </c>
      <c r="R80" s="1">
        <v>654.0</v>
      </c>
      <c r="S80" s="1">
        <v>443.0</v>
      </c>
      <c r="T80" s="1">
        <v>215.0</v>
      </c>
      <c r="U80" s="1">
        <v>95.0</v>
      </c>
      <c r="V80" s="1">
        <v>430.0</v>
      </c>
      <c r="W80" s="1">
        <v>15078.0</v>
      </c>
      <c r="X80" s="1">
        <v>3605.0</v>
      </c>
      <c r="Y80" s="1">
        <v>283.0</v>
      </c>
      <c r="Z80" s="1">
        <v>276.0</v>
      </c>
      <c r="AA80" s="1">
        <v>167.0</v>
      </c>
      <c r="AB80" s="1">
        <v>529.0</v>
      </c>
      <c r="AC80" s="1">
        <v>117.0</v>
      </c>
      <c r="AD80" s="1">
        <v>259.0</v>
      </c>
      <c r="AE80" s="1">
        <v>40.0</v>
      </c>
      <c r="AF80" s="1">
        <v>445.0</v>
      </c>
      <c r="AG80" s="1">
        <v>0.0</v>
      </c>
      <c r="AH80" s="1">
        <v>197.0</v>
      </c>
      <c r="AI80" s="1">
        <v>48.0</v>
      </c>
      <c r="AJ80" s="1">
        <v>61.0</v>
      </c>
      <c r="AK80" s="1">
        <v>7.0</v>
      </c>
      <c r="AL80" s="1">
        <v>115.0</v>
      </c>
      <c r="AM80" s="1">
        <v>37.0</v>
      </c>
      <c r="AN80" s="1">
        <v>31.0</v>
      </c>
      <c r="AO80" s="1">
        <v>0.0</v>
      </c>
      <c r="AP80" s="1">
        <v>0.273456</v>
      </c>
      <c r="AQ80" s="1">
        <v>0.124333</v>
      </c>
      <c r="AR80" s="1">
        <v>0.136887</v>
      </c>
      <c r="AS80" s="1">
        <v>0.618102</v>
      </c>
      <c r="AT80" s="1">
        <v>15078.0</v>
      </c>
      <c r="AU80" s="1">
        <v>3605.0</v>
      </c>
      <c r="AV80" s="1">
        <v>0.271332</v>
      </c>
      <c r="AW80" s="1">
        <v>0.260398</v>
      </c>
      <c r="AX80" s="1">
        <v>0.093557</v>
      </c>
      <c r="AY80" s="1">
        <v>0.296358</v>
      </c>
      <c r="AZ80" s="1">
        <v>0.17889908</v>
      </c>
      <c r="BA80" s="1">
        <v>0.145098</v>
      </c>
      <c r="BB80" s="1">
        <v>0.025396</v>
      </c>
      <c r="BC80" s="1">
        <v>0.282506</v>
      </c>
      <c r="BD80" s="1">
        <v>0.0</v>
      </c>
      <c r="BE80" s="1">
        <v>0.258191</v>
      </c>
      <c r="BF80" s="1">
        <v>0.062909</v>
      </c>
      <c r="BG80" s="1">
        <v>0.079756</v>
      </c>
      <c r="BH80" s="1">
        <v>0.011551</v>
      </c>
      <c r="BI80" s="1">
        <v>0.189758</v>
      </c>
      <c r="BJ80" s="1">
        <v>0.061056</v>
      </c>
      <c r="BK80" s="1">
        <v>0.05007</v>
      </c>
      <c r="BL80" s="1">
        <v>0.0</v>
      </c>
      <c r="BM80" s="1">
        <v>0.861</v>
      </c>
      <c r="BN80" s="1">
        <v>0.873</v>
      </c>
      <c r="BO80" s="1">
        <v>0.8729</v>
      </c>
      <c r="BP80" s="1">
        <v>0.908</v>
      </c>
      <c r="BQ80" s="1">
        <v>3.5149</v>
      </c>
      <c r="BR80" s="1">
        <v>0.9242</v>
      </c>
      <c r="BS80" s="1">
        <v>0.178</v>
      </c>
      <c r="BT80" s="1">
        <v>0.91</v>
      </c>
      <c r="BU80" s="1">
        <v>0.863</v>
      </c>
      <c r="BV80" s="1">
        <v>1.951</v>
      </c>
      <c r="BW80" s="1">
        <v>0.833</v>
      </c>
      <c r="BX80" s="1">
        <v>0.605</v>
      </c>
      <c r="BY80" s="1">
        <v>0.895</v>
      </c>
      <c r="BZ80" s="1">
        <v>1.5</v>
      </c>
      <c r="CA80" s="1">
        <v>0.825</v>
      </c>
      <c r="CB80" s="1">
        <v>0.0</v>
      </c>
      <c r="CC80" s="1">
        <v>0.631</v>
      </c>
      <c r="CD80" s="1">
        <v>0.515</v>
      </c>
      <c r="CE80" s="1">
        <v>0.573</v>
      </c>
      <c r="CF80" s="1">
        <v>0.0</v>
      </c>
      <c r="CG80" s="1">
        <v>1.719</v>
      </c>
      <c r="CH80" s="1">
        <v>0.238</v>
      </c>
      <c r="CI80" s="1">
        <v>8.6849</v>
      </c>
      <c r="CJ80" s="1">
        <v>0.8101</v>
      </c>
      <c r="CK80" s="1">
        <v>0.0</v>
      </c>
      <c r="CL80" s="1">
        <v>0.0</v>
      </c>
      <c r="CM80" s="1">
        <v>0.0</v>
      </c>
      <c r="CN80" s="1">
        <v>1.0</v>
      </c>
      <c r="CO80" s="1">
        <v>1.0</v>
      </c>
      <c r="CP80" s="1">
        <v>0.0</v>
      </c>
      <c r="CQ80" s="1">
        <v>1.0</v>
      </c>
      <c r="CR80" s="1">
        <v>0.0</v>
      </c>
      <c r="CS80" s="1">
        <v>1.0</v>
      </c>
      <c r="CT80" s="1">
        <v>0.0</v>
      </c>
      <c r="CU80" s="1">
        <v>0.0</v>
      </c>
      <c r="CV80" s="1">
        <v>0.0</v>
      </c>
      <c r="CW80" s="1">
        <v>0.0</v>
      </c>
      <c r="CX80" s="1">
        <v>0.0</v>
      </c>
      <c r="CY80" s="1">
        <v>0.0</v>
      </c>
      <c r="CZ80" s="1">
        <v>0.0</v>
      </c>
      <c r="DA80" s="1">
        <v>0.0</v>
      </c>
      <c r="DB80" s="1">
        <v>0.0</v>
      </c>
      <c r="DC80" s="1">
        <v>2.0</v>
      </c>
      <c r="DD80" s="1" t="s">
        <v>493</v>
      </c>
      <c r="DE80" s="1">
        <v>1.89436418999717E-4</v>
      </c>
      <c r="DF80" s="1">
        <v>0.0705763205420982</v>
      </c>
    </row>
    <row r="81" ht="15.75" customHeight="1">
      <c r="A81" s="1" t="s">
        <v>494</v>
      </c>
      <c r="B81" s="1">
        <v>29.0</v>
      </c>
      <c r="C81" s="2" t="s">
        <v>464</v>
      </c>
      <c r="D81" s="2" t="s">
        <v>495</v>
      </c>
      <c r="E81" s="1">
        <v>112.92</v>
      </c>
      <c r="F81" s="1">
        <v>29021.0</v>
      </c>
      <c r="G81" s="1">
        <v>2.90210029E10</v>
      </c>
      <c r="H81" s="1" t="s">
        <v>112</v>
      </c>
      <c r="I81" s="1" t="s">
        <v>113</v>
      </c>
      <c r="J81" s="1" t="s">
        <v>466</v>
      </c>
      <c r="K81" s="1" t="s">
        <v>496</v>
      </c>
      <c r="L81" s="1">
        <v>3250.0</v>
      </c>
      <c r="M81" s="1">
        <v>3198.0</v>
      </c>
      <c r="N81" s="1">
        <v>291.0</v>
      </c>
      <c r="O81" s="1">
        <v>1473.0</v>
      </c>
      <c r="P81" s="1">
        <v>1472.0</v>
      </c>
      <c r="Q81" s="1">
        <v>94.0</v>
      </c>
      <c r="R81" s="1">
        <v>1267.0</v>
      </c>
      <c r="S81" s="1">
        <v>309.0</v>
      </c>
      <c r="T81" s="1">
        <v>142.0</v>
      </c>
      <c r="U81" s="1">
        <v>55.0</v>
      </c>
      <c r="V81" s="1">
        <v>428.0</v>
      </c>
      <c r="W81" s="1">
        <v>20527.0</v>
      </c>
      <c r="X81" s="1">
        <v>2092.0</v>
      </c>
      <c r="Y81" s="1">
        <v>336.0</v>
      </c>
      <c r="Z81" s="1">
        <v>246.0</v>
      </c>
      <c r="AA81" s="1">
        <v>462.0</v>
      </c>
      <c r="AB81" s="1">
        <v>769.0</v>
      </c>
      <c r="AC81" s="1">
        <v>123.0</v>
      </c>
      <c r="AD81" s="1">
        <v>126.0</v>
      </c>
      <c r="AE81" s="1">
        <v>0.0</v>
      </c>
      <c r="AF81" s="1">
        <v>456.0</v>
      </c>
      <c r="AG81" s="1">
        <v>0.0</v>
      </c>
      <c r="AH81" s="1">
        <v>197.0</v>
      </c>
      <c r="AI81" s="1">
        <v>504.0</v>
      </c>
      <c r="AJ81" s="1">
        <v>117.0</v>
      </c>
      <c r="AK81" s="1">
        <v>0.0</v>
      </c>
      <c r="AL81" s="1">
        <v>161.0</v>
      </c>
      <c r="AM81" s="1">
        <v>65.0</v>
      </c>
      <c r="AN81" s="1">
        <v>50.0</v>
      </c>
      <c r="AO81" s="1">
        <v>0.0</v>
      </c>
      <c r="AP81" s="1">
        <v>0.096834</v>
      </c>
      <c r="AQ81" s="1">
        <v>0.043621</v>
      </c>
      <c r="AR81" s="1">
        <v>0.036569</v>
      </c>
      <c r="AS81" s="1">
        <v>0.284544</v>
      </c>
      <c r="AT81" s="1">
        <v>20527.0</v>
      </c>
      <c r="AU81" s="1">
        <v>2092.0</v>
      </c>
      <c r="AV81" s="1">
        <v>0.151283</v>
      </c>
      <c r="AW81" s="1">
        <v>0.109868</v>
      </c>
      <c r="AX81" s="1">
        <v>0.142153</v>
      </c>
      <c r="AY81" s="1">
        <v>0.236615</v>
      </c>
      <c r="AZ81" s="1">
        <v>0.09707971</v>
      </c>
      <c r="BA81" s="1">
        <v>0.038769</v>
      </c>
      <c r="BB81" s="1">
        <v>0.0</v>
      </c>
      <c r="BC81" s="1">
        <v>0.149214</v>
      </c>
      <c r="BD81" s="1">
        <v>0.0</v>
      </c>
      <c r="BE81" s="1">
        <v>0.133831</v>
      </c>
      <c r="BF81" s="1">
        <v>0.342391</v>
      </c>
      <c r="BG81" s="1">
        <v>0.076417</v>
      </c>
      <c r="BH81" s="1">
        <v>0.0</v>
      </c>
      <c r="BI81" s="1">
        <v>0.1288</v>
      </c>
      <c r="BJ81" s="1">
        <v>0.052</v>
      </c>
      <c r="BK81" s="1">
        <v>0.039778</v>
      </c>
      <c r="BL81" s="1">
        <v>0.0</v>
      </c>
      <c r="BM81" s="1">
        <v>0.36</v>
      </c>
      <c r="BN81" s="1">
        <v>0.151</v>
      </c>
      <c r="BO81" s="1">
        <v>0.5805</v>
      </c>
      <c r="BP81" s="1">
        <v>0.574</v>
      </c>
      <c r="BQ81" s="1">
        <v>1.6655</v>
      </c>
      <c r="BR81" s="1">
        <v>0.3913</v>
      </c>
      <c r="BS81" s="1">
        <v>0.518</v>
      </c>
      <c r="BT81" s="1">
        <v>0.458</v>
      </c>
      <c r="BU81" s="1">
        <v>0.465</v>
      </c>
      <c r="BV81" s="1">
        <v>1.441</v>
      </c>
      <c r="BW81" s="1">
        <v>0.429</v>
      </c>
      <c r="BX81" s="1">
        <v>0.155</v>
      </c>
      <c r="BY81" s="1">
        <v>0.0</v>
      </c>
      <c r="BZ81" s="1">
        <v>0.155</v>
      </c>
      <c r="CA81" s="1">
        <v>0.073</v>
      </c>
      <c r="CB81" s="1">
        <v>0.0</v>
      </c>
      <c r="CC81" s="1">
        <v>0.987</v>
      </c>
      <c r="CD81" s="1">
        <v>0.0</v>
      </c>
      <c r="CE81" s="1">
        <v>0.501</v>
      </c>
      <c r="CF81" s="1">
        <v>0.0</v>
      </c>
      <c r="CG81" s="1">
        <v>1.488</v>
      </c>
      <c r="CH81" s="1">
        <v>0.171</v>
      </c>
      <c r="CI81" s="1">
        <v>4.7495</v>
      </c>
      <c r="CJ81" s="1">
        <v>0.1682</v>
      </c>
      <c r="CK81" s="1">
        <v>0.0</v>
      </c>
      <c r="CL81" s="1">
        <v>0.0</v>
      </c>
      <c r="CM81" s="1">
        <v>0.0</v>
      </c>
      <c r="CN81" s="1">
        <v>0.0</v>
      </c>
      <c r="CO81" s="1">
        <v>0.0</v>
      </c>
      <c r="CP81" s="1">
        <v>0.0</v>
      </c>
      <c r="CQ81" s="1">
        <v>0.0</v>
      </c>
      <c r="CR81" s="1">
        <v>0.0</v>
      </c>
      <c r="CS81" s="1">
        <v>0.0</v>
      </c>
      <c r="CT81" s="1">
        <v>0.0</v>
      </c>
      <c r="CU81" s="1">
        <v>0.0</v>
      </c>
      <c r="CV81" s="1">
        <v>0.0</v>
      </c>
      <c r="CW81" s="1">
        <v>0.0</v>
      </c>
      <c r="CX81" s="1">
        <v>1.0</v>
      </c>
      <c r="CY81" s="1">
        <v>0.0</v>
      </c>
      <c r="CZ81" s="1">
        <v>0.0</v>
      </c>
      <c r="DA81" s="1">
        <v>0.0</v>
      </c>
      <c r="DB81" s="1">
        <v>1.0</v>
      </c>
      <c r="DC81" s="1">
        <v>1.0</v>
      </c>
      <c r="DD81" s="1" t="s">
        <v>497</v>
      </c>
      <c r="DE81" s="1">
        <v>0.031531507747083</v>
      </c>
      <c r="DF81" s="2" t="s">
        <v>498</v>
      </c>
    </row>
    <row r="82" ht="15.75" customHeight="1">
      <c r="A82" s="1" t="s">
        <v>499</v>
      </c>
      <c r="B82" s="1">
        <v>29.0</v>
      </c>
      <c r="C82" s="2" t="s">
        <v>464</v>
      </c>
      <c r="D82" s="2" t="s">
        <v>500</v>
      </c>
      <c r="E82" s="1">
        <v>3.651</v>
      </c>
      <c r="F82" s="1">
        <v>29021.0</v>
      </c>
      <c r="G82" s="1">
        <v>2.9021003E10</v>
      </c>
      <c r="H82" s="1" t="s">
        <v>112</v>
      </c>
      <c r="I82" s="1" t="s">
        <v>113</v>
      </c>
      <c r="J82" s="1" t="s">
        <v>466</v>
      </c>
      <c r="K82" s="1" t="s">
        <v>501</v>
      </c>
      <c r="L82" s="1">
        <v>6308.0</v>
      </c>
      <c r="M82" s="1">
        <v>5472.0</v>
      </c>
      <c r="N82" s="1">
        <v>562.0</v>
      </c>
      <c r="O82" s="1">
        <v>2881.0</v>
      </c>
      <c r="P82" s="1">
        <v>2682.0</v>
      </c>
      <c r="Q82" s="1">
        <v>122.0</v>
      </c>
      <c r="R82" s="1">
        <v>2393.0</v>
      </c>
      <c r="S82" s="1">
        <v>1379.0</v>
      </c>
      <c r="T82" s="1">
        <v>480.0</v>
      </c>
      <c r="U82" s="1">
        <v>418.0</v>
      </c>
      <c r="V82" s="1">
        <v>314.0</v>
      </c>
      <c r="W82" s="1">
        <v>15977.0</v>
      </c>
      <c r="X82" s="1">
        <v>2092.0</v>
      </c>
      <c r="Y82" s="1">
        <v>1061.0</v>
      </c>
      <c r="Z82" s="1">
        <v>252.0</v>
      </c>
      <c r="AA82" s="1">
        <v>572.0</v>
      </c>
      <c r="AB82" s="1">
        <v>1651.0</v>
      </c>
      <c r="AC82" s="1">
        <v>445.0</v>
      </c>
      <c r="AD82" s="1">
        <v>1333.0</v>
      </c>
      <c r="AE82" s="1">
        <v>201.0</v>
      </c>
      <c r="AF82" s="1">
        <v>445.0</v>
      </c>
      <c r="AG82" s="1">
        <v>58.0</v>
      </c>
      <c r="AH82" s="1">
        <v>43.0</v>
      </c>
      <c r="AI82" s="1">
        <v>62.0</v>
      </c>
      <c r="AJ82" s="1">
        <v>49.0</v>
      </c>
      <c r="AK82" s="1">
        <v>30.0</v>
      </c>
      <c r="AL82" s="1">
        <v>117.0</v>
      </c>
      <c r="AM82" s="1">
        <v>262.0</v>
      </c>
      <c r="AN82" s="1">
        <v>109.0</v>
      </c>
      <c r="AO82" s="1">
        <v>114.0</v>
      </c>
      <c r="AP82" s="1">
        <v>0.253306</v>
      </c>
      <c r="AQ82" s="1">
        <v>0.084275</v>
      </c>
      <c r="AR82" s="1">
        <v>0.15539</v>
      </c>
      <c r="AS82" s="1">
        <v>0.115227</v>
      </c>
      <c r="AT82" s="1">
        <v>15977.0</v>
      </c>
      <c r="AU82" s="1">
        <v>2092.0</v>
      </c>
      <c r="AV82" s="1">
        <v>0.298789</v>
      </c>
      <c r="AW82" s="1">
        <v>0.065343</v>
      </c>
      <c r="AX82" s="1">
        <v>0.090678</v>
      </c>
      <c r="AY82" s="1">
        <v>0.261731</v>
      </c>
      <c r="AZ82" s="1">
        <v>0.18595904</v>
      </c>
      <c r="BA82" s="1">
        <v>0.211318</v>
      </c>
      <c r="BB82" s="1">
        <v>0.039074</v>
      </c>
      <c r="BC82" s="1">
        <v>0.086415</v>
      </c>
      <c r="BD82" s="1">
        <v>0.021625</v>
      </c>
      <c r="BE82" s="1">
        <v>0.016002</v>
      </c>
      <c r="BF82" s="1">
        <v>0.023117</v>
      </c>
      <c r="BG82" s="1">
        <v>0.018239</v>
      </c>
      <c r="BH82" s="1">
        <v>0.014409</v>
      </c>
      <c r="BI82" s="1">
        <v>0.05618</v>
      </c>
      <c r="BJ82" s="1">
        <v>0.12584</v>
      </c>
      <c r="BK82" s="1">
        <v>0.051105</v>
      </c>
      <c r="BL82" s="1">
        <v>0.018072</v>
      </c>
      <c r="BM82" s="1">
        <v>0.831</v>
      </c>
      <c r="BN82" s="1">
        <v>0.907</v>
      </c>
      <c r="BO82" s="1">
        <v>0.839</v>
      </c>
      <c r="BP82" s="1">
        <v>0.943</v>
      </c>
      <c r="BQ82" s="1">
        <v>3.52</v>
      </c>
      <c r="BR82" s="1">
        <v>0.9249</v>
      </c>
      <c r="BS82" s="1">
        <v>0.164</v>
      </c>
      <c r="BT82" s="1">
        <v>0.716</v>
      </c>
      <c r="BU82" s="1">
        <v>0.876</v>
      </c>
      <c r="BV82" s="1">
        <v>1.756</v>
      </c>
      <c r="BW82" s="1">
        <v>0.687</v>
      </c>
      <c r="BX82" s="1">
        <v>0.723</v>
      </c>
      <c r="BY82" s="1">
        <v>0.943</v>
      </c>
      <c r="BZ82" s="1">
        <v>1.666</v>
      </c>
      <c r="CA82" s="1">
        <v>0.905</v>
      </c>
      <c r="CB82" s="1">
        <v>0.484</v>
      </c>
      <c r="CC82" s="1">
        <v>0.528</v>
      </c>
      <c r="CD82" s="1">
        <v>0.58</v>
      </c>
      <c r="CE82" s="1">
        <v>0.82</v>
      </c>
      <c r="CF82" s="1">
        <v>0.687</v>
      </c>
      <c r="CG82" s="1">
        <v>3.099</v>
      </c>
      <c r="CH82" s="1">
        <v>0.816</v>
      </c>
      <c r="CI82" s="1">
        <v>10.041</v>
      </c>
      <c r="CJ82" s="1">
        <v>0.9495</v>
      </c>
      <c r="CK82" s="1">
        <v>0.0</v>
      </c>
      <c r="CL82" s="1">
        <v>1.0</v>
      </c>
      <c r="CM82" s="1">
        <v>0.0</v>
      </c>
      <c r="CN82" s="1">
        <v>1.0</v>
      </c>
      <c r="CO82" s="1">
        <v>2.0</v>
      </c>
      <c r="CP82" s="1">
        <v>0.0</v>
      </c>
      <c r="CQ82" s="1">
        <v>0.0</v>
      </c>
      <c r="CR82" s="1">
        <v>0.0</v>
      </c>
      <c r="CS82" s="1">
        <v>0.0</v>
      </c>
      <c r="CT82" s="1">
        <v>0.0</v>
      </c>
      <c r="CU82" s="1">
        <v>1.0</v>
      </c>
      <c r="CV82" s="1">
        <v>1.0</v>
      </c>
      <c r="CW82" s="1">
        <v>0.0</v>
      </c>
      <c r="CX82" s="1">
        <v>0.0</v>
      </c>
      <c r="CY82" s="1">
        <v>0.0</v>
      </c>
      <c r="CZ82" s="1">
        <v>0.0</v>
      </c>
      <c r="DA82" s="1">
        <v>0.0</v>
      </c>
      <c r="DB82" s="1">
        <v>0.0</v>
      </c>
      <c r="DC82" s="1">
        <v>3.0</v>
      </c>
      <c r="DD82" s="1" t="s">
        <v>502</v>
      </c>
      <c r="DE82" s="1">
        <v>0.00110865334001965</v>
      </c>
      <c r="DF82" s="2" t="s">
        <v>503</v>
      </c>
    </row>
    <row r="83" ht="15.75" customHeight="1">
      <c r="A83" s="1" t="s">
        <v>504</v>
      </c>
      <c r="B83" s="1">
        <v>29.0</v>
      </c>
      <c r="C83" s="2" t="s">
        <v>464</v>
      </c>
      <c r="D83" s="2" t="s">
        <v>329</v>
      </c>
      <c r="E83" s="1">
        <v>1.066</v>
      </c>
      <c r="F83" s="1">
        <v>29021.0</v>
      </c>
      <c r="G83" s="1">
        <v>2.90210005E10</v>
      </c>
      <c r="H83" s="1" t="s">
        <v>112</v>
      </c>
      <c r="I83" s="1" t="s">
        <v>113</v>
      </c>
      <c r="J83" s="1" t="s">
        <v>466</v>
      </c>
      <c r="K83" s="1" t="s">
        <v>505</v>
      </c>
      <c r="L83" s="1">
        <v>2947.0</v>
      </c>
      <c r="M83" s="1">
        <v>2715.0</v>
      </c>
      <c r="N83" s="1">
        <v>229.0</v>
      </c>
      <c r="O83" s="1">
        <v>1257.0</v>
      </c>
      <c r="P83" s="1">
        <v>1229.0</v>
      </c>
      <c r="Q83" s="1">
        <v>71.0</v>
      </c>
      <c r="R83" s="1">
        <v>1147.0</v>
      </c>
      <c r="S83" s="1">
        <v>424.0</v>
      </c>
      <c r="T83" s="1">
        <v>182.0</v>
      </c>
      <c r="U83" s="1">
        <v>69.0</v>
      </c>
      <c r="V83" s="1">
        <v>459.0</v>
      </c>
      <c r="W83" s="1">
        <v>23988.0</v>
      </c>
      <c r="X83" s="1">
        <v>3073.0</v>
      </c>
      <c r="Y83" s="1">
        <v>268.0</v>
      </c>
      <c r="Z83" s="1">
        <v>249.0</v>
      </c>
      <c r="AA83" s="1">
        <v>498.0</v>
      </c>
      <c r="AB83" s="1">
        <v>724.0</v>
      </c>
      <c r="AC83" s="1">
        <v>156.0</v>
      </c>
      <c r="AD83" s="1">
        <v>279.0</v>
      </c>
      <c r="AE83" s="1">
        <v>32.0</v>
      </c>
      <c r="AF83" s="1">
        <v>443.0</v>
      </c>
      <c r="AG83" s="1">
        <v>17.0</v>
      </c>
      <c r="AH83" s="1">
        <v>164.0</v>
      </c>
      <c r="AI83" s="1">
        <v>131.0</v>
      </c>
      <c r="AJ83" s="1">
        <v>60.0</v>
      </c>
      <c r="AK83" s="1">
        <v>15.0</v>
      </c>
      <c r="AL83" s="1">
        <v>116.0</v>
      </c>
      <c r="AM83" s="1">
        <v>64.0</v>
      </c>
      <c r="AN83" s="1">
        <v>56.0</v>
      </c>
      <c r="AO83" s="1">
        <v>112.0</v>
      </c>
      <c r="AP83" s="1">
        <v>0.156169</v>
      </c>
      <c r="AQ83" s="1">
        <v>0.065728</v>
      </c>
      <c r="AR83" s="1">
        <v>0.054502</v>
      </c>
      <c r="AS83" s="1">
        <v>0.362447</v>
      </c>
      <c r="AT83" s="1">
        <v>23988.0</v>
      </c>
      <c r="AU83" s="1">
        <v>3073.0</v>
      </c>
      <c r="AV83" s="1">
        <v>0.138788</v>
      </c>
      <c r="AW83" s="1">
        <v>0.128555</v>
      </c>
      <c r="AX83" s="1">
        <v>0.168985</v>
      </c>
      <c r="AY83" s="1">
        <v>0.245673</v>
      </c>
      <c r="AZ83" s="1">
        <v>0.13600697</v>
      </c>
      <c r="BA83" s="1">
        <v>0.094672</v>
      </c>
      <c r="BB83" s="1">
        <v>0.012877</v>
      </c>
      <c r="BC83" s="1">
        <v>0.178266</v>
      </c>
      <c r="BD83" s="1">
        <v>0.013832</v>
      </c>
      <c r="BE83" s="1">
        <v>0.133439</v>
      </c>
      <c r="BF83" s="1">
        <v>0.10659</v>
      </c>
      <c r="BG83" s="1">
        <v>0.04843</v>
      </c>
      <c r="BH83" s="1">
        <v>0.013192</v>
      </c>
      <c r="BI83" s="1">
        <v>0.102019</v>
      </c>
      <c r="BJ83" s="1">
        <v>0.056288</v>
      </c>
      <c r="BK83" s="1">
        <v>0.049126</v>
      </c>
      <c r="BL83" s="1">
        <v>0.038004</v>
      </c>
      <c r="BM83" s="1">
        <v>0.6</v>
      </c>
      <c r="BN83" s="1">
        <v>0.341</v>
      </c>
      <c r="BO83" s="1">
        <v>0.3957</v>
      </c>
      <c r="BP83" s="1">
        <v>0.519</v>
      </c>
      <c r="BQ83" s="1">
        <v>1.8557</v>
      </c>
      <c r="BR83" s="1">
        <v>0.4498</v>
      </c>
      <c r="BS83" s="1">
        <v>0.729</v>
      </c>
      <c r="BT83" s="1">
        <v>0.553</v>
      </c>
      <c r="BU83" s="1">
        <v>0.743</v>
      </c>
      <c r="BV83" s="1">
        <v>2.025</v>
      </c>
      <c r="BW83" s="1">
        <v>0.874</v>
      </c>
      <c r="BX83" s="1">
        <v>0.448</v>
      </c>
      <c r="BY83" s="1">
        <v>0.784</v>
      </c>
      <c r="BZ83" s="1">
        <v>1.232</v>
      </c>
      <c r="CA83" s="1">
        <v>0.677</v>
      </c>
      <c r="CB83" s="1">
        <v>0.418</v>
      </c>
      <c r="CC83" s="1">
        <v>0.731</v>
      </c>
      <c r="CD83" s="1">
        <v>0.554</v>
      </c>
      <c r="CE83" s="1">
        <v>0.543</v>
      </c>
      <c r="CF83" s="1">
        <v>0.858</v>
      </c>
      <c r="CG83" s="1">
        <v>3.104</v>
      </c>
      <c r="CH83" s="1">
        <v>0.817</v>
      </c>
      <c r="CI83" s="1">
        <v>8.2167</v>
      </c>
      <c r="CJ83" s="1">
        <v>0.7466</v>
      </c>
      <c r="CK83" s="1">
        <v>0.0</v>
      </c>
      <c r="CL83" s="1">
        <v>0.0</v>
      </c>
      <c r="CM83" s="1">
        <v>0.0</v>
      </c>
      <c r="CN83" s="1">
        <v>0.0</v>
      </c>
      <c r="CO83" s="1">
        <v>0.0</v>
      </c>
      <c r="CP83" s="1">
        <v>0.0</v>
      </c>
      <c r="CQ83" s="1">
        <v>0.0</v>
      </c>
      <c r="CR83" s="1">
        <v>0.0</v>
      </c>
      <c r="CS83" s="1">
        <v>0.0</v>
      </c>
      <c r="CT83" s="1">
        <v>0.0</v>
      </c>
      <c r="CU83" s="1">
        <v>0.0</v>
      </c>
      <c r="CV83" s="1">
        <v>0.0</v>
      </c>
      <c r="CW83" s="1">
        <v>0.0</v>
      </c>
      <c r="CX83" s="1">
        <v>0.0</v>
      </c>
      <c r="CY83" s="1">
        <v>0.0</v>
      </c>
      <c r="CZ83" s="1">
        <v>0.0</v>
      </c>
      <c r="DA83" s="1">
        <v>0.0</v>
      </c>
      <c r="DB83" s="1">
        <v>0.0</v>
      </c>
      <c r="DC83" s="1">
        <v>0.0</v>
      </c>
      <c r="DD83" s="1" t="s">
        <v>506</v>
      </c>
      <c r="DE83" s="1">
        <v>2.90491073922628E-4</v>
      </c>
      <c r="DF83" s="1">
        <v>0.0758406608160222</v>
      </c>
    </row>
    <row r="84" ht="15.75" customHeight="1">
      <c r="A84" s="1" t="s">
        <v>507</v>
      </c>
      <c r="B84" s="1">
        <v>29.0</v>
      </c>
      <c r="C84" s="2" t="s">
        <v>464</v>
      </c>
      <c r="D84" s="2" t="s">
        <v>333</v>
      </c>
      <c r="E84" s="1">
        <v>2.071</v>
      </c>
      <c r="F84" s="1">
        <v>29021.0</v>
      </c>
      <c r="G84" s="1">
        <v>2.90210006E10</v>
      </c>
      <c r="H84" s="1" t="s">
        <v>112</v>
      </c>
      <c r="I84" s="1" t="s">
        <v>113</v>
      </c>
      <c r="J84" s="1" t="s">
        <v>466</v>
      </c>
      <c r="K84" s="1" t="s">
        <v>508</v>
      </c>
      <c r="L84" s="1">
        <v>5432.0</v>
      </c>
      <c r="M84" s="1">
        <v>5397.0</v>
      </c>
      <c r="N84" s="1">
        <v>274.0</v>
      </c>
      <c r="O84" s="1">
        <v>1430.0</v>
      </c>
      <c r="P84" s="1">
        <v>1445.0</v>
      </c>
      <c r="Q84" s="1">
        <v>59.0</v>
      </c>
      <c r="R84" s="1">
        <v>1345.0</v>
      </c>
      <c r="S84" s="1">
        <v>357.0</v>
      </c>
      <c r="T84" s="1">
        <v>229.0</v>
      </c>
      <c r="U84" s="1">
        <v>151.0</v>
      </c>
      <c r="V84" s="1">
        <v>420.0</v>
      </c>
      <c r="W84" s="1">
        <v>20123.0</v>
      </c>
      <c r="X84" s="1">
        <v>2540.0</v>
      </c>
      <c r="Y84" s="1">
        <v>665.0</v>
      </c>
      <c r="Z84" s="1">
        <v>366.0</v>
      </c>
      <c r="AA84" s="1">
        <v>532.0</v>
      </c>
      <c r="AB84" s="1">
        <v>792.0</v>
      </c>
      <c r="AC84" s="1">
        <v>154.0</v>
      </c>
      <c r="AD84" s="1">
        <v>1041.0</v>
      </c>
      <c r="AE84" s="1">
        <v>0.0</v>
      </c>
      <c r="AF84" s="1">
        <v>456.0</v>
      </c>
      <c r="AG84" s="1">
        <v>42.0</v>
      </c>
      <c r="AH84" s="1">
        <v>124.0</v>
      </c>
      <c r="AI84" s="1">
        <v>0.0</v>
      </c>
      <c r="AJ84" s="1">
        <v>114.0</v>
      </c>
      <c r="AK84" s="1">
        <v>14.0</v>
      </c>
      <c r="AL84" s="1">
        <v>116.0</v>
      </c>
      <c r="AM84" s="1">
        <v>0.0</v>
      </c>
      <c r="AN84" s="1">
        <v>161.0</v>
      </c>
      <c r="AO84" s="1">
        <v>2212.0</v>
      </c>
      <c r="AP84" s="1">
        <v>0.11479</v>
      </c>
      <c r="AQ84" s="1">
        <v>0.073171</v>
      </c>
      <c r="AR84" s="1">
        <v>0.09298</v>
      </c>
      <c r="AS84" s="1">
        <v>0.258126</v>
      </c>
      <c r="AT84" s="1">
        <v>20123.0</v>
      </c>
      <c r="AU84" s="1">
        <v>2540.0</v>
      </c>
      <c r="AV84" s="1">
        <v>0.160511</v>
      </c>
      <c r="AW84" s="1">
        <v>0.087925</v>
      </c>
      <c r="AX84" s="1">
        <v>0.097938</v>
      </c>
      <c r="AY84" s="1">
        <v>0.145802</v>
      </c>
      <c r="AZ84" s="1">
        <v>0.11449814</v>
      </c>
      <c r="BA84" s="1">
        <v>0.191642</v>
      </c>
      <c r="BB84" s="1">
        <v>0.0</v>
      </c>
      <c r="BC84" s="1">
        <v>0.089289</v>
      </c>
      <c r="BD84" s="1">
        <v>0.029065</v>
      </c>
      <c r="BE84" s="1">
        <v>0.085804</v>
      </c>
      <c r="BF84" s="1">
        <v>0.0</v>
      </c>
      <c r="BG84" s="1">
        <v>0.078892</v>
      </c>
      <c r="BH84" s="1">
        <v>0.010152</v>
      </c>
      <c r="BI84" s="1">
        <v>0.084116</v>
      </c>
      <c r="BJ84" s="1">
        <v>0.0</v>
      </c>
      <c r="BK84" s="1">
        <v>0.116751</v>
      </c>
      <c r="BL84" s="1">
        <v>0.407216</v>
      </c>
      <c r="BM84" s="1">
        <v>0.433</v>
      </c>
      <c r="BN84" s="1">
        <v>0.697</v>
      </c>
      <c r="BO84" s="1">
        <v>0.6043</v>
      </c>
      <c r="BP84" s="1">
        <v>0.614</v>
      </c>
      <c r="BQ84" s="1">
        <v>2.3483</v>
      </c>
      <c r="BR84" s="1">
        <v>0.613</v>
      </c>
      <c r="BS84" s="1">
        <v>0.2</v>
      </c>
      <c r="BT84" s="1">
        <v>0.061</v>
      </c>
      <c r="BU84" s="1">
        <v>0.625</v>
      </c>
      <c r="BV84" s="1">
        <v>0.886</v>
      </c>
      <c r="BW84" s="1">
        <v>0.089</v>
      </c>
      <c r="BX84" s="1">
        <v>0.699</v>
      </c>
      <c r="BY84" s="1">
        <v>0.0</v>
      </c>
      <c r="BZ84" s="1">
        <v>0.699</v>
      </c>
      <c r="CA84" s="1">
        <v>0.335</v>
      </c>
      <c r="CB84" s="1">
        <v>0.544</v>
      </c>
      <c r="CC84" s="1">
        <v>0.0</v>
      </c>
      <c r="CD84" s="1">
        <v>0.481</v>
      </c>
      <c r="CE84" s="1">
        <v>0.0</v>
      </c>
      <c r="CF84" s="1">
        <v>0.989</v>
      </c>
      <c r="CG84" s="1">
        <v>2.014</v>
      </c>
      <c r="CH84" s="1">
        <v>0.355</v>
      </c>
      <c r="CI84" s="1">
        <v>5.9473</v>
      </c>
      <c r="CJ84" s="1">
        <v>0.3625</v>
      </c>
      <c r="CK84" s="1">
        <v>0.0</v>
      </c>
      <c r="CL84" s="1">
        <v>0.0</v>
      </c>
      <c r="CM84" s="1">
        <v>0.0</v>
      </c>
      <c r="CN84" s="1">
        <v>0.0</v>
      </c>
      <c r="CO84" s="1">
        <v>0.0</v>
      </c>
      <c r="CP84" s="1">
        <v>0.0</v>
      </c>
      <c r="CQ84" s="1">
        <v>0.0</v>
      </c>
      <c r="CR84" s="1">
        <v>0.0</v>
      </c>
      <c r="CS84" s="1">
        <v>0.0</v>
      </c>
      <c r="CT84" s="1">
        <v>0.0</v>
      </c>
      <c r="CU84" s="1">
        <v>0.0</v>
      </c>
      <c r="CV84" s="1">
        <v>0.0</v>
      </c>
      <c r="CW84" s="1">
        <v>0.0</v>
      </c>
      <c r="CX84" s="1">
        <v>0.0</v>
      </c>
      <c r="CY84" s="1">
        <v>0.0</v>
      </c>
      <c r="CZ84" s="1">
        <v>0.0</v>
      </c>
      <c r="DA84" s="1">
        <v>1.0</v>
      </c>
      <c r="DB84" s="1">
        <v>1.0</v>
      </c>
      <c r="DC84" s="1">
        <v>1.0</v>
      </c>
      <c r="DD84" s="1" t="s">
        <v>509</v>
      </c>
      <c r="DE84" s="1">
        <v>5.65520456016014E-4</v>
      </c>
      <c r="DF84" s="2" t="s">
        <v>510</v>
      </c>
    </row>
    <row r="85" ht="15.75" customHeight="1">
      <c r="A85" s="1" t="s">
        <v>511</v>
      </c>
      <c r="B85" s="1">
        <v>29.0</v>
      </c>
      <c r="C85" s="2" t="s">
        <v>464</v>
      </c>
      <c r="D85" s="2" t="s">
        <v>512</v>
      </c>
      <c r="E85" s="1">
        <v>1.902</v>
      </c>
      <c r="F85" s="1">
        <v>29021.0</v>
      </c>
      <c r="G85" s="1">
        <v>2.9021000702E10</v>
      </c>
      <c r="H85" s="1" t="s">
        <v>112</v>
      </c>
      <c r="I85" s="1" t="s">
        <v>113</v>
      </c>
      <c r="J85" s="1" t="s">
        <v>466</v>
      </c>
      <c r="K85" s="1" t="s">
        <v>513</v>
      </c>
      <c r="L85" s="1">
        <v>4495.0</v>
      </c>
      <c r="M85" s="1">
        <v>4268.0</v>
      </c>
      <c r="N85" s="1">
        <v>317.0</v>
      </c>
      <c r="O85" s="1">
        <v>2227.0</v>
      </c>
      <c r="P85" s="1">
        <v>2250.0</v>
      </c>
      <c r="Q85" s="1">
        <v>127.0</v>
      </c>
      <c r="R85" s="1">
        <v>2160.0</v>
      </c>
      <c r="S85" s="1">
        <v>536.0</v>
      </c>
      <c r="T85" s="1">
        <v>207.0</v>
      </c>
      <c r="U85" s="1">
        <v>65.0</v>
      </c>
      <c r="V85" s="1">
        <v>459.0</v>
      </c>
      <c r="W85" s="1">
        <v>30249.0</v>
      </c>
      <c r="X85" s="1">
        <v>8197.0</v>
      </c>
      <c r="Y85" s="1">
        <v>280.0</v>
      </c>
      <c r="Z85" s="1">
        <v>319.0</v>
      </c>
      <c r="AA85" s="1">
        <v>1192.0</v>
      </c>
      <c r="AB85" s="1">
        <v>901.0</v>
      </c>
      <c r="AC85" s="1">
        <v>235.0</v>
      </c>
      <c r="AD85" s="1">
        <v>614.0</v>
      </c>
      <c r="AE85" s="1">
        <v>34.0</v>
      </c>
      <c r="AF85" s="1">
        <v>428.0</v>
      </c>
      <c r="AG85" s="1">
        <v>671.0</v>
      </c>
      <c r="AH85" s="1">
        <v>154.0</v>
      </c>
      <c r="AI85" s="1">
        <v>0.0</v>
      </c>
      <c r="AJ85" s="1">
        <v>114.0</v>
      </c>
      <c r="AK85" s="1">
        <v>31.0</v>
      </c>
      <c r="AL85" s="1">
        <v>119.0</v>
      </c>
      <c r="AM85" s="1">
        <v>379.0</v>
      </c>
      <c r="AN85" s="1">
        <v>161.0</v>
      </c>
      <c r="AO85" s="1">
        <v>97.0</v>
      </c>
      <c r="AP85" s="1">
        <v>0.127862</v>
      </c>
      <c r="AQ85" s="1">
        <v>0.048558</v>
      </c>
      <c r="AR85" s="1">
        <v>0.037945</v>
      </c>
      <c r="AS85" s="1">
        <v>0.267877</v>
      </c>
      <c r="AT85" s="1">
        <v>30249.0</v>
      </c>
      <c r="AU85" s="1">
        <v>8197.0</v>
      </c>
      <c r="AV85" s="1">
        <v>0.084388</v>
      </c>
      <c r="AW85" s="1">
        <v>0.095905</v>
      </c>
      <c r="AX85" s="1">
        <v>0.265183</v>
      </c>
      <c r="AY85" s="1">
        <v>0.200444</v>
      </c>
      <c r="AZ85" s="1">
        <v>0.10879629</v>
      </c>
      <c r="BA85" s="1">
        <v>0.136596</v>
      </c>
      <c r="BB85" s="1">
        <v>0.008525</v>
      </c>
      <c r="BC85" s="1">
        <v>0.10732</v>
      </c>
      <c r="BD85" s="1">
        <v>0.298222</v>
      </c>
      <c r="BE85" s="1">
        <v>0.066342</v>
      </c>
      <c r="BF85" s="1">
        <v>0.0</v>
      </c>
      <c r="BG85" s="1">
        <v>0.050666</v>
      </c>
      <c r="BH85" s="1">
        <v>0.014097</v>
      </c>
      <c r="BI85" s="1">
        <v>0.054107</v>
      </c>
      <c r="BJ85" s="1">
        <v>0.172351</v>
      </c>
      <c r="BK85" s="1">
        <v>0.072364</v>
      </c>
      <c r="BL85" s="1">
        <v>0.021579</v>
      </c>
      <c r="BM85" s="1">
        <v>0.487</v>
      </c>
      <c r="BN85" s="1">
        <v>0.162</v>
      </c>
      <c r="BO85" s="1">
        <v>0.1913</v>
      </c>
      <c r="BP85" s="1">
        <v>0.266</v>
      </c>
      <c r="BQ85" s="1">
        <v>1.1063</v>
      </c>
      <c r="BR85" s="1">
        <v>0.2289</v>
      </c>
      <c r="BS85" s="1">
        <v>0.978</v>
      </c>
      <c r="BT85" s="1">
        <v>0.187</v>
      </c>
      <c r="BU85" s="1">
        <v>0.573</v>
      </c>
      <c r="BV85" s="1">
        <v>1.738</v>
      </c>
      <c r="BW85" s="1">
        <v>0.673</v>
      </c>
      <c r="BX85" s="1">
        <v>0.58</v>
      </c>
      <c r="BY85" s="1">
        <v>0.681</v>
      </c>
      <c r="BZ85" s="1">
        <v>1.261</v>
      </c>
      <c r="CA85" s="1">
        <v>0.689</v>
      </c>
      <c r="CB85" s="1">
        <v>0.943</v>
      </c>
      <c r="CC85" s="1">
        <v>0.0</v>
      </c>
      <c r="CD85" s="1">
        <v>0.573</v>
      </c>
      <c r="CE85" s="1">
        <v>0.881</v>
      </c>
      <c r="CF85" s="1">
        <v>0.728</v>
      </c>
      <c r="CG85" s="1">
        <v>3.125</v>
      </c>
      <c r="CH85" s="1">
        <v>0.822</v>
      </c>
      <c r="CI85" s="1">
        <v>7.2303</v>
      </c>
      <c r="CJ85" s="1">
        <v>0.5986</v>
      </c>
      <c r="CK85" s="1">
        <v>0.0</v>
      </c>
      <c r="CL85" s="1">
        <v>0.0</v>
      </c>
      <c r="CM85" s="1">
        <v>0.0</v>
      </c>
      <c r="CN85" s="1">
        <v>0.0</v>
      </c>
      <c r="CO85" s="1">
        <v>0.0</v>
      </c>
      <c r="CP85" s="1">
        <v>1.0</v>
      </c>
      <c r="CQ85" s="1">
        <v>0.0</v>
      </c>
      <c r="CR85" s="1">
        <v>0.0</v>
      </c>
      <c r="CS85" s="1">
        <v>1.0</v>
      </c>
      <c r="CT85" s="1">
        <v>0.0</v>
      </c>
      <c r="CU85" s="1">
        <v>0.0</v>
      </c>
      <c r="CV85" s="1">
        <v>0.0</v>
      </c>
      <c r="CW85" s="1">
        <v>1.0</v>
      </c>
      <c r="CX85" s="1">
        <v>0.0</v>
      </c>
      <c r="CY85" s="1">
        <v>0.0</v>
      </c>
      <c r="CZ85" s="1">
        <v>0.0</v>
      </c>
      <c r="DA85" s="1">
        <v>0.0</v>
      </c>
      <c r="DB85" s="1">
        <v>1.0</v>
      </c>
      <c r="DC85" s="1">
        <v>2.0</v>
      </c>
      <c r="DD85" s="1" t="s">
        <v>514</v>
      </c>
      <c r="DE85" s="1">
        <v>5.22768414454675E-4</v>
      </c>
      <c r="DF85" s="2" t="s">
        <v>515</v>
      </c>
    </row>
    <row r="86" ht="15.75" customHeight="1">
      <c r="A86" s="1" t="s">
        <v>516</v>
      </c>
      <c r="B86" s="1">
        <v>29.0</v>
      </c>
      <c r="C86" s="2" t="s">
        <v>464</v>
      </c>
      <c r="D86" s="2" t="s">
        <v>389</v>
      </c>
      <c r="E86" s="1">
        <v>0.841</v>
      </c>
      <c r="F86" s="1">
        <v>29021.0</v>
      </c>
      <c r="G86" s="1">
        <v>2.90210009E10</v>
      </c>
      <c r="H86" s="1" t="s">
        <v>112</v>
      </c>
      <c r="I86" s="1" t="s">
        <v>113</v>
      </c>
      <c r="J86" s="1" t="s">
        <v>466</v>
      </c>
      <c r="K86" s="1" t="s">
        <v>517</v>
      </c>
      <c r="L86" s="1">
        <v>4725.0</v>
      </c>
      <c r="M86" s="1">
        <v>4764.0</v>
      </c>
      <c r="N86" s="1">
        <v>517.0</v>
      </c>
      <c r="O86" s="1">
        <v>2182.0</v>
      </c>
      <c r="P86" s="1">
        <v>2149.0</v>
      </c>
      <c r="Q86" s="1">
        <v>115.0</v>
      </c>
      <c r="R86" s="1">
        <v>1952.0</v>
      </c>
      <c r="S86" s="1">
        <v>541.0</v>
      </c>
      <c r="T86" s="1">
        <v>333.0</v>
      </c>
      <c r="U86" s="1">
        <v>155.0</v>
      </c>
      <c r="V86" s="1">
        <v>441.0</v>
      </c>
      <c r="W86" s="1">
        <v>19273.0</v>
      </c>
      <c r="X86" s="1">
        <v>1826.0</v>
      </c>
      <c r="Y86" s="1">
        <v>263.0</v>
      </c>
      <c r="Z86" s="1">
        <v>324.0</v>
      </c>
      <c r="AA86" s="1">
        <v>562.0</v>
      </c>
      <c r="AB86" s="1">
        <v>1173.0</v>
      </c>
      <c r="AC86" s="1">
        <v>310.0</v>
      </c>
      <c r="AD86" s="1">
        <v>791.0</v>
      </c>
      <c r="AE86" s="1">
        <v>0.0</v>
      </c>
      <c r="AF86" s="1">
        <v>456.0</v>
      </c>
      <c r="AG86" s="1">
        <v>156.0</v>
      </c>
      <c r="AH86" s="1">
        <v>92.0</v>
      </c>
      <c r="AI86" s="1">
        <v>14.0</v>
      </c>
      <c r="AJ86" s="1">
        <v>20.0</v>
      </c>
      <c r="AK86" s="1">
        <v>0.0</v>
      </c>
      <c r="AL86" s="1">
        <v>161.0</v>
      </c>
      <c r="AM86" s="1">
        <v>141.0</v>
      </c>
      <c r="AN86" s="1">
        <v>102.0</v>
      </c>
      <c r="AO86" s="1">
        <v>39.0</v>
      </c>
      <c r="AP86" s="1">
        <v>0.11356</v>
      </c>
      <c r="AQ86" s="1">
        <v>0.068804</v>
      </c>
      <c r="AR86" s="1">
        <v>0.062525</v>
      </c>
      <c r="AS86" s="1">
        <v>0.17767</v>
      </c>
      <c r="AT86" s="1">
        <v>19273.0</v>
      </c>
      <c r="AU86" s="1">
        <v>1826.0</v>
      </c>
      <c r="AV86" s="1">
        <v>0.084213</v>
      </c>
      <c r="AW86" s="1">
        <v>0.103488</v>
      </c>
      <c r="AX86" s="1">
        <v>0.118941</v>
      </c>
      <c r="AY86" s="1">
        <v>0.248253</v>
      </c>
      <c r="AZ86" s="1">
        <v>0.15881147</v>
      </c>
      <c r="BA86" s="1">
        <v>0.167407</v>
      </c>
      <c r="BB86" s="1">
        <v>0.0</v>
      </c>
      <c r="BC86" s="1">
        <v>0.104899</v>
      </c>
      <c r="BD86" s="1">
        <v>0.072591</v>
      </c>
      <c r="BE86" s="1">
        <v>0.042633</v>
      </c>
      <c r="BF86" s="1">
        <v>0.006514</v>
      </c>
      <c r="BG86" s="1">
        <v>0.0093</v>
      </c>
      <c r="BH86" s="1">
        <v>0.0</v>
      </c>
      <c r="BI86" s="1">
        <v>0.086886</v>
      </c>
      <c r="BJ86" s="1">
        <v>0.076092</v>
      </c>
      <c r="BK86" s="1">
        <v>0.054617</v>
      </c>
      <c r="BL86" s="1">
        <v>0.008253</v>
      </c>
      <c r="BM86" s="1">
        <v>0.428</v>
      </c>
      <c r="BN86" s="1">
        <v>0.443</v>
      </c>
      <c r="BO86" s="1">
        <v>0.6527</v>
      </c>
      <c r="BP86" s="1">
        <v>0.264</v>
      </c>
      <c r="BQ86" s="1">
        <v>1.7877</v>
      </c>
      <c r="BR86" s="1">
        <v>0.4267</v>
      </c>
      <c r="BS86" s="1">
        <v>0.335</v>
      </c>
      <c r="BT86" s="1">
        <v>0.576</v>
      </c>
      <c r="BU86" s="1">
        <v>0.819</v>
      </c>
      <c r="BV86" s="1">
        <v>1.73</v>
      </c>
      <c r="BW86" s="1">
        <v>0.664</v>
      </c>
      <c r="BX86" s="1">
        <v>0.662</v>
      </c>
      <c r="BY86" s="1">
        <v>0.0</v>
      </c>
      <c r="BZ86" s="1">
        <v>0.662</v>
      </c>
      <c r="CA86" s="1">
        <v>0.312</v>
      </c>
      <c r="CB86" s="1">
        <v>0.721</v>
      </c>
      <c r="CC86" s="1">
        <v>0.42</v>
      </c>
      <c r="CD86" s="1">
        <v>0.0</v>
      </c>
      <c r="CE86" s="1">
        <v>0.653</v>
      </c>
      <c r="CF86" s="1">
        <v>0.553</v>
      </c>
      <c r="CG86" s="1">
        <v>2.347</v>
      </c>
      <c r="CH86" s="1">
        <v>0.484</v>
      </c>
      <c r="CI86" s="1">
        <v>6.5267</v>
      </c>
      <c r="CJ86" s="1">
        <v>0.4635</v>
      </c>
      <c r="CK86" s="1">
        <v>0.0</v>
      </c>
      <c r="CL86" s="1">
        <v>0.0</v>
      </c>
      <c r="CM86" s="1">
        <v>0.0</v>
      </c>
      <c r="CN86" s="1">
        <v>0.0</v>
      </c>
      <c r="CO86" s="1">
        <v>0.0</v>
      </c>
      <c r="CP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>
        <v>0.0</v>
      </c>
      <c r="CV86" s="1">
        <v>0.0</v>
      </c>
      <c r="CW86" s="1">
        <v>0.0</v>
      </c>
      <c r="CX86" s="1">
        <v>0.0</v>
      </c>
      <c r="CY86" s="1">
        <v>0.0</v>
      </c>
      <c r="CZ86" s="1">
        <v>0.0</v>
      </c>
      <c r="DA86" s="1">
        <v>0.0</v>
      </c>
      <c r="DB86" s="1">
        <v>0.0</v>
      </c>
      <c r="DC86" s="1">
        <v>0.0</v>
      </c>
      <c r="DD86" s="1" t="s">
        <v>518</v>
      </c>
      <c r="DE86" s="1">
        <v>2.28759233488322E-4</v>
      </c>
      <c r="DF86" s="1">
        <v>0.0770092418095567</v>
      </c>
    </row>
    <row r="87" ht="15.75" customHeight="1">
      <c r="A87" s="1" t="s">
        <v>519</v>
      </c>
      <c r="B87" s="1">
        <v>29.0</v>
      </c>
      <c r="C87" s="2" t="s">
        <v>464</v>
      </c>
      <c r="D87" s="2" t="s">
        <v>520</v>
      </c>
      <c r="E87" s="1">
        <v>0.469</v>
      </c>
      <c r="F87" s="1">
        <v>29021.0</v>
      </c>
      <c r="G87" s="1">
        <v>2.9021001E10</v>
      </c>
      <c r="H87" s="1" t="s">
        <v>112</v>
      </c>
      <c r="I87" s="1" t="s">
        <v>113</v>
      </c>
      <c r="J87" s="1" t="s">
        <v>466</v>
      </c>
      <c r="K87" s="1" t="s">
        <v>521</v>
      </c>
      <c r="L87" s="1">
        <v>2932.0</v>
      </c>
      <c r="M87" s="1">
        <v>2897.0</v>
      </c>
      <c r="N87" s="1">
        <v>401.0</v>
      </c>
      <c r="O87" s="1">
        <v>1360.0</v>
      </c>
      <c r="P87" s="1">
        <v>1461.0</v>
      </c>
      <c r="Q87" s="1">
        <v>94.0</v>
      </c>
      <c r="R87" s="1">
        <v>1068.0</v>
      </c>
      <c r="S87" s="1">
        <v>1164.0</v>
      </c>
      <c r="T87" s="1">
        <v>370.0</v>
      </c>
      <c r="U87" s="1">
        <v>350.0</v>
      </c>
      <c r="V87" s="1">
        <v>347.0</v>
      </c>
      <c r="W87" s="1">
        <v>13571.0</v>
      </c>
      <c r="X87" s="1">
        <v>2227.0</v>
      </c>
      <c r="Y87" s="1">
        <v>238.0</v>
      </c>
      <c r="Z87" s="1">
        <v>337.0</v>
      </c>
      <c r="AA87" s="1">
        <v>169.0</v>
      </c>
      <c r="AB87" s="1">
        <v>866.0</v>
      </c>
      <c r="AC87" s="1">
        <v>244.0</v>
      </c>
      <c r="AD87" s="1">
        <v>1200.0</v>
      </c>
      <c r="AE87" s="1">
        <v>0.0</v>
      </c>
      <c r="AF87" s="1">
        <v>456.0</v>
      </c>
      <c r="AG87" s="1">
        <v>208.0</v>
      </c>
      <c r="AH87" s="1">
        <v>86.0</v>
      </c>
      <c r="AI87" s="1">
        <v>0.0</v>
      </c>
      <c r="AJ87" s="1">
        <v>114.0</v>
      </c>
      <c r="AK87" s="1">
        <v>25.0</v>
      </c>
      <c r="AL87" s="1">
        <v>117.0</v>
      </c>
      <c r="AM87" s="1">
        <v>177.0</v>
      </c>
      <c r="AN87" s="1">
        <v>81.0</v>
      </c>
      <c r="AO87" s="1">
        <v>45.0</v>
      </c>
      <c r="AP87" s="1">
        <v>0.413205</v>
      </c>
      <c r="AQ87" s="1">
        <v>0.117875</v>
      </c>
      <c r="AR87" s="1">
        <v>0.24255</v>
      </c>
      <c r="AS87" s="1">
        <v>0.235303</v>
      </c>
      <c r="AT87" s="1">
        <v>13571.0</v>
      </c>
      <c r="AU87" s="1">
        <v>2227.0</v>
      </c>
      <c r="AV87" s="1">
        <v>0.158244</v>
      </c>
      <c r="AW87" s="1">
        <v>0.222826</v>
      </c>
      <c r="AX87" s="1">
        <v>0.057639</v>
      </c>
      <c r="AY87" s="1">
        <v>0.295361</v>
      </c>
      <c r="AZ87" s="1">
        <v>0.22846441</v>
      </c>
      <c r="BA87" s="1">
        <v>0.409276</v>
      </c>
      <c r="BB87" s="1">
        <v>0.0</v>
      </c>
      <c r="BC87" s="1">
        <v>0.1724</v>
      </c>
      <c r="BD87" s="1">
        <v>0.142368</v>
      </c>
      <c r="BE87" s="1">
        <v>0.058146</v>
      </c>
      <c r="BF87" s="1">
        <v>0.0</v>
      </c>
      <c r="BG87" s="1">
        <v>0.078028</v>
      </c>
      <c r="BH87" s="1">
        <v>0.023148</v>
      </c>
      <c r="BI87" s="1">
        <v>0.108295</v>
      </c>
      <c r="BJ87" s="1">
        <v>0.163888</v>
      </c>
      <c r="BK87" s="1">
        <v>0.07219</v>
      </c>
      <c r="BL87" s="1">
        <v>0.015347</v>
      </c>
      <c r="BM87" s="1">
        <v>0.964</v>
      </c>
      <c r="BN87" s="1">
        <v>0.974</v>
      </c>
      <c r="BO87" s="1">
        <v>0.9213</v>
      </c>
      <c r="BP87" s="1">
        <v>0.602</v>
      </c>
      <c r="BQ87" s="1">
        <v>3.4613</v>
      </c>
      <c r="BR87" s="1">
        <v>0.9134</v>
      </c>
      <c r="BS87" s="1">
        <v>0.037</v>
      </c>
      <c r="BT87" s="1">
        <v>0.907</v>
      </c>
      <c r="BU87" s="1">
        <v>0.925</v>
      </c>
      <c r="BV87" s="1">
        <v>1.869</v>
      </c>
      <c r="BW87" s="1">
        <v>0.781</v>
      </c>
      <c r="BX87" s="1">
        <v>0.843</v>
      </c>
      <c r="BY87" s="1">
        <v>0.0</v>
      </c>
      <c r="BZ87" s="1">
        <v>0.843</v>
      </c>
      <c r="CA87" s="1">
        <v>0.426</v>
      </c>
      <c r="CB87" s="1">
        <v>0.831</v>
      </c>
      <c r="CC87" s="1">
        <v>0.0</v>
      </c>
      <c r="CD87" s="1">
        <v>0.73</v>
      </c>
      <c r="CE87" s="1">
        <v>0.875</v>
      </c>
      <c r="CF87" s="1">
        <v>0.651</v>
      </c>
      <c r="CG87" s="1">
        <v>3.087</v>
      </c>
      <c r="CH87" s="1">
        <v>0.81</v>
      </c>
      <c r="CI87" s="1">
        <v>9.2603</v>
      </c>
      <c r="CJ87" s="1">
        <v>0.8809</v>
      </c>
      <c r="CK87" s="1">
        <v>1.0</v>
      </c>
      <c r="CL87" s="1">
        <v>1.0</v>
      </c>
      <c r="CM87" s="1">
        <v>1.0</v>
      </c>
      <c r="CN87" s="1">
        <v>0.0</v>
      </c>
      <c r="CO87" s="1">
        <v>3.0</v>
      </c>
      <c r="CP87" s="1">
        <v>0.0</v>
      </c>
      <c r="CQ87" s="1">
        <v>1.0</v>
      </c>
      <c r="CR87" s="1">
        <v>1.0</v>
      </c>
      <c r="CS87" s="1">
        <v>2.0</v>
      </c>
      <c r="CT87" s="1">
        <v>0.0</v>
      </c>
      <c r="CU87" s="1">
        <v>0.0</v>
      </c>
      <c r="CV87" s="1">
        <v>0.0</v>
      </c>
      <c r="CW87" s="1">
        <v>0.0</v>
      </c>
      <c r="CX87" s="1">
        <v>0.0</v>
      </c>
      <c r="CY87" s="1">
        <v>0.0</v>
      </c>
      <c r="CZ87" s="1">
        <v>0.0</v>
      </c>
      <c r="DA87" s="1">
        <v>0.0</v>
      </c>
      <c r="DB87" s="1">
        <v>0.0</v>
      </c>
      <c r="DC87" s="1">
        <v>5.0</v>
      </c>
      <c r="DD87" s="1" t="s">
        <v>522</v>
      </c>
      <c r="DE87" s="1">
        <v>1.26699386556655E-4</v>
      </c>
      <c r="DF87" s="1">
        <v>0.0491943024773026</v>
      </c>
    </row>
    <row r="88" ht="15.75" customHeight="1">
      <c r="A88" s="1" t="s">
        <v>523</v>
      </c>
      <c r="B88" s="1">
        <v>29.0</v>
      </c>
      <c r="C88" s="2" t="s">
        <v>464</v>
      </c>
      <c r="D88" s="2" t="s">
        <v>524</v>
      </c>
      <c r="E88" s="1">
        <v>0.6</v>
      </c>
      <c r="F88" s="1">
        <v>29021.0</v>
      </c>
      <c r="G88" s="1">
        <v>2.90210011E10</v>
      </c>
      <c r="H88" s="1" t="s">
        <v>112</v>
      </c>
      <c r="I88" s="1" t="s">
        <v>113</v>
      </c>
      <c r="J88" s="1" t="s">
        <v>466</v>
      </c>
      <c r="K88" s="1" t="s">
        <v>525</v>
      </c>
      <c r="L88" s="1">
        <v>2660.0</v>
      </c>
      <c r="M88" s="1">
        <v>2970.0</v>
      </c>
      <c r="N88" s="1">
        <v>426.0</v>
      </c>
      <c r="O88" s="1">
        <v>1421.0</v>
      </c>
      <c r="P88" s="1">
        <v>1509.0</v>
      </c>
      <c r="Q88" s="1">
        <v>91.0</v>
      </c>
      <c r="R88" s="1">
        <v>1168.0</v>
      </c>
      <c r="S88" s="1">
        <v>770.0</v>
      </c>
      <c r="T88" s="1">
        <v>222.0</v>
      </c>
      <c r="U88" s="1">
        <v>90.0</v>
      </c>
      <c r="V88" s="1">
        <v>415.0</v>
      </c>
      <c r="W88" s="1">
        <v>16847.0</v>
      </c>
      <c r="X88" s="1">
        <v>2043.0</v>
      </c>
      <c r="Y88" s="1">
        <v>439.0</v>
      </c>
      <c r="Z88" s="1">
        <v>248.0</v>
      </c>
      <c r="AA88" s="1">
        <v>285.0</v>
      </c>
      <c r="AB88" s="1">
        <v>650.0</v>
      </c>
      <c r="AC88" s="1">
        <v>177.0</v>
      </c>
      <c r="AD88" s="1">
        <v>515.0</v>
      </c>
      <c r="AE88" s="1">
        <v>41.0</v>
      </c>
      <c r="AF88" s="1">
        <v>427.0</v>
      </c>
      <c r="AG88" s="1">
        <v>229.0</v>
      </c>
      <c r="AH88" s="1">
        <v>87.0</v>
      </c>
      <c r="AI88" s="1">
        <v>0.0</v>
      </c>
      <c r="AJ88" s="1">
        <v>114.0</v>
      </c>
      <c r="AK88" s="1">
        <v>52.0</v>
      </c>
      <c r="AL88" s="1">
        <v>128.0</v>
      </c>
      <c r="AM88" s="1">
        <v>193.0</v>
      </c>
      <c r="AN88" s="1">
        <v>73.0</v>
      </c>
      <c r="AO88" s="1">
        <v>1.0</v>
      </c>
      <c r="AP88" s="1">
        <v>0.261726</v>
      </c>
      <c r="AQ88" s="1">
        <v>0.065508</v>
      </c>
      <c r="AR88" s="1">
        <v>0.065123</v>
      </c>
      <c r="AS88" s="1">
        <v>0.299922</v>
      </c>
      <c r="AT88" s="1">
        <v>16847.0</v>
      </c>
      <c r="AU88" s="1">
        <v>2043.0</v>
      </c>
      <c r="AV88" s="1">
        <v>0.224667</v>
      </c>
      <c r="AW88" s="1">
        <v>0.123984</v>
      </c>
      <c r="AX88" s="1">
        <v>0.107142</v>
      </c>
      <c r="AY88" s="1">
        <v>0.24436</v>
      </c>
      <c r="AZ88" s="1">
        <v>0.15154109</v>
      </c>
      <c r="BA88" s="1">
        <v>0.193609</v>
      </c>
      <c r="BB88" s="1">
        <v>0.014275</v>
      </c>
      <c r="BC88" s="1">
        <v>0.148661</v>
      </c>
      <c r="BD88" s="1">
        <v>0.151756</v>
      </c>
      <c r="BE88" s="1">
        <v>0.056923</v>
      </c>
      <c r="BF88" s="1">
        <v>0.0</v>
      </c>
      <c r="BG88" s="1">
        <v>0.075546</v>
      </c>
      <c r="BH88" s="1">
        <v>0.041901</v>
      </c>
      <c r="BI88" s="1">
        <v>0.103069</v>
      </c>
      <c r="BJ88" s="1">
        <v>0.155519</v>
      </c>
      <c r="BK88" s="1">
        <v>0.05703</v>
      </c>
      <c r="BL88" s="1">
        <v>3.75E-4</v>
      </c>
      <c r="BM88" s="1">
        <v>0.845</v>
      </c>
      <c r="BN88" s="1">
        <v>0.472</v>
      </c>
      <c r="BO88" s="1">
        <v>0.7971</v>
      </c>
      <c r="BP88" s="1">
        <v>0.812</v>
      </c>
      <c r="BQ88" s="1">
        <v>2.9261</v>
      </c>
      <c r="BR88" s="1">
        <v>0.7856</v>
      </c>
      <c r="BS88" s="1">
        <v>0.251</v>
      </c>
      <c r="BT88" s="1">
        <v>0.538</v>
      </c>
      <c r="BU88" s="1">
        <v>0.801</v>
      </c>
      <c r="BV88" s="1">
        <v>1.59</v>
      </c>
      <c r="BW88" s="1">
        <v>0.562</v>
      </c>
      <c r="BX88" s="1">
        <v>0.703</v>
      </c>
      <c r="BY88" s="1">
        <v>0.798</v>
      </c>
      <c r="BZ88" s="1">
        <v>1.501</v>
      </c>
      <c r="CA88" s="1">
        <v>0.825</v>
      </c>
      <c r="CB88" s="1">
        <v>0.839</v>
      </c>
      <c r="CC88" s="1">
        <v>0.0</v>
      </c>
      <c r="CD88" s="1">
        <v>0.903</v>
      </c>
      <c r="CE88" s="1">
        <v>0.865</v>
      </c>
      <c r="CF88" s="1">
        <v>0.359</v>
      </c>
      <c r="CG88" s="1">
        <v>2.966</v>
      </c>
      <c r="CH88" s="1">
        <v>0.76</v>
      </c>
      <c r="CI88" s="1">
        <v>8.9831</v>
      </c>
      <c r="CJ88" s="1">
        <v>0.8498</v>
      </c>
      <c r="CK88" s="1">
        <v>0.0</v>
      </c>
      <c r="CL88" s="1">
        <v>0.0</v>
      </c>
      <c r="CM88" s="1">
        <v>0.0</v>
      </c>
      <c r="CN88" s="1">
        <v>0.0</v>
      </c>
      <c r="CO88" s="1">
        <v>0.0</v>
      </c>
      <c r="CP88" s="1">
        <v>0.0</v>
      </c>
      <c r="CQ88" s="1">
        <v>0.0</v>
      </c>
      <c r="CR88" s="1">
        <v>0.0</v>
      </c>
      <c r="CS88" s="1">
        <v>0.0</v>
      </c>
      <c r="CT88" s="1">
        <v>0.0</v>
      </c>
      <c r="CU88" s="1">
        <v>0.0</v>
      </c>
      <c r="CV88" s="1">
        <v>0.0</v>
      </c>
      <c r="CW88" s="1">
        <v>0.0</v>
      </c>
      <c r="CX88" s="1">
        <v>0.0</v>
      </c>
      <c r="CY88" s="1">
        <v>1.0</v>
      </c>
      <c r="CZ88" s="1">
        <v>0.0</v>
      </c>
      <c r="DA88" s="1">
        <v>0.0</v>
      </c>
      <c r="DB88" s="1">
        <v>1.0</v>
      </c>
      <c r="DC88" s="1">
        <v>1.0</v>
      </c>
      <c r="DD88" s="1" t="s">
        <v>526</v>
      </c>
      <c r="DE88" s="1">
        <v>1.64437875710186E-4</v>
      </c>
      <c r="DF88" s="1">
        <v>0.0634369408471551</v>
      </c>
    </row>
    <row r="89" ht="15.75" customHeight="1">
      <c r="A89" s="1" t="s">
        <v>527</v>
      </c>
      <c r="B89" s="1">
        <v>29.0</v>
      </c>
      <c r="C89" s="2" t="s">
        <v>464</v>
      </c>
      <c r="D89" s="2" t="s">
        <v>528</v>
      </c>
      <c r="E89" s="1">
        <v>0.92</v>
      </c>
      <c r="F89" s="1">
        <v>29021.0</v>
      </c>
      <c r="G89" s="1">
        <v>2.90210015E10</v>
      </c>
      <c r="H89" s="1" t="s">
        <v>112</v>
      </c>
      <c r="I89" s="1" t="s">
        <v>113</v>
      </c>
      <c r="J89" s="1" t="s">
        <v>466</v>
      </c>
      <c r="K89" s="1" t="s">
        <v>529</v>
      </c>
      <c r="L89" s="1">
        <v>5371.0</v>
      </c>
      <c r="M89" s="1">
        <v>5168.0</v>
      </c>
      <c r="N89" s="1">
        <v>494.0</v>
      </c>
      <c r="O89" s="1">
        <v>2290.0</v>
      </c>
      <c r="P89" s="1">
        <v>2288.0</v>
      </c>
      <c r="Q89" s="1">
        <v>96.0</v>
      </c>
      <c r="R89" s="1">
        <v>2058.0</v>
      </c>
      <c r="S89" s="1">
        <v>813.0</v>
      </c>
      <c r="T89" s="1">
        <v>361.0</v>
      </c>
      <c r="U89" s="1">
        <v>152.0</v>
      </c>
      <c r="V89" s="1">
        <v>451.0</v>
      </c>
      <c r="W89" s="1">
        <v>17573.0</v>
      </c>
      <c r="X89" s="1">
        <v>1788.0</v>
      </c>
      <c r="Y89" s="1">
        <v>412.0</v>
      </c>
      <c r="Z89" s="1">
        <v>316.0</v>
      </c>
      <c r="AA89" s="1">
        <v>536.0</v>
      </c>
      <c r="AB89" s="1">
        <v>1475.0</v>
      </c>
      <c r="AC89" s="1">
        <v>315.0</v>
      </c>
      <c r="AD89" s="1">
        <v>744.0</v>
      </c>
      <c r="AE89" s="1">
        <v>10.0</v>
      </c>
      <c r="AF89" s="1">
        <v>442.0</v>
      </c>
      <c r="AG89" s="1">
        <v>118.0</v>
      </c>
      <c r="AH89" s="1">
        <v>139.0</v>
      </c>
      <c r="AI89" s="1">
        <v>12.0</v>
      </c>
      <c r="AJ89" s="1">
        <v>21.0</v>
      </c>
      <c r="AK89" s="1">
        <v>0.0</v>
      </c>
      <c r="AL89" s="1">
        <v>161.0</v>
      </c>
      <c r="AM89" s="1">
        <v>213.0</v>
      </c>
      <c r="AN89" s="1">
        <v>121.0</v>
      </c>
      <c r="AO89" s="1">
        <v>59.0</v>
      </c>
      <c r="AP89" s="1">
        <v>0.157986</v>
      </c>
      <c r="AQ89" s="1">
        <v>0.068512</v>
      </c>
      <c r="AR89" s="1">
        <v>0.055759</v>
      </c>
      <c r="AS89" s="1">
        <v>0.165238</v>
      </c>
      <c r="AT89" s="1">
        <v>17573.0</v>
      </c>
      <c r="AU89" s="1">
        <v>1788.0</v>
      </c>
      <c r="AV89" s="1">
        <v>0.131545</v>
      </c>
      <c r="AW89" s="1">
        <v>0.100273</v>
      </c>
      <c r="AX89" s="1">
        <v>0.099795</v>
      </c>
      <c r="AY89" s="1">
        <v>0.274622</v>
      </c>
      <c r="AZ89" s="1">
        <v>0.15306122</v>
      </c>
      <c r="BA89" s="1">
        <v>0.138521</v>
      </c>
      <c r="BB89" s="1">
        <v>0.002147</v>
      </c>
      <c r="BC89" s="1">
        <v>0.09491</v>
      </c>
      <c r="BD89" s="1">
        <v>0.051573</v>
      </c>
      <c r="BE89" s="1">
        <v>0.060713</v>
      </c>
      <c r="BF89" s="1">
        <v>0.005244</v>
      </c>
      <c r="BG89" s="1">
        <v>0.009175</v>
      </c>
      <c r="BH89" s="1">
        <v>0.0</v>
      </c>
      <c r="BI89" s="1">
        <v>0.0805</v>
      </c>
      <c r="BJ89" s="1">
        <v>0.1065</v>
      </c>
      <c r="BK89" s="1">
        <v>0.05997</v>
      </c>
      <c r="BL89" s="1">
        <v>0.010984</v>
      </c>
      <c r="BM89" s="1">
        <v>0.604</v>
      </c>
      <c r="BN89" s="1">
        <v>0.361</v>
      </c>
      <c r="BO89" s="1">
        <v>0.7538</v>
      </c>
      <c r="BP89" s="1">
        <v>0.476</v>
      </c>
      <c r="BQ89" s="1">
        <v>2.1948</v>
      </c>
      <c r="BR89" s="1">
        <v>0.5639</v>
      </c>
      <c r="BS89" s="1">
        <v>0.21</v>
      </c>
      <c r="BT89" s="1">
        <v>0.816</v>
      </c>
      <c r="BU89" s="1">
        <v>0.804</v>
      </c>
      <c r="BV89" s="1">
        <v>1.83</v>
      </c>
      <c r="BW89" s="1">
        <v>0.751</v>
      </c>
      <c r="BX89" s="1">
        <v>0.587</v>
      </c>
      <c r="BY89" s="1">
        <v>0.389</v>
      </c>
      <c r="BZ89" s="1">
        <v>0.976</v>
      </c>
      <c r="CA89" s="1">
        <v>0.533</v>
      </c>
      <c r="CB89" s="1">
        <v>0.661</v>
      </c>
      <c r="CC89" s="1">
        <v>0.4</v>
      </c>
      <c r="CD89" s="1">
        <v>0.0</v>
      </c>
      <c r="CE89" s="1">
        <v>0.769</v>
      </c>
      <c r="CF89" s="1">
        <v>0.591</v>
      </c>
      <c r="CG89" s="1">
        <v>2.421</v>
      </c>
      <c r="CH89" s="1">
        <v>0.527</v>
      </c>
      <c r="CI89" s="1">
        <v>7.4218</v>
      </c>
      <c r="CJ89" s="1">
        <v>0.6267</v>
      </c>
      <c r="CK89" s="1">
        <v>0.0</v>
      </c>
      <c r="CL89" s="1">
        <v>0.0</v>
      </c>
      <c r="CM89" s="1">
        <v>0.0</v>
      </c>
      <c r="CN89" s="1">
        <v>0.0</v>
      </c>
      <c r="CO89" s="1">
        <v>0.0</v>
      </c>
      <c r="CP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0.0</v>
      </c>
      <c r="CX89" s="1">
        <v>0.0</v>
      </c>
      <c r="CY89" s="1">
        <v>0.0</v>
      </c>
      <c r="CZ89" s="1">
        <v>0.0</v>
      </c>
      <c r="DA89" s="1">
        <v>0.0</v>
      </c>
      <c r="DB89" s="1">
        <v>0.0</v>
      </c>
      <c r="DC89" s="1">
        <v>0.0</v>
      </c>
      <c r="DD89" s="1" t="s">
        <v>530</v>
      </c>
      <c r="DE89" s="1">
        <v>2.50015685666046E-4</v>
      </c>
      <c r="DF89" s="1">
        <v>0.0676589731177812</v>
      </c>
    </row>
    <row r="90" ht="15.75" customHeight="1">
      <c r="A90" s="1" t="s">
        <v>531</v>
      </c>
      <c r="B90" s="1">
        <v>29.0</v>
      </c>
      <c r="C90" s="2" t="s">
        <v>464</v>
      </c>
      <c r="D90" s="2" t="s">
        <v>532</v>
      </c>
      <c r="E90" s="1">
        <v>0.702</v>
      </c>
      <c r="F90" s="1">
        <v>29021.0</v>
      </c>
      <c r="G90" s="1">
        <v>2.90210016E10</v>
      </c>
      <c r="H90" s="1" t="s">
        <v>112</v>
      </c>
      <c r="I90" s="1" t="s">
        <v>113</v>
      </c>
      <c r="J90" s="1" t="s">
        <v>466</v>
      </c>
      <c r="K90" s="1" t="s">
        <v>533</v>
      </c>
      <c r="L90" s="1">
        <v>2640.0</v>
      </c>
      <c r="M90" s="1">
        <v>2640.0</v>
      </c>
      <c r="N90" s="1">
        <v>279.0</v>
      </c>
      <c r="O90" s="1">
        <v>1248.0</v>
      </c>
      <c r="P90" s="1">
        <v>1247.0</v>
      </c>
      <c r="Q90" s="1">
        <v>79.0</v>
      </c>
      <c r="R90" s="1">
        <v>1134.0</v>
      </c>
      <c r="S90" s="1">
        <v>278.0</v>
      </c>
      <c r="T90" s="1">
        <v>138.0</v>
      </c>
      <c r="U90" s="1">
        <v>90.0</v>
      </c>
      <c r="V90" s="1">
        <v>431.0</v>
      </c>
      <c r="W90" s="1">
        <v>20751.0</v>
      </c>
      <c r="X90" s="1">
        <v>2262.0</v>
      </c>
      <c r="Y90" s="1">
        <v>173.0</v>
      </c>
      <c r="Z90" s="1">
        <v>295.0</v>
      </c>
      <c r="AA90" s="1">
        <v>364.0</v>
      </c>
      <c r="AB90" s="1">
        <v>593.0</v>
      </c>
      <c r="AC90" s="1">
        <v>140.0</v>
      </c>
      <c r="AD90" s="1">
        <v>294.0</v>
      </c>
      <c r="AE90" s="1">
        <v>29.0</v>
      </c>
      <c r="AF90" s="1">
        <v>412.0</v>
      </c>
      <c r="AG90" s="1">
        <v>58.0</v>
      </c>
      <c r="AH90" s="1">
        <v>124.0</v>
      </c>
      <c r="AI90" s="1">
        <v>74.0</v>
      </c>
      <c r="AJ90" s="1">
        <v>68.0</v>
      </c>
      <c r="AK90" s="1">
        <v>19.0</v>
      </c>
      <c r="AL90" s="1">
        <v>117.0</v>
      </c>
      <c r="AM90" s="1">
        <v>76.0</v>
      </c>
      <c r="AN90" s="1">
        <v>46.0</v>
      </c>
      <c r="AO90" s="1">
        <v>3.0</v>
      </c>
      <c r="AP90" s="1">
        <v>0.105303</v>
      </c>
      <c r="AQ90" s="1">
        <v>0.051074</v>
      </c>
      <c r="AR90" s="1">
        <v>0.064516</v>
      </c>
      <c r="AS90" s="1">
        <v>0.308745</v>
      </c>
      <c r="AT90" s="1">
        <v>20751.0</v>
      </c>
      <c r="AU90" s="1">
        <v>2262.0</v>
      </c>
      <c r="AV90" s="1">
        <v>0.098913</v>
      </c>
      <c r="AW90" s="1">
        <v>0.16839</v>
      </c>
      <c r="AX90" s="1">
        <v>0.137878</v>
      </c>
      <c r="AY90" s="1">
        <v>0.224621</v>
      </c>
      <c r="AZ90" s="1">
        <v>0.12345679</v>
      </c>
      <c r="BA90" s="1">
        <v>0.111363</v>
      </c>
      <c r="BB90" s="1">
        <v>0.011929</v>
      </c>
      <c r="BC90" s="1">
        <v>0.169473</v>
      </c>
      <c r="BD90" s="1">
        <v>0.046511</v>
      </c>
      <c r="BE90" s="1">
        <v>0.099394</v>
      </c>
      <c r="BF90" s="1">
        <v>0.059342</v>
      </c>
      <c r="BG90" s="1">
        <v>0.054401</v>
      </c>
      <c r="BH90" s="1">
        <v>0.015806</v>
      </c>
      <c r="BI90" s="1">
        <v>0.09733</v>
      </c>
      <c r="BJ90" s="1">
        <v>0.063227</v>
      </c>
      <c r="BK90" s="1">
        <v>0.037962</v>
      </c>
      <c r="BL90" s="1">
        <v>0.001136</v>
      </c>
      <c r="BM90" s="1">
        <v>0.392</v>
      </c>
      <c r="BN90" s="1">
        <v>0.464</v>
      </c>
      <c r="BO90" s="1">
        <v>0.569</v>
      </c>
      <c r="BP90" s="1">
        <v>0.331</v>
      </c>
      <c r="BQ90" s="1">
        <v>1.756</v>
      </c>
      <c r="BR90" s="1">
        <v>0.4181</v>
      </c>
      <c r="BS90" s="1">
        <v>0.48</v>
      </c>
      <c r="BT90" s="1">
        <v>0.338</v>
      </c>
      <c r="BU90" s="1">
        <v>0.687</v>
      </c>
      <c r="BV90" s="1">
        <v>1.505</v>
      </c>
      <c r="BW90" s="1">
        <v>0.489</v>
      </c>
      <c r="BX90" s="1">
        <v>0.51</v>
      </c>
      <c r="BY90" s="1">
        <v>0.769</v>
      </c>
      <c r="BZ90" s="1">
        <v>1.279</v>
      </c>
      <c r="CA90" s="1">
        <v>0.703</v>
      </c>
      <c r="CB90" s="1">
        <v>0.641</v>
      </c>
      <c r="CC90" s="1">
        <v>0.626</v>
      </c>
      <c r="CD90" s="1">
        <v>0.612</v>
      </c>
      <c r="CE90" s="1">
        <v>0.586</v>
      </c>
      <c r="CF90" s="1">
        <v>0.407</v>
      </c>
      <c r="CG90" s="1">
        <v>2.872</v>
      </c>
      <c r="CH90" s="1">
        <v>0.721</v>
      </c>
      <c r="CI90" s="1">
        <v>7.412</v>
      </c>
      <c r="CJ90" s="1">
        <v>0.626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0.0</v>
      </c>
      <c r="CZ90" s="1">
        <v>0.0</v>
      </c>
      <c r="DA90" s="1">
        <v>0.0</v>
      </c>
      <c r="DB90" s="1">
        <v>0.0</v>
      </c>
      <c r="DC90" s="1">
        <v>0.0</v>
      </c>
      <c r="DD90" s="1" t="s">
        <v>534</v>
      </c>
      <c r="DE90" s="1">
        <v>1.90904808108074E-4</v>
      </c>
      <c r="DF90" s="1">
        <v>0.0643940426831709</v>
      </c>
    </row>
    <row r="91" ht="15.75" customHeight="1">
      <c r="A91" s="1" t="s">
        <v>535</v>
      </c>
      <c r="B91" s="1">
        <v>29.0</v>
      </c>
      <c r="C91" s="2" t="s">
        <v>464</v>
      </c>
      <c r="D91" s="2" t="s">
        <v>536</v>
      </c>
      <c r="E91" s="1">
        <v>4.084</v>
      </c>
      <c r="F91" s="1">
        <v>29021.0</v>
      </c>
      <c r="G91" s="1">
        <v>2.90210017E10</v>
      </c>
      <c r="H91" s="1" t="s">
        <v>112</v>
      </c>
      <c r="I91" s="1" t="s">
        <v>113</v>
      </c>
      <c r="J91" s="1" t="s">
        <v>466</v>
      </c>
      <c r="K91" s="1" t="s">
        <v>537</v>
      </c>
      <c r="L91" s="1">
        <v>4341.0</v>
      </c>
      <c r="M91" s="1">
        <v>4742.0</v>
      </c>
      <c r="N91" s="1">
        <v>618.0</v>
      </c>
      <c r="O91" s="1">
        <v>1848.0</v>
      </c>
      <c r="P91" s="1">
        <v>1883.0</v>
      </c>
      <c r="Q91" s="1">
        <v>78.0</v>
      </c>
      <c r="R91" s="1">
        <v>1746.0</v>
      </c>
      <c r="S91" s="1">
        <v>421.0</v>
      </c>
      <c r="T91" s="1">
        <v>217.0</v>
      </c>
      <c r="U91" s="1">
        <v>99.0</v>
      </c>
      <c r="V91" s="1">
        <v>447.0</v>
      </c>
      <c r="W91" s="1">
        <v>20535.0</v>
      </c>
      <c r="X91" s="1">
        <v>1892.0</v>
      </c>
      <c r="Y91" s="1">
        <v>364.0</v>
      </c>
      <c r="Z91" s="1">
        <v>257.0</v>
      </c>
      <c r="AA91" s="1">
        <v>773.0</v>
      </c>
      <c r="AB91" s="1">
        <v>1045.0</v>
      </c>
      <c r="AC91" s="1">
        <v>180.0</v>
      </c>
      <c r="AD91" s="1">
        <v>481.0</v>
      </c>
      <c r="AE91" s="1">
        <v>108.0</v>
      </c>
      <c r="AF91" s="1">
        <v>405.0</v>
      </c>
      <c r="AG91" s="1">
        <v>216.0</v>
      </c>
      <c r="AH91" s="1">
        <v>98.0</v>
      </c>
      <c r="AI91" s="1">
        <v>71.0</v>
      </c>
      <c r="AJ91" s="1">
        <v>41.0</v>
      </c>
      <c r="AK91" s="1">
        <v>10.0</v>
      </c>
      <c r="AL91" s="1">
        <v>115.0</v>
      </c>
      <c r="AM91" s="1">
        <v>158.0</v>
      </c>
      <c r="AN91" s="1">
        <v>64.0</v>
      </c>
      <c r="AO91" s="1">
        <v>109.0</v>
      </c>
      <c r="AP91" s="1">
        <v>0.098433</v>
      </c>
      <c r="AQ91" s="1">
        <v>0.049993</v>
      </c>
      <c r="AR91" s="1">
        <v>0.041614</v>
      </c>
      <c r="AS91" s="1">
        <v>0.187796</v>
      </c>
      <c r="AT91" s="1">
        <v>20535.0</v>
      </c>
      <c r="AU91" s="1">
        <v>1892.0</v>
      </c>
      <c r="AV91" s="1">
        <v>0.109112</v>
      </c>
      <c r="AW91" s="1">
        <v>0.074764</v>
      </c>
      <c r="AX91" s="1">
        <v>0.178069</v>
      </c>
      <c r="AY91" s="1">
        <v>0.240727</v>
      </c>
      <c r="AZ91" s="1">
        <v>0.10309278</v>
      </c>
      <c r="BA91" s="1">
        <v>0.110803</v>
      </c>
      <c r="BB91" s="1">
        <v>0.024412</v>
      </c>
      <c r="BC91" s="1">
        <v>0.091486</v>
      </c>
      <c r="BD91" s="1">
        <v>0.11471</v>
      </c>
      <c r="BE91" s="1">
        <v>0.051827</v>
      </c>
      <c r="BF91" s="1">
        <v>0.037705</v>
      </c>
      <c r="BG91" s="1">
        <v>0.021717</v>
      </c>
      <c r="BH91" s="1">
        <v>0.005512</v>
      </c>
      <c r="BI91" s="1">
        <v>0.063394</v>
      </c>
      <c r="BJ91" s="1">
        <v>0.0871</v>
      </c>
      <c r="BK91" s="1">
        <v>0.034897</v>
      </c>
      <c r="BL91" s="1">
        <v>0.025109</v>
      </c>
      <c r="BM91" s="1">
        <v>0.365</v>
      </c>
      <c r="BN91" s="1">
        <v>0.201</v>
      </c>
      <c r="BO91" s="1">
        <v>0.5791</v>
      </c>
      <c r="BP91" s="1">
        <v>0.379</v>
      </c>
      <c r="BQ91" s="1">
        <v>1.5241</v>
      </c>
      <c r="BR91" s="1">
        <v>0.3473</v>
      </c>
      <c r="BS91" s="1">
        <v>0.775</v>
      </c>
      <c r="BT91" s="1">
        <v>0.502</v>
      </c>
      <c r="BU91" s="1">
        <v>0.522</v>
      </c>
      <c r="BV91" s="1">
        <v>1.799</v>
      </c>
      <c r="BW91" s="1">
        <v>0.719</v>
      </c>
      <c r="BX91" s="1">
        <v>0.507</v>
      </c>
      <c r="BY91" s="1">
        <v>0.887</v>
      </c>
      <c r="BZ91" s="1">
        <v>1.394</v>
      </c>
      <c r="CA91" s="1">
        <v>0.763</v>
      </c>
      <c r="CB91" s="1">
        <v>0.796</v>
      </c>
      <c r="CC91" s="1">
        <v>0.571</v>
      </c>
      <c r="CD91" s="1">
        <v>0.348</v>
      </c>
      <c r="CE91" s="1">
        <v>0.707</v>
      </c>
      <c r="CF91" s="1">
        <v>0.772</v>
      </c>
      <c r="CG91" s="1">
        <v>3.194</v>
      </c>
      <c r="CH91" s="1">
        <v>0.841</v>
      </c>
      <c r="CI91" s="1">
        <v>7.9111</v>
      </c>
      <c r="CJ91" s="1">
        <v>0.7004</v>
      </c>
      <c r="CK91" s="1">
        <v>0.0</v>
      </c>
      <c r="CL91" s="1">
        <v>0.0</v>
      </c>
      <c r="CM91" s="1">
        <v>0.0</v>
      </c>
      <c r="CN91" s="1">
        <v>0.0</v>
      </c>
      <c r="CO91" s="1">
        <v>0.0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0.0</v>
      </c>
      <c r="CW91" s="1">
        <v>0.0</v>
      </c>
      <c r="CX91" s="1">
        <v>0.0</v>
      </c>
      <c r="CY91" s="1">
        <v>0.0</v>
      </c>
      <c r="CZ91" s="1">
        <v>0.0</v>
      </c>
      <c r="DA91" s="1">
        <v>0.0</v>
      </c>
      <c r="DB91" s="1">
        <v>0.0</v>
      </c>
      <c r="DC91" s="1">
        <v>0.0</v>
      </c>
      <c r="DD91" s="1" t="s">
        <v>538</v>
      </c>
      <c r="DE91" s="1">
        <v>0.00111564609899721</v>
      </c>
      <c r="DF91" s="2" t="s">
        <v>539</v>
      </c>
    </row>
    <row r="92" ht="15.75" customHeight="1">
      <c r="A92" s="1" t="s">
        <v>540</v>
      </c>
      <c r="B92" s="1">
        <v>29.0</v>
      </c>
      <c r="C92" s="2" t="s">
        <v>464</v>
      </c>
      <c r="D92" s="2" t="s">
        <v>541</v>
      </c>
      <c r="E92" s="1">
        <v>2.115</v>
      </c>
      <c r="F92" s="1">
        <v>29021.0</v>
      </c>
      <c r="G92" s="1">
        <v>2.90210018E10</v>
      </c>
      <c r="H92" s="1" t="s">
        <v>112</v>
      </c>
      <c r="I92" s="1" t="s">
        <v>113</v>
      </c>
      <c r="J92" s="1" t="s">
        <v>466</v>
      </c>
      <c r="K92" s="1" t="s">
        <v>542</v>
      </c>
      <c r="L92" s="1">
        <v>3506.0</v>
      </c>
      <c r="M92" s="1">
        <v>3192.0</v>
      </c>
      <c r="N92" s="1">
        <v>404.0</v>
      </c>
      <c r="O92" s="1">
        <v>1629.0</v>
      </c>
      <c r="P92" s="1">
        <v>1603.0</v>
      </c>
      <c r="Q92" s="1">
        <v>104.0</v>
      </c>
      <c r="R92" s="1">
        <v>1511.0</v>
      </c>
      <c r="S92" s="1">
        <v>858.0</v>
      </c>
      <c r="T92" s="1">
        <v>372.0</v>
      </c>
      <c r="U92" s="1">
        <v>113.0</v>
      </c>
      <c r="V92" s="1">
        <v>432.0</v>
      </c>
      <c r="W92" s="1">
        <v>17383.0</v>
      </c>
      <c r="X92" s="1">
        <v>2620.0</v>
      </c>
      <c r="Y92" s="1">
        <v>256.0</v>
      </c>
      <c r="Z92" s="1">
        <v>337.0</v>
      </c>
      <c r="AA92" s="1">
        <v>575.0</v>
      </c>
      <c r="AB92" s="1">
        <v>837.0</v>
      </c>
      <c r="AC92" s="1">
        <v>214.0</v>
      </c>
      <c r="AD92" s="1">
        <v>290.0</v>
      </c>
      <c r="AE92" s="1">
        <v>0.0</v>
      </c>
      <c r="AF92" s="1">
        <v>456.0</v>
      </c>
      <c r="AG92" s="1">
        <v>59.0</v>
      </c>
      <c r="AH92" s="1">
        <v>47.0</v>
      </c>
      <c r="AI92" s="1">
        <v>200.0</v>
      </c>
      <c r="AJ92" s="1">
        <v>66.0</v>
      </c>
      <c r="AK92" s="1">
        <v>9.0</v>
      </c>
      <c r="AL92" s="1">
        <v>115.0</v>
      </c>
      <c r="AM92" s="1">
        <v>117.0</v>
      </c>
      <c r="AN92" s="1">
        <v>70.0</v>
      </c>
      <c r="AO92" s="1">
        <v>0.0</v>
      </c>
      <c r="AP92" s="1">
        <v>0.269472</v>
      </c>
      <c r="AQ92" s="1">
        <v>0.111744</v>
      </c>
      <c r="AR92" s="1">
        <v>0.080255</v>
      </c>
      <c r="AS92" s="1">
        <v>0.306476</v>
      </c>
      <c r="AT92" s="1">
        <v>17383.0</v>
      </c>
      <c r="AU92" s="1">
        <v>2620.0</v>
      </c>
      <c r="AV92" s="1">
        <v>0.135235</v>
      </c>
      <c r="AW92" s="1">
        <v>0.176847</v>
      </c>
      <c r="AX92" s="1">
        <v>0.164004</v>
      </c>
      <c r="AY92" s="1">
        <v>0.238733</v>
      </c>
      <c r="AZ92" s="1">
        <v>0.14162806</v>
      </c>
      <c r="BA92" s="1">
        <v>0.082715</v>
      </c>
      <c r="BB92" s="1">
        <v>0.0</v>
      </c>
      <c r="BC92" s="1">
        <v>0.157404</v>
      </c>
      <c r="BD92" s="1">
        <v>0.036805</v>
      </c>
      <c r="BE92" s="1">
        <v>0.029222</v>
      </c>
      <c r="BF92" s="1">
        <v>0.124766</v>
      </c>
      <c r="BG92" s="1">
        <v>0.040369</v>
      </c>
      <c r="BH92" s="1">
        <v>0.006833</v>
      </c>
      <c r="BI92" s="1">
        <v>0.087316</v>
      </c>
      <c r="BJ92" s="1">
        <v>0.088838</v>
      </c>
      <c r="BK92" s="1">
        <v>0.052179</v>
      </c>
      <c r="BL92" s="1">
        <v>0.0</v>
      </c>
      <c r="BM92" s="1">
        <v>0.853</v>
      </c>
      <c r="BN92" s="1">
        <v>0.612</v>
      </c>
      <c r="BO92" s="1">
        <v>0.7603</v>
      </c>
      <c r="BP92" s="1">
        <v>0.501</v>
      </c>
      <c r="BQ92" s="1">
        <v>2.7263</v>
      </c>
      <c r="BR92" s="1">
        <v>0.7314</v>
      </c>
      <c r="BS92" s="1">
        <v>0.699</v>
      </c>
      <c r="BT92" s="1">
        <v>0.484</v>
      </c>
      <c r="BU92" s="1">
        <v>0.766</v>
      </c>
      <c r="BV92" s="1">
        <v>1.949</v>
      </c>
      <c r="BW92" s="1">
        <v>0.83</v>
      </c>
      <c r="BX92" s="1">
        <v>0.407</v>
      </c>
      <c r="BY92" s="1">
        <v>0.0</v>
      </c>
      <c r="BZ92" s="1">
        <v>0.407</v>
      </c>
      <c r="CA92" s="1">
        <v>0.166</v>
      </c>
      <c r="CB92" s="1">
        <v>0.592</v>
      </c>
      <c r="CC92" s="1">
        <v>0.768</v>
      </c>
      <c r="CD92" s="1">
        <v>0.387</v>
      </c>
      <c r="CE92" s="1">
        <v>0.713</v>
      </c>
      <c r="CF92" s="1">
        <v>0.0</v>
      </c>
      <c r="CG92" s="1">
        <v>2.46</v>
      </c>
      <c r="CH92" s="1">
        <v>0.543</v>
      </c>
      <c r="CI92" s="1">
        <v>7.5423</v>
      </c>
      <c r="CJ92" s="1">
        <v>0.6419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0.0</v>
      </c>
      <c r="CQ92" s="1">
        <v>0.0</v>
      </c>
      <c r="CR92" s="1">
        <v>0.0</v>
      </c>
      <c r="CS92" s="1">
        <v>0.0</v>
      </c>
      <c r="CT92" s="1">
        <v>0.0</v>
      </c>
      <c r="CU92" s="1">
        <v>0.0</v>
      </c>
      <c r="CV92" s="1">
        <v>0.0</v>
      </c>
      <c r="CW92" s="1">
        <v>0.0</v>
      </c>
      <c r="CX92" s="1">
        <v>0.0</v>
      </c>
      <c r="CY92" s="1">
        <v>0.0</v>
      </c>
      <c r="CZ92" s="1">
        <v>0.0</v>
      </c>
      <c r="DA92" s="1">
        <v>0.0</v>
      </c>
      <c r="DB92" s="1">
        <v>0.0</v>
      </c>
      <c r="DC92" s="1">
        <v>0.0</v>
      </c>
      <c r="DD92" s="1" t="s">
        <v>543</v>
      </c>
      <c r="DE92" s="1">
        <v>5.75802716283951E-4</v>
      </c>
      <c r="DF92" s="2" t="s">
        <v>544</v>
      </c>
    </row>
    <row r="93" ht="15.75" customHeight="1">
      <c r="A93" s="1" t="s">
        <v>545</v>
      </c>
      <c r="B93" s="1">
        <v>29.0</v>
      </c>
      <c r="C93" s="2" t="s">
        <v>464</v>
      </c>
      <c r="D93" s="2" t="s">
        <v>381</v>
      </c>
      <c r="E93" s="1">
        <v>2.378</v>
      </c>
      <c r="F93" s="1">
        <v>29021.0</v>
      </c>
      <c r="G93" s="1">
        <v>2.90210021E10</v>
      </c>
      <c r="H93" s="1" t="s">
        <v>112</v>
      </c>
      <c r="I93" s="1" t="s">
        <v>113</v>
      </c>
      <c r="J93" s="1" t="s">
        <v>466</v>
      </c>
      <c r="K93" s="1" t="s">
        <v>546</v>
      </c>
      <c r="L93" s="1">
        <v>2471.0</v>
      </c>
      <c r="M93" s="1">
        <v>2381.0</v>
      </c>
      <c r="N93" s="1">
        <v>262.0</v>
      </c>
      <c r="O93" s="1">
        <v>1023.0</v>
      </c>
      <c r="P93" s="1">
        <v>1060.0</v>
      </c>
      <c r="Q93" s="1">
        <v>77.0</v>
      </c>
      <c r="R93" s="1">
        <v>886.0</v>
      </c>
      <c r="S93" s="1">
        <v>343.0</v>
      </c>
      <c r="T93" s="1">
        <v>189.0</v>
      </c>
      <c r="U93" s="1">
        <v>151.0</v>
      </c>
      <c r="V93" s="1">
        <v>435.0</v>
      </c>
      <c r="W93" s="1">
        <v>19496.0</v>
      </c>
      <c r="X93" s="1">
        <v>2908.0</v>
      </c>
      <c r="Y93" s="1">
        <v>310.0</v>
      </c>
      <c r="Z93" s="1">
        <v>281.0</v>
      </c>
      <c r="AA93" s="1">
        <v>269.0</v>
      </c>
      <c r="AB93" s="1">
        <v>653.0</v>
      </c>
      <c r="AC93" s="1">
        <v>148.0</v>
      </c>
      <c r="AD93" s="1">
        <v>369.0</v>
      </c>
      <c r="AE93" s="1">
        <v>35.0</v>
      </c>
      <c r="AF93" s="1">
        <v>413.0</v>
      </c>
      <c r="AG93" s="1">
        <v>0.0</v>
      </c>
      <c r="AH93" s="1">
        <v>197.0</v>
      </c>
      <c r="AI93" s="1">
        <v>49.0</v>
      </c>
      <c r="AJ93" s="1">
        <v>35.0</v>
      </c>
      <c r="AK93" s="1">
        <v>4.0</v>
      </c>
      <c r="AL93" s="1">
        <v>114.0</v>
      </c>
      <c r="AM93" s="1">
        <v>8.0</v>
      </c>
      <c r="AN93" s="1">
        <v>115.0</v>
      </c>
      <c r="AO93" s="1">
        <v>0.0</v>
      </c>
      <c r="AP93" s="1">
        <v>0.147972</v>
      </c>
      <c r="AQ93" s="1">
        <v>0.080058</v>
      </c>
      <c r="AR93" s="1">
        <v>0.106188</v>
      </c>
      <c r="AS93" s="1">
        <v>0.304972</v>
      </c>
      <c r="AT93" s="1">
        <v>19496.0</v>
      </c>
      <c r="AU93" s="1">
        <v>2908.0</v>
      </c>
      <c r="AV93" s="1">
        <v>0.189139</v>
      </c>
      <c r="AW93" s="1">
        <v>0.170461</v>
      </c>
      <c r="AX93" s="1">
        <v>0.108862</v>
      </c>
      <c r="AY93" s="1">
        <v>0.264265</v>
      </c>
      <c r="AZ93" s="1">
        <v>0.16704288</v>
      </c>
      <c r="BA93" s="1">
        <v>0.149332</v>
      </c>
      <c r="BB93" s="1">
        <v>0.015323</v>
      </c>
      <c r="BC93" s="1">
        <v>0.180814</v>
      </c>
      <c r="BD93" s="1">
        <v>0.0</v>
      </c>
      <c r="BE93" s="1">
        <v>0.185849</v>
      </c>
      <c r="BF93" s="1">
        <v>0.046226</v>
      </c>
      <c r="BG93" s="1">
        <v>0.032847</v>
      </c>
      <c r="BH93" s="1">
        <v>0.004419</v>
      </c>
      <c r="BI93" s="1">
        <v>0.125966</v>
      </c>
      <c r="BJ93" s="1">
        <v>0.008839</v>
      </c>
      <c r="BK93" s="1">
        <v>0.127068</v>
      </c>
      <c r="BL93" s="1">
        <v>0.0</v>
      </c>
      <c r="BM93" s="1">
        <v>0.573</v>
      </c>
      <c r="BN93" s="1">
        <v>0.768</v>
      </c>
      <c r="BO93" s="1">
        <v>0.6455</v>
      </c>
      <c r="BP93" s="1">
        <v>0.723</v>
      </c>
      <c r="BQ93" s="1">
        <v>2.7095</v>
      </c>
      <c r="BR93" s="1">
        <v>0.7264</v>
      </c>
      <c r="BS93" s="1">
        <v>0.264</v>
      </c>
      <c r="BT93" s="1">
        <v>0.741</v>
      </c>
      <c r="BU93" s="1">
        <v>0.84</v>
      </c>
      <c r="BV93" s="1">
        <v>1.845</v>
      </c>
      <c r="BW93" s="1">
        <v>0.764</v>
      </c>
      <c r="BX93" s="1">
        <v>0.623</v>
      </c>
      <c r="BY93" s="1">
        <v>0.815</v>
      </c>
      <c r="BZ93" s="1">
        <v>1.438</v>
      </c>
      <c r="CA93" s="1">
        <v>0.786</v>
      </c>
      <c r="CB93" s="1">
        <v>0.0</v>
      </c>
      <c r="CC93" s="1">
        <v>0.597</v>
      </c>
      <c r="CD93" s="1">
        <v>0.318</v>
      </c>
      <c r="CE93" s="1">
        <v>0.073</v>
      </c>
      <c r="CF93" s="1">
        <v>0.0</v>
      </c>
      <c r="CG93" s="1">
        <v>0.988</v>
      </c>
      <c r="CH93" s="1">
        <v>0.076</v>
      </c>
      <c r="CI93" s="1">
        <v>6.9805</v>
      </c>
      <c r="CJ93" s="1">
        <v>0.5422</v>
      </c>
      <c r="CK93" s="1">
        <v>0.0</v>
      </c>
      <c r="CL93" s="1">
        <v>0.0</v>
      </c>
      <c r="CM93" s="1">
        <v>0.0</v>
      </c>
      <c r="CN93" s="1">
        <v>0.0</v>
      </c>
      <c r="CO93" s="1">
        <v>0.0</v>
      </c>
      <c r="CP93" s="1">
        <v>0.0</v>
      </c>
      <c r="CQ93" s="1">
        <v>0.0</v>
      </c>
      <c r="CR93" s="1">
        <v>0.0</v>
      </c>
      <c r="CS93" s="1">
        <v>0.0</v>
      </c>
      <c r="CT93" s="1">
        <v>0.0</v>
      </c>
      <c r="CU93" s="1">
        <v>0.0</v>
      </c>
      <c r="CV93" s="1">
        <v>0.0</v>
      </c>
      <c r="CW93" s="1">
        <v>0.0</v>
      </c>
      <c r="CX93" s="1">
        <v>0.0</v>
      </c>
      <c r="CY93" s="1">
        <v>0.0</v>
      </c>
      <c r="CZ93" s="1">
        <v>0.0</v>
      </c>
      <c r="DA93" s="1">
        <v>0.0</v>
      </c>
      <c r="DB93" s="1">
        <v>0.0</v>
      </c>
      <c r="DC93" s="1">
        <v>0.0</v>
      </c>
      <c r="DD93" s="1" t="s">
        <v>547</v>
      </c>
      <c r="DE93" s="1">
        <v>6.47979643780886E-4</v>
      </c>
      <c r="DF93" s="2" t="s">
        <v>548</v>
      </c>
    </row>
    <row r="94" ht="15.75" customHeight="1">
      <c r="A94" s="1" t="s">
        <v>549</v>
      </c>
      <c r="B94" s="1">
        <v>29.0</v>
      </c>
      <c r="C94" s="2" t="s">
        <v>464</v>
      </c>
      <c r="D94" s="2" t="s">
        <v>385</v>
      </c>
      <c r="E94" s="1">
        <v>5.624</v>
      </c>
      <c r="F94" s="1">
        <v>29021.0</v>
      </c>
      <c r="G94" s="1">
        <v>2.90210022E10</v>
      </c>
      <c r="H94" s="1" t="s">
        <v>112</v>
      </c>
      <c r="I94" s="1" t="s">
        <v>113</v>
      </c>
      <c r="J94" s="1" t="s">
        <v>466</v>
      </c>
      <c r="K94" s="1" t="s">
        <v>550</v>
      </c>
      <c r="L94" s="1">
        <v>1919.0</v>
      </c>
      <c r="M94" s="1">
        <v>1767.0</v>
      </c>
      <c r="N94" s="1">
        <v>124.0</v>
      </c>
      <c r="O94" s="1">
        <v>742.0</v>
      </c>
      <c r="P94" s="1">
        <v>738.0</v>
      </c>
      <c r="Q94" s="1">
        <v>28.0</v>
      </c>
      <c r="R94" s="1">
        <v>712.0</v>
      </c>
      <c r="S94" s="1">
        <v>20.0</v>
      </c>
      <c r="T94" s="1">
        <v>116.0</v>
      </c>
      <c r="U94" s="1">
        <v>34.0</v>
      </c>
      <c r="V94" s="1">
        <v>485.0</v>
      </c>
      <c r="W94" s="1">
        <v>36251.0</v>
      </c>
      <c r="X94" s="1">
        <v>6731.0</v>
      </c>
      <c r="Y94" s="1">
        <v>96.0</v>
      </c>
      <c r="Z94" s="1">
        <v>326.0</v>
      </c>
      <c r="AA94" s="1">
        <v>276.0</v>
      </c>
      <c r="AB94" s="1">
        <v>440.0</v>
      </c>
      <c r="AC94" s="1">
        <v>48.0</v>
      </c>
      <c r="AD94" s="1">
        <v>144.0</v>
      </c>
      <c r="AE94" s="1">
        <v>0.0</v>
      </c>
      <c r="AF94" s="1">
        <v>456.0</v>
      </c>
      <c r="AG94" s="1">
        <v>0.0</v>
      </c>
      <c r="AH94" s="1">
        <v>197.0</v>
      </c>
      <c r="AI94" s="1">
        <v>100.0</v>
      </c>
      <c r="AJ94" s="1">
        <v>61.0</v>
      </c>
      <c r="AK94" s="1">
        <v>0.0</v>
      </c>
      <c r="AL94" s="1">
        <v>161.0</v>
      </c>
      <c r="AM94" s="1">
        <v>29.0</v>
      </c>
      <c r="AN94" s="1">
        <v>27.0</v>
      </c>
      <c r="AO94" s="1">
        <v>0.0</v>
      </c>
      <c r="AP94" s="1">
        <v>0.011318</v>
      </c>
      <c r="AQ94" s="1">
        <v>0.065643</v>
      </c>
      <c r="AR94" s="1">
        <v>0.034871</v>
      </c>
      <c r="AS94" s="1">
        <v>0.497371</v>
      </c>
      <c r="AT94" s="1">
        <v>36251.0</v>
      </c>
      <c r="AU94" s="1">
        <v>6731.0</v>
      </c>
      <c r="AV94" s="1">
        <v>0.076984</v>
      </c>
      <c r="AW94" s="1">
        <v>0.261355</v>
      </c>
      <c r="AX94" s="1">
        <v>0.143824</v>
      </c>
      <c r="AY94" s="1">
        <v>0.229286</v>
      </c>
      <c r="AZ94" s="1">
        <v>0.06741573</v>
      </c>
      <c r="BA94" s="1">
        <v>0.075039</v>
      </c>
      <c r="BB94" s="1">
        <v>0.0</v>
      </c>
      <c r="BC94" s="1">
        <v>0.270783</v>
      </c>
      <c r="BD94" s="1">
        <v>0.0</v>
      </c>
      <c r="BE94" s="1">
        <v>0.266937</v>
      </c>
      <c r="BF94" s="1">
        <v>0.135501</v>
      </c>
      <c r="BG94" s="1">
        <v>0.082495</v>
      </c>
      <c r="BH94" s="1">
        <v>0.0</v>
      </c>
      <c r="BI94" s="1">
        <v>0.22708</v>
      </c>
      <c r="BJ94" s="1">
        <v>0.040902</v>
      </c>
      <c r="BK94" s="1">
        <v>0.03798</v>
      </c>
      <c r="BL94" s="1">
        <v>0.0</v>
      </c>
      <c r="BM94" s="1">
        <v>0.024</v>
      </c>
      <c r="BN94" s="1">
        <v>0.13</v>
      </c>
      <c r="BO94" s="1">
        <v>0.1004</v>
      </c>
      <c r="BP94" s="1">
        <v>0.233</v>
      </c>
      <c r="BQ94" s="1">
        <v>0.4874</v>
      </c>
      <c r="BR94" s="1">
        <v>0.0628</v>
      </c>
      <c r="BS94" s="1">
        <v>0.53</v>
      </c>
      <c r="BT94" s="1">
        <v>0.377</v>
      </c>
      <c r="BU94" s="1">
        <v>0.192</v>
      </c>
      <c r="BV94" s="1">
        <v>1.099</v>
      </c>
      <c r="BW94" s="1">
        <v>0.164</v>
      </c>
      <c r="BX94" s="1">
        <v>0.378</v>
      </c>
      <c r="BY94" s="1">
        <v>0.0</v>
      </c>
      <c r="BZ94" s="1">
        <v>0.378</v>
      </c>
      <c r="CA94" s="1">
        <v>0.153</v>
      </c>
      <c r="CB94" s="1">
        <v>0.0</v>
      </c>
      <c r="CC94" s="1">
        <v>0.788</v>
      </c>
      <c r="CD94" s="1">
        <v>0.0</v>
      </c>
      <c r="CE94" s="1">
        <v>0.397</v>
      </c>
      <c r="CF94" s="1">
        <v>0.0</v>
      </c>
      <c r="CG94" s="1">
        <v>1.185</v>
      </c>
      <c r="CH94" s="1">
        <v>0.107</v>
      </c>
      <c r="CI94" s="1">
        <v>3.1494</v>
      </c>
      <c r="CJ94" s="1">
        <v>0.0267</v>
      </c>
      <c r="CK94" s="1">
        <v>0.0</v>
      </c>
      <c r="CL94" s="1">
        <v>0.0</v>
      </c>
      <c r="CM94" s="1">
        <v>0.0</v>
      </c>
      <c r="CN94" s="1">
        <v>0.0</v>
      </c>
      <c r="CO94" s="1">
        <v>0.0</v>
      </c>
      <c r="CP94" s="1">
        <v>0.0</v>
      </c>
      <c r="CQ94" s="1">
        <v>0.0</v>
      </c>
      <c r="CR94" s="1">
        <v>0.0</v>
      </c>
      <c r="CS94" s="1">
        <v>0.0</v>
      </c>
      <c r="CT94" s="1">
        <v>0.0</v>
      </c>
      <c r="CU94" s="1">
        <v>0.0</v>
      </c>
      <c r="CV94" s="1">
        <v>0.0</v>
      </c>
      <c r="CW94" s="1">
        <v>0.0</v>
      </c>
      <c r="CX94" s="1">
        <v>0.0</v>
      </c>
      <c r="CY94" s="1">
        <v>0.0</v>
      </c>
      <c r="CZ94" s="1">
        <v>0.0</v>
      </c>
      <c r="DA94" s="1">
        <v>0.0</v>
      </c>
      <c r="DB94" s="1">
        <v>0.0</v>
      </c>
      <c r="DC94" s="1">
        <v>0.0</v>
      </c>
      <c r="DD94" s="1" t="s">
        <v>551</v>
      </c>
      <c r="DE94" s="1">
        <v>0.00153942340712652</v>
      </c>
      <c r="DF94" s="2" t="s">
        <v>552</v>
      </c>
    </row>
    <row r="95" ht="15.75" customHeight="1">
      <c r="A95" s="1" t="s">
        <v>553</v>
      </c>
      <c r="B95" s="1">
        <v>29.0</v>
      </c>
      <c r="C95" s="2" t="s">
        <v>464</v>
      </c>
      <c r="D95" s="2" t="s">
        <v>554</v>
      </c>
      <c r="E95" s="1">
        <v>2.217</v>
      </c>
      <c r="F95" s="1">
        <v>29021.0</v>
      </c>
      <c r="G95" s="1">
        <v>2.90210023E10</v>
      </c>
      <c r="H95" s="1" t="s">
        <v>112</v>
      </c>
      <c r="I95" s="1" t="s">
        <v>113</v>
      </c>
      <c r="J95" s="1" t="s">
        <v>466</v>
      </c>
      <c r="K95" s="1" t="s">
        <v>555</v>
      </c>
      <c r="L95" s="1">
        <v>2344.0</v>
      </c>
      <c r="M95" s="1">
        <v>2622.0</v>
      </c>
      <c r="N95" s="1">
        <v>227.0</v>
      </c>
      <c r="O95" s="1">
        <v>971.0</v>
      </c>
      <c r="P95" s="1">
        <v>1003.0</v>
      </c>
      <c r="Q95" s="1">
        <v>32.0</v>
      </c>
      <c r="R95" s="1">
        <v>885.0</v>
      </c>
      <c r="S95" s="1">
        <v>263.0</v>
      </c>
      <c r="T95" s="1">
        <v>172.0</v>
      </c>
      <c r="U95" s="1">
        <v>119.0</v>
      </c>
      <c r="V95" s="1">
        <v>433.0</v>
      </c>
      <c r="W95" s="1">
        <v>18423.0</v>
      </c>
      <c r="X95" s="1">
        <v>2160.0</v>
      </c>
      <c r="Y95" s="1">
        <v>187.0</v>
      </c>
      <c r="Z95" s="1">
        <v>313.0</v>
      </c>
      <c r="AA95" s="1">
        <v>307.0</v>
      </c>
      <c r="AB95" s="1">
        <v>582.0</v>
      </c>
      <c r="AC95" s="1">
        <v>108.0</v>
      </c>
      <c r="AD95" s="1">
        <v>240.0</v>
      </c>
      <c r="AE95" s="1">
        <v>0.0</v>
      </c>
      <c r="AF95" s="1">
        <v>456.0</v>
      </c>
      <c r="AG95" s="1">
        <v>0.0</v>
      </c>
      <c r="AH95" s="1">
        <v>197.0</v>
      </c>
      <c r="AI95" s="1">
        <v>10.0</v>
      </c>
      <c r="AJ95" s="1">
        <v>18.0</v>
      </c>
      <c r="AK95" s="1">
        <v>32.0</v>
      </c>
      <c r="AL95" s="1">
        <v>118.0</v>
      </c>
      <c r="AM95" s="1">
        <v>58.0</v>
      </c>
      <c r="AN95" s="1">
        <v>55.0</v>
      </c>
      <c r="AO95" s="1">
        <v>0.0</v>
      </c>
      <c r="AP95" s="1">
        <v>0.103421</v>
      </c>
      <c r="AQ95" s="1">
        <v>0.067193</v>
      </c>
      <c r="AR95" s="1">
        <v>0.086861</v>
      </c>
      <c r="AS95" s="1">
        <v>0.315801</v>
      </c>
      <c r="AT95" s="1">
        <v>18423.0</v>
      </c>
      <c r="AU95" s="1">
        <v>2160.0</v>
      </c>
      <c r="AV95" s="1">
        <v>0.115861</v>
      </c>
      <c r="AW95" s="1">
        <v>0.193727</v>
      </c>
      <c r="AX95" s="1">
        <v>0.130972</v>
      </c>
      <c r="AY95" s="1">
        <v>0.248293</v>
      </c>
      <c r="AZ95" s="1">
        <v>0.12203389</v>
      </c>
      <c r="BA95" s="1">
        <v>0.102389</v>
      </c>
      <c r="BB95" s="1">
        <v>0.0</v>
      </c>
      <c r="BC95" s="1">
        <v>0.182108</v>
      </c>
      <c r="BD95" s="1">
        <v>0.0</v>
      </c>
      <c r="BE95" s="1">
        <v>0.19641</v>
      </c>
      <c r="BF95" s="1">
        <v>0.00997</v>
      </c>
      <c r="BG95" s="1">
        <v>0.017943</v>
      </c>
      <c r="BH95" s="1">
        <v>0.034934</v>
      </c>
      <c r="BI95" s="1">
        <v>0.12879</v>
      </c>
      <c r="BJ95" s="1">
        <v>0.063318</v>
      </c>
      <c r="BK95" s="1">
        <v>0.059825</v>
      </c>
      <c r="BL95" s="1">
        <v>0.0</v>
      </c>
      <c r="BM95" s="1">
        <v>0.383</v>
      </c>
      <c r="BN95" s="1">
        <v>0.658</v>
      </c>
      <c r="BO95" s="1">
        <v>0.7126</v>
      </c>
      <c r="BP95" s="1">
        <v>0.408</v>
      </c>
      <c r="BQ95" s="1">
        <v>2.1616</v>
      </c>
      <c r="BR95" s="1">
        <v>0.5502</v>
      </c>
      <c r="BS95" s="1">
        <v>0.427</v>
      </c>
      <c r="BT95" s="1">
        <v>0.577</v>
      </c>
      <c r="BU95" s="1">
        <v>0.679</v>
      </c>
      <c r="BV95" s="1">
        <v>1.683</v>
      </c>
      <c r="BW95" s="1">
        <v>0.629</v>
      </c>
      <c r="BX95" s="1">
        <v>0.478</v>
      </c>
      <c r="BY95" s="1">
        <v>0.0</v>
      </c>
      <c r="BZ95" s="1">
        <v>0.478</v>
      </c>
      <c r="CA95" s="1">
        <v>0.198</v>
      </c>
      <c r="CB95" s="1">
        <v>0.0</v>
      </c>
      <c r="CC95" s="1">
        <v>0.458</v>
      </c>
      <c r="CD95" s="1">
        <v>0.861</v>
      </c>
      <c r="CE95" s="1">
        <v>0.587</v>
      </c>
      <c r="CF95" s="1">
        <v>0.0</v>
      </c>
      <c r="CG95" s="1">
        <v>1.906</v>
      </c>
      <c r="CH95" s="1">
        <v>0.307</v>
      </c>
      <c r="CI95" s="1">
        <v>6.2286</v>
      </c>
      <c r="CJ95" s="1">
        <v>0.413</v>
      </c>
      <c r="CK95" s="1">
        <v>0.0</v>
      </c>
      <c r="CL95" s="1">
        <v>0.0</v>
      </c>
      <c r="CM95" s="1">
        <v>0.0</v>
      </c>
      <c r="CN95" s="1">
        <v>0.0</v>
      </c>
      <c r="CO95" s="1">
        <v>0.0</v>
      </c>
      <c r="CP95" s="1">
        <v>0.0</v>
      </c>
      <c r="CQ95" s="1">
        <v>0.0</v>
      </c>
      <c r="CR95" s="1">
        <v>0.0</v>
      </c>
      <c r="CS95" s="1">
        <v>0.0</v>
      </c>
      <c r="CT95" s="1">
        <v>0.0</v>
      </c>
      <c r="CU95" s="1">
        <v>0.0</v>
      </c>
      <c r="CV95" s="1">
        <v>0.0</v>
      </c>
      <c r="CW95" s="1">
        <v>0.0</v>
      </c>
      <c r="CX95" s="1">
        <v>0.0</v>
      </c>
      <c r="CY95" s="1">
        <v>0.0</v>
      </c>
      <c r="CZ95" s="1">
        <v>0.0</v>
      </c>
      <c r="DA95" s="1">
        <v>0.0</v>
      </c>
      <c r="DB95" s="1">
        <v>0.0</v>
      </c>
      <c r="DC95" s="1">
        <v>0.0</v>
      </c>
      <c r="DD95" s="1" t="s">
        <v>556</v>
      </c>
      <c r="DE95" s="1">
        <v>6.02224786286227E-4</v>
      </c>
      <c r="DF95" s="2" t="s">
        <v>557</v>
      </c>
    </row>
    <row r="96" ht="15.75" customHeight="1">
      <c r="A96" s="1" t="s">
        <v>558</v>
      </c>
      <c r="B96" s="1">
        <v>29.0</v>
      </c>
      <c r="C96" s="2" t="s">
        <v>464</v>
      </c>
      <c r="D96" s="2" t="s">
        <v>559</v>
      </c>
      <c r="E96" s="1">
        <v>1.329</v>
      </c>
      <c r="F96" s="1">
        <v>29021.0</v>
      </c>
      <c r="G96" s="1">
        <v>2.90210025E10</v>
      </c>
      <c r="H96" s="1" t="s">
        <v>112</v>
      </c>
      <c r="I96" s="1" t="s">
        <v>113</v>
      </c>
      <c r="J96" s="1" t="s">
        <v>466</v>
      </c>
      <c r="K96" s="1" t="s">
        <v>560</v>
      </c>
      <c r="L96" s="1">
        <v>2305.0</v>
      </c>
      <c r="M96" s="1">
        <v>2028.0</v>
      </c>
      <c r="N96" s="1">
        <v>392.0</v>
      </c>
      <c r="O96" s="1">
        <v>1021.0</v>
      </c>
      <c r="P96" s="1">
        <v>1092.0</v>
      </c>
      <c r="Q96" s="1">
        <v>36.0</v>
      </c>
      <c r="R96" s="1">
        <v>914.0</v>
      </c>
      <c r="S96" s="1">
        <v>276.0</v>
      </c>
      <c r="T96" s="1">
        <v>111.0</v>
      </c>
      <c r="U96" s="1">
        <v>93.0</v>
      </c>
      <c r="V96" s="1">
        <v>445.0</v>
      </c>
      <c r="W96" s="1">
        <v>15906.0</v>
      </c>
      <c r="X96" s="1">
        <v>2402.0</v>
      </c>
      <c r="Y96" s="1">
        <v>286.0</v>
      </c>
      <c r="Z96" s="1">
        <v>248.0</v>
      </c>
      <c r="AA96" s="1">
        <v>318.0</v>
      </c>
      <c r="AB96" s="1">
        <v>574.0</v>
      </c>
      <c r="AC96" s="1">
        <v>138.0</v>
      </c>
      <c r="AD96" s="1">
        <v>189.0</v>
      </c>
      <c r="AE96" s="1">
        <v>0.0</v>
      </c>
      <c r="AF96" s="1">
        <v>456.0</v>
      </c>
      <c r="AG96" s="1">
        <v>0.0</v>
      </c>
      <c r="AH96" s="1">
        <v>197.0</v>
      </c>
      <c r="AI96" s="1">
        <v>119.0</v>
      </c>
      <c r="AJ96" s="1">
        <v>66.0</v>
      </c>
      <c r="AK96" s="1">
        <v>45.0</v>
      </c>
      <c r="AL96" s="1">
        <v>124.0</v>
      </c>
      <c r="AM96" s="1">
        <v>38.0</v>
      </c>
      <c r="AN96" s="1">
        <v>32.0</v>
      </c>
      <c r="AO96" s="1">
        <v>15.0</v>
      </c>
      <c r="AP96" s="1">
        <v>0.137587</v>
      </c>
      <c r="AQ96" s="1">
        <v>0.049346</v>
      </c>
      <c r="AR96" s="1">
        <v>0.085086</v>
      </c>
      <c r="AS96" s="1">
        <v>0.40687</v>
      </c>
      <c r="AT96" s="1">
        <v>15906.0</v>
      </c>
      <c r="AU96" s="1">
        <v>2402.0</v>
      </c>
      <c r="AV96" s="1">
        <v>0.202693</v>
      </c>
      <c r="AW96" s="1">
        <v>0.173913</v>
      </c>
      <c r="AX96" s="1">
        <v>0.13796</v>
      </c>
      <c r="AY96" s="1">
        <v>0.249023</v>
      </c>
      <c r="AZ96" s="1">
        <v>0.15098468</v>
      </c>
      <c r="BA96" s="1">
        <v>0.081995</v>
      </c>
      <c r="BB96" s="1">
        <v>0.0</v>
      </c>
      <c r="BC96" s="1">
        <v>0.233966</v>
      </c>
      <c r="BD96" s="1">
        <v>0.0</v>
      </c>
      <c r="BE96" s="1">
        <v>0.180402</v>
      </c>
      <c r="BF96" s="1">
        <v>0.108974</v>
      </c>
      <c r="BG96" s="1">
        <v>0.060332</v>
      </c>
      <c r="BH96" s="1">
        <v>0.051194</v>
      </c>
      <c r="BI96" s="1">
        <v>0.140941</v>
      </c>
      <c r="BJ96" s="1">
        <v>0.04323</v>
      </c>
      <c r="BK96" s="1">
        <v>0.03605</v>
      </c>
      <c r="BL96" s="1">
        <v>0.006507</v>
      </c>
      <c r="BM96" s="1">
        <v>0.53</v>
      </c>
      <c r="BN96" s="1">
        <v>0.649</v>
      </c>
      <c r="BO96" s="1">
        <v>0.8433</v>
      </c>
      <c r="BP96" s="1">
        <v>0.757</v>
      </c>
      <c r="BQ96" s="1">
        <v>2.7793</v>
      </c>
      <c r="BR96" s="1">
        <v>0.743</v>
      </c>
      <c r="BS96" s="1">
        <v>0.482</v>
      </c>
      <c r="BT96" s="1">
        <v>0.587</v>
      </c>
      <c r="BU96" s="1">
        <v>0.798</v>
      </c>
      <c r="BV96" s="1">
        <v>1.867</v>
      </c>
      <c r="BW96" s="1">
        <v>0.777</v>
      </c>
      <c r="BX96" s="1">
        <v>0.404</v>
      </c>
      <c r="BY96" s="1">
        <v>0.0</v>
      </c>
      <c r="BZ96" s="1">
        <v>0.404</v>
      </c>
      <c r="CA96" s="1">
        <v>0.164</v>
      </c>
      <c r="CB96" s="1">
        <v>0.0</v>
      </c>
      <c r="CC96" s="1">
        <v>0.738</v>
      </c>
      <c r="CD96" s="1">
        <v>0.94</v>
      </c>
      <c r="CE96" s="1">
        <v>0.425</v>
      </c>
      <c r="CF96" s="1">
        <v>0.535</v>
      </c>
      <c r="CG96" s="1">
        <v>2.638</v>
      </c>
      <c r="CH96" s="1">
        <v>0.617</v>
      </c>
      <c r="CI96" s="1">
        <v>7.6883</v>
      </c>
      <c r="CJ96" s="1">
        <v>0.6679</v>
      </c>
      <c r="CK96" s="1">
        <v>0.0</v>
      </c>
      <c r="CL96" s="1">
        <v>0.0</v>
      </c>
      <c r="CM96" s="1">
        <v>0.0</v>
      </c>
      <c r="CN96" s="1">
        <v>0.0</v>
      </c>
      <c r="CO96" s="1">
        <v>0.0</v>
      </c>
      <c r="CP96" s="1">
        <v>0.0</v>
      </c>
      <c r="CQ96" s="1">
        <v>0.0</v>
      </c>
      <c r="CR96" s="1">
        <v>0.0</v>
      </c>
      <c r="CS96" s="1">
        <v>0.0</v>
      </c>
      <c r="CT96" s="1">
        <v>0.0</v>
      </c>
      <c r="CU96" s="1">
        <v>0.0</v>
      </c>
      <c r="CV96" s="1">
        <v>0.0</v>
      </c>
      <c r="CW96" s="1">
        <v>0.0</v>
      </c>
      <c r="CX96" s="1">
        <v>0.0</v>
      </c>
      <c r="CY96" s="1">
        <v>1.0</v>
      </c>
      <c r="CZ96" s="1">
        <v>0.0</v>
      </c>
      <c r="DA96" s="1">
        <v>0.0</v>
      </c>
      <c r="DB96" s="1">
        <v>1.0</v>
      </c>
      <c r="DC96" s="1">
        <v>1.0</v>
      </c>
      <c r="DD96" s="1" t="s">
        <v>561</v>
      </c>
      <c r="DE96" s="1">
        <v>3.62160318434581E-4</v>
      </c>
      <c r="DF96" s="1">
        <v>0.077847705501292</v>
      </c>
    </row>
    <row r="97" ht="15.75" customHeight="1">
      <c r="A97" s="1" t="s">
        <v>562</v>
      </c>
      <c r="B97" s="1">
        <v>29.0</v>
      </c>
      <c r="C97" s="2" t="s">
        <v>464</v>
      </c>
      <c r="D97" s="2" t="s">
        <v>563</v>
      </c>
      <c r="E97" s="1">
        <v>135.24</v>
      </c>
      <c r="F97" s="1">
        <v>29021.0</v>
      </c>
      <c r="G97" s="1">
        <v>2.90210027E10</v>
      </c>
      <c r="H97" s="1" t="s">
        <v>112</v>
      </c>
      <c r="I97" s="1" t="s">
        <v>113</v>
      </c>
      <c r="J97" s="1" t="s">
        <v>466</v>
      </c>
      <c r="K97" s="1" t="s">
        <v>564</v>
      </c>
      <c r="L97" s="1">
        <v>3327.0</v>
      </c>
      <c r="M97" s="1">
        <v>3104.0</v>
      </c>
      <c r="N97" s="1">
        <v>292.0</v>
      </c>
      <c r="O97" s="1">
        <v>1449.0</v>
      </c>
      <c r="P97" s="1">
        <v>1257.0</v>
      </c>
      <c r="Q97" s="1">
        <v>104.0</v>
      </c>
      <c r="R97" s="1">
        <v>1322.0</v>
      </c>
      <c r="S97" s="1">
        <v>370.0</v>
      </c>
      <c r="T97" s="1">
        <v>207.0</v>
      </c>
      <c r="U97" s="1">
        <v>38.0</v>
      </c>
      <c r="V97" s="1">
        <v>457.0</v>
      </c>
      <c r="W97" s="1">
        <v>24294.0</v>
      </c>
      <c r="X97" s="1">
        <v>2753.0</v>
      </c>
      <c r="Y97" s="1">
        <v>172.0</v>
      </c>
      <c r="Z97" s="1">
        <v>264.0</v>
      </c>
      <c r="AA97" s="1">
        <v>551.0</v>
      </c>
      <c r="AB97" s="1">
        <v>825.0</v>
      </c>
      <c r="AC97" s="1">
        <v>136.0</v>
      </c>
      <c r="AD97" s="1">
        <v>251.0</v>
      </c>
      <c r="AE97" s="1">
        <v>0.0</v>
      </c>
      <c r="AF97" s="1">
        <v>456.0</v>
      </c>
      <c r="AG97" s="1">
        <v>80.0</v>
      </c>
      <c r="AH97" s="1">
        <v>61.0</v>
      </c>
      <c r="AI97" s="1">
        <v>55.0</v>
      </c>
      <c r="AJ97" s="1">
        <v>32.0</v>
      </c>
      <c r="AK97" s="1">
        <v>7.0</v>
      </c>
      <c r="AL97" s="1">
        <v>115.0</v>
      </c>
      <c r="AM97" s="1">
        <v>46.0</v>
      </c>
      <c r="AN97" s="1">
        <v>48.0</v>
      </c>
      <c r="AO97" s="1">
        <v>27.0</v>
      </c>
      <c r="AP97" s="1">
        <v>0.119201</v>
      </c>
      <c r="AQ97" s="1">
        <v>0.065738</v>
      </c>
      <c r="AR97" s="1">
        <v>0.025832</v>
      </c>
      <c r="AS97" s="1">
        <v>0.310657</v>
      </c>
      <c r="AT97" s="1">
        <v>24294.0</v>
      </c>
      <c r="AU97" s="1">
        <v>2753.0</v>
      </c>
      <c r="AV97" s="1">
        <v>0.083292</v>
      </c>
      <c r="AW97" s="1">
        <v>0.127493</v>
      </c>
      <c r="AX97" s="1">
        <v>0.165614</v>
      </c>
      <c r="AY97" s="1">
        <v>0.247971</v>
      </c>
      <c r="AZ97" s="1">
        <v>0.10287443</v>
      </c>
      <c r="BA97" s="1">
        <v>0.075443</v>
      </c>
      <c r="BB97" s="1">
        <v>0.0</v>
      </c>
      <c r="BC97" s="1">
        <v>0.157676</v>
      </c>
      <c r="BD97" s="1">
        <v>0.063643</v>
      </c>
      <c r="BE97" s="1">
        <v>0.048241</v>
      </c>
      <c r="BF97" s="1">
        <v>0.043754</v>
      </c>
      <c r="BG97" s="1">
        <v>0.025198</v>
      </c>
      <c r="BH97" s="1">
        <v>0.006255</v>
      </c>
      <c r="BI97" s="1">
        <v>0.102768</v>
      </c>
      <c r="BJ97" s="1">
        <v>0.041108</v>
      </c>
      <c r="BK97" s="1">
        <v>0.042686</v>
      </c>
      <c r="BL97" s="1">
        <v>0.008115</v>
      </c>
      <c r="BM97" s="1">
        <v>0.451</v>
      </c>
      <c r="BN97" s="1">
        <v>0.056</v>
      </c>
      <c r="BO97" s="1">
        <v>0.3805</v>
      </c>
      <c r="BP97" s="1">
        <v>0.26</v>
      </c>
      <c r="BQ97" s="1">
        <v>1.1475</v>
      </c>
      <c r="BR97" s="1">
        <v>0.2383</v>
      </c>
      <c r="BS97" s="1">
        <v>0.706</v>
      </c>
      <c r="BT97" s="1">
        <v>0.574</v>
      </c>
      <c r="BU97" s="1">
        <v>0.517</v>
      </c>
      <c r="BV97" s="1">
        <v>1.797</v>
      </c>
      <c r="BW97" s="1">
        <v>0.715</v>
      </c>
      <c r="BX97" s="1">
        <v>0.38</v>
      </c>
      <c r="BY97" s="1">
        <v>0.0</v>
      </c>
      <c r="BZ97" s="1">
        <v>0.38</v>
      </c>
      <c r="CA97" s="1">
        <v>0.154</v>
      </c>
      <c r="CB97" s="1">
        <v>0.693</v>
      </c>
      <c r="CC97" s="1">
        <v>0.589</v>
      </c>
      <c r="CD97" s="1">
        <v>0.366</v>
      </c>
      <c r="CE97" s="1">
        <v>0.4</v>
      </c>
      <c r="CF97" s="1">
        <v>0.552</v>
      </c>
      <c r="CG97" s="1">
        <v>2.6</v>
      </c>
      <c r="CH97" s="1">
        <v>0.602</v>
      </c>
      <c r="CI97" s="1">
        <v>5.9245</v>
      </c>
      <c r="CJ97" s="1">
        <v>0.3596</v>
      </c>
      <c r="CK97" s="1">
        <v>0.0</v>
      </c>
      <c r="CL97" s="1">
        <v>0.0</v>
      </c>
      <c r="CM97" s="1">
        <v>0.0</v>
      </c>
      <c r="CN97" s="1">
        <v>0.0</v>
      </c>
      <c r="CO97" s="1">
        <v>0.0</v>
      </c>
      <c r="CP97" s="1">
        <v>0.0</v>
      </c>
      <c r="CQ97" s="1">
        <v>0.0</v>
      </c>
      <c r="CR97" s="1">
        <v>0.0</v>
      </c>
      <c r="CS97" s="1">
        <v>0.0</v>
      </c>
      <c r="CT97" s="1">
        <v>0.0</v>
      </c>
      <c r="CU97" s="1">
        <v>0.0</v>
      </c>
      <c r="CV97" s="1">
        <v>0.0</v>
      </c>
      <c r="CW97" s="1">
        <v>0.0</v>
      </c>
      <c r="CX97" s="1">
        <v>0.0</v>
      </c>
      <c r="CY97" s="1">
        <v>0.0</v>
      </c>
      <c r="CZ97" s="1">
        <v>0.0</v>
      </c>
      <c r="DA97" s="1">
        <v>0.0</v>
      </c>
      <c r="DB97" s="1">
        <v>0.0</v>
      </c>
      <c r="DC97" s="1">
        <v>0.0</v>
      </c>
      <c r="DD97" s="1" t="s">
        <v>565</v>
      </c>
      <c r="DE97" s="2" t="s">
        <v>566</v>
      </c>
      <c r="DF97" s="2" t="s">
        <v>567</v>
      </c>
    </row>
    <row r="98" ht="15.75" customHeight="1">
      <c r="A98" s="1" t="s">
        <v>568</v>
      </c>
      <c r="B98" s="1">
        <v>29.0</v>
      </c>
      <c r="C98" s="2" t="s">
        <v>464</v>
      </c>
      <c r="D98" s="2" t="s">
        <v>569</v>
      </c>
      <c r="E98" s="1">
        <v>107.598</v>
      </c>
      <c r="F98" s="1">
        <v>29021.0</v>
      </c>
      <c r="G98" s="1">
        <v>2.90210028E10</v>
      </c>
      <c r="H98" s="1" t="s">
        <v>112</v>
      </c>
      <c r="I98" s="1" t="s">
        <v>113</v>
      </c>
      <c r="J98" s="1" t="s">
        <v>466</v>
      </c>
      <c r="K98" s="1" t="s">
        <v>570</v>
      </c>
      <c r="L98" s="1">
        <v>4854.0</v>
      </c>
      <c r="M98" s="1">
        <v>4763.0</v>
      </c>
      <c r="N98" s="1">
        <v>338.0</v>
      </c>
      <c r="O98" s="1">
        <v>1962.0</v>
      </c>
      <c r="P98" s="1">
        <v>1844.0</v>
      </c>
      <c r="Q98" s="1">
        <v>110.0</v>
      </c>
      <c r="R98" s="1">
        <v>1839.0</v>
      </c>
      <c r="S98" s="1">
        <v>176.0</v>
      </c>
      <c r="T98" s="1">
        <v>77.0</v>
      </c>
      <c r="U98" s="1">
        <v>73.0</v>
      </c>
      <c r="V98" s="1">
        <v>429.0</v>
      </c>
      <c r="W98" s="1">
        <v>24352.0</v>
      </c>
      <c r="X98" s="1">
        <v>2226.0</v>
      </c>
      <c r="Y98" s="1">
        <v>323.0</v>
      </c>
      <c r="Z98" s="1">
        <v>184.0</v>
      </c>
      <c r="AA98" s="1">
        <v>694.0</v>
      </c>
      <c r="AB98" s="1">
        <v>1121.0</v>
      </c>
      <c r="AC98" s="1">
        <v>121.0</v>
      </c>
      <c r="AD98" s="1">
        <v>208.0</v>
      </c>
      <c r="AE98" s="1">
        <v>0.0</v>
      </c>
      <c r="AF98" s="1">
        <v>456.0</v>
      </c>
      <c r="AG98" s="1">
        <v>0.0</v>
      </c>
      <c r="AH98" s="1">
        <v>197.0</v>
      </c>
      <c r="AI98" s="1">
        <v>101.0</v>
      </c>
      <c r="AJ98" s="1">
        <v>50.0</v>
      </c>
      <c r="AK98" s="1">
        <v>21.0</v>
      </c>
      <c r="AL98" s="1">
        <v>117.0</v>
      </c>
      <c r="AM98" s="1">
        <v>15.0</v>
      </c>
      <c r="AN98" s="1">
        <v>116.0</v>
      </c>
      <c r="AO98" s="1">
        <v>0.0</v>
      </c>
      <c r="AP98" s="1">
        <v>0.03713</v>
      </c>
      <c r="AQ98" s="1">
        <v>0.016032</v>
      </c>
      <c r="AR98" s="1">
        <v>0.030698</v>
      </c>
      <c r="AS98" s="1">
        <v>0.180375</v>
      </c>
      <c r="AT98" s="1">
        <v>24352.0</v>
      </c>
      <c r="AU98" s="1">
        <v>2226.0</v>
      </c>
      <c r="AV98" s="1">
        <v>0.100217</v>
      </c>
      <c r="AW98" s="1">
        <v>0.056643</v>
      </c>
      <c r="AX98" s="1">
        <v>0.142974</v>
      </c>
      <c r="AY98" s="1">
        <v>0.230943</v>
      </c>
      <c r="AZ98" s="1">
        <v>0.06579662</v>
      </c>
      <c r="BA98" s="1">
        <v>0.042851</v>
      </c>
      <c r="BB98" s="1">
        <v>0.0</v>
      </c>
      <c r="BC98" s="1">
        <v>0.101513</v>
      </c>
      <c r="BD98" s="1">
        <v>0.0</v>
      </c>
      <c r="BE98" s="1">
        <v>0.106832</v>
      </c>
      <c r="BF98" s="1">
        <v>0.054772</v>
      </c>
      <c r="BG98" s="1">
        <v>0.026917</v>
      </c>
      <c r="BH98" s="1">
        <v>0.012006</v>
      </c>
      <c r="BI98" s="1">
        <v>0.06689</v>
      </c>
      <c r="BJ98" s="1">
        <v>0.008576</v>
      </c>
      <c r="BK98" s="1">
        <v>0.066321</v>
      </c>
      <c r="BL98" s="1">
        <v>0.0</v>
      </c>
      <c r="BM98" s="1">
        <v>0.112</v>
      </c>
      <c r="BN98" s="1">
        <v>0.092</v>
      </c>
      <c r="BO98" s="1">
        <v>0.3769</v>
      </c>
      <c r="BP98" s="1">
        <v>0.339</v>
      </c>
      <c r="BQ98" s="1">
        <v>0.9199</v>
      </c>
      <c r="BR98" s="1">
        <v>0.1848</v>
      </c>
      <c r="BS98" s="1">
        <v>0.525</v>
      </c>
      <c r="BT98" s="1">
        <v>0.396</v>
      </c>
      <c r="BU98" s="1">
        <v>0.178</v>
      </c>
      <c r="BV98" s="1">
        <v>1.099</v>
      </c>
      <c r="BW98" s="1">
        <v>0.164</v>
      </c>
      <c r="BX98" s="1">
        <v>0.194</v>
      </c>
      <c r="BY98" s="1">
        <v>0.0</v>
      </c>
      <c r="BZ98" s="1">
        <v>0.194</v>
      </c>
      <c r="CA98" s="1">
        <v>0.088</v>
      </c>
      <c r="CB98" s="1">
        <v>0.0</v>
      </c>
      <c r="CC98" s="1">
        <v>0.618</v>
      </c>
      <c r="CD98" s="1">
        <v>0.529</v>
      </c>
      <c r="CE98" s="1">
        <v>0.068</v>
      </c>
      <c r="CF98" s="1">
        <v>0.0</v>
      </c>
      <c r="CG98" s="1">
        <v>1.215</v>
      </c>
      <c r="CH98" s="1">
        <v>0.114</v>
      </c>
      <c r="CI98" s="1">
        <v>3.4279</v>
      </c>
      <c r="CJ98" s="1">
        <v>0.0383</v>
      </c>
      <c r="CK98" s="1">
        <v>0.0</v>
      </c>
      <c r="CL98" s="1">
        <v>0.0</v>
      </c>
      <c r="CM98" s="1">
        <v>0.0</v>
      </c>
      <c r="CN98" s="1">
        <v>0.0</v>
      </c>
      <c r="CO98" s="1">
        <v>0.0</v>
      </c>
      <c r="CP98" s="1">
        <v>0.0</v>
      </c>
      <c r="CQ98" s="1">
        <v>0.0</v>
      </c>
      <c r="CR98" s="1">
        <v>0.0</v>
      </c>
      <c r="CS98" s="1">
        <v>0.0</v>
      </c>
      <c r="CT98" s="1">
        <v>0.0</v>
      </c>
      <c r="CU98" s="1">
        <v>0.0</v>
      </c>
      <c r="CV98" s="1">
        <v>0.0</v>
      </c>
      <c r="CW98" s="1">
        <v>0.0</v>
      </c>
      <c r="CX98" s="1">
        <v>0.0</v>
      </c>
      <c r="CY98" s="1">
        <v>0.0</v>
      </c>
      <c r="CZ98" s="1">
        <v>0.0</v>
      </c>
      <c r="DA98" s="1">
        <v>0.0</v>
      </c>
      <c r="DB98" s="1">
        <v>0.0</v>
      </c>
      <c r="DC98" s="1">
        <v>0.0</v>
      </c>
      <c r="DD98" s="1" t="s">
        <v>571</v>
      </c>
      <c r="DE98" s="2" t="s">
        <v>572</v>
      </c>
      <c r="DF98" s="2" t="s">
        <v>573</v>
      </c>
    </row>
    <row r="99" ht="15.75" customHeight="1">
      <c r="A99" s="1" t="s">
        <v>574</v>
      </c>
      <c r="B99" s="1">
        <v>29.0</v>
      </c>
      <c r="C99" s="2" t="s">
        <v>575</v>
      </c>
      <c r="D99" s="1">
        <v>950300.0</v>
      </c>
      <c r="E99" s="1">
        <v>5.378</v>
      </c>
      <c r="F99" s="1">
        <v>29023.0</v>
      </c>
      <c r="G99" s="1">
        <v>2.90239503E10</v>
      </c>
      <c r="H99" s="1" t="s">
        <v>112</v>
      </c>
      <c r="I99" s="1" t="s">
        <v>113</v>
      </c>
      <c r="J99" s="1" t="s">
        <v>576</v>
      </c>
      <c r="K99" s="1" t="s">
        <v>577</v>
      </c>
      <c r="L99" s="1">
        <v>7046.0</v>
      </c>
      <c r="M99" s="1">
        <v>7406.0</v>
      </c>
      <c r="N99" s="1">
        <v>531.0</v>
      </c>
      <c r="O99" s="1">
        <v>3245.0</v>
      </c>
      <c r="P99" s="1">
        <v>3225.0</v>
      </c>
      <c r="Q99" s="1">
        <v>164.0</v>
      </c>
      <c r="R99" s="1">
        <v>2962.0</v>
      </c>
      <c r="S99" s="1">
        <v>1188.0</v>
      </c>
      <c r="T99" s="1">
        <v>376.0</v>
      </c>
      <c r="U99" s="1">
        <v>158.0</v>
      </c>
      <c r="V99" s="1">
        <v>424.0</v>
      </c>
      <c r="W99" s="1">
        <v>24234.0</v>
      </c>
      <c r="X99" s="1">
        <v>2615.0</v>
      </c>
      <c r="Y99" s="1">
        <v>966.0</v>
      </c>
      <c r="Z99" s="1">
        <v>313.0</v>
      </c>
      <c r="AA99" s="1">
        <v>1619.0</v>
      </c>
      <c r="AB99" s="1">
        <v>1569.0</v>
      </c>
      <c r="AC99" s="1">
        <v>355.0</v>
      </c>
      <c r="AD99" s="1">
        <v>959.0</v>
      </c>
      <c r="AE99" s="1">
        <v>44.0</v>
      </c>
      <c r="AF99" s="1">
        <v>450.0</v>
      </c>
      <c r="AG99" s="1">
        <v>184.0</v>
      </c>
      <c r="AH99" s="1">
        <v>95.0</v>
      </c>
      <c r="AI99" s="1">
        <v>128.0</v>
      </c>
      <c r="AJ99" s="1">
        <v>87.0</v>
      </c>
      <c r="AK99" s="1">
        <v>0.0</v>
      </c>
      <c r="AL99" s="1">
        <v>161.0</v>
      </c>
      <c r="AM99" s="1">
        <v>305.0</v>
      </c>
      <c r="AN99" s="1">
        <v>131.0</v>
      </c>
      <c r="AO99" s="1">
        <v>340.0</v>
      </c>
      <c r="AP99" s="1">
        <v>0.171651</v>
      </c>
      <c r="AQ99" s="1">
        <v>0.052939</v>
      </c>
      <c r="AR99" s="1">
        <v>0.051165</v>
      </c>
      <c r="AS99" s="1">
        <v>0.137159</v>
      </c>
      <c r="AT99" s="1">
        <v>24234.0</v>
      </c>
      <c r="AU99" s="1">
        <v>2615.0</v>
      </c>
      <c r="AV99" s="1">
        <v>0.186019</v>
      </c>
      <c r="AW99" s="1">
        <v>0.058674</v>
      </c>
      <c r="AX99" s="1">
        <v>0.229775</v>
      </c>
      <c r="AY99" s="1">
        <v>0.222679</v>
      </c>
      <c r="AZ99" s="1">
        <v>0.11985145</v>
      </c>
      <c r="BA99" s="1">
        <v>0.136105</v>
      </c>
      <c r="BB99" s="1">
        <v>0.006304</v>
      </c>
      <c r="BC99" s="1">
        <v>0.064477</v>
      </c>
      <c r="BD99" s="1">
        <v>0.057054</v>
      </c>
      <c r="BE99" s="1">
        <v>0.029314</v>
      </c>
      <c r="BF99" s="1">
        <v>0.039689</v>
      </c>
      <c r="BG99" s="1">
        <v>0.026901</v>
      </c>
      <c r="BH99" s="1">
        <v>0.0</v>
      </c>
      <c r="BI99" s="1">
        <v>0.051785</v>
      </c>
      <c r="BJ99" s="1">
        <v>0.098102</v>
      </c>
      <c r="BK99" s="1">
        <v>0.041742</v>
      </c>
      <c r="BL99" s="1">
        <v>0.048254</v>
      </c>
      <c r="BM99" s="1">
        <v>0.651</v>
      </c>
      <c r="BN99" s="1">
        <v>0.306</v>
      </c>
      <c r="BO99" s="1">
        <v>0.3834</v>
      </c>
      <c r="BP99" s="1">
        <v>0.709</v>
      </c>
      <c r="BQ99" s="1">
        <v>2.0494</v>
      </c>
      <c r="BR99" s="1">
        <v>0.517</v>
      </c>
      <c r="BS99" s="1">
        <v>0.948</v>
      </c>
      <c r="BT99" s="1">
        <v>0.325</v>
      </c>
      <c r="BU99" s="1">
        <v>0.67</v>
      </c>
      <c r="BV99" s="1">
        <v>1.943</v>
      </c>
      <c r="BW99" s="1">
        <v>0.829</v>
      </c>
      <c r="BX99" s="1">
        <v>0.579</v>
      </c>
      <c r="BY99" s="1">
        <v>0.61</v>
      </c>
      <c r="BZ99" s="1">
        <v>1.189</v>
      </c>
      <c r="CA99" s="1">
        <v>0.656</v>
      </c>
      <c r="CB99" s="1">
        <v>0.677</v>
      </c>
      <c r="CC99" s="1">
        <v>0.577</v>
      </c>
      <c r="CD99" s="1">
        <v>0.0</v>
      </c>
      <c r="CE99" s="1">
        <v>0.747</v>
      </c>
      <c r="CF99" s="1">
        <v>0.889</v>
      </c>
      <c r="CG99" s="1">
        <v>2.89</v>
      </c>
      <c r="CH99" s="1">
        <v>0.728</v>
      </c>
      <c r="CI99" s="1">
        <v>8.0714</v>
      </c>
      <c r="CJ99" s="1">
        <v>0.7264</v>
      </c>
      <c r="CK99" s="1">
        <v>0.0</v>
      </c>
      <c r="CL99" s="1">
        <v>0.0</v>
      </c>
      <c r="CM99" s="1">
        <v>0.0</v>
      </c>
      <c r="CN99" s="1">
        <v>0.0</v>
      </c>
      <c r="CO99" s="1">
        <v>0.0</v>
      </c>
      <c r="CP99" s="1">
        <v>1.0</v>
      </c>
      <c r="CQ99" s="1">
        <v>0.0</v>
      </c>
      <c r="CR99" s="1">
        <v>0.0</v>
      </c>
      <c r="CS99" s="1">
        <v>1.0</v>
      </c>
      <c r="CT99" s="1">
        <v>0.0</v>
      </c>
      <c r="CU99" s="1">
        <v>0.0</v>
      </c>
      <c r="CV99" s="1">
        <v>0.0</v>
      </c>
      <c r="CW99" s="1">
        <v>0.0</v>
      </c>
      <c r="CX99" s="1">
        <v>0.0</v>
      </c>
      <c r="CY99" s="1">
        <v>0.0</v>
      </c>
      <c r="CZ99" s="1">
        <v>0.0</v>
      </c>
      <c r="DA99" s="1">
        <v>0.0</v>
      </c>
      <c r="DB99" s="1">
        <v>0.0</v>
      </c>
      <c r="DC99" s="1">
        <v>1.0</v>
      </c>
      <c r="DD99" s="1" t="s">
        <v>578</v>
      </c>
      <c r="DE99" s="1">
        <v>0.00140362917892958</v>
      </c>
      <c r="DF99" s="2" t="s">
        <v>579</v>
      </c>
    </row>
    <row r="100" ht="15.75" customHeight="1">
      <c r="A100" s="1" t="s">
        <v>580</v>
      </c>
      <c r="B100" s="1">
        <v>29.0</v>
      </c>
      <c r="C100" s="2" t="s">
        <v>575</v>
      </c>
      <c r="D100" s="1">
        <v>950600.0</v>
      </c>
      <c r="E100" s="1">
        <v>181.261</v>
      </c>
      <c r="F100" s="1">
        <v>29023.0</v>
      </c>
      <c r="G100" s="1">
        <v>2.90239506E10</v>
      </c>
      <c r="H100" s="1" t="s">
        <v>112</v>
      </c>
      <c r="I100" s="1" t="s">
        <v>113</v>
      </c>
      <c r="J100" s="1" t="s">
        <v>576</v>
      </c>
      <c r="K100" s="1" t="s">
        <v>581</v>
      </c>
      <c r="L100" s="1">
        <v>4287.0</v>
      </c>
      <c r="M100" s="1">
        <v>4310.0</v>
      </c>
      <c r="N100" s="1">
        <v>558.0</v>
      </c>
      <c r="O100" s="1">
        <v>1976.0</v>
      </c>
      <c r="P100" s="1">
        <v>2026.0</v>
      </c>
      <c r="Q100" s="1">
        <v>130.0</v>
      </c>
      <c r="R100" s="1">
        <v>1732.0</v>
      </c>
      <c r="S100" s="1">
        <v>818.0</v>
      </c>
      <c r="T100" s="1">
        <v>295.0</v>
      </c>
      <c r="U100" s="1">
        <v>115.0</v>
      </c>
      <c r="V100" s="1">
        <v>418.0</v>
      </c>
      <c r="W100" s="1">
        <v>18820.0</v>
      </c>
      <c r="X100" s="1">
        <v>2239.0</v>
      </c>
      <c r="Y100" s="1">
        <v>1127.0</v>
      </c>
      <c r="Z100" s="1">
        <v>241.0</v>
      </c>
      <c r="AA100" s="1">
        <v>779.0</v>
      </c>
      <c r="AB100" s="1">
        <v>992.0</v>
      </c>
      <c r="AC100" s="1">
        <v>184.0</v>
      </c>
      <c r="AD100" s="1">
        <v>187.0</v>
      </c>
      <c r="AE100" s="1">
        <v>0.0</v>
      </c>
      <c r="AF100" s="1">
        <v>456.0</v>
      </c>
      <c r="AG100" s="1">
        <v>9.0</v>
      </c>
      <c r="AH100" s="1">
        <v>162.0</v>
      </c>
      <c r="AI100" s="1">
        <v>488.0</v>
      </c>
      <c r="AJ100" s="1">
        <v>143.0</v>
      </c>
      <c r="AK100" s="1">
        <v>69.0</v>
      </c>
      <c r="AL100" s="1">
        <v>131.0</v>
      </c>
      <c r="AM100" s="1">
        <v>171.0</v>
      </c>
      <c r="AN100" s="1">
        <v>83.0</v>
      </c>
      <c r="AO100" s="1">
        <v>23.0</v>
      </c>
      <c r="AP100" s="1">
        <v>0.189791</v>
      </c>
      <c r="AQ100" s="1">
        <v>0.063882</v>
      </c>
      <c r="AR100" s="1">
        <v>0.059958</v>
      </c>
      <c r="AS100" s="1">
        <v>0.217685</v>
      </c>
      <c r="AT100" s="1">
        <v>18820.0</v>
      </c>
      <c r="AU100" s="1">
        <v>2239.0</v>
      </c>
      <c r="AV100" s="1">
        <v>0.348484</v>
      </c>
      <c r="AW100" s="1">
        <v>0.063429</v>
      </c>
      <c r="AX100" s="1">
        <v>0.181712</v>
      </c>
      <c r="AY100" s="1">
        <v>0.231397</v>
      </c>
      <c r="AZ100" s="1">
        <v>0.10623556</v>
      </c>
      <c r="BA100" s="1">
        <v>0.04362</v>
      </c>
      <c r="BB100" s="1">
        <v>0.0</v>
      </c>
      <c r="BC100" s="1">
        <v>0.110012</v>
      </c>
      <c r="BD100" s="1">
        <v>0.004442</v>
      </c>
      <c r="BE100" s="1">
        <v>0.07996</v>
      </c>
      <c r="BF100" s="1">
        <v>0.240868</v>
      </c>
      <c r="BG100" s="1">
        <v>0.068869</v>
      </c>
      <c r="BH100" s="1">
        <v>0.039428</v>
      </c>
      <c r="BI100" s="1">
        <v>0.074777</v>
      </c>
      <c r="BJ100" s="1">
        <v>0.097714</v>
      </c>
      <c r="BK100" s="1">
        <v>0.046652</v>
      </c>
      <c r="BL100" s="1">
        <v>0.005365</v>
      </c>
      <c r="BM100" s="1">
        <v>0.702</v>
      </c>
      <c r="BN100" s="1">
        <v>0.415</v>
      </c>
      <c r="BO100" s="1">
        <v>0.6823</v>
      </c>
      <c r="BP100" s="1">
        <v>0.976</v>
      </c>
      <c r="BQ100" s="1">
        <v>2.7753</v>
      </c>
      <c r="BR100" s="1">
        <v>0.7415</v>
      </c>
      <c r="BS100" s="1">
        <v>0.801</v>
      </c>
      <c r="BT100" s="1">
        <v>0.401</v>
      </c>
      <c r="BU100" s="1">
        <v>0.553</v>
      </c>
      <c r="BV100" s="1">
        <v>1.755</v>
      </c>
      <c r="BW100" s="1">
        <v>0.685</v>
      </c>
      <c r="BX100" s="1">
        <v>0.203</v>
      </c>
      <c r="BY100" s="1">
        <v>0.0</v>
      </c>
      <c r="BZ100" s="1">
        <v>0.203</v>
      </c>
      <c r="CA100" s="1">
        <v>0.092</v>
      </c>
      <c r="CB100" s="1">
        <v>0.309</v>
      </c>
      <c r="CC100" s="1">
        <v>0.94</v>
      </c>
      <c r="CD100" s="1">
        <v>0.89</v>
      </c>
      <c r="CE100" s="1">
        <v>0.746</v>
      </c>
      <c r="CF100" s="1">
        <v>0.518</v>
      </c>
      <c r="CG100" s="1">
        <v>3.403</v>
      </c>
      <c r="CH100" s="1">
        <v>0.917</v>
      </c>
      <c r="CI100" s="1">
        <v>8.1363</v>
      </c>
      <c r="CJ100" s="1">
        <v>0.7357</v>
      </c>
      <c r="CK100" s="1">
        <v>0.0</v>
      </c>
      <c r="CL100" s="1">
        <v>0.0</v>
      </c>
      <c r="CM100" s="1">
        <v>0.0</v>
      </c>
      <c r="CN100" s="1">
        <v>1.0</v>
      </c>
      <c r="CO100" s="1">
        <v>1.0</v>
      </c>
      <c r="CP100" s="1">
        <v>0.0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0.0</v>
      </c>
      <c r="CX100" s="1">
        <v>1.0</v>
      </c>
      <c r="CY100" s="1">
        <v>0.0</v>
      </c>
      <c r="CZ100" s="1">
        <v>0.0</v>
      </c>
      <c r="DA100" s="1">
        <v>0.0</v>
      </c>
      <c r="DB100" s="1">
        <v>1.0</v>
      </c>
      <c r="DC100" s="1">
        <v>2.0</v>
      </c>
      <c r="DD100" s="1" t="s">
        <v>582</v>
      </c>
      <c r="DE100" s="1">
        <v>0.0476047679075697</v>
      </c>
      <c r="DF100" s="2" t="s">
        <v>583</v>
      </c>
    </row>
    <row r="101" ht="15.75" customHeight="1">
      <c r="A101" s="1" t="s">
        <v>584</v>
      </c>
      <c r="B101" s="1">
        <v>29.0</v>
      </c>
      <c r="C101" s="2" t="s">
        <v>575</v>
      </c>
      <c r="D101" s="1">
        <v>950100.0</v>
      </c>
      <c r="E101" s="1">
        <v>137.086</v>
      </c>
      <c r="F101" s="1">
        <v>29023.0</v>
      </c>
      <c r="G101" s="1">
        <v>2.90239501E10</v>
      </c>
      <c r="H101" s="1" t="s">
        <v>112</v>
      </c>
      <c r="I101" s="1" t="s">
        <v>113</v>
      </c>
      <c r="J101" s="1" t="s">
        <v>576</v>
      </c>
      <c r="K101" s="1" t="s">
        <v>585</v>
      </c>
      <c r="L101" s="1">
        <v>5397.0</v>
      </c>
      <c r="M101" s="1">
        <v>4645.0</v>
      </c>
      <c r="N101" s="1">
        <v>535.0</v>
      </c>
      <c r="O101" s="1">
        <v>2691.0</v>
      </c>
      <c r="P101" s="1">
        <v>2553.0</v>
      </c>
      <c r="Q101" s="1">
        <v>154.0</v>
      </c>
      <c r="R101" s="1">
        <v>2293.0</v>
      </c>
      <c r="S101" s="1">
        <v>542.0</v>
      </c>
      <c r="T101" s="1">
        <v>204.0</v>
      </c>
      <c r="U101" s="1">
        <v>164.0</v>
      </c>
      <c r="V101" s="1">
        <v>437.0</v>
      </c>
      <c r="W101" s="1">
        <v>25080.0</v>
      </c>
      <c r="X101" s="1">
        <v>5263.0</v>
      </c>
      <c r="Y101" s="1">
        <v>740.0</v>
      </c>
      <c r="Z101" s="1">
        <v>222.0</v>
      </c>
      <c r="AA101" s="1">
        <v>967.0</v>
      </c>
      <c r="AB101" s="1">
        <v>1077.0</v>
      </c>
      <c r="AC101" s="1">
        <v>159.0</v>
      </c>
      <c r="AD101" s="1">
        <v>184.0</v>
      </c>
      <c r="AE101" s="1">
        <v>14.0</v>
      </c>
      <c r="AF101" s="1">
        <v>442.0</v>
      </c>
      <c r="AG101" s="1">
        <v>0.0</v>
      </c>
      <c r="AH101" s="1">
        <v>197.0</v>
      </c>
      <c r="AI101" s="1">
        <v>596.0</v>
      </c>
      <c r="AJ101" s="1">
        <v>167.0</v>
      </c>
      <c r="AK101" s="1">
        <v>0.0</v>
      </c>
      <c r="AL101" s="1">
        <v>161.0</v>
      </c>
      <c r="AM101" s="1">
        <v>63.0</v>
      </c>
      <c r="AN101" s="1">
        <v>63.0</v>
      </c>
      <c r="AO101" s="1">
        <v>4.0</v>
      </c>
      <c r="AP101" s="1">
        <v>0.117265</v>
      </c>
      <c r="AQ101" s="1">
        <v>0.041997</v>
      </c>
      <c r="AR101" s="1">
        <v>0.076599</v>
      </c>
      <c r="AS101" s="1">
        <v>0.203749</v>
      </c>
      <c r="AT101" s="1">
        <v>25080.0</v>
      </c>
      <c r="AU101" s="1">
        <v>5263.0</v>
      </c>
      <c r="AV101" s="1">
        <v>0.213934</v>
      </c>
      <c r="AW101" s="1">
        <v>0.059475</v>
      </c>
      <c r="AX101" s="1">
        <v>0.179173</v>
      </c>
      <c r="AY101" s="1">
        <v>0.199555</v>
      </c>
      <c r="AZ101" s="1">
        <v>0.06934147</v>
      </c>
      <c r="BA101" s="1">
        <v>0.034093</v>
      </c>
      <c r="BB101" s="1">
        <v>0.003154</v>
      </c>
      <c r="BC101" s="1">
        <v>0.099593</v>
      </c>
      <c r="BD101" s="1">
        <v>0.0</v>
      </c>
      <c r="BE101" s="1">
        <v>0.077164</v>
      </c>
      <c r="BF101" s="1">
        <v>0.23345</v>
      </c>
      <c r="BG101" s="1">
        <v>0.063879</v>
      </c>
      <c r="BH101" s="1">
        <v>0.0</v>
      </c>
      <c r="BI101" s="1">
        <v>0.081313</v>
      </c>
      <c r="BJ101" s="1">
        <v>0.031818</v>
      </c>
      <c r="BK101" s="1">
        <v>0.031665</v>
      </c>
      <c r="BL101" s="1">
        <v>7.41E-4</v>
      </c>
      <c r="BM101" s="1">
        <v>0.442</v>
      </c>
      <c r="BN101" s="1">
        <v>0.575</v>
      </c>
      <c r="BO101" s="1">
        <v>0.343</v>
      </c>
      <c r="BP101" s="1">
        <v>0.789</v>
      </c>
      <c r="BQ101" s="1">
        <v>2.149</v>
      </c>
      <c r="BR101" s="1">
        <v>0.5444</v>
      </c>
      <c r="BS101" s="1">
        <v>0.784</v>
      </c>
      <c r="BT101" s="1">
        <v>0.185</v>
      </c>
      <c r="BU101" s="1">
        <v>0.21</v>
      </c>
      <c r="BV101" s="1">
        <v>1.179</v>
      </c>
      <c r="BW101" s="1">
        <v>0.213</v>
      </c>
      <c r="BX101" s="1">
        <v>0.112</v>
      </c>
      <c r="BY101" s="1">
        <v>0.459</v>
      </c>
      <c r="BZ101" s="1">
        <v>0.571</v>
      </c>
      <c r="CA101" s="1">
        <v>0.254</v>
      </c>
      <c r="CB101" s="1">
        <v>0.0</v>
      </c>
      <c r="CC101" s="1">
        <v>0.933</v>
      </c>
      <c r="CD101" s="1">
        <v>0.0</v>
      </c>
      <c r="CE101" s="1">
        <v>0.3</v>
      </c>
      <c r="CF101" s="1">
        <v>0.381</v>
      </c>
      <c r="CG101" s="1">
        <v>1.614</v>
      </c>
      <c r="CH101" s="1">
        <v>0.204</v>
      </c>
      <c r="CI101" s="1">
        <v>5.513</v>
      </c>
      <c r="CJ101" s="1">
        <v>0.2852</v>
      </c>
      <c r="CK101" s="1">
        <v>0.0</v>
      </c>
      <c r="CL101" s="1">
        <v>0.0</v>
      </c>
      <c r="CM101" s="1">
        <v>0.0</v>
      </c>
      <c r="CN101" s="1">
        <v>0.0</v>
      </c>
      <c r="CO101" s="1">
        <v>0.0</v>
      </c>
      <c r="CP101" s="1">
        <v>0.0</v>
      </c>
      <c r="CQ101" s="1">
        <v>0.0</v>
      </c>
      <c r="CR101" s="1">
        <v>0.0</v>
      </c>
      <c r="CS101" s="1">
        <v>0.0</v>
      </c>
      <c r="CT101" s="1">
        <v>0.0</v>
      </c>
      <c r="CU101" s="1">
        <v>0.0</v>
      </c>
      <c r="CV101" s="1">
        <v>0.0</v>
      </c>
      <c r="CW101" s="1">
        <v>0.0</v>
      </c>
      <c r="CX101" s="1">
        <v>1.0</v>
      </c>
      <c r="CY101" s="1">
        <v>0.0</v>
      </c>
      <c r="CZ101" s="1">
        <v>0.0</v>
      </c>
      <c r="DA101" s="1">
        <v>0.0</v>
      </c>
      <c r="DB101" s="1">
        <v>1.0</v>
      </c>
      <c r="DC101" s="1">
        <v>1.0</v>
      </c>
      <c r="DD101" s="1" t="s">
        <v>586</v>
      </c>
      <c r="DE101" s="1">
        <v>0.0363198832608085</v>
      </c>
      <c r="DF101" s="2" t="s">
        <v>587</v>
      </c>
    </row>
    <row r="102" ht="15.75" customHeight="1">
      <c r="A102" s="1" t="s">
        <v>588</v>
      </c>
      <c r="B102" s="1">
        <v>29.0</v>
      </c>
      <c r="C102" s="2" t="s">
        <v>575</v>
      </c>
      <c r="D102" s="1">
        <v>950201.0</v>
      </c>
      <c r="E102" s="1">
        <v>105.878</v>
      </c>
      <c r="F102" s="1">
        <v>29023.0</v>
      </c>
      <c r="G102" s="1">
        <v>2.9023950201E10</v>
      </c>
      <c r="H102" s="1" t="s">
        <v>112</v>
      </c>
      <c r="I102" s="1" t="s">
        <v>113</v>
      </c>
      <c r="J102" s="1" t="s">
        <v>576</v>
      </c>
      <c r="K102" s="1" t="s">
        <v>589</v>
      </c>
      <c r="L102" s="1">
        <v>5057.0</v>
      </c>
      <c r="M102" s="1">
        <v>4819.0</v>
      </c>
      <c r="N102" s="1">
        <v>749.0</v>
      </c>
      <c r="O102" s="1">
        <v>2042.0</v>
      </c>
      <c r="P102" s="1">
        <v>1873.0</v>
      </c>
      <c r="Q102" s="1">
        <v>157.0</v>
      </c>
      <c r="R102" s="1">
        <v>1909.0</v>
      </c>
      <c r="S102" s="1">
        <v>200.0</v>
      </c>
      <c r="T102" s="1">
        <v>123.0</v>
      </c>
      <c r="U102" s="1">
        <v>64.0</v>
      </c>
      <c r="V102" s="1">
        <v>459.0</v>
      </c>
      <c r="W102" s="1">
        <v>23408.0</v>
      </c>
      <c r="X102" s="1">
        <v>4219.0</v>
      </c>
      <c r="Y102" s="1">
        <v>350.0</v>
      </c>
      <c r="Z102" s="1">
        <v>260.0</v>
      </c>
      <c r="AA102" s="1">
        <v>721.0</v>
      </c>
      <c r="AB102" s="1">
        <v>1266.0</v>
      </c>
      <c r="AC102" s="1">
        <v>159.0</v>
      </c>
      <c r="AD102" s="1">
        <v>311.0</v>
      </c>
      <c r="AE102" s="1">
        <v>0.0</v>
      </c>
      <c r="AF102" s="1">
        <v>456.0</v>
      </c>
      <c r="AG102" s="1">
        <v>0.0</v>
      </c>
      <c r="AH102" s="1">
        <v>197.0</v>
      </c>
      <c r="AI102" s="1">
        <v>214.0</v>
      </c>
      <c r="AJ102" s="1">
        <v>101.0</v>
      </c>
      <c r="AK102" s="1">
        <v>34.0</v>
      </c>
      <c r="AL102" s="1">
        <v>122.0</v>
      </c>
      <c r="AM102" s="1">
        <v>24.0</v>
      </c>
      <c r="AN102" s="1">
        <v>119.0</v>
      </c>
      <c r="AO102" s="1">
        <v>128.0</v>
      </c>
      <c r="AP102" s="1">
        <v>0.046339</v>
      </c>
      <c r="AQ102" s="1">
        <v>0.028078</v>
      </c>
      <c r="AR102" s="1">
        <v>0.027681</v>
      </c>
      <c r="AS102" s="1">
        <v>0.198492</v>
      </c>
      <c r="AT102" s="1">
        <v>23408.0</v>
      </c>
      <c r="AU102" s="1">
        <v>4219.0</v>
      </c>
      <c r="AV102" s="1">
        <v>0.118203</v>
      </c>
      <c r="AW102" s="1">
        <v>0.086663</v>
      </c>
      <c r="AX102" s="1">
        <v>0.142574</v>
      </c>
      <c r="AY102" s="1">
        <v>0.250346</v>
      </c>
      <c r="AZ102" s="1">
        <v>0.08328968</v>
      </c>
      <c r="BA102" s="1">
        <v>0.061498</v>
      </c>
      <c r="BB102" s="1">
        <v>0.0</v>
      </c>
      <c r="BC102" s="1">
        <v>0.098829</v>
      </c>
      <c r="BD102" s="1">
        <v>0.0</v>
      </c>
      <c r="BE102" s="1">
        <v>0.105178</v>
      </c>
      <c r="BF102" s="1">
        <v>0.114255</v>
      </c>
      <c r="BG102" s="1">
        <v>0.053066</v>
      </c>
      <c r="BH102" s="1">
        <v>0.021131</v>
      </c>
      <c r="BI102" s="1">
        <v>0.075791</v>
      </c>
      <c r="BJ102" s="1">
        <v>0.014916</v>
      </c>
      <c r="BK102" s="1">
        <v>0.073942</v>
      </c>
      <c r="BL102" s="1">
        <v>0.025311</v>
      </c>
      <c r="BM102" s="1">
        <v>0.151</v>
      </c>
      <c r="BN102" s="1">
        <v>0.07</v>
      </c>
      <c r="BO102" s="1">
        <v>0.4282</v>
      </c>
      <c r="BP102" s="1">
        <v>0.418</v>
      </c>
      <c r="BQ102" s="1">
        <v>1.0672</v>
      </c>
      <c r="BR102" s="1">
        <v>0.2181</v>
      </c>
      <c r="BS102" s="1">
        <v>0.522</v>
      </c>
      <c r="BT102" s="1">
        <v>0.6</v>
      </c>
      <c r="BU102" s="1">
        <v>0.343</v>
      </c>
      <c r="BV102" s="1">
        <v>1.465</v>
      </c>
      <c r="BW102" s="1">
        <v>0.45</v>
      </c>
      <c r="BX102" s="1">
        <v>0.32</v>
      </c>
      <c r="BY102" s="1">
        <v>0.0</v>
      </c>
      <c r="BZ102" s="1">
        <v>0.32</v>
      </c>
      <c r="CA102" s="1">
        <v>0.136</v>
      </c>
      <c r="CB102" s="1">
        <v>0.0</v>
      </c>
      <c r="CC102" s="1">
        <v>0.748</v>
      </c>
      <c r="CD102" s="1">
        <v>0.697</v>
      </c>
      <c r="CE102" s="1">
        <v>0.131</v>
      </c>
      <c r="CF102" s="1">
        <v>0.776</v>
      </c>
      <c r="CG102" s="1">
        <v>2.352</v>
      </c>
      <c r="CH102" s="1">
        <v>0.487</v>
      </c>
      <c r="CI102" s="1">
        <v>5.2042</v>
      </c>
      <c r="CJ102" s="1">
        <v>0.231</v>
      </c>
      <c r="CK102" s="1">
        <v>0.0</v>
      </c>
      <c r="CL102" s="1">
        <v>0.0</v>
      </c>
      <c r="CM102" s="1">
        <v>0.0</v>
      </c>
      <c r="CN102" s="1">
        <v>0.0</v>
      </c>
      <c r="CO102" s="1">
        <v>0.0</v>
      </c>
      <c r="CP102" s="1">
        <v>0.0</v>
      </c>
      <c r="CQ102" s="1">
        <v>0.0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0.0</v>
      </c>
      <c r="CX102" s="1">
        <v>0.0</v>
      </c>
      <c r="CY102" s="1">
        <v>0.0</v>
      </c>
      <c r="CZ102" s="1">
        <v>0.0</v>
      </c>
      <c r="DA102" s="1">
        <v>0.0</v>
      </c>
      <c r="DB102" s="1">
        <v>0.0</v>
      </c>
      <c r="DC102" s="1">
        <v>0.0</v>
      </c>
      <c r="DD102" s="1" t="s">
        <v>590</v>
      </c>
      <c r="DE102" s="2" t="s">
        <v>591</v>
      </c>
      <c r="DF102" s="2" t="s">
        <v>592</v>
      </c>
    </row>
    <row r="103" ht="15.75" customHeight="1">
      <c r="A103" s="1" t="s">
        <v>593</v>
      </c>
      <c r="B103" s="1">
        <v>29.0</v>
      </c>
      <c r="C103" s="2" t="s">
        <v>575</v>
      </c>
      <c r="D103" s="1">
        <v>950202.0</v>
      </c>
      <c r="E103" s="1">
        <v>78.646</v>
      </c>
      <c r="F103" s="1">
        <v>29023.0</v>
      </c>
      <c r="G103" s="1">
        <v>2.9023950202E10</v>
      </c>
      <c r="H103" s="1" t="s">
        <v>112</v>
      </c>
      <c r="I103" s="1" t="s">
        <v>113</v>
      </c>
      <c r="J103" s="1" t="s">
        <v>576</v>
      </c>
      <c r="K103" s="1" t="s">
        <v>594</v>
      </c>
      <c r="L103" s="1">
        <v>5252.0</v>
      </c>
      <c r="M103" s="1">
        <v>4902.0</v>
      </c>
      <c r="N103" s="1">
        <v>522.0</v>
      </c>
      <c r="O103" s="1">
        <v>2365.0</v>
      </c>
      <c r="P103" s="1">
        <v>2321.0</v>
      </c>
      <c r="Q103" s="1">
        <v>164.0</v>
      </c>
      <c r="R103" s="1">
        <v>2152.0</v>
      </c>
      <c r="S103" s="1">
        <v>643.0</v>
      </c>
      <c r="T103" s="1">
        <v>325.0</v>
      </c>
      <c r="U103" s="1">
        <v>168.0</v>
      </c>
      <c r="V103" s="1">
        <v>473.0</v>
      </c>
      <c r="W103" s="1">
        <v>20679.0</v>
      </c>
      <c r="X103" s="1">
        <v>3559.0</v>
      </c>
      <c r="Y103" s="1">
        <v>678.0</v>
      </c>
      <c r="Z103" s="1">
        <v>296.0</v>
      </c>
      <c r="AA103" s="1">
        <v>821.0</v>
      </c>
      <c r="AB103" s="1">
        <v>1149.0</v>
      </c>
      <c r="AC103" s="1">
        <v>199.0</v>
      </c>
      <c r="AD103" s="1">
        <v>290.0</v>
      </c>
      <c r="AE103" s="1">
        <v>18.0</v>
      </c>
      <c r="AF103" s="1">
        <v>442.0</v>
      </c>
      <c r="AG103" s="1">
        <v>48.0</v>
      </c>
      <c r="AH103" s="1">
        <v>176.0</v>
      </c>
      <c r="AI103" s="1">
        <v>473.0</v>
      </c>
      <c r="AJ103" s="1">
        <v>168.0</v>
      </c>
      <c r="AK103" s="1">
        <v>20.0</v>
      </c>
      <c r="AL103" s="1">
        <v>119.0</v>
      </c>
      <c r="AM103" s="1">
        <v>85.0</v>
      </c>
      <c r="AN103" s="1">
        <v>64.0</v>
      </c>
      <c r="AO103" s="1">
        <v>5.0</v>
      </c>
      <c r="AP103" s="1">
        <v>0.134181</v>
      </c>
      <c r="AQ103" s="1">
        <v>0.06636</v>
      </c>
      <c r="AR103" s="1">
        <v>0.075812</v>
      </c>
      <c r="AS103" s="1">
        <v>0.213036</v>
      </c>
      <c r="AT103" s="1">
        <v>20679.0</v>
      </c>
      <c r="AU103" s="1">
        <v>3559.0</v>
      </c>
      <c r="AV103" s="1">
        <v>0.193382</v>
      </c>
      <c r="AW103" s="1">
        <v>0.082304</v>
      </c>
      <c r="AX103" s="1">
        <v>0.156321</v>
      </c>
      <c r="AY103" s="1">
        <v>0.218773</v>
      </c>
      <c r="AZ103" s="1">
        <v>0.09247211</v>
      </c>
      <c r="BA103" s="1">
        <v>0.055217</v>
      </c>
      <c r="BB103" s="1">
        <v>0.003936</v>
      </c>
      <c r="BC103" s="1">
        <v>0.096653</v>
      </c>
      <c r="BD103" s="1">
        <v>0.02068</v>
      </c>
      <c r="BE103" s="1">
        <v>0.075815</v>
      </c>
      <c r="BF103" s="1">
        <v>0.203791</v>
      </c>
      <c r="BG103" s="1">
        <v>0.070935</v>
      </c>
      <c r="BH103" s="1">
        <v>0.009886</v>
      </c>
      <c r="BI103" s="1">
        <v>0.058815</v>
      </c>
      <c r="BJ103" s="1">
        <v>0.042016</v>
      </c>
      <c r="BK103" s="1">
        <v>0.031375</v>
      </c>
      <c r="BL103" s="1">
        <v>9.52E-4</v>
      </c>
      <c r="BM103" s="1">
        <v>0.512</v>
      </c>
      <c r="BN103" s="1">
        <v>0.568</v>
      </c>
      <c r="BO103" s="1">
        <v>0.574</v>
      </c>
      <c r="BP103" s="1">
        <v>0.734</v>
      </c>
      <c r="BQ103" s="1">
        <v>2.388</v>
      </c>
      <c r="BR103" s="1">
        <v>0.626</v>
      </c>
      <c r="BS103" s="1">
        <v>0.639</v>
      </c>
      <c r="BT103" s="1">
        <v>0.297</v>
      </c>
      <c r="BU103" s="1">
        <v>0.425</v>
      </c>
      <c r="BV103" s="1">
        <v>1.361</v>
      </c>
      <c r="BW103" s="1">
        <v>0.357</v>
      </c>
      <c r="BX103" s="1">
        <v>0.285</v>
      </c>
      <c r="BY103" s="1">
        <v>0.512</v>
      </c>
      <c r="BZ103" s="1">
        <v>0.797</v>
      </c>
      <c r="CA103" s="1">
        <v>0.397</v>
      </c>
      <c r="CB103" s="1">
        <v>0.47</v>
      </c>
      <c r="CC103" s="1">
        <v>0.902</v>
      </c>
      <c r="CD103" s="1">
        <v>0.471</v>
      </c>
      <c r="CE103" s="1">
        <v>0.412</v>
      </c>
      <c r="CF103" s="1">
        <v>0.394</v>
      </c>
      <c r="CG103" s="1">
        <v>2.649</v>
      </c>
      <c r="CH103" s="1">
        <v>0.622</v>
      </c>
      <c r="CI103" s="1">
        <v>7.195</v>
      </c>
      <c r="CJ103" s="1">
        <v>0.5935</v>
      </c>
      <c r="CK103" s="1">
        <v>0.0</v>
      </c>
      <c r="CL103" s="1">
        <v>0.0</v>
      </c>
      <c r="CM103" s="1">
        <v>0.0</v>
      </c>
      <c r="CN103" s="1">
        <v>0.0</v>
      </c>
      <c r="CO103" s="1">
        <v>0.0</v>
      </c>
      <c r="CP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0.0</v>
      </c>
      <c r="CX103" s="1">
        <v>1.0</v>
      </c>
      <c r="CY103" s="1">
        <v>0.0</v>
      </c>
      <c r="CZ103" s="1">
        <v>0.0</v>
      </c>
      <c r="DA103" s="1">
        <v>0.0</v>
      </c>
      <c r="DB103" s="1">
        <v>1.0</v>
      </c>
      <c r="DC103" s="1">
        <v>1.0</v>
      </c>
      <c r="DD103" s="1" t="s">
        <v>595</v>
      </c>
      <c r="DE103" s="1">
        <v>0.0206325335664277</v>
      </c>
      <c r="DF103" s="2" t="s">
        <v>596</v>
      </c>
    </row>
    <row r="104" ht="15.75" customHeight="1">
      <c r="A104" s="1" t="s">
        <v>597</v>
      </c>
      <c r="B104" s="1">
        <v>29.0</v>
      </c>
      <c r="C104" s="2" t="s">
        <v>575</v>
      </c>
      <c r="D104" s="1">
        <v>950400.0</v>
      </c>
      <c r="E104" s="1">
        <v>2.302</v>
      </c>
      <c r="F104" s="1">
        <v>29023.0</v>
      </c>
      <c r="G104" s="1">
        <v>2.90239504E10</v>
      </c>
      <c r="H104" s="1" t="s">
        <v>112</v>
      </c>
      <c r="I104" s="1" t="s">
        <v>113</v>
      </c>
      <c r="J104" s="1" t="s">
        <v>576</v>
      </c>
      <c r="K104" s="1" t="s">
        <v>598</v>
      </c>
      <c r="L104" s="1">
        <v>3323.0</v>
      </c>
      <c r="M104" s="1">
        <v>3614.0</v>
      </c>
      <c r="N104" s="1">
        <v>603.0</v>
      </c>
      <c r="O104" s="1">
        <v>1616.0</v>
      </c>
      <c r="P104" s="1">
        <v>1739.0</v>
      </c>
      <c r="Q104" s="1">
        <v>121.0</v>
      </c>
      <c r="R104" s="1">
        <v>1371.0</v>
      </c>
      <c r="S104" s="1">
        <v>1380.0</v>
      </c>
      <c r="T104" s="1">
        <v>431.0</v>
      </c>
      <c r="U104" s="1">
        <v>117.0</v>
      </c>
      <c r="V104" s="1">
        <v>418.0</v>
      </c>
      <c r="W104" s="1">
        <v>14006.0</v>
      </c>
      <c r="X104" s="1">
        <v>1717.0</v>
      </c>
      <c r="Y104" s="1">
        <v>493.0</v>
      </c>
      <c r="Z104" s="1">
        <v>319.0</v>
      </c>
      <c r="AA104" s="1">
        <v>374.0</v>
      </c>
      <c r="AB104" s="1">
        <v>908.0</v>
      </c>
      <c r="AC104" s="1">
        <v>260.0</v>
      </c>
      <c r="AD104" s="1">
        <v>818.0</v>
      </c>
      <c r="AE104" s="1">
        <v>0.0</v>
      </c>
      <c r="AF104" s="1">
        <v>456.0</v>
      </c>
      <c r="AG104" s="1">
        <v>80.0</v>
      </c>
      <c r="AH104" s="1">
        <v>125.0</v>
      </c>
      <c r="AI104" s="1">
        <v>0.0</v>
      </c>
      <c r="AJ104" s="1">
        <v>114.0</v>
      </c>
      <c r="AK104" s="1">
        <v>17.0</v>
      </c>
      <c r="AL104" s="1">
        <v>115.0</v>
      </c>
      <c r="AM104" s="1">
        <v>342.0</v>
      </c>
      <c r="AN104" s="1">
        <v>124.0</v>
      </c>
      <c r="AO104" s="1">
        <v>24.0</v>
      </c>
      <c r="AP104" s="1">
        <v>0.411203</v>
      </c>
      <c r="AQ104" s="1">
        <v>0.121649</v>
      </c>
      <c r="AR104" s="1">
        <v>0.070017</v>
      </c>
      <c r="AS104" s="1">
        <v>0.249872</v>
      </c>
      <c r="AT104" s="1">
        <v>14006.0</v>
      </c>
      <c r="AU104" s="1">
        <v>1717.0</v>
      </c>
      <c r="AV104" s="1">
        <v>0.218334</v>
      </c>
      <c r="AW104" s="1">
        <v>0.132389</v>
      </c>
      <c r="AX104" s="1">
        <v>0.112548</v>
      </c>
      <c r="AY104" s="1">
        <v>0.273247</v>
      </c>
      <c r="AZ104" s="1">
        <v>0.18964259</v>
      </c>
      <c r="BA104" s="1">
        <v>0.246163</v>
      </c>
      <c r="BB104" s="1">
        <v>0.0</v>
      </c>
      <c r="BC104" s="1">
        <v>0.139492</v>
      </c>
      <c r="BD104" s="1">
        <v>0.046003</v>
      </c>
      <c r="BE104" s="1">
        <v>0.071809</v>
      </c>
      <c r="BF104" s="1">
        <v>0.0</v>
      </c>
      <c r="BG104" s="1">
        <v>0.065554</v>
      </c>
      <c r="BH104" s="1">
        <v>0.011789</v>
      </c>
      <c r="BI104" s="1">
        <v>0.079741</v>
      </c>
      <c r="BJ104" s="1">
        <v>0.23717</v>
      </c>
      <c r="BK104" s="1">
        <v>0.082712</v>
      </c>
      <c r="BL104" s="1">
        <v>0.007222</v>
      </c>
      <c r="BM104" s="1">
        <v>0.961</v>
      </c>
      <c r="BN104" s="1">
        <v>0.516</v>
      </c>
      <c r="BO104" s="1">
        <v>0.9126</v>
      </c>
      <c r="BP104" s="1">
        <v>0.798</v>
      </c>
      <c r="BQ104" s="1">
        <v>3.1876</v>
      </c>
      <c r="BR104" s="1">
        <v>0.8505</v>
      </c>
      <c r="BS104" s="1">
        <v>0.291</v>
      </c>
      <c r="BT104" s="1">
        <v>0.81</v>
      </c>
      <c r="BU104" s="1">
        <v>0.885</v>
      </c>
      <c r="BV104" s="1">
        <v>1.986</v>
      </c>
      <c r="BW104" s="1">
        <v>0.851</v>
      </c>
      <c r="BX104" s="1">
        <v>0.758</v>
      </c>
      <c r="BY104" s="1">
        <v>0.0</v>
      </c>
      <c r="BZ104" s="1">
        <v>0.758</v>
      </c>
      <c r="CA104" s="1">
        <v>0.365</v>
      </c>
      <c r="CB104" s="1">
        <v>0.638</v>
      </c>
      <c r="CC104" s="1">
        <v>0.0</v>
      </c>
      <c r="CD104" s="1">
        <v>0.523</v>
      </c>
      <c r="CE104" s="1">
        <v>0.93</v>
      </c>
      <c r="CF104" s="1">
        <v>0.541</v>
      </c>
      <c r="CG104" s="1">
        <v>2.632</v>
      </c>
      <c r="CH104" s="1">
        <v>0.616</v>
      </c>
      <c r="CI104" s="1">
        <v>8.5636</v>
      </c>
      <c r="CJ104" s="1">
        <v>0.7949</v>
      </c>
      <c r="CK104" s="1">
        <v>1.0</v>
      </c>
      <c r="CL104" s="1">
        <v>0.0</v>
      </c>
      <c r="CM104" s="1">
        <v>1.0</v>
      </c>
      <c r="CN104" s="1">
        <v>0.0</v>
      </c>
      <c r="CO104" s="1">
        <v>2.0</v>
      </c>
      <c r="CP104" s="1">
        <v>0.0</v>
      </c>
      <c r="CQ104" s="1">
        <v>0.0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0.0</v>
      </c>
      <c r="CX104" s="1">
        <v>0.0</v>
      </c>
      <c r="CY104" s="1">
        <v>0.0</v>
      </c>
      <c r="CZ104" s="1">
        <v>1.0</v>
      </c>
      <c r="DA104" s="1">
        <v>0.0</v>
      </c>
      <c r="DB104" s="1">
        <v>1.0</v>
      </c>
      <c r="DC104" s="1">
        <v>3.0</v>
      </c>
      <c r="DD104" s="1" t="s">
        <v>599</v>
      </c>
      <c r="DE104" s="1">
        <v>6.01153341493826E-4</v>
      </c>
      <c r="DF104" s="2" t="s">
        <v>600</v>
      </c>
    </row>
    <row r="105" ht="15.75" customHeight="1">
      <c r="A105" s="1" t="s">
        <v>601</v>
      </c>
      <c r="B105" s="1">
        <v>29.0</v>
      </c>
      <c r="C105" s="2" t="s">
        <v>575</v>
      </c>
      <c r="D105" s="1">
        <v>950500.0</v>
      </c>
      <c r="E105" s="1">
        <v>8.798</v>
      </c>
      <c r="F105" s="1">
        <v>29023.0</v>
      </c>
      <c r="G105" s="1">
        <v>2.90239505E10</v>
      </c>
      <c r="H105" s="1" t="s">
        <v>112</v>
      </c>
      <c r="I105" s="1" t="s">
        <v>113</v>
      </c>
      <c r="J105" s="1" t="s">
        <v>576</v>
      </c>
      <c r="K105" s="1" t="s">
        <v>602</v>
      </c>
      <c r="L105" s="1">
        <v>2598.0</v>
      </c>
      <c r="M105" s="1">
        <v>2514.0</v>
      </c>
      <c r="N105" s="1">
        <v>316.0</v>
      </c>
      <c r="O105" s="1">
        <v>1348.0</v>
      </c>
      <c r="P105" s="1">
        <v>1242.0</v>
      </c>
      <c r="Q105" s="1">
        <v>110.0</v>
      </c>
      <c r="R105" s="1">
        <v>1183.0</v>
      </c>
      <c r="S105" s="1">
        <v>835.0</v>
      </c>
      <c r="T105" s="1">
        <v>287.0</v>
      </c>
      <c r="U105" s="1">
        <v>30.0</v>
      </c>
      <c r="V105" s="1">
        <v>485.0</v>
      </c>
      <c r="W105" s="1">
        <v>12227.0</v>
      </c>
      <c r="X105" s="1">
        <v>2033.0</v>
      </c>
      <c r="Y105" s="1">
        <v>512.0</v>
      </c>
      <c r="Z105" s="1">
        <v>206.0</v>
      </c>
      <c r="AA105" s="1">
        <v>478.0</v>
      </c>
      <c r="AB105" s="1">
        <v>568.0</v>
      </c>
      <c r="AC105" s="1">
        <v>148.0</v>
      </c>
      <c r="AD105" s="1">
        <v>357.0</v>
      </c>
      <c r="AE105" s="1">
        <v>0.0</v>
      </c>
      <c r="AF105" s="1">
        <v>456.0</v>
      </c>
      <c r="AG105" s="1">
        <v>160.0</v>
      </c>
      <c r="AH105" s="1">
        <v>75.0</v>
      </c>
      <c r="AI105" s="1">
        <v>16.0</v>
      </c>
      <c r="AJ105" s="1">
        <v>28.0</v>
      </c>
      <c r="AK105" s="1">
        <v>0.0</v>
      </c>
      <c r="AL105" s="1">
        <v>161.0</v>
      </c>
      <c r="AM105" s="1">
        <v>289.0</v>
      </c>
      <c r="AN105" s="1">
        <v>90.0</v>
      </c>
      <c r="AO105" s="1">
        <v>191.0</v>
      </c>
      <c r="AP105" s="1">
        <v>0.342493</v>
      </c>
      <c r="AQ105" s="1">
        <v>0.109367</v>
      </c>
      <c r="AR105" s="1">
        <v>0.032223</v>
      </c>
      <c r="AS105" s="1">
        <v>0.520825</v>
      </c>
      <c r="AT105" s="1">
        <v>12227.0</v>
      </c>
      <c r="AU105" s="1">
        <v>2033.0</v>
      </c>
      <c r="AV105" s="1">
        <v>0.304761</v>
      </c>
      <c r="AW105" s="1">
        <v>0.11746</v>
      </c>
      <c r="AX105" s="1">
        <v>0.183987</v>
      </c>
      <c r="AY105" s="1">
        <v>0.218629</v>
      </c>
      <c r="AZ105" s="1">
        <v>0.12510566</v>
      </c>
      <c r="BA105" s="1">
        <v>0.137413</v>
      </c>
      <c r="BB105" s="1">
        <v>0.0</v>
      </c>
      <c r="BC105" s="1">
        <v>0.193056</v>
      </c>
      <c r="BD105" s="1">
        <v>0.128824</v>
      </c>
      <c r="BE105" s="1">
        <v>0.059298</v>
      </c>
      <c r="BF105" s="1">
        <v>0.012882</v>
      </c>
      <c r="BG105" s="1">
        <v>0.022515</v>
      </c>
      <c r="BH105" s="1">
        <v>0.0</v>
      </c>
      <c r="BI105" s="1">
        <v>0.141476</v>
      </c>
      <c r="BJ105" s="1">
        <v>0.253954</v>
      </c>
      <c r="BK105" s="1">
        <v>0.074729</v>
      </c>
      <c r="BL105" s="1">
        <v>0.073518</v>
      </c>
      <c r="BM105" s="1">
        <v>0.921</v>
      </c>
      <c r="BN105" s="1">
        <v>0.105</v>
      </c>
      <c r="BO105" s="1">
        <v>0.956</v>
      </c>
      <c r="BP105" s="1">
        <v>0.948</v>
      </c>
      <c r="BQ105" s="1">
        <v>2.93</v>
      </c>
      <c r="BR105" s="1">
        <v>0.7877</v>
      </c>
      <c r="BS105" s="1">
        <v>0.812</v>
      </c>
      <c r="BT105" s="1">
        <v>0.294</v>
      </c>
      <c r="BU105" s="1">
        <v>0.698</v>
      </c>
      <c r="BV105" s="1">
        <v>1.804</v>
      </c>
      <c r="BW105" s="1">
        <v>0.724</v>
      </c>
      <c r="BX105" s="1">
        <v>0.581</v>
      </c>
      <c r="BY105" s="1">
        <v>0.0</v>
      </c>
      <c r="BZ105" s="1">
        <v>0.581</v>
      </c>
      <c r="CA105" s="1">
        <v>0.259</v>
      </c>
      <c r="CB105" s="1">
        <v>0.811</v>
      </c>
      <c r="CC105" s="1">
        <v>0.477</v>
      </c>
      <c r="CD105" s="1">
        <v>0.0</v>
      </c>
      <c r="CE105" s="1">
        <v>0.944</v>
      </c>
      <c r="CF105" s="1">
        <v>0.927</v>
      </c>
      <c r="CG105" s="1">
        <v>3.159</v>
      </c>
      <c r="CH105" s="1">
        <v>0.836</v>
      </c>
      <c r="CI105" s="1">
        <v>8.474</v>
      </c>
      <c r="CJ105" s="1">
        <v>0.7798</v>
      </c>
      <c r="CK105" s="1">
        <v>1.0</v>
      </c>
      <c r="CL105" s="1">
        <v>0.0</v>
      </c>
      <c r="CM105" s="1">
        <v>1.0</v>
      </c>
      <c r="CN105" s="1">
        <v>1.0</v>
      </c>
      <c r="CO105" s="1">
        <v>3.0</v>
      </c>
      <c r="CP105" s="1">
        <v>0.0</v>
      </c>
      <c r="CQ105" s="1">
        <v>0.0</v>
      </c>
      <c r="CR105" s="1">
        <v>0.0</v>
      </c>
      <c r="CS105" s="1">
        <v>0.0</v>
      </c>
      <c r="CT105" s="1">
        <v>0.0</v>
      </c>
      <c r="CU105" s="1">
        <v>0.0</v>
      </c>
      <c r="CV105" s="1">
        <v>0.0</v>
      </c>
      <c r="CW105" s="1">
        <v>0.0</v>
      </c>
      <c r="CX105" s="1">
        <v>0.0</v>
      </c>
      <c r="CY105" s="1">
        <v>0.0</v>
      </c>
      <c r="CZ105" s="1">
        <v>1.0</v>
      </c>
      <c r="DA105" s="1">
        <v>1.0</v>
      </c>
      <c r="DB105" s="1">
        <v>2.0</v>
      </c>
      <c r="DC105" s="1">
        <v>5.0</v>
      </c>
      <c r="DD105" s="1" t="s">
        <v>603</v>
      </c>
      <c r="DE105" s="1">
        <v>0.00233520407118252</v>
      </c>
      <c r="DF105" s="2" t="s">
        <v>604</v>
      </c>
    </row>
    <row r="106" ht="15.75" customHeight="1">
      <c r="A106" s="1" t="s">
        <v>605</v>
      </c>
      <c r="B106" s="1">
        <v>29.0</v>
      </c>
      <c r="C106" s="2" t="s">
        <v>575</v>
      </c>
      <c r="D106" s="1">
        <v>950700.0</v>
      </c>
      <c r="E106" s="1">
        <v>2.855</v>
      </c>
      <c r="F106" s="1">
        <v>29023.0</v>
      </c>
      <c r="G106" s="1">
        <v>2.90239507E10</v>
      </c>
      <c r="H106" s="1" t="s">
        <v>112</v>
      </c>
      <c r="I106" s="1" t="s">
        <v>113</v>
      </c>
      <c r="J106" s="1" t="s">
        <v>576</v>
      </c>
      <c r="K106" s="1" t="s">
        <v>606</v>
      </c>
      <c r="L106" s="1">
        <v>2917.0</v>
      </c>
      <c r="M106" s="1">
        <v>3110.0</v>
      </c>
      <c r="N106" s="1">
        <v>320.0</v>
      </c>
      <c r="O106" s="1">
        <v>1308.0</v>
      </c>
      <c r="P106" s="1">
        <v>1424.0</v>
      </c>
      <c r="Q106" s="1">
        <v>66.0</v>
      </c>
      <c r="R106" s="1">
        <v>1182.0</v>
      </c>
      <c r="S106" s="1">
        <v>1284.0</v>
      </c>
      <c r="T106" s="1">
        <v>368.0</v>
      </c>
      <c r="U106" s="1">
        <v>184.0</v>
      </c>
      <c r="V106" s="1">
        <v>422.0</v>
      </c>
      <c r="W106" s="1">
        <v>10282.0</v>
      </c>
      <c r="X106" s="1">
        <v>1434.0</v>
      </c>
      <c r="Y106" s="1">
        <v>692.0</v>
      </c>
      <c r="Z106" s="1">
        <v>212.0</v>
      </c>
      <c r="AA106" s="1">
        <v>350.0</v>
      </c>
      <c r="AB106" s="1">
        <v>866.0</v>
      </c>
      <c r="AC106" s="1">
        <v>292.0</v>
      </c>
      <c r="AD106" s="1">
        <v>446.0</v>
      </c>
      <c r="AE106" s="1">
        <v>0.0</v>
      </c>
      <c r="AF106" s="1">
        <v>456.0</v>
      </c>
      <c r="AG106" s="1">
        <v>0.0</v>
      </c>
      <c r="AH106" s="1">
        <v>197.0</v>
      </c>
      <c r="AI106" s="1">
        <v>77.0</v>
      </c>
      <c r="AJ106" s="1">
        <v>71.0</v>
      </c>
      <c r="AK106" s="1">
        <v>9.0</v>
      </c>
      <c r="AL106" s="1">
        <v>115.0</v>
      </c>
      <c r="AM106" s="1">
        <v>172.0</v>
      </c>
      <c r="AN106" s="1">
        <v>77.0</v>
      </c>
      <c r="AO106" s="1">
        <v>0.0</v>
      </c>
      <c r="AP106" s="1">
        <v>0.412861</v>
      </c>
      <c r="AQ106" s="1">
        <v>0.110439</v>
      </c>
      <c r="AR106" s="1">
        <v>0.166666</v>
      </c>
      <c r="AS106" s="1">
        <v>0.379103</v>
      </c>
      <c r="AT106" s="1">
        <v>10282.0</v>
      </c>
      <c r="AU106" s="1">
        <v>1434.0</v>
      </c>
      <c r="AV106" s="1">
        <v>0.379385</v>
      </c>
      <c r="AW106" s="1">
        <v>0.108448</v>
      </c>
      <c r="AX106" s="1">
        <v>0.119986</v>
      </c>
      <c r="AY106" s="1">
        <v>0.29688</v>
      </c>
      <c r="AZ106" s="1">
        <v>0.24703891</v>
      </c>
      <c r="BA106" s="1">
        <v>0.152896</v>
      </c>
      <c r="BB106" s="1">
        <v>0.0</v>
      </c>
      <c r="BC106" s="1">
        <v>0.173515</v>
      </c>
      <c r="BD106" s="1">
        <v>0.0</v>
      </c>
      <c r="BE106" s="1">
        <v>0.138342</v>
      </c>
      <c r="BF106" s="1">
        <v>0.054073</v>
      </c>
      <c r="BG106" s="1">
        <v>0.049796</v>
      </c>
      <c r="BH106" s="1">
        <v>0.007413</v>
      </c>
      <c r="BI106" s="1">
        <v>0.094725</v>
      </c>
      <c r="BJ106" s="1">
        <v>0.14168</v>
      </c>
      <c r="BK106" s="1">
        <v>0.06199</v>
      </c>
      <c r="BL106" s="1">
        <v>0.0</v>
      </c>
      <c r="BM106" s="1">
        <v>0.964</v>
      </c>
      <c r="BN106" s="1">
        <v>0.92</v>
      </c>
      <c r="BO106" s="1">
        <v>0.9856</v>
      </c>
      <c r="BP106" s="1">
        <v>0.985</v>
      </c>
      <c r="BQ106" s="1">
        <v>3.8546</v>
      </c>
      <c r="BR106" s="1">
        <v>0.9906</v>
      </c>
      <c r="BS106" s="1">
        <v>0.347</v>
      </c>
      <c r="BT106" s="1">
        <v>0.912</v>
      </c>
      <c r="BU106" s="1">
        <v>0.943</v>
      </c>
      <c r="BV106" s="1">
        <v>2.202</v>
      </c>
      <c r="BW106" s="1">
        <v>0.963</v>
      </c>
      <c r="BX106" s="1">
        <v>0.633</v>
      </c>
      <c r="BY106" s="1">
        <v>0.0</v>
      </c>
      <c r="BZ106" s="1">
        <v>0.633</v>
      </c>
      <c r="CA106" s="1">
        <v>0.292</v>
      </c>
      <c r="CB106" s="1">
        <v>0.0</v>
      </c>
      <c r="CC106" s="1">
        <v>0.617</v>
      </c>
      <c r="CD106" s="1">
        <v>0.408</v>
      </c>
      <c r="CE106" s="1">
        <v>0.851</v>
      </c>
      <c r="CF106" s="1">
        <v>0.0</v>
      </c>
      <c r="CG106" s="1">
        <v>1.876</v>
      </c>
      <c r="CH106" s="1">
        <v>0.295</v>
      </c>
      <c r="CI106" s="1">
        <v>8.5656</v>
      </c>
      <c r="CJ106" s="1">
        <v>0.7964</v>
      </c>
      <c r="CK106" s="1">
        <v>1.0</v>
      </c>
      <c r="CL106" s="1">
        <v>1.0</v>
      </c>
      <c r="CM106" s="1">
        <v>1.0</v>
      </c>
      <c r="CN106" s="1">
        <v>1.0</v>
      </c>
      <c r="CO106" s="1">
        <v>4.0</v>
      </c>
      <c r="CP106" s="1">
        <v>0.0</v>
      </c>
      <c r="CQ106" s="1">
        <v>1.0</v>
      </c>
      <c r="CR106" s="1">
        <v>1.0</v>
      </c>
      <c r="CS106" s="1">
        <v>2.0</v>
      </c>
      <c r="CT106" s="1">
        <v>0.0</v>
      </c>
      <c r="CU106" s="1">
        <v>0.0</v>
      </c>
      <c r="CV106" s="1">
        <v>0.0</v>
      </c>
      <c r="CW106" s="1">
        <v>0.0</v>
      </c>
      <c r="CX106" s="1">
        <v>0.0</v>
      </c>
      <c r="CY106" s="1">
        <v>0.0</v>
      </c>
      <c r="CZ106" s="1">
        <v>0.0</v>
      </c>
      <c r="DA106" s="1">
        <v>0.0</v>
      </c>
      <c r="DB106" s="1">
        <v>0.0</v>
      </c>
      <c r="DC106" s="1">
        <v>6.0</v>
      </c>
      <c r="DD106" s="1" t="s">
        <v>607</v>
      </c>
      <c r="DE106" s="1">
        <v>7.49748885025615E-4</v>
      </c>
      <c r="DF106" s="2" t="s">
        <v>608</v>
      </c>
    </row>
    <row r="107" ht="15.75" customHeight="1">
      <c r="A107" s="1" t="s">
        <v>609</v>
      </c>
      <c r="B107" s="1">
        <v>29.0</v>
      </c>
      <c r="C107" s="2" t="s">
        <v>575</v>
      </c>
      <c r="D107" s="1">
        <v>950800.0</v>
      </c>
      <c r="E107" s="1">
        <v>4.613</v>
      </c>
      <c r="F107" s="1">
        <v>29023.0</v>
      </c>
      <c r="G107" s="1">
        <v>2.90239508E10</v>
      </c>
      <c r="H107" s="1" t="s">
        <v>112</v>
      </c>
      <c r="I107" s="1" t="s">
        <v>113</v>
      </c>
      <c r="J107" s="1" t="s">
        <v>576</v>
      </c>
      <c r="K107" s="1" t="s">
        <v>610</v>
      </c>
      <c r="L107" s="1">
        <v>3039.0</v>
      </c>
      <c r="M107" s="1">
        <v>3064.0</v>
      </c>
      <c r="N107" s="1">
        <v>398.0</v>
      </c>
      <c r="O107" s="1">
        <v>1469.0</v>
      </c>
      <c r="P107" s="1">
        <v>1558.0</v>
      </c>
      <c r="Q107" s="1">
        <v>101.0</v>
      </c>
      <c r="R107" s="1">
        <v>1340.0</v>
      </c>
      <c r="S107" s="1">
        <v>904.0</v>
      </c>
      <c r="T107" s="1">
        <v>373.0</v>
      </c>
      <c r="U107" s="1">
        <v>144.0</v>
      </c>
      <c r="V107" s="1">
        <v>437.0</v>
      </c>
      <c r="W107" s="1">
        <v>15343.0</v>
      </c>
      <c r="X107" s="1">
        <v>2155.0</v>
      </c>
      <c r="Y107" s="1">
        <v>497.0</v>
      </c>
      <c r="Z107" s="1">
        <v>297.0</v>
      </c>
      <c r="AA107" s="1">
        <v>461.0</v>
      </c>
      <c r="AB107" s="1">
        <v>675.0</v>
      </c>
      <c r="AC107" s="1">
        <v>204.0</v>
      </c>
      <c r="AD107" s="1">
        <v>379.0</v>
      </c>
      <c r="AE107" s="1">
        <v>32.0</v>
      </c>
      <c r="AF107" s="1">
        <v>445.0</v>
      </c>
      <c r="AG107" s="1">
        <v>24.0</v>
      </c>
      <c r="AH107" s="1">
        <v>165.0</v>
      </c>
      <c r="AI107" s="1">
        <v>74.0</v>
      </c>
      <c r="AJ107" s="1">
        <v>52.0</v>
      </c>
      <c r="AK107" s="1">
        <v>0.0</v>
      </c>
      <c r="AL107" s="1">
        <v>161.0</v>
      </c>
      <c r="AM107" s="1">
        <v>115.0</v>
      </c>
      <c r="AN107" s="1">
        <v>65.0</v>
      </c>
      <c r="AO107" s="1">
        <v>33.0</v>
      </c>
      <c r="AP107" s="1">
        <v>0.296102</v>
      </c>
      <c r="AQ107" s="1">
        <v>0.115981</v>
      </c>
      <c r="AR107" s="1">
        <v>0.105571</v>
      </c>
      <c r="AS107" s="1">
        <v>0.319463</v>
      </c>
      <c r="AT107" s="1">
        <v>15343.0</v>
      </c>
      <c r="AU107" s="1">
        <v>2155.0</v>
      </c>
      <c r="AV107" s="1">
        <v>0.251518</v>
      </c>
      <c r="AW107" s="1">
        <v>0.146757</v>
      </c>
      <c r="AX107" s="1">
        <v>0.151694</v>
      </c>
      <c r="AY107" s="1">
        <v>0.222112</v>
      </c>
      <c r="AZ107" s="1">
        <v>0.1522388</v>
      </c>
      <c r="BA107" s="1">
        <v>0.124712</v>
      </c>
      <c r="BB107" s="1">
        <v>0.011913</v>
      </c>
      <c r="BC107" s="1">
        <v>0.165666</v>
      </c>
      <c r="BD107" s="1">
        <v>0.015404</v>
      </c>
      <c r="BE107" s="1">
        <v>0.1059</v>
      </c>
      <c r="BF107" s="1">
        <v>0.047496</v>
      </c>
      <c r="BG107" s="1">
        <v>0.033233</v>
      </c>
      <c r="BH107" s="1">
        <v>0.0</v>
      </c>
      <c r="BI107" s="1">
        <v>0.121326</v>
      </c>
      <c r="BJ107" s="1">
        <v>0.086661</v>
      </c>
      <c r="BK107" s="1">
        <v>0.047925</v>
      </c>
      <c r="BL107" s="1">
        <v>0.010858</v>
      </c>
      <c r="BM107" s="1">
        <v>0.88</v>
      </c>
      <c r="BN107" s="1">
        <v>0.765</v>
      </c>
      <c r="BO107" s="1">
        <v>0.8614</v>
      </c>
      <c r="BP107" s="1">
        <v>0.87</v>
      </c>
      <c r="BQ107" s="1">
        <v>3.3764</v>
      </c>
      <c r="BR107" s="1">
        <v>0.8939</v>
      </c>
      <c r="BS107" s="1">
        <v>0.594</v>
      </c>
      <c r="BT107" s="1">
        <v>0.318</v>
      </c>
      <c r="BU107" s="1">
        <v>0.802</v>
      </c>
      <c r="BV107" s="1">
        <v>1.714</v>
      </c>
      <c r="BW107" s="1">
        <v>0.65</v>
      </c>
      <c r="BX107" s="1">
        <v>0.546</v>
      </c>
      <c r="BY107" s="1">
        <v>0.768</v>
      </c>
      <c r="BZ107" s="1">
        <v>1.314</v>
      </c>
      <c r="CA107" s="1">
        <v>0.72</v>
      </c>
      <c r="CB107" s="1">
        <v>0.429</v>
      </c>
      <c r="CC107" s="1">
        <v>0.598</v>
      </c>
      <c r="CD107" s="1">
        <v>0.0</v>
      </c>
      <c r="CE107" s="1">
        <v>0.706</v>
      </c>
      <c r="CF107" s="1">
        <v>0.589</v>
      </c>
      <c r="CG107" s="1">
        <v>2.322</v>
      </c>
      <c r="CH107" s="1">
        <v>0.466</v>
      </c>
      <c r="CI107" s="1">
        <v>8.7264</v>
      </c>
      <c r="CJ107" s="1">
        <v>0.8144</v>
      </c>
      <c r="CK107" s="1">
        <v>0.0</v>
      </c>
      <c r="CL107" s="1">
        <v>0.0</v>
      </c>
      <c r="CM107" s="1">
        <v>0.0</v>
      </c>
      <c r="CN107" s="1">
        <v>0.0</v>
      </c>
      <c r="CO107" s="1">
        <v>0.0</v>
      </c>
      <c r="CP107" s="1">
        <v>0.0</v>
      </c>
      <c r="CQ107" s="1">
        <v>0.0</v>
      </c>
      <c r="CR107" s="1">
        <v>0.0</v>
      </c>
      <c r="CS107" s="1">
        <v>0.0</v>
      </c>
      <c r="CT107" s="1">
        <v>0.0</v>
      </c>
      <c r="CU107" s="1">
        <v>0.0</v>
      </c>
      <c r="CV107" s="1">
        <v>0.0</v>
      </c>
      <c r="CW107" s="1">
        <v>0.0</v>
      </c>
      <c r="CX107" s="1">
        <v>0.0</v>
      </c>
      <c r="CY107" s="1">
        <v>0.0</v>
      </c>
      <c r="CZ107" s="1">
        <v>0.0</v>
      </c>
      <c r="DA107" s="1">
        <v>0.0</v>
      </c>
      <c r="DB107" s="1">
        <v>0.0</v>
      </c>
      <c r="DC107" s="1">
        <v>0.0</v>
      </c>
      <c r="DD107" s="1" t="s">
        <v>611</v>
      </c>
      <c r="DE107" s="1">
        <v>0.00120042505679223</v>
      </c>
      <c r="DF107" s="2" t="s">
        <v>612</v>
      </c>
    </row>
    <row r="108" ht="15.75" customHeight="1">
      <c r="A108" s="1" t="s">
        <v>613</v>
      </c>
      <c r="B108" s="1">
        <v>29.0</v>
      </c>
      <c r="C108" s="2" t="s">
        <v>575</v>
      </c>
      <c r="D108" s="1">
        <v>950900.0</v>
      </c>
      <c r="E108" s="1">
        <v>167.851</v>
      </c>
      <c r="F108" s="1">
        <v>29023.0</v>
      </c>
      <c r="G108" s="1">
        <v>2.90239509E10</v>
      </c>
      <c r="H108" s="1" t="s">
        <v>112</v>
      </c>
      <c r="I108" s="1" t="s">
        <v>113</v>
      </c>
      <c r="J108" s="1" t="s">
        <v>576</v>
      </c>
      <c r="K108" s="1" t="s">
        <v>614</v>
      </c>
      <c r="L108" s="1">
        <v>3878.0</v>
      </c>
      <c r="M108" s="1">
        <v>4053.0</v>
      </c>
      <c r="N108" s="1">
        <v>538.0</v>
      </c>
      <c r="O108" s="1">
        <v>1671.0</v>
      </c>
      <c r="P108" s="1">
        <v>1707.0</v>
      </c>
      <c r="Q108" s="1">
        <v>140.0</v>
      </c>
      <c r="R108" s="1">
        <v>1490.0</v>
      </c>
      <c r="S108" s="1">
        <v>554.0</v>
      </c>
      <c r="T108" s="1">
        <v>225.0</v>
      </c>
      <c r="U108" s="1">
        <v>82.0</v>
      </c>
      <c r="V108" s="1">
        <v>436.0</v>
      </c>
      <c r="W108" s="1">
        <v>17347.0</v>
      </c>
      <c r="X108" s="1">
        <v>1754.0</v>
      </c>
      <c r="Y108" s="1">
        <v>829.0</v>
      </c>
      <c r="Z108" s="1">
        <v>231.0</v>
      </c>
      <c r="AA108" s="1">
        <v>695.0</v>
      </c>
      <c r="AB108" s="1">
        <v>901.0</v>
      </c>
      <c r="AC108" s="1">
        <v>184.0</v>
      </c>
      <c r="AD108" s="1">
        <v>359.0</v>
      </c>
      <c r="AE108" s="1">
        <v>0.0</v>
      </c>
      <c r="AF108" s="1">
        <v>456.0</v>
      </c>
      <c r="AG108" s="1">
        <v>87.0</v>
      </c>
      <c r="AH108" s="1">
        <v>126.0</v>
      </c>
      <c r="AI108" s="1">
        <v>324.0</v>
      </c>
      <c r="AJ108" s="1">
        <v>115.0</v>
      </c>
      <c r="AK108" s="1">
        <v>82.0</v>
      </c>
      <c r="AL108" s="1">
        <v>136.0</v>
      </c>
      <c r="AM108" s="1">
        <v>86.0</v>
      </c>
      <c r="AN108" s="1">
        <v>51.0</v>
      </c>
      <c r="AO108" s="1">
        <v>136.0</v>
      </c>
      <c r="AP108" s="1">
        <v>0.137639</v>
      </c>
      <c r="AQ108" s="1">
        <v>0.052666</v>
      </c>
      <c r="AR108" s="1">
        <v>0.045707</v>
      </c>
      <c r="AS108" s="1">
        <v>0.242926</v>
      </c>
      <c r="AT108" s="1">
        <v>17347.0</v>
      </c>
      <c r="AU108" s="1">
        <v>1754.0</v>
      </c>
      <c r="AV108" s="1">
        <v>0.291901</v>
      </c>
      <c r="AW108" s="1">
        <v>0.075308</v>
      </c>
      <c r="AX108" s="1">
        <v>0.179216</v>
      </c>
      <c r="AY108" s="1">
        <v>0.232336</v>
      </c>
      <c r="AZ108" s="1">
        <v>0.12348993</v>
      </c>
      <c r="BA108" s="1">
        <v>0.092573</v>
      </c>
      <c r="BB108" s="1">
        <v>0.0</v>
      </c>
      <c r="BC108" s="1">
        <v>0.123913</v>
      </c>
      <c r="BD108" s="1">
        <v>0.050966</v>
      </c>
      <c r="BE108" s="1">
        <v>0.073695</v>
      </c>
      <c r="BF108" s="1">
        <v>0.189806</v>
      </c>
      <c r="BG108" s="1">
        <v>0.065546</v>
      </c>
      <c r="BH108" s="1">
        <v>0.055442</v>
      </c>
      <c r="BI108" s="1">
        <v>0.09175</v>
      </c>
      <c r="BJ108" s="1">
        <v>0.058147</v>
      </c>
      <c r="BK108" s="1">
        <v>0.033882</v>
      </c>
      <c r="BL108" s="1">
        <v>0.035069</v>
      </c>
      <c r="BM108" s="1">
        <v>0.531</v>
      </c>
      <c r="BN108" s="1">
        <v>0.247</v>
      </c>
      <c r="BO108" s="1">
        <v>0.7625</v>
      </c>
      <c r="BP108" s="1">
        <v>0.933</v>
      </c>
      <c r="BQ108" s="1">
        <v>2.4735</v>
      </c>
      <c r="BR108" s="1">
        <v>0.6578</v>
      </c>
      <c r="BS108" s="1">
        <v>0.785</v>
      </c>
      <c r="BT108" s="1">
        <v>0.413</v>
      </c>
      <c r="BU108" s="1">
        <v>0.689</v>
      </c>
      <c r="BV108" s="1">
        <v>1.887</v>
      </c>
      <c r="BW108" s="1">
        <v>0.793</v>
      </c>
      <c r="BX108" s="1">
        <v>0.438</v>
      </c>
      <c r="BY108" s="1">
        <v>0.0</v>
      </c>
      <c r="BZ108" s="1">
        <v>0.438</v>
      </c>
      <c r="CA108" s="1">
        <v>0.182</v>
      </c>
      <c r="CB108" s="1">
        <v>0.658</v>
      </c>
      <c r="CC108" s="1">
        <v>0.879</v>
      </c>
      <c r="CD108" s="1">
        <v>0.951</v>
      </c>
      <c r="CE108" s="1">
        <v>0.557</v>
      </c>
      <c r="CF108" s="1">
        <v>0.838</v>
      </c>
      <c r="CG108" s="1">
        <v>3.883</v>
      </c>
      <c r="CH108" s="1">
        <v>0.992</v>
      </c>
      <c r="CI108" s="1">
        <v>8.6815</v>
      </c>
      <c r="CJ108" s="1">
        <v>0.8094</v>
      </c>
      <c r="CK108" s="1">
        <v>0.0</v>
      </c>
      <c r="CL108" s="1">
        <v>0.0</v>
      </c>
      <c r="CM108" s="1">
        <v>0.0</v>
      </c>
      <c r="CN108" s="1">
        <v>1.0</v>
      </c>
      <c r="CO108" s="1">
        <v>1.0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>
        <v>0.0</v>
      </c>
      <c r="CV108" s="1">
        <v>0.0</v>
      </c>
      <c r="CW108" s="1">
        <v>0.0</v>
      </c>
      <c r="CX108" s="1">
        <v>0.0</v>
      </c>
      <c r="CY108" s="1">
        <v>1.0</v>
      </c>
      <c r="CZ108" s="1">
        <v>0.0</v>
      </c>
      <c r="DA108" s="1">
        <v>0.0</v>
      </c>
      <c r="DB108" s="1">
        <v>1.0</v>
      </c>
      <c r="DC108" s="1">
        <v>2.0</v>
      </c>
      <c r="DD108" s="1" t="s">
        <v>615</v>
      </c>
      <c r="DE108" s="1">
        <v>0.0439775583125027</v>
      </c>
      <c r="DF108" s="2" t="s">
        <v>616</v>
      </c>
    </row>
    <row r="109" ht="15.75" customHeight="1">
      <c r="A109" s="1" t="s">
        <v>617</v>
      </c>
      <c r="B109" s="1">
        <v>29.0</v>
      </c>
      <c r="C109" s="2" t="s">
        <v>618</v>
      </c>
      <c r="D109" s="1">
        <v>950100.0</v>
      </c>
      <c r="E109" s="1">
        <v>208.839</v>
      </c>
      <c r="F109" s="1">
        <v>29025.0</v>
      </c>
      <c r="G109" s="1">
        <v>2.90259501E10</v>
      </c>
      <c r="H109" s="1" t="s">
        <v>112</v>
      </c>
      <c r="I109" s="1" t="s">
        <v>113</v>
      </c>
      <c r="J109" s="1" t="s">
        <v>619</v>
      </c>
      <c r="K109" s="1" t="s">
        <v>620</v>
      </c>
      <c r="L109" s="1">
        <v>2939.0</v>
      </c>
      <c r="M109" s="1">
        <v>2863.0</v>
      </c>
      <c r="N109" s="1">
        <v>213.0</v>
      </c>
      <c r="O109" s="1">
        <v>1446.0</v>
      </c>
      <c r="P109" s="1">
        <v>1620.0</v>
      </c>
      <c r="Q109" s="1">
        <v>86.0</v>
      </c>
      <c r="R109" s="1">
        <v>1189.0</v>
      </c>
      <c r="S109" s="1">
        <v>490.0</v>
      </c>
      <c r="T109" s="1">
        <v>165.0</v>
      </c>
      <c r="U109" s="1">
        <v>80.0</v>
      </c>
      <c r="V109" s="1">
        <v>344.0</v>
      </c>
      <c r="W109" s="1">
        <v>19461.0</v>
      </c>
      <c r="X109" s="1">
        <v>1761.0</v>
      </c>
      <c r="Y109" s="1">
        <v>290.0</v>
      </c>
      <c r="Z109" s="1">
        <v>172.0</v>
      </c>
      <c r="AA109" s="1">
        <v>509.0</v>
      </c>
      <c r="AB109" s="1">
        <v>745.0</v>
      </c>
      <c r="AC109" s="1">
        <v>127.0</v>
      </c>
      <c r="AD109" s="1">
        <v>107.0</v>
      </c>
      <c r="AE109" s="1">
        <v>0.0</v>
      </c>
      <c r="AF109" s="1">
        <v>456.0</v>
      </c>
      <c r="AG109" s="1">
        <v>5.0</v>
      </c>
      <c r="AH109" s="1">
        <v>161.0</v>
      </c>
      <c r="AI109" s="1">
        <v>225.0</v>
      </c>
      <c r="AJ109" s="1">
        <v>63.0</v>
      </c>
      <c r="AK109" s="1">
        <v>25.0</v>
      </c>
      <c r="AL109" s="1">
        <v>116.0</v>
      </c>
      <c r="AM109" s="1">
        <v>81.0</v>
      </c>
      <c r="AN109" s="1">
        <v>29.0</v>
      </c>
      <c r="AO109" s="1">
        <v>28.0</v>
      </c>
      <c r="AP109" s="1">
        <v>0.171149</v>
      </c>
      <c r="AQ109" s="1">
        <v>0.056207</v>
      </c>
      <c r="AR109" s="1">
        <v>0.06015</v>
      </c>
      <c r="AS109" s="1">
        <v>0.258596</v>
      </c>
      <c r="AT109" s="1">
        <v>19461.0</v>
      </c>
      <c r="AU109" s="1">
        <v>1761.0</v>
      </c>
      <c r="AV109" s="1">
        <v>0.153115</v>
      </c>
      <c r="AW109" s="1">
        <v>0.089717</v>
      </c>
      <c r="AX109" s="1">
        <v>0.173188</v>
      </c>
      <c r="AY109" s="1">
        <v>0.253487</v>
      </c>
      <c r="AZ109" s="1">
        <v>0.10681244</v>
      </c>
      <c r="BA109" s="1">
        <v>0.036406</v>
      </c>
      <c r="BB109" s="1">
        <v>0.0</v>
      </c>
      <c r="BC109" s="1">
        <v>0.170149</v>
      </c>
      <c r="BD109" s="1">
        <v>0.003086</v>
      </c>
      <c r="BE109" s="1">
        <v>0.099382</v>
      </c>
      <c r="BF109" s="1">
        <v>0.138888</v>
      </c>
      <c r="BG109" s="1">
        <v>0.038183</v>
      </c>
      <c r="BH109" s="1">
        <v>0.020781</v>
      </c>
      <c r="BI109" s="1">
        <v>0.096412</v>
      </c>
      <c r="BJ109" s="1">
        <v>0.067331</v>
      </c>
      <c r="BK109" s="1">
        <v>0.023537</v>
      </c>
      <c r="BL109" s="1">
        <v>0.009527</v>
      </c>
      <c r="BM109" s="1">
        <v>0.647</v>
      </c>
      <c r="BN109" s="1">
        <v>0.417</v>
      </c>
      <c r="BO109" s="1">
        <v>0.6469</v>
      </c>
      <c r="BP109" s="1">
        <v>0.577</v>
      </c>
      <c r="BQ109" s="1">
        <v>2.2879</v>
      </c>
      <c r="BR109" s="1">
        <v>0.5978</v>
      </c>
      <c r="BS109" s="1">
        <v>0.755</v>
      </c>
      <c r="BT109" s="1">
        <v>0.643</v>
      </c>
      <c r="BU109" s="1">
        <v>0.557</v>
      </c>
      <c r="BV109" s="1">
        <v>1.955</v>
      </c>
      <c r="BW109" s="1">
        <v>0.835</v>
      </c>
      <c r="BX109" s="1">
        <v>0.129</v>
      </c>
      <c r="BY109" s="1">
        <v>0.0</v>
      </c>
      <c r="BZ109" s="1">
        <v>0.129</v>
      </c>
      <c r="CA109" s="1">
        <v>0.063</v>
      </c>
      <c r="CB109" s="1">
        <v>0.287</v>
      </c>
      <c r="CC109" s="1">
        <v>0.796</v>
      </c>
      <c r="CD109" s="1">
        <v>0.692</v>
      </c>
      <c r="CE109" s="1">
        <v>0.609</v>
      </c>
      <c r="CF109" s="1">
        <v>0.569</v>
      </c>
      <c r="CG109" s="1">
        <v>2.953</v>
      </c>
      <c r="CH109" s="1">
        <v>0.754</v>
      </c>
      <c r="CI109" s="1">
        <v>7.3249</v>
      </c>
      <c r="CJ109" s="1">
        <v>0.613</v>
      </c>
      <c r="CK109" s="1">
        <v>0.0</v>
      </c>
      <c r="CL109" s="1">
        <v>0.0</v>
      </c>
      <c r="CM109" s="1">
        <v>0.0</v>
      </c>
      <c r="CN109" s="1">
        <v>0.0</v>
      </c>
      <c r="CO109" s="1">
        <v>0.0</v>
      </c>
      <c r="CP109" s="1">
        <v>0.0</v>
      </c>
      <c r="CQ109" s="1">
        <v>0.0</v>
      </c>
      <c r="CR109" s="1">
        <v>0.0</v>
      </c>
      <c r="CS109" s="1">
        <v>0.0</v>
      </c>
      <c r="CT109" s="1">
        <v>0.0</v>
      </c>
      <c r="CU109" s="1">
        <v>0.0</v>
      </c>
      <c r="CV109" s="1">
        <v>0.0</v>
      </c>
      <c r="CW109" s="1">
        <v>0.0</v>
      </c>
      <c r="CX109" s="1">
        <v>0.0</v>
      </c>
      <c r="CY109" s="1">
        <v>0.0</v>
      </c>
      <c r="CZ109" s="1">
        <v>0.0</v>
      </c>
      <c r="DA109" s="1">
        <v>0.0</v>
      </c>
      <c r="DB109" s="1">
        <v>0.0</v>
      </c>
      <c r="DC109" s="1">
        <v>0.0</v>
      </c>
      <c r="DD109" s="1" t="s">
        <v>621</v>
      </c>
      <c r="DE109" s="2" t="s">
        <v>622</v>
      </c>
      <c r="DF109" s="2" t="s">
        <v>623</v>
      </c>
    </row>
    <row r="110" ht="15.75" customHeight="1">
      <c r="A110" s="1" t="s">
        <v>624</v>
      </c>
      <c r="B110" s="1">
        <v>29.0</v>
      </c>
      <c r="C110" s="2" t="s">
        <v>618</v>
      </c>
      <c r="D110" s="1">
        <v>950200.0</v>
      </c>
      <c r="E110" s="1">
        <v>217.554</v>
      </c>
      <c r="F110" s="1">
        <v>29025.0</v>
      </c>
      <c r="G110" s="1">
        <v>2.90259502E10</v>
      </c>
      <c r="H110" s="1" t="s">
        <v>112</v>
      </c>
      <c r="I110" s="1" t="s">
        <v>113</v>
      </c>
      <c r="J110" s="1" t="s">
        <v>619</v>
      </c>
      <c r="K110" s="1" t="s">
        <v>625</v>
      </c>
      <c r="L110" s="1">
        <v>6485.0</v>
      </c>
      <c r="M110" s="1">
        <v>6517.0</v>
      </c>
      <c r="N110" s="1">
        <v>213.0</v>
      </c>
      <c r="O110" s="1">
        <v>3159.0</v>
      </c>
      <c r="P110" s="1">
        <v>3006.0</v>
      </c>
      <c r="Q110" s="1">
        <v>141.0</v>
      </c>
      <c r="R110" s="1">
        <v>2487.0</v>
      </c>
      <c r="S110" s="1">
        <v>965.0</v>
      </c>
      <c r="T110" s="1">
        <v>329.0</v>
      </c>
      <c r="U110" s="1">
        <v>165.0</v>
      </c>
      <c r="V110" s="1">
        <v>306.0</v>
      </c>
      <c r="W110" s="1">
        <v>19515.0</v>
      </c>
      <c r="X110" s="1">
        <v>1543.0</v>
      </c>
      <c r="Y110" s="1">
        <v>609.0</v>
      </c>
      <c r="Z110" s="1">
        <v>211.0</v>
      </c>
      <c r="AA110" s="1">
        <v>1067.0</v>
      </c>
      <c r="AB110" s="1">
        <v>1659.0</v>
      </c>
      <c r="AC110" s="1">
        <v>233.0</v>
      </c>
      <c r="AD110" s="1">
        <v>282.0</v>
      </c>
      <c r="AE110" s="1">
        <v>17.0</v>
      </c>
      <c r="AF110" s="1">
        <v>427.0</v>
      </c>
      <c r="AG110" s="1">
        <v>27.0</v>
      </c>
      <c r="AH110" s="1">
        <v>16.0</v>
      </c>
      <c r="AI110" s="1">
        <v>366.0</v>
      </c>
      <c r="AJ110" s="1">
        <v>79.0</v>
      </c>
      <c r="AK110" s="1">
        <v>56.0</v>
      </c>
      <c r="AL110" s="1">
        <v>36.0</v>
      </c>
      <c r="AM110" s="1">
        <v>88.0</v>
      </c>
      <c r="AN110" s="1">
        <v>32.0</v>
      </c>
      <c r="AO110" s="1">
        <v>186.0</v>
      </c>
      <c r="AP110" s="1">
        <v>0.153711</v>
      </c>
      <c r="AQ110" s="1">
        <v>0.051856</v>
      </c>
      <c r="AR110" s="1">
        <v>0.060953</v>
      </c>
      <c r="AS110" s="1">
        <v>0.11298</v>
      </c>
      <c r="AT110" s="1">
        <v>19515.0</v>
      </c>
      <c r="AU110" s="1">
        <v>1543.0</v>
      </c>
      <c r="AV110" s="1">
        <v>0.137471</v>
      </c>
      <c r="AW110" s="1">
        <v>0.047271</v>
      </c>
      <c r="AX110" s="1">
        <v>0.164533</v>
      </c>
      <c r="AY110" s="1">
        <v>0.255821</v>
      </c>
      <c r="AZ110" s="1">
        <v>0.09368717</v>
      </c>
      <c r="BA110" s="1">
        <v>0.043484</v>
      </c>
      <c r="BB110" s="1">
        <v>0.002797</v>
      </c>
      <c r="BC110" s="1">
        <v>0.070276</v>
      </c>
      <c r="BD110" s="1">
        <v>0.008982</v>
      </c>
      <c r="BE110" s="1">
        <v>0.005305</v>
      </c>
      <c r="BF110" s="1">
        <v>0.121756</v>
      </c>
      <c r="BG110" s="1">
        <v>0.025652</v>
      </c>
      <c r="BH110" s="1">
        <v>0.021909</v>
      </c>
      <c r="BI110" s="1">
        <v>0.014021</v>
      </c>
      <c r="BJ110" s="1">
        <v>0.034428</v>
      </c>
      <c r="BK110" s="1">
        <v>0.012344</v>
      </c>
      <c r="BL110" s="1">
        <v>0.028681</v>
      </c>
      <c r="BM110" s="1">
        <v>0.589</v>
      </c>
      <c r="BN110" s="1">
        <v>0.425</v>
      </c>
      <c r="BO110" s="1">
        <v>0.6433</v>
      </c>
      <c r="BP110" s="1">
        <v>0.509</v>
      </c>
      <c r="BQ110" s="1">
        <v>2.1663</v>
      </c>
      <c r="BR110" s="1">
        <v>0.5516</v>
      </c>
      <c r="BS110" s="1">
        <v>0.701</v>
      </c>
      <c r="BT110" s="1">
        <v>0.659</v>
      </c>
      <c r="BU110" s="1">
        <v>0.438</v>
      </c>
      <c r="BV110" s="1">
        <v>1.798</v>
      </c>
      <c r="BW110" s="1">
        <v>0.717</v>
      </c>
      <c r="BX110" s="1">
        <v>0.202</v>
      </c>
      <c r="BY110" s="1">
        <v>0.435</v>
      </c>
      <c r="BZ110" s="1">
        <v>0.637</v>
      </c>
      <c r="CA110" s="1">
        <v>0.295</v>
      </c>
      <c r="CB110" s="1">
        <v>0.374</v>
      </c>
      <c r="CC110" s="1">
        <v>0.764</v>
      </c>
      <c r="CD110" s="1">
        <v>0.708</v>
      </c>
      <c r="CE110" s="1">
        <v>0.328</v>
      </c>
      <c r="CF110" s="1">
        <v>0.8</v>
      </c>
      <c r="CG110" s="1">
        <v>2.974</v>
      </c>
      <c r="CH110" s="1">
        <v>0.764</v>
      </c>
      <c r="CI110" s="1">
        <v>7.5753</v>
      </c>
      <c r="CJ110" s="1">
        <v>0.6484</v>
      </c>
      <c r="CK110" s="1">
        <v>0.0</v>
      </c>
      <c r="CL110" s="1">
        <v>0.0</v>
      </c>
      <c r="CM110" s="1">
        <v>0.0</v>
      </c>
      <c r="CN110" s="1">
        <v>0.0</v>
      </c>
      <c r="CO110" s="1">
        <v>0.0</v>
      </c>
      <c r="CP110" s="1">
        <v>0.0</v>
      </c>
      <c r="CQ110" s="1">
        <v>0.0</v>
      </c>
      <c r="CR110" s="1">
        <v>0.0</v>
      </c>
      <c r="CS110" s="1">
        <v>0.0</v>
      </c>
      <c r="CT110" s="1">
        <v>0.0</v>
      </c>
      <c r="CU110" s="1">
        <v>0.0</v>
      </c>
      <c r="CV110" s="1">
        <v>0.0</v>
      </c>
      <c r="CW110" s="1">
        <v>0.0</v>
      </c>
      <c r="CX110" s="1">
        <v>0.0</v>
      </c>
      <c r="CY110" s="1">
        <v>0.0</v>
      </c>
      <c r="CZ110" s="1">
        <v>0.0</v>
      </c>
      <c r="DA110" s="1">
        <v>0.0</v>
      </c>
      <c r="DB110" s="1">
        <v>0.0</v>
      </c>
      <c r="DC110" s="1">
        <v>0.0</v>
      </c>
      <c r="DD110" s="1" t="s">
        <v>626</v>
      </c>
      <c r="DE110" s="1">
        <v>0.0596255853315948</v>
      </c>
      <c r="DF110" s="2" t="s">
        <v>627</v>
      </c>
    </row>
    <row r="111" ht="15.75" customHeight="1">
      <c r="A111" s="1" t="s">
        <v>628</v>
      </c>
      <c r="B111" s="1">
        <v>29.0</v>
      </c>
      <c r="C111" s="2" t="s">
        <v>629</v>
      </c>
      <c r="D111" s="2" t="s">
        <v>262</v>
      </c>
      <c r="E111" s="1">
        <v>221.168</v>
      </c>
      <c r="F111" s="1">
        <v>29027.0</v>
      </c>
      <c r="G111" s="1">
        <v>2.90270702E10</v>
      </c>
      <c r="H111" s="1" t="s">
        <v>112</v>
      </c>
      <c r="I111" s="1" t="s">
        <v>113</v>
      </c>
      <c r="J111" s="1" t="s">
        <v>630</v>
      </c>
      <c r="K111" s="1" t="s">
        <v>631</v>
      </c>
      <c r="L111" s="1">
        <v>3633.0</v>
      </c>
      <c r="M111" s="1">
        <v>3931.0</v>
      </c>
      <c r="N111" s="1">
        <v>409.0</v>
      </c>
      <c r="O111" s="1">
        <v>1989.0</v>
      </c>
      <c r="P111" s="1">
        <v>1820.0</v>
      </c>
      <c r="Q111" s="1">
        <v>139.0</v>
      </c>
      <c r="R111" s="1">
        <v>1483.0</v>
      </c>
      <c r="S111" s="1">
        <v>733.0</v>
      </c>
      <c r="T111" s="1">
        <v>281.0</v>
      </c>
      <c r="U111" s="1">
        <v>136.0</v>
      </c>
      <c r="V111" s="1">
        <v>402.0</v>
      </c>
      <c r="W111" s="1">
        <v>20358.0</v>
      </c>
      <c r="X111" s="1">
        <v>3794.0</v>
      </c>
      <c r="Y111" s="1">
        <v>536.0</v>
      </c>
      <c r="Z111" s="1">
        <v>264.0</v>
      </c>
      <c r="AA111" s="1">
        <v>512.0</v>
      </c>
      <c r="AB111" s="1">
        <v>798.0</v>
      </c>
      <c r="AC111" s="1">
        <v>140.0</v>
      </c>
      <c r="AD111" s="1">
        <v>184.0</v>
      </c>
      <c r="AE111" s="1">
        <v>0.0</v>
      </c>
      <c r="AF111" s="1">
        <v>456.0</v>
      </c>
      <c r="AG111" s="1">
        <v>0.0</v>
      </c>
      <c r="AH111" s="1">
        <v>197.0</v>
      </c>
      <c r="AI111" s="1">
        <v>713.0</v>
      </c>
      <c r="AJ111" s="1">
        <v>170.0</v>
      </c>
      <c r="AK111" s="1">
        <v>41.0</v>
      </c>
      <c r="AL111" s="1">
        <v>120.0</v>
      </c>
      <c r="AM111" s="1">
        <v>0.0</v>
      </c>
      <c r="AN111" s="1">
        <v>161.0</v>
      </c>
      <c r="AO111" s="1">
        <v>41.0</v>
      </c>
      <c r="AP111" s="1">
        <v>0.186466</v>
      </c>
      <c r="AQ111" s="1">
        <v>0.068799</v>
      </c>
      <c r="AR111" s="1">
        <v>0.066929</v>
      </c>
      <c r="AS111" s="1">
        <v>0.197594</v>
      </c>
      <c r="AT111" s="1">
        <v>20358.0</v>
      </c>
      <c r="AU111" s="1">
        <v>3794.0</v>
      </c>
      <c r="AV111" s="1">
        <v>0.209702</v>
      </c>
      <c r="AW111" s="1">
        <v>0.101344</v>
      </c>
      <c r="AX111" s="1">
        <v>0.14093</v>
      </c>
      <c r="AY111" s="1">
        <v>0.219653</v>
      </c>
      <c r="AZ111" s="1">
        <v>0.09440323</v>
      </c>
      <c r="BA111" s="1">
        <v>0.050646</v>
      </c>
      <c r="BB111" s="1">
        <v>0.0</v>
      </c>
      <c r="BC111" s="1">
        <v>0.125102</v>
      </c>
      <c r="BD111" s="1">
        <v>0.0</v>
      </c>
      <c r="BE111" s="1">
        <v>0.108241</v>
      </c>
      <c r="BF111" s="1">
        <v>0.391758</v>
      </c>
      <c r="BG111" s="1">
        <v>0.088484</v>
      </c>
      <c r="BH111" s="1">
        <v>0.027443</v>
      </c>
      <c r="BI111" s="1">
        <v>0.080279</v>
      </c>
      <c r="BJ111" s="1">
        <v>0.0</v>
      </c>
      <c r="BK111" s="1">
        <v>0.107764</v>
      </c>
      <c r="BL111" s="1">
        <v>0.011285</v>
      </c>
      <c r="BM111" s="1">
        <v>0.694</v>
      </c>
      <c r="BN111" s="1">
        <v>0.486</v>
      </c>
      <c r="BO111" s="1">
        <v>0.5906</v>
      </c>
      <c r="BP111" s="1">
        <v>0.779</v>
      </c>
      <c r="BQ111" s="1">
        <v>2.5496</v>
      </c>
      <c r="BR111" s="1">
        <v>0.6816</v>
      </c>
      <c r="BS111" s="1">
        <v>0.505</v>
      </c>
      <c r="BT111" s="1">
        <v>0.299</v>
      </c>
      <c r="BU111" s="1">
        <v>0.443</v>
      </c>
      <c r="BV111" s="1">
        <v>1.247</v>
      </c>
      <c r="BW111" s="1">
        <v>0.264</v>
      </c>
      <c r="BX111" s="1">
        <v>0.248</v>
      </c>
      <c r="BY111" s="1">
        <v>0.0</v>
      </c>
      <c r="BZ111" s="1">
        <v>0.248</v>
      </c>
      <c r="CA111" s="1">
        <v>0.107</v>
      </c>
      <c r="CB111" s="1">
        <v>0.0</v>
      </c>
      <c r="CC111" s="1">
        <v>0.993</v>
      </c>
      <c r="CD111" s="1">
        <v>0.784</v>
      </c>
      <c r="CE111" s="1">
        <v>0.0</v>
      </c>
      <c r="CF111" s="1">
        <v>0.597</v>
      </c>
      <c r="CG111" s="1">
        <v>2.374</v>
      </c>
      <c r="CH111" s="1">
        <v>0.5</v>
      </c>
      <c r="CI111" s="1">
        <v>6.4186</v>
      </c>
      <c r="CJ111" s="1">
        <v>0.4469</v>
      </c>
      <c r="CK111" s="1">
        <v>0.0</v>
      </c>
      <c r="CL111" s="1">
        <v>0.0</v>
      </c>
      <c r="CM111" s="1">
        <v>0.0</v>
      </c>
      <c r="CN111" s="1">
        <v>0.0</v>
      </c>
      <c r="CO111" s="1">
        <v>0.0</v>
      </c>
      <c r="CP111" s="1">
        <v>0.0</v>
      </c>
      <c r="CQ111" s="1">
        <v>0.0</v>
      </c>
      <c r="CR111" s="1">
        <v>0.0</v>
      </c>
      <c r="CS111" s="1">
        <v>0.0</v>
      </c>
      <c r="CT111" s="1">
        <v>0.0</v>
      </c>
      <c r="CU111" s="1">
        <v>0.0</v>
      </c>
      <c r="CV111" s="1">
        <v>0.0</v>
      </c>
      <c r="CW111" s="1">
        <v>0.0</v>
      </c>
      <c r="CX111" s="1">
        <v>1.0</v>
      </c>
      <c r="CY111" s="1">
        <v>0.0</v>
      </c>
      <c r="CZ111" s="1">
        <v>0.0</v>
      </c>
      <c r="DA111" s="1">
        <v>0.0</v>
      </c>
      <c r="DB111" s="1">
        <v>1.0</v>
      </c>
      <c r="DC111" s="1">
        <v>1.0</v>
      </c>
      <c r="DD111" s="1" t="s">
        <v>632</v>
      </c>
      <c r="DE111" s="1">
        <v>0.0603966433599843</v>
      </c>
      <c r="DF111" s="2" t="s">
        <v>633</v>
      </c>
    </row>
    <row r="112" ht="15.75" customHeight="1">
      <c r="A112" s="1" t="s">
        <v>634</v>
      </c>
      <c r="B112" s="1">
        <v>29.0</v>
      </c>
      <c r="C112" s="2" t="s">
        <v>629</v>
      </c>
      <c r="D112" s="2" t="s">
        <v>635</v>
      </c>
      <c r="E112" s="1">
        <v>182.018</v>
      </c>
      <c r="F112" s="1">
        <v>29027.0</v>
      </c>
      <c r="G112" s="1">
        <v>2.90270706E10</v>
      </c>
      <c r="H112" s="1" t="s">
        <v>112</v>
      </c>
      <c r="I112" s="1" t="s">
        <v>113</v>
      </c>
      <c r="J112" s="1" t="s">
        <v>630</v>
      </c>
      <c r="K112" s="1" t="s">
        <v>636</v>
      </c>
      <c r="L112" s="1">
        <v>6426.0</v>
      </c>
      <c r="M112" s="1">
        <v>6855.0</v>
      </c>
      <c r="N112" s="1">
        <v>473.0</v>
      </c>
      <c r="O112" s="1">
        <v>2647.0</v>
      </c>
      <c r="P112" s="1">
        <v>2782.0</v>
      </c>
      <c r="Q112" s="1">
        <v>126.0</v>
      </c>
      <c r="R112" s="1">
        <v>2428.0</v>
      </c>
      <c r="S112" s="1">
        <v>530.0</v>
      </c>
      <c r="T112" s="1">
        <v>231.0</v>
      </c>
      <c r="U112" s="1">
        <v>198.0</v>
      </c>
      <c r="V112" s="1">
        <v>313.0</v>
      </c>
      <c r="W112" s="1">
        <v>22962.0</v>
      </c>
      <c r="X112" s="1">
        <v>2620.0</v>
      </c>
      <c r="Y112" s="1">
        <v>822.0</v>
      </c>
      <c r="Z112" s="1">
        <v>267.0</v>
      </c>
      <c r="AA112" s="1">
        <v>767.0</v>
      </c>
      <c r="AB112" s="1">
        <v>1673.0</v>
      </c>
      <c r="AC112" s="1">
        <v>253.0</v>
      </c>
      <c r="AD112" s="1">
        <v>222.0</v>
      </c>
      <c r="AE112" s="1">
        <v>16.0</v>
      </c>
      <c r="AF112" s="1">
        <v>442.0</v>
      </c>
      <c r="AG112" s="1">
        <v>0.0</v>
      </c>
      <c r="AH112" s="1">
        <v>197.0</v>
      </c>
      <c r="AI112" s="1">
        <v>475.0</v>
      </c>
      <c r="AJ112" s="1">
        <v>154.0</v>
      </c>
      <c r="AK112" s="1">
        <v>68.0</v>
      </c>
      <c r="AL112" s="1">
        <v>129.0</v>
      </c>
      <c r="AM112" s="1">
        <v>63.0</v>
      </c>
      <c r="AN112" s="1">
        <v>46.0</v>
      </c>
      <c r="AO112" s="1">
        <v>32.0</v>
      </c>
      <c r="AP112" s="1">
        <v>0.078425</v>
      </c>
      <c r="AQ112" s="1">
        <v>0.033741</v>
      </c>
      <c r="AR112" s="1">
        <v>0.057945</v>
      </c>
      <c r="AS112" s="1">
        <v>0.091429</v>
      </c>
      <c r="AT112" s="1">
        <v>22962.0</v>
      </c>
      <c r="AU112" s="1">
        <v>2620.0</v>
      </c>
      <c r="AV112" s="1">
        <v>0.179672</v>
      </c>
      <c r="AW112" s="1">
        <v>0.05715</v>
      </c>
      <c r="AX112" s="1">
        <v>0.119358</v>
      </c>
      <c r="AY112" s="1">
        <v>0.260348</v>
      </c>
      <c r="AZ112" s="1">
        <v>0.10420098</v>
      </c>
      <c r="BA112" s="1">
        <v>0.034547</v>
      </c>
      <c r="BB112" s="1">
        <v>0.00255</v>
      </c>
      <c r="BC112" s="1">
        <v>0.07046</v>
      </c>
      <c r="BD112" s="1">
        <v>0.0</v>
      </c>
      <c r="BE112" s="1">
        <v>0.070812</v>
      </c>
      <c r="BF112" s="1">
        <v>0.17074</v>
      </c>
      <c r="BG112" s="1">
        <v>0.054813</v>
      </c>
      <c r="BH112" s="1">
        <v>0.026698</v>
      </c>
      <c r="BI112" s="1">
        <v>0.050613</v>
      </c>
      <c r="BJ112" s="1">
        <v>0.024734</v>
      </c>
      <c r="BK112" s="1">
        <v>0.017976</v>
      </c>
      <c r="BL112" s="1">
        <v>0.004979</v>
      </c>
      <c r="BM112" s="1">
        <v>0.287</v>
      </c>
      <c r="BN112" s="1">
        <v>0.392</v>
      </c>
      <c r="BO112" s="1">
        <v>0.4484</v>
      </c>
      <c r="BP112" s="1">
        <v>0.687</v>
      </c>
      <c r="BQ112" s="1">
        <v>1.8144</v>
      </c>
      <c r="BR112" s="1">
        <v>0.4368</v>
      </c>
      <c r="BS112" s="1">
        <v>0.338</v>
      </c>
      <c r="BT112" s="1">
        <v>0.705</v>
      </c>
      <c r="BU112" s="1">
        <v>0.533</v>
      </c>
      <c r="BV112" s="1">
        <v>1.576</v>
      </c>
      <c r="BW112" s="1">
        <v>0.546</v>
      </c>
      <c r="BX112" s="1">
        <v>0.116</v>
      </c>
      <c r="BY112" s="1">
        <v>0.417</v>
      </c>
      <c r="BZ112" s="1">
        <v>0.533</v>
      </c>
      <c r="CA112" s="1">
        <v>0.23</v>
      </c>
      <c r="CB112" s="1">
        <v>0.0</v>
      </c>
      <c r="CC112" s="1">
        <v>0.853</v>
      </c>
      <c r="CD112" s="1">
        <v>0.777</v>
      </c>
      <c r="CE112" s="1">
        <v>0.235</v>
      </c>
      <c r="CF112" s="1">
        <v>0.508</v>
      </c>
      <c r="CG112" s="1">
        <v>2.373</v>
      </c>
      <c r="CH112" s="1">
        <v>0.499</v>
      </c>
      <c r="CI112" s="1">
        <v>6.2964</v>
      </c>
      <c r="CJ112" s="1">
        <v>0.4282</v>
      </c>
      <c r="CK112" s="1">
        <v>0.0</v>
      </c>
      <c r="CL112" s="1">
        <v>0.0</v>
      </c>
      <c r="CM112" s="1">
        <v>0.0</v>
      </c>
      <c r="CN112" s="1">
        <v>0.0</v>
      </c>
      <c r="CO112" s="1">
        <v>0.0</v>
      </c>
      <c r="CP112" s="1">
        <v>0.0</v>
      </c>
      <c r="CQ112" s="1">
        <v>0.0</v>
      </c>
      <c r="CR112" s="1">
        <v>0.0</v>
      </c>
      <c r="CS112" s="1">
        <v>0.0</v>
      </c>
      <c r="CT112" s="1">
        <v>0.0</v>
      </c>
      <c r="CU112" s="1">
        <v>0.0</v>
      </c>
      <c r="CV112" s="1">
        <v>0.0</v>
      </c>
      <c r="CW112" s="1">
        <v>0.0</v>
      </c>
      <c r="CX112" s="1">
        <v>0.0</v>
      </c>
      <c r="CY112" s="1">
        <v>0.0</v>
      </c>
      <c r="CZ112" s="1">
        <v>0.0</v>
      </c>
      <c r="DA112" s="1">
        <v>0.0</v>
      </c>
      <c r="DB112" s="1">
        <v>0.0</v>
      </c>
      <c r="DC112" s="1">
        <v>0.0</v>
      </c>
      <c r="DD112" s="1" t="s">
        <v>637</v>
      </c>
      <c r="DE112" s="2" t="s">
        <v>638</v>
      </c>
      <c r="DF112" s="2" t="s">
        <v>639</v>
      </c>
    </row>
    <row r="113" ht="15.75" customHeight="1">
      <c r="A113" s="1" t="s">
        <v>640</v>
      </c>
      <c r="B113" s="1">
        <v>29.0</v>
      </c>
      <c r="C113" s="2" t="s">
        <v>629</v>
      </c>
      <c r="D113" s="2" t="s">
        <v>272</v>
      </c>
      <c r="E113" s="1">
        <v>7.837</v>
      </c>
      <c r="F113" s="1">
        <v>29027.0</v>
      </c>
      <c r="G113" s="1">
        <v>2.90270704E10</v>
      </c>
      <c r="H113" s="1" t="s">
        <v>112</v>
      </c>
      <c r="I113" s="1" t="s">
        <v>113</v>
      </c>
      <c r="J113" s="1" t="s">
        <v>630</v>
      </c>
      <c r="K113" s="1" t="s">
        <v>641</v>
      </c>
      <c r="L113" s="1">
        <v>6055.0</v>
      </c>
      <c r="M113" s="1">
        <v>5613.0</v>
      </c>
      <c r="N113" s="1">
        <v>553.0</v>
      </c>
      <c r="O113" s="1">
        <v>2340.0</v>
      </c>
      <c r="P113" s="1">
        <v>2130.0</v>
      </c>
      <c r="Q113" s="1">
        <v>211.0</v>
      </c>
      <c r="R113" s="1">
        <v>2007.0</v>
      </c>
      <c r="S113" s="1">
        <v>479.0</v>
      </c>
      <c r="T113" s="1">
        <v>259.0</v>
      </c>
      <c r="U113" s="1">
        <v>169.0</v>
      </c>
      <c r="V113" s="1">
        <v>437.0</v>
      </c>
      <c r="W113" s="1">
        <v>17048.0</v>
      </c>
      <c r="X113" s="1">
        <v>2213.0</v>
      </c>
      <c r="Y113" s="1">
        <v>380.0</v>
      </c>
      <c r="Z113" s="1">
        <v>330.0</v>
      </c>
      <c r="AA113" s="1">
        <v>688.0</v>
      </c>
      <c r="AB113" s="1">
        <v>1161.0</v>
      </c>
      <c r="AC113" s="1">
        <v>301.0</v>
      </c>
      <c r="AD113" s="1">
        <v>1111.0</v>
      </c>
      <c r="AE113" s="1">
        <v>37.0</v>
      </c>
      <c r="AF113" s="1">
        <v>430.0</v>
      </c>
      <c r="AG113" s="1">
        <v>197.0</v>
      </c>
      <c r="AH113" s="1">
        <v>170.0</v>
      </c>
      <c r="AI113" s="1">
        <v>112.0</v>
      </c>
      <c r="AJ113" s="1">
        <v>58.0</v>
      </c>
      <c r="AK113" s="1">
        <v>17.0</v>
      </c>
      <c r="AL113" s="1">
        <v>117.0</v>
      </c>
      <c r="AM113" s="1">
        <v>188.0</v>
      </c>
      <c r="AN113" s="1">
        <v>96.0</v>
      </c>
      <c r="AO113" s="1">
        <v>1411.0</v>
      </c>
      <c r="AP113" s="1">
        <v>0.111162</v>
      </c>
      <c r="AQ113" s="1">
        <v>0.058723</v>
      </c>
      <c r="AR113" s="1">
        <v>0.0625</v>
      </c>
      <c r="AS113" s="1">
        <v>0.161327</v>
      </c>
      <c r="AT113" s="1">
        <v>17048.0</v>
      </c>
      <c r="AU113" s="1">
        <v>2213.0</v>
      </c>
      <c r="AV113" s="1">
        <v>0.145705</v>
      </c>
      <c r="AW113" s="1">
        <v>0.125418</v>
      </c>
      <c r="AX113" s="1">
        <v>0.113625</v>
      </c>
      <c r="AY113" s="1">
        <v>0.191742</v>
      </c>
      <c r="AZ113" s="1">
        <v>0.14997508</v>
      </c>
      <c r="BA113" s="1">
        <v>0.183484</v>
      </c>
      <c r="BB113" s="1">
        <v>0.007094</v>
      </c>
      <c r="BC113" s="1">
        <v>0.082451</v>
      </c>
      <c r="BD113" s="1">
        <v>0.092488</v>
      </c>
      <c r="BE113" s="1">
        <v>0.079284</v>
      </c>
      <c r="BF113" s="1">
        <v>0.052582</v>
      </c>
      <c r="BG113" s="1">
        <v>0.026727</v>
      </c>
      <c r="BH113" s="1">
        <v>0.0089</v>
      </c>
      <c r="BI113" s="1">
        <v>0.061245</v>
      </c>
      <c r="BJ113" s="1">
        <v>0.098429</v>
      </c>
      <c r="BK113" s="1">
        <v>0.048663</v>
      </c>
      <c r="BL113" s="1">
        <v>0.23303</v>
      </c>
      <c r="BM113" s="1">
        <v>0.423</v>
      </c>
      <c r="BN113" s="1">
        <v>0.441</v>
      </c>
      <c r="BO113" s="1">
        <v>0.7827</v>
      </c>
      <c r="BP113" s="1">
        <v>0.547</v>
      </c>
      <c r="BQ113" s="1">
        <v>2.1937</v>
      </c>
      <c r="BR113" s="1">
        <v>0.5617</v>
      </c>
      <c r="BS113" s="1">
        <v>0.3</v>
      </c>
      <c r="BT113" s="1">
        <v>0.156</v>
      </c>
      <c r="BU113" s="1">
        <v>0.795</v>
      </c>
      <c r="BV113" s="1">
        <v>1.251</v>
      </c>
      <c r="BW113" s="1">
        <v>0.269</v>
      </c>
      <c r="BX113" s="1">
        <v>0.688</v>
      </c>
      <c r="BY113" s="1">
        <v>0.637</v>
      </c>
      <c r="BZ113" s="1">
        <v>1.325</v>
      </c>
      <c r="CA113" s="1">
        <v>0.723</v>
      </c>
      <c r="CB113" s="1">
        <v>0.752</v>
      </c>
      <c r="CC113" s="1">
        <v>0.612</v>
      </c>
      <c r="CD113" s="1">
        <v>0.454</v>
      </c>
      <c r="CE113" s="1">
        <v>0.748</v>
      </c>
      <c r="CF113" s="1">
        <v>0.97</v>
      </c>
      <c r="CG113" s="1">
        <v>3.536</v>
      </c>
      <c r="CH113" s="1">
        <v>0.944</v>
      </c>
      <c r="CI113" s="1">
        <v>8.3057</v>
      </c>
      <c r="CJ113" s="1">
        <v>0.7632</v>
      </c>
      <c r="CK113" s="1">
        <v>0.0</v>
      </c>
      <c r="CL113" s="1">
        <v>0.0</v>
      </c>
      <c r="CM113" s="1">
        <v>0.0</v>
      </c>
      <c r="CN113" s="1">
        <v>0.0</v>
      </c>
      <c r="CO113" s="1">
        <v>0.0</v>
      </c>
      <c r="CP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>
        <v>0.0</v>
      </c>
      <c r="CV113" s="1">
        <v>0.0</v>
      </c>
      <c r="CW113" s="1">
        <v>0.0</v>
      </c>
      <c r="CX113" s="1">
        <v>0.0</v>
      </c>
      <c r="CY113" s="1">
        <v>0.0</v>
      </c>
      <c r="CZ113" s="1">
        <v>0.0</v>
      </c>
      <c r="DA113" s="1">
        <v>1.0</v>
      </c>
      <c r="DB113" s="1">
        <v>1.0</v>
      </c>
      <c r="DC113" s="1">
        <v>1.0</v>
      </c>
      <c r="DD113" s="1" t="s">
        <v>642</v>
      </c>
      <c r="DE113" s="1">
        <v>0.00213229844599815</v>
      </c>
      <c r="DF113" s="2" t="s">
        <v>643</v>
      </c>
    </row>
    <row r="114" ht="15.75" customHeight="1">
      <c r="A114" s="1" t="s">
        <v>644</v>
      </c>
      <c r="B114" s="1">
        <v>29.0</v>
      </c>
      <c r="C114" s="2" t="s">
        <v>629</v>
      </c>
      <c r="D114" s="2" t="s">
        <v>256</v>
      </c>
      <c r="E114" s="1">
        <v>221.257</v>
      </c>
      <c r="F114" s="1">
        <v>29027.0</v>
      </c>
      <c r="G114" s="1">
        <v>2.90270701E10</v>
      </c>
      <c r="H114" s="1" t="s">
        <v>112</v>
      </c>
      <c r="I114" s="1" t="s">
        <v>113</v>
      </c>
      <c r="J114" s="1" t="s">
        <v>630</v>
      </c>
      <c r="K114" s="1" t="s">
        <v>645</v>
      </c>
      <c r="L114" s="1">
        <v>5108.0</v>
      </c>
      <c r="M114" s="1">
        <v>4723.0</v>
      </c>
      <c r="N114" s="1">
        <v>426.0</v>
      </c>
      <c r="O114" s="1">
        <v>2325.0</v>
      </c>
      <c r="P114" s="1">
        <v>2244.0</v>
      </c>
      <c r="Q114" s="1">
        <v>141.0</v>
      </c>
      <c r="R114" s="1">
        <v>1990.0</v>
      </c>
      <c r="S114" s="1">
        <v>664.0</v>
      </c>
      <c r="T114" s="1">
        <v>331.0</v>
      </c>
      <c r="U114" s="1">
        <v>223.0</v>
      </c>
      <c r="V114" s="1">
        <v>362.0</v>
      </c>
      <c r="W114" s="1">
        <v>20403.0</v>
      </c>
      <c r="X114" s="1">
        <v>2361.0</v>
      </c>
      <c r="Y114" s="1">
        <v>465.0</v>
      </c>
      <c r="Z114" s="1">
        <v>270.0</v>
      </c>
      <c r="AA114" s="1">
        <v>682.0</v>
      </c>
      <c r="AB114" s="1">
        <v>1303.0</v>
      </c>
      <c r="AC114" s="1">
        <v>223.0</v>
      </c>
      <c r="AD114" s="1">
        <v>261.0</v>
      </c>
      <c r="AE114" s="1">
        <v>0.0</v>
      </c>
      <c r="AF114" s="1">
        <v>456.0</v>
      </c>
      <c r="AG114" s="1">
        <v>0.0</v>
      </c>
      <c r="AH114" s="1">
        <v>197.0</v>
      </c>
      <c r="AI114" s="1">
        <v>462.0</v>
      </c>
      <c r="AJ114" s="1">
        <v>113.0</v>
      </c>
      <c r="AK114" s="1">
        <v>43.0</v>
      </c>
      <c r="AL114" s="1">
        <v>126.0</v>
      </c>
      <c r="AM114" s="1">
        <v>96.0</v>
      </c>
      <c r="AN114" s="1">
        <v>58.0</v>
      </c>
      <c r="AO114" s="1">
        <v>8.0</v>
      </c>
      <c r="AP114" s="1">
        <v>0.14255</v>
      </c>
      <c r="AQ114" s="1">
        <v>0.069971</v>
      </c>
      <c r="AR114" s="1">
        <v>0.09612</v>
      </c>
      <c r="AS114" s="1">
        <v>0.155626</v>
      </c>
      <c r="AT114" s="1">
        <v>20403.0</v>
      </c>
      <c r="AU114" s="1">
        <v>2361.0</v>
      </c>
      <c r="AV114" s="1">
        <v>0.147012</v>
      </c>
      <c r="AW114" s="1">
        <v>0.084461</v>
      </c>
      <c r="AX114" s="1">
        <v>0.133516</v>
      </c>
      <c r="AY114" s="1">
        <v>0.25509</v>
      </c>
      <c r="AZ114" s="1">
        <v>0.1120603</v>
      </c>
      <c r="BA114" s="1">
        <v>0.051096</v>
      </c>
      <c r="BB114" s="1">
        <v>0.0</v>
      </c>
      <c r="BC114" s="1">
        <v>0.101355</v>
      </c>
      <c r="BD114" s="1">
        <v>0.0</v>
      </c>
      <c r="BE114" s="1">
        <v>0.087789</v>
      </c>
      <c r="BF114" s="1">
        <v>0.205882</v>
      </c>
      <c r="BG114" s="1">
        <v>0.048666</v>
      </c>
      <c r="BH114" s="1">
        <v>0.022799</v>
      </c>
      <c r="BI114" s="1">
        <v>0.066785</v>
      </c>
      <c r="BJ114" s="1">
        <v>0.050901</v>
      </c>
      <c r="BK114" s="1">
        <v>0.030509</v>
      </c>
      <c r="BL114" s="1">
        <v>0.001566</v>
      </c>
      <c r="BM114" s="1">
        <v>0.554</v>
      </c>
      <c r="BN114" s="1">
        <v>0.71</v>
      </c>
      <c r="BO114" s="1">
        <v>0.587</v>
      </c>
      <c r="BP114" s="1">
        <v>0.554</v>
      </c>
      <c r="BQ114" s="1">
        <v>2.405</v>
      </c>
      <c r="BR114" s="1">
        <v>0.6339</v>
      </c>
      <c r="BS114" s="1">
        <v>0.446</v>
      </c>
      <c r="BT114" s="1">
        <v>0.654</v>
      </c>
      <c r="BU114" s="1">
        <v>0.602</v>
      </c>
      <c r="BV114" s="1">
        <v>1.702</v>
      </c>
      <c r="BW114" s="1">
        <v>0.641</v>
      </c>
      <c r="BX114" s="1">
        <v>0.253</v>
      </c>
      <c r="BY114" s="1">
        <v>0.0</v>
      </c>
      <c r="BZ114" s="1">
        <v>0.253</v>
      </c>
      <c r="CA114" s="1">
        <v>0.11</v>
      </c>
      <c r="CB114" s="1">
        <v>0.0</v>
      </c>
      <c r="CC114" s="1">
        <v>0.905</v>
      </c>
      <c r="CD114" s="1">
        <v>0.721</v>
      </c>
      <c r="CE114" s="1">
        <v>0.493</v>
      </c>
      <c r="CF114" s="1">
        <v>0.426</v>
      </c>
      <c r="CG114" s="1">
        <v>2.545</v>
      </c>
      <c r="CH114" s="1">
        <v>0.579</v>
      </c>
      <c r="CI114" s="1">
        <v>6.905</v>
      </c>
      <c r="CJ114" s="1">
        <v>0.5321</v>
      </c>
      <c r="CK114" s="1">
        <v>0.0</v>
      </c>
      <c r="CL114" s="1">
        <v>0.0</v>
      </c>
      <c r="CM114" s="1">
        <v>0.0</v>
      </c>
      <c r="CN114" s="1">
        <v>0.0</v>
      </c>
      <c r="CO114" s="1">
        <v>0.0</v>
      </c>
      <c r="CP114" s="1">
        <v>0.0</v>
      </c>
      <c r="CQ114" s="1">
        <v>0.0</v>
      </c>
      <c r="CR114" s="1">
        <v>0.0</v>
      </c>
      <c r="CS114" s="1">
        <v>0.0</v>
      </c>
      <c r="CT114" s="1">
        <v>0.0</v>
      </c>
      <c r="CU114" s="1">
        <v>0.0</v>
      </c>
      <c r="CV114" s="1">
        <v>0.0</v>
      </c>
      <c r="CW114" s="1">
        <v>0.0</v>
      </c>
      <c r="CX114" s="1">
        <v>1.0</v>
      </c>
      <c r="CY114" s="1">
        <v>0.0</v>
      </c>
      <c r="CZ114" s="1">
        <v>0.0</v>
      </c>
      <c r="DA114" s="1">
        <v>0.0</v>
      </c>
      <c r="DB114" s="1">
        <v>1.0</v>
      </c>
      <c r="DC114" s="1">
        <v>1.0</v>
      </c>
      <c r="DD114" s="1" t="s">
        <v>646</v>
      </c>
      <c r="DE114" s="1">
        <v>0.0600824092357869</v>
      </c>
      <c r="DF114" s="2" t="s">
        <v>647</v>
      </c>
    </row>
    <row r="115" ht="15.75" customHeight="1">
      <c r="A115" s="1" t="s">
        <v>648</v>
      </c>
      <c r="B115" s="1">
        <v>29.0</v>
      </c>
      <c r="C115" s="2" t="s">
        <v>629</v>
      </c>
      <c r="D115" s="2" t="s">
        <v>267</v>
      </c>
      <c r="E115" s="1">
        <v>12.054</v>
      </c>
      <c r="F115" s="1">
        <v>29027.0</v>
      </c>
      <c r="G115" s="1">
        <v>2.90270703E10</v>
      </c>
      <c r="H115" s="1" t="s">
        <v>112</v>
      </c>
      <c r="I115" s="1" t="s">
        <v>113</v>
      </c>
      <c r="J115" s="1" t="s">
        <v>630</v>
      </c>
      <c r="K115" s="1" t="s">
        <v>649</v>
      </c>
      <c r="L115" s="1">
        <v>7284.0</v>
      </c>
      <c r="M115" s="1">
        <v>7711.0</v>
      </c>
      <c r="N115" s="1">
        <v>618.0</v>
      </c>
      <c r="O115" s="1">
        <v>2556.0</v>
      </c>
      <c r="P115" s="1">
        <v>2609.0</v>
      </c>
      <c r="Q115" s="1">
        <v>307.0</v>
      </c>
      <c r="R115" s="1">
        <v>2301.0</v>
      </c>
      <c r="S115" s="1">
        <v>774.0</v>
      </c>
      <c r="T115" s="1">
        <v>417.0</v>
      </c>
      <c r="U115" s="1">
        <v>166.0</v>
      </c>
      <c r="V115" s="1">
        <v>404.0</v>
      </c>
      <c r="W115" s="1">
        <v>21074.0</v>
      </c>
      <c r="X115" s="1">
        <v>2959.0</v>
      </c>
      <c r="Y115" s="1">
        <v>1014.0</v>
      </c>
      <c r="Z115" s="1">
        <v>279.0</v>
      </c>
      <c r="AA115" s="1">
        <v>963.0</v>
      </c>
      <c r="AB115" s="1">
        <v>1173.0</v>
      </c>
      <c r="AC115" s="1">
        <v>257.0</v>
      </c>
      <c r="AD115" s="1">
        <v>1228.0</v>
      </c>
      <c r="AE115" s="1">
        <v>37.0</v>
      </c>
      <c r="AF115" s="1">
        <v>413.0</v>
      </c>
      <c r="AG115" s="1">
        <v>65.0</v>
      </c>
      <c r="AH115" s="1">
        <v>182.0</v>
      </c>
      <c r="AI115" s="1">
        <v>14.0</v>
      </c>
      <c r="AJ115" s="1">
        <v>22.0</v>
      </c>
      <c r="AK115" s="1">
        <v>0.0</v>
      </c>
      <c r="AL115" s="1">
        <v>161.0</v>
      </c>
      <c r="AM115" s="1">
        <v>248.0</v>
      </c>
      <c r="AN115" s="1">
        <v>129.0</v>
      </c>
      <c r="AO115" s="1">
        <v>2288.0</v>
      </c>
      <c r="AP115" s="1">
        <v>0.1432</v>
      </c>
      <c r="AQ115" s="1">
        <v>0.075393</v>
      </c>
      <c r="AR115" s="1">
        <v>0.057083</v>
      </c>
      <c r="AS115" s="1">
        <v>0.138689</v>
      </c>
      <c r="AT115" s="1">
        <v>21074.0</v>
      </c>
      <c r="AU115" s="1">
        <v>2959.0</v>
      </c>
      <c r="AV115" s="1">
        <v>0.190852</v>
      </c>
      <c r="AW115" s="1">
        <v>0.049962</v>
      </c>
      <c r="AX115" s="1">
        <v>0.132207</v>
      </c>
      <c r="AY115" s="1">
        <v>0.161037</v>
      </c>
      <c r="AZ115" s="1">
        <v>0.11169056</v>
      </c>
      <c r="BA115" s="1">
        <v>0.168588</v>
      </c>
      <c r="BB115" s="1">
        <v>0.004929</v>
      </c>
      <c r="BC115" s="1">
        <v>0.055021</v>
      </c>
      <c r="BD115" s="1">
        <v>0.024913</v>
      </c>
      <c r="BE115" s="1">
        <v>0.069696</v>
      </c>
      <c r="BF115" s="1">
        <v>0.005366</v>
      </c>
      <c r="BG115" s="1">
        <v>0.008408</v>
      </c>
      <c r="BH115" s="1">
        <v>0.0</v>
      </c>
      <c r="BI115" s="1">
        <v>0.062792</v>
      </c>
      <c r="BJ115" s="1">
        <v>0.096723</v>
      </c>
      <c r="BK115" s="1">
        <v>0.048987</v>
      </c>
      <c r="BL115" s="1">
        <v>0.314113</v>
      </c>
      <c r="BM115" s="1">
        <v>0.557</v>
      </c>
      <c r="BN115" s="1">
        <v>0.382</v>
      </c>
      <c r="BO115" s="1">
        <v>0.5451</v>
      </c>
      <c r="BP115" s="1">
        <v>0.727</v>
      </c>
      <c r="BQ115" s="1">
        <v>2.2111</v>
      </c>
      <c r="BR115" s="1">
        <v>0.5726</v>
      </c>
      <c r="BS115" s="1">
        <v>0.435</v>
      </c>
      <c r="BT115" s="1">
        <v>0.082</v>
      </c>
      <c r="BU115" s="1">
        <v>0.6</v>
      </c>
      <c r="BV115" s="1">
        <v>1.117</v>
      </c>
      <c r="BW115" s="1">
        <v>0.179</v>
      </c>
      <c r="BX115" s="1">
        <v>0.664</v>
      </c>
      <c r="BY115" s="1">
        <v>0.558</v>
      </c>
      <c r="BZ115" s="1">
        <v>1.222</v>
      </c>
      <c r="CA115" s="1">
        <v>0.67</v>
      </c>
      <c r="CB115" s="1">
        <v>0.513</v>
      </c>
      <c r="CC115" s="1">
        <v>0.404</v>
      </c>
      <c r="CD115" s="1">
        <v>0.0</v>
      </c>
      <c r="CE115" s="1">
        <v>0.743</v>
      </c>
      <c r="CF115" s="1">
        <v>0.982</v>
      </c>
      <c r="CG115" s="1">
        <v>2.642</v>
      </c>
      <c r="CH115" s="1">
        <v>0.619</v>
      </c>
      <c r="CI115" s="1">
        <v>7.1921</v>
      </c>
      <c r="CJ115" s="1">
        <v>0.5913</v>
      </c>
      <c r="CK115" s="1">
        <v>0.0</v>
      </c>
      <c r="CL115" s="1">
        <v>0.0</v>
      </c>
      <c r="CM115" s="1">
        <v>0.0</v>
      </c>
      <c r="CN115" s="1">
        <v>0.0</v>
      </c>
      <c r="CO115" s="1">
        <v>0.0</v>
      </c>
      <c r="CP115" s="1">
        <v>0.0</v>
      </c>
      <c r="CQ115" s="1">
        <v>0.0</v>
      </c>
      <c r="CR115" s="1">
        <v>0.0</v>
      </c>
      <c r="CS115" s="1">
        <v>0.0</v>
      </c>
      <c r="CT115" s="1">
        <v>0.0</v>
      </c>
      <c r="CU115" s="1">
        <v>0.0</v>
      </c>
      <c r="CV115" s="1">
        <v>0.0</v>
      </c>
      <c r="CW115" s="1">
        <v>0.0</v>
      </c>
      <c r="CX115" s="1">
        <v>0.0</v>
      </c>
      <c r="CY115" s="1">
        <v>0.0</v>
      </c>
      <c r="CZ115" s="1">
        <v>0.0</v>
      </c>
      <c r="DA115" s="1">
        <v>1.0</v>
      </c>
      <c r="DB115" s="1">
        <v>1.0</v>
      </c>
      <c r="DC115" s="1">
        <v>1.0</v>
      </c>
      <c r="DD115" s="1" t="s">
        <v>650</v>
      </c>
      <c r="DE115" s="1">
        <v>0.00329512453715358</v>
      </c>
      <c r="DF115" s="2" t="s">
        <v>651</v>
      </c>
    </row>
    <row r="116" ht="15.75" customHeight="1">
      <c r="A116" s="1" t="s">
        <v>652</v>
      </c>
      <c r="B116" s="1">
        <v>29.0</v>
      </c>
      <c r="C116" s="2" t="s">
        <v>629</v>
      </c>
      <c r="D116" s="2" t="s">
        <v>653</v>
      </c>
      <c r="E116" s="1">
        <v>83.228</v>
      </c>
      <c r="F116" s="1">
        <v>29027.0</v>
      </c>
      <c r="G116" s="1">
        <v>2.90270705E10</v>
      </c>
      <c r="H116" s="1" t="s">
        <v>112</v>
      </c>
      <c r="I116" s="1" t="s">
        <v>113</v>
      </c>
      <c r="J116" s="1" t="s">
        <v>630</v>
      </c>
      <c r="K116" s="1" t="s">
        <v>654</v>
      </c>
      <c r="L116" s="1">
        <v>4999.0</v>
      </c>
      <c r="M116" s="1">
        <v>4509.0</v>
      </c>
      <c r="N116" s="1">
        <v>258.0</v>
      </c>
      <c r="O116" s="1">
        <v>2046.0</v>
      </c>
      <c r="P116" s="1">
        <v>2114.0</v>
      </c>
      <c r="Q116" s="1">
        <v>114.0</v>
      </c>
      <c r="R116" s="1">
        <v>1886.0</v>
      </c>
      <c r="S116" s="1">
        <v>322.0</v>
      </c>
      <c r="T116" s="1">
        <v>165.0</v>
      </c>
      <c r="U116" s="1">
        <v>87.0</v>
      </c>
      <c r="V116" s="1">
        <v>414.0</v>
      </c>
      <c r="W116" s="1">
        <v>28117.0</v>
      </c>
      <c r="X116" s="1">
        <v>2652.0</v>
      </c>
      <c r="Y116" s="1">
        <v>319.0</v>
      </c>
      <c r="Z116" s="1">
        <v>271.0</v>
      </c>
      <c r="AA116" s="1">
        <v>586.0</v>
      </c>
      <c r="AB116" s="1">
        <v>1227.0</v>
      </c>
      <c r="AC116" s="1">
        <v>172.0</v>
      </c>
      <c r="AD116" s="1">
        <v>257.0</v>
      </c>
      <c r="AE116" s="1">
        <v>13.0</v>
      </c>
      <c r="AF116" s="1">
        <v>442.0</v>
      </c>
      <c r="AG116" s="1">
        <v>0.0</v>
      </c>
      <c r="AH116" s="1">
        <v>197.0</v>
      </c>
      <c r="AI116" s="1">
        <v>485.0</v>
      </c>
      <c r="AJ116" s="1">
        <v>118.0</v>
      </c>
      <c r="AK116" s="1">
        <v>7.0</v>
      </c>
      <c r="AL116" s="1">
        <v>114.0</v>
      </c>
      <c r="AM116" s="1">
        <v>0.0</v>
      </c>
      <c r="AN116" s="1">
        <v>161.0</v>
      </c>
      <c r="AO116" s="1">
        <v>113.0</v>
      </c>
      <c r="AP116" s="1">
        <v>0.071412</v>
      </c>
      <c r="AQ116" s="1">
        <v>0.036364</v>
      </c>
      <c r="AR116" s="1">
        <v>0.035524</v>
      </c>
      <c r="AS116" s="1">
        <v>0.168994</v>
      </c>
      <c r="AT116" s="1">
        <v>28117.0</v>
      </c>
      <c r="AU116" s="1">
        <v>2652.0</v>
      </c>
      <c r="AV116" s="1">
        <v>0.096901</v>
      </c>
      <c r="AW116" s="1">
        <v>0.082081</v>
      </c>
      <c r="AX116" s="1">
        <v>0.117223</v>
      </c>
      <c r="AY116" s="1">
        <v>0.245449</v>
      </c>
      <c r="AZ116" s="1">
        <v>0.0911983</v>
      </c>
      <c r="BA116" s="1">
        <v>0.05141</v>
      </c>
      <c r="BB116" s="1">
        <v>0.003055</v>
      </c>
      <c r="BC116" s="1">
        <v>0.103877</v>
      </c>
      <c r="BD116" s="1">
        <v>0.0</v>
      </c>
      <c r="BE116" s="1">
        <v>0.093188</v>
      </c>
      <c r="BF116" s="1">
        <v>0.229422</v>
      </c>
      <c r="BG116" s="1">
        <v>0.054429</v>
      </c>
      <c r="BH116" s="1">
        <v>0.003484</v>
      </c>
      <c r="BI116" s="1">
        <v>0.056744</v>
      </c>
      <c r="BJ116" s="1">
        <v>0.0</v>
      </c>
      <c r="BK116" s="1">
        <v>0.080139</v>
      </c>
      <c r="BL116" s="1">
        <v>0.022604</v>
      </c>
      <c r="BM116" s="1">
        <v>0.254</v>
      </c>
      <c r="BN116" s="1">
        <v>0.141</v>
      </c>
      <c r="BO116" s="1">
        <v>0.2477</v>
      </c>
      <c r="BP116" s="1">
        <v>0.323</v>
      </c>
      <c r="BQ116" s="1">
        <v>0.9657</v>
      </c>
      <c r="BR116" s="1">
        <v>0.1935</v>
      </c>
      <c r="BS116" s="1">
        <v>0.322</v>
      </c>
      <c r="BT116" s="1">
        <v>0.551</v>
      </c>
      <c r="BU116" s="1">
        <v>0.414</v>
      </c>
      <c r="BV116" s="1">
        <v>1.287</v>
      </c>
      <c r="BW116" s="1">
        <v>0.294</v>
      </c>
      <c r="BX116" s="1">
        <v>0.258</v>
      </c>
      <c r="BY116" s="1">
        <v>0.454</v>
      </c>
      <c r="BZ116" s="1">
        <v>0.712</v>
      </c>
      <c r="CA116" s="1">
        <v>0.343</v>
      </c>
      <c r="CB116" s="1">
        <v>0.0</v>
      </c>
      <c r="CC116" s="1">
        <v>0.93</v>
      </c>
      <c r="CD116" s="1">
        <v>0.299</v>
      </c>
      <c r="CE116" s="1">
        <v>0.0</v>
      </c>
      <c r="CF116" s="1">
        <v>0.743</v>
      </c>
      <c r="CG116" s="1">
        <v>1.972</v>
      </c>
      <c r="CH116" s="1">
        <v>0.337</v>
      </c>
      <c r="CI116" s="1">
        <v>4.9367</v>
      </c>
      <c r="CJ116" s="1">
        <v>0.1949</v>
      </c>
      <c r="CK116" s="1">
        <v>0.0</v>
      </c>
      <c r="CL116" s="1">
        <v>0.0</v>
      </c>
      <c r="CM116" s="1">
        <v>0.0</v>
      </c>
      <c r="CN116" s="1">
        <v>0.0</v>
      </c>
      <c r="CO116" s="1">
        <v>0.0</v>
      </c>
      <c r="CP116" s="1">
        <v>0.0</v>
      </c>
      <c r="CQ116" s="1">
        <v>0.0</v>
      </c>
      <c r="CR116" s="1">
        <v>0.0</v>
      </c>
      <c r="CS116" s="1">
        <v>0.0</v>
      </c>
      <c r="CT116" s="1">
        <v>0.0</v>
      </c>
      <c r="CU116" s="1">
        <v>0.0</v>
      </c>
      <c r="CV116" s="1">
        <v>0.0</v>
      </c>
      <c r="CW116" s="1">
        <v>0.0</v>
      </c>
      <c r="CX116" s="1">
        <v>1.0</v>
      </c>
      <c r="CY116" s="1">
        <v>0.0</v>
      </c>
      <c r="CZ116" s="1">
        <v>0.0</v>
      </c>
      <c r="DA116" s="1">
        <v>0.0</v>
      </c>
      <c r="DB116" s="1">
        <v>1.0</v>
      </c>
      <c r="DC116" s="1">
        <v>1.0</v>
      </c>
      <c r="DD116" s="1" t="s">
        <v>655</v>
      </c>
      <c r="DE116" s="2" t="s">
        <v>656</v>
      </c>
      <c r="DF116" s="2" t="s">
        <v>657</v>
      </c>
    </row>
    <row r="117" ht="15.75" customHeight="1">
      <c r="A117" s="1" t="s">
        <v>658</v>
      </c>
      <c r="B117" s="1">
        <v>29.0</v>
      </c>
      <c r="C117" s="2" t="s">
        <v>629</v>
      </c>
      <c r="D117" s="2" t="s">
        <v>659</v>
      </c>
      <c r="E117" s="1">
        <v>73.839</v>
      </c>
      <c r="F117" s="1">
        <v>29027.0</v>
      </c>
      <c r="G117" s="1">
        <v>2.90270707E10</v>
      </c>
      <c r="H117" s="1" t="s">
        <v>112</v>
      </c>
      <c r="I117" s="1" t="s">
        <v>113</v>
      </c>
      <c r="J117" s="1" t="s">
        <v>630</v>
      </c>
      <c r="K117" s="1" t="s">
        <v>660</v>
      </c>
      <c r="L117" s="1">
        <v>6294.0</v>
      </c>
      <c r="M117" s="1">
        <v>6031.0</v>
      </c>
      <c r="N117" s="1">
        <v>444.0</v>
      </c>
      <c r="O117" s="1">
        <v>2619.0</v>
      </c>
      <c r="P117" s="1">
        <v>2621.0</v>
      </c>
      <c r="Q117" s="1">
        <v>155.0</v>
      </c>
      <c r="R117" s="1">
        <v>2439.0</v>
      </c>
      <c r="S117" s="1">
        <v>424.0</v>
      </c>
      <c r="T117" s="1">
        <v>248.0</v>
      </c>
      <c r="U117" s="1">
        <v>273.0</v>
      </c>
      <c r="V117" s="1">
        <v>364.0</v>
      </c>
      <c r="W117" s="1">
        <v>27243.0</v>
      </c>
      <c r="X117" s="1">
        <v>2629.0</v>
      </c>
      <c r="Y117" s="1">
        <v>431.0</v>
      </c>
      <c r="Z117" s="1">
        <v>308.0</v>
      </c>
      <c r="AA117" s="1">
        <v>763.0</v>
      </c>
      <c r="AB117" s="1">
        <v>1532.0</v>
      </c>
      <c r="AC117" s="1">
        <v>230.0</v>
      </c>
      <c r="AD117" s="1">
        <v>405.0</v>
      </c>
      <c r="AE117" s="1">
        <v>6.0</v>
      </c>
      <c r="AF117" s="1">
        <v>442.0</v>
      </c>
      <c r="AG117" s="1">
        <v>83.0</v>
      </c>
      <c r="AH117" s="1">
        <v>78.0</v>
      </c>
      <c r="AI117" s="1">
        <v>388.0</v>
      </c>
      <c r="AJ117" s="1">
        <v>161.0</v>
      </c>
      <c r="AK117" s="1">
        <v>35.0</v>
      </c>
      <c r="AL117" s="1">
        <v>121.0</v>
      </c>
      <c r="AM117" s="1">
        <v>82.0</v>
      </c>
      <c r="AN117" s="1">
        <v>69.0</v>
      </c>
      <c r="AO117" s="1">
        <v>0.0</v>
      </c>
      <c r="AP117" s="1">
        <v>0.070338</v>
      </c>
      <c r="AQ117" s="1">
        <v>0.040815</v>
      </c>
      <c r="AR117" s="1">
        <v>0.081468</v>
      </c>
      <c r="AS117" s="1">
        <v>0.108294</v>
      </c>
      <c r="AT117" s="1">
        <v>27243.0</v>
      </c>
      <c r="AU117" s="1">
        <v>2629.0</v>
      </c>
      <c r="AV117" s="1">
        <v>0.10165</v>
      </c>
      <c r="AW117" s="1">
        <v>0.072363</v>
      </c>
      <c r="AX117" s="1">
        <v>0.121226</v>
      </c>
      <c r="AY117" s="1">
        <v>0.243406</v>
      </c>
      <c r="AZ117" s="1">
        <v>0.09430094</v>
      </c>
      <c r="BA117" s="1">
        <v>0.064347</v>
      </c>
      <c r="BB117" s="1">
        <v>0.001056</v>
      </c>
      <c r="BC117" s="1">
        <v>0.077844</v>
      </c>
      <c r="BD117" s="1">
        <v>0.031667</v>
      </c>
      <c r="BE117" s="1">
        <v>0.0297</v>
      </c>
      <c r="BF117" s="1">
        <v>0.148035</v>
      </c>
      <c r="BG117" s="1">
        <v>0.060799</v>
      </c>
      <c r="BH117" s="1">
        <v>0.014056</v>
      </c>
      <c r="BI117" s="1">
        <v>0.048585</v>
      </c>
      <c r="BJ117" s="1">
        <v>0.032931</v>
      </c>
      <c r="BK117" s="1">
        <v>0.027628</v>
      </c>
      <c r="BL117" s="1">
        <v>0.0</v>
      </c>
      <c r="BM117" s="1">
        <v>0.251</v>
      </c>
      <c r="BN117" s="1">
        <v>0.623</v>
      </c>
      <c r="BO117" s="1">
        <v>0.2751</v>
      </c>
      <c r="BP117" s="1">
        <v>0.346</v>
      </c>
      <c r="BQ117" s="1">
        <v>1.4951</v>
      </c>
      <c r="BR117" s="1">
        <v>0.3394</v>
      </c>
      <c r="BS117" s="1">
        <v>0.353</v>
      </c>
      <c r="BT117" s="1">
        <v>0.528</v>
      </c>
      <c r="BU117" s="1">
        <v>0.443</v>
      </c>
      <c r="BV117" s="1">
        <v>1.324</v>
      </c>
      <c r="BW117" s="1">
        <v>0.322</v>
      </c>
      <c r="BX117" s="1">
        <v>0.338</v>
      </c>
      <c r="BY117" s="1">
        <v>0.334</v>
      </c>
      <c r="BZ117" s="1">
        <v>0.672</v>
      </c>
      <c r="CA117" s="1">
        <v>0.32</v>
      </c>
      <c r="CB117" s="1">
        <v>0.557</v>
      </c>
      <c r="CC117" s="1">
        <v>0.812</v>
      </c>
      <c r="CD117" s="1">
        <v>0.572</v>
      </c>
      <c r="CE117" s="1">
        <v>0.313</v>
      </c>
      <c r="CF117" s="1">
        <v>0.0</v>
      </c>
      <c r="CG117" s="1">
        <v>2.254</v>
      </c>
      <c r="CH117" s="1">
        <v>0.44</v>
      </c>
      <c r="CI117" s="1">
        <v>5.7451</v>
      </c>
      <c r="CJ117" s="1">
        <v>0.3271</v>
      </c>
      <c r="CK117" s="1">
        <v>0.0</v>
      </c>
      <c r="CL117" s="1">
        <v>0.0</v>
      </c>
      <c r="CM117" s="1">
        <v>0.0</v>
      </c>
      <c r="CN117" s="1">
        <v>0.0</v>
      </c>
      <c r="CO117" s="1">
        <v>0.0</v>
      </c>
      <c r="CP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>
        <v>0.0</v>
      </c>
      <c r="CV117" s="1">
        <v>0.0</v>
      </c>
      <c r="CW117" s="1">
        <v>0.0</v>
      </c>
      <c r="CX117" s="1">
        <v>0.0</v>
      </c>
      <c r="CY117" s="1">
        <v>0.0</v>
      </c>
      <c r="CZ117" s="1">
        <v>0.0</v>
      </c>
      <c r="DA117" s="1">
        <v>0.0</v>
      </c>
      <c r="DB117" s="1">
        <v>0.0</v>
      </c>
      <c r="DC117" s="1">
        <v>0.0</v>
      </c>
      <c r="DD117" s="1" t="s">
        <v>661</v>
      </c>
      <c r="DE117" s="2" t="s">
        <v>662</v>
      </c>
      <c r="DF117" s="1">
        <v>0.760756655450168</v>
      </c>
    </row>
    <row r="118" ht="15.75" customHeight="1">
      <c r="A118" s="1" t="s">
        <v>663</v>
      </c>
      <c r="B118" s="1">
        <v>29.0</v>
      </c>
      <c r="C118" s="2" t="s">
        <v>629</v>
      </c>
      <c r="D118" s="2" t="s">
        <v>664</v>
      </c>
      <c r="E118" s="1">
        <v>33.175</v>
      </c>
      <c r="F118" s="1">
        <v>29027.0</v>
      </c>
      <c r="G118" s="1">
        <v>2.90270708E10</v>
      </c>
      <c r="H118" s="1" t="s">
        <v>112</v>
      </c>
      <c r="I118" s="1" t="s">
        <v>113</v>
      </c>
      <c r="J118" s="1" t="s">
        <v>630</v>
      </c>
      <c r="K118" s="1" t="s">
        <v>665</v>
      </c>
      <c r="L118" s="1">
        <v>4533.0</v>
      </c>
      <c r="M118" s="1">
        <v>4396.0</v>
      </c>
      <c r="N118" s="1">
        <v>376.0</v>
      </c>
      <c r="O118" s="1">
        <v>2000.0</v>
      </c>
      <c r="P118" s="1">
        <v>1940.0</v>
      </c>
      <c r="Q118" s="1">
        <v>131.0</v>
      </c>
      <c r="R118" s="1">
        <v>1799.0</v>
      </c>
      <c r="S118" s="1">
        <v>591.0</v>
      </c>
      <c r="T118" s="1">
        <v>278.0</v>
      </c>
      <c r="U118" s="1">
        <v>72.0</v>
      </c>
      <c r="V118" s="1">
        <v>444.0</v>
      </c>
      <c r="W118" s="1">
        <v>24154.0</v>
      </c>
      <c r="X118" s="1">
        <v>4512.0</v>
      </c>
      <c r="Y118" s="1">
        <v>281.0</v>
      </c>
      <c r="Z118" s="1">
        <v>298.0</v>
      </c>
      <c r="AA118" s="1">
        <v>499.0</v>
      </c>
      <c r="AB118" s="1">
        <v>1136.0</v>
      </c>
      <c r="AC118" s="1">
        <v>193.0</v>
      </c>
      <c r="AD118" s="1">
        <v>314.0</v>
      </c>
      <c r="AE118" s="1">
        <v>11.0</v>
      </c>
      <c r="AF118" s="1">
        <v>427.0</v>
      </c>
      <c r="AG118" s="1">
        <v>6.0</v>
      </c>
      <c r="AH118" s="1">
        <v>161.0</v>
      </c>
      <c r="AI118" s="1">
        <v>279.0</v>
      </c>
      <c r="AJ118" s="1">
        <v>89.0</v>
      </c>
      <c r="AK118" s="1">
        <v>50.0</v>
      </c>
      <c r="AL118" s="1">
        <v>123.0</v>
      </c>
      <c r="AM118" s="1">
        <v>88.0</v>
      </c>
      <c r="AN118" s="1">
        <v>72.0</v>
      </c>
      <c r="AO118" s="1">
        <v>14.0</v>
      </c>
      <c r="AP118" s="1">
        <v>0.13444</v>
      </c>
      <c r="AQ118" s="1">
        <v>0.062185</v>
      </c>
      <c r="AR118" s="1">
        <v>0.030914</v>
      </c>
      <c r="AS118" s="1">
        <v>0.190599</v>
      </c>
      <c r="AT118" s="1">
        <v>24154.0</v>
      </c>
      <c r="AU118" s="1">
        <v>4512.0</v>
      </c>
      <c r="AV118" s="1">
        <v>0.103804</v>
      </c>
      <c r="AW118" s="1">
        <v>0.109734</v>
      </c>
      <c r="AX118" s="1">
        <v>0.110081</v>
      </c>
      <c r="AY118" s="1">
        <v>0.250606</v>
      </c>
      <c r="AZ118" s="1">
        <v>0.10728182</v>
      </c>
      <c r="BA118" s="1">
        <v>0.069269</v>
      </c>
      <c r="BB118" s="1">
        <v>0.002707</v>
      </c>
      <c r="BC118" s="1">
        <v>0.105094</v>
      </c>
      <c r="BD118" s="1">
        <v>0.003092</v>
      </c>
      <c r="BE118" s="1">
        <v>0.082989</v>
      </c>
      <c r="BF118" s="1">
        <v>0.143814</v>
      </c>
      <c r="BG118" s="1">
        <v>0.044836</v>
      </c>
      <c r="BH118" s="1">
        <v>0.028686</v>
      </c>
      <c r="BI118" s="1">
        <v>0.070534</v>
      </c>
      <c r="BJ118" s="1">
        <v>0.050487</v>
      </c>
      <c r="BK118" s="1">
        <v>0.04113</v>
      </c>
      <c r="BL118" s="1">
        <v>0.003088</v>
      </c>
      <c r="BM118" s="1">
        <v>0.514</v>
      </c>
      <c r="BN118" s="1">
        <v>0.095</v>
      </c>
      <c r="BO118" s="1">
        <v>0.3877</v>
      </c>
      <c r="BP118" s="1">
        <v>0.354</v>
      </c>
      <c r="BQ118" s="1">
        <v>1.3507</v>
      </c>
      <c r="BR118" s="1">
        <v>0.2953</v>
      </c>
      <c r="BS118" s="1">
        <v>0.273</v>
      </c>
      <c r="BT118" s="1">
        <v>0.604</v>
      </c>
      <c r="BU118" s="1">
        <v>0.562</v>
      </c>
      <c r="BV118" s="1">
        <v>1.439</v>
      </c>
      <c r="BW118" s="1">
        <v>0.427</v>
      </c>
      <c r="BX118" s="1">
        <v>0.358</v>
      </c>
      <c r="BY118" s="1">
        <v>0.427</v>
      </c>
      <c r="BZ118" s="1">
        <v>0.785</v>
      </c>
      <c r="CA118" s="1">
        <v>0.387</v>
      </c>
      <c r="CB118" s="1">
        <v>0.287</v>
      </c>
      <c r="CC118" s="1">
        <v>0.805</v>
      </c>
      <c r="CD118" s="1">
        <v>0.792</v>
      </c>
      <c r="CE118" s="1">
        <v>0.489</v>
      </c>
      <c r="CF118" s="1">
        <v>0.476</v>
      </c>
      <c r="CG118" s="1">
        <v>2.849</v>
      </c>
      <c r="CH118" s="1">
        <v>0.707</v>
      </c>
      <c r="CI118" s="1">
        <v>6.4237</v>
      </c>
      <c r="CJ118" s="1">
        <v>0.4477</v>
      </c>
      <c r="CK118" s="1">
        <v>0.0</v>
      </c>
      <c r="CL118" s="1">
        <v>0.0</v>
      </c>
      <c r="CM118" s="1">
        <v>0.0</v>
      </c>
      <c r="CN118" s="1">
        <v>0.0</v>
      </c>
      <c r="CO118" s="1">
        <v>0.0</v>
      </c>
      <c r="CP118" s="1">
        <v>0.0</v>
      </c>
      <c r="CQ118" s="1">
        <v>0.0</v>
      </c>
      <c r="CR118" s="1">
        <v>0.0</v>
      </c>
      <c r="CS118" s="1">
        <v>0.0</v>
      </c>
      <c r="CT118" s="1">
        <v>0.0</v>
      </c>
      <c r="CU118" s="1">
        <v>0.0</v>
      </c>
      <c r="CV118" s="1">
        <v>0.0</v>
      </c>
      <c r="CW118" s="1">
        <v>0.0</v>
      </c>
      <c r="CX118" s="1">
        <v>0.0</v>
      </c>
      <c r="CY118" s="1">
        <v>0.0</v>
      </c>
      <c r="CZ118" s="1">
        <v>0.0</v>
      </c>
      <c r="DA118" s="1">
        <v>0.0</v>
      </c>
      <c r="DB118" s="1">
        <v>0.0</v>
      </c>
      <c r="DC118" s="1">
        <v>0.0</v>
      </c>
      <c r="DD118" s="1" t="s">
        <v>666</v>
      </c>
      <c r="DE118" s="1">
        <v>0.0092405617447334</v>
      </c>
      <c r="DF118" s="2" t="s">
        <v>667</v>
      </c>
    </row>
    <row r="119" ht="15.75" customHeight="1">
      <c r="A119" s="1" t="s">
        <v>668</v>
      </c>
      <c r="B119" s="1">
        <v>29.0</v>
      </c>
      <c r="C119" s="2" t="s">
        <v>669</v>
      </c>
      <c r="D119" s="1">
        <v>950100.0</v>
      </c>
      <c r="E119" s="1">
        <v>9.286</v>
      </c>
      <c r="F119" s="1">
        <v>29029.0</v>
      </c>
      <c r="G119" s="1">
        <v>2.90299501E10</v>
      </c>
      <c r="H119" s="1" t="s">
        <v>112</v>
      </c>
      <c r="I119" s="1" t="s">
        <v>113</v>
      </c>
      <c r="J119" s="1" t="s">
        <v>670</v>
      </c>
      <c r="K119" s="1" t="s">
        <v>671</v>
      </c>
      <c r="L119" s="1">
        <v>4660.0</v>
      </c>
      <c r="M119" s="1">
        <v>4575.0</v>
      </c>
      <c r="N119" s="1">
        <v>578.0</v>
      </c>
      <c r="O119" s="1">
        <v>6642.0</v>
      </c>
      <c r="P119" s="1">
        <v>7067.0</v>
      </c>
      <c r="Q119" s="1">
        <v>134.0</v>
      </c>
      <c r="R119" s="1">
        <v>2147.0</v>
      </c>
      <c r="S119" s="1">
        <v>340.0</v>
      </c>
      <c r="T119" s="1">
        <v>162.0</v>
      </c>
      <c r="U119" s="1">
        <v>102.0</v>
      </c>
      <c r="V119" s="1">
        <v>400.0</v>
      </c>
      <c r="W119" s="1">
        <v>34139.0</v>
      </c>
      <c r="X119" s="1">
        <v>4498.0</v>
      </c>
      <c r="Y119" s="1">
        <v>142.0</v>
      </c>
      <c r="Z119" s="1">
        <v>290.0</v>
      </c>
      <c r="AA119" s="1">
        <v>1077.0</v>
      </c>
      <c r="AB119" s="1">
        <v>786.0</v>
      </c>
      <c r="AC119" s="1">
        <v>117.0</v>
      </c>
      <c r="AD119" s="1">
        <v>158.0</v>
      </c>
      <c r="AE119" s="1">
        <v>24.0</v>
      </c>
      <c r="AF119" s="1">
        <v>428.0</v>
      </c>
      <c r="AG119" s="1">
        <v>1727.0</v>
      </c>
      <c r="AH119" s="1">
        <v>265.0</v>
      </c>
      <c r="AI119" s="1">
        <v>50.0</v>
      </c>
      <c r="AJ119" s="1">
        <v>70.0</v>
      </c>
      <c r="AK119" s="1">
        <v>0.0</v>
      </c>
      <c r="AL119" s="1">
        <v>161.0</v>
      </c>
      <c r="AM119" s="1">
        <v>62.0</v>
      </c>
      <c r="AN119" s="1">
        <v>55.0</v>
      </c>
      <c r="AO119" s="1">
        <v>45.0</v>
      </c>
      <c r="AP119" s="1">
        <v>0.074316</v>
      </c>
      <c r="AQ119" s="1">
        <v>0.034142</v>
      </c>
      <c r="AR119" s="1">
        <v>0.042965</v>
      </c>
      <c r="AS119" s="1">
        <v>0.168389</v>
      </c>
      <c r="AT119" s="1">
        <v>34139.0</v>
      </c>
      <c r="AU119" s="1">
        <v>4498.0</v>
      </c>
      <c r="AV119" s="1">
        <v>0.039183</v>
      </c>
      <c r="AW119" s="1">
        <v>0.079845</v>
      </c>
      <c r="AX119" s="1">
        <v>0.231115</v>
      </c>
      <c r="AY119" s="1">
        <v>0.168669</v>
      </c>
      <c r="AZ119" s="1">
        <v>0.05449464</v>
      </c>
      <c r="BA119" s="1">
        <v>0.033905</v>
      </c>
      <c r="BB119" s="1">
        <v>0.005381</v>
      </c>
      <c r="BC119" s="1">
        <v>0.095961</v>
      </c>
      <c r="BD119" s="1">
        <v>0.244375</v>
      </c>
      <c r="BE119" s="1">
        <v>0.03721</v>
      </c>
      <c r="BF119" s="1">
        <v>0.007075</v>
      </c>
      <c r="BG119" s="1">
        <v>0.009904</v>
      </c>
      <c r="BH119" s="1">
        <v>0.0</v>
      </c>
      <c r="BI119" s="1">
        <v>0.078383</v>
      </c>
      <c r="BJ119" s="1">
        <v>0.030185</v>
      </c>
      <c r="BK119" s="1">
        <v>0.026468</v>
      </c>
      <c r="BL119" s="1">
        <v>0.009656</v>
      </c>
      <c r="BM119" s="1">
        <v>0.264</v>
      </c>
      <c r="BN119" s="1">
        <v>0.221</v>
      </c>
      <c r="BO119" s="1">
        <v>0.1264</v>
      </c>
      <c r="BP119" s="1">
        <v>0.095</v>
      </c>
      <c r="BQ119" s="1">
        <v>0.7064</v>
      </c>
      <c r="BR119" s="1">
        <v>0.1278</v>
      </c>
      <c r="BS119" s="1">
        <v>0.951</v>
      </c>
      <c r="BT119" s="1">
        <v>0.099</v>
      </c>
      <c r="BU119" s="1">
        <v>0.102</v>
      </c>
      <c r="BV119" s="1">
        <v>1.152</v>
      </c>
      <c r="BW119" s="1">
        <v>0.2</v>
      </c>
      <c r="BX119" s="1">
        <v>0.11</v>
      </c>
      <c r="BY119" s="1">
        <v>0.576</v>
      </c>
      <c r="BZ119" s="1">
        <v>0.686</v>
      </c>
      <c r="CA119" s="1">
        <v>0.328</v>
      </c>
      <c r="CB119" s="1">
        <v>0.917</v>
      </c>
      <c r="CC119" s="1">
        <v>0.426</v>
      </c>
      <c r="CD119" s="1">
        <v>0.0</v>
      </c>
      <c r="CE119" s="1">
        <v>0.286</v>
      </c>
      <c r="CF119" s="1">
        <v>0.571</v>
      </c>
      <c r="CG119" s="1">
        <v>2.2</v>
      </c>
      <c r="CH119" s="1">
        <v>0.419</v>
      </c>
      <c r="CI119" s="1">
        <v>4.7444</v>
      </c>
      <c r="CJ119" s="1">
        <v>0.1668</v>
      </c>
      <c r="CK119" s="1">
        <v>0.0</v>
      </c>
      <c r="CL119" s="1">
        <v>0.0</v>
      </c>
      <c r="CM119" s="1">
        <v>0.0</v>
      </c>
      <c r="CN119" s="1">
        <v>0.0</v>
      </c>
      <c r="CO119" s="1">
        <v>0.0</v>
      </c>
      <c r="CP119" s="1">
        <v>1.0</v>
      </c>
      <c r="CQ119" s="1">
        <v>0.0</v>
      </c>
      <c r="CR119" s="1">
        <v>0.0</v>
      </c>
      <c r="CS119" s="1">
        <v>1.0</v>
      </c>
      <c r="CT119" s="1">
        <v>0.0</v>
      </c>
      <c r="CU119" s="1">
        <v>0.0</v>
      </c>
      <c r="CV119" s="1">
        <v>0.0</v>
      </c>
      <c r="CW119" s="1">
        <v>1.0</v>
      </c>
      <c r="CX119" s="1">
        <v>0.0</v>
      </c>
      <c r="CY119" s="1">
        <v>0.0</v>
      </c>
      <c r="CZ119" s="1">
        <v>0.0</v>
      </c>
      <c r="DA119" s="1">
        <v>0.0</v>
      </c>
      <c r="DB119" s="1">
        <v>1.0</v>
      </c>
      <c r="DC119" s="1">
        <v>2.0</v>
      </c>
      <c r="DD119" s="1" t="s">
        <v>672</v>
      </c>
      <c r="DE119" s="1">
        <v>0.0043604926496535</v>
      </c>
      <c r="DF119" s="2" t="s">
        <v>673</v>
      </c>
    </row>
    <row r="120" ht="15.75" customHeight="1">
      <c r="A120" s="1" t="s">
        <v>674</v>
      </c>
      <c r="B120" s="1">
        <v>29.0</v>
      </c>
      <c r="C120" s="2" t="s">
        <v>669</v>
      </c>
      <c r="D120" s="1">
        <v>950200.0</v>
      </c>
      <c r="E120" s="1">
        <v>16.68</v>
      </c>
      <c r="F120" s="1">
        <v>29029.0</v>
      </c>
      <c r="G120" s="1">
        <v>2.90299502E10</v>
      </c>
      <c r="H120" s="1" t="s">
        <v>112</v>
      </c>
      <c r="I120" s="1" t="s">
        <v>113</v>
      </c>
      <c r="J120" s="1" t="s">
        <v>670</v>
      </c>
      <c r="K120" s="1" t="s">
        <v>675</v>
      </c>
      <c r="L120" s="1">
        <v>6112.0</v>
      </c>
      <c r="M120" s="1">
        <v>6094.0</v>
      </c>
      <c r="N120" s="1">
        <v>506.0</v>
      </c>
      <c r="O120" s="1">
        <v>8026.0</v>
      </c>
      <c r="P120" s="1">
        <v>7746.0</v>
      </c>
      <c r="Q120" s="1">
        <v>375.0</v>
      </c>
      <c r="R120" s="1">
        <v>2813.0</v>
      </c>
      <c r="S120" s="1">
        <v>796.0</v>
      </c>
      <c r="T120" s="1">
        <v>400.0</v>
      </c>
      <c r="U120" s="1">
        <v>100.0</v>
      </c>
      <c r="V120" s="1">
        <v>446.0</v>
      </c>
      <c r="W120" s="1">
        <v>33976.0</v>
      </c>
      <c r="X120" s="1">
        <v>6430.0</v>
      </c>
      <c r="Y120" s="1">
        <v>207.0</v>
      </c>
      <c r="Z120" s="1">
        <v>361.0</v>
      </c>
      <c r="AA120" s="1">
        <v>1327.0</v>
      </c>
      <c r="AB120" s="1">
        <v>1030.0</v>
      </c>
      <c r="AC120" s="1">
        <v>242.0</v>
      </c>
      <c r="AD120" s="1">
        <v>546.0</v>
      </c>
      <c r="AE120" s="1">
        <v>15.0</v>
      </c>
      <c r="AF120" s="1">
        <v>442.0</v>
      </c>
      <c r="AG120" s="1">
        <v>2350.0</v>
      </c>
      <c r="AH120" s="1">
        <v>411.0</v>
      </c>
      <c r="AI120" s="1">
        <v>298.0</v>
      </c>
      <c r="AJ120" s="1">
        <v>155.0</v>
      </c>
      <c r="AK120" s="1">
        <v>39.0</v>
      </c>
      <c r="AL120" s="1">
        <v>124.0</v>
      </c>
      <c r="AM120" s="1">
        <v>103.0</v>
      </c>
      <c r="AN120" s="1">
        <v>79.0</v>
      </c>
      <c r="AO120" s="1">
        <v>137.0</v>
      </c>
      <c r="AP120" s="1">
        <v>0.136699</v>
      </c>
      <c r="AQ120" s="1">
        <v>0.067517</v>
      </c>
      <c r="AR120" s="1">
        <v>0.031426</v>
      </c>
      <c r="AS120" s="1">
        <v>0.1401</v>
      </c>
      <c r="AT120" s="1">
        <v>33976.0</v>
      </c>
      <c r="AU120" s="1">
        <v>6430.0</v>
      </c>
      <c r="AV120" s="1">
        <v>0.045908</v>
      </c>
      <c r="AW120" s="1">
        <v>0.079946</v>
      </c>
      <c r="AX120" s="1">
        <v>0.217113</v>
      </c>
      <c r="AY120" s="1">
        <v>0.16852</v>
      </c>
      <c r="AZ120" s="1">
        <v>0.08602915</v>
      </c>
      <c r="BA120" s="1">
        <v>0.089332</v>
      </c>
      <c r="BB120" s="1">
        <v>0.002692</v>
      </c>
      <c r="BC120" s="1">
        <v>0.079353</v>
      </c>
      <c r="BD120" s="1">
        <v>0.303382</v>
      </c>
      <c r="BE120" s="1">
        <v>0.050986</v>
      </c>
      <c r="BF120" s="1">
        <v>0.038471</v>
      </c>
      <c r="BG120" s="1">
        <v>0.019923</v>
      </c>
      <c r="BH120" s="1">
        <v>0.013938</v>
      </c>
      <c r="BI120" s="1">
        <v>0.044288</v>
      </c>
      <c r="BJ120" s="1">
        <v>0.036812</v>
      </c>
      <c r="BK120" s="1">
        <v>0.02792</v>
      </c>
      <c r="BL120" s="1">
        <v>0.022414</v>
      </c>
      <c r="BM120" s="1">
        <v>0.53</v>
      </c>
      <c r="BN120" s="1">
        <v>0.097</v>
      </c>
      <c r="BO120" s="1">
        <v>0.1271</v>
      </c>
      <c r="BP120" s="1">
        <v>0.114</v>
      </c>
      <c r="BQ120" s="1">
        <v>0.8681</v>
      </c>
      <c r="BR120" s="1">
        <v>0.174</v>
      </c>
      <c r="BS120" s="1">
        <v>0.925</v>
      </c>
      <c r="BT120" s="1">
        <v>0.097</v>
      </c>
      <c r="BU120" s="1">
        <v>0.366</v>
      </c>
      <c r="BV120" s="1">
        <v>1.388</v>
      </c>
      <c r="BW120" s="1">
        <v>0.38</v>
      </c>
      <c r="BX120" s="1">
        <v>0.426</v>
      </c>
      <c r="BY120" s="1">
        <v>0.426</v>
      </c>
      <c r="BZ120" s="1">
        <v>0.852</v>
      </c>
      <c r="CA120" s="1">
        <v>0.436</v>
      </c>
      <c r="CB120" s="1">
        <v>0.944</v>
      </c>
      <c r="CC120" s="1">
        <v>0.574</v>
      </c>
      <c r="CD120" s="1">
        <v>0.568</v>
      </c>
      <c r="CE120" s="1">
        <v>0.356</v>
      </c>
      <c r="CF120" s="1">
        <v>0.742</v>
      </c>
      <c r="CG120" s="1">
        <v>3.184</v>
      </c>
      <c r="CH120" s="1">
        <v>0.84</v>
      </c>
      <c r="CI120" s="1">
        <v>6.2921</v>
      </c>
      <c r="CJ120" s="1">
        <v>0.4274</v>
      </c>
      <c r="CK120" s="1">
        <v>0.0</v>
      </c>
      <c r="CL120" s="1">
        <v>0.0</v>
      </c>
      <c r="CM120" s="1">
        <v>0.0</v>
      </c>
      <c r="CN120" s="1">
        <v>0.0</v>
      </c>
      <c r="CO120" s="1">
        <v>0.0</v>
      </c>
      <c r="CP120" s="1">
        <v>1.0</v>
      </c>
      <c r="CQ120" s="1">
        <v>0.0</v>
      </c>
      <c r="CR120" s="1">
        <v>0.0</v>
      </c>
      <c r="CS120" s="1">
        <v>1.0</v>
      </c>
      <c r="CT120" s="1">
        <v>0.0</v>
      </c>
      <c r="CU120" s="1">
        <v>0.0</v>
      </c>
      <c r="CV120" s="1">
        <v>0.0</v>
      </c>
      <c r="CW120" s="1">
        <v>1.0</v>
      </c>
      <c r="CX120" s="1">
        <v>0.0</v>
      </c>
      <c r="CY120" s="1">
        <v>0.0</v>
      </c>
      <c r="CZ120" s="1">
        <v>0.0</v>
      </c>
      <c r="DA120" s="1">
        <v>0.0</v>
      </c>
      <c r="DB120" s="1">
        <v>1.0</v>
      </c>
      <c r="DC120" s="1">
        <v>2.0</v>
      </c>
      <c r="DD120" s="1" t="s">
        <v>676</v>
      </c>
      <c r="DE120" s="1">
        <v>0.00592691693157643</v>
      </c>
      <c r="DF120" s="2" t="s">
        <v>677</v>
      </c>
    </row>
    <row r="121" ht="15.75" customHeight="1">
      <c r="A121" s="1" t="s">
        <v>678</v>
      </c>
      <c r="B121" s="1">
        <v>29.0</v>
      </c>
      <c r="C121" s="2" t="s">
        <v>669</v>
      </c>
      <c r="D121" s="1">
        <v>950300.0</v>
      </c>
      <c r="E121" s="1">
        <v>16.507</v>
      </c>
      <c r="F121" s="1">
        <v>29029.0</v>
      </c>
      <c r="G121" s="1">
        <v>2.90299503E10</v>
      </c>
      <c r="H121" s="1" t="s">
        <v>112</v>
      </c>
      <c r="I121" s="1" t="s">
        <v>113</v>
      </c>
      <c r="J121" s="1" t="s">
        <v>670</v>
      </c>
      <c r="K121" s="1" t="s">
        <v>679</v>
      </c>
      <c r="L121" s="1">
        <v>2625.0</v>
      </c>
      <c r="M121" s="1">
        <v>1739.0</v>
      </c>
      <c r="N121" s="1">
        <v>318.0</v>
      </c>
      <c r="O121" s="1">
        <v>2681.0</v>
      </c>
      <c r="P121" s="1">
        <v>2256.0</v>
      </c>
      <c r="Q121" s="1">
        <v>127.0</v>
      </c>
      <c r="R121" s="1">
        <v>1061.0</v>
      </c>
      <c r="S121" s="1">
        <v>90.0</v>
      </c>
      <c r="T121" s="1">
        <v>88.0</v>
      </c>
      <c r="U121" s="1">
        <v>43.0</v>
      </c>
      <c r="V121" s="1">
        <v>471.0</v>
      </c>
      <c r="W121" s="1">
        <v>24663.0</v>
      </c>
      <c r="X121" s="1">
        <v>3696.0</v>
      </c>
      <c r="Y121" s="1">
        <v>121.0</v>
      </c>
      <c r="Z121" s="1">
        <v>329.0</v>
      </c>
      <c r="AA121" s="1">
        <v>644.0</v>
      </c>
      <c r="AB121" s="1">
        <v>392.0</v>
      </c>
      <c r="AC121" s="1">
        <v>35.0</v>
      </c>
      <c r="AD121" s="1">
        <v>91.0</v>
      </c>
      <c r="AE121" s="1">
        <v>0.0</v>
      </c>
      <c r="AF121" s="1">
        <v>456.0</v>
      </c>
      <c r="AG121" s="1">
        <v>161.0</v>
      </c>
      <c r="AH121" s="1">
        <v>164.0</v>
      </c>
      <c r="AI121" s="1">
        <v>187.0</v>
      </c>
      <c r="AJ121" s="1">
        <v>89.0</v>
      </c>
      <c r="AK121" s="1">
        <v>0.0</v>
      </c>
      <c r="AL121" s="1">
        <v>161.0</v>
      </c>
      <c r="AM121" s="1">
        <v>21.0</v>
      </c>
      <c r="AN121" s="1">
        <v>116.0</v>
      </c>
      <c r="AO121" s="1">
        <v>365.0</v>
      </c>
      <c r="AP121" s="1">
        <v>0.05316</v>
      </c>
      <c r="AQ121" s="1">
        <v>0.051059</v>
      </c>
      <c r="AR121" s="1">
        <v>0.07363</v>
      </c>
      <c r="AS121" s="1">
        <v>0.805642</v>
      </c>
      <c r="AT121" s="1">
        <v>24663.0</v>
      </c>
      <c r="AU121" s="1">
        <v>3696.0</v>
      </c>
      <c r="AV121" s="1">
        <v>0.082593</v>
      </c>
      <c r="AW121" s="1">
        <v>0.224037</v>
      </c>
      <c r="AX121" s="1">
        <v>0.245333</v>
      </c>
      <c r="AY121" s="1">
        <v>0.149333</v>
      </c>
      <c r="AZ121" s="1">
        <v>0.03298774</v>
      </c>
      <c r="BA121" s="1">
        <v>0.034666</v>
      </c>
      <c r="BB121" s="1">
        <v>0.0</v>
      </c>
      <c r="BC121" s="1">
        <v>0.279754</v>
      </c>
      <c r="BD121" s="1">
        <v>0.071365</v>
      </c>
      <c r="BE121" s="1">
        <v>0.072583</v>
      </c>
      <c r="BF121" s="1">
        <v>0.08289</v>
      </c>
      <c r="BG121" s="1">
        <v>0.039173</v>
      </c>
      <c r="BH121" s="1">
        <v>0.0</v>
      </c>
      <c r="BI121" s="1">
        <v>0.193045</v>
      </c>
      <c r="BJ121" s="1">
        <v>0.025179</v>
      </c>
      <c r="BK121" s="1">
        <v>0.139009</v>
      </c>
      <c r="BL121" s="1">
        <v>0.139047</v>
      </c>
      <c r="BM121" s="1">
        <v>0.182</v>
      </c>
      <c r="BN121" s="1">
        <v>0.544</v>
      </c>
      <c r="BO121" s="1">
        <v>0.3639</v>
      </c>
      <c r="BP121" s="1">
        <v>0.257</v>
      </c>
      <c r="BQ121" s="1">
        <v>1.3469</v>
      </c>
      <c r="BR121" s="1">
        <v>0.2939</v>
      </c>
      <c r="BS121" s="1">
        <v>0.966</v>
      </c>
      <c r="BT121" s="1">
        <v>0.067</v>
      </c>
      <c r="BU121" s="1">
        <v>0.02</v>
      </c>
      <c r="BV121" s="1">
        <v>1.053</v>
      </c>
      <c r="BW121" s="1">
        <v>0.133</v>
      </c>
      <c r="BX121" s="1">
        <v>0.117</v>
      </c>
      <c r="BY121" s="1">
        <v>0.0</v>
      </c>
      <c r="BZ121" s="1">
        <v>0.117</v>
      </c>
      <c r="CA121" s="1">
        <v>0.057</v>
      </c>
      <c r="CB121" s="1">
        <v>0.717</v>
      </c>
      <c r="CC121" s="1">
        <v>0.681</v>
      </c>
      <c r="CD121" s="1">
        <v>0.0</v>
      </c>
      <c r="CE121" s="1">
        <v>0.241</v>
      </c>
      <c r="CF121" s="1">
        <v>0.952</v>
      </c>
      <c r="CG121" s="1">
        <v>2.591</v>
      </c>
      <c r="CH121" s="1">
        <v>0.6</v>
      </c>
      <c r="CI121" s="1">
        <v>5.1079</v>
      </c>
      <c r="CJ121" s="1">
        <v>0.2166</v>
      </c>
      <c r="CK121" s="1">
        <v>0.0</v>
      </c>
      <c r="CL121" s="1">
        <v>0.0</v>
      </c>
      <c r="CM121" s="1">
        <v>0.0</v>
      </c>
      <c r="CN121" s="1">
        <v>0.0</v>
      </c>
      <c r="CO121" s="1">
        <v>0.0</v>
      </c>
      <c r="CP121" s="1">
        <v>1.0</v>
      </c>
      <c r="CQ121" s="1">
        <v>0.0</v>
      </c>
      <c r="CR121" s="1">
        <v>0.0</v>
      </c>
      <c r="CS121" s="1">
        <v>1.0</v>
      </c>
      <c r="CT121" s="1">
        <v>0.0</v>
      </c>
      <c r="CU121" s="1">
        <v>0.0</v>
      </c>
      <c r="CV121" s="1">
        <v>0.0</v>
      </c>
      <c r="CW121" s="1">
        <v>0.0</v>
      </c>
      <c r="CX121" s="1">
        <v>0.0</v>
      </c>
      <c r="CY121" s="1">
        <v>0.0</v>
      </c>
      <c r="CZ121" s="1">
        <v>0.0</v>
      </c>
      <c r="DA121" s="1">
        <v>1.0</v>
      </c>
      <c r="DB121" s="1">
        <v>1.0</v>
      </c>
      <c r="DC121" s="1">
        <v>2.0</v>
      </c>
      <c r="DD121" s="1" t="s">
        <v>680</v>
      </c>
      <c r="DE121" s="1">
        <v>0.00557437435645233</v>
      </c>
      <c r="DF121" s="2" t="s">
        <v>681</v>
      </c>
    </row>
    <row r="122" ht="15.75" customHeight="1">
      <c r="A122" s="1" t="s">
        <v>682</v>
      </c>
      <c r="B122" s="1">
        <v>29.0</v>
      </c>
      <c r="C122" s="2" t="s">
        <v>669</v>
      </c>
      <c r="D122" s="1">
        <v>950400.0</v>
      </c>
      <c r="E122" s="1">
        <v>19.143</v>
      </c>
      <c r="F122" s="1">
        <v>29029.0</v>
      </c>
      <c r="G122" s="1">
        <v>2.90299504E10</v>
      </c>
      <c r="H122" s="1" t="s">
        <v>112</v>
      </c>
      <c r="I122" s="1" t="s">
        <v>113</v>
      </c>
      <c r="J122" s="1" t="s">
        <v>670</v>
      </c>
      <c r="K122" s="1" t="s">
        <v>683</v>
      </c>
      <c r="L122" s="1">
        <v>3569.0</v>
      </c>
      <c r="M122" s="1">
        <v>3504.0</v>
      </c>
      <c r="N122" s="1">
        <v>477.0</v>
      </c>
      <c r="O122" s="1">
        <v>2647.0</v>
      </c>
      <c r="P122" s="1">
        <v>2427.0</v>
      </c>
      <c r="Q122" s="1">
        <v>133.0</v>
      </c>
      <c r="R122" s="1">
        <v>1461.0</v>
      </c>
      <c r="S122" s="1">
        <v>459.0</v>
      </c>
      <c r="T122" s="1">
        <v>348.0</v>
      </c>
      <c r="U122" s="1">
        <v>33.0</v>
      </c>
      <c r="V122" s="1">
        <v>485.0</v>
      </c>
      <c r="W122" s="1">
        <v>26547.0</v>
      </c>
      <c r="X122" s="1">
        <v>5333.0</v>
      </c>
      <c r="Y122" s="1">
        <v>297.0</v>
      </c>
      <c r="Z122" s="1">
        <v>325.0</v>
      </c>
      <c r="AA122" s="1">
        <v>718.0</v>
      </c>
      <c r="AB122" s="1">
        <v>807.0</v>
      </c>
      <c r="AC122" s="1">
        <v>166.0</v>
      </c>
      <c r="AD122" s="1">
        <v>170.0</v>
      </c>
      <c r="AE122" s="1">
        <v>98.0</v>
      </c>
      <c r="AF122" s="1">
        <v>446.0</v>
      </c>
      <c r="AG122" s="1">
        <v>155.0</v>
      </c>
      <c r="AH122" s="1">
        <v>149.0</v>
      </c>
      <c r="AI122" s="1">
        <v>258.0</v>
      </c>
      <c r="AJ122" s="1">
        <v>95.0</v>
      </c>
      <c r="AK122" s="1">
        <v>14.0</v>
      </c>
      <c r="AL122" s="1">
        <v>116.0</v>
      </c>
      <c r="AM122" s="1">
        <v>55.0</v>
      </c>
      <c r="AN122" s="1">
        <v>59.0</v>
      </c>
      <c r="AO122" s="1">
        <v>56.0</v>
      </c>
      <c r="AP122" s="1">
        <v>0.132314</v>
      </c>
      <c r="AQ122" s="1">
        <v>0.098688</v>
      </c>
      <c r="AR122" s="1">
        <v>0.020728</v>
      </c>
      <c r="AS122" s="1">
        <v>0.304626</v>
      </c>
      <c r="AT122" s="1">
        <v>26547.0</v>
      </c>
      <c r="AU122" s="1">
        <v>5333.0</v>
      </c>
      <c r="AV122" s="1">
        <v>0.116379</v>
      </c>
      <c r="AW122" s="1">
        <v>0.126386</v>
      </c>
      <c r="AX122" s="1">
        <v>0.201176</v>
      </c>
      <c r="AY122" s="1">
        <v>0.226113</v>
      </c>
      <c r="AZ122" s="1">
        <v>0.1136208</v>
      </c>
      <c r="BA122" s="1">
        <v>0.047632</v>
      </c>
      <c r="BB122" s="1">
        <v>0.029323</v>
      </c>
      <c r="BC122" s="1">
        <v>0.133391</v>
      </c>
      <c r="BD122" s="1">
        <v>0.063864</v>
      </c>
      <c r="BE122" s="1">
        <v>0.061292</v>
      </c>
      <c r="BF122" s="1">
        <v>0.106304</v>
      </c>
      <c r="BG122" s="1">
        <v>0.038707</v>
      </c>
      <c r="BH122" s="1">
        <v>0.010309</v>
      </c>
      <c r="BI122" s="1">
        <v>0.08541</v>
      </c>
      <c r="BJ122" s="1">
        <v>0.0405</v>
      </c>
      <c r="BK122" s="1">
        <v>0.043156</v>
      </c>
      <c r="BL122" s="1">
        <v>0.01569</v>
      </c>
      <c r="BM122" s="1">
        <v>0.508</v>
      </c>
      <c r="BN122" s="1">
        <v>0.033</v>
      </c>
      <c r="BO122" s="1">
        <v>0.296</v>
      </c>
      <c r="BP122" s="1">
        <v>0.41</v>
      </c>
      <c r="BQ122" s="1">
        <v>1.247</v>
      </c>
      <c r="BR122" s="1">
        <v>0.2664</v>
      </c>
      <c r="BS122" s="1">
        <v>0.876</v>
      </c>
      <c r="BT122" s="1">
        <v>0.348</v>
      </c>
      <c r="BU122" s="1">
        <v>0.617</v>
      </c>
      <c r="BV122" s="1">
        <v>1.841</v>
      </c>
      <c r="BW122" s="1">
        <v>0.762</v>
      </c>
      <c r="BX122" s="1">
        <v>0.231</v>
      </c>
      <c r="BY122" s="1">
        <v>0.91</v>
      </c>
      <c r="BZ122" s="1">
        <v>1.141</v>
      </c>
      <c r="CA122" s="1">
        <v>0.629</v>
      </c>
      <c r="CB122" s="1">
        <v>0.694</v>
      </c>
      <c r="CC122" s="1">
        <v>0.73</v>
      </c>
      <c r="CD122" s="1">
        <v>0.483</v>
      </c>
      <c r="CE122" s="1">
        <v>0.394</v>
      </c>
      <c r="CF122" s="1">
        <v>0.656</v>
      </c>
      <c r="CG122" s="1">
        <v>2.957</v>
      </c>
      <c r="CH122" s="1">
        <v>0.756</v>
      </c>
      <c r="CI122" s="1">
        <v>7.186</v>
      </c>
      <c r="CJ122" s="1">
        <v>0.5877</v>
      </c>
      <c r="CK122" s="1">
        <v>0.0</v>
      </c>
      <c r="CL122" s="1">
        <v>0.0</v>
      </c>
      <c r="CM122" s="1">
        <v>0.0</v>
      </c>
      <c r="CN122" s="1">
        <v>0.0</v>
      </c>
      <c r="CO122" s="1">
        <v>0.0</v>
      </c>
      <c r="CP122" s="1">
        <v>0.0</v>
      </c>
      <c r="CQ122" s="1">
        <v>0.0</v>
      </c>
      <c r="CR122" s="1">
        <v>0.0</v>
      </c>
      <c r="CS122" s="1">
        <v>0.0</v>
      </c>
      <c r="CT122" s="1">
        <v>0.0</v>
      </c>
      <c r="CU122" s="1">
        <v>1.0</v>
      </c>
      <c r="CV122" s="1">
        <v>1.0</v>
      </c>
      <c r="CW122" s="1">
        <v>0.0</v>
      </c>
      <c r="CX122" s="1">
        <v>0.0</v>
      </c>
      <c r="CY122" s="1">
        <v>0.0</v>
      </c>
      <c r="CZ122" s="1">
        <v>0.0</v>
      </c>
      <c r="DA122" s="1">
        <v>0.0</v>
      </c>
      <c r="DB122" s="1">
        <v>0.0</v>
      </c>
      <c r="DC122" s="1">
        <v>1.0</v>
      </c>
      <c r="DD122" s="1" t="s">
        <v>684</v>
      </c>
      <c r="DE122" s="1">
        <v>0.00583464572753979</v>
      </c>
      <c r="DF122" s="2" t="s">
        <v>685</v>
      </c>
    </row>
    <row r="123" ht="15.75" customHeight="1">
      <c r="A123" s="1" t="s">
        <v>686</v>
      </c>
      <c r="B123" s="1">
        <v>29.0</v>
      </c>
      <c r="C123" s="2" t="s">
        <v>669</v>
      </c>
      <c r="D123" s="1">
        <v>950500.0</v>
      </c>
      <c r="E123" s="1">
        <v>8.571</v>
      </c>
      <c r="F123" s="1">
        <v>29029.0</v>
      </c>
      <c r="G123" s="1">
        <v>2.90299505E10</v>
      </c>
      <c r="H123" s="1" t="s">
        <v>112</v>
      </c>
      <c r="I123" s="1" t="s">
        <v>113</v>
      </c>
      <c r="J123" s="1" t="s">
        <v>670</v>
      </c>
      <c r="K123" s="1" t="s">
        <v>687</v>
      </c>
      <c r="L123" s="1">
        <v>3726.0</v>
      </c>
      <c r="M123" s="1">
        <v>3925.0</v>
      </c>
      <c r="N123" s="1">
        <v>317.0</v>
      </c>
      <c r="O123" s="1">
        <v>1767.0</v>
      </c>
      <c r="P123" s="1">
        <v>1905.0</v>
      </c>
      <c r="Q123" s="1">
        <v>210.0</v>
      </c>
      <c r="R123" s="1">
        <v>1501.0</v>
      </c>
      <c r="S123" s="1">
        <v>571.0</v>
      </c>
      <c r="T123" s="1">
        <v>254.0</v>
      </c>
      <c r="U123" s="1">
        <v>140.0</v>
      </c>
      <c r="V123" s="1">
        <v>401.0</v>
      </c>
      <c r="W123" s="1">
        <v>16910.0</v>
      </c>
      <c r="X123" s="1">
        <v>1647.0</v>
      </c>
      <c r="Y123" s="1">
        <v>351.0</v>
      </c>
      <c r="Z123" s="1">
        <v>257.0</v>
      </c>
      <c r="AA123" s="1">
        <v>562.0</v>
      </c>
      <c r="AB123" s="1">
        <v>940.0</v>
      </c>
      <c r="AC123" s="1">
        <v>206.0</v>
      </c>
      <c r="AD123" s="1">
        <v>251.0</v>
      </c>
      <c r="AE123" s="1">
        <v>9.0</v>
      </c>
      <c r="AF123" s="1">
        <v>442.0</v>
      </c>
      <c r="AG123" s="1">
        <v>112.0</v>
      </c>
      <c r="AH123" s="1">
        <v>77.0</v>
      </c>
      <c r="AI123" s="1">
        <v>155.0</v>
      </c>
      <c r="AJ123" s="1">
        <v>90.0</v>
      </c>
      <c r="AK123" s="1">
        <v>39.0</v>
      </c>
      <c r="AL123" s="1">
        <v>123.0</v>
      </c>
      <c r="AM123" s="1">
        <v>126.0</v>
      </c>
      <c r="AN123" s="1">
        <v>57.0</v>
      </c>
      <c r="AO123" s="1">
        <v>126.0</v>
      </c>
      <c r="AP123" s="1">
        <v>0.159764</v>
      </c>
      <c r="AQ123" s="1">
        <v>0.069404</v>
      </c>
      <c r="AR123" s="1">
        <v>0.083732</v>
      </c>
      <c r="AS123" s="1">
        <v>0.239502</v>
      </c>
      <c r="AT123" s="1">
        <v>16910.0</v>
      </c>
      <c r="AU123" s="1">
        <v>1647.0</v>
      </c>
      <c r="AV123" s="1">
        <v>0.134585</v>
      </c>
      <c r="AW123" s="1">
        <v>0.097639</v>
      </c>
      <c r="AX123" s="1">
        <v>0.150831</v>
      </c>
      <c r="AY123" s="1">
        <v>0.252281</v>
      </c>
      <c r="AZ123" s="1">
        <v>0.13724183</v>
      </c>
      <c r="BA123" s="1">
        <v>0.067364</v>
      </c>
      <c r="BB123" s="1">
        <v>0.002513</v>
      </c>
      <c r="BC123" s="1">
        <v>0.123463</v>
      </c>
      <c r="BD123" s="1">
        <v>0.058792</v>
      </c>
      <c r="BE123" s="1">
        <v>0.039896</v>
      </c>
      <c r="BF123" s="1">
        <v>0.081364</v>
      </c>
      <c r="BG123" s="1">
        <v>0.046384</v>
      </c>
      <c r="BH123" s="1">
        <v>0.024636</v>
      </c>
      <c r="BI123" s="1">
        <v>0.077643</v>
      </c>
      <c r="BJ123" s="1">
        <v>0.079595</v>
      </c>
      <c r="BK123" s="1">
        <v>0.034689</v>
      </c>
      <c r="BL123" s="1">
        <v>0.033816</v>
      </c>
      <c r="BM123" s="1">
        <v>0.61</v>
      </c>
      <c r="BN123" s="1">
        <v>0.643</v>
      </c>
      <c r="BO123" s="1">
        <v>0.7921</v>
      </c>
      <c r="BP123" s="1">
        <v>0.495</v>
      </c>
      <c r="BQ123" s="1">
        <v>2.5401</v>
      </c>
      <c r="BR123" s="1">
        <v>0.6794</v>
      </c>
      <c r="BS123" s="1">
        <v>0.587</v>
      </c>
      <c r="BT123" s="1">
        <v>0.628</v>
      </c>
      <c r="BU123" s="1">
        <v>0.749</v>
      </c>
      <c r="BV123" s="1">
        <v>1.964</v>
      </c>
      <c r="BW123" s="1">
        <v>0.841</v>
      </c>
      <c r="BX123" s="1">
        <v>0.351</v>
      </c>
      <c r="BY123" s="1">
        <v>0.415</v>
      </c>
      <c r="BZ123" s="1">
        <v>0.766</v>
      </c>
      <c r="CA123" s="1">
        <v>0.374</v>
      </c>
      <c r="CB123" s="1">
        <v>0.682</v>
      </c>
      <c r="CC123" s="1">
        <v>0.678</v>
      </c>
      <c r="CD123" s="1">
        <v>0.751</v>
      </c>
      <c r="CE123" s="1">
        <v>0.673</v>
      </c>
      <c r="CF123" s="1">
        <v>0.828</v>
      </c>
      <c r="CG123" s="1">
        <v>3.612</v>
      </c>
      <c r="CH123" s="1">
        <v>0.959</v>
      </c>
      <c r="CI123" s="1">
        <v>8.8821</v>
      </c>
      <c r="CJ123" s="1">
        <v>0.8375</v>
      </c>
      <c r="CK123" s="1">
        <v>0.0</v>
      </c>
      <c r="CL123" s="1">
        <v>0.0</v>
      </c>
      <c r="CM123" s="1">
        <v>0.0</v>
      </c>
      <c r="CN123" s="1">
        <v>0.0</v>
      </c>
      <c r="CO123" s="1">
        <v>0.0</v>
      </c>
      <c r="CP123" s="1">
        <v>0.0</v>
      </c>
      <c r="CQ123" s="1">
        <v>0.0</v>
      </c>
      <c r="CR123" s="1">
        <v>0.0</v>
      </c>
      <c r="CS123" s="1">
        <v>0.0</v>
      </c>
      <c r="CT123" s="1">
        <v>0.0</v>
      </c>
      <c r="CU123" s="1">
        <v>0.0</v>
      </c>
      <c r="CV123" s="1">
        <v>0.0</v>
      </c>
      <c r="CW123" s="1">
        <v>0.0</v>
      </c>
      <c r="CX123" s="1">
        <v>0.0</v>
      </c>
      <c r="CY123" s="1">
        <v>0.0</v>
      </c>
      <c r="CZ123" s="1">
        <v>0.0</v>
      </c>
      <c r="DA123" s="1">
        <v>0.0</v>
      </c>
      <c r="DB123" s="1">
        <v>0.0</v>
      </c>
      <c r="DC123" s="1">
        <v>0.0</v>
      </c>
      <c r="DD123" s="1" t="s">
        <v>688</v>
      </c>
      <c r="DE123" s="1">
        <v>0.00236382427772639</v>
      </c>
      <c r="DF123" s="2" t="s">
        <v>689</v>
      </c>
    </row>
    <row r="124" ht="15.75" customHeight="1">
      <c r="A124" s="1" t="s">
        <v>690</v>
      </c>
      <c r="B124" s="1">
        <v>29.0</v>
      </c>
      <c r="C124" s="2" t="s">
        <v>669</v>
      </c>
      <c r="D124" s="1">
        <v>950600.0</v>
      </c>
      <c r="E124" s="1">
        <v>54.471</v>
      </c>
      <c r="F124" s="1">
        <v>29029.0</v>
      </c>
      <c r="G124" s="1">
        <v>2.90299506E10</v>
      </c>
      <c r="H124" s="1" t="s">
        <v>112</v>
      </c>
      <c r="I124" s="1" t="s">
        <v>113</v>
      </c>
      <c r="J124" s="1" t="s">
        <v>670</v>
      </c>
      <c r="K124" s="1" t="s">
        <v>691</v>
      </c>
      <c r="L124" s="1">
        <v>4179.0</v>
      </c>
      <c r="M124" s="1">
        <v>4203.0</v>
      </c>
      <c r="N124" s="1">
        <v>562.0</v>
      </c>
      <c r="O124" s="1">
        <v>2529.0</v>
      </c>
      <c r="P124" s="1">
        <v>2413.0</v>
      </c>
      <c r="Q124" s="1">
        <v>105.0</v>
      </c>
      <c r="R124" s="1">
        <v>1678.0</v>
      </c>
      <c r="S124" s="1">
        <v>416.0</v>
      </c>
      <c r="T124" s="1">
        <v>224.0</v>
      </c>
      <c r="U124" s="1">
        <v>154.0</v>
      </c>
      <c r="V124" s="1">
        <v>422.0</v>
      </c>
      <c r="W124" s="1">
        <v>26122.0</v>
      </c>
      <c r="X124" s="1">
        <v>3693.0</v>
      </c>
      <c r="Y124" s="1">
        <v>228.0</v>
      </c>
      <c r="Z124" s="1">
        <v>320.0</v>
      </c>
      <c r="AA124" s="1">
        <v>646.0</v>
      </c>
      <c r="AB124" s="1">
        <v>990.0</v>
      </c>
      <c r="AC124" s="1">
        <v>146.0</v>
      </c>
      <c r="AD124" s="1">
        <v>171.0</v>
      </c>
      <c r="AE124" s="1">
        <v>0.0</v>
      </c>
      <c r="AF124" s="1">
        <v>456.0</v>
      </c>
      <c r="AG124" s="1">
        <v>79.0</v>
      </c>
      <c r="AH124" s="1">
        <v>173.0</v>
      </c>
      <c r="AI124" s="1">
        <v>356.0</v>
      </c>
      <c r="AJ124" s="1">
        <v>129.0</v>
      </c>
      <c r="AK124" s="1">
        <v>15.0</v>
      </c>
      <c r="AL124" s="1">
        <v>117.0</v>
      </c>
      <c r="AM124" s="1">
        <v>80.0</v>
      </c>
      <c r="AN124" s="1">
        <v>89.0</v>
      </c>
      <c r="AO124" s="1">
        <v>13.0</v>
      </c>
      <c r="AP124" s="1">
        <v>0.099189</v>
      </c>
      <c r="AQ124" s="1">
        <v>0.051723</v>
      </c>
      <c r="AR124" s="1">
        <v>0.070351</v>
      </c>
      <c r="AS124" s="1">
        <v>0.192394</v>
      </c>
      <c r="AT124" s="1">
        <v>26122.0</v>
      </c>
      <c r="AU124" s="1">
        <v>3693.0</v>
      </c>
      <c r="AV124" s="1">
        <v>0.078055</v>
      </c>
      <c r="AW124" s="1">
        <v>0.109182</v>
      </c>
      <c r="AX124" s="1">
        <v>0.154582</v>
      </c>
      <c r="AY124" s="1">
        <v>0.236898</v>
      </c>
      <c r="AZ124" s="1">
        <v>0.08700834</v>
      </c>
      <c r="BA124" s="1">
        <v>0.040918</v>
      </c>
      <c r="BB124" s="1">
        <v>0.0</v>
      </c>
      <c r="BC124" s="1">
        <v>0.114142</v>
      </c>
      <c r="BD124" s="1">
        <v>0.032739</v>
      </c>
      <c r="BE124" s="1">
        <v>0.07168</v>
      </c>
      <c r="BF124" s="1">
        <v>0.147534</v>
      </c>
      <c r="BG124" s="1">
        <v>0.053073</v>
      </c>
      <c r="BH124" s="1">
        <v>0.009404</v>
      </c>
      <c r="BI124" s="1">
        <v>0.073346</v>
      </c>
      <c r="BJ124" s="1">
        <v>0.050156</v>
      </c>
      <c r="BK124" s="1">
        <v>0.055517</v>
      </c>
      <c r="BL124" s="1">
        <v>0.00311</v>
      </c>
      <c r="BM124" s="1">
        <v>0.367</v>
      </c>
      <c r="BN124" s="1">
        <v>0.52</v>
      </c>
      <c r="BO124" s="1">
        <v>0.3083</v>
      </c>
      <c r="BP124" s="1">
        <v>0.238</v>
      </c>
      <c r="BQ124" s="1">
        <v>1.4333</v>
      </c>
      <c r="BR124" s="1">
        <v>0.3235</v>
      </c>
      <c r="BS124" s="1">
        <v>0.614</v>
      </c>
      <c r="BT124" s="1">
        <v>0.461</v>
      </c>
      <c r="BU124" s="1">
        <v>0.377</v>
      </c>
      <c r="BV124" s="1">
        <v>1.452</v>
      </c>
      <c r="BW124" s="1">
        <v>0.44</v>
      </c>
      <c r="BX124" s="1">
        <v>0.171</v>
      </c>
      <c r="BY124" s="1">
        <v>0.0</v>
      </c>
      <c r="BZ124" s="1">
        <v>0.171</v>
      </c>
      <c r="CA124" s="1">
        <v>0.08</v>
      </c>
      <c r="CB124" s="1">
        <v>0.564</v>
      </c>
      <c r="CC124" s="1">
        <v>0.81</v>
      </c>
      <c r="CD124" s="1">
        <v>0.466</v>
      </c>
      <c r="CE124" s="1">
        <v>0.487</v>
      </c>
      <c r="CF124" s="1">
        <v>0.476</v>
      </c>
      <c r="CG124" s="1">
        <v>2.803</v>
      </c>
      <c r="CH124" s="1">
        <v>0.69</v>
      </c>
      <c r="CI124" s="1">
        <v>5.8593</v>
      </c>
      <c r="CJ124" s="1">
        <v>0.3495</v>
      </c>
      <c r="CK124" s="1">
        <v>0.0</v>
      </c>
      <c r="CL124" s="1">
        <v>0.0</v>
      </c>
      <c r="CM124" s="1">
        <v>0.0</v>
      </c>
      <c r="CN124" s="1">
        <v>0.0</v>
      </c>
      <c r="CO124" s="1">
        <v>0.0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>
        <v>0.0</v>
      </c>
      <c r="CV124" s="1">
        <v>0.0</v>
      </c>
      <c r="CW124" s="1">
        <v>0.0</v>
      </c>
      <c r="CX124" s="1">
        <v>0.0</v>
      </c>
      <c r="CY124" s="1">
        <v>0.0</v>
      </c>
      <c r="CZ124" s="1">
        <v>0.0</v>
      </c>
      <c r="DA124" s="1">
        <v>0.0</v>
      </c>
      <c r="DB124" s="1">
        <v>0.0</v>
      </c>
      <c r="DC124" s="1">
        <v>0.0</v>
      </c>
      <c r="DD124" s="1" t="s">
        <v>692</v>
      </c>
      <c r="DE124" s="1">
        <v>0.0159427363580081</v>
      </c>
      <c r="DF124" s="1">
        <v>0.737713256764702</v>
      </c>
    </row>
    <row r="125" ht="15.75" customHeight="1">
      <c r="A125" s="1" t="s">
        <v>693</v>
      </c>
      <c r="B125" s="1">
        <v>29.0</v>
      </c>
      <c r="C125" s="2" t="s">
        <v>669</v>
      </c>
      <c r="D125" s="1">
        <v>950700.0</v>
      </c>
      <c r="E125" s="1">
        <v>104.117</v>
      </c>
      <c r="F125" s="1">
        <v>29029.0</v>
      </c>
      <c r="G125" s="1">
        <v>2.90299507E10</v>
      </c>
      <c r="H125" s="1" t="s">
        <v>112</v>
      </c>
      <c r="I125" s="1" t="s">
        <v>113</v>
      </c>
      <c r="J125" s="1" t="s">
        <v>670</v>
      </c>
      <c r="K125" s="1" t="s">
        <v>694</v>
      </c>
      <c r="L125" s="1">
        <v>3677.0</v>
      </c>
      <c r="M125" s="1">
        <v>3823.0</v>
      </c>
      <c r="N125" s="1">
        <v>449.0</v>
      </c>
      <c r="O125" s="1">
        <v>4506.0</v>
      </c>
      <c r="P125" s="1">
        <v>4299.0</v>
      </c>
      <c r="Q125" s="1">
        <v>141.0</v>
      </c>
      <c r="R125" s="1">
        <v>1746.0</v>
      </c>
      <c r="S125" s="1">
        <v>666.0</v>
      </c>
      <c r="T125" s="1">
        <v>387.0</v>
      </c>
      <c r="U125" s="1">
        <v>123.0</v>
      </c>
      <c r="V125" s="1">
        <v>433.0</v>
      </c>
      <c r="W125" s="1">
        <v>24413.0</v>
      </c>
      <c r="X125" s="1">
        <v>4840.0</v>
      </c>
      <c r="Y125" s="1">
        <v>290.0</v>
      </c>
      <c r="Z125" s="1">
        <v>304.0</v>
      </c>
      <c r="AA125" s="1">
        <v>1216.0</v>
      </c>
      <c r="AB125" s="1">
        <v>470.0</v>
      </c>
      <c r="AC125" s="1">
        <v>90.0</v>
      </c>
      <c r="AD125" s="1">
        <v>127.0</v>
      </c>
      <c r="AE125" s="1">
        <v>0.0</v>
      </c>
      <c r="AF125" s="1">
        <v>456.0</v>
      </c>
      <c r="AG125" s="1">
        <v>34.0</v>
      </c>
      <c r="AH125" s="1">
        <v>170.0</v>
      </c>
      <c r="AI125" s="1">
        <v>467.0</v>
      </c>
      <c r="AJ125" s="1">
        <v>159.0</v>
      </c>
      <c r="AK125" s="1">
        <v>0.0</v>
      </c>
      <c r="AL125" s="1">
        <v>161.0</v>
      </c>
      <c r="AM125" s="1">
        <v>48.0</v>
      </c>
      <c r="AN125" s="1">
        <v>59.0</v>
      </c>
      <c r="AO125" s="1">
        <v>0.0</v>
      </c>
      <c r="AP125" s="1">
        <v>0.174208</v>
      </c>
      <c r="AQ125" s="1">
        <v>0.09914</v>
      </c>
      <c r="AR125" s="1">
        <v>0.101401</v>
      </c>
      <c r="AS125" s="1">
        <v>0.355872</v>
      </c>
      <c r="AT125" s="1">
        <v>24413.0</v>
      </c>
      <c r="AU125" s="1">
        <v>4840.0</v>
      </c>
      <c r="AV125" s="1">
        <v>0.094709</v>
      </c>
      <c r="AW125" s="1">
        <v>0.098572</v>
      </c>
      <c r="AX125" s="1">
        <v>0.330704</v>
      </c>
      <c r="AY125" s="1">
        <v>0.127821</v>
      </c>
      <c r="AZ125" s="1">
        <v>0.05154639</v>
      </c>
      <c r="BA125" s="1">
        <v>0.034539</v>
      </c>
      <c r="BB125" s="1">
        <v>0.0</v>
      </c>
      <c r="BC125" s="1">
        <v>0.123043</v>
      </c>
      <c r="BD125" s="1">
        <v>0.007908</v>
      </c>
      <c r="BE125" s="1">
        <v>0.039543</v>
      </c>
      <c r="BF125" s="1">
        <v>0.108629</v>
      </c>
      <c r="BG125" s="1">
        <v>0.036813</v>
      </c>
      <c r="BH125" s="1">
        <v>0.0</v>
      </c>
      <c r="BI125" s="1">
        <v>0.092157</v>
      </c>
      <c r="BJ125" s="1">
        <v>0.027475</v>
      </c>
      <c r="BK125" s="1">
        <v>0.033607</v>
      </c>
      <c r="BL125" s="1">
        <v>0.0</v>
      </c>
      <c r="BM125" s="1">
        <v>0.659</v>
      </c>
      <c r="BN125" s="1">
        <v>0.741</v>
      </c>
      <c r="BO125" s="1">
        <v>0.374</v>
      </c>
      <c r="BP125" s="1">
        <v>0.313</v>
      </c>
      <c r="BQ125" s="1">
        <v>2.087</v>
      </c>
      <c r="BR125" s="1">
        <v>0.5264</v>
      </c>
      <c r="BS125" s="1">
        <v>0.994</v>
      </c>
      <c r="BT125" s="1">
        <v>0.04</v>
      </c>
      <c r="BU125" s="1">
        <v>0.082</v>
      </c>
      <c r="BV125" s="1">
        <v>1.116</v>
      </c>
      <c r="BW125" s="1">
        <v>0.178</v>
      </c>
      <c r="BX125" s="1">
        <v>0.115</v>
      </c>
      <c r="BY125" s="1">
        <v>0.0</v>
      </c>
      <c r="BZ125" s="1">
        <v>0.115</v>
      </c>
      <c r="CA125" s="1">
        <v>0.056</v>
      </c>
      <c r="CB125" s="1">
        <v>0.361</v>
      </c>
      <c r="CC125" s="1">
        <v>0.737</v>
      </c>
      <c r="CD125" s="1">
        <v>0.0</v>
      </c>
      <c r="CE125" s="1">
        <v>0.262</v>
      </c>
      <c r="CF125" s="1">
        <v>0.0</v>
      </c>
      <c r="CG125" s="1">
        <v>1.36</v>
      </c>
      <c r="CH125" s="1">
        <v>0.142</v>
      </c>
      <c r="CI125" s="1">
        <v>4.678</v>
      </c>
      <c r="CJ125" s="1">
        <v>0.1574</v>
      </c>
      <c r="CK125" s="1">
        <v>0.0</v>
      </c>
      <c r="CL125" s="1">
        <v>0.0</v>
      </c>
      <c r="CM125" s="1">
        <v>0.0</v>
      </c>
      <c r="CN125" s="1">
        <v>0.0</v>
      </c>
      <c r="CO125" s="1">
        <v>0.0</v>
      </c>
      <c r="CP125" s="1">
        <v>1.0</v>
      </c>
      <c r="CQ125" s="1">
        <v>0.0</v>
      </c>
      <c r="CR125" s="1">
        <v>0.0</v>
      </c>
      <c r="CS125" s="1">
        <v>1.0</v>
      </c>
      <c r="CT125" s="1">
        <v>0.0</v>
      </c>
      <c r="CU125" s="1">
        <v>0.0</v>
      </c>
      <c r="CV125" s="1">
        <v>0.0</v>
      </c>
      <c r="CW125" s="1">
        <v>0.0</v>
      </c>
      <c r="CX125" s="1">
        <v>0.0</v>
      </c>
      <c r="CY125" s="1">
        <v>0.0</v>
      </c>
      <c r="CZ125" s="1">
        <v>0.0</v>
      </c>
      <c r="DA125" s="1">
        <v>0.0</v>
      </c>
      <c r="DB125" s="1">
        <v>0.0</v>
      </c>
      <c r="DC125" s="1">
        <v>1.0</v>
      </c>
      <c r="DD125" s="1" t="s">
        <v>695</v>
      </c>
      <c r="DE125" s="1">
        <v>0.0304814786007895</v>
      </c>
      <c r="DF125" s="2" t="s">
        <v>696</v>
      </c>
    </row>
    <row r="126" ht="15.75" customHeight="1">
      <c r="A126" s="1" t="s">
        <v>697</v>
      </c>
      <c r="B126" s="1">
        <v>29.0</v>
      </c>
      <c r="C126" s="2" t="s">
        <v>669</v>
      </c>
      <c r="D126" s="1">
        <v>950800.0</v>
      </c>
      <c r="E126" s="1">
        <v>213.925</v>
      </c>
      <c r="F126" s="1">
        <v>29029.0</v>
      </c>
      <c r="G126" s="1">
        <v>2.90299508E10</v>
      </c>
      <c r="H126" s="1" t="s">
        <v>112</v>
      </c>
      <c r="I126" s="1" t="s">
        <v>113</v>
      </c>
      <c r="J126" s="1" t="s">
        <v>670</v>
      </c>
      <c r="K126" s="1" t="s">
        <v>698</v>
      </c>
      <c r="L126" s="1">
        <v>6817.0</v>
      </c>
      <c r="M126" s="1">
        <v>6713.0</v>
      </c>
      <c r="N126" s="1">
        <v>652.0</v>
      </c>
      <c r="O126" s="1">
        <v>3707.0</v>
      </c>
      <c r="P126" s="1">
        <v>3432.0</v>
      </c>
      <c r="Q126" s="1">
        <v>121.0</v>
      </c>
      <c r="R126" s="1">
        <v>2725.0</v>
      </c>
      <c r="S126" s="1">
        <v>762.0</v>
      </c>
      <c r="T126" s="1">
        <v>263.0</v>
      </c>
      <c r="U126" s="1">
        <v>75.0</v>
      </c>
      <c r="V126" s="1">
        <v>398.0</v>
      </c>
      <c r="W126" s="1">
        <v>20081.0</v>
      </c>
      <c r="X126" s="1">
        <v>2491.0</v>
      </c>
      <c r="Y126" s="1">
        <v>605.0</v>
      </c>
      <c r="Z126" s="1">
        <v>285.0</v>
      </c>
      <c r="AA126" s="1">
        <v>1092.0</v>
      </c>
      <c r="AB126" s="1">
        <v>1615.0</v>
      </c>
      <c r="AC126" s="1">
        <v>261.0</v>
      </c>
      <c r="AD126" s="1">
        <v>289.0</v>
      </c>
      <c r="AE126" s="1">
        <v>13.0</v>
      </c>
      <c r="AF126" s="1">
        <v>442.0</v>
      </c>
      <c r="AG126" s="1">
        <v>137.0</v>
      </c>
      <c r="AH126" s="1">
        <v>165.0</v>
      </c>
      <c r="AI126" s="1">
        <v>528.0</v>
      </c>
      <c r="AJ126" s="1">
        <v>168.0</v>
      </c>
      <c r="AK126" s="1">
        <v>26.0</v>
      </c>
      <c r="AL126" s="1">
        <v>118.0</v>
      </c>
      <c r="AM126" s="1">
        <v>76.0</v>
      </c>
      <c r="AN126" s="1">
        <v>58.0</v>
      </c>
      <c r="AO126" s="1">
        <v>28.0</v>
      </c>
      <c r="AP126" s="1">
        <v>0.116602</v>
      </c>
      <c r="AQ126" s="1">
        <v>0.038548</v>
      </c>
      <c r="AR126" s="1">
        <v>0.026114</v>
      </c>
      <c r="AS126" s="1">
        <v>0.138531</v>
      </c>
      <c r="AT126" s="1">
        <v>20081.0</v>
      </c>
      <c r="AU126" s="1">
        <v>2491.0</v>
      </c>
      <c r="AV126" s="1">
        <v>0.131808</v>
      </c>
      <c r="AW126" s="1">
        <v>0.061067</v>
      </c>
      <c r="AX126" s="1">
        <v>0.160187</v>
      </c>
      <c r="AY126" s="1">
        <v>0.236907</v>
      </c>
      <c r="AZ126" s="1">
        <v>0.09577981</v>
      </c>
      <c r="BA126" s="1">
        <v>0.042394</v>
      </c>
      <c r="BB126" s="1">
        <v>0.00203</v>
      </c>
      <c r="BC126" s="1">
        <v>0.069051</v>
      </c>
      <c r="BD126" s="1">
        <v>0.039918</v>
      </c>
      <c r="BE126" s="1">
        <v>0.048056</v>
      </c>
      <c r="BF126" s="1">
        <v>0.153846</v>
      </c>
      <c r="BG126" s="1">
        <v>0.048649</v>
      </c>
      <c r="BH126" s="1">
        <v>0.01014</v>
      </c>
      <c r="BI126" s="1">
        <v>0.046011</v>
      </c>
      <c r="BJ126" s="1">
        <v>0.029641</v>
      </c>
      <c r="BK126" s="1">
        <v>0.022448</v>
      </c>
      <c r="BL126" s="1">
        <v>0.004107</v>
      </c>
      <c r="BM126" s="1">
        <v>0.438</v>
      </c>
      <c r="BN126" s="1">
        <v>0.058</v>
      </c>
      <c r="BO126" s="1">
        <v>0.6072</v>
      </c>
      <c r="BP126" s="1">
        <v>0.479</v>
      </c>
      <c r="BQ126" s="1">
        <v>1.5822</v>
      </c>
      <c r="BR126" s="1">
        <v>0.3668</v>
      </c>
      <c r="BS126" s="1">
        <v>0.665</v>
      </c>
      <c r="BT126" s="1">
        <v>0.461</v>
      </c>
      <c r="BU126" s="1">
        <v>0.453</v>
      </c>
      <c r="BV126" s="1">
        <v>1.579</v>
      </c>
      <c r="BW126" s="1">
        <v>0.55</v>
      </c>
      <c r="BX126" s="1">
        <v>0.188</v>
      </c>
      <c r="BY126" s="1">
        <v>0.381</v>
      </c>
      <c r="BZ126" s="1">
        <v>0.569</v>
      </c>
      <c r="CA126" s="1">
        <v>0.251</v>
      </c>
      <c r="CB126" s="1">
        <v>0.611</v>
      </c>
      <c r="CC126" s="1">
        <v>0.825</v>
      </c>
      <c r="CD126" s="1">
        <v>0.48</v>
      </c>
      <c r="CE126" s="1">
        <v>0.282</v>
      </c>
      <c r="CF126" s="1">
        <v>0.5</v>
      </c>
      <c r="CG126" s="1">
        <v>2.698</v>
      </c>
      <c r="CH126" s="1">
        <v>0.642</v>
      </c>
      <c r="CI126" s="1">
        <v>6.4282</v>
      </c>
      <c r="CJ126" s="1">
        <v>0.4484</v>
      </c>
      <c r="CK126" s="1">
        <v>0.0</v>
      </c>
      <c r="CL126" s="1">
        <v>0.0</v>
      </c>
      <c r="CM126" s="1">
        <v>0.0</v>
      </c>
      <c r="CN126" s="1">
        <v>0.0</v>
      </c>
      <c r="CO126" s="1">
        <v>0.0</v>
      </c>
      <c r="CP126" s="1">
        <v>0.0</v>
      </c>
      <c r="CQ126" s="1">
        <v>0.0</v>
      </c>
      <c r="CR126" s="1">
        <v>0.0</v>
      </c>
      <c r="CS126" s="1">
        <v>0.0</v>
      </c>
      <c r="CT126" s="1">
        <v>0.0</v>
      </c>
      <c r="CU126" s="1">
        <v>0.0</v>
      </c>
      <c r="CV126" s="1">
        <v>0.0</v>
      </c>
      <c r="CW126" s="1">
        <v>0.0</v>
      </c>
      <c r="CX126" s="1">
        <v>0.0</v>
      </c>
      <c r="CY126" s="1">
        <v>0.0</v>
      </c>
      <c r="CZ126" s="1">
        <v>0.0</v>
      </c>
      <c r="DA126" s="1">
        <v>0.0</v>
      </c>
      <c r="DB126" s="1">
        <v>0.0</v>
      </c>
      <c r="DC126" s="1">
        <v>0.0</v>
      </c>
      <c r="DD126" s="1" t="s">
        <v>699</v>
      </c>
      <c r="DE126" s="1">
        <v>0.0575512865397296</v>
      </c>
      <c r="DF126" s="2" t="s">
        <v>700</v>
      </c>
    </row>
    <row r="127" ht="15.75" customHeight="1">
      <c r="A127" s="1" t="s">
        <v>701</v>
      </c>
      <c r="B127" s="1">
        <v>29.0</v>
      </c>
      <c r="C127" s="2" t="s">
        <v>669</v>
      </c>
      <c r="D127" s="1">
        <v>950900.0</v>
      </c>
      <c r="E127" s="1">
        <v>172.731</v>
      </c>
      <c r="F127" s="1">
        <v>29029.0</v>
      </c>
      <c r="G127" s="1">
        <v>2.90299509E10</v>
      </c>
      <c r="H127" s="1" t="s">
        <v>112</v>
      </c>
      <c r="I127" s="1" t="s">
        <v>113</v>
      </c>
      <c r="J127" s="1" t="s">
        <v>670</v>
      </c>
      <c r="K127" s="1" t="s">
        <v>702</v>
      </c>
      <c r="L127" s="1">
        <v>3242.0</v>
      </c>
      <c r="M127" s="1">
        <v>3379.0</v>
      </c>
      <c r="N127" s="1">
        <v>439.0</v>
      </c>
      <c r="O127" s="1">
        <v>1494.0</v>
      </c>
      <c r="P127" s="1">
        <v>1419.0</v>
      </c>
      <c r="Q127" s="1">
        <v>94.0</v>
      </c>
      <c r="R127" s="1">
        <v>1311.0</v>
      </c>
      <c r="S127" s="1">
        <v>352.0</v>
      </c>
      <c r="T127" s="1">
        <v>207.0</v>
      </c>
      <c r="U127" s="1">
        <v>111.0</v>
      </c>
      <c r="V127" s="1">
        <v>401.0</v>
      </c>
      <c r="W127" s="1">
        <v>18882.0</v>
      </c>
      <c r="X127" s="1">
        <v>2527.0</v>
      </c>
      <c r="Y127" s="1">
        <v>337.0</v>
      </c>
      <c r="Z127" s="1">
        <v>301.0</v>
      </c>
      <c r="AA127" s="1">
        <v>475.0</v>
      </c>
      <c r="AB127" s="1">
        <v>757.0</v>
      </c>
      <c r="AC127" s="1">
        <v>133.0</v>
      </c>
      <c r="AD127" s="1">
        <v>91.0</v>
      </c>
      <c r="AE127" s="1">
        <v>0.0</v>
      </c>
      <c r="AF127" s="1">
        <v>456.0</v>
      </c>
      <c r="AG127" s="1">
        <v>0.0</v>
      </c>
      <c r="AH127" s="1">
        <v>197.0</v>
      </c>
      <c r="AI127" s="1">
        <v>380.0</v>
      </c>
      <c r="AJ127" s="1">
        <v>115.0</v>
      </c>
      <c r="AK127" s="1">
        <v>36.0</v>
      </c>
      <c r="AL127" s="1">
        <v>119.0</v>
      </c>
      <c r="AM127" s="1">
        <v>34.0</v>
      </c>
      <c r="AN127" s="1">
        <v>31.0</v>
      </c>
      <c r="AO127" s="1">
        <v>0.0</v>
      </c>
      <c r="AP127" s="1">
        <v>0.104172</v>
      </c>
      <c r="AQ127" s="1">
        <v>0.059746</v>
      </c>
      <c r="AR127" s="1">
        <v>0.061666</v>
      </c>
      <c r="AS127" s="1">
        <v>0.222566</v>
      </c>
      <c r="AT127" s="1">
        <v>18882.0</v>
      </c>
      <c r="AU127" s="1">
        <v>2527.0</v>
      </c>
      <c r="AV127" s="1">
        <v>0.15346</v>
      </c>
      <c r="AW127" s="1">
        <v>0.136309</v>
      </c>
      <c r="AX127" s="1">
        <v>0.146514</v>
      </c>
      <c r="AY127" s="1">
        <v>0.233497</v>
      </c>
      <c r="AZ127" s="1">
        <v>0.10144927</v>
      </c>
      <c r="BA127" s="1">
        <v>0.028069</v>
      </c>
      <c r="BB127" s="1">
        <v>0.0</v>
      </c>
      <c r="BC127" s="1">
        <v>0.143216</v>
      </c>
      <c r="BD127" s="1">
        <v>0.0</v>
      </c>
      <c r="BE127" s="1">
        <v>0.13883</v>
      </c>
      <c r="BF127" s="1">
        <v>0.267794</v>
      </c>
      <c r="BG127" s="1">
        <v>0.079077</v>
      </c>
      <c r="BH127" s="1">
        <v>0.028503</v>
      </c>
      <c r="BI127" s="1">
        <v>0.094189</v>
      </c>
      <c r="BJ127" s="1">
        <v>0.02692</v>
      </c>
      <c r="BK127" s="1">
        <v>0.024438</v>
      </c>
      <c r="BL127" s="1">
        <v>0.0</v>
      </c>
      <c r="BM127" s="1">
        <v>0.387</v>
      </c>
      <c r="BN127" s="1">
        <v>0.433</v>
      </c>
      <c r="BO127" s="1">
        <v>0.6794</v>
      </c>
      <c r="BP127" s="1">
        <v>0.58</v>
      </c>
      <c r="BQ127" s="1">
        <v>2.0794</v>
      </c>
      <c r="BR127" s="1">
        <v>0.5242</v>
      </c>
      <c r="BS127" s="1">
        <v>0.551</v>
      </c>
      <c r="BT127" s="1">
        <v>0.424</v>
      </c>
      <c r="BU127" s="1">
        <v>0.503</v>
      </c>
      <c r="BV127" s="1">
        <v>1.478</v>
      </c>
      <c r="BW127" s="1">
        <v>0.464</v>
      </c>
      <c r="BX127" s="1">
        <v>0.067</v>
      </c>
      <c r="BY127" s="1">
        <v>0.0</v>
      </c>
      <c r="BZ127" s="1">
        <v>0.067</v>
      </c>
      <c r="CA127" s="1">
        <v>0.032</v>
      </c>
      <c r="CB127" s="1">
        <v>0.0</v>
      </c>
      <c r="CC127" s="1">
        <v>0.966</v>
      </c>
      <c r="CD127" s="1">
        <v>0.789</v>
      </c>
      <c r="CE127" s="1">
        <v>0.257</v>
      </c>
      <c r="CF127" s="1">
        <v>0.0</v>
      </c>
      <c r="CG127" s="1">
        <v>2.012</v>
      </c>
      <c r="CH127" s="1">
        <v>0.353</v>
      </c>
      <c r="CI127" s="1">
        <v>5.6364</v>
      </c>
      <c r="CJ127" s="1">
        <v>0.3076</v>
      </c>
      <c r="CK127" s="1">
        <v>0.0</v>
      </c>
      <c r="CL127" s="1">
        <v>0.0</v>
      </c>
      <c r="CM127" s="1">
        <v>0.0</v>
      </c>
      <c r="CN127" s="1">
        <v>0.0</v>
      </c>
      <c r="CO127" s="1">
        <v>0.0</v>
      </c>
      <c r="CP127" s="1">
        <v>0.0</v>
      </c>
      <c r="CQ127" s="1">
        <v>0.0</v>
      </c>
      <c r="CR127" s="1">
        <v>0.0</v>
      </c>
      <c r="CS127" s="1">
        <v>0.0</v>
      </c>
      <c r="CT127" s="1">
        <v>0.0</v>
      </c>
      <c r="CU127" s="1">
        <v>0.0</v>
      </c>
      <c r="CV127" s="1">
        <v>0.0</v>
      </c>
      <c r="CW127" s="1">
        <v>0.0</v>
      </c>
      <c r="CX127" s="1">
        <v>1.0</v>
      </c>
      <c r="CY127" s="1">
        <v>0.0</v>
      </c>
      <c r="CZ127" s="1">
        <v>0.0</v>
      </c>
      <c r="DA127" s="1">
        <v>0.0</v>
      </c>
      <c r="DB127" s="1">
        <v>1.0</v>
      </c>
      <c r="DC127" s="1">
        <v>1.0</v>
      </c>
      <c r="DD127" s="1" t="s">
        <v>703</v>
      </c>
      <c r="DE127" s="1">
        <v>0.0458682160854597</v>
      </c>
      <c r="DF127" s="2" t="s">
        <v>704</v>
      </c>
    </row>
    <row r="128" ht="15.75" customHeight="1">
      <c r="A128" s="1" t="s">
        <v>705</v>
      </c>
      <c r="B128" s="1">
        <v>29.0</v>
      </c>
      <c r="C128" s="2" t="s">
        <v>669</v>
      </c>
      <c r="D128" s="1">
        <v>951100.0</v>
      </c>
      <c r="E128" s="1">
        <v>18.927</v>
      </c>
      <c r="F128" s="1">
        <v>29029.0</v>
      </c>
      <c r="G128" s="1">
        <v>2.90299511E10</v>
      </c>
      <c r="H128" s="1" t="s">
        <v>112</v>
      </c>
      <c r="I128" s="1" t="s">
        <v>113</v>
      </c>
      <c r="J128" s="1" t="s">
        <v>670</v>
      </c>
      <c r="K128" s="1" t="s">
        <v>706</v>
      </c>
      <c r="L128" s="1">
        <v>2913.0</v>
      </c>
      <c r="M128" s="1">
        <v>3098.0</v>
      </c>
      <c r="N128" s="1">
        <v>511.0</v>
      </c>
      <c r="O128" s="1">
        <v>4110.0</v>
      </c>
      <c r="P128" s="1">
        <v>3974.0</v>
      </c>
      <c r="Q128" s="1">
        <v>133.0</v>
      </c>
      <c r="R128" s="1">
        <v>1417.0</v>
      </c>
      <c r="S128" s="1">
        <v>427.0</v>
      </c>
      <c r="T128" s="1">
        <v>253.0</v>
      </c>
      <c r="U128" s="1">
        <v>115.0</v>
      </c>
      <c r="V128" s="1">
        <v>451.0</v>
      </c>
      <c r="W128" s="1">
        <v>25527.0</v>
      </c>
      <c r="X128" s="1">
        <v>3640.0</v>
      </c>
      <c r="Y128" s="1">
        <v>348.0</v>
      </c>
      <c r="Z128" s="1">
        <v>376.0</v>
      </c>
      <c r="AA128" s="1">
        <v>905.0</v>
      </c>
      <c r="AB128" s="1">
        <v>334.0</v>
      </c>
      <c r="AC128" s="1">
        <v>52.0</v>
      </c>
      <c r="AD128" s="1">
        <v>112.0</v>
      </c>
      <c r="AE128" s="1">
        <v>0.0</v>
      </c>
      <c r="AF128" s="1">
        <v>456.0</v>
      </c>
      <c r="AG128" s="1">
        <v>220.0</v>
      </c>
      <c r="AH128" s="1">
        <v>153.0</v>
      </c>
      <c r="AI128" s="1">
        <v>328.0</v>
      </c>
      <c r="AJ128" s="1">
        <v>111.0</v>
      </c>
      <c r="AK128" s="1">
        <v>54.0</v>
      </c>
      <c r="AL128" s="1">
        <v>124.0</v>
      </c>
      <c r="AM128" s="1">
        <v>90.0</v>
      </c>
      <c r="AN128" s="1">
        <v>69.0</v>
      </c>
      <c r="AO128" s="1">
        <v>0.0</v>
      </c>
      <c r="AP128" s="1">
        <v>0.13783</v>
      </c>
      <c r="AQ128" s="1">
        <v>0.078437</v>
      </c>
      <c r="AR128" s="1">
        <v>0.108695</v>
      </c>
      <c r="AS128" s="1">
        <v>0.424531</v>
      </c>
      <c r="AT128" s="1">
        <v>25527.0</v>
      </c>
      <c r="AU128" s="1">
        <v>3640.0</v>
      </c>
      <c r="AV128" s="1">
        <v>0.13252</v>
      </c>
      <c r="AW128" s="1">
        <v>0.142058</v>
      </c>
      <c r="AX128" s="1">
        <v>0.310676</v>
      </c>
      <c r="AY128" s="1">
        <v>0.114658</v>
      </c>
      <c r="AZ128" s="1">
        <v>0.03669724</v>
      </c>
      <c r="BA128" s="1">
        <v>0.038448</v>
      </c>
      <c r="BB128" s="1">
        <v>0.0</v>
      </c>
      <c r="BC128" s="1">
        <v>0.154054</v>
      </c>
      <c r="BD128" s="1">
        <v>0.055359</v>
      </c>
      <c r="BE128" s="1">
        <v>0.038455</v>
      </c>
      <c r="BF128" s="1">
        <v>0.082536</v>
      </c>
      <c r="BG128" s="1">
        <v>0.027794</v>
      </c>
      <c r="BH128" s="1">
        <v>0.03511</v>
      </c>
      <c r="BI128" s="1">
        <v>0.080464</v>
      </c>
      <c r="BJ128" s="1">
        <v>0.058517</v>
      </c>
      <c r="BK128" s="1">
        <v>0.044061</v>
      </c>
      <c r="BL128" s="1">
        <v>0.0</v>
      </c>
      <c r="BM128" s="1">
        <v>0.532</v>
      </c>
      <c r="BN128" s="1">
        <v>0.782</v>
      </c>
      <c r="BO128" s="1">
        <v>0.3249</v>
      </c>
      <c r="BP128" s="1">
        <v>0.482</v>
      </c>
      <c r="BQ128" s="1">
        <v>2.1209</v>
      </c>
      <c r="BR128" s="1">
        <v>0.5336</v>
      </c>
      <c r="BS128" s="1">
        <v>0.991</v>
      </c>
      <c r="BT128" s="1">
        <v>0.034</v>
      </c>
      <c r="BU128" s="1">
        <v>0.03</v>
      </c>
      <c r="BV128" s="1">
        <v>1.055</v>
      </c>
      <c r="BW128" s="1">
        <v>0.137</v>
      </c>
      <c r="BX128" s="1">
        <v>0.152</v>
      </c>
      <c r="BY128" s="1">
        <v>0.0</v>
      </c>
      <c r="BZ128" s="1">
        <v>0.152</v>
      </c>
      <c r="CA128" s="1">
        <v>0.072</v>
      </c>
      <c r="CB128" s="1">
        <v>0.67</v>
      </c>
      <c r="CC128" s="1">
        <v>0.68</v>
      </c>
      <c r="CD128" s="1">
        <v>0.863</v>
      </c>
      <c r="CE128" s="1">
        <v>0.558</v>
      </c>
      <c r="CF128" s="1">
        <v>0.0</v>
      </c>
      <c r="CG128" s="1">
        <v>2.771</v>
      </c>
      <c r="CH128" s="1">
        <v>0.676</v>
      </c>
      <c r="CI128" s="1">
        <v>6.0989</v>
      </c>
      <c r="CJ128" s="1">
        <v>0.3906</v>
      </c>
      <c r="CK128" s="1">
        <v>0.0</v>
      </c>
      <c r="CL128" s="1">
        <v>0.0</v>
      </c>
      <c r="CM128" s="1">
        <v>0.0</v>
      </c>
      <c r="CN128" s="1">
        <v>0.0</v>
      </c>
      <c r="CO128" s="1">
        <v>0.0</v>
      </c>
      <c r="CP128" s="1">
        <v>1.0</v>
      </c>
      <c r="CQ128" s="1">
        <v>0.0</v>
      </c>
      <c r="CR128" s="1">
        <v>0.0</v>
      </c>
      <c r="CS128" s="1">
        <v>1.0</v>
      </c>
      <c r="CT128" s="1">
        <v>0.0</v>
      </c>
      <c r="CU128" s="1">
        <v>0.0</v>
      </c>
      <c r="CV128" s="1">
        <v>0.0</v>
      </c>
      <c r="CW128" s="1">
        <v>0.0</v>
      </c>
      <c r="CX128" s="1">
        <v>0.0</v>
      </c>
      <c r="CY128" s="1">
        <v>0.0</v>
      </c>
      <c r="CZ128" s="1">
        <v>0.0</v>
      </c>
      <c r="DA128" s="1">
        <v>0.0</v>
      </c>
      <c r="DB128" s="1">
        <v>0.0</v>
      </c>
      <c r="DC128" s="1">
        <v>1.0</v>
      </c>
      <c r="DD128" s="1" t="s">
        <v>707</v>
      </c>
      <c r="DE128" s="1">
        <v>0.00700283109475415</v>
      </c>
      <c r="DF128" s="2" t="s">
        <v>708</v>
      </c>
    </row>
    <row r="129" ht="15.75" customHeight="1">
      <c r="A129" s="1" t="s">
        <v>709</v>
      </c>
      <c r="B129" s="1">
        <v>29.0</v>
      </c>
      <c r="C129" s="2" t="s">
        <v>669</v>
      </c>
      <c r="D129" s="1">
        <v>951200.0</v>
      </c>
      <c r="E129" s="1">
        <v>21.566</v>
      </c>
      <c r="F129" s="1">
        <v>29029.0</v>
      </c>
      <c r="G129" s="1">
        <v>2.90299512E10</v>
      </c>
      <c r="H129" s="1" t="s">
        <v>112</v>
      </c>
      <c r="I129" s="1" t="s">
        <v>113</v>
      </c>
      <c r="J129" s="1" t="s">
        <v>670</v>
      </c>
      <c r="K129" s="1" t="s">
        <v>710</v>
      </c>
      <c r="L129" s="1">
        <v>2482.0</v>
      </c>
      <c r="M129" s="1">
        <v>2104.0</v>
      </c>
      <c r="N129" s="1">
        <v>272.0</v>
      </c>
      <c r="O129" s="1">
        <v>3074.0</v>
      </c>
      <c r="P129" s="1">
        <v>3059.0</v>
      </c>
      <c r="Q129" s="1">
        <v>133.0</v>
      </c>
      <c r="R129" s="1">
        <v>1208.0</v>
      </c>
      <c r="S129" s="1">
        <v>116.0</v>
      </c>
      <c r="T129" s="1">
        <v>67.0</v>
      </c>
      <c r="U129" s="1">
        <v>111.0</v>
      </c>
      <c r="V129" s="1">
        <v>416.0</v>
      </c>
      <c r="W129" s="1">
        <v>25939.0</v>
      </c>
      <c r="X129" s="1">
        <v>4778.0</v>
      </c>
      <c r="Y129" s="1">
        <v>210.0</v>
      </c>
      <c r="Z129" s="1">
        <v>270.0</v>
      </c>
      <c r="AA129" s="1">
        <v>872.0</v>
      </c>
      <c r="AB129" s="1">
        <v>269.0</v>
      </c>
      <c r="AC129" s="1">
        <v>54.0</v>
      </c>
      <c r="AD129" s="1">
        <v>83.0</v>
      </c>
      <c r="AE129" s="1">
        <v>0.0</v>
      </c>
      <c r="AF129" s="1">
        <v>456.0</v>
      </c>
      <c r="AG129" s="1">
        <v>32.0</v>
      </c>
      <c r="AH129" s="1">
        <v>169.0</v>
      </c>
      <c r="AI129" s="1">
        <v>453.0</v>
      </c>
      <c r="AJ129" s="1">
        <v>101.0</v>
      </c>
      <c r="AK129" s="1">
        <v>3.0</v>
      </c>
      <c r="AL129" s="1">
        <v>115.0</v>
      </c>
      <c r="AM129" s="1">
        <v>0.0</v>
      </c>
      <c r="AN129" s="1">
        <v>161.0</v>
      </c>
      <c r="AO129" s="1">
        <v>4.0</v>
      </c>
      <c r="AP129" s="1">
        <v>0.055133</v>
      </c>
      <c r="AQ129" s="1">
        <v>0.031036</v>
      </c>
      <c r="AR129" s="1">
        <v>0.121577</v>
      </c>
      <c r="AS129" s="1">
        <v>0.454748</v>
      </c>
      <c r="AT129" s="1">
        <v>25939.0</v>
      </c>
      <c r="AU129" s="1">
        <v>4778.0</v>
      </c>
      <c r="AV129" s="1">
        <v>0.114316</v>
      </c>
      <c r="AW129" s="1">
        <v>0.146192</v>
      </c>
      <c r="AX129" s="1">
        <v>0.351329</v>
      </c>
      <c r="AY129" s="1">
        <v>0.10838</v>
      </c>
      <c r="AZ129" s="1">
        <v>0.04470198</v>
      </c>
      <c r="BA129" s="1">
        <v>0.03344</v>
      </c>
      <c r="BB129" s="1">
        <v>0.0</v>
      </c>
      <c r="BC129" s="1">
        <v>0.221144</v>
      </c>
      <c r="BD129" s="1">
        <v>0.01046</v>
      </c>
      <c r="BE129" s="1">
        <v>0.055244</v>
      </c>
      <c r="BF129" s="1">
        <v>0.148087</v>
      </c>
      <c r="BG129" s="1">
        <v>0.032383</v>
      </c>
      <c r="BH129" s="1">
        <v>0.002955</v>
      </c>
      <c r="BI129" s="1">
        <v>0.113299</v>
      </c>
      <c r="BJ129" s="1">
        <v>0.0</v>
      </c>
      <c r="BK129" s="1">
        <v>0.15862</v>
      </c>
      <c r="BL129" s="1">
        <v>0.001611</v>
      </c>
      <c r="BM129" s="1">
        <v>0.187</v>
      </c>
      <c r="BN129" s="1">
        <v>0.828</v>
      </c>
      <c r="BO129" s="1">
        <v>0.3148</v>
      </c>
      <c r="BP129" s="1">
        <v>0.403</v>
      </c>
      <c r="BQ129" s="1">
        <v>1.7328</v>
      </c>
      <c r="BR129" s="1">
        <v>0.4116</v>
      </c>
      <c r="BS129" s="1">
        <v>0.995</v>
      </c>
      <c r="BT129" s="1">
        <v>0.028</v>
      </c>
      <c r="BU129" s="1">
        <v>0.056</v>
      </c>
      <c r="BV129" s="1">
        <v>1.079</v>
      </c>
      <c r="BW129" s="1">
        <v>0.153</v>
      </c>
      <c r="BX129" s="1">
        <v>0.107</v>
      </c>
      <c r="BY129" s="1">
        <v>0.0</v>
      </c>
      <c r="BZ129" s="1">
        <v>0.107</v>
      </c>
      <c r="CA129" s="1">
        <v>0.051</v>
      </c>
      <c r="CB129" s="1">
        <v>0.386</v>
      </c>
      <c r="CC129" s="1">
        <v>0.813</v>
      </c>
      <c r="CD129" s="1">
        <v>0.293</v>
      </c>
      <c r="CE129" s="1">
        <v>0.0</v>
      </c>
      <c r="CF129" s="1">
        <v>0.43</v>
      </c>
      <c r="CG129" s="1">
        <v>1.922</v>
      </c>
      <c r="CH129" s="1">
        <v>0.312</v>
      </c>
      <c r="CI129" s="1">
        <v>4.8408</v>
      </c>
      <c r="CJ129" s="1">
        <v>0.1841</v>
      </c>
      <c r="CK129" s="1">
        <v>0.0</v>
      </c>
      <c r="CL129" s="1">
        <v>0.0</v>
      </c>
      <c r="CM129" s="1">
        <v>0.0</v>
      </c>
      <c r="CN129" s="1">
        <v>0.0</v>
      </c>
      <c r="CO129" s="1">
        <v>0.0</v>
      </c>
      <c r="CP129" s="1">
        <v>1.0</v>
      </c>
      <c r="CQ129" s="1">
        <v>0.0</v>
      </c>
      <c r="CR129" s="1">
        <v>0.0</v>
      </c>
      <c r="CS129" s="1">
        <v>1.0</v>
      </c>
      <c r="CT129" s="1">
        <v>0.0</v>
      </c>
      <c r="CU129" s="1">
        <v>0.0</v>
      </c>
      <c r="CV129" s="1">
        <v>0.0</v>
      </c>
      <c r="CW129" s="1">
        <v>0.0</v>
      </c>
      <c r="CX129" s="1">
        <v>0.0</v>
      </c>
      <c r="CY129" s="1">
        <v>0.0</v>
      </c>
      <c r="CZ129" s="1">
        <v>0.0</v>
      </c>
      <c r="DA129" s="1">
        <v>0.0</v>
      </c>
      <c r="DB129" s="1">
        <v>0.0</v>
      </c>
      <c r="DC129" s="1">
        <v>1.0</v>
      </c>
      <c r="DD129" s="1" t="s">
        <v>711</v>
      </c>
      <c r="DE129" s="1">
        <v>0.0074185086803932</v>
      </c>
      <c r="DF129" s="2" t="s">
        <v>712</v>
      </c>
    </row>
    <row r="130" ht="15.75" customHeight="1">
      <c r="A130" s="1" t="s">
        <v>713</v>
      </c>
      <c r="B130" s="1">
        <v>29.0</v>
      </c>
      <c r="C130" s="2" t="s">
        <v>714</v>
      </c>
      <c r="D130" s="1">
        <v>880100.0</v>
      </c>
      <c r="E130" s="1">
        <v>168.517</v>
      </c>
      <c r="F130" s="1">
        <v>29031.0</v>
      </c>
      <c r="G130" s="1">
        <v>2.90318801E10</v>
      </c>
      <c r="H130" s="1" t="s">
        <v>112</v>
      </c>
      <c r="I130" s="1" t="s">
        <v>113</v>
      </c>
      <c r="J130" s="1" t="s">
        <v>715</v>
      </c>
      <c r="K130" s="1" t="s">
        <v>716</v>
      </c>
      <c r="L130" s="1">
        <v>5738.0</v>
      </c>
      <c r="M130" s="1">
        <v>5895.0</v>
      </c>
      <c r="N130" s="1">
        <v>363.0</v>
      </c>
      <c r="O130" s="1">
        <v>2490.0</v>
      </c>
      <c r="P130" s="1">
        <v>2520.0</v>
      </c>
      <c r="Q130" s="1">
        <v>110.0</v>
      </c>
      <c r="R130" s="1">
        <v>2228.0</v>
      </c>
      <c r="S130" s="1">
        <v>397.0</v>
      </c>
      <c r="T130" s="1">
        <v>212.0</v>
      </c>
      <c r="U130" s="1">
        <v>125.0</v>
      </c>
      <c r="V130" s="1">
        <v>347.0</v>
      </c>
      <c r="W130" s="1">
        <v>22001.0</v>
      </c>
      <c r="X130" s="1">
        <v>1477.0</v>
      </c>
      <c r="Y130" s="1">
        <v>416.0</v>
      </c>
      <c r="Z130" s="1">
        <v>253.0</v>
      </c>
      <c r="AA130" s="1">
        <v>688.0</v>
      </c>
      <c r="AB130" s="1">
        <v>1353.0</v>
      </c>
      <c r="AC130" s="1">
        <v>154.0</v>
      </c>
      <c r="AD130" s="1">
        <v>158.0</v>
      </c>
      <c r="AE130" s="1">
        <v>34.0</v>
      </c>
      <c r="AF130" s="1">
        <v>444.0</v>
      </c>
      <c r="AG130" s="1">
        <v>0.0</v>
      </c>
      <c r="AH130" s="1">
        <v>197.0</v>
      </c>
      <c r="AI130" s="1">
        <v>390.0</v>
      </c>
      <c r="AJ130" s="1">
        <v>96.0</v>
      </c>
      <c r="AK130" s="1">
        <v>21.0</v>
      </c>
      <c r="AL130" s="1">
        <v>118.0</v>
      </c>
      <c r="AM130" s="1">
        <v>68.0</v>
      </c>
      <c r="AN130" s="1">
        <v>61.0</v>
      </c>
      <c r="AO130" s="1">
        <v>0.0</v>
      </c>
      <c r="AP130" s="1">
        <v>0.067494</v>
      </c>
      <c r="AQ130" s="1">
        <v>0.035796</v>
      </c>
      <c r="AR130" s="1">
        <v>0.040956</v>
      </c>
      <c r="AS130" s="1">
        <v>0.113634</v>
      </c>
      <c r="AT130" s="1">
        <v>22001.0</v>
      </c>
      <c r="AU130" s="1">
        <v>1477.0</v>
      </c>
      <c r="AV130" s="1">
        <v>0.104417</v>
      </c>
      <c r="AW130" s="1">
        <v>0.063196</v>
      </c>
      <c r="AX130" s="1">
        <v>0.119902</v>
      </c>
      <c r="AY130" s="1">
        <v>0.235796</v>
      </c>
      <c r="AZ130" s="1">
        <v>0.06912028</v>
      </c>
      <c r="BA130" s="1">
        <v>0.027535</v>
      </c>
      <c r="BB130" s="1">
        <v>0.006168</v>
      </c>
      <c r="BC130" s="1">
        <v>0.08055</v>
      </c>
      <c r="BD130" s="1">
        <v>0.0</v>
      </c>
      <c r="BE130" s="1">
        <v>0.078174</v>
      </c>
      <c r="BF130" s="1">
        <v>0.154761</v>
      </c>
      <c r="BG130" s="1">
        <v>0.037491</v>
      </c>
      <c r="BH130" s="1">
        <v>0.009206</v>
      </c>
      <c r="BI130" s="1">
        <v>0.051729</v>
      </c>
      <c r="BJ130" s="1">
        <v>0.029811</v>
      </c>
      <c r="BK130" s="1">
        <v>0.026692</v>
      </c>
      <c r="BL130" s="1">
        <v>0.0</v>
      </c>
      <c r="BM130" s="1">
        <v>0.238</v>
      </c>
      <c r="BN130" s="1">
        <v>0.191</v>
      </c>
      <c r="BO130" s="1">
        <v>0.4939</v>
      </c>
      <c r="BP130" s="1">
        <v>0.358</v>
      </c>
      <c r="BQ130" s="1">
        <v>1.2809</v>
      </c>
      <c r="BR130" s="1">
        <v>0.2744</v>
      </c>
      <c r="BS130" s="1">
        <v>0.344</v>
      </c>
      <c r="BT130" s="1">
        <v>0.447</v>
      </c>
      <c r="BU130" s="1">
        <v>0.207</v>
      </c>
      <c r="BV130" s="1">
        <v>0.998</v>
      </c>
      <c r="BW130" s="1">
        <v>0.115</v>
      </c>
      <c r="BX130" s="1">
        <v>0.061</v>
      </c>
      <c r="BY130" s="1">
        <v>0.606</v>
      </c>
      <c r="BZ130" s="1">
        <v>0.667</v>
      </c>
      <c r="CA130" s="1">
        <v>0.315</v>
      </c>
      <c r="CB130" s="1">
        <v>0.0</v>
      </c>
      <c r="CC130" s="1">
        <v>0.827</v>
      </c>
      <c r="CD130" s="1">
        <v>0.461</v>
      </c>
      <c r="CE130" s="1">
        <v>0.284</v>
      </c>
      <c r="CF130" s="1">
        <v>0.0</v>
      </c>
      <c r="CG130" s="1">
        <v>1.572</v>
      </c>
      <c r="CH130" s="1">
        <v>0.19</v>
      </c>
      <c r="CI130" s="1">
        <v>4.5179</v>
      </c>
      <c r="CJ130" s="1">
        <v>0.1365</v>
      </c>
      <c r="CK130" s="1">
        <v>0.0</v>
      </c>
      <c r="CL130" s="1">
        <v>0.0</v>
      </c>
      <c r="CM130" s="1">
        <v>0.0</v>
      </c>
      <c r="CN130" s="1">
        <v>0.0</v>
      </c>
      <c r="CO130" s="1">
        <v>0.0</v>
      </c>
      <c r="CP130" s="1">
        <v>0.0</v>
      </c>
      <c r="CQ130" s="1">
        <v>0.0</v>
      </c>
      <c r="CR130" s="1">
        <v>0.0</v>
      </c>
      <c r="CS130" s="1">
        <v>0.0</v>
      </c>
      <c r="CT130" s="1">
        <v>0.0</v>
      </c>
      <c r="CU130" s="1">
        <v>0.0</v>
      </c>
      <c r="CV130" s="1">
        <v>0.0</v>
      </c>
      <c r="CW130" s="1">
        <v>0.0</v>
      </c>
      <c r="CX130" s="1">
        <v>0.0</v>
      </c>
      <c r="CY130" s="1">
        <v>0.0</v>
      </c>
      <c r="CZ130" s="1">
        <v>0.0</v>
      </c>
      <c r="DA130" s="1">
        <v>0.0</v>
      </c>
      <c r="DB130" s="1">
        <v>0.0</v>
      </c>
      <c r="DC130" s="1">
        <v>0.0</v>
      </c>
      <c r="DD130" s="1" t="s">
        <v>717</v>
      </c>
      <c r="DE130" s="1">
        <v>0.0450214300073543</v>
      </c>
      <c r="DF130" s="2" t="s">
        <v>718</v>
      </c>
    </row>
    <row r="131" ht="15.75" customHeight="1">
      <c r="A131" s="1" t="s">
        <v>719</v>
      </c>
      <c r="B131" s="1">
        <v>29.0</v>
      </c>
      <c r="C131" s="2" t="s">
        <v>714</v>
      </c>
      <c r="D131" s="1">
        <v>880500.0</v>
      </c>
      <c r="E131" s="1">
        <v>13.044</v>
      </c>
      <c r="F131" s="1">
        <v>29031.0</v>
      </c>
      <c r="G131" s="1">
        <v>2.90318805E10</v>
      </c>
      <c r="H131" s="1" t="s">
        <v>112</v>
      </c>
      <c r="I131" s="1" t="s">
        <v>113</v>
      </c>
      <c r="J131" s="1" t="s">
        <v>715</v>
      </c>
      <c r="K131" s="1" t="s">
        <v>720</v>
      </c>
      <c r="L131" s="1">
        <v>9040.0</v>
      </c>
      <c r="M131" s="1">
        <v>9092.0</v>
      </c>
      <c r="N131" s="1">
        <v>499.0</v>
      </c>
      <c r="O131" s="1">
        <v>3764.0</v>
      </c>
      <c r="P131" s="1">
        <v>3941.0</v>
      </c>
      <c r="Q131" s="1">
        <v>218.0</v>
      </c>
      <c r="R131" s="1">
        <v>3551.0</v>
      </c>
      <c r="S131" s="1">
        <v>686.0</v>
      </c>
      <c r="T131" s="1">
        <v>314.0</v>
      </c>
      <c r="U131" s="1">
        <v>193.0</v>
      </c>
      <c r="V131" s="1">
        <v>404.0</v>
      </c>
      <c r="W131" s="1">
        <v>24115.0</v>
      </c>
      <c r="X131" s="1">
        <v>1772.0</v>
      </c>
      <c r="Y131" s="1">
        <v>629.0</v>
      </c>
      <c r="Z131" s="1">
        <v>293.0</v>
      </c>
      <c r="AA131" s="1">
        <v>1282.0</v>
      </c>
      <c r="AB131" s="1">
        <v>2364.0</v>
      </c>
      <c r="AC131" s="1">
        <v>397.0</v>
      </c>
      <c r="AD131" s="1">
        <v>474.0</v>
      </c>
      <c r="AE131" s="1">
        <v>70.0</v>
      </c>
      <c r="AF131" s="1">
        <v>430.0</v>
      </c>
      <c r="AG131" s="1">
        <v>250.0</v>
      </c>
      <c r="AH131" s="1">
        <v>115.0</v>
      </c>
      <c r="AI131" s="1">
        <v>0.0</v>
      </c>
      <c r="AJ131" s="1">
        <v>114.0</v>
      </c>
      <c r="AK131" s="1">
        <v>0.0</v>
      </c>
      <c r="AL131" s="1">
        <v>161.0</v>
      </c>
      <c r="AM131" s="1">
        <v>151.0</v>
      </c>
      <c r="AN131" s="1">
        <v>73.0</v>
      </c>
      <c r="AO131" s="1">
        <v>118.0</v>
      </c>
      <c r="AP131" s="1">
        <v>0.076061</v>
      </c>
      <c r="AQ131" s="1">
        <v>0.034559</v>
      </c>
      <c r="AR131" s="1">
        <v>0.038507</v>
      </c>
      <c r="AS131" s="1">
        <v>0.08054</v>
      </c>
      <c r="AT131" s="1">
        <v>24115.0</v>
      </c>
      <c r="AU131" s="1">
        <v>1772.0</v>
      </c>
      <c r="AV131" s="1">
        <v>0.104641</v>
      </c>
      <c r="AW131" s="1">
        <v>0.048261</v>
      </c>
      <c r="AX131" s="1">
        <v>0.141814</v>
      </c>
      <c r="AY131" s="1">
        <v>0.261504</v>
      </c>
      <c r="AZ131" s="1">
        <v>0.11179949</v>
      </c>
      <c r="BA131" s="1">
        <v>0.052433</v>
      </c>
      <c r="BB131" s="1">
        <v>0.008163</v>
      </c>
      <c r="BC131" s="1">
        <v>0.050143</v>
      </c>
      <c r="BD131" s="1">
        <v>0.063435</v>
      </c>
      <c r="BE131" s="1">
        <v>0.028968</v>
      </c>
      <c r="BF131" s="1">
        <v>0.0</v>
      </c>
      <c r="BG131" s="1">
        <v>0.028926</v>
      </c>
      <c r="BH131" s="1">
        <v>0.0</v>
      </c>
      <c r="BI131" s="1">
        <v>0.04248</v>
      </c>
      <c r="BJ131" s="1">
        <v>0.039841</v>
      </c>
      <c r="BK131" s="1">
        <v>0.019131</v>
      </c>
      <c r="BL131" s="1">
        <v>0.013053</v>
      </c>
      <c r="BM131" s="1">
        <v>0.274</v>
      </c>
      <c r="BN131" s="1">
        <v>0.169</v>
      </c>
      <c r="BO131" s="1">
        <v>0.3921</v>
      </c>
      <c r="BP131" s="1">
        <v>0.363</v>
      </c>
      <c r="BQ131" s="1">
        <v>1.1981</v>
      </c>
      <c r="BR131" s="1">
        <v>0.2563</v>
      </c>
      <c r="BS131" s="1">
        <v>0.513</v>
      </c>
      <c r="BT131" s="1">
        <v>0.714</v>
      </c>
      <c r="BU131" s="1">
        <v>0.601</v>
      </c>
      <c r="BV131" s="1">
        <v>1.828</v>
      </c>
      <c r="BW131" s="1">
        <v>0.748</v>
      </c>
      <c r="BX131" s="1">
        <v>0.267</v>
      </c>
      <c r="BY131" s="1">
        <v>0.673</v>
      </c>
      <c r="BZ131" s="1">
        <v>0.94</v>
      </c>
      <c r="CA131" s="1">
        <v>0.501</v>
      </c>
      <c r="CB131" s="1">
        <v>0.692</v>
      </c>
      <c r="CC131" s="1">
        <v>0.0</v>
      </c>
      <c r="CD131" s="1">
        <v>0.0</v>
      </c>
      <c r="CE131" s="1">
        <v>0.389</v>
      </c>
      <c r="CF131" s="1">
        <v>0.621</v>
      </c>
      <c r="CG131" s="1">
        <v>1.702</v>
      </c>
      <c r="CH131" s="1">
        <v>0.234</v>
      </c>
      <c r="CI131" s="1">
        <v>5.6681</v>
      </c>
      <c r="CJ131" s="1">
        <v>0.3155</v>
      </c>
      <c r="CK131" s="1">
        <v>0.0</v>
      </c>
      <c r="CL131" s="1">
        <v>0.0</v>
      </c>
      <c r="CM131" s="1">
        <v>0.0</v>
      </c>
      <c r="CN131" s="1">
        <v>0.0</v>
      </c>
      <c r="CO131" s="1">
        <v>0.0</v>
      </c>
      <c r="CP131" s="1">
        <v>0.0</v>
      </c>
      <c r="CQ131" s="1">
        <v>0.0</v>
      </c>
      <c r="CR131" s="1">
        <v>0.0</v>
      </c>
      <c r="CS131" s="1">
        <v>0.0</v>
      </c>
      <c r="CT131" s="1">
        <v>0.0</v>
      </c>
      <c r="CU131" s="1">
        <v>0.0</v>
      </c>
      <c r="CV131" s="1">
        <v>0.0</v>
      </c>
      <c r="CW131" s="1">
        <v>0.0</v>
      </c>
      <c r="CX131" s="1">
        <v>0.0</v>
      </c>
      <c r="CY131" s="1">
        <v>0.0</v>
      </c>
      <c r="CZ131" s="1">
        <v>0.0</v>
      </c>
      <c r="DA131" s="1">
        <v>0.0</v>
      </c>
      <c r="DB131" s="1">
        <v>0.0</v>
      </c>
      <c r="DC131" s="1">
        <v>0.0</v>
      </c>
      <c r="DD131" s="1" t="s">
        <v>721</v>
      </c>
      <c r="DE131" s="1">
        <v>0.00343530200648857</v>
      </c>
      <c r="DF131" s="2" t="s">
        <v>722</v>
      </c>
    </row>
    <row r="132" ht="15.75" customHeight="1">
      <c r="A132" s="1" t="s">
        <v>723</v>
      </c>
      <c r="B132" s="1">
        <v>29.0</v>
      </c>
      <c r="C132" s="2" t="s">
        <v>714</v>
      </c>
      <c r="D132" s="1">
        <v>880800.0</v>
      </c>
      <c r="E132" s="1">
        <v>0.614</v>
      </c>
      <c r="F132" s="1">
        <v>29031.0</v>
      </c>
      <c r="G132" s="1">
        <v>2.90318808E10</v>
      </c>
      <c r="H132" s="1" t="s">
        <v>112</v>
      </c>
      <c r="I132" s="1" t="s">
        <v>113</v>
      </c>
      <c r="J132" s="1" t="s">
        <v>715</v>
      </c>
      <c r="K132" s="1" t="s">
        <v>724</v>
      </c>
      <c r="L132" s="1">
        <v>4620.0</v>
      </c>
      <c r="M132" s="1">
        <v>4431.0</v>
      </c>
      <c r="N132" s="1">
        <v>604.0</v>
      </c>
      <c r="O132" s="1">
        <v>1032.0</v>
      </c>
      <c r="P132" s="1">
        <v>1001.0</v>
      </c>
      <c r="Q132" s="1">
        <v>83.0</v>
      </c>
      <c r="R132" s="1">
        <v>910.0</v>
      </c>
      <c r="S132" s="1">
        <v>532.0</v>
      </c>
      <c r="T132" s="1">
        <v>213.0</v>
      </c>
      <c r="U132" s="1">
        <v>199.0</v>
      </c>
      <c r="V132" s="1">
        <v>391.0</v>
      </c>
      <c r="W132" s="1">
        <v>10193.0</v>
      </c>
      <c r="X132" s="1">
        <v>1295.0</v>
      </c>
      <c r="Y132" s="1">
        <v>270.0</v>
      </c>
      <c r="Z132" s="1">
        <v>296.0</v>
      </c>
      <c r="AA132" s="1">
        <v>241.0</v>
      </c>
      <c r="AB132" s="1">
        <v>439.0</v>
      </c>
      <c r="AC132" s="1">
        <v>118.0</v>
      </c>
      <c r="AD132" s="1">
        <v>1067.0</v>
      </c>
      <c r="AE132" s="1">
        <v>28.0</v>
      </c>
      <c r="AF132" s="1">
        <v>428.0</v>
      </c>
      <c r="AG132" s="1">
        <v>98.0</v>
      </c>
      <c r="AH132" s="1">
        <v>128.0</v>
      </c>
      <c r="AI132" s="1">
        <v>0.0</v>
      </c>
      <c r="AJ132" s="1">
        <v>114.0</v>
      </c>
      <c r="AK132" s="1">
        <v>22.0</v>
      </c>
      <c r="AL132" s="1">
        <v>120.0</v>
      </c>
      <c r="AM132" s="1">
        <v>33.0</v>
      </c>
      <c r="AN132" s="1">
        <v>32.0</v>
      </c>
      <c r="AO132" s="1">
        <v>2538.0</v>
      </c>
      <c r="AP132" s="1">
        <v>0.262456</v>
      </c>
      <c r="AQ132" s="1">
        <v>0.095711</v>
      </c>
      <c r="AR132" s="1">
        <v>0.087858</v>
      </c>
      <c r="AS132" s="1">
        <v>0.172042</v>
      </c>
      <c r="AT132" s="1">
        <v>10193.0</v>
      </c>
      <c r="AU132" s="1">
        <v>1295.0</v>
      </c>
      <c r="AV132" s="1">
        <v>0.207214</v>
      </c>
      <c r="AW132" s="1">
        <v>0.225041</v>
      </c>
      <c r="AX132" s="1">
        <v>0.052164</v>
      </c>
      <c r="AY132" s="1">
        <v>0.095021</v>
      </c>
      <c r="AZ132" s="1">
        <v>0.12967032</v>
      </c>
      <c r="BA132" s="1">
        <v>0.230952</v>
      </c>
      <c r="BB132" s="1">
        <v>0.006367</v>
      </c>
      <c r="BC132" s="1">
        <v>0.097335</v>
      </c>
      <c r="BD132" s="1">
        <v>0.097902</v>
      </c>
      <c r="BE132" s="1">
        <v>0.127614</v>
      </c>
      <c r="BF132" s="1">
        <v>0.0</v>
      </c>
      <c r="BG132" s="1">
        <v>0.113886</v>
      </c>
      <c r="BH132" s="1">
        <v>0.027954</v>
      </c>
      <c r="BI132" s="1">
        <v>0.152423</v>
      </c>
      <c r="BJ132" s="1">
        <v>0.041931</v>
      </c>
      <c r="BK132" s="1">
        <v>0.040204</v>
      </c>
      <c r="BL132" s="1">
        <v>0.54935</v>
      </c>
      <c r="BM132" s="1">
        <v>0.846</v>
      </c>
      <c r="BN132" s="1">
        <v>0.663</v>
      </c>
      <c r="BO132" s="1">
        <v>0.987</v>
      </c>
      <c r="BP132" s="1">
        <v>0.773</v>
      </c>
      <c r="BQ132" s="1">
        <v>3.269</v>
      </c>
      <c r="BR132" s="1">
        <v>0.8722</v>
      </c>
      <c r="BS132" s="1">
        <v>0.027</v>
      </c>
      <c r="BT132" s="1">
        <v>0.021</v>
      </c>
      <c r="BU132" s="1">
        <v>0.714</v>
      </c>
      <c r="BV132" s="1">
        <v>0.762</v>
      </c>
      <c r="BW132" s="1">
        <v>0.071</v>
      </c>
      <c r="BX132" s="1">
        <v>0.745</v>
      </c>
      <c r="BY132" s="1">
        <v>0.614</v>
      </c>
      <c r="BZ132" s="1">
        <v>1.359</v>
      </c>
      <c r="CA132" s="1">
        <v>0.745</v>
      </c>
      <c r="CB132" s="1">
        <v>0.767</v>
      </c>
      <c r="CC132" s="1">
        <v>0.0</v>
      </c>
      <c r="CD132" s="1">
        <v>0.787</v>
      </c>
      <c r="CE132" s="1">
        <v>0.41</v>
      </c>
      <c r="CF132" s="1">
        <v>0.994</v>
      </c>
      <c r="CG132" s="1">
        <v>2.958</v>
      </c>
      <c r="CH132" s="1">
        <v>0.757</v>
      </c>
      <c r="CI132" s="1">
        <v>8.348</v>
      </c>
      <c r="CJ132" s="1">
        <v>0.7661</v>
      </c>
      <c r="CK132" s="1">
        <v>0.0</v>
      </c>
      <c r="CL132" s="1">
        <v>0.0</v>
      </c>
      <c r="CM132" s="1">
        <v>1.0</v>
      </c>
      <c r="CN132" s="1">
        <v>0.0</v>
      </c>
      <c r="CO132" s="1">
        <v>1.0</v>
      </c>
      <c r="CP132" s="1">
        <v>0.0</v>
      </c>
      <c r="CQ132" s="1">
        <v>0.0</v>
      </c>
      <c r="CR132" s="1">
        <v>0.0</v>
      </c>
      <c r="CS132" s="1">
        <v>0.0</v>
      </c>
      <c r="CT132" s="1">
        <v>0.0</v>
      </c>
      <c r="CU132" s="1">
        <v>0.0</v>
      </c>
      <c r="CV132" s="1">
        <v>0.0</v>
      </c>
      <c r="CW132" s="1">
        <v>0.0</v>
      </c>
      <c r="CX132" s="1">
        <v>0.0</v>
      </c>
      <c r="CY132" s="1">
        <v>0.0</v>
      </c>
      <c r="CZ132" s="1">
        <v>0.0</v>
      </c>
      <c r="DA132" s="1">
        <v>1.0</v>
      </c>
      <c r="DB132" s="1">
        <v>1.0</v>
      </c>
      <c r="DC132" s="1">
        <v>2.0</v>
      </c>
      <c r="DD132" s="1" t="s">
        <v>725</v>
      </c>
      <c r="DE132" s="1">
        <v>1.54628918342124E-4</v>
      </c>
      <c r="DF132" s="1">
        <v>0.0629468886946515</v>
      </c>
    </row>
    <row r="133" ht="15.75" customHeight="1">
      <c r="A133" s="1" t="s">
        <v>726</v>
      </c>
      <c r="B133" s="1">
        <v>29.0</v>
      </c>
      <c r="C133" s="2" t="s">
        <v>714</v>
      </c>
      <c r="D133" s="1">
        <v>881100.0</v>
      </c>
      <c r="E133" s="1">
        <v>1.319</v>
      </c>
      <c r="F133" s="1">
        <v>29031.0</v>
      </c>
      <c r="G133" s="1">
        <v>2.90318811E10</v>
      </c>
      <c r="H133" s="1" t="s">
        <v>112</v>
      </c>
      <c r="I133" s="1" t="s">
        <v>113</v>
      </c>
      <c r="J133" s="1" t="s">
        <v>715</v>
      </c>
      <c r="K133" s="1" t="s">
        <v>727</v>
      </c>
      <c r="L133" s="1">
        <v>3255.0</v>
      </c>
      <c r="M133" s="1">
        <v>2906.0</v>
      </c>
      <c r="N133" s="1">
        <v>260.0</v>
      </c>
      <c r="O133" s="1">
        <v>1583.0</v>
      </c>
      <c r="P133" s="1">
        <v>1603.0</v>
      </c>
      <c r="Q133" s="1">
        <v>69.0</v>
      </c>
      <c r="R133" s="1">
        <v>1446.0</v>
      </c>
      <c r="S133" s="1">
        <v>378.0</v>
      </c>
      <c r="T133" s="1">
        <v>215.0</v>
      </c>
      <c r="U133" s="1">
        <v>58.0</v>
      </c>
      <c r="V133" s="1">
        <v>443.0</v>
      </c>
      <c r="W133" s="1">
        <v>24102.0</v>
      </c>
      <c r="X133" s="1">
        <v>2363.0</v>
      </c>
      <c r="Y133" s="1">
        <v>263.0</v>
      </c>
      <c r="Z133" s="1">
        <v>297.0</v>
      </c>
      <c r="AA133" s="1">
        <v>503.0</v>
      </c>
      <c r="AB133" s="1">
        <v>650.0</v>
      </c>
      <c r="AC133" s="1">
        <v>145.0</v>
      </c>
      <c r="AD133" s="1">
        <v>435.0</v>
      </c>
      <c r="AE133" s="1">
        <v>0.0</v>
      </c>
      <c r="AF133" s="1">
        <v>456.0</v>
      </c>
      <c r="AG133" s="1">
        <v>52.0</v>
      </c>
      <c r="AH133" s="1">
        <v>45.0</v>
      </c>
      <c r="AI133" s="1">
        <v>74.0</v>
      </c>
      <c r="AJ133" s="1">
        <v>45.0</v>
      </c>
      <c r="AK133" s="1">
        <v>0.0</v>
      </c>
      <c r="AL133" s="1">
        <v>161.0</v>
      </c>
      <c r="AM133" s="1">
        <v>128.0</v>
      </c>
      <c r="AN133" s="1">
        <v>74.0</v>
      </c>
      <c r="AO133" s="1">
        <v>26.0</v>
      </c>
      <c r="AP133" s="1">
        <v>0.130479</v>
      </c>
      <c r="AQ133" s="1">
        <v>0.073313</v>
      </c>
      <c r="AR133" s="1">
        <v>0.038666</v>
      </c>
      <c r="AS133" s="1">
        <v>0.295265</v>
      </c>
      <c r="AT133" s="1">
        <v>24102.0</v>
      </c>
      <c r="AU133" s="1">
        <v>2363.0</v>
      </c>
      <c r="AV133" s="1">
        <v>0.119872</v>
      </c>
      <c r="AW133" s="1">
        <v>0.135015</v>
      </c>
      <c r="AX133" s="1">
        <v>0.154531</v>
      </c>
      <c r="AY133" s="1">
        <v>0.199692</v>
      </c>
      <c r="AZ133" s="1">
        <v>0.10027662</v>
      </c>
      <c r="BA133" s="1">
        <v>0.13364</v>
      </c>
      <c r="BB133" s="1">
        <v>0.0</v>
      </c>
      <c r="BC133" s="1">
        <v>0.167893</v>
      </c>
      <c r="BD133" s="1">
        <v>0.032439</v>
      </c>
      <c r="BE133" s="1">
        <v>0.028037</v>
      </c>
      <c r="BF133" s="1">
        <v>0.046163</v>
      </c>
      <c r="BG133" s="1">
        <v>0.028001</v>
      </c>
      <c r="BH133" s="1">
        <v>0.0</v>
      </c>
      <c r="BI133" s="1">
        <v>0.114265</v>
      </c>
      <c r="BJ133" s="1">
        <v>0.090844</v>
      </c>
      <c r="BK133" s="1">
        <v>0.052011</v>
      </c>
      <c r="BL133" s="1">
        <v>0.007987</v>
      </c>
      <c r="BM133" s="1">
        <v>0.5</v>
      </c>
      <c r="BN133" s="1">
        <v>0.17</v>
      </c>
      <c r="BO133" s="1">
        <v>0.3942</v>
      </c>
      <c r="BP133" s="1">
        <v>0.428</v>
      </c>
      <c r="BQ133" s="1">
        <v>1.4922</v>
      </c>
      <c r="BR133" s="1">
        <v>0.3379</v>
      </c>
      <c r="BS133" s="1">
        <v>0.613</v>
      </c>
      <c r="BT133" s="1">
        <v>0.186</v>
      </c>
      <c r="BU133" s="1">
        <v>0.496</v>
      </c>
      <c r="BV133" s="1">
        <v>1.295</v>
      </c>
      <c r="BW133" s="1">
        <v>0.297</v>
      </c>
      <c r="BX133" s="1">
        <v>0.571</v>
      </c>
      <c r="BY133" s="1">
        <v>0.0</v>
      </c>
      <c r="BZ133" s="1">
        <v>0.571</v>
      </c>
      <c r="CA133" s="1">
        <v>0.253</v>
      </c>
      <c r="CB133" s="1">
        <v>0.564</v>
      </c>
      <c r="CC133" s="1">
        <v>0.596</v>
      </c>
      <c r="CD133" s="1">
        <v>0.0</v>
      </c>
      <c r="CE133" s="1">
        <v>0.72</v>
      </c>
      <c r="CF133" s="1">
        <v>0.551</v>
      </c>
      <c r="CG133" s="1">
        <v>2.431</v>
      </c>
      <c r="CH133" s="1">
        <v>0.531</v>
      </c>
      <c r="CI133" s="1">
        <v>5.7892</v>
      </c>
      <c r="CJ133" s="1">
        <v>0.3379</v>
      </c>
      <c r="CK133" s="1">
        <v>0.0</v>
      </c>
      <c r="CL133" s="1">
        <v>0.0</v>
      </c>
      <c r="CM133" s="1">
        <v>0.0</v>
      </c>
      <c r="CN133" s="1">
        <v>0.0</v>
      </c>
      <c r="CO133" s="1">
        <v>0.0</v>
      </c>
      <c r="CP133" s="1">
        <v>0.0</v>
      </c>
      <c r="CQ133" s="1">
        <v>0.0</v>
      </c>
      <c r="CR133" s="1">
        <v>0.0</v>
      </c>
      <c r="CS133" s="1">
        <v>0.0</v>
      </c>
      <c r="CT133" s="1">
        <v>0.0</v>
      </c>
      <c r="CU133" s="1">
        <v>0.0</v>
      </c>
      <c r="CV133" s="1">
        <v>0.0</v>
      </c>
      <c r="CW133" s="1">
        <v>0.0</v>
      </c>
      <c r="CX133" s="1">
        <v>0.0</v>
      </c>
      <c r="CY133" s="1">
        <v>0.0</v>
      </c>
      <c r="CZ133" s="1">
        <v>0.0</v>
      </c>
      <c r="DA133" s="1">
        <v>0.0</v>
      </c>
      <c r="DB133" s="1">
        <v>0.0</v>
      </c>
      <c r="DC133" s="1">
        <v>0.0</v>
      </c>
      <c r="DD133" s="1" t="s">
        <v>728</v>
      </c>
      <c r="DE133" s="1">
        <v>3.48265088850546E-4</v>
      </c>
      <c r="DF133" s="1">
        <v>0.0789491163375534</v>
      </c>
    </row>
    <row r="134" ht="15.75" customHeight="1">
      <c r="A134" s="1" t="s">
        <v>729</v>
      </c>
      <c r="B134" s="1">
        <v>29.0</v>
      </c>
      <c r="C134" s="2" t="s">
        <v>714</v>
      </c>
      <c r="D134" s="1">
        <v>881400.0</v>
      </c>
      <c r="E134" s="1">
        <v>9.099</v>
      </c>
      <c r="F134" s="1">
        <v>29031.0</v>
      </c>
      <c r="G134" s="1">
        <v>2.90318814E10</v>
      </c>
      <c r="H134" s="1" t="s">
        <v>112</v>
      </c>
      <c r="I134" s="1" t="s">
        <v>113</v>
      </c>
      <c r="J134" s="1" t="s">
        <v>715</v>
      </c>
      <c r="K134" s="1" t="s">
        <v>730</v>
      </c>
      <c r="L134" s="1">
        <v>2522.0</v>
      </c>
      <c r="M134" s="1">
        <v>2923.0</v>
      </c>
      <c r="N134" s="1">
        <v>442.0</v>
      </c>
      <c r="O134" s="1">
        <v>1250.0</v>
      </c>
      <c r="P134" s="1">
        <v>1309.0</v>
      </c>
      <c r="Q134" s="1">
        <v>101.0</v>
      </c>
      <c r="R134" s="1">
        <v>1081.0</v>
      </c>
      <c r="S134" s="1">
        <v>1189.0</v>
      </c>
      <c r="T134" s="1">
        <v>415.0</v>
      </c>
      <c r="U134" s="1">
        <v>349.0</v>
      </c>
      <c r="V134" s="1">
        <v>374.0</v>
      </c>
      <c r="W134" s="1">
        <v>11679.0</v>
      </c>
      <c r="X134" s="1">
        <v>3625.0</v>
      </c>
      <c r="Y134" s="1">
        <v>474.0</v>
      </c>
      <c r="Z134" s="1">
        <v>244.0</v>
      </c>
      <c r="AA134" s="1">
        <v>306.0</v>
      </c>
      <c r="AB134" s="1">
        <v>700.0</v>
      </c>
      <c r="AC134" s="1">
        <v>241.0</v>
      </c>
      <c r="AD134" s="1">
        <v>1173.0</v>
      </c>
      <c r="AE134" s="1">
        <v>0.0</v>
      </c>
      <c r="AF134" s="1">
        <v>456.0</v>
      </c>
      <c r="AG134" s="1">
        <v>215.0</v>
      </c>
      <c r="AH134" s="1">
        <v>96.0</v>
      </c>
      <c r="AI134" s="1">
        <v>100.0</v>
      </c>
      <c r="AJ134" s="1">
        <v>42.0</v>
      </c>
      <c r="AK134" s="1">
        <v>63.0</v>
      </c>
      <c r="AL134" s="1">
        <v>123.0</v>
      </c>
      <c r="AM134" s="1">
        <v>208.0</v>
      </c>
      <c r="AN134" s="1">
        <v>98.0</v>
      </c>
      <c r="AO134" s="1">
        <v>33.0</v>
      </c>
      <c r="AP134" s="1">
        <v>0.40789</v>
      </c>
      <c r="AQ134" s="1">
        <v>0.128298</v>
      </c>
      <c r="AR134" s="1">
        <v>0.354314</v>
      </c>
      <c r="AS134" s="1">
        <v>0.365894</v>
      </c>
      <c r="AT134" s="1">
        <v>11679.0</v>
      </c>
      <c r="AU134" s="1">
        <v>3625.0</v>
      </c>
      <c r="AV134" s="1">
        <v>0.293135</v>
      </c>
      <c r="AW134" s="1">
        <v>0.144378</v>
      </c>
      <c r="AX134" s="1">
        <v>0.121332</v>
      </c>
      <c r="AY134" s="1">
        <v>0.277557</v>
      </c>
      <c r="AZ134" s="1">
        <v>0.22294172</v>
      </c>
      <c r="BA134" s="1">
        <v>0.465107</v>
      </c>
      <c r="BB134" s="1">
        <v>0.0</v>
      </c>
      <c r="BC134" s="1">
        <v>0.178823</v>
      </c>
      <c r="BD134" s="1">
        <v>0.164247</v>
      </c>
      <c r="BE134" s="1">
        <v>0.072235</v>
      </c>
      <c r="BF134" s="1">
        <v>0.076394</v>
      </c>
      <c r="BG134" s="1">
        <v>0.031539</v>
      </c>
      <c r="BH134" s="1">
        <v>0.057692</v>
      </c>
      <c r="BI134" s="1">
        <v>0.112376</v>
      </c>
      <c r="BJ134" s="1">
        <v>0.190476</v>
      </c>
      <c r="BK134" s="1">
        <v>0.086105</v>
      </c>
      <c r="BL134" s="1">
        <v>0.013084</v>
      </c>
      <c r="BM134" s="1">
        <v>0.956</v>
      </c>
      <c r="BN134" s="1">
        <v>0.997</v>
      </c>
      <c r="BO134" s="1">
        <v>0.9653</v>
      </c>
      <c r="BP134" s="1">
        <v>0.935</v>
      </c>
      <c r="BQ134" s="1">
        <v>3.8533</v>
      </c>
      <c r="BR134" s="1">
        <v>0.9899</v>
      </c>
      <c r="BS134" s="1">
        <v>0.353</v>
      </c>
      <c r="BT134" s="1">
        <v>0.838</v>
      </c>
      <c r="BU134" s="1">
        <v>0.919</v>
      </c>
      <c r="BV134" s="1">
        <v>2.11</v>
      </c>
      <c r="BW134" s="1">
        <v>0.92</v>
      </c>
      <c r="BX134" s="1">
        <v>0.858</v>
      </c>
      <c r="BY134" s="1">
        <v>0.0</v>
      </c>
      <c r="BZ134" s="1">
        <v>0.858</v>
      </c>
      <c r="CA134" s="1">
        <v>0.442</v>
      </c>
      <c r="CB134" s="1">
        <v>0.858</v>
      </c>
      <c r="CC134" s="1">
        <v>0.67</v>
      </c>
      <c r="CD134" s="1">
        <v>0.958</v>
      </c>
      <c r="CE134" s="1">
        <v>0.9</v>
      </c>
      <c r="CF134" s="1">
        <v>0.623</v>
      </c>
      <c r="CG134" s="1">
        <v>4.009</v>
      </c>
      <c r="CH134" s="1">
        <v>0.997</v>
      </c>
      <c r="CI134" s="1">
        <v>10.8303</v>
      </c>
      <c r="CJ134" s="1">
        <v>0.9863</v>
      </c>
      <c r="CK134" s="1">
        <v>1.0</v>
      </c>
      <c r="CL134" s="1">
        <v>1.0</v>
      </c>
      <c r="CM134" s="1">
        <v>1.0</v>
      </c>
      <c r="CN134" s="1">
        <v>1.0</v>
      </c>
      <c r="CO134" s="1">
        <v>4.0</v>
      </c>
      <c r="CP134" s="1">
        <v>0.0</v>
      </c>
      <c r="CQ134" s="1">
        <v>0.0</v>
      </c>
      <c r="CR134" s="1">
        <v>1.0</v>
      </c>
      <c r="CS134" s="1">
        <v>1.0</v>
      </c>
      <c r="CT134" s="1">
        <v>0.0</v>
      </c>
      <c r="CU134" s="1">
        <v>0.0</v>
      </c>
      <c r="CV134" s="1">
        <v>0.0</v>
      </c>
      <c r="CW134" s="1">
        <v>0.0</v>
      </c>
      <c r="CX134" s="1">
        <v>0.0</v>
      </c>
      <c r="CY134" s="1">
        <v>1.0</v>
      </c>
      <c r="CZ134" s="1">
        <v>1.0</v>
      </c>
      <c r="DA134" s="1">
        <v>0.0</v>
      </c>
      <c r="DB134" s="1">
        <v>2.0</v>
      </c>
      <c r="DC134" s="1">
        <v>7.0</v>
      </c>
      <c r="DD134" s="1" t="s">
        <v>731</v>
      </c>
      <c r="DE134" s="1">
        <v>0.00285249037986917</v>
      </c>
      <c r="DF134" s="2" t="s">
        <v>732</v>
      </c>
    </row>
    <row r="135" ht="15.75" customHeight="1">
      <c r="A135" s="1" t="s">
        <v>733</v>
      </c>
      <c r="B135" s="1">
        <v>29.0</v>
      </c>
      <c r="C135" s="2" t="s">
        <v>714</v>
      </c>
      <c r="D135" s="1">
        <v>881600.0</v>
      </c>
      <c r="E135" s="1">
        <v>0.802</v>
      </c>
      <c r="F135" s="1">
        <v>29031.0</v>
      </c>
      <c r="G135" s="1">
        <v>2.90318816E10</v>
      </c>
      <c r="H135" s="1" t="s">
        <v>112</v>
      </c>
      <c r="I135" s="1" t="s">
        <v>113</v>
      </c>
      <c r="J135" s="1" t="s">
        <v>715</v>
      </c>
      <c r="K135" s="1" t="s">
        <v>734</v>
      </c>
      <c r="L135" s="1">
        <v>2768.0</v>
      </c>
      <c r="M135" s="1">
        <v>3108.0</v>
      </c>
      <c r="N135" s="1">
        <v>303.0</v>
      </c>
      <c r="O135" s="1">
        <v>1384.0</v>
      </c>
      <c r="P135" s="1">
        <v>1345.0</v>
      </c>
      <c r="Q135" s="1">
        <v>79.0</v>
      </c>
      <c r="R135" s="1">
        <v>1218.0</v>
      </c>
      <c r="S135" s="1">
        <v>1057.0</v>
      </c>
      <c r="T135" s="1">
        <v>387.0</v>
      </c>
      <c r="U135" s="1">
        <v>123.0</v>
      </c>
      <c r="V135" s="1">
        <v>403.0</v>
      </c>
      <c r="W135" s="1">
        <v>16692.0</v>
      </c>
      <c r="X135" s="1">
        <v>3742.0</v>
      </c>
      <c r="Y135" s="1">
        <v>444.0</v>
      </c>
      <c r="Z135" s="1">
        <v>282.0</v>
      </c>
      <c r="AA135" s="1">
        <v>330.0</v>
      </c>
      <c r="AB135" s="1">
        <v>667.0</v>
      </c>
      <c r="AC135" s="1">
        <v>215.0</v>
      </c>
      <c r="AD135" s="1">
        <v>832.0</v>
      </c>
      <c r="AE135" s="1">
        <v>125.0</v>
      </c>
      <c r="AF135" s="1">
        <v>405.0</v>
      </c>
      <c r="AG135" s="1">
        <v>138.0</v>
      </c>
      <c r="AH135" s="1">
        <v>63.0</v>
      </c>
      <c r="AI135" s="1">
        <v>15.0</v>
      </c>
      <c r="AJ135" s="1">
        <v>20.0</v>
      </c>
      <c r="AK135" s="1">
        <v>39.0</v>
      </c>
      <c r="AL135" s="1">
        <v>121.0</v>
      </c>
      <c r="AM135" s="1">
        <v>164.0</v>
      </c>
      <c r="AN135" s="1">
        <v>72.0</v>
      </c>
      <c r="AO135" s="1">
        <v>0.0</v>
      </c>
      <c r="AP135" s="1">
        <v>0.34565</v>
      </c>
      <c r="AQ135" s="1">
        <v>0.121988</v>
      </c>
      <c r="AR135" s="1">
        <v>0.080814</v>
      </c>
      <c r="AS135" s="1">
        <v>0.264423</v>
      </c>
      <c r="AT135" s="1">
        <v>16692.0</v>
      </c>
      <c r="AU135" s="1">
        <v>3742.0</v>
      </c>
      <c r="AV135" s="1">
        <v>0.261484</v>
      </c>
      <c r="AW135" s="1">
        <v>0.163951</v>
      </c>
      <c r="AX135" s="1">
        <v>0.119219</v>
      </c>
      <c r="AY135" s="1">
        <v>0.240968</v>
      </c>
      <c r="AZ135" s="1">
        <v>0.17651888</v>
      </c>
      <c r="BA135" s="1">
        <v>0.300578</v>
      </c>
      <c r="BB135" s="1">
        <v>0.043782</v>
      </c>
      <c r="BC135" s="1">
        <v>0.141792</v>
      </c>
      <c r="BD135" s="1">
        <v>0.102602</v>
      </c>
      <c r="BE135" s="1">
        <v>0.04645</v>
      </c>
      <c r="BF135" s="1">
        <v>0.011152</v>
      </c>
      <c r="BG135" s="1">
        <v>0.014855</v>
      </c>
      <c r="BH135" s="1">
        <v>0.030209</v>
      </c>
      <c r="BI135" s="1">
        <v>0.093707</v>
      </c>
      <c r="BJ135" s="1">
        <v>0.127033</v>
      </c>
      <c r="BK135" s="1">
        <v>0.055212</v>
      </c>
      <c r="BL135" s="1">
        <v>0.0</v>
      </c>
      <c r="BM135" s="1">
        <v>0.924</v>
      </c>
      <c r="BN135" s="1">
        <v>0.618</v>
      </c>
      <c r="BO135" s="1">
        <v>0.8029</v>
      </c>
      <c r="BP135" s="1">
        <v>0.891</v>
      </c>
      <c r="BQ135" s="1">
        <v>3.2359</v>
      </c>
      <c r="BR135" s="1">
        <v>0.8621</v>
      </c>
      <c r="BS135" s="1">
        <v>0.338</v>
      </c>
      <c r="BT135" s="1">
        <v>0.504</v>
      </c>
      <c r="BU135" s="1">
        <v>0.859</v>
      </c>
      <c r="BV135" s="1">
        <v>1.701</v>
      </c>
      <c r="BW135" s="1">
        <v>0.641</v>
      </c>
      <c r="BX135" s="1">
        <v>0.788</v>
      </c>
      <c r="BY135" s="1">
        <v>0.951</v>
      </c>
      <c r="BZ135" s="1">
        <v>1.739</v>
      </c>
      <c r="CA135" s="1">
        <v>0.941</v>
      </c>
      <c r="CB135" s="1">
        <v>0.776</v>
      </c>
      <c r="CC135" s="1">
        <v>0.466</v>
      </c>
      <c r="CD135" s="1">
        <v>0.81</v>
      </c>
      <c r="CE135" s="1">
        <v>0.821</v>
      </c>
      <c r="CF135" s="1">
        <v>0.0</v>
      </c>
      <c r="CG135" s="1">
        <v>2.873</v>
      </c>
      <c r="CH135" s="1">
        <v>0.722</v>
      </c>
      <c r="CI135" s="1">
        <v>9.5489</v>
      </c>
      <c r="CJ135" s="1">
        <v>0.9112</v>
      </c>
      <c r="CK135" s="1">
        <v>1.0</v>
      </c>
      <c r="CL135" s="1">
        <v>0.0</v>
      </c>
      <c r="CM135" s="1">
        <v>0.0</v>
      </c>
      <c r="CN135" s="1">
        <v>0.0</v>
      </c>
      <c r="CO135" s="1">
        <v>1.0</v>
      </c>
      <c r="CP135" s="1">
        <v>0.0</v>
      </c>
      <c r="CQ135" s="1">
        <v>0.0</v>
      </c>
      <c r="CR135" s="1">
        <v>0.0</v>
      </c>
      <c r="CS135" s="1">
        <v>0.0</v>
      </c>
      <c r="CT135" s="1">
        <v>0.0</v>
      </c>
      <c r="CU135" s="1">
        <v>1.0</v>
      </c>
      <c r="CV135" s="1">
        <v>1.0</v>
      </c>
      <c r="CW135" s="1">
        <v>0.0</v>
      </c>
      <c r="CX135" s="1">
        <v>0.0</v>
      </c>
      <c r="CY135" s="1">
        <v>0.0</v>
      </c>
      <c r="CZ135" s="1">
        <v>0.0</v>
      </c>
      <c r="DA135" s="1">
        <v>0.0</v>
      </c>
      <c r="DB135" s="1">
        <v>0.0</v>
      </c>
      <c r="DC135" s="1">
        <v>2.0</v>
      </c>
      <c r="DD135" s="1" t="s">
        <v>735</v>
      </c>
      <c r="DE135" s="1">
        <v>2.10297425092153E-4</v>
      </c>
      <c r="DF135" s="1">
        <v>0.0686113060036596</v>
      </c>
    </row>
    <row r="136" ht="15.75" customHeight="1">
      <c r="A136" s="1" t="s">
        <v>736</v>
      </c>
      <c r="B136" s="1">
        <v>29.0</v>
      </c>
      <c r="C136" s="2" t="s">
        <v>714</v>
      </c>
      <c r="D136" s="1">
        <v>881200.0</v>
      </c>
      <c r="E136" s="1">
        <v>4.53</v>
      </c>
      <c r="F136" s="1">
        <v>29031.0</v>
      </c>
      <c r="G136" s="1">
        <v>2.90318812E10</v>
      </c>
      <c r="H136" s="1" t="s">
        <v>112</v>
      </c>
      <c r="I136" s="1" t="s">
        <v>113</v>
      </c>
      <c r="J136" s="1" t="s">
        <v>715</v>
      </c>
      <c r="K136" s="1" t="s">
        <v>737</v>
      </c>
      <c r="L136" s="1">
        <v>6361.0</v>
      </c>
      <c r="M136" s="1">
        <v>5710.0</v>
      </c>
      <c r="N136" s="1">
        <v>335.0</v>
      </c>
      <c r="O136" s="1">
        <v>2800.0</v>
      </c>
      <c r="P136" s="1">
        <v>2700.0</v>
      </c>
      <c r="Q136" s="1">
        <v>92.0</v>
      </c>
      <c r="R136" s="1">
        <v>2617.0</v>
      </c>
      <c r="S136" s="1">
        <v>438.0</v>
      </c>
      <c r="T136" s="1">
        <v>264.0</v>
      </c>
      <c r="U136" s="1">
        <v>151.0</v>
      </c>
      <c r="V136" s="1">
        <v>419.0</v>
      </c>
      <c r="W136" s="1">
        <v>29451.0</v>
      </c>
      <c r="X136" s="1">
        <v>3406.0</v>
      </c>
      <c r="Y136" s="1">
        <v>351.0</v>
      </c>
      <c r="Z136" s="1">
        <v>304.0</v>
      </c>
      <c r="AA136" s="1">
        <v>1119.0</v>
      </c>
      <c r="AB136" s="1">
        <v>1357.0</v>
      </c>
      <c r="AC136" s="1">
        <v>195.0</v>
      </c>
      <c r="AD136" s="1">
        <v>580.0</v>
      </c>
      <c r="AE136" s="1">
        <v>0.0</v>
      </c>
      <c r="AF136" s="1">
        <v>456.0</v>
      </c>
      <c r="AG136" s="1">
        <v>75.0</v>
      </c>
      <c r="AH136" s="1">
        <v>175.0</v>
      </c>
      <c r="AI136" s="1">
        <v>61.0</v>
      </c>
      <c r="AJ136" s="1">
        <v>81.0</v>
      </c>
      <c r="AK136" s="1">
        <v>0.0</v>
      </c>
      <c r="AL136" s="1">
        <v>161.0</v>
      </c>
      <c r="AM136" s="1">
        <v>38.0</v>
      </c>
      <c r="AN136" s="1">
        <v>36.0</v>
      </c>
      <c r="AO136" s="1">
        <v>140.0</v>
      </c>
      <c r="AP136" s="1">
        <v>0.077728</v>
      </c>
      <c r="AQ136" s="1">
        <v>0.04667</v>
      </c>
      <c r="AR136" s="1">
        <v>0.048181</v>
      </c>
      <c r="AS136" s="1">
        <v>0.133585</v>
      </c>
      <c r="AT136" s="1">
        <v>29451.0</v>
      </c>
      <c r="AU136" s="1">
        <v>3406.0</v>
      </c>
      <c r="AV136" s="1">
        <v>0.085819</v>
      </c>
      <c r="AW136" s="1">
        <v>0.074111</v>
      </c>
      <c r="AX136" s="1">
        <v>0.175915</v>
      </c>
      <c r="AY136" s="1">
        <v>0.213331</v>
      </c>
      <c r="AZ136" s="1">
        <v>0.0745128</v>
      </c>
      <c r="BA136" s="1">
        <v>0.09118</v>
      </c>
      <c r="BB136" s="1">
        <v>0.0</v>
      </c>
      <c r="BC136" s="1">
        <v>0.083869</v>
      </c>
      <c r="BD136" s="1">
        <v>0.027777</v>
      </c>
      <c r="BE136" s="1">
        <v>0.064807</v>
      </c>
      <c r="BF136" s="1">
        <v>0.022592</v>
      </c>
      <c r="BG136" s="1">
        <v>0.02999</v>
      </c>
      <c r="BH136" s="1">
        <v>0.0</v>
      </c>
      <c r="BI136" s="1">
        <v>0.065393</v>
      </c>
      <c r="BJ136" s="1">
        <v>0.015434</v>
      </c>
      <c r="BK136" s="1">
        <v>0.014592</v>
      </c>
      <c r="BL136" s="1">
        <v>0.022009</v>
      </c>
      <c r="BM136" s="1">
        <v>0.283</v>
      </c>
      <c r="BN136" s="1">
        <v>0.276</v>
      </c>
      <c r="BO136" s="1">
        <v>0.2087</v>
      </c>
      <c r="BP136" s="1">
        <v>0.276</v>
      </c>
      <c r="BQ136" s="1">
        <v>1.0437</v>
      </c>
      <c r="BR136" s="1">
        <v>0.2137</v>
      </c>
      <c r="BS136" s="1">
        <v>0.766</v>
      </c>
      <c r="BT136" s="1">
        <v>0.251</v>
      </c>
      <c r="BU136" s="1">
        <v>0.254</v>
      </c>
      <c r="BV136" s="1">
        <v>1.271</v>
      </c>
      <c r="BW136" s="1">
        <v>0.282</v>
      </c>
      <c r="BX136" s="1">
        <v>0.433</v>
      </c>
      <c r="BY136" s="1">
        <v>0.0</v>
      </c>
      <c r="BZ136" s="1">
        <v>0.433</v>
      </c>
      <c r="CA136" s="1">
        <v>0.18</v>
      </c>
      <c r="CB136" s="1">
        <v>0.533</v>
      </c>
      <c r="CC136" s="1">
        <v>0.526</v>
      </c>
      <c r="CD136" s="1">
        <v>0.0</v>
      </c>
      <c r="CE136" s="1">
        <v>0.14</v>
      </c>
      <c r="CF136" s="1">
        <v>0.736</v>
      </c>
      <c r="CG136" s="1">
        <v>1.935</v>
      </c>
      <c r="CH136" s="1">
        <v>0.32</v>
      </c>
      <c r="CI136" s="1">
        <v>4.6827</v>
      </c>
      <c r="CJ136" s="1">
        <v>0.1581</v>
      </c>
      <c r="CK136" s="1">
        <v>0.0</v>
      </c>
      <c r="CL136" s="1">
        <v>0.0</v>
      </c>
      <c r="CM136" s="1">
        <v>0.0</v>
      </c>
      <c r="CN136" s="1">
        <v>0.0</v>
      </c>
      <c r="CO136" s="1">
        <v>0.0</v>
      </c>
      <c r="CP136" s="1">
        <v>0.0</v>
      </c>
      <c r="CQ136" s="1">
        <v>0.0</v>
      </c>
      <c r="CR136" s="1">
        <v>0.0</v>
      </c>
      <c r="CS136" s="1">
        <v>0.0</v>
      </c>
      <c r="CT136" s="1">
        <v>0.0</v>
      </c>
      <c r="CU136" s="1">
        <v>0.0</v>
      </c>
      <c r="CV136" s="1">
        <v>0.0</v>
      </c>
      <c r="CW136" s="1">
        <v>0.0</v>
      </c>
      <c r="CX136" s="1">
        <v>0.0</v>
      </c>
      <c r="CY136" s="1">
        <v>0.0</v>
      </c>
      <c r="CZ136" s="1">
        <v>0.0</v>
      </c>
      <c r="DA136" s="1">
        <v>0.0</v>
      </c>
      <c r="DB136" s="1">
        <v>0.0</v>
      </c>
      <c r="DC136" s="1">
        <v>0.0</v>
      </c>
      <c r="DD136" s="1" t="s">
        <v>738</v>
      </c>
      <c r="DE136" s="1">
        <v>0.00120565602746582</v>
      </c>
      <c r="DF136" s="2" t="s">
        <v>739</v>
      </c>
    </row>
    <row r="137" ht="15.75" customHeight="1">
      <c r="A137" s="1" t="s">
        <v>740</v>
      </c>
      <c r="B137" s="1">
        <v>29.0</v>
      </c>
      <c r="C137" s="2" t="s">
        <v>714</v>
      </c>
      <c r="D137" s="1">
        <v>881300.0</v>
      </c>
      <c r="E137" s="1">
        <v>3.657</v>
      </c>
      <c r="F137" s="1">
        <v>29031.0</v>
      </c>
      <c r="G137" s="1">
        <v>2.90318813E10</v>
      </c>
      <c r="H137" s="1" t="s">
        <v>112</v>
      </c>
      <c r="I137" s="1" t="s">
        <v>113</v>
      </c>
      <c r="J137" s="1" t="s">
        <v>715</v>
      </c>
      <c r="K137" s="1" t="s">
        <v>741</v>
      </c>
      <c r="L137" s="1">
        <v>6511.0</v>
      </c>
      <c r="M137" s="1">
        <v>6078.0</v>
      </c>
      <c r="N137" s="1">
        <v>496.0</v>
      </c>
      <c r="O137" s="1">
        <v>2983.0</v>
      </c>
      <c r="P137" s="1">
        <v>2918.0</v>
      </c>
      <c r="Q137" s="1">
        <v>143.0</v>
      </c>
      <c r="R137" s="1">
        <v>2764.0</v>
      </c>
      <c r="S137" s="1">
        <v>1059.0</v>
      </c>
      <c r="T137" s="1">
        <v>380.0</v>
      </c>
      <c r="U137" s="1">
        <v>197.0</v>
      </c>
      <c r="V137" s="1">
        <v>424.0</v>
      </c>
      <c r="W137" s="1">
        <v>26537.0</v>
      </c>
      <c r="X137" s="1">
        <v>3275.0</v>
      </c>
      <c r="Y137" s="1">
        <v>633.0</v>
      </c>
      <c r="Z137" s="1">
        <v>245.0</v>
      </c>
      <c r="AA137" s="1">
        <v>1098.0</v>
      </c>
      <c r="AB137" s="1">
        <v>1333.0</v>
      </c>
      <c r="AC137" s="1">
        <v>315.0</v>
      </c>
      <c r="AD137" s="1">
        <v>1382.0</v>
      </c>
      <c r="AE137" s="1">
        <v>184.0</v>
      </c>
      <c r="AF137" s="1">
        <v>446.0</v>
      </c>
      <c r="AG137" s="1">
        <v>426.0</v>
      </c>
      <c r="AH137" s="1">
        <v>157.0</v>
      </c>
      <c r="AI137" s="1">
        <v>21.0</v>
      </c>
      <c r="AJ137" s="1">
        <v>27.0</v>
      </c>
      <c r="AK137" s="1">
        <v>6.0</v>
      </c>
      <c r="AL137" s="1">
        <v>115.0</v>
      </c>
      <c r="AM137" s="1">
        <v>160.0</v>
      </c>
      <c r="AN137" s="1">
        <v>93.0</v>
      </c>
      <c r="AO137" s="1">
        <v>368.0</v>
      </c>
      <c r="AP137" s="1">
        <v>0.184462</v>
      </c>
      <c r="AQ137" s="1">
        <v>0.064541</v>
      </c>
      <c r="AR137" s="1">
        <v>0.056592</v>
      </c>
      <c r="AS137" s="1">
        <v>0.121598</v>
      </c>
      <c r="AT137" s="1">
        <v>26537.0</v>
      </c>
      <c r="AU137" s="1">
        <v>3275.0</v>
      </c>
      <c r="AV137" s="1">
        <v>0.166272</v>
      </c>
      <c r="AW137" s="1">
        <v>0.0618</v>
      </c>
      <c r="AX137" s="1">
        <v>0.168637</v>
      </c>
      <c r="AY137" s="1">
        <v>0.20473</v>
      </c>
      <c r="AZ137" s="1">
        <v>0.11396526</v>
      </c>
      <c r="BA137" s="1">
        <v>0.212256</v>
      </c>
      <c r="BB137" s="1">
        <v>0.03267</v>
      </c>
      <c r="BC137" s="1">
        <v>0.079141</v>
      </c>
      <c r="BD137" s="1">
        <v>0.14599</v>
      </c>
      <c r="BE137" s="1">
        <v>0.053326</v>
      </c>
      <c r="BF137" s="1">
        <v>0.007196</v>
      </c>
      <c r="BG137" s="1">
        <v>0.009246</v>
      </c>
      <c r="BH137" s="1">
        <v>0.00218</v>
      </c>
      <c r="BI137" s="1">
        <v>0.041787</v>
      </c>
      <c r="BJ137" s="1">
        <v>0.058139</v>
      </c>
      <c r="BK137" s="1">
        <v>0.033586</v>
      </c>
      <c r="BL137" s="1">
        <v>0.056519</v>
      </c>
      <c r="BM137" s="1">
        <v>0.686</v>
      </c>
      <c r="BN137" s="1">
        <v>0.376</v>
      </c>
      <c r="BO137" s="1">
        <v>0.2968</v>
      </c>
      <c r="BP137" s="1">
        <v>0.64</v>
      </c>
      <c r="BQ137" s="1">
        <v>1.9988</v>
      </c>
      <c r="BR137" s="1">
        <v>0.4946</v>
      </c>
      <c r="BS137" s="1">
        <v>0.726</v>
      </c>
      <c r="BT137" s="1">
        <v>0.211</v>
      </c>
      <c r="BU137" s="1">
        <v>0.62</v>
      </c>
      <c r="BV137" s="1">
        <v>1.557</v>
      </c>
      <c r="BW137" s="1">
        <v>0.528</v>
      </c>
      <c r="BX137" s="1">
        <v>0.725</v>
      </c>
      <c r="BY137" s="1">
        <v>0.925</v>
      </c>
      <c r="BZ137" s="1">
        <v>1.65</v>
      </c>
      <c r="CA137" s="1">
        <v>0.897</v>
      </c>
      <c r="CB137" s="1">
        <v>0.835</v>
      </c>
      <c r="CC137" s="1">
        <v>0.428</v>
      </c>
      <c r="CD137" s="1">
        <v>0.284</v>
      </c>
      <c r="CE137" s="1">
        <v>0.556</v>
      </c>
      <c r="CF137" s="1">
        <v>0.907</v>
      </c>
      <c r="CG137" s="1">
        <v>3.01</v>
      </c>
      <c r="CH137" s="1">
        <v>0.78</v>
      </c>
      <c r="CI137" s="1">
        <v>8.2158</v>
      </c>
      <c r="CJ137" s="1">
        <v>0.7451</v>
      </c>
      <c r="CK137" s="1">
        <v>0.0</v>
      </c>
      <c r="CL137" s="1">
        <v>0.0</v>
      </c>
      <c r="CM137" s="1">
        <v>0.0</v>
      </c>
      <c r="CN137" s="1">
        <v>0.0</v>
      </c>
      <c r="CO137" s="1">
        <v>0.0</v>
      </c>
      <c r="CP137" s="1">
        <v>0.0</v>
      </c>
      <c r="CQ137" s="1">
        <v>0.0</v>
      </c>
      <c r="CR137" s="1">
        <v>0.0</v>
      </c>
      <c r="CS137" s="1">
        <v>0.0</v>
      </c>
      <c r="CT137" s="1">
        <v>0.0</v>
      </c>
      <c r="CU137" s="1">
        <v>1.0</v>
      </c>
      <c r="CV137" s="1">
        <v>1.0</v>
      </c>
      <c r="CW137" s="1">
        <v>0.0</v>
      </c>
      <c r="CX137" s="1">
        <v>0.0</v>
      </c>
      <c r="CY137" s="1">
        <v>0.0</v>
      </c>
      <c r="CZ137" s="1">
        <v>0.0</v>
      </c>
      <c r="DA137" s="1">
        <v>1.0</v>
      </c>
      <c r="DB137" s="1">
        <v>1.0</v>
      </c>
      <c r="DC137" s="1">
        <v>2.0</v>
      </c>
      <c r="DD137" s="1" t="s">
        <v>742</v>
      </c>
      <c r="DE137" s="1">
        <v>9.63229985854644E-4</v>
      </c>
      <c r="DF137" s="2" t="s">
        <v>743</v>
      </c>
    </row>
    <row r="138" ht="15.75" customHeight="1">
      <c r="A138" s="1" t="s">
        <v>744</v>
      </c>
      <c r="B138" s="1">
        <v>29.0</v>
      </c>
      <c r="C138" s="2" t="s">
        <v>714</v>
      </c>
      <c r="D138" s="1">
        <v>881500.0</v>
      </c>
      <c r="E138" s="1">
        <v>40.03</v>
      </c>
      <c r="F138" s="1">
        <v>29031.0</v>
      </c>
      <c r="G138" s="1">
        <v>2.90318815E10</v>
      </c>
      <c r="H138" s="1" t="s">
        <v>112</v>
      </c>
      <c r="I138" s="1" t="s">
        <v>113</v>
      </c>
      <c r="J138" s="1" t="s">
        <v>715</v>
      </c>
      <c r="K138" s="1" t="s">
        <v>745</v>
      </c>
      <c r="L138" s="1">
        <v>4483.0</v>
      </c>
      <c r="M138" s="1">
        <v>4703.0</v>
      </c>
      <c r="N138" s="1">
        <v>463.0</v>
      </c>
      <c r="O138" s="1">
        <v>2047.0</v>
      </c>
      <c r="P138" s="1">
        <v>1878.0</v>
      </c>
      <c r="Q138" s="1">
        <v>94.0</v>
      </c>
      <c r="R138" s="1">
        <v>1899.0</v>
      </c>
      <c r="S138" s="1">
        <v>474.0</v>
      </c>
      <c r="T138" s="1">
        <v>256.0</v>
      </c>
      <c r="U138" s="1">
        <v>90.0</v>
      </c>
      <c r="V138" s="1">
        <v>430.0</v>
      </c>
      <c r="W138" s="1">
        <v>30505.0</v>
      </c>
      <c r="X138" s="1">
        <v>6283.0</v>
      </c>
      <c r="Y138" s="1">
        <v>742.0</v>
      </c>
      <c r="Z138" s="1">
        <v>319.0</v>
      </c>
      <c r="AA138" s="1">
        <v>1180.0</v>
      </c>
      <c r="AB138" s="1">
        <v>812.0</v>
      </c>
      <c r="AC138" s="1">
        <v>110.0</v>
      </c>
      <c r="AD138" s="1">
        <v>241.0</v>
      </c>
      <c r="AE138" s="1">
        <v>10.0</v>
      </c>
      <c r="AF138" s="1">
        <v>442.0</v>
      </c>
      <c r="AG138" s="1">
        <v>35.0</v>
      </c>
      <c r="AH138" s="1">
        <v>36.0</v>
      </c>
      <c r="AI138" s="1">
        <v>281.0</v>
      </c>
      <c r="AJ138" s="1">
        <v>84.0</v>
      </c>
      <c r="AK138" s="1">
        <v>53.0</v>
      </c>
      <c r="AL138" s="1">
        <v>123.0</v>
      </c>
      <c r="AM138" s="1">
        <v>53.0</v>
      </c>
      <c r="AN138" s="1">
        <v>47.0</v>
      </c>
      <c r="AO138" s="1">
        <v>231.0</v>
      </c>
      <c r="AP138" s="1">
        <v>0.112562</v>
      </c>
      <c r="AQ138" s="1">
        <v>0.059965</v>
      </c>
      <c r="AR138" s="1">
        <v>0.041512</v>
      </c>
      <c r="AS138" s="1">
        <v>0.198262</v>
      </c>
      <c r="AT138" s="1">
        <v>30505.0</v>
      </c>
      <c r="AU138" s="1">
        <v>6283.0</v>
      </c>
      <c r="AV138" s="1">
        <v>0.217149</v>
      </c>
      <c r="AW138" s="1">
        <v>0.090621</v>
      </c>
      <c r="AX138" s="1">
        <v>0.263216</v>
      </c>
      <c r="AY138" s="1">
        <v>0.181128</v>
      </c>
      <c r="AZ138" s="1">
        <v>0.05792522</v>
      </c>
      <c r="BA138" s="1">
        <v>0.053758</v>
      </c>
      <c r="BB138" s="1">
        <v>0.002263</v>
      </c>
      <c r="BC138" s="1">
        <v>0.100045</v>
      </c>
      <c r="BD138" s="1">
        <v>0.018636</v>
      </c>
      <c r="BE138" s="1">
        <v>0.019146</v>
      </c>
      <c r="BF138" s="1">
        <v>0.149627</v>
      </c>
      <c r="BG138" s="1">
        <v>0.044096</v>
      </c>
      <c r="BH138" s="1">
        <v>0.030199</v>
      </c>
      <c r="BI138" s="1">
        <v>0.070052</v>
      </c>
      <c r="BJ138" s="1">
        <v>0.030199</v>
      </c>
      <c r="BK138" s="1">
        <v>0.026695</v>
      </c>
      <c r="BL138" s="1">
        <v>0.051527</v>
      </c>
      <c r="BM138" s="1">
        <v>0.426</v>
      </c>
      <c r="BN138" s="1">
        <v>0.198</v>
      </c>
      <c r="BO138" s="1">
        <v>0.187</v>
      </c>
      <c r="BP138" s="1">
        <v>0.796</v>
      </c>
      <c r="BQ138" s="1">
        <v>1.607</v>
      </c>
      <c r="BR138" s="1">
        <v>0.3762</v>
      </c>
      <c r="BS138" s="1">
        <v>0.976</v>
      </c>
      <c r="BT138" s="1">
        <v>0.123</v>
      </c>
      <c r="BU138" s="1">
        <v>0.119</v>
      </c>
      <c r="BV138" s="1">
        <v>1.218</v>
      </c>
      <c r="BW138" s="1">
        <v>0.246</v>
      </c>
      <c r="BX138" s="1">
        <v>0.276</v>
      </c>
      <c r="BY138" s="1">
        <v>0.394</v>
      </c>
      <c r="BZ138" s="1">
        <v>0.67</v>
      </c>
      <c r="CA138" s="1">
        <v>0.318</v>
      </c>
      <c r="CB138" s="1">
        <v>0.453</v>
      </c>
      <c r="CC138" s="1">
        <v>0.817</v>
      </c>
      <c r="CD138" s="1">
        <v>0.808</v>
      </c>
      <c r="CE138" s="1">
        <v>0.287</v>
      </c>
      <c r="CF138" s="1">
        <v>0.897</v>
      </c>
      <c r="CG138" s="1">
        <v>3.262</v>
      </c>
      <c r="CH138" s="1">
        <v>0.862</v>
      </c>
      <c r="CI138" s="1">
        <v>6.757</v>
      </c>
      <c r="CJ138" s="1">
        <v>0.504</v>
      </c>
      <c r="CK138" s="1">
        <v>0.0</v>
      </c>
      <c r="CL138" s="1">
        <v>0.0</v>
      </c>
      <c r="CM138" s="1">
        <v>0.0</v>
      </c>
      <c r="CN138" s="1">
        <v>0.0</v>
      </c>
      <c r="CO138" s="1">
        <v>0.0</v>
      </c>
      <c r="CP138" s="1">
        <v>1.0</v>
      </c>
      <c r="CQ138" s="1">
        <v>0.0</v>
      </c>
      <c r="CR138" s="1">
        <v>0.0</v>
      </c>
      <c r="CS138" s="1">
        <v>1.0</v>
      </c>
      <c r="CT138" s="1">
        <v>0.0</v>
      </c>
      <c r="CU138" s="1">
        <v>0.0</v>
      </c>
      <c r="CV138" s="1">
        <v>0.0</v>
      </c>
      <c r="CW138" s="1">
        <v>0.0</v>
      </c>
      <c r="CX138" s="1">
        <v>0.0</v>
      </c>
      <c r="CY138" s="1">
        <v>0.0</v>
      </c>
      <c r="CZ138" s="1">
        <v>0.0</v>
      </c>
      <c r="DA138" s="1">
        <v>0.0</v>
      </c>
      <c r="DB138" s="1">
        <v>0.0</v>
      </c>
      <c r="DC138" s="1">
        <v>1.0</v>
      </c>
      <c r="DD138" s="1" t="s">
        <v>746</v>
      </c>
      <c r="DE138" s="2" t="s">
        <v>747</v>
      </c>
      <c r="DF138" s="2" t="s">
        <v>748</v>
      </c>
    </row>
    <row r="139" ht="15.75" customHeight="1">
      <c r="A139" s="1" t="s">
        <v>749</v>
      </c>
      <c r="B139" s="1">
        <v>29.0</v>
      </c>
      <c r="C139" s="2" t="s">
        <v>714</v>
      </c>
      <c r="D139" s="1">
        <v>880700.0</v>
      </c>
      <c r="E139" s="1">
        <v>3.169</v>
      </c>
      <c r="F139" s="1">
        <v>29031.0</v>
      </c>
      <c r="G139" s="1">
        <v>2.90318807E10</v>
      </c>
      <c r="H139" s="1" t="s">
        <v>112</v>
      </c>
      <c r="I139" s="1" t="s">
        <v>113</v>
      </c>
      <c r="J139" s="1" t="s">
        <v>715</v>
      </c>
      <c r="K139" s="1" t="s">
        <v>750</v>
      </c>
      <c r="L139" s="1">
        <v>4362.0</v>
      </c>
      <c r="M139" s="1">
        <v>4286.0</v>
      </c>
      <c r="N139" s="1">
        <v>271.0</v>
      </c>
      <c r="O139" s="1">
        <v>1945.0</v>
      </c>
      <c r="P139" s="1">
        <v>1897.0</v>
      </c>
      <c r="Q139" s="1">
        <v>68.0</v>
      </c>
      <c r="R139" s="1">
        <v>1827.0</v>
      </c>
      <c r="S139" s="1">
        <v>348.0</v>
      </c>
      <c r="T139" s="1">
        <v>126.0</v>
      </c>
      <c r="U139" s="1">
        <v>103.0</v>
      </c>
      <c r="V139" s="1">
        <v>433.0</v>
      </c>
      <c r="W139" s="1">
        <v>30236.0</v>
      </c>
      <c r="X139" s="1">
        <v>2628.0</v>
      </c>
      <c r="Y139" s="1">
        <v>98.0</v>
      </c>
      <c r="Z139" s="1">
        <v>383.0</v>
      </c>
      <c r="AA139" s="1">
        <v>657.0</v>
      </c>
      <c r="AB139" s="1">
        <v>886.0</v>
      </c>
      <c r="AC139" s="1">
        <v>125.0</v>
      </c>
      <c r="AD139" s="1">
        <v>483.0</v>
      </c>
      <c r="AE139" s="1">
        <v>0.0</v>
      </c>
      <c r="AF139" s="1">
        <v>456.0</v>
      </c>
      <c r="AG139" s="1">
        <v>171.0</v>
      </c>
      <c r="AH139" s="1">
        <v>84.0</v>
      </c>
      <c r="AI139" s="1">
        <v>12.0</v>
      </c>
      <c r="AJ139" s="1">
        <v>20.0</v>
      </c>
      <c r="AK139" s="1">
        <v>0.0</v>
      </c>
      <c r="AL139" s="1">
        <v>161.0</v>
      </c>
      <c r="AM139" s="1">
        <v>27.0</v>
      </c>
      <c r="AN139" s="1">
        <v>25.0</v>
      </c>
      <c r="AO139" s="1">
        <v>17.0</v>
      </c>
      <c r="AP139" s="1">
        <v>0.081194</v>
      </c>
      <c r="AQ139" s="1">
        <v>0.028946</v>
      </c>
      <c r="AR139" s="1">
        <v>0.044919</v>
      </c>
      <c r="AS139" s="1">
        <v>0.188757</v>
      </c>
      <c r="AT139" s="1">
        <v>30236.0</v>
      </c>
      <c r="AU139" s="1">
        <v>2628.0</v>
      </c>
      <c r="AV139" s="1">
        <v>0.033688</v>
      </c>
      <c r="AW139" s="1">
        <v>0.131643</v>
      </c>
      <c r="AX139" s="1">
        <v>0.150618</v>
      </c>
      <c r="AY139" s="1">
        <v>0.203117</v>
      </c>
      <c r="AZ139" s="1">
        <v>0.06841817</v>
      </c>
      <c r="BA139" s="1">
        <v>0.110729</v>
      </c>
      <c r="BB139" s="1">
        <v>0.0</v>
      </c>
      <c r="BC139" s="1">
        <v>0.113489</v>
      </c>
      <c r="BD139" s="1">
        <v>0.090142</v>
      </c>
      <c r="BE139" s="1">
        <v>0.044162</v>
      </c>
      <c r="BF139" s="1">
        <v>0.006325</v>
      </c>
      <c r="BG139" s="1">
        <v>0.01054</v>
      </c>
      <c r="BH139" s="1">
        <v>0.0</v>
      </c>
      <c r="BI139" s="1">
        <v>0.087786</v>
      </c>
      <c r="BJ139" s="1">
        <v>0.014721</v>
      </c>
      <c r="BK139" s="1">
        <v>0.013615</v>
      </c>
      <c r="BL139" s="1">
        <v>0.003897</v>
      </c>
      <c r="BM139" s="1">
        <v>0.295</v>
      </c>
      <c r="BN139" s="1">
        <v>0.238</v>
      </c>
      <c r="BO139" s="1">
        <v>0.1921</v>
      </c>
      <c r="BP139" s="1">
        <v>0.076</v>
      </c>
      <c r="BQ139" s="1">
        <v>0.8011</v>
      </c>
      <c r="BR139" s="1">
        <v>0.1567</v>
      </c>
      <c r="BS139" s="1">
        <v>0.583</v>
      </c>
      <c r="BT139" s="1">
        <v>0.201</v>
      </c>
      <c r="BU139" s="1">
        <v>0.2</v>
      </c>
      <c r="BV139" s="1">
        <v>0.984</v>
      </c>
      <c r="BW139" s="1">
        <v>0.11</v>
      </c>
      <c r="BX139" s="1">
        <v>0.506</v>
      </c>
      <c r="BY139" s="1">
        <v>0.0</v>
      </c>
      <c r="BZ139" s="1">
        <v>0.506</v>
      </c>
      <c r="CA139" s="1">
        <v>0.211</v>
      </c>
      <c r="CB139" s="1">
        <v>0.748</v>
      </c>
      <c r="CC139" s="1">
        <v>0.417</v>
      </c>
      <c r="CD139" s="1">
        <v>0.0</v>
      </c>
      <c r="CE139" s="1">
        <v>0.13</v>
      </c>
      <c r="CF139" s="1">
        <v>0.493</v>
      </c>
      <c r="CG139" s="1">
        <v>1.788</v>
      </c>
      <c r="CH139" s="1">
        <v>0.263</v>
      </c>
      <c r="CI139" s="1">
        <v>4.0791</v>
      </c>
      <c r="CJ139" s="1">
        <v>0.0939</v>
      </c>
      <c r="CK139" s="1">
        <v>0.0</v>
      </c>
      <c r="CL139" s="1">
        <v>0.0</v>
      </c>
      <c r="CM139" s="1">
        <v>0.0</v>
      </c>
      <c r="CN139" s="1">
        <v>0.0</v>
      </c>
      <c r="CO139" s="1">
        <v>0.0</v>
      </c>
      <c r="CP139" s="1">
        <v>0.0</v>
      </c>
      <c r="CQ139" s="1">
        <v>0.0</v>
      </c>
      <c r="CR139" s="1">
        <v>0.0</v>
      </c>
      <c r="CS139" s="1">
        <v>0.0</v>
      </c>
      <c r="CT139" s="1">
        <v>0.0</v>
      </c>
      <c r="CU139" s="1">
        <v>0.0</v>
      </c>
      <c r="CV139" s="1">
        <v>0.0</v>
      </c>
      <c r="CW139" s="1">
        <v>0.0</v>
      </c>
      <c r="CX139" s="1">
        <v>0.0</v>
      </c>
      <c r="CY139" s="1">
        <v>0.0</v>
      </c>
      <c r="CZ139" s="1">
        <v>0.0</v>
      </c>
      <c r="DA139" s="1">
        <v>0.0</v>
      </c>
      <c r="DB139" s="1">
        <v>0.0</v>
      </c>
      <c r="DC139" s="1">
        <v>0.0</v>
      </c>
      <c r="DD139" s="1" t="s">
        <v>751</v>
      </c>
      <c r="DE139" s="1">
        <v>8.41905734564805E-4</v>
      </c>
      <c r="DF139" s="2" t="s">
        <v>752</v>
      </c>
    </row>
    <row r="140" ht="15.75" customHeight="1">
      <c r="A140" s="1" t="s">
        <v>753</v>
      </c>
      <c r="B140" s="1">
        <v>29.0</v>
      </c>
      <c r="C140" s="2" t="s">
        <v>714</v>
      </c>
      <c r="D140" s="1">
        <v>880900.0</v>
      </c>
      <c r="E140" s="1">
        <v>1.202</v>
      </c>
      <c r="F140" s="1">
        <v>29031.0</v>
      </c>
      <c r="G140" s="1">
        <v>2.90318809E10</v>
      </c>
      <c r="H140" s="1" t="s">
        <v>112</v>
      </c>
      <c r="I140" s="1" t="s">
        <v>113</v>
      </c>
      <c r="J140" s="1" t="s">
        <v>715</v>
      </c>
      <c r="K140" s="1" t="s">
        <v>754</v>
      </c>
      <c r="L140" s="1">
        <v>2618.0</v>
      </c>
      <c r="M140" s="1">
        <v>2600.0</v>
      </c>
      <c r="N140" s="1">
        <v>298.0</v>
      </c>
      <c r="O140" s="1">
        <v>1228.0</v>
      </c>
      <c r="P140" s="1">
        <v>1232.0</v>
      </c>
      <c r="Q140" s="1">
        <v>73.0</v>
      </c>
      <c r="R140" s="1">
        <v>1086.0</v>
      </c>
      <c r="S140" s="1">
        <v>530.0</v>
      </c>
      <c r="T140" s="1">
        <v>258.0</v>
      </c>
      <c r="U140" s="1">
        <v>112.0</v>
      </c>
      <c r="V140" s="1">
        <v>432.0</v>
      </c>
      <c r="W140" s="1">
        <v>17225.0</v>
      </c>
      <c r="X140" s="1">
        <v>2362.0</v>
      </c>
      <c r="Y140" s="1">
        <v>192.0</v>
      </c>
      <c r="Z140" s="1">
        <v>332.0</v>
      </c>
      <c r="AA140" s="1">
        <v>224.0</v>
      </c>
      <c r="AB140" s="1">
        <v>655.0</v>
      </c>
      <c r="AC140" s="1">
        <v>197.0</v>
      </c>
      <c r="AD140" s="1">
        <v>841.0</v>
      </c>
      <c r="AE140" s="1">
        <v>0.0</v>
      </c>
      <c r="AF140" s="1">
        <v>456.0</v>
      </c>
      <c r="AG140" s="1">
        <v>130.0</v>
      </c>
      <c r="AH140" s="1">
        <v>182.0</v>
      </c>
      <c r="AI140" s="1">
        <v>0.0</v>
      </c>
      <c r="AJ140" s="1">
        <v>114.0</v>
      </c>
      <c r="AK140" s="1">
        <v>13.0</v>
      </c>
      <c r="AL140" s="1">
        <v>116.0</v>
      </c>
      <c r="AM140" s="1">
        <v>84.0</v>
      </c>
      <c r="AN140" s="1">
        <v>57.0</v>
      </c>
      <c r="AO140" s="1">
        <v>25.0</v>
      </c>
      <c r="AP140" s="1">
        <v>0.211492</v>
      </c>
      <c r="AQ140" s="1">
        <v>0.100437</v>
      </c>
      <c r="AR140" s="1">
        <v>0.081395</v>
      </c>
      <c r="AS140" s="1">
        <v>0.313392</v>
      </c>
      <c r="AT140" s="1">
        <v>17225.0</v>
      </c>
      <c r="AU140" s="1">
        <v>2362.0</v>
      </c>
      <c r="AV140" s="1">
        <v>0.131326</v>
      </c>
      <c r="AW140" s="1">
        <v>0.22643</v>
      </c>
      <c r="AX140" s="1">
        <v>0.085561</v>
      </c>
      <c r="AY140" s="1">
        <v>0.25019</v>
      </c>
      <c r="AZ140" s="1">
        <v>0.18139963</v>
      </c>
      <c r="BA140" s="1">
        <v>0.321237</v>
      </c>
      <c r="BB140" s="1">
        <v>0.0</v>
      </c>
      <c r="BC140" s="1">
        <v>0.202307</v>
      </c>
      <c r="BD140" s="1">
        <v>0.105519</v>
      </c>
      <c r="BE140" s="1">
        <v>0.147594</v>
      </c>
      <c r="BF140" s="1">
        <v>0.0</v>
      </c>
      <c r="BG140" s="1">
        <v>0.092532</v>
      </c>
      <c r="BH140" s="1">
        <v>0.011235</v>
      </c>
      <c r="BI140" s="1">
        <v>0.100255</v>
      </c>
      <c r="BJ140" s="1">
        <v>0.072601</v>
      </c>
      <c r="BK140" s="1">
        <v>0.048918</v>
      </c>
      <c r="BL140" s="1">
        <v>0.009549</v>
      </c>
      <c r="BM140" s="1">
        <v>0.756</v>
      </c>
      <c r="BN140" s="1">
        <v>0.622</v>
      </c>
      <c r="BO140" s="1">
        <v>0.7733</v>
      </c>
      <c r="BP140" s="1">
        <v>0.473</v>
      </c>
      <c r="BQ140" s="1">
        <v>2.6243</v>
      </c>
      <c r="BR140" s="1">
        <v>0.7032</v>
      </c>
      <c r="BS140" s="1">
        <v>0.142</v>
      </c>
      <c r="BT140" s="1">
        <v>0.597</v>
      </c>
      <c r="BU140" s="1">
        <v>0.869</v>
      </c>
      <c r="BV140" s="1">
        <v>1.608</v>
      </c>
      <c r="BW140" s="1">
        <v>0.573</v>
      </c>
      <c r="BX140" s="1">
        <v>0.803</v>
      </c>
      <c r="BY140" s="1">
        <v>0.0</v>
      </c>
      <c r="BZ140" s="1">
        <v>0.803</v>
      </c>
      <c r="CA140" s="1">
        <v>0.402</v>
      </c>
      <c r="CB140" s="1">
        <v>0.781</v>
      </c>
      <c r="CC140" s="1">
        <v>0.0</v>
      </c>
      <c r="CD140" s="1">
        <v>0.504</v>
      </c>
      <c r="CE140" s="1">
        <v>0.637</v>
      </c>
      <c r="CF140" s="1">
        <v>0.569</v>
      </c>
      <c r="CG140" s="1">
        <v>2.491</v>
      </c>
      <c r="CH140" s="1">
        <v>0.558</v>
      </c>
      <c r="CI140" s="1">
        <v>7.5263</v>
      </c>
      <c r="CJ140" s="1">
        <v>0.6375</v>
      </c>
      <c r="CK140" s="1">
        <v>0.0</v>
      </c>
      <c r="CL140" s="1">
        <v>0.0</v>
      </c>
      <c r="CM140" s="1">
        <v>0.0</v>
      </c>
      <c r="CN140" s="1">
        <v>0.0</v>
      </c>
      <c r="CO140" s="1">
        <v>0.0</v>
      </c>
      <c r="CP140" s="1">
        <v>0.0</v>
      </c>
      <c r="CQ140" s="1">
        <v>0.0</v>
      </c>
      <c r="CR140" s="1">
        <v>0.0</v>
      </c>
      <c r="CS140" s="1">
        <v>0.0</v>
      </c>
      <c r="CT140" s="1">
        <v>0.0</v>
      </c>
      <c r="CU140" s="1">
        <v>0.0</v>
      </c>
      <c r="CV140" s="1">
        <v>0.0</v>
      </c>
      <c r="CW140" s="1">
        <v>0.0</v>
      </c>
      <c r="CX140" s="1">
        <v>0.0</v>
      </c>
      <c r="CY140" s="1">
        <v>0.0</v>
      </c>
      <c r="CZ140" s="1">
        <v>0.0</v>
      </c>
      <c r="DA140" s="1">
        <v>0.0</v>
      </c>
      <c r="DB140" s="1">
        <v>0.0</v>
      </c>
      <c r="DC140" s="1">
        <v>0.0</v>
      </c>
      <c r="DD140" s="1" t="s">
        <v>755</v>
      </c>
      <c r="DE140" s="1">
        <v>4.01676026880578E-4</v>
      </c>
      <c r="DF140" s="2" t="s">
        <v>756</v>
      </c>
    </row>
    <row r="141" ht="15.75" customHeight="1">
      <c r="A141" s="1" t="s">
        <v>757</v>
      </c>
      <c r="B141" s="1">
        <v>29.0</v>
      </c>
      <c r="C141" s="2" t="s">
        <v>714</v>
      </c>
      <c r="D141" s="1">
        <v>880200.0</v>
      </c>
      <c r="E141" s="1">
        <v>73.522</v>
      </c>
      <c r="F141" s="1">
        <v>29031.0</v>
      </c>
      <c r="G141" s="1">
        <v>2.90318802E10</v>
      </c>
      <c r="H141" s="1" t="s">
        <v>112</v>
      </c>
      <c r="I141" s="1" t="s">
        <v>113</v>
      </c>
      <c r="J141" s="1" t="s">
        <v>715</v>
      </c>
      <c r="K141" s="1" t="s">
        <v>758</v>
      </c>
      <c r="L141" s="1">
        <v>3822.0</v>
      </c>
      <c r="M141" s="1">
        <v>3489.0</v>
      </c>
      <c r="N141" s="1">
        <v>341.0</v>
      </c>
      <c r="O141" s="1">
        <v>1509.0</v>
      </c>
      <c r="P141" s="1">
        <v>1480.0</v>
      </c>
      <c r="Q141" s="1">
        <v>87.0</v>
      </c>
      <c r="R141" s="1">
        <v>1429.0</v>
      </c>
      <c r="S141" s="1">
        <v>372.0</v>
      </c>
      <c r="T141" s="1">
        <v>231.0</v>
      </c>
      <c r="U141" s="1">
        <v>79.0</v>
      </c>
      <c r="V141" s="1">
        <v>414.0</v>
      </c>
      <c r="W141" s="1">
        <v>24444.0</v>
      </c>
      <c r="X141" s="1">
        <v>2389.0</v>
      </c>
      <c r="Y141" s="1">
        <v>301.0</v>
      </c>
      <c r="Z141" s="1">
        <v>296.0</v>
      </c>
      <c r="AA141" s="1">
        <v>563.0</v>
      </c>
      <c r="AB141" s="1">
        <v>940.0</v>
      </c>
      <c r="AC141" s="1">
        <v>74.0</v>
      </c>
      <c r="AD141" s="1">
        <v>111.0</v>
      </c>
      <c r="AE141" s="1">
        <v>0.0</v>
      </c>
      <c r="AF141" s="1">
        <v>456.0</v>
      </c>
      <c r="AG141" s="1">
        <v>0.0</v>
      </c>
      <c r="AH141" s="1">
        <v>197.0</v>
      </c>
      <c r="AI141" s="1">
        <v>221.0</v>
      </c>
      <c r="AJ141" s="1">
        <v>89.0</v>
      </c>
      <c r="AK141" s="1">
        <v>9.0</v>
      </c>
      <c r="AL141" s="1">
        <v>115.0</v>
      </c>
      <c r="AM141" s="1">
        <v>39.0</v>
      </c>
      <c r="AN141" s="1">
        <v>31.0</v>
      </c>
      <c r="AO141" s="1">
        <v>0.0</v>
      </c>
      <c r="AP141" s="1">
        <v>0.10662</v>
      </c>
      <c r="AQ141" s="1">
        <v>0.065382</v>
      </c>
      <c r="AR141" s="1">
        <v>0.042911</v>
      </c>
      <c r="AS141" s="1">
        <v>0.224814</v>
      </c>
      <c r="AT141" s="1">
        <v>24444.0</v>
      </c>
      <c r="AU141" s="1">
        <v>2389.0</v>
      </c>
      <c r="AV141" s="1">
        <v>0.118737</v>
      </c>
      <c r="AW141" s="1">
        <v>0.11635</v>
      </c>
      <c r="AX141" s="1">
        <v>0.147305</v>
      </c>
      <c r="AY141" s="1">
        <v>0.245944</v>
      </c>
      <c r="AZ141" s="1">
        <v>0.05178446</v>
      </c>
      <c r="BA141" s="1">
        <v>0.029042</v>
      </c>
      <c r="BB141" s="1">
        <v>0.0</v>
      </c>
      <c r="BC141" s="1">
        <v>0.137972</v>
      </c>
      <c r="BD141" s="1">
        <v>0.0</v>
      </c>
      <c r="BE141" s="1">
        <v>0.133108</v>
      </c>
      <c r="BF141" s="1">
        <v>0.149324</v>
      </c>
      <c r="BG141" s="1">
        <v>0.059491</v>
      </c>
      <c r="BH141" s="1">
        <v>0.006701</v>
      </c>
      <c r="BI141" s="1">
        <v>0.085627</v>
      </c>
      <c r="BJ141" s="1">
        <v>0.029039</v>
      </c>
      <c r="BK141" s="1">
        <v>0.02297</v>
      </c>
      <c r="BL141" s="1">
        <v>0.0</v>
      </c>
      <c r="BM141" s="1">
        <v>0.4</v>
      </c>
      <c r="BN141" s="1">
        <v>0.22</v>
      </c>
      <c r="BO141" s="1">
        <v>0.3733</v>
      </c>
      <c r="BP141" s="1">
        <v>0.421</v>
      </c>
      <c r="BQ141" s="1">
        <v>1.4143</v>
      </c>
      <c r="BR141" s="1">
        <v>0.3155</v>
      </c>
      <c r="BS141" s="1">
        <v>0.558</v>
      </c>
      <c r="BT141" s="1">
        <v>0.556</v>
      </c>
      <c r="BU141" s="1">
        <v>0.084</v>
      </c>
      <c r="BV141" s="1">
        <v>1.198</v>
      </c>
      <c r="BW141" s="1">
        <v>0.228</v>
      </c>
      <c r="BX141" s="1">
        <v>0.072</v>
      </c>
      <c r="BY141" s="1">
        <v>0.0</v>
      </c>
      <c r="BZ141" s="1">
        <v>0.072</v>
      </c>
      <c r="CA141" s="1">
        <v>0.035</v>
      </c>
      <c r="CB141" s="1">
        <v>0.0</v>
      </c>
      <c r="CC141" s="1">
        <v>0.815</v>
      </c>
      <c r="CD141" s="1">
        <v>0.381</v>
      </c>
      <c r="CE141" s="1">
        <v>0.278</v>
      </c>
      <c r="CF141" s="1">
        <v>0.0</v>
      </c>
      <c r="CG141" s="1">
        <v>1.474</v>
      </c>
      <c r="CH141" s="1">
        <v>0.166</v>
      </c>
      <c r="CI141" s="1">
        <v>4.1583</v>
      </c>
      <c r="CJ141" s="1">
        <v>0.0982</v>
      </c>
      <c r="CK141" s="1">
        <v>0.0</v>
      </c>
      <c r="CL141" s="1">
        <v>0.0</v>
      </c>
      <c r="CM141" s="1">
        <v>0.0</v>
      </c>
      <c r="CN141" s="1">
        <v>0.0</v>
      </c>
      <c r="CO141" s="1">
        <v>0.0</v>
      </c>
      <c r="CP141" s="1">
        <v>0.0</v>
      </c>
      <c r="CQ141" s="1">
        <v>0.0</v>
      </c>
      <c r="CR141" s="1">
        <v>0.0</v>
      </c>
      <c r="CS141" s="1">
        <v>0.0</v>
      </c>
      <c r="CT141" s="1">
        <v>0.0</v>
      </c>
      <c r="CU141" s="1">
        <v>0.0</v>
      </c>
      <c r="CV141" s="1">
        <v>0.0</v>
      </c>
      <c r="CW141" s="1">
        <v>0.0</v>
      </c>
      <c r="CX141" s="1">
        <v>0.0</v>
      </c>
      <c r="CY141" s="1">
        <v>0.0</v>
      </c>
      <c r="CZ141" s="1">
        <v>0.0</v>
      </c>
      <c r="DA141" s="1">
        <v>0.0</v>
      </c>
      <c r="DB141" s="1">
        <v>0.0</v>
      </c>
      <c r="DC141" s="1">
        <v>0.0</v>
      </c>
      <c r="DD141" s="1" t="s">
        <v>759</v>
      </c>
      <c r="DE141" s="1">
        <v>0.0193945116429088</v>
      </c>
      <c r="DF141" s="2" t="s">
        <v>760</v>
      </c>
    </row>
    <row r="142" ht="15.75" customHeight="1">
      <c r="A142" s="1" t="s">
        <v>761</v>
      </c>
      <c r="B142" s="1">
        <v>29.0</v>
      </c>
      <c r="C142" s="2" t="s">
        <v>714</v>
      </c>
      <c r="D142" s="1">
        <v>880300.0</v>
      </c>
      <c r="E142" s="1">
        <v>170.33</v>
      </c>
      <c r="F142" s="1">
        <v>29031.0</v>
      </c>
      <c r="G142" s="1">
        <v>2.90318803E10</v>
      </c>
      <c r="H142" s="1" t="s">
        <v>112</v>
      </c>
      <c r="I142" s="1" t="s">
        <v>113</v>
      </c>
      <c r="J142" s="1" t="s">
        <v>715</v>
      </c>
      <c r="K142" s="1" t="s">
        <v>762</v>
      </c>
      <c r="L142" s="1">
        <v>4387.0</v>
      </c>
      <c r="M142" s="1">
        <v>4494.0</v>
      </c>
      <c r="N142" s="1">
        <v>368.0</v>
      </c>
      <c r="O142" s="1">
        <v>1971.0</v>
      </c>
      <c r="P142" s="1">
        <v>1925.0</v>
      </c>
      <c r="Q142" s="1">
        <v>126.0</v>
      </c>
      <c r="R142" s="1">
        <v>1723.0</v>
      </c>
      <c r="S142" s="1">
        <v>324.0</v>
      </c>
      <c r="T142" s="1">
        <v>132.0</v>
      </c>
      <c r="U142" s="1">
        <v>259.0</v>
      </c>
      <c r="V142" s="1">
        <v>360.0</v>
      </c>
      <c r="W142" s="1">
        <v>20092.0</v>
      </c>
      <c r="X142" s="1">
        <v>1167.0</v>
      </c>
      <c r="Y142" s="1">
        <v>479.0</v>
      </c>
      <c r="Z142" s="1">
        <v>196.0</v>
      </c>
      <c r="AA142" s="1">
        <v>710.0</v>
      </c>
      <c r="AB142" s="1">
        <v>970.0</v>
      </c>
      <c r="AC142" s="1">
        <v>118.0</v>
      </c>
      <c r="AD142" s="1">
        <v>75.0</v>
      </c>
      <c r="AE142" s="1">
        <v>2.0</v>
      </c>
      <c r="AF142" s="1">
        <v>442.0</v>
      </c>
      <c r="AG142" s="1">
        <v>0.0</v>
      </c>
      <c r="AH142" s="1">
        <v>197.0</v>
      </c>
      <c r="AI142" s="1">
        <v>290.0</v>
      </c>
      <c r="AJ142" s="1">
        <v>81.0</v>
      </c>
      <c r="AK142" s="1">
        <v>31.0</v>
      </c>
      <c r="AL142" s="1">
        <v>119.0</v>
      </c>
      <c r="AM142" s="1">
        <v>7.0</v>
      </c>
      <c r="AN142" s="1">
        <v>114.0</v>
      </c>
      <c r="AO142" s="1">
        <v>0.0</v>
      </c>
      <c r="AP142" s="1">
        <v>0.072972</v>
      </c>
      <c r="AQ142" s="1">
        <v>0.029148</v>
      </c>
      <c r="AR142" s="1">
        <v>0.114046</v>
      </c>
      <c r="AS142" s="1">
        <v>0.158102</v>
      </c>
      <c r="AT142" s="1">
        <v>20092.0</v>
      </c>
      <c r="AU142" s="1">
        <v>1167.0</v>
      </c>
      <c r="AV142" s="1">
        <v>0.158399</v>
      </c>
      <c r="AW142" s="1">
        <v>0.063604</v>
      </c>
      <c r="AX142" s="1">
        <v>0.161841</v>
      </c>
      <c r="AY142" s="1">
        <v>0.221107</v>
      </c>
      <c r="AZ142" s="1">
        <v>0.0684852</v>
      </c>
      <c r="BA142" s="1">
        <v>0.017095</v>
      </c>
      <c r="BB142" s="1">
        <v>4.71E-4</v>
      </c>
      <c r="BC142" s="1">
        <v>0.104171</v>
      </c>
      <c r="BD142" s="1">
        <v>0.0</v>
      </c>
      <c r="BE142" s="1">
        <v>0.102337</v>
      </c>
      <c r="BF142" s="1">
        <v>0.150649</v>
      </c>
      <c r="BG142" s="1">
        <v>0.040906</v>
      </c>
      <c r="BH142" s="1">
        <v>0.017754</v>
      </c>
      <c r="BI142" s="1">
        <v>0.068141</v>
      </c>
      <c r="BJ142" s="1">
        <v>0.004009</v>
      </c>
      <c r="BK142" s="1">
        <v>0.065291</v>
      </c>
      <c r="BL142" s="1">
        <v>0.0</v>
      </c>
      <c r="BM142" s="1">
        <v>0.26</v>
      </c>
      <c r="BN142" s="1">
        <v>0.799</v>
      </c>
      <c r="BO142" s="1">
        <v>0.6065</v>
      </c>
      <c r="BP142" s="1">
        <v>0.603</v>
      </c>
      <c r="BQ142" s="1">
        <v>2.2685</v>
      </c>
      <c r="BR142" s="1">
        <v>0.5899</v>
      </c>
      <c r="BS142" s="1">
        <v>0.682</v>
      </c>
      <c r="BT142" s="1">
        <v>0.309</v>
      </c>
      <c r="BU142" s="1">
        <v>0.202</v>
      </c>
      <c r="BV142" s="1">
        <v>1.193</v>
      </c>
      <c r="BW142" s="1">
        <v>0.224</v>
      </c>
      <c r="BX142" s="1">
        <v>0.01</v>
      </c>
      <c r="BY142" s="1">
        <v>0.317</v>
      </c>
      <c r="BZ142" s="1">
        <v>0.327</v>
      </c>
      <c r="CA142" s="1">
        <v>0.141</v>
      </c>
      <c r="CB142" s="1">
        <v>0.0</v>
      </c>
      <c r="CC142" s="1">
        <v>0.819</v>
      </c>
      <c r="CD142" s="1">
        <v>0.644</v>
      </c>
      <c r="CE142" s="1">
        <v>0.041</v>
      </c>
      <c r="CF142" s="1">
        <v>0.0</v>
      </c>
      <c r="CG142" s="1">
        <v>1.504</v>
      </c>
      <c r="CH142" s="1">
        <v>0.177</v>
      </c>
      <c r="CI142" s="1">
        <v>5.2925</v>
      </c>
      <c r="CJ142" s="1">
        <v>0.244</v>
      </c>
      <c r="CK142" s="1">
        <v>0.0</v>
      </c>
      <c r="CL142" s="1">
        <v>0.0</v>
      </c>
      <c r="CM142" s="1">
        <v>0.0</v>
      </c>
      <c r="CN142" s="1">
        <v>0.0</v>
      </c>
      <c r="CO142" s="1">
        <v>0.0</v>
      </c>
      <c r="CP142" s="1">
        <v>0.0</v>
      </c>
      <c r="CQ142" s="1">
        <v>0.0</v>
      </c>
      <c r="CR142" s="1">
        <v>0.0</v>
      </c>
      <c r="CS142" s="1">
        <v>0.0</v>
      </c>
      <c r="CT142" s="1">
        <v>0.0</v>
      </c>
      <c r="CU142" s="1">
        <v>0.0</v>
      </c>
      <c r="CV142" s="1">
        <v>0.0</v>
      </c>
      <c r="CW142" s="1">
        <v>0.0</v>
      </c>
      <c r="CX142" s="1">
        <v>0.0</v>
      </c>
      <c r="CY142" s="1">
        <v>0.0</v>
      </c>
      <c r="CZ142" s="1">
        <v>0.0</v>
      </c>
      <c r="DA142" s="1">
        <v>0.0</v>
      </c>
      <c r="DB142" s="1">
        <v>0.0</v>
      </c>
      <c r="DC142" s="1">
        <v>0.0</v>
      </c>
      <c r="DD142" s="1" t="s">
        <v>763</v>
      </c>
      <c r="DE142" s="1">
        <v>0.0449481950768104</v>
      </c>
      <c r="DF142" s="2" t="s">
        <v>764</v>
      </c>
    </row>
    <row r="143" ht="15.75" customHeight="1">
      <c r="A143" s="1" t="s">
        <v>765</v>
      </c>
      <c r="B143" s="1">
        <v>29.0</v>
      </c>
      <c r="C143" s="2" t="s">
        <v>714</v>
      </c>
      <c r="D143" s="1">
        <v>880400.0</v>
      </c>
      <c r="E143" s="1">
        <v>15.127</v>
      </c>
      <c r="F143" s="1">
        <v>29031.0</v>
      </c>
      <c r="G143" s="1">
        <v>2.90318804E10</v>
      </c>
      <c r="H143" s="1" t="s">
        <v>112</v>
      </c>
      <c r="I143" s="1" t="s">
        <v>113</v>
      </c>
      <c r="J143" s="1" t="s">
        <v>715</v>
      </c>
      <c r="K143" s="1" t="s">
        <v>766</v>
      </c>
      <c r="L143" s="1">
        <v>6908.0</v>
      </c>
      <c r="M143" s="1">
        <v>6528.0</v>
      </c>
      <c r="N143" s="1">
        <v>584.0</v>
      </c>
      <c r="O143" s="1">
        <v>2939.0</v>
      </c>
      <c r="P143" s="1">
        <v>2863.0</v>
      </c>
      <c r="Q143" s="1">
        <v>152.0</v>
      </c>
      <c r="R143" s="1">
        <v>2744.0</v>
      </c>
      <c r="S143" s="1">
        <v>697.0</v>
      </c>
      <c r="T143" s="1">
        <v>354.0</v>
      </c>
      <c r="U143" s="1">
        <v>249.0</v>
      </c>
      <c r="V143" s="1">
        <v>438.0</v>
      </c>
      <c r="W143" s="1">
        <v>22934.0</v>
      </c>
      <c r="X143" s="1">
        <v>3041.0</v>
      </c>
      <c r="Y143" s="1">
        <v>815.0</v>
      </c>
      <c r="Z143" s="1">
        <v>346.0</v>
      </c>
      <c r="AA143" s="1">
        <v>1047.0</v>
      </c>
      <c r="AB143" s="1">
        <v>1772.0</v>
      </c>
      <c r="AC143" s="1">
        <v>314.0</v>
      </c>
      <c r="AD143" s="1">
        <v>323.0</v>
      </c>
      <c r="AE143" s="1">
        <v>0.0</v>
      </c>
      <c r="AF143" s="1">
        <v>456.0</v>
      </c>
      <c r="AG143" s="1">
        <v>97.0</v>
      </c>
      <c r="AH143" s="1">
        <v>181.0</v>
      </c>
      <c r="AI143" s="1">
        <v>316.0</v>
      </c>
      <c r="AJ143" s="1">
        <v>119.0</v>
      </c>
      <c r="AK143" s="1">
        <v>0.0</v>
      </c>
      <c r="AL143" s="1">
        <v>161.0</v>
      </c>
      <c r="AM143" s="1">
        <v>153.0</v>
      </c>
      <c r="AN143" s="1">
        <v>99.0</v>
      </c>
      <c r="AO143" s="1">
        <v>97.0</v>
      </c>
      <c r="AP143" s="1">
        <v>0.109196</v>
      </c>
      <c r="AQ143" s="1">
        <v>0.054577</v>
      </c>
      <c r="AR143" s="1">
        <v>0.075822</v>
      </c>
      <c r="AS143" s="1">
        <v>0.133089</v>
      </c>
      <c r="AT143" s="1">
        <v>22934.0</v>
      </c>
      <c r="AU143" s="1">
        <v>3041.0</v>
      </c>
      <c r="AV143" s="1">
        <v>0.191719</v>
      </c>
      <c r="AW143" s="1">
        <v>0.079952</v>
      </c>
      <c r="AX143" s="1">
        <v>0.151563</v>
      </c>
      <c r="AY143" s="1">
        <v>0.256514</v>
      </c>
      <c r="AZ143" s="1">
        <v>0.11443148</v>
      </c>
      <c r="BA143" s="1">
        <v>0.046757</v>
      </c>
      <c r="BB143" s="1">
        <v>0.0</v>
      </c>
      <c r="BC143" s="1">
        <v>0.073018</v>
      </c>
      <c r="BD143" s="1">
        <v>0.03388</v>
      </c>
      <c r="BE143" s="1">
        <v>0.063194</v>
      </c>
      <c r="BF143" s="1">
        <v>0.110373</v>
      </c>
      <c r="BG143" s="1">
        <v>0.041149</v>
      </c>
      <c r="BH143" s="1">
        <v>0.0</v>
      </c>
      <c r="BI143" s="1">
        <v>0.0611</v>
      </c>
      <c r="BJ143" s="1">
        <v>0.058064</v>
      </c>
      <c r="BK143" s="1">
        <v>0.037368</v>
      </c>
      <c r="BL143" s="1">
        <v>0.014041</v>
      </c>
      <c r="BM143" s="1">
        <v>0.409</v>
      </c>
      <c r="BN143" s="1">
        <v>0.569</v>
      </c>
      <c r="BO143" s="1">
        <v>0.4498</v>
      </c>
      <c r="BP143" s="1">
        <v>0.729</v>
      </c>
      <c r="BQ143" s="1">
        <v>2.1568</v>
      </c>
      <c r="BR143" s="1">
        <v>0.548</v>
      </c>
      <c r="BS143" s="1">
        <v>0.592</v>
      </c>
      <c r="BT143" s="1">
        <v>0.669</v>
      </c>
      <c r="BU143" s="1">
        <v>0.624</v>
      </c>
      <c r="BV143" s="1">
        <v>1.885</v>
      </c>
      <c r="BW143" s="1">
        <v>0.79</v>
      </c>
      <c r="BX143" s="1">
        <v>0.228</v>
      </c>
      <c r="BY143" s="1">
        <v>0.0</v>
      </c>
      <c r="BZ143" s="1">
        <v>0.228</v>
      </c>
      <c r="CA143" s="1">
        <v>0.1</v>
      </c>
      <c r="CB143" s="1">
        <v>0.571</v>
      </c>
      <c r="CC143" s="1">
        <v>0.741</v>
      </c>
      <c r="CD143" s="1">
        <v>0.0</v>
      </c>
      <c r="CE143" s="1">
        <v>0.556</v>
      </c>
      <c r="CF143" s="1">
        <v>0.635</v>
      </c>
      <c r="CG143" s="1">
        <v>2.503</v>
      </c>
      <c r="CH143" s="1">
        <v>0.563</v>
      </c>
      <c r="CI143" s="1">
        <v>6.7728</v>
      </c>
      <c r="CJ143" s="1">
        <v>0.5061</v>
      </c>
      <c r="CK143" s="1">
        <v>0.0</v>
      </c>
      <c r="CL143" s="1">
        <v>0.0</v>
      </c>
      <c r="CM143" s="1">
        <v>0.0</v>
      </c>
      <c r="CN143" s="1">
        <v>0.0</v>
      </c>
      <c r="CO143" s="1">
        <v>0.0</v>
      </c>
      <c r="CP143" s="1">
        <v>0.0</v>
      </c>
      <c r="CQ143" s="1">
        <v>0.0</v>
      </c>
      <c r="CR143" s="1">
        <v>0.0</v>
      </c>
      <c r="CS143" s="1">
        <v>0.0</v>
      </c>
      <c r="CT143" s="1">
        <v>0.0</v>
      </c>
      <c r="CU143" s="1">
        <v>0.0</v>
      </c>
      <c r="CV143" s="1">
        <v>0.0</v>
      </c>
      <c r="CW143" s="1">
        <v>0.0</v>
      </c>
      <c r="CX143" s="1">
        <v>0.0</v>
      </c>
      <c r="CY143" s="1">
        <v>0.0</v>
      </c>
      <c r="CZ143" s="1">
        <v>0.0</v>
      </c>
      <c r="DA143" s="1">
        <v>0.0</v>
      </c>
      <c r="DB143" s="1">
        <v>0.0</v>
      </c>
      <c r="DC143" s="1">
        <v>0.0</v>
      </c>
      <c r="DD143" s="1" t="s">
        <v>767</v>
      </c>
      <c r="DE143" s="1">
        <v>0.00399507873512785</v>
      </c>
      <c r="DF143" s="2" t="s">
        <v>768</v>
      </c>
    </row>
    <row r="144" ht="15.75" customHeight="1">
      <c r="A144" s="1" t="s">
        <v>769</v>
      </c>
      <c r="B144" s="1">
        <v>29.0</v>
      </c>
      <c r="C144" s="2" t="s">
        <v>714</v>
      </c>
      <c r="D144" s="1">
        <v>880600.0</v>
      </c>
      <c r="E144" s="1">
        <v>73.095</v>
      </c>
      <c r="F144" s="1">
        <v>29031.0</v>
      </c>
      <c r="G144" s="1">
        <v>2.90318806E10</v>
      </c>
      <c r="H144" s="1" t="s">
        <v>112</v>
      </c>
      <c r="I144" s="1" t="s">
        <v>113</v>
      </c>
      <c r="J144" s="1" t="s">
        <v>715</v>
      </c>
      <c r="K144" s="1" t="s">
        <v>770</v>
      </c>
      <c r="L144" s="1">
        <v>6347.0</v>
      </c>
      <c r="M144" s="1">
        <v>6046.0</v>
      </c>
      <c r="N144" s="1">
        <v>509.0</v>
      </c>
      <c r="O144" s="1">
        <v>2542.0</v>
      </c>
      <c r="P144" s="1">
        <v>2427.0</v>
      </c>
      <c r="Q144" s="1">
        <v>128.0</v>
      </c>
      <c r="R144" s="1">
        <v>2369.0</v>
      </c>
      <c r="S144" s="1">
        <v>820.0</v>
      </c>
      <c r="T144" s="1">
        <v>359.0</v>
      </c>
      <c r="U144" s="1">
        <v>78.0</v>
      </c>
      <c r="V144" s="1">
        <v>428.0</v>
      </c>
      <c r="W144" s="1">
        <v>25725.0</v>
      </c>
      <c r="X144" s="1">
        <v>2536.0</v>
      </c>
      <c r="Y144" s="1">
        <v>495.0</v>
      </c>
      <c r="Z144" s="1">
        <v>212.0</v>
      </c>
      <c r="AA144" s="1">
        <v>751.0</v>
      </c>
      <c r="AB144" s="1">
        <v>1439.0</v>
      </c>
      <c r="AC144" s="1">
        <v>190.0</v>
      </c>
      <c r="AD144" s="1">
        <v>453.0</v>
      </c>
      <c r="AE144" s="1">
        <v>43.0</v>
      </c>
      <c r="AF144" s="1">
        <v>414.0</v>
      </c>
      <c r="AG144" s="1">
        <v>90.0</v>
      </c>
      <c r="AH144" s="1">
        <v>183.0</v>
      </c>
      <c r="AI144" s="1">
        <v>256.0</v>
      </c>
      <c r="AJ144" s="1">
        <v>92.0</v>
      </c>
      <c r="AK144" s="1">
        <v>0.0</v>
      </c>
      <c r="AL144" s="1">
        <v>161.0</v>
      </c>
      <c r="AM144" s="1">
        <v>83.0</v>
      </c>
      <c r="AN144" s="1">
        <v>58.0</v>
      </c>
      <c r="AO144" s="1">
        <v>140.0</v>
      </c>
      <c r="AP144" s="1">
        <v>0.136257</v>
      </c>
      <c r="AQ144" s="1">
        <v>0.058561</v>
      </c>
      <c r="AR144" s="1">
        <v>0.024896</v>
      </c>
      <c r="AS144" s="1">
        <v>0.136578</v>
      </c>
      <c r="AT144" s="1">
        <v>25725.0</v>
      </c>
      <c r="AU144" s="1">
        <v>2536.0</v>
      </c>
      <c r="AV144" s="1">
        <v>0.128571</v>
      </c>
      <c r="AW144" s="1">
        <v>0.054517</v>
      </c>
      <c r="AX144" s="1">
        <v>0.118323</v>
      </c>
      <c r="AY144" s="1">
        <v>0.226721</v>
      </c>
      <c r="AZ144" s="1">
        <v>0.08020261</v>
      </c>
      <c r="BA144" s="1">
        <v>0.071372</v>
      </c>
      <c r="BB144" s="1">
        <v>0.007578</v>
      </c>
      <c r="BC144" s="1">
        <v>0.072961</v>
      </c>
      <c r="BD144" s="1">
        <v>0.037082</v>
      </c>
      <c r="BE144" s="1">
        <v>0.075376</v>
      </c>
      <c r="BF144" s="1">
        <v>0.10548</v>
      </c>
      <c r="BG144" s="1">
        <v>0.037496</v>
      </c>
      <c r="BH144" s="1">
        <v>0.0</v>
      </c>
      <c r="BI144" s="1">
        <v>0.069848</v>
      </c>
      <c r="BJ144" s="1">
        <v>0.036008</v>
      </c>
      <c r="BK144" s="1">
        <v>0.025054</v>
      </c>
      <c r="BL144" s="1">
        <v>0.022057</v>
      </c>
      <c r="BM144" s="1">
        <v>0.526</v>
      </c>
      <c r="BN144" s="1">
        <v>0.05</v>
      </c>
      <c r="BO144" s="1">
        <v>0.3184</v>
      </c>
      <c r="BP144" s="1">
        <v>0.466</v>
      </c>
      <c r="BQ144" s="1">
        <v>1.3604</v>
      </c>
      <c r="BR144" s="1">
        <v>0.2996</v>
      </c>
      <c r="BS144" s="1">
        <v>0.333</v>
      </c>
      <c r="BT144" s="1">
        <v>0.356</v>
      </c>
      <c r="BU144" s="1">
        <v>0.305</v>
      </c>
      <c r="BV144" s="1">
        <v>0.994</v>
      </c>
      <c r="BW144" s="1">
        <v>0.113</v>
      </c>
      <c r="BX144" s="1">
        <v>0.367</v>
      </c>
      <c r="BY144" s="1">
        <v>0.651</v>
      </c>
      <c r="BZ144" s="1">
        <v>1.018</v>
      </c>
      <c r="CA144" s="1">
        <v>0.569</v>
      </c>
      <c r="CB144" s="1">
        <v>0.594</v>
      </c>
      <c r="CC144" s="1">
        <v>0.727</v>
      </c>
      <c r="CD144" s="1">
        <v>0.0</v>
      </c>
      <c r="CE144" s="1">
        <v>0.342</v>
      </c>
      <c r="CF144" s="1">
        <v>0.738</v>
      </c>
      <c r="CG144" s="1">
        <v>2.401</v>
      </c>
      <c r="CH144" s="1">
        <v>0.517</v>
      </c>
      <c r="CI144" s="1">
        <v>5.7734</v>
      </c>
      <c r="CJ144" s="1">
        <v>0.335</v>
      </c>
      <c r="CK144" s="1">
        <v>0.0</v>
      </c>
      <c r="CL144" s="1">
        <v>0.0</v>
      </c>
      <c r="CM144" s="1">
        <v>0.0</v>
      </c>
      <c r="CN144" s="1">
        <v>0.0</v>
      </c>
      <c r="CO144" s="1">
        <v>0.0</v>
      </c>
      <c r="CP144" s="1">
        <v>0.0</v>
      </c>
      <c r="CQ144" s="1">
        <v>0.0</v>
      </c>
      <c r="CR144" s="1">
        <v>0.0</v>
      </c>
      <c r="CS144" s="1">
        <v>0.0</v>
      </c>
      <c r="CT144" s="1">
        <v>0.0</v>
      </c>
      <c r="CU144" s="1">
        <v>0.0</v>
      </c>
      <c r="CV144" s="1">
        <v>0.0</v>
      </c>
      <c r="CW144" s="1">
        <v>0.0</v>
      </c>
      <c r="CX144" s="1">
        <v>0.0</v>
      </c>
      <c r="CY144" s="1">
        <v>0.0</v>
      </c>
      <c r="CZ144" s="1">
        <v>0.0</v>
      </c>
      <c r="DA144" s="1">
        <v>0.0</v>
      </c>
      <c r="DB144" s="1">
        <v>0.0</v>
      </c>
      <c r="DC144" s="1">
        <v>0.0</v>
      </c>
      <c r="DD144" s="1" t="s">
        <v>771</v>
      </c>
      <c r="DE144" s="1">
        <v>0.0199554251365406</v>
      </c>
      <c r="DF144" s="2" t="s">
        <v>772</v>
      </c>
    </row>
    <row r="145" ht="15.75" customHeight="1">
      <c r="A145" s="1" t="s">
        <v>773</v>
      </c>
      <c r="B145" s="1">
        <v>29.0</v>
      </c>
      <c r="C145" s="2" t="s">
        <v>714</v>
      </c>
      <c r="D145" s="1">
        <v>881000.0</v>
      </c>
      <c r="E145" s="1">
        <v>0.479</v>
      </c>
      <c r="F145" s="1">
        <v>29031.0</v>
      </c>
      <c r="G145" s="1">
        <v>2.9031881E10</v>
      </c>
      <c r="H145" s="1" t="s">
        <v>112</v>
      </c>
      <c r="I145" s="1" t="s">
        <v>113</v>
      </c>
      <c r="J145" s="1" t="s">
        <v>715</v>
      </c>
      <c r="K145" s="1" t="s">
        <v>774</v>
      </c>
      <c r="L145" s="1">
        <v>1932.0</v>
      </c>
      <c r="M145" s="1">
        <v>1994.0</v>
      </c>
      <c r="N145" s="1">
        <v>271.0</v>
      </c>
      <c r="O145" s="1">
        <v>1149.0</v>
      </c>
      <c r="P145" s="1">
        <v>1192.0</v>
      </c>
      <c r="Q145" s="1">
        <v>84.0</v>
      </c>
      <c r="R145" s="1">
        <v>956.0</v>
      </c>
      <c r="S145" s="1">
        <v>686.0</v>
      </c>
      <c r="T145" s="1">
        <v>236.0</v>
      </c>
      <c r="U145" s="1">
        <v>144.0</v>
      </c>
      <c r="V145" s="1">
        <v>387.0</v>
      </c>
      <c r="W145" s="1">
        <v>15667.0</v>
      </c>
      <c r="X145" s="1">
        <v>3000.0</v>
      </c>
      <c r="Y145" s="1">
        <v>123.0</v>
      </c>
      <c r="Z145" s="1">
        <v>386.0</v>
      </c>
      <c r="AA145" s="1">
        <v>135.0</v>
      </c>
      <c r="AB145" s="1">
        <v>262.0</v>
      </c>
      <c r="AC145" s="1">
        <v>104.0</v>
      </c>
      <c r="AD145" s="1">
        <v>514.0</v>
      </c>
      <c r="AE145" s="1">
        <v>0.0</v>
      </c>
      <c r="AF145" s="1">
        <v>456.0</v>
      </c>
      <c r="AG145" s="1">
        <v>206.0</v>
      </c>
      <c r="AH145" s="1">
        <v>142.0</v>
      </c>
      <c r="AI145" s="1">
        <v>0.0</v>
      </c>
      <c r="AJ145" s="1">
        <v>114.0</v>
      </c>
      <c r="AK145" s="1">
        <v>0.0</v>
      </c>
      <c r="AL145" s="1">
        <v>161.0</v>
      </c>
      <c r="AM145" s="1">
        <v>162.0</v>
      </c>
      <c r="AN145" s="1">
        <v>75.0</v>
      </c>
      <c r="AO145" s="1">
        <v>90.0</v>
      </c>
      <c r="AP145" s="1">
        <v>0.344032</v>
      </c>
      <c r="AQ145" s="1">
        <v>0.108727</v>
      </c>
      <c r="AR145" s="1">
        <v>0.119601</v>
      </c>
      <c r="AS145" s="1">
        <v>0.320579</v>
      </c>
      <c r="AT145" s="1">
        <v>15667.0</v>
      </c>
      <c r="AU145" s="1">
        <v>3000.0</v>
      </c>
      <c r="AV145" s="1">
        <v>0.104591</v>
      </c>
      <c r="AW145" s="1">
        <v>0.327882</v>
      </c>
      <c r="AX145" s="1">
        <v>0.069875</v>
      </c>
      <c r="AY145" s="1">
        <v>0.13561</v>
      </c>
      <c r="AZ145" s="1">
        <v>0.10878661</v>
      </c>
      <c r="BA145" s="1">
        <v>0.266045</v>
      </c>
      <c r="BB145" s="1">
        <v>0.0</v>
      </c>
      <c r="BC145" s="1">
        <v>0.242811</v>
      </c>
      <c r="BD145" s="1">
        <v>0.172818</v>
      </c>
      <c r="BE145" s="1">
        <v>0.118503</v>
      </c>
      <c r="BF145" s="1">
        <v>0.0</v>
      </c>
      <c r="BG145" s="1">
        <v>0.095637</v>
      </c>
      <c r="BH145" s="1">
        <v>0.0</v>
      </c>
      <c r="BI145" s="1">
        <v>0.163451</v>
      </c>
      <c r="BJ145" s="1">
        <v>0.164467</v>
      </c>
      <c r="BK145" s="1">
        <v>0.07332</v>
      </c>
      <c r="BL145" s="1">
        <v>0.046583</v>
      </c>
      <c r="BM145" s="1">
        <v>0.923</v>
      </c>
      <c r="BN145" s="1">
        <v>0.822</v>
      </c>
      <c r="BO145" s="1">
        <v>0.8505</v>
      </c>
      <c r="BP145" s="1">
        <v>0.362</v>
      </c>
      <c r="BQ145" s="1">
        <v>2.9575</v>
      </c>
      <c r="BR145" s="1">
        <v>0.7986</v>
      </c>
      <c r="BS145" s="1">
        <v>0.084</v>
      </c>
      <c r="BT145" s="1">
        <v>0.049</v>
      </c>
      <c r="BU145" s="1">
        <v>0.572</v>
      </c>
      <c r="BV145" s="1">
        <v>0.705</v>
      </c>
      <c r="BW145" s="1">
        <v>0.058</v>
      </c>
      <c r="BX145" s="1">
        <v>0.772</v>
      </c>
      <c r="BY145" s="1">
        <v>0.0</v>
      </c>
      <c r="BZ145" s="1">
        <v>0.772</v>
      </c>
      <c r="CA145" s="1">
        <v>0.377</v>
      </c>
      <c r="CB145" s="1">
        <v>0.871</v>
      </c>
      <c r="CC145" s="1">
        <v>0.0</v>
      </c>
      <c r="CD145" s="1">
        <v>0.0</v>
      </c>
      <c r="CE145" s="1">
        <v>0.876</v>
      </c>
      <c r="CF145" s="1">
        <v>0.885</v>
      </c>
      <c r="CG145" s="1">
        <v>2.632</v>
      </c>
      <c r="CH145" s="1">
        <v>0.615</v>
      </c>
      <c r="CI145" s="1">
        <v>7.0665</v>
      </c>
      <c r="CJ145" s="1">
        <v>0.5625</v>
      </c>
      <c r="CK145" s="1">
        <v>1.0</v>
      </c>
      <c r="CL145" s="1">
        <v>0.0</v>
      </c>
      <c r="CM145" s="1">
        <v>0.0</v>
      </c>
      <c r="CN145" s="1">
        <v>0.0</v>
      </c>
      <c r="CO145" s="1">
        <v>1.0</v>
      </c>
      <c r="CP145" s="1">
        <v>0.0</v>
      </c>
      <c r="CQ145" s="1">
        <v>0.0</v>
      </c>
      <c r="CR145" s="1">
        <v>0.0</v>
      </c>
      <c r="CS145" s="1">
        <v>0.0</v>
      </c>
      <c r="CT145" s="1">
        <v>0.0</v>
      </c>
      <c r="CU145" s="1">
        <v>0.0</v>
      </c>
      <c r="CV145" s="1">
        <v>0.0</v>
      </c>
      <c r="CW145" s="1">
        <v>0.0</v>
      </c>
      <c r="CX145" s="1">
        <v>0.0</v>
      </c>
      <c r="CY145" s="1">
        <v>0.0</v>
      </c>
      <c r="CZ145" s="1">
        <v>0.0</v>
      </c>
      <c r="DA145" s="1">
        <v>0.0</v>
      </c>
      <c r="DB145" s="1">
        <v>0.0</v>
      </c>
      <c r="DC145" s="1">
        <v>1.0</v>
      </c>
      <c r="DD145" s="1" t="s">
        <v>775</v>
      </c>
      <c r="DE145" s="1">
        <v>1.76659432268388E-4</v>
      </c>
      <c r="DF145" s="1">
        <v>0.0637850736037936</v>
      </c>
    </row>
    <row r="146" ht="15.75" customHeight="1">
      <c r="A146" s="1" t="s">
        <v>776</v>
      </c>
      <c r="B146" s="1">
        <v>29.0</v>
      </c>
      <c r="C146" s="2" t="s">
        <v>777</v>
      </c>
      <c r="D146" s="1">
        <v>960100.0</v>
      </c>
      <c r="E146" s="1">
        <v>297.229</v>
      </c>
      <c r="F146" s="1">
        <v>29033.0</v>
      </c>
      <c r="G146" s="1">
        <v>2.90339601E10</v>
      </c>
      <c r="H146" s="1" t="s">
        <v>112</v>
      </c>
      <c r="I146" s="1" t="s">
        <v>113</v>
      </c>
      <c r="J146" s="1" t="s">
        <v>778</v>
      </c>
      <c r="K146" s="1" t="s">
        <v>779</v>
      </c>
      <c r="L146" s="1">
        <v>2530.0</v>
      </c>
      <c r="M146" s="1">
        <v>2559.0</v>
      </c>
      <c r="N146" s="1">
        <v>166.0</v>
      </c>
      <c r="O146" s="1">
        <v>1267.0</v>
      </c>
      <c r="P146" s="1">
        <v>1285.0</v>
      </c>
      <c r="Q146" s="1">
        <v>75.0</v>
      </c>
      <c r="R146" s="1">
        <v>1048.0</v>
      </c>
      <c r="S146" s="1">
        <v>260.0</v>
      </c>
      <c r="T146" s="1">
        <v>104.0</v>
      </c>
      <c r="U146" s="1">
        <v>57.0</v>
      </c>
      <c r="V146" s="1">
        <v>412.0</v>
      </c>
      <c r="W146" s="1">
        <v>25187.0</v>
      </c>
      <c r="X146" s="1">
        <v>3371.0</v>
      </c>
      <c r="Y146" s="1">
        <v>279.0</v>
      </c>
      <c r="Z146" s="1">
        <v>207.0</v>
      </c>
      <c r="AA146" s="1">
        <v>467.0</v>
      </c>
      <c r="AB146" s="1">
        <v>585.0</v>
      </c>
      <c r="AC146" s="1">
        <v>77.0</v>
      </c>
      <c r="AD146" s="1">
        <v>68.0</v>
      </c>
      <c r="AE146" s="1">
        <v>5.0</v>
      </c>
      <c r="AF146" s="1">
        <v>442.0</v>
      </c>
      <c r="AG146" s="1">
        <v>3.0</v>
      </c>
      <c r="AH146" s="1">
        <v>161.0</v>
      </c>
      <c r="AI146" s="1">
        <v>144.0</v>
      </c>
      <c r="AJ146" s="1">
        <v>36.0</v>
      </c>
      <c r="AK146" s="1">
        <v>0.0</v>
      </c>
      <c r="AL146" s="1">
        <v>161.0</v>
      </c>
      <c r="AM146" s="1">
        <v>27.0</v>
      </c>
      <c r="AN146" s="1">
        <v>15.0</v>
      </c>
      <c r="AO146" s="1">
        <v>0.0</v>
      </c>
      <c r="AP146" s="1">
        <v>0.101801</v>
      </c>
      <c r="AQ146" s="1">
        <v>0.040172</v>
      </c>
      <c r="AR146" s="1">
        <v>0.044776</v>
      </c>
      <c r="AS146" s="1">
        <v>0.323615</v>
      </c>
      <c r="AT146" s="1">
        <v>25187.0</v>
      </c>
      <c r="AU146" s="1">
        <v>3371.0</v>
      </c>
      <c r="AV146" s="1">
        <v>0.153634</v>
      </c>
      <c r="AW146" s="1">
        <v>0.113421</v>
      </c>
      <c r="AX146" s="1">
        <v>0.184584</v>
      </c>
      <c r="AY146" s="1">
        <v>0.231225</v>
      </c>
      <c r="AZ146" s="1">
        <v>0.07347328</v>
      </c>
      <c r="BA146" s="1">
        <v>0.026877</v>
      </c>
      <c r="BB146" s="1">
        <v>0.002066</v>
      </c>
      <c r="BC146" s="1">
        <v>0.182644</v>
      </c>
      <c r="BD146" s="1">
        <v>0.002334</v>
      </c>
      <c r="BE146" s="1">
        <v>0.125291</v>
      </c>
      <c r="BF146" s="1">
        <v>0.112062</v>
      </c>
      <c r="BG146" s="1">
        <v>0.027241</v>
      </c>
      <c r="BH146" s="1">
        <v>0.0</v>
      </c>
      <c r="BI146" s="1">
        <v>0.15451</v>
      </c>
      <c r="BJ146" s="1">
        <v>0.025911</v>
      </c>
      <c r="BK146" s="1">
        <v>0.01428</v>
      </c>
      <c r="BL146" s="1">
        <v>0.0</v>
      </c>
      <c r="BM146" s="1">
        <v>0.376</v>
      </c>
      <c r="BN146" s="1">
        <v>0.236</v>
      </c>
      <c r="BO146" s="1">
        <v>0.3394</v>
      </c>
      <c r="BP146" s="1">
        <v>0.582</v>
      </c>
      <c r="BQ146" s="1">
        <v>1.5334</v>
      </c>
      <c r="BR146" s="1">
        <v>0.3516</v>
      </c>
      <c r="BS146" s="1">
        <v>0.815</v>
      </c>
      <c r="BT146" s="1">
        <v>0.4</v>
      </c>
      <c r="BU146" s="1">
        <v>0.243</v>
      </c>
      <c r="BV146" s="1">
        <v>1.458</v>
      </c>
      <c r="BW146" s="1">
        <v>0.443</v>
      </c>
      <c r="BX146" s="1">
        <v>0.057</v>
      </c>
      <c r="BY146" s="1">
        <v>0.382</v>
      </c>
      <c r="BZ146" s="1">
        <v>0.439</v>
      </c>
      <c r="CA146" s="1">
        <v>0.183</v>
      </c>
      <c r="CB146" s="1">
        <v>0.276</v>
      </c>
      <c r="CC146" s="1">
        <v>0.744</v>
      </c>
      <c r="CD146" s="1">
        <v>0.0</v>
      </c>
      <c r="CE146" s="1">
        <v>0.248</v>
      </c>
      <c r="CF146" s="1">
        <v>0.0</v>
      </c>
      <c r="CG146" s="1">
        <v>1.268</v>
      </c>
      <c r="CH146" s="1">
        <v>0.122</v>
      </c>
      <c r="CI146" s="1">
        <v>4.6984</v>
      </c>
      <c r="CJ146" s="1">
        <v>0.1603</v>
      </c>
      <c r="CK146" s="1">
        <v>0.0</v>
      </c>
      <c r="CL146" s="1">
        <v>0.0</v>
      </c>
      <c r="CM146" s="1">
        <v>0.0</v>
      </c>
      <c r="CN146" s="1">
        <v>0.0</v>
      </c>
      <c r="CO146" s="1">
        <v>0.0</v>
      </c>
      <c r="CP146" s="1">
        <v>0.0</v>
      </c>
      <c r="CQ146" s="1">
        <v>0.0</v>
      </c>
      <c r="CR146" s="1">
        <v>0.0</v>
      </c>
      <c r="CS146" s="1">
        <v>0.0</v>
      </c>
      <c r="CT146" s="1">
        <v>0.0</v>
      </c>
      <c r="CU146" s="1">
        <v>0.0</v>
      </c>
      <c r="CV146" s="1">
        <v>0.0</v>
      </c>
      <c r="CW146" s="1">
        <v>0.0</v>
      </c>
      <c r="CX146" s="1">
        <v>0.0</v>
      </c>
      <c r="CY146" s="1">
        <v>0.0</v>
      </c>
      <c r="CZ146" s="1">
        <v>0.0</v>
      </c>
      <c r="DA146" s="1">
        <v>0.0</v>
      </c>
      <c r="DB146" s="1">
        <v>0.0</v>
      </c>
      <c r="DC146" s="1">
        <v>0.0</v>
      </c>
      <c r="DD146" s="1" t="s">
        <v>780</v>
      </c>
      <c r="DE146" s="1">
        <v>0.0817665536148912</v>
      </c>
      <c r="DF146" s="2" t="s">
        <v>781</v>
      </c>
    </row>
    <row r="147" ht="15.75" customHeight="1">
      <c r="A147" s="1" t="s">
        <v>782</v>
      </c>
      <c r="B147" s="1">
        <v>29.0</v>
      </c>
      <c r="C147" s="2" t="s">
        <v>777</v>
      </c>
      <c r="D147" s="1">
        <v>960200.0</v>
      </c>
      <c r="E147" s="1">
        <v>376.858</v>
      </c>
      <c r="F147" s="1">
        <v>29033.0</v>
      </c>
      <c r="G147" s="1">
        <v>2.90339602E10</v>
      </c>
      <c r="H147" s="1" t="s">
        <v>112</v>
      </c>
      <c r="I147" s="1" t="s">
        <v>113</v>
      </c>
      <c r="J147" s="1" t="s">
        <v>778</v>
      </c>
      <c r="K147" s="1" t="s">
        <v>783</v>
      </c>
      <c r="L147" s="1">
        <v>2645.0</v>
      </c>
      <c r="M147" s="1">
        <v>2818.0</v>
      </c>
      <c r="N147" s="1">
        <v>179.0</v>
      </c>
      <c r="O147" s="1">
        <v>1335.0</v>
      </c>
      <c r="P147" s="1">
        <v>1380.0</v>
      </c>
      <c r="Q147" s="1">
        <v>82.0</v>
      </c>
      <c r="R147" s="1">
        <v>1096.0</v>
      </c>
      <c r="S147" s="1">
        <v>219.0</v>
      </c>
      <c r="T147" s="1">
        <v>84.0</v>
      </c>
      <c r="U147" s="1">
        <v>33.0</v>
      </c>
      <c r="V147" s="1">
        <v>427.0</v>
      </c>
      <c r="W147" s="1">
        <v>23467.0</v>
      </c>
      <c r="X147" s="1">
        <v>2179.0</v>
      </c>
      <c r="Y147" s="1">
        <v>290.0</v>
      </c>
      <c r="Z147" s="1">
        <v>240.0</v>
      </c>
      <c r="AA147" s="1">
        <v>501.0</v>
      </c>
      <c r="AB147" s="1">
        <v>606.0</v>
      </c>
      <c r="AC147" s="1">
        <v>83.0</v>
      </c>
      <c r="AD147" s="1">
        <v>85.0</v>
      </c>
      <c r="AE147" s="1">
        <v>2.0</v>
      </c>
      <c r="AF147" s="1">
        <v>442.0</v>
      </c>
      <c r="AG147" s="1">
        <v>0.0</v>
      </c>
      <c r="AH147" s="1">
        <v>197.0</v>
      </c>
      <c r="AI147" s="1">
        <v>171.0</v>
      </c>
      <c r="AJ147" s="1">
        <v>51.0</v>
      </c>
      <c r="AK147" s="1">
        <v>14.0</v>
      </c>
      <c r="AL147" s="1">
        <v>115.0</v>
      </c>
      <c r="AM147" s="1">
        <v>35.0</v>
      </c>
      <c r="AN147" s="1">
        <v>19.0</v>
      </c>
      <c r="AO147" s="1">
        <v>0.0</v>
      </c>
      <c r="AP147" s="1">
        <v>0.077742</v>
      </c>
      <c r="AQ147" s="1">
        <v>0.029406</v>
      </c>
      <c r="AR147" s="1">
        <v>0.02568</v>
      </c>
      <c r="AS147" s="1">
        <v>0.332286</v>
      </c>
      <c r="AT147" s="1">
        <v>23467.0</v>
      </c>
      <c r="AU147" s="1">
        <v>2179.0</v>
      </c>
      <c r="AV147" s="1">
        <v>0.150181</v>
      </c>
      <c r="AW147" s="1">
        <v>0.123919</v>
      </c>
      <c r="AX147" s="1">
        <v>0.189413</v>
      </c>
      <c r="AY147" s="1">
        <v>0.229111</v>
      </c>
      <c r="AZ147" s="1">
        <v>0.07572992</v>
      </c>
      <c r="BA147" s="1">
        <v>0.032136</v>
      </c>
      <c r="BB147" s="1">
        <v>7.44E-4</v>
      </c>
      <c r="BC147" s="1">
        <v>0.164618</v>
      </c>
      <c r="BD147" s="1">
        <v>0.0</v>
      </c>
      <c r="BE147" s="1">
        <v>0.142753</v>
      </c>
      <c r="BF147" s="1">
        <v>0.123913</v>
      </c>
      <c r="BG147" s="1">
        <v>0.036215</v>
      </c>
      <c r="BH147" s="1">
        <v>0.012962</v>
      </c>
      <c r="BI147" s="1">
        <v>0.106476</v>
      </c>
      <c r="BJ147" s="1">
        <v>0.032407</v>
      </c>
      <c r="BK147" s="1">
        <v>0.017402</v>
      </c>
      <c r="BL147" s="1">
        <v>0.0</v>
      </c>
      <c r="BM147" s="1">
        <v>0.284</v>
      </c>
      <c r="BN147" s="1">
        <v>0.055</v>
      </c>
      <c r="BO147" s="1">
        <v>0.426</v>
      </c>
      <c r="BP147" s="1">
        <v>0.567</v>
      </c>
      <c r="BQ147" s="1">
        <v>1.332</v>
      </c>
      <c r="BR147" s="1">
        <v>0.2888</v>
      </c>
      <c r="BS147" s="1">
        <v>0.836</v>
      </c>
      <c r="BT147" s="1">
        <v>0.375</v>
      </c>
      <c r="BU147" s="1">
        <v>0.262</v>
      </c>
      <c r="BV147" s="1">
        <v>1.473</v>
      </c>
      <c r="BW147" s="1">
        <v>0.457</v>
      </c>
      <c r="BX147" s="1">
        <v>0.096</v>
      </c>
      <c r="BY147" s="1">
        <v>0.326</v>
      </c>
      <c r="BZ147" s="1">
        <v>0.422</v>
      </c>
      <c r="CA147" s="1">
        <v>0.174</v>
      </c>
      <c r="CB147" s="1">
        <v>0.0</v>
      </c>
      <c r="CC147" s="1">
        <v>0.767</v>
      </c>
      <c r="CD147" s="1">
        <v>0.547</v>
      </c>
      <c r="CE147" s="1">
        <v>0.306</v>
      </c>
      <c r="CF147" s="1">
        <v>0.0</v>
      </c>
      <c r="CG147" s="1">
        <v>1.62</v>
      </c>
      <c r="CH147" s="1">
        <v>0.207</v>
      </c>
      <c r="CI147" s="1">
        <v>4.847</v>
      </c>
      <c r="CJ147" s="1">
        <v>0.1848</v>
      </c>
      <c r="CK147" s="1">
        <v>0.0</v>
      </c>
      <c r="CL147" s="1">
        <v>0.0</v>
      </c>
      <c r="CM147" s="1">
        <v>0.0</v>
      </c>
      <c r="CN147" s="1">
        <v>0.0</v>
      </c>
      <c r="CO147" s="1">
        <v>0.0</v>
      </c>
      <c r="CP147" s="1">
        <v>0.0</v>
      </c>
      <c r="CQ147" s="1">
        <v>0.0</v>
      </c>
      <c r="CR147" s="1">
        <v>0.0</v>
      </c>
      <c r="CS147" s="1">
        <v>0.0</v>
      </c>
      <c r="CT147" s="1">
        <v>0.0</v>
      </c>
      <c r="CU147" s="1">
        <v>0.0</v>
      </c>
      <c r="CV147" s="1">
        <v>0.0</v>
      </c>
      <c r="CW147" s="1">
        <v>0.0</v>
      </c>
      <c r="CX147" s="1">
        <v>0.0</v>
      </c>
      <c r="CY147" s="1">
        <v>0.0</v>
      </c>
      <c r="CZ147" s="1">
        <v>0.0</v>
      </c>
      <c r="DA147" s="1">
        <v>0.0</v>
      </c>
      <c r="DB147" s="1">
        <v>0.0</v>
      </c>
      <c r="DC147" s="1">
        <v>0.0</v>
      </c>
      <c r="DD147" s="1" t="s">
        <v>784</v>
      </c>
      <c r="DE147" s="2" t="s">
        <v>785</v>
      </c>
      <c r="DF147" s="2" t="s">
        <v>786</v>
      </c>
    </row>
    <row r="148" ht="15.75" customHeight="1">
      <c r="A148" s="1" t="s">
        <v>787</v>
      </c>
      <c r="B148" s="1">
        <v>29.0</v>
      </c>
      <c r="C148" s="2" t="s">
        <v>777</v>
      </c>
      <c r="D148" s="1">
        <v>960300.0</v>
      </c>
      <c r="E148" s="1">
        <v>20.534</v>
      </c>
      <c r="F148" s="1">
        <v>29033.0</v>
      </c>
      <c r="G148" s="1">
        <v>2.90339603E10</v>
      </c>
      <c r="H148" s="1" t="s">
        <v>112</v>
      </c>
      <c r="I148" s="1" t="s">
        <v>113</v>
      </c>
      <c r="J148" s="1" t="s">
        <v>778</v>
      </c>
      <c r="K148" s="1" t="s">
        <v>788</v>
      </c>
      <c r="L148" s="1">
        <v>4120.0</v>
      </c>
      <c r="M148" s="1">
        <v>4108.0</v>
      </c>
      <c r="N148" s="1">
        <v>199.0</v>
      </c>
      <c r="O148" s="1">
        <v>2028.0</v>
      </c>
      <c r="P148" s="1">
        <v>2040.0</v>
      </c>
      <c r="Q148" s="1">
        <v>112.0</v>
      </c>
      <c r="R148" s="1">
        <v>1721.0</v>
      </c>
      <c r="S148" s="1">
        <v>753.0</v>
      </c>
      <c r="T148" s="1">
        <v>280.0</v>
      </c>
      <c r="U148" s="1">
        <v>184.0</v>
      </c>
      <c r="V148" s="1">
        <v>369.0</v>
      </c>
      <c r="W148" s="1">
        <v>25983.0</v>
      </c>
      <c r="X148" s="1">
        <v>8384.0</v>
      </c>
      <c r="Y148" s="1">
        <v>472.0</v>
      </c>
      <c r="Z148" s="1">
        <v>229.0</v>
      </c>
      <c r="AA148" s="1">
        <v>811.0</v>
      </c>
      <c r="AB148" s="1">
        <v>1001.0</v>
      </c>
      <c r="AC148" s="1">
        <v>208.0</v>
      </c>
      <c r="AD148" s="1">
        <v>249.0</v>
      </c>
      <c r="AE148" s="1">
        <v>15.0</v>
      </c>
      <c r="AF148" s="1">
        <v>442.0</v>
      </c>
      <c r="AG148" s="1">
        <v>95.0</v>
      </c>
      <c r="AH148" s="1">
        <v>72.0</v>
      </c>
      <c r="AI148" s="1">
        <v>74.0</v>
      </c>
      <c r="AJ148" s="1">
        <v>54.0</v>
      </c>
      <c r="AK148" s="1">
        <v>46.0</v>
      </c>
      <c r="AL148" s="1">
        <v>123.0</v>
      </c>
      <c r="AM148" s="1">
        <v>128.0</v>
      </c>
      <c r="AN148" s="1">
        <v>63.0</v>
      </c>
      <c r="AO148" s="1">
        <v>88.0</v>
      </c>
      <c r="AP148" s="1">
        <v>0.183927</v>
      </c>
      <c r="AQ148" s="1">
        <v>0.067805</v>
      </c>
      <c r="AR148" s="1">
        <v>0.097664</v>
      </c>
      <c r="AS148" s="1">
        <v>0.195619</v>
      </c>
      <c r="AT148" s="1">
        <v>25983.0</v>
      </c>
      <c r="AU148" s="1">
        <v>8384.0</v>
      </c>
      <c r="AV148" s="1">
        <v>0.168691</v>
      </c>
      <c r="AW148" s="1">
        <v>0.081113</v>
      </c>
      <c r="AX148" s="1">
        <v>0.196844</v>
      </c>
      <c r="AY148" s="1">
        <v>0.242961</v>
      </c>
      <c r="AZ148" s="1">
        <v>0.12085996</v>
      </c>
      <c r="BA148" s="1">
        <v>0.060436</v>
      </c>
      <c r="BB148" s="1">
        <v>0.003904</v>
      </c>
      <c r="BC148" s="1">
        <v>0.115044</v>
      </c>
      <c r="BD148" s="1">
        <v>0.046568</v>
      </c>
      <c r="BE148" s="1">
        <v>0.035201</v>
      </c>
      <c r="BF148" s="1">
        <v>0.036274</v>
      </c>
      <c r="BG148" s="1">
        <v>0.026395</v>
      </c>
      <c r="BH148" s="1">
        <v>0.026345</v>
      </c>
      <c r="BI148" s="1">
        <v>0.07043</v>
      </c>
      <c r="BJ148" s="1">
        <v>0.07331</v>
      </c>
      <c r="BK148" s="1">
        <v>0.035832</v>
      </c>
      <c r="BL148" s="1">
        <v>0.021359</v>
      </c>
      <c r="BM148" s="1">
        <v>0.684</v>
      </c>
      <c r="BN148" s="1">
        <v>0.72</v>
      </c>
      <c r="BO148" s="1">
        <v>0.3119</v>
      </c>
      <c r="BP148" s="1">
        <v>0.651</v>
      </c>
      <c r="BQ148" s="1">
        <v>2.3669</v>
      </c>
      <c r="BR148" s="1">
        <v>0.6209</v>
      </c>
      <c r="BS148" s="1">
        <v>0.86</v>
      </c>
      <c r="BT148" s="1">
        <v>0.525</v>
      </c>
      <c r="BU148" s="1">
        <v>0.674</v>
      </c>
      <c r="BV148" s="1">
        <v>2.059</v>
      </c>
      <c r="BW148" s="1">
        <v>0.897</v>
      </c>
      <c r="BX148" s="1">
        <v>0.315</v>
      </c>
      <c r="BY148" s="1">
        <v>0.51</v>
      </c>
      <c r="BZ148" s="1">
        <v>0.825</v>
      </c>
      <c r="CA148" s="1">
        <v>0.417</v>
      </c>
      <c r="CB148" s="1">
        <v>0.641</v>
      </c>
      <c r="CC148" s="1">
        <v>0.569</v>
      </c>
      <c r="CD148" s="1">
        <v>0.774</v>
      </c>
      <c r="CE148" s="1">
        <v>0.641</v>
      </c>
      <c r="CF148" s="1">
        <v>0.723</v>
      </c>
      <c r="CG148" s="1">
        <v>3.348</v>
      </c>
      <c r="CH148" s="1">
        <v>0.893</v>
      </c>
      <c r="CI148" s="1">
        <v>8.5989</v>
      </c>
      <c r="CJ148" s="1">
        <v>0.8036</v>
      </c>
      <c r="CK148" s="1">
        <v>0.0</v>
      </c>
      <c r="CL148" s="1">
        <v>0.0</v>
      </c>
      <c r="CM148" s="1">
        <v>0.0</v>
      </c>
      <c r="CN148" s="1">
        <v>0.0</v>
      </c>
      <c r="CO148" s="1">
        <v>0.0</v>
      </c>
      <c r="CP148" s="1">
        <v>0.0</v>
      </c>
      <c r="CQ148" s="1">
        <v>0.0</v>
      </c>
      <c r="CR148" s="1">
        <v>0.0</v>
      </c>
      <c r="CS148" s="1">
        <v>0.0</v>
      </c>
      <c r="CT148" s="1">
        <v>0.0</v>
      </c>
      <c r="CU148" s="1">
        <v>0.0</v>
      </c>
      <c r="CV148" s="1">
        <v>0.0</v>
      </c>
      <c r="CW148" s="1">
        <v>0.0</v>
      </c>
      <c r="CX148" s="1">
        <v>0.0</v>
      </c>
      <c r="CY148" s="1">
        <v>0.0</v>
      </c>
      <c r="CZ148" s="1">
        <v>0.0</v>
      </c>
      <c r="DA148" s="1">
        <v>0.0</v>
      </c>
      <c r="DB148" s="1">
        <v>0.0</v>
      </c>
      <c r="DC148" s="1">
        <v>0.0</v>
      </c>
      <c r="DD148" s="1" t="s">
        <v>789</v>
      </c>
      <c r="DE148" s="1">
        <v>0.00559376045934546</v>
      </c>
      <c r="DF148" s="2" t="s">
        <v>790</v>
      </c>
    </row>
    <row r="149" ht="15.75" customHeight="1">
      <c r="A149" s="1" t="s">
        <v>791</v>
      </c>
      <c r="B149" s="1">
        <v>29.0</v>
      </c>
      <c r="C149" s="2" t="s">
        <v>792</v>
      </c>
      <c r="D149" s="1">
        <v>960100.0</v>
      </c>
      <c r="E149" s="1">
        <v>231.481</v>
      </c>
      <c r="F149" s="1">
        <v>29035.0</v>
      </c>
      <c r="G149" s="1">
        <v>2.90359601E10</v>
      </c>
      <c r="H149" s="1" t="s">
        <v>112</v>
      </c>
      <c r="I149" s="1" t="s">
        <v>113</v>
      </c>
      <c r="J149" s="1" t="s">
        <v>793</v>
      </c>
      <c r="K149" s="1" t="s">
        <v>794</v>
      </c>
      <c r="L149" s="1">
        <v>3728.0</v>
      </c>
      <c r="M149" s="1">
        <v>3750.0</v>
      </c>
      <c r="N149" s="1">
        <v>324.0</v>
      </c>
      <c r="O149" s="1">
        <v>1768.0</v>
      </c>
      <c r="P149" s="1">
        <v>1749.0</v>
      </c>
      <c r="Q149" s="1">
        <v>88.0</v>
      </c>
      <c r="R149" s="1">
        <v>1458.0</v>
      </c>
      <c r="S149" s="1">
        <v>760.0</v>
      </c>
      <c r="T149" s="1">
        <v>252.0</v>
      </c>
      <c r="U149" s="1">
        <v>69.0</v>
      </c>
      <c r="V149" s="1">
        <v>414.0</v>
      </c>
      <c r="W149" s="1">
        <v>16526.0</v>
      </c>
      <c r="X149" s="1">
        <v>2669.0</v>
      </c>
      <c r="Y149" s="1">
        <v>692.0</v>
      </c>
      <c r="Z149" s="1">
        <v>200.0</v>
      </c>
      <c r="AA149" s="1">
        <v>526.0</v>
      </c>
      <c r="AB149" s="1">
        <v>974.0</v>
      </c>
      <c r="AC149" s="1">
        <v>165.0</v>
      </c>
      <c r="AD149" s="1">
        <v>121.0</v>
      </c>
      <c r="AE149" s="1">
        <v>0.0</v>
      </c>
      <c r="AF149" s="1">
        <v>456.0</v>
      </c>
      <c r="AG149" s="1">
        <v>0.0</v>
      </c>
      <c r="AH149" s="1">
        <v>197.0</v>
      </c>
      <c r="AI149" s="1">
        <v>433.0</v>
      </c>
      <c r="AJ149" s="1">
        <v>141.0</v>
      </c>
      <c r="AK149" s="1">
        <v>7.0</v>
      </c>
      <c r="AL149" s="1">
        <v>114.0</v>
      </c>
      <c r="AM149" s="1">
        <v>126.0</v>
      </c>
      <c r="AN149" s="1">
        <v>85.0</v>
      </c>
      <c r="AO149" s="1">
        <v>0.0</v>
      </c>
      <c r="AP149" s="1">
        <v>0.202991</v>
      </c>
      <c r="AQ149" s="1">
        <v>0.064974</v>
      </c>
      <c r="AR149" s="1">
        <v>0.042435</v>
      </c>
      <c r="AS149" s="1">
        <v>0.25455</v>
      </c>
      <c r="AT149" s="1">
        <v>16526.0</v>
      </c>
      <c r="AU149" s="1">
        <v>2669.0</v>
      </c>
      <c r="AV149" s="1">
        <v>0.278358</v>
      </c>
      <c r="AW149" s="1">
        <v>0.077303</v>
      </c>
      <c r="AX149" s="1">
        <v>0.141094</v>
      </c>
      <c r="AY149" s="1">
        <v>0.261266</v>
      </c>
      <c r="AZ149" s="1">
        <v>0.11316872</v>
      </c>
      <c r="BA149" s="1">
        <v>0.032457</v>
      </c>
      <c r="BB149" s="1">
        <v>0.0</v>
      </c>
      <c r="BC149" s="1">
        <v>0.129141</v>
      </c>
      <c r="BD149" s="1">
        <v>0.0</v>
      </c>
      <c r="BE149" s="1">
        <v>0.112635</v>
      </c>
      <c r="BF149" s="1">
        <v>0.24757</v>
      </c>
      <c r="BG149" s="1">
        <v>0.079649</v>
      </c>
      <c r="BH149" s="1">
        <v>0.004644</v>
      </c>
      <c r="BI149" s="1">
        <v>0.075646</v>
      </c>
      <c r="BJ149" s="1">
        <v>0.083609</v>
      </c>
      <c r="BK149" s="1">
        <v>0.05609</v>
      </c>
      <c r="BL149" s="1">
        <v>0.0</v>
      </c>
      <c r="BM149" s="1">
        <v>0.739</v>
      </c>
      <c r="BN149" s="1">
        <v>0.213</v>
      </c>
      <c r="BO149" s="1">
        <v>0.8116</v>
      </c>
      <c r="BP149" s="1">
        <v>0.918</v>
      </c>
      <c r="BQ149" s="1">
        <v>2.6816</v>
      </c>
      <c r="BR149" s="1">
        <v>0.7162</v>
      </c>
      <c r="BS149" s="1">
        <v>0.507</v>
      </c>
      <c r="BT149" s="1">
        <v>0.71</v>
      </c>
      <c r="BU149" s="1">
        <v>0.613</v>
      </c>
      <c r="BV149" s="1">
        <v>1.83</v>
      </c>
      <c r="BW149" s="1">
        <v>0.751</v>
      </c>
      <c r="BX149" s="1">
        <v>0.099</v>
      </c>
      <c r="BY149" s="1">
        <v>0.0</v>
      </c>
      <c r="BZ149" s="1">
        <v>0.099</v>
      </c>
      <c r="CA149" s="1">
        <v>0.048</v>
      </c>
      <c r="CB149" s="1">
        <v>0.0</v>
      </c>
      <c r="CC149" s="1">
        <v>0.948</v>
      </c>
      <c r="CD149" s="1">
        <v>0.325</v>
      </c>
      <c r="CE149" s="1">
        <v>0.697</v>
      </c>
      <c r="CF149" s="1">
        <v>0.0</v>
      </c>
      <c r="CG149" s="1">
        <v>1.97</v>
      </c>
      <c r="CH149" s="1">
        <v>0.335</v>
      </c>
      <c r="CI149" s="1">
        <v>6.5806</v>
      </c>
      <c r="CJ149" s="1">
        <v>0.4744</v>
      </c>
      <c r="CK149" s="1">
        <v>0.0</v>
      </c>
      <c r="CL149" s="1">
        <v>0.0</v>
      </c>
      <c r="CM149" s="1">
        <v>0.0</v>
      </c>
      <c r="CN149" s="1">
        <v>1.0</v>
      </c>
      <c r="CO149" s="1">
        <v>1.0</v>
      </c>
      <c r="CP149" s="1">
        <v>0.0</v>
      </c>
      <c r="CQ149" s="1">
        <v>0.0</v>
      </c>
      <c r="CR149" s="1">
        <v>0.0</v>
      </c>
      <c r="CS149" s="1">
        <v>0.0</v>
      </c>
      <c r="CT149" s="1">
        <v>0.0</v>
      </c>
      <c r="CU149" s="1">
        <v>0.0</v>
      </c>
      <c r="CV149" s="1">
        <v>0.0</v>
      </c>
      <c r="CW149" s="1">
        <v>0.0</v>
      </c>
      <c r="CX149" s="1">
        <v>1.0</v>
      </c>
      <c r="CY149" s="1">
        <v>0.0</v>
      </c>
      <c r="CZ149" s="1">
        <v>0.0</v>
      </c>
      <c r="DA149" s="1">
        <v>0.0</v>
      </c>
      <c r="DB149" s="1">
        <v>1.0</v>
      </c>
      <c r="DC149" s="1">
        <v>2.0</v>
      </c>
      <c r="DD149" s="1" t="s">
        <v>795</v>
      </c>
      <c r="DE149" s="1">
        <v>0.0608213205178267</v>
      </c>
      <c r="DF149" s="2" t="s">
        <v>796</v>
      </c>
    </row>
    <row r="150" ht="15.75" customHeight="1">
      <c r="A150" s="1" t="s">
        <v>797</v>
      </c>
      <c r="B150" s="1">
        <v>29.0</v>
      </c>
      <c r="C150" s="2" t="s">
        <v>792</v>
      </c>
      <c r="D150" s="1">
        <v>960200.0</v>
      </c>
      <c r="E150" s="1">
        <v>275.88</v>
      </c>
      <c r="F150" s="1">
        <v>29035.0</v>
      </c>
      <c r="G150" s="1">
        <v>2.90359602E10</v>
      </c>
      <c r="H150" s="1" t="s">
        <v>112</v>
      </c>
      <c r="I150" s="1" t="s">
        <v>113</v>
      </c>
      <c r="J150" s="1" t="s">
        <v>793</v>
      </c>
      <c r="K150" s="1" t="s">
        <v>798</v>
      </c>
      <c r="L150" s="1">
        <v>2537.0</v>
      </c>
      <c r="M150" s="1">
        <v>2391.0</v>
      </c>
      <c r="N150" s="1">
        <v>324.0</v>
      </c>
      <c r="O150" s="1">
        <v>1479.0</v>
      </c>
      <c r="P150" s="1">
        <v>1480.0</v>
      </c>
      <c r="Q150" s="1">
        <v>86.0</v>
      </c>
      <c r="R150" s="1">
        <v>1101.0</v>
      </c>
      <c r="S150" s="1">
        <v>443.0</v>
      </c>
      <c r="T150" s="1">
        <v>234.0</v>
      </c>
      <c r="U150" s="1">
        <v>169.0</v>
      </c>
      <c r="V150" s="1">
        <v>418.0</v>
      </c>
      <c r="W150" s="1">
        <v>14871.0</v>
      </c>
      <c r="X150" s="1">
        <v>2288.0</v>
      </c>
      <c r="Y150" s="1">
        <v>314.0</v>
      </c>
      <c r="Z150" s="1">
        <v>297.0</v>
      </c>
      <c r="AA150" s="1">
        <v>514.0</v>
      </c>
      <c r="AB150" s="1">
        <v>541.0</v>
      </c>
      <c r="AC150" s="1">
        <v>115.0</v>
      </c>
      <c r="AD150" s="1">
        <v>152.0</v>
      </c>
      <c r="AE150" s="1">
        <v>0.0</v>
      </c>
      <c r="AF150" s="1">
        <v>456.0</v>
      </c>
      <c r="AG150" s="1">
        <v>0.0</v>
      </c>
      <c r="AH150" s="1">
        <v>197.0</v>
      </c>
      <c r="AI150" s="1">
        <v>257.0</v>
      </c>
      <c r="AJ150" s="1">
        <v>109.0</v>
      </c>
      <c r="AK150" s="1">
        <v>0.0</v>
      </c>
      <c r="AL150" s="1">
        <v>161.0</v>
      </c>
      <c r="AM150" s="1">
        <v>44.0</v>
      </c>
      <c r="AN150" s="1">
        <v>28.0</v>
      </c>
      <c r="AO150" s="1">
        <v>40.0</v>
      </c>
      <c r="AP150" s="1">
        <v>0.186056</v>
      </c>
      <c r="AQ150" s="1">
        <v>0.09496</v>
      </c>
      <c r="AR150" s="1">
        <v>0.160952</v>
      </c>
      <c r="AS150" s="1">
        <v>0.396877</v>
      </c>
      <c r="AT150" s="1">
        <v>14871.0</v>
      </c>
      <c r="AU150" s="1">
        <v>2288.0</v>
      </c>
      <c r="AV150" s="1">
        <v>0.190418</v>
      </c>
      <c r="AW150" s="1">
        <v>0.178546</v>
      </c>
      <c r="AX150" s="1">
        <v>0.202601</v>
      </c>
      <c r="AY150" s="1">
        <v>0.213243</v>
      </c>
      <c r="AZ150" s="1">
        <v>0.10445049000000001</v>
      </c>
      <c r="BA150" s="1">
        <v>0.059913</v>
      </c>
      <c r="BB150" s="1">
        <v>0.0</v>
      </c>
      <c r="BC150" s="1">
        <v>0.211306</v>
      </c>
      <c r="BD150" s="1">
        <v>0.0</v>
      </c>
      <c r="BE150" s="1">
        <v>0.133108</v>
      </c>
      <c r="BF150" s="1">
        <v>0.173648</v>
      </c>
      <c r="BG150" s="1">
        <v>0.072954</v>
      </c>
      <c r="BH150" s="1">
        <v>0.0</v>
      </c>
      <c r="BI150" s="1">
        <v>0.173491</v>
      </c>
      <c r="BJ150" s="1">
        <v>0.047413</v>
      </c>
      <c r="BK150" s="1">
        <v>0.029324</v>
      </c>
      <c r="BL150" s="1">
        <v>0.015766</v>
      </c>
      <c r="BM150" s="1">
        <v>0.692</v>
      </c>
      <c r="BN150" s="1">
        <v>0.912</v>
      </c>
      <c r="BO150" s="1">
        <v>0.8809</v>
      </c>
      <c r="BP150" s="1">
        <v>0.726</v>
      </c>
      <c r="BQ150" s="1">
        <v>3.2109</v>
      </c>
      <c r="BR150" s="1">
        <v>0.8549</v>
      </c>
      <c r="BS150" s="1">
        <v>0.883</v>
      </c>
      <c r="BT150" s="1">
        <v>0.251</v>
      </c>
      <c r="BU150" s="1">
        <v>0.535</v>
      </c>
      <c r="BV150" s="1">
        <v>1.669</v>
      </c>
      <c r="BW150" s="1">
        <v>0.615</v>
      </c>
      <c r="BX150" s="1">
        <v>0.313</v>
      </c>
      <c r="BY150" s="1">
        <v>0.0</v>
      </c>
      <c r="BZ150" s="1">
        <v>0.313</v>
      </c>
      <c r="CA150" s="1">
        <v>0.134</v>
      </c>
      <c r="CB150" s="1">
        <v>0.0</v>
      </c>
      <c r="CC150" s="1">
        <v>0.858</v>
      </c>
      <c r="CD150" s="1">
        <v>0.0</v>
      </c>
      <c r="CE150" s="1">
        <v>0.466</v>
      </c>
      <c r="CF150" s="1">
        <v>0.657</v>
      </c>
      <c r="CG150" s="1">
        <v>1.981</v>
      </c>
      <c r="CH150" s="1">
        <v>0.341</v>
      </c>
      <c r="CI150" s="1">
        <v>7.1739</v>
      </c>
      <c r="CJ150" s="1">
        <v>0.5863</v>
      </c>
      <c r="CK150" s="1">
        <v>0.0</v>
      </c>
      <c r="CL150" s="1">
        <v>1.0</v>
      </c>
      <c r="CM150" s="1">
        <v>0.0</v>
      </c>
      <c r="CN150" s="1">
        <v>0.0</v>
      </c>
      <c r="CO150" s="1">
        <v>1.0</v>
      </c>
      <c r="CP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>
        <v>0.0</v>
      </c>
      <c r="CV150" s="1">
        <v>0.0</v>
      </c>
      <c r="CW150" s="1">
        <v>0.0</v>
      </c>
      <c r="CX150" s="1">
        <v>0.0</v>
      </c>
      <c r="CY150" s="1">
        <v>0.0</v>
      </c>
      <c r="CZ150" s="1">
        <v>0.0</v>
      </c>
      <c r="DA150" s="1">
        <v>0.0</v>
      </c>
      <c r="DB150" s="1">
        <v>0.0</v>
      </c>
      <c r="DC150" s="1">
        <v>1.0</v>
      </c>
      <c r="DD150" s="1" t="s">
        <v>799</v>
      </c>
      <c r="DE150" s="1">
        <v>0.0725498449050858</v>
      </c>
      <c r="DF150" s="2" t="s">
        <v>800</v>
      </c>
    </row>
    <row r="151" ht="15.75" customHeight="1">
      <c r="A151" s="1" t="s">
        <v>801</v>
      </c>
      <c r="B151" s="1">
        <v>29.0</v>
      </c>
      <c r="C151" s="2" t="s">
        <v>802</v>
      </c>
      <c r="D151" s="2" t="s">
        <v>803</v>
      </c>
      <c r="E151" s="1">
        <v>1.172</v>
      </c>
      <c r="F151" s="1">
        <v>29037.0</v>
      </c>
      <c r="G151" s="1">
        <v>2.9037060003E10</v>
      </c>
      <c r="H151" s="1" t="s">
        <v>112</v>
      </c>
      <c r="I151" s="1" t="s">
        <v>113</v>
      </c>
      <c r="J151" s="1" t="s">
        <v>804</v>
      </c>
      <c r="K151" s="1" t="s">
        <v>805</v>
      </c>
      <c r="L151" s="1">
        <v>3354.0</v>
      </c>
      <c r="M151" s="1">
        <v>3417.0</v>
      </c>
      <c r="N151" s="1">
        <v>354.0</v>
      </c>
      <c r="O151" s="1">
        <v>1365.0</v>
      </c>
      <c r="P151" s="1">
        <v>1511.0</v>
      </c>
      <c r="Q151" s="1">
        <v>87.0</v>
      </c>
      <c r="R151" s="1">
        <v>1298.0</v>
      </c>
      <c r="S151" s="1">
        <v>278.0</v>
      </c>
      <c r="T151" s="1">
        <v>179.0</v>
      </c>
      <c r="U151" s="1">
        <v>23.0</v>
      </c>
      <c r="V151" s="1">
        <v>484.0</v>
      </c>
      <c r="W151" s="1">
        <v>22370.0</v>
      </c>
      <c r="X151" s="1">
        <v>2665.0</v>
      </c>
      <c r="Y151" s="1">
        <v>174.0</v>
      </c>
      <c r="Z151" s="1">
        <v>388.0</v>
      </c>
      <c r="AA151" s="1">
        <v>394.0</v>
      </c>
      <c r="AB151" s="1">
        <v>923.0</v>
      </c>
      <c r="AC151" s="1">
        <v>151.0</v>
      </c>
      <c r="AD151" s="1">
        <v>646.0</v>
      </c>
      <c r="AE151" s="1">
        <v>0.0</v>
      </c>
      <c r="AF151" s="1">
        <v>456.0</v>
      </c>
      <c r="AG151" s="1">
        <v>28.0</v>
      </c>
      <c r="AH151" s="1">
        <v>165.0</v>
      </c>
      <c r="AI151" s="1">
        <v>342.0</v>
      </c>
      <c r="AJ151" s="1">
        <v>80.0</v>
      </c>
      <c r="AK151" s="1">
        <v>44.0</v>
      </c>
      <c r="AL151" s="1">
        <v>120.0</v>
      </c>
      <c r="AM151" s="1">
        <v>51.0</v>
      </c>
      <c r="AN151" s="1">
        <v>40.0</v>
      </c>
      <c r="AO151" s="1">
        <v>0.0</v>
      </c>
      <c r="AP151" s="1">
        <v>0.081548</v>
      </c>
      <c r="AQ151" s="1">
        <v>0.051824</v>
      </c>
      <c r="AR151" s="1">
        <v>0.013356</v>
      </c>
      <c r="AS151" s="1">
        <v>0.281058</v>
      </c>
      <c r="AT151" s="1">
        <v>22370.0</v>
      </c>
      <c r="AU151" s="1">
        <v>2665.0</v>
      </c>
      <c r="AV151" s="1">
        <v>0.078307</v>
      </c>
      <c r="AW151" s="1">
        <v>0.174452</v>
      </c>
      <c r="AX151" s="1">
        <v>0.117471</v>
      </c>
      <c r="AY151" s="1">
        <v>0.275193</v>
      </c>
      <c r="AZ151" s="1">
        <v>0.11633281</v>
      </c>
      <c r="BA151" s="1">
        <v>0.192605</v>
      </c>
      <c r="BB151" s="1">
        <v>0.0</v>
      </c>
      <c r="BC151" s="1">
        <v>0.144486</v>
      </c>
      <c r="BD151" s="1">
        <v>0.01853</v>
      </c>
      <c r="BE151" s="1">
        <v>0.109193</v>
      </c>
      <c r="BF151" s="1">
        <v>0.22634</v>
      </c>
      <c r="BG151" s="1">
        <v>0.051316</v>
      </c>
      <c r="BH151" s="1">
        <v>0.032234</v>
      </c>
      <c r="BI151" s="1">
        <v>0.08786</v>
      </c>
      <c r="BJ151" s="1">
        <v>0.037362</v>
      </c>
      <c r="BK151" s="1">
        <v>0.029097</v>
      </c>
      <c r="BL151" s="1">
        <v>0.0</v>
      </c>
      <c r="BM151" s="1">
        <v>0.296</v>
      </c>
      <c r="BN151" s="1">
        <v>0.012</v>
      </c>
      <c r="BO151" s="1">
        <v>0.4758</v>
      </c>
      <c r="BP151" s="1">
        <v>0.239</v>
      </c>
      <c r="BQ151" s="1">
        <v>1.0228</v>
      </c>
      <c r="BR151" s="1">
        <v>0.2058</v>
      </c>
      <c r="BS151" s="1">
        <v>0.325</v>
      </c>
      <c r="BT151" s="1">
        <v>0.823</v>
      </c>
      <c r="BU151" s="1">
        <v>0.644</v>
      </c>
      <c r="BV151" s="1">
        <v>1.792</v>
      </c>
      <c r="BW151" s="1">
        <v>0.712</v>
      </c>
      <c r="BX151" s="1">
        <v>0.702</v>
      </c>
      <c r="BY151" s="1">
        <v>0.0</v>
      </c>
      <c r="BZ151" s="1">
        <v>0.702</v>
      </c>
      <c r="CA151" s="1">
        <v>0.339</v>
      </c>
      <c r="CB151" s="1">
        <v>0.452</v>
      </c>
      <c r="CC151" s="1">
        <v>0.928</v>
      </c>
      <c r="CD151" s="1">
        <v>0.834</v>
      </c>
      <c r="CE151" s="1">
        <v>0.366</v>
      </c>
      <c r="CF151" s="1">
        <v>0.0</v>
      </c>
      <c r="CG151" s="1">
        <v>2.58</v>
      </c>
      <c r="CH151" s="1">
        <v>0.595</v>
      </c>
      <c r="CI151" s="1">
        <v>6.0968</v>
      </c>
      <c r="CJ151" s="1">
        <v>0.3899</v>
      </c>
      <c r="CK151" s="1">
        <v>0.0</v>
      </c>
      <c r="CL151" s="1">
        <v>0.0</v>
      </c>
      <c r="CM151" s="1">
        <v>0.0</v>
      </c>
      <c r="CN151" s="1">
        <v>0.0</v>
      </c>
      <c r="CO151" s="1">
        <v>0.0</v>
      </c>
      <c r="CP151" s="1">
        <v>0.0</v>
      </c>
      <c r="CQ151" s="1">
        <v>0.0</v>
      </c>
      <c r="CR151" s="1">
        <v>0.0</v>
      </c>
      <c r="CS151" s="1">
        <v>0.0</v>
      </c>
      <c r="CT151" s="1">
        <v>0.0</v>
      </c>
      <c r="CU151" s="1">
        <v>0.0</v>
      </c>
      <c r="CV151" s="1">
        <v>0.0</v>
      </c>
      <c r="CW151" s="1">
        <v>0.0</v>
      </c>
      <c r="CX151" s="1">
        <v>1.0</v>
      </c>
      <c r="CY151" s="1">
        <v>0.0</v>
      </c>
      <c r="CZ151" s="1">
        <v>0.0</v>
      </c>
      <c r="DA151" s="1">
        <v>0.0</v>
      </c>
      <c r="DB151" s="1">
        <v>1.0</v>
      </c>
      <c r="DC151" s="1">
        <v>1.0</v>
      </c>
      <c r="DD151" s="1" t="s">
        <v>806</v>
      </c>
      <c r="DE151" s="1">
        <v>3.18115812863051E-4</v>
      </c>
      <c r="DF151" s="1">
        <v>0.0774388368852929</v>
      </c>
    </row>
    <row r="152" ht="15.75" customHeight="1">
      <c r="A152" s="1" t="s">
        <v>807</v>
      </c>
      <c r="B152" s="1">
        <v>29.0</v>
      </c>
      <c r="C152" s="2" t="s">
        <v>802</v>
      </c>
      <c r="D152" s="2" t="s">
        <v>808</v>
      </c>
      <c r="E152" s="1">
        <v>3.403</v>
      </c>
      <c r="F152" s="1">
        <v>29037.0</v>
      </c>
      <c r="G152" s="1">
        <v>2.9037060004E10</v>
      </c>
      <c r="H152" s="1" t="s">
        <v>112</v>
      </c>
      <c r="I152" s="1" t="s">
        <v>113</v>
      </c>
      <c r="J152" s="1" t="s">
        <v>804</v>
      </c>
      <c r="K152" s="1" t="s">
        <v>809</v>
      </c>
      <c r="L152" s="1">
        <v>5799.0</v>
      </c>
      <c r="M152" s="1">
        <v>5488.0</v>
      </c>
      <c r="N152" s="1">
        <v>514.0</v>
      </c>
      <c r="O152" s="1">
        <v>2246.0</v>
      </c>
      <c r="P152" s="1">
        <v>2036.0</v>
      </c>
      <c r="Q152" s="1">
        <v>140.0</v>
      </c>
      <c r="R152" s="1">
        <v>2079.0</v>
      </c>
      <c r="S152" s="1">
        <v>616.0</v>
      </c>
      <c r="T152" s="1">
        <v>285.0</v>
      </c>
      <c r="U152" s="1">
        <v>291.0</v>
      </c>
      <c r="V152" s="1">
        <v>327.0</v>
      </c>
      <c r="W152" s="1">
        <v>18588.0</v>
      </c>
      <c r="X152" s="1">
        <v>1793.0</v>
      </c>
      <c r="Y152" s="1">
        <v>231.0</v>
      </c>
      <c r="Z152" s="1">
        <v>338.0</v>
      </c>
      <c r="AA152" s="1">
        <v>423.0</v>
      </c>
      <c r="AB152" s="1">
        <v>1638.0</v>
      </c>
      <c r="AC152" s="1">
        <v>293.0</v>
      </c>
      <c r="AD152" s="1">
        <v>1222.0</v>
      </c>
      <c r="AE152" s="1">
        <v>160.0</v>
      </c>
      <c r="AF152" s="1">
        <v>459.0</v>
      </c>
      <c r="AG152" s="1">
        <v>72.0</v>
      </c>
      <c r="AH152" s="1">
        <v>181.0</v>
      </c>
      <c r="AI152" s="1">
        <v>386.0</v>
      </c>
      <c r="AJ152" s="1">
        <v>106.0</v>
      </c>
      <c r="AK152" s="1">
        <v>84.0</v>
      </c>
      <c r="AL152" s="1">
        <v>134.0</v>
      </c>
      <c r="AM152" s="1">
        <v>120.0</v>
      </c>
      <c r="AN152" s="1">
        <v>75.0</v>
      </c>
      <c r="AO152" s="1">
        <v>0.0</v>
      </c>
      <c r="AP152" s="1">
        <v>0.112244</v>
      </c>
      <c r="AQ152" s="1">
        <v>0.050856</v>
      </c>
      <c r="AR152" s="1">
        <v>0.094973</v>
      </c>
      <c r="AS152" s="1">
        <v>0.106022</v>
      </c>
      <c r="AT152" s="1">
        <v>18588.0</v>
      </c>
      <c r="AU152" s="1">
        <v>1793.0</v>
      </c>
      <c r="AV152" s="1">
        <v>0.075762</v>
      </c>
      <c r="AW152" s="1">
        <v>0.110737</v>
      </c>
      <c r="AX152" s="1">
        <v>0.072943</v>
      </c>
      <c r="AY152" s="1">
        <v>0.282462</v>
      </c>
      <c r="AZ152" s="1">
        <v>0.14093314</v>
      </c>
      <c r="BA152" s="1">
        <v>0.210725</v>
      </c>
      <c r="BB152" s="1">
        <v>0.031134</v>
      </c>
      <c r="BC152" s="1">
        <v>0.089264</v>
      </c>
      <c r="BD152" s="1">
        <v>0.035363</v>
      </c>
      <c r="BE152" s="1">
        <v>0.088866</v>
      </c>
      <c r="BF152" s="1">
        <v>0.189587</v>
      </c>
      <c r="BG152" s="1">
        <v>0.050404</v>
      </c>
      <c r="BH152" s="1">
        <v>0.043121</v>
      </c>
      <c r="BI152" s="1">
        <v>0.068714</v>
      </c>
      <c r="BJ152" s="1">
        <v>0.061601</v>
      </c>
      <c r="BK152" s="1">
        <v>0.03823</v>
      </c>
      <c r="BL152" s="1">
        <v>0.0</v>
      </c>
      <c r="BM152" s="1">
        <v>0.425</v>
      </c>
      <c r="BN152" s="1">
        <v>0.705</v>
      </c>
      <c r="BO152" s="1">
        <v>0.7011</v>
      </c>
      <c r="BP152" s="1">
        <v>0.228</v>
      </c>
      <c r="BQ152" s="1">
        <v>2.0591</v>
      </c>
      <c r="BR152" s="1">
        <v>0.5184</v>
      </c>
      <c r="BS152" s="1">
        <v>0.094</v>
      </c>
      <c r="BT152" s="1">
        <v>0.858</v>
      </c>
      <c r="BU152" s="1">
        <v>0.763</v>
      </c>
      <c r="BV152" s="1">
        <v>1.715</v>
      </c>
      <c r="BW152" s="1">
        <v>0.651</v>
      </c>
      <c r="BX152" s="1">
        <v>0.722</v>
      </c>
      <c r="BY152" s="1">
        <v>0.919</v>
      </c>
      <c r="BZ152" s="1">
        <v>1.641</v>
      </c>
      <c r="CA152" s="1">
        <v>0.89</v>
      </c>
      <c r="CB152" s="1">
        <v>0.581</v>
      </c>
      <c r="CC152" s="1">
        <v>0.879</v>
      </c>
      <c r="CD152" s="1">
        <v>0.906</v>
      </c>
      <c r="CE152" s="1">
        <v>0.574</v>
      </c>
      <c r="CF152" s="1">
        <v>0.0</v>
      </c>
      <c r="CG152" s="1">
        <v>2.94</v>
      </c>
      <c r="CH152" s="1">
        <v>0.749</v>
      </c>
      <c r="CI152" s="1">
        <v>8.3551</v>
      </c>
      <c r="CJ152" s="1">
        <v>0.769</v>
      </c>
      <c r="CK152" s="1">
        <v>0.0</v>
      </c>
      <c r="CL152" s="1">
        <v>0.0</v>
      </c>
      <c r="CM152" s="1">
        <v>0.0</v>
      </c>
      <c r="CN152" s="1">
        <v>0.0</v>
      </c>
      <c r="CO152" s="1">
        <v>0.0</v>
      </c>
      <c r="CP152" s="1">
        <v>0.0</v>
      </c>
      <c r="CQ152" s="1">
        <v>0.0</v>
      </c>
      <c r="CR152" s="1">
        <v>0.0</v>
      </c>
      <c r="CS152" s="1">
        <v>0.0</v>
      </c>
      <c r="CT152" s="1">
        <v>0.0</v>
      </c>
      <c r="CU152" s="1">
        <v>1.0</v>
      </c>
      <c r="CV152" s="1">
        <v>1.0</v>
      </c>
      <c r="CW152" s="1">
        <v>0.0</v>
      </c>
      <c r="CX152" s="1">
        <v>0.0</v>
      </c>
      <c r="CY152" s="1">
        <v>1.0</v>
      </c>
      <c r="CZ152" s="1">
        <v>0.0</v>
      </c>
      <c r="DA152" s="1">
        <v>0.0</v>
      </c>
      <c r="DB152" s="1">
        <v>1.0</v>
      </c>
      <c r="DC152" s="1">
        <v>2.0</v>
      </c>
      <c r="DD152" s="1" t="s">
        <v>810</v>
      </c>
      <c r="DE152" s="1">
        <v>9.17731375164328E-4</v>
      </c>
      <c r="DF152" s="2" t="s">
        <v>811</v>
      </c>
    </row>
    <row r="153" ht="15.75" customHeight="1">
      <c r="A153" s="1" t="s">
        <v>812</v>
      </c>
      <c r="B153" s="1">
        <v>29.0</v>
      </c>
      <c r="C153" s="2" t="s">
        <v>802</v>
      </c>
      <c r="D153" s="2" t="s">
        <v>813</v>
      </c>
      <c r="E153" s="1">
        <v>89.741</v>
      </c>
      <c r="F153" s="1">
        <v>29037.0</v>
      </c>
      <c r="G153" s="1">
        <v>2.90370607E10</v>
      </c>
      <c r="H153" s="1" t="s">
        <v>112</v>
      </c>
      <c r="I153" s="1" t="s">
        <v>113</v>
      </c>
      <c r="J153" s="1" t="s">
        <v>804</v>
      </c>
      <c r="K153" s="1" t="s">
        <v>814</v>
      </c>
      <c r="L153" s="1">
        <v>3745.0</v>
      </c>
      <c r="M153" s="1">
        <v>3781.0</v>
      </c>
      <c r="N153" s="1">
        <v>214.0</v>
      </c>
      <c r="O153" s="1">
        <v>1550.0</v>
      </c>
      <c r="P153" s="1">
        <v>1549.0</v>
      </c>
      <c r="Q153" s="1">
        <v>73.0</v>
      </c>
      <c r="R153" s="1">
        <v>1419.0</v>
      </c>
      <c r="S153" s="1">
        <v>269.0</v>
      </c>
      <c r="T153" s="1">
        <v>88.0</v>
      </c>
      <c r="U153" s="1">
        <v>110.0</v>
      </c>
      <c r="V153" s="1">
        <v>304.0</v>
      </c>
      <c r="W153" s="1">
        <v>23584.0</v>
      </c>
      <c r="X153" s="1">
        <v>1765.0</v>
      </c>
      <c r="Y153" s="1">
        <v>221.0</v>
      </c>
      <c r="Z153" s="1">
        <v>206.0</v>
      </c>
      <c r="AA153" s="1">
        <v>515.0</v>
      </c>
      <c r="AB153" s="1">
        <v>995.0</v>
      </c>
      <c r="AC153" s="1">
        <v>152.0</v>
      </c>
      <c r="AD153" s="1">
        <v>170.0</v>
      </c>
      <c r="AE153" s="1">
        <v>0.0</v>
      </c>
      <c r="AF153" s="1">
        <v>456.0</v>
      </c>
      <c r="AG153" s="1">
        <v>0.0</v>
      </c>
      <c r="AH153" s="1">
        <v>197.0</v>
      </c>
      <c r="AI153" s="1">
        <v>135.0</v>
      </c>
      <c r="AJ153" s="1">
        <v>39.0</v>
      </c>
      <c r="AK153" s="1">
        <v>6.0</v>
      </c>
      <c r="AL153" s="1">
        <v>114.0</v>
      </c>
      <c r="AM153" s="1">
        <v>61.0</v>
      </c>
      <c r="AN153" s="1">
        <v>30.0</v>
      </c>
      <c r="AO153" s="1">
        <v>0.0</v>
      </c>
      <c r="AP153" s="1">
        <v>0.071201</v>
      </c>
      <c r="AQ153" s="1">
        <v>0.022937</v>
      </c>
      <c r="AR153" s="1">
        <v>0.055668</v>
      </c>
      <c r="AS153" s="1">
        <v>0.153774</v>
      </c>
      <c r="AT153" s="1">
        <v>23584.0</v>
      </c>
      <c r="AU153" s="1">
        <v>1765.0</v>
      </c>
      <c r="AV153" s="1">
        <v>0.08711</v>
      </c>
      <c r="AW153" s="1">
        <v>0.081023</v>
      </c>
      <c r="AX153" s="1">
        <v>0.137516</v>
      </c>
      <c r="AY153" s="1">
        <v>0.265687</v>
      </c>
      <c r="AZ153" s="1">
        <v>0.10711768</v>
      </c>
      <c r="BA153" s="1">
        <v>0.045393</v>
      </c>
      <c r="BB153" s="1">
        <v>0.0</v>
      </c>
      <c r="BC153" s="1">
        <v>0.128233</v>
      </c>
      <c r="BD153" s="1">
        <v>0.0</v>
      </c>
      <c r="BE153" s="1">
        <v>0.127178</v>
      </c>
      <c r="BF153" s="1">
        <v>0.087153</v>
      </c>
      <c r="BG153" s="1">
        <v>0.02484</v>
      </c>
      <c r="BH153" s="1">
        <v>0.004169</v>
      </c>
      <c r="BI153" s="1">
        <v>0.079221</v>
      </c>
      <c r="BJ153" s="1">
        <v>0.04239</v>
      </c>
      <c r="BK153" s="1">
        <v>0.020727</v>
      </c>
      <c r="BL153" s="1">
        <v>0.0</v>
      </c>
      <c r="BM153" s="1">
        <v>0.253</v>
      </c>
      <c r="BN153" s="1">
        <v>0.358</v>
      </c>
      <c r="BO153" s="1">
        <v>0.4209</v>
      </c>
      <c r="BP153" s="1">
        <v>0.281</v>
      </c>
      <c r="BQ153" s="1">
        <v>1.3129</v>
      </c>
      <c r="BR153" s="1">
        <v>0.283</v>
      </c>
      <c r="BS153" s="1">
        <v>0.475</v>
      </c>
      <c r="BT153" s="1">
        <v>0.758</v>
      </c>
      <c r="BU153" s="1">
        <v>0.56</v>
      </c>
      <c r="BV153" s="1">
        <v>1.793</v>
      </c>
      <c r="BW153" s="1">
        <v>0.713</v>
      </c>
      <c r="BX153" s="1">
        <v>0.216</v>
      </c>
      <c r="BY153" s="1">
        <v>0.0</v>
      </c>
      <c r="BZ153" s="1">
        <v>0.216</v>
      </c>
      <c r="CA153" s="1">
        <v>0.094</v>
      </c>
      <c r="CB153" s="1">
        <v>0.0</v>
      </c>
      <c r="CC153" s="1">
        <v>0.693</v>
      </c>
      <c r="CD153" s="1">
        <v>0.31</v>
      </c>
      <c r="CE153" s="1">
        <v>0.417</v>
      </c>
      <c r="CF153" s="1">
        <v>0.0</v>
      </c>
      <c r="CG153" s="1">
        <v>1.42</v>
      </c>
      <c r="CH153" s="1">
        <v>0.154</v>
      </c>
      <c r="CI153" s="1">
        <v>4.7419</v>
      </c>
      <c r="CJ153" s="1">
        <v>0.1661</v>
      </c>
      <c r="CK153" s="1">
        <v>0.0</v>
      </c>
      <c r="CL153" s="1">
        <v>0.0</v>
      </c>
      <c r="CM153" s="1">
        <v>0.0</v>
      </c>
      <c r="CN153" s="1">
        <v>0.0</v>
      </c>
      <c r="CO153" s="1">
        <v>0.0</v>
      </c>
      <c r="CP153" s="1">
        <v>0.0</v>
      </c>
      <c r="CQ153" s="1">
        <v>0.0</v>
      </c>
      <c r="CR153" s="1">
        <v>0.0</v>
      </c>
      <c r="CS153" s="1">
        <v>0.0</v>
      </c>
      <c r="CT153" s="1">
        <v>0.0</v>
      </c>
      <c r="CU153" s="1">
        <v>0.0</v>
      </c>
      <c r="CV153" s="1">
        <v>0.0</v>
      </c>
      <c r="CW153" s="1">
        <v>0.0</v>
      </c>
      <c r="CX153" s="1">
        <v>0.0</v>
      </c>
      <c r="CY153" s="1">
        <v>0.0</v>
      </c>
      <c r="CZ153" s="1">
        <v>0.0</v>
      </c>
      <c r="DA153" s="1">
        <v>0.0</v>
      </c>
      <c r="DB153" s="1">
        <v>0.0</v>
      </c>
      <c r="DC153" s="1">
        <v>0.0</v>
      </c>
      <c r="DD153" s="1" t="s">
        <v>815</v>
      </c>
      <c r="DE153" s="2" t="s">
        <v>816</v>
      </c>
      <c r="DF153" s="2" t="s">
        <v>817</v>
      </c>
    </row>
    <row r="154" ht="15.75" customHeight="1">
      <c r="A154" s="1" t="s">
        <v>818</v>
      </c>
      <c r="B154" s="1">
        <v>29.0</v>
      </c>
      <c r="C154" s="2" t="s">
        <v>802</v>
      </c>
      <c r="D154" s="2" t="s">
        <v>819</v>
      </c>
      <c r="E154" s="1">
        <v>2.792</v>
      </c>
      <c r="F154" s="1">
        <v>29037.0</v>
      </c>
      <c r="G154" s="1">
        <v>2.90370614E10</v>
      </c>
      <c r="H154" s="1" t="s">
        <v>112</v>
      </c>
      <c r="I154" s="1" t="s">
        <v>113</v>
      </c>
      <c r="J154" s="1" t="s">
        <v>804</v>
      </c>
      <c r="K154" s="1" t="s">
        <v>820</v>
      </c>
      <c r="L154" s="1">
        <v>5310.0</v>
      </c>
      <c r="M154" s="1">
        <v>5516.0</v>
      </c>
      <c r="N154" s="1">
        <v>446.0</v>
      </c>
      <c r="O154" s="1">
        <v>2163.0</v>
      </c>
      <c r="P154" s="1">
        <v>2292.0</v>
      </c>
      <c r="Q154" s="1">
        <v>176.0</v>
      </c>
      <c r="R154" s="1">
        <v>2013.0</v>
      </c>
      <c r="S154" s="1">
        <v>675.0</v>
      </c>
      <c r="T154" s="1">
        <v>324.0</v>
      </c>
      <c r="U154" s="1">
        <v>199.0</v>
      </c>
      <c r="V154" s="1">
        <v>427.0</v>
      </c>
      <c r="W154" s="1">
        <v>23444.0</v>
      </c>
      <c r="X154" s="1">
        <v>3584.0</v>
      </c>
      <c r="Y154" s="1">
        <v>452.0</v>
      </c>
      <c r="Z154" s="1">
        <v>280.0</v>
      </c>
      <c r="AA154" s="1">
        <v>687.0</v>
      </c>
      <c r="AB154" s="1">
        <v>1483.0</v>
      </c>
      <c r="AC154" s="1">
        <v>316.0</v>
      </c>
      <c r="AD154" s="1">
        <v>394.0</v>
      </c>
      <c r="AE154" s="1">
        <v>0.0</v>
      </c>
      <c r="AF154" s="1">
        <v>456.0</v>
      </c>
      <c r="AG154" s="1">
        <v>31.0</v>
      </c>
      <c r="AH154" s="1">
        <v>120.0</v>
      </c>
      <c r="AI154" s="1">
        <v>92.0</v>
      </c>
      <c r="AJ154" s="1">
        <v>79.0</v>
      </c>
      <c r="AK154" s="1">
        <v>29.0</v>
      </c>
      <c r="AL154" s="1">
        <v>119.0</v>
      </c>
      <c r="AM154" s="1">
        <v>63.0</v>
      </c>
      <c r="AN154" s="1">
        <v>122.0</v>
      </c>
      <c r="AO154" s="1">
        <v>215.0</v>
      </c>
      <c r="AP154" s="1">
        <v>0.126736</v>
      </c>
      <c r="AQ154" s="1">
        <v>0.059888</v>
      </c>
      <c r="AR154" s="1">
        <v>0.069049</v>
      </c>
      <c r="AS154" s="1">
        <v>0.147835</v>
      </c>
      <c r="AT154" s="1">
        <v>23444.0</v>
      </c>
      <c r="AU154" s="1">
        <v>3584.0</v>
      </c>
      <c r="AV154" s="1">
        <v>0.123733</v>
      </c>
      <c r="AW154" s="1">
        <v>0.075907</v>
      </c>
      <c r="AX154" s="1">
        <v>0.129378</v>
      </c>
      <c r="AY154" s="1">
        <v>0.279284</v>
      </c>
      <c r="AZ154" s="1">
        <v>0.15697963</v>
      </c>
      <c r="BA154" s="1">
        <v>0.074199</v>
      </c>
      <c r="BB154" s="1">
        <v>0.0</v>
      </c>
      <c r="BC154" s="1">
        <v>0.087406</v>
      </c>
      <c r="BD154" s="1">
        <v>0.013525</v>
      </c>
      <c r="BE154" s="1">
        <v>0.052345</v>
      </c>
      <c r="BF154" s="1">
        <v>0.040139</v>
      </c>
      <c r="BG154" s="1">
        <v>0.034329</v>
      </c>
      <c r="BH154" s="1">
        <v>0.014306</v>
      </c>
      <c r="BI154" s="1">
        <v>0.058694</v>
      </c>
      <c r="BJ154" s="1">
        <v>0.03108</v>
      </c>
      <c r="BK154" s="1">
        <v>0.060129</v>
      </c>
      <c r="BL154" s="1">
        <v>0.040489</v>
      </c>
      <c r="BM154" s="1">
        <v>0.484</v>
      </c>
      <c r="BN154" s="1">
        <v>0.503</v>
      </c>
      <c r="BO154" s="1">
        <v>0.4267</v>
      </c>
      <c r="BP154" s="1">
        <v>0.446</v>
      </c>
      <c r="BQ154" s="1">
        <v>1.8597</v>
      </c>
      <c r="BR154" s="1">
        <v>0.452</v>
      </c>
      <c r="BS154" s="1">
        <v>0.415</v>
      </c>
      <c r="BT154" s="1">
        <v>0.847</v>
      </c>
      <c r="BU154" s="1">
        <v>0.816</v>
      </c>
      <c r="BV154" s="1">
        <v>2.078</v>
      </c>
      <c r="BW154" s="1">
        <v>0.909</v>
      </c>
      <c r="BX154" s="1">
        <v>0.376</v>
      </c>
      <c r="BY154" s="1">
        <v>0.0</v>
      </c>
      <c r="BZ154" s="1">
        <v>0.376</v>
      </c>
      <c r="CA154" s="1">
        <v>0.151</v>
      </c>
      <c r="CB154" s="1">
        <v>0.413</v>
      </c>
      <c r="CC154" s="1">
        <v>0.579</v>
      </c>
      <c r="CD154" s="1">
        <v>0.578</v>
      </c>
      <c r="CE154" s="1">
        <v>0.292</v>
      </c>
      <c r="CF154" s="1">
        <v>0.869</v>
      </c>
      <c r="CG154" s="1">
        <v>2.731</v>
      </c>
      <c r="CH154" s="1">
        <v>0.658</v>
      </c>
      <c r="CI154" s="1">
        <v>7.0447</v>
      </c>
      <c r="CJ154" s="1">
        <v>0.556</v>
      </c>
      <c r="CK154" s="1">
        <v>0.0</v>
      </c>
      <c r="CL154" s="1">
        <v>0.0</v>
      </c>
      <c r="CM154" s="1">
        <v>0.0</v>
      </c>
      <c r="CN154" s="1">
        <v>0.0</v>
      </c>
      <c r="CO154" s="1">
        <v>0.0</v>
      </c>
      <c r="CP154" s="1">
        <v>0.0</v>
      </c>
      <c r="CQ154" s="1">
        <v>0.0</v>
      </c>
      <c r="CR154" s="1">
        <v>0.0</v>
      </c>
      <c r="CS154" s="1">
        <v>0.0</v>
      </c>
      <c r="CT154" s="1">
        <v>0.0</v>
      </c>
      <c r="CU154" s="1">
        <v>0.0</v>
      </c>
      <c r="CV154" s="1">
        <v>0.0</v>
      </c>
      <c r="CW154" s="1">
        <v>0.0</v>
      </c>
      <c r="CX154" s="1">
        <v>0.0</v>
      </c>
      <c r="CY154" s="1">
        <v>0.0</v>
      </c>
      <c r="CZ154" s="1">
        <v>0.0</v>
      </c>
      <c r="DA154" s="1">
        <v>0.0</v>
      </c>
      <c r="DB154" s="1">
        <v>0.0</v>
      </c>
      <c r="DC154" s="1">
        <v>0.0</v>
      </c>
      <c r="DD154" s="1" t="s">
        <v>821</v>
      </c>
      <c r="DE154" s="1">
        <v>7.53834401024945E-4</v>
      </c>
      <c r="DF154" s="2" t="s">
        <v>822</v>
      </c>
    </row>
    <row r="155" ht="15.75" customHeight="1">
      <c r="A155" s="1" t="s">
        <v>823</v>
      </c>
      <c r="B155" s="1">
        <v>29.0</v>
      </c>
      <c r="C155" s="2" t="s">
        <v>802</v>
      </c>
      <c r="D155" s="2" t="s">
        <v>824</v>
      </c>
      <c r="E155" s="1">
        <v>6.076</v>
      </c>
      <c r="F155" s="1">
        <v>29037.0</v>
      </c>
      <c r="G155" s="1">
        <v>2.9037060001E10</v>
      </c>
      <c r="H155" s="1" t="s">
        <v>112</v>
      </c>
      <c r="I155" s="1" t="s">
        <v>113</v>
      </c>
      <c r="J155" s="1" t="s">
        <v>804</v>
      </c>
      <c r="K155" s="1" t="s">
        <v>825</v>
      </c>
      <c r="L155" s="1">
        <v>4188.0</v>
      </c>
      <c r="M155" s="1">
        <v>4111.0</v>
      </c>
      <c r="N155" s="1">
        <v>400.0</v>
      </c>
      <c r="O155" s="1">
        <v>1714.0</v>
      </c>
      <c r="P155" s="1">
        <v>1724.0</v>
      </c>
      <c r="Q155" s="1">
        <v>88.0</v>
      </c>
      <c r="R155" s="1">
        <v>1604.0</v>
      </c>
      <c r="S155" s="1">
        <v>256.0</v>
      </c>
      <c r="T155" s="1">
        <v>160.0</v>
      </c>
      <c r="U155" s="1">
        <v>136.0</v>
      </c>
      <c r="V155" s="1">
        <v>386.0</v>
      </c>
      <c r="W155" s="1">
        <v>34614.0</v>
      </c>
      <c r="X155" s="1">
        <v>3496.0</v>
      </c>
      <c r="Y155" s="1">
        <v>170.0</v>
      </c>
      <c r="Z155" s="1">
        <v>289.0</v>
      </c>
      <c r="AA155" s="1">
        <v>665.0</v>
      </c>
      <c r="AB155" s="1">
        <v>950.0</v>
      </c>
      <c r="AC155" s="1">
        <v>157.0</v>
      </c>
      <c r="AD155" s="1">
        <v>541.0</v>
      </c>
      <c r="AE155" s="1">
        <v>14.0</v>
      </c>
      <c r="AF155" s="1">
        <v>427.0</v>
      </c>
      <c r="AG155" s="1">
        <v>0.0</v>
      </c>
      <c r="AH155" s="1">
        <v>197.0</v>
      </c>
      <c r="AI155" s="1">
        <v>13.0</v>
      </c>
      <c r="AJ155" s="1">
        <v>20.0</v>
      </c>
      <c r="AK155" s="1">
        <v>11.0</v>
      </c>
      <c r="AL155" s="1">
        <v>115.0</v>
      </c>
      <c r="AM155" s="1">
        <v>16.0</v>
      </c>
      <c r="AN155" s="1">
        <v>116.0</v>
      </c>
      <c r="AO155" s="1">
        <v>3.0</v>
      </c>
      <c r="AP155" s="1">
        <v>0.062271</v>
      </c>
      <c r="AQ155" s="1">
        <v>0.038445</v>
      </c>
      <c r="AR155" s="1">
        <v>0.06361</v>
      </c>
      <c r="AS155" s="1">
        <v>0.180392</v>
      </c>
      <c r="AT155" s="1">
        <v>34614.0</v>
      </c>
      <c r="AU155" s="1">
        <v>3496.0</v>
      </c>
      <c r="AV155" s="1">
        <v>0.060455</v>
      </c>
      <c r="AW155" s="1">
        <v>0.102654</v>
      </c>
      <c r="AX155" s="1">
        <v>0.158787</v>
      </c>
      <c r="AY155" s="1">
        <v>0.226838</v>
      </c>
      <c r="AZ155" s="1">
        <v>0.09788029</v>
      </c>
      <c r="BA155" s="1">
        <v>0.129178</v>
      </c>
      <c r="BB155" s="1">
        <v>0.003699</v>
      </c>
      <c r="BC155" s="1">
        <v>0.112843</v>
      </c>
      <c r="BD155" s="1">
        <v>0.0</v>
      </c>
      <c r="BE155" s="1">
        <v>0.114269</v>
      </c>
      <c r="BF155" s="1">
        <v>0.00754</v>
      </c>
      <c r="BG155" s="1">
        <v>0.011594</v>
      </c>
      <c r="BH155" s="1">
        <v>0.00718</v>
      </c>
      <c r="BI155" s="1">
        <v>0.075063</v>
      </c>
      <c r="BJ155" s="1">
        <v>0.010443</v>
      </c>
      <c r="BK155" s="1">
        <v>0.075713</v>
      </c>
      <c r="BL155" s="1">
        <v>7.16E-4</v>
      </c>
      <c r="BM155" s="1">
        <v>0.216</v>
      </c>
      <c r="BN155" s="1">
        <v>0.458</v>
      </c>
      <c r="BO155" s="1">
        <v>0.117</v>
      </c>
      <c r="BP155" s="1">
        <v>0.171</v>
      </c>
      <c r="BQ155" s="1">
        <v>0.962</v>
      </c>
      <c r="BR155" s="1">
        <v>0.1928</v>
      </c>
      <c r="BS155" s="1">
        <v>0.656</v>
      </c>
      <c r="BT155" s="1">
        <v>0.358</v>
      </c>
      <c r="BU155" s="1">
        <v>0.474</v>
      </c>
      <c r="BV155" s="1">
        <v>1.488</v>
      </c>
      <c r="BW155" s="1">
        <v>0.476</v>
      </c>
      <c r="BX155" s="1">
        <v>0.559</v>
      </c>
      <c r="BY155" s="1">
        <v>0.498</v>
      </c>
      <c r="BZ155" s="1">
        <v>1.057</v>
      </c>
      <c r="CA155" s="1">
        <v>0.588</v>
      </c>
      <c r="CB155" s="1">
        <v>0.0</v>
      </c>
      <c r="CC155" s="1">
        <v>0.433</v>
      </c>
      <c r="CD155" s="1">
        <v>0.396</v>
      </c>
      <c r="CE155" s="1">
        <v>0.093</v>
      </c>
      <c r="CF155" s="1">
        <v>0.377</v>
      </c>
      <c r="CG155" s="1">
        <v>1.299</v>
      </c>
      <c r="CH155" s="1">
        <v>0.126</v>
      </c>
      <c r="CI155" s="1">
        <v>4.806</v>
      </c>
      <c r="CJ155" s="1">
        <v>0.1776</v>
      </c>
      <c r="CK155" s="1">
        <v>0.0</v>
      </c>
      <c r="CL155" s="1">
        <v>0.0</v>
      </c>
      <c r="CM155" s="1">
        <v>0.0</v>
      </c>
      <c r="CN155" s="1">
        <v>0.0</v>
      </c>
      <c r="CO155" s="1">
        <v>0.0</v>
      </c>
      <c r="CP155" s="1">
        <v>0.0</v>
      </c>
      <c r="CQ155" s="1">
        <v>0.0</v>
      </c>
      <c r="CR155" s="1">
        <v>0.0</v>
      </c>
      <c r="CS155" s="1">
        <v>0.0</v>
      </c>
      <c r="CT155" s="1">
        <v>0.0</v>
      </c>
      <c r="CU155" s="1">
        <v>0.0</v>
      </c>
      <c r="CV155" s="1">
        <v>0.0</v>
      </c>
      <c r="CW155" s="1">
        <v>0.0</v>
      </c>
      <c r="CX155" s="1">
        <v>0.0</v>
      </c>
      <c r="CY155" s="1">
        <v>0.0</v>
      </c>
      <c r="CZ155" s="1">
        <v>0.0</v>
      </c>
      <c r="DA155" s="1">
        <v>0.0</v>
      </c>
      <c r="DB155" s="1">
        <v>0.0</v>
      </c>
      <c r="DC155" s="1">
        <v>0.0</v>
      </c>
      <c r="DD155" s="1" t="s">
        <v>826</v>
      </c>
      <c r="DE155" s="1">
        <v>0.00168655345697613</v>
      </c>
      <c r="DF155" s="2" t="s">
        <v>827</v>
      </c>
    </row>
    <row r="156" ht="15.75" customHeight="1">
      <c r="A156" s="1" t="s">
        <v>828</v>
      </c>
      <c r="B156" s="1">
        <v>29.0</v>
      </c>
      <c r="C156" s="2" t="s">
        <v>802</v>
      </c>
      <c r="D156" s="2" t="s">
        <v>829</v>
      </c>
      <c r="E156" s="1">
        <v>1.936</v>
      </c>
      <c r="F156" s="1">
        <v>29037.0</v>
      </c>
      <c r="G156" s="1">
        <v>2.90370601E10</v>
      </c>
      <c r="H156" s="1" t="s">
        <v>112</v>
      </c>
      <c r="I156" s="1" t="s">
        <v>113</v>
      </c>
      <c r="J156" s="1" t="s">
        <v>804</v>
      </c>
      <c r="K156" s="1" t="s">
        <v>830</v>
      </c>
      <c r="L156" s="1">
        <v>1703.0</v>
      </c>
      <c r="M156" s="1">
        <v>1563.0</v>
      </c>
      <c r="N156" s="1">
        <v>317.0</v>
      </c>
      <c r="O156" s="1">
        <v>635.0</v>
      </c>
      <c r="P156" s="1">
        <v>665.0</v>
      </c>
      <c r="Q156" s="1">
        <v>85.0</v>
      </c>
      <c r="R156" s="1">
        <v>506.0</v>
      </c>
      <c r="S156" s="1">
        <v>0.0</v>
      </c>
      <c r="T156" s="1">
        <v>161.0</v>
      </c>
      <c r="U156" s="1">
        <v>5.0</v>
      </c>
      <c r="V156" s="1">
        <v>497.0</v>
      </c>
      <c r="W156" s="1">
        <v>22427.0</v>
      </c>
      <c r="X156" s="1">
        <v>5682.0</v>
      </c>
      <c r="Y156" s="1">
        <v>15.0</v>
      </c>
      <c r="Z156" s="1">
        <v>427.0</v>
      </c>
      <c r="AA156" s="1">
        <v>47.0</v>
      </c>
      <c r="AB156" s="1">
        <v>566.0</v>
      </c>
      <c r="AC156" s="1">
        <v>82.0</v>
      </c>
      <c r="AD156" s="1">
        <v>362.0</v>
      </c>
      <c r="AE156" s="1">
        <v>0.0</v>
      </c>
      <c r="AF156" s="1">
        <v>456.0</v>
      </c>
      <c r="AG156" s="1">
        <v>63.0</v>
      </c>
      <c r="AH156" s="1">
        <v>49.0</v>
      </c>
      <c r="AI156" s="1">
        <v>0.0</v>
      </c>
      <c r="AJ156" s="1">
        <v>114.0</v>
      </c>
      <c r="AK156" s="1">
        <v>0.0</v>
      </c>
      <c r="AL156" s="1">
        <v>161.0</v>
      </c>
      <c r="AM156" s="1">
        <v>13.0</v>
      </c>
      <c r="AN156" s="1">
        <v>116.0</v>
      </c>
      <c r="AO156" s="1">
        <v>145.0</v>
      </c>
      <c r="AP156" s="1">
        <v>0.0</v>
      </c>
      <c r="AQ156" s="1">
        <v>0.103007</v>
      </c>
      <c r="AR156" s="1">
        <v>0.006257</v>
      </c>
      <c r="AS156" s="1">
        <v>0.622025</v>
      </c>
      <c r="AT156" s="1">
        <v>22427.0</v>
      </c>
      <c r="AU156" s="1">
        <v>5682.0</v>
      </c>
      <c r="AV156" s="1">
        <v>0.018915</v>
      </c>
      <c r="AW156" s="1">
        <v>0.538451</v>
      </c>
      <c r="AX156" s="1">
        <v>0.027598</v>
      </c>
      <c r="AY156" s="1">
        <v>0.332354</v>
      </c>
      <c r="AZ156" s="1">
        <v>0.16205533</v>
      </c>
      <c r="BA156" s="1">
        <v>0.212566</v>
      </c>
      <c r="BB156" s="1">
        <v>0.0</v>
      </c>
      <c r="BC156" s="1">
        <v>0.344931</v>
      </c>
      <c r="BD156" s="1">
        <v>0.094736</v>
      </c>
      <c r="BE156" s="1">
        <v>0.072682</v>
      </c>
      <c r="BF156" s="1">
        <v>0.0</v>
      </c>
      <c r="BG156" s="1">
        <v>0.171428</v>
      </c>
      <c r="BH156" s="1">
        <v>0.0</v>
      </c>
      <c r="BI156" s="1">
        <v>0.269681</v>
      </c>
      <c r="BJ156" s="1">
        <v>0.021775</v>
      </c>
      <c r="BK156" s="1">
        <v>0.194268</v>
      </c>
      <c r="BL156" s="1">
        <v>0.085143</v>
      </c>
      <c r="BM156" s="1">
        <v>0.0</v>
      </c>
      <c r="BN156" s="1">
        <v>0.006</v>
      </c>
      <c r="BO156" s="1">
        <v>0.4729</v>
      </c>
      <c r="BP156" s="1">
        <v>0.032</v>
      </c>
      <c r="BQ156" s="1">
        <v>0.5109</v>
      </c>
      <c r="BR156" s="1">
        <v>0.0708</v>
      </c>
      <c r="BS156" s="1">
        <v>0.007</v>
      </c>
      <c r="BT156" s="1">
        <v>0.975</v>
      </c>
      <c r="BU156" s="1">
        <v>0.825</v>
      </c>
      <c r="BV156" s="1">
        <v>1.807</v>
      </c>
      <c r="BW156" s="1">
        <v>0.727</v>
      </c>
      <c r="BX156" s="1">
        <v>0.725</v>
      </c>
      <c r="BY156" s="1">
        <v>0.0</v>
      </c>
      <c r="BZ156" s="1">
        <v>0.725</v>
      </c>
      <c r="CA156" s="1">
        <v>0.349</v>
      </c>
      <c r="CB156" s="1">
        <v>0.761</v>
      </c>
      <c r="CC156" s="1">
        <v>0.0</v>
      </c>
      <c r="CD156" s="1">
        <v>0.0</v>
      </c>
      <c r="CE156" s="1">
        <v>0.2</v>
      </c>
      <c r="CF156" s="1">
        <v>0.935</v>
      </c>
      <c r="CG156" s="1">
        <v>1.896</v>
      </c>
      <c r="CH156" s="1">
        <v>0.303</v>
      </c>
      <c r="CI156" s="1">
        <v>4.9389</v>
      </c>
      <c r="CJ156" s="1">
        <v>0.1957</v>
      </c>
      <c r="CK156" s="1">
        <v>0.0</v>
      </c>
      <c r="CL156" s="1">
        <v>0.0</v>
      </c>
      <c r="CM156" s="1">
        <v>0.0</v>
      </c>
      <c r="CN156" s="1">
        <v>0.0</v>
      </c>
      <c r="CO156" s="1">
        <v>0.0</v>
      </c>
      <c r="CP156" s="1">
        <v>0.0</v>
      </c>
      <c r="CQ156" s="1">
        <v>1.0</v>
      </c>
      <c r="CR156" s="1">
        <v>0.0</v>
      </c>
      <c r="CS156" s="1">
        <v>1.0</v>
      </c>
      <c r="CT156" s="1">
        <v>0.0</v>
      </c>
      <c r="CU156" s="1">
        <v>0.0</v>
      </c>
      <c r="CV156" s="1">
        <v>0.0</v>
      </c>
      <c r="CW156" s="1">
        <v>0.0</v>
      </c>
      <c r="CX156" s="1">
        <v>0.0</v>
      </c>
      <c r="CY156" s="1">
        <v>0.0</v>
      </c>
      <c r="CZ156" s="1">
        <v>0.0</v>
      </c>
      <c r="DA156" s="1">
        <v>1.0</v>
      </c>
      <c r="DB156" s="1">
        <v>1.0</v>
      </c>
      <c r="DC156" s="1">
        <v>2.0</v>
      </c>
      <c r="DD156" s="1" t="s">
        <v>831</v>
      </c>
      <c r="DE156" s="1">
        <v>5.25042604605997E-4</v>
      </c>
      <c r="DF156" s="2" t="s">
        <v>832</v>
      </c>
    </row>
    <row r="157" ht="15.75" customHeight="1">
      <c r="A157" s="1" t="s">
        <v>833</v>
      </c>
      <c r="B157" s="1">
        <v>29.0</v>
      </c>
      <c r="C157" s="2" t="s">
        <v>802</v>
      </c>
      <c r="D157" s="2" t="s">
        <v>834</v>
      </c>
      <c r="E157" s="1">
        <v>7.542</v>
      </c>
      <c r="F157" s="1">
        <v>29037.0</v>
      </c>
      <c r="G157" s="1">
        <v>2.9037060202E10</v>
      </c>
      <c r="H157" s="1" t="s">
        <v>112</v>
      </c>
      <c r="I157" s="1" t="s">
        <v>113</v>
      </c>
      <c r="J157" s="1" t="s">
        <v>804</v>
      </c>
      <c r="K157" s="1" t="s">
        <v>835</v>
      </c>
      <c r="L157" s="1">
        <v>4711.0</v>
      </c>
      <c r="M157" s="1">
        <v>4892.0</v>
      </c>
      <c r="N157" s="1">
        <v>342.0</v>
      </c>
      <c r="O157" s="1">
        <v>1926.0</v>
      </c>
      <c r="P157" s="1">
        <v>1905.0</v>
      </c>
      <c r="Q157" s="1">
        <v>86.0</v>
      </c>
      <c r="R157" s="1">
        <v>1787.0</v>
      </c>
      <c r="S157" s="1">
        <v>272.0</v>
      </c>
      <c r="T157" s="1">
        <v>213.0</v>
      </c>
      <c r="U157" s="1">
        <v>174.0</v>
      </c>
      <c r="V157" s="1">
        <v>387.0</v>
      </c>
      <c r="W157" s="1">
        <v>24086.0</v>
      </c>
      <c r="X157" s="1">
        <v>2467.0</v>
      </c>
      <c r="Y157" s="1">
        <v>407.0</v>
      </c>
      <c r="Z157" s="1">
        <v>271.0</v>
      </c>
      <c r="AA157" s="1">
        <v>549.0</v>
      </c>
      <c r="AB157" s="1">
        <v>1236.0</v>
      </c>
      <c r="AC157" s="1">
        <v>204.0</v>
      </c>
      <c r="AD157" s="1">
        <v>451.0</v>
      </c>
      <c r="AE157" s="1">
        <v>0.0</v>
      </c>
      <c r="AF157" s="1">
        <v>456.0</v>
      </c>
      <c r="AG157" s="1">
        <v>14.0</v>
      </c>
      <c r="AH157" s="1">
        <v>163.0</v>
      </c>
      <c r="AI157" s="1">
        <v>59.0</v>
      </c>
      <c r="AJ157" s="1">
        <v>65.0</v>
      </c>
      <c r="AK157" s="1">
        <v>0.0</v>
      </c>
      <c r="AL157" s="1">
        <v>161.0</v>
      </c>
      <c r="AM157" s="1">
        <v>26.0</v>
      </c>
      <c r="AN157" s="1">
        <v>29.0</v>
      </c>
      <c r="AO157" s="1">
        <v>0.0</v>
      </c>
      <c r="AP157" s="1">
        <v>0.0556</v>
      </c>
      <c r="AQ157" s="1">
        <v>0.043366</v>
      </c>
      <c r="AR157" s="1">
        <v>0.068235</v>
      </c>
      <c r="AS157" s="1">
        <v>0.151531</v>
      </c>
      <c r="AT157" s="1">
        <v>24086.0</v>
      </c>
      <c r="AU157" s="1">
        <v>2467.0</v>
      </c>
      <c r="AV157" s="1">
        <v>0.127466</v>
      </c>
      <c r="AW157" s="1">
        <v>0.084344</v>
      </c>
      <c r="AX157" s="1">
        <v>0.116535</v>
      </c>
      <c r="AY157" s="1">
        <v>0.262364</v>
      </c>
      <c r="AZ157" s="1">
        <v>0.1141578</v>
      </c>
      <c r="BA157" s="1">
        <v>0.095733</v>
      </c>
      <c r="BB157" s="1">
        <v>0.0</v>
      </c>
      <c r="BC157" s="1">
        <v>0.101899</v>
      </c>
      <c r="BD157" s="1">
        <v>0.007349</v>
      </c>
      <c r="BE157" s="1">
        <v>0.085563</v>
      </c>
      <c r="BF157" s="1">
        <v>0.030971</v>
      </c>
      <c r="BG157" s="1">
        <v>0.034092</v>
      </c>
      <c r="BH157" s="1">
        <v>0.0</v>
      </c>
      <c r="BI157" s="1">
        <v>0.088461</v>
      </c>
      <c r="BJ157" s="1">
        <v>0.014285</v>
      </c>
      <c r="BK157" s="1">
        <v>0.015907</v>
      </c>
      <c r="BL157" s="1">
        <v>0.0</v>
      </c>
      <c r="BM157" s="1">
        <v>0.192</v>
      </c>
      <c r="BN157" s="1">
        <v>0.498</v>
      </c>
      <c r="BO157" s="1">
        <v>0.3949</v>
      </c>
      <c r="BP157" s="1">
        <v>0.46</v>
      </c>
      <c r="BQ157" s="1">
        <v>1.5449</v>
      </c>
      <c r="BR157" s="1">
        <v>0.3574</v>
      </c>
      <c r="BS157" s="1">
        <v>0.32</v>
      </c>
      <c r="BT157" s="1">
        <v>0.725</v>
      </c>
      <c r="BU157" s="1">
        <v>0.623</v>
      </c>
      <c r="BV157" s="1">
        <v>1.668</v>
      </c>
      <c r="BW157" s="1">
        <v>0.613</v>
      </c>
      <c r="BX157" s="1">
        <v>0.451</v>
      </c>
      <c r="BY157" s="1">
        <v>0.0</v>
      </c>
      <c r="BZ157" s="1">
        <v>0.451</v>
      </c>
      <c r="CA157" s="1">
        <v>0.188</v>
      </c>
      <c r="CB157" s="1">
        <v>0.356</v>
      </c>
      <c r="CC157" s="1">
        <v>0.553</v>
      </c>
      <c r="CD157" s="1">
        <v>0.0</v>
      </c>
      <c r="CE157" s="1">
        <v>0.128</v>
      </c>
      <c r="CF157" s="1">
        <v>0.0</v>
      </c>
      <c r="CG157" s="1">
        <v>1.037</v>
      </c>
      <c r="CH157" s="1">
        <v>0.084</v>
      </c>
      <c r="CI157" s="1">
        <v>4.7009</v>
      </c>
      <c r="CJ157" s="1">
        <v>0.161</v>
      </c>
      <c r="CK157" s="1">
        <v>0.0</v>
      </c>
      <c r="CL157" s="1">
        <v>0.0</v>
      </c>
      <c r="CM157" s="1">
        <v>0.0</v>
      </c>
      <c r="CN157" s="1">
        <v>0.0</v>
      </c>
      <c r="CO157" s="1">
        <v>0.0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</v>
      </c>
      <c r="CU157" s="1">
        <v>0.0</v>
      </c>
      <c r="CV157" s="1">
        <v>0.0</v>
      </c>
      <c r="CW157" s="1">
        <v>0.0</v>
      </c>
      <c r="CX157" s="1">
        <v>0.0</v>
      </c>
      <c r="CY157" s="1">
        <v>0.0</v>
      </c>
      <c r="CZ157" s="1">
        <v>0.0</v>
      </c>
      <c r="DA157" s="1">
        <v>0.0</v>
      </c>
      <c r="DB157" s="1">
        <v>0.0</v>
      </c>
      <c r="DC157" s="1">
        <v>0.0</v>
      </c>
      <c r="DD157" s="1" t="s">
        <v>836</v>
      </c>
      <c r="DE157" s="1">
        <v>0.00202976479699473</v>
      </c>
      <c r="DF157" s="2" t="s">
        <v>837</v>
      </c>
    </row>
    <row r="158" ht="15.75" customHeight="1">
      <c r="A158" s="1" t="s">
        <v>838</v>
      </c>
      <c r="B158" s="1">
        <v>29.0</v>
      </c>
      <c r="C158" s="2" t="s">
        <v>802</v>
      </c>
      <c r="D158" s="2" t="s">
        <v>839</v>
      </c>
      <c r="E158" s="1">
        <v>6.059</v>
      </c>
      <c r="F158" s="1">
        <v>29037.0</v>
      </c>
      <c r="G158" s="1">
        <v>2.9037060301E10</v>
      </c>
      <c r="H158" s="1" t="s">
        <v>112</v>
      </c>
      <c r="I158" s="1" t="s">
        <v>113</v>
      </c>
      <c r="J158" s="1" t="s">
        <v>804</v>
      </c>
      <c r="K158" s="1" t="s">
        <v>840</v>
      </c>
      <c r="L158" s="1">
        <v>9147.0</v>
      </c>
      <c r="M158" s="1">
        <v>8384.0</v>
      </c>
      <c r="N158" s="1">
        <v>384.0</v>
      </c>
      <c r="O158" s="1">
        <v>3706.0</v>
      </c>
      <c r="P158" s="1">
        <v>3406.0</v>
      </c>
      <c r="Q158" s="1">
        <v>165.0</v>
      </c>
      <c r="R158" s="1">
        <v>3411.0</v>
      </c>
      <c r="S158" s="1">
        <v>396.0</v>
      </c>
      <c r="T158" s="1">
        <v>181.0</v>
      </c>
      <c r="U158" s="1">
        <v>108.0</v>
      </c>
      <c r="V158" s="1">
        <v>447.0</v>
      </c>
      <c r="W158" s="1">
        <v>29829.0</v>
      </c>
      <c r="X158" s="1">
        <v>2200.0</v>
      </c>
      <c r="Y158" s="1">
        <v>219.0</v>
      </c>
      <c r="Z158" s="1">
        <v>341.0</v>
      </c>
      <c r="AA158" s="1">
        <v>1340.0</v>
      </c>
      <c r="AB158" s="1">
        <v>2519.0</v>
      </c>
      <c r="AC158" s="1">
        <v>328.0</v>
      </c>
      <c r="AD158" s="1">
        <v>1593.0</v>
      </c>
      <c r="AE158" s="1">
        <v>0.0</v>
      </c>
      <c r="AF158" s="1">
        <v>456.0</v>
      </c>
      <c r="AG158" s="1">
        <v>291.0</v>
      </c>
      <c r="AH158" s="1">
        <v>171.0</v>
      </c>
      <c r="AI158" s="1">
        <v>0.0</v>
      </c>
      <c r="AJ158" s="1">
        <v>114.0</v>
      </c>
      <c r="AK158" s="1">
        <v>42.0</v>
      </c>
      <c r="AL158" s="1">
        <v>120.0</v>
      </c>
      <c r="AM158" s="1">
        <v>106.0</v>
      </c>
      <c r="AN158" s="1">
        <v>134.0</v>
      </c>
      <c r="AO158" s="1">
        <v>107.0</v>
      </c>
      <c r="AP158" s="1">
        <v>0.047624</v>
      </c>
      <c r="AQ158" s="1">
        <v>0.021665</v>
      </c>
      <c r="AR158" s="1">
        <v>0.025604</v>
      </c>
      <c r="AS158" s="1">
        <v>0.105949</v>
      </c>
      <c r="AT158" s="1">
        <v>29829.0</v>
      </c>
      <c r="AU158" s="1">
        <v>2200.0</v>
      </c>
      <c r="AV158" s="1">
        <v>0.03948</v>
      </c>
      <c r="AW158" s="1">
        <v>0.061451</v>
      </c>
      <c r="AX158" s="1">
        <v>0.146496</v>
      </c>
      <c r="AY158" s="1">
        <v>0.27539</v>
      </c>
      <c r="AZ158" s="1">
        <v>0.09615948</v>
      </c>
      <c r="BA158" s="1">
        <v>0.174155</v>
      </c>
      <c r="BB158" s="1">
        <v>0.0</v>
      </c>
      <c r="BC158" s="1">
        <v>0.05899</v>
      </c>
      <c r="BD158" s="1">
        <v>0.085437</v>
      </c>
      <c r="BE158" s="1">
        <v>0.050034</v>
      </c>
      <c r="BF158" s="1">
        <v>0.0</v>
      </c>
      <c r="BG158" s="1">
        <v>0.03347</v>
      </c>
      <c r="BH158" s="1">
        <v>0.013257</v>
      </c>
      <c r="BI158" s="1">
        <v>0.037873</v>
      </c>
      <c r="BJ158" s="1">
        <v>0.033459</v>
      </c>
      <c r="BK158" s="1">
        <v>0.042267</v>
      </c>
      <c r="BL158" s="1">
        <v>0.011697</v>
      </c>
      <c r="BM158" s="1">
        <v>0.156</v>
      </c>
      <c r="BN158" s="1">
        <v>0.054</v>
      </c>
      <c r="BO158" s="1">
        <v>0.2007</v>
      </c>
      <c r="BP158" s="1">
        <v>0.097</v>
      </c>
      <c r="BQ158" s="1">
        <v>0.5077</v>
      </c>
      <c r="BR158" s="1">
        <v>0.0693</v>
      </c>
      <c r="BS158" s="1">
        <v>0.55</v>
      </c>
      <c r="BT158" s="1">
        <v>0.824</v>
      </c>
      <c r="BU158" s="1">
        <v>0.458</v>
      </c>
      <c r="BV158" s="1">
        <v>1.832</v>
      </c>
      <c r="BW158" s="1">
        <v>0.756</v>
      </c>
      <c r="BX158" s="1">
        <v>0.669</v>
      </c>
      <c r="BY158" s="1">
        <v>0.0</v>
      </c>
      <c r="BZ158" s="1">
        <v>0.669</v>
      </c>
      <c r="CA158" s="1">
        <v>0.317</v>
      </c>
      <c r="CB158" s="1">
        <v>0.742</v>
      </c>
      <c r="CC158" s="1">
        <v>0.0</v>
      </c>
      <c r="CD158" s="1">
        <v>0.556</v>
      </c>
      <c r="CE158" s="1">
        <v>0.318</v>
      </c>
      <c r="CF158" s="1">
        <v>0.603</v>
      </c>
      <c r="CG158" s="1">
        <v>2.219</v>
      </c>
      <c r="CH158" s="1">
        <v>0.423</v>
      </c>
      <c r="CI158" s="1">
        <v>5.2277</v>
      </c>
      <c r="CJ158" s="1">
        <v>0.2339</v>
      </c>
      <c r="CK158" s="1">
        <v>0.0</v>
      </c>
      <c r="CL158" s="1">
        <v>0.0</v>
      </c>
      <c r="CM158" s="1">
        <v>0.0</v>
      </c>
      <c r="CN158" s="1">
        <v>0.0</v>
      </c>
      <c r="CO158" s="1">
        <v>0.0</v>
      </c>
      <c r="CP158" s="1">
        <v>0.0</v>
      </c>
      <c r="CQ158" s="1">
        <v>0.0</v>
      </c>
      <c r="CR158" s="1">
        <v>0.0</v>
      </c>
      <c r="CS158" s="1">
        <v>0.0</v>
      </c>
      <c r="CT158" s="1">
        <v>0.0</v>
      </c>
      <c r="CU158" s="1">
        <v>0.0</v>
      </c>
      <c r="CV158" s="1">
        <v>0.0</v>
      </c>
      <c r="CW158" s="1">
        <v>0.0</v>
      </c>
      <c r="CX158" s="1">
        <v>0.0</v>
      </c>
      <c r="CY158" s="1">
        <v>0.0</v>
      </c>
      <c r="CZ158" s="1">
        <v>0.0</v>
      </c>
      <c r="DA158" s="1">
        <v>0.0</v>
      </c>
      <c r="DB158" s="1">
        <v>0.0</v>
      </c>
      <c r="DC158" s="1">
        <v>0.0</v>
      </c>
      <c r="DD158" s="1" t="s">
        <v>841</v>
      </c>
      <c r="DE158" s="1">
        <v>0.00165553008237954</v>
      </c>
      <c r="DF158" s="2" t="s">
        <v>842</v>
      </c>
    </row>
    <row r="159" ht="15.75" customHeight="1">
      <c r="A159" s="1" t="s">
        <v>843</v>
      </c>
      <c r="B159" s="1">
        <v>29.0</v>
      </c>
      <c r="C159" s="2" t="s">
        <v>802</v>
      </c>
      <c r="D159" s="2" t="s">
        <v>844</v>
      </c>
      <c r="E159" s="1">
        <v>18.041</v>
      </c>
      <c r="F159" s="1">
        <v>29037.0</v>
      </c>
      <c r="G159" s="1">
        <v>2.9037060302E10</v>
      </c>
      <c r="H159" s="1" t="s">
        <v>112</v>
      </c>
      <c r="I159" s="1" t="s">
        <v>113</v>
      </c>
      <c r="J159" s="1" t="s">
        <v>804</v>
      </c>
      <c r="K159" s="1" t="s">
        <v>845</v>
      </c>
      <c r="L159" s="1">
        <v>7642.0</v>
      </c>
      <c r="M159" s="1">
        <v>7119.0</v>
      </c>
      <c r="N159" s="1">
        <v>366.0</v>
      </c>
      <c r="O159" s="1">
        <v>2971.0</v>
      </c>
      <c r="P159" s="1">
        <v>2769.0</v>
      </c>
      <c r="Q159" s="1">
        <v>126.0</v>
      </c>
      <c r="R159" s="1">
        <v>2816.0</v>
      </c>
      <c r="S159" s="1">
        <v>115.0</v>
      </c>
      <c r="T159" s="1">
        <v>99.0</v>
      </c>
      <c r="U159" s="1">
        <v>133.0</v>
      </c>
      <c r="V159" s="1">
        <v>437.0</v>
      </c>
      <c r="W159" s="1">
        <v>28893.0</v>
      </c>
      <c r="X159" s="1">
        <v>2853.0</v>
      </c>
      <c r="Y159" s="1">
        <v>364.0</v>
      </c>
      <c r="Z159" s="1">
        <v>281.0</v>
      </c>
      <c r="AA159" s="1">
        <v>1072.0</v>
      </c>
      <c r="AB159" s="1">
        <v>2045.0</v>
      </c>
      <c r="AC159" s="1">
        <v>299.0</v>
      </c>
      <c r="AD159" s="1">
        <v>749.0</v>
      </c>
      <c r="AE159" s="1">
        <v>8.0</v>
      </c>
      <c r="AF159" s="1">
        <v>442.0</v>
      </c>
      <c r="AG159" s="1">
        <v>11.0</v>
      </c>
      <c r="AH159" s="1">
        <v>162.0</v>
      </c>
      <c r="AI159" s="1">
        <v>238.0</v>
      </c>
      <c r="AJ159" s="1">
        <v>93.0</v>
      </c>
      <c r="AK159" s="1">
        <v>0.0</v>
      </c>
      <c r="AL159" s="1">
        <v>161.0</v>
      </c>
      <c r="AM159" s="1">
        <v>48.0</v>
      </c>
      <c r="AN159" s="1">
        <v>38.0</v>
      </c>
      <c r="AO159" s="1">
        <v>125.0</v>
      </c>
      <c r="AP159" s="1">
        <v>0.016153</v>
      </c>
      <c r="AQ159" s="1">
        <v>0.013881</v>
      </c>
      <c r="AR159" s="1">
        <v>0.035018</v>
      </c>
      <c r="AS159" s="1">
        <v>0.115019</v>
      </c>
      <c r="AT159" s="1">
        <v>28893.0</v>
      </c>
      <c r="AU159" s="1">
        <v>2853.0</v>
      </c>
      <c r="AV159" s="1">
        <v>0.078346</v>
      </c>
      <c r="AW159" s="1">
        <v>0.060369</v>
      </c>
      <c r="AX159" s="1">
        <v>0.140277</v>
      </c>
      <c r="AY159" s="1">
        <v>0.2676</v>
      </c>
      <c r="AZ159" s="1">
        <v>0.10617897</v>
      </c>
      <c r="BA159" s="1">
        <v>0.09801</v>
      </c>
      <c r="BB159" s="1">
        <v>0.001191</v>
      </c>
      <c r="BC159" s="1">
        <v>0.065822</v>
      </c>
      <c r="BD159" s="1">
        <v>0.003972</v>
      </c>
      <c r="BE159" s="1">
        <v>0.058504</v>
      </c>
      <c r="BF159" s="1">
        <v>0.085951</v>
      </c>
      <c r="BG159" s="1">
        <v>0.033357</v>
      </c>
      <c r="BH159" s="1">
        <v>0.0</v>
      </c>
      <c r="BI159" s="1">
        <v>0.061286</v>
      </c>
      <c r="BJ159" s="1">
        <v>0.018271</v>
      </c>
      <c r="BK159" s="1">
        <v>0.014432</v>
      </c>
      <c r="BL159" s="1">
        <v>0.016356</v>
      </c>
      <c r="BM159" s="1">
        <v>0.041</v>
      </c>
      <c r="BN159" s="1">
        <v>0.132</v>
      </c>
      <c r="BO159" s="1">
        <v>0.2231</v>
      </c>
      <c r="BP159" s="1">
        <v>0.241</v>
      </c>
      <c r="BQ159" s="1">
        <v>0.6371</v>
      </c>
      <c r="BR159" s="1">
        <v>0.1069</v>
      </c>
      <c r="BS159" s="1">
        <v>0.499</v>
      </c>
      <c r="BT159" s="1">
        <v>0.771</v>
      </c>
      <c r="BU159" s="1">
        <v>0.553</v>
      </c>
      <c r="BV159" s="1">
        <v>1.823</v>
      </c>
      <c r="BW159" s="1">
        <v>0.741</v>
      </c>
      <c r="BX159" s="1">
        <v>0.463</v>
      </c>
      <c r="BY159" s="1">
        <v>0.341</v>
      </c>
      <c r="BZ159" s="1">
        <v>0.804</v>
      </c>
      <c r="CA159" s="1">
        <v>0.403</v>
      </c>
      <c r="CB159" s="1">
        <v>0.301</v>
      </c>
      <c r="CC159" s="1">
        <v>0.691</v>
      </c>
      <c r="CD159" s="1">
        <v>0.0</v>
      </c>
      <c r="CE159" s="1">
        <v>0.167</v>
      </c>
      <c r="CF159" s="1">
        <v>0.664</v>
      </c>
      <c r="CG159" s="1">
        <v>1.823</v>
      </c>
      <c r="CH159" s="1">
        <v>0.272</v>
      </c>
      <c r="CI159" s="1">
        <v>5.0871</v>
      </c>
      <c r="CJ159" s="1">
        <v>0.2144</v>
      </c>
      <c r="CK159" s="1">
        <v>0.0</v>
      </c>
      <c r="CL159" s="1">
        <v>0.0</v>
      </c>
      <c r="CM159" s="1">
        <v>0.0</v>
      </c>
      <c r="CN159" s="1">
        <v>0.0</v>
      </c>
      <c r="CO159" s="1">
        <v>0.0</v>
      </c>
      <c r="CP159" s="1">
        <v>0.0</v>
      </c>
      <c r="CQ159" s="1">
        <v>0.0</v>
      </c>
      <c r="CR159" s="1">
        <v>0.0</v>
      </c>
      <c r="CS159" s="1">
        <v>0.0</v>
      </c>
      <c r="CT159" s="1">
        <v>0.0</v>
      </c>
      <c r="CU159" s="1">
        <v>0.0</v>
      </c>
      <c r="CV159" s="1">
        <v>0.0</v>
      </c>
      <c r="CW159" s="1">
        <v>0.0</v>
      </c>
      <c r="CX159" s="1">
        <v>0.0</v>
      </c>
      <c r="CY159" s="1">
        <v>0.0</v>
      </c>
      <c r="CZ159" s="1">
        <v>0.0</v>
      </c>
      <c r="DA159" s="1">
        <v>0.0</v>
      </c>
      <c r="DB159" s="1">
        <v>0.0</v>
      </c>
      <c r="DC159" s="1">
        <v>0.0</v>
      </c>
      <c r="DD159" s="1" t="s">
        <v>846</v>
      </c>
      <c r="DE159" s="1">
        <v>0.00485636037704823</v>
      </c>
      <c r="DF159" s="1">
        <v>0.285914268074481</v>
      </c>
    </row>
    <row r="160" ht="15.75" customHeight="1">
      <c r="A160" s="1" t="s">
        <v>847</v>
      </c>
      <c r="B160" s="1">
        <v>29.0</v>
      </c>
      <c r="C160" s="2" t="s">
        <v>802</v>
      </c>
      <c r="D160" s="2" t="s">
        <v>848</v>
      </c>
      <c r="E160" s="1">
        <v>5.625</v>
      </c>
      <c r="F160" s="1">
        <v>29037.0</v>
      </c>
      <c r="G160" s="1">
        <v>2.9037060305E10</v>
      </c>
      <c r="H160" s="1" t="s">
        <v>112</v>
      </c>
      <c r="I160" s="1" t="s">
        <v>113</v>
      </c>
      <c r="J160" s="1" t="s">
        <v>804</v>
      </c>
      <c r="K160" s="1" t="s">
        <v>849</v>
      </c>
      <c r="L160" s="1">
        <v>4416.0</v>
      </c>
      <c r="M160" s="1">
        <v>4392.0</v>
      </c>
      <c r="N160" s="1">
        <v>264.0</v>
      </c>
      <c r="O160" s="1">
        <v>1592.0</v>
      </c>
      <c r="P160" s="1">
        <v>1549.0</v>
      </c>
      <c r="Q160" s="1">
        <v>83.0</v>
      </c>
      <c r="R160" s="1">
        <v>1548.0</v>
      </c>
      <c r="S160" s="1">
        <v>521.0</v>
      </c>
      <c r="T160" s="1">
        <v>345.0</v>
      </c>
      <c r="U160" s="1">
        <v>120.0</v>
      </c>
      <c r="V160" s="1">
        <v>401.0</v>
      </c>
      <c r="W160" s="1">
        <v>27506.0</v>
      </c>
      <c r="X160" s="1">
        <v>2372.0</v>
      </c>
      <c r="Y160" s="1">
        <v>55.0</v>
      </c>
      <c r="Z160" s="1">
        <v>380.0</v>
      </c>
      <c r="AA160" s="1">
        <v>509.0</v>
      </c>
      <c r="AB160" s="1">
        <v>1348.0</v>
      </c>
      <c r="AC160" s="1">
        <v>111.0</v>
      </c>
      <c r="AD160" s="1">
        <v>639.0</v>
      </c>
      <c r="AE160" s="1">
        <v>0.0</v>
      </c>
      <c r="AF160" s="1">
        <v>456.0</v>
      </c>
      <c r="AG160" s="1">
        <v>0.0</v>
      </c>
      <c r="AH160" s="1">
        <v>197.0</v>
      </c>
      <c r="AI160" s="1">
        <v>0.0</v>
      </c>
      <c r="AJ160" s="1">
        <v>114.0</v>
      </c>
      <c r="AK160" s="1">
        <v>28.0</v>
      </c>
      <c r="AL160" s="1">
        <v>120.0</v>
      </c>
      <c r="AM160" s="1">
        <v>7.0</v>
      </c>
      <c r="AN160" s="1">
        <v>115.0</v>
      </c>
      <c r="AO160" s="1">
        <v>0.0</v>
      </c>
      <c r="AP160" s="1">
        <v>0.119058</v>
      </c>
      <c r="AQ160" s="1">
        <v>0.078511</v>
      </c>
      <c r="AR160" s="1">
        <v>0.060759</v>
      </c>
      <c r="AS160" s="1">
        <v>0.202855</v>
      </c>
      <c r="AT160" s="1">
        <v>27506.0</v>
      </c>
      <c r="AU160" s="1">
        <v>2372.0</v>
      </c>
      <c r="AV160" s="1">
        <v>0.020087</v>
      </c>
      <c r="AW160" s="1">
        <v>0.138781</v>
      </c>
      <c r="AX160" s="1">
        <v>0.115262</v>
      </c>
      <c r="AY160" s="1">
        <v>0.305253</v>
      </c>
      <c r="AZ160" s="1">
        <v>0.07170542</v>
      </c>
      <c r="BA160" s="1">
        <v>0.144701</v>
      </c>
      <c r="BB160" s="1">
        <v>0.0</v>
      </c>
      <c r="BC160" s="1">
        <v>0.112899</v>
      </c>
      <c r="BD160" s="1">
        <v>0.0</v>
      </c>
      <c r="BE160" s="1">
        <v>0.127178</v>
      </c>
      <c r="BF160" s="1">
        <v>0.0</v>
      </c>
      <c r="BG160" s="1">
        <v>0.073595</v>
      </c>
      <c r="BH160" s="1">
        <v>0.018384</v>
      </c>
      <c r="BI160" s="1">
        <v>0.078784</v>
      </c>
      <c r="BJ160" s="1">
        <v>0.004596</v>
      </c>
      <c r="BK160" s="1">
        <v>0.075508</v>
      </c>
      <c r="BL160" s="1">
        <v>0.0</v>
      </c>
      <c r="BM160" s="1">
        <v>0.451</v>
      </c>
      <c r="BN160" s="1">
        <v>0.423</v>
      </c>
      <c r="BO160" s="1">
        <v>0.2671</v>
      </c>
      <c r="BP160" s="1">
        <v>0.035</v>
      </c>
      <c r="BQ160" s="1">
        <v>1.1761</v>
      </c>
      <c r="BR160" s="1">
        <v>0.2491</v>
      </c>
      <c r="BS160" s="1">
        <v>0.312</v>
      </c>
      <c r="BT160" s="1">
        <v>0.936</v>
      </c>
      <c r="BU160" s="1">
        <v>0.231</v>
      </c>
      <c r="BV160" s="1">
        <v>1.479</v>
      </c>
      <c r="BW160" s="1">
        <v>0.464</v>
      </c>
      <c r="BX160" s="1">
        <v>0.604</v>
      </c>
      <c r="BY160" s="1">
        <v>0.0</v>
      </c>
      <c r="BZ160" s="1">
        <v>0.604</v>
      </c>
      <c r="CA160" s="1">
        <v>0.271</v>
      </c>
      <c r="CB160" s="1">
        <v>0.0</v>
      </c>
      <c r="CC160" s="1">
        <v>0.0</v>
      </c>
      <c r="CD160" s="1">
        <v>0.651</v>
      </c>
      <c r="CE160" s="1">
        <v>0.047</v>
      </c>
      <c r="CF160" s="1">
        <v>0.0</v>
      </c>
      <c r="CG160" s="1">
        <v>0.698</v>
      </c>
      <c r="CH160" s="1">
        <v>0.046</v>
      </c>
      <c r="CI160" s="1">
        <v>3.9571</v>
      </c>
      <c r="CJ160" s="1">
        <v>0.0809</v>
      </c>
      <c r="CK160" s="1">
        <v>0.0</v>
      </c>
      <c r="CL160" s="1">
        <v>0.0</v>
      </c>
      <c r="CM160" s="1">
        <v>0.0</v>
      </c>
      <c r="CN160" s="1">
        <v>0.0</v>
      </c>
      <c r="CO160" s="1">
        <v>0.0</v>
      </c>
      <c r="CP160" s="1">
        <v>0.0</v>
      </c>
      <c r="CQ160" s="1">
        <v>1.0</v>
      </c>
      <c r="CR160" s="1">
        <v>0.0</v>
      </c>
      <c r="CS160" s="1">
        <v>1.0</v>
      </c>
      <c r="CT160" s="1">
        <v>0.0</v>
      </c>
      <c r="CU160" s="1">
        <v>0.0</v>
      </c>
      <c r="CV160" s="1">
        <v>0.0</v>
      </c>
      <c r="CW160" s="1">
        <v>0.0</v>
      </c>
      <c r="CX160" s="1">
        <v>0.0</v>
      </c>
      <c r="CY160" s="1">
        <v>0.0</v>
      </c>
      <c r="CZ160" s="1">
        <v>0.0</v>
      </c>
      <c r="DA160" s="1">
        <v>0.0</v>
      </c>
      <c r="DB160" s="1">
        <v>0.0</v>
      </c>
      <c r="DC160" s="1">
        <v>1.0</v>
      </c>
      <c r="DD160" s="1" t="s">
        <v>850</v>
      </c>
      <c r="DE160" s="1">
        <v>0.0015235358728882</v>
      </c>
      <c r="DF160" s="2" t="s">
        <v>851</v>
      </c>
    </row>
    <row r="161" ht="15.75" customHeight="1">
      <c r="A161" s="1" t="s">
        <v>852</v>
      </c>
      <c r="B161" s="1">
        <v>29.0</v>
      </c>
      <c r="C161" s="2" t="s">
        <v>802</v>
      </c>
      <c r="D161" s="2" t="s">
        <v>853</v>
      </c>
      <c r="E161" s="1">
        <v>34.771</v>
      </c>
      <c r="F161" s="1">
        <v>29037.0</v>
      </c>
      <c r="G161" s="1">
        <v>2.90370604E10</v>
      </c>
      <c r="H161" s="1" t="s">
        <v>112</v>
      </c>
      <c r="I161" s="1" t="s">
        <v>113</v>
      </c>
      <c r="J161" s="1" t="s">
        <v>804</v>
      </c>
      <c r="K161" s="1" t="s">
        <v>854</v>
      </c>
      <c r="L161" s="1">
        <v>4442.0</v>
      </c>
      <c r="M161" s="1">
        <v>4293.0</v>
      </c>
      <c r="N161" s="1">
        <v>222.0</v>
      </c>
      <c r="O161" s="1">
        <v>1790.0</v>
      </c>
      <c r="P161" s="1">
        <v>1703.0</v>
      </c>
      <c r="Q161" s="1">
        <v>98.0</v>
      </c>
      <c r="R161" s="1">
        <v>1691.0</v>
      </c>
      <c r="S161" s="1">
        <v>127.0</v>
      </c>
      <c r="T161" s="1">
        <v>117.0</v>
      </c>
      <c r="U161" s="1">
        <v>119.0</v>
      </c>
      <c r="V161" s="1">
        <v>347.0</v>
      </c>
      <c r="W161" s="1">
        <v>44590.0</v>
      </c>
      <c r="X161" s="1">
        <v>4257.0</v>
      </c>
      <c r="Y161" s="1">
        <v>53.0</v>
      </c>
      <c r="Z161" s="1">
        <v>363.0</v>
      </c>
      <c r="AA161" s="1">
        <v>850.0</v>
      </c>
      <c r="AB161" s="1">
        <v>955.0</v>
      </c>
      <c r="AC161" s="1">
        <v>59.0</v>
      </c>
      <c r="AD161" s="1">
        <v>221.0</v>
      </c>
      <c r="AE161" s="1">
        <v>3.0</v>
      </c>
      <c r="AF161" s="1">
        <v>442.0</v>
      </c>
      <c r="AG161" s="1">
        <v>0.0</v>
      </c>
      <c r="AH161" s="1">
        <v>197.0</v>
      </c>
      <c r="AI161" s="1">
        <v>11.0</v>
      </c>
      <c r="AJ161" s="1">
        <v>18.0</v>
      </c>
      <c r="AK161" s="1">
        <v>0.0</v>
      </c>
      <c r="AL161" s="1">
        <v>161.0</v>
      </c>
      <c r="AM161" s="1">
        <v>12.0</v>
      </c>
      <c r="AN161" s="1">
        <v>115.0</v>
      </c>
      <c r="AO161" s="1">
        <v>0.0</v>
      </c>
      <c r="AP161" s="1">
        <v>0.029659</v>
      </c>
      <c r="AQ161" s="1">
        <v>0.02728</v>
      </c>
      <c r="AR161" s="1">
        <v>0.055737</v>
      </c>
      <c r="AS161" s="1">
        <v>0.16245</v>
      </c>
      <c r="AT161" s="1">
        <v>44590.0</v>
      </c>
      <c r="AU161" s="1">
        <v>4257.0</v>
      </c>
      <c r="AV161" s="1">
        <v>0.016572</v>
      </c>
      <c r="AW161" s="1">
        <v>0.113505</v>
      </c>
      <c r="AX161" s="1">
        <v>0.191355</v>
      </c>
      <c r="AY161" s="1">
        <v>0.214993</v>
      </c>
      <c r="AZ161" s="1">
        <v>0.03489059</v>
      </c>
      <c r="BA161" s="1">
        <v>0.049752</v>
      </c>
      <c r="BB161" s="1">
        <v>7.2E-4</v>
      </c>
      <c r="BC161" s="1">
        <v>0.106173</v>
      </c>
      <c r="BD161" s="1">
        <v>0.0</v>
      </c>
      <c r="BE161" s="1">
        <v>0.115678</v>
      </c>
      <c r="BF161" s="1">
        <v>0.006459</v>
      </c>
      <c r="BG161" s="1">
        <v>0.010563</v>
      </c>
      <c r="BH161" s="1">
        <v>0.0</v>
      </c>
      <c r="BI161" s="1">
        <v>0.098955</v>
      </c>
      <c r="BJ161" s="1">
        <v>0.007375</v>
      </c>
      <c r="BK161" s="1">
        <v>0.070681</v>
      </c>
      <c r="BL161" s="1">
        <v>0.0</v>
      </c>
      <c r="BM161" s="1">
        <v>0.087</v>
      </c>
      <c r="BN161" s="1">
        <v>0.36</v>
      </c>
      <c r="BO161" s="1">
        <v>0.0412</v>
      </c>
      <c r="BP161" s="1">
        <v>0.028</v>
      </c>
      <c r="BQ161" s="1">
        <v>0.5162</v>
      </c>
      <c r="BR161" s="1">
        <v>0.0722</v>
      </c>
      <c r="BS161" s="1">
        <v>0.844</v>
      </c>
      <c r="BT161" s="1">
        <v>0.268</v>
      </c>
      <c r="BU161" s="1">
        <v>0.023</v>
      </c>
      <c r="BV161" s="1">
        <v>1.135</v>
      </c>
      <c r="BW161" s="1">
        <v>0.189</v>
      </c>
      <c r="BX161" s="1">
        <v>0.244</v>
      </c>
      <c r="BY161" s="1">
        <v>0.325</v>
      </c>
      <c r="BZ161" s="1">
        <v>0.569</v>
      </c>
      <c r="CA161" s="1">
        <v>0.251</v>
      </c>
      <c r="CB161" s="1">
        <v>0.0</v>
      </c>
      <c r="CC161" s="1">
        <v>0.418</v>
      </c>
      <c r="CD161" s="1">
        <v>0.0</v>
      </c>
      <c r="CE161" s="1">
        <v>0.062</v>
      </c>
      <c r="CF161" s="1">
        <v>0.0</v>
      </c>
      <c r="CG161" s="1">
        <v>0.48</v>
      </c>
      <c r="CH161" s="1">
        <v>0.026</v>
      </c>
      <c r="CI161" s="1">
        <v>2.7002</v>
      </c>
      <c r="CJ161" s="1">
        <v>0.0094</v>
      </c>
      <c r="CK161" s="1">
        <v>0.0</v>
      </c>
      <c r="CL161" s="1">
        <v>0.0</v>
      </c>
      <c r="CM161" s="1">
        <v>0.0</v>
      </c>
      <c r="CN161" s="1">
        <v>0.0</v>
      </c>
      <c r="CO161" s="1">
        <v>0.0</v>
      </c>
      <c r="CP161" s="1">
        <v>0.0</v>
      </c>
      <c r="CQ161" s="1">
        <v>0.0</v>
      </c>
      <c r="CR161" s="1">
        <v>0.0</v>
      </c>
      <c r="CS161" s="1">
        <v>0.0</v>
      </c>
      <c r="CT161" s="1">
        <v>0.0</v>
      </c>
      <c r="CU161" s="1">
        <v>0.0</v>
      </c>
      <c r="CV161" s="1">
        <v>0.0</v>
      </c>
      <c r="CW161" s="1">
        <v>0.0</v>
      </c>
      <c r="CX161" s="1">
        <v>0.0</v>
      </c>
      <c r="CY161" s="1">
        <v>0.0</v>
      </c>
      <c r="CZ161" s="1">
        <v>0.0</v>
      </c>
      <c r="DA161" s="1">
        <v>0.0</v>
      </c>
      <c r="DB161" s="1">
        <v>0.0</v>
      </c>
      <c r="DC161" s="1">
        <v>0.0</v>
      </c>
      <c r="DD161" s="1" t="s">
        <v>855</v>
      </c>
      <c r="DE161" s="1">
        <v>0.00976831835459857</v>
      </c>
      <c r="DF161" s="2" t="s">
        <v>856</v>
      </c>
    </row>
    <row r="162" ht="15.75" customHeight="1">
      <c r="A162" s="1" t="s">
        <v>857</v>
      </c>
      <c r="B162" s="1">
        <v>29.0</v>
      </c>
      <c r="C162" s="2" t="s">
        <v>802</v>
      </c>
      <c r="D162" s="2" t="s">
        <v>858</v>
      </c>
      <c r="E162" s="1">
        <v>74.49</v>
      </c>
      <c r="F162" s="1">
        <v>29037.0</v>
      </c>
      <c r="G162" s="1">
        <v>2.90370605E10</v>
      </c>
      <c r="H162" s="1" t="s">
        <v>112</v>
      </c>
      <c r="I162" s="1" t="s">
        <v>113</v>
      </c>
      <c r="J162" s="1" t="s">
        <v>804</v>
      </c>
      <c r="K162" s="1" t="s">
        <v>859</v>
      </c>
      <c r="L162" s="1">
        <v>2967.0</v>
      </c>
      <c r="M162" s="1">
        <v>3156.0</v>
      </c>
      <c r="N162" s="1">
        <v>212.0</v>
      </c>
      <c r="O162" s="1">
        <v>1138.0</v>
      </c>
      <c r="P162" s="1">
        <v>1090.0</v>
      </c>
      <c r="Q162" s="1">
        <v>51.0</v>
      </c>
      <c r="R162" s="1">
        <v>1072.0</v>
      </c>
      <c r="S162" s="1">
        <v>176.0</v>
      </c>
      <c r="T162" s="1">
        <v>104.0</v>
      </c>
      <c r="U162" s="1">
        <v>87.0</v>
      </c>
      <c r="V162" s="1">
        <v>398.0</v>
      </c>
      <c r="W162" s="1">
        <v>25040.0</v>
      </c>
      <c r="X162" s="1">
        <v>2086.0</v>
      </c>
      <c r="Y162" s="1">
        <v>154.0</v>
      </c>
      <c r="Z162" s="1">
        <v>234.0</v>
      </c>
      <c r="AA162" s="1">
        <v>395.0</v>
      </c>
      <c r="AB162" s="1">
        <v>724.0</v>
      </c>
      <c r="AC162" s="1">
        <v>69.0</v>
      </c>
      <c r="AD162" s="1">
        <v>87.0</v>
      </c>
      <c r="AE162" s="1">
        <v>16.0</v>
      </c>
      <c r="AF162" s="1">
        <v>427.0</v>
      </c>
      <c r="AG162" s="1">
        <v>0.0</v>
      </c>
      <c r="AH162" s="1">
        <v>197.0</v>
      </c>
      <c r="AI162" s="1">
        <v>69.0</v>
      </c>
      <c r="AJ162" s="1">
        <v>37.0</v>
      </c>
      <c r="AK162" s="1">
        <v>44.0</v>
      </c>
      <c r="AL162" s="1">
        <v>125.0</v>
      </c>
      <c r="AM162" s="1">
        <v>4.0</v>
      </c>
      <c r="AN162" s="1">
        <v>114.0</v>
      </c>
      <c r="AO162" s="1">
        <v>6.0</v>
      </c>
      <c r="AP162" s="1">
        <v>0.05614</v>
      </c>
      <c r="AQ162" s="1">
        <v>0.032949</v>
      </c>
      <c r="AR162" s="1">
        <v>0.058546</v>
      </c>
      <c r="AS162" s="1">
        <v>0.267754</v>
      </c>
      <c r="AT162" s="1">
        <v>25040.0</v>
      </c>
      <c r="AU162" s="1">
        <v>2086.0</v>
      </c>
      <c r="AV162" s="1">
        <v>0.079792</v>
      </c>
      <c r="AW162" s="1">
        <v>0.121155</v>
      </c>
      <c r="AX162" s="1">
        <v>0.133131</v>
      </c>
      <c r="AY162" s="1">
        <v>0.244017</v>
      </c>
      <c r="AZ162" s="1">
        <v>0.06436567</v>
      </c>
      <c r="BA162" s="1">
        <v>0.029322</v>
      </c>
      <c r="BB162" s="1">
        <v>0.005691</v>
      </c>
      <c r="BC162" s="1">
        <v>0.151902</v>
      </c>
      <c r="BD162" s="1">
        <v>0.0</v>
      </c>
      <c r="BE162" s="1">
        <v>0.180733</v>
      </c>
      <c r="BF162" s="1">
        <v>0.063302</v>
      </c>
      <c r="BG162" s="1">
        <v>0.033815</v>
      </c>
      <c r="BH162" s="1">
        <v>0.041275</v>
      </c>
      <c r="BI162" s="1">
        <v>0.117241</v>
      </c>
      <c r="BJ162" s="1">
        <v>0.003752</v>
      </c>
      <c r="BK162" s="1">
        <v>0.106941</v>
      </c>
      <c r="BL162" s="1">
        <v>0.002022</v>
      </c>
      <c r="BM162" s="1">
        <v>0.194</v>
      </c>
      <c r="BN162" s="1">
        <v>0.399</v>
      </c>
      <c r="BO162" s="1">
        <v>0.3466</v>
      </c>
      <c r="BP162" s="1">
        <v>0.247</v>
      </c>
      <c r="BQ162" s="1">
        <v>1.1866</v>
      </c>
      <c r="BR162" s="1">
        <v>0.2513</v>
      </c>
      <c r="BS162" s="1">
        <v>0.443</v>
      </c>
      <c r="BT162" s="1">
        <v>0.533</v>
      </c>
      <c r="BU162" s="1">
        <v>0.169</v>
      </c>
      <c r="BV162" s="1">
        <v>1.145</v>
      </c>
      <c r="BW162" s="1">
        <v>0.196</v>
      </c>
      <c r="BX162" s="1">
        <v>0.076</v>
      </c>
      <c r="BY162" s="1">
        <v>0.585</v>
      </c>
      <c r="BZ162" s="1">
        <v>0.661</v>
      </c>
      <c r="CA162" s="1">
        <v>0.31</v>
      </c>
      <c r="CB162" s="1">
        <v>0.0</v>
      </c>
      <c r="CC162" s="1">
        <v>0.633</v>
      </c>
      <c r="CD162" s="1">
        <v>0.897</v>
      </c>
      <c r="CE162" s="1">
        <v>0.039</v>
      </c>
      <c r="CF162" s="1">
        <v>0.446</v>
      </c>
      <c r="CG162" s="1">
        <v>2.015</v>
      </c>
      <c r="CH162" s="1">
        <v>0.356</v>
      </c>
      <c r="CI162" s="1">
        <v>5.0076</v>
      </c>
      <c r="CJ162" s="1">
        <v>0.2029</v>
      </c>
      <c r="CK162" s="1">
        <v>0.0</v>
      </c>
      <c r="CL162" s="1">
        <v>0.0</v>
      </c>
      <c r="CM162" s="1">
        <v>0.0</v>
      </c>
      <c r="CN162" s="1">
        <v>0.0</v>
      </c>
      <c r="CO162" s="1">
        <v>0.0</v>
      </c>
      <c r="CP162" s="1">
        <v>0.0</v>
      </c>
      <c r="CQ162" s="1">
        <v>0.0</v>
      </c>
      <c r="CR162" s="1">
        <v>0.0</v>
      </c>
      <c r="CS162" s="1">
        <v>0.0</v>
      </c>
      <c r="CT162" s="1">
        <v>0.0</v>
      </c>
      <c r="CU162" s="1">
        <v>0.0</v>
      </c>
      <c r="CV162" s="1">
        <v>0.0</v>
      </c>
      <c r="CW162" s="1">
        <v>0.0</v>
      </c>
      <c r="CX162" s="1">
        <v>0.0</v>
      </c>
      <c r="CY162" s="1">
        <v>0.0</v>
      </c>
      <c r="CZ162" s="1">
        <v>0.0</v>
      </c>
      <c r="DA162" s="1">
        <v>0.0</v>
      </c>
      <c r="DB162" s="1">
        <v>0.0</v>
      </c>
      <c r="DC162" s="1">
        <v>0.0</v>
      </c>
      <c r="DD162" s="1" t="s">
        <v>860</v>
      </c>
      <c r="DE162" s="2" t="s">
        <v>861</v>
      </c>
      <c r="DF162" s="2" t="s">
        <v>862</v>
      </c>
    </row>
    <row r="163" ht="15.75" customHeight="1">
      <c r="A163" s="1" t="s">
        <v>863</v>
      </c>
      <c r="B163" s="1">
        <v>29.0</v>
      </c>
      <c r="C163" s="2" t="s">
        <v>802</v>
      </c>
      <c r="D163" s="2" t="s">
        <v>864</v>
      </c>
      <c r="E163" s="1">
        <v>7.706</v>
      </c>
      <c r="F163" s="1">
        <v>29037.0</v>
      </c>
      <c r="G163" s="1">
        <v>2.90370606E10</v>
      </c>
      <c r="H163" s="1" t="s">
        <v>112</v>
      </c>
      <c r="I163" s="1" t="s">
        <v>113</v>
      </c>
      <c r="J163" s="1" t="s">
        <v>804</v>
      </c>
      <c r="K163" s="1" t="s">
        <v>865</v>
      </c>
      <c r="L163" s="1">
        <v>7972.0</v>
      </c>
      <c r="M163" s="1">
        <v>7488.0</v>
      </c>
      <c r="N163" s="1">
        <v>239.0</v>
      </c>
      <c r="O163" s="1">
        <v>3141.0</v>
      </c>
      <c r="P163" s="1">
        <v>2959.0</v>
      </c>
      <c r="Q163" s="1">
        <v>197.0</v>
      </c>
      <c r="R163" s="1">
        <v>2926.0</v>
      </c>
      <c r="S163" s="1">
        <v>376.0</v>
      </c>
      <c r="T163" s="1">
        <v>145.0</v>
      </c>
      <c r="U163" s="1">
        <v>173.0</v>
      </c>
      <c r="V163" s="1">
        <v>388.0</v>
      </c>
      <c r="W163" s="1">
        <v>24568.0</v>
      </c>
      <c r="X163" s="1">
        <v>1899.0</v>
      </c>
      <c r="Y163" s="1">
        <v>590.0</v>
      </c>
      <c r="Z163" s="1">
        <v>250.0</v>
      </c>
      <c r="AA163" s="1">
        <v>942.0</v>
      </c>
      <c r="AB163" s="1">
        <v>2340.0</v>
      </c>
      <c r="AC163" s="1">
        <v>414.0</v>
      </c>
      <c r="AD163" s="1">
        <v>536.0</v>
      </c>
      <c r="AE163" s="1">
        <v>20.0</v>
      </c>
      <c r="AF163" s="1">
        <v>427.0</v>
      </c>
      <c r="AG163" s="1">
        <v>26.0</v>
      </c>
      <c r="AH163" s="1">
        <v>118.0</v>
      </c>
      <c r="AI163" s="1">
        <v>76.0</v>
      </c>
      <c r="AJ163" s="1">
        <v>64.0</v>
      </c>
      <c r="AK163" s="1">
        <v>32.0</v>
      </c>
      <c r="AL163" s="1">
        <v>119.0</v>
      </c>
      <c r="AM163" s="1">
        <v>79.0</v>
      </c>
      <c r="AN163" s="1">
        <v>56.0</v>
      </c>
      <c r="AO163" s="1">
        <v>88.0</v>
      </c>
      <c r="AP163" s="1">
        <v>0.05131</v>
      </c>
      <c r="AQ163" s="1">
        <v>0.019672</v>
      </c>
      <c r="AR163" s="1">
        <v>0.042318</v>
      </c>
      <c r="AS163" s="1">
        <v>0.094849</v>
      </c>
      <c r="AT163" s="1">
        <v>24568.0</v>
      </c>
      <c r="AU163" s="1">
        <v>1899.0</v>
      </c>
      <c r="AV163" s="1">
        <v>0.123611</v>
      </c>
      <c r="AW163" s="1">
        <v>0.052046</v>
      </c>
      <c r="AX163" s="1">
        <v>0.118163</v>
      </c>
      <c r="AY163" s="1">
        <v>0.293527</v>
      </c>
      <c r="AZ163" s="1">
        <v>0.14149008</v>
      </c>
      <c r="BA163" s="1">
        <v>0.067235</v>
      </c>
      <c r="BB163" s="1">
        <v>0.002856</v>
      </c>
      <c r="BC163" s="1">
        <v>0.060982</v>
      </c>
      <c r="BD163" s="1">
        <v>0.008786</v>
      </c>
      <c r="BE163" s="1">
        <v>0.039874</v>
      </c>
      <c r="BF163" s="1">
        <v>0.025684</v>
      </c>
      <c r="BG163" s="1">
        <v>0.021561</v>
      </c>
      <c r="BH163" s="1">
        <v>0.011674</v>
      </c>
      <c r="BI163" s="1">
        <v>0.043407</v>
      </c>
      <c r="BJ163" s="1">
        <v>0.028821</v>
      </c>
      <c r="BK163" s="1">
        <v>0.020337</v>
      </c>
      <c r="BL163" s="1">
        <v>0.011038</v>
      </c>
      <c r="BM163" s="1">
        <v>0.172</v>
      </c>
      <c r="BN163" s="1">
        <v>0.211</v>
      </c>
      <c r="BO163" s="1">
        <v>0.3675</v>
      </c>
      <c r="BP163" s="1">
        <v>0.443</v>
      </c>
      <c r="BQ163" s="1">
        <v>1.1935</v>
      </c>
      <c r="BR163" s="1">
        <v>0.2549</v>
      </c>
      <c r="BS163" s="1">
        <v>0.331</v>
      </c>
      <c r="BT163" s="1">
        <v>0.897</v>
      </c>
      <c r="BU163" s="1">
        <v>0.766</v>
      </c>
      <c r="BV163" s="1">
        <v>1.994</v>
      </c>
      <c r="BW163" s="1">
        <v>0.854</v>
      </c>
      <c r="BX163" s="1">
        <v>0.35</v>
      </c>
      <c r="BY163" s="1">
        <v>0.442</v>
      </c>
      <c r="BZ163" s="1">
        <v>0.792</v>
      </c>
      <c r="CA163" s="1">
        <v>0.393</v>
      </c>
      <c r="CB163" s="1">
        <v>0.371</v>
      </c>
      <c r="CC163" s="1">
        <v>0.535</v>
      </c>
      <c r="CD163" s="1">
        <v>0.518</v>
      </c>
      <c r="CE163" s="1">
        <v>0.276</v>
      </c>
      <c r="CF163" s="1">
        <v>0.592</v>
      </c>
      <c r="CG163" s="1">
        <v>2.292</v>
      </c>
      <c r="CH163" s="1">
        <v>0.453</v>
      </c>
      <c r="CI163" s="1">
        <v>6.2715</v>
      </c>
      <c r="CJ163" s="1">
        <v>0.4224</v>
      </c>
      <c r="CK163" s="1">
        <v>0.0</v>
      </c>
      <c r="CL163" s="1">
        <v>0.0</v>
      </c>
      <c r="CM163" s="1">
        <v>0.0</v>
      </c>
      <c r="CN163" s="1">
        <v>0.0</v>
      </c>
      <c r="CO163" s="1">
        <v>0.0</v>
      </c>
      <c r="CP163" s="1">
        <v>0.0</v>
      </c>
      <c r="CQ163" s="1">
        <v>0.0</v>
      </c>
      <c r="CR163" s="1">
        <v>0.0</v>
      </c>
      <c r="CS163" s="1">
        <v>0.0</v>
      </c>
      <c r="CT163" s="1">
        <v>0.0</v>
      </c>
      <c r="CU163" s="1">
        <v>0.0</v>
      </c>
      <c r="CV163" s="1">
        <v>0.0</v>
      </c>
      <c r="CW163" s="1">
        <v>0.0</v>
      </c>
      <c r="CX163" s="1">
        <v>0.0</v>
      </c>
      <c r="CY163" s="1">
        <v>0.0</v>
      </c>
      <c r="CZ163" s="1">
        <v>0.0</v>
      </c>
      <c r="DA163" s="1">
        <v>0.0</v>
      </c>
      <c r="DB163" s="1">
        <v>0.0</v>
      </c>
      <c r="DC163" s="1">
        <v>0.0</v>
      </c>
      <c r="DD163" s="1" t="s">
        <v>866</v>
      </c>
      <c r="DE163" s="1">
        <v>0.00211360865919575</v>
      </c>
      <c r="DF163" s="2" t="s">
        <v>867</v>
      </c>
    </row>
    <row r="164" ht="15.75" customHeight="1">
      <c r="A164" s="1" t="s">
        <v>868</v>
      </c>
      <c r="B164" s="1">
        <v>29.0</v>
      </c>
      <c r="C164" s="2" t="s">
        <v>802</v>
      </c>
      <c r="D164" s="2" t="s">
        <v>869</v>
      </c>
      <c r="E164" s="1">
        <v>52.221</v>
      </c>
      <c r="F164" s="1">
        <v>29037.0</v>
      </c>
      <c r="G164" s="1">
        <v>2.9037061001E10</v>
      </c>
      <c r="H164" s="1" t="s">
        <v>112</v>
      </c>
      <c r="I164" s="1" t="s">
        <v>113</v>
      </c>
      <c r="J164" s="1" t="s">
        <v>804</v>
      </c>
      <c r="K164" s="1" t="s">
        <v>870</v>
      </c>
      <c r="L164" s="1">
        <v>4591.0</v>
      </c>
      <c r="M164" s="1">
        <v>4540.0</v>
      </c>
      <c r="N164" s="1">
        <v>312.0</v>
      </c>
      <c r="O164" s="1">
        <v>1785.0</v>
      </c>
      <c r="P164" s="1">
        <v>1782.0</v>
      </c>
      <c r="Q164" s="1">
        <v>85.0</v>
      </c>
      <c r="R164" s="1">
        <v>1690.0</v>
      </c>
      <c r="S164" s="1">
        <v>115.0</v>
      </c>
      <c r="T164" s="1">
        <v>66.0</v>
      </c>
      <c r="U164" s="1">
        <v>128.0</v>
      </c>
      <c r="V164" s="1">
        <v>401.0</v>
      </c>
      <c r="W164" s="1">
        <v>29289.0</v>
      </c>
      <c r="X164" s="1">
        <v>2193.0</v>
      </c>
      <c r="Y164" s="1">
        <v>328.0</v>
      </c>
      <c r="Z164" s="1">
        <v>279.0</v>
      </c>
      <c r="AA164" s="1">
        <v>669.0</v>
      </c>
      <c r="AB164" s="1">
        <v>1049.0</v>
      </c>
      <c r="AC164" s="1">
        <v>106.0</v>
      </c>
      <c r="AD164" s="1">
        <v>320.0</v>
      </c>
      <c r="AE164" s="1">
        <v>15.0</v>
      </c>
      <c r="AF164" s="1">
        <v>442.0</v>
      </c>
      <c r="AG164" s="1">
        <v>0.0</v>
      </c>
      <c r="AH164" s="1">
        <v>197.0</v>
      </c>
      <c r="AI164" s="1">
        <v>101.0</v>
      </c>
      <c r="AJ164" s="1">
        <v>48.0</v>
      </c>
      <c r="AK164" s="1">
        <v>7.0</v>
      </c>
      <c r="AL164" s="1">
        <v>115.0</v>
      </c>
      <c r="AM164" s="1">
        <v>50.0</v>
      </c>
      <c r="AN164" s="1">
        <v>127.0</v>
      </c>
      <c r="AO164" s="1">
        <v>0.0</v>
      </c>
      <c r="AP164" s="1">
        <v>0.025419</v>
      </c>
      <c r="AQ164" s="1">
        <v>0.014483</v>
      </c>
      <c r="AR164" s="1">
        <v>0.053311</v>
      </c>
      <c r="AS164" s="1">
        <v>0.16691</v>
      </c>
      <c r="AT164" s="1">
        <v>29289.0</v>
      </c>
      <c r="AU164" s="1">
        <v>2193.0</v>
      </c>
      <c r="AV164" s="1">
        <v>0.099273</v>
      </c>
      <c r="AW164" s="1">
        <v>0.084202</v>
      </c>
      <c r="AX164" s="1">
        <v>0.145719</v>
      </c>
      <c r="AY164" s="1">
        <v>0.22849</v>
      </c>
      <c r="AZ164" s="1">
        <v>0.06272189</v>
      </c>
      <c r="BA164" s="1">
        <v>0.069701</v>
      </c>
      <c r="BB164" s="1">
        <v>0.003441</v>
      </c>
      <c r="BC164" s="1">
        <v>0.101422</v>
      </c>
      <c r="BD164" s="1">
        <v>0.0</v>
      </c>
      <c r="BE164" s="1">
        <v>0.110549</v>
      </c>
      <c r="BF164" s="1">
        <v>0.056677</v>
      </c>
      <c r="BG164" s="1">
        <v>0.0268</v>
      </c>
      <c r="BH164" s="1">
        <v>0.004093</v>
      </c>
      <c r="BI164" s="1">
        <v>0.067251</v>
      </c>
      <c r="BJ164" s="1">
        <v>0.029239</v>
      </c>
      <c r="BK164" s="1">
        <v>0.074248</v>
      </c>
      <c r="BL164" s="1">
        <v>0.0</v>
      </c>
      <c r="BM164" s="1">
        <v>0.074</v>
      </c>
      <c r="BN164" s="1">
        <v>0.328</v>
      </c>
      <c r="BO164" s="1">
        <v>0.213</v>
      </c>
      <c r="BP164" s="1">
        <v>0.333</v>
      </c>
      <c r="BQ164" s="1">
        <v>0.948</v>
      </c>
      <c r="BR164" s="1">
        <v>0.1877</v>
      </c>
      <c r="BS164" s="1">
        <v>0.546</v>
      </c>
      <c r="BT164" s="1">
        <v>0.369</v>
      </c>
      <c r="BU164" s="1">
        <v>0.154</v>
      </c>
      <c r="BV164" s="1">
        <v>1.069</v>
      </c>
      <c r="BW164" s="1">
        <v>0.146</v>
      </c>
      <c r="BX164" s="1">
        <v>0.362</v>
      </c>
      <c r="BY164" s="1">
        <v>0.477</v>
      </c>
      <c r="BZ164" s="1">
        <v>0.839</v>
      </c>
      <c r="CA164" s="1">
        <v>0.423</v>
      </c>
      <c r="CB164" s="1">
        <v>0.0</v>
      </c>
      <c r="CC164" s="1">
        <v>0.623</v>
      </c>
      <c r="CD164" s="1">
        <v>0.308</v>
      </c>
      <c r="CE164" s="1">
        <v>0.279</v>
      </c>
      <c r="CF164" s="1">
        <v>0.0</v>
      </c>
      <c r="CG164" s="1">
        <v>1.21</v>
      </c>
      <c r="CH164" s="1">
        <v>0.112</v>
      </c>
      <c r="CI164" s="1">
        <v>4.066</v>
      </c>
      <c r="CJ164" s="1">
        <v>0.0931</v>
      </c>
      <c r="CK164" s="1">
        <v>0.0</v>
      </c>
      <c r="CL164" s="1">
        <v>0.0</v>
      </c>
      <c r="CM164" s="1">
        <v>0.0</v>
      </c>
      <c r="CN164" s="1">
        <v>0.0</v>
      </c>
      <c r="CO164" s="1">
        <v>0.0</v>
      </c>
      <c r="CP164" s="1">
        <v>0.0</v>
      </c>
      <c r="CQ164" s="1">
        <v>0.0</v>
      </c>
      <c r="CR164" s="1">
        <v>0.0</v>
      </c>
      <c r="CS164" s="1">
        <v>0.0</v>
      </c>
      <c r="CT164" s="1">
        <v>0.0</v>
      </c>
      <c r="CU164" s="1">
        <v>0.0</v>
      </c>
      <c r="CV164" s="1">
        <v>0.0</v>
      </c>
      <c r="CW164" s="1">
        <v>0.0</v>
      </c>
      <c r="CX164" s="1">
        <v>0.0</v>
      </c>
      <c r="CY164" s="1">
        <v>0.0</v>
      </c>
      <c r="CZ164" s="1">
        <v>0.0</v>
      </c>
      <c r="DA164" s="1">
        <v>0.0</v>
      </c>
      <c r="DB164" s="1">
        <v>0.0</v>
      </c>
      <c r="DC164" s="1">
        <v>0.0</v>
      </c>
      <c r="DD164" s="1" t="s">
        <v>871</v>
      </c>
      <c r="DE164" s="1">
        <v>0.0140897303339216</v>
      </c>
      <c r="DF164" s="2" t="s">
        <v>872</v>
      </c>
    </row>
    <row r="165" ht="15.75" customHeight="1">
      <c r="A165" s="1" t="s">
        <v>873</v>
      </c>
      <c r="B165" s="1">
        <v>29.0</v>
      </c>
      <c r="C165" s="2" t="s">
        <v>802</v>
      </c>
      <c r="D165" s="2" t="s">
        <v>874</v>
      </c>
      <c r="E165" s="1">
        <v>93.932</v>
      </c>
      <c r="F165" s="1">
        <v>29037.0</v>
      </c>
      <c r="G165" s="1">
        <v>2.90370608E10</v>
      </c>
      <c r="H165" s="1" t="s">
        <v>112</v>
      </c>
      <c r="I165" s="1" t="s">
        <v>113</v>
      </c>
      <c r="J165" s="1" t="s">
        <v>804</v>
      </c>
      <c r="K165" s="1" t="s">
        <v>875</v>
      </c>
      <c r="L165" s="1">
        <v>5946.0</v>
      </c>
      <c r="M165" s="1">
        <v>5911.0</v>
      </c>
      <c r="N165" s="1">
        <v>390.0</v>
      </c>
      <c r="O165" s="1">
        <v>2353.0</v>
      </c>
      <c r="P165" s="1">
        <v>2458.0</v>
      </c>
      <c r="Q165" s="1">
        <v>110.0</v>
      </c>
      <c r="R165" s="1">
        <v>2234.0</v>
      </c>
      <c r="S165" s="1">
        <v>506.0</v>
      </c>
      <c r="T165" s="1">
        <v>267.0</v>
      </c>
      <c r="U165" s="1">
        <v>183.0</v>
      </c>
      <c r="V165" s="1">
        <v>419.0</v>
      </c>
      <c r="W165" s="1">
        <v>25472.0</v>
      </c>
      <c r="X165" s="1">
        <v>2684.0</v>
      </c>
      <c r="Y165" s="1">
        <v>400.0</v>
      </c>
      <c r="Z165" s="1">
        <v>260.0</v>
      </c>
      <c r="AA165" s="1">
        <v>1072.0</v>
      </c>
      <c r="AB165" s="1">
        <v>1361.0</v>
      </c>
      <c r="AC165" s="1">
        <v>135.0</v>
      </c>
      <c r="AD165" s="1">
        <v>261.0</v>
      </c>
      <c r="AE165" s="1">
        <v>27.0</v>
      </c>
      <c r="AF165" s="1">
        <v>444.0</v>
      </c>
      <c r="AG165" s="1">
        <v>73.0</v>
      </c>
      <c r="AH165" s="1">
        <v>59.0</v>
      </c>
      <c r="AI165" s="1">
        <v>65.0</v>
      </c>
      <c r="AJ165" s="1">
        <v>50.0</v>
      </c>
      <c r="AK165" s="1">
        <v>0.0</v>
      </c>
      <c r="AL165" s="1">
        <v>161.0</v>
      </c>
      <c r="AM165" s="1">
        <v>50.0</v>
      </c>
      <c r="AN165" s="1">
        <v>34.0</v>
      </c>
      <c r="AO165" s="1">
        <v>115.0</v>
      </c>
      <c r="AP165" s="1">
        <v>0.088061</v>
      </c>
      <c r="AQ165" s="1">
        <v>0.04614</v>
      </c>
      <c r="AR165" s="1">
        <v>0.067453</v>
      </c>
      <c r="AS165" s="1">
        <v>0.15426</v>
      </c>
      <c r="AT165" s="1">
        <v>25472.0</v>
      </c>
      <c r="AU165" s="1">
        <v>2684.0</v>
      </c>
      <c r="AV165" s="1">
        <v>0.098716</v>
      </c>
      <c r="AW165" s="1">
        <v>0.063854</v>
      </c>
      <c r="AX165" s="1">
        <v>0.180289</v>
      </c>
      <c r="AY165" s="1">
        <v>0.228893</v>
      </c>
      <c r="AZ165" s="1">
        <v>0.06042972</v>
      </c>
      <c r="BA165" s="1">
        <v>0.043895</v>
      </c>
      <c r="BB165" s="1">
        <v>0.004872</v>
      </c>
      <c r="BC165" s="1">
        <v>0.080129</v>
      </c>
      <c r="BD165" s="1">
        <v>0.029698</v>
      </c>
      <c r="BE165" s="1">
        <v>0.023966</v>
      </c>
      <c r="BF165" s="1">
        <v>0.026444</v>
      </c>
      <c r="BG165" s="1">
        <v>0.020307</v>
      </c>
      <c r="BH165" s="1">
        <v>0.0</v>
      </c>
      <c r="BI165" s="1">
        <v>0.073315</v>
      </c>
      <c r="BJ165" s="1">
        <v>0.022768</v>
      </c>
      <c r="BK165" s="1">
        <v>0.015408</v>
      </c>
      <c r="BL165" s="1">
        <v>0.01934</v>
      </c>
      <c r="BM165" s="1">
        <v>0.33</v>
      </c>
      <c r="BN165" s="1">
        <v>0.493</v>
      </c>
      <c r="BO165" s="1">
        <v>0.3278</v>
      </c>
      <c r="BP165" s="1">
        <v>0.33</v>
      </c>
      <c r="BQ165" s="1">
        <v>1.4808</v>
      </c>
      <c r="BR165" s="1">
        <v>0.3357</v>
      </c>
      <c r="BS165" s="1">
        <v>0.791</v>
      </c>
      <c r="BT165" s="1">
        <v>0.371</v>
      </c>
      <c r="BU165" s="1">
        <v>0.134</v>
      </c>
      <c r="BV165" s="1">
        <v>1.296</v>
      </c>
      <c r="BW165" s="1">
        <v>0.3</v>
      </c>
      <c r="BX165" s="1">
        <v>0.205</v>
      </c>
      <c r="BY165" s="1">
        <v>0.555</v>
      </c>
      <c r="BZ165" s="1">
        <v>0.76</v>
      </c>
      <c r="CA165" s="1">
        <v>0.367</v>
      </c>
      <c r="CB165" s="1">
        <v>0.548</v>
      </c>
      <c r="CC165" s="1">
        <v>0.537</v>
      </c>
      <c r="CD165" s="1">
        <v>0.0</v>
      </c>
      <c r="CE165" s="1">
        <v>0.212</v>
      </c>
      <c r="CF165" s="1">
        <v>0.7</v>
      </c>
      <c r="CG165" s="1">
        <v>1.997</v>
      </c>
      <c r="CH165" s="1">
        <v>0.347</v>
      </c>
      <c r="CI165" s="1">
        <v>5.5338</v>
      </c>
      <c r="CJ165" s="1">
        <v>0.2881</v>
      </c>
      <c r="CK165" s="1">
        <v>0.0</v>
      </c>
      <c r="CL165" s="1">
        <v>0.0</v>
      </c>
      <c r="CM165" s="1">
        <v>0.0</v>
      </c>
      <c r="CN165" s="1">
        <v>0.0</v>
      </c>
      <c r="CO165" s="1">
        <v>0.0</v>
      </c>
      <c r="CP165" s="1">
        <v>0.0</v>
      </c>
      <c r="CQ165" s="1">
        <v>0.0</v>
      </c>
      <c r="CR165" s="1">
        <v>0.0</v>
      </c>
      <c r="CS165" s="1">
        <v>0.0</v>
      </c>
      <c r="CT165" s="1">
        <v>0.0</v>
      </c>
      <c r="CU165" s="1">
        <v>0.0</v>
      </c>
      <c r="CV165" s="1">
        <v>0.0</v>
      </c>
      <c r="CW165" s="1">
        <v>0.0</v>
      </c>
      <c r="CX165" s="1">
        <v>0.0</v>
      </c>
      <c r="CY165" s="1">
        <v>0.0</v>
      </c>
      <c r="CZ165" s="1">
        <v>0.0</v>
      </c>
      <c r="DA165" s="1">
        <v>0.0</v>
      </c>
      <c r="DB165" s="1">
        <v>0.0</v>
      </c>
      <c r="DC165" s="1">
        <v>0.0</v>
      </c>
      <c r="DD165" s="1" t="s">
        <v>876</v>
      </c>
      <c r="DE165" s="2" t="s">
        <v>877</v>
      </c>
      <c r="DF165" s="2" t="s">
        <v>878</v>
      </c>
    </row>
    <row r="166" ht="15.75" customHeight="1">
      <c r="A166" s="1" t="s">
        <v>879</v>
      </c>
      <c r="B166" s="1">
        <v>29.0</v>
      </c>
      <c r="C166" s="2" t="s">
        <v>802</v>
      </c>
      <c r="D166" s="2" t="s">
        <v>880</v>
      </c>
      <c r="E166" s="1">
        <v>3.268</v>
      </c>
      <c r="F166" s="1">
        <v>29037.0</v>
      </c>
      <c r="G166" s="1">
        <v>2.9037060904E10</v>
      </c>
      <c r="H166" s="1" t="s">
        <v>112</v>
      </c>
      <c r="I166" s="1" t="s">
        <v>113</v>
      </c>
      <c r="J166" s="1" t="s">
        <v>804</v>
      </c>
      <c r="K166" s="1" t="s">
        <v>881</v>
      </c>
      <c r="L166" s="1">
        <v>3169.0</v>
      </c>
      <c r="M166" s="1">
        <v>3053.0</v>
      </c>
      <c r="N166" s="1">
        <v>403.0</v>
      </c>
      <c r="O166" s="1">
        <v>1354.0</v>
      </c>
      <c r="P166" s="1">
        <v>1487.0</v>
      </c>
      <c r="Q166" s="1">
        <v>114.0</v>
      </c>
      <c r="R166" s="1">
        <v>1242.0</v>
      </c>
      <c r="S166" s="1">
        <v>469.0</v>
      </c>
      <c r="T166" s="1">
        <v>333.0</v>
      </c>
      <c r="U166" s="1">
        <v>78.0</v>
      </c>
      <c r="V166" s="1">
        <v>445.0</v>
      </c>
      <c r="W166" s="1">
        <v>20220.0</v>
      </c>
      <c r="X166" s="1">
        <v>3010.0</v>
      </c>
      <c r="Y166" s="1">
        <v>269.0</v>
      </c>
      <c r="Z166" s="1">
        <v>275.0</v>
      </c>
      <c r="AA166" s="1">
        <v>496.0</v>
      </c>
      <c r="AB166" s="1">
        <v>839.0</v>
      </c>
      <c r="AC166" s="1">
        <v>178.0</v>
      </c>
      <c r="AD166" s="1">
        <v>210.0</v>
      </c>
      <c r="AE166" s="1">
        <v>40.0</v>
      </c>
      <c r="AF166" s="1">
        <v>428.0</v>
      </c>
      <c r="AG166" s="1">
        <v>47.0</v>
      </c>
      <c r="AH166" s="1">
        <v>178.0</v>
      </c>
      <c r="AI166" s="1">
        <v>102.0</v>
      </c>
      <c r="AJ166" s="1">
        <v>51.0</v>
      </c>
      <c r="AK166" s="1">
        <v>23.0</v>
      </c>
      <c r="AL166" s="1">
        <v>120.0</v>
      </c>
      <c r="AM166" s="1">
        <v>98.0</v>
      </c>
      <c r="AN166" s="1">
        <v>89.0</v>
      </c>
      <c r="AO166" s="1">
        <v>115.0</v>
      </c>
      <c r="AP166" s="1">
        <v>0.159036</v>
      </c>
      <c r="AQ166" s="1">
        <v>0.110984</v>
      </c>
      <c r="AR166" s="1">
        <v>0.053351</v>
      </c>
      <c r="AS166" s="1">
        <v>0.304082</v>
      </c>
      <c r="AT166" s="1">
        <v>20220.0</v>
      </c>
      <c r="AU166" s="1">
        <v>3010.0</v>
      </c>
      <c r="AV166" s="1">
        <v>0.143696</v>
      </c>
      <c r="AW166" s="1">
        <v>0.145692</v>
      </c>
      <c r="AX166" s="1">
        <v>0.156516</v>
      </c>
      <c r="AY166" s="1">
        <v>0.264752</v>
      </c>
      <c r="AZ166" s="1">
        <v>0.14331723</v>
      </c>
      <c r="BA166" s="1">
        <v>0.066266</v>
      </c>
      <c r="BB166" s="1">
        <v>0.014646</v>
      </c>
      <c r="BC166" s="1">
        <v>0.156707</v>
      </c>
      <c r="BD166" s="1">
        <v>0.031607</v>
      </c>
      <c r="BE166" s="1">
        <v>0.119679</v>
      </c>
      <c r="BF166" s="1">
        <v>0.068594</v>
      </c>
      <c r="BG166" s="1">
        <v>0.033891</v>
      </c>
      <c r="BH166" s="1">
        <v>0.019087</v>
      </c>
      <c r="BI166" s="1">
        <v>0.099558</v>
      </c>
      <c r="BJ166" s="1">
        <v>0.081327</v>
      </c>
      <c r="BK166" s="1">
        <v>0.073207</v>
      </c>
      <c r="BL166" s="1">
        <v>0.036289</v>
      </c>
      <c r="BM166" s="1">
        <v>0.608</v>
      </c>
      <c r="BN166" s="1">
        <v>0.329</v>
      </c>
      <c r="BO166" s="1">
        <v>0.5964</v>
      </c>
      <c r="BP166" s="1">
        <v>0.541</v>
      </c>
      <c r="BQ166" s="1">
        <v>2.0744</v>
      </c>
      <c r="BR166" s="1">
        <v>0.5235</v>
      </c>
      <c r="BS166" s="1">
        <v>0.641</v>
      </c>
      <c r="BT166" s="1">
        <v>0.749</v>
      </c>
      <c r="BU166" s="1">
        <v>0.774</v>
      </c>
      <c r="BV166" s="1">
        <v>2.164</v>
      </c>
      <c r="BW166" s="1">
        <v>0.955</v>
      </c>
      <c r="BX166" s="1">
        <v>0.346</v>
      </c>
      <c r="BY166" s="1">
        <v>0.807</v>
      </c>
      <c r="BZ166" s="1">
        <v>1.153</v>
      </c>
      <c r="CA166" s="1">
        <v>0.634</v>
      </c>
      <c r="CB166" s="1">
        <v>0.556</v>
      </c>
      <c r="CC166" s="1">
        <v>0.648</v>
      </c>
      <c r="CD166" s="1">
        <v>0.665</v>
      </c>
      <c r="CE166" s="1">
        <v>0.681</v>
      </c>
      <c r="CF166" s="1">
        <v>0.849</v>
      </c>
      <c r="CG166" s="1">
        <v>3.399</v>
      </c>
      <c r="CH166" s="1">
        <v>0.912</v>
      </c>
      <c r="CI166" s="1">
        <v>8.7904</v>
      </c>
      <c r="CJ166" s="1">
        <v>0.8267</v>
      </c>
      <c r="CK166" s="1">
        <v>0.0</v>
      </c>
      <c r="CL166" s="1">
        <v>0.0</v>
      </c>
      <c r="CM166" s="1">
        <v>0.0</v>
      </c>
      <c r="CN166" s="1">
        <v>0.0</v>
      </c>
      <c r="CO166" s="1">
        <v>0.0</v>
      </c>
      <c r="CP166" s="1">
        <v>0.0</v>
      </c>
      <c r="CQ166" s="1">
        <v>0.0</v>
      </c>
      <c r="CR166" s="1">
        <v>0.0</v>
      </c>
      <c r="CS166" s="1">
        <v>0.0</v>
      </c>
      <c r="CT166" s="1">
        <v>0.0</v>
      </c>
      <c r="CU166" s="1">
        <v>0.0</v>
      </c>
      <c r="CV166" s="1">
        <v>0.0</v>
      </c>
      <c r="CW166" s="1">
        <v>0.0</v>
      </c>
      <c r="CX166" s="1">
        <v>0.0</v>
      </c>
      <c r="CY166" s="1">
        <v>0.0</v>
      </c>
      <c r="CZ166" s="1">
        <v>0.0</v>
      </c>
      <c r="DA166" s="1">
        <v>0.0</v>
      </c>
      <c r="DB166" s="1">
        <v>0.0</v>
      </c>
      <c r="DC166" s="1">
        <v>0.0</v>
      </c>
      <c r="DD166" s="1" t="s">
        <v>882</v>
      </c>
      <c r="DE166" s="1">
        <v>8.99941300172844E-4</v>
      </c>
      <c r="DF166" s="2" t="s">
        <v>883</v>
      </c>
    </row>
    <row r="167" ht="15.75" customHeight="1">
      <c r="A167" s="1" t="s">
        <v>884</v>
      </c>
      <c r="B167" s="1">
        <v>29.0</v>
      </c>
      <c r="C167" s="2" t="s">
        <v>802</v>
      </c>
      <c r="D167" s="2" t="s">
        <v>885</v>
      </c>
      <c r="E167" s="1">
        <v>23.917</v>
      </c>
      <c r="F167" s="1">
        <v>29037.0</v>
      </c>
      <c r="G167" s="1">
        <v>2.9037061002E10</v>
      </c>
      <c r="H167" s="1" t="s">
        <v>112</v>
      </c>
      <c r="I167" s="1" t="s">
        <v>113</v>
      </c>
      <c r="J167" s="1" t="s">
        <v>804</v>
      </c>
      <c r="K167" s="1" t="s">
        <v>886</v>
      </c>
      <c r="L167" s="1">
        <v>6423.0</v>
      </c>
      <c r="M167" s="1">
        <v>6431.0</v>
      </c>
      <c r="N167" s="1">
        <v>310.0</v>
      </c>
      <c r="O167" s="1">
        <v>2518.0</v>
      </c>
      <c r="P167" s="1">
        <v>2326.0</v>
      </c>
      <c r="Q167" s="1">
        <v>137.0</v>
      </c>
      <c r="R167" s="1">
        <v>2360.0</v>
      </c>
      <c r="S167" s="1">
        <v>374.0</v>
      </c>
      <c r="T167" s="1">
        <v>177.0</v>
      </c>
      <c r="U167" s="1">
        <v>215.0</v>
      </c>
      <c r="V167" s="1">
        <v>386.0</v>
      </c>
      <c r="W167" s="1">
        <v>26131.0</v>
      </c>
      <c r="X167" s="1">
        <v>1759.0</v>
      </c>
      <c r="Y167" s="1">
        <v>328.0</v>
      </c>
      <c r="Z167" s="1">
        <v>187.0</v>
      </c>
      <c r="AA167" s="1">
        <v>696.0</v>
      </c>
      <c r="AB167" s="1">
        <v>1723.0</v>
      </c>
      <c r="AC167" s="1">
        <v>248.0</v>
      </c>
      <c r="AD167" s="1">
        <v>439.0</v>
      </c>
      <c r="AE167" s="1">
        <v>100.0</v>
      </c>
      <c r="AF167" s="1">
        <v>464.0</v>
      </c>
      <c r="AG167" s="1">
        <v>0.0</v>
      </c>
      <c r="AH167" s="1">
        <v>197.0</v>
      </c>
      <c r="AI167" s="1">
        <v>59.0</v>
      </c>
      <c r="AJ167" s="1">
        <v>29.0</v>
      </c>
      <c r="AK167" s="1">
        <v>33.0</v>
      </c>
      <c r="AL167" s="1">
        <v>121.0</v>
      </c>
      <c r="AM167" s="1">
        <v>34.0</v>
      </c>
      <c r="AN167" s="1">
        <v>22.0</v>
      </c>
      <c r="AO167" s="1">
        <v>16.0</v>
      </c>
      <c r="AP167" s="1">
        <v>0.058255</v>
      </c>
      <c r="AQ167" s="1">
        <v>0.027426</v>
      </c>
      <c r="AR167" s="1">
        <v>0.06644</v>
      </c>
      <c r="AS167" s="1">
        <v>0.119157</v>
      </c>
      <c r="AT167" s="1">
        <v>26131.0</v>
      </c>
      <c r="AU167" s="1">
        <v>1759.0</v>
      </c>
      <c r="AV167" s="1">
        <v>0.081551</v>
      </c>
      <c r="AW167" s="1">
        <v>0.046325</v>
      </c>
      <c r="AX167" s="1">
        <v>0.10836</v>
      </c>
      <c r="AY167" s="1">
        <v>0.268254</v>
      </c>
      <c r="AZ167" s="1">
        <v>0.10508474</v>
      </c>
      <c r="BA167" s="1">
        <v>0.068348</v>
      </c>
      <c r="BB167" s="1">
        <v>0.016594</v>
      </c>
      <c r="BC167" s="1">
        <v>0.076994</v>
      </c>
      <c r="BD167" s="1">
        <v>0.0</v>
      </c>
      <c r="BE167" s="1">
        <v>0.084694</v>
      </c>
      <c r="BF167" s="1">
        <v>0.025365</v>
      </c>
      <c r="BG167" s="1">
        <v>0.012377</v>
      </c>
      <c r="BH167" s="1">
        <v>0.014798</v>
      </c>
      <c r="BI167" s="1">
        <v>0.054253</v>
      </c>
      <c r="BJ167" s="1">
        <v>0.015246</v>
      </c>
      <c r="BK167" s="1">
        <v>0.009825</v>
      </c>
      <c r="BL167" s="1">
        <v>0.002491</v>
      </c>
      <c r="BM167" s="1">
        <v>0.198</v>
      </c>
      <c r="BN167" s="1">
        <v>0.482</v>
      </c>
      <c r="BO167" s="1">
        <v>0.3076</v>
      </c>
      <c r="BP167" s="1">
        <v>0.254</v>
      </c>
      <c r="BQ167" s="1">
        <v>1.2416</v>
      </c>
      <c r="BR167" s="1">
        <v>0.2657</v>
      </c>
      <c r="BS167" s="1">
        <v>0.261</v>
      </c>
      <c r="BT167" s="1">
        <v>0.779</v>
      </c>
      <c r="BU167" s="1">
        <v>0.539</v>
      </c>
      <c r="BV167" s="1">
        <v>1.579</v>
      </c>
      <c r="BW167" s="1">
        <v>0.55</v>
      </c>
      <c r="BX167" s="1">
        <v>0.356</v>
      </c>
      <c r="BY167" s="1">
        <v>0.832</v>
      </c>
      <c r="BZ167" s="1">
        <v>1.188</v>
      </c>
      <c r="CA167" s="1">
        <v>0.655</v>
      </c>
      <c r="CB167" s="1">
        <v>0.0</v>
      </c>
      <c r="CC167" s="1">
        <v>0.533</v>
      </c>
      <c r="CD167" s="1">
        <v>0.591</v>
      </c>
      <c r="CE167" s="1">
        <v>0.137</v>
      </c>
      <c r="CF167" s="1">
        <v>0.46</v>
      </c>
      <c r="CG167" s="1">
        <v>1.721</v>
      </c>
      <c r="CH167" s="1">
        <v>0.24</v>
      </c>
      <c r="CI167" s="1">
        <v>5.7296</v>
      </c>
      <c r="CJ167" s="1">
        <v>0.3256</v>
      </c>
      <c r="CK167" s="1">
        <v>0.0</v>
      </c>
      <c r="CL167" s="1">
        <v>0.0</v>
      </c>
      <c r="CM167" s="1">
        <v>0.0</v>
      </c>
      <c r="CN167" s="1">
        <v>0.0</v>
      </c>
      <c r="CO167" s="1">
        <v>0.0</v>
      </c>
      <c r="CP167" s="1">
        <v>0.0</v>
      </c>
      <c r="CQ167" s="1">
        <v>0.0</v>
      </c>
      <c r="CR167" s="1">
        <v>0.0</v>
      </c>
      <c r="CS167" s="1">
        <v>0.0</v>
      </c>
      <c r="CT167" s="1">
        <v>0.0</v>
      </c>
      <c r="CU167" s="1">
        <v>0.0</v>
      </c>
      <c r="CV167" s="1">
        <v>0.0</v>
      </c>
      <c r="CW167" s="1">
        <v>0.0</v>
      </c>
      <c r="CX167" s="1">
        <v>0.0</v>
      </c>
      <c r="CY167" s="1">
        <v>0.0</v>
      </c>
      <c r="CZ167" s="1">
        <v>0.0</v>
      </c>
      <c r="DA167" s="1">
        <v>0.0</v>
      </c>
      <c r="DB167" s="1">
        <v>0.0</v>
      </c>
      <c r="DC167" s="1">
        <v>0.0</v>
      </c>
      <c r="DD167" s="1" t="s">
        <v>887</v>
      </c>
      <c r="DE167" s="1">
        <v>0.00644312933960226</v>
      </c>
      <c r="DF167" s="2" t="s">
        <v>888</v>
      </c>
    </row>
    <row r="168" ht="15.75" customHeight="1">
      <c r="A168" s="1" t="s">
        <v>889</v>
      </c>
      <c r="B168" s="1">
        <v>29.0</v>
      </c>
      <c r="C168" s="2" t="s">
        <v>802</v>
      </c>
      <c r="D168" s="2" t="s">
        <v>890</v>
      </c>
      <c r="E168" s="1">
        <v>132.66</v>
      </c>
      <c r="F168" s="1">
        <v>29037.0</v>
      </c>
      <c r="G168" s="1">
        <v>2.90370611E10</v>
      </c>
      <c r="H168" s="1" t="s">
        <v>112</v>
      </c>
      <c r="I168" s="1" t="s">
        <v>113</v>
      </c>
      <c r="J168" s="1" t="s">
        <v>804</v>
      </c>
      <c r="K168" s="1" t="s">
        <v>891</v>
      </c>
      <c r="L168" s="1">
        <v>4133.0</v>
      </c>
      <c r="M168" s="1">
        <v>4322.0</v>
      </c>
      <c r="N168" s="1">
        <v>251.0</v>
      </c>
      <c r="O168" s="1">
        <v>1816.0</v>
      </c>
      <c r="P168" s="1">
        <v>1870.0</v>
      </c>
      <c r="Q168" s="1">
        <v>86.0</v>
      </c>
      <c r="R168" s="1">
        <v>1626.0</v>
      </c>
      <c r="S168" s="1">
        <v>309.0</v>
      </c>
      <c r="T168" s="1">
        <v>129.0</v>
      </c>
      <c r="U168" s="1">
        <v>90.0</v>
      </c>
      <c r="V168" s="1">
        <v>304.0</v>
      </c>
      <c r="W168" s="1">
        <v>28446.0</v>
      </c>
      <c r="X168" s="1">
        <v>2749.0</v>
      </c>
      <c r="Y168" s="1">
        <v>274.0</v>
      </c>
      <c r="Z168" s="1">
        <v>133.0</v>
      </c>
      <c r="AA168" s="1">
        <v>645.0</v>
      </c>
      <c r="AB168" s="1">
        <v>977.0</v>
      </c>
      <c r="AC168" s="1">
        <v>136.0</v>
      </c>
      <c r="AD168" s="1">
        <v>148.0</v>
      </c>
      <c r="AE168" s="1">
        <v>0.0</v>
      </c>
      <c r="AF168" s="1">
        <v>456.0</v>
      </c>
      <c r="AG168" s="1">
        <v>0.0</v>
      </c>
      <c r="AH168" s="1">
        <v>197.0</v>
      </c>
      <c r="AI168" s="1">
        <v>54.0</v>
      </c>
      <c r="AJ168" s="1">
        <v>29.0</v>
      </c>
      <c r="AK168" s="1">
        <v>28.0</v>
      </c>
      <c r="AL168" s="1">
        <v>23.0</v>
      </c>
      <c r="AM168" s="1">
        <v>74.0</v>
      </c>
      <c r="AN168" s="1">
        <v>30.0</v>
      </c>
      <c r="AO168" s="1">
        <v>0.0</v>
      </c>
      <c r="AP168" s="1">
        <v>0.071777</v>
      </c>
      <c r="AQ168" s="1">
        <v>0.029664</v>
      </c>
      <c r="AR168" s="1">
        <v>0.040983</v>
      </c>
      <c r="AS168" s="1">
        <v>0.138385</v>
      </c>
      <c r="AT168" s="1">
        <v>28446.0</v>
      </c>
      <c r="AU168" s="1">
        <v>2749.0</v>
      </c>
      <c r="AV168" s="1">
        <v>0.090488</v>
      </c>
      <c r="AW168" s="1">
        <v>0.043592</v>
      </c>
      <c r="AX168" s="1">
        <v>0.15606</v>
      </c>
      <c r="AY168" s="1">
        <v>0.23639</v>
      </c>
      <c r="AZ168" s="1">
        <v>0.08364083</v>
      </c>
      <c r="BA168" s="1">
        <v>0.035809</v>
      </c>
      <c r="BB168" s="1">
        <v>0.0</v>
      </c>
      <c r="BC168" s="1">
        <v>0.111874</v>
      </c>
      <c r="BD168" s="1">
        <v>0.0</v>
      </c>
      <c r="BE168" s="1">
        <v>0.105347</v>
      </c>
      <c r="BF168" s="1">
        <v>0.028877</v>
      </c>
      <c r="BG168" s="1">
        <v>0.015451</v>
      </c>
      <c r="BH168" s="1">
        <v>0.016519</v>
      </c>
      <c r="BI168" s="1">
        <v>0.013534</v>
      </c>
      <c r="BJ168" s="1">
        <v>0.043657</v>
      </c>
      <c r="BK168" s="1">
        <v>0.01751</v>
      </c>
      <c r="BL168" s="1">
        <v>0.0</v>
      </c>
      <c r="BM168" s="1">
        <v>0.257</v>
      </c>
      <c r="BN168" s="1">
        <v>0.192</v>
      </c>
      <c r="BO168" s="1">
        <v>0.2332</v>
      </c>
      <c r="BP168" s="1">
        <v>0.295</v>
      </c>
      <c r="BQ168" s="1">
        <v>0.9772</v>
      </c>
      <c r="BR168" s="1">
        <v>0.1964</v>
      </c>
      <c r="BS168" s="1">
        <v>0.635</v>
      </c>
      <c r="BT168" s="1">
        <v>0.455</v>
      </c>
      <c r="BU168" s="1">
        <v>0.347</v>
      </c>
      <c r="BV168" s="1">
        <v>1.437</v>
      </c>
      <c r="BW168" s="1">
        <v>0.425</v>
      </c>
      <c r="BX168" s="1">
        <v>0.126</v>
      </c>
      <c r="BY168" s="1">
        <v>0.0</v>
      </c>
      <c r="BZ168" s="1">
        <v>0.126</v>
      </c>
      <c r="CA168" s="1">
        <v>0.061</v>
      </c>
      <c r="CB168" s="1">
        <v>0.0</v>
      </c>
      <c r="CC168" s="1">
        <v>0.546</v>
      </c>
      <c r="CD168" s="1">
        <v>0.622</v>
      </c>
      <c r="CE168" s="1">
        <v>0.429</v>
      </c>
      <c r="CF168" s="1">
        <v>0.0</v>
      </c>
      <c r="CG168" s="1">
        <v>1.597</v>
      </c>
      <c r="CH168" s="1">
        <v>0.197</v>
      </c>
      <c r="CI168" s="1">
        <v>4.1372</v>
      </c>
      <c r="CJ168" s="1">
        <v>0.0968</v>
      </c>
      <c r="CK168" s="1">
        <v>0.0</v>
      </c>
      <c r="CL168" s="1">
        <v>0.0</v>
      </c>
      <c r="CM168" s="1">
        <v>0.0</v>
      </c>
      <c r="CN168" s="1">
        <v>0.0</v>
      </c>
      <c r="CO168" s="1">
        <v>0.0</v>
      </c>
      <c r="CP168" s="1">
        <v>0.0</v>
      </c>
      <c r="CQ168" s="1">
        <v>0.0</v>
      </c>
      <c r="CR168" s="1">
        <v>0.0</v>
      </c>
      <c r="CS168" s="1">
        <v>0.0</v>
      </c>
      <c r="CT168" s="1">
        <v>0.0</v>
      </c>
      <c r="CU168" s="1">
        <v>0.0</v>
      </c>
      <c r="CV168" s="1">
        <v>0.0</v>
      </c>
      <c r="CW168" s="1">
        <v>0.0</v>
      </c>
      <c r="CX168" s="1">
        <v>0.0</v>
      </c>
      <c r="CY168" s="1">
        <v>0.0</v>
      </c>
      <c r="CZ168" s="1">
        <v>0.0</v>
      </c>
      <c r="DA168" s="1">
        <v>0.0</v>
      </c>
      <c r="DB168" s="1">
        <v>0.0</v>
      </c>
      <c r="DC168" s="1">
        <v>0.0</v>
      </c>
      <c r="DD168" s="1" t="s">
        <v>892</v>
      </c>
      <c r="DE168" s="2" t="s">
        <v>893</v>
      </c>
      <c r="DF168" s="1">
        <v>0.818341382547601</v>
      </c>
    </row>
    <row r="169" ht="15.75" customHeight="1">
      <c r="A169" s="1" t="s">
        <v>894</v>
      </c>
      <c r="B169" s="1">
        <v>29.0</v>
      </c>
      <c r="C169" s="2" t="s">
        <v>802</v>
      </c>
      <c r="D169" s="2" t="s">
        <v>895</v>
      </c>
      <c r="E169" s="1">
        <v>124.841</v>
      </c>
      <c r="F169" s="1">
        <v>29037.0</v>
      </c>
      <c r="G169" s="1">
        <v>2.90370612E10</v>
      </c>
      <c r="H169" s="1" t="s">
        <v>112</v>
      </c>
      <c r="I169" s="1" t="s">
        <v>113</v>
      </c>
      <c r="J169" s="1" t="s">
        <v>804</v>
      </c>
      <c r="K169" s="1" t="s">
        <v>896</v>
      </c>
      <c r="L169" s="1">
        <v>3983.0</v>
      </c>
      <c r="M169" s="1">
        <v>3870.0</v>
      </c>
      <c r="N169" s="1">
        <v>236.0</v>
      </c>
      <c r="O169" s="1">
        <v>1629.0</v>
      </c>
      <c r="P169" s="1">
        <v>1679.0</v>
      </c>
      <c r="Q169" s="1">
        <v>67.0</v>
      </c>
      <c r="R169" s="1">
        <v>1497.0</v>
      </c>
      <c r="S169" s="1">
        <v>264.0</v>
      </c>
      <c r="T169" s="1">
        <v>99.0</v>
      </c>
      <c r="U169" s="1">
        <v>98.0</v>
      </c>
      <c r="V169" s="1">
        <v>325.0</v>
      </c>
      <c r="W169" s="1">
        <v>24575.0</v>
      </c>
      <c r="X169" s="1">
        <v>1925.0</v>
      </c>
      <c r="Y169" s="1">
        <v>295.0</v>
      </c>
      <c r="Z169" s="1">
        <v>176.0</v>
      </c>
      <c r="AA169" s="1">
        <v>570.0</v>
      </c>
      <c r="AB169" s="1">
        <v>1084.0</v>
      </c>
      <c r="AC169" s="1">
        <v>117.0</v>
      </c>
      <c r="AD169" s="1">
        <v>164.0</v>
      </c>
      <c r="AE169" s="1">
        <v>3.0</v>
      </c>
      <c r="AF169" s="1">
        <v>442.0</v>
      </c>
      <c r="AG169" s="1">
        <v>0.0</v>
      </c>
      <c r="AH169" s="1">
        <v>197.0</v>
      </c>
      <c r="AI169" s="1">
        <v>125.0</v>
      </c>
      <c r="AJ169" s="1">
        <v>51.0</v>
      </c>
      <c r="AK169" s="1">
        <v>12.0</v>
      </c>
      <c r="AL169" s="1">
        <v>115.0</v>
      </c>
      <c r="AM169" s="1">
        <v>47.0</v>
      </c>
      <c r="AN169" s="1">
        <v>36.0</v>
      </c>
      <c r="AO169" s="1">
        <v>0.0</v>
      </c>
      <c r="AP169" s="1">
        <v>0.068624</v>
      </c>
      <c r="AQ169" s="1">
        <v>0.025393</v>
      </c>
      <c r="AR169" s="1">
        <v>0.049771</v>
      </c>
      <c r="AS169" s="1">
        <v>0.164988</v>
      </c>
      <c r="AT169" s="1">
        <v>24575.0</v>
      </c>
      <c r="AU169" s="1">
        <v>1925.0</v>
      </c>
      <c r="AV169" s="1">
        <v>0.114607</v>
      </c>
      <c r="AW169" s="1">
        <v>0.067915</v>
      </c>
      <c r="AX169" s="1">
        <v>0.143108</v>
      </c>
      <c r="AY169" s="1">
        <v>0.272156</v>
      </c>
      <c r="AZ169" s="1">
        <v>0.07815631</v>
      </c>
      <c r="BA169" s="1">
        <v>0.041174</v>
      </c>
      <c r="BB169" s="1">
        <v>8.32E-4</v>
      </c>
      <c r="BC169" s="1">
        <v>0.122675</v>
      </c>
      <c r="BD169" s="1">
        <v>0.0</v>
      </c>
      <c r="BE169" s="1">
        <v>0.117331</v>
      </c>
      <c r="BF169" s="1">
        <v>0.074449</v>
      </c>
      <c r="BG169" s="1">
        <v>0.030229</v>
      </c>
      <c r="BH169" s="1">
        <v>0.007782</v>
      </c>
      <c r="BI169" s="1">
        <v>0.074577</v>
      </c>
      <c r="BJ169" s="1">
        <v>0.030479</v>
      </c>
      <c r="BK169" s="1">
        <v>0.023278</v>
      </c>
      <c r="BL169" s="1">
        <v>0.0</v>
      </c>
      <c r="BM169" s="1">
        <v>0.241</v>
      </c>
      <c r="BN169" s="1">
        <v>0.29</v>
      </c>
      <c r="BO169" s="1">
        <v>0.3668</v>
      </c>
      <c r="BP169" s="1">
        <v>0.404</v>
      </c>
      <c r="BQ169" s="1">
        <v>1.3018</v>
      </c>
      <c r="BR169" s="1">
        <v>0.2801</v>
      </c>
      <c r="BS169" s="1">
        <v>0.525</v>
      </c>
      <c r="BT169" s="1">
        <v>0.805</v>
      </c>
      <c r="BU169" s="1">
        <v>0.287</v>
      </c>
      <c r="BV169" s="1">
        <v>1.617</v>
      </c>
      <c r="BW169" s="1">
        <v>0.579</v>
      </c>
      <c r="BX169" s="1">
        <v>0.173</v>
      </c>
      <c r="BY169" s="1">
        <v>0.328</v>
      </c>
      <c r="BZ169" s="1">
        <v>0.501</v>
      </c>
      <c r="CA169" s="1">
        <v>0.208</v>
      </c>
      <c r="CB169" s="1">
        <v>0.0</v>
      </c>
      <c r="CC169" s="1">
        <v>0.661</v>
      </c>
      <c r="CD169" s="1">
        <v>0.429</v>
      </c>
      <c r="CE169" s="1">
        <v>0.289</v>
      </c>
      <c r="CF169" s="1">
        <v>0.0</v>
      </c>
      <c r="CG169" s="1">
        <v>1.379</v>
      </c>
      <c r="CH169" s="1">
        <v>0.144</v>
      </c>
      <c r="CI169" s="1">
        <v>4.7988</v>
      </c>
      <c r="CJ169" s="1">
        <v>0.1769</v>
      </c>
      <c r="CK169" s="1">
        <v>0.0</v>
      </c>
      <c r="CL169" s="1">
        <v>0.0</v>
      </c>
      <c r="CM169" s="1">
        <v>0.0</v>
      </c>
      <c r="CN169" s="1">
        <v>0.0</v>
      </c>
      <c r="CO169" s="1">
        <v>0.0</v>
      </c>
      <c r="CP169" s="1">
        <v>0.0</v>
      </c>
      <c r="CQ169" s="1">
        <v>0.0</v>
      </c>
      <c r="CR169" s="1">
        <v>0.0</v>
      </c>
      <c r="CS169" s="1">
        <v>0.0</v>
      </c>
      <c r="CT169" s="1">
        <v>0.0</v>
      </c>
      <c r="CU169" s="1">
        <v>0.0</v>
      </c>
      <c r="CV169" s="1">
        <v>0.0</v>
      </c>
      <c r="CW169" s="1">
        <v>0.0</v>
      </c>
      <c r="CX169" s="1">
        <v>0.0</v>
      </c>
      <c r="CY169" s="1">
        <v>0.0</v>
      </c>
      <c r="CZ169" s="1">
        <v>0.0</v>
      </c>
      <c r="DA169" s="1">
        <v>0.0</v>
      </c>
      <c r="DB169" s="1">
        <v>0.0</v>
      </c>
      <c r="DC169" s="1">
        <v>0.0</v>
      </c>
      <c r="DD169" s="1" t="s">
        <v>897</v>
      </c>
      <c r="DE169" s="1">
        <v>0.0335519233473205</v>
      </c>
      <c r="DF169" s="2" t="s">
        <v>898</v>
      </c>
    </row>
    <row r="170" ht="15.75" customHeight="1">
      <c r="A170" s="1" t="s">
        <v>899</v>
      </c>
      <c r="B170" s="1">
        <v>29.0</v>
      </c>
      <c r="C170" s="2" t="s">
        <v>802</v>
      </c>
      <c r="D170" s="2" t="s">
        <v>900</v>
      </c>
      <c r="E170" s="1">
        <v>6.644</v>
      </c>
      <c r="F170" s="1">
        <v>29037.0</v>
      </c>
      <c r="G170" s="1">
        <v>2.90370613E10</v>
      </c>
      <c r="H170" s="1" t="s">
        <v>112</v>
      </c>
      <c r="I170" s="1" t="s">
        <v>113</v>
      </c>
      <c r="J170" s="1" t="s">
        <v>804</v>
      </c>
      <c r="K170" s="1" t="s">
        <v>901</v>
      </c>
      <c r="L170" s="1">
        <v>5837.0</v>
      </c>
      <c r="M170" s="1">
        <v>5871.0</v>
      </c>
      <c r="N170" s="1">
        <v>438.0</v>
      </c>
      <c r="O170" s="1">
        <v>2638.0</v>
      </c>
      <c r="P170" s="1">
        <v>2542.0</v>
      </c>
      <c r="Q170" s="1">
        <v>146.0</v>
      </c>
      <c r="R170" s="1">
        <v>2331.0</v>
      </c>
      <c r="S170" s="1">
        <v>826.0</v>
      </c>
      <c r="T170" s="1">
        <v>345.0</v>
      </c>
      <c r="U170" s="1">
        <v>228.0</v>
      </c>
      <c r="V170" s="1">
        <v>314.0</v>
      </c>
      <c r="W170" s="1">
        <v>19570.0</v>
      </c>
      <c r="X170" s="1">
        <v>1497.0</v>
      </c>
      <c r="Y170" s="1">
        <v>389.0</v>
      </c>
      <c r="Z170" s="1">
        <v>260.0</v>
      </c>
      <c r="AA170" s="1">
        <v>954.0</v>
      </c>
      <c r="AB170" s="1">
        <v>1630.0</v>
      </c>
      <c r="AC170" s="1">
        <v>429.0</v>
      </c>
      <c r="AD170" s="1">
        <v>1246.0</v>
      </c>
      <c r="AE170" s="1">
        <v>75.0</v>
      </c>
      <c r="AF170" s="1">
        <v>418.0</v>
      </c>
      <c r="AG170" s="1">
        <v>240.0</v>
      </c>
      <c r="AH170" s="1">
        <v>95.0</v>
      </c>
      <c r="AI170" s="1">
        <v>270.0</v>
      </c>
      <c r="AJ170" s="1">
        <v>65.0</v>
      </c>
      <c r="AK170" s="1">
        <v>86.0</v>
      </c>
      <c r="AL170" s="1">
        <v>128.0</v>
      </c>
      <c r="AM170" s="1">
        <v>167.0</v>
      </c>
      <c r="AN170" s="1">
        <v>72.0</v>
      </c>
      <c r="AO170" s="1">
        <v>109.0</v>
      </c>
      <c r="AP170" s="1">
        <v>0.146194</v>
      </c>
      <c r="AQ170" s="1">
        <v>0.060119</v>
      </c>
      <c r="AR170" s="1">
        <v>0.089869</v>
      </c>
      <c r="AS170" s="1">
        <v>0.123311</v>
      </c>
      <c r="AT170" s="1">
        <v>19570.0</v>
      </c>
      <c r="AU170" s="1">
        <v>1497.0</v>
      </c>
      <c r="AV170" s="1">
        <v>0.100309</v>
      </c>
      <c r="AW170" s="1">
        <v>0.066704</v>
      </c>
      <c r="AX170" s="1">
        <v>0.16344</v>
      </c>
      <c r="AY170" s="1">
        <v>0.279253</v>
      </c>
      <c r="AZ170" s="1">
        <v>0.18404118</v>
      </c>
      <c r="BA170" s="1">
        <v>0.213465</v>
      </c>
      <c r="BB170" s="1">
        <v>0.013574</v>
      </c>
      <c r="BC170" s="1">
        <v>0.075649</v>
      </c>
      <c r="BD170" s="1">
        <v>0.094413</v>
      </c>
      <c r="BE170" s="1">
        <v>0.036976</v>
      </c>
      <c r="BF170" s="1">
        <v>0.106215</v>
      </c>
      <c r="BG170" s="1">
        <v>0.024832</v>
      </c>
      <c r="BH170" s="1">
        <v>0.036736</v>
      </c>
      <c r="BI170" s="1">
        <v>0.054625</v>
      </c>
      <c r="BJ170" s="1">
        <v>0.071337</v>
      </c>
      <c r="BK170" s="1">
        <v>0.030405</v>
      </c>
      <c r="BL170" s="1">
        <v>0.018673</v>
      </c>
      <c r="BM170" s="1">
        <v>0.569</v>
      </c>
      <c r="BN170" s="1">
        <v>0.682</v>
      </c>
      <c r="BO170" s="1">
        <v>0.6412</v>
      </c>
      <c r="BP170" s="1">
        <v>0.341</v>
      </c>
      <c r="BQ170" s="1">
        <v>2.2332</v>
      </c>
      <c r="BR170" s="1">
        <v>0.5791</v>
      </c>
      <c r="BS170" s="1">
        <v>0.695</v>
      </c>
      <c r="BT170" s="1">
        <v>0.846</v>
      </c>
      <c r="BU170" s="1">
        <v>0.872</v>
      </c>
      <c r="BV170" s="1">
        <v>2.413</v>
      </c>
      <c r="BW170" s="1">
        <v>0.992</v>
      </c>
      <c r="BX170" s="1">
        <v>0.727</v>
      </c>
      <c r="BY170" s="1">
        <v>0.792</v>
      </c>
      <c r="BZ170" s="1">
        <v>1.519</v>
      </c>
      <c r="CA170" s="1">
        <v>0.838</v>
      </c>
      <c r="CB170" s="1">
        <v>0.759</v>
      </c>
      <c r="CC170" s="1">
        <v>0.73</v>
      </c>
      <c r="CD170" s="1">
        <v>0.87</v>
      </c>
      <c r="CE170" s="1">
        <v>0.633</v>
      </c>
      <c r="CF170" s="1">
        <v>0.692</v>
      </c>
      <c r="CG170" s="1">
        <v>3.684</v>
      </c>
      <c r="CH170" s="1">
        <v>0.973</v>
      </c>
      <c r="CI170" s="1">
        <v>9.8492</v>
      </c>
      <c r="CJ170" s="1">
        <v>0.9401</v>
      </c>
      <c r="CK170" s="1">
        <v>0.0</v>
      </c>
      <c r="CL170" s="1">
        <v>0.0</v>
      </c>
      <c r="CM170" s="1">
        <v>0.0</v>
      </c>
      <c r="CN170" s="1">
        <v>0.0</v>
      </c>
      <c r="CO170" s="1">
        <v>0.0</v>
      </c>
      <c r="CP170" s="1">
        <v>0.0</v>
      </c>
      <c r="CQ170" s="1">
        <v>0.0</v>
      </c>
      <c r="CR170" s="1">
        <v>0.0</v>
      </c>
      <c r="CS170" s="1">
        <v>0.0</v>
      </c>
      <c r="CT170" s="1">
        <v>0.0</v>
      </c>
      <c r="CU170" s="1">
        <v>0.0</v>
      </c>
      <c r="CV170" s="1">
        <v>0.0</v>
      </c>
      <c r="CW170" s="1">
        <v>0.0</v>
      </c>
      <c r="CX170" s="1">
        <v>0.0</v>
      </c>
      <c r="CY170" s="1">
        <v>0.0</v>
      </c>
      <c r="CZ170" s="1">
        <v>0.0</v>
      </c>
      <c r="DA170" s="1">
        <v>0.0</v>
      </c>
      <c r="DB170" s="1">
        <v>0.0</v>
      </c>
      <c r="DC170" s="1">
        <v>0.0</v>
      </c>
      <c r="DD170" s="1" t="s">
        <v>902</v>
      </c>
      <c r="DE170" s="1">
        <v>0.0017881731887381</v>
      </c>
      <c r="DF170" s="2" t="s">
        <v>903</v>
      </c>
    </row>
    <row r="171" ht="15.75" customHeight="1">
      <c r="A171" s="1" t="s">
        <v>904</v>
      </c>
      <c r="B171" s="1">
        <v>29.0</v>
      </c>
      <c r="C171" s="2" t="s">
        <v>905</v>
      </c>
      <c r="D171" s="1">
        <v>870200.0</v>
      </c>
      <c r="E171" s="1">
        <v>29.744</v>
      </c>
      <c r="F171" s="1">
        <v>29039.0</v>
      </c>
      <c r="G171" s="1">
        <v>2.90398702E10</v>
      </c>
      <c r="H171" s="1" t="s">
        <v>112</v>
      </c>
      <c r="I171" s="1" t="s">
        <v>113</v>
      </c>
      <c r="J171" s="1" t="s">
        <v>906</v>
      </c>
      <c r="K171" s="1" t="s">
        <v>907</v>
      </c>
      <c r="L171" s="1">
        <v>5002.0</v>
      </c>
      <c r="M171" s="1">
        <v>4748.0</v>
      </c>
      <c r="N171" s="1">
        <v>298.0</v>
      </c>
      <c r="O171" s="1">
        <v>2561.0</v>
      </c>
      <c r="P171" s="1">
        <v>2557.0</v>
      </c>
      <c r="Q171" s="1">
        <v>171.0</v>
      </c>
      <c r="R171" s="1">
        <v>2175.0</v>
      </c>
      <c r="S171" s="1">
        <v>948.0</v>
      </c>
      <c r="T171" s="1">
        <v>309.0</v>
      </c>
      <c r="U171" s="1">
        <v>78.0</v>
      </c>
      <c r="V171" s="1">
        <v>474.0</v>
      </c>
      <c r="W171" s="1">
        <v>16507.0</v>
      </c>
      <c r="X171" s="1">
        <v>1805.0</v>
      </c>
      <c r="Y171" s="1">
        <v>583.0</v>
      </c>
      <c r="Z171" s="1">
        <v>236.0</v>
      </c>
      <c r="AA171" s="1">
        <v>1079.0</v>
      </c>
      <c r="AB171" s="1">
        <v>1154.0</v>
      </c>
      <c r="AC171" s="1">
        <v>246.0</v>
      </c>
      <c r="AD171" s="1">
        <v>209.0</v>
      </c>
      <c r="AE171" s="1">
        <v>0.0</v>
      </c>
      <c r="AF171" s="1">
        <v>456.0</v>
      </c>
      <c r="AG171" s="1">
        <v>27.0</v>
      </c>
      <c r="AH171" s="1">
        <v>167.0</v>
      </c>
      <c r="AI171" s="1">
        <v>229.0</v>
      </c>
      <c r="AJ171" s="1">
        <v>99.0</v>
      </c>
      <c r="AK171" s="1">
        <v>23.0</v>
      </c>
      <c r="AL171" s="1">
        <v>118.0</v>
      </c>
      <c r="AM171" s="1">
        <v>257.0</v>
      </c>
      <c r="AN171" s="1">
        <v>130.0</v>
      </c>
      <c r="AO171" s="1">
        <v>80.0</v>
      </c>
      <c r="AP171" s="1">
        <v>0.199663</v>
      </c>
      <c r="AQ171" s="1">
        <v>0.063862</v>
      </c>
      <c r="AR171" s="1">
        <v>0.037178</v>
      </c>
      <c r="AS171" s="1">
        <v>0.225873</v>
      </c>
      <c r="AT171" s="1">
        <v>16507.0</v>
      </c>
      <c r="AU171" s="1">
        <v>1805.0</v>
      </c>
      <c r="AV171" s="1">
        <v>0.185255</v>
      </c>
      <c r="AW171" s="1">
        <v>0.073896</v>
      </c>
      <c r="AX171" s="1">
        <v>0.215713</v>
      </c>
      <c r="AY171" s="1">
        <v>0.230707</v>
      </c>
      <c r="AZ171" s="1">
        <v>0.11310344</v>
      </c>
      <c r="BA171" s="1">
        <v>0.041783</v>
      </c>
      <c r="BB171" s="1">
        <v>0.0</v>
      </c>
      <c r="BC171" s="1">
        <v>0.101423</v>
      </c>
      <c r="BD171" s="1">
        <v>0.010559</v>
      </c>
      <c r="BE171" s="1">
        <v>0.065307</v>
      </c>
      <c r="BF171" s="1">
        <v>0.089558</v>
      </c>
      <c r="BG171" s="1">
        <v>0.038251</v>
      </c>
      <c r="BH171" s="1">
        <v>0.01024</v>
      </c>
      <c r="BI171" s="1">
        <v>0.05253</v>
      </c>
      <c r="BJ171" s="1">
        <v>0.114425</v>
      </c>
      <c r="BK171" s="1">
        <v>0.057056</v>
      </c>
      <c r="BL171" s="1">
        <v>0.015993</v>
      </c>
      <c r="BM171" s="1">
        <v>0.73</v>
      </c>
      <c r="BN171" s="1">
        <v>0.158</v>
      </c>
      <c r="BO171" s="1">
        <v>0.813</v>
      </c>
      <c r="BP171" s="1">
        <v>0.707</v>
      </c>
      <c r="BQ171" s="1">
        <v>2.408</v>
      </c>
      <c r="BR171" s="1">
        <v>0.6354</v>
      </c>
      <c r="BS171" s="1">
        <v>0.923</v>
      </c>
      <c r="BT171" s="1">
        <v>0.394</v>
      </c>
      <c r="BU171" s="1">
        <v>0.612</v>
      </c>
      <c r="BV171" s="1">
        <v>1.929</v>
      </c>
      <c r="BW171" s="1">
        <v>0.821</v>
      </c>
      <c r="BX171" s="1">
        <v>0.179</v>
      </c>
      <c r="BY171" s="1">
        <v>0.0</v>
      </c>
      <c r="BZ171" s="1">
        <v>0.179</v>
      </c>
      <c r="CA171" s="1">
        <v>0.084</v>
      </c>
      <c r="CB171" s="1">
        <v>0.389</v>
      </c>
      <c r="CC171" s="1">
        <v>0.701</v>
      </c>
      <c r="CD171" s="1">
        <v>0.482</v>
      </c>
      <c r="CE171" s="1">
        <v>0.794</v>
      </c>
      <c r="CF171" s="1">
        <v>0.661</v>
      </c>
      <c r="CG171" s="1">
        <v>3.027</v>
      </c>
      <c r="CH171" s="1">
        <v>0.787</v>
      </c>
      <c r="CI171" s="1">
        <v>7.543</v>
      </c>
      <c r="CJ171" s="1">
        <v>0.6426</v>
      </c>
      <c r="CK171" s="1">
        <v>0.0</v>
      </c>
      <c r="CL171" s="1">
        <v>0.0</v>
      </c>
      <c r="CM171" s="1">
        <v>0.0</v>
      </c>
      <c r="CN171" s="1">
        <v>0.0</v>
      </c>
      <c r="CO171" s="1">
        <v>0.0</v>
      </c>
      <c r="CP171" s="1">
        <v>1.0</v>
      </c>
      <c r="CQ171" s="1">
        <v>0.0</v>
      </c>
      <c r="CR171" s="1">
        <v>0.0</v>
      </c>
      <c r="CS171" s="1">
        <v>1.0</v>
      </c>
      <c r="CT171" s="1">
        <v>0.0</v>
      </c>
      <c r="CU171" s="1">
        <v>0.0</v>
      </c>
      <c r="CV171" s="1">
        <v>0.0</v>
      </c>
      <c r="CW171" s="1">
        <v>0.0</v>
      </c>
      <c r="CX171" s="1">
        <v>0.0</v>
      </c>
      <c r="CY171" s="1">
        <v>0.0</v>
      </c>
      <c r="CZ171" s="1">
        <v>0.0</v>
      </c>
      <c r="DA171" s="1">
        <v>0.0</v>
      </c>
      <c r="DB171" s="1">
        <v>0.0</v>
      </c>
      <c r="DC171" s="1">
        <v>1.0</v>
      </c>
      <c r="DD171" s="1" t="s">
        <v>908</v>
      </c>
      <c r="DE171" s="1">
        <v>0.00794544380286555</v>
      </c>
      <c r="DF171" s="2" t="s">
        <v>909</v>
      </c>
    </row>
    <row r="172" ht="15.75" customHeight="1">
      <c r="A172" s="1" t="s">
        <v>910</v>
      </c>
      <c r="B172" s="1">
        <v>29.0</v>
      </c>
      <c r="C172" s="2" t="s">
        <v>905</v>
      </c>
      <c r="D172" s="1">
        <v>870100.0</v>
      </c>
      <c r="E172" s="1">
        <v>369.095</v>
      </c>
      <c r="F172" s="1">
        <v>29039.0</v>
      </c>
      <c r="G172" s="1">
        <v>2.90398701E10</v>
      </c>
      <c r="H172" s="1" t="s">
        <v>112</v>
      </c>
      <c r="I172" s="1" t="s">
        <v>113</v>
      </c>
      <c r="J172" s="1" t="s">
        <v>906</v>
      </c>
      <c r="K172" s="1" t="s">
        <v>911</v>
      </c>
      <c r="L172" s="1">
        <v>5661.0</v>
      </c>
      <c r="M172" s="1">
        <v>5881.0</v>
      </c>
      <c r="N172" s="1">
        <v>461.0</v>
      </c>
      <c r="O172" s="1">
        <v>2797.0</v>
      </c>
      <c r="P172" s="1">
        <v>2636.0</v>
      </c>
      <c r="Q172" s="1">
        <v>138.0</v>
      </c>
      <c r="R172" s="1">
        <v>2244.0</v>
      </c>
      <c r="S172" s="1">
        <v>1042.0</v>
      </c>
      <c r="T172" s="1">
        <v>427.0</v>
      </c>
      <c r="U172" s="1">
        <v>241.0</v>
      </c>
      <c r="V172" s="1">
        <v>415.0</v>
      </c>
      <c r="W172" s="1">
        <v>15631.0</v>
      </c>
      <c r="X172" s="1">
        <v>1709.0</v>
      </c>
      <c r="Y172" s="1">
        <v>603.0</v>
      </c>
      <c r="Z172" s="1">
        <v>256.0</v>
      </c>
      <c r="AA172" s="1">
        <v>1170.0</v>
      </c>
      <c r="AB172" s="1">
        <v>1398.0</v>
      </c>
      <c r="AC172" s="1">
        <v>166.0</v>
      </c>
      <c r="AD172" s="1">
        <v>218.0</v>
      </c>
      <c r="AE172" s="1">
        <v>30.0</v>
      </c>
      <c r="AF172" s="1">
        <v>444.0</v>
      </c>
      <c r="AG172" s="1">
        <v>0.0</v>
      </c>
      <c r="AH172" s="1">
        <v>197.0</v>
      </c>
      <c r="AI172" s="1">
        <v>471.0</v>
      </c>
      <c r="AJ172" s="1">
        <v>145.0</v>
      </c>
      <c r="AK172" s="1">
        <v>91.0</v>
      </c>
      <c r="AL172" s="1">
        <v>72.0</v>
      </c>
      <c r="AM172" s="1">
        <v>44.0</v>
      </c>
      <c r="AN172" s="1">
        <v>120.0</v>
      </c>
      <c r="AO172" s="1">
        <v>9.0</v>
      </c>
      <c r="AP172" s="1">
        <v>0.178089</v>
      </c>
      <c r="AQ172" s="1">
        <v>0.071635</v>
      </c>
      <c r="AR172" s="1">
        <v>0.110855</v>
      </c>
      <c r="AS172" s="1">
        <v>0.190298</v>
      </c>
      <c r="AT172" s="1">
        <v>15631.0</v>
      </c>
      <c r="AU172" s="1">
        <v>1709.0</v>
      </c>
      <c r="AV172" s="1">
        <v>0.144673</v>
      </c>
      <c r="AW172" s="1">
        <v>0.060763</v>
      </c>
      <c r="AX172" s="1">
        <v>0.206677</v>
      </c>
      <c r="AY172" s="1">
        <v>0.246952</v>
      </c>
      <c r="AZ172" s="1">
        <v>0.07397504</v>
      </c>
      <c r="BA172" s="1">
        <v>0.038509</v>
      </c>
      <c r="BB172" s="1">
        <v>0.005509</v>
      </c>
      <c r="BC172" s="1">
        <v>0.081541</v>
      </c>
      <c r="BD172" s="1">
        <v>0.0</v>
      </c>
      <c r="BE172" s="1">
        <v>0.074734</v>
      </c>
      <c r="BF172" s="1">
        <v>0.178679</v>
      </c>
      <c r="BG172" s="1">
        <v>0.054206</v>
      </c>
      <c r="BH172" s="1">
        <v>0.038988</v>
      </c>
      <c r="BI172" s="1">
        <v>0.030747</v>
      </c>
      <c r="BJ172" s="1">
        <v>0.018851</v>
      </c>
      <c r="BK172" s="1">
        <v>0.051399</v>
      </c>
      <c r="BL172" s="1">
        <v>0.001589</v>
      </c>
      <c r="BM172" s="1">
        <v>0.673</v>
      </c>
      <c r="BN172" s="1">
        <v>0.791</v>
      </c>
      <c r="BO172" s="1">
        <v>0.8527</v>
      </c>
      <c r="BP172" s="1">
        <v>0.545</v>
      </c>
      <c r="BQ172" s="1">
        <v>2.8617</v>
      </c>
      <c r="BR172" s="1">
        <v>0.769</v>
      </c>
      <c r="BS172" s="1">
        <v>0.902</v>
      </c>
      <c r="BT172" s="1">
        <v>0.565</v>
      </c>
      <c r="BU172" s="1">
        <v>0.248</v>
      </c>
      <c r="BV172" s="1">
        <v>1.715</v>
      </c>
      <c r="BW172" s="1">
        <v>0.653</v>
      </c>
      <c r="BX172" s="1">
        <v>0.153</v>
      </c>
      <c r="BY172" s="1">
        <v>0.582</v>
      </c>
      <c r="BZ172" s="1">
        <v>0.735</v>
      </c>
      <c r="CA172" s="1">
        <v>0.355</v>
      </c>
      <c r="CB172" s="1">
        <v>0.0</v>
      </c>
      <c r="CC172" s="1">
        <v>0.865</v>
      </c>
      <c r="CD172" s="1">
        <v>0.886</v>
      </c>
      <c r="CE172" s="1">
        <v>0.171</v>
      </c>
      <c r="CF172" s="1">
        <v>0.428</v>
      </c>
      <c r="CG172" s="1">
        <v>2.35</v>
      </c>
      <c r="CH172" s="1">
        <v>0.486</v>
      </c>
      <c r="CI172" s="1">
        <v>7.6617</v>
      </c>
      <c r="CJ172" s="1">
        <v>0.6621</v>
      </c>
      <c r="CK172" s="1">
        <v>0.0</v>
      </c>
      <c r="CL172" s="1">
        <v>0.0</v>
      </c>
      <c r="CM172" s="1">
        <v>0.0</v>
      </c>
      <c r="CN172" s="1">
        <v>0.0</v>
      </c>
      <c r="CO172" s="1">
        <v>0.0</v>
      </c>
      <c r="CP172" s="1">
        <v>1.0</v>
      </c>
      <c r="CQ172" s="1">
        <v>0.0</v>
      </c>
      <c r="CR172" s="1">
        <v>0.0</v>
      </c>
      <c r="CS172" s="1">
        <v>1.0</v>
      </c>
      <c r="CT172" s="1">
        <v>0.0</v>
      </c>
      <c r="CU172" s="1">
        <v>0.0</v>
      </c>
      <c r="CV172" s="1">
        <v>0.0</v>
      </c>
      <c r="CW172" s="1">
        <v>0.0</v>
      </c>
      <c r="CX172" s="1">
        <v>0.0</v>
      </c>
      <c r="CY172" s="1">
        <v>0.0</v>
      </c>
      <c r="CZ172" s="1">
        <v>0.0</v>
      </c>
      <c r="DA172" s="1">
        <v>0.0</v>
      </c>
      <c r="DB172" s="1">
        <v>0.0</v>
      </c>
      <c r="DC172" s="1">
        <v>1.0</v>
      </c>
      <c r="DD172" s="1" t="s">
        <v>912</v>
      </c>
      <c r="DE172" s="2" t="s">
        <v>913</v>
      </c>
      <c r="DF172" s="2" t="s">
        <v>914</v>
      </c>
    </row>
    <row r="173" ht="15.75" customHeight="1">
      <c r="A173" s="1" t="s">
        <v>915</v>
      </c>
      <c r="B173" s="1">
        <v>29.0</v>
      </c>
      <c r="C173" s="2" t="s">
        <v>905</v>
      </c>
      <c r="D173" s="1">
        <v>870300.0</v>
      </c>
      <c r="E173" s="1">
        <v>75.644</v>
      </c>
      <c r="F173" s="1">
        <v>29039.0</v>
      </c>
      <c r="G173" s="1">
        <v>2.90398703E10</v>
      </c>
      <c r="H173" s="1" t="s">
        <v>112</v>
      </c>
      <c r="I173" s="1" t="s">
        <v>113</v>
      </c>
      <c r="J173" s="1" t="s">
        <v>906</v>
      </c>
      <c r="K173" s="1" t="s">
        <v>916</v>
      </c>
      <c r="L173" s="1">
        <v>3319.0</v>
      </c>
      <c r="M173" s="1">
        <v>3462.0</v>
      </c>
      <c r="N173" s="1">
        <v>409.0</v>
      </c>
      <c r="O173" s="1">
        <v>1866.0</v>
      </c>
      <c r="P173" s="1">
        <v>2012.0</v>
      </c>
      <c r="Q173" s="1">
        <v>144.0</v>
      </c>
      <c r="R173" s="1">
        <v>1419.0</v>
      </c>
      <c r="S173" s="1">
        <v>493.0</v>
      </c>
      <c r="T173" s="1">
        <v>201.0</v>
      </c>
      <c r="U173" s="1">
        <v>135.0</v>
      </c>
      <c r="V173" s="1">
        <v>403.0</v>
      </c>
      <c r="W173" s="1">
        <v>17689.0</v>
      </c>
      <c r="X173" s="1">
        <v>2109.0</v>
      </c>
      <c r="Y173" s="1">
        <v>473.0</v>
      </c>
      <c r="Z173" s="1">
        <v>242.0</v>
      </c>
      <c r="AA173" s="1">
        <v>877.0</v>
      </c>
      <c r="AB173" s="1">
        <v>756.0</v>
      </c>
      <c r="AC173" s="1">
        <v>146.0</v>
      </c>
      <c r="AD173" s="1">
        <v>123.0</v>
      </c>
      <c r="AE173" s="1">
        <v>0.0</v>
      </c>
      <c r="AF173" s="1">
        <v>456.0</v>
      </c>
      <c r="AG173" s="1">
        <v>61.0</v>
      </c>
      <c r="AH173" s="1">
        <v>128.0</v>
      </c>
      <c r="AI173" s="1">
        <v>378.0</v>
      </c>
      <c r="AJ173" s="1">
        <v>114.0</v>
      </c>
      <c r="AK173" s="1">
        <v>47.0</v>
      </c>
      <c r="AL173" s="1">
        <v>124.0</v>
      </c>
      <c r="AM173" s="1">
        <v>96.0</v>
      </c>
      <c r="AN173" s="1">
        <v>70.0</v>
      </c>
      <c r="AO173" s="1">
        <v>67.0</v>
      </c>
      <c r="AP173" s="1">
        <v>0.149711</v>
      </c>
      <c r="AQ173" s="1">
        <v>0.05879</v>
      </c>
      <c r="AR173" s="1">
        <v>0.119152</v>
      </c>
      <c r="AS173" s="1">
        <v>0.354825</v>
      </c>
      <c r="AT173" s="1">
        <v>17689.0</v>
      </c>
      <c r="AU173" s="1">
        <v>2109.0</v>
      </c>
      <c r="AV173" s="1">
        <v>0.188596</v>
      </c>
      <c r="AW173" s="1">
        <v>0.094788</v>
      </c>
      <c r="AX173" s="1">
        <v>0.264236</v>
      </c>
      <c r="AY173" s="1">
        <v>0.227779</v>
      </c>
      <c r="AZ173" s="1">
        <v>0.10288935</v>
      </c>
      <c r="BA173" s="1">
        <v>0.037059</v>
      </c>
      <c r="BB173" s="1">
        <v>0.0</v>
      </c>
      <c r="BC173" s="1">
        <v>0.13669</v>
      </c>
      <c r="BD173" s="1">
        <v>0.030318</v>
      </c>
      <c r="BE173" s="1">
        <v>0.063581</v>
      </c>
      <c r="BF173" s="1">
        <v>0.187872</v>
      </c>
      <c r="BG173" s="1">
        <v>0.055041</v>
      </c>
      <c r="BH173" s="1">
        <v>0.030225</v>
      </c>
      <c r="BI173" s="1">
        <v>0.079682</v>
      </c>
      <c r="BJ173" s="1">
        <v>0.061736</v>
      </c>
      <c r="BK173" s="1">
        <v>0.044571</v>
      </c>
      <c r="BL173" s="1">
        <v>0.020186</v>
      </c>
      <c r="BM173" s="1">
        <v>0.577</v>
      </c>
      <c r="BN173" s="1">
        <v>0.82</v>
      </c>
      <c r="BO173" s="1">
        <v>0.7466</v>
      </c>
      <c r="BP173" s="1">
        <v>0.722</v>
      </c>
      <c r="BQ173" s="1">
        <v>2.8656</v>
      </c>
      <c r="BR173" s="1">
        <v>0.7697</v>
      </c>
      <c r="BS173" s="1">
        <v>0.977</v>
      </c>
      <c r="BT173" s="1">
        <v>0.366</v>
      </c>
      <c r="BU173" s="1">
        <v>0.517</v>
      </c>
      <c r="BV173" s="1">
        <v>1.86</v>
      </c>
      <c r="BW173" s="1">
        <v>0.774</v>
      </c>
      <c r="BX173" s="1">
        <v>0.138</v>
      </c>
      <c r="BY173" s="1">
        <v>0.0</v>
      </c>
      <c r="BZ173" s="1">
        <v>0.138</v>
      </c>
      <c r="CA173" s="1">
        <v>0.066</v>
      </c>
      <c r="CB173" s="1">
        <v>0.551</v>
      </c>
      <c r="CC173" s="1">
        <v>0.875</v>
      </c>
      <c r="CD173" s="1">
        <v>0.811</v>
      </c>
      <c r="CE173" s="1">
        <v>0.576</v>
      </c>
      <c r="CF173" s="1">
        <v>0.714</v>
      </c>
      <c r="CG173" s="1">
        <v>3.527</v>
      </c>
      <c r="CH173" s="1">
        <v>0.94</v>
      </c>
      <c r="CI173" s="1">
        <v>8.3906</v>
      </c>
      <c r="CJ173" s="1">
        <v>0.7718</v>
      </c>
      <c r="CK173" s="1">
        <v>0.0</v>
      </c>
      <c r="CL173" s="1">
        <v>0.0</v>
      </c>
      <c r="CM173" s="1">
        <v>0.0</v>
      </c>
      <c r="CN173" s="1">
        <v>0.0</v>
      </c>
      <c r="CO173" s="1">
        <v>0.0</v>
      </c>
      <c r="CP173" s="1">
        <v>1.0</v>
      </c>
      <c r="CQ173" s="1">
        <v>0.0</v>
      </c>
      <c r="CR173" s="1">
        <v>0.0</v>
      </c>
      <c r="CS173" s="1">
        <v>1.0</v>
      </c>
      <c r="CT173" s="1">
        <v>0.0</v>
      </c>
      <c r="CU173" s="1">
        <v>0.0</v>
      </c>
      <c r="CV173" s="1">
        <v>0.0</v>
      </c>
      <c r="CW173" s="1">
        <v>0.0</v>
      </c>
      <c r="CX173" s="1">
        <v>0.0</v>
      </c>
      <c r="CY173" s="1">
        <v>0.0</v>
      </c>
      <c r="CZ173" s="1">
        <v>0.0</v>
      </c>
      <c r="DA173" s="1">
        <v>0.0</v>
      </c>
      <c r="DB173" s="1">
        <v>0.0</v>
      </c>
      <c r="DC173" s="1">
        <v>1.0</v>
      </c>
      <c r="DD173" s="1" t="s">
        <v>917</v>
      </c>
      <c r="DE173" s="1">
        <v>0.02354397780583</v>
      </c>
      <c r="DF173" s="2" t="s">
        <v>918</v>
      </c>
    </row>
    <row r="174" ht="15.75" customHeight="1">
      <c r="A174" s="1" t="s">
        <v>919</v>
      </c>
      <c r="B174" s="1">
        <v>29.0</v>
      </c>
      <c r="C174" s="2" t="s">
        <v>920</v>
      </c>
      <c r="D174" s="1">
        <v>470200.0</v>
      </c>
      <c r="E174" s="1">
        <v>233.011</v>
      </c>
      <c r="F174" s="1">
        <v>29041.0</v>
      </c>
      <c r="G174" s="1">
        <v>2.90414702E10</v>
      </c>
      <c r="H174" s="1" t="s">
        <v>112</v>
      </c>
      <c r="I174" s="1" t="s">
        <v>113</v>
      </c>
      <c r="J174" s="1" t="s">
        <v>921</v>
      </c>
      <c r="K174" s="1" t="s">
        <v>922</v>
      </c>
      <c r="L174" s="1">
        <v>2534.0</v>
      </c>
      <c r="M174" s="1">
        <v>2664.0</v>
      </c>
      <c r="N174" s="1">
        <v>220.0</v>
      </c>
      <c r="O174" s="1">
        <v>1375.0</v>
      </c>
      <c r="P174" s="1">
        <v>1531.0</v>
      </c>
      <c r="Q174" s="1">
        <v>85.0</v>
      </c>
      <c r="R174" s="1">
        <v>1085.0</v>
      </c>
      <c r="S174" s="1">
        <v>474.0</v>
      </c>
      <c r="T174" s="1">
        <v>166.0</v>
      </c>
      <c r="U174" s="1">
        <v>90.0</v>
      </c>
      <c r="V174" s="1">
        <v>344.0</v>
      </c>
      <c r="W174" s="1">
        <v>20584.0</v>
      </c>
      <c r="X174" s="1">
        <v>1934.0</v>
      </c>
      <c r="Y174" s="1">
        <v>263.0</v>
      </c>
      <c r="Z174" s="1">
        <v>170.0</v>
      </c>
      <c r="AA174" s="1">
        <v>571.0</v>
      </c>
      <c r="AB174" s="1">
        <v>564.0</v>
      </c>
      <c r="AC174" s="1">
        <v>90.0</v>
      </c>
      <c r="AD174" s="1">
        <v>141.0</v>
      </c>
      <c r="AE174" s="1">
        <v>0.0</v>
      </c>
      <c r="AF174" s="1">
        <v>456.0</v>
      </c>
      <c r="AG174" s="1">
        <v>5.0</v>
      </c>
      <c r="AH174" s="1">
        <v>161.0</v>
      </c>
      <c r="AI174" s="1">
        <v>99.0</v>
      </c>
      <c r="AJ174" s="1">
        <v>36.0</v>
      </c>
      <c r="AK174" s="1">
        <v>12.0</v>
      </c>
      <c r="AL174" s="1">
        <v>114.0</v>
      </c>
      <c r="AM174" s="1">
        <v>68.0</v>
      </c>
      <c r="AN174" s="1">
        <v>30.0</v>
      </c>
      <c r="AO174" s="1">
        <v>47.0</v>
      </c>
      <c r="AP174" s="1">
        <v>0.184939</v>
      </c>
      <c r="AQ174" s="1">
        <v>0.063022</v>
      </c>
      <c r="AR174" s="1">
        <v>0.071202</v>
      </c>
      <c r="AS174" s="1">
        <v>0.272077</v>
      </c>
      <c r="AT174" s="1">
        <v>20584.0</v>
      </c>
      <c r="AU174" s="1">
        <v>1934.0</v>
      </c>
      <c r="AV174" s="1">
        <v>0.13641</v>
      </c>
      <c r="AW174" s="1">
        <v>0.08734</v>
      </c>
      <c r="AX174" s="1">
        <v>0.225335</v>
      </c>
      <c r="AY174" s="1">
        <v>0.222573</v>
      </c>
      <c r="AZ174" s="1">
        <v>0.0829493</v>
      </c>
      <c r="BA174" s="1">
        <v>0.055643</v>
      </c>
      <c r="BB174" s="1">
        <v>0.0</v>
      </c>
      <c r="BC174" s="1">
        <v>0.179881</v>
      </c>
      <c r="BD174" s="1">
        <v>0.003265</v>
      </c>
      <c r="BE174" s="1">
        <v>0.105159</v>
      </c>
      <c r="BF174" s="1">
        <v>0.064663</v>
      </c>
      <c r="BG174" s="1">
        <v>0.023238</v>
      </c>
      <c r="BH174" s="1">
        <v>0.010489</v>
      </c>
      <c r="BI174" s="1">
        <v>0.099645</v>
      </c>
      <c r="BJ174" s="1">
        <v>0.05944</v>
      </c>
      <c r="BK174" s="1">
        <v>0.025649</v>
      </c>
      <c r="BL174" s="1">
        <v>0.018547</v>
      </c>
      <c r="BM174" s="1">
        <v>0.687</v>
      </c>
      <c r="BN174" s="1">
        <v>0.525</v>
      </c>
      <c r="BO174" s="1">
        <v>0.5776</v>
      </c>
      <c r="BP174" s="1">
        <v>0.505</v>
      </c>
      <c r="BQ174" s="1">
        <v>2.2946</v>
      </c>
      <c r="BR174" s="1">
        <v>0.6014</v>
      </c>
      <c r="BS174" s="1">
        <v>0.944</v>
      </c>
      <c r="BT174" s="1">
        <v>0.323</v>
      </c>
      <c r="BU174" s="1">
        <v>0.336</v>
      </c>
      <c r="BV174" s="1">
        <v>1.603</v>
      </c>
      <c r="BW174" s="1">
        <v>0.568</v>
      </c>
      <c r="BX174" s="1">
        <v>0.289</v>
      </c>
      <c r="BY174" s="1">
        <v>0.0</v>
      </c>
      <c r="BZ174" s="1">
        <v>0.289</v>
      </c>
      <c r="CA174" s="1">
        <v>0.123</v>
      </c>
      <c r="CB174" s="1">
        <v>0.29</v>
      </c>
      <c r="CC174" s="1">
        <v>0.638</v>
      </c>
      <c r="CD174" s="1">
        <v>0.487</v>
      </c>
      <c r="CE174" s="1">
        <v>0.566</v>
      </c>
      <c r="CF174" s="1">
        <v>0.691</v>
      </c>
      <c r="CG174" s="1">
        <v>2.672</v>
      </c>
      <c r="CH174" s="1">
        <v>0.633</v>
      </c>
      <c r="CI174" s="1">
        <v>6.8586</v>
      </c>
      <c r="CJ174" s="1">
        <v>0.522</v>
      </c>
      <c r="CK174" s="1">
        <v>0.0</v>
      </c>
      <c r="CL174" s="1">
        <v>0.0</v>
      </c>
      <c r="CM174" s="1">
        <v>0.0</v>
      </c>
      <c r="CN174" s="1">
        <v>0.0</v>
      </c>
      <c r="CO174" s="1">
        <v>0.0</v>
      </c>
      <c r="CP174" s="1">
        <v>1.0</v>
      </c>
      <c r="CQ174" s="1">
        <v>0.0</v>
      </c>
      <c r="CR174" s="1">
        <v>0.0</v>
      </c>
      <c r="CS174" s="1">
        <v>1.0</v>
      </c>
      <c r="CT174" s="1">
        <v>0.0</v>
      </c>
      <c r="CU174" s="1">
        <v>0.0</v>
      </c>
      <c r="CV174" s="1">
        <v>0.0</v>
      </c>
      <c r="CW174" s="1">
        <v>0.0</v>
      </c>
      <c r="CX174" s="1">
        <v>0.0</v>
      </c>
      <c r="CY174" s="1">
        <v>0.0</v>
      </c>
      <c r="CZ174" s="1">
        <v>0.0</v>
      </c>
      <c r="DA174" s="1">
        <v>0.0</v>
      </c>
      <c r="DB174" s="1">
        <v>0.0</v>
      </c>
      <c r="DC174" s="1">
        <v>1.0</v>
      </c>
      <c r="DD174" s="1" t="s">
        <v>923</v>
      </c>
      <c r="DE174" s="1">
        <v>0.0647782769068014</v>
      </c>
      <c r="DF174" s="2" t="s">
        <v>924</v>
      </c>
    </row>
    <row r="175" ht="15.75" customHeight="1">
      <c r="A175" s="1" t="s">
        <v>925</v>
      </c>
      <c r="B175" s="1">
        <v>29.0</v>
      </c>
      <c r="C175" s="2" t="s">
        <v>920</v>
      </c>
      <c r="D175" s="1">
        <v>470100.0</v>
      </c>
      <c r="E175" s="1">
        <v>345.314</v>
      </c>
      <c r="F175" s="1">
        <v>29041.0</v>
      </c>
      <c r="G175" s="1">
        <v>2.90414701E10</v>
      </c>
      <c r="H175" s="1" t="s">
        <v>112</v>
      </c>
      <c r="I175" s="1" t="s">
        <v>113</v>
      </c>
      <c r="J175" s="1" t="s">
        <v>921</v>
      </c>
      <c r="K175" s="1" t="s">
        <v>926</v>
      </c>
      <c r="L175" s="1">
        <v>2372.0</v>
      </c>
      <c r="M175" s="1">
        <v>2373.0</v>
      </c>
      <c r="N175" s="1">
        <v>219.0</v>
      </c>
      <c r="O175" s="1">
        <v>1404.0</v>
      </c>
      <c r="P175" s="1">
        <v>1372.0</v>
      </c>
      <c r="Q175" s="1">
        <v>75.0</v>
      </c>
      <c r="R175" s="1">
        <v>980.0</v>
      </c>
      <c r="S175" s="1">
        <v>316.0</v>
      </c>
      <c r="T175" s="1">
        <v>188.0</v>
      </c>
      <c r="U175" s="1">
        <v>41.0</v>
      </c>
      <c r="V175" s="1">
        <v>443.0</v>
      </c>
      <c r="W175" s="1">
        <v>18572.0</v>
      </c>
      <c r="X175" s="1">
        <v>1773.0</v>
      </c>
      <c r="Y175" s="1">
        <v>362.0</v>
      </c>
      <c r="Z175" s="1">
        <v>245.0</v>
      </c>
      <c r="AA175" s="1">
        <v>524.0</v>
      </c>
      <c r="AB175" s="1">
        <v>524.0</v>
      </c>
      <c r="AC175" s="1">
        <v>44.0</v>
      </c>
      <c r="AD175" s="1">
        <v>41.0</v>
      </c>
      <c r="AE175" s="1">
        <v>0.0</v>
      </c>
      <c r="AF175" s="1">
        <v>456.0</v>
      </c>
      <c r="AG175" s="1">
        <v>3.0</v>
      </c>
      <c r="AH175" s="1">
        <v>161.0</v>
      </c>
      <c r="AI175" s="1">
        <v>254.0</v>
      </c>
      <c r="AJ175" s="1">
        <v>67.0</v>
      </c>
      <c r="AK175" s="1">
        <v>7.0</v>
      </c>
      <c r="AL175" s="1">
        <v>114.0</v>
      </c>
      <c r="AM175" s="1">
        <v>17.0</v>
      </c>
      <c r="AN175" s="1">
        <v>115.0</v>
      </c>
      <c r="AO175" s="1">
        <v>52.0</v>
      </c>
      <c r="AP175" s="1">
        <v>0.138657</v>
      </c>
      <c r="AQ175" s="1">
        <v>0.081156</v>
      </c>
      <c r="AR175" s="1">
        <v>0.041965</v>
      </c>
      <c r="AS175" s="1">
        <v>0.453404</v>
      </c>
      <c r="AT175" s="1">
        <v>18572.0</v>
      </c>
      <c r="AU175" s="1">
        <v>1773.0</v>
      </c>
      <c r="AV175" s="1">
        <v>0.206267</v>
      </c>
      <c r="AW175" s="1">
        <v>0.138077</v>
      </c>
      <c r="AX175" s="1">
        <v>0.22091</v>
      </c>
      <c r="AY175" s="1">
        <v>0.22091</v>
      </c>
      <c r="AZ175" s="1">
        <v>0.04489795</v>
      </c>
      <c r="BA175" s="1">
        <v>0.017284</v>
      </c>
      <c r="BB175" s="1">
        <v>0.0</v>
      </c>
      <c r="BC175" s="1">
        <v>0.205869</v>
      </c>
      <c r="BD175" s="1">
        <v>0.002186</v>
      </c>
      <c r="BE175" s="1">
        <v>0.117346</v>
      </c>
      <c r="BF175" s="1">
        <v>0.185131</v>
      </c>
      <c r="BG175" s="1">
        <v>0.047773</v>
      </c>
      <c r="BH175" s="1">
        <v>0.007709</v>
      </c>
      <c r="BI175" s="1">
        <v>0.125549</v>
      </c>
      <c r="BJ175" s="1">
        <v>0.018722</v>
      </c>
      <c r="BK175" s="1">
        <v>0.126642</v>
      </c>
      <c r="BL175" s="1">
        <v>0.021922</v>
      </c>
      <c r="BM175" s="1">
        <v>0.538</v>
      </c>
      <c r="BN175" s="1">
        <v>0.205</v>
      </c>
      <c r="BO175" s="1">
        <v>0.704</v>
      </c>
      <c r="BP175" s="1">
        <v>0.768</v>
      </c>
      <c r="BQ175" s="1">
        <v>2.215</v>
      </c>
      <c r="BR175" s="1">
        <v>0.5733</v>
      </c>
      <c r="BS175" s="1">
        <v>0.935</v>
      </c>
      <c r="BT175" s="1">
        <v>0.305</v>
      </c>
      <c r="BU175" s="1">
        <v>0.057</v>
      </c>
      <c r="BV175" s="1">
        <v>1.297</v>
      </c>
      <c r="BW175" s="1">
        <v>0.301</v>
      </c>
      <c r="BX175" s="1">
        <v>0.011</v>
      </c>
      <c r="BY175" s="1">
        <v>0.0</v>
      </c>
      <c r="BZ175" s="1">
        <v>0.011</v>
      </c>
      <c r="CA175" s="1">
        <v>0.006</v>
      </c>
      <c r="CB175" s="1">
        <v>0.273</v>
      </c>
      <c r="CC175" s="1">
        <v>0.872</v>
      </c>
      <c r="CD175" s="1">
        <v>0.423</v>
      </c>
      <c r="CE175" s="1">
        <v>0.171</v>
      </c>
      <c r="CF175" s="1">
        <v>0.735</v>
      </c>
      <c r="CG175" s="1">
        <v>2.474</v>
      </c>
      <c r="CH175" s="1">
        <v>0.551</v>
      </c>
      <c r="CI175" s="1">
        <v>5.997</v>
      </c>
      <c r="CJ175" s="1">
        <v>0.3718</v>
      </c>
      <c r="CK175" s="1">
        <v>0.0</v>
      </c>
      <c r="CL175" s="1">
        <v>0.0</v>
      </c>
      <c r="CM175" s="1">
        <v>0.0</v>
      </c>
      <c r="CN175" s="1">
        <v>0.0</v>
      </c>
      <c r="CO175" s="1">
        <v>0.0</v>
      </c>
      <c r="CP175" s="1">
        <v>1.0</v>
      </c>
      <c r="CQ175" s="1">
        <v>0.0</v>
      </c>
      <c r="CR175" s="1">
        <v>0.0</v>
      </c>
      <c r="CS175" s="1">
        <v>1.0</v>
      </c>
      <c r="CT175" s="1">
        <v>0.0</v>
      </c>
      <c r="CU175" s="1">
        <v>0.0</v>
      </c>
      <c r="CV175" s="1">
        <v>0.0</v>
      </c>
      <c r="CW175" s="1">
        <v>0.0</v>
      </c>
      <c r="CX175" s="1">
        <v>0.0</v>
      </c>
      <c r="CY175" s="1">
        <v>0.0</v>
      </c>
      <c r="CZ175" s="1">
        <v>0.0</v>
      </c>
      <c r="DA175" s="1">
        <v>0.0</v>
      </c>
      <c r="DB175" s="1">
        <v>0.0</v>
      </c>
      <c r="DC175" s="1">
        <v>1.0</v>
      </c>
      <c r="DD175" s="1" t="s">
        <v>927</v>
      </c>
      <c r="DE175" s="1">
        <v>0.0959552752827317</v>
      </c>
      <c r="DF175" s="2" t="s">
        <v>928</v>
      </c>
    </row>
    <row r="176" ht="15.75" customHeight="1">
      <c r="A176" s="1" t="s">
        <v>929</v>
      </c>
      <c r="B176" s="1">
        <v>29.0</v>
      </c>
      <c r="C176" s="2" t="s">
        <v>920</v>
      </c>
      <c r="D176" s="1">
        <v>470300.0</v>
      </c>
      <c r="E176" s="1">
        <v>172.856</v>
      </c>
      <c r="F176" s="1">
        <v>29041.0</v>
      </c>
      <c r="G176" s="1">
        <v>2.90414703E10</v>
      </c>
      <c r="H176" s="1" t="s">
        <v>112</v>
      </c>
      <c r="I176" s="1" t="s">
        <v>113</v>
      </c>
      <c r="J176" s="1" t="s">
        <v>921</v>
      </c>
      <c r="K176" s="1" t="s">
        <v>930</v>
      </c>
      <c r="L176" s="1">
        <v>2925.0</v>
      </c>
      <c r="M176" s="1">
        <v>2834.0</v>
      </c>
      <c r="N176" s="1">
        <v>163.0</v>
      </c>
      <c r="O176" s="1">
        <v>1388.0</v>
      </c>
      <c r="P176" s="1">
        <v>1323.0</v>
      </c>
      <c r="Q176" s="1">
        <v>107.0</v>
      </c>
      <c r="R176" s="1">
        <v>1177.0</v>
      </c>
      <c r="S176" s="1">
        <v>302.0</v>
      </c>
      <c r="T176" s="1">
        <v>126.0</v>
      </c>
      <c r="U176" s="1">
        <v>53.0</v>
      </c>
      <c r="V176" s="1">
        <v>379.0</v>
      </c>
      <c r="W176" s="1">
        <v>20586.0</v>
      </c>
      <c r="X176" s="1">
        <v>1513.0</v>
      </c>
      <c r="Y176" s="1">
        <v>223.0</v>
      </c>
      <c r="Z176" s="1">
        <v>235.0</v>
      </c>
      <c r="AA176" s="1">
        <v>580.0</v>
      </c>
      <c r="AB176" s="1">
        <v>681.0</v>
      </c>
      <c r="AC176" s="1">
        <v>96.0</v>
      </c>
      <c r="AD176" s="1">
        <v>105.0</v>
      </c>
      <c r="AE176" s="1">
        <v>0.0</v>
      </c>
      <c r="AF176" s="1">
        <v>456.0</v>
      </c>
      <c r="AG176" s="1">
        <v>16.0</v>
      </c>
      <c r="AH176" s="1">
        <v>162.0</v>
      </c>
      <c r="AI176" s="1">
        <v>101.0</v>
      </c>
      <c r="AJ176" s="1">
        <v>39.0</v>
      </c>
      <c r="AK176" s="1">
        <v>0.0</v>
      </c>
      <c r="AL176" s="1">
        <v>161.0</v>
      </c>
      <c r="AM176" s="1">
        <v>48.0</v>
      </c>
      <c r="AN176" s="1">
        <v>25.0</v>
      </c>
      <c r="AO176" s="1">
        <v>114.0</v>
      </c>
      <c r="AP176" s="1">
        <v>0.108868</v>
      </c>
      <c r="AQ176" s="1">
        <v>0.044818</v>
      </c>
      <c r="AR176" s="1">
        <v>0.038294</v>
      </c>
      <c r="AS176" s="1">
        <v>0.273803</v>
      </c>
      <c r="AT176" s="1">
        <v>20586.0</v>
      </c>
      <c r="AU176" s="1">
        <v>1513.0</v>
      </c>
      <c r="AV176" s="1">
        <v>0.119379</v>
      </c>
      <c r="AW176" s="1">
        <v>0.125627</v>
      </c>
      <c r="AX176" s="1">
        <v>0.19829</v>
      </c>
      <c r="AY176" s="1">
        <v>0.23282</v>
      </c>
      <c r="AZ176" s="1">
        <v>0.08156329</v>
      </c>
      <c r="BA176" s="1">
        <v>0.035897</v>
      </c>
      <c r="BB176" s="1">
        <v>0.0</v>
      </c>
      <c r="BC176" s="1">
        <v>0.171816</v>
      </c>
      <c r="BD176" s="1">
        <v>0.012093</v>
      </c>
      <c r="BE176" s="1">
        <v>0.122445</v>
      </c>
      <c r="BF176" s="1">
        <v>0.076341</v>
      </c>
      <c r="BG176" s="1">
        <v>0.028824</v>
      </c>
      <c r="BH176" s="1">
        <v>0.0</v>
      </c>
      <c r="BI176" s="1">
        <v>0.147301</v>
      </c>
      <c r="BJ176" s="1">
        <v>0.043915</v>
      </c>
      <c r="BK176" s="1">
        <v>0.022502</v>
      </c>
      <c r="BL176" s="1">
        <v>0.038974</v>
      </c>
      <c r="BM176" s="1">
        <v>0.407</v>
      </c>
      <c r="BN176" s="1">
        <v>0.168</v>
      </c>
      <c r="BO176" s="1">
        <v>0.5769</v>
      </c>
      <c r="BP176" s="1">
        <v>0.426</v>
      </c>
      <c r="BQ176" s="1">
        <v>1.5779</v>
      </c>
      <c r="BR176" s="1">
        <v>0.3639</v>
      </c>
      <c r="BS176" s="1">
        <v>0.865</v>
      </c>
      <c r="BT176" s="1">
        <v>0.417</v>
      </c>
      <c r="BU176" s="1">
        <v>0.321</v>
      </c>
      <c r="BV176" s="1">
        <v>1.603</v>
      </c>
      <c r="BW176" s="1">
        <v>0.568</v>
      </c>
      <c r="BX176" s="1">
        <v>0.127</v>
      </c>
      <c r="BY176" s="1">
        <v>0.0</v>
      </c>
      <c r="BZ176" s="1">
        <v>0.127</v>
      </c>
      <c r="CA176" s="1">
        <v>0.061</v>
      </c>
      <c r="CB176" s="1">
        <v>0.4</v>
      </c>
      <c r="CC176" s="1">
        <v>0.669</v>
      </c>
      <c r="CD176" s="1">
        <v>0.0</v>
      </c>
      <c r="CE176" s="1">
        <v>0.433</v>
      </c>
      <c r="CF176" s="1">
        <v>0.863</v>
      </c>
      <c r="CG176" s="1">
        <v>2.365</v>
      </c>
      <c r="CH176" s="1">
        <v>0.492</v>
      </c>
      <c r="CI176" s="1">
        <v>5.6729</v>
      </c>
      <c r="CJ176" s="1">
        <v>0.317</v>
      </c>
      <c r="CK176" s="1">
        <v>0.0</v>
      </c>
      <c r="CL176" s="1">
        <v>0.0</v>
      </c>
      <c r="CM176" s="1">
        <v>0.0</v>
      </c>
      <c r="CN176" s="1">
        <v>0.0</v>
      </c>
      <c r="CO176" s="1">
        <v>0.0</v>
      </c>
      <c r="CP176" s="1">
        <v>0.0</v>
      </c>
      <c r="CQ176" s="1">
        <v>0.0</v>
      </c>
      <c r="CR176" s="1">
        <v>0.0</v>
      </c>
      <c r="CS176" s="1">
        <v>0.0</v>
      </c>
      <c r="CT176" s="1">
        <v>0.0</v>
      </c>
      <c r="CU176" s="1">
        <v>0.0</v>
      </c>
      <c r="CV176" s="1">
        <v>0.0</v>
      </c>
      <c r="CW176" s="1">
        <v>0.0</v>
      </c>
      <c r="CX176" s="1">
        <v>0.0</v>
      </c>
      <c r="CY176" s="1">
        <v>0.0</v>
      </c>
      <c r="CZ176" s="1">
        <v>0.0</v>
      </c>
      <c r="DA176" s="1">
        <v>0.0</v>
      </c>
      <c r="DB176" s="1">
        <v>0.0</v>
      </c>
      <c r="DC176" s="1">
        <v>0.0</v>
      </c>
      <c r="DD176" s="1" t="s">
        <v>931</v>
      </c>
      <c r="DE176" s="1">
        <v>0.0472602461481695</v>
      </c>
      <c r="DF176" s="2" t="s">
        <v>932</v>
      </c>
    </row>
    <row r="177" ht="15.75" customHeight="1">
      <c r="A177" s="1" t="s">
        <v>933</v>
      </c>
      <c r="B177" s="1">
        <v>29.0</v>
      </c>
      <c r="C177" s="2" t="s">
        <v>934</v>
      </c>
      <c r="D177" s="2" t="s">
        <v>935</v>
      </c>
      <c r="E177" s="1">
        <v>5.991</v>
      </c>
      <c r="F177" s="1">
        <v>29043.0</v>
      </c>
      <c r="G177" s="1">
        <v>2.9043020202E10</v>
      </c>
      <c r="H177" s="1" t="s">
        <v>112</v>
      </c>
      <c r="I177" s="1" t="s">
        <v>113</v>
      </c>
      <c r="J177" s="1" t="s">
        <v>936</v>
      </c>
      <c r="K177" s="1" t="s">
        <v>937</v>
      </c>
      <c r="L177" s="1">
        <v>5955.0</v>
      </c>
      <c r="M177" s="1">
        <v>5714.0</v>
      </c>
      <c r="N177" s="1">
        <v>442.0</v>
      </c>
      <c r="O177" s="1">
        <v>2615.0</v>
      </c>
      <c r="P177" s="1">
        <v>2436.0</v>
      </c>
      <c r="Q177" s="1">
        <v>100.0</v>
      </c>
      <c r="R177" s="1">
        <v>2413.0</v>
      </c>
      <c r="S177" s="1">
        <v>395.0</v>
      </c>
      <c r="T177" s="1">
        <v>229.0</v>
      </c>
      <c r="U177" s="1">
        <v>203.0</v>
      </c>
      <c r="V177" s="1">
        <v>393.0</v>
      </c>
      <c r="W177" s="1">
        <v>24158.0</v>
      </c>
      <c r="X177" s="1">
        <v>2528.0</v>
      </c>
      <c r="Y177" s="1">
        <v>323.0</v>
      </c>
      <c r="Z177" s="1">
        <v>346.0</v>
      </c>
      <c r="AA177" s="1">
        <v>950.0</v>
      </c>
      <c r="AB177" s="1">
        <v>1444.0</v>
      </c>
      <c r="AC177" s="1">
        <v>246.0</v>
      </c>
      <c r="AD177" s="1">
        <v>356.0</v>
      </c>
      <c r="AE177" s="1">
        <v>18.0</v>
      </c>
      <c r="AF177" s="1">
        <v>443.0</v>
      </c>
      <c r="AG177" s="1">
        <v>82.0</v>
      </c>
      <c r="AH177" s="1">
        <v>130.0</v>
      </c>
      <c r="AI177" s="1">
        <v>163.0</v>
      </c>
      <c r="AJ177" s="1">
        <v>85.0</v>
      </c>
      <c r="AK177" s="1">
        <v>14.0</v>
      </c>
      <c r="AL177" s="1">
        <v>116.0</v>
      </c>
      <c r="AM177" s="1">
        <v>30.0</v>
      </c>
      <c r="AN177" s="1">
        <v>33.0</v>
      </c>
      <c r="AO177" s="1">
        <v>0.0</v>
      </c>
      <c r="AP177" s="1">
        <v>0.069128</v>
      </c>
      <c r="AQ177" s="1">
        <v>0.039718</v>
      </c>
      <c r="AR177" s="1">
        <v>0.073285</v>
      </c>
      <c r="AS177" s="1">
        <v>0.141611</v>
      </c>
      <c r="AT177" s="1">
        <v>24158.0</v>
      </c>
      <c r="AU177" s="1">
        <v>2528.0</v>
      </c>
      <c r="AV177" s="1">
        <v>0.085269</v>
      </c>
      <c r="AW177" s="1">
        <v>0.09119</v>
      </c>
      <c r="AX177" s="1">
        <v>0.159529</v>
      </c>
      <c r="AY177" s="1">
        <v>0.242485</v>
      </c>
      <c r="AZ177" s="1">
        <v>0.10194778</v>
      </c>
      <c r="BA177" s="1">
        <v>0.059781</v>
      </c>
      <c r="BB177" s="1">
        <v>0.003362</v>
      </c>
      <c r="BC177" s="1">
        <v>0.082756</v>
      </c>
      <c r="BD177" s="1">
        <v>0.033661</v>
      </c>
      <c r="BE177" s="1">
        <v>0.053348</v>
      </c>
      <c r="BF177" s="1">
        <v>0.066912</v>
      </c>
      <c r="BG177" s="1">
        <v>0.034784</v>
      </c>
      <c r="BH177" s="1">
        <v>0.006175</v>
      </c>
      <c r="BI177" s="1">
        <v>0.051167</v>
      </c>
      <c r="BJ177" s="1">
        <v>0.013233</v>
      </c>
      <c r="BK177" s="1">
        <v>0.014535</v>
      </c>
      <c r="BL177" s="1">
        <v>0.0</v>
      </c>
      <c r="BM177" s="1">
        <v>0.247</v>
      </c>
      <c r="BN177" s="1">
        <v>0.541</v>
      </c>
      <c r="BO177" s="1">
        <v>0.387</v>
      </c>
      <c r="BP177" s="1">
        <v>0.27</v>
      </c>
      <c r="BQ177" s="1">
        <v>1.445</v>
      </c>
      <c r="BR177" s="1">
        <v>0.3278</v>
      </c>
      <c r="BS177" s="1">
        <v>0.659</v>
      </c>
      <c r="BT177" s="1">
        <v>0.52</v>
      </c>
      <c r="BU177" s="1">
        <v>0.507</v>
      </c>
      <c r="BV177" s="1">
        <v>1.686</v>
      </c>
      <c r="BW177" s="1">
        <v>0.63</v>
      </c>
      <c r="BX177" s="1">
        <v>0.312</v>
      </c>
      <c r="BY177" s="1">
        <v>0.473</v>
      </c>
      <c r="BZ177" s="1">
        <v>0.785</v>
      </c>
      <c r="CA177" s="1">
        <v>0.387</v>
      </c>
      <c r="CB177" s="1">
        <v>0.569</v>
      </c>
      <c r="CC177" s="1">
        <v>0.642</v>
      </c>
      <c r="CD177" s="1">
        <v>0.364</v>
      </c>
      <c r="CE177" s="1">
        <v>0.116</v>
      </c>
      <c r="CF177" s="1">
        <v>0.0</v>
      </c>
      <c r="CG177" s="1">
        <v>1.691</v>
      </c>
      <c r="CH177" s="1">
        <v>0.23</v>
      </c>
      <c r="CI177" s="1">
        <v>5.607</v>
      </c>
      <c r="CJ177" s="1">
        <v>0.304</v>
      </c>
      <c r="CK177" s="1">
        <v>0.0</v>
      </c>
      <c r="CL177" s="1">
        <v>0.0</v>
      </c>
      <c r="CM177" s="1">
        <v>0.0</v>
      </c>
      <c r="CN177" s="1">
        <v>0.0</v>
      </c>
      <c r="CO177" s="1">
        <v>0.0</v>
      </c>
      <c r="CP177" s="1">
        <v>0.0</v>
      </c>
      <c r="CQ177" s="1">
        <v>0.0</v>
      </c>
      <c r="CR177" s="1">
        <v>0.0</v>
      </c>
      <c r="CS177" s="1">
        <v>0.0</v>
      </c>
      <c r="CT177" s="1">
        <v>0.0</v>
      </c>
      <c r="CU177" s="1">
        <v>0.0</v>
      </c>
      <c r="CV177" s="1">
        <v>0.0</v>
      </c>
      <c r="CW177" s="1">
        <v>0.0</v>
      </c>
      <c r="CX177" s="1">
        <v>0.0</v>
      </c>
      <c r="CY177" s="1">
        <v>0.0</v>
      </c>
      <c r="CZ177" s="1">
        <v>0.0</v>
      </c>
      <c r="DA177" s="1">
        <v>0.0</v>
      </c>
      <c r="DB177" s="1">
        <v>0.0</v>
      </c>
      <c r="DC177" s="1">
        <v>0.0</v>
      </c>
      <c r="DD177" s="1" t="s">
        <v>938</v>
      </c>
      <c r="DE177" s="1">
        <v>0.0015766097288434</v>
      </c>
      <c r="DF177" s="2" t="s">
        <v>939</v>
      </c>
    </row>
    <row r="178" ht="15.75" customHeight="1">
      <c r="A178" s="1" t="s">
        <v>940</v>
      </c>
      <c r="B178" s="1">
        <v>29.0</v>
      </c>
      <c r="C178" s="2" t="s">
        <v>934</v>
      </c>
      <c r="D178" s="2" t="s">
        <v>941</v>
      </c>
      <c r="E178" s="1">
        <v>8.942</v>
      </c>
      <c r="F178" s="1">
        <v>29043.0</v>
      </c>
      <c r="G178" s="1">
        <v>2.9043020305E10</v>
      </c>
      <c r="H178" s="1" t="s">
        <v>112</v>
      </c>
      <c r="I178" s="1" t="s">
        <v>113</v>
      </c>
      <c r="J178" s="1" t="s">
        <v>936</v>
      </c>
      <c r="K178" s="1" t="s">
        <v>942</v>
      </c>
      <c r="L178" s="1">
        <v>6011.0</v>
      </c>
      <c r="M178" s="1">
        <v>5713.0</v>
      </c>
      <c r="N178" s="1">
        <v>478.0</v>
      </c>
      <c r="O178" s="1">
        <v>2582.0</v>
      </c>
      <c r="P178" s="1">
        <v>2540.0</v>
      </c>
      <c r="Q178" s="1">
        <v>113.0</v>
      </c>
      <c r="R178" s="1">
        <v>2291.0</v>
      </c>
      <c r="S178" s="1">
        <v>383.0</v>
      </c>
      <c r="T178" s="1">
        <v>236.0</v>
      </c>
      <c r="U178" s="1">
        <v>205.0</v>
      </c>
      <c r="V178" s="1">
        <v>386.0</v>
      </c>
      <c r="W178" s="1">
        <v>31095.0</v>
      </c>
      <c r="X178" s="1">
        <v>2964.0</v>
      </c>
      <c r="Y178" s="1">
        <v>319.0</v>
      </c>
      <c r="Z178" s="1">
        <v>327.0</v>
      </c>
      <c r="AA178" s="1">
        <v>567.0</v>
      </c>
      <c r="AB178" s="1">
        <v>1730.0</v>
      </c>
      <c r="AC178" s="1">
        <v>277.0</v>
      </c>
      <c r="AD178" s="1">
        <v>379.0</v>
      </c>
      <c r="AE178" s="1">
        <v>14.0</v>
      </c>
      <c r="AF178" s="1">
        <v>442.0</v>
      </c>
      <c r="AG178" s="1">
        <v>392.0</v>
      </c>
      <c r="AH178" s="1">
        <v>157.0</v>
      </c>
      <c r="AI178" s="1">
        <v>104.0</v>
      </c>
      <c r="AJ178" s="1">
        <v>49.0</v>
      </c>
      <c r="AK178" s="1">
        <v>19.0</v>
      </c>
      <c r="AL178" s="1">
        <v>117.0</v>
      </c>
      <c r="AM178" s="1">
        <v>71.0</v>
      </c>
      <c r="AN178" s="1">
        <v>72.0</v>
      </c>
      <c r="AO178" s="1">
        <v>13.0</v>
      </c>
      <c r="AP178" s="1">
        <v>0.06704</v>
      </c>
      <c r="AQ178" s="1">
        <v>0.040926</v>
      </c>
      <c r="AR178" s="1">
        <v>0.066364</v>
      </c>
      <c r="AS178" s="1">
        <v>0.124695</v>
      </c>
      <c r="AT178" s="1">
        <v>31095.0</v>
      </c>
      <c r="AU178" s="1">
        <v>2964.0</v>
      </c>
      <c r="AV178" s="1">
        <v>0.086216</v>
      </c>
      <c r="AW178" s="1">
        <v>0.087994</v>
      </c>
      <c r="AX178" s="1">
        <v>0.094327</v>
      </c>
      <c r="AY178" s="1">
        <v>0.287805</v>
      </c>
      <c r="AZ178" s="1">
        <v>0.1209079</v>
      </c>
      <c r="BA178" s="1">
        <v>0.063051</v>
      </c>
      <c r="BB178" s="1">
        <v>0.002565</v>
      </c>
      <c r="BC178" s="1">
        <v>0.080996</v>
      </c>
      <c r="BD178" s="1">
        <v>0.15433</v>
      </c>
      <c r="BE178" s="1">
        <v>0.061428</v>
      </c>
      <c r="BF178" s="1">
        <v>0.040944</v>
      </c>
      <c r="BG178" s="1">
        <v>0.019205</v>
      </c>
      <c r="BH178" s="1">
        <v>0.008168</v>
      </c>
      <c r="BI178" s="1">
        <v>0.050297</v>
      </c>
      <c r="BJ178" s="1">
        <v>0.030524</v>
      </c>
      <c r="BK178" s="1">
        <v>0.030867</v>
      </c>
      <c r="BL178" s="1">
        <v>0.002162</v>
      </c>
      <c r="BM178" s="1">
        <v>0.236</v>
      </c>
      <c r="BN178" s="1">
        <v>0.482</v>
      </c>
      <c r="BO178" s="1">
        <v>0.174</v>
      </c>
      <c r="BP178" s="1">
        <v>0.276</v>
      </c>
      <c r="BQ178" s="1">
        <v>1.168</v>
      </c>
      <c r="BR178" s="1">
        <v>0.2455</v>
      </c>
      <c r="BS178" s="1">
        <v>0.179</v>
      </c>
      <c r="BT178" s="1">
        <v>0.88</v>
      </c>
      <c r="BU178" s="1">
        <v>0.675</v>
      </c>
      <c r="BV178" s="1">
        <v>1.734</v>
      </c>
      <c r="BW178" s="1">
        <v>0.669</v>
      </c>
      <c r="BX178" s="1">
        <v>0.328</v>
      </c>
      <c r="BY178" s="1">
        <v>0.418</v>
      </c>
      <c r="BZ178" s="1">
        <v>0.746</v>
      </c>
      <c r="CA178" s="1">
        <v>0.359</v>
      </c>
      <c r="CB178" s="1">
        <v>0.844</v>
      </c>
      <c r="CC178" s="1">
        <v>0.582</v>
      </c>
      <c r="CD178" s="1">
        <v>0.438</v>
      </c>
      <c r="CE178" s="1">
        <v>0.289</v>
      </c>
      <c r="CF178" s="1">
        <v>0.453</v>
      </c>
      <c r="CG178" s="1">
        <v>2.606</v>
      </c>
      <c r="CH178" s="1">
        <v>0.607</v>
      </c>
      <c r="CI178" s="1">
        <v>6.254</v>
      </c>
      <c r="CJ178" s="1">
        <v>0.4195</v>
      </c>
      <c r="CK178" s="1">
        <v>0.0</v>
      </c>
      <c r="CL178" s="1">
        <v>0.0</v>
      </c>
      <c r="CM178" s="1">
        <v>0.0</v>
      </c>
      <c r="CN178" s="1">
        <v>0.0</v>
      </c>
      <c r="CO178" s="1">
        <v>0.0</v>
      </c>
      <c r="CP178" s="1">
        <v>0.0</v>
      </c>
      <c r="CQ178" s="1">
        <v>0.0</v>
      </c>
      <c r="CR178" s="1">
        <v>0.0</v>
      </c>
      <c r="CS178" s="1">
        <v>0.0</v>
      </c>
      <c r="CT178" s="1">
        <v>0.0</v>
      </c>
      <c r="CU178" s="1">
        <v>0.0</v>
      </c>
      <c r="CV178" s="1">
        <v>0.0</v>
      </c>
      <c r="CW178" s="1">
        <v>0.0</v>
      </c>
      <c r="CX178" s="1">
        <v>0.0</v>
      </c>
      <c r="CY178" s="1">
        <v>0.0</v>
      </c>
      <c r="CZ178" s="1">
        <v>0.0</v>
      </c>
      <c r="DA178" s="1">
        <v>0.0</v>
      </c>
      <c r="DB178" s="1">
        <v>0.0</v>
      </c>
      <c r="DC178" s="1">
        <v>0.0</v>
      </c>
      <c r="DD178" s="1" t="s">
        <v>943</v>
      </c>
      <c r="DE178" s="1">
        <v>0.00235477479069168</v>
      </c>
      <c r="DF178" s="2" t="s">
        <v>944</v>
      </c>
    </row>
    <row r="179" ht="15.75" customHeight="1">
      <c r="A179" s="1" t="s">
        <v>945</v>
      </c>
      <c r="B179" s="1">
        <v>29.0</v>
      </c>
      <c r="C179" s="2" t="s">
        <v>934</v>
      </c>
      <c r="D179" s="2" t="s">
        <v>946</v>
      </c>
      <c r="E179" s="1">
        <v>22.319</v>
      </c>
      <c r="F179" s="1">
        <v>29043.0</v>
      </c>
      <c r="G179" s="1">
        <v>2.9043020303E10</v>
      </c>
      <c r="H179" s="1" t="s">
        <v>112</v>
      </c>
      <c r="I179" s="1" t="s">
        <v>113</v>
      </c>
      <c r="J179" s="1" t="s">
        <v>936</v>
      </c>
      <c r="K179" s="1" t="s">
        <v>947</v>
      </c>
      <c r="L179" s="1">
        <v>5074.0</v>
      </c>
      <c r="M179" s="1">
        <v>4932.0</v>
      </c>
      <c r="N179" s="1">
        <v>451.0</v>
      </c>
      <c r="O179" s="1">
        <v>1976.0</v>
      </c>
      <c r="P179" s="1">
        <v>1971.0</v>
      </c>
      <c r="Q179" s="1">
        <v>78.0</v>
      </c>
      <c r="R179" s="1">
        <v>1803.0</v>
      </c>
      <c r="S179" s="1">
        <v>320.0</v>
      </c>
      <c r="T179" s="1">
        <v>161.0</v>
      </c>
      <c r="U179" s="1">
        <v>217.0</v>
      </c>
      <c r="V179" s="1">
        <v>411.0</v>
      </c>
      <c r="W179" s="1">
        <v>21302.0</v>
      </c>
      <c r="X179" s="1">
        <v>1889.0</v>
      </c>
      <c r="Y179" s="1">
        <v>234.0</v>
      </c>
      <c r="Z179" s="1">
        <v>292.0</v>
      </c>
      <c r="AA179" s="1">
        <v>514.0</v>
      </c>
      <c r="AB179" s="1">
        <v>1495.0</v>
      </c>
      <c r="AC179" s="1">
        <v>209.0</v>
      </c>
      <c r="AD179" s="1">
        <v>326.0</v>
      </c>
      <c r="AE179" s="1">
        <v>18.0</v>
      </c>
      <c r="AF179" s="1">
        <v>442.0</v>
      </c>
      <c r="AG179" s="1">
        <v>25.0</v>
      </c>
      <c r="AH179" s="1">
        <v>164.0</v>
      </c>
      <c r="AI179" s="1">
        <v>44.0</v>
      </c>
      <c r="AJ179" s="1">
        <v>36.0</v>
      </c>
      <c r="AK179" s="1">
        <v>14.0</v>
      </c>
      <c r="AL179" s="1">
        <v>116.0</v>
      </c>
      <c r="AM179" s="1">
        <v>91.0</v>
      </c>
      <c r="AN179" s="1">
        <v>80.0</v>
      </c>
      <c r="AO179" s="1">
        <v>0.0</v>
      </c>
      <c r="AP179" s="1">
        <v>0.066061</v>
      </c>
      <c r="AQ179" s="1">
        <v>0.03265</v>
      </c>
      <c r="AR179" s="1">
        <v>0.089153</v>
      </c>
      <c r="AS179" s="1">
        <v>0.168613</v>
      </c>
      <c r="AT179" s="1">
        <v>21302.0</v>
      </c>
      <c r="AU179" s="1">
        <v>1889.0</v>
      </c>
      <c r="AV179" s="1">
        <v>0.076395</v>
      </c>
      <c r="AW179" s="1">
        <v>0.095186</v>
      </c>
      <c r="AX179" s="1">
        <v>0.1013</v>
      </c>
      <c r="AY179" s="1">
        <v>0.294639</v>
      </c>
      <c r="AZ179" s="1">
        <v>0.11591791</v>
      </c>
      <c r="BA179" s="1">
        <v>0.064249</v>
      </c>
      <c r="BB179" s="1">
        <v>0.003937</v>
      </c>
      <c r="BC179" s="1">
        <v>0.096695</v>
      </c>
      <c r="BD179" s="1">
        <v>0.012683</v>
      </c>
      <c r="BE179" s="1">
        <v>0.083204</v>
      </c>
      <c r="BF179" s="1">
        <v>0.022323</v>
      </c>
      <c r="BG179" s="1">
        <v>0.018243</v>
      </c>
      <c r="BH179" s="1">
        <v>0.00773</v>
      </c>
      <c r="BI179" s="1">
        <v>0.06405</v>
      </c>
      <c r="BJ179" s="1">
        <v>0.050248</v>
      </c>
      <c r="BK179" s="1">
        <v>0.044046</v>
      </c>
      <c r="BL179" s="1">
        <v>0.0</v>
      </c>
      <c r="BM179" s="1">
        <v>0.23</v>
      </c>
      <c r="BN179" s="1">
        <v>0.676</v>
      </c>
      <c r="BO179" s="1">
        <v>0.5321</v>
      </c>
      <c r="BP179" s="1">
        <v>0.231</v>
      </c>
      <c r="BQ179" s="1">
        <v>1.6691</v>
      </c>
      <c r="BR179" s="1">
        <v>0.3935</v>
      </c>
      <c r="BS179" s="1">
        <v>0.22</v>
      </c>
      <c r="BT179" s="1">
        <v>0.902</v>
      </c>
      <c r="BU179" s="1">
        <v>0.642</v>
      </c>
      <c r="BV179" s="1">
        <v>1.764</v>
      </c>
      <c r="BW179" s="1">
        <v>0.697</v>
      </c>
      <c r="BX179" s="1">
        <v>0.337</v>
      </c>
      <c r="BY179" s="1">
        <v>0.513</v>
      </c>
      <c r="BZ179" s="1">
        <v>0.85</v>
      </c>
      <c r="CA179" s="1">
        <v>0.433</v>
      </c>
      <c r="CB179" s="1">
        <v>0.405</v>
      </c>
      <c r="CC179" s="1">
        <v>0.523</v>
      </c>
      <c r="CD179" s="1">
        <v>0.425</v>
      </c>
      <c r="CE179" s="1">
        <v>0.487</v>
      </c>
      <c r="CF179" s="1">
        <v>0.0</v>
      </c>
      <c r="CG179" s="1">
        <v>1.84</v>
      </c>
      <c r="CH179" s="1">
        <v>0.28</v>
      </c>
      <c r="CI179" s="1">
        <v>6.1231</v>
      </c>
      <c r="CJ179" s="1">
        <v>0.3928</v>
      </c>
      <c r="CK179" s="1">
        <v>0.0</v>
      </c>
      <c r="CL179" s="1">
        <v>0.0</v>
      </c>
      <c r="CM179" s="1">
        <v>0.0</v>
      </c>
      <c r="CN179" s="1">
        <v>0.0</v>
      </c>
      <c r="CO179" s="1">
        <v>0.0</v>
      </c>
      <c r="CP179" s="1">
        <v>0.0</v>
      </c>
      <c r="CQ179" s="1">
        <v>1.0</v>
      </c>
      <c r="CR179" s="1">
        <v>0.0</v>
      </c>
      <c r="CS179" s="1">
        <v>1.0</v>
      </c>
      <c r="CT179" s="1">
        <v>0.0</v>
      </c>
      <c r="CU179" s="1">
        <v>0.0</v>
      </c>
      <c r="CV179" s="1">
        <v>0.0</v>
      </c>
      <c r="CW179" s="1">
        <v>0.0</v>
      </c>
      <c r="CX179" s="1">
        <v>0.0</v>
      </c>
      <c r="CY179" s="1">
        <v>0.0</v>
      </c>
      <c r="CZ179" s="1">
        <v>0.0</v>
      </c>
      <c r="DA179" s="1">
        <v>0.0</v>
      </c>
      <c r="DB179" s="1">
        <v>0.0</v>
      </c>
      <c r="DC179" s="1">
        <v>1.0</v>
      </c>
      <c r="DD179" s="1" t="s">
        <v>948</v>
      </c>
      <c r="DE179" s="1">
        <v>0.00585293341965065</v>
      </c>
      <c r="DF179" s="2" t="s">
        <v>949</v>
      </c>
    </row>
    <row r="180" ht="15.75" customHeight="1">
      <c r="A180" s="1" t="s">
        <v>950</v>
      </c>
      <c r="B180" s="1">
        <v>29.0</v>
      </c>
      <c r="C180" s="2" t="s">
        <v>934</v>
      </c>
      <c r="D180" s="2" t="s">
        <v>951</v>
      </c>
      <c r="E180" s="1">
        <v>6.541</v>
      </c>
      <c r="F180" s="1">
        <v>29043.0</v>
      </c>
      <c r="G180" s="1">
        <v>2.9043020304E10</v>
      </c>
      <c r="H180" s="1" t="s">
        <v>112</v>
      </c>
      <c r="I180" s="1" t="s">
        <v>113</v>
      </c>
      <c r="J180" s="1" t="s">
        <v>936</v>
      </c>
      <c r="K180" s="1" t="s">
        <v>952</v>
      </c>
      <c r="L180" s="1">
        <v>3038.0</v>
      </c>
      <c r="M180" s="1">
        <v>3065.0</v>
      </c>
      <c r="N180" s="1">
        <v>273.0</v>
      </c>
      <c r="O180" s="1">
        <v>1259.0</v>
      </c>
      <c r="P180" s="1">
        <v>1282.0</v>
      </c>
      <c r="Q180" s="1">
        <v>93.0</v>
      </c>
      <c r="R180" s="1">
        <v>1162.0</v>
      </c>
      <c r="S180" s="1">
        <v>725.0</v>
      </c>
      <c r="T180" s="1">
        <v>287.0</v>
      </c>
      <c r="U180" s="1">
        <v>155.0</v>
      </c>
      <c r="V180" s="1">
        <v>420.0</v>
      </c>
      <c r="W180" s="1">
        <v>19247.0</v>
      </c>
      <c r="X180" s="1">
        <v>2805.0</v>
      </c>
      <c r="Y180" s="1">
        <v>212.0</v>
      </c>
      <c r="Z180" s="1">
        <v>292.0</v>
      </c>
      <c r="AA180" s="1">
        <v>474.0</v>
      </c>
      <c r="AB180" s="1">
        <v>798.0</v>
      </c>
      <c r="AC180" s="1">
        <v>132.0</v>
      </c>
      <c r="AD180" s="1">
        <v>198.0</v>
      </c>
      <c r="AE180" s="1">
        <v>15.0</v>
      </c>
      <c r="AF180" s="1">
        <v>427.0</v>
      </c>
      <c r="AG180" s="1">
        <v>44.0</v>
      </c>
      <c r="AH180" s="1">
        <v>121.0</v>
      </c>
      <c r="AI180" s="1">
        <v>110.0</v>
      </c>
      <c r="AJ180" s="1">
        <v>61.0</v>
      </c>
      <c r="AK180" s="1">
        <v>40.0</v>
      </c>
      <c r="AL180" s="1">
        <v>119.0</v>
      </c>
      <c r="AM180" s="1">
        <v>57.0</v>
      </c>
      <c r="AN180" s="1">
        <v>38.0</v>
      </c>
      <c r="AO180" s="1">
        <v>89.0</v>
      </c>
      <c r="AP180" s="1">
        <v>0.243125</v>
      </c>
      <c r="AQ180" s="1">
        <v>0.094634</v>
      </c>
      <c r="AR180" s="1">
        <v>0.093037</v>
      </c>
      <c r="AS180" s="1">
        <v>0.251707</v>
      </c>
      <c r="AT180" s="1">
        <v>19247.0</v>
      </c>
      <c r="AU180" s="1">
        <v>2805.0</v>
      </c>
      <c r="AV180" s="1">
        <v>0.106318</v>
      </c>
      <c r="AW180" s="1">
        <v>0.14585</v>
      </c>
      <c r="AX180" s="1">
        <v>0.156023</v>
      </c>
      <c r="AY180" s="1">
        <v>0.262672</v>
      </c>
      <c r="AZ180" s="1">
        <v>0.11359724</v>
      </c>
      <c r="BA180" s="1">
        <v>0.065174</v>
      </c>
      <c r="BB180" s="1">
        <v>0.005277</v>
      </c>
      <c r="BC180" s="1">
        <v>0.150245</v>
      </c>
      <c r="BD180" s="1">
        <v>0.034321</v>
      </c>
      <c r="BE180" s="1">
        <v>0.09435</v>
      </c>
      <c r="BF180" s="1">
        <v>0.085803</v>
      </c>
      <c r="BG180" s="1">
        <v>0.047173</v>
      </c>
      <c r="BH180" s="1">
        <v>0.03162</v>
      </c>
      <c r="BI180" s="1">
        <v>0.094039</v>
      </c>
      <c r="BJ180" s="1">
        <v>0.045059</v>
      </c>
      <c r="BK180" s="1">
        <v>0.02984</v>
      </c>
      <c r="BL180" s="1">
        <v>0.029295</v>
      </c>
      <c r="BM180" s="1">
        <v>0.816</v>
      </c>
      <c r="BN180" s="1">
        <v>0.697</v>
      </c>
      <c r="BO180" s="1">
        <v>0.6542</v>
      </c>
      <c r="BP180" s="1">
        <v>0.365</v>
      </c>
      <c r="BQ180" s="1">
        <v>2.5322</v>
      </c>
      <c r="BR180" s="1">
        <v>0.6765</v>
      </c>
      <c r="BS180" s="1">
        <v>0.633</v>
      </c>
      <c r="BT180" s="1">
        <v>0.73</v>
      </c>
      <c r="BU180" s="1">
        <v>0.616</v>
      </c>
      <c r="BV180" s="1">
        <v>1.979</v>
      </c>
      <c r="BW180" s="1">
        <v>0.846</v>
      </c>
      <c r="BX180" s="1">
        <v>0.341</v>
      </c>
      <c r="BY180" s="1">
        <v>0.573</v>
      </c>
      <c r="BZ180" s="1">
        <v>0.914</v>
      </c>
      <c r="CA180" s="1">
        <v>0.477</v>
      </c>
      <c r="CB180" s="1">
        <v>0.574</v>
      </c>
      <c r="CC180" s="1">
        <v>0.689</v>
      </c>
      <c r="CD180" s="1">
        <v>0.825</v>
      </c>
      <c r="CE180" s="1">
        <v>0.443</v>
      </c>
      <c r="CF180" s="1">
        <v>0.803</v>
      </c>
      <c r="CG180" s="1">
        <v>3.334</v>
      </c>
      <c r="CH180" s="1">
        <v>0.884</v>
      </c>
      <c r="CI180" s="1">
        <v>8.7592</v>
      </c>
      <c r="CJ180" s="1">
        <v>0.8188</v>
      </c>
      <c r="CK180" s="1">
        <v>0.0</v>
      </c>
      <c r="CL180" s="1">
        <v>0.0</v>
      </c>
      <c r="CM180" s="1">
        <v>0.0</v>
      </c>
      <c r="CN180" s="1">
        <v>0.0</v>
      </c>
      <c r="CO180" s="1">
        <v>0.0</v>
      </c>
      <c r="CP180" s="1">
        <v>0.0</v>
      </c>
      <c r="CQ180" s="1">
        <v>0.0</v>
      </c>
      <c r="CR180" s="1">
        <v>0.0</v>
      </c>
      <c r="CS180" s="1">
        <v>0.0</v>
      </c>
      <c r="CT180" s="1">
        <v>0.0</v>
      </c>
      <c r="CU180" s="1">
        <v>0.0</v>
      </c>
      <c r="CV180" s="1">
        <v>0.0</v>
      </c>
      <c r="CW180" s="1">
        <v>0.0</v>
      </c>
      <c r="CX180" s="1">
        <v>0.0</v>
      </c>
      <c r="CY180" s="1">
        <v>0.0</v>
      </c>
      <c r="CZ180" s="1">
        <v>0.0</v>
      </c>
      <c r="DA180" s="1">
        <v>0.0</v>
      </c>
      <c r="DB180" s="1">
        <v>0.0</v>
      </c>
      <c r="DC180" s="1">
        <v>0.0</v>
      </c>
      <c r="DD180" s="1" t="s">
        <v>953</v>
      </c>
      <c r="DE180" s="1">
        <v>0.00173830236920317</v>
      </c>
      <c r="DF180" s="2" t="s">
        <v>954</v>
      </c>
    </row>
    <row r="181" ht="15.75" customHeight="1">
      <c r="A181" s="1" t="s">
        <v>955</v>
      </c>
      <c r="B181" s="1">
        <v>29.0</v>
      </c>
      <c r="C181" s="2" t="s">
        <v>934</v>
      </c>
      <c r="D181" s="2" t="s">
        <v>956</v>
      </c>
      <c r="E181" s="1">
        <v>43.587</v>
      </c>
      <c r="F181" s="1">
        <v>29043.0</v>
      </c>
      <c r="G181" s="1">
        <v>2.9043020101E10</v>
      </c>
      <c r="H181" s="1" t="s">
        <v>112</v>
      </c>
      <c r="I181" s="1" t="s">
        <v>113</v>
      </c>
      <c r="J181" s="1" t="s">
        <v>936</v>
      </c>
      <c r="K181" s="1" t="s">
        <v>957</v>
      </c>
      <c r="L181" s="1">
        <v>3045.0</v>
      </c>
      <c r="M181" s="1">
        <v>2992.0</v>
      </c>
      <c r="N181" s="1">
        <v>228.0</v>
      </c>
      <c r="O181" s="1">
        <v>1305.0</v>
      </c>
      <c r="P181" s="1">
        <v>1360.0</v>
      </c>
      <c r="Q181" s="1">
        <v>82.0</v>
      </c>
      <c r="R181" s="1">
        <v>1186.0</v>
      </c>
      <c r="S181" s="1">
        <v>352.0</v>
      </c>
      <c r="T181" s="1">
        <v>109.0</v>
      </c>
      <c r="U181" s="1">
        <v>76.0</v>
      </c>
      <c r="V181" s="1">
        <v>396.0</v>
      </c>
      <c r="W181" s="1">
        <v>19741.0</v>
      </c>
      <c r="X181" s="1">
        <v>1283.0</v>
      </c>
      <c r="Y181" s="1">
        <v>325.0</v>
      </c>
      <c r="Z181" s="1">
        <v>242.0</v>
      </c>
      <c r="AA181" s="1">
        <v>476.0</v>
      </c>
      <c r="AB181" s="1">
        <v>768.0</v>
      </c>
      <c r="AC181" s="1">
        <v>118.0</v>
      </c>
      <c r="AD181" s="1">
        <v>101.0</v>
      </c>
      <c r="AE181" s="1">
        <v>24.0</v>
      </c>
      <c r="AF181" s="1">
        <v>412.0</v>
      </c>
      <c r="AG181" s="1">
        <v>0.0</v>
      </c>
      <c r="AH181" s="1">
        <v>197.0</v>
      </c>
      <c r="AI181" s="1">
        <v>163.0</v>
      </c>
      <c r="AJ181" s="1">
        <v>55.0</v>
      </c>
      <c r="AK181" s="1">
        <v>19.0</v>
      </c>
      <c r="AL181" s="1">
        <v>115.0</v>
      </c>
      <c r="AM181" s="1">
        <v>49.0</v>
      </c>
      <c r="AN181" s="1">
        <v>29.0</v>
      </c>
      <c r="AO181" s="1">
        <v>0.0</v>
      </c>
      <c r="AP181" s="1">
        <v>0.11816</v>
      </c>
      <c r="AQ181" s="1">
        <v>0.035444</v>
      </c>
      <c r="AR181" s="1">
        <v>0.054794</v>
      </c>
      <c r="AS181" s="1">
        <v>0.285456</v>
      </c>
      <c r="AT181" s="1">
        <v>19741.0</v>
      </c>
      <c r="AU181" s="1">
        <v>1283.0</v>
      </c>
      <c r="AV181" s="1">
        <v>0.1558</v>
      </c>
      <c r="AW181" s="1">
        <v>0.115454</v>
      </c>
      <c r="AX181" s="1">
        <v>0.156321</v>
      </c>
      <c r="AY181" s="1">
        <v>0.252216</v>
      </c>
      <c r="AZ181" s="1">
        <v>0.09949409</v>
      </c>
      <c r="BA181" s="1">
        <v>0.033169</v>
      </c>
      <c r="BB181" s="1">
        <v>0.008385</v>
      </c>
      <c r="BC181" s="1">
        <v>0.143953</v>
      </c>
      <c r="BD181" s="1">
        <v>0.0</v>
      </c>
      <c r="BE181" s="1">
        <v>0.144852</v>
      </c>
      <c r="BF181" s="1">
        <v>0.119852</v>
      </c>
      <c r="BG181" s="1">
        <v>0.03979</v>
      </c>
      <c r="BH181" s="1">
        <v>0.01531</v>
      </c>
      <c r="BI181" s="1">
        <v>0.092659</v>
      </c>
      <c r="BJ181" s="1">
        <v>0.039484</v>
      </c>
      <c r="BK181" s="1">
        <v>0.023154</v>
      </c>
      <c r="BL181" s="1">
        <v>0.0</v>
      </c>
      <c r="BM181" s="1">
        <v>0.447</v>
      </c>
      <c r="BN181" s="1">
        <v>0.343</v>
      </c>
      <c r="BO181" s="1">
        <v>0.6318</v>
      </c>
      <c r="BP181" s="1">
        <v>0.588</v>
      </c>
      <c r="BQ181" s="1">
        <v>2.0098</v>
      </c>
      <c r="BR181" s="1">
        <v>0.4968</v>
      </c>
      <c r="BS181" s="1">
        <v>0.639</v>
      </c>
      <c r="BT181" s="1">
        <v>0.628</v>
      </c>
      <c r="BU181" s="1">
        <v>0.488</v>
      </c>
      <c r="BV181" s="1">
        <v>1.755</v>
      </c>
      <c r="BW181" s="1">
        <v>0.685</v>
      </c>
      <c r="BX181" s="1">
        <v>0.105</v>
      </c>
      <c r="BY181" s="1">
        <v>0.678</v>
      </c>
      <c r="BZ181" s="1">
        <v>0.783</v>
      </c>
      <c r="CA181" s="1">
        <v>0.385</v>
      </c>
      <c r="CB181" s="1">
        <v>0.0</v>
      </c>
      <c r="CC181" s="1">
        <v>0.761</v>
      </c>
      <c r="CD181" s="1">
        <v>0.603</v>
      </c>
      <c r="CE181" s="1">
        <v>0.386</v>
      </c>
      <c r="CF181" s="1">
        <v>0.0</v>
      </c>
      <c r="CG181" s="1">
        <v>1.75</v>
      </c>
      <c r="CH181" s="1">
        <v>0.249</v>
      </c>
      <c r="CI181" s="1">
        <v>6.2978</v>
      </c>
      <c r="CJ181" s="1">
        <v>0.4289</v>
      </c>
      <c r="CK181" s="1">
        <v>0.0</v>
      </c>
      <c r="CL181" s="1">
        <v>0.0</v>
      </c>
      <c r="CM181" s="1">
        <v>0.0</v>
      </c>
      <c r="CN181" s="1">
        <v>0.0</v>
      </c>
      <c r="CO181" s="1">
        <v>0.0</v>
      </c>
      <c r="CP181" s="1">
        <v>0.0</v>
      </c>
      <c r="CQ181" s="1">
        <v>0.0</v>
      </c>
      <c r="CR181" s="1">
        <v>0.0</v>
      </c>
      <c r="CS181" s="1">
        <v>0.0</v>
      </c>
      <c r="CT181" s="1">
        <v>0.0</v>
      </c>
      <c r="CU181" s="1">
        <v>0.0</v>
      </c>
      <c r="CV181" s="1">
        <v>0.0</v>
      </c>
      <c r="CW181" s="1">
        <v>0.0</v>
      </c>
      <c r="CX181" s="1">
        <v>0.0</v>
      </c>
      <c r="CY181" s="1">
        <v>0.0</v>
      </c>
      <c r="CZ181" s="1">
        <v>0.0</v>
      </c>
      <c r="DA181" s="1">
        <v>0.0</v>
      </c>
      <c r="DB181" s="1">
        <v>0.0</v>
      </c>
      <c r="DC181" s="1">
        <v>0.0</v>
      </c>
      <c r="DD181" s="1" t="s">
        <v>958</v>
      </c>
      <c r="DE181" s="2" t="s">
        <v>959</v>
      </c>
      <c r="DF181" s="2" t="s">
        <v>960</v>
      </c>
    </row>
    <row r="182" ht="15.75" customHeight="1">
      <c r="A182" s="1" t="s">
        <v>961</v>
      </c>
      <c r="B182" s="1">
        <v>29.0</v>
      </c>
      <c r="C182" s="2" t="s">
        <v>934</v>
      </c>
      <c r="D182" s="2" t="s">
        <v>962</v>
      </c>
      <c r="E182" s="1">
        <v>44.499</v>
      </c>
      <c r="F182" s="1">
        <v>29043.0</v>
      </c>
      <c r="G182" s="1">
        <v>2.9043020102E10</v>
      </c>
      <c r="H182" s="1" t="s">
        <v>112</v>
      </c>
      <c r="I182" s="1" t="s">
        <v>113</v>
      </c>
      <c r="J182" s="1" t="s">
        <v>936</v>
      </c>
      <c r="K182" s="1" t="s">
        <v>963</v>
      </c>
      <c r="L182" s="1">
        <v>5170.0</v>
      </c>
      <c r="M182" s="1">
        <v>4740.0</v>
      </c>
      <c r="N182" s="1">
        <v>305.0</v>
      </c>
      <c r="O182" s="1">
        <v>2047.0</v>
      </c>
      <c r="P182" s="1">
        <v>1821.0</v>
      </c>
      <c r="Q182" s="1">
        <v>99.0</v>
      </c>
      <c r="R182" s="1">
        <v>1924.0</v>
      </c>
      <c r="S182" s="1">
        <v>360.0</v>
      </c>
      <c r="T182" s="1">
        <v>163.0</v>
      </c>
      <c r="U182" s="1">
        <v>132.0</v>
      </c>
      <c r="V182" s="1">
        <v>365.0</v>
      </c>
      <c r="W182" s="1">
        <v>21505.0</v>
      </c>
      <c r="X182" s="1">
        <v>1987.0</v>
      </c>
      <c r="Y182" s="1">
        <v>286.0</v>
      </c>
      <c r="Z182" s="1">
        <v>240.0</v>
      </c>
      <c r="AA182" s="1">
        <v>558.0</v>
      </c>
      <c r="AB182" s="1">
        <v>1422.0</v>
      </c>
      <c r="AC182" s="1">
        <v>174.0</v>
      </c>
      <c r="AD182" s="1">
        <v>228.0</v>
      </c>
      <c r="AE182" s="1">
        <v>10.0</v>
      </c>
      <c r="AF182" s="1">
        <v>427.0</v>
      </c>
      <c r="AG182" s="1">
        <v>3.0</v>
      </c>
      <c r="AH182" s="1">
        <v>161.0</v>
      </c>
      <c r="AI182" s="1">
        <v>154.0</v>
      </c>
      <c r="AJ182" s="1">
        <v>55.0</v>
      </c>
      <c r="AK182" s="1">
        <v>33.0</v>
      </c>
      <c r="AL182" s="1">
        <v>117.0</v>
      </c>
      <c r="AM182" s="1">
        <v>42.0</v>
      </c>
      <c r="AN182" s="1">
        <v>28.0</v>
      </c>
      <c r="AO182" s="1">
        <v>0.0</v>
      </c>
      <c r="AP182" s="1">
        <v>0.076045</v>
      </c>
      <c r="AQ182" s="1">
        <v>0.034079</v>
      </c>
      <c r="AR182" s="1">
        <v>0.055415</v>
      </c>
      <c r="AS182" s="1">
        <v>0.153151</v>
      </c>
      <c r="AT182" s="1">
        <v>21505.0</v>
      </c>
      <c r="AU182" s="1">
        <v>1987.0</v>
      </c>
      <c r="AV182" s="1">
        <v>0.093801</v>
      </c>
      <c r="AW182" s="1">
        <v>0.078494</v>
      </c>
      <c r="AX182" s="1">
        <v>0.10793</v>
      </c>
      <c r="AY182" s="1">
        <v>0.275048</v>
      </c>
      <c r="AZ182" s="1">
        <v>0.09043659</v>
      </c>
      <c r="BA182" s="1">
        <v>0.0441</v>
      </c>
      <c r="BB182" s="1">
        <v>0.002315</v>
      </c>
      <c r="BC182" s="1">
        <v>0.098865</v>
      </c>
      <c r="BD182" s="1">
        <v>0.001647</v>
      </c>
      <c r="BE182" s="1">
        <v>0.088412</v>
      </c>
      <c r="BF182" s="1">
        <v>0.084568</v>
      </c>
      <c r="BG182" s="1">
        <v>0.029851</v>
      </c>
      <c r="BH182" s="1">
        <v>0.019526</v>
      </c>
      <c r="BI182" s="1">
        <v>0.069217</v>
      </c>
      <c r="BJ182" s="1">
        <v>0.024852</v>
      </c>
      <c r="BK182" s="1">
        <v>0.016479</v>
      </c>
      <c r="BL182" s="1">
        <v>0.0</v>
      </c>
      <c r="BM182" s="1">
        <v>0.273</v>
      </c>
      <c r="BN182" s="1">
        <v>0.353</v>
      </c>
      <c r="BO182" s="1">
        <v>0.5213</v>
      </c>
      <c r="BP182" s="1">
        <v>0.311</v>
      </c>
      <c r="BQ182" s="1">
        <v>1.4583</v>
      </c>
      <c r="BR182" s="1">
        <v>0.33</v>
      </c>
      <c r="BS182" s="1">
        <v>0.258</v>
      </c>
      <c r="BT182" s="1">
        <v>0.821</v>
      </c>
      <c r="BU182" s="1">
        <v>0.407</v>
      </c>
      <c r="BV182" s="1">
        <v>1.486</v>
      </c>
      <c r="BW182" s="1">
        <v>0.474</v>
      </c>
      <c r="BX182" s="1">
        <v>0.207</v>
      </c>
      <c r="BY182" s="1">
        <v>0.398</v>
      </c>
      <c r="BZ182" s="1">
        <v>0.605</v>
      </c>
      <c r="CA182" s="1">
        <v>0.272</v>
      </c>
      <c r="CB182" s="1">
        <v>0.264</v>
      </c>
      <c r="CC182" s="1">
        <v>0.684</v>
      </c>
      <c r="CD182" s="1">
        <v>0.675</v>
      </c>
      <c r="CE182" s="1">
        <v>0.237</v>
      </c>
      <c r="CF182" s="1">
        <v>0.0</v>
      </c>
      <c r="CG182" s="1">
        <v>1.86</v>
      </c>
      <c r="CH182" s="1">
        <v>0.289</v>
      </c>
      <c r="CI182" s="1">
        <v>5.4093</v>
      </c>
      <c r="CJ182" s="1">
        <v>0.265</v>
      </c>
      <c r="CK182" s="1">
        <v>0.0</v>
      </c>
      <c r="CL182" s="1">
        <v>0.0</v>
      </c>
      <c r="CM182" s="1">
        <v>0.0</v>
      </c>
      <c r="CN182" s="1">
        <v>0.0</v>
      </c>
      <c r="CO182" s="1">
        <v>0.0</v>
      </c>
      <c r="CP182" s="1">
        <v>0.0</v>
      </c>
      <c r="CQ182" s="1">
        <v>0.0</v>
      </c>
      <c r="CR182" s="1">
        <v>0.0</v>
      </c>
      <c r="CS182" s="1">
        <v>0.0</v>
      </c>
      <c r="CT182" s="1">
        <v>0.0</v>
      </c>
      <c r="CU182" s="1">
        <v>0.0</v>
      </c>
      <c r="CV182" s="1">
        <v>0.0</v>
      </c>
      <c r="CW182" s="1">
        <v>0.0</v>
      </c>
      <c r="CX182" s="1">
        <v>0.0</v>
      </c>
      <c r="CY182" s="1">
        <v>0.0</v>
      </c>
      <c r="CZ182" s="1">
        <v>0.0</v>
      </c>
      <c r="DA182" s="1">
        <v>0.0</v>
      </c>
      <c r="DB182" s="1">
        <v>0.0</v>
      </c>
      <c r="DC182" s="1">
        <v>0.0</v>
      </c>
      <c r="DD182" s="1" t="s">
        <v>964</v>
      </c>
      <c r="DE182" s="2" t="s">
        <v>965</v>
      </c>
      <c r="DF182" s="2" t="s">
        <v>966</v>
      </c>
    </row>
    <row r="183" ht="15.75" customHeight="1">
      <c r="A183" s="1" t="s">
        <v>967</v>
      </c>
      <c r="B183" s="1">
        <v>29.0</v>
      </c>
      <c r="C183" s="2" t="s">
        <v>934</v>
      </c>
      <c r="D183" s="2" t="s">
        <v>968</v>
      </c>
      <c r="E183" s="1">
        <v>20.659</v>
      </c>
      <c r="F183" s="1">
        <v>29043.0</v>
      </c>
      <c r="G183" s="1">
        <v>2.9043020201E10</v>
      </c>
      <c r="H183" s="1" t="s">
        <v>112</v>
      </c>
      <c r="I183" s="1" t="s">
        <v>113</v>
      </c>
      <c r="J183" s="1" t="s">
        <v>936</v>
      </c>
      <c r="K183" s="1" t="s">
        <v>969</v>
      </c>
      <c r="L183" s="1">
        <v>4389.0</v>
      </c>
      <c r="M183" s="1">
        <v>4194.0</v>
      </c>
      <c r="N183" s="1">
        <v>344.0</v>
      </c>
      <c r="O183" s="1">
        <v>1678.0</v>
      </c>
      <c r="P183" s="1">
        <v>1659.0</v>
      </c>
      <c r="Q183" s="1">
        <v>79.0</v>
      </c>
      <c r="R183" s="1">
        <v>1598.0</v>
      </c>
      <c r="S183" s="1">
        <v>298.0</v>
      </c>
      <c r="T183" s="1">
        <v>155.0</v>
      </c>
      <c r="U183" s="1">
        <v>168.0</v>
      </c>
      <c r="V183" s="1">
        <v>406.0</v>
      </c>
      <c r="W183" s="1">
        <v>31814.0</v>
      </c>
      <c r="X183" s="1">
        <v>3888.0</v>
      </c>
      <c r="Y183" s="1">
        <v>108.0</v>
      </c>
      <c r="Z183" s="1">
        <v>347.0</v>
      </c>
      <c r="AA183" s="1">
        <v>491.0</v>
      </c>
      <c r="AB183" s="1">
        <v>1123.0</v>
      </c>
      <c r="AC183" s="1">
        <v>124.0</v>
      </c>
      <c r="AD183" s="1">
        <v>233.0</v>
      </c>
      <c r="AE183" s="1">
        <v>14.0</v>
      </c>
      <c r="AF183" s="1">
        <v>442.0</v>
      </c>
      <c r="AG183" s="1">
        <v>47.0</v>
      </c>
      <c r="AH183" s="1">
        <v>120.0</v>
      </c>
      <c r="AI183" s="1">
        <v>23.0</v>
      </c>
      <c r="AJ183" s="1">
        <v>27.0</v>
      </c>
      <c r="AK183" s="1">
        <v>11.0</v>
      </c>
      <c r="AL183" s="1">
        <v>115.0</v>
      </c>
      <c r="AM183" s="1">
        <v>11.0</v>
      </c>
      <c r="AN183" s="1">
        <v>115.0</v>
      </c>
      <c r="AO183" s="1">
        <v>14.0</v>
      </c>
      <c r="AP183" s="1">
        <v>0.07172</v>
      </c>
      <c r="AQ183" s="1">
        <v>0.036828</v>
      </c>
      <c r="AR183" s="1">
        <v>0.076923</v>
      </c>
      <c r="AS183" s="1">
        <v>0.185701</v>
      </c>
      <c r="AT183" s="1">
        <v>31814.0</v>
      </c>
      <c r="AU183" s="1">
        <v>3888.0</v>
      </c>
      <c r="AV183" s="1">
        <v>0.039158</v>
      </c>
      <c r="AW183" s="1">
        <v>0.125785</v>
      </c>
      <c r="AX183" s="1">
        <v>0.11187</v>
      </c>
      <c r="AY183" s="1">
        <v>0.255866</v>
      </c>
      <c r="AZ183" s="1">
        <v>0.07759699</v>
      </c>
      <c r="BA183" s="1">
        <v>0.053087</v>
      </c>
      <c r="BB183" s="1">
        <v>0.003586</v>
      </c>
      <c r="BC183" s="1">
        <v>0.113216</v>
      </c>
      <c r="BD183" s="1">
        <v>0.02833</v>
      </c>
      <c r="BE183" s="1">
        <v>0.07232</v>
      </c>
      <c r="BF183" s="1">
        <v>0.013863</v>
      </c>
      <c r="BG183" s="1">
        <v>0.016261</v>
      </c>
      <c r="BH183" s="1">
        <v>0.007255</v>
      </c>
      <c r="BI183" s="1">
        <v>0.075855</v>
      </c>
      <c r="BJ183" s="1">
        <v>0.007255</v>
      </c>
      <c r="BK183" s="1">
        <v>0.075855</v>
      </c>
      <c r="BL183" s="1">
        <v>0.003189</v>
      </c>
      <c r="BM183" s="1">
        <v>0.256</v>
      </c>
      <c r="BN183" s="1">
        <v>0.578</v>
      </c>
      <c r="BO183" s="1">
        <v>0.1588</v>
      </c>
      <c r="BP183" s="1">
        <v>0.094</v>
      </c>
      <c r="BQ183" s="1">
        <v>1.0868</v>
      </c>
      <c r="BR183" s="1">
        <v>0.2224</v>
      </c>
      <c r="BS183" s="1">
        <v>0.285</v>
      </c>
      <c r="BT183" s="1">
        <v>0.66</v>
      </c>
      <c r="BU183" s="1">
        <v>0.276</v>
      </c>
      <c r="BV183" s="1">
        <v>1.221</v>
      </c>
      <c r="BW183" s="1">
        <v>0.248</v>
      </c>
      <c r="BX183" s="1">
        <v>0.271</v>
      </c>
      <c r="BY183" s="1">
        <v>0.489</v>
      </c>
      <c r="BZ183" s="1">
        <v>0.76</v>
      </c>
      <c r="CA183" s="1">
        <v>0.367</v>
      </c>
      <c r="CB183" s="1">
        <v>0.54</v>
      </c>
      <c r="CC183" s="1">
        <v>0.484</v>
      </c>
      <c r="CD183" s="1">
        <v>0.401</v>
      </c>
      <c r="CE183" s="1">
        <v>0.061</v>
      </c>
      <c r="CF183" s="1">
        <v>0.479</v>
      </c>
      <c r="CG183" s="1">
        <v>1.965</v>
      </c>
      <c r="CH183" s="1">
        <v>0.333</v>
      </c>
      <c r="CI183" s="1">
        <v>5.0328</v>
      </c>
      <c r="CJ183" s="1">
        <v>0.2079</v>
      </c>
      <c r="CK183" s="1">
        <v>0.0</v>
      </c>
      <c r="CL183" s="1">
        <v>0.0</v>
      </c>
      <c r="CM183" s="1">
        <v>0.0</v>
      </c>
      <c r="CN183" s="1">
        <v>0.0</v>
      </c>
      <c r="CO183" s="1">
        <v>0.0</v>
      </c>
      <c r="CP183" s="1">
        <v>0.0</v>
      </c>
      <c r="CQ183" s="1">
        <v>0.0</v>
      </c>
      <c r="CR183" s="1">
        <v>0.0</v>
      </c>
      <c r="CS183" s="1">
        <v>0.0</v>
      </c>
      <c r="CT183" s="1">
        <v>0.0</v>
      </c>
      <c r="CU183" s="1">
        <v>0.0</v>
      </c>
      <c r="CV183" s="1">
        <v>0.0</v>
      </c>
      <c r="CW183" s="1">
        <v>0.0</v>
      </c>
      <c r="CX183" s="1">
        <v>0.0</v>
      </c>
      <c r="CY183" s="1">
        <v>0.0</v>
      </c>
      <c r="CZ183" s="1">
        <v>0.0</v>
      </c>
      <c r="DA183" s="1">
        <v>0.0</v>
      </c>
      <c r="DB183" s="1">
        <v>0.0</v>
      </c>
      <c r="DC183" s="1">
        <v>0.0</v>
      </c>
      <c r="DD183" s="1" t="s">
        <v>970</v>
      </c>
      <c r="DE183" s="1">
        <v>0.00547894552191456</v>
      </c>
      <c r="DF183" s="2" t="s">
        <v>971</v>
      </c>
    </row>
    <row r="184" ht="15.75" customHeight="1">
      <c r="A184" s="1" t="s">
        <v>972</v>
      </c>
      <c r="B184" s="1">
        <v>29.0</v>
      </c>
      <c r="C184" s="2" t="s">
        <v>934</v>
      </c>
      <c r="D184" s="2" t="s">
        <v>973</v>
      </c>
      <c r="E184" s="1">
        <v>6.003</v>
      </c>
      <c r="F184" s="1">
        <v>29043.0</v>
      </c>
      <c r="G184" s="1">
        <v>2.9043020203E10</v>
      </c>
      <c r="H184" s="1" t="s">
        <v>112</v>
      </c>
      <c r="I184" s="1" t="s">
        <v>113</v>
      </c>
      <c r="J184" s="1" t="s">
        <v>936</v>
      </c>
      <c r="K184" s="1" t="s">
        <v>974</v>
      </c>
      <c r="L184" s="1">
        <v>6562.0</v>
      </c>
      <c r="M184" s="1">
        <v>5394.0</v>
      </c>
      <c r="N184" s="1">
        <v>426.0</v>
      </c>
      <c r="O184" s="1">
        <v>2681.0</v>
      </c>
      <c r="P184" s="1">
        <v>2313.0</v>
      </c>
      <c r="Q184" s="1">
        <v>138.0</v>
      </c>
      <c r="R184" s="1">
        <v>2471.0</v>
      </c>
      <c r="S184" s="1">
        <v>348.0</v>
      </c>
      <c r="T184" s="1">
        <v>182.0</v>
      </c>
      <c r="U184" s="1">
        <v>55.0</v>
      </c>
      <c r="V184" s="1">
        <v>428.0</v>
      </c>
      <c r="W184" s="1">
        <v>23199.0</v>
      </c>
      <c r="X184" s="1">
        <v>2126.0</v>
      </c>
      <c r="Y184" s="1">
        <v>249.0</v>
      </c>
      <c r="Z184" s="1">
        <v>243.0</v>
      </c>
      <c r="AA184" s="1">
        <v>903.0</v>
      </c>
      <c r="AB184" s="1">
        <v>1882.0</v>
      </c>
      <c r="AC184" s="1">
        <v>260.0</v>
      </c>
      <c r="AD184" s="1">
        <v>434.0</v>
      </c>
      <c r="AE184" s="1">
        <v>6.0</v>
      </c>
      <c r="AF184" s="1">
        <v>442.0</v>
      </c>
      <c r="AG184" s="1">
        <v>171.0</v>
      </c>
      <c r="AH184" s="1">
        <v>133.0</v>
      </c>
      <c r="AI184" s="1">
        <v>41.0</v>
      </c>
      <c r="AJ184" s="1">
        <v>28.0</v>
      </c>
      <c r="AK184" s="1">
        <v>21.0</v>
      </c>
      <c r="AL184" s="1">
        <v>117.0</v>
      </c>
      <c r="AM184" s="1">
        <v>94.0</v>
      </c>
      <c r="AN184" s="1">
        <v>57.0</v>
      </c>
      <c r="AO184" s="1">
        <v>64.0</v>
      </c>
      <c r="AP184" s="1">
        <v>0.06735</v>
      </c>
      <c r="AQ184" s="1">
        <v>0.034906</v>
      </c>
      <c r="AR184" s="1">
        <v>0.019741</v>
      </c>
      <c r="AS184" s="1">
        <v>0.153608</v>
      </c>
      <c r="AT184" s="1">
        <v>23199.0</v>
      </c>
      <c r="AU184" s="1">
        <v>2126.0</v>
      </c>
      <c r="AV184" s="1">
        <v>0.071224</v>
      </c>
      <c r="AW184" s="1">
        <v>0.069244</v>
      </c>
      <c r="AX184" s="1">
        <v>0.13761</v>
      </c>
      <c r="AY184" s="1">
        <v>0.286802</v>
      </c>
      <c r="AZ184" s="1">
        <v>0.10522055</v>
      </c>
      <c r="BA184" s="1">
        <v>0.066138</v>
      </c>
      <c r="BB184" s="1">
        <v>0.001206</v>
      </c>
      <c r="BC184" s="1">
        <v>0.088844</v>
      </c>
      <c r="BD184" s="1">
        <v>0.073929</v>
      </c>
      <c r="BE184" s="1">
        <v>0.057331</v>
      </c>
      <c r="BF184" s="1">
        <v>0.017725</v>
      </c>
      <c r="BG184" s="1">
        <v>0.012059</v>
      </c>
      <c r="BH184" s="1">
        <v>0.010038</v>
      </c>
      <c r="BI184" s="1">
        <v>0.055921</v>
      </c>
      <c r="BJ184" s="1">
        <v>0.044933</v>
      </c>
      <c r="BK184" s="1">
        <v>0.026989</v>
      </c>
      <c r="BL184" s="1">
        <v>0.009753</v>
      </c>
      <c r="BM184" s="1">
        <v>0.237</v>
      </c>
      <c r="BN184" s="1">
        <v>0.03</v>
      </c>
      <c r="BO184" s="1">
        <v>0.4368</v>
      </c>
      <c r="BP184" s="1">
        <v>0.205</v>
      </c>
      <c r="BQ184" s="1">
        <v>0.9088</v>
      </c>
      <c r="BR184" s="1">
        <v>0.1819</v>
      </c>
      <c r="BS184" s="1">
        <v>0.476</v>
      </c>
      <c r="BT184" s="1">
        <v>0.876</v>
      </c>
      <c r="BU184" s="1">
        <v>0.541</v>
      </c>
      <c r="BV184" s="1">
        <v>1.893</v>
      </c>
      <c r="BW184" s="1">
        <v>0.797</v>
      </c>
      <c r="BX184" s="1">
        <v>0.346</v>
      </c>
      <c r="BY184" s="1">
        <v>0.341</v>
      </c>
      <c r="BZ184" s="1">
        <v>0.687</v>
      </c>
      <c r="CA184" s="1">
        <v>0.329</v>
      </c>
      <c r="CB184" s="1">
        <v>0.722</v>
      </c>
      <c r="CC184" s="1">
        <v>0.5</v>
      </c>
      <c r="CD184" s="1">
        <v>0.476</v>
      </c>
      <c r="CE184" s="1">
        <v>0.442</v>
      </c>
      <c r="CF184" s="1">
        <v>0.573</v>
      </c>
      <c r="CG184" s="1">
        <v>2.713</v>
      </c>
      <c r="CH184" s="1">
        <v>0.65</v>
      </c>
      <c r="CI184" s="1">
        <v>6.2018</v>
      </c>
      <c r="CJ184" s="1">
        <v>0.4094</v>
      </c>
      <c r="CK184" s="1">
        <v>0.0</v>
      </c>
      <c r="CL184" s="1">
        <v>0.0</v>
      </c>
      <c r="CM184" s="1">
        <v>0.0</v>
      </c>
      <c r="CN184" s="1">
        <v>0.0</v>
      </c>
      <c r="CO184" s="1">
        <v>0.0</v>
      </c>
      <c r="CP184" s="1">
        <v>0.0</v>
      </c>
      <c r="CQ184" s="1">
        <v>0.0</v>
      </c>
      <c r="CR184" s="1">
        <v>0.0</v>
      </c>
      <c r="CS184" s="1">
        <v>0.0</v>
      </c>
      <c r="CT184" s="1">
        <v>0.0</v>
      </c>
      <c r="CU184" s="1">
        <v>0.0</v>
      </c>
      <c r="CV184" s="1">
        <v>0.0</v>
      </c>
      <c r="CW184" s="1">
        <v>0.0</v>
      </c>
      <c r="CX184" s="1">
        <v>0.0</v>
      </c>
      <c r="CY184" s="1">
        <v>0.0</v>
      </c>
      <c r="CZ184" s="1">
        <v>0.0</v>
      </c>
      <c r="DA184" s="1">
        <v>0.0</v>
      </c>
      <c r="DB184" s="1">
        <v>0.0</v>
      </c>
      <c r="DC184" s="1">
        <v>0.0</v>
      </c>
      <c r="DD184" s="1" t="s">
        <v>975</v>
      </c>
      <c r="DE184" s="1">
        <v>0.00158224862451092</v>
      </c>
      <c r="DF184" s="2" t="s">
        <v>976</v>
      </c>
    </row>
    <row r="185" ht="15.75" customHeight="1">
      <c r="A185" s="1" t="s">
        <v>977</v>
      </c>
      <c r="B185" s="1">
        <v>29.0</v>
      </c>
      <c r="C185" s="2" t="s">
        <v>934</v>
      </c>
      <c r="D185" s="2" t="s">
        <v>978</v>
      </c>
      <c r="E185" s="1">
        <v>5.293</v>
      </c>
      <c r="F185" s="1">
        <v>29043.0</v>
      </c>
      <c r="G185" s="1">
        <v>2.9043020204E10</v>
      </c>
      <c r="H185" s="1" t="s">
        <v>112</v>
      </c>
      <c r="I185" s="1" t="s">
        <v>113</v>
      </c>
      <c r="J185" s="1" t="s">
        <v>936</v>
      </c>
      <c r="K185" s="1" t="s">
        <v>979</v>
      </c>
      <c r="L185" s="1">
        <v>4185.0</v>
      </c>
      <c r="M185" s="1">
        <v>3674.0</v>
      </c>
      <c r="N185" s="1">
        <v>246.0</v>
      </c>
      <c r="O185" s="1">
        <v>1663.0</v>
      </c>
      <c r="P185" s="1">
        <v>1526.0</v>
      </c>
      <c r="Q185" s="1">
        <v>97.0</v>
      </c>
      <c r="R185" s="1">
        <v>1530.0</v>
      </c>
      <c r="S185" s="1">
        <v>558.0</v>
      </c>
      <c r="T185" s="1">
        <v>229.0</v>
      </c>
      <c r="U185" s="1">
        <v>130.0</v>
      </c>
      <c r="V185" s="1">
        <v>399.0</v>
      </c>
      <c r="W185" s="1">
        <v>22102.0</v>
      </c>
      <c r="X185" s="1">
        <v>2464.0</v>
      </c>
      <c r="Y185" s="1">
        <v>94.0</v>
      </c>
      <c r="Z185" s="1">
        <v>326.0</v>
      </c>
      <c r="AA185" s="1">
        <v>343.0</v>
      </c>
      <c r="AB185" s="1">
        <v>1326.0</v>
      </c>
      <c r="AC185" s="1">
        <v>215.0</v>
      </c>
      <c r="AD185" s="1">
        <v>285.0</v>
      </c>
      <c r="AE185" s="1">
        <v>8.0</v>
      </c>
      <c r="AF185" s="1">
        <v>442.0</v>
      </c>
      <c r="AG185" s="1">
        <v>35.0</v>
      </c>
      <c r="AH185" s="1">
        <v>120.0</v>
      </c>
      <c r="AI185" s="1">
        <v>7.0</v>
      </c>
      <c r="AJ185" s="1">
        <v>12.0</v>
      </c>
      <c r="AK185" s="1">
        <v>19.0</v>
      </c>
      <c r="AL185" s="1">
        <v>116.0</v>
      </c>
      <c r="AM185" s="1">
        <v>62.0</v>
      </c>
      <c r="AN185" s="1">
        <v>42.0</v>
      </c>
      <c r="AO185" s="1">
        <v>14.0</v>
      </c>
      <c r="AP185" s="1">
        <v>0.152292</v>
      </c>
      <c r="AQ185" s="1">
        <v>0.061664</v>
      </c>
      <c r="AR185" s="1">
        <v>0.06232</v>
      </c>
      <c r="AS185" s="1">
        <v>0.191141</v>
      </c>
      <c r="AT185" s="1">
        <v>22102.0</v>
      </c>
      <c r="AU185" s="1">
        <v>2464.0</v>
      </c>
      <c r="AV185" s="1">
        <v>0.039881</v>
      </c>
      <c r="AW185" s="1">
        <v>0.138285</v>
      </c>
      <c r="AX185" s="1">
        <v>0.081959</v>
      </c>
      <c r="AY185" s="1">
        <v>0.316845</v>
      </c>
      <c r="AZ185" s="1">
        <v>0.14052287</v>
      </c>
      <c r="BA185" s="1">
        <v>0.0681</v>
      </c>
      <c r="BB185" s="1">
        <v>0.002403</v>
      </c>
      <c r="BC185" s="1">
        <v>0.132812</v>
      </c>
      <c r="BD185" s="1">
        <v>0.022935</v>
      </c>
      <c r="BE185" s="1">
        <v>0.078623</v>
      </c>
      <c r="BF185" s="1">
        <v>0.004587</v>
      </c>
      <c r="BG185" s="1">
        <v>0.007858</v>
      </c>
      <c r="BH185" s="1">
        <v>0.013446</v>
      </c>
      <c r="BI185" s="1">
        <v>0.082089</v>
      </c>
      <c r="BJ185" s="1">
        <v>0.043878</v>
      </c>
      <c r="BK185" s="1">
        <v>0.029574</v>
      </c>
      <c r="BL185" s="1">
        <v>0.003345</v>
      </c>
      <c r="BM185" s="1">
        <v>0.585</v>
      </c>
      <c r="BN185" s="1">
        <v>0.44</v>
      </c>
      <c r="BO185" s="1">
        <v>0.4888</v>
      </c>
      <c r="BP185" s="1">
        <v>0.1</v>
      </c>
      <c r="BQ185" s="1">
        <v>1.6138</v>
      </c>
      <c r="BR185" s="1">
        <v>0.3783</v>
      </c>
      <c r="BS185" s="1">
        <v>0.125</v>
      </c>
      <c r="BT185" s="1">
        <v>0.956</v>
      </c>
      <c r="BU185" s="1">
        <v>0.758</v>
      </c>
      <c r="BV185" s="1">
        <v>1.839</v>
      </c>
      <c r="BW185" s="1">
        <v>0.761</v>
      </c>
      <c r="BX185" s="1">
        <v>0.353</v>
      </c>
      <c r="BY185" s="1">
        <v>0.406</v>
      </c>
      <c r="BZ185" s="1">
        <v>0.759</v>
      </c>
      <c r="CA185" s="1">
        <v>0.366</v>
      </c>
      <c r="CB185" s="1">
        <v>0.499</v>
      </c>
      <c r="CC185" s="1">
        <v>0.386</v>
      </c>
      <c r="CD185" s="1">
        <v>0.562</v>
      </c>
      <c r="CE185" s="1">
        <v>0.431</v>
      </c>
      <c r="CF185" s="1">
        <v>0.484</v>
      </c>
      <c r="CG185" s="1">
        <v>2.362</v>
      </c>
      <c r="CH185" s="1">
        <v>0.49</v>
      </c>
      <c r="CI185" s="1">
        <v>6.5738</v>
      </c>
      <c r="CJ185" s="1">
        <v>0.4708</v>
      </c>
      <c r="CK185" s="1">
        <v>0.0</v>
      </c>
      <c r="CL185" s="1">
        <v>0.0</v>
      </c>
      <c r="CM185" s="1">
        <v>0.0</v>
      </c>
      <c r="CN185" s="1">
        <v>0.0</v>
      </c>
      <c r="CO185" s="1">
        <v>0.0</v>
      </c>
      <c r="CP185" s="1">
        <v>0.0</v>
      </c>
      <c r="CQ185" s="1">
        <v>1.0</v>
      </c>
      <c r="CR185" s="1">
        <v>0.0</v>
      </c>
      <c r="CS185" s="1">
        <v>1.0</v>
      </c>
      <c r="CT185" s="1">
        <v>0.0</v>
      </c>
      <c r="CU185" s="1">
        <v>0.0</v>
      </c>
      <c r="CV185" s="1">
        <v>0.0</v>
      </c>
      <c r="CW185" s="1">
        <v>0.0</v>
      </c>
      <c r="CX185" s="1">
        <v>0.0</v>
      </c>
      <c r="CY185" s="1">
        <v>0.0</v>
      </c>
      <c r="CZ185" s="1">
        <v>0.0</v>
      </c>
      <c r="DA185" s="1">
        <v>0.0</v>
      </c>
      <c r="DB185" s="1">
        <v>0.0</v>
      </c>
      <c r="DC185" s="1">
        <v>1.0</v>
      </c>
      <c r="DD185" s="1" t="s">
        <v>980</v>
      </c>
      <c r="DE185" s="1">
        <v>0.00139551380116441</v>
      </c>
      <c r="DF185" s="2" t="s">
        <v>981</v>
      </c>
    </row>
    <row r="186" ht="15.75" customHeight="1">
      <c r="A186" s="1" t="s">
        <v>982</v>
      </c>
      <c r="B186" s="1">
        <v>29.0</v>
      </c>
      <c r="C186" s="2" t="s">
        <v>934</v>
      </c>
      <c r="D186" s="2" t="s">
        <v>983</v>
      </c>
      <c r="E186" s="1">
        <v>8.917</v>
      </c>
      <c r="F186" s="1">
        <v>29043.0</v>
      </c>
      <c r="G186" s="1">
        <v>2.9043020205E10</v>
      </c>
      <c r="H186" s="1" t="s">
        <v>112</v>
      </c>
      <c r="I186" s="1" t="s">
        <v>113</v>
      </c>
      <c r="J186" s="1" t="s">
        <v>936</v>
      </c>
      <c r="K186" s="1" t="s">
        <v>984</v>
      </c>
      <c r="L186" s="1">
        <v>6196.0</v>
      </c>
      <c r="M186" s="1">
        <v>6299.0</v>
      </c>
      <c r="N186" s="1">
        <v>524.0</v>
      </c>
      <c r="O186" s="1">
        <v>2486.0</v>
      </c>
      <c r="P186" s="1">
        <v>2353.0</v>
      </c>
      <c r="Q186" s="1">
        <v>115.0</v>
      </c>
      <c r="R186" s="1">
        <v>2301.0</v>
      </c>
      <c r="S186" s="1">
        <v>813.0</v>
      </c>
      <c r="T186" s="1">
        <v>455.0</v>
      </c>
      <c r="U186" s="1">
        <v>128.0</v>
      </c>
      <c r="V186" s="1">
        <v>435.0</v>
      </c>
      <c r="W186" s="1">
        <v>21453.0</v>
      </c>
      <c r="X186" s="1">
        <v>2067.0</v>
      </c>
      <c r="Y186" s="1">
        <v>254.0</v>
      </c>
      <c r="Z186" s="1">
        <v>274.0</v>
      </c>
      <c r="AA186" s="1">
        <v>690.0</v>
      </c>
      <c r="AB186" s="1">
        <v>1817.0</v>
      </c>
      <c r="AC186" s="1">
        <v>300.0</v>
      </c>
      <c r="AD186" s="1">
        <v>537.0</v>
      </c>
      <c r="AE186" s="1">
        <v>43.0</v>
      </c>
      <c r="AF186" s="1">
        <v>447.0</v>
      </c>
      <c r="AG186" s="1">
        <v>48.0</v>
      </c>
      <c r="AH186" s="1">
        <v>122.0</v>
      </c>
      <c r="AI186" s="1">
        <v>49.0</v>
      </c>
      <c r="AJ186" s="1">
        <v>39.0</v>
      </c>
      <c r="AK186" s="1">
        <v>67.0</v>
      </c>
      <c r="AL186" s="1">
        <v>130.0</v>
      </c>
      <c r="AM186" s="1">
        <v>69.0</v>
      </c>
      <c r="AN186" s="1">
        <v>58.0</v>
      </c>
      <c r="AO186" s="1">
        <v>163.0</v>
      </c>
      <c r="AP186" s="1">
        <v>0.129068</v>
      </c>
      <c r="AQ186" s="1">
        <v>0.071431</v>
      </c>
      <c r="AR186" s="1">
        <v>0.043287</v>
      </c>
      <c r="AS186" s="1">
        <v>0.147015</v>
      </c>
      <c r="AT186" s="1">
        <v>21453.0</v>
      </c>
      <c r="AU186" s="1">
        <v>2067.0</v>
      </c>
      <c r="AV186" s="1">
        <v>0.068426</v>
      </c>
      <c r="AW186" s="1">
        <v>0.073669</v>
      </c>
      <c r="AX186" s="1">
        <v>0.111362</v>
      </c>
      <c r="AY186" s="1">
        <v>0.293253</v>
      </c>
      <c r="AZ186" s="1">
        <v>0.13037809</v>
      </c>
      <c r="BA186" s="1">
        <v>0.086668</v>
      </c>
      <c r="BB186" s="1">
        <v>0.007736</v>
      </c>
      <c r="BC186" s="1">
        <v>0.080422</v>
      </c>
      <c r="BD186" s="1">
        <v>0.020399</v>
      </c>
      <c r="BE186" s="1">
        <v>0.051839</v>
      </c>
      <c r="BF186" s="1">
        <v>0.020824</v>
      </c>
      <c r="BG186" s="1">
        <v>0.016543</v>
      </c>
      <c r="BH186" s="1">
        <v>0.029857</v>
      </c>
      <c r="BI186" s="1">
        <v>0.05791</v>
      </c>
      <c r="BJ186" s="1">
        <v>0.030748</v>
      </c>
      <c r="BK186" s="1">
        <v>0.025795</v>
      </c>
      <c r="BL186" s="1">
        <v>0.026307</v>
      </c>
      <c r="BM186" s="1">
        <v>0.493</v>
      </c>
      <c r="BN186" s="1">
        <v>0.225</v>
      </c>
      <c r="BO186" s="1">
        <v>0.5242</v>
      </c>
      <c r="BP186" s="1">
        <v>0.195</v>
      </c>
      <c r="BQ186" s="1">
        <v>1.4372</v>
      </c>
      <c r="BR186" s="1">
        <v>0.3264</v>
      </c>
      <c r="BS186" s="1">
        <v>0.282</v>
      </c>
      <c r="BT186" s="1">
        <v>0.897</v>
      </c>
      <c r="BU186" s="1">
        <v>0.717</v>
      </c>
      <c r="BV186" s="1">
        <v>1.896</v>
      </c>
      <c r="BW186" s="1">
        <v>0.799</v>
      </c>
      <c r="BX186" s="1">
        <v>0.419</v>
      </c>
      <c r="BY186" s="1">
        <v>0.657</v>
      </c>
      <c r="BZ186" s="1">
        <v>1.076</v>
      </c>
      <c r="CA186" s="1">
        <v>0.597</v>
      </c>
      <c r="CB186" s="1">
        <v>0.468</v>
      </c>
      <c r="CC186" s="1">
        <v>0.516</v>
      </c>
      <c r="CD186" s="1">
        <v>0.803</v>
      </c>
      <c r="CE186" s="1">
        <v>0.29</v>
      </c>
      <c r="CF186" s="1">
        <v>0.782</v>
      </c>
      <c r="CG186" s="1">
        <v>2.859</v>
      </c>
      <c r="CH186" s="1">
        <v>0.714</v>
      </c>
      <c r="CI186" s="1">
        <v>7.2682</v>
      </c>
      <c r="CJ186" s="1">
        <v>0.6014</v>
      </c>
      <c r="CK186" s="1">
        <v>0.0</v>
      </c>
      <c r="CL186" s="1">
        <v>0.0</v>
      </c>
      <c r="CM186" s="1">
        <v>0.0</v>
      </c>
      <c r="CN186" s="1">
        <v>0.0</v>
      </c>
      <c r="CO186" s="1">
        <v>0.0</v>
      </c>
      <c r="CP186" s="1">
        <v>0.0</v>
      </c>
      <c r="CQ186" s="1">
        <v>0.0</v>
      </c>
      <c r="CR186" s="1">
        <v>0.0</v>
      </c>
      <c r="CS186" s="1">
        <v>0.0</v>
      </c>
      <c r="CT186" s="1">
        <v>0.0</v>
      </c>
      <c r="CU186" s="1">
        <v>0.0</v>
      </c>
      <c r="CV186" s="1">
        <v>0.0</v>
      </c>
      <c r="CW186" s="1">
        <v>0.0</v>
      </c>
      <c r="CX186" s="1">
        <v>0.0</v>
      </c>
      <c r="CY186" s="1">
        <v>0.0</v>
      </c>
      <c r="CZ186" s="1">
        <v>0.0</v>
      </c>
      <c r="DA186" s="1">
        <v>0.0</v>
      </c>
      <c r="DB186" s="1">
        <v>0.0</v>
      </c>
      <c r="DC186" s="1">
        <v>0.0</v>
      </c>
      <c r="DD186" s="1" t="s">
        <v>985</v>
      </c>
      <c r="DE186" s="1">
        <v>0.00233876182161271</v>
      </c>
      <c r="DF186" s="2" t="s">
        <v>986</v>
      </c>
    </row>
    <row r="187" ht="15.75" customHeight="1">
      <c r="A187" s="1" t="s">
        <v>987</v>
      </c>
      <c r="B187" s="1">
        <v>29.0</v>
      </c>
      <c r="C187" s="2" t="s">
        <v>934</v>
      </c>
      <c r="D187" s="2" t="s">
        <v>988</v>
      </c>
      <c r="E187" s="1">
        <v>8.793</v>
      </c>
      <c r="F187" s="1">
        <v>29043.0</v>
      </c>
      <c r="G187" s="1">
        <v>2.9043020302E10</v>
      </c>
      <c r="H187" s="1" t="s">
        <v>112</v>
      </c>
      <c r="I187" s="1" t="s">
        <v>113</v>
      </c>
      <c r="J187" s="1" t="s">
        <v>936</v>
      </c>
      <c r="K187" s="1" t="s">
        <v>989</v>
      </c>
      <c r="L187" s="1">
        <v>5772.0</v>
      </c>
      <c r="M187" s="1">
        <v>5853.0</v>
      </c>
      <c r="N187" s="1">
        <v>416.0</v>
      </c>
      <c r="O187" s="1">
        <v>2302.0</v>
      </c>
      <c r="P187" s="1">
        <v>2292.0</v>
      </c>
      <c r="Q187" s="1">
        <v>144.0</v>
      </c>
      <c r="R187" s="1">
        <v>2111.0</v>
      </c>
      <c r="S187" s="1">
        <v>507.0</v>
      </c>
      <c r="T187" s="1">
        <v>251.0</v>
      </c>
      <c r="U187" s="1">
        <v>109.0</v>
      </c>
      <c r="V187" s="1">
        <v>432.0</v>
      </c>
      <c r="W187" s="1">
        <v>25229.0</v>
      </c>
      <c r="X187" s="1">
        <v>2835.0</v>
      </c>
      <c r="Y187" s="1">
        <v>292.0</v>
      </c>
      <c r="Z187" s="1">
        <v>222.0</v>
      </c>
      <c r="AA187" s="1">
        <v>753.0</v>
      </c>
      <c r="AB187" s="1">
        <v>1596.0</v>
      </c>
      <c r="AC187" s="1">
        <v>216.0</v>
      </c>
      <c r="AD187" s="1">
        <v>280.0</v>
      </c>
      <c r="AE187" s="1">
        <v>55.0</v>
      </c>
      <c r="AF187" s="1">
        <v>447.0</v>
      </c>
      <c r="AG187" s="1">
        <v>99.0</v>
      </c>
      <c r="AH187" s="1">
        <v>124.0</v>
      </c>
      <c r="AI187" s="1">
        <v>34.0</v>
      </c>
      <c r="AJ187" s="1">
        <v>27.0</v>
      </c>
      <c r="AK187" s="1">
        <v>0.0</v>
      </c>
      <c r="AL187" s="1">
        <v>161.0</v>
      </c>
      <c r="AM187" s="1">
        <v>46.0</v>
      </c>
      <c r="AN187" s="1">
        <v>38.0</v>
      </c>
      <c r="AO187" s="1">
        <v>146.0</v>
      </c>
      <c r="AP187" s="1">
        <v>0.087822</v>
      </c>
      <c r="AQ187" s="1">
        <v>0.043071</v>
      </c>
      <c r="AR187" s="1">
        <v>0.037768</v>
      </c>
      <c r="AS187" s="1">
        <v>0.149629</v>
      </c>
      <c r="AT187" s="1">
        <v>25229.0</v>
      </c>
      <c r="AU187" s="1">
        <v>2835.0</v>
      </c>
      <c r="AV187" s="1">
        <v>0.073477</v>
      </c>
      <c r="AW187" s="1">
        <v>0.055583</v>
      </c>
      <c r="AX187" s="1">
        <v>0.130457</v>
      </c>
      <c r="AY187" s="1">
        <v>0.276507</v>
      </c>
      <c r="AZ187" s="1">
        <v>0.10232117</v>
      </c>
      <c r="BA187" s="1">
        <v>0.04851</v>
      </c>
      <c r="BB187" s="1">
        <v>0.010361</v>
      </c>
      <c r="BC187" s="1">
        <v>0.084208</v>
      </c>
      <c r="BD187" s="1">
        <v>0.043193</v>
      </c>
      <c r="BE187" s="1">
        <v>0.054033</v>
      </c>
      <c r="BF187" s="1">
        <v>0.014834</v>
      </c>
      <c r="BG187" s="1">
        <v>0.011743</v>
      </c>
      <c r="BH187" s="1">
        <v>0.0</v>
      </c>
      <c r="BI187" s="1">
        <v>0.073482</v>
      </c>
      <c r="BJ187" s="1">
        <v>0.020994</v>
      </c>
      <c r="BK187" s="1">
        <v>0.017299</v>
      </c>
      <c r="BL187" s="1">
        <v>0.025294</v>
      </c>
      <c r="BM187" s="1">
        <v>0.327</v>
      </c>
      <c r="BN187" s="1">
        <v>0.161</v>
      </c>
      <c r="BO187" s="1">
        <v>0.3365</v>
      </c>
      <c r="BP187" s="1">
        <v>0.217</v>
      </c>
      <c r="BQ187" s="1">
        <v>1.0415</v>
      </c>
      <c r="BR187" s="1">
        <v>0.2116</v>
      </c>
      <c r="BS187" s="1">
        <v>0.423</v>
      </c>
      <c r="BT187" s="1">
        <v>0.831</v>
      </c>
      <c r="BU187" s="1">
        <v>0.512</v>
      </c>
      <c r="BV187" s="1">
        <v>1.766</v>
      </c>
      <c r="BW187" s="1">
        <v>0.699</v>
      </c>
      <c r="BX187" s="1">
        <v>0.237</v>
      </c>
      <c r="BY187" s="1">
        <v>0.73</v>
      </c>
      <c r="BZ187" s="1">
        <v>0.967</v>
      </c>
      <c r="CA187" s="1">
        <v>0.523</v>
      </c>
      <c r="CB187" s="1">
        <v>0.623</v>
      </c>
      <c r="CC187" s="1">
        <v>0.488</v>
      </c>
      <c r="CD187" s="1">
        <v>0.0</v>
      </c>
      <c r="CE187" s="1">
        <v>0.193</v>
      </c>
      <c r="CF187" s="1">
        <v>0.776</v>
      </c>
      <c r="CG187" s="1">
        <v>2.08</v>
      </c>
      <c r="CH187" s="1">
        <v>0.374</v>
      </c>
      <c r="CI187" s="1">
        <v>5.8545</v>
      </c>
      <c r="CJ187" s="1">
        <v>0.348</v>
      </c>
      <c r="CK187" s="1">
        <v>0.0</v>
      </c>
      <c r="CL187" s="1">
        <v>0.0</v>
      </c>
      <c r="CM187" s="1">
        <v>0.0</v>
      </c>
      <c r="CN187" s="1">
        <v>0.0</v>
      </c>
      <c r="CO187" s="1">
        <v>0.0</v>
      </c>
      <c r="CP187" s="1">
        <v>0.0</v>
      </c>
      <c r="CQ187" s="1">
        <v>0.0</v>
      </c>
      <c r="CR187" s="1">
        <v>0.0</v>
      </c>
      <c r="CS187" s="1">
        <v>0.0</v>
      </c>
      <c r="CT187" s="1">
        <v>0.0</v>
      </c>
      <c r="CU187" s="1">
        <v>0.0</v>
      </c>
      <c r="CV187" s="1">
        <v>0.0</v>
      </c>
      <c r="CW187" s="1">
        <v>0.0</v>
      </c>
      <c r="CX187" s="1">
        <v>0.0</v>
      </c>
      <c r="CY187" s="1">
        <v>0.0</v>
      </c>
      <c r="CZ187" s="1">
        <v>0.0</v>
      </c>
      <c r="DA187" s="1">
        <v>0.0</v>
      </c>
      <c r="DB187" s="1">
        <v>0.0</v>
      </c>
      <c r="DC187" s="1">
        <v>0.0</v>
      </c>
      <c r="DD187" s="1" t="s">
        <v>990</v>
      </c>
      <c r="DE187" s="1">
        <v>0.00231431277242319</v>
      </c>
      <c r="DF187" s="2" t="s">
        <v>991</v>
      </c>
    </row>
    <row r="188" ht="15.75" customHeight="1">
      <c r="A188" s="1" t="s">
        <v>992</v>
      </c>
      <c r="B188" s="1">
        <v>29.0</v>
      </c>
      <c r="C188" s="2" t="s">
        <v>934</v>
      </c>
      <c r="D188" s="2" t="s">
        <v>993</v>
      </c>
      <c r="E188" s="1">
        <v>16.031</v>
      </c>
      <c r="F188" s="1">
        <v>29043.0</v>
      </c>
      <c r="G188" s="1">
        <v>2.9043020306E10</v>
      </c>
      <c r="H188" s="1" t="s">
        <v>112</v>
      </c>
      <c r="I188" s="1" t="s">
        <v>113</v>
      </c>
      <c r="J188" s="1" t="s">
        <v>936</v>
      </c>
      <c r="K188" s="1" t="s">
        <v>994</v>
      </c>
      <c r="L188" s="1">
        <v>7370.0</v>
      </c>
      <c r="M188" s="1">
        <v>7247.0</v>
      </c>
      <c r="N188" s="1">
        <v>592.0</v>
      </c>
      <c r="O188" s="1">
        <v>2983.0</v>
      </c>
      <c r="P188" s="1">
        <v>3025.0</v>
      </c>
      <c r="Q188" s="1">
        <v>154.0</v>
      </c>
      <c r="R188" s="1">
        <v>2773.0</v>
      </c>
      <c r="S188" s="1">
        <v>813.0</v>
      </c>
      <c r="T188" s="1">
        <v>463.0</v>
      </c>
      <c r="U188" s="1">
        <v>234.0</v>
      </c>
      <c r="V188" s="1">
        <v>361.0</v>
      </c>
      <c r="W188" s="1">
        <v>25715.0</v>
      </c>
      <c r="X188" s="1">
        <v>3044.0</v>
      </c>
      <c r="Y188" s="1">
        <v>248.0</v>
      </c>
      <c r="Z188" s="1">
        <v>360.0</v>
      </c>
      <c r="AA188" s="1">
        <v>864.0</v>
      </c>
      <c r="AB188" s="1">
        <v>2082.0</v>
      </c>
      <c r="AC188" s="1">
        <v>321.0</v>
      </c>
      <c r="AD188" s="1">
        <v>515.0</v>
      </c>
      <c r="AE188" s="1">
        <v>26.0</v>
      </c>
      <c r="AF188" s="1">
        <v>442.0</v>
      </c>
      <c r="AG188" s="1">
        <v>134.0</v>
      </c>
      <c r="AH188" s="1">
        <v>195.0</v>
      </c>
      <c r="AI188" s="1">
        <v>95.0</v>
      </c>
      <c r="AJ188" s="1">
        <v>79.0</v>
      </c>
      <c r="AK188" s="1">
        <v>72.0</v>
      </c>
      <c r="AL188" s="1">
        <v>133.0</v>
      </c>
      <c r="AM188" s="1">
        <v>35.0</v>
      </c>
      <c r="AN188" s="1">
        <v>119.0</v>
      </c>
      <c r="AO188" s="1">
        <v>57.0</v>
      </c>
      <c r="AP188" s="1">
        <v>0.112184</v>
      </c>
      <c r="AQ188" s="1">
        <v>0.063227</v>
      </c>
      <c r="AR188" s="1">
        <v>0.058165</v>
      </c>
      <c r="AS188" s="1">
        <v>0.089528</v>
      </c>
      <c r="AT188" s="1">
        <v>25715.0</v>
      </c>
      <c r="AU188" s="1">
        <v>3044.0</v>
      </c>
      <c r="AV188" s="1">
        <v>0.054255</v>
      </c>
      <c r="AW188" s="1">
        <v>0.078644</v>
      </c>
      <c r="AX188" s="1">
        <v>0.117232</v>
      </c>
      <c r="AY188" s="1">
        <v>0.282496</v>
      </c>
      <c r="AZ188" s="1">
        <v>0.1157591</v>
      </c>
      <c r="BA188" s="1">
        <v>0.069877</v>
      </c>
      <c r="BB188" s="1">
        <v>0.003906</v>
      </c>
      <c r="BC188" s="1">
        <v>0.066415</v>
      </c>
      <c r="BD188" s="1">
        <v>0.044297</v>
      </c>
      <c r="BE188" s="1">
        <v>0.064423</v>
      </c>
      <c r="BF188" s="1">
        <v>0.031404</v>
      </c>
      <c r="BG188" s="1">
        <v>0.026066</v>
      </c>
      <c r="BH188" s="1">
        <v>0.025387</v>
      </c>
      <c r="BI188" s="1">
        <v>0.046869</v>
      </c>
      <c r="BJ188" s="1">
        <v>0.012341</v>
      </c>
      <c r="BK188" s="1">
        <v>0.041953</v>
      </c>
      <c r="BL188" s="1">
        <v>0.007734</v>
      </c>
      <c r="BM188" s="1">
        <v>0.425</v>
      </c>
      <c r="BN188" s="1">
        <v>0.394</v>
      </c>
      <c r="BO188" s="1">
        <v>0.3191</v>
      </c>
      <c r="BP188" s="1">
        <v>0.143</v>
      </c>
      <c r="BQ188" s="1">
        <v>1.2811</v>
      </c>
      <c r="BR188" s="1">
        <v>0.2751</v>
      </c>
      <c r="BS188" s="1">
        <v>0.323</v>
      </c>
      <c r="BT188" s="1">
        <v>0.858</v>
      </c>
      <c r="BU188" s="1">
        <v>0.639</v>
      </c>
      <c r="BV188" s="1">
        <v>1.82</v>
      </c>
      <c r="BW188" s="1">
        <v>0.737</v>
      </c>
      <c r="BX188" s="1">
        <v>0.363</v>
      </c>
      <c r="BY188" s="1">
        <v>0.51</v>
      </c>
      <c r="BZ188" s="1">
        <v>0.873</v>
      </c>
      <c r="CA188" s="1">
        <v>0.448</v>
      </c>
      <c r="CB188" s="1">
        <v>0.628</v>
      </c>
      <c r="CC188" s="1">
        <v>0.555</v>
      </c>
      <c r="CD188" s="1">
        <v>0.763</v>
      </c>
      <c r="CE188" s="1">
        <v>0.11</v>
      </c>
      <c r="CF188" s="1">
        <v>0.549</v>
      </c>
      <c r="CG188" s="1">
        <v>2.605</v>
      </c>
      <c r="CH188" s="1">
        <v>0.606</v>
      </c>
      <c r="CI188" s="1">
        <v>6.5791</v>
      </c>
      <c r="CJ188" s="1">
        <v>0.4736</v>
      </c>
      <c r="CK188" s="1">
        <v>0.0</v>
      </c>
      <c r="CL188" s="1">
        <v>0.0</v>
      </c>
      <c r="CM188" s="1">
        <v>0.0</v>
      </c>
      <c r="CN188" s="1">
        <v>0.0</v>
      </c>
      <c r="CO188" s="1">
        <v>0.0</v>
      </c>
      <c r="CP188" s="1">
        <v>0.0</v>
      </c>
      <c r="CQ188" s="1">
        <v>0.0</v>
      </c>
      <c r="CR188" s="1">
        <v>0.0</v>
      </c>
      <c r="CS188" s="1">
        <v>0.0</v>
      </c>
      <c r="CT188" s="1">
        <v>0.0</v>
      </c>
      <c r="CU188" s="1">
        <v>0.0</v>
      </c>
      <c r="CV188" s="1">
        <v>0.0</v>
      </c>
      <c r="CW188" s="1">
        <v>0.0</v>
      </c>
      <c r="CX188" s="1">
        <v>0.0</v>
      </c>
      <c r="CY188" s="1">
        <v>0.0</v>
      </c>
      <c r="CZ188" s="1">
        <v>0.0</v>
      </c>
      <c r="DA188" s="1">
        <v>0.0</v>
      </c>
      <c r="DB188" s="1">
        <v>0.0</v>
      </c>
      <c r="DC188" s="1">
        <v>0.0</v>
      </c>
      <c r="DD188" s="1" t="s">
        <v>995</v>
      </c>
      <c r="DE188" s="1">
        <v>0.00423977979741903</v>
      </c>
      <c r="DF188" s="2" t="s">
        <v>996</v>
      </c>
    </row>
    <row r="189" ht="15.75" customHeight="1">
      <c r="A189" s="1" t="s">
        <v>997</v>
      </c>
      <c r="B189" s="1">
        <v>29.0</v>
      </c>
      <c r="C189" s="2" t="s">
        <v>934</v>
      </c>
      <c r="D189" s="2" t="s">
        <v>998</v>
      </c>
      <c r="E189" s="1">
        <v>130.58</v>
      </c>
      <c r="F189" s="1">
        <v>29043.0</v>
      </c>
      <c r="G189" s="1">
        <v>2.90430204E10</v>
      </c>
      <c r="H189" s="1" t="s">
        <v>112</v>
      </c>
      <c r="I189" s="1" t="s">
        <v>113</v>
      </c>
      <c r="J189" s="1" t="s">
        <v>936</v>
      </c>
      <c r="K189" s="1" t="s">
        <v>999</v>
      </c>
      <c r="L189" s="1">
        <v>7628.0</v>
      </c>
      <c r="M189" s="1">
        <v>7676.0</v>
      </c>
      <c r="N189" s="1">
        <v>473.0</v>
      </c>
      <c r="O189" s="1">
        <v>3110.0</v>
      </c>
      <c r="P189" s="1">
        <v>3121.0</v>
      </c>
      <c r="Q189" s="1">
        <v>150.0</v>
      </c>
      <c r="R189" s="1">
        <v>2877.0</v>
      </c>
      <c r="S189" s="1">
        <v>429.0</v>
      </c>
      <c r="T189" s="1">
        <v>133.0</v>
      </c>
      <c r="U189" s="1">
        <v>310.0</v>
      </c>
      <c r="V189" s="1">
        <v>276.0</v>
      </c>
      <c r="W189" s="1">
        <v>20938.0</v>
      </c>
      <c r="X189" s="1">
        <v>1458.0</v>
      </c>
      <c r="Y189" s="1">
        <v>622.0</v>
      </c>
      <c r="Z189" s="1">
        <v>246.0</v>
      </c>
      <c r="AA189" s="1">
        <v>978.0</v>
      </c>
      <c r="AB189" s="1">
        <v>1973.0</v>
      </c>
      <c r="AC189" s="1">
        <v>268.0</v>
      </c>
      <c r="AD189" s="1">
        <v>321.0</v>
      </c>
      <c r="AE189" s="1">
        <v>0.0</v>
      </c>
      <c r="AF189" s="1">
        <v>456.0</v>
      </c>
      <c r="AG189" s="1">
        <v>9.0</v>
      </c>
      <c r="AH189" s="1">
        <v>162.0</v>
      </c>
      <c r="AI189" s="1">
        <v>434.0</v>
      </c>
      <c r="AJ189" s="1">
        <v>108.0</v>
      </c>
      <c r="AK189" s="1">
        <v>62.0</v>
      </c>
      <c r="AL189" s="1">
        <v>123.0</v>
      </c>
      <c r="AM189" s="1">
        <v>79.0</v>
      </c>
      <c r="AN189" s="1">
        <v>51.0</v>
      </c>
      <c r="AO189" s="1">
        <v>0.0</v>
      </c>
      <c r="AP189" s="1">
        <v>0.055888</v>
      </c>
      <c r="AQ189" s="1">
        <v>0.016981</v>
      </c>
      <c r="AR189" s="1">
        <v>0.079917</v>
      </c>
      <c r="AS189" s="1">
        <v>0.070783</v>
      </c>
      <c r="AT189" s="1">
        <v>20938.0</v>
      </c>
      <c r="AU189" s="1">
        <v>1458.0</v>
      </c>
      <c r="AV189" s="1">
        <v>0.122609</v>
      </c>
      <c r="AW189" s="1">
        <v>0.047909</v>
      </c>
      <c r="AX189" s="1">
        <v>0.128211</v>
      </c>
      <c r="AY189" s="1">
        <v>0.258652</v>
      </c>
      <c r="AZ189" s="1">
        <v>0.09315258</v>
      </c>
      <c r="BA189" s="1">
        <v>0.042081</v>
      </c>
      <c r="BB189" s="1">
        <v>0.0</v>
      </c>
      <c r="BC189" s="1">
        <v>0.06335</v>
      </c>
      <c r="BD189" s="1">
        <v>0.002883</v>
      </c>
      <c r="BE189" s="1">
        <v>0.051906</v>
      </c>
      <c r="BF189" s="1">
        <v>0.139057</v>
      </c>
      <c r="BG189" s="1">
        <v>0.033952</v>
      </c>
      <c r="BH189" s="1">
        <v>0.021262</v>
      </c>
      <c r="BI189" s="1">
        <v>0.042165</v>
      </c>
      <c r="BJ189" s="1">
        <v>0.027091</v>
      </c>
      <c r="BK189" s="1">
        <v>0.017427</v>
      </c>
      <c r="BL189" s="1">
        <v>0.0</v>
      </c>
      <c r="BM189" s="1">
        <v>0.192</v>
      </c>
      <c r="BN189" s="1">
        <v>0.61</v>
      </c>
      <c r="BO189" s="1">
        <v>0.5581</v>
      </c>
      <c r="BP189" s="1">
        <v>0.439</v>
      </c>
      <c r="BQ189" s="1">
        <v>1.7991</v>
      </c>
      <c r="BR189" s="1">
        <v>0.4303</v>
      </c>
      <c r="BS189" s="1">
        <v>0.401</v>
      </c>
      <c r="BT189" s="1">
        <v>0.692</v>
      </c>
      <c r="BU189" s="1">
        <v>0.429</v>
      </c>
      <c r="BV189" s="1">
        <v>1.522</v>
      </c>
      <c r="BW189" s="1">
        <v>0.498</v>
      </c>
      <c r="BX189" s="1">
        <v>0.185</v>
      </c>
      <c r="BY189" s="1">
        <v>0.0</v>
      </c>
      <c r="BZ189" s="1">
        <v>0.185</v>
      </c>
      <c r="CA189" s="1">
        <v>0.087</v>
      </c>
      <c r="CB189" s="1">
        <v>0.285</v>
      </c>
      <c r="CC189" s="1">
        <v>0.797</v>
      </c>
      <c r="CD189" s="1">
        <v>0.699</v>
      </c>
      <c r="CE189" s="1">
        <v>0.261</v>
      </c>
      <c r="CF189" s="1">
        <v>0.0</v>
      </c>
      <c r="CG189" s="1">
        <v>2.042</v>
      </c>
      <c r="CH189" s="1">
        <v>0.362</v>
      </c>
      <c r="CI189" s="1">
        <v>5.5481</v>
      </c>
      <c r="CJ189" s="1">
        <v>0.2903</v>
      </c>
      <c r="CK189" s="1">
        <v>0.0</v>
      </c>
      <c r="CL189" s="1">
        <v>0.0</v>
      </c>
      <c r="CM189" s="1">
        <v>0.0</v>
      </c>
      <c r="CN189" s="1">
        <v>0.0</v>
      </c>
      <c r="CO189" s="1">
        <v>0.0</v>
      </c>
      <c r="CP189" s="1">
        <v>0.0</v>
      </c>
      <c r="CQ189" s="1">
        <v>0.0</v>
      </c>
      <c r="CR189" s="1">
        <v>0.0</v>
      </c>
      <c r="CS189" s="1">
        <v>0.0</v>
      </c>
      <c r="CT189" s="1">
        <v>0.0</v>
      </c>
      <c r="CU189" s="1">
        <v>0.0</v>
      </c>
      <c r="CV189" s="1">
        <v>0.0</v>
      </c>
      <c r="CW189" s="1">
        <v>0.0</v>
      </c>
      <c r="CX189" s="1">
        <v>0.0</v>
      </c>
      <c r="CY189" s="1">
        <v>0.0</v>
      </c>
      <c r="CZ189" s="1">
        <v>0.0</v>
      </c>
      <c r="DA189" s="1">
        <v>0.0</v>
      </c>
      <c r="DB189" s="1">
        <v>0.0</v>
      </c>
      <c r="DC189" s="1">
        <v>0.0</v>
      </c>
      <c r="DD189" s="1" t="s">
        <v>1000</v>
      </c>
      <c r="DE189" s="1">
        <v>0.0343131185582126</v>
      </c>
      <c r="DF189" s="2" t="s">
        <v>1001</v>
      </c>
    </row>
    <row r="190" ht="15.75" customHeight="1">
      <c r="A190" s="1" t="s">
        <v>1002</v>
      </c>
      <c r="B190" s="1">
        <v>29.0</v>
      </c>
      <c r="C190" s="2" t="s">
        <v>934</v>
      </c>
      <c r="D190" s="2" t="s">
        <v>1003</v>
      </c>
      <c r="E190" s="1">
        <v>234.49</v>
      </c>
      <c r="F190" s="1">
        <v>29043.0</v>
      </c>
      <c r="G190" s="1">
        <v>2.90430205E10</v>
      </c>
      <c r="H190" s="1" t="s">
        <v>112</v>
      </c>
      <c r="I190" s="1" t="s">
        <v>113</v>
      </c>
      <c r="J190" s="1" t="s">
        <v>936</v>
      </c>
      <c r="K190" s="1" t="s">
        <v>1004</v>
      </c>
      <c r="L190" s="1">
        <v>7027.0</v>
      </c>
      <c r="M190" s="1">
        <v>6663.0</v>
      </c>
      <c r="N190" s="1">
        <v>446.0</v>
      </c>
      <c r="O190" s="1">
        <v>2889.0</v>
      </c>
      <c r="P190" s="1">
        <v>2805.0</v>
      </c>
      <c r="Q190" s="1">
        <v>109.0</v>
      </c>
      <c r="R190" s="1">
        <v>2637.0</v>
      </c>
      <c r="S190" s="1">
        <v>680.0</v>
      </c>
      <c r="T190" s="1">
        <v>269.0</v>
      </c>
      <c r="U190" s="1">
        <v>177.0</v>
      </c>
      <c r="V190" s="1">
        <v>402.0</v>
      </c>
      <c r="W190" s="1">
        <v>22300.0</v>
      </c>
      <c r="X190" s="1">
        <v>2398.0</v>
      </c>
      <c r="Y190" s="1">
        <v>428.0</v>
      </c>
      <c r="Z190" s="1">
        <v>246.0</v>
      </c>
      <c r="AA190" s="1">
        <v>903.0</v>
      </c>
      <c r="AB190" s="1">
        <v>1730.0</v>
      </c>
      <c r="AC190" s="1">
        <v>193.0</v>
      </c>
      <c r="AD190" s="1">
        <v>247.0</v>
      </c>
      <c r="AE190" s="1">
        <v>0.0</v>
      </c>
      <c r="AF190" s="1">
        <v>456.0</v>
      </c>
      <c r="AG190" s="1">
        <v>0.0</v>
      </c>
      <c r="AH190" s="1">
        <v>197.0</v>
      </c>
      <c r="AI190" s="1">
        <v>499.0</v>
      </c>
      <c r="AJ190" s="1">
        <v>146.0</v>
      </c>
      <c r="AK190" s="1">
        <v>88.0</v>
      </c>
      <c r="AL190" s="1">
        <v>131.0</v>
      </c>
      <c r="AM190" s="1">
        <v>24.0</v>
      </c>
      <c r="AN190" s="1">
        <v>16.0</v>
      </c>
      <c r="AO190" s="1">
        <v>22.0</v>
      </c>
      <c r="AP190" s="1">
        <v>0.102056</v>
      </c>
      <c r="AQ190" s="1">
        <v>0.03979</v>
      </c>
      <c r="AR190" s="1">
        <v>0.056119</v>
      </c>
      <c r="AS190" s="1">
        <v>0.127348</v>
      </c>
      <c r="AT190" s="1">
        <v>22300.0</v>
      </c>
      <c r="AU190" s="1">
        <v>2398.0</v>
      </c>
      <c r="AV190" s="1">
        <v>0.09388</v>
      </c>
      <c r="AW190" s="1">
        <v>0.053645</v>
      </c>
      <c r="AX190" s="1">
        <v>0.128504</v>
      </c>
      <c r="AY190" s="1">
        <v>0.246193</v>
      </c>
      <c r="AZ190" s="1">
        <v>0.07318923</v>
      </c>
      <c r="BA190" s="1">
        <v>0.03515</v>
      </c>
      <c r="BB190" s="1">
        <v>0.0</v>
      </c>
      <c r="BC190" s="1">
        <v>0.072924</v>
      </c>
      <c r="BD190" s="1">
        <v>0.0</v>
      </c>
      <c r="BE190" s="1">
        <v>0.070231</v>
      </c>
      <c r="BF190" s="1">
        <v>0.177896</v>
      </c>
      <c r="BG190" s="1">
        <v>0.051588</v>
      </c>
      <c r="BH190" s="1">
        <v>0.034148</v>
      </c>
      <c r="BI190" s="1">
        <v>0.050803</v>
      </c>
      <c r="BJ190" s="1">
        <v>0.009313</v>
      </c>
      <c r="BK190" s="1">
        <v>0.00619</v>
      </c>
      <c r="BL190" s="1">
        <v>0.00313</v>
      </c>
      <c r="BM190" s="1">
        <v>0.379</v>
      </c>
      <c r="BN190" s="1">
        <v>0.366</v>
      </c>
      <c r="BO190" s="1">
        <v>0.478</v>
      </c>
      <c r="BP190" s="1">
        <v>0.312</v>
      </c>
      <c r="BQ190" s="1">
        <v>1.535</v>
      </c>
      <c r="BR190" s="1">
        <v>0.3531</v>
      </c>
      <c r="BS190" s="1">
        <v>0.405</v>
      </c>
      <c r="BT190" s="1">
        <v>0.558</v>
      </c>
      <c r="BU190" s="1">
        <v>0.242</v>
      </c>
      <c r="BV190" s="1">
        <v>1.205</v>
      </c>
      <c r="BW190" s="1">
        <v>0.233</v>
      </c>
      <c r="BX190" s="1">
        <v>0.12</v>
      </c>
      <c r="BY190" s="1">
        <v>0.0</v>
      </c>
      <c r="BZ190" s="1">
        <v>0.12</v>
      </c>
      <c r="CA190" s="1">
        <v>0.058</v>
      </c>
      <c r="CB190" s="1">
        <v>0.0</v>
      </c>
      <c r="CC190" s="1">
        <v>0.863</v>
      </c>
      <c r="CD190" s="1">
        <v>0.853</v>
      </c>
      <c r="CE190" s="1">
        <v>0.079</v>
      </c>
      <c r="CF190" s="1">
        <v>0.479</v>
      </c>
      <c r="CG190" s="1">
        <v>2.274</v>
      </c>
      <c r="CH190" s="1">
        <v>0.448</v>
      </c>
      <c r="CI190" s="1">
        <v>5.134</v>
      </c>
      <c r="CJ190" s="1">
        <v>0.2231</v>
      </c>
      <c r="CK190" s="1">
        <v>0.0</v>
      </c>
      <c r="CL190" s="1">
        <v>0.0</v>
      </c>
      <c r="CM190" s="1">
        <v>0.0</v>
      </c>
      <c r="CN190" s="1">
        <v>0.0</v>
      </c>
      <c r="CO190" s="1">
        <v>0.0</v>
      </c>
      <c r="CP190" s="1">
        <v>0.0</v>
      </c>
      <c r="CQ190" s="1">
        <v>0.0</v>
      </c>
      <c r="CR190" s="1">
        <v>0.0</v>
      </c>
      <c r="CS190" s="1">
        <v>0.0</v>
      </c>
      <c r="CT190" s="1">
        <v>0.0</v>
      </c>
      <c r="CU190" s="1">
        <v>0.0</v>
      </c>
      <c r="CV190" s="1">
        <v>0.0</v>
      </c>
      <c r="CW190" s="1">
        <v>0.0</v>
      </c>
      <c r="CX190" s="1">
        <v>0.0</v>
      </c>
      <c r="CY190" s="1">
        <v>0.0</v>
      </c>
      <c r="CZ190" s="1">
        <v>0.0</v>
      </c>
      <c r="DA190" s="1">
        <v>0.0</v>
      </c>
      <c r="DB190" s="1">
        <v>0.0</v>
      </c>
      <c r="DC190" s="1">
        <v>0.0</v>
      </c>
      <c r="DD190" s="1" t="s">
        <v>1005</v>
      </c>
      <c r="DE190" s="2" t="s">
        <v>1006</v>
      </c>
      <c r="DF190" s="2" t="s">
        <v>1007</v>
      </c>
    </row>
    <row r="191" ht="15.75" customHeight="1">
      <c r="A191" s="1" t="s">
        <v>1008</v>
      </c>
      <c r="B191" s="1">
        <v>29.0</v>
      </c>
      <c r="C191" s="2" t="s">
        <v>1009</v>
      </c>
      <c r="D191" s="1">
        <v>950300.0</v>
      </c>
      <c r="E191" s="1">
        <v>45.822</v>
      </c>
      <c r="F191" s="1">
        <v>29045.0</v>
      </c>
      <c r="G191" s="1">
        <v>2.90459503E10</v>
      </c>
      <c r="H191" s="1" t="s">
        <v>112</v>
      </c>
      <c r="I191" s="1" t="s">
        <v>113</v>
      </c>
      <c r="J191" s="1" t="s">
        <v>1010</v>
      </c>
      <c r="K191" s="1" t="s">
        <v>1011</v>
      </c>
      <c r="L191" s="1">
        <v>2940.0</v>
      </c>
      <c r="M191" s="1">
        <v>3048.0</v>
      </c>
      <c r="N191" s="1">
        <v>253.0</v>
      </c>
      <c r="O191" s="1">
        <v>1376.0</v>
      </c>
      <c r="P191" s="1">
        <v>1368.0</v>
      </c>
      <c r="Q191" s="1">
        <v>62.0</v>
      </c>
      <c r="R191" s="1">
        <v>1210.0</v>
      </c>
      <c r="S191" s="1">
        <v>447.0</v>
      </c>
      <c r="T191" s="1">
        <v>193.0</v>
      </c>
      <c r="U191" s="1">
        <v>119.0</v>
      </c>
      <c r="V191" s="1">
        <v>430.0</v>
      </c>
      <c r="W191" s="1">
        <v>19065.0</v>
      </c>
      <c r="X191" s="1">
        <v>2743.0</v>
      </c>
      <c r="Y191" s="1">
        <v>259.0</v>
      </c>
      <c r="Z191" s="1">
        <v>289.0</v>
      </c>
      <c r="AA191" s="1">
        <v>549.0</v>
      </c>
      <c r="AB191" s="1">
        <v>720.0</v>
      </c>
      <c r="AC191" s="1">
        <v>143.0</v>
      </c>
      <c r="AD191" s="1">
        <v>60.0</v>
      </c>
      <c r="AE191" s="1">
        <v>0.0</v>
      </c>
      <c r="AF191" s="1">
        <v>456.0</v>
      </c>
      <c r="AG191" s="1">
        <v>7.0</v>
      </c>
      <c r="AH191" s="1">
        <v>162.0</v>
      </c>
      <c r="AI191" s="1">
        <v>199.0</v>
      </c>
      <c r="AJ191" s="1">
        <v>81.0</v>
      </c>
      <c r="AK191" s="1">
        <v>5.0</v>
      </c>
      <c r="AL191" s="1">
        <v>114.0</v>
      </c>
      <c r="AM191" s="1">
        <v>79.0</v>
      </c>
      <c r="AN191" s="1">
        <v>42.0</v>
      </c>
      <c r="AO191" s="1">
        <v>90.0</v>
      </c>
      <c r="AP191" s="1">
        <v>0.150911</v>
      </c>
      <c r="AQ191" s="1">
        <v>0.06385</v>
      </c>
      <c r="AR191" s="1">
        <v>0.092823</v>
      </c>
      <c r="AS191" s="1">
        <v>0.334892</v>
      </c>
      <c r="AT191" s="1">
        <v>19065.0</v>
      </c>
      <c r="AU191" s="1">
        <v>2743.0</v>
      </c>
      <c r="AV191" s="1">
        <v>0.128281</v>
      </c>
      <c r="AW191" s="1">
        <v>0.142769</v>
      </c>
      <c r="AX191" s="1">
        <v>0.186734</v>
      </c>
      <c r="AY191" s="1">
        <v>0.244897</v>
      </c>
      <c r="AZ191" s="1">
        <v>0.11818181</v>
      </c>
      <c r="BA191" s="1">
        <v>0.020408</v>
      </c>
      <c r="BB191" s="1">
        <v>0.0</v>
      </c>
      <c r="BC191" s="1">
        <v>0.160676</v>
      </c>
      <c r="BD191" s="1">
        <v>0.005116</v>
      </c>
      <c r="BE191" s="1">
        <v>0.11842</v>
      </c>
      <c r="BF191" s="1">
        <v>0.145467</v>
      </c>
      <c r="BG191" s="1">
        <v>0.058842</v>
      </c>
      <c r="BH191" s="1">
        <v>0.004284</v>
      </c>
      <c r="BI191" s="1">
        <v>0.097685</v>
      </c>
      <c r="BJ191" s="1">
        <v>0.067694</v>
      </c>
      <c r="BK191" s="1">
        <v>0.035556</v>
      </c>
      <c r="BL191" s="1">
        <v>0.030612</v>
      </c>
      <c r="BM191" s="1">
        <v>0.581</v>
      </c>
      <c r="BN191" s="1">
        <v>0.694</v>
      </c>
      <c r="BO191" s="1">
        <v>0.665</v>
      </c>
      <c r="BP191" s="1">
        <v>0.464</v>
      </c>
      <c r="BQ191" s="1">
        <v>2.404</v>
      </c>
      <c r="BR191" s="1">
        <v>0.6325</v>
      </c>
      <c r="BS191" s="1">
        <v>0.823</v>
      </c>
      <c r="BT191" s="1">
        <v>0.547</v>
      </c>
      <c r="BU191" s="1">
        <v>0.656</v>
      </c>
      <c r="BV191" s="1">
        <v>2.026</v>
      </c>
      <c r="BW191" s="1">
        <v>0.874</v>
      </c>
      <c r="BX191" s="1">
        <v>0.02</v>
      </c>
      <c r="BY191" s="1">
        <v>0.0</v>
      </c>
      <c r="BZ191" s="1">
        <v>0.02</v>
      </c>
      <c r="CA191" s="1">
        <v>0.011</v>
      </c>
      <c r="CB191" s="1">
        <v>0.318</v>
      </c>
      <c r="CC191" s="1">
        <v>0.807</v>
      </c>
      <c r="CD191" s="1">
        <v>0.314</v>
      </c>
      <c r="CE191" s="1">
        <v>0.611</v>
      </c>
      <c r="CF191" s="1">
        <v>0.81</v>
      </c>
      <c r="CG191" s="1">
        <v>2.86</v>
      </c>
      <c r="CH191" s="1">
        <v>0.715</v>
      </c>
      <c r="CI191" s="1">
        <v>7.31</v>
      </c>
      <c r="CJ191" s="1">
        <v>0.6094</v>
      </c>
      <c r="CK191" s="1">
        <v>0.0</v>
      </c>
      <c r="CL191" s="1">
        <v>0.0</v>
      </c>
      <c r="CM191" s="1">
        <v>0.0</v>
      </c>
      <c r="CN191" s="1">
        <v>0.0</v>
      </c>
      <c r="CO191" s="1">
        <v>0.0</v>
      </c>
      <c r="CP191" s="1">
        <v>0.0</v>
      </c>
      <c r="CQ191" s="1">
        <v>0.0</v>
      </c>
      <c r="CR191" s="1">
        <v>0.0</v>
      </c>
      <c r="CS191" s="1">
        <v>0.0</v>
      </c>
      <c r="CT191" s="1">
        <v>0.0</v>
      </c>
      <c r="CU191" s="1">
        <v>0.0</v>
      </c>
      <c r="CV191" s="1">
        <v>0.0</v>
      </c>
      <c r="CW191" s="1">
        <v>0.0</v>
      </c>
      <c r="CX191" s="1">
        <v>0.0</v>
      </c>
      <c r="CY191" s="1">
        <v>0.0</v>
      </c>
      <c r="CZ191" s="1">
        <v>0.0</v>
      </c>
      <c r="DA191" s="1">
        <v>0.0</v>
      </c>
      <c r="DB191" s="1">
        <v>0.0</v>
      </c>
      <c r="DC191" s="1">
        <v>0.0</v>
      </c>
      <c r="DD191" s="1" t="s">
        <v>1012</v>
      </c>
      <c r="DE191" s="1">
        <v>0.0127244728578955</v>
      </c>
      <c r="DF191" s="2" t="s">
        <v>1013</v>
      </c>
    </row>
    <row r="192" ht="15.75" customHeight="1">
      <c r="A192" s="1" t="s">
        <v>1014</v>
      </c>
      <c r="B192" s="1">
        <v>29.0</v>
      </c>
      <c r="C192" s="2" t="s">
        <v>1009</v>
      </c>
      <c r="D192" s="1">
        <v>950100.0</v>
      </c>
      <c r="E192" s="1">
        <v>303.656</v>
      </c>
      <c r="F192" s="1">
        <v>29045.0</v>
      </c>
      <c r="G192" s="1">
        <v>2.90459501E10</v>
      </c>
      <c r="H192" s="1" t="s">
        <v>112</v>
      </c>
      <c r="I192" s="1" t="s">
        <v>113</v>
      </c>
      <c r="J192" s="1" t="s">
        <v>1010</v>
      </c>
      <c r="K192" s="1" t="s">
        <v>1015</v>
      </c>
      <c r="L192" s="1">
        <v>2030.0</v>
      </c>
      <c r="M192" s="1">
        <v>1949.0</v>
      </c>
      <c r="N192" s="1">
        <v>210.0</v>
      </c>
      <c r="O192" s="1">
        <v>1025.0</v>
      </c>
      <c r="P192" s="1">
        <v>1039.0</v>
      </c>
      <c r="Q192" s="1">
        <v>48.0</v>
      </c>
      <c r="R192" s="1">
        <v>834.0</v>
      </c>
      <c r="S192" s="1">
        <v>243.0</v>
      </c>
      <c r="T192" s="1">
        <v>123.0</v>
      </c>
      <c r="U192" s="1">
        <v>65.0</v>
      </c>
      <c r="V192" s="1">
        <v>396.0</v>
      </c>
      <c r="W192" s="1">
        <v>19648.0</v>
      </c>
      <c r="X192" s="1">
        <v>1589.0</v>
      </c>
      <c r="Y192" s="1">
        <v>192.0</v>
      </c>
      <c r="Z192" s="1">
        <v>233.0</v>
      </c>
      <c r="AA192" s="1">
        <v>357.0</v>
      </c>
      <c r="AB192" s="1">
        <v>492.0</v>
      </c>
      <c r="AC192" s="1">
        <v>64.0</v>
      </c>
      <c r="AD192" s="1">
        <v>46.0</v>
      </c>
      <c r="AE192" s="1">
        <v>13.0</v>
      </c>
      <c r="AF192" s="1">
        <v>427.0</v>
      </c>
      <c r="AG192" s="1">
        <v>0.0</v>
      </c>
      <c r="AH192" s="1">
        <v>197.0</v>
      </c>
      <c r="AI192" s="1">
        <v>138.0</v>
      </c>
      <c r="AJ192" s="1">
        <v>46.0</v>
      </c>
      <c r="AK192" s="1">
        <v>16.0</v>
      </c>
      <c r="AL192" s="1">
        <v>115.0</v>
      </c>
      <c r="AM192" s="1">
        <v>28.0</v>
      </c>
      <c r="AN192" s="1">
        <v>16.0</v>
      </c>
      <c r="AO192" s="1">
        <v>0.0</v>
      </c>
      <c r="AP192" s="1">
        <v>0.126628</v>
      </c>
      <c r="AQ192" s="1">
        <v>0.062535</v>
      </c>
      <c r="AR192" s="1">
        <v>0.072544</v>
      </c>
      <c r="AS192" s="1">
        <v>0.441857</v>
      </c>
      <c r="AT192" s="1">
        <v>19648.0</v>
      </c>
      <c r="AU192" s="1">
        <v>1589.0</v>
      </c>
      <c r="AV192" s="1">
        <v>0.136947</v>
      </c>
      <c r="AW192" s="1">
        <v>0.165619</v>
      </c>
      <c r="AX192" s="1">
        <v>0.175862</v>
      </c>
      <c r="AY192" s="1">
        <v>0.242364</v>
      </c>
      <c r="AZ192" s="1">
        <v>0.0767386</v>
      </c>
      <c r="BA192" s="1">
        <v>0.02266</v>
      </c>
      <c r="BB192" s="1">
        <v>0.00708</v>
      </c>
      <c r="BC192" s="1">
        <v>0.232569</v>
      </c>
      <c r="BD192" s="1">
        <v>0.0</v>
      </c>
      <c r="BE192" s="1">
        <v>0.189605</v>
      </c>
      <c r="BF192" s="1">
        <v>0.13282</v>
      </c>
      <c r="BG192" s="1">
        <v>0.043846</v>
      </c>
      <c r="BH192" s="1">
        <v>0.021052</v>
      </c>
      <c r="BI192" s="1">
        <v>0.151303</v>
      </c>
      <c r="BJ192" s="1">
        <v>0.036842</v>
      </c>
      <c r="BK192" s="1">
        <v>0.020785</v>
      </c>
      <c r="BL192" s="1">
        <v>0.0</v>
      </c>
      <c r="BM192" s="1">
        <v>0.482</v>
      </c>
      <c r="BN192" s="1">
        <v>0.533</v>
      </c>
      <c r="BO192" s="1">
        <v>0.6361</v>
      </c>
      <c r="BP192" s="1">
        <v>0.507</v>
      </c>
      <c r="BQ192" s="1">
        <v>2.1581</v>
      </c>
      <c r="BR192" s="1">
        <v>0.5487</v>
      </c>
      <c r="BS192" s="1">
        <v>0.765</v>
      </c>
      <c r="BT192" s="1">
        <v>0.517</v>
      </c>
      <c r="BU192" s="1">
        <v>0.27</v>
      </c>
      <c r="BV192" s="1">
        <v>1.552</v>
      </c>
      <c r="BW192" s="1">
        <v>0.522</v>
      </c>
      <c r="BX192" s="1">
        <v>0.03</v>
      </c>
      <c r="BY192" s="1">
        <v>0.635</v>
      </c>
      <c r="BZ192" s="1">
        <v>0.665</v>
      </c>
      <c r="CA192" s="1">
        <v>0.313</v>
      </c>
      <c r="CB192" s="1">
        <v>0.0</v>
      </c>
      <c r="CC192" s="1">
        <v>0.783</v>
      </c>
      <c r="CD192" s="1">
        <v>0.696</v>
      </c>
      <c r="CE192" s="1">
        <v>0.358</v>
      </c>
      <c r="CF192" s="1">
        <v>0.0</v>
      </c>
      <c r="CG192" s="1">
        <v>1.837</v>
      </c>
      <c r="CH192" s="1">
        <v>0.278</v>
      </c>
      <c r="CI192" s="1">
        <v>6.2121</v>
      </c>
      <c r="CJ192" s="1">
        <v>0.4108</v>
      </c>
      <c r="CK192" s="1">
        <v>0.0</v>
      </c>
      <c r="CL192" s="1">
        <v>0.0</v>
      </c>
      <c r="CM192" s="1">
        <v>0.0</v>
      </c>
      <c r="CN192" s="1">
        <v>0.0</v>
      </c>
      <c r="CO192" s="1">
        <v>0.0</v>
      </c>
      <c r="CP192" s="1">
        <v>0.0</v>
      </c>
      <c r="CQ192" s="1">
        <v>0.0</v>
      </c>
      <c r="CR192" s="1">
        <v>0.0</v>
      </c>
      <c r="CS192" s="1">
        <v>0.0</v>
      </c>
      <c r="CT192" s="1">
        <v>0.0</v>
      </c>
      <c r="CU192" s="1">
        <v>0.0</v>
      </c>
      <c r="CV192" s="1">
        <v>0.0</v>
      </c>
      <c r="CW192" s="1">
        <v>0.0</v>
      </c>
      <c r="CX192" s="1">
        <v>0.0</v>
      </c>
      <c r="CY192" s="1">
        <v>0.0</v>
      </c>
      <c r="CZ192" s="1">
        <v>0.0</v>
      </c>
      <c r="DA192" s="1">
        <v>0.0</v>
      </c>
      <c r="DB192" s="1">
        <v>0.0</v>
      </c>
      <c r="DC192" s="1">
        <v>0.0</v>
      </c>
      <c r="DD192" s="1" t="s">
        <v>1016</v>
      </c>
      <c r="DE192" s="1">
        <v>0.0841240787457298</v>
      </c>
      <c r="DF192" s="2" t="s">
        <v>1017</v>
      </c>
    </row>
    <row r="193" ht="15.75" customHeight="1">
      <c r="A193" s="1" t="s">
        <v>1018</v>
      </c>
      <c r="B193" s="1">
        <v>29.0</v>
      </c>
      <c r="C193" s="2" t="s">
        <v>1009</v>
      </c>
      <c r="D193" s="1">
        <v>950200.0</v>
      </c>
      <c r="E193" s="1">
        <v>155.215</v>
      </c>
      <c r="F193" s="1">
        <v>29045.0</v>
      </c>
      <c r="G193" s="1">
        <v>2.90459502E10</v>
      </c>
      <c r="H193" s="1" t="s">
        <v>112</v>
      </c>
      <c r="I193" s="1" t="s">
        <v>113</v>
      </c>
      <c r="J193" s="1" t="s">
        <v>1010</v>
      </c>
      <c r="K193" s="1" t="s">
        <v>1019</v>
      </c>
      <c r="L193" s="1">
        <v>2169.0</v>
      </c>
      <c r="M193" s="1">
        <v>2172.0</v>
      </c>
      <c r="N193" s="1">
        <v>259.0</v>
      </c>
      <c r="O193" s="1">
        <v>1072.0</v>
      </c>
      <c r="P193" s="1">
        <v>1092.0</v>
      </c>
      <c r="Q193" s="1">
        <v>52.0</v>
      </c>
      <c r="R193" s="1">
        <v>889.0</v>
      </c>
      <c r="S193" s="1">
        <v>259.0</v>
      </c>
      <c r="T193" s="1">
        <v>118.0</v>
      </c>
      <c r="U193" s="1">
        <v>18.0</v>
      </c>
      <c r="V193" s="1">
        <v>456.0</v>
      </c>
      <c r="W193" s="1">
        <v>18703.0</v>
      </c>
      <c r="X193" s="1">
        <v>2073.0</v>
      </c>
      <c r="Y193" s="1">
        <v>319.0</v>
      </c>
      <c r="Z193" s="1">
        <v>270.0</v>
      </c>
      <c r="AA193" s="1">
        <v>355.0</v>
      </c>
      <c r="AB193" s="1">
        <v>505.0</v>
      </c>
      <c r="AC193" s="1">
        <v>75.0</v>
      </c>
      <c r="AD193" s="1">
        <v>55.0</v>
      </c>
      <c r="AE193" s="1">
        <v>35.0</v>
      </c>
      <c r="AF193" s="1">
        <v>396.0</v>
      </c>
      <c r="AG193" s="1">
        <v>0.0</v>
      </c>
      <c r="AH193" s="1">
        <v>197.0</v>
      </c>
      <c r="AI193" s="1">
        <v>185.0</v>
      </c>
      <c r="AJ193" s="1">
        <v>65.0</v>
      </c>
      <c r="AK193" s="1">
        <v>5.0</v>
      </c>
      <c r="AL193" s="1">
        <v>114.0</v>
      </c>
      <c r="AM193" s="1">
        <v>18.0</v>
      </c>
      <c r="AN193" s="1">
        <v>19.0</v>
      </c>
      <c r="AO193" s="1">
        <v>0.0</v>
      </c>
      <c r="AP193" s="1">
        <v>0.119409</v>
      </c>
      <c r="AQ193" s="1">
        <v>0.052516</v>
      </c>
      <c r="AR193" s="1">
        <v>0.019251</v>
      </c>
      <c r="AS193" s="1">
        <v>0.487691</v>
      </c>
      <c r="AT193" s="1">
        <v>18703.0</v>
      </c>
      <c r="AU193" s="1">
        <v>2073.0</v>
      </c>
      <c r="AV193" s="1">
        <v>0.214237</v>
      </c>
      <c r="AW193" s="1">
        <v>0.179806</v>
      </c>
      <c r="AX193" s="1">
        <v>0.163669</v>
      </c>
      <c r="AY193" s="1">
        <v>0.232826</v>
      </c>
      <c r="AZ193" s="1">
        <v>0.08436445</v>
      </c>
      <c r="BA193" s="1">
        <v>0.025357</v>
      </c>
      <c r="BB193" s="1">
        <v>0.017266</v>
      </c>
      <c r="BC193" s="1">
        <v>0.195351</v>
      </c>
      <c r="BD193" s="1">
        <v>0.0</v>
      </c>
      <c r="BE193" s="1">
        <v>0.180402</v>
      </c>
      <c r="BF193" s="1">
        <v>0.169413</v>
      </c>
      <c r="BG193" s="1">
        <v>0.058974</v>
      </c>
      <c r="BH193" s="1">
        <v>0.005656</v>
      </c>
      <c r="BI193" s="1">
        <v>0.128957</v>
      </c>
      <c r="BJ193" s="1">
        <v>0.020361</v>
      </c>
      <c r="BK193" s="1">
        <v>0.021388</v>
      </c>
      <c r="BL193" s="1">
        <v>0.0</v>
      </c>
      <c r="BM193" s="1">
        <v>0.452</v>
      </c>
      <c r="BN193" s="1">
        <v>0.027</v>
      </c>
      <c r="BO193" s="1">
        <v>0.6895</v>
      </c>
      <c r="BP193" s="1">
        <v>0.79</v>
      </c>
      <c r="BQ193" s="1">
        <v>1.9585</v>
      </c>
      <c r="BR193" s="1">
        <v>0.4794</v>
      </c>
      <c r="BS193" s="1">
        <v>0.697</v>
      </c>
      <c r="BT193" s="1">
        <v>0.417</v>
      </c>
      <c r="BU193" s="1">
        <v>0.353</v>
      </c>
      <c r="BV193" s="1">
        <v>1.467</v>
      </c>
      <c r="BW193" s="1">
        <v>0.451</v>
      </c>
      <c r="BX193" s="1">
        <v>0.049</v>
      </c>
      <c r="BY193" s="1">
        <v>0.84</v>
      </c>
      <c r="BZ193" s="1">
        <v>0.889</v>
      </c>
      <c r="CA193" s="1">
        <v>0.461</v>
      </c>
      <c r="CB193" s="1">
        <v>0.0</v>
      </c>
      <c r="CC193" s="1">
        <v>0.852</v>
      </c>
      <c r="CD193" s="1">
        <v>0.351</v>
      </c>
      <c r="CE193" s="1">
        <v>0.187</v>
      </c>
      <c r="CF193" s="1">
        <v>0.0</v>
      </c>
      <c r="CG193" s="1">
        <v>1.39</v>
      </c>
      <c r="CH193" s="1">
        <v>0.146</v>
      </c>
      <c r="CI193" s="1">
        <v>5.7045</v>
      </c>
      <c r="CJ193" s="1">
        <v>0.3213</v>
      </c>
      <c r="CK193" s="1">
        <v>0.0</v>
      </c>
      <c r="CL193" s="1">
        <v>0.0</v>
      </c>
      <c r="CM193" s="1">
        <v>0.0</v>
      </c>
      <c r="CN193" s="1">
        <v>0.0</v>
      </c>
      <c r="CO193" s="1">
        <v>0.0</v>
      </c>
      <c r="CP193" s="1">
        <v>0.0</v>
      </c>
      <c r="CQ193" s="1">
        <v>0.0</v>
      </c>
      <c r="CR193" s="1">
        <v>0.0</v>
      </c>
      <c r="CS193" s="1">
        <v>0.0</v>
      </c>
      <c r="CT193" s="1">
        <v>0.0</v>
      </c>
      <c r="CU193" s="1">
        <v>0.0</v>
      </c>
      <c r="CV193" s="1">
        <v>0.0</v>
      </c>
      <c r="CW193" s="1">
        <v>0.0</v>
      </c>
      <c r="CX193" s="1">
        <v>0.0</v>
      </c>
      <c r="CY193" s="1">
        <v>0.0</v>
      </c>
      <c r="CZ193" s="1">
        <v>0.0</v>
      </c>
      <c r="DA193" s="1">
        <v>0.0</v>
      </c>
      <c r="DB193" s="1">
        <v>0.0</v>
      </c>
      <c r="DC193" s="1">
        <v>0.0</v>
      </c>
      <c r="DD193" s="1" t="s">
        <v>1020</v>
      </c>
      <c r="DE193" s="1">
        <v>0.0438108759439192</v>
      </c>
      <c r="DF193" s="2" t="s">
        <v>1021</v>
      </c>
    </row>
    <row r="194" ht="15.75" customHeight="1">
      <c r="A194" s="1" t="s">
        <v>1022</v>
      </c>
      <c r="B194" s="1">
        <v>29.0</v>
      </c>
      <c r="C194" s="2" t="s">
        <v>1023</v>
      </c>
      <c r="D194" s="2" t="s">
        <v>1024</v>
      </c>
      <c r="E194" s="1">
        <v>10.096</v>
      </c>
      <c r="F194" s="1">
        <v>29047.0</v>
      </c>
      <c r="G194" s="1">
        <v>2.9047022E10</v>
      </c>
      <c r="H194" s="1" t="s">
        <v>112</v>
      </c>
      <c r="I194" s="1" t="s">
        <v>113</v>
      </c>
      <c r="J194" s="1" t="s">
        <v>1025</v>
      </c>
      <c r="K194" s="1" t="s">
        <v>1026</v>
      </c>
      <c r="L194" s="1">
        <v>4745.0</v>
      </c>
      <c r="M194" s="1">
        <v>4337.0</v>
      </c>
      <c r="N194" s="1">
        <v>229.0</v>
      </c>
      <c r="O194" s="1">
        <v>1975.0</v>
      </c>
      <c r="P194" s="1">
        <v>1862.0</v>
      </c>
      <c r="Q194" s="1">
        <v>104.0</v>
      </c>
      <c r="R194" s="1">
        <v>1853.0</v>
      </c>
      <c r="S194" s="1">
        <v>621.0</v>
      </c>
      <c r="T194" s="1">
        <v>265.0</v>
      </c>
      <c r="U194" s="1">
        <v>96.0</v>
      </c>
      <c r="V194" s="1">
        <v>398.0</v>
      </c>
      <c r="W194" s="1">
        <v>26024.0</v>
      </c>
      <c r="X194" s="1">
        <v>3404.0</v>
      </c>
      <c r="Y194" s="1">
        <v>368.0</v>
      </c>
      <c r="Z194" s="1">
        <v>260.0</v>
      </c>
      <c r="AA194" s="1">
        <v>612.0</v>
      </c>
      <c r="AB194" s="1">
        <v>1301.0</v>
      </c>
      <c r="AC194" s="1">
        <v>209.0</v>
      </c>
      <c r="AD194" s="1">
        <v>276.0</v>
      </c>
      <c r="AE194" s="1">
        <v>0.0</v>
      </c>
      <c r="AF194" s="1">
        <v>456.0</v>
      </c>
      <c r="AG194" s="1">
        <v>64.0</v>
      </c>
      <c r="AH194" s="1">
        <v>119.0</v>
      </c>
      <c r="AI194" s="1">
        <v>0.0</v>
      </c>
      <c r="AJ194" s="1">
        <v>114.0</v>
      </c>
      <c r="AK194" s="1">
        <v>11.0</v>
      </c>
      <c r="AL194" s="1">
        <v>115.0</v>
      </c>
      <c r="AM194" s="1">
        <v>122.0</v>
      </c>
      <c r="AN194" s="1">
        <v>65.0</v>
      </c>
      <c r="AO194" s="1">
        <v>88.0</v>
      </c>
      <c r="AP194" s="1">
        <v>0.143186</v>
      </c>
      <c r="AQ194" s="1">
        <v>0.060632</v>
      </c>
      <c r="AR194" s="1">
        <v>0.044713</v>
      </c>
      <c r="AS194" s="1">
        <v>0.185294</v>
      </c>
      <c r="AT194" s="1">
        <v>26024.0</v>
      </c>
      <c r="AU194" s="1">
        <v>3404.0</v>
      </c>
      <c r="AV194" s="1">
        <v>0.125898</v>
      </c>
      <c r="AW194" s="1">
        <v>0.088672</v>
      </c>
      <c r="AX194" s="1">
        <v>0.128977</v>
      </c>
      <c r="AY194" s="1">
        <v>0.274183</v>
      </c>
      <c r="AZ194" s="1">
        <v>0.11279007</v>
      </c>
      <c r="BA194" s="1">
        <v>0.058166</v>
      </c>
      <c r="BB194" s="1">
        <v>0.0</v>
      </c>
      <c r="BC194" s="1">
        <v>0.114544</v>
      </c>
      <c r="BD194" s="1">
        <v>0.034371</v>
      </c>
      <c r="BE194" s="1">
        <v>0.06388</v>
      </c>
      <c r="BF194" s="1">
        <v>0.0</v>
      </c>
      <c r="BG194" s="1">
        <v>0.061224</v>
      </c>
      <c r="BH194" s="1">
        <v>0.00626</v>
      </c>
      <c r="BI194" s="1">
        <v>0.065451</v>
      </c>
      <c r="BJ194" s="1">
        <v>0.069436</v>
      </c>
      <c r="BK194" s="1">
        <v>0.036823</v>
      </c>
      <c r="BL194" s="1">
        <v>0.018545</v>
      </c>
      <c r="BM194" s="1">
        <v>0.556</v>
      </c>
      <c r="BN194" s="1">
        <v>0.235</v>
      </c>
      <c r="BO194" s="1">
        <v>0.3112</v>
      </c>
      <c r="BP194" s="1">
        <v>0.453</v>
      </c>
      <c r="BQ194" s="1">
        <v>1.5552</v>
      </c>
      <c r="BR194" s="1">
        <v>0.3596</v>
      </c>
      <c r="BS194" s="1">
        <v>0.411</v>
      </c>
      <c r="BT194" s="1">
        <v>0.812</v>
      </c>
      <c r="BU194" s="1">
        <v>0.61</v>
      </c>
      <c r="BV194" s="1">
        <v>1.833</v>
      </c>
      <c r="BW194" s="1">
        <v>0.758</v>
      </c>
      <c r="BX194" s="1">
        <v>0.302</v>
      </c>
      <c r="BY194" s="1">
        <v>0.0</v>
      </c>
      <c r="BZ194" s="1">
        <v>0.302</v>
      </c>
      <c r="CA194" s="1">
        <v>0.129</v>
      </c>
      <c r="CB194" s="1">
        <v>0.575</v>
      </c>
      <c r="CC194" s="1">
        <v>0.0</v>
      </c>
      <c r="CD194" s="1">
        <v>0.366</v>
      </c>
      <c r="CE194" s="1">
        <v>0.62</v>
      </c>
      <c r="CF194" s="1">
        <v>0.69</v>
      </c>
      <c r="CG194" s="1">
        <v>2.251</v>
      </c>
      <c r="CH194" s="1">
        <v>0.438</v>
      </c>
      <c r="CI194" s="1">
        <v>5.9412</v>
      </c>
      <c r="CJ194" s="1">
        <v>0.361</v>
      </c>
      <c r="CK194" s="1">
        <v>0.0</v>
      </c>
      <c r="CL194" s="1">
        <v>0.0</v>
      </c>
      <c r="CM194" s="1">
        <v>0.0</v>
      </c>
      <c r="CN194" s="1">
        <v>0.0</v>
      </c>
      <c r="CO194" s="1">
        <v>0.0</v>
      </c>
      <c r="CP194" s="1">
        <v>0.0</v>
      </c>
      <c r="CQ194" s="1">
        <v>0.0</v>
      </c>
      <c r="CR194" s="1">
        <v>0.0</v>
      </c>
      <c r="CS194" s="1">
        <v>0.0</v>
      </c>
      <c r="CT194" s="1">
        <v>0.0</v>
      </c>
      <c r="CU194" s="1">
        <v>0.0</v>
      </c>
      <c r="CV194" s="1">
        <v>0.0</v>
      </c>
      <c r="CW194" s="1">
        <v>0.0</v>
      </c>
      <c r="CX194" s="1">
        <v>0.0</v>
      </c>
      <c r="CY194" s="1">
        <v>0.0</v>
      </c>
      <c r="CZ194" s="1">
        <v>0.0</v>
      </c>
      <c r="DA194" s="1">
        <v>0.0</v>
      </c>
      <c r="DB194" s="1">
        <v>0.0</v>
      </c>
      <c r="DC194" s="1">
        <v>0.0</v>
      </c>
      <c r="DD194" s="1" t="s">
        <v>1027</v>
      </c>
      <c r="DE194" s="1">
        <v>0.00275389615146212</v>
      </c>
      <c r="DF194" s="2" t="s">
        <v>1028</v>
      </c>
    </row>
    <row r="195" ht="15.75" customHeight="1">
      <c r="A195" s="1" t="s">
        <v>1029</v>
      </c>
      <c r="B195" s="1">
        <v>29.0</v>
      </c>
      <c r="C195" s="2" t="s">
        <v>1023</v>
      </c>
      <c r="D195" s="2" t="s">
        <v>968</v>
      </c>
      <c r="E195" s="1">
        <v>1.672</v>
      </c>
      <c r="F195" s="1">
        <v>29047.0</v>
      </c>
      <c r="G195" s="1">
        <v>2.9047020201E10</v>
      </c>
      <c r="H195" s="1" t="s">
        <v>112</v>
      </c>
      <c r="I195" s="1" t="s">
        <v>113</v>
      </c>
      <c r="J195" s="1" t="s">
        <v>1025</v>
      </c>
      <c r="K195" s="1" t="s">
        <v>1030</v>
      </c>
      <c r="L195" s="1">
        <v>5004.0</v>
      </c>
      <c r="M195" s="1">
        <v>5340.0</v>
      </c>
      <c r="N195" s="1">
        <v>631.0</v>
      </c>
      <c r="O195" s="1">
        <v>2488.0</v>
      </c>
      <c r="P195" s="1">
        <v>2520.0</v>
      </c>
      <c r="Q195" s="1">
        <v>119.0</v>
      </c>
      <c r="R195" s="1">
        <v>2242.0</v>
      </c>
      <c r="S195" s="1">
        <v>973.0</v>
      </c>
      <c r="T195" s="1">
        <v>503.0</v>
      </c>
      <c r="U195" s="1">
        <v>171.0</v>
      </c>
      <c r="V195" s="1">
        <v>422.0</v>
      </c>
      <c r="W195" s="1">
        <v>21074.0</v>
      </c>
      <c r="X195" s="1">
        <v>2530.0</v>
      </c>
      <c r="Y195" s="1">
        <v>519.0</v>
      </c>
      <c r="Z195" s="1">
        <v>234.0</v>
      </c>
      <c r="AA195" s="1">
        <v>541.0</v>
      </c>
      <c r="AB195" s="1">
        <v>1089.0</v>
      </c>
      <c r="AC195" s="1">
        <v>258.0</v>
      </c>
      <c r="AD195" s="1">
        <v>1670.0</v>
      </c>
      <c r="AE195" s="1">
        <v>197.0</v>
      </c>
      <c r="AF195" s="1">
        <v>412.0</v>
      </c>
      <c r="AG195" s="1">
        <v>489.0</v>
      </c>
      <c r="AH195" s="1">
        <v>138.0</v>
      </c>
      <c r="AI195" s="1">
        <v>0.0</v>
      </c>
      <c r="AJ195" s="1">
        <v>114.0</v>
      </c>
      <c r="AK195" s="1">
        <v>28.0</v>
      </c>
      <c r="AL195" s="1">
        <v>118.0</v>
      </c>
      <c r="AM195" s="1">
        <v>155.0</v>
      </c>
      <c r="AN195" s="1">
        <v>113.0</v>
      </c>
      <c r="AO195" s="1">
        <v>0.0</v>
      </c>
      <c r="AP195" s="1">
        <v>0.184001</v>
      </c>
      <c r="AQ195" s="1">
        <v>0.092626</v>
      </c>
      <c r="AR195" s="1">
        <v>0.0559</v>
      </c>
      <c r="AS195" s="1">
        <v>0.137688</v>
      </c>
      <c r="AT195" s="1">
        <v>21074.0</v>
      </c>
      <c r="AU195" s="1">
        <v>2530.0</v>
      </c>
      <c r="AV195" s="1">
        <v>0.14871</v>
      </c>
      <c r="AW195" s="1">
        <v>0.065539</v>
      </c>
      <c r="AX195" s="1">
        <v>0.108113</v>
      </c>
      <c r="AY195" s="1">
        <v>0.217625</v>
      </c>
      <c r="AZ195" s="1">
        <v>0.11507582</v>
      </c>
      <c r="BA195" s="1">
        <v>0.333733</v>
      </c>
      <c r="BB195" s="1">
        <v>0.039613</v>
      </c>
      <c r="BC195" s="1">
        <v>0.082731</v>
      </c>
      <c r="BD195" s="1">
        <v>0.194047</v>
      </c>
      <c r="BE195" s="1">
        <v>0.053989</v>
      </c>
      <c r="BF195" s="1">
        <v>0.0</v>
      </c>
      <c r="BG195" s="1">
        <v>0.045238</v>
      </c>
      <c r="BH195" s="1">
        <v>0.011661</v>
      </c>
      <c r="BI195" s="1">
        <v>0.04914</v>
      </c>
      <c r="BJ195" s="1">
        <v>0.064556</v>
      </c>
      <c r="BK195" s="1">
        <v>0.046892</v>
      </c>
      <c r="BL195" s="1">
        <v>0.0</v>
      </c>
      <c r="BM195" s="1">
        <v>0.684</v>
      </c>
      <c r="BN195" s="1">
        <v>0.362</v>
      </c>
      <c r="BO195" s="1">
        <v>0.5451</v>
      </c>
      <c r="BP195" s="1">
        <v>0.561</v>
      </c>
      <c r="BQ195" s="1">
        <v>2.1521</v>
      </c>
      <c r="BR195" s="1">
        <v>0.5458</v>
      </c>
      <c r="BS195" s="1">
        <v>0.26</v>
      </c>
      <c r="BT195" s="1">
        <v>0.285</v>
      </c>
      <c r="BU195" s="1">
        <v>0.631</v>
      </c>
      <c r="BV195" s="1">
        <v>1.176</v>
      </c>
      <c r="BW195" s="1">
        <v>0.212</v>
      </c>
      <c r="BX195" s="1">
        <v>0.809</v>
      </c>
      <c r="BY195" s="1">
        <v>0.944</v>
      </c>
      <c r="BZ195" s="1">
        <v>1.753</v>
      </c>
      <c r="CA195" s="1">
        <v>0.944</v>
      </c>
      <c r="CB195" s="1">
        <v>0.89</v>
      </c>
      <c r="CC195" s="1">
        <v>0.0</v>
      </c>
      <c r="CD195" s="1">
        <v>0.517</v>
      </c>
      <c r="CE195" s="1">
        <v>0.595</v>
      </c>
      <c r="CF195" s="1">
        <v>0.0</v>
      </c>
      <c r="CG195" s="1">
        <v>2.002</v>
      </c>
      <c r="CH195" s="1">
        <v>0.348</v>
      </c>
      <c r="CI195" s="1">
        <v>7.0831</v>
      </c>
      <c r="CJ195" s="1">
        <v>0.5661</v>
      </c>
      <c r="CK195" s="1">
        <v>0.0</v>
      </c>
      <c r="CL195" s="1">
        <v>0.0</v>
      </c>
      <c r="CM195" s="1">
        <v>0.0</v>
      </c>
      <c r="CN195" s="1">
        <v>0.0</v>
      </c>
      <c r="CO195" s="1">
        <v>0.0</v>
      </c>
      <c r="CP195" s="1">
        <v>0.0</v>
      </c>
      <c r="CQ195" s="1">
        <v>0.0</v>
      </c>
      <c r="CR195" s="1">
        <v>0.0</v>
      </c>
      <c r="CS195" s="1">
        <v>0.0</v>
      </c>
      <c r="CT195" s="1">
        <v>0.0</v>
      </c>
      <c r="CU195" s="1">
        <v>1.0</v>
      </c>
      <c r="CV195" s="1">
        <v>1.0</v>
      </c>
      <c r="CW195" s="1">
        <v>0.0</v>
      </c>
      <c r="CX195" s="1">
        <v>0.0</v>
      </c>
      <c r="CY195" s="1">
        <v>0.0</v>
      </c>
      <c r="CZ195" s="1">
        <v>0.0</v>
      </c>
      <c r="DA195" s="1">
        <v>0.0</v>
      </c>
      <c r="DB195" s="1">
        <v>0.0</v>
      </c>
      <c r="DC195" s="1">
        <v>1.0</v>
      </c>
      <c r="DD195" s="1" t="s">
        <v>1031</v>
      </c>
      <c r="DE195" s="1">
        <v>4.50742494361133E-4</v>
      </c>
      <c r="DF195" s="1">
        <v>0.0869365141304818</v>
      </c>
    </row>
    <row r="196" ht="15.75" customHeight="1">
      <c r="A196" s="1" t="s">
        <v>1032</v>
      </c>
      <c r="B196" s="1">
        <v>29.0</v>
      </c>
      <c r="C196" s="2" t="s">
        <v>1023</v>
      </c>
      <c r="D196" s="2" t="s">
        <v>998</v>
      </c>
      <c r="E196" s="1">
        <v>1.072</v>
      </c>
      <c r="F196" s="1">
        <v>29047.0</v>
      </c>
      <c r="G196" s="1">
        <v>2.90470204E10</v>
      </c>
      <c r="H196" s="1" t="s">
        <v>112</v>
      </c>
      <c r="I196" s="1" t="s">
        <v>113</v>
      </c>
      <c r="J196" s="1" t="s">
        <v>1025</v>
      </c>
      <c r="K196" s="1" t="s">
        <v>1033</v>
      </c>
      <c r="L196" s="1">
        <v>2465.0</v>
      </c>
      <c r="M196" s="1">
        <v>2549.0</v>
      </c>
      <c r="N196" s="1">
        <v>282.0</v>
      </c>
      <c r="O196" s="1">
        <v>1234.0</v>
      </c>
      <c r="P196" s="1">
        <v>1234.0</v>
      </c>
      <c r="Q196" s="1">
        <v>94.0</v>
      </c>
      <c r="R196" s="1">
        <v>1102.0</v>
      </c>
      <c r="S196" s="1">
        <v>211.0</v>
      </c>
      <c r="T196" s="1">
        <v>105.0</v>
      </c>
      <c r="U196" s="1">
        <v>132.0</v>
      </c>
      <c r="V196" s="1">
        <v>421.0</v>
      </c>
      <c r="W196" s="1">
        <v>23061.0</v>
      </c>
      <c r="X196" s="1">
        <v>3028.0</v>
      </c>
      <c r="Y196" s="1">
        <v>151.0</v>
      </c>
      <c r="Z196" s="1">
        <v>349.0</v>
      </c>
      <c r="AA196" s="1">
        <v>281.0</v>
      </c>
      <c r="AB196" s="1">
        <v>511.0</v>
      </c>
      <c r="AC196" s="1">
        <v>127.0</v>
      </c>
      <c r="AD196" s="1">
        <v>778.0</v>
      </c>
      <c r="AE196" s="1">
        <v>161.0</v>
      </c>
      <c r="AF196" s="1">
        <v>440.0</v>
      </c>
      <c r="AG196" s="1">
        <v>322.0</v>
      </c>
      <c r="AH196" s="1">
        <v>136.0</v>
      </c>
      <c r="AI196" s="1">
        <v>17.0</v>
      </c>
      <c r="AJ196" s="1">
        <v>53.0</v>
      </c>
      <c r="AK196" s="1">
        <v>17.0</v>
      </c>
      <c r="AL196" s="1">
        <v>116.0</v>
      </c>
      <c r="AM196" s="1">
        <v>51.0</v>
      </c>
      <c r="AN196" s="1">
        <v>127.0</v>
      </c>
      <c r="AO196" s="1">
        <v>0.0</v>
      </c>
      <c r="AP196" s="1">
        <v>0.084298</v>
      </c>
      <c r="AQ196" s="1">
        <v>0.040875</v>
      </c>
      <c r="AR196" s="1">
        <v>0.080733</v>
      </c>
      <c r="AS196" s="1">
        <v>0.256997</v>
      </c>
      <c r="AT196" s="1">
        <v>23061.0</v>
      </c>
      <c r="AU196" s="1">
        <v>3028.0</v>
      </c>
      <c r="AV196" s="1">
        <v>0.090257</v>
      </c>
      <c r="AW196" s="1">
        <v>0.208347</v>
      </c>
      <c r="AX196" s="1">
        <v>0.113995</v>
      </c>
      <c r="AY196" s="1">
        <v>0.207302</v>
      </c>
      <c r="AZ196" s="1">
        <v>0.115245</v>
      </c>
      <c r="BA196" s="1">
        <v>0.315618</v>
      </c>
      <c r="BB196" s="1">
        <v>0.066309</v>
      </c>
      <c r="BC196" s="1">
        <v>0.181066</v>
      </c>
      <c r="BD196" s="1">
        <v>0.26094</v>
      </c>
      <c r="BE196" s="1">
        <v>0.108403</v>
      </c>
      <c r="BF196" s="1">
        <v>0.013776</v>
      </c>
      <c r="BG196" s="1">
        <v>0.042936</v>
      </c>
      <c r="BH196" s="1">
        <v>0.014718</v>
      </c>
      <c r="BI196" s="1">
        <v>0.100421</v>
      </c>
      <c r="BJ196" s="1">
        <v>0.044155</v>
      </c>
      <c r="BK196" s="1">
        <v>0.109865</v>
      </c>
      <c r="BL196" s="1">
        <v>0.0</v>
      </c>
      <c r="BM196" s="1">
        <v>0.312</v>
      </c>
      <c r="BN196" s="1">
        <v>0.617</v>
      </c>
      <c r="BO196" s="1">
        <v>0.4448</v>
      </c>
      <c r="BP196" s="1">
        <v>0.292</v>
      </c>
      <c r="BQ196" s="1">
        <v>1.6658</v>
      </c>
      <c r="BR196" s="1">
        <v>0.3921</v>
      </c>
      <c r="BS196" s="1">
        <v>0.304</v>
      </c>
      <c r="BT196" s="1">
        <v>0.222</v>
      </c>
      <c r="BU196" s="1">
        <v>0.634</v>
      </c>
      <c r="BV196" s="1">
        <v>1.16</v>
      </c>
      <c r="BW196" s="1">
        <v>0.206</v>
      </c>
      <c r="BX196" s="1">
        <v>0.8</v>
      </c>
      <c r="BY196" s="1">
        <v>0.971</v>
      </c>
      <c r="BZ196" s="1">
        <v>1.771</v>
      </c>
      <c r="CA196" s="1">
        <v>0.953</v>
      </c>
      <c r="CB196" s="1">
        <v>0.926</v>
      </c>
      <c r="CC196" s="1">
        <v>0.483</v>
      </c>
      <c r="CD196" s="1">
        <v>0.589</v>
      </c>
      <c r="CE196" s="1">
        <v>0.435</v>
      </c>
      <c r="CF196" s="1">
        <v>0.0</v>
      </c>
      <c r="CG196" s="1">
        <v>2.433</v>
      </c>
      <c r="CH196" s="1">
        <v>0.533</v>
      </c>
      <c r="CI196" s="1">
        <v>7.0298</v>
      </c>
      <c r="CJ196" s="1">
        <v>0.5516</v>
      </c>
      <c r="CK196" s="1">
        <v>0.0</v>
      </c>
      <c r="CL196" s="1">
        <v>0.0</v>
      </c>
      <c r="CM196" s="1">
        <v>0.0</v>
      </c>
      <c r="CN196" s="1">
        <v>0.0</v>
      </c>
      <c r="CO196" s="1">
        <v>0.0</v>
      </c>
      <c r="CP196" s="1">
        <v>0.0</v>
      </c>
      <c r="CQ196" s="1">
        <v>0.0</v>
      </c>
      <c r="CR196" s="1">
        <v>0.0</v>
      </c>
      <c r="CS196" s="1">
        <v>0.0</v>
      </c>
      <c r="CT196" s="1">
        <v>0.0</v>
      </c>
      <c r="CU196" s="1">
        <v>1.0</v>
      </c>
      <c r="CV196" s="1">
        <v>1.0</v>
      </c>
      <c r="CW196" s="1">
        <v>1.0</v>
      </c>
      <c r="CX196" s="1">
        <v>0.0</v>
      </c>
      <c r="CY196" s="1">
        <v>0.0</v>
      </c>
      <c r="CZ196" s="1">
        <v>0.0</v>
      </c>
      <c r="DA196" s="1">
        <v>0.0</v>
      </c>
      <c r="DB196" s="1">
        <v>1.0</v>
      </c>
      <c r="DC196" s="1">
        <v>2.0</v>
      </c>
      <c r="DD196" s="1" t="s">
        <v>1034</v>
      </c>
      <c r="DE196" s="1">
        <v>2.92418968834975E-4</v>
      </c>
      <c r="DF196" s="2" t="s">
        <v>1035</v>
      </c>
    </row>
    <row r="197" ht="15.75" customHeight="1">
      <c r="A197" s="1" t="s">
        <v>1036</v>
      </c>
      <c r="B197" s="1">
        <v>29.0</v>
      </c>
      <c r="C197" s="2" t="s">
        <v>1023</v>
      </c>
      <c r="D197" s="2" t="s">
        <v>1037</v>
      </c>
      <c r="E197" s="1">
        <v>1.368</v>
      </c>
      <c r="F197" s="1">
        <v>29047.0</v>
      </c>
      <c r="G197" s="1">
        <v>2.9047020603E10</v>
      </c>
      <c r="H197" s="1" t="s">
        <v>112</v>
      </c>
      <c r="I197" s="1" t="s">
        <v>113</v>
      </c>
      <c r="J197" s="1" t="s">
        <v>1025</v>
      </c>
      <c r="K197" s="1" t="s">
        <v>1038</v>
      </c>
      <c r="L197" s="1">
        <v>3492.0</v>
      </c>
      <c r="M197" s="1">
        <v>3418.0</v>
      </c>
      <c r="N197" s="1">
        <v>311.0</v>
      </c>
      <c r="O197" s="1">
        <v>1442.0</v>
      </c>
      <c r="P197" s="1">
        <v>1503.0</v>
      </c>
      <c r="Q197" s="1">
        <v>40.0</v>
      </c>
      <c r="R197" s="1">
        <v>1330.0</v>
      </c>
      <c r="S197" s="1">
        <v>477.0</v>
      </c>
      <c r="T197" s="1">
        <v>264.0</v>
      </c>
      <c r="U197" s="1">
        <v>196.0</v>
      </c>
      <c r="V197" s="1">
        <v>388.0</v>
      </c>
      <c r="W197" s="1">
        <v>20744.0</v>
      </c>
      <c r="X197" s="1">
        <v>2261.0</v>
      </c>
      <c r="Y197" s="1">
        <v>498.0</v>
      </c>
      <c r="Z197" s="1">
        <v>294.0</v>
      </c>
      <c r="AA197" s="1">
        <v>317.0</v>
      </c>
      <c r="AB197" s="1">
        <v>929.0</v>
      </c>
      <c r="AC197" s="1">
        <v>216.0</v>
      </c>
      <c r="AD197" s="1">
        <v>611.0</v>
      </c>
      <c r="AE197" s="1">
        <v>0.0</v>
      </c>
      <c r="AF197" s="1">
        <v>456.0</v>
      </c>
      <c r="AG197" s="1">
        <v>16.0</v>
      </c>
      <c r="AH197" s="1">
        <v>163.0</v>
      </c>
      <c r="AI197" s="1">
        <v>0.0</v>
      </c>
      <c r="AJ197" s="1">
        <v>114.0</v>
      </c>
      <c r="AK197" s="1">
        <v>70.0</v>
      </c>
      <c r="AL197" s="1">
        <v>127.0</v>
      </c>
      <c r="AM197" s="1">
        <v>103.0</v>
      </c>
      <c r="AN197" s="1">
        <v>60.0</v>
      </c>
      <c r="AO197" s="1">
        <v>0.0</v>
      </c>
      <c r="AP197" s="1">
        <v>0.141124</v>
      </c>
      <c r="AQ197" s="1">
        <v>0.076998</v>
      </c>
      <c r="AR197" s="1">
        <v>0.11005</v>
      </c>
      <c r="AS197" s="1">
        <v>0.217238</v>
      </c>
      <c r="AT197" s="1">
        <v>20744.0</v>
      </c>
      <c r="AU197" s="1">
        <v>2261.0</v>
      </c>
      <c r="AV197" s="1">
        <v>0.212729</v>
      </c>
      <c r="AW197" s="1">
        <v>0.123985</v>
      </c>
      <c r="AX197" s="1">
        <v>0.090778</v>
      </c>
      <c r="AY197" s="1">
        <v>0.266036</v>
      </c>
      <c r="AZ197" s="1">
        <v>0.16240601</v>
      </c>
      <c r="BA197" s="1">
        <v>0.174971</v>
      </c>
      <c r="BB197" s="1">
        <v>0.0</v>
      </c>
      <c r="BC197" s="1">
        <v>0.142946</v>
      </c>
      <c r="BD197" s="1">
        <v>0.010645</v>
      </c>
      <c r="BE197" s="1">
        <v>0.108449</v>
      </c>
      <c r="BF197" s="1">
        <v>0.0</v>
      </c>
      <c r="BG197" s="1">
        <v>0.075848</v>
      </c>
      <c r="BH197" s="1">
        <v>0.050983</v>
      </c>
      <c r="BI197" s="1">
        <v>0.092433</v>
      </c>
      <c r="BJ197" s="1">
        <v>0.075018</v>
      </c>
      <c r="BK197" s="1">
        <v>0.043403</v>
      </c>
      <c r="BL197" s="1">
        <v>0.0</v>
      </c>
      <c r="BM197" s="1">
        <v>0.55</v>
      </c>
      <c r="BN197" s="1">
        <v>0.789</v>
      </c>
      <c r="BO197" s="1">
        <v>0.5697</v>
      </c>
      <c r="BP197" s="1">
        <v>0.787</v>
      </c>
      <c r="BQ197" s="1">
        <v>2.6957</v>
      </c>
      <c r="BR197" s="1">
        <v>0.7206</v>
      </c>
      <c r="BS197" s="1">
        <v>0.164</v>
      </c>
      <c r="BT197" s="1">
        <v>0.76</v>
      </c>
      <c r="BU197" s="1">
        <v>0.827</v>
      </c>
      <c r="BV197" s="1">
        <v>1.751</v>
      </c>
      <c r="BW197" s="1">
        <v>0.683</v>
      </c>
      <c r="BX197" s="1">
        <v>0.671</v>
      </c>
      <c r="BY197" s="1">
        <v>0.0</v>
      </c>
      <c r="BZ197" s="1">
        <v>0.671</v>
      </c>
      <c r="CA197" s="1">
        <v>0.319</v>
      </c>
      <c r="CB197" s="1">
        <v>0.389</v>
      </c>
      <c r="CC197" s="1">
        <v>0.0</v>
      </c>
      <c r="CD197" s="1">
        <v>0.938</v>
      </c>
      <c r="CE197" s="1">
        <v>0.649</v>
      </c>
      <c r="CF197" s="1">
        <v>0.0</v>
      </c>
      <c r="CG197" s="1">
        <v>1.976</v>
      </c>
      <c r="CH197" s="1">
        <v>0.338</v>
      </c>
      <c r="CI197" s="1">
        <v>7.0937</v>
      </c>
      <c r="CJ197" s="1">
        <v>0.5682</v>
      </c>
      <c r="CK197" s="1">
        <v>0.0</v>
      </c>
      <c r="CL197" s="1">
        <v>0.0</v>
      </c>
      <c r="CM197" s="1">
        <v>0.0</v>
      </c>
      <c r="CN197" s="1">
        <v>0.0</v>
      </c>
      <c r="CO197" s="1">
        <v>0.0</v>
      </c>
      <c r="CP197" s="1">
        <v>0.0</v>
      </c>
      <c r="CQ197" s="1">
        <v>0.0</v>
      </c>
      <c r="CR197" s="1">
        <v>0.0</v>
      </c>
      <c r="CS197" s="1">
        <v>0.0</v>
      </c>
      <c r="CT197" s="1">
        <v>0.0</v>
      </c>
      <c r="CU197" s="1">
        <v>0.0</v>
      </c>
      <c r="CV197" s="1">
        <v>0.0</v>
      </c>
      <c r="CW197" s="1">
        <v>0.0</v>
      </c>
      <c r="CX197" s="1">
        <v>0.0</v>
      </c>
      <c r="CY197" s="1">
        <v>1.0</v>
      </c>
      <c r="CZ197" s="1">
        <v>0.0</v>
      </c>
      <c r="DA197" s="1">
        <v>0.0</v>
      </c>
      <c r="DB197" s="1">
        <v>1.0</v>
      </c>
      <c r="DC197" s="1">
        <v>1.0</v>
      </c>
      <c r="DD197" s="1" t="s">
        <v>1039</v>
      </c>
      <c r="DE197" s="1">
        <v>3.70116083002922E-4</v>
      </c>
      <c r="DF197" s="2" t="s">
        <v>1040</v>
      </c>
    </row>
    <row r="198" ht="15.75" customHeight="1">
      <c r="A198" s="1" t="s">
        <v>1041</v>
      </c>
      <c r="B198" s="1">
        <v>29.0</v>
      </c>
      <c r="C198" s="2" t="s">
        <v>1023</v>
      </c>
      <c r="D198" s="2" t="s">
        <v>1042</v>
      </c>
      <c r="E198" s="1">
        <v>1.273</v>
      </c>
      <c r="F198" s="1">
        <v>29047.0</v>
      </c>
      <c r="G198" s="1">
        <v>2.9047021001E10</v>
      </c>
      <c r="H198" s="1" t="s">
        <v>112</v>
      </c>
      <c r="I198" s="1" t="s">
        <v>113</v>
      </c>
      <c r="J198" s="1" t="s">
        <v>1025</v>
      </c>
      <c r="K198" s="1" t="s">
        <v>1043</v>
      </c>
      <c r="L198" s="1">
        <v>3562.0</v>
      </c>
      <c r="M198" s="1">
        <v>3376.0</v>
      </c>
      <c r="N198" s="1">
        <v>340.0</v>
      </c>
      <c r="O198" s="1">
        <v>1825.0</v>
      </c>
      <c r="P198" s="1">
        <v>1756.0</v>
      </c>
      <c r="Q198" s="1">
        <v>78.0</v>
      </c>
      <c r="R198" s="1">
        <v>1619.0</v>
      </c>
      <c r="S198" s="1">
        <v>638.0</v>
      </c>
      <c r="T198" s="1">
        <v>298.0</v>
      </c>
      <c r="U198" s="1">
        <v>188.0</v>
      </c>
      <c r="V198" s="1">
        <v>330.0</v>
      </c>
      <c r="W198" s="1">
        <v>21608.0</v>
      </c>
      <c r="X198" s="1">
        <v>1896.0</v>
      </c>
      <c r="Y198" s="1">
        <v>263.0</v>
      </c>
      <c r="Z198" s="1">
        <v>219.0</v>
      </c>
      <c r="AA198" s="1">
        <v>552.0</v>
      </c>
      <c r="AB198" s="1">
        <v>792.0</v>
      </c>
      <c r="AC198" s="1">
        <v>183.0</v>
      </c>
      <c r="AD198" s="1">
        <v>815.0</v>
      </c>
      <c r="AE198" s="1">
        <v>69.0</v>
      </c>
      <c r="AF198" s="1">
        <v>417.0</v>
      </c>
      <c r="AG198" s="1">
        <v>311.0</v>
      </c>
      <c r="AH198" s="1">
        <v>82.0</v>
      </c>
      <c r="AI198" s="1">
        <v>0.0</v>
      </c>
      <c r="AJ198" s="1">
        <v>114.0</v>
      </c>
      <c r="AK198" s="1">
        <v>35.0</v>
      </c>
      <c r="AL198" s="1">
        <v>121.0</v>
      </c>
      <c r="AM198" s="1">
        <v>141.0</v>
      </c>
      <c r="AN198" s="1">
        <v>59.0</v>
      </c>
      <c r="AO198" s="1">
        <v>0.0</v>
      </c>
      <c r="AP198" s="1">
        <v>0.188981</v>
      </c>
      <c r="AQ198" s="1">
        <v>0.086193</v>
      </c>
      <c r="AR198" s="1">
        <v>0.113253</v>
      </c>
      <c r="AS198" s="1">
        <v>0.198278</v>
      </c>
      <c r="AT198" s="1">
        <v>21608.0</v>
      </c>
      <c r="AU198" s="1">
        <v>1896.0</v>
      </c>
      <c r="AV198" s="1">
        <v>0.120808</v>
      </c>
      <c r="AW198" s="1">
        <v>0.100116</v>
      </c>
      <c r="AX198" s="1">
        <v>0.154969</v>
      </c>
      <c r="AY198" s="1">
        <v>0.222347</v>
      </c>
      <c r="AZ198" s="1">
        <v>0.11303273</v>
      </c>
      <c r="BA198" s="1">
        <v>0.228804</v>
      </c>
      <c r="BB198" s="1">
        <v>0.022215</v>
      </c>
      <c r="BC198" s="1">
        <v>0.134239</v>
      </c>
      <c r="BD198" s="1">
        <v>0.177107</v>
      </c>
      <c r="BE198" s="1">
        <v>0.046029</v>
      </c>
      <c r="BF198" s="1">
        <v>0.0</v>
      </c>
      <c r="BG198" s="1">
        <v>0.06492</v>
      </c>
      <c r="BH198" s="1">
        <v>0.023474</v>
      </c>
      <c r="BI198" s="1">
        <v>0.081132</v>
      </c>
      <c r="BJ198" s="1">
        <v>0.094567</v>
      </c>
      <c r="BK198" s="1">
        <v>0.038868</v>
      </c>
      <c r="BL198" s="1">
        <v>0.0</v>
      </c>
      <c r="BM198" s="1">
        <v>0.7</v>
      </c>
      <c r="BN198" s="1">
        <v>0.796</v>
      </c>
      <c r="BO198" s="1">
        <v>0.5141</v>
      </c>
      <c r="BP198" s="1">
        <v>0.432</v>
      </c>
      <c r="BQ198" s="1">
        <v>2.4421</v>
      </c>
      <c r="BR198" s="1">
        <v>0.6455</v>
      </c>
      <c r="BS198" s="1">
        <v>0.619</v>
      </c>
      <c r="BT198" s="1">
        <v>0.32</v>
      </c>
      <c r="BU198" s="1">
        <v>0.611</v>
      </c>
      <c r="BV198" s="1">
        <v>1.55</v>
      </c>
      <c r="BW198" s="1">
        <v>0.52</v>
      </c>
      <c r="BX198" s="1">
        <v>0.742</v>
      </c>
      <c r="BY198" s="1">
        <v>0.87</v>
      </c>
      <c r="BZ198" s="1">
        <v>1.612</v>
      </c>
      <c r="CA198" s="1">
        <v>0.878</v>
      </c>
      <c r="CB198" s="1">
        <v>0.877</v>
      </c>
      <c r="CC198" s="1">
        <v>0.0</v>
      </c>
      <c r="CD198" s="1">
        <v>0.736</v>
      </c>
      <c r="CE198" s="1">
        <v>0.735</v>
      </c>
      <c r="CF198" s="1">
        <v>0.0</v>
      </c>
      <c r="CG198" s="1">
        <v>2.348</v>
      </c>
      <c r="CH198" s="1">
        <v>0.484</v>
      </c>
      <c r="CI198" s="1">
        <v>7.9521</v>
      </c>
      <c r="CJ198" s="1">
        <v>0.7069</v>
      </c>
      <c r="CK198" s="1">
        <v>0.0</v>
      </c>
      <c r="CL198" s="1">
        <v>0.0</v>
      </c>
      <c r="CM198" s="1">
        <v>0.0</v>
      </c>
      <c r="CN198" s="1">
        <v>0.0</v>
      </c>
      <c r="CO198" s="1">
        <v>0.0</v>
      </c>
      <c r="CP198" s="1">
        <v>0.0</v>
      </c>
      <c r="CQ198" s="1">
        <v>0.0</v>
      </c>
      <c r="CR198" s="1">
        <v>0.0</v>
      </c>
      <c r="CS198" s="1">
        <v>0.0</v>
      </c>
      <c r="CT198" s="1">
        <v>0.0</v>
      </c>
      <c r="CU198" s="1">
        <v>0.0</v>
      </c>
      <c r="CV198" s="1">
        <v>0.0</v>
      </c>
      <c r="CW198" s="1">
        <v>0.0</v>
      </c>
      <c r="CX198" s="1">
        <v>0.0</v>
      </c>
      <c r="CY198" s="1">
        <v>0.0</v>
      </c>
      <c r="CZ198" s="1">
        <v>0.0</v>
      </c>
      <c r="DA198" s="1">
        <v>0.0</v>
      </c>
      <c r="DB198" s="1">
        <v>0.0</v>
      </c>
      <c r="DC198" s="1">
        <v>0.0</v>
      </c>
      <c r="DD198" s="1" t="s">
        <v>1044</v>
      </c>
      <c r="DE198" s="1">
        <v>3.43748631175146E-4</v>
      </c>
      <c r="DF198" s="1">
        <v>0.0769381813299722</v>
      </c>
    </row>
    <row r="199" ht="15.75" customHeight="1">
      <c r="A199" s="1" t="s">
        <v>1045</v>
      </c>
      <c r="B199" s="1">
        <v>29.0</v>
      </c>
      <c r="C199" s="2" t="s">
        <v>1023</v>
      </c>
      <c r="D199" s="2" t="s">
        <v>1046</v>
      </c>
      <c r="E199" s="1">
        <v>1.191</v>
      </c>
      <c r="F199" s="1">
        <v>29047.0</v>
      </c>
      <c r="G199" s="1">
        <v>2.9047021204E10</v>
      </c>
      <c r="H199" s="1" t="s">
        <v>112</v>
      </c>
      <c r="I199" s="1" t="s">
        <v>113</v>
      </c>
      <c r="J199" s="1" t="s">
        <v>1025</v>
      </c>
      <c r="K199" s="1" t="s">
        <v>1047</v>
      </c>
      <c r="L199" s="1">
        <v>5092.0</v>
      </c>
      <c r="M199" s="1">
        <v>5241.0</v>
      </c>
      <c r="N199" s="1">
        <v>453.0</v>
      </c>
      <c r="O199" s="1">
        <v>2310.0</v>
      </c>
      <c r="P199" s="1">
        <v>2212.0</v>
      </c>
      <c r="Q199" s="1">
        <v>144.0</v>
      </c>
      <c r="R199" s="1">
        <v>2138.0</v>
      </c>
      <c r="S199" s="1">
        <v>1206.0</v>
      </c>
      <c r="T199" s="1">
        <v>485.0</v>
      </c>
      <c r="U199" s="1">
        <v>117.0</v>
      </c>
      <c r="V199" s="1">
        <v>450.0</v>
      </c>
      <c r="W199" s="1">
        <v>21506.0</v>
      </c>
      <c r="X199" s="1">
        <v>2640.0</v>
      </c>
      <c r="Y199" s="1">
        <v>358.0</v>
      </c>
      <c r="Z199" s="1">
        <v>309.0</v>
      </c>
      <c r="AA199" s="1">
        <v>337.0</v>
      </c>
      <c r="AB199" s="1">
        <v>1339.0</v>
      </c>
      <c r="AC199" s="1">
        <v>386.0</v>
      </c>
      <c r="AD199" s="1">
        <v>1475.0</v>
      </c>
      <c r="AE199" s="1">
        <v>130.0</v>
      </c>
      <c r="AF199" s="1">
        <v>407.0</v>
      </c>
      <c r="AG199" s="1">
        <v>144.0</v>
      </c>
      <c r="AH199" s="1">
        <v>142.0</v>
      </c>
      <c r="AI199" s="1">
        <v>473.0</v>
      </c>
      <c r="AJ199" s="1">
        <v>141.0</v>
      </c>
      <c r="AK199" s="1">
        <v>21.0</v>
      </c>
      <c r="AL199" s="1">
        <v>118.0</v>
      </c>
      <c r="AM199" s="1">
        <v>130.0</v>
      </c>
      <c r="AN199" s="1">
        <v>78.0</v>
      </c>
      <c r="AO199" s="1">
        <v>0.0</v>
      </c>
      <c r="AP199" s="1">
        <v>0.232549</v>
      </c>
      <c r="AQ199" s="1">
        <v>0.091298</v>
      </c>
      <c r="AR199" s="1">
        <v>0.040428</v>
      </c>
      <c r="AS199" s="1">
        <v>0.155417</v>
      </c>
      <c r="AT199" s="1">
        <v>21506.0</v>
      </c>
      <c r="AU199" s="1">
        <v>2640.0</v>
      </c>
      <c r="AV199" s="1">
        <v>0.111491</v>
      </c>
      <c r="AW199" s="1">
        <v>0.095787</v>
      </c>
      <c r="AX199" s="1">
        <v>0.066182</v>
      </c>
      <c r="AY199" s="1">
        <v>0.262961</v>
      </c>
      <c r="AZ199" s="1">
        <v>0.18054256</v>
      </c>
      <c r="BA199" s="1">
        <v>0.28967</v>
      </c>
      <c r="BB199" s="1">
        <v>0.02706</v>
      </c>
      <c r="BC199" s="1">
        <v>0.084686</v>
      </c>
      <c r="BD199" s="1">
        <v>0.065099</v>
      </c>
      <c r="BE199" s="1">
        <v>0.064055</v>
      </c>
      <c r="BF199" s="1">
        <v>0.213833</v>
      </c>
      <c r="BG199" s="1">
        <v>0.062204</v>
      </c>
      <c r="BH199" s="1">
        <v>0.00999</v>
      </c>
      <c r="BI199" s="1">
        <v>0.056132</v>
      </c>
      <c r="BJ199" s="1">
        <v>0.061845</v>
      </c>
      <c r="BK199" s="1">
        <v>0.036818</v>
      </c>
      <c r="BL199" s="1">
        <v>0.0</v>
      </c>
      <c r="BM199" s="1">
        <v>0.795</v>
      </c>
      <c r="BN199" s="1">
        <v>0.183</v>
      </c>
      <c r="BO199" s="1">
        <v>0.5206</v>
      </c>
      <c r="BP199" s="1">
        <v>0.389</v>
      </c>
      <c r="BQ199" s="1">
        <v>1.8876</v>
      </c>
      <c r="BR199" s="1">
        <v>0.4606</v>
      </c>
      <c r="BS199" s="1">
        <v>0.068</v>
      </c>
      <c r="BT199" s="1">
        <v>0.732</v>
      </c>
      <c r="BU199" s="1">
        <v>0.867</v>
      </c>
      <c r="BV199" s="1">
        <v>1.667</v>
      </c>
      <c r="BW199" s="1">
        <v>0.612</v>
      </c>
      <c r="BX199" s="1">
        <v>0.783</v>
      </c>
      <c r="BY199" s="1">
        <v>0.902</v>
      </c>
      <c r="BZ199" s="1">
        <v>1.685</v>
      </c>
      <c r="CA199" s="1">
        <v>0.913</v>
      </c>
      <c r="CB199" s="1">
        <v>0.704</v>
      </c>
      <c r="CC199" s="1">
        <v>0.915</v>
      </c>
      <c r="CD199" s="1">
        <v>0.474</v>
      </c>
      <c r="CE199" s="1">
        <v>0.576</v>
      </c>
      <c r="CF199" s="1">
        <v>0.0</v>
      </c>
      <c r="CG199" s="1">
        <v>2.669</v>
      </c>
      <c r="CH199" s="1">
        <v>0.632</v>
      </c>
      <c r="CI199" s="1">
        <v>7.9086</v>
      </c>
      <c r="CJ199" s="1">
        <v>0.6996</v>
      </c>
      <c r="CK199" s="1">
        <v>0.0</v>
      </c>
      <c r="CL199" s="1">
        <v>0.0</v>
      </c>
      <c r="CM199" s="1">
        <v>0.0</v>
      </c>
      <c r="CN199" s="1">
        <v>0.0</v>
      </c>
      <c r="CO199" s="1">
        <v>0.0</v>
      </c>
      <c r="CP199" s="1">
        <v>0.0</v>
      </c>
      <c r="CQ199" s="1">
        <v>0.0</v>
      </c>
      <c r="CR199" s="1">
        <v>0.0</v>
      </c>
      <c r="CS199" s="1">
        <v>0.0</v>
      </c>
      <c r="CT199" s="1">
        <v>0.0</v>
      </c>
      <c r="CU199" s="1">
        <v>1.0</v>
      </c>
      <c r="CV199" s="1">
        <v>1.0</v>
      </c>
      <c r="CW199" s="1">
        <v>0.0</v>
      </c>
      <c r="CX199" s="1">
        <v>1.0</v>
      </c>
      <c r="CY199" s="1">
        <v>0.0</v>
      </c>
      <c r="CZ199" s="1">
        <v>0.0</v>
      </c>
      <c r="DA199" s="1">
        <v>0.0</v>
      </c>
      <c r="DB199" s="1">
        <v>1.0</v>
      </c>
      <c r="DC199" s="1">
        <v>2.0</v>
      </c>
      <c r="DD199" s="1" t="s">
        <v>1048</v>
      </c>
      <c r="DE199" s="1">
        <v>3.2335662570759E-4</v>
      </c>
      <c r="DF199" s="1">
        <v>0.0734014831117158</v>
      </c>
    </row>
    <row r="200" ht="15.75" customHeight="1">
      <c r="A200" s="1" t="s">
        <v>1049</v>
      </c>
      <c r="B200" s="1">
        <v>29.0</v>
      </c>
      <c r="C200" s="2" t="s">
        <v>1023</v>
      </c>
      <c r="D200" s="2" t="s">
        <v>1050</v>
      </c>
      <c r="E200" s="1">
        <v>7.466</v>
      </c>
      <c r="F200" s="1">
        <v>29047.0</v>
      </c>
      <c r="G200" s="1">
        <v>2.9047021303E10</v>
      </c>
      <c r="H200" s="1" t="s">
        <v>112</v>
      </c>
      <c r="I200" s="1" t="s">
        <v>113</v>
      </c>
      <c r="J200" s="1" t="s">
        <v>1025</v>
      </c>
      <c r="K200" s="1" t="s">
        <v>1051</v>
      </c>
      <c r="L200" s="1">
        <v>3072.0</v>
      </c>
      <c r="M200" s="1">
        <v>2550.0</v>
      </c>
      <c r="N200" s="1">
        <v>299.0</v>
      </c>
      <c r="O200" s="1">
        <v>1141.0</v>
      </c>
      <c r="P200" s="1">
        <v>949.0</v>
      </c>
      <c r="Q200" s="1">
        <v>83.0</v>
      </c>
      <c r="R200" s="1">
        <v>1046.0</v>
      </c>
      <c r="S200" s="1">
        <v>321.0</v>
      </c>
      <c r="T200" s="1">
        <v>239.0</v>
      </c>
      <c r="U200" s="1">
        <v>59.0</v>
      </c>
      <c r="V200" s="1">
        <v>485.0</v>
      </c>
      <c r="W200" s="1">
        <v>32437.0</v>
      </c>
      <c r="X200" s="1">
        <v>4925.0</v>
      </c>
      <c r="Y200" s="1">
        <v>85.0</v>
      </c>
      <c r="Z200" s="1">
        <v>383.0</v>
      </c>
      <c r="AA200" s="1">
        <v>183.0</v>
      </c>
      <c r="AB200" s="1">
        <v>986.0</v>
      </c>
      <c r="AC200" s="1">
        <v>79.0</v>
      </c>
      <c r="AD200" s="1">
        <v>285.0</v>
      </c>
      <c r="AE200" s="1">
        <v>0.0</v>
      </c>
      <c r="AF200" s="1">
        <v>456.0</v>
      </c>
      <c r="AG200" s="1">
        <v>0.0</v>
      </c>
      <c r="AH200" s="1">
        <v>197.0</v>
      </c>
      <c r="AI200" s="1">
        <v>231.0</v>
      </c>
      <c r="AJ200" s="1">
        <v>62.0</v>
      </c>
      <c r="AK200" s="1">
        <v>0.0</v>
      </c>
      <c r="AL200" s="1">
        <v>161.0</v>
      </c>
      <c r="AM200" s="1">
        <v>0.0</v>
      </c>
      <c r="AN200" s="1">
        <v>161.0</v>
      </c>
      <c r="AO200" s="1">
        <v>0.0</v>
      </c>
      <c r="AP200" s="1">
        <v>0.125882</v>
      </c>
      <c r="AQ200" s="1">
        <v>0.092555</v>
      </c>
      <c r="AR200" s="1">
        <v>0.042877</v>
      </c>
      <c r="AS200" s="1">
        <v>0.352417</v>
      </c>
      <c r="AT200" s="1">
        <v>32437.0</v>
      </c>
      <c r="AU200" s="1">
        <v>4925.0</v>
      </c>
      <c r="AV200" s="1">
        <v>0.055921</v>
      </c>
      <c r="AW200" s="1">
        <v>0.251902</v>
      </c>
      <c r="AX200" s="1">
        <v>0.05957</v>
      </c>
      <c r="AY200" s="1">
        <v>0.320963</v>
      </c>
      <c r="AZ200" s="1">
        <v>0.07552581</v>
      </c>
      <c r="BA200" s="1">
        <v>0.092773</v>
      </c>
      <c r="BB200" s="1">
        <v>0.0</v>
      </c>
      <c r="BC200" s="1">
        <v>0.199126</v>
      </c>
      <c r="BD200" s="1">
        <v>0.0</v>
      </c>
      <c r="BE200" s="1">
        <v>0.207586</v>
      </c>
      <c r="BF200" s="1">
        <v>0.243414</v>
      </c>
      <c r="BG200" s="1">
        <v>0.061765</v>
      </c>
      <c r="BH200" s="1">
        <v>0.0</v>
      </c>
      <c r="BI200" s="1">
        <v>0.194679</v>
      </c>
      <c r="BJ200" s="1">
        <v>0.0</v>
      </c>
      <c r="BK200" s="1">
        <v>0.194679</v>
      </c>
      <c r="BL200" s="1">
        <v>0.0</v>
      </c>
      <c r="BM200" s="1">
        <v>0.479</v>
      </c>
      <c r="BN200" s="1">
        <v>0.219</v>
      </c>
      <c r="BO200" s="1">
        <v>0.1509</v>
      </c>
      <c r="BP200" s="1">
        <v>0.149</v>
      </c>
      <c r="BQ200" s="1">
        <v>0.9979</v>
      </c>
      <c r="BR200" s="1">
        <v>0.2014</v>
      </c>
      <c r="BS200" s="1">
        <v>0.042</v>
      </c>
      <c r="BT200" s="1">
        <v>0.962</v>
      </c>
      <c r="BU200" s="1">
        <v>0.26</v>
      </c>
      <c r="BV200" s="1">
        <v>1.264</v>
      </c>
      <c r="BW200" s="1">
        <v>0.276</v>
      </c>
      <c r="BX200" s="1">
        <v>0.441</v>
      </c>
      <c r="BY200" s="1">
        <v>0.0</v>
      </c>
      <c r="BZ200" s="1">
        <v>0.441</v>
      </c>
      <c r="CA200" s="1">
        <v>0.185</v>
      </c>
      <c r="CB200" s="1">
        <v>0.0</v>
      </c>
      <c r="CC200" s="1">
        <v>0.944</v>
      </c>
      <c r="CD200" s="1">
        <v>0.0</v>
      </c>
      <c r="CE200" s="1">
        <v>0.0</v>
      </c>
      <c r="CF200" s="1">
        <v>0.0</v>
      </c>
      <c r="CG200" s="1">
        <v>0.944</v>
      </c>
      <c r="CH200" s="1">
        <v>0.072</v>
      </c>
      <c r="CI200" s="1">
        <v>3.6469</v>
      </c>
      <c r="CJ200" s="1">
        <v>0.0527</v>
      </c>
      <c r="CK200" s="1">
        <v>0.0</v>
      </c>
      <c r="CL200" s="1">
        <v>0.0</v>
      </c>
      <c r="CM200" s="1">
        <v>0.0</v>
      </c>
      <c r="CN200" s="1">
        <v>0.0</v>
      </c>
      <c r="CO200" s="1">
        <v>0.0</v>
      </c>
      <c r="CP200" s="1">
        <v>0.0</v>
      </c>
      <c r="CQ200" s="1">
        <v>1.0</v>
      </c>
      <c r="CR200" s="1">
        <v>0.0</v>
      </c>
      <c r="CS200" s="1">
        <v>1.0</v>
      </c>
      <c r="CT200" s="1">
        <v>0.0</v>
      </c>
      <c r="CU200" s="1">
        <v>0.0</v>
      </c>
      <c r="CV200" s="1">
        <v>0.0</v>
      </c>
      <c r="CW200" s="1">
        <v>0.0</v>
      </c>
      <c r="CX200" s="1">
        <v>1.0</v>
      </c>
      <c r="CY200" s="1">
        <v>0.0</v>
      </c>
      <c r="CZ200" s="1">
        <v>0.0</v>
      </c>
      <c r="DA200" s="1">
        <v>0.0</v>
      </c>
      <c r="DB200" s="1">
        <v>1.0</v>
      </c>
      <c r="DC200" s="1">
        <v>2.0</v>
      </c>
      <c r="DD200" s="1" t="s">
        <v>1052</v>
      </c>
      <c r="DE200" s="1">
        <v>0.00201867809155912</v>
      </c>
      <c r="DF200" s="2" t="s">
        <v>1053</v>
      </c>
    </row>
    <row r="201" ht="15.75" customHeight="1">
      <c r="A201" s="1" t="s">
        <v>1054</v>
      </c>
      <c r="B201" s="1">
        <v>29.0</v>
      </c>
      <c r="C201" s="2" t="s">
        <v>1023</v>
      </c>
      <c r="D201" s="2" t="s">
        <v>1055</v>
      </c>
      <c r="E201" s="1">
        <v>4.887</v>
      </c>
      <c r="F201" s="1">
        <v>29047.0</v>
      </c>
      <c r="G201" s="1">
        <v>2.9047022301E10</v>
      </c>
      <c r="H201" s="1" t="s">
        <v>112</v>
      </c>
      <c r="I201" s="1" t="s">
        <v>113</v>
      </c>
      <c r="J201" s="1" t="s">
        <v>1025</v>
      </c>
      <c r="K201" s="1" t="s">
        <v>1056</v>
      </c>
      <c r="L201" s="1">
        <v>3014.0</v>
      </c>
      <c r="M201" s="1">
        <v>2763.0</v>
      </c>
      <c r="N201" s="1">
        <v>330.0</v>
      </c>
      <c r="O201" s="1">
        <v>1305.0</v>
      </c>
      <c r="P201" s="1">
        <v>1247.0</v>
      </c>
      <c r="Q201" s="1">
        <v>105.0</v>
      </c>
      <c r="R201" s="1">
        <v>1205.0</v>
      </c>
      <c r="S201" s="1">
        <v>139.0</v>
      </c>
      <c r="T201" s="1">
        <v>109.0</v>
      </c>
      <c r="U201" s="1">
        <v>55.0</v>
      </c>
      <c r="V201" s="1">
        <v>459.0</v>
      </c>
      <c r="W201" s="1">
        <v>26773.0</v>
      </c>
      <c r="X201" s="1">
        <v>3603.0</v>
      </c>
      <c r="Y201" s="1">
        <v>198.0</v>
      </c>
      <c r="Z201" s="1">
        <v>296.0</v>
      </c>
      <c r="AA201" s="1">
        <v>330.0</v>
      </c>
      <c r="AB201" s="1">
        <v>773.0</v>
      </c>
      <c r="AC201" s="1">
        <v>139.0</v>
      </c>
      <c r="AD201" s="1">
        <v>312.0</v>
      </c>
      <c r="AE201" s="1">
        <v>42.0</v>
      </c>
      <c r="AF201" s="1">
        <v>430.0</v>
      </c>
      <c r="AG201" s="1">
        <v>232.0</v>
      </c>
      <c r="AH201" s="1">
        <v>92.0</v>
      </c>
      <c r="AI201" s="1">
        <v>0.0</v>
      </c>
      <c r="AJ201" s="1">
        <v>114.0</v>
      </c>
      <c r="AK201" s="1">
        <v>0.0</v>
      </c>
      <c r="AL201" s="1">
        <v>161.0</v>
      </c>
      <c r="AM201" s="1">
        <v>20.0</v>
      </c>
      <c r="AN201" s="1">
        <v>26.0</v>
      </c>
      <c r="AO201" s="1">
        <v>0.0</v>
      </c>
      <c r="AP201" s="1">
        <v>0.050307</v>
      </c>
      <c r="AQ201" s="1">
        <v>0.038989</v>
      </c>
      <c r="AR201" s="1">
        <v>0.035947</v>
      </c>
      <c r="AS201" s="1">
        <v>0.299944</v>
      </c>
      <c r="AT201" s="1">
        <v>26773.0</v>
      </c>
      <c r="AU201" s="1">
        <v>3603.0</v>
      </c>
      <c r="AV201" s="1">
        <v>0.106566</v>
      </c>
      <c r="AW201" s="1">
        <v>0.159117</v>
      </c>
      <c r="AX201" s="1">
        <v>0.109489</v>
      </c>
      <c r="AY201" s="1">
        <v>0.256469</v>
      </c>
      <c r="AZ201" s="1">
        <v>0.11535269</v>
      </c>
      <c r="BA201" s="1">
        <v>0.103516</v>
      </c>
      <c r="BB201" s="1">
        <v>0.016042</v>
      </c>
      <c r="BC201" s="1">
        <v>0.164238</v>
      </c>
      <c r="BD201" s="1">
        <v>0.186046</v>
      </c>
      <c r="BE201" s="1">
        <v>0.072094</v>
      </c>
      <c r="BF201" s="1">
        <v>0.0</v>
      </c>
      <c r="BG201" s="1">
        <v>0.091419</v>
      </c>
      <c r="BH201" s="1">
        <v>0.0</v>
      </c>
      <c r="BI201" s="1">
        <v>0.133278</v>
      </c>
      <c r="BJ201" s="1">
        <v>0.016556</v>
      </c>
      <c r="BK201" s="1">
        <v>0.021465</v>
      </c>
      <c r="BL201" s="1">
        <v>0.0</v>
      </c>
      <c r="BM201" s="1">
        <v>0.166</v>
      </c>
      <c r="BN201" s="1">
        <v>0.146</v>
      </c>
      <c r="BO201" s="1">
        <v>0.2917</v>
      </c>
      <c r="BP201" s="1">
        <v>0.367</v>
      </c>
      <c r="BQ201" s="1">
        <v>0.9707</v>
      </c>
      <c r="BR201" s="1">
        <v>0.1942</v>
      </c>
      <c r="BS201" s="1">
        <v>0.268</v>
      </c>
      <c r="BT201" s="1">
        <v>0.667</v>
      </c>
      <c r="BU201" s="1">
        <v>0.635</v>
      </c>
      <c r="BV201" s="1">
        <v>1.57</v>
      </c>
      <c r="BW201" s="1">
        <v>0.538</v>
      </c>
      <c r="BX201" s="1">
        <v>0.483</v>
      </c>
      <c r="BY201" s="1">
        <v>0.825</v>
      </c>
      <c r="BZ201" s="1">
        <v>1.308</v>
      </c>
      <c r="CA201" s="1">
        <v>0.717</v>
      </c>
      <c r="CB201" s="1">
        <v>0.885</v>
      </c>
      <c r="CC201" s="1">
        <v>0.0</v>
      </c>
      <c r="CD201" s="1">
        <v>0.0</v>
      </c>
      <c r="CE201" s="1">
        <v>0.147</v>
      </c>
      <c r="CF201" s="1">
        <v>0.0</v>
      </c>
      <c r="CG201" s="1">
        <v>1.032</v>
      </c>
      <c r="CH201" s="1">
        <v>0.082</v>
      </c>
      <c r="CI201" s="1">
        <v>4.8807</v>
      </c>
      <c r="CJ201" s="1">
        <v>0.187</v>
      </c>
      <c r="CK201" s="1">
        <v>0.0</v>
      </c>
      <c r="CL201" s="1">
        <v>0.0</v>
      </c>
      <c r="CM201" s="1">
        <v>0.0</v>
      </c>
      <c r="CN201" s="1">
        <v>0.0</v>
      </c>
      <c r="CO201" s="1">
        <v>0.0</v>
      </c>
      <c r="CP201" s="1">
        <v>0.0</v>
      </c>
      <c r="CQ201" s="1">
        <v>0.0</v>
      </c>
      <c r="CR201" s="1">
        <v>0.0</v>
      </c>
      <c r="CS201" s="1">
        <v>0.0</v>
      </c>
      <c r="CT201" s="1">
        <v>0.0</v>
      </c>
      <c r="CU201" s="1">
        <v>0.0</v>
      </c>
      <c r="CV201" s="1">
        <v>0.0</v>
      </c>
      <c r="CW201" s="1">
        <v>0.0</v>
      </c>
      <c r="CX201" s="1">
        <v>0.0</v>
      </c>
      <c r="CY201" s="1">
        <v>0.0</v>
      </c>
      <c r="CZ201" s="1">
        <v>0.0</v>
      </c>
      <c r="DA201" s="1">
        <v>0.0</v>
      </c>
      <c r="DB201" s="1">
        <v>0.0</v>
      </c>
      <c r="DC201" s="1">
        <v>0.0</v>
      </c>
      <c r="DD201" s="1" t="s">
        <v>1057</v>
      </c>
      <c r="DE201" s="1">
        <v>0.00131735600383912</v>
      </c>
      <c r="DF201" s="2" t="s">
        <v>1058</v>
      </c>
    </row>
    <row r="202" ht="15.75" customHeight="1">
      <c r="A202" s="1" t="s">
        <v>1059</v>
      </c>
      <c r="B202" s="1">
        <v>29.0</v>
      </c>
      <c r="C202" s="2" t="s">
        <v>1023</v>
      </c>
      <c r="D202" s="2" t="s">
        <v>1060</v>
      </c>
      <c r="E202" s="1">
        <v>6.142</v>
      </c>
      <c r="F202" s="1">
        <v>29047.0</v>
      </c>
      <c r="G202" s="1">
        <v>2.9047022302E10</v>
      </c>
      <c r="H202" s="1" t="s">
        <v>112</v>
      </c>
      <c r="I202" s="1" t="s">
        <v>113</v>
      </c>
      <c r="J202" s="1" t="s">
        <v>1025</v>
      </c>
      <c r="K202" s="1" t="s">
        <v>1061</v>
      </c>
      <c r="L202" s="1">
        <v>5834.0</v>
      </c>
      <c r="M202" s="1">
        <v>5639.0</v>
      </c>
      <c r="N202" s="1">
        <v>260.0</v>
      </c>
      <c r="O202" s="1">
        <v>2185.0</v>
      </c>
      <c r="P202" s="1">
        <v>2112.0</v>
      </c>
      <c r="Q202" s="1">
        <v>118.0</v>
      </c>
      <c r="R202" s="1">
        <v>2098.0</v>
      </c>
      <c r="S202" s="1">
        <v>180.0</v>
      </c>
      <c r="T202" s="1">
        <v>83.0</v>
      </c>
      <c r="U202" s="1">
        <v>115.0</v>
      </c>
      <c r="V202" s="1">
        <v>365.0</v>
      </c>
      <c r="W202" s="1">
        <v>34562.0</v>
      </c>
      <c r="X202" s="1">
        <v>2955.0</v>
      </c>
      <c r="Y202" s="1">
        <v>199.0</v>
      </c>
      <c r="Z202" s="1">
        <v>272.0</v>
      </c>
      <c r="AA202" s="1">
        <v>640.0</v>
      </c>
      <c r="AB202" s="1">
        <v>1617.0</v>
      </c>
      <c r="AC202" s="1">
        <v>153.0</v>
      </c>
      <c r="AD202" s="1">
        <v>535.0</v>
      </c>
      <c r="AE202" s="1">
        <v>9.0</v>
      </c>
      <c r="AF202" s="1">
        <v>442.0</v>
      </c>
      <c r="AG202" s="1">
        <v>58.0</v>
      </c>
      <c r="AH202" s="1">
        <v>43.0</v>
      </c>
      <c r="AI202" s="1">
        <v>0.0</v>
      </c>
      <c r="AJ202" s="1">
        <v>114.0</v>
      </c>
      <c r="AK202" s="1">
        <v>53.0</v>
      </c>
      <c r="AL202" s="1">
        <v>124.0</v>
      </c>
      <c r="AM202" s="1">
        <v>56.0</v>
      </c>
      <c r="AN202" s="1">
        <v>47.0</v>
      </c>
      <c r="AO202" s="1">
        <v>30.0</v>
      </c>
      <c r="AP202" s="1">
        <v>0.031943</v>
      </c>
      <c r="AQ202" s="1">
        <v>0.014655</v>
      </c>
      <c r="AR202" s="1">
        <v>0.038029</v>
      </c>
      <c r="AS202" s="1">
        <v>0.120656</v>
      </c>
      <c r="AT202" s="1">
        <v>34562.0</v>
      </c>
      <c r="AU202" s="1">
        <v>2955.0</v>
      </c>
      <c r="AV202" s="1">
        <v>0.052827</v>
      </c>
      <c r="AW202" s="1">
        <v>0.072154</v>
      </c>
      <c r="AX202" s="1">
        <v>0.109701</v>
      </c>
      <c r="AY202" s="1">
        <v>0.277168</v>
      </c>
      <c r="AZ202" s="1">
        <v>0.07292659</v>
      </c>
      <c r="BA202" s="1">
        <v>0.091703</v>
      </c>
      <c r="BB202" s="1">
        <v>0.001706</v>
      </c>
      <c r="BC202" s="1">
        <v>0.083823</v>
      </c>
      <c r="BD202" s="1">
        <v>0.027462</v>
      </c>
      <c r="BE202" s="1">
        <v>0.020301</v>
      </c>
      <c r="BF202" s="1">
        <v>0.0</v>
      </c>
      <c r="BG202" s="1">
        <v>0.053977</v>
      </c>
      <c r="BH202" s="1">
        <v>0.025554</v>
      </c>
      <c r="BI202" s="1">
        <v>0.05977</v>
      </c>
      <c r="BJ202" s="1">
        <v>0.027</v>
      </c>
      <c r="BK202" s="1">
        <v>0.022611</v>
      </c>
      <c r="BL202" s="1">
        <v>0.005142</v>
      </c>
      <c r="BM202" s="1">
        <v>0.093</v>
      </c>
      <c r="BN202" s="1">
        <v>0.164</v>
      </c>
      <c r="BO202" s="1">
        <v>0.1199</v>
      </c>
      <c r="BP202" s="1">
        <v>0.138</v>
      </c>
      <c r="BQ202" s="1">
        <v>0.5149</v>
      </c>
      <c r="BR202" s="1">
        <v>0.0715</v>
      </c>
      <c r="BS202" s="1">
        <v>0.269</v>
      </c>
      <c r="BT202" s="1">
        <v>0.835</v>
      </c>
      <c r="BU202" s="1">
        <v>0.238</v>
      </c>
      <c r="BV202" s="1">
        <v>1.342</v>
      </c>
      <c r="BW202" s="1">
        <v>0.338</v>
      </c>
      <c r="BX202" s="1">
        <v>0.435</v>
      </c>
      <c r="BY202" s="1">
        <v>0.367</v>
      </c>
      <c r="BZ202" s="1">
        <v>0.802</v>
      </c>
      <c r="CA202" s="1">
        <v>0.402</v>
      </c>
      <c r="CB202" s="1">
        <v>0.527</v>
      </c>
      <c r="CC202" s="1">
        <v>0.0</v>
      </c>
      <c r="CD202" s="1">
        <v>0.766</v>
      </c>
      <c r="CE202" s="1">
        <v>0.258</v>
      </c>
      <c r="CF202" s="1">
        <v>0.513</v>
      </c>
      <c r="CG202" s="1">
        <v>2.064</v>
      </c>
      <c r="CH202" s="1">
        <v>0.369</v>
      </c>
      <c r="CI202" s="1">
        <v>4.7229</v>
      </c>
      <c r="CJ202" s="1">
        <v>0.1632</v>
      </c>
      <c r="CK202" s="1">
        <v>0.0</v>
      </c>
      <c r="CL202" s="1">
        <v>0.0</v>
      </c>
      <c r="CM202" s="1">
        <v>0.0</v>
      </c>
      <c r="CN202" s="1">
        <v>0.0</v>
      </c>
      <c r="CO202" s="1">
        <v>0.0</v>
      </c>
      <c r="CP202" s="1">
        <v>0.0</v>
      </c>
      <c r="CQ202" s="1">
        <v>0.0</v>
      </c>
      <c r="CR202" s="1">
        <v>0.0</v>
      </c>
      <c r="CS202" s="1">
        <v>0.0</v>
      </c>
      <c r="CT202" s="1">
        <v>0.0</v>
      </c>
      <c r="CU202" s="1">
        <v>0.0</v>
      </c>
      <c r="CV202" s="1">
        <v>0.0</v>
      </c>
      <c r="CW202" s="1">
        <v>0.0</v>
      </c>
      <c r="CX202" s="1">
        <v>0.0</v>
      </c>
      <c r="CY202" s="1">
        <v>0.0</v>
      </c>
      <c r="CZ202" s="1">
        <v>0.0</v>
      </c>
      <c r="DA202" s="1">
        <v>0.0</v>
      </c>
      <c r="DB202" s="1">
        <v>0.0</v>
      </c>
      <c r="DC202" s="1">
        <v>0.0</v>
      </c>
      <c r="DD202" s="1" t="s">
        <v>1062</v>
      </c>
      <c r="DE202" s="1">
        <v>0.00168579899390469</v>
      </c>
      <c r="DF202" s="2" t="s">
        <v>1063</v>
      </c>
    </row>
    <row r="203" ht="15.75" customHeight="1">
      <c r="A203" s="1" t="s">
        <v>1064</v>
      </c>
      <c r="B203" s="1">
        <v>29.0</v>
      </c>
      <c r="C203" s="2" t="s">
        <v>1023</v>
      </c>
      <c r="D203" s="2" t="s">
        <v>935</v>
      </c>
      <c r="E203" s="1">
        <v>2.579</v>
      </c>
      <c r="F203" s="1">
        <v>29047.0</v>
      </c>
      <c r="G203" s="1">
        <v>2.9047020202E10</v>
      </c>
      <c r="H203" s="1" t="s">
        <v>112</v>
      </c>
      <c r="I203" s="1" t="s">
        <v>113</v>
      </c>
      <c r="J203" s="1" t="s">
        <v>1025</v>
      </c>
      <c r="K203" s="1" t="s">
        <v>1065</v>
      </c>
      <c r="L203" s="1">
        <v>3685.0</v>
      </c>
      <c r="M203" s="1">
        <v>3642.0</v>
      </c>
      <c r="N203" s="1">
        <v>174.0</v>
      </c>
      <c r="O203" s="1">
        <v>1790.0</v>
      </c>
      <c r="P203" s="1">
        <v>1764.0</v>
      </c>
      <c r="Q203" s="1">
        <v>75.0</v>
      </c>
      <c r="R203" s="1">
        <v>1665.0</v>
      </c>
      <c r="S203" s="1">
        <v>79.0</v>
      </c>
      <c r="T203" s="1">
        <v>62.0</v>
      </c>
      <c r="U203" s="1">
        <v>57.0</v>
      </c>
      <c r="V203" s="1">
        <v>443.0</v>
      </c>
      <c r="W203" s="1">
        <v>51656.0</v>
      </c>
      <c r="X203" s="1">
        <v>8041.0</v>
      </c>
      <c r="Y203" s="1">
        <v>67.0</v>
      </c>
      <c r="Z203" s="1">
        <v>381.0</v>
      </c>
      <c r="AA203" s="1">
        <v>678.0</v>
      </c>
      <c r="AB203" s="1">
        <v>661.0</v>
      </c>
      <c r="AC203" s="1">
        <v>73.0</v>
      </c>
      <c r="AD203" s="1">
        <v>510.0</v>
      </c>
      <c r="AE203" s="1">
        <v>57.0</v>
      </c>
      <c r="AF203" s="1">
        <v>397.0</v>
      </c>
      <c r="AG203" s="1">
        <v>116.0</v>
      </c>
      <c r="AH203" s="1">
        <v>129.0</v>
      </c>
      <c r="AI203" s="1">
        <v>0.0</v>
      </c>
      <c r="AJ203" s="1">
        <v>114.0</v>
      </c>
      <c r="AK203" s="1">
        <v>0.0</v>
      </c>
      <c r="AL203" s="1">
        <v>161.0</v>
      </c>
      <c r="AM203" s="1">
        <v>73.0</v>
      </c>
      <c r="AN203" s="1">
        <v>58.0</v>
      </c>
      <c r="AO203" s="1">
        <v>5.0</v>
      </c>
      <c r="AP203" s="1">
        <v>0.021691</v>
      </c>
      <c r="AQ203" s="1">
        <v>0.016992</v>
      </c>
      <c r="AR203" s="1">
        <v>0.03347</v>
      </c>
      <c r="AS203" s="1">
        <v>0.260072</v>
      </c>
      <c r="AT203" s="1">
        <v>51656.0</v>
      </c>
      <c r="AU203" s="1">
        <v>8041.0</v>
      </c>
      <c r="AV203" s="1">
        <v>0.023997</v>
      </c>
      <c r="AW203" s="1">
        <v>0.136454</v>
      </c>
      <c r="AX203" s="1">
        <v>0.183989</v>
      </c>
      <c r="AY203" s="1">
        <v>0.179375</v>
      </c>
      <c r="AZ203" s="1">
        <v>0.04384384</v>
      </c>
      <c r="BA203" s="1">
        <v>0.138398</v>
      </c>
      <c r="BB203" s="1">
        <v>0.016676</v>
      </c>
      <c r="BC203" s="1">
        <v>0.116146</v>
      </c>
      <c r="BD203" s="1">
        <v>0.065759</v>
      </c>
      <c r="BE203" s="1">
        <v>0.073075</v>
      </c>
      <c r="BF203" s="1">
        <v>0.0</v>
      </c>
      <c r="BG203" s="1">
        <v>0.064625</v>
      </c>
      <c r="BH203" s="1">
        <v>0.0</v>
      </c>
      <c r="BI203" s="1">
        <v>0.096407</v>
      </c>
      <c r="BJ203" s="1">
        <v>0.043712</v>
      </c>
      <c r="BK203" s="1">
        <v>0.03466</v>
      </c>
      <c r="BL203" s="1">
        <v>0.001356</v>
      </c>
      <c r="BM203" s="1">
        <v>0.061</v>
      </c>
      <c r="BN203" s="1">
        <v>0.116</v>
      </c>
      <c r="BO203" s="1">
        <v>0.0238</v>
      </c>
      <c r="BP203" s="1">
        <v>0.044</v>
      </c>
      <c r="BQ203" s="1">
        <v>0.2448</v>
      </c>
      <c r="BR203" s="1">
        <v>0.0101</v>
      </c>
      <c r="BS203" s="1">
        <v>0.813</v>
      </c>
      <c r="BT203" s="1">
        <v>0.118</v>
      </c>
      <c r="BU203" s="1">
        <v>0.054</v>
      </c>
      <c r="BV203" s="1">
        <v>0.985</v>
      </c>
      <c r="BW203" s="1">
        <v>0.11</v>
      </c>
      <c r="BX203" s="1">
        <v>0.586</v>
      </c>
      <c r="BY203" s="1">
        <v>0.835</v>
      </c>
      <c r="BZ203" s="1">
        <v>1.421</v>
      </c>
      <c r="CA203" s="1">
        <v>0.774</v>
      </c>
      <c r="CB203" s="1">
        <v>0.706</v>
      </c>
      <c r="CC203" s="1">
        <v>0.0</v>
      </c>
      <c r="CD203" s="1">
        <v>0.0</v>
      </c>
      <c r="CE203" s="1">
        <v>0.43</v>
      </c>
      <c r="CF203" s="1">
        <v>0.418</v>
      </c>
      <c r="CG203" s="1">
        <v>1.554</v>
      </c>
      <c r="CH203" s="1">
        <v>0.186</v>
      </c>
      <c r="CI203" s="1">
        <v>4.2048</v>
      </c>
      <c r="CJ203" s="1">
        <v>0.1061</v>
      </c>
      <c r="CK203" s="1">
        <v>0.0</v>
      </c>
      <c r="CL203" s="1">
        <v>0.0</v>
      </c>
      <c r="CM203" s="1">
        <v>0.0</v>
      </c>
      <c r="CN203" s="1">
        <v>0.0</v>
      </c>
      <c r="CO203" s="1">
        <v>0.0</v>
      </c>
      <c r="CP203" s="1">
        <v>0.0</v>
      </c>
      <c r="CQ203" s="1">
        <v>0.0</v>
      </c>
      <c r="CR203" s="1">
        <v>0.0</v>
      </c>
      <c r="CS203" s="1">
        <v>0.0</v>
      </c>
      <c r="CT203" s="1">
        <v>0.0</v>
      </c>
      <c r="CU203" s="1">
        <v>0.0</v>
      </c>
      <c r="CV203" s="1">
        <v>0.0</v>
      </c>
      <c r="CW203" s="1">
        <v>0.0</v>
      </c>
      <c r="CX203" s="1">
        <v>0.0</v>
      </c>
      <c r="CY203" s="1">
        <v>0.0</v>
      </c>
      <c r="CZ203" s="1">
        <v>0.0</v>
      </c>
      <c r="DA203" s="1">
        <v>0.0</v>
      </c>
      <c r="DB203" s="1">
        <v>0.0</v>
      </c>
      <c r="DC203" s="1">
        <v>0.0</v>
      </c>
      <c r="DD203" s="1" t="s">
        <v>1066</v>
      </c>
      <c r="DE203" s="1">
        <v>7.00498850364397E-4</v>
      </c>
      <c r="DF203" s="2" t="s">
        <v>1067</v>
      </c>
    </row>
    <row r="204" ht="15.75" customHeight="1">
      <c r="A204" s="1" t="s">
        <v>1068</v>
      </c>
      <c r="B204" s="1">
        <v>29.0</v>
      </c>
      <c r="C204" s="2" t="s">
        <v>1023</v>
      </c>
      <c r="D204" s="2" t="s">
        <v>1069</v>
      </c>
      <c r="E204" s="1">
        <v>2.152</v>
      </c>
      <c r="F204" s="1">
        <v>29047.0</v>
      </c>
      <c r="G204" s="1">
        <v>2.90470203E10</v>
      </c>
      <c r="H204" s="1" t="s">
        <v>112</v>
      </c>
      <c r="I204" s="1" t="s">
        <v>113</v>
      </c>
      <c r="J204" s="1" t="s">
        <v>1025</v>
      </c>
      <c r="K204" s="1" t="s">
        <v>1070</v>
      </c>
      <c r="L204" s="1">
        <v>5927.0</v>
      </c>
      <c r="M204" s="1">
        <v>6951.0</v>
      </c>
      <c r="N204" s="1">
        <v>594.0</v>
      </c>
      <c r="O204" s="1">
        <v>2834.0</v>
      </c>
      <c r="P204" s="1">
        <v>2902.0</v>
      </c>
      <c r="Q204" s="1">
        <v>115.0</v>
      </c>
      <c r="R204" s="1">
        <v>2533.0</v>
      </c>
      <c r="S204" s="1">
        <v>668.0</v>
      </c>
      <c r="T204" s="1">
        <v>326.0</v>
      </c>
      <c r="U204" s="1">
        <v>217.0</v>
      </c>
      <c r="V204" s="1">
        <v>337.0</v>
      </c>
      <c r="W204" s="1">
        <v>21409.0</v>
      </c>
      <c r="X204" s="1">
        <v>2241.0</v>
      </c>
      <c r="Y204" s="1">
        <v>395.0</v>
      </c>
      <c r="Z204" s="1">
        <v>268.0</v>
      </c>
      <c r="AA204" s="1">
        <v>780.0</v>
      </c>
      <c r="AB204" s="1">
        <v>1311.0</v>
      </c>
      <c r="AC204" s="1">
        <v>233.0</v>
      </c>
      <c r="AD204" s="1">
        <v>1571.0</v>
      </c>
      <c r="AE204" s="1">
        <v>208.0</v>
      </c>
      <c r="AF204" s="1">
        <v>394.0</v>
      </c>
      <c r="AG204" s="1">
        <v>149.0</v>
      </c>
      <c r="AH204" s="1">
        <v>90.0</v>
      </c>
      <c r="AI204" s="1">
        <v>18.0</v>
      </c>
      <c r="AJ204" s="1">
        <v>28.0</v>
      </c>
      <c r="AK204" s="1">
        <v>137.0</v>
      </c>
      <c r="AL204" s="1">
        <v>161.0</v>
      </c>
      <c r="AM204" s="1">
        <v>173.0</v>
      </c>
      <c r="AN204" s="1">
        <v>104.0</v>
      </c>
      <c r="AO204" s="1">
        <v>35.0</v>
      </c>
      <c r="AP204" s="1">
        <v>0.096101</v>
      </c>
      <c r="AQ204" s="1">
        <v>0.046175</v>
      </c>
      <c r="AR204" s="1">
        <v>0.057331</v>
      </c>
      <c r="AS204" s="1">
        <v>0.088796</v>
      </c>
      <c r="AT204" s="1">
        <v>21409.0</v>
      </c>
      <c r="AU204" s="1">
        <v>2241.0</v>
      </c>
      <c r="AV204" s="1">
        <v>0.088446</v>
      </c>
      <c r="AW204" s="1">
        <v>0.059763</v>
      </c>
      <c r="AX204" s="1">
        <v>0.131601</v>
      </c>
      <c r="AY204" s="1">
        <v>0.221191</v>
      </c>
      <c r="AZ204" s="1">
        <v>0.09198578</v>
      </c>
      <c r="BA204" s="1">
        <v>0.265058</v>
      </c>
      <c r="BB204" s="1">
        <v>0.033548</v>
      </c>
      <c r="BC204" s="1">
        <v>0.063509</v>
      </c>
      <c r="BD204" s="1">
        <v>0.051343</v>
      </c>
      <c r="BE204" s="1">
        <v>0.030946</v>
      </c>
      <c r="BF204" s="1">
        <v>0.006202</v>
      </c>
      <c r="BG204" s="1">
        <v>0.009645</v>
      </c>
      <c r="BH204" s="1">
        <v>0.049637</v>
      </c>
      <c r="BI204" s="1">
        <v>0.058257</v>
      </c>
      <c r="BJ204" s="1">
        <v>0.062681</v>
      </c>
      <c r="BK204" s="1">
        <v>0.037494</v>
      </c>
      <c r="BL204" s="1">
        <v>0.005905</v>
      </c>
      <c r="BM204" s="1">
        <v>0.357</v>
      </c>
      <c r="BN204" s="1">
        <v>0.386</v>
      </c>
      <c r="BO204" s="1">
        <v>0.5278</v>
      </c>
      <c r="BP204" s="1">
        <v>0.285</v>
      </c>
      <c r="BQ204" s="1">
        <v>1.5558</v>
      </c>
      <c r="BR204" s="1">
        <v>0.3603</v>
      </c>
      <c r="BS204" s="1">
        <v>0.43</v>
      </c>
      <c r="BT204" s="1">
        <v>0.31</v>
      </c>
      <c r="BU204" s="1">
        <v>0.42</v>
      </c>
      <c r="BV204" s="1">
        <v>1.16</v>
      </c>
      <c r="BW204" s="1">
        <v>0.205</v>
      </c>
      <c r="BX204" s="1">
        <v>0.771</v>
      </c>
      <c r="BY204" s="1">
        <v>0.928</v>
      </c>
      <c r="BZ204" s="1">
        <v>1.699</v>
      </c>
      <c r="CA204" s="1">
        <v>0.923</v>
      </c>
      <c r="CB204" s="1">
        <v>0.661</v>
      </c>
      <c r="CC204" s="1">
        <v>0.415</v>
      </c>
      <c r="CD204" s="1">
        <v>0.935</v>
      </c>
      <c r="CE204" s="1">
        <v>0.582</v>
      </c>
      <c r="CF204" s="1">
        <v>0.529</v>
      </c>
      <c r="CG204" s="1">
        <v>3.122</v>
      </c>
      <c r="CH204" s="1">
        <v>0.821</v>
      </c>
      <c r="CI204" s="1">
        <v>7.5368</v>
      </c>
      <c r="CJ204" s="1">
        <v>0.639</v>
      </c>
      <c r="CK204" s="1">
        <v>0.0</v>
      </c>
      <c r="CL204" s="1">
        <v>0.0</v>
      </c>
      <c r="CM204" s="1">
        <v>0.0</v>
      </c>
      <c r="CN204" s="1">
        <v>0.0</v>
      </c>
      <c r="CO204" s="1">
        <v>0.0</v>
      </c>
      <c r="CP204" s="1">
        <v>0.0</v>
      </c>
      <c r="CQ204" s="1">
        <v>0.0</v>
      </c>
      <c r="CR204" s="1">
        <v>0.0</v>
      </c>
      <c r="CS204" s="1">
        <v>0.0</v>
      </c>
      <c r="CT204" s="1">
        <v>0.0</v>
      </c>
      <c r="CU204" s="1">
        <v>1.0</v>
      </c>
      <c r="CV204" s="1">
        <v>1.0</v>
      </c>
      <c r="CW204" s="1">
        <v>0.0</v>
      </c>
      <c r="CX204" s="1">
        <v>0.0</v>
      </c>
      <c r="CY204" s="1">
        <v>1.0</v>
      </c>
      <c r="CZ204" s="1">
        <v>0.0</v>
      </c>
      <c r="DA204" s="1">
        <v>0.0</v>
      </c>
      <c r="DB204" s="1">
        <v>1.0</v>
      </c>
      <c r="DC204" s="1">
        <v>2.0</v>
      </c>
      <c r="DD204" s="1" t="s">
        <v>1071</v>
      </c>
      <c r="DE204" s="1">
        <v>5.78696897383591E-4</v>
      </c>
      <c r="DF204" s="2" t="s">
        <v>1072</v>
      </c>
    </row>
    <row r="205" ht="15.75" customHeight="1">
      <c r="A205" s="1" t="s">
        <v>1073</v>
      </c>
      <c r="B205" s="1">
        <v>29.0</v>
      </c>
      <c r="C205" s="2" t="s">
        <v>1023</v>
      </c>
      <c r="D205" s="2" t="s">
        <v>1003</v>
      </c>
      <c r="E205" s="1">
        <v>1.976</v>
      </c>
      <c r="F205" s="1">
        <v>29047.0</v>
      </c>
      <c r="G205" s="1">
        <v>2.90470205E10</v>
      </c>
      <c r="H205" s="1" t="s">
        <v>112</v>
      </c>
      <c r="I205" s="1" t="s">
        <v>113</v>
      </c>
      <c r="J205" s="1" t="s">
        <v>1025</v>
      </c>
      <c r="K205" s="1" t="s">
        <v>1074</v>
      </c>
      <c r="L205" s="1">
        <v>5911.0</v>
      </c>
      <c r="M205" s="1">
        <v>5380.0</v>
      </c>
      <c r="N205" s="1">
        <v>520.0</v>
      </c>
      <c r="O205" s="1">
        <v>2635.0</v>
      </c>
      <c r="P205" s="1">
        <v>2568.0</v>
      </c>
      <c r="Q205" s="1">
        <v>137.0</v>
      </c>
      <c r="R205" s="1">
        <v>2429.0</v>
      </c>
      <c r="S205" s="1">
        <v>733.0</v>
      </c>
      <c r="T205" s="1">
        <v>264.0</v>
      </c>
      <c r="U205" s="1">
        <v>118.0</v>
      </c>
      <c r="V205" s="1">
        <v>431.0</v>
      </c>
      <c r="W205" s="1">
        <v>21448.0</v>
      </c>
      <c r="X205" s="1">
        <v>2296.0</v>
      </c>
      <c r="Y205" s="1">
        <v>507.0</v>
      </c>
      <c r="Z205" s="1">
        <v>284.0</v>
      </c>
      <c r="AA205" s="1">
        <v>711.0</v>
      </c>
      <c r="AB205" s="1">
        <v>1511.0</v>
      </c>
      <c r="AC205" s="1">
        <v>408.0</v>
      </c>
      <c r="AD205" s="1">
        <v>1525.0</v>
      </c>
      <c r="AE205" s="1">
        <v>225.0</v>
      </c>
      <c r="AF205" s="1">
        <v>434.0</v>
      </c>
      <c r="AG205" s="1">
        <v>121.0</v>
      </c>
      <c r="AH205" s="1">
        <v>103.0</v>
      </c>
      <c r="AI205" s="1">
        <v>0.0</v>
      </c>
      <c r="AJ205" s="1">
        <v>114.0</v>
      </c>
      <c r="AK205" s="1">
        <v>18.0</v>
      </c>
      <c r="AL205" s="1">
        <v>117.0</v>
      </c>
      <c r="AM205" s="1">
        <v>213.0</v>
      </c>
      <c r="AN205" s="1">
        <v>103.0</v>
      </c>
      <c r="AO205" s="1">
        <v>0.0</v>
      </c>
      <c r="AP205" s="1">
        <v>0.136549</v>
      </c>
      <c r="AQ205" s="1">
        <v>0.047375</v>
      </c>
      <c r="AR205" s="1">
        <v>0.042476</v>
      </c>
      <c r="AS205" s="1">
        <v>0.155067</v>
      </c>
      <c r="AT205" s="1">
        <v>21448.0</v>
      </c>
      <c r="AU205" s="1">
        <v>2296.0</v>
      </c>
      <c r="AV205" s="1">
        <v>0.141541</v>
      </c>
      <c r="AW205" s="1">
        <v>0.078622</v>
      </c>
      <c r="AX205" s="1">
        <v>0.120284</v>
      </c>
      <c r="AY205" s="1">
        <v>0.255625</v>
      </c>
      <c r="AZ205" s="1">
        <v>0.16797035</v>
      </c>
      <c r="BA205" s="1">
        <v>0.257993</v>
      </c>
      <c r="BB205" s="1">
        <v>0.045262</v>
      </c>
      <c r="BC205" s="1">
        <v>0.087226</v>
      </c>
      <c r="BD205" s="1">
        <v>0.047118</v>
      </c>
      <c r="BE205" s="1">
        <v>0.04003</v>
      </c>
      <c r="BF205" s="1">
        <v>0.0</v>
      </c>
      <c r="BG205" s="1">
        <v>0.044392</v>
      </c>
      <c r="BH205" s="1">
        <v>0.007768</v>
      </c>
      <c r="BI205" s="1">
        <v>0.050493</v>
      </c>
      <c r="BJ205" s="1">
        <v>0.091929</v>
      </c>
      <c r="BK205" s="1">
        <v>0.044064</v>
      </c>
      <c r="BL205" s="1">
        <v>0.0</v>
      </c>
      <c r="BM205" s="1">
        <v>0.529</v>
      </c>
      <c r="BN205" s="1">
        <v>0.215</v>
      </c>
      <c r="BO205" s="1">
        <v>0.5249</v>
      </c>
      <c r="BP205" s="1">
        <v>0.53</v>
      </c>
      <c r="BQ205" s="1">
        <v>1.7989</v>
      </c>
      <c r="BR205" s="1">
        <v>0.4296</v>
      </c>
      <c r="BS205" s="1">
        <v>0.348</v>
      </c>
      <c r="BT205" s="1">
        <v>0.658</v>
      </c>
      <c r="BU205" s="1">
        <v>0.841</v>
      </c>
      <c r="BV205" s="1">
        <v>1.847</v>
      </c>
      <c r="BW205" s="1">
        <v>0.766</v>
      </c>
      <c r="BX205" s="1">
        <v>0.765</v>
      </c>
      <c r="BY205" s="1">
        <v>0.953</v>
      </c>
      <c r="BZ205" s="1">
        <v>1.718</v>
      </c>
      <c r="CA205" s="1">
        <v>0.931</v>
      </c>
      <c r="CB205" s="1">
        <v>0.645</v>
      </c>
      <c r="CC205" s="1">
        <v>0.0</v>
      </c>
      <c r="CD205" s="1">
        <v>0.427</v>
      </c>
      <c r="CE205" s="1">
        <v>0.725</v>
      </c>
      <c r="CF205" s="1">
        <v>0.0</v>
      </c>
      <c r="CG205" s="1">
        <v>1.797</v>
      </c>
      <c r="CH205" s="1">
        <v>0.266</v>
      </c>
      <c r="CI205" s="1">
        <v>7.1609</v>
      </c>
      <c r="CJ205" s="1">
        <v>0.5819</v>
      </c>
      <c r="CK205" s="1">
        <v>0.0</v>
      </c>
      <c r="CL205" s="1">
        <v>0.0</v>
      </c>
      <c r="CM205" s="1">
        <v>0.0</v>
      </c>
      <c r="CN205" s="1">
        <v>0.0</v>
      </c>
      <c r="CO205" s="1">
        <v>0.0</v>
      </c>
      <c r="CP205" s="1">
        <v>0.0</v>
      </c>
      <c r="CQ205" s="1">
        <v>0.0</v>
      </c>
      <c r="CR205" s="1">
        <v>0.0</v>
      </c>
      <c r="CS205" s="1">
        <v>0.0</v>
      </c>
      <c r="CT205" s="1">
        <v>0.0</v>
      </c>
      <c r="CU205" s="1">
        <v>1.0</v>
      </c>
      <c r="CV205" s="1">
        <v>1.0</v>
      </c>
      <c r="CW205" s="1">
        <v>0.0</v>
      </c>
      <c r="CX205" s="1">
        <v>0.0</v>
      </c>
      <c r="CY205" s="1">
        <v>0.0</v>
      </c>
      <c r="CZ205" s="1">
        <v>0.0</v>
      </c>
      <c r="DA205" s="1">
        <v>0.0</v>
      </c>
      <c r="DB205" s="1">
        <v>0.0</v>
      </c>
      <c r="DC205" s="1">
        <v>1.0</v>
      </c>
      <c r="DD205" s="1" t="s">
        <v>1075</v>
      </c>
      <c r="DE205" s="1">
        <v>5.3159002484817E-4</v>
      </c>
      <c r="DF205" s="1">
        <v>0.0878730884573765</v>
      </c>
    </row>
    <row r="206" ht="15.75" customHeight="1">
      <c r="A206" s="1" t="s">
        <v>1076</v>
      </c>
      <c r="B206" s="1">
        <v>29.0</v>
      </c>
      <c r="C206" s="2" t="s">
        <v>1023</v>
      </c>
      <c r="D206" s="2" t="s">
        <v>1077</v>
      </c>
      <c r="E206" s="1">
        <v>2.302</v>
      </c>
      <c r="F206" s="1">
        <v>29047.0</v>
      </c>
      <c r="G206" s="1">
        <v>2.9047020602E10</v>
      </c>
      <c r="H206" s="1" t="s">
        <v>112</v>
      </c>
      <c r="I206" s="1" t="s">
        <v>113</v>
      </c>
      <c r="J206" s="1" t="s">
        <v>1025</v>
      </c>
      <c r="K206" s="1" t="s">
        <v>1078</v>
      </c>
      <c r="L206" s="1">
        <v>4098.0</v>
      </c>
      <c r="M206" s="1">
        <v>3492.0</v>
      </c>
      <c r="N206" s="1">
        <v>397.0</v>
      </c>
      <c r="O206" s="1">
        <v>1928.0</v>
      </c>
      <c r="P206" s="1">
        <v>1875.0</v>
      </c>
      <c r="Q206" s="1">
        <v>73.0</v>
      </c>
      <c r="R206" s="1">
        <v>1761.0</v>
      </c>
      <c r="S206" s="1">
        <v>411.0</v>
      </c>
      <c r="T206" s="1">
        <v>171.0</v>
      </c>
      <c r="U206" s="1">
        <v>231.0</v>
      </c>
      <c r="V206" s="1">
        <v>357.0</v>
      </c>
      <c r="W206" s="1">
        <v>24139.0</v>
      </c>
      <c r="X206" s="1">
        <v>3115.0</v>
      </c>
      <c r="Y206" s="1">
        <v>312.0</v>
      </c>
      <c r="Z206" s="1">
        <v>253.0</v>
      </c>
      <c r="AA206" s="1">
        <v>395.0</v>
      </c>
      <c r="AB206" s="1">
        <v>1079.0</v>
      </c>
      <c r="AC206" s="1">
        <v>334.0</v>
      </c>
      <c r="AD206" s="1">
        <v>1285.0</v>
      </c>
      <c r="AE206" s="1">
        <v>68.0</v>
      </c>
      <c r="AF206" s="1">
        <v>414.0</v>
      </c>
      <c r="AG206" s="1">
        <v>327.0</v>
      </c>
      <c r="AH206" s="1">
        <v>97.0</v>
      </c>
      <c r="AI206" s="1">
        <v>9.0</v>
      </c>
      <c r="AJ206" s="1">
        <v>14.0</v>
      </c>
      <c r="AK206" s="1">
        <v>20.0</v>
      </c>
      <c r="AL206" s="1">
        <v>116.0</v>
      </c>
      <c r="AM206" s="1">
        <v>145.0</v>
      </c>
      <c r="AN206" s="1">
        <v>69.0</v>
      </c>
      <c r="AO206" s="1">
        <v>35.0</v>
      </c>
      <c r="AP206" s="1">
        <v>0.118137</v>
      </c>
      <c r="AQ206" s="1">
        <v>0.047286</v>
      </c>
      <c r="AR206" s="1">
        <v>0.126783</v>
      </c>
      <c r="AS206" s="1">
        <v>0.19517</v>
      </c>
      <c r="AT206" s="1">
        <v>24139.0</v>
      </c>
      <c r="AU206" s="1">
        <v>3115.0</v>
      </c>
      <c r="AV206" s="1">
        <v>0.132879</v>
      </c>
      <c r="AW206" s="1">
        <v>0.106975</v>
      </c>
      <c r="AX206" s="1">
        <v>0.096388</v>
      </c>
      <c r="AY206" s="1">
        <v>0.263299</v>
      </c>
      <c r="AZ206" s="1">
        <v>0.18966496</v>
      </c>
      <c r="BA206" s="1">
        <v>0.313567</v>
      </c>
      <c r="BB206" s="1">
        <v>0.021137</v>
      </c>
      <c r="BC206" s="1">
        <v>0.12867</v>
      </c>
      <c r="BD206" s="1">
        <v>0.1744</v>
      </c>
      <c r="BE206" s="1">
        <v>0.051285</v>
      </c>
      <c r="BF206" s="1">
        <v>0.0048</v>
      </c>
      <c r="BG206" s="1">
        <v>0.007464</v>
      </c>
      <c r="BH206" s="1">
        <v>0.011702</v>
      </c>
      <c r="BI206" s="1">
        <v>0.067869</v>
      </c>
      <c r="BJ206" s="1">
        <v>0.084844</v>
      </c>
      <c r="BK206" s="1">
        <v>0.039839</v>
      </c>
      <c r="BL206" s="1">
        <v>0.00854</v>
      </c>
      <c r="BM206" s="1">
        <v>0.446</v>
      </c>
      <c r="BN206" s="1">
        <v>0.843</v>
      </c>
      <c r="BO206" s="1">
        <v>0.3892</v>
      </c>
      <c r="BP206" s="1">
        <v>0.484</v>
      </c>
      <c r="BQ206" s="1">
        <v>2.1622</v>
      </c>
      <c r="BR206" s="1">
        <v>0.5509</v>
      </c>
      <c r="BS206" s="1">
        <v>0.187</v>
      </c>
      <c r="BT206" s="1">
        <v>0.733</v>
      </c>
      <c r="BU206" s="1">
        <v>0.886</v>
      </c>
      <c r="BV206" s="1">
        <v>1.806</v>
      </c>
      <c r="BW206" s="1">
        <v>0.725</v>
      </c>
      <c r="BX206" s="1">
        <v>0.797</v>
      </c>
      <c r="BY206" s="1">
        <v>0.867</v>
      </c>
      <c r="BZ206" s="1">
        <v>1.664</v>
      </c>
      <c r="CA206" s="1">
        <v>0.903</v>
      </c>
      <c r="CB206" s="1">
        <v>0.874</v>
      </c>
      <c r="CC206" s="1">
        <v>0.391</v>
      </c>
      <c r="CD206" s="1">
        <v>0.52</v>
      </c>
      <c r="CE206" s="1">
        <v>0.702</v>
      </c>
      <c r="CF206" s="1">
        <v>0.558</v>
      </c>
      <c r="CG206" s="1">
        <v>3.045</v>
      </c>
      <c r="CH206" s="1">
        <v>0.793</v>
      </c>
      <c r="CI206" s="1">
        <v>8.6772</v>
      </c>
      <c r="CJ206" s="1">
        <v>0.8087</v>
      </c>
      <c r="CK206" s="1">
        <v>0.0</v>
      </c>
      <c r="CL206" s="1">
        <v>0.0</v>
      </c>
      <c r="CM206" s="1">
        <v>0.0</v>
      </c>
      <c r="CN206" s="1">
        <v>0.0</v>
      </c>
      <c r="CO206" s="1">
        <v>0.0</v>
      </c>
      <c r="CP206" s="1">
        <v>0.0</v>
      </c>
      <c r="CQ206" s="1">
        <v>0.0</v>
      </c>
      <c r="CR206" s="1">
        <v>0.0</v>
      </c>
      <c r="CS206" s="1">
        <v>0.0</v>
      </c>
      <c r="CT206" s="1">
        <v>0.0</v>
      </c>
      <c r="CU206" s="1">
        <v>0.0</v>
      </c>
      <c r="CV206" s="1">
        <v>0.0</v>
      </c>
      <c r="CW206" s="1">
        <v>0.0</v>
      </c>
      <c r="CX206" s="1">
        <v>0.0</v>
      </c>
      <c r="CY206" s="1">
        <v>0.0</v>
      </c>
      <c r="CZ206" s="1">
        <v>0.0</v>
      </c>
      <c r="DA206" s="1">
        <v>0.0</v>
      </c>
      <c r="DB206" s="1">
        <v>0.0</v>
      </c>
      <c r="DC206" s="1">
        <v>0.0</v>
      </c>
      <c r="DD206" s="1" t="s">
        <v>1079</v>
      </c>
      <c r="DE206" s="1">
        <v>6.79024237591104E-4</v>
      </c>
      <c r="DF206" s="2" t="s">
        <v>1080</v>
      </c>
    </row>
    <row r="207" ht="15.75" customHeight="1">
      <c r="A207" s="1" t="s">
        <v>1081</v>
      </c>
      <c r="B207" s="1">
        <v>29.0</v>
      </c>
      <c r="C207" s="2" t="s">
        <v>1023</v>
      </c>
      <c r="D207" s="2" t="s">
        <v>1082</v>
      </c>
      <c r="E207" s="1">
        <v>1.801</v>
      </c>
      <c r="F207" s="1">
        <v>29047.0</v>
      </c>
      <c r="G207" s="1">
        <v>2.9047020604E10</v>
      </c>
      <c r="H207" s="1" t="s">
        <v>112</v>
      </c>
      <c r="I207" s="1" t="s">
        <v>113</v>
      </c>
      <c r="J207" s="1" t="s">
        <v>1025</v>
      </c>
      <c r="K207" s="1" t="s">
        <v>1083</v>
      </c>
      <c r="L207" s="1">
        <v>4706.0</v>
      </c>
      <c r="M207" s="1">
        <v>4594.0</v>
      </c>
      <c r="N207" s="1">
        <v>352.0</v>
      </c>
      <c r="O207" s="1">
        <v>2073.0</v>
      </c>
      <c r="P207" s="1">
        <v>2196.0</v>
      </c>
      <c r="Q207" s="1">
        <v>74.0</v>
      </c>
      <c r="R207" s="1">
        <v>1917.0</v>
      </c>
      <c r="S207" s="1">
        <v>482.0</v>
      </c>
      <c r="T207" s="1">
        <v>209.0</v>
      </c>
      <c r="U207" s="1">
        <v>218.0</v>
      </c>
      <c r="V207" s="1">
        <v>372.0</v>
      </c>
      <c r="W207" s="1">
        <v>23264.0</v>
      </c>
      <c r="X207" s="1">
        <v>2013.0</v>
      </c>
      <c r="Y207" s="1">
        <v>435.0</v>
      </c>
      <c r="Z207" s="1">
        <v>204.0</v>
      </c>
      <c r="AA207" s="1">
        <v>534.0</v>
      </c>
      <c r="AB207" s="1">
        <v>1184.0</v>
      </c>
      <c r="AC207" s="1">
        <v>253.0</v>
      </c>
      <c r="AD207" s="1">
        <v>1124.0</v>
      </c>
      <c r="AE207" s="1">
        <v>41.0</v>
      </c>
      <c r="AF207" s="1">
        <v>428.0</v>
      </c>
      <c r="AG207" s="1">
        <v>163.0</v>
      </c>
      <c r="AH207" s="1">
        <v>61.0</v>
      </c>
      <c r="AI207" s="1">
        <v>0.0</v>
      </c>
      <c r="AJ207" s="1">
        <v>114.0</v>
      </c>
      <c r="AK207" s="1">
        <v>18.0</v>
      </c>
      <c r="AL207" s="1">
        <v>115.0</v>
      </c>
      <c r="AM207" s="1">
        <v>120.0</v>
      </c>
      <c r="AN207" s="1">
        <v>67.0</v>
      </c>
      <c r="AO207" s="1">
        <v>0.0</v>
      </c>
      <c r="AP207" s="1">
        <v>0.105217</v>
      </c>
      <c r="AQ207" s="1">
        <v>0.044897</v>
      </c>
      <c r="AR207" s="1">
        <v>0.084202</v>
      </c>
      <c r="AS207" s="1">
        <v>0.143266</v>
      </c>
      <c r="AT207" s="1">
        <v>23264.0</v>
      </c>
      <c r="AU207" s="1">
        <v>2013.0</v>
      </c>
      <c r="AV207" s="1">
        <v>0.141142</v>
      </c>
      <c r="AW207" s="1">
        <v>0.065628</v>
      </c>
      <c r="AX207" s="1">
        <v>0.113472</v>
      </c>
      <c r="AY207" s="1">
        <v>0.251593</v>
      </c>
      <c r="AZ207" s="1">
        <v>0.13197704</v>
      </c>
      <c r="BA207" s="1">
        <v>0.238844</v>
      </c>
      <c r="BB207" s="1">
        <v>0.009514</v>
      </c>
      <c r="BC207" s="1">
        <v>0.099324</v>
      </c>
      <c r="BD207" s="1">
        <v>0.074225</v>
      </c>
      <c r="BE207" s="1">
        <v>0.027664</v>
      </c>
      <c r="BF207" s="1">
        <v>0.0</v>
      </c>
      <c r="BG207" s="1">
        <v>0.051912</v>
      </c>
      <c r="BH207" s="1">
        <v>0.008708</v>
      </c>
      <c r="BI207" s="1">
        <v>0.055634</v>
      </c>
      <c r="BJ207" s="1">
        <v>0.058055</v>
      </c>
      <c r="BK207" s="1">
        <v>0.032279</v>
      </c>
      <c r="BL207" s="1">
        <v>0.0</v>
      </c>
      <c r="BM207" s="1">
        <v>0.391</v>
      </c>
      <c r="BN207" s="1">
        <v>0.645</v>
      </c>
      <c r="BO207" s="1">
        <v>0.4347</v>
      </c>
      <c r="BP207" s="1">
        <v>0.526</v>
      </c>
      <c r="BQ207" s="1">
        <v>1.9967</v>
      </c>
      <c r="BR207" s="1">
        <v>0.4924</v>
      </c>
      <c r="BS207" s="1">
        <v>0.297</v>
      </c>
      <c r="BT207" s="1">
        <v>0.62</v>
      </c>
      <c r="BU207" s="1">
        <v>0.723</v>
      </c>
      <c r="BV207" s="1">
        <v>1.64</v>
      </c>
      <c r="BW207" s="1">
        <v>0.594</v>
      </c>
      <c r="BX207" s="1">
        <v>0.751</v>
      </c>
      <c r="BY207" s="1">
        <v>0.707</v>
      </c>
      <c r="BZ207" s="1">
        <v>1.458</v>
      </c>
      <c r="CA207" s="1">
        <v>0.797</v>
      </c>
      <c r="CB207" s="1">
        <v>0.723</v>
      </c>
      <c r="CC207" s="1">
        <v>0.0</v>
      </c>
      <c r="CD207" s="1">
        <v>0.451</v>
      </c>
      <c r="CE207" s="1">
        <v>0.555</v>
      </c>
      <c r="CF207" s="1">
        <v>0.0</v>
      </c>
      <c r="CG207" s="1">
        <v>1.729</v>
      </c>
      <c r="CH207" s="1">
        <v>0.242</v>
      </c>
      <c r="CI207" s="1">
        <v>6.8237</v>
      </c>
      <c r="CJ207" s="1">
        <v>0.5162</v>
      </c>
      <c r="CK207" s="1">
        <v>0.0</v>
      </c>
      <c r="CL207" s="1">
        <v>0.0</v>
      </c>
      <c r="CM207" s="1">
        <v>0.0</v>
      </c>
      <c r="CN207" s="1">
        <v>0.0</v>
      </c>
      <c r="CO207" s="1">
        <v>0.0</v>
      </c>
      <c r="CP207" s="1">
        <v>0.0</v>
      </c>
      <c r="CQ207" s="1">
        <v>0.0</v>
      </c>
      <c r="CR207" s="1">
        <v>0.0</v>
      </c>
      <c r="CS207" s="1">
        <v>0.0</v>
      </c>
      <c r="CT207" s="1">
        <v>0.0</v>
      </c>
      <c r="CU207" s="1">
        <v>0.0</v>
      </c>
      <c r="CV207" s="1">
        <v>0.0</v>
      </c>
      <c r="CW207" s="1">
        <v>0.0</v>
      </c>
      <c r="CX207" s="1">
        <v>0.0</v>
      </c>
      <c r="CY207" s="1">
        <v>0.0</v>
      </c>
      <c r="CZ207" s="1">
        <v>0.0</v>
      </c>
      <c r="DA207" s="1">
        <v>0.0</v>
      </c>
      <c r="DB207" s="1">
        <v>0.0</v>
      </c>
      <c r="DC207" s="1">
        <v>0.0</v>
      </c>
      <c r="DD207" s="1" t="s">
        <v>1084</v>
      </c>
      <c r="DE207" s="1">
        <v>4.90169642945552E-4</v>
      </c>
      <c r="DF207" s="2" t="s">
        <v>1085</v>
      </c>
    </row>
    <row r="208" ht="15.75" customHeight="1">
      <c r="A208" s="1" t="s">
        <v>1086</v>
      </c>
      <c r="B208" s="1">
        <v>29.0</v>
      </c>
      <c r="C208" s="2" t="s">
        <v>1023</v>
      </c>
      <c r="D208" s="2" t="s">
        <v>1087</v>
      </c>
      <c r="E208" s="1">
        <v>3.404</v>
      </c>
      <c r="F208" s="1">
        <v>29047.0</v>
      </c>
      <c r="G208" s="1">
        <v>2.9047020801E10</v>
      </c>
      <c r="H208" s="1" t="s">
        <v>112</v>
      </c>
      <c r="I208" s="1" t="s">
        <v>113</v>
      </c>
      <c r="J208" s="1" t="s">
        <v>1025</v>
      </c>
      <c r="K208" s="1" t="s">
        <v>1088</v>
      </c>
      <c r="L208" s="1">
        <v>6287.0</v>
      </c>
      <c r="M208" s="1">
        <v>6846.0</v>
      </c>
      <c r="N208" s="1">
        <v>442.0</v>
      </c>
      <c r="O208" s="1">
        <v>2900.0</v>
      </c>
      <c r="P208" s="1">
        <v>3080.0</v>
      </c>
      <c r="Q208" s="1">
        <v>214.0</v>
      </c>
      <c r="R208" s="1">
        <v>2670.0</v>
      </c>
      <c r="S208" s="1">
        <v>355.0</v>
      </c>
      <c r="T208" s="1">
        <v>152.0</v>
      </c>
      <c r="U208" s="1">
        <v>180.0</v>
      </c>
      <c r="V208" s="1">
        <v>389.0</v>
      </c>
      <c r="W208" s="1">
        <v>28377.0</v>
      </c>
      <c r="X208" s="1">
        <v>2181.0</v>
      </c>
      <c r="Y208" s="1">
        <v>725.0</v>
      </c>
      <c r="Z208" s="1">
        <v>263.0</v>
      </c>
      <c r="AA208" s="1">
        <v>994.0</v>
      </c>
      <c r="AB208" s="1">
        <v>1360.0</v>
      </c>
      <c r="AC208" s="1">
        <v>281.0</v>
      </c>
      <c r="AD208" s="1">
        <v>720.0</v>
      </c>
      <c r="AE208" s="1">
        <v>20.0</v>
      </c>
      <c r="AF208" s="1">
        <v>427.0</v>
      </c>
      <c r="AG208" s="1">
        <v>99.0</v>
      </c>
      <c r="AH208" s="1">
        <v>135.0</v>
      </c>
      <c r="AI208" s="1">
        <v>261.0</v>
      </c>
      <c r="AJ208" s="1">
        <v>85.0</v>
      </c>
      <c r="AK208" s="1">
        <v>0.0</v>
      </c>
      <c r="AL208" s="1">
        <v>161.0</v>
      </c>
      <c r="AM208" s="1">
        <v>45.0</v>
      </c>
      <c r="AN208" s="1">
        <v>30.0</v>
      </c>
      <c r="AO208" s="1">
        <v>94.0</v>
      </c>
      <c r="AP208" s="1">
        <v>0.052953</v>
      </c>
      <c r="AQ208" s="1">
        <v>0.022402</v>
      </c>
      <c r="AR208" s="1">
        <v>0.050293</v>
      </c>
      <c r="AS208" s="1">
        <v>0.108553</v>
      </c>
      <c r="AT208" s="1">
        <v>28377.0</v>
      </c>
      <c r="AU208" s="1">
        <v>2181.0</v>
      </c>
      <c r="AV208" s="1">
        <v>0.150321</v>
      </c>
      <c r="AW208" s="1">
        <v>0.053503</v>
      </c>
      <c r="AX208" s="1">
        <v>0.158104</v>
      </c>
      <c r="AY208" s="1">
        <v>0.216319</v>
      </c>
      <c r="AZ208" s="1">
        <v>0.10524344</v>
      </c>
      <c r="BA208" s="1">
        <v>0.114522</v>
      </c>
      <c r="BB208" s="1">
        <v>0.003144</v>
      </c>
      <c r="BC208" s="1">
        <v>0.067138</v>
      </c>
      <c r="BD208" s="1">
        <v>0.032142</v>
      </c>
      <c r="BE208" s="1">
        <v>0.043774</v>
      </c>
      <c r="BF208" s="1">
        <v>0.08474</v>
      </c>
      <c r="BG208" s="1">
        <v>0.026962</v>
      </c>
      <c r="BH208" s="1">
        <v>0.0</v>
      </c>
      <c r="BI208" s="1">
        <v>0.057152</v>
      </c>
      <c r="BJ208" s="1">
        <v>0.015974</v>
      </c>
      <c r="BK208" s="1">
        <v>0.010579</v>
      </c>
      <c r="BL208" s="1">
        <v>0.014951</v>
      </c>
      <c r="BM208" s="1">
        <v>0.182</v>
      </c>
      <c r="BN208" s="1">
        <v>0.294</v>
      </c>
      <c r="BO208" s="1">
        <v>0.2361</v>
      </c>
      <c r="BP208" s="1">
        <v>0.569</v>
      </c>
      <c r="BQ208" s="1">
        <v>1.2811</v>
      </c>
      <c r="BR208" s="1">
        <v>0.2751</v>
      </c>
      <c r="BS208" s="1">
        <v>0.652</v>
      </c>
      <c r="BT208" s="1">
        <v>0.279</v>
      </c>
      <c r="BU208" s="1">
        <v>0.542</v>
      </c>
      <c r="BV208" s="1">
        <v>1.473</v>
      </c>
      <c r="BW208" s="1">
        <v>0.458</v>
      </c>
      <c r="BX208" s="1">
        <v>0.518</v>
      </c>
      <c r="BY208" s="1">
        <v>0.458</v>
      </c>
      <c r="BZ208" s="1">
        <v>0.976</v>
      </c>
      <c r="CA208" s="1">
        <v>0.533</v>
      </c>
      <c r="CB208" s="1">
        <v>0.563</v>
      </c>
      <c r="CC208" s="1">
        <v>0.684</v>
      </c>
      <c r="CD208" s="1">
        <v>0.0</v>
      </c>
      <c r="CE208" s="1">
        <v>0.141</v>
      </c>
      <c r="CF208" s="1">
        <v>0.646</v>
      </c>
      <c r="CG208" s="1">
        <v>2.034</v>
      </c>
      <c r="CH208" s="1">
        <v>0.36</v>
      </c>
      <c r="CI208" s="1">
        <v>5.7641</v>
      </c>
      <c r="CJ208" s="1">
        <v>0.3343</v>
      </c>
      <c r="CK208" s="1">
        <v>0.0</v>
      </c>
      <c r="CL208" s="1">
        <v>0.0</v>
      </c>
      <c r="CM208" s="1">
        <v>0.0</v>
      </c>
      <c r="CN208" s="1">
        <v>0.0</v>
      </c>
      <c r="CO208" s="1">
        <v>0.0</v>
      </c>
      <c r="CP208" s="1">
        <v>0.0</v>
      </c>
      <c r="CQ208" s="1">
        <v>0.0</v>
      </c>
      <c r="CR208" s="1">
        <v>0.0</v>
      </c>
      <c r="CS208" s="1">
        <v>0.0</v>
      </c>
      <c r="CT208" s="1">
        <v>0.0</v>
      </c>
      <c r="CU208" s="1">
        <v>0.0</v>
      </c>
      <c r="CV208" s="1">
        <v>0.0</v>
      </c>
      <c r="CW208" s="1">
        <v>0.0</v>
      </c>
      <c r="CX208" s="1">
        <v>0.0</v>
      </c>
      <c r="CY208" s="1">
        <v>0.0</v>
      </c>
      <c r="CZ208" s="1">
        <v>0.0</v>
      </c>
      <c r="DA208" s="1">
        <v>0.0</v>
      </c>
      <c r="DB208" s="1">
        <v>0.0</v>
      </c>
      <c r="DC208" s="1">
        <v>0.0</v>
      </c>
      <c r="DD208" s="1" t="s">
        <v>1089</v>
      </c>
      <c r="DE208" s="1">
        <v>9.21459548166375E-4</v>
      </c>
      <c r="DF208" s="2" t="s">
        <v>1090</v>
      </c>
    </row>
    <row r="209" ht="15.75" customHeight="1">
      <c r="A209" s="1" t="s">
        <v>1091</v>
      </c>
      <c r="B209" s="1">
        <v>29.0</v>
      </c>
      <c r="C209" s="2" t="s">
        <v>1023</v>
      </c>
      <c r="D209" s="2" t="s">
        <v>1092</v>
      </c>
      <c r="E209" s="1">
        <v>2.117</v>
      </c>
      <c r="F209" s="1">
        <v>29047.0</v>
      </c>
      <c r="G209" s="1">
        <v>2.9047020901E10</v>
      </c>
      <c r="H209" s="1" t="s">
        <v>112</v>
      </c>
      <c r="I209" s="1" t="s">
        <v>113</v>
      </c>
      <c r="J209" s="1" t="s">
        <v>1025</v>
      </c>
      <c r="K209" s="1" t="s">
        <v>1093</v>
      </c>
      <c r="L209" s="1">
        <v>5658.0</v>
      </c>
      <c r="M209" s="1">
        <v>5899.0</v>
      </c>
      <c r="N209" s="1">
        <v>340.0</v>
      </c>
      <c r="O209" s="1">
        <v>2489.0</v>
      </c>
      <c r="P209" s="1">
        <v>2611.0</v>
      </c>
      <c r="Q209" s="1">
        <v>64.0</v>
      </c>
      <c r="R209" s="1">
        <v>2347.0</v>
      </c>
      <c r="S209" s="1">
        <v>383.0</v>
      </c>
      <c r="T209" s="1">
        <v>318.0</v>
      </c>
      <c r="U209" s="1">
        <v>109.0</v>
      </c>
      <c r="V209" s="1">
        <v>431.0</v>
      </c>
      <c r="W209" s="1">
        <v>35725.0</v>
      </c>
      <c r="X209" s="1">
        <v>4483.0</v>
      </c>
      <c r="Y209" s="1">
        <v>376.0</v>
      </c>
      <c r="Z209" s="1">
        <v>296.0</v>
      </c>
      <c r="AA209" s="1">
        <v>768.0</v>
      </c>
      <c r="AB209" s="1">
        <v>1253.0</v>
      </c>
      <c r="AC209" s="1">
        <v>203.0</v>
      </c>
      <c r="AD209" s="1">
        <v>872.0</v>
      </c>
      <c r="AE209" s="1">
        <v>84.0</v>
      </c>
      <c r="AF209" s="1">
        <v>418.0</v>
      </c>
      <c r="AG209" s="1">
        <v>168.0</v>
      </c>
      <c r="AH209" s="1">
        <v>138.0</v>
      </c>
      <c r="AI209" s="1">
        <v>0.0</v>
      </c>
      <c r="AJ209" s="1">
        <v>114.0</v>
      </c>
      <c r="AK209" s="1">
        <v>0.0</v>
      </c>
      <c r="AL209" s="1">
        <v>161.0</v>
      </c>
      <c r="AM209" s="1">
        <v>91.0</v>
      </c>
      <c r="AN209" s="1">
        <v>64.0</v>
      </c>
      <c r="AO209" s="1">
        <v>8.0</v>
      </c>
      <c r="AP209" s="1">
        <v>0.064926</v>
      </c>
      <c r="AQ209" s="1">
        <v>0.053777</v>
      </c>
      <c r="AR209" s="1">
        <v>0.03547</v>
      </c>
      <c r="AS209" s="1">
        <v>0.140201</v>
      </c>
      <c r="AT209" s="1">
        <v>35725.0</v>
      </c>
      <c r="AU209" s="1">
        <v>4483.0</v>
      </c>
      <c r="AV209" s="1">
        <v>0.09135</v>
      </c>
      <c r="AW209" s="1">
        <v>0.071691</v>
      </c>
      <c r="AX209" s="1">
        <v>0.135737</v>
      </c>
      <c r="AY209" s="1">
        <v>0.221456</v>
      </c>
      <c r="AZ209" s="1">
        <v>0.08649339</v>
      </c>
      <c r="BA209" s="1">
        <v>0.154118</v>
      </c>
      <c r="BB209" s="1">
        <v>0.015654</v>
      </c>
      <c r="BC209" s="1">
        <v>0.07789</v>
      </c>
      <c r="BD209" s="1">
        <v>0.064343</v>
      </c>
      <c r="BE209" s="1">
        <v>0.052829</v>
      </c>
      <c r="BF209" s="1">
        <v>0.0</v>
      </c>
      <c r="BG209" s="1">
        <v>0.043661</v>
      </c>
      <c r="BH209" s="1">
        <v>0.0</v>
      </c>
      <c r="BI209" s="1">
        <v>0.064658</v>
      </c>
      <c r="BJ209" s="1">
        <v>0.036546</v>
      </c>
      <c r="BK209" s="1">
        <v>0.025652</v>
      </c>
      <c r="BL209" s="1">
        <v>0.001413</v>
      </c>
      <c r="BM209" s="1">
        <v>0.225</v>
      </c>
      <c r="BN209" s="1">
        <v>0.139</v>
      </c>
      <c r="BO209" s="1">
        <v>0.1076</v>
      </c>
      <c r="BP209" s="1">
        <v>0.299</v>
      </c>
      <c r="BQ209" s="1">
        <v>0.7706</v>
      </c>
      <c r="BR209" s="1">
        <v>0.1502</v>
      </c>
      <c r="BS209" s="1">
        <v>0.459</v>
      </c>
      <c r="BT209" s="1">
        <v>0.311</v>
      </c>
      <c r="BU209" s="1">
        <v>0.371</v>
      </c>
      <c r="BV209" s="1">
        <v>1.141</v>
      </c>
      <c r="BW209" s="1">
        <v>0.192</v>
      </c>
      <c r="BX209" s="1">
        <v>0.637</v>
      </c>
      <c r="BY209" s="1">
        <v>0.817</v>
      </c>
      <c r="BZ209" s="1">
        <v>1.454</v>
      </c>
      <c r="CA209" s="1">
        <v>0.794</v>
      </c>
      <c r="CB209" s="1">
        <v>0.698</v>
      </c>
      <c r="CC209" s="1">
        <v>0.0</v>
      </c>
      <c r="CD209" s="1">
        <v>0.0</v>
      </c>
      <c r="CE209" s="1">
        <v>0.348</v>
      </c>
      <c r="CF209" s="1">
        <v>0.421</v>
      </c>
      <c r="CG209" s="1">
        <v>1.467</v>
      </c>
      <c r="CH209" s="1">
        <v>0.163</v>
      </c>
      <c r="CI209" s="1">
        <v>4.8326</v>
      </c>
      <c r="CJ209" s="1">
        <v>0.1827</v>
      </c>
      <c r="CK209" s="1">
        <v>0.0</v>
      </c>
      <c r="CL209" s="1">
        <v>0.0</v>
      </c>
      <c r="CM209" s="1">
        <v>0.0</v>
      </c>
      <c r="CN209" s="1">
        <v>0.0</v>
      </c>
      <c r="CO209" s="1">
        <v>0.0</v>
      </c>
      <c r="CP209" s="1">
        <v>0.0</v>
      </c>
      <c r="CQ209" s="1">
        <v>0.0</v>
      </c>
      <c r="CR209" s="1">
        <v>0.0</v>
      </c>
      <c r="CS209" s="1">
        <v>0.0</v>
      </c>
      <c r="CT209" s="1">
        <v>0.0</v>
      </c>
      <c r="CU209" s="1">
        <v>0.0</v>
      </c>
      <c r="CV209" s="1">
        <v>0.0</v>
      </c>
      <c r="CW209" s="1">
        <v>0.0</v>
      </c>
      <c r="CX209" s="1">
        <v>0.0</v>
      </c>
      <c r="CY209" s="1">
        <v>0.0</v>
      </c>
      <c r="CZ209" s="1">
        <v>0.0</v>
      </c>
      <c r="DA209" s="1">
        <v>0.0</v>
      </c>
      <c r="DB209" s="1">
        <v>0.0</v>
      </c>
      <c r="DC209" s="1">
        <v>0.0</v>
      </c>
      <c r="DD209" s="1" t="s">
        <v>1094</v>
      </c>
      <c r="DE209" s="1">
        <v>5.73538969343934E-4</v>
      </c>
      <c r="DF209" s="2" t="s">
        <v>1095</v>
      </c>
    </row>
    <row r="210" ht="15.75" customHeight="1">
      <c r="A210" s="1" t="s">
        <v>1096</v>
      </c>
      <c r="B210" s="1">
        <v>29.0</v>
      </c>
      <c r="C210" s="2" t="s">
        <v>1023</v>
      </c>
      <c r="D210" s="2" t="s">
        <v>1097</v>
      </c>
      <c r="E210" s="1">
        <v>1.569</v>
      </c>
      <c r="F210" s="1">
        <v>29047.0</v>
      </c>
      <c r="G210" s="1">
        <v>2.9047020902E10</v>
      </c>
      <c r="H210" s="1" t="s">
        <v>112</v>
      </c>
      <c r="I210" s="1" t="s">
        <v>113</v>
      </c>
      <c r="J210" s="1" t="s">
        <v>1025</v>
      </c>
      <c r="K210" s="1" t="s">
        <v>1098</v>
      </c>
      <c r="L210" s="1">
        <v>2369.0</v>
      </c>
      <c r="M210" s="1">
        <v>2414.0</v>
      </c>
      <c r="N210" s="1">
        <v>186.0</v>
      </c>
      <c r="O210" s="1">
        <v>980.0</v>
      </c>
      <c r="P210" s="1">
        <v>1041.0</v>
      </c>
      <c r="Q210" s="1">
        <v>51.0</v>
      </c>
      <c r="R210" s="1">
        <v>900.0</v>
      </c>
      <c r="S210" s="1">
        <v>313.0</v>
      </c>
      <c r="T210" s="1">
        <v>226.0</v>
      </c>
      <c r="U210" s="1">
        <v>67.0</v>
      </c>
      <c r="V210" s="1">
        <v>487.0</v>
      </c>
      <c r="W210" s="1">
        <v>24344.0</v>
      </c>
      <c r="X210" s="1">
        <v>3149.0</v>
      </c>
      <c r="Y210" s="1">
        <v>226.0</v>
      </c>
      <c r="Z210" s="1">
        <v>313.0</v>
      </c>
      <c r="AA210" s="1">
        <v>249.0</v>
      </c>
      <c r="AB210" s="1">
        <v>645.0</v>
      </c>
      <c r="AC210" s="1">
        <v>103.0</v>
      </c>
      <c r="AD210" s="1">
        <v>434.0</v>
      </c>
      <c r="AE210" s="1">
        <v>111.0</v>
      </c>
      <c r="AF210" s="1">
        <v>424.0</v>
      </c>
      <c r="AG210" s="1">
        <v>40.0</v>
      </c>
      <c r="AH210" s="1">
        <v>167.0</v>
      </c>
      <c r="AI210" s="1">
        <v>0.0</v>
      </c>
      <c r="AJ210" s="1">
        <v>114.0</v>
      </c>
      <c r="AK210" s="1">
        <v>19.0</v>
      </c>
      <c r="AL210" s="1">
        <v>117.0</v>
      </c>
      <c r="AM210" s="1">
        <v>55.0</v>
      </c>
      <c r="AN210" s="1">
        <v>42.0</v>
      </c>
      <c r="AO210" s="1">
        <v>0.0</v>
      </c>
      <c r="AP210" s="1">
        <v>0.12966</v>
      </c>
      <c r="AQ210" s="1">
        <v>0.093085</v>
      </c>
      <c r="AR210" s="1">
        <v>0.047484</v>
      </c>
      <c r="AS210" s="1">
        <v>0.344997</v>
      </c>
      <c r="AT210" s="1">
        <v>24344.0</v>
      </c>
      <c r="AU210" s="1">
        <v>3149.0</v>
      </c>
      <c r="AV210" s="1">
        <v>0.13831</v>
      </c>
      <c r="AW210" s="1">
        <v>0.19111</v>
      </c>
      <c r="AX210" s="1">
        <v>0.105107</v>
      </c>
      <c r="AY210" s="1">
        <v>0.272266</v>
      </c>
      <c r="AZ210" s="1">
        <v>0.11444444</v>
      </c>
      <c r="BA210" s="1">
        <v>0.183199</v>
      </c>
      <c r="BB210" s="1">
        <v>0.051436</v>
      </c>
      <c r="BC210" s="1">
        <v>0.196423</v>
      </c>
      <c r="BD210" s="1">
        <v>0.038424</v>
      </c>
      <c r="BE210" s="1">
        <v>0.160411</v>
      </c>
      <c r="BF210" s="1">
        <v>0.0</v>
      </c>
      <c r="BG210" s="1">
        <v>0.10951</v>
      </c>
      <c r="BH210" s="1">
        <v>0.01975</v>
      </c>
      <c r="BI210" s="1">
        <v>0.121609</v>
      </c>
      <c r="BJ210" s="1">
        <v>0.057172</v>
      </c>
      <c r="BK210" s="1">
        <v>0.043365</v>
      </c>
      <c r="BL210" s="1">
        <v>0.0</v>
      </c>
      <c r="BM210" s="1">
        <v>0.495</v>
      </c>
      <c r="BN210" s="1">
        <v>0.27</v>
      </c>
      <c r="BO210" s="1">
        <v>0.3776</v>
      </c>
      <c r="BP210" s="1">
        <v>0.513</v>
      </c>
      <c r="BQ210" s="1">
        <v>1.6556</v>
      </c>
      <c r="BR210" s="1">
        <v>0.3892</v>
      </c>
      <c r="BS210" s="1">
        <v>0.241</v>
      </c>
      <c r="BT210" s="1">
        <v>0.806</v>
      </c>
      <c r="BU210" s="1">
        <v>0.625</v>
      </c>
      <c r="BV210" s="1">
        <v>1.672</v>
      </c>
      <c r="BW210" s="1">
        <v>0.617</v>
      </c>
      <c r="BX210" s="1">
        <v>0.687</v>
      </c>
      <c r="BY210" s="1">
        <v>0.962</v>
      </c>
      <c r="BZ210" s="1">
        <v>1.649</v>
      </c>
      <c r="CA210" s="1">
        <v>0.896</v>
      </c>
      <c r="CB210" s="1">
        <v>0.603</v>
      </c>
      <c r="CC210" s="1">
        <v>0.0</v>
      </c>
      <c r="CD210" s="1">
        <v>0.679</v>
      </c>
      <c r="CE210" s="1">
        <v>0.548</v>
      </c>
      <c r="CF210" s="1">
        <v>0.0</v>
      </c>
      <c r="CG210" s="1">
        <v>1.83</v>
      </c>
      <c r="CH210" s="1">
        <v>0.274</v>
      </c>
      <c r="CI210" s="1">
        <v>6.8066</v>
      </c>
      <c r="CJ210" s="1">
        <v>0.5126</v>
      </c>
      <c r="CK210" s="1">
        <v>0.0</v>
      </c>
      <c r="CL210" s="1">
        <v>0.0</v>
      </c>
      <c r="CM210" s="1">
        <v>0.0</v>
      </c>
      <c r="CN210" s="1">
        <v>0.0</v>
      </c>
      <c r="CO210" s="1">
        <v>0.0</v>
      </c>
      <c r="CP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1">
        <v>1.0</v>
      </c>
      <c r="CV210" s="1">
        <v>1.0</v>
      </c>
      <c r="CW210" s="1">
        <v>0.0</v>
      </c>
      <c r="CX210" s="1">
        <v>0.0</v>
      </c>
      <c r="CY210" s="1">
        <v>0.0</v>
      </c>
      <c r="CZ210" s="1">
        <v>0.0</v>
      </c>
      <c r="DA210" s="1">
        <v>0.0</v>
      </c>
      <c r="DB210" s="1">
        <v>0.0</v>
      </c>
      <c r="DC210" s="1">
        <v>1.0</v>
      </c>
      <c r="DD210" s="1" t="s">
        <v>1099</v>
      </c>
      <c r="DE210" s="1">
        <v>4.41701910013686E-4</v>
      </c>
      <c r="DF210" s="2" t="s">
        <v>1100</v>
      </c>
    </row>
    <row r="211" ht="15.75" customHeight="1">
      <c r="A211" s="1" t="s">
        <v>1101</v>
      </c>
      <c r="B211" s="1">
        <v>29.0</v>
      </c>
      <c r="C211" s="2" t="s">
        <v>1023</v>
      </c>
      <c r="D211" s="2" t="s">
        <v>1102</v>
      </c>
      <c r="E211" s="1">
        <v>0.98</v>
      </c>
      <c r="F211" s="1">
        <v>29047.0</v>
      </c>
      <c r="G211" s="1">
        <v>2.9047021003E10</v>
      </c>
      <c r="H211" s="1" t="s">
        <v>112</v>
      </c>
      <c r="I211" s="1" t="s">
        <v>113</v>
      </c>
      <c r="J211" s="1" t="s">
        <v>1025</v>
      </c>
      <c r="K211" s="1" t="s">
        <v>1103</v>
      </c>
      <c r="L211" s="1">
        <v>3846.0</v>
      </c>
      <c r="M211" s="1">
        <v>4082.0</v>
      </c>
      <c r="N211" s="1">
        <v>273.0</v>
      </c>
      <c r="O211" s="1">
        <v>1815.0</v>
      </c>
      <c r="P211" s="1">
        <v>1696.0</v>
      </c>
      <c r="Q211" s="1">
        <v>90.0</v>
      </c>
      <c r="R211" s="1">
        <v>1702.0</v>
      </c>
      <c r="S211" s="1">
        <v>255.0</v>
      </c>
      <c r="T211" s="1">
        <v>302.0</v>
      </c>
      <c r="U211" s="1">
        <v>120.0</v>
      </c>
      <c r="V211" s="1">
        <v>402.0</v>
      </c>
      <c r="W211" s="1">
        <v>30869.0</v>
      </c>
      <c r="X211" s="1">
        <v>3783.0</v>
      </c>
      <c r="Y211" s="1">
        <v>136.0</v>
      </c>
      <c r="Z211" s="1">
        <v>328.0</v>
      </c>
      <c r="AA211" s="1">
        <v>768.0</v>
      </c>
      <c r="AB211" s="1">
        <v>726.0</v>
      </c>
      <c r="AC211" s="1">
        <v>114.0</v>
      </c>
      <c r="AD211" s="1">
        <v>552.0</v>
      </c>
      <c r="AE211" s="1">
        <v>28.0</v>
      </c>
      <c r="AF211" s="1">
        <v>443.0</v>
      </c>
      <c r="AG211" s="1">
        <v>73.0</v>
      </c>
      <c r="AH211" s="1">
        <v>43.0</v>
      </c>
      <c r="AI211" s="1">
        <v>0.0</v>
      </c>
      <c r="AJ211" s="1">
        <v>114.0</v>
      </c>
      <c r="AK211" s="1">
        <v>0.0</v>
      </c>
      <c r="AL211" s="1">
        <v>161.0</v>
      </c>
      <c r="AM211" s="1">
        <v>8.0</v>
      </c>
      <c r="AN211" s="1">
        <v>115.0</v>
      </c>
      <c r="AO211" s="1">
        <v>36.0</v>
      </c>
      <c r="AP211" s="1">
        <v>0.066302</v>
      </c>
      <c r="AQ211" s="1">
        <v>0.078388</v>
      </c>
      <c r="AR211" s="1">
        <v>0.057361</v>
      </c>
      <c r="AS211" s="1">
        <v>0.192034</v>
      </c>
      <c r="AT211" s="1">
        <v>30869.0</v>
      </c>
      <c r="AU211" s="1">
        <v>3783.0</v>
      </c>
      <c r="AV211" s="1">
        <v>0.046655</v>
      </c>
      <c r="AW211" s="1">
        <v>0.112491</v>
      </c>
      <c r="AX211" s="1">
        <v>0.199687</v>
      </c>
      <c r="AY211" s="1">
        <v>0.188767</v>
      </c>
      <c r="AZ211" s="1">
        <v>0.06698002</v>
      </c>
      <c r="BA211" s="1">
        <v>0.143525</v>
      </c>
      <c r="BB211" s="1">
        <v>0.007192</v>
      </c>
      <c r="BC211" s="1">
        <v>0.113792</v>
      </c>
      <c r="BD211" s="1">
        <v>0.043042</v>
      </c>
      <c r="BE211" s="1">
        <v>0.02525</v>
      </c>
      <c r="BF211" s="1">
        <v>0.0</v>
      </c>
      <c r="BG211" s="1">
        <v>0.067216</v>
      </c>
      <c r="BH211" s="1">
        <v>0.0</v>
      </c>
      <c r="BI211" s="1">
        <v>0.100062</v>
      </c>
      <c r="BJ211" s="1">
        <v>0.004972</v>
      </c>
      <c r="BK211" s="1">
        <v>0.071472</v>
      </c>
      <c r="BL211" s="1">
        <v>0.00936</v>
      </c>
      <c r="BM211" s="1">
        <v>0.232</v>
      </c>
      <c r="BN211" s="1">
        <v>0.387</v>
      </c>
      <c r="BO211" s="1">
        <v>0.1783</v>
      </c>
      <c r="BP211" s="1">
        <v>0.119</v>
      </c>
      <c r="BQ211" s="1">
        <v>0.9163</v>
      </c>
      <c r="BR211" s="1">
        <v>0.1841</v>
      </c>
      <c r="BS211" s="1">
        <v>0.871</v>
      </c>
      <c r="BT211" s="1">
        <v>0.146</v>
      </c>
      <c r="BU211" s="1">
        <v>0.189</v>
      </c>
      <c r="BV211" s="1">
        <v>1.206</v>
      </c>
      <c r="BW211" s="1">
        <v>0.234</v>
      </c>
      <c r="BX211" s="1">
        <v>0.601</v>
      </c>
      <c r="BY211" s="1">
        <v>0.641</v>
      </c>
      <c r="BZ211" s="1">
        <v>1.242</v>
      </c>
      <c r="CA211" s="1">
        <v>0.682</v>
      </c>
      <c r="CB211" s="1">
        <v>0.623</v>
      </c>
      <c r="CC211" s="1">
        <v>0.0</v>
      </c>
      <c r="CD211" s="1">
        <v>0.0</v>
      </c>
      <c r="CE211" s="1">
        <v>0.049</v>
      </c>
      <c r="CF211" s="1">
        <v>0.565</v>
      </c>
      <c r="CG211" s="1">
        <v>1.237</v>
      </c>
      <c r="CH211" s="1">
        <v>0.116</v>
      </c>
      <c r="CI211" s="1">
        <v>4.6013</v>
      </c>
      <c r="CJ211" s="1">
        <v>0.1422</v>
      </c>
      <c r="CK211" s="1">
        <v>0.0</v>
      </c>
      <c r="CL211" s="1">
        <v>0.0</v>
      </c>
      <c r="CM211" s="1">
        <v>0.0</v>
      </c>
      <c r="CN211" s="1">
        <v>0.0</v>
      </c>
      <c r="CO211" s="1">
        <v>0.0</v>
      </c>
      <c r="CP211" s="1">
        <v>0.0</v>
      </c>
      <c r="CQ211" s="1">
        <v>0.0</v>
      </c>
      <c r="CR211" s="1">
        <v>0.0</v>
      </c>
      <c r="CS211" s="1">
        <v>0.0</v>
      </c>
      <c r="CT211" s="1">
        <v>0.0</v>
      </c>
      <c r="CU211" s="1">
        <v>0.0</v>
      </c>
      <c r="CV211" s="1">
        <v>0.0</v>
      </c>
      <c r="CW211" s="1">
        <v>0.0</v>
      </c>
      <c r="CX211" s="1">
        <v>0.0</v>
      </c>
      <c r="CY211" s="1">
        <v>0.0</v>
      </c>
      <c r="CZ211" s="1">
        <v>0.0</v>
      </c>
      <c r="DA211" s="1">
        <v>0.0</v>
      </c>
      <c r="DB211" s="1">
        <v>0.0</v>
      </c>
      <c r="DC211" s="1">
        <v>0.0</v>
      </c>
      <c r="DD211" s="1" t="s">
        <v>1104</v>
      </c>
      <c r="DE211" s="1">
        <v>2.63926018099602E-4</v>
      </c>
      <c r="DF211" s="1">
        <v>0.0670444395026632</v>
      </c>
    </row>
    <row r="212" ht="15.75" customHeight="1">
      <c r="A212" s="1" t="s">
        <v>1105</v>
      </c>
      <c r="B212" s="1">
        <v>29.0</v>
      </c>
      <c r="C212" s="2" t="s">
        <v>1023</v>
      </c>
      <c r="D212" s="2" t="s">
        <v>1106</v>
      </c>
      <c r="E212" s="1">
        <v>0.789</v>
      </c>
      <c r="F212" s="1">
        <v>29047.0</v>
      </c>
      <c r="G212" s="1">
        <v>2.9047021004E10</v>
      </c>
      <c r="H212" s="1" t="s">
        <v>112</v>
      </c>
      <c r="I212" s="1" t="s">
        <v>113</v>
      </c>
      <c r="J212" s="1" t="s">
        <v>1025</v>
      </c>
      <c r="K212" s="1" t="s">
        <v>1107</v>
      </c>
      <c r="L212" s="1">
        <v>3080.0</v>
      </c>
      <c r="M212" s="1">
        <v>3124.0</v>
      </c>
      <c r="N212" s="1">
        <v>377.0</v>
      </c>
      <c r="O212" s="1">
        <v>1408.0</v>
      </c>
      <c r="P212" s="1">
        <v>1377.0</v>
      </c>
      <c r="Q212" s="1">
        <v>54.0</v>
      </c>
      <c r="R212" s="1">
        <v>1300.0</v>
      </c>
      <c r="S212" s="1">
        <v>221.0</v>
      </c>
      <c r="T212" s="1">
        <v>148.0</v>
      </c>
      <c r="U212" s="1">
        <v>38.0</v>
      </c>
      <c r="V212" s="1">
        <v>472.0</v>
      </c>
      <c r="W212" s="1">
        <v>24398.0</v>
      </c>
      <c r="X212" s="1">
        <v>2803.0</v>
      </c>
      <c r="Y212" s="1">
        <v>115.0</v>
      </c>
      <c r="Z212" s="1">
        <v>328.0</v>
      </c>
      <c r="AA212" s="1">
        <v>449.0</v>
      </c>
      <c r="AB212" s="1">
        <v>697.0</v>
      </c>
      <c r="AC212" s="1">
        <v>149.0</v>
      </c>
      <c r="AD212" s="1">
        <v>551.0</v>
      </c>
      <c r="AE212" s="1">
        <v>18.0</v>
      </c>
      <c r="AF212" s="1">
        <v>442.0</v>
      </c>
      <c r="AG212" s="1">
        <v>19.0</v>
      </c>
      <c r="AH212" s="1">
        <v>164.0</v>
      </c>
      <c r="AI212" s="1">
        <v>0.0</v>
      </c>
      <c r="AJ212" s="1">
        <v>114.0</v>
      </c>
      <c r="AK212" s="1">
        <v>0.0</v>
      </c>
      <c r="AL212" s="1">
        <v>161.0</v>
      </c>
      <c r="AM212" s="1">
        <v>17.0</v>
      </c>
      <c r="AN212" s="1">
        <v>118.0</v>
      </c>
      <c r="AO212" s="1">
        <v>0.0</v>
      </c>
      <c r="AP212" s="1">
        <v>0.070742</v>
      </c>
      <c r="AQ212" s="1">
        <v>0.046599</v>
      </c>
      <c r="AR212" s="1">
        <v>0.021652</v>
      </c>
      <c r="AS212" s="1">
        <v>0.268913</v>
      </c>
      <c r="AT212" s="1">
        <v>24398.0</v>
      </c>
      <c r="AU212" s="1">
        <v>2803.0</v>
      </c>
      <c r="AV212" s="1">
        <v>0.054554</v>
      </c>
      <c r="AW212" s="1">
        <v>0.155498</v>
      </c>
      <c r="AX212" s="1">
        <v>0.145779</v>
      </c>
      <c r="AY212" s="1">
        <v>0.226298</v>
      </c>
      <c r="AZ212" s="1">
        <v>0.11461538</v>
      </c>
      <c r="BA212" s="1">
        <v>0.178896</v>
      </c>
      <c r="BB212" s="1">
        <v>0.006187</v>
      </c>
      <c r="BC212" s="1">
        <v>0.15194</v>
      </c>
      <c r="BD212" s="1">
        <v>0.013798</v>
      </c>
      <c r="BE212" s="1">
        <v>0.119098</v>
      </c>
      <c r="BF212" s="1">
        <v>0.0</v>
      </c>
      <c r="BG212" s="1">
        <v>0.082788</v>
      </c>
      <c r="BH212" s="1">
        <v>0.0</v>
      </c>
      <c r="BI212" s="1">
        <v>0.128697</v>
      </c>
      <c r="BJ212" s="1">
        <v>0.013589</v>
      </c>
      <c r="BK212" s="1">
        <v>0.094318</v>
      </c>
      <c r="BL212" s="1">
        <v>0.0</v>
      </c>
      <c r="BM212" s="1">
        <v>0.251</v>
      </c>
      <c r="BN212" s="1">
        <v>0.036</v>
      </c>
      <c r="BO212" s="1">
        <v>0.3755</v>
      </c>
      <c r="BP212" s="1">
        <v>0.145</v>
      </c>
      <c r="BQ212" s="1">
        <v>0.8075</v>
      </c>
      <c r="BR212" s="1">
        <v>0.1603</v>
      </c>
      <c r="BS212" s="1">
        <v>0.546</v>
      </c>
      <c r="BT212" s="1">
        <v>0.351</v>
      </c>
      <c r="BU212" s="1">
        <v>0.626</v>
      </c>
      <c r="BV212" s="1">
        <v>1.523</v>
      </c>
      <c r="BW212" s="1">
        <v>0.5</v>
      </c>
      <c r="BX212" s="1">
        <v>0.676</v>
      </c>
      <c r="BY212" s="1">
        <v>0.607</v>
      </c>
      <c r="BZ212" s="1">
        <v>1.283</v>
      </c>
      <c r="CA212" s="1">
        <v>0.705</v>
      </c>
      <c r="CB212" s="1">
        <v>0.417</v>
      </c>
      <c r="CC212" s="1">
        <v>0.0</v>
      </c>
      <c r="CD212" s="1">
        <v>0.0</v>
      </c>
      <c r="CE212" s="1">
        <v>0.122</v>
      </c>
      <c r="CF212" s="1">
        <v>0.0</v>
      </c>
      <c r="CG212" s="1">
        <v>0.539</v>
      </c>
      <c r="CH212" s="1">
        <v>0.034</v>
      </c>
      <c r="CI212" s="1">
        <v>4.1525</v>
      </c>
      <c r="CJ212" s="1">
        <v>0.0975</v>
      </c>
      <c r="CK212" s="1">
        <v>0.0</v>
      </c>
      <c r="CL212" s="1">
        <v>0.0</v>
      </c>
      <c r="CM212" s="1">
        <v>0.0</v>
      </c>
      <c r="CN212" s="1">
        <v>0.0</v>
      </c>
      <c r="CO212" s="1">
        <v>0.0</v>
      </c>
      <c r="CP212" s="1">
        <v>0.0</v>
      </c>
      <c r="CQ212" s="1">
        <v>0.0</v>
      </c>
      <c r="CR212" s="1">
        <v>0.0</v>
      </c>
      <c r="CS212" s="1">
        <v>0.0</v>
      </c>
      <c r="CT212" s="1">
        <v>0.0</v>
      </c>
      <c r="CU212" s="1">
        <v>0.0</v>
      </c>
      <c r="CV212" s="1">
        <v>0.0</v>
      </c>
      <c r="CW212" s="1">
        <v>0.0</v>
      </c>
      <c r="CX212" s="1">
        <v>0.0</v>
      </c>
      <c r="CY212" s="1">
        <v>0.0</v>
      </c>
      <c r="CZ212" s="1">
        <v>0.0</v>
      </c>
      <c r="DA212" s="1">
        <v>0.0</v>
      </c>
      <c r="DB212" s="1">
        <v>0.0</v>
      </c>
      <c r="DC212" s="1">
        <v>0.0</v>
      </c>
      <c r="DD212" s="1" t="s">
        <v>1108</v>
      </c>
      <c r="DE212" s="1">
        <v>2.13248635382561E-4</v>
      </c>
      <c r="DF212" s="1">
        <v>0.0593941700645226</v>
      </c>
    </row>
    <row r="213" ht="15.75" customHeight="1">
      <c r="A213" s="1" t="s">
        <v>1109</v>
      </c>
      <c r="B213" s="1">
        <v>29.0</v>
      </c>
      <c r="C213" s="2" t="s">
        <v>1023</v>
      </c>
      <c r="D213" s="2" t="s">
        <v>1110</v>
      </c>
      <c r="E213" s="1">
        <v>1.777</v>
      </c>
      <c r="F213" s="1">
        <v>29047.0</v>
      </c>
      <c r="G213" s="1">
        <v>2.9047021101E10</v>
      </c>
      <c r="H213" s="1" t="s">
        <v>112</v>
      </c>
      <c r="I213" s="1" t="s">
        <v>113</v>
      </c>
      <c r="J213" s="1" t="s">
        <v>1025</v>
      </c>
      <c r="K213" s="1" t="s">
        <v>1111</v>
      </c>
      <c r="L213" s="1">
        <v>4552.0</v>
      </c>
      <c r="M213" s="1">
        <v>4518.0</v>
      </c>
      <c r="N213" s="1">
        <v>301.0</v>
      </c>
      <c r="O213" s="1">
        <v>2209.0</v>
      </c>
      <c r="P213" s="1">
        <v>2038.0</v>
      </c>
      <c r="Q213" s="1">
        <v>104.0</v>
      </c>
      <c r="R213" s="1">
        <v>2003.0</v>
      </c>
      <c r="S213" s="1">
        <v>532.0</v>
      </c>
      <c r="T213" s="1">
        <v>298.0</v>
      </c>
      <c r="U213" s="1">
        <v>74.0</v>
      </c>
      <c r="V213" s="1">
        <v>444.0</v>
      </c>
      <c r="W213" s="1">
        <v>21969.0</v>
      </c>
      <c r="X213" s="1">
        <v>2173.0</v>
      </c>
      <c r="Y213" s="1">
        <v>270.0</v>
      </c>
      <c r="Z213" s="1">
        <v>301.0</v>
      </c>
      <c r="AA213" s="1">
        <v>809.0</v>
      </c>
      <c r="AB213" s="1">
        <v>976.0</v>
      </c>
      <c r="AC213" s="1">
        <v>232.0</v>
      </c>
      <c r="AD213" s="1">
        <v>829.0</v>
      </c>
      <c r="AE213" s="1">
        <v>123.0</v>
      </c>
      <c r="AF213" s="1">
        <v>430.0</v>
      </c>
      <c r="AG213" s="1">
        <v>45.0</v>
      </c>
      <c r="AH213" s="1">
        <v>169.0</v>
      </c>
      <c r="AI213" s="1">
        <v>45.0</v>
      </c>
      <c r="AJ213" s="1">
        <v>46.0</v>
      </c>
      <c r="AK213" s="1">
        <v>17.0</v>
      </c>
      <c r="AL213" s="1">
        <v>116.0</v>
      </c>
      <c r="AM213" s="1">
        <v>113.0</v>
      </c>
      <c r="AN213" s="1">
        <v>91.0</v>
      </c>
      <c r="AO213" s="1">
        <v>0.0</v>
      </c>
      <c r="AP213" s="1">
        <v>0.117751</v>
      </c>
      <c r="AQ213" s="1">
        <v>0.06549</v>
      </c>
      <c r="AR213" s="1">
        <v>0.035054</v>
      </c>
      <c r="AS213" s="1">
        <v>0.210255</v>
      </c>
      <c r="AT213" s="1">
        <v>21969.0</v>
      </c>
      <c r="AU213" s="1">
        <v>2173.0</v>
      </c>
      <c r="AV213" s="1">
        <v>0.087862</v>
      </c>
      <c r="AW213" s="1">
        <v>0.097732</v>
      </c>
      <c r="AX213" s="1">
        <v>0.177724</v>
      </c>
      <c r="AY213" s="1">
        <v>0.214411</v>
      </c>
      <c r="AZ213" s="1">
        <v>0.11582626</v>
      </c>
      <c r="BA213" s="1">
        <v>0.182117</v>
      </c>
      <c r="BB213" s="1">
        <v>0.029681</v>
      </c>
      <c r="BC213" s="1">
        <v>0.10374</v>
      </c>
      <c r="BD213" s="1">
        <v>0.02208</v>
      </c>
      <c r="BE213" s="1">
        <v>0.082916</v>
      </c>
      <c r="BF213" s="1">
        <v>0.02208</v>
      </c>
      <c r="BG213" s="1">
        <v>0.022543</v>
      </c>
      <c r="BH213" s="1">
        <v>0.008598</v>
      </c>
      <c r="BI213" s="1">
        <v>0.058672</v>
      </c>
      <c r="BJ213" s="1">
        <v>0.057157</v>
      </c>
      <c r="BK213" s="1">
        <v>0.045889</v>
      </c>
      <c r="BL213" s="1">
        <v>0.0</v>
      </c>
      <c r="BM213" s="1">
        <v>0.443</v>
      </c>
      <c r="BN213" s="1">
        <v>0.133</v>
      </c>
      <c r="BO213" s="1">
        <v>0.496</v>
      </c>
      <c r="BP213" s="1">
        <v>0.284</v>
      </c>
      <c r="BQ213" s="1">
        <v>1.356</v>
      </c>
      <c r="BR213" s="1">
        <v>0.2968</v>
      </c>
      <c r="BS213" s="1">
        <v>0.771</v>
      </c>
      <c r="BT213" s="1">
        <v>0.261</v>
      </c>
      <c r="BU213" s="1">
        <v>0.641</v>
      </c>
      <c r="BV213" s="1">
        <v>1.673</v>
      </c>
      <c r="BW213" s="1">
        <v>0.618</v>
      </c>
      <c r="BX213" s="1">
        <v>0.684</v>
      </c>
      <c r="BY213" s="1">
        <v>0.912</v>
      </c>
      <c r="BZ213" s="1">
        <v>1.596</v>
      </c>
      <c r="CA213" s="1">
        <v>0.869</v>
      </c>
      <c r="CB213" s="1">
        <v>0.491</v>
      </c>
      <c r="CC213" s="1">
        <v>0.522</v>
      </c>
      <c r="CD213" s="1">
        <v>0.448</v>
      </c>
      <c r="CE213" s="1">
        <v>0.548</v>
      </c>
      <c r="CF213" s="1">
        <v>0.0</v>
      </c>
      <c r="CG213" s="1">
        <v>2.009</v>
      </c>
      <c r="CH213" s="1">
        <v>0.352</v>
      </c>
      <c r="CI213" s="1">
        <v>6.634</v>
      </c>
      <c r="CJ213" s="1">
        <v>0.4809</v>
      </c>
      <c r="CK213" s="1">
        <v>0.0</v>
      </c>
      <c r="CL213" s="1">
        <v>0.0</v>
      </c>
      <c r="CM213" s="1">
        <v>0.0</v>
      </c>
      <c r="CN213" s="1">
        <v>0.0</v>
      </c>
      <c r="CO213" s="1">
        <v>0.0</v>
      </c>
      <c r="CP213" s="1">
        <v>0.0</v>
      </c>
      <c r="CQ213" s="1">
        <v>0.0</v>
      </c>
      <c r="CR213" s="1">
        <v>0.0</v>
      </c>
      <c r="CS213" s="1">
        <v>0.0</v>
      </c>
      <c r="CT213" s="1">
        <v>0.0</v>
      </c>
      <c r="CU213" s="1">
        <v>1.0</v>
      </c>
      <c r="CV213" s="1">
        <v>1.0</v>
      </c>
      <c r="CW213" s="1">
        <v>0.0</v>
      </c>
      <c r="CX213" s="1">
        <v>0.0</v>
      </c>
      <c r="CY213" s="1">
        <v>0.0</v>
      </c>
      <c r="CZ213" s="1">
        <v>0.0</v>
      </c>
      <c r="DA213" s="1">
        <v>0.0</v>
      </c>
      <c r="DB213" s="1">
        <v>0.0</v>
      </c>
      <c r="DC213" s="1">
        <v>1.0</v>
      </c>
      <c r="DD213" s="1" t="s">
        <v>1112</v>
      </c>
      <c r="DE213" s="1">
        <v>4.80851268552147E-4</v>
      </c>
      <c r="DF213" s="1">
        <v>0.0953201979266273</v>
      </c>
    </row>
    <row r="214" ht="15.75" customHeight="1">
      <c r="A214" s="1" t="s">
        <v>1113</v>
      </c>
      <c r="B214" s="1">
        <v>29.0</v>
      </c>
      <c r="C214" s="2" t="s">
        <v>1023</v>
      </c>
      <c r="D214" s="2" t="s">
        <v>1114</v>
      </c>
      <c r="E214" s="1">
        <v>1.863</v>
      </c>
      <c r="F214" s="1">
        <v>29047.0</v>
      </c>
      <c r="G214" s="1">
        <v>2.9047021102E10</v>
      </c>
      <c r="H214" s="1" t="s">
        <v>112</v>
      </c>
      <c r="I214" s="1" t="s">
        <v>113</v>
      </c>
      <c r="J214" s="1" t="s">
        <v>1025</v>
      </c>
      <c r="K214" s="1" t="s">
        <v>1115</v>
      </c>
      <c r="L214" s="1">
        <v>6461.0</v>
      </c>
      <c r="M214" s="1">
        <v>6409.0</v>
      </c>
      <c r="N214" s="1">
        <v>383.0</v>
      </c>
      <c r="O214" s="1">
        <v>3181.0</v>
      </c>
      <c r="P214" s="1">
        <v>3068.0</v>
      </c>
      <c r="Q214" s="1">
        <v>143.0</v>
      </c>
      <c r="R214" s="1">
        <v>2909.0</v>
      </c>
      <c r="S214" s="1">
        <v>454.0</v>
      </c>
      <c r="T214" s="1">
        <v>187.0</v>
      </c>
      <c r="U214" s="1">
        <v>207.0</v>
      </c>
      <c r="V214" s="1">
        <v>430.0</v>
      </c>
      <c r="W214" s="1">
        <v>28286.0</v>
      </c>
      <c r="X214" s="1">
        <v>2233.0</v>
      </c>
      <c r="Y214" s="1">
        <v>293.0</v>
      </c>
      <c r="Z214" s="1">
        <v>327.0</v>
      </c>
      <c r="AA214" s="1">
        <v>1149.0</v>
      </c>
      <c r="AB214" s="1">
        <v>1366.0</v>
      </c>
      <c r="AC214" s="1">
        <v>322.0</v>
      </c>
      <c r="AD214" s="1">
        <v>1136.0</v>
      </c>
      <c r="AE214" s="1">
        <v>54.0</v>
      </c>
      <c r="AF214" s="1">
        <v>431.0</v>
      </c>
      <c r="AG214" s="1">
        <v>259.0</v>
      </c>
      <c r="AH214" s="1">
        <v>107.0</v>
      </c>
      <c r="AI214" s="1">
        <v>22.0</v>
      </c>
      <c r="AJ214" s="1">
        <v>26.0</v>
      </c>
      <c r="AK214" s="1">
        <v>11.0</v>
      </c>
      <c r="AL214" s="1">
        <v>116.0</v>
      </c>
      <c r="AM214" s="1">
        <v>132.0</v>
      </c>
      <c r="AN214" s="1">
        <v>99.0</v>
      </c>
      <c r="AO214" s="1">
        <v>6.0</v>
      </c>
      <c r="AP214" s="1">
        <v>0.070981</v>
      </c>
      <c r="AQ214" s="1">
        <v>0.028926</v>
      </c>
      <c r="AR214" s="1">
        <v>0.059654</v>
      </c>
      <c r="AS214" s="1">
        <v>0.123742</v>
      </c>
      <c r="AT214" s="1">
        <v>28286.0</v>
      </c>
      <c r="AU214" s="1">
        <v>2233.0</v>
      </c>
      <c r="AV214" s="1">
        <v>0.068218</v>
      </c>
      <c r="AW214" s="1">
        <v>0.076022</v>
      </c>
      <c r="AX214" s="1">
        <v>0.177836</v>
      </c>
      <c r="AY214" s="1">
        <v>0.211422</v>
      </c>
      <c r="AZ214" s="1">
        <v>0.11069095</v>
      </c>
      <c r="BA214" s="1">
        <v>0.175824</v>
      </c>
      <c r="BB214" s="1">
        <v>0.008702</v>
      </c>
      <c r="BC214" s="1">
        <v>0.069458</v>
      </c>
      <c r="BD214" s="1">
        <v>0.084419</v>
      </c>
      <c r="BE214" s="1">
        <v>0.034653</v>
      </c>
      <c r="BF214" s="1">
        <v>0.00717</v>
      </c>
      <c r="BG214" s="1">
        <v>0.008467</v>
      </c>
      <c r="BH214" s="1">
        <v>0.003815</v>
      </c>
      <c r="BI214" s="1">
        <v>0.040235</v>
      </c>
      <c r="BJ214" s="1">
        <v>0.045785</v>
      </c>
      <c r="BK214" s="1">
        <v>0.034223</v>
      </c>
      <c r="BL214" s="1">
        <v>9.28E-4</v>
      </c>
      <c r="BM214" s="1">
        <v>0.252</v>
      </c>
      <c r="BN214" s="1">
        <v>0.414</v>
      </c>
      <c r="BO214" s="1">
        <v>0.2412</v>
      </c>
      <c r="BP214" s="1">
        <v>0.193</v>
      </c>
      <c r="BQ214" s="1">
        <v>1.1002</v>
      </c>
      <c r="BR214" s="1">
        <v>0.2274</v>
      </c>
      <c r="BS214" s="1">
        <v>0.773</v>
      </c>
      <c r="BT214" s="1">
        <v>0.243</v>
      </c>
      <c r="BU214" s="1">
        <v>0.592</v>
      </c>
      <c r="BV214" s="1">
        <v>1.608</v>
      </c>
      <c r="BW214" s="1">
        <v>0.573</v>
      </c>
      <c r="BX214" s="1">
        <v>0.671</v>
      </c>
      <c r="BY214" s="1">
        <v>0.685</v>
      </c>
      <c r="BZ214" s="1">
        <v>1.356</v>
      </c>
      <c r="CA214" s="1">
        <v>0.743</v>
      </c>
      <c r="CB214" s="1">
        <v>0.741</v>
      </c>
      <c r="CC214" s="1">
        <v>0.427</v>
      </c>
      <c r="CD214" s="1">
        <v>0.306</v>
      </c>
      <c r="CE214" s="1">
        <v>0.448</v>
      </c>
      <c r="CF214" s="1">
        <v>0.392</v>
      </c>
      <c r="CG214" s="1">
        <v>2.314</v>
      </c>
      <c r="CH214" s="1">
        <v>0.461</v>
      </c>
      <c r="CI214" s="1">
        <v>6.3782</v>
      </c>
      <c r="CJ214" s="1">
        <v>0.4433</v>
      </c>
      <c r="CK214" s="1">
        <v>0.0</v>
      </c>
      <c r="CL214" s="1">
        <v>0.0</v>
      </c>
      <c r="CM214" s="1">
        <v>0.0</v>
      </c>
      <c r="CN214" s="1">
        <v>0.0</v>
      </c>
      <c r="CO214" s="1">
        <v>0.0</v>
      </c>
      <c r="CP214" s="1">
        <v>0.0</v>
      </c>
      <c r="CQ214" s="1">
        <v>0.0</v>
      </c>
      <c r="CR214" s="1">
        <v>0.0</v>
      </c>
      <c r="CS214" s="1">
        <v>0.0</v>
      </c>
      <c r="CT214" s="1">
        <v>0.0</v>
      </c>
      <c r="CU214" s="1">
        <v>0.0</v>
      </c>
      <c r="CV214" s="1">
        <v>0.0</v>
      </c>
      <c r="CW214" s="1">
        <v>0.0</v>
      </c>
      <c r="CX214" s="1">
        <v>0.0</v>
      </c>
      <c r="CY214" s="1">
        <v>0.0</v>
      </c>
      <c r="CZ214" s="1">
        <v>0.0</v>
      </c>
      <c r="DA214" s="1">
        <v>0.0</v>
      </c>
      <c r="DB214" s="1">
        <v>0.0</v>
      </c>
      <c r="DC214" s="1">
        <v>0.0</v>
      </c>
      <c r="DD214" s="1" t="s">
        <v>1116</v>
      </c>
      <c r="DE214" s="1">
        <v>5.02995984035995E-4</v>
      </c>
      <c r="DF214" s="1">
        <v>0.099045017472506</v>
      </c>
    </row>
    <row r="215" ht="15.75" customHeight="1">
      <c r="A215" s="1" t="s">
        <v>1117</v>
      </c>
      <c r="B215" s="1">
        <v>29.0</v>
      </c>
      <c r="C215" s="2" t="s">
        <v>1023</v>
      </c>
      <c r="D215" s="2" t="s">
        <v>1118</v>
      </c>
      <c r="E215" s="1">
        <v>1.307</v>
      </c>
      <c r="F215" s="1">
        <v>29047.0</v>
      </c>
      <c r="G215" s="1">
        <v>2.9047021103E10</v>
      </c>
      <c r="H215" s="1" t="s">
        <v>112</v>
      </c>
      <c r="I215" s="1" t="s">
        <v>113</v>
      </c>
      <c r="J215" s="1" t="s">
        <v>1025</v>
      </c>
      <c r="K215" s="1" t="s">
        <v>1119</v>
      </c>
      <c r="L215" s="1">
        <v>3641.0</v>
      </c>
      <c r="M215" s="1">
        <v>3559.0</v>
      </c>
      <c r="N215" s="1">
        <v>226.0</v>
      </c>
      <c r="O215" s="1">
        <v>1590.0</v>
      </c>
      <c r="P215" s="1">
        <v>1543.0</v>
      </c>
      <c r="Q215" s="1">
        <v>66.0</v>
      </c>
      <c r="R215" s="1">
        <v>1535.0</v>
      </c>
      <c r="S215" s="1">
        <v>261.0</v>
      </c>
      <c r="T215" s="1">
        <v>148.0</v>
      </c>
      <c r="U215" s="1">
        <v>114.0</v>
      </c>
      <c r="V215" s="1">
        <v>432.0</v>
      </c>
      <c r="W215" s="1">
        <v>28174.0</v>
      </c>
      <c r="X215" s="1">
        <v>3276.0</v>
      </c>
      <c r="Y215" s="1">
        <v>190.0</v>
      </c>
      <c r="Z215" s="1">
        <v>269.0</v>
      </c>
      <c r="AA215" s="1">
        <v>685.0</v>
      </c>
      <c r="AB215" s="1">
        <v>808.0</v>
      </c>
      <c r="AC215" s="1">
        <v>182.0</v>
      </c>
      <c r="AD215" s="1">
        <v>570.0</v>
      </c>
      <c r="AE215" s="1">
        <v>6.0</v>
      </c>
      <c r="AF215" s="1">
        <v>427.0</v>
      </c>
      <c r="AG215" s="1">
        <v>0.0</v>
      </c>
      <c r="AH215" s="1">
        <v>197.0</v>
      </c>
      <c r="AI215" s="1">
        <v>8.0</v>
      </c>
      <c r="AJ215" s="1">
        <v>13.0</v>
      </c>
      <c r="AK215" s="1">
        <v>31.0</v>
      </c>
      <c r="AL215" s="1">
        <v>123.0</v>
      </c>
      <c r="AM215" s="1">
        <v>61.0</v>
      </c>
      <c r="AN215" s="1">
        <v>50.0</v>
      </c>
      <c r="AO215" s="1">
        <v>0.0</v>
      </c>
      <c r="AP215" s="1">
        <v>0.073521</v>
      </c>
      <c r="AQ215" s="1">
        <v>0.041424</v>
      </c>
      <c r="AR215" s="1">
        <v>0.063368</v>
      </c>
      <c r="AS215" s="1">
        <v>0.239982</v>
      </c>
      <c r="AT215" s="1">
        <v>28174.0</v>
      </c>
      <c r="AU215" s="1">
        <v>3276.0</v>
      </c>
      <c r="AV215" s="1">
        <v>0.076643</v>
      </c>
      <c r="AW215" s="1">
        <v>0.108401</v>
      </c>
      <c r="AX215" s="1">
        <v>0.188135</v>
      </c>
      <c r="AY215" s="1">
        <v>0.221917</v>
      </c>
      <c r="AZ215" s="1">
        <v>0.11856677</v>
      </c>
      <c r="BA215" s="1">
        <v>0.15655</v>
      </c>
      <c r="BB215" s="1">
        <v>0.001825</v>
      </c>
      <c r="BC215" s="1">
        <v>0.129945</v>
      </c>
      <c r="BD215" s="1">
        <v>0.0</v>
      </c>
      <c r="BE215" s="1">
        <v>0.127673</v>
      </c>
      <c r="BF215" s="1">
        <v>0.005184</v>
      </c>
      <c r="BG215" s="1">
        <v>0.008422</v>
      </c>
      <c r="BH215" s="1">
        <v>0.020529</v>
      </c>
      <c r="BI215" s="1">
        <v>0.081451</v>
      </c>
      <c r="BJ215" s="1">
        <v>0.040397</v>
      </c>
      <c r="BK215" s="1">
        <v>0.033056</v>
      </c>
      <c r="BL215" s="1">
        <v>0.0</v>
      </c>
      <c r="BM215" s="1">
        <v>0.261</v>
      </c>
      <c r="BN215" s="1">
        <v>0.454</v>
      </c>
      <c r="BO215" s="1">
        <v>0.2448</v>
      </c>
      <c r="BP215" s="1">
        <v>0.233</v>
      </c>
      <c r="BQ215" s="1">
        <v>1.1928</v>
      </c>
      <c r="BR215" s="1">
        <v>0.2542</v>
      </c>
      <c r="BS215" s="1">
        <v>0.83</v>
      </c>
      <c r="BT215" s="1">
        <v>0.316</v>
      </c>
      <c r="BU215" s="1">
        <v>0.659</v>
      </c>
      <c r="BV215" s="1">
        <v>1.805</v>
      </c>
      <c r="BW215" s="1">
        <v>0.725</v>
      </c>
      <c r="BX215" s="1">
        <v>0.643</v>
      </c>
      <c r="BY215" s="1">
        <v>0.373</v>
      </c>
      <c r="BZ215" s="1">
        <v>1.016</v>
      </c>
      <c r="CA215" s="1">
        <v>0.567</v>
      </c>
      <c r="CB215" s="1">
        <v>0.0</v>
      </c>
      <c r="CC215" s="1">
        <v>0.398</v>
      </c>
      <c r="CD215" s="1">
        <v>0.69</v>
      </c>
      <c r="CE215" s="1">
        <v>0.394</v>
      </c>
      <c r="CF215" s="1">
        <v>0.0</v>
      </c>
      <c r="CG215" s="1">
        <v>1.482</v>
      </c>
      <c r="CH215" s="1">
        <v>0.169</v>
      </c>
      <c r="CI215" s="1">
        <v>5.4958</v>
      </c>
      <c r="CJ215" s="1">
        <v>0.2816</v>
      </c>
      <c r="CK215" s="1">
        <v>0.0</v>
      </c>
      <c r="CL215" s="1">
        <v>0.0</v>
      </c>
      <c r="CM215" s="1">
        <v>0.0</v>
      </c>
      <c r="CN215" s="1">
        <v>0.0</v>
      </c>
      <c r="CO215" s="1">
        <v>0.0</v>
      </c>
      <c r="CP215" s="1">
        <v>0.0</v>
      </c>
      <c r="CQ215" s="1">
        <v>0.0</v>
      </c>
      <c r="CR215" s="1">
        <v>0.0</v>
      </c>
      <c r="CS215" s="1">
        <v>0.0</v>
      </c>
      <c r="CT215" s="1">
        <v>0.0</v>
      </c>
      <c r="CU215" s="1">
        <v>0.0</v>
      </c>
      <c r="CV215" s="1">
        <v>0.0</v>
      </c>
      <c r="CW215" s="1">
        <v>0.0</v>
      </c>
      <c r="CX215" s="1">
        <v>0.0</v>
      </c>
      <c r="CY215" s="1">
        <v>0.0</v>
      </c>
      <c r="CZ215" s="1">
        <v>0.0</v>
      </c>
      <c r="DA215" s="1">
        <v>0.0</v>
      </c>
      <c r="DB215" s="1">
        <v>0.0</v>
      </c>
      <c r="DC215" s="1">
        <v>0.0</v>
      </c>
      <c r="DD215" s="1" t="s">
        <v>1120</v>
      </c>
      <c r="DE215" s="1">
        <v>3.53326178614423E-4</v>
      </c>
      <c r="DF215" s="1">
        <v>0.0927521642453108</v>
      </c>
    </row>
    <row r="216" ht="15.75" customHeight="1">
      <c r="A216" s="1" t="s">
        <v>1121</v>
      </c>
      <c r="B216" s="1">
        <v>29.0</v>
      </c>
      <c r="C216" s="2" t="s">
        <v>1023</v>
      </c>
      <c r="D216" s="2" t="s">
        <v>1122</v>
      </c>
      <c r="E216" s="1">
        <v>5.391</v>
      </c>
      <c r="F216" s="1">
        <v>29047.0</v>
      </c>
      <c r="G216" s="1">
        <v>2.9047021205E10</v>
      </c>
      <c r="H216" s="1" t="s">
        <v>112</v>
      </c>
      <c r="I216" s="1" t="s">
        <v>113</v>
      </c>
      <c r="J216" s="1" t="s">
        <v>1025</v>
      </c>
      <c r="K216" s="1" t="s">
        <v>1123</v>
      </c>
      <c r="L216" s="1">
        <v>6511.0</v>
      </c>
      <c r="M216" s="1">
        <v>5995.0</v>
      </c>
      <c r="N216" s="1">
        <v>407.0</v>
      </c>
      <c r="O216" s="1">
        <v>2794.0</v>
      </c>
      <c r="P216" s="1">
        <v>2902.0</v>
      </c>
      <c r="Q216" s="1">
        <v>100.0</v>
      </c>
      <c r="R216" s="1">
        <v>2578.0</v>
      </c>
      <c r="S216" s="1">
        <v>251.0</v>
      </c>
      <c r="T216" s="1">
        <v>123.0</v>
      </c>
      <c r="U216" s="1">
        <v>163.0</v>
      </c>
      <c r="V216" s="1">
        <v>419.0</v>
      </c>
      <c r="W216" s="1">
        <v>35816.0</v>
      </c>
      <c r="X216" s="1">
        <v>3479.0</v>
      </c>
      <c r="Y216" s="1">
        <v>120.0</v>
      </c>
      <c r="Z216" s="1">
        <v>307.0</v>
      </c>
      <c r="AA216" s="1">
        <v>449.0</v>
      </c>
      <c r="AB216" s="1">
        <v>1717.0</v>
      </c>
      <c r="AC216" s="1">
        <v>273.0</v>
      </c>
      <c r="AD216" s="1">
        <v>1153.0</v>
      </c>
      <c r="AE216" s="1">
        <v>67.0</v>
      </c>
      <c r="AF216" s="1">
        <v>364.0</v>
      </c>
      <c r="AG216" s="1">
        <v>403.0</v>
      </c>
      <c r="AH216" s="1">
        <v>123.0</v>
      </c>
      <c r="AI216" s="1">
        <v>0.0</v>
      </c>
      <c r="AJ216" s="1">
        <v>114.0</v>
      </c>
      <c r="AK216" s="1">
        <v>6.0</v>
      </c>
      <c r="AL216" s="1">
        <v>114.0</v>
      </c>
      <c r="AM216" s="1">
        <v>96.0</v>
      </c>
      <c r="AN216" s="1">
        <v>53.0</v>
      </c>
      <c r="AO216" s="1">
        <v>25.0</v>
      </c>
      <c r="AP216" s="1">
        <v>0.043097</v>
      </c>
      <c r="AQ216" s="1">
        <v>0.020933</v>
      </c>
      <c r="AR216" s="1">
        <v>0.044682</v>
      </c>
      <c r="AS216" s="1">
        <v>0.114781</v>
      </c>
      <c r="AT216" s="1">
        <v>35816.0</v>
      </c>
      <c r="AU216" s="1">
        <v>3479.0</v>
      </c>
      <c r="AV216" s="1">
        <v>0.028839</v>
      </c>
      <c r="AW216" s="1">
        <v>0.073762</v>
      </c>
      <c r="AX216" s="1">
        <v>0.06896</v>
      </c>
      <c r="AY216" s="1">
        <v>0.263707</v>
      </c>
      <c r="AZ216" s="1">
        <v>0.10589604</v>
      </c>
      <c r="BA216" s="1">
        <v>0.177084</v>
      </c>
      <c r="BB216" s="1">
        <v>0.011968</v>
      </c>
      <c r="BC216" s="1">
        <v>0.065017</v>
      </c>
      <c r="BD216" s="1">
        <v>0.138869</v>
      </c>
      <c r="BE216" s="1">
        <v>0.042113</v>
      </c>
      <c r="BF216" s="1">
        <v>0.0</v>
      </c>
      <c r="BG216" s="1">
        <v>0.039283</v>
      </c>
      <c r="BH216" s="1">
        <v>0.002289</v>
      </c>
      <c r="BI216" s="1">
        <v>0.043494</v>
      </c>
      <c r="BJ216" s="1">
        <v>0.036627</v>
      </c>
      <c r="BK216" s="1">
        <v>0.020116</v>
      </c>
      <c r="BL216" s="1">
        <v>0.003839</v>
      </c>
      <c r="BM216" s="1">
        <v>0.137</v>
      </c>
      <c r="BN216" s="1">
        <v>0.234</v>
      </c>
      <c r="BO216" s="1">
        <v>0.1047</v>
      </c>
      <c r="BP216" s="1">
        <v>0.058</v>
      </c>
      <c r="BQ216" s="1">
        <v>0.5337</v>
      </c>
      <c r="BR216" s="1">
        <v>0.0773</v>
      </c>
      <c r="BS216" s="1">
        <v>0.081</v>
      </c>
      <c r="BT216" s="1">
        <v>0.736</v>
      </c>
      <c r="BU216" s="1">
        <v>0.549</v>
      </c>
      <c r="BV216" s="1">
        <v>1.366</v>
      </c>
      <c r="BW216" s="1">
        <v>0.361</v>
      </c>
      <c r="BX216" s="1">
        <v>0.673</v>
      </c>
      <c r="BY216" s="1">
        <v>0.769</v>
      </c>
      <c r="BZ216" s="1">
        <v>1.442</v>
      </c>
      <c r="CA216" s="1">
        <v>0.788</v>
      </c>
      <c r="CB216" s="1">
        <v>0.827</v>
      </c>
      <c r="CC216" s="1">
        <v>0.0</v>
      </c>
      <c r="CD216" s="1">
        <v>0.284</v>
      </c>
      <c r="CE216" s="1">
        <v>0.351</v>
      </c>
      <c r="CF216" s="1">
        <v>0.492</v>
      </c>
      <c r="CG216" s="1">
        <v>1.954</v>
      </c>
      <c r="CH216" s="1">
        <v>0.325</v>
      </c>
      <c r="CI216" s="1">
        <v>5.2957</v>
      </c>
      <c r="CJ216" s="1">
        <v>0.2448</v>
      </c>
      <c r="CK216" s="1">
        <v>0.0</v>
      </c>
      <c r="CL216" s="1">
        <v>0.0</v>
      </c>
      <c r="CM216" s="1">
        <v>0.0</v>
      </c>
      <c r="CN216" s="1">
        <v>0.0</v>
      </c>
      <c r="CO216" s="1">
        <v>0.0</v>
      </c>
      <c r="CP216" s="1">
        <v>0.0</v>
      </c>
      <c r="CQ216" s="1">
        <v>0.0</v>
      </c>
      <c r="CR216" s="1">
        <v>0.0</v>
      </c>
      <c r="CS216" s="1">
        <v>0.0</v>
      </c>
      <c r="CT216" s="1">
        <v>0.0</v>
      </c>
      <c r="CU216" s="1">
        <v>0.0</v>
      </c>
      <c r="CV216" s="1">
        <v>0.0</v>
      </c>
      <c r="CW216" s="1">
        <v>0.0</v>
      </c>
      <c r="CX216" s="1">
        <v>0.0</v>
      </c>
      <c r="CY216" s="1">
        <v>0.0</v>
      </c>
      <c r="CZ216" s="1">
        <v>0.0</v>
      </c>
      <c r="DA216" s="1">
        <v>0.0</v>
      </c>
      <c r="DB216" s="1">
        <v>0.0</v>
      </c>
      <c r="DC216" s="1">
        <v>0.0</v>
      </c>
      <c r="DD216" s="1" t="s">
        <v>1124</v>
      </c>
      <c r="DE216" s="1">
        <v>0.00145709054203744</v>
      </c>
      <c r="DF216" s="2" t="s">
        <v>1125</v>
      </c>
    </row>
    <row r="217" ht="15.75" customHeight="1">
      <c r="A217" s="1" t="s">
        <v>1126</v>
      </c>
      <c r="B217" s="1">
        <v>29.0</v>
      </c>
      <c r="C217" s="2" t="s">
        <v>1023</v>
      </c>
      <c r="D217" s="2" t="s">
        <v>1127</v>
      </c>
      <c r="E217" s="1">
        <v>5.013</v>
      </c>
      <c r="F217" s="1">
        <v>29047.0</v>
      </c>
      <c r="G217" s="1">
        <v>2.9047021206E10</v>
      </c>
      <c r="H217" s="1" t="s">
        <v>112</v>
      </c>
      <c r="I217" s="1" t="s">
        <v>113</v>
      </c>
      <c r="J217" s="1" t="s">
        <v>1025</v>
      </c>
      <c r="K217" s="1" t="s">
        <v>1128</v>
      </c>
      <c r="L217" s="1">
        <v>7118.0</v>
      </c>
      <c r="M217" s="1">
        <v>7166.0</v>
      </c>
      <c r="N217" s="1">
        <v>330.0</v>
      </c>
      <c r="O217" s="1">
        <v>2870.0</v>
      </c>
      <c r="P217" s="1">
        <v>3035.0</v>
      </c>
      <c r="Q217" s="1">
        <v>117.0</v>
      </c>
      <c r="R217" s="1">
        <v>2766.0</v>
      </c>
      <c r="S217" s="1">
        <v>160.0</v>
      </c>
      <c r="T217" s="1">
        <v>80.0</v>
      </c>
      <c r="U217" s="1">
        <v>258.0</v>
      </c>
      <c r="V217" s="1">
        <v>356.0</v>
      </c>
      <c r="W217" s="1">
        <v>34665.0</v>
      </c>
      <c r="X217" s="1">
        <v>2145.0</v>
      </c>
      <c r="Y217" s="1">
        <v>317.0</v>
      </c>
      <c r="Z217" s="1">
        <v>185.0</v>
      </c>
      <c r="AA217" s="1">
        <v>1073.0</v>
      </c>
      <c r="AB217" s="1">
        <v>1579.0</v>
      </c>
      <c r="AC217" s="1">
        <v>190.0</v>
      </c>
      <c r="AD217" s="1">
        <v>1192.0</v>
      </c>
      <c r="AE217" s="1">
        <v>105.0</v>
      </c>
      <c r="AF217" s="1">
        <v>383.0</v>
      </c>
      <c r="AG217" s="1">
        <v>91.0</v>
      </c>
      <c r="AH217" s="1">
        <v>136.0</v>
      </c>
      <c r="AI217" s="1">
        <v>11.0</v>
      </c>
      <c r="AJ217" s="1">
        <v>19.0</v>
      </c>
      <c r="AK217" s="1">
        <v>27.0</v>
      </c>
      <c r="AL217" s="1">
        <v>118.0</v>
      </c>
      <c r="AM217" s="1">
        <v>39.0</v>
      </c>
      <c r="AN217" s="1">
        <v>119.0</v>
      </c>
      <c r="AO217" s="1">
        <v>99.0</v>
      </c>
      <c r="AP217" s="1">
        <v>0.022528</v>
      </c>
      <c r="AQ217" s="1">
        <v>0.011219</v>
      </c>
      <c r="AR217" s="1">
        <v>0.065648</v>
      </c>
      <c r="AS217" s="1">
        <v>0.090458</v>
      </c>
      <c r="AT217" s="1">
        <v>34665.0</v>
      </c>
      <c r="AU217" s="1">
        <v>2145.0</v>
      </c>
      <c r="AV217" s="1">
        <v>0.061998</v>
      </c>
      <c r="AW217" s="1">
        <v>0.036089</v>
      </c>
      <c r="AX217" s="1">
        <v>0.150744</v>
      </c>
      <c r="AY217" s="1">
        <v>0.221831</v>
      </c>
      <c r="AZ217" s="1">
        <v>0.06869125</v>
      </c>
      <c r="BA217" s="1">
        <v>0.167462</v>
      </c>
      <c r="BB217" s="1">
        <v>0.015808</v>
      </c>
      <c r="BC217" s="1">
        <v>0.05766</v>
      </c>
      <c r="BD217" s="1">
        <v>0.029983</v>
      </c>
      <c r="BE217" s="1">
        <v>0.044795</v>
      </c>
      <c r="BF217" s="1">
        <v>0.003624</v>
      </c>
      <c r="BG217" s="1">
        <v>0.006258</v>
      </c>
      <c r="BH217" s="1">
        <v>0.009326</v>
      </c>
      <c r="BI217" s="1">
        <v>0.040757</v>
      </c>
      <c r="BJ217" s="1">
        <v>0.013471</v>
      </c>
      <c r="BK217" s="1">
        <v>0.0411</v>
      </c>
      <c r="BL217" s="1">
        <v>0.013908</v>
      </c>
      <c r="BM217" s="1">
        <v>0.065</v>
      </c>
      <c r="BN217" s="1">
        <v>0.476</v>
      </c>
      <c r="BO217" s="1">
        <v>0.1162</v>
      </c>
      <c r="BP217" s="1">
        <v>0.174</v>
      </c>
      <c r="BQ217" s="1">
        <v>0.8312</v>
      </c>
      <c r="BR217" s="1">
        <v>0.1675</v>
      </c>
      <c r="BS217" s="1">
        <v>0.585</v>
      </c>
      <c r="BT217" s="1">
        <v>0.314</v>
      </c>
      <c r="BU217" s="1">
        <v>0.205</v>
      </c>
      <c r="BV217" s="1">
        <v>1.104</v>
      </c>
      <c r="BW217" s="1">
        <v>0.169</v>
      </c>
      <c r="BX217" s="1">
        <v>0.663</v>
      </c>
      <c r="BY217" s="1">
        <v>0.82</v>
      </c>
      <c r="BZ217" s="1">
        <v>1.483</v>
      </c>
      <c r="CA217" s="1">
        <v>0.81</v>
      </c>
      <c r="CB217" s="1">
        <v>0.548</v>
      </c>
      <c r="CC217" s="1">
        <v>0.374</v>
      </c>
      <c r="CD217" s="1">
        <v>0.464</v>
      </c>
      <c r="CE217" s="1">
        <v>0.12</v>
      </c>
      <c r="CF217" s="1">
        <v>0.633</v>
      </c>
      <c r="CG217" s="1">
        <v>2.139</v>
      </c>
      <c r="CH217" s="1">
        <v>0.395</v>
      </c>
      <c r="CI217" s="1">
        <v>5.5572</v>
      </c>
      <c r="CJ217" s="1">
        <v>0.2917</v>
      </c>
      <c r="CK217" s="1">
        <v>0.0</v>
      </c>
      <c r="CL217" s="1">
        <v>0.0</v>
      </c>
      <c r="CM217" s="1">
        <v>0.0</v>
      </c>
      <c r="CN217" s="1">
        <v>0.0</v>
      </c>
      <c r="CO217" s="1">
        <v>0.0</v>
      </c>
      <c r="CP217" s="1">
        <v>0.0</v>
      </c>
      <c r="CQ217" s="1">
        <v>0.0</v>
      </c>
      <c r="CR217" s="1">
        <v>0.0</v>
      </c>
      <c r="CS217" s="1">
        <v>0.0</v>
      </c>
      <c r="CT217" s="1">
        <v>0.0</v>
      </c>
      <c r="CU217" s="1">
        <v>0.0</v>
      </c>
      <c r="CV217" s="1">
        <v>0.0</v>
      </c>
      <c r="CW217" s="1">
        <v>0.0</v>
      </c>
      <c r="CX217" s="1">
        <v>0.0</v>
      </c>
      <c r="CY217" s="1">
        <v>0.0</v>
      </c>
      <c r="CZ217" s="1">
        <v>0.0</v>
      </c>
      <c r="DA217" s="1">
        <v>0.0</v>
      </c>
      <c r="DB217" s="1">
        <v>0.0</v>
      </c>
      <c r="DC217" s="1">
        <v>0.0</v>
      </c>
      <c r="DD217" s="1" t="s">
        <v>1129</v>
      </c>
      <c r="DE217" s="1">
        <v>0.00135715063291511</v>
      </c>
      <c r="DF217" s="2" t="s">
        <v>1130</v>
      </c>
    </row>
    <row r="218" ht="15.75" customHeight="1">
      <c r="A218" s="1" t="s">
        <v>1131</v>
      </c>
      <c r="B218" s="1">
        <v>29.0</v>
      </c>
      <c r="C218" s="2" t="s">
        <v>1023</v>
      </c>
      <c r="D218" s="2" t="s">
        <v>1132</v>
      </c>
      <c r="E218" s="1">
        <v>1.913</v>
      </c>
      <c r="F218" s="1">
        <v>29047.0</v>
      </c>
      <c r="G218" s="1">
        <v>2.9047021207E10</v>
      </c>
      <c r="H218" s="1" t="s">
        <v>112</v>
      </c>
      <c r="I218" s="1" t="s">
        <v>113</v>
      </c>
      <c r="J218" s="1" t="s">
        <v>1025</v>
      </c>
      <c r="K218" s="1" t="s">
        <v>1133</v>
      </c>
      <c r="L218" s="1">
        <v>2714.0</v>
      </c>
      <c r="M218" s="1">
        <v>2207.0</v>
      </c>
      <c r="N218" s="1">
        <v>238.0</v>
      </c>
      <c r="O218" s="1">
        <v>1222.0</v>
      </c>
      <c r="P218" s="1">
        <v>1059.0</v>
      </c>
      <c r="Q218" s="1">
        <v>114.0</v>
      </c>
      <c r="R218" s="1">
        <v>1146.0</v>
      </c>
      <c r="S218" s="1">
        <v>218.0</v>
      </c>
      <c r="T218" s="1">
        <v>194.0</v>
      </c>
      <c r="U218" s="1">
        <v>56.0</v>
      </c>
      <c r="V218" s="1">
        <v>458.0</v>
      </c>
      <c r="W218" s="1">
        <v>24319.0</v>
      </c>
      <c r="X218" s="1">
        <v>3797.0</v>
      </c>
      <c r="Y218" s="1">
        <v>70.0</v>
      </c>
      <c r="Z218" s="1">
        <v>397.0</v>
      </c>
      <c r="AA218" s="1">
        <v>212.0</v>
      </c>
      <c r="AB218" s="1">
        <v>719.0</v>
      </c>
      <c r="AC218" s="1">
        <v>167.0</v>
      </c>
      <c r="AD218" s="1">
        <v>718.0</v>
      </c>
      <c r="AE218" s="1">
        <v>109.0</v>
      </c>
      <c r="AF218" s="1">
        <v>454.0</v>
      </c>
      <c r="AG218" s="1">
        <v>299.0</v>
      </c>
      <c r="AH218" s="1">
        <v>129.0</v>
      </c>
      <c r="AI218" s="1">
        <v>9.0</v>
      </c>
      <c r="AJ218" s="1">
        <v>14.0</v>
      </c>
      <c r="AK218" s="1">
        <v>18.0</v>
      </c>
      <c r="AL218" s="1">
        <v>118.0</v>
      </c>
      <c r="AM218" s="1">
        <v>41.0</v>
      </c>
      <c r="AN218" s="1">
        <v>35.0</v>
      </c>
      <c r="AO218" s="1">
        <v>0.0</v>
      </c>
      <c r="AP218" s="1">
        <v>0.098776</v>
      </c>
      <c r="AQ218" s="1">
        <v>0.087254</v>
      </c>
      <c r="AR218" s="1">
        <v>0.047619</v>
      </c>
      <c r="AS218" s="1">
        <v>0.389336</v>
      </c>
      <c r="AT218" s="1">
        <v>24319.0</v>
      </c>
      <c r="AU218" s="1">
        <v>3797.0</v>
      </c>
      <c r="AV218" s="1">
        <v>0.045016</v>
      </c>
      <c r="AW218" s="1">
        <v>0.25526</v>
      </c>
      <c r="AX218" s="1">
        <v>0.078113</v>
      </c>
      <c r="AY218" s="1">
        <v>0.264922</v>
      </c>
      <c r="AZ218" s="1">
        <v>0.14572425</v>
      </c>
      <c r="BA218" s="1">
        <v>0.264554</v>
      </c>
      <c r="BB218" s="1">
        <v>0.053536</v>
      </c>
      <c r="BC218" s="1">
        <v>0.22292</v>
      </c>
      <c r="BD218" s="1">
        <v>0.282341</v>
      </c>
      <c r="BE218" s="1">
        <v>0.11796</v>
      </c>
      <c r="BF218" s="1">
        <v>0.008498</v>
      </c>
      <c r="BG218" s="1">
        <v>0.013188</v>
      </c>
      <c r="BH218" s="1">
        <v>0.018367</v>
      </c>
      <c r="BI218" s="1">
        <v>0.120387</v>
      </c>
      <c r="BJ218" s="1">
        <v>0.041836</v>
      </c>
      <c r="BK218" s="1">
        <v>0.035344</v>
      </c>
      <c r="BL218" s="1">
        <v>0.0</v>
      </c>
      <c r="BM218" s="1">
        <v>0.366</v>
      </c>
      <c r="BN218" s="1">
        <v>0.271</v>
      </c>
      <c r="BO218" s="1">
        <v>0.3791</v>
      </c>
      <c r="BP218" s="1">
        <v>0.112</v>
      </c>
      <c r="BQ218" s="1">
        <v>1.1281</v>
      </c>
      <c r="BR218" s="1">
        <v>0.2332</v>
      </c>
      <c r="BS218" s="1">
        <v>0.108</v>
      </c>
      <c r="BT218" s="1">
        <v>0.751</v>
      </c>
      <c r="BU218" s="1">
        <v>0.781</v>
      </c>
      <c r="BV218" s="1">
        <v>1.64</v>
      </c>
      <c r="BW218" s="1">
        <v>0.594</v>
      </c>
      <c r="BX218" s="1">
        <v>0.769</v>
      </c>
      <c r="BY218" s="1">
        <v>0.964</v>
      </c>
      <c r="BZ218" s="1">
        <v>1.733</v>
      </c>
      <c r="CA218" s="1">
        <v>0.938</v>
      </c>
      <c r="CB218" s="1">
        <v>0.935</v>
      </c>
      <c r="CC218" s="1">
        <v>0.444</v>
      </c>
      <c r="CD218" s="1">
        <v>0.65</v>
      </c>
      <c r="CE218" s="1">
        <v>0.41</v>
      </c>
      <c r="CF218" s="1">
        <v>0.0</v>
      </c>
      <c r="CG218" s="1">
        <v>2.439</v>
      </c>
      <c r="CH218" s="1">
        <v>0.535</v>
      </c>
      <c r="CI218" s="1">
        <v>6.9401</v>
      </c>
      <c r="CJ218" s="1">
        <v>0.5372</v>
      </c>
      <c r="CK218" s="1">
        <v>0.0</v>
      </c>
      <c r="CL218" s="1">
        <v>0.0</v>
      </c>
      <c r="CM218" s="1">
        <v>0.0</v>
      </c>
      <c r="CN218" s="1">
        <v>0.0</v>
      </c>
      <c r="CO218" s="1">
        <v>0.0</v>
      </c>
      <c r="CP218" s="1">
        <v>0.0</v>
      </c>
      <c r="CQ218" s="1">
        <v>0.0</v>
      </c>
      <c r="CR218" s="1">
        <v>0.0</v>
      </c>
      <c r="CS218" s="1">
        <v>0.0</v>
      </c>
      <c r="CT218" s="1">
        <v>0.0</v>
      </c>
      <c r="CU218" s="1">
        <v>1.0</v>
      </c>
      <c r="CV218" s="1">
        <v>1.0</v>
      </c>
      <c r="CW218" s="1">
        <v>1.0</v>
      </c>
      <c r="CX218" s="1">
        <v>0.0</v>
      </c>
      <c r="CY218" s="1">
        <v>0.0</v>
      </c>
      <c r="CZ218" s="1">
        <v>0.0</v>
      </c>
      <c r="DA218" s="1">
        <v>0.0</v>
      </c>
      <c r="DB218" s="1">
        <v>1.0</v>
      </c>
      <c r="DC218" s="1">
        <v>2.0</v>
      </c>
      <c r="DD218" s="1" t="s">
        <v>1134</v>
      </c>
      <c r="DE218" s="1">
        <v>5.17224127530716E-4</v>
      </c>
      <c r="DF218" s="1">
        <v>0.0902963244659695</v>
      </c>
    </row>
    <row r="219" ht="15.75" customHeight="1">
      <c r="A219" s="1" t="s">
        <v>1135</v>
      </c>
      <c r="B219" s="1">
        <v>29.0</v>
      </c>
      <c r="C219" s="2" t="s">
        <v>1023</v>
      </c>
      <c r="D219" s="2" t="s">
        <v>1136</v>
      </c>
      <c r="E219" s="1">
        <v>2.04</v>
      </c>
      <c r="F219" s="1">
        <v>29047.0</v>
      </c>
      <c r="G219" s="1">
        <v>2.9047021208E10</v>
      </c>
      <c r="H219" s="1" t="s">
        <v>112</v>
      </c>
      <c r="I219" s="1" t="s">
        <v>113</v>
      </c>
      <c r="J219" s="1" t="s">
        <v>1025</v>
      </c>
      <c r="K219" s="1" t="s">
        <v>1137</v>
      </c>
      <c r="L219" s="1">
        <v>6134.0</v>
      </c>
      <c r="M219" s="1">
        <v>6003.0</v>
      </c>
      <c r="N219" s="1">
        <v>429.0</v>
      </c>
      <c r="O219" s="1">
        <v>2840.0</v>
      </c>
      <c r="P219" s="1">
        <v>2818.0</v>
      </c>
      <c r="Q219" s="1">
        <v>110.0</v>
      </c>
      <c r="R219" s="1">
        <v>2664.0</v>
      </c>
      <c r="S219" s="1">
        <v>371.0</v>
      </c>
      <c r="T219" s="1">
        <v>236.0</v>
      </c>
      <c r="U219" s="1">
        <v>120.0</v>
      </c>
      <c r="V219" s="1">
        <v>433.0</v>
      </c>
      <c r="W219" s="1">
        <v>24511.0</v>
      </c>
      <c r="X219" s="1">
        <v>2326.0</v>
      </c>
      <c r="Y219" s="1">
        <v>346.0</v>
      </c>
      <c r="Z219" s="1">
        <v>289.0</v>
      </c>
      <c r="AA219" s="1">
        <v>442.0</v>
      </c>
      <c r="AB219" s="1">
        <v>1584.0</v>
      </c>
      <c r="AC219" s="1">
        <v>384.0</v>
      </c>
      <c r="AD219" s="1">
        <v>1719.0</v>
      </c>
      <c r="AE219" s="1">
        <v>165.0</v>
      </c>
      <c r="AF219" s="1">
        <v>428.0</v>
      </c>
      <c r="AG219" s="1">
        <v>935.0</v>
      </c>
      <c r="AH219" s="1">
        <v>206.0</v>
      </c>
      <c r="AI219" s="1">
        <v>48.0</v>
      </c>
      <c r="AJ219" s="1">
        <v>73.0</v>
      </c>
      <c r="AK219" s="1">
        <v>13.0</v>
      </c>
      <c r="AL219" s="1">
        <v>115.0</v>
      </c>
      <c r="AM219" s="1">
        <v>127.0</v>
      </c>
      <c r="AN219" s="1">
        <v>89.0</v>
      </c>
      <c r="AO219" s="1">
        <v>28.0</v>
      </c>
      <c r="AP219" s="1">
        <v>0.061802</v>
      </c>
      <c r="AQ219" s="1">
        <v>0.039064</v>
      </c>
      <c r="AR219" s="1">
        <v>0.035992</v>
      </c>
      <c r="AS219" s="1">
        <v>0.129794</v>
      </c>
      <c r="AT219" s="1">
        <v>24511.0</v>
      </c>
      <c r="AU219" s="1">
        <v>2326.0</v>
      </c>
      <c r="AV219" s="1">
        <v>0.095159</v>
      </c>
      <c r="AW219" s="1">
        <v>0.079211</v>
      </c>
      <c r="AX219" s="1">
        <v>0.072057</v>
      </c>
      <c r="AY219" s="1">
        <v>0.258232</v>
      </c>
      <c r="AZ219" s="1">
        <v>0.14414414</v>
      </c>
      <c r="BA219" s="1">
        <v>0.280241</v>
      </c>
      <c r="BB219" s="1">
        <v>0.030515</v>
      </c>
      <c r="BC219" s="1">
        <v>0.079121</v>
      </c>
      <c r="BD219" s="1">
        <v>0.331795</v>
      </c>
      <c r="BE219" s="1">
        <v>0.071945</v>
      </c>
      <c r="BF219" s="1">
        <v>0.017033</v>
      </c>
      <c r="BG219" s="1">
        <v>0.025896</v>
      </c>
      <c r="BH219" s="1">
        <v>0.004777</v>
      </c>
      <c r="BI219" s="1">
        <v>0.042263</v>
      </c>
      <c r="BJ219" s="1">
        <v>0.046674</v>
      </c>
      <c r="BK219" s="1">
        <v>0.03262</v>
      </c>
      <c r="BL219" s="1">
        <v>0.004564</v>
      </c>
      <c r="BM219" s="1">
        <v>0.213</v>
      </c>
      <c r="BN219" s="1">
        <v>0.148</v>
      </c>
      <c r="BO219" s="1">
        <v>0.3704</v>
      </c>
      <c r="BP219" s="1">
        <v>0.314</v>
      </c>
      <c r="BQ219" s="1">
        <v>1.0454</v>
      </c>
      <c r="BR219" s="1">
        <v>0.2144</v>
      </c>
      <c r="BS219" s="1">
        <v>0.09</v>
      </c>
      <c r="BT219" s="1">
        <v>0.688</v>
      </c>
      <c r="BU219" s="1">
        <v>0.776</v>
      </c>
      <c r="BV219" s="1">
        <v>1.554</v>
      </c>
      <c r="BW219" s="1">
        <v>0.524</v>
      </c>
      <c r="BX219" s="1">
        <v>0.777</v>
      </c>
      <c r="BY219" s="1">
        <v>0.917</v>
      </c>
      <c r="BZ219" s="1">
        <v>1.694</v>
      </c>
      <c r="CA219" s="1">
        <v>0.918</v>
      </c>
      <c r="CB219" s="1">
        <v>0.953</v>
      </c>
      <c r="CC219" s="1">
        <v>0.496</v>
      </c>
      <c r="CD219" s="1">
        <v>0.329</v>
      </c>
      <c r="CE219" s="1">
        <v>0.458</v>
      </c>
      <c r="CF219" s="1">
        <v>0.502</v>
      </c>
      <c r="CG219" s="1">
        <v>2.738</v>
      </c>
      <c r="CH219" s="1">
        <v>0.661</v>
      </c>
      <c r="CI219" s="1">
        <v>7.0314</v>
      </c>
      <c r="CJ219" s="1">
        <v>0.5523</v>
      </c>
      <c r="CK219" s="1">
        <v>0.0</v>
      </c>
      <c r="CL219" s="1">
        <v>0.0</v>
      </c>
      <c r="CM219" s="1">
        <v>0.0</v>
      </c>
      <c r="CN219" s="1">
        <v>0.0</v>
      </c>
      <c r="CO219" s="1">
        <v>0.0</v>
      </c>
      <c r="CP219" s="1">
        <v>0.0</v>
      </c>
      <c r="CQ219" s="1">
        <v>0.0</v>
      </c>
      <c r="CR219" s="1">
        <v>0.0</v>
      </c>
      <c r="CS219" s="1">
        <v>0.0</v>
      </c>
      <c r="CT219" s="1">
        <v>0.0</v>
      </c>
      <c r="CU219" s="1">
        <v>1.0</v>
      </c>
      <c r="CV219" s="1">
        <v>1.0</v>
      </c>
      <c r="CW219" s="1">
        <v>1.0</v>
      </c>
      <c r="CX219" s="1">
        <v>0.0</v>
      </c>
      <c r="CY219" s="1">
        <v>0.0</v>
      </c>
      <c r="CZ219" s="1">
        <v>0.0</v>
      </c>
      <c r="DA219" s="1">
        <v>0.0</v>
      </c>
      <c r="DB219" s="1">
        <v>1.0</v>
      </c>
      <c r="DC219" s="1">
        <v>2.0</v>
      </c>
      <c r="DD219" s="1" t="s">
        <v>1138</v>
      </c>
      <c r="DE219" s="1">
        <v>5.51909187128893E-4</v>
      </c>
      <c r="DF219" s="2" t="s">
        <v>1139</v>
      </c>
    </row>
    <row r="220" ht="15.75" customHeight="1">
      <c r="A220" s="1" t="s">
        <v>1140</v>
      </c>
      <c r="B220" s="1">
        <v>29.0</v>
      </c>
      <c r="C220" s="2" t="s">
        <v>1023</v>
      </c>
      <c r="D220" s="2" t="s">
        <v>1141</v>
      </c>
      <c r="E220" s="1">
        <v>3.551</v>
      </c>
      <c r="F220" s="1">
        <v>29047.0</v>
      </c>
      <c r="G220" s="1">
        <v>2.9047021305E10</v>
      </c>
      <c r="H220" s="1" t="s">
        <v>112</v>
      </c>
      <c r="I220" s="1" t="s">
        <v>113</v>
      </c>
      <c r="J220" s="1" t="s">
        <v>1025</v>
      </c>
      <c r="K220" s="1" t="s">
        <v>1142</v>
      </c>
      <c r="L220" s="1">
        <v>7447.0</v>
      </c>
      <c r="M220" s="1">
        <v>7492.0</v>
      </c>
      <c r="N220" s="1">
        <v>410.0</v>
      </c>
      <c r="O220" s="1">
        <v>2649.0</v>
      </c>
      <c r="P220" s="1">
        <v>2704.0</v>
      </c>
      <c r="Q220" s="1">
        <v>98.0</v>
      </c>
      <c r="R220" s="1">
        <v>2559.0</v>
      </c>
      <c r="S220" s="1">
        <v>434.0</v>
      </c>
      <c r="T220" s="1">
        <v>278.0</v>
      </c>
      <c r="U220" s="1">
        <v>128.0</v>
      </c>
      <c r="V220" s="1">
        <v>417.0</v>
      </c>
      <c r="W220" s="1">
        <v>27789.0</v>
      </c>
      <c r="X220" s="1">
        <v>1524.0</v>
      </c>
      <c r="Y220" s="1">
        <v>332.0</v>
      </c>
      <c r="Z220" s="1">
        <v>331.0</v>
      </c>
      <c r="AA220" s="1">
        <v>571.0</v>
      </c>
      <c r="AB220" s="1">
        <v>2192.0</v>
      </c>
      <c r="AC220" s="1">
        <v>272.0</v>
      </c>
      <c r="AD220" s="1">
        <v>1043.0</v>
      </c>
      <c r="AE220" s="1">
        <v>27.0</v>
      </c>
      <c r="AF220" s="1">
        <v>444.0</v>
      </c>
      <c r="AG220" s="1">
        <v>0.0</v>
      </c>
      <c r="AH220" s="1">
        <v>197.0</v>
      </c>
      <c r="AI220" s="1">
        <v>0.0</v>
      </c>
      <c r="AJ220" s="1">
        <v>114.0</v>
      </c>
      <c r="AK220" s="1">
        <v>37.0</v>
      </c>
      <c r="AL220" s="1">
        <v>121.0</v>
      </c>
      <c r="AM220" s="1">
        <v>12.0</v>
      </c>
      <c r="AN220" s="1">
        <v>116.0</v>
      </c>
      <c r="AO220" s="1">
        <v>179.0</v>
      </c>
      <c r="AP220" s="1">
        <v>0.06047</v>
      </c>
      <c r="AQ220" s="1">
        <v>0.038605</v>
      </c>
      <c r="AR220" s="1">
        <v>0.031832</v>
      </c>
      <c r="AS220" s="1">
        <v>0.103651</v>
      </c>
      <c r="AT220" s="1">
        <v>27789.0</v>
      </c>
      <c r="AU220" s="1">
        <v>1524.0</v>
      </c>
      <c r="AV220" s="1">
        <v>0.067782</v>
      </c>
      <c r="AW220" s="1">
        <v>0.067465</v>
      </c>
      <c r="AX220" s="1">
        <v>0.076675</v>
      </c>
      <c r="AY220" s="1">
        <v>0.294346</v>
      </c>
      <c r="AZ220" s="1">
        <v>0.10629152</v>
      </c>
      <c r="BA220" s="1">
        <v>0.140056</v>
      </c>
      <c r="BB220" s="1">
        <v>0.003922</v>
      </c>
      <c r="BC220" s="1">
        <v>0.064497</v>
      </c>
      <c r="BD220" s="1">
        <v>0.0</v>
      </c>
      <c r="BE220" s="1">
        <v>0.072855</v>
      </c>
      <c r="BF220" s="1">
        <v>0.0</v>
      </c>
      <c r="BG220" s="1">
        <v>0.042159</v>
      </c>
      <c r="BH220" s="1">
        <v>0.014515</v>
      </c>
      <c r="BI220" s="1">
        <v>0.047463</v>
      </c>
      <c r="BJ220" s="1">
        <v>0.004707</v>
      </c>
      <c r="BK220" s="1">
        <v>0.045507</v>
      </c>
      <c r="BL220" s="1">
        <v>0.024036</v>
      </c>
      <c r="BM220" s="1">
        <v>0.205</v>
      </c>
      <c r="BN220" s="1">
        <v>0.102</v>
      </c>
      <c r="BO220" s="1">
        <v>0.2592</v>
      </c>
      <c r="BP220" s="1">
        <v>0.192</v>
      </c>
      <c r="BQ220" s="1">
        <v>0.7582</v>
      </c>
      <c r="BR220" s="1">
        <v>0.1451</v>
      </c>
      <c r="BS220" s="1">
        <v>0.105</v>
      </c>
      <c r="BT220" s="1">
        <v>0.9</v>
      </c>
      <c r="BU220" s="1">
        <v>0.554</v>
      </c>
      <c r="BV220" s="1">
        <v>1.559</v>
      </c>
      <c r="BW220" s="1">
        <v>0.53</v>
      </c>
      <c r="BX220" s="1">
        <v>0.593</v>
      </c>
      <c r="BY220" s="1">
        <v>0.511</v>
      </c>
      <c r="BZ220" s="1">
        <v>1.104</v>
      </c>
      <c r="CA220" s="1">
        <v>0.616</v>
      </c>
      <c r="CB220" s="1">
        <v>0.0</v>
      </c>
      <c r="CC220" s="1">
        <v>0.0</v>
      </c>
      <c r="CD220" s="1">
        <v>0.584</v>
      </c>
      <c r="CE220" s="1">
        <v>0.048</v>
      </c>
      <c r="CF220" s="1">
        <v>0.758</v>
      </c>
      <c r="CG220" s="1">
        <v>1.39</v>
      </c>
      <c r="CH220" s="1">
        <v>0.146</v>
      </c>
      <c r="CI220" s="1">
        <v>4.8112</v>
      </c>
      <c r="CJ220" s="1">
        <v>0.1783</v>
      </c>
      <c r="CK220" s="1">
        <v>0.0</v>
      </c>
      <c r="CL220" s="1">
        <v>0.0</v>
      </c>
      <c r="CM220" s="1">
        <v>0.0</v>
      </c>
      <c r="CN220" s="1">
        <v>0.0</v>
      </c>
      <c r="CO220" s="1">
        <v>0.0</v>
      </c>
      <c r="CP220" s="1">
        <v>0.0</v>
      </c>
      <c r="CQ220" s="1">
        <v>1.0</v>
      </c>
      <c r="CR220" s="1">
        <v>0.0</v>
      </c>
      <c r="CS220" s="1">
        <v>1.0</v>
      </c>
      <c r="CT220" s="1">
        <v>0.0</v>
      </c>
      <c r="CU220" s="1">
        <v>0.0</v>
      </c>
      <c r="CV220" s="1">
        <v>0.0</v>
      </c>
      <c r="CW220" s="1">
        <v>0.0</v>
      </c>
      <c r="CX220" s="1">
        <v>0.0</v>
      </c>
      <c r="CY220" s="1">
        <v>0.0</v>
      </c>
      <c r="CZ220" s="1">
        <v>0.0</v>
      </c>
      <c r="DA220" s="1">
        <v>0.0</v>
      </c>
      <c r="DB220" s="1">
        <v>0.0</v>
      </c>
      <c r="DC220" s="1">
        <v>1.0</v>
      </c>
      <c r="DD220" s="1" t="s">
        <v>1143</v>
      </c>
      <c r="DE220" s="1">
        <v>9.64062178537791E-4</v>
      </c>
      <c r="DF220" s="2" t="s">
        <v>1144</v>
      </c>
    </row>
    <row r="221" ht="15.75" customHeight="1">
      <c r="A221" s="1" t="s">
        <v>1145</v>
      </c>
      <c r="B221" s="1">
        <v>29.0</v>
      </c>
      <c r="C221" s="2" t="s">
        <v>1023</v>
      </c>
      <c r="D221" s="2" t="s">
        <v>1146</v>
      </c>
      <c r="E221" s="1">
        <v>3.301</v>
      </c>
      <c r="F221" s="1">
        <v>29047.0</v>
      </c>
      <c r="G221" s="1">
        <v>2.9047021306E10</v>
      </c>
      <c r="H221" s="1" t="s">
        <v>112</v>
      </c>
      <c r="I221" s="1" t="s">
        <v>113</v>
      </c>
      <c r="J221" s="1" t="s">
        <v>1025</v>
      </c>
      <c r="K221" s="1" t="s">
        <v>1147</v>
      </c>
      <c r="L221" s="1">
        <v>6989.0</v>
      </c>
      <c r="M221" s="1">
        <v>7563.0</v>
      </c>
      <c r="N221" s="1">
        <v>447.0</v>
      </c>
      <c r="O221" s="1">
        <v>2879.0</v>
      </c>
      <c r="P221" s="1">
        <v>3010.0</v>
      </c>
      <c r="Q221" s="1">
        <v>83.0</v>
      </c>
      <c r="R221" s="1">
        <v>2683.0</v>
      </c>
      <c r="S221" s="1">
        <v>319.0</v>
      </c>
      <c r="T221" s="1">
        <v>167.0</v>
      </c>
      <c r="U221" s="1">
        <v>105.0</v>
      </c>
      <c r="V221" s="1">
        <v>461.0</v>
      </c>
      <c r="W221" s="1">
        <v>28378.0</v>
      </c>
      <c r="X221" s="1">
        <v>2307.0</v>
      </c>
      <c r="Y221" s="1">
        <v>233.0</v>
      </c>
      <c r="Z221" s="1">
        <v>323.0</v>
      </c>
      <c r="AA221" s="1">
        <v>588.0</v>
      </c>
      <c r="AB221" s="1">
        <v>1814.0</v>
      </c>
      <c r="AC221" s="1">
        <v>252.0</v>
      </c>
      <c r="AD221" s="1">
        <v>1018.0</v>
      </c>
      <c r="AE221" s="1">
        <v>179.0</v>
      </c>
      <c r="AF221" s="1">
        <v>442.0</v>
      </c>
      <c r="AG221" s="1">
        <v>194.0</v>
      </c>
      <c r="AH221" s="1">
        <v>158.0</v>
      </c>
      <c r="AI221" s="1">
        <v>0.0</v>
      </c>
      <c r="AJ221" s="1">
        <v>114.0</v>
      </c>
      <c r="AK221" s="1">
        <v>0.0</v>
      </c>
      <c r="AL221" s="1">
        <v>161.0</v>
      </c>
      <c r="AM221" s="1">
        <v>12.0</v>
      </c>
      <c r="AN221" s="1">
        <v>116.0</v>
      </c>
      <c r="AO221" s="1">
        <v>0.0</v>
      </c>
      <c r="AP221" s="1">
        <v>0.042251</v>
      </c>
      <c r="AQ221" s="1">
        <v>0.021975</v>
      </c>
      <c r="AR221" s="1">
        <v>0.025107</v>
      </c>
      <c r="AS221" s="1">
        <v>0.110209</v>
      </c>
      <c r="AT221" s="1">
        <v>28378.0</v>
      </c>
      <c r="AU221" s="1">
        <v>2307.0</v>
      </c>
      <c r="AV221" s="1">
        <v>0.048051</v>
      </c>
      <c r="AW221" s="1">
        <v>0.066562</v>
      </c>
      <c r="AX221" s="1">
        <v>0.084132</v>
      </c>
      <c r="AY221" s="1">
        <v>0.25955</v>
      </c>
      <c r="AZ221" s="1">
        <v>0.09392471</v>
      </c>
      <c r="BA221" s="1">
        <v>0.145657</v>
      </c>
      <c r="BB221" s="1">
        <v>0.025052</v>
      </c>
      <c r="BC221" s="1">
        <v>0.061842</v>
      </c>
      <c r="BD221" s="1">
        <v>0.064451</v>
      </c>
      <c r="BE221" s="1">
        <v>0.052461</v>
      </c>
      <c r="BF221" s="1">
        <v>0.0</v>
      </c>
      <c r="BG221" s="1">
        <v>0.037873</v>
      </c>
      <c r="BH221" s="1">
        <v>0.0</v>
      </c>
      <c r="BI221" s="1">
        <v>0.055061</v>
      </c>
      <c r="BJ221" s="1">
        <v>0.004103</v>
      </c>
      <c r="BK221" s="1">
        <v>0.039671</v>
      </c>
      <c r="BL221" s="1">
        <v>0.0</v>
      </c>
      <c r="BM221" s="1">
        <v>0.132</v>
      </c>
      <c r="BN221" s="1">
        <v>0.053</v>
      </c>
      <c r="BO221" s="1">
        <v>0.2354</v>
      </c>
      <c r="BP221" s="1">
        <v>0.123</v>
      </c>
      <c r="BQ221" s="1">
        <v>0.5434</v>
      </c>
      <c r="BR221" s="1">
        <v>0.0787</v>
      </c>
      <c r="BS221" s="1">
        <v>0.134</v>
      </c>
      <c r="BT221" s="1">
        <v>0.7</v>
      </c>
      <c r="BU221" s="1">
        <v>0.439</v>
      </c>
      <c r="BV221" s="1">
        <v>1.273</v>
      </c>
      <c r="BW221" s="1">
        <v>0.285</v>
      </c>
      <c r="BX221" s="1">
        <v>0.611</v>
      </c>
      <c r="BY221" s="1">
        <v>0.891</v>
      </c>
      <c r="BZ221" s="1">
        <v>1.502</v>
      </c>
      <c r="CA221" s="1">
        <v>0.826</v>
      </c>
      <c r="CB221" s="1">
        <v>0.7</v>
      </c>
      <c r="CC221" s="1">
        <v>0.0</v>
      </c>
      <c r="CD221" s="1">
        <v>0.0</v>
      </c>
      <c r="CE221" s="1">
        <v>0.043</v>
      </c>
      <c r="CF221" s="1">
        <v>0.0</v>
      </c>
      <c r="CG221" s="1">
        <v>0.743</v>
      </c>
      <c r="CH221" s="1">
        <v>0.052</v>
      </c>
      <c r="CI221" s="1">
        <v>4.0614</v>
      </c>
      <c r="CJ221" s="1">
        <v>0.091</v>
      </c>
      <c r="CK221" s="1">
        <v>0.0</v>
      </c>
      <c r="CL221" s="1">
        <v>0.0</v>
      </c>
      <c r="CM221" s="1">
        <v>0.0</v>
      </c>
      <c r="CN221" s="1">
        <v>0.0</v>
      </c>
      <c r="CO221" s="1">
        <v>0.0</v>
      </c>
      <c r="CP221" s="1">
        <v>0.0</v>
      </c>
      <c r="CQ221" s="1">
        <v>0.0</v>
      </c>
      <c r="CR221" s="1">
        <v>0.0</v>
      </c>
      <c r="CS221" s="1">
        <v>0.0</v>
      </c>
      <c r="CT221" s="1">
        <v>0.0</v>
      </c>
      <c r="CU221" s="1">
        <v>0.0</v>
      </c>
      <c r="CV221" s="1">
        <v>0.0</v>
      </c>
      <c r="CW221" s="1">
        <v>0.0</v>
      </c>
      <c r="CX221" s="1">
        <v>0.0</v>
      </c>
      <c r="CY221" s="1">
        <v>0.0</v>
      </c>
      <c r="CZ221" s="1">
        <v>0.0</v>
      </c>
      <c r="DA221" s="1">
        <v>0.0</v>
      </c>
      <c r="DB221" s="1">
        <v>0.0</v>
      </c>
      <c r="DC221" s="1">
        <v>0.0</v>
      </c>
      <c r="DD221" s="1" t="s">
        <v>1148</v>
      </c>
      <c r="DE221" s="1">
        <v>8.95405520760259E-4</v>
      </c>
      <c r="DF221" s="2" t="s">
        <v>1149</v>
      </c>
    </row>
    <row r="222" ht="15.75" customHeight="1">
      <c r="A222" s="1" t="s">
        <v>1150</v>
      </c>
      <c r="B222" s="1">
        <v>29.0</v>
      </c>
      <c r="C222" s="2" t="s">
        <v>1023</v>
      </c>
      <c r="D222" s="2" t="s">
        <v>1151</v>
      </c>
      <c r="E222" s="1">
        <v>3.23</v>
      </c>
      <c r="F222" s="1">
        <v>29047.0</v>
      </c>
      <c r="G222" s="1">
        <v>2.9047021307E10</v>
      </c>
      <c r="H222" s="1" t="s">
        <v>112</v>
      </c>
      <c r="I222" s="1" t="s">
        <v>113</v>
      </c>
      <c r="J222" s="1" t="s">
        <v>1025</v>
      </c>
      <c r="K222" s="1" t="s">
        <v>1152</v>
      </c>
      <c r="L222" s="1">
        <v>5890.0</v>
      </c>
      <c r="M222" s="1">
        <v>5030.0</v>
      </c>
      <c r="N222" s="1">
        <v>357.0</v>
      </c>
      <c r="O222" s="1">
        <v>2426.0</v>
      </c>
      <c r="P222" s="1">
        <v>2032.0</v>
      </c>
      <c r="Q222" s="1">
        <v>82.0</v>
      </c>
      <c r="R222" s="1">
        <v>2177.0</v>
      </c>
      <c r="S222" s="1">
        <v>152.0</v>
      </c>
      <c r="T222" s="1">
        <v>111.0</v>
      </c>
      <c r="U222" s="1">
        <v>62.0</v>
      </c>
      <c r="V222" s="1">
        <v>445.0</v>
      </c>
      <c r="W222" s="1">
        <v>32153.0</v>
      </c>
      <c r="X222" s="1">
        <v>2387.0</v>
      </c>
      <c r="Y222" s="1">
        <v>70.0</v>
      </c>
      <c r="Z222" s="1">
        <v>398.0</v>
      </c>
      <c r="AA222" s="1">
        <v>209.0</v>
      </c>
      <c r="AB222" s="1">
        <v>1916.0</v>
      </c>
      <c r="AC222" s="1">
        <v>293.0</v>
      </c>
      <c r="AD222" s="1">
        <v>1125.0</v>
      </c>
      <c r="AE222" s="1">
        <v>0.0</v>
      </c>
      <c r="AF222" s="1">
        <v>456.0</v>
      </c>
      <c r="AG222" s="1">
        <v>286.0</v>
      </c>
      <c r="AH222" s="1">
        <v>163.0</v>
      </c>
      <c r="AI222" s="1">
        <v>15.0</v>
      </c>
      <c r="AJ222" s="1">
        <v>25.0</v>
      </c>
      <c r="AK222" s="1">
        <v>14.0</v>
      </c>
      <c r="AL222" s="1">
        <v>116.0</v>
      </c>
      <c r="AM222" s="1">
        <v>110.0</v>
      </c>
      <c r="AN222" s="1">
        <v>93.0</v>
      </c>
      <c r="AO222" s="1">
        <v>0.0</v>
      </c>
      <c r="AP222" s="1">
        <v>0.030218</v>
      </c>
      <c r="AQ222" s="1">
        <v>0.021963</v>
      </c>
      <c r="AR222" s="1">
        <v>0.020791</v>
      </c>
      <c r="AS222" s="1">
        <v>0.149208</v>
      </c>
      <c r="AT222" s="1">
        <v>32153.0</v>
      </c>
      <c r="AU222" s="1">
        <v>2387.0</v>
      </c>
      <c r="AV222" s="1">
        <v>0.023026</v>
      </c>
      <c r="AW222" s="1">
        <v>0.130914</v>
      </c>
      <c r="AX222" s="1">
        <v>0.035483</v>
      </c>
      <c r="AY222" s="1">
        <v>0.325297</v>
      </c>
      <c r="AZ222" s="1">
        <v>0.13458888</v>
      </c>
      <c r="BA222" s="1">
        <v>0.191001</v>
      </c>
      <c r="BB222" s="1">
        <v>0.0</v>
      </c>
      <c r="BC222" s="1">
        <v>0.100285</v>
      </c>
      <c r="BD222" s="1">
        <v>0.140748</v>
      </c>
      <c r="BE222" s="1">
        <v>0.080015</v>
      </c>
      <c r="BF222" s="1">
        <v>0.007381</v>
      </c>
      <c r="BG222" s="1">
        <v>0.012299</v>
      </c>
      <c r="BH222" s="1">
        <v>0.007168</v>
      </c>
      <c r="BI222" s="1">
        <v>0.059394</v>
      </c>
      <c r="BJ222" s="1">
        <v>0.056323</v>
      </c>
      <c r="BK222" s="1">
        <v>0.047529</v>
      </c>
      <c r="BL222" s="1">
        <v>0.0</v>
      </c>
      <c r="BM222" s="1">
        <v>0.089</v>
      </c>
      <c r="BN222" s="1">
        <v>0.033</v>
      </c>
      <c r="BO222" s="1">
        <v>0.1531</v>
      </c>
      <c r="BP222" s="1">
        <v>0.04</v>
      </c>
      <c r="BQ222" s="1">
        <v>0.3151</v>
      </c>
      <c r="BR222" s="1">
        <v>0.0209</v>
      </c>
      <c r="BS222" s="1">
        <v>0.015</v>
      </c>
      <c r="BT222" s="1">
        <v>0.968</v>
      </c>
      <c r="BU222" s="1">
        <v>0.736</v>
      </c>
      <c r="BV222" s="1">
        <v>1.719</v>
      </c>
      <c r="BW222" s="1">
        <v>0.656</v>
      </c>
      <c r="BX222" s="1">
        <v>0.697</v>
      </c>
      <c r="BY222" s="1">
        <v>0.0</v>
      </c>
      <c r="BZ222" s="1">
        <v>0.697</v>
      </c>
      <c r="CA222" s="1">
        <v>0.335</v>
      </c>
      <c r="CB222" s="1">
        <v>0.828</v>
      </c>
      <c r="CC222" s="1">
        <v>0.432</v>
      </c>
      <c r="CD222" s="1">
        <v>0.394</v>
      </c>
      <c r="CE222" s="1">
        <v>0.544</v>
      </c>
      <c r="CF222" s="1">
        <v>0.0</v>
      </c>
      <c r="CG222" s="1">
        <v>2.198</v>
      </c>
      <c r="CH222" s="1">
        <v>0.418</v>
      </c>
      <c r="CI222" s="1">
        <v>4.9291</v>
      </c>
      <c r="CJ222" s="1">
        <v>0.1942</v>
      </c>
      <c r="CK222" s="1">
        <v>0.0</v>
      </c>
      <c r="CL222" s="1">
        <v>0.0</v>
      </c>
      <c r="CM222" s="1">
        <v>0.0</v>
      </c>
      <c r="CN222" s="1">
        <v>0.0</v>
      </c>
      <c r="CO222" s="1">
        <v>0.0</v>
      </c>
      <c r="CP222" s="1">
        <v>0.0</v>
      </c>
      <c r="CQ222" s="1">
        <v>1.0</v>
      </c>
      <c r="CR222" s="1">
        <v>0.0</v>
      </c>
      <c r="CS222" s="1">
        <v>1.0</v>
      </c>
      <c r="CT222" s="1">
        <v>0.0</v>
      </c>
      <c r="CU222" s="1">
        <v>0.0</v>
      </c>
      <c r="CV222" s="1">
        <v>0.0</v>
      </c>
      <c r="CW222" s="1">
        <v>0.0</v>
      </c>
      <c r="CX222" s="1">
        <v>0.0</v>
      </c>
      <c r="CY222" s="1">
        <v>0.0</v>
      </c>
      <c r="CZ222" s="1">
        <v>0.0</v>
      </c>
      <c r="DA222" s="1">
        <v>0.0</v>
      </c>
      <c r="DB222" s="1">
        <v>0.0</v>
      </c>
      <c r="DC222" s="1">
        <v>1.0</v>
      </c>
      <c r="DD222" s="1" t="s">
        <v>1153</v>
      </c>
      <c r="DE222" s="1">
        <v>8.72525085538963E-4</v>
      </c>
      <c r="DF222" s="2" t="s">
        <v>1154</v>
      </c>
    </row>
    <row r="223" ht="15.75" customHeight="1">
      <c r="A223" s="1" t="s">
        <v>1155</v>
      </c>
      <c r="B223" s="1">
        <v>29.0</v>
      </c>
      <c r="C223" s="2" t="s">
        <v>1023</v>
      </c>
      <c r="D223" s="2" t="s">
        <v>1156</v>
      </c>
      <c r="E223" s="1">
        <v>4.951</v>
      </c>
      <c r="F223" s="1">
        <v>29047.0</v>
      </c>
      <c r="G223" s="1">
        <v>2.9047021309E10</v>
      </c>
      <c r="H223" s="1" t="s">
        <v>112</v>
      </c>
      <c r="I223" s="1" t="s">
        <v>113</v>
      </c>
      <c r="J223" s="1" t="s">
        <v>1025</v>
      </c>
      <c r="K223" s="1" t="s">
        <v>1157</v>
      </c>
      <c r="L223" s="1">
        <v>3995.0</v>
      </c>
      <c r="M223" s="1">
        <v>3441.0</v>
      </c>
      <c r="N223" s="1">
        <v>276.0</v>
      </c>
      <c r="O223" s="1">
        <v>1363.0</v>
      </c>
      <c r="P223" s="1">
        <v>1073.0</v>
      </c>
      <c r="Q223" s="1">
        <v>95.0</v>
      </c>
      <c r="R223" s="1">
        <v>1287.0</v>
      </c>
      <c r="S223" s="1">
        <v>42.0</v>
      </c>
      <c r="T223" s="1">
        <v>129.0</v>
      </c>
      <c r="U223" s="1">
        <v>133.0</v>
      </c>
      <c r="V223" s="1">
        <v>417.0</v>
      </c>
      <c r="W223" s="1">
        <v>45510.0</v>
      </c>
      <c r="X223" s="1">
        <v>5291.0</v>
      </c>
      <c r="Y223" s="1">
        <v>9.0</v>
      </c>
      <c r="Z223" s="1">
        <v>442.0</v>
      </c>
      <c r="AA223" s="1">
        <v>179.0</v>
      </c>
      <c r="AB223" s="1">
        <v>1476.0</v>
      </c>
      <c r="AC223" s="1">
        <v>86.0</v>
      </c>
      <c r="AD223" s="1">
        <v>514.0</v>
      </c>
      <c r="AE223" s="1">
        <v>8.0</v>
      </c>
      <c r="AF223" s="1">
        <v>442.0</v>
      </c>
      <c r="AG223" s="1">
        <v>89.0</v>
      </c>
      <c r="AH223" s="1">
        <v>128.0</v>
      </c>
      <c r="AI223" s="1">
        <v>0.0</v>
      </c>
      <c r="AJ223" s="1">
        <v>114.0</v>
      </c>
      <c r="AK223" s="1">
        <v>0.0</v>
      </c>
      <c r="AL223" s="1">
        <v>161.0</v>
      </c>
      <c r="AM223" s="1">
        <v>9.0</v>
      </c>
      <c r="AN223" s="1">
        <v>115.0</v>
      </c>
      <c r="AO223" s="1">
        <v>0.0</v>
      </c>
      <c r="AP223" s="1">
        <v>0.012205</v>
      </c>
      <c r="AQ223" s="1">
        <v>0.037476</v>
      </c>
      <c r="AR223" s="1">
        <v>0.082251</v>
      </c>
      <c r="AS223" s="1">
        <v>0.257734</v>
      </c>
      <c r="AT223" s="1">
        <v>45510.0</v>
      </c>
      <c r="AU223" s="1">
        <v>5291.0</v>
      </c>
      <c r="AV223" s="1">
        <v>0.004634</v>
      </c>
      <c r="AW223" s="1">
        <v>0.2276</v>
      </c>
      <c r="AX223" s="1">
        <v>0.044806</v>
      </c>
      <c r="AY223" s="1">
        <v>0.369461</v>
      </c>
      <c r="AZ223" s="1">
        <v>0.06682206</v>
      </c>
      <c r="BA223" s="1">
        <v>0.12866</v>
      </c>
      <c r="BB223" s="1">
        <v>0.002644</v>
      </c>
      <c r="BC223" s="1">
        <v>0.146115</v>
      </c>
      <c r="BD223" s="1">
        <v>0.082945</v>
      </c>
      <c r="BE223" s="1">
        <v>0.119065</v>
      </c>
      <c r="BF223" s="1">
        <v>0.0</v>
      </c>
      <c r="BG223" s="1">
        <v>0.106244</v>
      </c>
      <c r="BH223" s="1">
        <v>0.0</v>
      </c>
      <c r="BI223" s="1">
        <v>0.161484</v>
      </c>
      <c r="BJ223" s="1">
        <v>0.009027</v>
      </c>
      <c r="BK223" s="1">
        <v>0.115343</v>
      </c>
      <c r="BL223" s="1">
        <v>0.0</v>
      </c>
      <c r="BM223" s="1">
        <v>0.028</v>
      </c>
      <c r="BN223" s="1">
        <v>0.63</v>
      </c>
      <c r="BO223" s="1">
        <v>0.0368</v>
      </c>
      <c r="BP223" s="1">
        <v>0.008</v>
      </c>
      <c r="BQ223" s="1">
        <v>0.7028</v>
      </c>
      <c r="BR223" s="1">
        <v>0.1242</v>
      </c>
      <c r="BS223" s="1">
        <v>0.021</v>
      </c>
      <c r="BT223" s="1">
        <v>0.991</v>
      </c>
      <c r="BU223" s="1">
        <v>0.187</v>
      </c>
      <c r="BV223" s="1">
        <v>1.199</v>
      </c>
      <c r="BW223" s="1">
        <v>0.229</v>
      </c>
      <c r="BX223" s="1">
        <v>0.558</v>
      </c>
      <c r="BY223" s="1">
        <v>0.425</v>
      </c>
      <c r="BZ223" s="1">
        <v>0.983</v>
      </c>
      <c r="CA223" s="1">
        <v>0.543</v>
      </c>
      <c r="CB223" s="1">
        <v>0.737</v>
      </c>
      <c r="CC223" s="1">
        <v>0.0</v>
      </c>
      <c r="CD223" s="1">
        <v>0.0</v>
      </c>
      <c r="CE223" s="1">
        <v>0.076</v>
      </c>
      <c r="CF223" s="1">
        <v>0.0</v>
      </c>
      <c r="CG223" s="1">
        <v>0.813</v>
      </c>
      <c r="CH223" s="1">
        <v>0.056</v>
      </c>
      <c r="CI223" s="1">
        <v>3.6978</v>
      </c>
      <c r="CJ223" s="1">
        <v>0.0563</v>
      </c>
      <c r="CK223" s="1">
        <v>0.0</v>
      </c>
      <c r="CL223" s="1">
        <v>0.0</v>
      </c>
      <c r="CM223" s="1">
        <v>0.0</v>
      </c>
      <c r="CN223" s="1">
        <v>0.0</v>
      </c>
      <c r="CO223" s="1">
        <v>0.0</v>
      </c>
      <c r="CP223" s="1">
        <v>0.0</v>
      </c>
      <c r="CQ223" s="1">
        <v>1.0</v>
      </c>
      <c r="CR223" s="1">
        <v>0.0</v>
      </c>
      <c r="CS223" s="1">
        <v>1.0</v>
      </c>
      <c r="CT223" s="1">
        <v>0.0</v>
      </c>
      <c r="CU223" s="1">
        <v>0.0</v>
      </c>
      <c r="CV223" s="1">
        <v>0.0</v>
      </c>
      <c r="CW223" s="1">
        <v>0.0</v>
      </c>
      <c r="CX223" s="1">
        <v>0.0</v>
      </c>
      <c r="CY223" s="1">
        <v>0.0</v>
      </c>
      <c r="CZ223" s="1">
        <v>0.0</v>
      </c>
      <c r="DA223" s="1">
        <v>0.0</v>
      </c>
      <c r="DB223" s="1">
        <v>0.0</v>
      </c>
      <c r="DC223" s="1">
        <v>1.0</v>
      </c>
      <c r="DD223" s="1" t="s">
        <v>1158</v>
      </c>
      <c r="DE223" s="1">
        <v>0.00134456524911998</v>
      </c>
      <c r="DF223" s="2" t="s">
        <v>1159</v>
      </c>
    </row>
    <row r="224" ht="15.75" customHeight="1">
      <c r="A224" s="1" t="s">
        <v>1160</v>
      </c>
      <c r="B224" s="1">
        <v>29.0</v>
      </c>
      <c r="C224" s="2" t="s">
        <v>1023</v>
      </c>
      <c r="D224" s="2" t="s">
        <v>1161</v>
      </c>
      <c r="E224" s="1">
        <v>3.912</v>
      </c>
      <c r="F224" s="1">
        <v>29047.0</v>
      </c>
      <c r="G224" s="1">
        <v>2.9047021401E10</v>
      </c>
      <c r="H224" s="1" t="s">
        <v>112</v>
      </c>
      <c r="I224" s="1" t="s">
        <v>113</v>
      </c>
      <c r="J224" s="1" t="s">
        <v>1025</v>
      </c>
      <c r="K224" s="1" t="s">
        <v>1162</v>
      </c>
      <c r="L224" s="1">
        <v>4809.0</v>
      </c>
      <c r="M224" s="1">
        <v>4505.0</v>
      </c>
      <c r="N224" s="1">
        <v>333.0</v>
      </c>
      <c r="O224" s="1">
        <v>1446.0</v>
      </c>
      <c r="P224" s="1">
        <v>1377.0</v>
      </c>
      <c r="Q224" s="1">
        <v>94.0</v>
      </c>
      <c r="R224" s="1">
        <v>1335.0</v>
      </c>
      <c r="S224" s="1">
        <v>291.0</v>
      </c>
      <c r="T224" s="1">
        <v>232.0</v>
      </c>
      <c r="U224" s="1">
        <v>145.0</v>
      </c>
      <c r="V224" s="1">
        <v>433.0</v>
      </c>
      <c r="W224" s="1">
        <v>23275.0</v>
      </c>
      <c r="X224" s="1">
        <v>2593.0</v>
      </c>
      <c r="Y224" s="1">
        <v>172.0</v>
      </c>
      <c r="Z224" s="1">
        <v>289.0</v>
      </c>
      <c r="AA224" s="1">
        <v>530.0</v>
      </c>
      <c r="AB224" s="1">
        <v>1021.0</v>
      </c>
      <c r="AC224" s="1">
        <v>110.0</v>
      </c>
      <c r="AD224" s="1">
        <v>552.0</v>
      </c>
      <c r="AE224" s="1">
        <v>8.0</v>
      </c>
      <c r="AF224" s="1">
        <v>442.0</v>
      </c>
      <c r="AG224" s="1">
        <v>6.0</v>
      </c>
      <c r="AH224" s="1">
        <v>162.0</v>
      </c>
      <c r="AI224" s="1">
        <v>10.0</v>
      </c>
      <c r="AJ224" s="1">
        <v>17.0</v>
      </c>
      <c r="AK224" s="1">
        <v>0.0</v>
      </c>
      <c r="AL224" s="1">
        <v>161.0</v>
      </c>
      <c r="AM224" s="1">
        <v>27.0</v>
      </c>
      <c r="AN224" s="1">
        <v>26.0</v>
      </c>
      <c r="AO224" s="1">
        <v>1153.0</v>
      </c>
      <c r="AP224" s="1">
        <v>0.0826</v>
      </c>
      <c r="AQ224" s="1">
        <v>0.065657</v>
      </c>
      <c r="AR224" s="1">
        <v>0.06307</v>
      </c>
      <c r="AS224" s="1">
        <v>0.188192</v>
      </c>
      <c r="AT224" s="1">
        <v>23275.0</v>
      </c>
      <c r="AU224" s="1">
        <v>2593.0</v>
      </c>
      <c r="AV224" s="1">
        <v>0.07433</v>
      </c>
      <c r="AW224" s="1">
        <v>0.124731</v>
      </c>
      <c r="AX224" s="1">
        <v>0.11021</v>
      </c>
      <c r="AY224" s="1">
        <v>0.21231</v>
      </c>
      <c r="AZ224" s="1">
        <v>0.082397</v>
      </c>
      <c r="BA224" s="1">
        <v>0.114784</v>
      </c>
      <c r="BB224" s="1">
        <v>0.001828</v>
      </c>
      <c r="BC224" s="1">
        <v>0.101028</v>
      </c>
      <c r="BD224" s="1">
        <v>0.004357</v>
      </c>
      <c r="BE224" s="1">
        <v>0.117646</v>
      </c>
      <c r="BF224" s="1">
        <v>0.007262</v>
      </c>
      <c r="BG224" s="1">
        <v>0.012335</v>
      </c>
      <c r="BH224" s="1">
        <v>0.0</v>
      </c>
      <c r="BI224" s="1">
        <v>0.123655</v>
      </c>
      <c r="BJ224" s="1">
        <v>0.020737</v>
      </c>
      <c r="BK224" s="1">
        <v>0.019916</v>
      </c>
      <c r="BL224" s="1">
        <v>0.239758</v>
      </c>
      <c r="BM224" s="1">
        <v>0.301</v>
      </c>
      <c r="BN224" s="1">
        <v>0.449</v>
      </c>
      <c r="BO224" s="1">
        <v>0.4339</v>
      </c>
      <c r="BP224" s="1">
        <v>0.22</v>
      </c>
      <c r="BQ224" s="1">
        <v>1.4039</v>
      </c>
      <c r="BR224" s="1">
        <v>0.3119</v>
      </c>
      <c r="BS224" s="1">
        <v>0.274</v>
      </c>
      <c r="BT224" s="1">
        <v>0.246</v>
      </c>
      <c r="BU224" s="1">
        <v>0.328</v>
      </c>
      <c r="BV224" s="1">
        <v>0.848</v>
      </c>
      <c r="BW224" s="1">
        <v>0.083</v>
      </c>
      <c r="BX224" s="1">
        <v>0.521</v>
      </c>
      <c r="BY224" s="1">
        <v>0.374</v>
      </c>
      <c r="BZ224" s="1">
        <v>0.895</v>
      </c>
      <c r="CA224" s="1">
        <v>0.464</v>
      </c>
      <c r="CB224" s="1">
        <v>0.307</v>
      </c>
      <c r="CC224" s="1">
        <v>0.43</v>
      </c>
      <c r="CD224" s="1">
        <v>0.0</v>
      </c>
      <c r="CE224" s="1">
        <v>0.19</v>
      </c>
      <c r="CF224" s="1">
        <v>0.972</v>
      </c>
      <c r="CG224" s="1">
        <v>1.899</v>
      </c>
      <c r="CH224" s="1">
        <v>0.304</v>
      </c>
      <c r="CI224" s="1">
        <v>5.0459</v>
      </c>
      <c r="CJ224" s="1">
        <v>0.2101</v>
      </c>
      <c r="CK224" s="1">
        <v>0.0</v>
      </c>
      <c r="CL224" s="1">
        <v>0.0</v>
      </c>
      <c r="CM224" s="1">
        <v>0.0</v>
      </c>
      <c r="CN224" s="1">
        <v>0.0</v>
      </c>
      <c r="CO224" s="1">
        <v>0.0</v>
      </c>
      <c r="CP224" s="1">
        <v>0.0</v>
      </c>
      <c r="CQ224" s="1">
        <v>0.0</v>
      </c>
      <c r="CR224" s="1">
        <v>0.0</v>
      </c>
      <c r="CS224" s="1">
        <v>0.0</v>
      </c>
      <c r="CT224" s="1">
        <v>0.0</v>
      </c>
      <c r="CU224" s="1">
        <v>0.0</v>
      </c>
      <c r="CV224" s="1">
        <v>0.0</v>
      </c>
      <c r="CW224" s="1">
        <v>0.0</v>
      </c>
      <c r="CX224" s="1">
        <v>0.0</v>
      </c>
      <c r="CY224" s="1">
        <v>0.0</v>
      </c>
      <c r="CZ224" s="1">
        <v>0.0</v>
      </c>
      <c r="DA224" s="1">
        <v>1.0</v>
      </c>
      <c r="DB224" s="1">
        <v>1.0</v>
      </c>
      <c r="DC224" s="1">
        <v>1.0</v>
      </c>
      <c r="DD224" s="1" t="s">
        <v>1163</v>
      </c>
      <c r="DE224" s="1">
        <v>0.00105751086727854</v>
      </c>
      <c r="DF224" s="2" t="s">
        <v>1164</v>
      </c>
    </row>
    <row r="225" ht="15.75" customHeight="1">
      <c r="A225" s="1" t="s">
        <v>1165</v>
      </c>
      <c r="B225" s="1">
        <v>29.0</v>
      </c>
      <c r="C225" s="2" t="s">
        <v>1023</v>
      </c>
      <c r="D225" s="2" t="s">
        <v>1166</v>
      </c>
      <c r="E225" s="1">
        <v>1.108</v>
      </c>
      <c r="F225" s="1">
        <v>29047.0</v>
      </c>
      <c r="G225" s="1">
        <v>2.9047021403E10</v>
      </c>
      <c r="H225" s="1" t="s">
        <v>112</v>
      </c>
      <c r="I225" s="1" t="s">
        <v>113</v>
      </c>
      <c r="J225" s="1" t="s">
        <v>1025</v>
      </c>
      <c r="K225" s="1" t="s">
        <v>1167</v>
      </c>
      <c r="L225" s="1">
        <v>3022.0</v>
      </c>
      <c r="M225" s="1">
        <v>3329.0</v>
      </c>
      <c r="N225" s="1">
        <v>329.0</v>
      </c>
      <c r="O225" s="1">
        <v>1461.0</v>
      </c>
      <c r="P225" s="1">
        <v>1470.0</v>
      </c>
      <c r="Q225" s="1">
        <v>87.0</v>
      </c>
      <c r="R225" s="1">
        <v>1322.0</v>
      </c>
      <c r="S225" s="1">
        <v>489.0</v>
      </c>
      <c r="T225" s="1">
        <v>232.0</v>
      </c>
      <c r="U225" s="1">
        <v>119.0</v>
      </c>
      <c r="V225" s="1">
        <v>417.0</v>
      </c>
      <c r="W225" s="1">
        <v>20823.0</v>
      </c>
      <c r="X225" s="1">
        <v>2721.0</v>
      </c>
      <c r="Y225" s="1">
        <v>180.0</v>
      </c>
      <c r="Z225" s="1">
        <v>293.0</v>
      </c>
      <c r="AA225" s="1">
        <v>357.0</v>
      </c>
      <c r="AB225" s="1">
        <v>763.0</v>
      </c>
      <c r="AC225" s="1">
        <v>206.0</v>
      </c>
      <c r="AD225" s="1">
        <v>394.0</v>
      </c>
      <c r="AE225" s="1">
        <v>16.0</v>
      </c>
      <c r="AF225" s="1">
        <v>442.0</v>
      </c>
      <c r="AG225" s="1">
        <v>200.0</v>
      </c>
      <c r="AH225" s="1">
        <v>78.0</v>
      </c>
      <c r="AI225" s="1">
        <v>0.0</v>
      </c>
      <c r="AJ225" s="1">
        <v>114.0</v>
      </c>
      <c r="AK225" s="1">
        <v>0.0</v>
      </c>
      <c r="AL225" s="1">
        <v>161.0</v>
      </c>
      <c r="AM225" s="1">
        <v>157.0</v>
      </c>
      <c r="AN225" s="1">
        <v>140.0</v>
      </c>
      <c r="AO225" s="1">
        <v>17.0</v>
      </c>
      <c r="AP225" s="1">
        <v>0.150554</v>
      </c>
      <c r="AQ225" s="1">
        <v>0.070152</v>
      </c>
      <c r="AR225" s="1">
        <v>0.069917</v>
      </c>
      <c r="AS225" s="1">
        <v>0.244718</v>
      </c>
      <c r="AT225" s="1">
        <v>20823.0</v>
      </c>
      <c r="AU225" s="1">
        <v>2721.0</v>
      </c>
      <c r="AV225" s="1">
        <v>0.093506</v>
      </c>
      <c r="AW225" s="1">
        <v>0.151903</v>
      </c>
      <c r="AX225" s="1">
        <v>0.118133</v>
      </c>
      <c r="AY225" s="1">
        <v>0.252481</v>
      </c>
      <c r="AZ225" s="1">
        <v>0.1558245</v>
      </c>
      <c r="BA225" s="1">
        <v>0.130377</v>
      </c>
      <c r="BB225" s="1">
        <v>0.005021</v>
      </c>
      <c r="BC225" s="1">
        <v>0.138731</v>
      </c>
      <c r="BD225" s="1">
        <v>0.136054</v>
      </c>
      <c r="BE225" s="1">
        <v>0.052446</v>
      </c>
      <c r="BF225" s="1">
        <v>0.0</v>
      </c>
      <c r="BG225" s="1">
        <v>0.077551</v>
      </c>
      <c r="BH225" s="1">
        <v>0.0</v>
      </c>
      <c r="BI225" s="1">
        <v>0.114754</v>
      </c>
      <c r="BJ225" s="1">
        <v>0.111903</v>
      </c>
      <c r="BK225" s="1">
        <v>0.099504</v>
      </c>
      <c r="BL225" s="1">
        <v>0.005625</v>
      </c>
      <c r="BM225" s="1">
        <v>0.58</v>
      </c>
      <c r="BN225" s="1">
        <v>0.515</v>
      </c>
      <c r="BO225" s="1">
        <v>0.5617</v>
      </c>
      <c r="BP225" s="1">
        <v>0.31</v>
      </c>
      <c r="BQ225" s="1">
        <v>1.9667</v>
      </c>
      <c r="BR225" s="1">
        <v>0.483</v>
      </c>
      <c r="BS225" s="1">
        <v>0.33</v>
      </c>
      <c r="BT225" s="1">
        <v>0.631</v>
      </c>
      <c r="BU225" s="1">
        <v>0.814</v>
      </c>
      <c r="BV225" s="1">
        <v>1.775</v>
      </c>
      <c r="BW225" s="1">
        <v>0.702</v>
      </c>
      <c r="BX225" s="1">
        <v>0.562</v>
      </c>
      <c r="BY225" s="1">
        <v>0.561</v>
      </c>
      <c r="BZ225" s="1">
        <v>1.123</v>
      </c>
      <c r="CA225" s="1">
        <v>0.624</v>
      </c>
      <c r="CB225" s="1">
        <v>0.82</v>
      </c>
      <c r="CC225" s="1">
        <v>0.0</v>
      </c>
      <c r="CD225" s="1">
        <v>0.0</v>
      </c>
      <c r="CE225" s="1">
        <v>0.786</v>
      </c>
      <c r="CF225" s="1">
        <v>0.528</v>
      </c>
      <c r="CG225" s="1">
        <v>2.134</v>
      </c>
      <c r="CH225" s="1">
        <v>0.393</v>
      </c>
      <c r="CI225" s="1">
        <v>6.9987</v>
      </c>
      <c r="CJ225" s="1">
        <v>0.5451</v>
      </c>
      <c r="CK225" s="1">
        <v>0.0</v>
      </c>
      <c r="CL225" s="1">
        <v>0.0</v>
      </c>
      <c r="CM225" s="1">
        <v>0.0</v>
      </c>
      <c r="CN225" s="1">
        <v>0.0</v>
      </c>
      <c r="CO225" s="1">
        <v>0.0</v>
      </c>
      <c r="CP225" s="1">
        <v>0.0</v>
      </c>
      <c r="CQ225" s="1">
        <v>0.0</v>
      </c>
      <c r="CR225" s="1">
        <v>0.0</v>
      </c>
      <c r="CS225" s="1">
        <v>0.0</v>
      </c>
      <c r="CT225" s="1">
        <v>0.0</v>
      </c>
      <c r="CU225" s="1">
        <v>0.0</v>
      </c>
      <c r="CV225" s="1">
        <v>0.0</v>
      </c>
      <c r="CW225" s="1">
        <v>0.0</v>
      </c>
      <c r="CX225" s="1">
        <v>0.0</v>
      </c>
      <c r="CY225" s="1">
        <v>0.0</v>
      </c>
      <c r="CZ225" s="1">
        <v>0.0</v>
      </c>
      <c r="DA225" s="1">
        <v>0.0</v>
      </c>
      <c r="DB225" s="1">
        <v>0.0</v>
      </c>
      <c r="DC225" s="1">
        <v>0.0</v>
      </c>
      <c r="DD225" s="1" t="s">
        <v>1168</v>
      </c>
      <c r="DE225" s="1">
        <v>2.96691031286269E-4</v>
      </c>
      <c r="DF225" s="2" t="s">
        <v>1169</v>
      </c>
    </row>
    <row r="226" ht="15.75" customHeight="1">
      <c r="A226" s="1" t="s">
        <v>1170</v>
      </c>
      <c r="B226" s="1">
        <v>29.0</v>
      </c>
      <c r="C226" s="2" t="s">
        <v>1023</v>
      </c>
      <c r="D226" s="2" t="s">
        <v>1171</v>
      </c>
      <c r="E226" s="1">
        <v>1.599</v>
      </c>
      <c r="F226" s="1">
        <v>29047.0</v>
      </c>
      <c r="G226" s="1">
        <v>2.9047021404E10</v>
      </c>
      <c r="H226" s="1" t="s">
        <v>112</v>
      </c>
      <c r="I226" s="1" t="s">
        <v>113</v>
      </c>
      <c r="J226" s="1" t="s">
        <v>1025</v>
      </c>
      <c r="K226" s="1" t="s">
        <v>1172</v>
      </c>
      <c r="L226" s="1">
        <v>4272.0</v>
      </c>
      <c r="M226" s="1">
        <v>4113.0</v>
      </c>
      <c r="N226" s="1">
        <v>383.0</v>
      </c>
      <c r="O226" s="1">
        <v>1856.0</v>
      </c>
      <c r="P226" s="1">
        <v>1975.0</v>
      </c>
      <c r="Q226" s="1">
        <v>76.0</v>
      </c>
      <c r="R226" s="1">
        <v>1729.0</v>
      </c>
      <c r="S226" s="1">
        <v>234.0</v>
      </c>
      <c r="T226" s="1">
        <v>144.0</v>
      </c>
      <c r="U226" s="1">
        <v>75.0</v>
      </c>
      <c r="V226" s="1">
        <v>445.0</v>
      </c>
      <c r="W226" s="1">
        <v>38171.0</v>
      </c>
      <c r="X226" s="1">
        <v>5779.0</v>
      </c>
      <c r="Y226" s="1">
        <v>105.0</v>
      </c>
      <c r="Z226" s="1">
        <v>366.0</v>
      </c>
      <c r="AA226" s="1">
        <v>785.0</v>
      </c>
      <c r="AB226" s="1">
        <v>963.0</v>
      </c>
      <c r="AC226" s="1">
        <v>174.0</v>
      </c>
      <c r="AD226" s="1">
        <v>475.0</v>
      </c>
      <c r="AE226" s="1">
        <v>0.0</v>
      </c>
      <c r="AF226" s="1">
        <v>456.0</v>
      </c>
      <c r="AG226" s="1">
        <v>247.0</v>
      </c>
      <c r="AH226" s="1">
        <v>108.0</v>
      </c>
      <c r="AI226" s="1">
        <v>0.0</v>
      </c>
      <c r="AJ226" s="1">
        <v>114.0</v>
      </c>
      <c r="AK226" s="1">
        <v>0.0</v>
      </c>
      <c r="AL226" s="1">
        <v>161.0</v>
      </c>
      <c r="AM226" s="1">
        <v>101.0</v>
      </c>
      <c r="AN226" s="1">
        <v>64.0</v>
      </c>
      <c r="AO226" s="1">
        <v>158.0</v>
      </c>
      <c r="AP226" s="1">
        <v>0.058252</v>
      </c>
      <c r="AQ226" s="1">
        <v>0.035534</v>
      </c>
      <c r="AR226" s="1">
        <v>0.036982</v>
      </c>
      <c r="AS226" s="1">
        <v>0.219325</v>
      </c>
      <c r="AT226" s="1">
        <v>38171.0</v>
      </c>
      <c r="AU226" s="1">
        <v>5779.0</v>
      </c>
      <c r="AV226" s="1">
        <v>0.032998</v>
      </c>
      <c r="AW226" s="1">
        <v>0.114985</v>
      </c>
      <c r="AX226" s="1">
        <v>0.183754</v>
      </c>
      <c r="AY226" s="1">
        <v>0.225421</v>
      </c>
      <c r="AZ226" s="1">
        <v>0.1006362</v>
      </c>
      <c r="BA226" s="1">
        <v>0.111189</v>
      </c>
      <c r="BB226" s="1">
        <v>0.0</v>
      </c>
      <c r="BC226" s="1">
        <v>0.118195</v>
      </c>
      <c r="BD226" s="1">
        <v>0.125063</v>
      </c>
      <c r="BE226" s="1">
        <v>0.054471</v>
      </c>
      <c r="BF226" s="1">
        <v>0.0</v>
      </c>
      <c r="BG226" s="1">
        <v>0.057721</v>
      </c>
      <c r="BH226" s="1">
        <v>0.0</v>
      </c>
      <c r="BI226" s="1">
        <v>0.0875</v>
      </c>
      <c r="BJ226" s="1">
        <v>0.054891</v>
      </c>
      <c r="BK226" s="1">
        <v>0.034575</v>
      </c>
      <c r="BL226" s="1">
        <v>0.036985</v>
      </c>
      <c r="BM226" s="1">
        <v>0.197</v>
      </c>
      <c r="BN226" s="1">
        <v>0.156</v>
      </c>
      <c r="BO226" s="1">
        <v>0.083</v>
      </c>
      <c r="BP226" s="1">
        <v>0.071</v>
      </c>
      <c r="BQ226" s="1">
        <v>0.507</v>
      </c>
      <c r="BR226" s="1">
        <v>0.0686</v>
      </c>
      <c r="BS226" s="1">
        <v>0.811</v>
      </c>
      <c r="BT226" s="1">
        <v>0.343</v>
      </c>
      <c r="BU226" s="1">
        <v>0.5</v>
      </c>
      <c r="BV226" s="1">
        <v>1.654</v>
      </c>
      <c r="BW226" s="1">
        <v>0.606</v>
      </c>
      <c r="BX226" s="1">
        <v>0.508</v>
      </c>
      <c r="BY226" s="1">
        <v>0.0</v>
      </c>
      <c r="BZ226" s="1">
        <v>0.508</v>
      </c>
      <c r="CA226" s="1">
        <v>0.213</v>
      </c>
      <c r="CB226" s="1">
        <v>0.808</v>
      </c>
      <c r="CC226" s="1">
        <v>0.0</v>
      </c>
      <c r="CD226" s="1">
        <v>0.0</v>
      </c>
      <c r="CE226" s="1">
        <v>0.528</v>
      </c>
      <c r="CF226" s="1">
        <v>0.855</v>
      </c>
      <c r="CG226" s="1">
        <v>2.191</v>
      </c>
      <c r="CH226" s="1">
        <v>0.415</v>
      </c>
      <c r="CI226" s="1">
        <v>4.86</v>
      </c>
      <c r="CJ226" s="1">
        <v>0.1863</v>
      </c>
      <c r="CK226" s="1">
        <v>0.0</v>
      </c>
      <c r="CL226" s="1">
        <v>0.0</v>
      </c>
      <c r="CM226" s="1">
        <v>0.0</v>
      </c>
      <c r="CN226" s="1">
        <v>0.0</v>
      </c>
      <c r="CO226" s="1">
        <v>0.0</v>
      </c>
      <c r="CP226" s="1">
        <v>0.0</v>
      </c>
      <c r="CQ226" s="1">
        <v>0.0</v>
      </c>
      <c r="CR226" s="1">
        <v>0.0</v>
      </c>
      <c r="CS226" s="1">
        <v>0.0</v>
      </c>
      <c r="CT226" s="1">
        <v>0.0</v>
      </c>
      <c r="CU226" s="1">
        <v>0.0</v>
      </c>
      <c r="CV226" s="1">
        <v>0.0</v>
      </c>
      <c r="CW226" s="1">
        <v>0.0</v>
      </c>
      <c r="CX226" s="1">
        <v>0.0</v>
      </c>
      <c r="CY226" s="1">
        <v>0.0</v>
      </c>
      <c r="CZ226" s="1">
        <v>0.0</v>
      </c>
      <c r="DA226" s="1">
        <v>0.0</v>
      </c>
      <c r="DB226" s="1">
        <v>0.0</v>
      </c>
      <c r="DC226" s="1">
        <v>0.0</v>
      </c>
      <c r="DD226" s="1" t="s">
        <v>1173</v>
      </c>
      <c r="DE226" s="1">
        <v>4.36816373170963E-4</v>
      </c>
      <c r="DF226" s="1">
        <v>0.0835177061476329</v>
      </c>
    </row>
    <row r="227" ht="15.75" customHeight="1">
      <c r="A227" s="1" t="s">
        <v>1174</v>
      </c>
      <c r="B227" s="1">
        <v>29.0</v>
      </c>
      <c r="C227" s="2" t="s">
        <v>1023</v>
      </c>
      <c r="D227" s="2" t="s">
        <v>1175</v>
      </c>
      <c r="E227" s="1">
        <v>69.953</v>
      </c>
      <c r="F227" s="1">
        <v>29047.0</v>
      </c>
      <c r="G227" s="1">
        <v>2.90470216E10</v>
      </c>
      <c r="H227" s="1" t="s">
        <v>112</v>
      </c>
      <c r="I227" s="1" t="s">
        <v>113</v>
      </c>
      <c r="J227" s="1" t="s">
        <v>1025</v>
      </c>
      <c r="K227" s="1" t="s">
        <v>1176</v>
      </c>
      <c r="L227" s="1">
        <v>8254.0</v>
      </c>
      <c r="M227" s="1">
        <v>7811.0</v>
      </c>
      <c r="N227" s="1">
        <v>358.0</v>
      </c>
      <c r="O227" s="1">
        <v>3027.0</v>
      </c>
      <c r="P227" s="1">
        <v>2884.0</v>
      </c>
      <c r="Q227" s="1">
        <v>146.0</v>
      </c>
      <c r="R227" s="1">
        <v>2888.0</v>
      </c>
      <c r="S227" s="1">
        <v>710.0</v>
      </c>
      <c r="T227" s="1">
        <v>328.0</v>
      </c>
      <c r="U227" s="1">
        <v>245.0</v>
      </c>
      <c r="V227" s="1">
        <v>269.0</v>
      </c>
      <c r="W227" s="1">
        <v>27289.0</v>
      </c>
      <c r="X227" s="1">
        <v>1856.0</v>
      </c>
      <c r="Y227" s="1">
        <v>395.0</v>
      </c>
      <c r="Z227" s="1">
        <v>227.0</v>
      </c>
      <c r="AA227" s="1">
        <v>731.0</v>
      </c>
      <c r="AB227" s="1">
        <v>2482.0</v>
      </c>
      <c r="AC227" s="1">
        <v>274.0</v>
      </c>
      <c r="AD227" s="1">
        <v>878.0</v>
      </c>
      <c r="AE227" s="1">
        <v>20.0</v>
      </c>
      <c r="AF227" s="1">
        <v>442.0</v>
      </c>
      <c r="AG227" s="1">
        <v>17.0</v>
      </c>
      <c r="AH227" s="1">
        <v>116.0</v>
      </c>
      <c r="AI227" s="1">
        <v>210.0</v>
      </c>
      <c r="AJ227" s="1">
        <v>65.0</v>
      </c>
      <c r="AK227" s="1">
        <v>22.0</v>
      </c>
      <c r="AL227" s="1">
        <v>116.0</v>
      </c>
      <c r="AM227" s="1">
        <v>42.0</v>
      </c>
      <c r="AN227" s="1">
        <v>118.0</v>
      </c>
      <c r="AO227" s="1">
        <v>8.0</v>
      </c>
      <c r="AP227" s="1">
        <v>0.090897</v>
      </c>
      <c r="AQ227" s="1">
        <v>0.041784</v>
      </c>
      <c r="AR227" s="1">
        <v>0.061978</v>
      </c>
      <c r="AS227" s="1">
        <v>0.067845</v>
      </c>
      <c r="AT227" s="1">
        <v>27289.0</v>
      </c>
      <c r="AU227" s="1">
        <v>1856.0</v>
      </c>
      <c r="AV227" s="1">
        <v>0.080398</v>
      </c>
      <c r="AW227" s="1">
        <v>0.046019</v>
      </c>
      <c r="AX227" s="1">
        <v>0.088563</v>
      </c>
      <c r="AY227" s="1">
        <v>0.300702</v>
      </c>
      <c r="AZ227" s="1">
        <v>0.09487534</v>
      </c>
      <c r="BA227" s="1">
        <v>0.106372</v>
      </c>
      <c r="BB227" s="1">
        <v>0.002727</v>
      </c>
      <c r="BC227" s="1">
        <v>0.060267</v>
      </c>
      <c r="BD227" s="1">
        <v>0.005894</v>
      </c>
      <c r="BE227" s="1">
        <v>0.04022</v>
      </c>
      <c r="BF227" s="1">
        <v>0.072815</v>
      </c>
      <c r="BG227" s="1">
        <v>0.022234</v>
      </c>
      <c r="BH227" s="1">
        <v>0.007848</v>
      </c>
      <c r="BI227" s="1">
        <v>0.041382</v>
      </c>
      <c r="BJ227" s="1">
        <v>0.014983</v>
      </c>
      <c r="BK227" s="1">
        <v>0.042089</v>
      </c>
      <c r="BL227" s="1">
        <v>9.69E-4</v>
      </c>
      <c r="BM227" s="1">
        <v>0.34</v>
      </c>
      <c r="BN227" s="1">
        <v>0.438</v>
      </c>
      <c r="BO227" s="1">
        <v>0.2736</v>
      </c>
      <c r="BP227" s="1">
        <v>0.249</v>
      </c>
      <c r="BQ227" s="1">
        <v>1.3006</v>
      </c>
      <c r="BR227" s="1">
        <v>0.2794</v>
      </c>
      <c r="BS227" s="1">
        <v>0.151</v>
      </c>
      <c r="BT227" s="1">
        <v>0.924</v>
      </c>
      <c r="BU227" s="1">
        <v>0.449</v>
      </c>
      <c r="BV227" s="1">
        <v>1.524</v>
      </c>
      <c r="BW227" s="1">
        <v>0.501</v>
      </c>
      <c r="BX227" s="1">
        <v>0.494</v>
      </c>
      <c r="BY227" s="1">
        <v>0.43</v>
      </c>
      <c r="BZ227" s="1">
        <v>0.924</v>
      </c>
      <c r="CA227" s="1">
        <v>0.487</v>
      </c>
      <c r="CB227" s="1">
        <v>0.334</v>
      </c>
      <c r="CC227" s="1">
        <v>0.657</v>
      </c>
      <c r="CD227" s="1">
        <v>0.432</v>
      </c>
      <c r="CE227" s="1">
        <v>0.134</v>
      </c>
      <c r="CF227" s="1">
        <v>0.396</v>
      </c>
      <c r="CG227" s="1">
        <v>1.953</v>
      </c>
      <c r="CH227" s="1">
        <v>0.324</v>
      </c>
      <c r="CI227" s="1">
        <v>5.7016</v>
      </c>
      <c r="CJ227" s="1">
        <v>0.3206</v>
      </c>
      <c r="CK227" s="1">
        <v>0.0</v>
      </c>
      <c r="CL227" s="1">
        <v>0.0</v>
      </c>
      <c r="CM227" s="1">
        <v>0.0</v>
      </c>
      <c r="CN227" s="1">
        <v>0.0</v>
      </c>
      <c r="CO227" s="1">
        <v>0.0</v>
      </c>
      <c r="CP227" s="1">
        <v>0.0</v>
      </c>
      <c r="CQ227" s="1">
        <v>1.0</v>
      </c>
      <c r="CR227" s="1">
        <v>0.0</v>
      </c>
      <c r="CS227" s="1">
        <v>1.0</v>
      </c>
      <c r="CT227" s="1">
        <v>0.0</v>
      </c>
      <c r="CU227" s="1">
        <v>0.0</v>
      </c>
      <c r="CV227" s="1">
        <v>0.0</v>
      </c>
      <c r="CW227" s="1">
        <v>0.0</v>
      </c>
      <c r="CX227" s="1">
        <v>0.0</v>
      </c>
      <c r="CY227" s="1">
        <v>0.0</v>
      </c>
      <c r="CZ227" s="1">
        <v>0.0</v>
      </c>
      <c r="DA227" s="1">
        <v>0.0</v>
      </c>
      <c r="DB227" s="1">
        <v>0.0</v>
      </c>
      <c r="DC227" s="1">
        <v>1.0</v>
      </c>
      <c r="DD227" s="1" t="s">
        <v>1177</v>
      </c>
      <c r="DE227" s="2" t="s">
        <v>1178</v>
      </c>
      <c r="DF227" s="2" t="s">
        <v>1179</v>
      </c>
    </row>
    <row r="228" ht="15.75" customHeight="1">
      <c r="A228" s="1" t="s">
        <v>1180</v>
      </c>
      <c r="B228" s="1">
        <v>29.0</v>
      </c>
      <c r="C228" s="2" t="s">
        <v>1023</v>
      </c>
      <c r="D228" s="2" t="s">
        <v>1181</v>
      </c>
      <c r="E228" s="1">
        <v>9.563</v>
      </c>
      <c r="F228" s="1">
        <v>29047.0</v>
      </c>
      <c r="G228" s="1">
        <v>2.9047021701E10</v>
      </c>
      <c r="H228" s="1" t="s">
        <v>112</v>
      </c>
      <c r="I228" s="1" t="s">
        <v>113</v>
      </c>
      <c r="J228" s="1" t="s">
        <v>1025</v>
      </c>
      <c r="K228" s="1" t="s">
        <v>1182</v>
      </c>
      <c r="L228" s="1">
        <v>5303.0</v>
      </c>
      <c r="M228" s="1">
        <v>5034.0</v>
      </c>
      <c r="N228" s="1">
        <v>333.0</v>
      </c>
      <c r="O228" s="1">
        <v>2125.0</v>
      </c>
      <c r="P228" s="1">
        <v>2022.0</v>
      </c>
      <c r="Q228" s="1">
        <v>144.0</v>
      </c>
      <c r="R228" s="1">
        <v>1991.0</v>
      </c>
      <c r="S228" s="1">
        <v>536.0</v>
      </c>
      <c r="T228" s="1">
        <v>355.0</v>
      </c>
      <c r="U228" s="1">
        <v>121.0</v>
      </c>
      <c r="V228" s="1">
        <v>400.0</v>
      </c>
      <c r="W228" s="1">
        <v>21562.0</v>
      </c>
      <c r="X228" s="1">
        <v>1931.0</v>
      </c>
      <c r="Y228" s="1">
        <v>464.0</v>
      </c>
      <c r="Z228" s="1">
        <v>330.0</v>
      </c>
      <c r="AA228" s="1">
        <v>888.0</v>
      </c>
      <c r="AB228" s="1">
        <v>1375.0</v>
      </c>
      <c r="AC228" s="1">
        <v>247.0</v>
      </c>
      <c r="AD228" s="1">
        <v>393.0</v>
      </c>
      <c r="AE228" s="1">
        <v>67.0</v>
      </c>
      <c r="AF228" s="1">
        <v>433.0</v>
      </c>
      <c r="AG228" s="1">
        <v>79.0</v>
      </c>
      <c r="AH228" s="1">
        <v>130.0</v>
      </c>
      <c r="AI228" s="1">
        <v>91.0</v>
      </c>
      <c r="AJ228" s="1">
        <v>81.0</v>
      </c>
      <c r="AK228" s="1">
        <v>14.0</v>
      </c>
      <c r="AL228" s="1">
        <v>116.0</v>
      </c>
      <c r="AM228" s="1">
        <v>229.0</v>
      </c>
      <c r="AN228" s="1">
        <v>118.0</v>
      </c>
      <c r="AO228" s="1">
        <v>175.0</v>
      </c>
      <c r="AP228" s="1">
        <v>0.110629</v>
      </c>
      <c r="AQ228" s="1">
        <v>0.072887</v>
      </c>
      <c r="AR228" s="1">
        <v>0.056122</v>
      </c>
      <c r="AS228" s="1">
        <v>0.185382</v>
      </c>
      <c r="AT228" s="1">
        <v>21562.0</v>
      </c>
      <c r="AU228" s="1">
        <v>1931.0</v>
      </c>
      <c r="AV228" s="1">
        <v>0.139297</v>
      </c>
      <c r="AW228" s="1">
        <v>0.09848</v>
      </c>
      <c r="AX228" s="1">
        <v>0.167452</v>
      </c>
      <c r="AY228" s="1">
        <v>0.259287</v>
      </c>
      <c r="AZ228" s="1">
        <v>0.12405826</v>
      </c>
      <c r="BA228" s="1">
        <v>0.074108</v>
      </c>
      <c r="BB228" s="1">
        <v>0.014399</v>
      </c>
      <c r="BC228" s="1">
        <v>0.093051</v>
      </c>
      <c r="BD228" s="1">
        <v>0.03907</v>
      </c>
      <c r="BE228" s="1">
        <v>0.064232</v>
      </c>
      <c r="BF228" s="1">
        <v>0.045004</v>
      </c>
      <c r="BG228" s="1">
        <v>0.03993</v>
      </c>
      <c r="BH228" s="1">
        <v>0.007474</v>
      </c>
      <c r="BI228" s="1">
        <v>0.06193</v>
      </c>
      <c r="BJ228" s="1">
        <v>0.122263</v>
      </c>
      <c r="BK228" s="1">
        <v>0.062371</v>
      </c>
      <c r="BL228" s="1">
        <v>0.033</v>
      </c>
      <c r="BM228" s="1">
        <v>0.42</v>
      </c>
      <c r="BN228" s="1">
        <v>0.367</v>
      </c>
      <c r="BO228" s="1">
        <v>0.5155</v>
      </c>
      <c r="BP228" s="1">
        <v>0.521</v>
      </c>
      <c r="BQ228" s="1">
        <v>1.8235</v>
      </c>
      <c r="BR228" s="1">
        <v>0.439</v>
      </c>
      <c r="BS228" s="1">
        <v>0.717</v>
      </c>
      <c r="BT228" s="1">
        <v>0.699</v>
      </c>
      <c r="BU228" s="1">
        <v>0.694</v>
      </c>
      <c r="BV228" s="1">
        <v>2.11</v>
      </c>
      <c r="BW228" s="1">
        <v>0.92</v>
      </c>
      <c r="BX228" s="1">
        <v>0.374</v>
      </c>
      <c r="BY228" s="1">
        <v>0.801</v>
      </c>
      <c r="BZ228" s="1">
        <v>1.175</v>
      </c>
      <c r="CA228" s="1">
        <v>0.648</v>
      </c>
      <c r="CB228" s="1">
        <v>0.606</v>
      </c>
      <c r="CC228" s="1">
        <v>0.593</v>
      </c>
      <c r="CD228" s="1">
        <v>0.41</v>
      </c>
      <c r="CE228" s="1">
        <v>0.814</v>
      </c>
      <c r="CF228" s="1">
        <v>0.823</v>
      </c>
      <c r="CG228" s="1">
        <v>3.246</v>
      </c>
      <c r="CH228" s="1">
        <v>0.856</v>
      </c>
      <c r="CI228" s="1">
        <v>8.3545</v>
      </c>
      <c r="CJ228" s="1">
        <v>0.7682</v>
      </c>
      <c r="CK228" s="1">
        <v>0.0</v>
      </c>
      <c r="CL228" s="1">
        <v>0.0</v>
      </c>
      <c r="CM228" s="1">
        <v>0.0</v>
      </c>
      <c r="CN228" s="1">
        <v>0.0</v>
      </c>
      <c r="CO228" s="1">
        <v>0.0</v>
      </c>
      <c r="CP228" s="1">
        <v>0.0</v>
      </c>
      <c r="CQ228" s="1">
        <v>0.0</v>
      </c>
      <c r="CR228" s="1">
        <v>0.0</v>
      </c>
      <c r="CS228" s="1">
        <v>0.0</v>
      </c>
      <c r="CT228" s="1">
        <v>0.0</v>
      </c>
      <c r="CU228" s="1">
        <v>0.0</v>
      </c>
      <c r="CV228" s="1">
        <v>0.0</v>
      </c>
      <c r="CW228" s="1">
        <v>0.0</v>
      </c>
      <c r="CX228" s="1">
        <v>0.0</v>
      </c>
      <c r="CY228" s="1">
        <v>0.0</v>
      </c>
      <c r="CZ228" s="1">
        <v>0.0</v>
      </c>
      <c r="DA228" s="1">
        <v>0.0</v>
      </c>
      <c r="DB228" s="1">
        <v>0.0</v>
      </c>
      <c r="DC228" s="1">
        <v>0.0</v>
      </c>
      <c r="DD228" s="1" t="s">
        <v>1183</v>
      </c>
      <c r="DE228" s="1">
        <v>0.00259790967882096</v>
      </c>
      <c r="DF228" s="2" t="s">
        <v>1184</v>
      </c>
    </row>
    <row r="229" ht="15.75" customHeight="1">
      <c r="A229" s="1" t="s">
        <v>1185</v>
      </c>
      <c r="B229" s="1">
        <v>29.0</v>
      </c>
      <c r="C229" s="2" t="s">
        <v>1023</v>
      </c>
      <c r="D229" s="2" t="s">
        <v>1186</v>
      </c>
      <c r="E229" s="1">
        <v>10.297</v>
      </c>
      <c r="F229" s="1">
        <v>29047.0</v>
      </c>
      <c r="G229" s="1">
        <v>2.9047021702E10</v>
      </c>
      <c r="H229" s="1" t="s">
        <v>112</v>
      </c>
      <c r="I229" s="1" t="s">
        <v>113</v>
      </c>
      <c r="J229" s="1" t="s">
        <v>1025</v>
      </c>
      <c r="K229" s="1" t="s">
        <v>1187</v>
      </c>
      <c r="L229" s="1">
        <v>6446.0</v>
      </c>
      <c r="M229" s="1">
        <v>6540.0</v>
      </c>
      <c r="N229" s="1">
        <v>327.0</v>
      </c>
      <c r="O229" s="1">
        <v>2921.0</v>
      </c>
      <c r="P229" s="1">
        <v>2836.0</v>
      </c>
      <c r="Q229" s="1">
        <v>169.0</v>
      </c>
      <c r="R229" s="1">
        <v>2545.0</v>
      </c>
      <c r="S229" s="1">
        <v>906.0</v>
      </c>
      <c r="T229" s="1">
        <v>321.0</v>
      </c>
      <c r="U229" s="1">
        <v>234.0</v>
      </c>
      <c r="V229" s="1">
        <v>375.0</v>
      </c>
      <c r="W229" s="1">
        <v>18936.0</v>
      </c>
      <c r="X229" s="1">
        <v>1693.0</v>
      </c>
      <c r="Y229" s="1">
        <v>899.0</v>
      </c>
      <c r="Z229" s="1">
        <v>288.0</v>
      </c>
      <c r="AA229" s="1">
        <v>882.0</v>
      </c>
      <c r="AB229" s="1">
        <v>1515.0</v>
      </c>
      <c r="AC229" s="1">
        <v>343.0</v>
      </c>
      <c r="AD229" s="1">
        <v>673.0</v>
      </c>
      <c r="AE229" s="1">
        <v>0.0</v>
      </c>
      <c r="AF229" s="1">
        <v>456.0</v>
      </c>
      <c r="AG229" s="1">
        <v>137.0</v>
      </c>
      <c r="AH229" s="1">
        <v>149.0</v>
      </c>
      <c r="AI229" s="1">
        <v>142.0</v>
      </c>
      <c r="AJ229" s="1">
        <v>86.0</v>
      </c>
      <c r="AK229" s="1">
        <v>9.0</v>
      </c>
      <c r="AL229" s="1">
        <v>115.0</v>
      </c>
      <c r="AM229" s="1">
        <v>202.0</v>
      </c>
      <c r="AN229" s="1">
        <v>121.0</v>
      </c>
      <c r="AO229" s="1">
        <v>397.0</v>
      </c>
      <c r="AP229" s="1">
        <v>0.149702</v>
      </c>
      <c r="AQ229" s="1">
        <v>0.052266</v>
      </c>
      <c r="AR229" s="1">
        <v>0.078867</v>
      </c>
      <c r="AS229" s="1">
        <v>0.126025</v>
      </c>
      <c r="AT229" s="1">
        <v>18936.0</v>
      </c>
      <c r="AU229" s="1">
        <v>1693.0</v>
      </c>
      <c r="AV229" s="1">
        <v>0.220993</v>
      </c>
      <c r="AW229" s="1">
        <v>0.069046</v>
      </c>
      <c r="AX229" s="1">
        <v>0.136829</v>
      </c>
      <c r="AY229" s="1">
        <v>0.235029</v>
      </c>
      <c r="AZ229" s="1">
        <v>0.13477406</v>
      </c>
      <c r="BA229" s="1">
        <v>0.104405</v>
      </c>
      <c r="BB229" s="1">
        <v>0.0</v>
      </c>
      <c r="BC229" s="1">
        <v>0.074754</v>
      </c>
      <c r="BD229" s="1">
        <v>0.048307</v>
      </c>
      <c r="BE229" s="1">
        <v>0.052459</v>
      </c>
      <c r="BF229" s="1">
        <v>0.05007</v>
      </c>
      <c r="BG229" s="1">
        <v>0.030177</v>
      </c>
      <c r="BH229" s="1">
        <v>0.003534</v>
      </c>
      <c r="BI229" s="1">
        <v>0.045168</v>
      </c>
      <c r="BJ229" s="1">
        <v>0.07934</v>
      </c>
      <c r="BK229" s="1">
        <v>0.047236</v>
      </c>
      <c r="BL229" s="1">
        <v>0.061588</v>
      </c>
      <c r="BM229" s="1">
        <v>0.576</v>
      </c>
      <c r="BN229" s="1">
        <v>0.602</v>
      </c>
      <c r="BO229" s="1">
        <v>0.6751</v>
      </c>
      <c r="BP229" s="1">
        <v>0.804</v>
      </c>
      <c r="BQ229" s="1">
        <v>2.6571</v>
      </c>
      <c r="BR229" s="1">
        <v>0.7097</v>
      </c>
      <c r="BS229" s="1">
        <v>0.471</v>
      </c>
      <c r="BT229" s="1">
        <v>0.439</v>
      </c>
      <c r="BU229" s="1">
        <v>0.738</v>
      </c>
      <c r="BV229" s="1">
        <v>1.648</v>
      </c>
      <c r="BW229" s="1">
        <v>0.601</v>
      </c>
      <c r="BX229" s="1">
        <v>0.487</v>
      </c>
      <c r="BY229" s="1">
        <v>0.0</v>
      </c>
      <c r="BZ229" s="1">
        <v>0.487</v>
      </c>
      <c r="CA229" s="1">
        <v>0.202</v>
      </c>
      <c r="CB229" s="1">
        <v>0.651</v>
      </c>
      <c r="CC229" s="1">
        <v>0.607</v>
      </c>
      <c r="CD229" s="1">
        <v>0.302</v>
      </c>
      <c r="CE229" s="1">
        <v>0.671</v>
      </c>
      <c r="CF229" s="1">
        <v>0.914</v>
      </c>
      <c r="CG229" s="1">
        <v>3.145</v>
      </c>
      <c r="CH229" s="1">
        <v>0.831</v>
      </c>
      <c r="CI229" s="1">
        <v>7.9371</v>
      </c>
      <c r="CJ229" s="1">
        <v>0.704</v>
      </c>
      <c r="CK229" s="1">
        <v>0.0</v>
      </c>
      <c r="CL229" s="1">
        <v>0.0</v>
      </c>
      <c r="CM229" s="1">
        <v>0.0</v>
      </c>
      <c r="CN229" s="1">
        <v>0.0</v>
      </c>
      <c r="CO229" s="1">
        <v>0.0</v>
      </c>
      <c r="CP229" s="1">
        <v>0.0</v>
      </c>
      <c r="CQ229" s="1">
        <v>0.0</v>
      </c>
      <c r="CR229" s="1">
        <v>0.0</v>
      </c>
      <c r="CS229" s="1">
        <v>0.0</v>
      </c>
      <c r="CT229" s="1">
        <v>0.0</v>
      </c>
      <c r="CU229" s="1">
        <v>0.0</v>
      </c>
      <c r="CV229" s="1">
        <v>0.0</v>
      </c>
      <c r="CW229" s="1">
        <v>0.0</v>
      </c>
      <c r="CX229" s="1">
        <v>0.0</v>
      </c>
      <c r="CY229" s="1">
        <v>0.0</v>
      </c>
      <c r="CZ229" s="1">
        <v>0.0</v>
      </c>
      <c r="DA229" s="1">
        <v>1.0</v>
      </c>
      <c r="DB229" s="1">
        <v>1.0</v>
      </c>
      <c r="DC229" s="1">
        <v>1.0</v>
      </c>
      <c r="DD229" s="1" t="s">
        <v>1188</v>
      </c>
      <c r="DE229" s="1">
        <v>0.00279948492215118</v>
      </c>
      <c r="DF229" s="2" t="s">
        <v>1189</v>
      </c>
    </row>
    <row r="230" ht="15.75" customHeight="1">
      <c r="A230" s="1" t="s">
        <v>1190</v>
      </c>
      <c r="B230" s="1">
        <v>29.0</v>
      </c>
      <c r="C230" s="2" t="s">
        <v>1023</v>
      </c>
      <c r="D230" s="2" t="s">
        <v>1191</v>
      </c>
      <c r="E230" s="1">
        <v>10.106</v>
      </c>
      <c r="F230" s="1">
        <v>29047.0</v>
      </c>
      <c r="G230" s="1">
        <v>2.9047021803E10</v>
      </c>
      <c r="H230" s="1" t="s">
        <v>112</v>
      </c>
      <c r="I230" s="1" t="s">
        <v>113</v>
      </c>
      <c r="J230" s="1" t="s">
        <v>1025</v>
      </c>
      <c r="K230" s="1" t="s">
        <v>1192</v>
      </c>
      <c r="L230" s="1">
        <v>7130.0</v>
      </c>
      <c r="M230" s="1">
        <v>6168.0</v>
      </c>
      <c r="N230" s="1">
        <v>502.0</v>
      </c>
      <c r="O230" s="1">
        <v>2533.0</v>
      </c>
      <c r="P230" s="1">
        <v>2322.0</v>
      </c>
      <c r="Q230" s="1">
        <v>126.0</v>
      </c>
      <c r="R230" s="1">
        <v>2438.0</v>
      </c>
      <c r="S230" s="1">
        <v>116.0</v>
      </c>
      <c r="T230" s="1">
        <v>139.0</v>
      </c>
      <c r="U230" s="1">
        <v>48.0</v>
      </c>
      <c r="V230" s="1">
        <v>443.0</v>
      </c>
      <c r="W230" s="1">
        <v>33658.0</v>
      </c>
      <c r="X230" s="1">
        <v>2680.0</v>
      </c>
      <c r="Y230" s="1">
        <v>144.0</v>
      </c>
      <c r="Z230" s="1">
        <v>334.0</v>
      </c>
      <c r="AA230" s="1">
        <v>357.0</v>
      </c>
      <c r="AB230" s="1">
        <v>2325.0</v>
      </c>
      <c r="AC230" s="1">
        <v>206.0</v>
      </c>
      <c r="AD230" s="1">
        <v>988.0</v>
      </c>
      <c r="AE230" s="1">
        <v>9.0</v>
      </c>
      <c r="AF230" s="1">
        <v>442.0</v>
      </c>
      <c r="AG230" s="1">
        <v>0.0</v>
      </c>
      <c r="AH230" s="1">
        <v>197.0</v>
      </c>
      <c r="AI230" s="1">
        <v>0.0</v>
      </c>
      <c r="AJ230" s="1">
        <v>114.0</v>
      </c>
      <c r="AK230" s="1">
        <v>0.0</v>
      </c>
      <c r="AL230" s="1">
        <v>161.0</v>
      </c>
      <c r="AM230" s="1">
        <v>30.0</v>
      </c>
      <c r="AN230" s="1">
        <v>119.0</v>
      </c>
      <c r="AO230" s="1">
        <v>3.0</v>
      </c>
      <c r="AP230" s="1">
        <v>0.01891</v>
      </c>
      <c r="AQ230" s="1">
        <v>0.022608</v>
      </c>
      <c r="AR230" s="1">
        <v>0.013456</v>
      </c>
      <c r="AS230" s="1">
        <v>0.124187</v>
      </c>
      <c r="AT230" s="1">
        <v>33658.0</v>
      </c>
      <c r="AU230" s="1">
        <v>2680.0</v>
      </c>
      <c r="AV230" s="1">
        <v>0.035599</v>
      </c>
      <c r="AW230" s="1">
        <v>0.082523</v>
      </c>
      <c r="AX230" s="1">
        <v>0.05007</v>
      </c>
      <c r="AY230" s="1">
        <v>0.326086</v>
      </c>
      <c r="AZ230" s="1">
        <v>0.08449548</v>
      </c>
      <c r="BA230" s="1">
        <v>0.138569</v>
      </c>
      <c r="BB230" s="1">
        <v>0.001642</v>
      </c>
      <c r="BC230" s="1">
        <v>0.080642</v>
      </c>
      <c r="BD230" s="1">
        <v>0.0</v>
      </c>
      <c r="BE230" s="1">
        <v>0.08484</v>
      </c>
      <c r="BF230" s="1">
        <v>0.0</v>
      </c>
      <c r="BG230" s="1">
        <v>0.049095</v>
      </c>
      <c r="BH230" s="1">
        <v>0.0</v>
      </c>
      <c r="BI230" s="1">
        <v>0.072068</v>
      </c>
      <c r="BJ230" s="1">
        <v>0.013428</v>
      </c>
      <c r="BK230" s="1">
        <v>0.053258</v>
      </c>
      <c r="BL230" s="1">
        <v>4.2E-4</v>
      </c>
      <c r="BM230" s="1">
        <v>0.047</v>
      </c>
      <c r="BN230" s="1">
        <v>0.012</v>
      </c>
      <c r="BO230" s="1">
        <v>0.135</v>
      </c>
      <c r="BP230" s="1">
        <v>0.081</v>
      </c>
      <c r="BQ230" s="1">
        <v>0.275</v>
      </c>
      <c r="BR230" s="1">
        <v>0.0144</v>
      </c>
      <c r="BS230" s="1">
        <v>0.023</v>
      </c>
      <c r="BT230" s="1">
        <v>0.969</v>
      </c>
      <c r="BU230" s="1">
        <v>0.353</v>
      </c>
      <c r="BV230" s="1">
        <v>1.345</v>
      </c>
      <c r="BW230" s="1">
        <v>0.339</v>
      </c>
      <c r="BX230" s="1">
        <v>0.588</v>
      </c>
      <c r="BY230" s="1">
        <v>0.362</v>
      </c>
      <c r="BZ230" s="1">
        <v>0.95</v>
      </c>
      <c r="CA230" s="1">
        <v>0.51</v>
      </c>
      <c r="CB230" s="1">
        <v>0.0</v>
      </c>
      <c r="CC230" s="1">
        <v>0.0</v>
      </c>
      <c r="CD230" s="1">
        <v>0.0</v>
      </c>
      <c r="CE230" s="1">
        <v>0.12</v>
      </c>
      <c r="CF230" s="1">
        <v>0.363</v>
      </c>
      <c r="CG230" s="1">
        <v>0.483</v>
      </c>
      <c r="CH230" s="1">
        <v>0.027</v>
      </c>
      <c r="CI230" s="1">
        <v>3.053</v>
      </c>
      <c r="CJ230" s="1">
        <v>0.0202</v>
      </c>
      <c r="CK230" s="1">
        <v>0.0</v>
      </c>
      <c r="CL230" s="1">
        <v>0.0</v>
      </c>
      <c r="CM230" s="1">
        <v>0.0</v>
      </c>
      <c r="CN230" s="1">
        <v>0.0</v>
      </c>
      <c r="CO230" s="1">
        <v>0.0</v>
      </c>
      <c r="CP230" s="1">
        <v>0.0</v>
      </c>
      <c r="CQ230" s="1">
        <v>1.0</v>
      </c>
      <c r="CR230" s="1">
        <v>0.0</v>
      </c>
      <c r="CS230" s="1">
        <v>1.0</v>
      </c>
      <c r="CT230" s="1">
        <v>0.0</v>
      </c>
      <c r="CU230" s="1">
        <v>0.0</v>
      </c>
      <c r="CV230" s="1">
        <v>0.0</v>
      </c>
      <c r="CW230" s="1">
        <v>0.0</v>
      </c>
      <c r="CX230" s="1">
        <v>0.0</v>
      </c>
      <c r="CY230" s="1">
        <v>0.0</v>
      </c>
      <c r="CZ230" s="1">
        <v>0.0</v>
      </c>
      <c r="DA230" s="1">
        <v>0.0</v>
      </c>
      <c r="DB230" s="1">
        <v>0.0</v>
      </c>
      <c r="DC230" s="1">
        <v>1.0</v>
      </c>
      <c r="DD230" s="1" t="s">
        <v>1193</v>
      </c>
      <c r="DE230" s="1">
        <v>0.00273519909868475</v>
      </c>
      <c r="DF230" s="2" t="s">
        <v>1194</v>
      </c>
    </row>
    <row r="231" ht="15.75" customHeight="1">
      <c r="A231" s="1" t="s">
        <v>1195</v>
      </c>
      <c r="B231" s="1">
        <v>29.0</v>
      </c>
      <c r="C231" s="2" t="s">
        <v>1023</v>
      </c>
      <c r="D231" s="2" t="s">
        <v>1196</v>
      </c>
      <c r="E231" s="1">
        <v>61.719</v>
      </c>
      <c r="F231" s="1">
        <v>29047.0</v>
      </c>
      <c r="G231" s="1">
        <v>2.9047021804E10</v>
      </c>
      <c r="H231" s="1" t="s">
        <v>112</v>
      </c>
      <c r="I231" s="1" t="s">
        <v>113</v>
      </c>
      <c r="J231" s="1" t="s">
        <v>1025</v>
      </c>
      <c r="K231" s="1" t="s">
        <v>1197</v>
      </c>
      <c r="L231" s="1">
        <v>6663.0</v>
      </c>
      <c r="M231" s="1">
        <v>6524.0</v>
      </c>
      <c r="N231" s="1">
        <v>424.0</v>
      </c>
      <c r="O231" s="1">
        <v>2418.0</v>
      </c>
      <c r="P231" s="1">
        <v>2202.0</v>
      </c>
      <c r="Q231" s="1">
        <v>155.0</v>
      </c>
      <c r="R231" s="1">
        <v>2324.0</v>
      </c>
      <c r="S231" s="1">
        <v>309.0</v>
      </c>
      <c r="T231" s="1">
        <v>215.0</v>
      </c>
      <c r="U231" s="1">
        <v>118.0</v>
      </c>
      <c r="V231" s="1">
        <v>383.0</v>
      </c>
      <c r="W231" s="1">
        <v>32351.0</v>
      </c>
      <c r="X231" s="1">
        <v>2638.0</v>
      </c>
      <c r="Y231" s="1">
        <v>297.0</v>
      </c>
      <c r="Z231" s="1">
        <v>297.0</v>
      </c>
      <c r="AA231" s="1">
        <v>728.0</v>
      </c>
      <c r="AB231" s="1">
        <v>1778.0</v>
      </c>
      <c r="AC231" s="1">
        <v>118.0</v>
      </c>
      <c r="AD231" s="1">
        <v>293.0</v>
      </c>
      <c r="AE231" s="1">
        <v>16.0</v>
      </c>
      <c r="AF231" s="1">
        <v>412.0</v>
      </c>
      <c r="AG231" s="1">
        <v>0.0</v>
      </c>
      <c r="AH231" s="1">
        <v>197.0</v>
      </c>
      <c r="AI231" s="1">
        <v>0.0</v>
      </c>
      <c r="AJ231" s="1">
        <v>114.0</v>
      </c>
      <c r="AK231" s="1">
        <v>22.0</v>
      </c>
      <c r="AL231" s="1">
        <v>116.0</v>
      </c>
      <c r="AM231" s="1">
        <v>10.0</v>
      </c>
      <c r="AN231" s="1">
        <v>115.0</v>
      </c>
      <c r="AO231" s="1">
        <v>8.0</v>
      </c>
      <c r="AP231" s="1">
        <v>0.047472</v>
      </c>
      <c r="AQ231" s="1">
        <v>0.032885</v>
      </c>
      <c r="AR231" s="1">
        <v>0.03516</v>
      </c>
      <c r="AS231" s="1">
        <v>0.114082</v>
      </c>
      <c r="AT231" s="1">
        <v>32351.0</v>
      </c>
      <c r="AU231" s="1">
        <v>2638.0</v>
      </c>
      <c r="AV231" s="1">
        <v>0.070295</v>
      </c>
      <c r="AW231" s="1">
        <v>0.070167</v>
      </c>
      <c r="AX231" s="1">
        <v>0.10926</v>
      </c>
      <c r="AY231" s="1">
        <v>0.266846</v>
      </c>
      <c r="AZ231" s="1">
        <v>0.05077452</v>
      </c>
      <c r="BA231" s="1">
        <v>0.043974</v>
      </c>
      <c r="BB231" s="1">
        <v>0.002587</v>
      </c>
      <c r="BC231" s="1">
        <v>0.066623</v>
      </c>
      <c r="BD231" s="1">
        <v>0.0</v>
      </c>
      <c r="BE231" s="1">
        <v>0.089464</v>
      </c>
      <c r="BF231" s="1">
        <v>0.0</v>
      </c>
      <c r="BG231" s="1">
        <v>0.051771</v>
      </c>
      <c r="BH231" s="1">
        <v>0.010073</v>
      </c>
      <c r="BI231" s="1">
        <v>0.053108</v>
      </c>
      <c r="BJ231" s="1">
        <v>0.004578</v>
      </c>
      <c r="BK231" s="1">
        <v>0.052654</v>
      </c>
      <c r="BL231" s="1">
        <v>0.0012</v>
      </c>
      <c r="BM231" s="1">
        <v>0.155</v>
      </c>
      <c r="BN231" s="1">
        <v>0.134</v>
      </c>
      <c r="BO231" s="1">
        <v>0.1523</v>
      </c>
      <c r="BP231" s="1">
        <v>0.202</v>
      </c>
      <c r="BQ231" s="1">
        <v>0.6433</v>
      </c>
      <c r="BR231" s="1">
        <v>0.109</v>
      </c>
      <c r="BS231" s="1">
        <v>0.266</v>
      </c>
      <c r="BT231" s="1">
        <v>0.767</v>
      </c>
      <c r="BU231" s="1">
        <v>0.077</v>
      </c>
      <c r="BV231" s="1">
        <v>1.11</v>
      </c>
      <c r="BW231" s="1">
        <v>0.173</v>
      </c>
      <c r="BX231" s="1">
        <v>0.206</v>
      </c>
      <c r="BY231" s="1">
        <v>0.42</v>
      </c>
      <c r="BZ231" s="1">
        <v>0.626</v>
      </c>
      <c r="CA231" s="1">
        <v>0.29</v>
      </c>
      <c r="CB231" s="1">
        <v>0.0</v>
      </c>
      <c r="CC231" s="1">
        <v>0.0</v>
      </c>
      <c r="CD231" s="1">
        <v>0.477</v>
      </c>
      <c r="CE231" s="1">
        <v>0.046</v>
      </c>
      <c r="CF231" s="1">
        <v>0.411</v>
      </c>
      <c r="CG231" s="1">
        <v>0.934</v>
      </c>
      <c r="CH231" s="1">
        <v>0.071</v>
      </c>
      <c r="CI231" s="1">
        <v>3.3133</v>
      </c>
      <c r="CJ231" s="1">
        <v>0.0339</v>
      </c>
      <c r="CK231" s="1">
        <v>0.0</v>
      </c>
      <c r="CL231" s="1">
        <v>0.0</v>
      </c>
      <c r="CM231" s="1">
        <v>0.0</v>
      </c>
      <c r="CN231" s="1">
        <v>0.0</v>
      </c>
      <c r="CO231" s="1">
        <v>0.0</v>
      </c>
      <c r="CP231" s="1">
        <v>0.0</v>
      </c>
      <c r="CQ231" s="1">
        <v>0.0</v>
      </c>
      <c r="CR231" s="1">
        <v>0.0</v>
      </c>
      <c r="CS231" s="1">
        <v>0.0</v>
      </c>
      <c r="CT231" s="1">
        <v>0.0</v>
      </c>
      <c r="CU231" s="1">
        <v>0.0</v>
      </c>
      <c r="CV231" s="1">
        <v>0.0</v>
      </c>
      <c r="CW231" s="1">
        <v>0.0</v>
      </c>
      <c r="CX231" s="1">
        <v>0.0</v>
      </c>
      <c r="CY231" s="1">
        <v>0.0</v>
      </c>
      <c r="CZ231" s="1">
        <v>0.0</v>
      </c>
      <c r="DA231" s="1">
        <v>0.0</v>
      </c>
      <c r="DB231" s="1">
        <v>0.0</v>
      </c>
      <c r="DC231" s="1">
        <v>0.0</v>
      </c>
      <c r="DD231" s="1" t="s">
        <v>1198</v>
      </c>
      <c r="DE231" s="2" t="s">
        <v>1199</v>
      </c>
      <c r="DF231" s="2" t="s">
        <v>1200</v>
      </c>
    </row>
    <row r="232" ht="15.75" customHeight="1">
      <c r="A232" s="1" t="s">
        <v>1201</v>
      </c>
      <c r="B232" s="1">
        <v>29.0</v>
      </c>
      <c r="C232" s="2" t="s">
        <v>1023</v>
      </c>
      <c r="D232" s="2" t="s">
        <v>1202</v>
      </c>
      <c r="E232" s="1">
        <v>25.621</v>
      </c>
      <c r="F232" s="1">
        <v>29047.0</v>
      </c>
      <c r="G232" s="1">
        <v>2.9047021805E10</v>
      </c>
      <c r="H232" s="1" t="s">
        <v>112</v>
      </c>
      <c r="I232" s="1" t="s">
        <v>113</v>
      </c>
      <c r="J232" s="1" t="s">
        <v>1025</v>
      </c>
      <c r="K232" s="1" t="s">
        <v>1203</v>
      </c>
      <c r="L232" s="1">
        <v>8079.0</v>
      </c>
      <c r="M232" s="1">
        <v>8003.0</v>
      </c>
      <c r="N232" s="1">
        <v>379.0</v>
      </c>
      <c r="O232" s="1">
        <v>2870.0</v>
      </c>
      <c r="P232" s="1">
        <v>2709.0</v>
      </c>
      <c r="Q232" s="1">
        <v>167.0</v>
      </c>
      <c r="R232" s="1">
        <v>2768.0</v>
      </c>
      <c r="S232" s="1">
        <v>320.0</v>
      </c>
      <c r="T232" s="1">
        <v>208.0</v>
      </c>
      <c r="U232" s="1">
        <v>130.0</v>
      </c>
      <c r="V232" s="1">
        <v>417.0</v>
      </c>
      <c r="W232" s="1">
        <v>29679.0</v>
      </c>
      <c r="X232" s="1">
        <v>2325.0</v>
      </c>
      <c r="Y232" s="1">
        <v>133.0</v>
      </c>
      <c r="Z232" s="1">
        <v>330.0</v>
      </c>
      <c r="AA232" s="1">
        <v>677.0</v>
      </c>
      <c r="AB232" s="1">
        <v>2507.0</v>
      </c>
      <c r="AC232" s="1">
        <v>285.0</v>
      </c>
      <c r="AD232" s="1">
        <v>420.0</v>
      </c>
      <c r="AE232" s="1">
        <v>24.0</v>
      </c>
      <c r="AF232" s="1">
        <v>442.0</v>
      </c>
      <c r="AG232" s="1">
        <v>0.0</v>
      </c>
      <c r="AH232" s="1">
        <v>197.0</v>
      </c>
      <c r="AI232" s="1">
        <v>16.0</v>
      </c>
      <c r="AJ232" s="1">
        <v>25.0</v>
      </c>
      <c r="AK232" s="1">
        <v>0.0</v>
      </c>
      <c r="AL232" s="1">
        <v>161.0</v>
      </c>
      <c r="AM232" s="1">
        <v>32.0</v>
      </c>
      <c r="AN232" s="1">
        <v>35.0</v>
      </c>
      <c r="AO232" s="1">
        <v>0.0</v>
      </c>
      <c r="AP232" s="1">
        <v>0.039985</v>
      </c>
      <c r="AQ232" s="1">
        <v>0.025921</v>
      </c>
      <c r="AR232" s="1">
        <v>0.029445</v>
      </c>
      <c r="AS232" s="1">
        <v>0.094416</v>
      </c>
      <c r="AT232" s="1">
        <v>29679.0</v>
      </c>
      <c r="AU232" s="1">
        <v>2325.0</v>
      </c>
      <c r="AV232" s="1">
        <v>0.027731</v>
      </c>
      <c r="AW232" s="1">
        <v>0.068789</v>
      </c>
      <c r="AX232" s="1">
        <v>0.083797</v>
      </c>
      <c r="AY232" s="1">
        <v>0.31031</v>
      </c>
      <c r="AZ232" s="1">
        <v>0.10296242</v>
      </c>
      <c r="BA232" s="1">
        <v>0.051986</v>
      </c>
      <c r="BB232" s="1">
        <v>0.003201</v>
      </c>
      <c r="BC232" s="1">
        <v>0.058956</v>
      </c>
      <c r="BD232" s="1">
        <v>0.0</v>
      </c>
      <c r="BE232" s="1">
        <v>0.07272</v>
      </c>
      <c r="BF232" s="1">
        <v>0.005906</v>
      </c>
      <c r="BG232" s="1">
        <v>0.009221</v>
      </c>
      <c r="BH232" s="1">
        <v>0.0</v>
      </c>
      <c r="BI232" s="1">
        <v>0.060846</v>
      </c>
      <c r="BJ232" s="1">
        <v>0.012093</v>
      </c>
      <c r="BK232" s="1">
        <v>0.013208</v>
      </c>
      <c r="BL232" s="1">
        <v>0.0</v>
      </c>
      <c r="BM232" s="1">
        <v>0.122</v>
      </c>
      <c r="BN232" s="1">
        <v>0.082</v>
      </c>
      <c r="BO232" s="1">
        <v>0.2036</v>
      </c>
      <c r="BP232" s="1">
        <v>0.052</v>
      </c>
      <c r="BQ232" s="1">
        <v>0.4596</v>
      </c>
      <c r="BR232" s="1">
        <v>0.0534</v>
      </c>
      <c r="BS232" s="1">
        <v>0.13</v>
      </c>
      <c r="BT232" s="1">
        <v>0.948</v>
      </c>
      <c r="BU232" s="1">
        <v>0.519</v>
      </c>
      <c r="BV232" s="1">
        <v>1.597</v>
      </c>
      <c r="BW232" s="1">
        <v>0.564</v>
      </c>
      <c r="BX232" s="1">
        <v>0.263</v>
      </c>
      <c r="BY232" s="1">
        <v>0.462</v>
      </c>
      <c r="BZ232" s="1">
        <v>0.725</v>
      </c>
      <c r="CA232" s="1">
        <v>0.351</v>
      </c>
      <c r="CB232" s="1">
        <v>0.0</v>
      </c>
      <c r="CC232" s="1">
        <v>0.409</v>
      </c>
      <c r="CD232" s="1">
        <v>0.0</v>
      </c>
      <c r="CE232" s="1">
        <v>0.107</v>
      </c>
      <c r="CF232" s="1">
        <v>0.0</v>
      </c>
      <c r="CG232" s="1">
        <v>0.516</v>
      </c>
      <c r="CH232" s="1">
        <v>0.033</v>
      </c>
      <c r="CI232" s="1">
        <v>3.2976</v>
      </c>
      <c r="CJ232" s="1">
        <v>0.0332</v>
      </c>
      <c r="CK232" s="1">
        <v>0.0</v>
      </c>
      <c r="CL232" s="1">
        <v>0.0</v>
      </c>
      <c r="CM232" s="1">
        <v>0.0</v>
      </c>
      <c r="CN232" s="1">
        <v>0.0</v>
      </c>
      <c r="CO232" s="1">
        <v>0.0</v>
      </c>
      <c r="CP232" s="1">
        <v>0.0</v>
      </c>
      <c r="CQ232" s="1">
        <v>1.0</v>
      </c>
      <c r="CR232" s="1">
        <v>0.0</v>
      </c>
      <c r="CS232" s="1">
        <v>1.0</v>
      </c>
      <c r="CT232" s="1">
        <v>0.0</v>
      </c>
      <c r="CU232" s="1">
        <v>0.0</v>
      </c>
      <c r="CV232" s="1">
        <v>0.0</v>
      </c>
      <c r="CW232" s="1">
        <v>0.0</v>
      </c>
      <c r="CX232" s="1">
        <v>0.0</v>
      </c>
      <c r="CY232" s="1">
        <v>0.0</v>
      </c>
      <c r="CZ232" s="1">
        <v>0.0</v>
      </c>
      <c r="DA232" s="1">
        <v>0.0</v>
      </c>
      <c r="DB232" s="1">
        <v>0.0</v>
      </c>
      <c r="DC232" s="1">
        <v>1.0</v>
      </c>
      <c r="DD232" s="1" t="s">
        <v>1204</v>
      </c>
      <c r="DE232" s="1">
        <v>0.00693795980326178</v>
      </c>
      <c r="DF232" s="2" t="s">
        <v>1205</v>
      </c>
    </row>
    <row r="233" ht="15.75" customHeight="1">
      <c r="A233" s="1" t="s">
        <v>1206</v>
      </c>
      <c r="B233" s="1">
        <v>29.0</v>
      </c>
      <c r="C233" s="2" t="s">
        <v>1023</v>
      </c>
      <c r="D233" s="2" t="s">
        <v>1207</v>
      </c>
      <c r="E233" s="1">
        <v>38.474</v>
      </c>
      <c r="F233" s="1">
        <v>29047.0</v>
      </c>
      <c r="G233" s="1">
        <v>2.9047021806E10</v>
      </c>
      <c r="H233" s="1" t="s">
        <v>112</v>
      </c>
      <c r="I233" s="1" t="s">
        <v>113</v>
      </c>
      <c r="J233" s="1" t="s">
        <v>1025</v>
      </c>
      <c r="K233" s="1" t="s">
        <v>1208</v>
      </c>
      <c r="L233" s="1">
        <v>3724.0</v>
      </c>
      <c r="M233" s="1">
        <v>3458.0</v>
      </c>
      <c r="N233" s="1">
        <v>344.0</v>
      </c>
      <c r="O233" s="1">
        <v>1611.0</v>
      </c>
      <c r="P233" s="1">
        <v>1573.0</v>
      </c>
      <c r="Q233" s="1">
        <v>82.0</v>
      </c>
      <c r="R233" s="1">
        <v>1503.0</v>
      </c>
      <c r="S233" s="1">
        <v>67.0</v>
      </c>
      <c r="T233" s="1">
        <v>50.0</v>
      </c>
      <c r="U233" s="1">
        <v>26.0</v>
      </c>
      <c r="V233" s="1">
        <v>485.0</v>
      </c>
      <c r="W233" s="1">
        <v>26228.0</v>
      </c>
      <c r="X233" s="1">
        <v>1785.0</v>
      </c>
      <c r="Y233" s="1">
        <v>217.0</v>
      </c>
      <c r="Z233" s="1">
        <v>271.0</v>
      </c>
      <c r="AA233" s="1">
        <v>639.0</v>
      </c>
      <c r="AB233" s="1">
        <v>845.0</v>
      </c>
      <c r="AC233" s="1">
        <v>136.0</v>
      </c>
      <c r="AD233" s="1">
        <v>213.0</v>
      </c>
      <c r="AE233" s="1">
        <v>0.0</v>
      </c>
      <c r="AF233" s="1">
        <v>456.0</v>
      </c>
      <c r="AG233" s="1">
        <v>146.0</v>
      </c>
      <c r="AH233" s="1">
        <v>136.0</v>
      </c>
      <c r="AI233" s="1">
        <v>14.0</v>
      </c>
      <c r="AJ233" s="1">
        <v>23.0</v>
      </c>
      <c r="AK233" s="1">
        <v>19.0</v>
      </c>
      <c r="AL233" s="1">
        <v>117.0</v>
      </c>
      <c r="AM233" s="1">
        <v>105.0</v>
      </c>
      <c r="AN233" s="1">
        <v>57.0</v>
      </c>
      <c r="AO233" s="1">
        <v>59.0</v>
      </c>
      <c r="AP233" s="1">
        <v>0.019375</v>
      </c>
      <c r="AQ233" s="1">
        <v>0.01433</v>
      </c>
      <c r="AR233" s="1">
        <v>0.014115</v>
      </c>
      <c r="AS233" s="1">
        <v>0.263293</v>
      </c>
      <c r="AT233" s="1">
        <v>26228.0</v>
      </c>
      <c r="AU233" s="1">
        <v>1785.0</v>
      </c>
      <c r="AV233" s="1">
        <v>0.091291</v>
      </c>
      <c r="AW233" s="1">
        <v>0.113718</v>
      </c>
      <c r="AX233" s="1">
        <v>0.171589</v>
      </c>
      <c r="AY233" s="1">
        <v>0.226906</v>
      </c>
      <c r="AZ233" s="1">
        <v>0.09048569</v>
      </c>
      <c r="BA233" s="1">
        <v>0.057196</v>
      </c>
      <c r="BB233" s="1">
        <v>0.0</v>
      </c>
      <c r="BC233" s="1">
        <v>0.13877</v>
      </c>
      <c r="BD233" s="1">
        <v>0.092816</v>
      </c>
      <c r="BE233" s="1">
        <v>0.086323</v>
      </c>
      <c r="BF233" s="1">
        <v>0.0089</v>
      </c>
      <c r="BG233" s="1">
        <v>0.014614</v>
      </c>
      <c r="BH233" s="1">
        <v>0.013552</v>
      </c>
      <c r="BI233" s="1">
        <v>0.083442</v>
      </c>
      <c r="BJ233" s="1">
        <v>0.074893</v>
      </c>
      <c r="BK233" s="1">
        <v>0.040049</v>
      </c>
      <c r="BL233" s="1">
        <v>0.015843</v>
      </c>
      <c r="BM233" s="1">
        <v>0.048</v>
      </c>
      <c r="BN233" s="1">
        <v>0.015</v>
      </c>
      <c r="BO233" s="1">
        <v>0.3047</v>
      </c>
      <c r="BP233" s="1">
        <v>0.298</v>
      </c>
      <c r="BQ233" s="1">
        <v>0.6657</v>
      </c>
      <c r="BR233" s="1">
        <v>0.1162</v>
      </c>
      <c r="BS233" s="1">
        <v>0.747</v>
      </c>
      <c r="BT233" s="1">
        <v>0.359</v>
      </c>
      <c r="BU233" s="1">
        <v>0.407</v>
      </c>
      <c r="BV233" s="1">
        <v>1.513</v>
      </c>
      <c r="BW233" s="1">
        <v>0.494</v>
      </c>
      <c r="BX233" s="1">
        <v>0.298</v>
      </c>
      <c r="BY233" s="1">
        <v>0.0</v>
      </c>
      <c r="BZ233" s="1">
        <v>0.298</v>
      </c>
      <c r="CA233" s="1">
        <v>0.128</v>
      </c>
      <c r="CB233" s="1">
        <v>0.753</v>
      </c>
      <c r="CC233" s="1">
        <v>0.451</v>
      </c>
      <c r="CD233" s="1">
        <v>0.565</v>
      </c>
      <c r="CE233" s="1">
        <v>0.648</v>
      </c>
      <c r="CF233" s="1">
        <v>0.659</v>
      </c>
      <c r="CG233" s="1">
        <v>3.076</v>
      </c>
      <c r="CH233" s="1">
        <v>0.805</v>
      </c>
      <c r="CI233" s="1">
        <v>5.5527</v>
      </c>
      <c r="CJ233" s="1">
        <v>0.291</v>
      </c>
      <c r="CK233" s="1">
        <v>0.0</v>
      </c>
      <c r="CL233" s="1">
        <v>0.0</v>
      </c>
      <c r="CM233" s="1">
        <v>0.0</v>
      </c>
      <c r="CN233" s="1">
        <v>0.0</v>
      </c>
      <c r="CO233" s="1">
        <v>0.0</v>
      </c>
      <c r="CP233" s="1">
        <v>0.0</v>
      </c>
      <c r="CQ233" s="1">
        <v>0.0</v>
      </c>
      <c r="CR233" s="1">
        <v>0.0</v>
      </c>
      <c r="CS233" s="1">
        <v>0.0</v>
      </c>
      <c r="CT233" s="1">
        <v>0.0</v>
      </c>
      <c r="CU233" s="1">
        <v>0.0</v>
      </c>
      <c r="CV233" s="1">
        <v>0.0</v>
      </c>
      <c r="CW233" s="1">
        <v>0.0</v>
      </c>
      <c r="CX233" s="1">
        <v>0.0</v>
      </c>
      <c r="CY233" s="1">
        <v>0.0</v>
      </c>
      <c r="CZ233" s="1">
        <v>0.0</v>
      </c>
      <c r="DA233" s="1">
        <v>0.0</v>
      </c>
      <c r="DB233" s="1">
        <v>0.0</v>
      </c>
      <c r="DC233" s="1">
        <v>0.0</v>
      </c>
      <c r="DD233" s="1" t="s">
        <v>1209</v>
      </c>
      <c r="DE233" s="2" t="s">
        <v>1210</v>
      </c>
      <c r="DF233" s="2" t="s">
        <v>1211</v>
      </c>
    </row>
    <row r="234" ht="15.75" customHeight="1">
      <c r="A234" s="1" t="s">
        <v>1212</v>
      </c>
      <c r="B234" s="1">
        <v>29.0</v>
      </c>
      <c r="C234" s="2" t="s">
        <v>1023</v>
      </c>
      <c r="D234" s="2" t="s">
        <v>1213</v>
      </c>
      <c r="E234" s="1">
        <v>47.712</v>
      </c>
      <c r="F234" s="1">
        <v>29047.0</v>
      </c>
      <c r="G234" s="1">
        <v>2.90470219E10</v>
      </c>
      <c r="H234" s="1" t="s">
        <v>112</v>
      </c>
      <c r="I234" s="1" t="s">
        <v>113</v>
      </c>
      <c r="J234" s="1" t="s">
        <v>1025</v>
      </c>
      <c r="K234" s="1" t="s">
        <v>1214</v>
      </c>
      <c r="L234" s="1">
        <v>5991.0</v>
      </c>
      <c r="M234" s="1">
        <v>5137.0</v>
      </c>
      <c r="N234" s="1">
        <v>285.0</v>
      </c>
      <c r="O234" s="1">
        <v>2187.0</v>
      </c>
      <c r="P234" s="1">
        <v>2004.0</v>
      </c>
      <c r="Q234" s="1">
        <v>116.0</v>
      </c>
      <c r="R234" s="1">
        <v>2097.0</v>
      </c>
      <c r="S234" s="1">
        <v>49.0</v>
      </c>
      <c r="T234" s="1">
        <v>52.0</v>
      </c>
      <c r="U234" s="1">
        <v>88.0</v>
      </c>
      <c r="V234" s="1">
        <v>414.0</v>
      </c>
      <c r="W234" s="1">
        <v>34273.0</v>
      </c>
      <c r="X234" s="1">
        <v>3468.0</v>
      </c>
      <c r="Y234" s="1">
        <v>169.0</v>
      </c>
      <c r="Z234" s="1">
        <v>309.0</v>
      </c>
      <c r="AA234" s="1">
        <v>491.0</v>
      </c>
      <c r="AB234" s="1">
        <v>1701.0</v>
      </c>
      <c r="AC234" s="1">
        <v>126.0</v>
      </c>
      <c r="AD234" s="1">
        <v>352.0</v>
      </c>
      <c r="AE234" s="1">
        <v>0.0</v>
      </c>
      <c r="AF234" s="1">
        <v>456.0</v>
      </c>
      <c r="AG234" s="1">
        <v>0.0</v>
      </c>
      <c r="AH234" s="1">
        <v>197.0</v>
      </c>
      <c r="AI234" s="1">
        <v>0.0</v>
      </c>
      <c r="AJ234" s="1">
        <v>114.0</v>
      </c>
      <c r="AK234" s="1">
        <v>8.0</v>
      </c>
      <c r="AL234" s="1">
        <v>115.0</v>
      </c>
      <c r="AM234" s="1">
        <v>14.0</v>
      </c>
      <c r="AN234" s="1">
        <v>116.0</v>
      </c>
      <c r="AO234" s="1">
        <v>0.0</v>
      </c>
      <c r="AP234" s="1">
        <v>0.00956</v>
      </c>
      <c r="AQ234" s="1">
        <v>0.010132</v>
      </c>
      <c r="AR234" s="1">
        <v>0.031988</v>
      </c>
      <c r="AS234" s="1">
        <v>0.150462</v>
      </c>
      <c r="AT234" s="1">
        <v>34273.0</v>
      </c>
      <c r="AU234" s="1">
        <v>3468.0</v>
      </c>
      <c r="AV234" s="1">
        <v>0.049142</v>
      </c>
      <c r="AW234" s="1">
        <v>0.089796</v>
      </c>
      <c r="AX234" s="1">
        <v>0.081956</v>
      </c>
      <c r="AY234" s="1">
        <v>0.283925</v>
      </c>
      <c r="AZ234" s="1">
        <v>0.06008583</v>
      </c>
      <c r="BA234" s="1">
        <v>0.058754</v>
      </c>
      <c r="BB234" s="1">
        <v>0.0</v>
      </c>
      <c r="BC234" s="1">
        <v>0.09608</v>
      </c>
      <c r="BD234" s="1">
        <v>0.0</v>
      </c>
      <c r="BE234" s="1">
        <v>0.098303</v>
      </c>
      <c r="BF234" s="1">
        <v>0.0</v>
      </c>
      <c r="BG234" s="1">
        <v>0.056886</v>
      </c>
      <c r="BH234" s="1">
        <v>0.00425</v>
      </c>
      <c r="BI234" s="1">
        <v>0.061104</v>
      </c>
      <c r="BJ234" s="1">
        <v>0.007438</v>
      </c>
      <c r="BK234" s="1">
        <v>0.061634</v>
      </c>
      <c r="BL234" s="1">
        <v>0.0</v>
      </c>
      <c r="BM234" s="1">
        <v>0.02</v>
      </c>
      <c r="BN234" s="1">
        <v>0.104</v>
      </c>
      <c r="BO234" s="1">
        <v>0.1242</v>
      </c>
      <c r="BP234" s="1">
        <v>0.126</v>
      </c>
      <c r="BQ234" s="1">
        <v>0.3742</v>
      </c>
      <c r="BR234" s="1">
        <v>0.0332</v>
      </c>
      <c r="BS234" s="1">
        <v>0.124</v>
      </c>
      <c r="BT234" s="1">
        <v>0.866</v>
      </c>
      <c r="BU234" s="1">
        <v>0.13</v>
      </c>
      <c r="BV234" s="1">
        <v>1.12</v>
      </c>
      <c r="BW234" s="1">
        <v>0.182</v>
      </c>
      <c r="BX234" s="1">
        <v>0.307</v>
      </c>
      <c r="BY234" s="1">
        <v>0.0</v>
      </c>
      <c r="BZ234" s="1">
        <v>0.307</v>
      </c>
      <c r="CA234" s="1">
        <v>0.131</v>
      </c>
      <c r="CB234" s="1">
        <v>0.0</v>
      </c>
      <c r="CC234" s="1">
        <v>0.0</v>
      </c>
      <c r="CD234" s="1">
        <v>0.312</v>
      </c>
      <c r="CE234" s="1">
        <v>0.063</v>
      </c>
      <c r="CF234" s="1">
        <v>0.0</v>
      </c>
      <c r="CG234" s="1">
        <v>0.375</v>
      </c>
      <c r="CH234" s="1">
        <v>0.017</v>
      </c>
      <c r="CI234" s="1">
        <v>2.1762</v>
      </c>
      <c r="CJ234" s="1">
        <v>0.0022</v>
      </c>
      <c r="CK234" s="1">
        <v>0.0</v>
      </c>
      <c r="CL234" s="1">
        <v>0.0</v>
      </c>
      <c r="CM234" s="1">
        <v>0.0</v>
      </c>
      <c r="CN234" s="1">
        <v>0.0</v>
      </c>
      <c r="CO234" s="1">
        <v>0.0</v>
      </c>
      <c r="CP234" s="1">
        <v>0.0</v>
      </c>
      <c r="CQ234" s="1">
        <v>0.0</v>
      </c>
      <c r="CR234" s="1">
        <v>0.0</v>
      </c>
      <c r="CS234" s="1">
        <v>0.0</v>
      </c>
      <c r="CT234" s="1">
        <v>0.0</v>
      </c>
      <c r="CU234" s="1">
        <v>0.0</v>
      </c>
      <c r="CV234" s="1">
        <v>0.0</v>
      </c>
      <c r="CW234" s="1">
        <v>0.0</v>
      </c>
      <c r="CX234" s="1">
        <v>0.0</v>
      </c>
      <c r="CY234" s="1">
        <v>0.0</v>
      </c>
      <c r="CZ234" s="1">
        <v>0.0</v>
      </c>
      <c r="DA234" s="1">
        <v>0.0</v>
      </c>
      <c r="DB234" s="1">
        <v>0.0</v>
      </c>
      <c r="DC234" s="1">
        <v>0.0</v>
      </c>
      <c r="DD234" s="1" t="s">
        <v>1215</v>
      </c>
      <c r="DE234" s="1">
        <v>0.0146051247802036</v>
      </c>
      <c r="DF234" s="2" t="s">
        <v>1216</v>
      </c>
    </row>
    <row r="235" ht="15.75" customHeight="1">
      <c r="A235" s="1" t="s">
        <v>1217</v>
      </c>
      <c r="B235" s="1">
        <v>29.0</v>
      </c>
      <c r="C235" s="2" t="s">
        <v>1023</v>
      </c>
      <c r="D235" s="2" t="s">
        <v>1218</v>
      </c>
      <c r="E235" s="1">
        <v>6.252</v>
      </c>
      <c r="F235" s="1">
        <v>29047.0</v>
      </c>
      <c r="G235" s="1">
        <v>2.90470221E10</v>
      </c>
      <c r="H235" s="1" t="s">
        <v>112</v>
      </c>
      <c r="I235" s="1" t="s">
        <v>113</v>
      </c>
      <c r="J235" s="1" t="s">
        <v>1025</v>
      </c>
      <c r="K235" s="1" t="s">
        <v>1219</v>
      </c>
      <c r="L235" s="1">
        <v>4283.0</v>
      </c>
      <c r="M235" s="1">
        <v>4391.0</v>
      </c>
      <c r="N235" s="1">
        <v>61.0</v>
      </c>
      <c r="O235" s="1">
        <v>2744.0</v>
      </c>
      <c r="P235" s="1">
        <v>2907.0</v>
      </c>
      <c r="Q235" s="1">
        <v>240.0</v>
      </c>
      <c r="R235" s="1">
        <v>2416.0</v>
      </c>
      <c r="S235" s="1">
        <v>349.0</v>
      </c>
      <c r="T235" s="1">
        <v>170.0</v>
      </c>
      <c r="U235" s="1">
        <v>131.0</v>
      </c>
      <c r="V235" s="1">
        <v>437.0</v>
      </c>
      <c r="W235" s="1">
        <v>26514.0</v>
      </c>
      <c r="X235" s="1">
        <v>4004.0</v>
      </c>
      <c r="Y235" s="1">
        <v>410.0</v>
      </c>
      <c r="Z235" s="1">
        <v>311.0</v>
      </c>
      <c r="AA235" s="1">
        <v>706.0</v>
      </c>
      <c r="AB235" s="1">
        <v>666.0</v>
      </c>
      <c r="AC235" s="1">
        <v>240.0</v>
      </c>
      <c r="AD235" s="1">
        <v>1233.0</v>
      </c>
      <c r="AE235" s="1">
        <v>254.0</v>
      </c>
      <c r="AF235" s="1">
        <v>406.0</v>
      </c>
      <c r="AG235" s="1">
        <v>661.0</v>
      </c>
      <c r="AH235" s="1">
        <v>188.0</v>
      </c>
      <c r="AI235" s="1">
        <v>9.0</v>
      </c>
      <c r="AJ235" s="1">
        <v>15.0</v>
      </c>
      <c r="AK235" s="1">
        <v>66.0</v>
      </c>
      <c r="AL235" s="1">
        <v>132.0</v>
      </c>
      <c r="AM235" s="1">
        <v>218.0</v>
      </c>
      <c r="AN235" s="1">
        <v>104.0</v>
      </c>
      <c r="AO235" s="1">
        <v>0.0</v>
      </c>
      <c r="AP235" s="1">
        <v>0.080749</v>
      </c>
      <c r="AQ235" s="1">
        <v>0.039287</v>
      </c>
      <c r="AR235" s="1">
        <v>0.053144</v>
      </c>
      <c r="AS235" s="1">
        <v>0.177076</v>
      </c>
      <c r="AT235" s="1">
        <v>26514.0</v>
      </c>
      <c r="AU235" s="1">
        <v>4004.0</v>
      </c>
      <c r="AV235" s="1">
        <v>0.124695</v>
      </c>
      <c r="AW235" s="1">
        <v>0.094253</v>
      </c>
      <c r="AX235" s="1">
        <v>0.164837</v>
      </c>
      <c r="AY235" s="1">
        <v>0.155498</v>
      </c>
      <c r="AZ235" s="1">
        <v>0.09933774</v>
      </c>
      <c r="BA235" s="1">
        <v>0.287882</v>
      </c>
      <c r="BB235" s="1">
        <v>0.062072</v>
      </c>
      <c r="BC235" s="1">
        <v>0.0992</v>
      </c>
      <c r="BD235" s="1">
        <v>0.227382</v>
      </c>
      <c r="BE235" s="1">
        <v>0.061886</v>
      </c>
      <c r="BF235" s="1">
        <v>0.003095</v>
      </c>
      <c r="BG235" s="1">
        <v>0.005153</v>
      </c>
      <c r="BH235" s="1">
        <v>0.026097</v>
      </c>
      <c r="BI235" s="1">
        <v>0.052169</v>
      </c>
      <c r="BJ235" s="1">
        <v>0.0862</v>
      </c>
      <c r="BK235" s="1">
        <v>0.040773</v>
      </c>
      <c r="BL235" s="1">
        <v>0.0</v>
      </c>
      <c r="BM235" s="1">
        <v>0.294</v>
      </c>
      <c r="BN235" s="1">
        <v>0.325</v>
      </c>
      <c r="BO235" s="1">
        <v>0.2982</v>
      </c>
      <c r="BP235" s="1">
        <v>0.45</v>
      </c>
      <c r="BQ235" s="1">
        <v>1.3672</v>
      </c>
      <c r="BR235" s="1">
        <v>0.3025</v>
      </c>
      <c r="BS235" s="1">
        <v>0.702</v>
      </c>
      <c r="BT235" s="1">
        <v>0.075</v>
      </c>
      <c r="BU235" s="1">
        <v>0.486</v>
      </c>
      <c r="BV235" s="1">
        <v>1.263</v>
      </c>
      <c r="BW235" s="1">
        <v>0.274</v>
      </c>
      <c r="BX235" s="1">
        <v>0.782</v>
      </c>
      <c r="BY235" s="1">
        <v>0.969</v>
      </c>
      <c r="BZ235" s="1">
        <v>1.751</v>
      </c>
      <c r="CA235" s="1">
        <v>0.943</v>
      </c>
      <c r="CB235" s="1">
        <v>0.909</v>
      </c>
      <c r="CC235" s="1">
        <v>0.371</v>
      </c>
      <c r="CD235" s="1">
        <v>0.771</v>
      </c>
      <c r="CE235" s="1">
        <v>0.704</v>
      </c>
      <c r="CF235" s="1">
        <v>0.0</v>
      </c>
      <c r="CG235" s="1">
        <v>2.755</v>
      </c>
      <c r="CH235" s="1">
        <v>0.668</v>
      </c>
      <c r="CI235" s="1">
        <v>7.1362</v>
      </c>
      <c r="CJ235" s="1">
        <v>0.5769</v>
      </c>
      <c r="CK235" s="1">
        <v>0.0</v>
      </c>
      <c r="CL235" s="1">
        <v>0.0</v>
      </c>
      <c r="CM235" s="1">
        <v>0.0</v>
      </c>
      <c r="CN235" s="1">
        <v>0.0</v>
      </c>
      <c r="CO235" s="1">
        <v>0.0</v>
      </c>
      <c r="CP235" s="1">
        <v>0.0</v>
      </c>
      <c r="CQ235" s="1">
        <v>0.0</v>
      </c>
      <c r="CR235" s="1">
        <v>0.0</v>
      </c>
      <c r="CS235" s="1">
        <v>0.0</v>
      </c>
      <c r="CT235" s="1">
        <v>0.0</v>
      </c>
      <c r="CU235" s="1">
        <v>1.0</v>
      </c>
      <c r="CV235" s="1">
        <v>1.0</v>
      </c>
      <c r="CW235" s="1">
        <v>1.0</v>
      </c>
      <c r="CX235" s="1">
        <v>0.0</v>
      </c>
      <c r="CY235" s="1">
        <v>0.0</v>
      </c>
      <c r="CZ235" s="1">
        <v>0.0</v>
      </c>
      <c r="DA235" s="1">
        <v>0.0</v>
      </c>
      <c r="DB235" s="1">
        <v>1.0</v>
      </c>
      <c r="DC235" s="1">
        <v>2.0</v>
      </c>
      <c r="DD235" s="1" t="s">
        <v>1220</v>
      </c>
      <c r="DE235" s="1">
        <v>0.00191860120755984</v>
      </c>
      <c r="DF235" s="2" t="s">
        <v>1221</v>
      </c>
    </row>
    <row r="236" ht="15.75" customHeight="1">
      <c r="A236" s="1" t="s">
        <v>1222</v>
      </c>
      <c r="B236" s="1">
        <v>29.0</v>
      </c>
      <c r="C236" s="2" t="s">
        <v>1023</v>
      </c>
      <c r="D236" s="2" t="s">
        <v>1223</v>
      </c>
      <c r="E236" s="1">
        <v>16.827</v>
      </c>
      <c r="F236" s="1">
        <v>29047.0</v>
      </c>
      <c r="G236" s="1">
        <v>2.90470222E10</v>
      </c>
      <c r="H236" s="1" t="s">
        <v>112</v>
      </c>
      <c r="I236" s="1" t="s">
        <v>113</v>
      </c>
      <c r="J236" s="1" t="s">
        <v>1025</v>
      </c>
      <c r="K236" s="1" t="s">
        <v>1224</v>
      </c>
      <c r="L236" s="1">
        <v>4058.0</v>
      </c>
      <c r="M236" s="1">
        <v>3559.0</v>
      </c>
      <c r="N236" s="1">
        <v>281.0</v>
      </c>
      <c r="O236" s="1">
        <v>1558.0</v>
      </c>
      <c r="P236" s="1">
        <v>1567.0</v>
      </c>
      <c r="Q236" s="1">
        <v>63.0</v>
      </c>
      <c r="R236" s="1">
        <v>1452.0</v>
      </c>
      <c r="S236" s="1">
        <v>150.0</v>
      </c>
      <c r="T236" s="1">
        <v>86.0</v>
      </c>
      <c r="U236" s="1">
        <v>147.0</v>
      </c>
      <c r="V236" s="1">
        <v>348.0</v>
      </c>
      <c r="W236" s="1">
        <v>24539.0</v>
      </c>
      <c r="X236" s="1">
        <v>2364.0</v>
      </c>
      <c r="Y236" s="1">
        <v>297.0</v>
      </c>
      <c r="Z236" s="1">
        <v>246.0</v>
      </c>
      <c r="AA236" s="1">
        <v>478.0</v>
      </c>
      <c r="AB236" s="1">
        <v>1099.0</v>
      </c>
      <c r="AC236" s="1">
        <v>216.0</v>
      </c>
      <c r="AD236" s="1">
        <v>675.0</v>
      </c>
      <c r="AE236" s="1">
        <v>29.0</v>
      </c>
      <c r="AF236" s="1">
        <v>412.0</v>
      </c>
      <c r="AG236" s="1">
        <v>5.0</v>
      </c>
      <c r="AH236" s="1">
        <v>161.0</v>
      </c>
      <c r="AI236" s="1">
        <v>0.0</v>
      </c>
      <c r="AJ236" s="1">
        <v>114.0</v>
      </c>
      <c r="AK236" s="1">
        <v>3.0</v>
      </c>
      <c r="AL236" s="1">
        <v>114.0</v>
      </c>
      <c r="AM236" s="1">
        <v>67.0</v>
      </c>
      <c r="AN236" s="1">
        <v>46.0</v>
      </c>
      <c r="AO236" s="1">
        <v>0.0</v>
      </c>
      <c r="AP236" s="1">
        <v>0.042146</v>
      </c>
      <c r="AQ236" s="1">
        <v>0.023933</v>
      </c>
      <c r="AR236" s="1">
        <v>0.078609</v>
      </c>
      <c r="AS236" s="1">
        <v>0.185815</v>
      </c>
      <c r="AT236" s="1">
        <v>24539.0</v>
      </c>
      <c r="AU236" s="1">
        <v>2364.0</v>
      </c>
      <c r="AV236" s="1">
        <v>0.124008</v>
      </c>
      <c r="AW236" s="1">
        <v>0.102362</v>
      </c>
      <c r="AX236" s="1">
        <v>0.117792</v>
      </c>
      <c r="AY236" s="1">
        <v>0.270823</v>
      </c>
      <c r="AZ236" s="1">
        <v>0.14876033</v>
      </c>
      <c r="BA236" s="1">
        <v>0.166338</v>
      </c>
      <c r="BB236" s="1">
        <v>0.008742</v>
      </c>
      <c r="BC236" s="1">
        <v>0.124206</v>
      </c>
      <c r="BD236" s="1">
        <v>0.00319</v>
      </c>
      <c r="BE236" s="1">
        <v>0.102744</v>
      </c>
      <c r="BF236" s="1">
        <v>0.0</v>
      </c>
      <c r="BG236" s="1">
        <v>0.07275</v>
      </c>
      <c r="BH236" s="1">
        <v>0.002102</v>
      </c>
      <c r="BI236" s="1">
        <v>0.079887</v>
      </c>
      <c r="BJ236" s="1">
        <v>0.046951</v>
      </c>
      <c r="BK236" s="1">
        <v>0.032049</v>
      </c>
      <c r="BL236" s="1">
        <v>0.0</v>
      </c>
      <c r="BM236" s="1">
        <v>0.13</v>
      </c>
      <c r="BN236" s="1">
        <v>0.599</v>
      </c>
      <c r="BO236" s="1">
        <v>0.3697</v>
      </c>
      <c r="BP236" s="1">
        <v>0.448</v>
      </c>
      <c r="BQ236" s="1">
        <v>1.5467</v>
      </c>
      <c r="BR236" s="1">
        <v>0.3581</v>
      </c>
      <c r="BS236" s="1">
        <v>0.326</v>
      </c>
      <c r="BT236" s="1">
        <v>0.799</v>
      </c>
      <c r="BU236" s="1">
        <v>0.789</v>
      </c>
      <c r="BV236" s="1">
        <v>1.914</v>
      </c>
      <c r="BW236" s="1">
        <v>0.81</v>
      </c>
      <c r="BX236" s="1">
        <v>0.661</v>
      </c>
      <c r="BY236" s="1">
        <v>0.687</v>
      </c>
      <c r="BZ236" s="1">
        <v>1.348</v>
      </c>
      <c r="CA236" s="1">
        <v>0.736</v>
      </c>
      <c r="CB236" s="1">
        <v>0.289</v>
      </c>
      <c r="CC236" s="1">
        <v>0.0</v>
      </c>
      <c r="CD236" s="1">
        <v>0.283</v>
      </c>
      <c r="CE236" s="1">
        <v>0.463</v>
      </c>
      <c r="CF236" s="1">
        <v>0.0</v>
      </c>
      <c r="CG236" s="1">
        <v>1.035</v>
      </c>
      <c r="CH236" s="1">
        <v>0.082</v>
      </c>
      <c r="CI236" s="1">
        <v>5.8437</v>
      </c>
      <c r="CJ236" s="1">
        <v>0.3451</v>
      </c>
      <c r="CK236" s="1">
        <v>0.0</v>
      </c>
      <c r="CL236" s="1">
        <v>0.0</v>
      </c>
      <c r="CM236" s="1">
        <v>0.0</v>
      </c>
      <c r="CN236" s="1">
        <v>0.0</v>
      </c>
      <c r="CO236" s="1">
        <v>0.0</v>
      </c>
      <c r="CP236" s="1">
        <v>0.0</v>
      </c>
      <c r="CQ236" s="1">
        <v>0.0</v>
      </c>
      <c r="CR236" s="1">
        <v>0.0</v>
      </c>
      <c r="CS236" s="1">
        <v>0.0</v>
      </c>
      <c r="CT236" s="1">
        <v>0.0</v>
      </c>
      <c r="CU236" s="1">
        <v>0.0</v>
      </c>
      <c r="CV236" s="1">
        <v>0.0</v>
      </c>
      <c r="CW236" s="1">
        <v>0.0</v>
      </c>
      <c r="CX236" s="1">
        <v>0.0</v>
      </c>
      <c r="CY236" s="1">
        <v>0.0</v>
      </c>
      <c r="CZ236" s="1">
        <v>0.0</v>
      </c>
      <c r="DA236" s="1">
        <v>0.0</v>
      </c>
      <c r="DB236" s="1">
        <v>0.0</v>
      </c>
      <c r="DC236" s="1">
        <v>0.0</v>
      </c>
      <c r="DD236" s="1" t="s">
        <v>1225</v>
      </c>
      <c r="DE236" s="1">
        <v>0.00480910211374553</v>
      </c>
      <c r="DF236" s="1">
        <v>0.32157442092681</v>
      </c>
    </row>
    <row r="237" ht="15.75" customHeight="1">
      <c r="A237" s="1" t="s">
        <v>1226</v>
      </c>
      <c r="B237" s="1">
        <v>29.0</v>
      </c>
      <c r="C237" s="2" t="s">
        <v>1023</v>
      </c>
      <c r="D237" s="2" t="s">
        <v>1227</v>
      </c>
      <c r="E237" s="1">
        <v>4.978</v>
      </c>
      <c r="F237" s="1">
        <v>29047.0</v>
      </c>
      <c r="G237" s="1">
        <v>2.904702131E10</v>
      </c>
      <c r="H237" s="1" t="s">
        <v>112</v>
      </c>
      <c r="I237" s="1" t="s">
        <v>113</v>
      </c>
      <c r="J237" s="1" t="s">
        <v>1025</v>
      </c>
      <c r="K237" s="1" t="s">
        <v>1228</v>
      </c>
      <c r="L237" s="1">
        <v>6606.0</v>
      </c>
      <c r="M237" s="1">
        <v>5423.0</v>
      </c>
      <c r="N237" s="1">
        <v>268.0</v>
      </c>
      <c r="O237" s="1">
        <v>2381.0</v>
      </c>
      <c r="P237" s="1">
        <v>2038.0</v>
      </c>
      <c r="Q237" s="1">
        <v>119.0</v>
      </c>
      <c r="R237" s="1">
        <v>2245.0</v>
      </c>
      <c r="S237" s="1">
        <v>199.0</v>
      </c>
      <c r="T237" s="1">
        <v>135.0</v>
      </c>
      <c r="U237" s="1">
        <v>95.0</v>
      </c>
      <c r="V237" s="1">
        <v>446.0</v>
      </c>
      <c r="W237" s="1">
        <v>31926.0</v>
      </c>
      <c r="X237" s="1">
        <v>2014.0</v>
      </c>
      <c r="Y237" s="1">
        <v>43.0</v>
      </c>
      <c r="Z237" s="1">
        <v>413.0</v>
      </c>
      <c r="AA237" s="1">
        <v>230.0</v>
      </c>
      <c r="AB237" s="1">
        <v>2316.0</v>
      </c>
      <c r="AC237" s="1">
        <v>200.0</v>
      </c>
      <c r="AD237" s="1">
        <v>871.0</v>
      </c>
      <c r="AE237" s="1">
        <v>16.0</v>
      </c>
      <c r="AF237" s="1">
        <v>442.0</v>
      </c>
      <c r="AG237" s="1">
        <v>0.0</v>
      </c>
      <c r="AH237" s="1">
        <v>197.0</v>
      </c>
      <c r="AI237" s="1">
        <v>141.0</v>
      </c>
      <c r="AJ237" s="1">
        <v>65.0</v>
      </c>
      <c r="AK237" s="1">
        <v>25.0</v>
      </c>
      <c r="AL237" s="1">
        <v>120.0</v>
      </c>
      <c r="AM237" s="1">
        <v>7.0</v>
      </c>
      <c r="AN237" s="1">
        <v>115.0</v>
      </c>
      <c r="AO237" s="1">
        <v>0.0</v>
      </c>
      <c r="AP237" s="1">
        <v>0.036695</v>
      </c>
      <c r="AQ237" s="1">
        <v>0.024827</v>
      </c>
      <c r="AR237" s="1">
        <v>0.031793</v>
      </c>
      <c r="AS237" s="1">
        <v>0.149226</v>
      </c>
      <c r="AT237" s="1">
        <v>31926.0</v>
      </c>
      <c r="AU237" s="1">
        <v>2014.0</v>
      </c>
      <c r="AV237" s="1">
        <v>0.01251</v>
      </c>
      <c r="AW237" s="1">
        <v>0.12016</v>
      </c>
      <c r="AX237" s="1">
        <v>0.034816</v>
      </c>
      <c r="AY237" s="1">
        <v>0.35059</v>
      </c>
      <c r="AZ237" s="1">
        <v>0.08908685</v>
      </c>
      <c r="BA237" s="1">
        <v>0.131849</v>
      </c>
      <c r="BB237" s="1">
        <v>0.003501</v>
      </c>
      <c r="BC237" s="1">
        <v>0.096717</v>
      </c>
      <c r="BD237" s="1">
        <v>0.0</v>
      </c>
      <c r="BE237" s="1">
        <v>0.096663</v>
      </c>
      <c r="BF237" s="1">
        <v>0.069185</v>
      </c>
      <c r="BG237" s="1">
        <v>0.031637</v>
      </c>
      <c r="BH237" s="1">
        <v>0.013068</v>
      </c>
      <c r="BI237" s="1">
        <v>0.062723</v>
      </c>
      <c r="BJ237" s="1">
        <v>0.003659</v>
      </c>
      <c r="BK237" s="1">
        <v>0.060114</v>
      </c>
      <c r="BL237" s="1">
        <v>0.0</v>
      </c>
      <c r="BM237" s="1">
        <v>0.111</v>
      </c>
      <c r="BN237" s="1">
        <v>0.102</v>
      </c>
      <c r="BO237" s="1">
        <v>0.1552</v>
      </c>
      <c r="BP237" s="1">
        <v>0.021</v>
      </c>
      <c r="BQ237" s="1">
        <v>0.3892</v>
      </c>
      <c r="BR237" s="1">
        <v>0.0375</v>
      </c>
      <c r="BS237" s="1">
        <v>0.013</v>
      </c>
      <c r="BT237" s="1">
        <v>0.985</v>
      </c>
      <c r="BU237" s="1">
        <v>0.393</v>
      </c>
      <c r="BV237" s="1">
        <v>1.391</v>
      </c>
      <c r="BW237" s="1">
        <v>0.382</v>
      </c>
      <c r="BX237" s="1">
        <v>0.566</v>
      </c>
      <c r="BY237" s="1">
        <v>0.482</v>
      </c>
      <c r="BZ237" s="1">
        <v>1.048</v>
      </c>
      <c r="CA237" s="1">
        <v>0.582</v>
      </c>
      <c r="CB237" s="1">
        <v>0.0</v>
      </c>
      <c r="CC237" s="1">
        <v>0.648</v>
      </c>
      <c r="CD237" s="1">
        <v>0.551</v>
      </c>
      <c r="CE237" s="1">
        <v>0.038</v>
      </c>
      <c r="CF237" s="1">
        <v>0.0</v>
      </c>
      <c r="CG237" s="1">
        <v>1.237</v>
      </c>
      <c r="CH237" s="1">
        <v>0.116</v>
      </c>
      <c r="CI237" s="1">
        <v>4.0652</v>
      </c>
      <c r="CJ237" s="1">
        <v>0.0924</v>
      </c>
      <c r="CK237" s="1">
        <v>0.0</v>
      </c>
      <c r="CL237" s="1">
        <v>0.0</v>
      </c>
      <c r="CM237" s="1">
        <v>0.0</v>
      </c>
      <c r="CN237" s="1">
        <v>0.0</v>
      </c>
      <c r="CO237" s="1">
        <v>0.0</v>
      </c>
      <c r="CP237" s="1">
        <v>0.0</v>
      </c>
      <c r="CQ237" s="1">
        <v>1.0</v>
      </c>
      <c r="CR237" s="1">
        <v>0.0</v>
      </c>
      <c r="CS237" s="1">
        <v>1.0</v>
      </c>
      <c r="CT237" s="1">
        <v>0.0</v>
      </c>
      <c r="CU237" s="1">
        <v>0.0</v>
      </c>
      <c r="CV237" s="1">
        <v>0.0</v>
      </c>
      <c r="CW237" s="1">
        <v>0.0</v>
      </c>
      <c r="CX237" s="1">
        <v>0.0</v>
      </c>
      <c r="CY237" s="1">
        <v>0.0</v>
      </c>
      <c r="CZ237" s="1">
        <v>0.0</v>
      </c>
      <c r="DA237" s="1">
        <v>0.0</v>
      </c>
      <c r="DB237" s="1">
        <v>0.0</v>
      </c>
      <c r="DC237" s="1">
        <v>1.0</v>
      </c>
      <c r="DD237" s="1" t="s">
        <v>1229</v>
      </c>
      <c r="DE237" s="1">
        <v>0.00134425082976885</v>
      </c>
      <c r="DF237" s="2" t="s">
        <v>1230</v>
      </c>
    </row>
    <row r="238" ht="15.75" customHeight="1">
      <c r="A238" s="1" t="s">
        <v>1231</v>
      </c>
      <c r="B238" s="1">
        <v>29.0</v>
      </c>
      <c r="C238" s="2" t="s">
        <v>1232</v>
      </c>
      <c r="D238" s="1">
        <v>960100.0</v>
      </c>
      <c r="E238" s="1">
        <v>8.256</v>
      </c>
      <c r="F238" s="1">
        <v>29049.0</v>
      </c>
      <c r="G238" s="1">
        <v>2.90499601E10</v>
      </c>
      <c r="H238" s="1" t="s">
        <v>112</v>
      </c>
      <c r="I238" s="1" t="s">
        <v>113</v>
      </c>
      <c r="J238" s="1" t="s">
        <v>1233</v>
      </c>
      <c r="K238" s="1" t="s">
        <v>1234</v>
      </c>
      <c r="L238" s="1">
        <v>5252.0</v>
      </c>
      <c r="M238" s="1">
        <v>5132.0</v>
      </c>
      <c r="N238" s="1">
        <v>143.0</v>
      </c>
      <c r="O238" s="1">
        <v>2242.0</v>
      </c>
      <c r="P238" s="1">
        <v>2270.0</v>
      </c>
      <c r="Q238" s="1">
        <v>218.0</v>
      </c>
      <c r="R238" s="1">
        <v>1963.0</v>
      </c>
      <c r="S238" s="1">
        <v>556.0</v>
      </c>
      <c r="T238" s="1">
        <v>219.0</v>
      </c>
      <c r="U238" s="1">
        <v>283.0</v>
      </c>
      <c r="V238" s="1">
        <v>362.0</v>
      </c>
      <c r="W238" s="1">
        <v>21298.0</v>
      </c>
      <c r="X238" s="1">
        <v>2607.0</v>
      </c>
      <c r="Y238" s="1">
        <v>266.0</v>
      </c>
      <c r="Z238" s="1">
        <v>274.0</v>
      </c>
      <c r="AA238" s="1">
        <v>891.0</v>
      </c>
      <c r="AB238" s="1">
        <v>1421.0</v>
      </c>
      <c r="AC238" s="1">
        <v>277.0</v>
      </c>
      <c r="AD238" s="1">
        <v>267.0</v>
      </c>
      <c r="AE238" s="1">
        <v>39.0</v>
      </c>
      <c r="AF238" s="1">
        <v>428.0</v>
      </c>
      <c r="AG238" s="1">
        <v>103.0</v>
      </c>
      <c r="AH238" s="1">
        <v>132.0</v>
      </c>
      <c r="AI238" s="1">
        <v>24.0</v>
      </c>
      <c r="AJ238" s="1">
        <v>24.0</v>
      </c>
      <c r="AK238" s="1">
        <v>12.0</v>
      </c>
      <c r="AL238" s="1">
        <v>116.0</v>
      </c>
      <c r="AM238" s="1">
        <v>89.0</v>
      </c>
      <c r="AN238" s="1">
        <v>52.0</v>
      </c>
      <c r="AO238" s="1">
        <v>279.0</v>
      </c>
      <c r="AP238" s="1">
        <v>0.110142</v>
      </c>
      <c r="AQ238" s="1">
        <v>0.043167</v>
      </c>
      <c r="AR238" s="1">
        <v>0.109988</v>
      </c>
      <c r="AS238" s="1">
        <v>0.140221</v>
      </c>
      <c r="AT238" s="1">
        <v>21298.0</v>
      </c>
      <c r="AU238" s="1">
        <v>2607.0</v>
      </c>
      <c r="AV238" s="1">
        <v>0.082995</v>
      </c>
      <c r="AW238" s="1">
        <v>0.085351</v>
      </c>
      <c r="AX238" s="1">
        <v>0.169649</v>
      </c>
      <c r="AY238" s="1">
        <v>0.270563</v>
      </c>
      <c r="AZ238" s="1">
        <v>0.14111054</v>
      </c>
      <c r="BA238" s="1">
        <v>0.050837</v>
      </c>
      <c r="BB238" s="1">
        <v>0.008476</v>
      </c>
      <c r="BC238" s="1">
        <v>0.093022</v>
      </c>
      <c r="BD238" s="1">
        <v>0.045374</v>
      </c>
      <c r="BE238" s="1">
        <v>0.057986</v>
      </c>
      <c r="BF238" s="1">
        <v>0.010572</v>
      </c>
      <c r="BG238" s="1">
        <v>0.010523</v>
      </c>
      <c r="BH238" s="1">
        <v>0.005991</v>
      </c>
      <c r="BI238" s="1">
        <v>0.057911</v>
      </c>
      <c r="BJ238" s="1">
        <v>0.044433</v>
      </c>
      <c r="BK238" s="1">
        <v>0.025738</v>
      </c>
      <c r="BL238" s="1">
        <v>0.053122</v>
      </c>
      <c r="BM238" s="1">
        <v>0.418</v>
      </c>
      <c r="BN238" s="1">
        <v>0.788</v>
      </c>
      <c r="BO238" s="1">
        <v>0.5329</v>
      </c>
      <c r="BP238" s="1">
        <v>0.258</v>
      </c>
      <c r="BQ238" s="1">
        <v>1.9969</v>
      </c>
      <c r="BR238" s="1">
        <v>0.4939</v>
      </c>
      <c r="BS238" s="1">
        <v>0.735</v>
      </c>
      <c r="BT238" s="1">
        <v>0.794</v>
      </c>
      <c r="BU238" s="1">
        <v>0.764</v>
      </c>
      <c r="BV238" s="1">
        <v>2.293</v>
      </c>
      <c r="BW238" s="1">
        <v>0.979</v>
      </c>
      <c r="BX238" s="1">
        <v>0.251</v>
      </c>
      <c r="BY238" s="1">
        <v>0.679</v>
      </c>
      <c r="BZ238" s="1">
        <v>0.93</v>
      </c>
      <c r="CA238" s="1">
        <v>0.491</v>
      </c>
      <c r="CB238" s="1">
        <v>0.634</v>
      </c>
      <c r="CC238" s="1">
        <v>0.462</v>
      </c>
      <c r="CD238" s="1">
        <v>0.356</v>
      </c>
      <c r="CE238" s="1">
        <v>0.438</v>
      </c>
      <c r="CF238" s="1">
        <v>0.9</v>
      </c>
      <c r="CG238" s="1">
        <v>2.79</v>
      </c>
      <c r="CH238" s="1">
        <v>0.684</v>
      </c>
      <c r="CI238" s="1">
        <v>8.0099</v>
      </c>
      <c r="CJ238" s="1">
        <v>0.7162</v>
      </c>
      <c r="CK238" s="1">
        <v>0.0</v>
      </c>
      <c r="CL238" s="1">
        <v>0.0</v>
      </c>
      <c r="CM238" s="1">
        <v>0.0</v>
      </c>
      <c r="CN238" s="1">
        <v>0.0</v>
      </c>
      <c r="CO238" s="1">
        <v>0.0</v>
      </c>
      <c r="CP238" s="1">
        <v>0.0</v>
      </c>
      <c r="CQ238" s="1">
        <v>0.0</v>
      </c>
      <c r="CR238" s="1">
        <v>0.0</v>
      </c>
      <c r="CS238" s="1">
        <v>0.0</v>
      </c>
      <c r="CT238" s="1">
        <v>0.0</v>
      </c>
      <c r="CU238" s="1">
        <v>0.0</v>
      </c>
      <c r="CV238" s="1">
        <v>0.0</v>
      </c>
      <c r="CW238" s="1">
        <v>0.0</v>
      </c>
      <c r="CX238" s="1">
        <v>0.0</v>
      </c>
      <c r="CY238" s="1">
        <v>0.0</v>
      </c>
      <c r="CZ238" s="1">
        <v>0.0</v>
      </c>
      <c r="DA238" s="1">
        <v>1.0</v>
      </c>
      <c r="DB238" s="1">
        <v>1.0</v>
      </c>
      <c r="DC238" s="1">
        <v>1.0</v>
      </c>
      <c r="DD238" s="1" t="s">
        <v>1235</v>
      </c>
      <c r="DE238" s="1">
        <v>0.00225386825264732</v>
      </c>
      <c r="DF238" s="2" t="s">
        <v>1236</v>
      </c>
    </row>
    <row r="239" ht="15.75" customHeight="1">
      <c r="A239" s="1" t="s">
        <v>1237</v>
      </c>
      <c r="B239" s="1">
        <v>29.0</v>
      </c>
      <c r="C239" s="2" t="s">
        <v>1232</v>
      </c>
      <c r="D239" s="1">
        <v>960200.0</v>
      </c>
      <c r="E239" s="1">
        <v>137.027</v>
      </c>
      <c r="F239" s="1">
        <v>29049.0</v>
      </c>
      <c r="G239" s="1">
        <v>2.90499602E10</v>
      </c>
      <c r="H239" s="1" t="s">
        <v>112</v>
      </c>
      <c r="I239" s="1" t="s">
        <v>113</v>
      </c>
      <c r="J239" s="1" t="s">
        <v>1233</v>
      </c>
      <c r="K239" s="1" t="s">
        <v>1238</v>
      </c>
      <c r="L239" s="1">
        <v>6686.0</v>
      </c>
      <c r="M239" s="1">
        <v>7006.0</v>
      </c>
      <c r="N239" s="1">
        <v>286.0</v>
      </c>
      <c r="O239" s="1">
        <v>2896.0</v>
      </c>
      <c r="P239" s="1">
        <v>2877.0</v>
      </c>
      <c r="Q239" s="1">
        <v>116.0</v>
      </c>
      <c r="R239" s="1">
        <v>2585.0</v>
      </c>
      <c r="S239" s="1">
        <v>357.0</v>
      </c>
      <c r="T239" s="1">
        <v>136.0</v>
      </c>
      <c r="U239" s="1">
        <v>176.0</v>
      </c>
      <c r="V239" s="1">
        <v>332.0</v>
      </c>
      <c r="W239" s="1">
        <v>24691.0</v>
      </c>
      <c r="X239" s="1">
        <v>1391.0</v>
      </c>
      <c r="Y239" s="1">
        <v>568.0</v>
      </c>
      <c r="Z239" s="1">
        <v>250.0</v>
      </c>
      <c r="AA239" s="1">
        <v>951.0</v>
      </c>
      <c r="AB239" s="1">
        <v>1623.0</v>
      </c>
      <c r="AC239" s="1">
        <v>219.0</v>
      </c>
      <c r="AD239" s="1">
        <v>324.0</v>
      </c>
      <c r="AE239" s="1">
        <v>9.0</v>
      </c>
      <c r="AF239" s="1">
        <v>442.0</v>
      </c>
      <c r="AG239" s="1">
        <v>5.0</v>
      </c>
      <c r="AH239" s="1">
        <v>114.0</v>
      </c>
      <c r="AI239" s="1">
        <v>225.0</v>
      </c>
      <c r="AJ239" s="1">
        <v>111.0</v>
      </c>
      <c r="AK239" s="1">
        <v>109.0</v>
      </c>
      <c r="AL239" s="1">
        <v>136.0</v>
      </c>
      <c r="AM239" s="1">
        <v>100.0</v>
      </c>
      <c r="AN239" s="1">
        <v>39.0</v>
      </c>
      <c r="AO239" s="1">
        <v>0.0</v>
      </c>
      <c r="AP239" s="1">
        <v>0.051604</v>
      </c>
      <c r="AQ239" s="1">
        <v>0.019553</v>
      </c>
      <c r="AR239" s="1">
        <v>0.051567</v>
      </c>
      <c r="AS239" s="1">
        <v>0.097187</v>
      </c>
      <c r="AT239" s="1">
        <v>24691.0</v>
      </c>
      <c r="AU239" s="1">
        <v>1391.0</v>
      </c>
      <c r="AV239" s="1">
        <v>0.117525</v>
      </c>
      <c r="AW239" s="1">
        <v>0.05155</v>
      </c>
      <c r="AX239" s="1">
        <v>0.142237</v>
      </c>
      <c r="AY239" s="1">
        <v>0.242746</v>
      </c>
      <c r="AZ239" s="1">
        <v>0.08471953</v>
      </c>
      <c r="BA239" s="1">
        <v>0.048459</v>
      </c>
      <c r="BB239" s="1">
        <v>0.001384</v>
      </c>
      <c r="BC239" s="1">
        <v>0.067999</v>
      </c>
      <c r="BD239" s="1">
        <v>0.001737</v>
      </c>
      <c r="BE239" s="1">
        <v>0.039624</v>
      </c>
      <c r="BF239" s="1">
        <v>0.078206</v>
      </c>
      <c r="BG239" s="1">
        <v>0.038452</v>
      </c>
      <c r="BH239" s="1">
        <v>0.039926</v>
      </c>
      <c r="BI239" s="1">
        <v>0.049776</v>
      </c>
      <c r="BJ239" s="1">
        <v>0.03663</v>
      </c>
      <c r="BK239" s="1">
        <v>0.014166</v>
      </c>
      <c r="BL239" s="1">
        <v>0.0</v>
      </c>
      <c r="BM239" s="1">
        <v>0.174</v>
      </c>
      <c r="BN239" s="1">
        <v>0.311</v>
      </c>
      <c r="BO239" s="1">
        <v>0.361</v>
      </c>
      <c r="BP239" s="1">
        <v>0.417</v>
      </c>
      <c r="BQ239" s="1">
        <v>1.263</v>
      </c>
      <c r="BR239" s="1">
        <v>0.2729</v>
      </c>
      <c r="BS239" s="1">
        <v>0.519</v>
      </c>
      <c r="BT239" s="1">
        <v>0.523</v>
      </c>
      <c r="BU239" s="1">
        <v>0.355</v>
      </c>
      <c r="BV239" s="1">
        <v>1.397</v>
      </c>
      <c r="BW239" s="1">
        <v>0.388</v>
      </c>
      <c r="BX239" s="1">
        <v>0.236</v>
      </c>
      <c r="BY239" s="1">
        <v>0.349</v>
      </c>
      <c r="BZ239" s="1">
        <v>0.585</v>
      </c>
      <c r="CA239" s="1">
        <v>0.261</v>
      </c>
      <c r="CB239" s="1">
        <v>0.268</v>
      </c>
      <c r="CC239" s="1">
        <v>0.673</v>
      </c>
      <c r="CD239" s="1">
        <v>0.894</v>
      </c>
      <c r="CE239" s="1">
        <v>0.351</v>
      </c>
      <c r="CF239" s="1">
        <v>0.0</v>
      </c>
      <c r="CG239" s="1">
        <v>2.186</v>
      </c>
      <c r="CH239" s="1">
        <v>0.413</v>
      </c>
      <c r="CI239" s="1">
        <v>5.431</v>
      </c>
      <c r="CJ239" s="1">
        <v>0.27</v>
      </c>
      <c r="CK239" s="1">
        <v>0.0</v>
      </c>
      <c r="CL239" s="1">
        <v>0.0</v>
      </c>
      <c r="CM239" s="1">
        <v>0.0</v>
      </c>
      <c r="CN239" s="1">
        <v>0.0</v>
      </c>
      <c r="CO239" s="1">
        <v>0.0</v>
      </c>
      <c r="CP239" s="1">
        <v>0.0</v>
      </c>
      <c r="CQ239" s="1">
        <v>0.0</v>
      </c>
      <c r="CR239" s="1">
        <v>0.0</v>
      </c>
      <c r="CS239" s="1">
        <v>0.0</v>
      </c>
      <c r="CT239" s="1">
        <v>0.0</v>
      </c>
      <c r="CU239" s="1">
        <v>0.0</v>
      </c>
      <c r="CV239" s="1">
        <v>0.0</v>
      </c>
      <c r="CW239" s="1">
        <v>0.0</v>
      </c>
      <c r="CX239" s="1">
        <v>0.0</v>
      </c>
      <c r="CY239" s="1">
        <v>0.0</v>
      </c>
      <c r="CZ239" s="1">
        <v>0.0</v>
      </c>
      <c r="DA239" s="1">
        <v>0.0</v>
      </c>
      <c r="DB239" s="1">
        <v>0.0</v>
      </c>
      <c r="DC239" s="1">
        <v>0.0</v>
      </c>
      <c r="DD239" s="1" t="s">
        <v>1239</v>
      </c>
      <c r="DE239" s="1">
        <v>0.0372983271635374</v>
      </c>
      <c r="DF239" s="2" t="s">
        <v>1240</v>
      </c>
    </row>
    <row r="240" ht="15.75" customHeight="1">
      <c r="A240" s="1" t="s">
        <v>1241</v>
      </c>
      <c r="B240" s="1">
        <v>29.0</v>
      </c>
      <c r="C240" s="2" t="s">
        <v>1232</v>
      </c>
      <c r="D240" s="1">
        <v>960300.0</v>
      </c>
      <c r="E240" s="1">
        <v>142.828</v>
      </c>
      <c r="F240" s="1">
        <v>29049.0</v>
      </c>
      <c r="G240" s="1">
        <v>2.90499603E10</v>
      </c>
      <c r="H240" s="1" t="s">
        <v>112</v>
      </c>
      <c r="I240" s="1" t="s">
        <v>113</v>
      </c>
      <c r="J240" s="1" t="s">
        <v>1233</v>
      </c>
      <c r="K240" s="1" t="s">
        <v>1242</v>
      </c>
      <c r="L240" s="1">
        <v>4348.0</v>
      </c>
      <c r="M240" s="1">
        <v>4096.0</v>
      </c>
      <c r="N240" s="1">
        <v>266.0</v>
      </c>
      <c r="O240" s="1">
        <v>1912.0</v>
      </c>
      <c r="P240" s="1">
        <v>1846.0</v>
      </c>
      <c r="Q240" s="1">
        <v>85.0</v>
      </c>
      <c r="R240" s="1">
        <v>1701.0</v>
      </c>
      <c r="S240" s="1">
        <v>347.0</v>
      </c>
      <c r="T240" s="1">
        <v>171.0</v>
      </c>
      <c r="U240" s="1">
        <v>74.0</v>
      </c>
      <c r="V240" s="1">
        <v>414.0</v>
      </c>
      <c r="W240" s="1">
        <v>27607.0</v>
      </c>
      <c r="X240" s="1">
        <v>2865.0</v>
      </c>
      <c r="Y240" s="1">
        <v>285.0</v>
      </c>
      <c r="Z240" s="1">
        <v>212.0</v>
      </c>
      <c r="AA240" s="1">
        <v>746.0</v>
      </c>
      <c r="AB240" s="1">
        <v>972.0</v>
      </c>
      <c r="AC240" s="1">
        <v>132.0</v>
      </c>
      <c r="AD240" s="1">
        <v>365.0</v>
      </c>
      <c r="AE240" s="1">
        <v>10.0</v>
      </c>
      <c r="AF240" s="1">
        <v>442.0</v>
      </c>
      <c r="AG240" s="1">
        <v>46.0</v>
      </c>
      <c r="AH240" s="1">
        <v>164.0</v>
      </c>
      <c r="AI240" s="1">
        <v>141.0</v>
      </c>
      <c r="AJ240" s="1">
        <v>52.0</v>
      </c>
      <c r="AK240" s="1">
        <v>14.0</v>
      </c>
      <c r="AL240" s="1">
        <v>116.0</v>
      </c>
      <c r="AM240" s="1">
        <v>43.0</v>
      </c>
      <c r="AN240" s="1">
        <v>26.0</v>
      </c>
      <c r="AO240" s="1">
        <v>99.0</v>
      </c>
      <c r="AP240" s="1">
        <v>0.088004</v>
      </c>
      <c r="AQ240" s="1">
        <v>0.042986</v>
      </c>
      <c r="AR240" s="1">
        <v>0.039593</v>
      </c>
      <c r="AS240" s="1">
        <v>0.221477</v>
      </c>
      <c r="AT240" s="1">
        <v>27607.0</v>
      </c>
      <c r="AU240" s="1">
        <v>2865.0</v>
      </c>
      <c r="AV240" s="1">
        <v>0.096251</v>
      </c>
      <c r="AW240" s="1">
        <v>0.071298</v>
      </c>
      <c r="AX240" s="1">
        <v>0.171573</v>
      </c>
      <c r="AY240" s="1">
        <v>0.223551</v>
      </c>
      <c r="AZ240" s="1">
        <v>0.07760141</v>
      </c>
      <c r="BA240" s="1">
        <v>0.083946</v>
      </c>
      <c r="BB240" s="1">
        <v>0.002523</v>
      </c>
      <c r="BC240" s="1">
        <v>0.111559</v>
      </c>
      <c r="BD240" s="1">
        <v>0.024918</v>
      </c>
      <c r="BE240" s="1">
        <v>0.088833</v>
      </c>
      <c r="BF240" s="1">
        <v>0.076381</v>
      </c>
      <c r="BG240" s="1">
        <v>0.027948</v>
      </c>
      <c r="BH240" s="1">
        <v>0.008443</v>
      </c>
      <c r="BI240" s="1">
        <v>0.069961</v>
      </c>
      <c r="BJ240" s="1">
        <v>0.025934</v>
      </c>
      <c r="BK240" s="1">
        <v>0.015591</v>
      </c>
      <c r="BL240" s="1">
        <v>0.022769</v>
      </c>
      <c r="BM240" s="1">
        <v>0.329</v>
      </c>
      <c r="BN240" s="1">
        <v>0.179</v>
      </c>
      <c r="BO240" s="1">
        <v>0.2635</v>
      </c>
      <c r="BP240" s="1">
        <v>0.318</v>
      </c>
      <c r="BQ240" s="1">
        <v>1.0895</v>
      </c>
      <c r="BR240" s="1">
        <v>0.226</v>
      </c>
      <c r="BS240" s="1">
        <v>0.746</v>
      </c>
      <c r="BT240" s="1">
        <v>0.331</v>
      </c>
      <c r="BU240" s="1">
        <v>0.277</v>
      </c>
      <c r="BV240" s="1">
        <v>1.354</v>
      </c>
      <c r="BW240" s="1">
        <v>0.348</v>
      </c>
      <c r="BX240" s="1">
        <v>0.409</v>
      </c>
      <c r="BY240" s="1">
        <v>0.415</v>
      </c>
      <c r="BZ240" s="1">
        <v>0.824</v>
      </c>
      <c r="CA240" s="1">
        <v>0.417</v>
      </c>
      <c r="CB240" s="1">
        <v>0.514</v>
      </c>
      <c r="CC240" s="1">
        <v>0.669</v>
      </c>
      <c r="CD240" s="1">
        <v>0.444</v>
      </c>
      <c r="CE240" s="1">
        <v>0.249</v>
      </c>
      <c r="CF240" s="1">
        <v>0.746</v>
      </c>
      <c r="CG240" s="1">
        <v>2.622</v>
      </c>
      <c r="CH240" s="1">
        <v>0.61</v>
      </c>
      <c r="CI240" s="1">
        <v>5.8895</v>
      </c>
      <c r="CJ240" s="1">
        <v>0.3538</v>
      </c>
      <c r="CK240" s="1">
        <v>0.0</v>
      </c>
      <c r="CL240" s="1">
        <v>0.0</v>
      </c>
      <c r="CM240" s="1">
        <v>0.0</v>
      </c>
      <c r="CN240" s="1">
        <v>0.0</v>
      </c>
      <c r="CO240" s="1">
        <v>0.0</v>
      </c>
      <c r="CP240" s="1">
        <v>0.0</v>
      </c>
      <c r="CQ240" s="1">
        <v>0.0</v>
      </c>
      <c r="CR240" s="1">
        <v>0.0</v>
      </c>
      <c r="CS240" s="1">
        <v>0.0</v>
      </c>
      <c r="CT240" s="1">
        <v>0.0</v>
      </c>
      <c r="CU240" s="1">
        <v>0.0</v>
      </c>
      <c r="CV240" s="1">
        <v>0.0</v>
      </c>
      <c r="CW240" s="1">
        <v>0.0</v>
      </c>
      <c r="CX240" s="1">
        <v>0.0</v>
      </c>
      <c r="CY240" s="1">
        <v>0.0</v>
      </c>
      <c r="CZ240" s="1">
        <v>0.0</v>
      </c>
      <c r="DA240" s="1">
        <v>0.0</v>
      </c>
      <c r="DB240" s="1">
        <v>0.0</v>
      </c>
      <c r="DC240" s="1">
        <v>0.0</v>
      </c>
      <c r="DD240" s="1" t="s">
        <v>1243</v>
      </c>
      <c r="DE240" s="1">
        <v>0.0388487871766621</v>
      </c>
      <c r="DF240" s="2" t="s">
        <v>1244</v>
      </c>
    </row>
    <row r="241" ht="15.75" customHeight="1">
      <c r="A241" s="1" t="s">
        <v>1245</v>
      </c>
      <c r="B241" s="1">
        <v>29.0</v>
      </c>
      <c r="C241" s="2" t="s">
        <v>1232</v>
      </c>
      <c r="D241" s="1">
        <v>960400.0</v>
      </c>
      <c r="E241" s="1">
        <v>130.846</v>
      </c>
      <c r="F241" s="1">
        <v>29049.0</v>
      </c>
      <c r="G241" s="1">
        <v>2.90499604E10</v>
      </c>
      <c r="H241" s="1" t="s">
        <v>112</v>
      </c>
      <c r="I241" s="1" t="s">
        <v>113</v>
      </c>
      <c r="J241" s="1" t="s">
        <v>1233</v>
      </c>
      <c r="K241" s="1" t="s">
        <v>1246</v>
      </c>
      <c r="L241" s="1">
        <v>4457.0</v>
      </c>
      <c r="M241" s="1">
        <v>4448.0</v>
      </c>
      <c r="N241" s="1">
        <v>308.0</v>
      </c>
      <c r="O241" s="1">
        <v>1826.0</v>
      </c>
      <c r="P241" s="1">
        <v>1862.0</v>
      </c>
      <c r="Q241" s="1">
        <v>92.0</v>
      </c>
      <c r="R241" s="1">
        <v>1702.0</v>
      </c>
      <c r="S241" s="1">
        <v>410.0</v>
      </c>
      <c r="T241" s="1">
        <v>148.0</v>
      </c>
      <c r="U241" s="1">
        <v>153.0</v>
      </c>
      <c r="V241" s="1">
        <v>347.0</v>
      </c>
      <c r="W241" s="1">
        <v>25634.0</v>
      </c>
      <c r="X241" s="1">
        <v>1716.0</v>
      </c>
      <c r="Y241" s="1">
        <v>251.0</v>
      </c>
      <c r="Z241" s="1">
        <v>266.0</v>
      </c>
      <c r="AA241" s="1">
        <v>672.0</v>
      </c>
      <c r="AB241" s="1">
        <v>1078.0</v>
      </c>
      <c r="AC241" s="1">
        <v>145.0</v>
      </c>
      <c r="AD241" s="1">
        <v>181.0</v>
      </c>
      <c r="AE241" s="1">
        <v>13.0</v>
      </c>
      <c r="AF241" s="1">
        <v>442.0</v>
      </c>
      <c r="AG241" s="1">
        <v>5.0</v>
      </c>
      <c r="AH241" s="1">
        <v>161.0</v>
      </c>
      <c r="AI241" s="1">
        <v>146.0</v>
      </c>
      <c r="AJ241" s="1">
        <v>59.0</v>
      </c>
      <c r="AK241" s="1">
        <v>25.0</v>
      </c>
      <c r="AL241" s="1">
        <v>117.0</v>
      </c>
      <c r="AM241" s="1">
        <v>41.0</v>
      </c>
      <c r="AN241" s="1">
        <v>26.0</v>
      </c>
      <c r="AO241" s="1">
        <v>67.0</v>
      </c>
      <c r="AP241" s="1">
        <v>0.095017</v>
      </c>
      <c r="AQ241" s="1">
        <v>0.033736</v>
      </c>
      <c r="AR241" s="1">
        <v>0.065023</v>
      </c>
      <c r="AS241" s="1">
        <v>0.147367</v>
      </c>
      <c r="AT241" s="1">
        <v>25634.0</v>
      </c>
      <c r="AU241" s="1">
        <v>1716.0</v>
      </c>
      <c r="AV241" s="1">
        <v>0.085665</v>
      </c>
      <c r="AW241" s="1">
        <v>0.090614</v>
      </c>
      <c r="AX241" s="1">
        <v>0.150774</v>
      </c>
      <c r="AY241" s="1">
        <v>0.241866</v>
      </c>
      <c r="AZ241" s="1">
        <v>0.08519388</v>
      </c>
      <c r="BA241" s="1">
        <v>0.04061</v>
      </c>
      <c r="BB241" s="1">
        <v>0.003053</v>
      </c>
      <c r="BC241" s="1">
        <v>0.103804</v>
      </c>
      <c r="BD241" s="1">
        <v>0.002685</v>
      </c>
      <c r="BE241" s="1">
        <v>0.086466</v>
      </c>
      <c r="BF241" s="1">
        <v>0.07841</v>
      </c>
      <c r="BG241" s="1">
        <v>0.031448</v>
      </c>
      <c r="BH241" s="1">
        <v>0.014705</v>
      </c>
      <c r="BI241" s="1">
        <v>0.068816</v>
      </c>
      <c r="BJ241" s="1">
        <v>0.024117</v>
      </c>
      <c r="BK241" s="1">
        <v>0.015211</v>
      </c>
      <c r="BL241" s="1">
        <v>0.015032</v>
      </c>
      <c r="BM241" s="1">
        <v>0.356</v>
      </c>
      <c r="BN241" s="1">
        <v>0.471</v>
      </c>
      <c r="BO241" s="1">
        <v>0.3235</v>
      </c>
      <c r="BP241" s="1">
        <v>0.274</v>
      </c>
      <c r="BQ241" s="1">
        <v>1.4245</v>
      </c>
      <c r="BR241" s="1">
        <v>0.3199</v>
      </c>
      <c r="BS241" s="1">
        <v>0.586</v>
      </c>
      <c r="BT241" s="1">
        <v>0.512</v>
      </c>
      <c r="BU241" s="1">
        <v>0.358</v>
      </c>
      <c r="BV241" s="1">
        <v>1.456</v>
      </c>
      <c r="BW241" s="1">
        <v>0.441</v>
      </c>
      <c r="BX241" s="1">
        <v>0.167</v>
      </c>
      <c r="BY241" s="1">
        <v>0.453</v>
      </c>
      <c r="BZ241" s="1">
        <v>0.62</v>
      </c>
      <c r="CA241" s="1">
        <v>0.284</v>
      </c>
      <c r="CB241" s="1">
        <v>0.282</v>
      </c>
      <c r="CC241" s="1">
        <v>0.674</v>
      </c>
      <c r="CD241" s="1">
        <v>0.587</v>
      </c>
      <c r="CE241" s="1">
        <v>0.23</v>
      </c>
      <c r="CF241" s="1">
        <v>0.647</v>
      </c>
      <c r="CG241" s="1">
        <v>2.42</v>
      </c>
      <c r="CH241" s="1">
        <v>0.525</v>
      </c>
      <c r="CI241" s="1">
        <v>5.9205</v>
      </c>
      <c r="CJ241" s="1">
        <v>0.3581</v>
      </c>
      <c r="CK241" s="1">
        <v>0.0</v>
      </c>
      <c r="CL241" s="1">
        <v>0.0</v>
      </c>
      <c r="CM241" s="1">
        <v>0.0</v>
      </c>
      <c r="CN241" s="1">
        <v>0.0</v>
      </c>
      <c r="CO241" s="1">
        <v>0.0</v>
      </c>
      <c r="CP241" s="1">
        <v>0.0</v>
      </c>
      <c r="CQ241" s="1">
        <v>0.0</v>
      </c>
      <c r="CR241" s="1">
        <v>0.0</v>
      </c>
      <c r="CS241" s="1">
        <v>0.0</v>
      </c>
      <c r="CT241" s="1">
        <v>0.0</v>
      </c>
      <c r="CU241" s="1">
        <v>0.0</v>
      </c>
      <c r="CV241" s="1">
        <v>0.0</v>
      </c>
      <c r="CW241" s="1">
        <v>0.0</v>
      </c>
      <c r="CX241" s="1">
        <v>0.0</v>
      </c>
      <c r="CY241" s="1">
        <v>0.0</v>
      </c>
      <c r="CZ241" s="1">
        <v>0.0</v>
      </c>
      <c r="DA241" s="1">
        <v>0.0</v>
      </c>
      <c r="DB241" s="1">
        <v>0.0</v>
      </c>
      <c r="DC241" s="1">
        <v>0.0</v>
      </c>
      <c r="DD241" s="1" t="s">
        <v>1247</v>
      </c>
      <c r="DE241" s="1">
        <v>0.0366095637348461</v>
      </c>
      <c r="DF241" s="2" t="s">
        <v>1248</v>
      </c>
    </row>
    <row r="242" ht="15.75" customHeight="1">
      <c r="A242" s="1" t="s">
        <v>1249</v>
      </c>
      <c r="B242" s="1">
        <v>29.0</v>
      </c>
      <c r="C242" s="2" t="s">
        <v>1250</v>
      </c>
      <c r="D242" s="2" t="s">
        <v>1251</v>
      </c>
      <c r="E242" s="1">
        <v>1.593</v>
      </c>
      <c r="F242" s="1">
        <v>29051.0</v>
      </c>
      <c r="G242" s="1">
        <v>2.90510106E10</v>
      </c>
      <c r="H242" s="1" t="s">
        <v>112</v>
      </c>
      <c r="I242" s="1" t="s">
        <v>113</v>
      </c>
      <c r="J242" s="1" t="s">
        <v>1252</v>
      </c>
      <c r="K242" s="1" t="s">
        <v>1253</v>
      </c>
      <c r="L242" s="1">
        <v>3731.0</v>
      </c>
      <c r="M242" s="1">
        <v>4046.0</v>
      </c>
      <c r="N242" s="1">
        <v>423.0</v>
      </c>
      <c r="O242" s="1">
        <v>1995.0</v>
      </c>
      <c r="P242" s="1">
        <v>2129.0</v>
      </c>
      <c r="Q242" s="1">
        <v>175.0</v>
      </c>
      <c r="R242" s="1">
        <v>1849.0</v>
      </c>
      <c r="S242" s="1">
        <v>976.0</v>
      </c>
      <c r="T242" s="1">
        <v>283.0</v>
      </c>
      <c r="U242" s="1">
        <v>89.0</v>
      </c>
      <c r="V242" s="1">
        <v>431.0</v>
      </c>
      <c r="W242" s="1">
        <v>21048.0</v>
      </c>
      <c r="X242" s="1">
        <v>2567.0</v>
      </c>
      <c r="Y242" s="1">
        <v>529.0</v>
      </c>
      <c r="Z242" s="1">
        <v>225.0</v>
      </c>
      <c r="AA242" s="1">
        <v>680.0</v>
      </c>
      <c r="AB242" s="1">
        <v>848.0</v>
      </c>
      <c r="AC242" s="1">
        <v>258.0</v>
      </c>
      <c r="AD242" s="1">
        <v>1224.0</v>
      </c>
      <c r="AE242" s="1">
        <v>33.0</v>
      </c>
      <c r="AF242" s="1">
        <v>412.0</v>
      </c>
      <c r="AG242" s="1">
        <v>696.0</v>
      </c>
      <c r="AH242" s="1">
        <v>148.0</v>
      </c>
      <c r="AI242" s="1">
        <v>32.0</v>
      </c>
      <c r="AJ242" s="1">
        <v>30.0</v>
      </c>
      <c r="AK242" s="1">
        <v>33.0</v>
      </c>
      <c r="AL242" s="1">
        <v>119.0</v>
      </c>
      <c r="AM242" s="1">
        <v>346.0</v>
      </c>
      <c r="AN242" s="1">
        <v>118.0</v>
      </c>
      <c r="AO242" s="1">
        <v>155.0</v>
      </c>
      <c r="AP242" s="1">
        <v>0.255363</v>
      </c>
      <c r="AQ242" s="1">
        <v>0.068923</v>
      </c>
      <c r="AR242" s="1">
        <v>0.04928</v>
      </c>
      <c r="AS242" s="1">
        <v>0.238532</v>
      </c>
      <c r="AT242" s="1">
        <v>21048.0</v>
      </c>
      <c r="AU242" s="1">
        <v>2567.0</v>
      </c>
      <c r="AV242" s="1">
        <v>0.201908</v>
      </c>
      <c r="AW242" s="1">
        <v>0.082856</v>
      </c>
      <c r="AX242" s="1">
        <v>0.182256</v>
      </c>
      <c r="AY242" s="1">
        <v>0.227284</v>
      </c>
      <c r="AZ242" s="1">
        <v>0.13953488</v>
      </c>
      <c r="BA242" s="1">
        <v>0.328062</v>
      </c>
      <c r="BB242" s="1">
        <v>0.009018</v>
      </c>
      <c r="BC242" s="1">
        <v>0.112594</v>
      </c>
      <c r="BD242" s="1">
        <v>0.326914</v>
      </c>
      <c r="BE242" s="1">
        <v>0.064112</v>
      </c>
      <c r="BF242" s="1">
        <v>0.01503</v>
      </c>
      <c r="BG242" s="1">
        <v>0.014036</v>
      </c>
      <c r="BH242" s="1">
        <v>0.016742</v>
      </c>
      <c r="BI242" s="1">
        <v>0.060344</v>
      </c>
      <c r="BJ242" s="1">
        <v>0.175545</v>
      </c>
      <c r="BK242" s="1">
        <v>0.056318</v>
      </c>
      <c r="BL242" s="1">
        <v>0.041543</v>
      </c>
      <c r="BM242" s="1">
        <v>0.836</v>
      </c>
      <c r="BN242" s="1">
        <v>0.286</v>
      </c>
      <c r="BO242" s="1">
        <v>0.548</v>
      </c>
      <c r="BP242" s="1">
        <v>0.755</v>
      </c>
      <c r="BQ242" s="1">
        <v>2.425</v>
      </c>
      <c r="BR242" s="1">
        <v>0.6397</v>
      </c>
      <c r="BS242" s="1">
        <v>0.806</v>
      </c>
      <c r="BT242" s="1">
        <v>0.363</v>
      </c>
      <c r="BU242" s="1">
        <v>0.756</v>
      </c>
      <c r="BV242" s="1">
        <v>1.925</v>
      </c>
      <c r="BW242" s="1">
        <v>0.817</v>
      </c>
      <c r="BX242" s="1">
        <v>0.807</v>
      </c>
      <c r="BY242" s="1">
        <v>0.697</v>
      </c>
      <c r="BZ242" s="1">
        <v>1.504</v>
      </c>
      <c r="CA242" s="1">
        <v>0.829</v>
      </c>
      <c r="CB242" s="1">
        <v>0.952</v>
      </c>
      <c r="CC242" s="1">
        <v>0.489</v>
      </c>
      <c r="CD242" s="1">
        <v>0.625</v>
      </c>
      <c r="CE242" s="1">
        <v>0.884</v>
      </c>
      <c r="CF242" s="1">
        <v>0.874</v>
      </c>
      <c r="CG242" s="1">
        <v>3.824</v>
      </c>
      <c r="CH242" s="1">
        <v>0.988</v>
      </c>
      <c r="CI242" s="1">
        <v>9.678</v>
      </c>
      <c r="CJ242" s="1">
        <v>0.9235</v>
      </c>
      <c r="CK242" s="1">
        <v>0.0</v>
      </c>
      <c r="CL242" s="1">
        <v>0.0</v>
      </c>
      <c r="CM242" s="1">
        <v>0.0</v>
      </c>
      <c r="CN242" s="1">
        <v>0.0</v>
      </c>
      <c r="CO242" s="1">
        <v>0.0</v>
      </c>
      <c r="CP242" s="1">
        <v>0.0</v>
      </c>
      <c r="CQ242" s="1">
        <v>0.0</v>
      </c>
      <c r="CR242" s="1">
        <v>0.0</v>
      </c>
      <c r="CS242" s="1">
        <v>0.0</v>
      </c>
      <c r="CT242" s="1">
        <v>0.0</v>
      </c>
      <c r="CU242" s="1">
        <v>0.0</v>
      </c>
      <c r="CV242" s="1">
        <v>0.0</v>
      </c>
      <c r="CW242" s="1">
        <v>1.0</v>
      </c>
      <c r="CX242" s="1">
        <v>0.0</v>
      </c>
      <c r="CY242" s="1">
        <v>0.0</v>
      </c>
      <c r="CZ242" s="1">
        <v>0.0</v>
      </c>
      <c r="DA242" s="1">
        <v>0.0</v>
      </c>
      <c r="DB242" s="1">
        <v>1.0</v>
      </c>
      <c r="DC242" s="1">
        <v>1.0</v>
      </c>
      <c r="DD242" s="1" t="s">
        <v>1254</v>
      </c>
      <c r="DE242" s="1">
        <v>4.30499648193794E-4</v>
      </c>
      <c r="DF242" s="1">
        <v>0.0932121849724058</v>
      </c>
    </row>
    <row r="243" ht="15.75" customHeight="1">
      <c r="A243" s="1" t="s">
        <v>1255</v>
      </c>
      <c r="B243" s="1">
        <v>29.0</v>
      </c>
      <c r="C243" s="2" t="s">
        <v>1250</v>
      </c>
      <c r="D243" s="2" t="s">
        <v>1256</v>
      </c>
      <c r="E243" s="1">
        <v>1.201</v>
      </c>
      <c r="F243" s="1">
        <v>29051.0</v>
      </c>
      <c r="G243" s="1">
        <v>2.90510207E10</v>
      </c>
      <c r="H243" s="1" t="s">
        <v>112</v>
      </c>
      <c r="I243" s="1" t="s">
        <v>113</v>
      </c>
      <c r="J243" s="1" t="s">
        <v>1252</v>
      </c>
      <c r="K243" s="1" t="s">
        <v>1257</v>
      </c>
      <c r="L243" s="1">
        <v>2239.0</v>
      </c>
      <c r="M243" s="1">
        <v>2253.0</v>
      </c>
      <c r="N243" s="1">
        <v>375.0</v>
      </c>
      <c r="O243" s="1">
        <v>1515.0</v>
      </c>
      <c r="P243" s="1">
        <v>1569.0</v>
      </c>
      <c r="Q243" s="1">
        <v>138.0</v>
      </c>
      <c r="R243" s="1">
        <v>1139.0</v>
      </c>
      <c r="S243" s="1">
        <v>1043.0</v>
      </c>
      <c r="T243" s="1">
        <v>294.0</v>
      </c>
      <c r="U243" s="1">
        <v>108.0</v>
      </c>
      <c r="V243" s="1">
        <v>447.0</v>
      </c>
      <c r="W243" s="1">
        <v>13134.0</v>
      </c>
      <c r="X243" s="1">
        <v>3247.0</v>
      </c>
      <c r="Y243" s="1">
        <v>240.0</v>
      </c>
      <c r="Z243" s="1">
        <v>297.0</v>
      </c>
      <c r="AA243" s="1">
        <v>142.0</v>
      </c>
      <c r="AB243" s="1">
        <v>556.0</v>
      </c>
      <c r="AC243" s="1">
        <v>201.0</v>
      </c>
      <c r="AD243" s="1">
        <v>1016.0</v>
      </c>
      <c r="AE243" s="1">
        <v>0.0</v>
      </c>
      <c r="AF243" s="1">
        <v>456.0</v>
      </c>
      <c r="AG243" s="1">
        <v>338.0</v>
      </c>
      <c r="AH243" s="1">
        <v>127.0</v>
      </c>
      <c r="AI243" s="1">
        <v>32.0</v>
      </c>
      <c r="AJ243" s="1">
        <v>43.0</v>
      </c>
      <c r="AK243" s="1">
        <v>27.0</v>
      </c>
      <c r="AL243" s="1">
        <v>117.0</v>
      </c>
      <c r="AM243" s="1">
        <v>314.0</v>
      </c>
      <c r="AN243" s="1">
        <v>111.0</v>
      </c>
      <c r="AO243" s="1">
        <v>43.0</v>
      </c>
      <c r="AP243" s="1">
        <v>0.469396</v>
      </c>
      <c r="AQ243" s="1">
        <v>0.106913</v>
      </c>
      <c r="AR243" s="1">
        <v>0.105778</v>
      </c>
      <c r="AS243" s="1">
        <v>0.436766</v>
      </c>
      <c r="AT243" s="1">
        <v>13134.0</v>
      </c>
      <c r="AU243" s="1">
        <v>3247.0</v>
      </c>
      <c r="AV243" s="1">
        <v>0.200166</v>
      </c>
      <c r="AW243" s="1">
        <v>0.24425</v>
      </c>
      <c r="AX243" s="1">
        <v>0.063421</v>
      </c>
      <c r="AY243" s="1">
        <v>0.248325</v>
      </c>
      <c r="AZ243" s="1">
        <v>0.17647058</v>
      </c>
      <c r="BA243" s="1">
        <v>0.453774</v>
      </c>
      <c r="BB243" s="1">
        <v>0.0</v>
      </c>
      <c r="BC243" s="1">
        <v>0.233966</v>
      </c>
      <c r="BD243" s="1">
        <v>0.215423</v>
      </c>
      <c r="BE243" s="1">
        <v>0.078694</v>
      </c>
      <c r="BF243" s="1">
        <v>0.020395</v>
      </c>
      <c r="BG243" s="1">
        <v>0.027347</v>
      </c>
      <c r="BH243" s="1">
        <v>0.024</v>
      </c>
      <c r="BI243" s="1">
        <v>0.103927</v>
      </c>
      <c r="BJ243" s="1">
        <v>0.279111</v>
      </c>
      <c r="BK243" s="1">
        <v>0.087728</v>
      </c>
      <c r="BL243" s="1">
        <v>0.019205</v>
      </c>
      <c r="BM243" s="1">
        <v>0.982</v>
      </c>
      <c r="BN243" s="1">
        <v>0.766</v>
      </c>
      <c r="BO243" s="1">
        <v>0.9336</v>
      </c>
      <c r="BP243" s="1">
        <v>0.75</v>
      </c>
      <c r="BQ243" s="1">
        <v>3.4316</v>
      </c>
      <c r="BR243" s="1">
        <v>0.9083</v>
      </c>
      <c r="BS243" s="1">
        <v>0.059</v>
      </c>
      <c r="BT243" s="1">
        <v>0.578</v>
      </c>
      <c r="BU243" s="1">
        <v>0.858</v>
      </c>
      <c r="BV243" s="1">
        <v>1.495</v>
      </c>
      <c r="BW243" s="1">
        <v>0.482</v>
      </c>
      <c r="BX243" s="1">
        <v>0.856</v>
      </c>
      <c r="BY243" s="1">
        <v>0.0</v>
      </c>
      <c r="BZ243" s="1">
        <v>0.856</v>
      </c>
      <c r="CA243" s="1">
        <v>0.441</v>
      </c>
      <c r="CB243" s="1">
        <v>0.902</v>
      </c>
      <c r="CC243" s="1">
        <v>0.513</v>
      </c>
      <c r="CD243" s="1">
        <v>0.743</v>
      </c>
      <c r="CE243" s="1">
        <v>0.96</v>
      </c>
      <c r="CF243" s="1">
        <v>0.697</v>
      </c>
      <c r="CG243" s="1">
        <v>3.815</v>
      </c>
      <c r="CH243" s="1">
        <v>0.987</v>
      </c>
      <c r="CI243" s="1">
        <v>9.5976</v>
      </c>
      <c r="CJ243" s="1">
        <v>0.9155</v>
      </c>
      <c r="CK243" s="1">
        <v>1.0</v>
      </c>
      <c r="CL243" s="1">
        <v>0.0</v>
      </c>
      <c r="CM243" s="1">
        <v>1.0</v>
      </c>
      <c r="CN243" s="1">
        <v>0.0</v>
      </c>
      <c r="CO243" s="1">
        <v>2.0</v>
      </c>
      <c r="CP243" s="1">
        <v>0.0</v>
      </c>
      <c r="CQ243" s="1">
        <v>0.0</v>
      </c>
      <c r="CR243" s="1">
        <v>0.0</v>
      </c>
      <c r="CS243" s="1">
        <v>0.0</v>
      </c>
      <c r="CT243" s="1">
        <v>0.0</v>
      </c>
      <c r="CU243" s="1">
        <v>0.0</v>
      </c>
      <c r="CV243" s="1">
        <v>0.0</v>
      </c>
      <c r="CW243" s="1">
        <v>1.0</v>
      </c>
      <c r="CX243" s="1">
        <v>0.0</v>
      </c>
      <c r="CY243" s="1">
        <v>0.0</v>
      </c>
      <c r="CZ243" s="1">
        <v>1.0</v>
      </c>
      <c r="DA243" s="1">
        <v>0.0</v>
      </c>
      <c r="DB243" s="1">
        <v>2.0</v>
      </c>
      <c r="DC243" s="1">
        <v>4.0</v>
      </c>
      <c r="DD243" s="1" t="s">
        <v>1258</v>
      </c>
      <c r="DE243" s="1">
        <v>3.9941783006988E-4</v>
      </c>
      <c r="DF243" s="2" t="s">
        <v>1259</v>
      </c>
    </row>
    <row r="244" ht="15.75" customHeight="1">
      <c r="A244" s="1" t="s">
        <v>1260</v>
      </c>
      <c r="B244" s="1">
        <v>29.0</v>
      </c>
      <c r="C244" s="2" t="s">
        <v>1250</v>
      </c>
      <c r="D244" s="2" t="s">
        <v>1261</v>
      </c>
      <c r="E244" s="1">
        <v>1.655</v>
      </c>
      <c r="F244" s="1">
        <v>29051.0</v>
      </c>
      <c r="G244" s="1">
        <v>2.90510105E10</v>
      </c>
      <c r="H244" s="1" t="s">
        <v>112</v>
      </c>
      <c r="I244" s="1" t="s">
        <v>113</v>
      </c>
      <c r="J244" s="1" t="s">
        <v>1252</v>
      </c>
      <c r="K244" s="1" t="s">
        <v>1262</v>
      </c>
      <c r="L244" s="1">
        <v>4824.0</v>
      </c>
      <c r="M244" s="1">
        <v>5768.0</v>
      </c>
      <c r="N244" s="1">
        <v>1337.0</v>
      </c>
      <c r="O244" s="1">
        <v>2142.0</v>
      </c>
      <c r="P244" s="1">
        <v>2139.0</v>
      </c>
      <c r="Q244" s="1">
        <v>199.0</v>
      </c>
      <c r="R244" s="1">
        <v>1846.0</v>
      </c>
      <c r="S244" s="1">
        <v>1115.0</v>
      </c>
      <c r="T244" s="1">
        <v>405.0</v>
      </c>
      <c r="U244" s="1">
        <v>136.0</v>
      </c>
      <c r="V244" s="1">
        <v>421.0</v>
      </c>
      <c r="W244" s="1">
        <v>13395.0</v>
      </c>
      <c r="X244" s="1">
        <v>4315.0</v>
      </c>
      <c r="Y244" s="1">
        <v>370.0</v>
      </c>
      <c r="Z244" s="1">
        <v>320.0</v>
      </c>
      <c r="AA244" s="1">
        <v>405.0</v>
      </c>
      <c r="AB244" s="1">
        <v>947.0</v>
      </c>
      <c r="AC244" s="1">
        <v>319.0</v>
      </c>
      <c r="AD244" s="1">
        <v>2280.0</v>
      </c>
      <c r="AE244" s="1">
        <v>55.0</v>
      </c>
      <c r="AF244" s="1">
        <v>397.0</v>
      </c>
      <c r="AG244" s="1">
        <v>123.0</v>
      </c>
      <c r="AH244" s="1">
        <v>184.0</v>
      </c>
      <c r="AI244" s="1">
        <v>13.0</v>
      </c>
      <c r="AJ244" s="1">
        <v>21.0</v>
      </c>
      <c r="AK244" s="1">
        <v>8.0</v>
      </c>
      <c r="AL244" s="1">
        <v>115.0</v>
      </c>
      <c r="AM244" s="1">
        <v>189.0</v>
      </c>
      <c r="AN244" s="1">
        <v>89.0</v>
      </c>
      <c r="AO244" s="1">
        <v>920.0</v>
      </c>
      <c r="AP244" s="1">
        <v>0.319759</v>
      </c>
      <c r="AQ244" s="1">
        <v>0.106394</v>
      </c>
      <c r="AR244" s="1">
        <v>0.062817</v>
      </c>
      <c r="AS244" s="1">
        <v>0.193978</v>
      </c>
      <c r="AT244" s="1">
        <v>13395.0</v>
      </c>
      <c r="AU244" s="1">
        <v>4315.0</v>
      </c>
      <c r="AV244" s="1">
        <v>0.161783</v>
      </c>
      <c r="AW244" s="1">
        <v>0.137649</v>
      </c>
      <c r="AX244" s="1">
        <v>0.083955</v>
      </c>
      <c r="AY244" s="1">
        <v>0.19631</v>
      </c>
      <c r="AZ244" s="1">
        <v>0.17280606</v>
      </c>
      <c r="BA244" s="1">
        <v>0.472636</v>
      </c>
      <c r="BB244" s="1">
        <v>0.010205</v>
      </c>
      <c r="BC244" s="1">
        <v>0.073626</v>
      </c>
      <c r="BD244" s="1">
        <v>0.057503</v>
      </c>
      <c r="BE244" s="1">
        <v>0.085854</v>
      </c>
      <c r="BF244" s="1">
        <v>0.006077</v>
      </c>
      <c r="BG244" s="1">
        <v>0.009801</v>
      </c>
      <c r="BH244" s="1">
        <v>0.004451</v>
      </c>
      <c r="BI244" s="1">
        <v>0.063992</v>
      </c>
      <c r="BJ244" s="1">
        <v>0.105175</v>
      </c>
      <c r="BK244" s="1">
        <v>0.047279</v>
      </c>
      <c r="BL244" s="1">
        <v>0.190713</v>
      </c>
      <c r="BM244" s="1">
        <v>0.901</v>
      </c>
      <c r="BN244" s="1">
        <v>0.446</v>
      </c>
      <c r="BO244" s="1">
        <v>0.9256</v>
      </c>
      <c r="BP244" s="1">
        <v>0.619</v>
      </c>
      <c r="BQ244" s="1">
        <v>2.8916</v>
      </c>
      <c r="BR244" s="1">
        <v>0.7769</v>
      </c>
      <c r="BS244" s="1">
        <v>0.131</v>
      </c>
      <c r="BT244" s="1">
        <v>0.174</v>
      </c>
      <c r="BU244" s="1">
        <v>0.849</v>
      </c>
      <c r="BV244" s="1">
        <v>1.154</v>
      </c>
      <c r="BW244" s="1">
        <v>0.201</v>
      </c>
      <c r="BX244" s="1">
        <v>0.86</v>
      </c>
      <c r="BY244" s="1">
        <v>0.727</v>
      </c>
      <c r="BZ244" s="1">
        <v>1.587</v>
      </c>
      <c r="CA244" s="1">
        <v>0.865</v>
      </c>
      <c r="CB244" s="1">
        <v>0.679</v>
      </c>
      <c r="CC244" s="1">
        <v>0.412</v>
      </c>
      <c r="CD244" s="1">
        <v>0.32</v>
      </c>
      <c r="CE244" s="1">
        <v>0.766</v>
      </c>
      <c r="CF244" s="1">
        <v>0.964</v>
      </c>
      <c r="CG244" s="1">
        <v>3.141</v>
      </c>
      <c r="CH244" s="1">
        <v>0.828</v>
      </c>
      <c r="CI244" s="1">
        <v>8.7736</v>
      </c>
      <c r="CJ244" s="1">
        <v>0.8253</v>
      </c>
      <c r="CK244" s="1">
        <v>1.0</v>
      </c>
      <c r="CL244" s="1">
        <v>0.0</v>
      </c>
      <c r="CM244" s="1">
        <v>1.0</v>
      </c>
      <c r="CN244" s="1">
        <v>0.0</v>
      </c>
      <c r="CO244" s="1">
        <v>2.0</v>
      </c>
      <c r="CP244" s="1">
        <v>0.0</v>
      </c>
      <c r="CQ244" s="1">
        <v>0.0</v>
      </c>
      <c r="CR244" s="1">
        <v>0.0</v>
      </c>
      <c r="CS244" s="1">
        <v>0.0</v>
      </c>
      <c r="CT244" s="1">
        <v>0.0</v>
      </c>
      <c r="CU244" s="1">
        <v>0.0</v>
      </c>
      <c r="CV244" s="1">
        <v>0.0</v>
      </c>
      <c r="CW244" s="1">
        <v>0.0</v>
      </c>
      <c r="CX244" s="1">
        <v>0.0</v>
      </c>
      <c r="CY244" s="1">
        <v>0.0</v>
      </c>
      <c r="CZ244" s="1">
        <v>0.0</v>
      </c>
      <c r="DA244" s="1">
        <v>1.0</v>
      </c>
      <c r="DB244" s="1">
        <v>1.0</v>
      </c>
      <c r="DC244" s="1">
        <v>3.0</v>
      </c>
      <c r="DD244" s="1" t="s">
        <v>1263</v>
      </c>
      <c r="DE244" s="1">
        <v>4.41979753337882E-4</v>
      </c>
      <c r="DF244" s="2" t="s">
        <v>1264</v>
      </c>
    </row>
    <row r="245" ht="15.75" customHeight="1">
      <c r="A245" s="1" t="s">
        <v>1265</v>
      </c>
      <c r="B245" s="1">
        <v>29.0</v>
      </c>
      <c r="C245" s="2" t="s">
        <v>1250</v>
      </c>
      <c r="D245" s="2" t="s">
        <v>1003</v>
      </c>
      <c r="E245" s="1">
        <v>64.804</v>
      </c>
      <c r="F245" s="1">
        <v>29051.0</v>
      </c>
      <c r="G245" s="1">
        <v>2.90510205E10</v>
      </c>
      <c r="H245" s="1" t="s">
        <v>112</v>
      </c>
      <c r="I245" s="1" t="s">
        <v>113</v>
      </c>
      <c r="J245" s="1" t="s">
        <v>1252</v>
      </c>
      <c r="K245" s="1" t="s">
        <v>1266</v>
      </c>
      <c r="L245" s="1">
        <v>2786.0</v>
      </c>
      <c r="M245" s="1">
        <v>2785.0</v>
      </c>
      <c r="N245" s="1">
        <v>184.0</v>
      </c>
      <c r="O245" s="1">
        <v>1202.0</v>
      </c>
      <c r="P245" s="1">
        <v>1245.0</v>
      </c>
      <c r="Q245" s="1">
        <v>65.0</v>
      </c>
      <c r="R245" s="1">
        <v>1072.0</v>
      </c>
      <c r="S245" s="1">
        <v>142.0</v>
      </c>
      <c r="T245" s="1">
        <v>67.0</v>
      </c>
      <c r="U245" s="1">
        <v>59.0</v>
      </c>
      <c r="V245" s="1">
        <v>413.0</v>
      </c>
      <c r="W245" s="1">
        <v>25033.0</v>
      </c>
      <c r="X245" s="1">
        <v>2315.0</v>
      </c>
      <c r="Y245" s="1">
        <v>149.0</v>
      </c>
      <c r="Z245" s="1">
        <v>261.0</v>
      </c>
      <c r="AA245" s="1">
        <v>347.0</v>
      </c>
      <c r="AB245" s="1">
        <v>718.0</v>
      </c>
      <c r="AC245" s="1">
        <v>110.0</v>
      </c>
      <c r="AD245" s="1">
        <v>59.0</v>
      </c>
      <c r="AE245" s="1">
        <v>0.0</v>
      </c>
      <c r="AF245" s="1">
        <v>456.0</v>
      </c>
      <c r="AG245" s="1">
        <v>8.0</v>
      </c>
      <c r="AH245" s="1">
        <v>162.0</v>
      </c>
      <c r="AI245" s="1">
        <v>80.0</v>
      </c>
      <c r="AJ245" s="1">
        <v>52.0</v>
      </c>
      <c r="AK245" s="1">
        <v>24.0</v>
      </c>
      <c r="AL245" s="1">
        <v>117.0</v>
      </c>
      <c r="AM245" s="1">
        <v>27.0</v>
      </c>
      <c r="AN245" s="1">
        <v>23.0</v>
      </c>
      <c r="AO245" s="1">
        <v>0.0</v>
      </c>
      <c r="AP245" s="1">
        <v>0.051097</v>
      </c>
      <c r="AQ245" s="1">
        <v>0.023873</v>
      </c>
      <c r="AR245" s="1">
        <v>0.040136</v>
      </c>
      <c r="AS245" s="1">
        <v>0.280891</v>
      </c>
      <c r="AT245" s="1">
        <v>25033.0</v>
      </c>
      <c r="AU245" s="1">
        <v>2315.0</v>
      </c>
      <c r="AV245" s="1">
        <v>0.083008</v>
      </c>
      <c r="AW245" s="1">
        <v>0.145265</v>
      </c>
      <c r="AX245" s="1">
        <v>0.124551</v>
      </c>
      <c r="AY245" s="1">
        <v>0.257717</v>
      </c>
      <c r="AZ245" s="1">
        <v>0.10261194</v>
      </c>
      <c r="BA245" s="1">
        <v>0.021177</v>
      </c>
      <c r="BB245" s="1">
        <v>0.0</v>
      </c>
      <c r="BC245" s="1">
        <v>0.176334</v>
      </c>
      <c r="BD245" s="1">
        <v>0.006425</v>
      </c>
      <c r="BE245" s="1">
        <v>0.13012</v>
      </c>
      <c r="BF245" s="1">
        <v>0.064257</v>
      </c>
      <c r="BG245" s="1">
        <v>0.041632</v>
      </c>
      <c r="BH245" s="1">
        <v>0.021778</v>
      </c>
      <c r="BI245" s="1">
        <v>0.106162</v>
      </c>
      <c r="BJ245" s="1">
        <v>0.0245</v>
      </c>
      <c r="BK245" s="1">
        <v>0.020816</v>
      </c>
      <c r="BL245" s="1">
        <v>0.0</v>
      </c>
      <c r="BM245" s="1">
        <v>0.17</v>
      </c>
      <c r="BN245" s="1">
        <v>0.181</v>
      </c>
      <c r="BO245" s="1">
        <v>0.3473</v>
      </c>
      <c r="BP245" s="1">
        <v>0.258</v>
      </c>
      <c r="BQ245" s="1">
        <v>0.9563</v>
      </c>
      <c r="BR245" s="1">
        <v>0.1899</v>
      </c>
      <c r="BS245" s="1">
        <v>0.376</v>
      </c>
      <c r="BT245" s="1">
        <v>0.681</v>
      </c>
      <c r="BU245" s="1">
        <v>0.515</v>
      </c>
      <c r="BV245" s="1">
        <v>1.572</v>
      </c>
      <c r="BW245" s="1">
        <v>0.543</v>
      </c>
      <c r="BX245" s="1">
        <v>0.023</v>
      </c>
      <c r="BY245" s="1">
        <v>0.0</v>
      </c>
      <c r="BZ245" s="1">
        <v>0.023</v>
      </c>
      <c r="CA245" s="1">
        <v>0.012</v>
      </c>
      <c r="CB245" s="1">
        <v>0.343</v>
      </c>
      <c r="CC245" s="1">
        <v>0.635</v>
      </c>
      <c r="CD245" s="1">
        <v>0.706</v>
      </c>
      <c r="CE245" s="1">
        <v>0.233</v>
      </c>
      <c r="CF245" s="1">
        <v>0.0</v>
      </c>
      <c r="CG245" s="1">
        <v>1.917</v>
      </c>
      <c r="CH245" s="1">
        <v>0.31</v>
      </c>
      <c r="CI245" s="1">
        <v>4.4683</v>
      </c>
      <c r="CJ245" s="1">
        <v>0.1314</v>
      </c>
      <c r="CK245" s="1">
        <v>0.0</v>
      </c>
      <c r="CL245" s="1">
        <v>0.0</v>
      </c>
      <c r="CM245" s="1">
        <v>0.0</v>
      </c>
      <c r="CN245" s="1">
        <v>0.0</v>
      </c>
      <c r="CO245" s="1">
        <v>0.0</v>
      </c>
      <c r="CP245" s="1">
        <v>0.0</v>
      </c>
      <c r="CQ245" s="1">
        <v>0.0</v>
      </c>
      <c r="CR245" s="1">
        <v>0.0</v>
      </c>
      <c r="CS245" s="1">
        <v>0.0</v>
      </c>
      <c r="CT245" s="1">
        <v>0.0</v>
      </c>
      <c r="CU245" s="1">
        <v>0.0</v>
      </c>
      <c r="CV245" s="1">
        <v>0.0</v>
      </c>
      <c r="CW245" s="1">
        <v>0.0</v>
      </c>
      <c r="CX245" s="1">
        <v>0.0</v>
      </c>
      <c r="CY245" s="1">
        <v>0.0</v>
      </c>
      <c r="CZ245" s="1">
        <v>0.0</v>
      </c>
      <c r="DA245" s="1">
        <v>0.0</v>
      </c>
      <c r="DB245" s="1">
        <v>0.0</v>
      </c>
      <c r="DC245" s="1">
        <v>0.0</v>
      </c>
      <c r="DD245" s="1" t="s">
        <v>1267</v>
      </c>
      <c r="DE245" s="1">
        <v>0.0173471011049203</v>
      </c>
      <c r="DF245" s="2" t="s">
        <v>1268</v>
      </c>
    </row>
    <row r="246" ht="15.75" customHeight="1">
      <c r="A246" s="1" t="s">
        <v>1269</v>
      </c>
      <c r="B246" s="1">
        <v>29.0</v>
      </c>
      <c r="C246" s="2" t="s">
        <v>1250</v>
      </c>
      <c r="D246" s="2" t="s">
        <v>1270</v>
      </c>
      <c r="E246" s="1">
        <v>63.991</v>
      </c>
      <c r="F246" s="1">
        <v>29051.0</v>
      </c>
      <c r="G246" s="1">
        <v>2.90510206E10</v>
      </c>
      <c r="H246" s="1" t="s">
        <v>112</v>
      </c>
      <c r="I246" s="1" t="s">
        <v>113</v>
      </c>
      <c r="J246" s="1" t="s">
        <v>1252</v>
      </c>
      <c r="K246" s="1" t="s">
        <v>1271</v>
      </c>
      <c r="L246" s="1">
        <v>4021.0</v>
      </c>
      <c r="M246" s="1">
        <v>4221.0</v>
      </c>
      <c r="N246" s="1">
        <v>226.0</v>
      </c>
      <c r="O246" s="1">
        <v>1703.0</v>
      </c>
      <c r="P246" s="1">
        <v>1781.0</v>
      </c>
      <c r="Q246" s="1">
        <v>105.0</v>
      </c>
      <c r="R246" s="1">
        <v>1573.0</v>
      </c>
      <c r="S246" s="1">
        <v>392.0</v>
      </c>
      <c r="T246" s="1">
        <v>204.0</v>
      </c>
      <c r="U246" s="1">
        <v>98.0</v>
      </c>
      <c r="V246" s="1">
        <v>344.0</v>
      </c>
      <c r="W246" s="1">
        <v>25593.0</v>
      </c>
      <c r="X246" s="1">
        <v>1809.0</v>
      </c>
      <c r="Y246" s="1">
        <v>397.0</v>
      </c>
      <c r="Z246" s="1">
        <v>226.0</v>
      </c>
      <c r="AA246" s="1">
        <v>528.0</v>
      </c>
      <c r="AB246" s="1">
        <v>994.0</v>
      </c>
      <c r="AC246" s="1">
        <v>131.0</v>
      </c>
      <c r="AD246" s="1">
        <v>182.0</v>
      </c>
      <c r="AE246" s="1">
        <v>31.0</v>
      </c>
      <c r="AF246" s="1">
        <v>428.0</v>
      </c>
      <c r="AG246" s="1">
        <v>3.0</v>
      </c>
      <c r="AH246" s="1">
        <v>161.0</v>
      </c>
      <c r="AI246" s="1">
        <v>172.0</v>
      </c>
      <c r="AJ246" s="1">
        <v>73.0</v>
      </c>
      <c r="AK246" s="1">
        <v>6.0</v>
      </c>
      <c r="AL246" s="1">
        <v>114.0</v>
      </c>
      <c r="AM246" s="1">
        <v>61.0</v>
      </c>
      <c r="AN246" s="1">
        <v>34.0</v>
      </c>
      <c r="AO246" s="1">
        <v>0.0</v>
      </c>
      <c r="AP246" s="1">
        <v>0.092979</v>
      </c>
      <c r="AQ246" s="1">
        <v>0.048129</v>
      </c>
      <c r="AR246" s="1">
        <v>0.044363</v>
      </c>
      <c r="AS246" s="1">
        <v>0.15568</v>
      </c>
      <c r="AT246" s="1">
        <v>25593.0</v>
      </c>
      <c r="AU246" s="1">
        <v>1809.0</v>
      </c>
      <c r="AV246" s="1">
        <v>0.140381</v>
      </c>
      <c r="AW246" s="1">
        <v>0.079473</v>
      </c>
      <c r="AX246" s="1">
        <v>0.13131</v>
      </c>
      <c r="AY246" s="1">
        <v>0.247202</v>
      </c>
      <c r="AZ246" s="1">
        <v>0.08328035</v>
      </c>
      <c r="BA246" s="1">
        <v>0.045262</v>
      </c>
      <c r="BB246" s="1">
        <v>0.007736</v>
      </c>
      <c r="BC246" s="1">
        <v>0.106812</v>
      </c>
      <c r="BD246" s="1">
        <v>0.001684</v>
      </c>
      <c r="BE246" s="1">
        <v>0.090398</v>
      </c>
      <c r="BF246" s="1">
        <v>0.096574</v>
      </c>
      <c r="BG246" s="1">
        <v>0.04059</v>
      </c>
      <c r="BH246" s="1">
        <v>0.003623</v>
      </c>
      <c r="BI246" s="1">
        <v>0.06884</v>
      </c>
      <c r="BJ246" s="1">
        <v>0.036835</v>
      </c>
      <c r="BK246" s="1">
        <v>0.020398</v>
      </c>
      <c r="BL246" s="1">
        <v>0.0</v>
      </c>
      <c r="BM246" s="1">
        <v>0.349</v>
      </c>
      <c r="BN246" s="1">
        <v>0.231</v>
      </c>
      <c r="BO246" s="1">
        <v>0.3242</v>
      </c>
      <c r="BP246" s="1">
        <v>0.523</v>
      </c>
      <c r="BQ246" s="1">
        <v>1.4272</v>
      </c>
      <c r="BR246" s="1">
        <v>0.3213</v>
      </c>
      <c r="BS246" s="1">
        <v>0.429</v>
      </c>
      <c r="BT246" s="1">
        <v>0.568</v>
      </c>
      <c r="BU246" s="1">
        <v>0.341</v>
      </c>
      <c r="BV246" s="1">
        <v>1.338</v>
      </c>
      <c r="BW246" s="1">
        <v>0.334</v>
      </c>
      <c r="BX246" s="1">
        <v>0.215</v>
      </c>
      <c r="BY246" s="1">
        <v>0.657</v>
      </c>
      <c r="BZ246" s="1">
        <v>0.872</v>
      </c>
      <c r="CA246" s="1">
        <v>0.446</v>
      </c>
      <c r="CB246" s="1">
        <v>0.266</v>
      </c>
      <c r="CC246" s="1">
        <v>0.707</v>
      </c>
      <c r="CD246" s="1">
        <v>0.303</v>
      </c>
      <c r="CE246" s="1">
        <v>0.357</v>
      </c>
      <c r="CF246" s="1">
        <v>0.0</v>
      </c>
      <c r="CG246" s="1">
        <v>1.633</v>
      </c>
      <c r="CH246" s="1">
        <v>0.212</v>
      </c>
      <c r="CI246" s="1">
        <v>5.2702</v>
      </c>
      <c r="CJ246" s="1">
        <v>0.2397</v>
      </c>
      <c r="CK246" s="1">
        <v>0.0</v>
      </c>
      <c r="CL246" s="1">
        <v>0.0</v>
      </c>
      <c r="CM246" s="1">
        <v>0.0</v>
      </c>
      <c r="CN246" s="1">
        <v>0.0</v>
      </c>
      <c r="CO246" s="1">
        <v>0.0</v>
      </c>
      <c r="CP246" s="1">
        <v>0.0</v>
      </c>
      <c r="CQ246" s="1">
        <v>0.0</v>
      </c>
      <c r="CR246" s="1">
        <v>0.0</v>
      </c>
      <c r="CS246" s="1">
        <v>0.0</v>
      </c>
      <c r="CT246" s="1">
        <v>0.0</v>
      </c>
      <c r="CU246" s="1">
        <v>0.0</v>
      </c>
      <c r="CV246" s="1">
        <v>0.0</v>
      </c>
      <c r="CW246" s="1">
        <v>0.0</v>
      </c>
      <c r="CX246" s="1">
        <v>0.0</v>
      </c>
      <c r="CY246" s="1">
        <v>0.0</v>
      </c>
      <c r="CZ246" s="1">
        <v>0.0</v>
      </c>
      <c r="DA246" s="1">
        <v>0.0</v>
      </c>
      <c r="DB246" s="1">
        <v>0.0</v>
      </c>
      <c r="DC246" s="1">
        <v>0.0</v>
      </c>
      <c r="DD246" s="1" t="s">
        <v>1272</v>
      </c>
      <c r="DE246" s="2" t="s">
        <v>1273</v>
      </c>
      <c r="DF246" s="2" t="s">
        <v>1274</v>
      </c>
    </row>
    <row r="247" ht="15.75" customHeight="1">
      <c r="A247" s="1" t="s">
        <v>1275</v>
      </c>
      <c r="B247" s="1">
        <v>29.0</v>
      </c>
      <c r="C247" s="2" t="s">
        <v>1250</v>
      </c>
      <c r="D247" s="2" t="s">
        <v>156</v>
      </c>
      <c r="E247" s="1">
        <v>3.788</v>
      </c>
      <c r="F247" s="1">
        <v>29051.0</v>
      </c>
      <c r="G247" s="1">
        <v>2.90510103E10</v>
      </c>
      <c r="H247" s="1" t="s">
        <v>112</v>
      </c>
      <c r="I247" s="1" t="s">
        <v>113</v>
      </c>
      <c r="J247" s="1" t="s">
        <v>1252</v>
      </c>
      <c r="K247" s="1" t="s">
        <v>1276</v>
      </c>
      <c r="L247" s="1">
        <v>4927.0</v>
      </c>
      <c r="M247" s="1">
        <v>4859.0</v>
      </c>
      <c r="N247" s="1">
        <v>406.0</v>
      </c>
      <c r="O247" s="1">
        <v>2280.0</v>
      </c>
      <c r="P247" s="1">
        <v>2222.0</v>
      </c>
      <c r="Q247" s="1">
        <v>147.0</v>
      </c>
      <c r="R247" s="1">
        <v>2157.0</v>
      </c>
      <c r="S247" s="1">
        <v>386.0</v>
      </c>
      <c r="T247" s="1">
        <v>314.0</v>
      </c>
      <c r="U247" s="1">
        <v>123.0</v>
      </c>
      <c r="V247" s="1">
        <v>418.0</v>
      </c>
      <c r="W247" s="1">
        <v>27759.0</v>
      </c>
      <c r="X247" s="1">
        <v>2905.0</v>
      </c>
      <c r="Y247" s="1">
        <v>258.0</v>
      </c>
      <c r="Z247" s="1">
        <v>274.0</v>
      </c>
      <c r="AA247" s="1">
        <v>727.0</v>
      </c>
      <c r="AB247" s="1">
        <v>1084.0</v>
      </c>
      <c r="AC247" s="1">
        <v>237.0</v>
      </c>
      <c r="AD247" s="1">
        <v>801.0</v>
      </c>
      <c r="AE247" s="1">
        <v>42.0</v>
      </c>
      <c r="AF247" s="1">
        <v>446.0</v>
      </c>
      <c r="AG247" s="1">
        <v>11.0</v>
      </c>
      <c r="AH247" s="1">
        <v>162.0</v>
      </c>
      <c r="AI247" s="1">
        <v>20.0</v>
      </c>
      <c r="AJ247" s="1">
        <v>35.0</v>
      </c>
      <c r="AK247" s="1">
        <v>0.0</v>
      </c>
      <c r="AL247" s="1">
        <v>161.0</v>
      </c>
      <c r="AM247" s="1">
        <v>78.0</v>
      </c>
      <c r="AN247" s="1">
        <v>59.0</v>
      </c>
      <c r="AO247" s="1">
        <v>35.0</v>
      </c>
      <c r="AP247" s="1">
        <v>0.07944</v>
      </c>
      <c r="AQ247" s="1">
        <v>0.06428</v>
      </c>
      <c r="AR247" s="1">
        <v>0.045878</v>
      </c>
      <c r="AS247" s="1">
        <v>0.155815</v>
      </c>
      <c r="AT247" s="1">
        <v>27759.0</v>
      </c>
      <c r="AU247" s="1">
        <v>2905.0</v>
      </c>
      <c r="AV247" s="1">
        <v>0.077291</v>
      </c>
      <c r="AW247" s="1">
        <v>0.081919</v>
      </c>
      <c r="AX247" s="1">
        <v>0.147554</v>
      </c>
      <c r="AY247" s="1">
        <v>0.220012</v>
      </c>
      <c r="AZ247" s="1">
        <v>0.10987482</v>
      </c>
      <c r="BA247" s="1">
        <v>0.162573</v>
      </c>
      <c r="BB247" s="1">
        <v>0.009148</v>
      </c>
      <c r="BC247" s="1">
        <v>0.097143</v>
      </c>
      <c r="BD247" s="1">
        <v>0.00495</v>
      </c>
      <c r="BE247" s="1">
        <v>0.072906</v>
      </c>
      <c r="BF247" s="1">
        <v>0.009</v>
      </c>
      <c r="BG247" s="1">
        <v>0.01574</v>
      </c>
      <c r="BH247" s="1">
        <v>0.0</v>
      </c>
      <c r="BI247" s="1">
        <v>0.074193</v>
      </c>
      <c r="BJ247" s="1">
        <v>0.035944</v>
      </c>
      <c r="BK247" s="1">
        <v>0.027076</v>
      </c>
      <c r="BL247" s="1">
        <v>0.007103</v>
      </c>
      <c r="BM247" s="1">
        <v>0.29</v>
      </c>
      <c r="BN247" s="1">
        <v>0.249</v>
      </c>
      <c r="BO247" s="1">
        <v>0.2599</v>
      </c>
      <c r="BP247" s="1">
        <v>0.235</v>
      </c>
      <c r="BQ247" s="1">
        <v>1.0339</v>
      </c>
      <c r="BR247" s="1">
        <v>0.2079</v>
      </c>
      <c r="BS247" s="1">
        <v>0.559</v>
      </c>
      <c r="BT247" s="1">
        <v>0.3</v>
      </c>
      <c r="BU247" s="1">
        <v>0.586</v>
      </c>
      <c r="BV247" s="1">
        <v>1.445</v>
      </c>
      <c r="BW247" s="1">
        <v>0.433</v>
      </c>
      <c r="BX247" s="1">
        <v>0.656</v>
      </c>
      <c r="BY247" s="1">
        <v>0.7</v>
      </c>
      <c r="BZ247" s="1">
        <v>1.356</v>
      </c>
      <c r="CA247" s="1">
        <v>0.742</v>
      </c>
      <c r="CB247" s="1">
        <v>0.315</v>
      </c>
      <c r="CC247" s="1">
        <v>0.452</v>
      </c>
      <c r="CD247" s="1">
        <v>0.0</v>
      </c>
      <c r="CE247" s="1">
        <v>0.341</v>
      </c>
      <c r="CF247" s="1">
        <v>0.539</v>
      </c>
      <c r="CG247" s="1">
        <v>1.647</v>
      </c>
      <c r="CH247" s="1">
        <v>0.216</v>
      </c>
      <c r="CI247" s="1">
        <v>5.4819</v>
      </c>
      <c r="CJ247" s="1">
        <v>0.278</v>
      </c>
      <c r="CK247" s="1">
        <v>0.0</v>
      </c>
      <c r="CL247" s="1">
        <v>0.0</v>
      </c>
      <c r="CM247" s="1">
        <v>0.0</v>
      </c>
      <c r="CN247" s="1">
        <v>0.0</v>
      </c>
      <c r="CO247" s="1">
        <v>0.0</v>
      </c>
      <c r="CP247" s="1">
        <v>0.0</v>
      </c>
      <c r="CQ247" s="1">
        <v>0.0</v>
      </c>
      <c r="CR247" s="1">
        <v>0.0</v>
      </c>
      <c r="CS247" s="1">
        <v>0.0</v>
      </c>
      <c r="CT247" s="1">
        <v>0.0</v>
      </c>
      <c r="CU247" s="1">
        <v>0.0</v>
      </c>
      <c r="CV247" s="1">
        <v>0.0</v>
      </c>
      <c r="CW247" s="1">
        <v>0.0</v>
      </c>
      <c r="CX247" s="1">
        <v>0.0</v>
      </c>
      <c r="CY247" s="1">
        <v>0.0</v>
      </c>
      <c r="CZ247" s="1">
        <v>0.0</v>
      </c>
      <c r="DA247" s="1">
        <v>0.0</v>
      </c>
      <c r="DB247" s="1">
        <v>0.0</v>
      </c>
      <c r="DC247" s="1">
        <v>0.0</v>
      </c>
      <c r="DD247" s="1" t="s">
        <v>1277</v>
      </c>
      <c r="DE247" s="1">
        <v>0.00111297850032428</v>
      </c>
      <c r="DF247" s="2" t="s">
        <v>1278</v>
      </c>
    </row>
    <row r="248" ht="15.75" customHeight="1">
      <c r="A248" s="1" t="s">
        <v>1279</v>
      </c>
      <c r="B248" s="1">
        <v>29.0</v>
      </c>
      <c r="C248" s="2" t="s">
        <v>1250</v>
      </c>
      <c r="D248" s="2" t="s">
        <v>161</v>
      </c>
      <c r="E248" s="1">
        <v>12.319</v>
      </c>
      <c r="F248" s="1">
        <v>29051.0</v>
      </c>
      <c r="G248" s="1">
        <v>2.90510104E10</v>
      </c>
      <c r="H248" s="1" t="s">
        <v>112</v>
      </c>
      <c r="I248" s="1" t="s">
        <v>113</v>
      </c>
      <c r="J248" s="1" t="s">
        <v>1252</v>
      </c>
      <c r="K248" s="1" t="s">
        <v>1280</v>
      </c>
      <c r="L248" s="1">
        <v>6896.0</v>
      </c>
      <c r="M248" s="1">
        <v>6711.0</v>
      </c>
      <c r="N248" s="1">
        <v>467.0</v>
      </c>
      <c r="O248" s="1">
        <v>3021.0</v>
      </c>
      <c r="P248" s="1">
        <v>2985.0</v>
      </c>
      <c r="Q248" s="1">
        <v>152.0</v>
      </c>
      <c r="R248" s="1">
        <v>2869.0</v>
      </c>
      <c r="S248" s="1">
        <v>426.0</v>
      </c>
      <c r="T248" s="1">
        <v>230.0</v>
      </c>
      <c r="U248" s="1">
        <v>186.0</v>
      </c>
      <c r="V248" s="1">
        <v>414.0</v>
      </c>
      <c r="W248" s="1">
        <v>30105.0</v>
      </c>
      <c r="X248" s="1">
        <v>3155.0</v>
      </c>
      <c r="Y248" s="1">
        <v>414.0</v>
      </c>
      <c r="Z248" s="1">
        <v>291.0</v>
      </c>
      <c r="AA248" s="1">
        <v>866.0</v>
      </c>
      <c r="AB248" s="1">
        <v>1678.0</v>
      </c>
      <c r="AC248" s="1">
        <v>304.0</v>
      </c>
      <c r="AD248" s="1">
        <v>791.0</v>
      </c>
      <c r="AE248" s="1">
        <v>12.0</v>
      </c>
      <c r="AF248" s="1">
        <v>442.0</v>
      </c>
      <c r="AG248" s="1">
        <v>47.0</v>
      </c>
      <c r="AH248" s="1">
        <v>174.0</v>
      </c>
      <c r="AI248" s="1">
        <v>69.0</v>
      </c>
      <c r="AJ248" s="1">
        <v>70.0</v>
      </c>
      <c r="AK248" s="1">
        <v>0.0</v>
      </c>
      <c r="AL248" s="1">
        <v>161.0</v>
      </c>
      <c r="AM248" s="1">
        <v>76.0</v>
      </c>
      <c r="AN248" s="1">
        <v>50.0</v>
      </c>
      <c r="AO248" s="1">
        <v>11.0</v>
      </c>
      <c r="AP248" s="1">
        <v>0.063743</v>
      </c>
      <c r="AQ248" s="1">
        <v>0.034126</v>
      </c>
      <c r="AR248" s="1">
        <v>0.048998</v>
      </c>
      <c r="AS248" s="1">
        <v>0.108962</v>
      </c>
      <c r="AT248" s="1">
        <v>30105.0</v>
      </c>
      <c r="AU248" s="1">
        <v>3155.0</v>
      </c>
      <c r="AV248" s="1">
        <v>0.090511</v>
      </c>
      <c r="AW248" s="1">
        <v>0.063335</v>
      </c>
      <c r="AX248" s="1">
        <v>0.12558</v>
      </c>
      <c r="AY248" s="1">
        <v>0.243329</v>
      </c>
      <c r="AZ248" s="1">
        <v>0.10596026</v>
      </c>
      <c r="BA248" s="1">
        <v>0.114704</v>
      </c>
      <c r="BB248" s="1">
        <v>0.001945</v>
      </c>
      <c r="BC248" s="1">
        <v>0.071648</v>
      </c>
      <c r="BD248" s="1">
        <v>0.015745</v>
      </c>
      <c r="BE248" s="1">
        <v>0.058285000000000003</v>
      </c>
      <c r="BF248" s="1">
        <v>0.023115</v>
      </c>
      <c r="BG248" s="1">
        <v>0.023421</v>
      </c>
      <c r="BH248" s="1">
        <v>0.0</v>
      </c>
      <c r="BI248" s="1">
        <v>0.058227</v>
      </c>
      <c r="BJ248" s="1">
        <v>0.027486</v>
      </c>
      <c r="BK248" s="1">
        <v>0.017996</v>
      </c>
      <c r="BL248" s="1">
        <v>0.001595</v>
      </c>
      <c r="BM248" s="1">
        <v>0.22</v>
      </c>
      <c r="BN248" s="1">
        <v>0.285</v>
      </c>
      <c r="BO248" s="1">
        <v>0.1964</v>
      </c>
      <c r="BP248" s="1">
        <v>0.296</v>
      </c>
      <c r="BQ248" s="1">
        <v>0.9974</v>
      </c>
      <c r="BR248" s="1">
        <v>0.2</v>
      </c>
      <c r="BS248" s="1">
        <v>0.384</v>
      </c>
      <c r="BT248" s="1">
        <v>0.528</v>
      </c>
      <c r="BU248" s="1">
        <v>0.551</v>
      </c>
      <c r="BV248" s="1">
        <v>1.463</v>
      </c>
      <c r="BW248" s="1">
        <v>0.448</v>
      </c>
      <c r="BX248" s="1">
        <v>0.52</v>
      </c>
      <c r="BY248" s="1">
        <v>0.379</v>
      </c>
      <c r="BZ248" s="1">
        <v>0.899</v>
      </c>
      <c r="CA248" s="1">
        <v>0.466</v>
      </c>
      <c r="CB248" s="1">
        <v>0.433</v>
      </c>
      <c r="CC248" s="1">
        <v>0.528</v>
      </c>
      <c r="CD248" s="1">
        <v>0.0</v>
      </c>
      <c r="CE248" s="1">
        <v>0.263</v>
      </c>
      <c r="CF248" s="1">
        <v>0.429</v>
      </c>
      <c r="CG248" s="1">
        <v>1.653</v>
      </c>
      <c r="CH248" s="1">
        <v>0.217</v>
      </c>
      <c r="CI248" s="1">
        <v>5.0124</v>
      </c>
      <c r="CJ248" s="1">
        <v>0.2043</v>
      </c>
      <c r="CK248" s="1">
        <v>0.0</v>
      </c>
      <c r="CL248" s="1">
        <v>0.0</v>
      </c>
      <c r="CM248" s="1">
        <v>0.0</v>
      </c>
      <c r="CN248" s="1">
        <v>0.0</v>
      </c>
      <c r="CO248" s="1">
        <v>0.0</v>
      </c>
      <c r="CP248" s="1">
        <v>0.0</v>
      </c>
      <c r="CQ248" s="1">
        <v>0.0</v>
      </c>
      <c r="CR248" s="1">
        <v>0.0</v>
      </c>
      <c r="CS248" s="1">
        <v>0.0</v>
      </c>
      <c r="CT248" s="1">
        <v>0.0</v>
      </c>
      <c r="CU248" s="1">
        <v>0.0</v>
      </c>
      <c r="CV248" s="1">
        <v>0.0</v>
      </c>
      <c r="CW248" s="1">
        <v>0.0</v>
      </c>
      <c r="CX248" s="1">
        <v>0.0</v>
      </c>
      <c r="CY248" s="1">
        <v>0.0</v>
      </c>
      <c r="CZ248" s="1">
        <v>0.0</v>
      </c>
      <c r="DA248" s="1">
        <v>0.0</v>
      </c>
      <c r="DB248" s="1">
        <v>0.0</v>
      </c>
      <c r="DC248" s="1">
        <v>0.0</v>
      </c>
      <c r="DD248" s="1" t="s">
        <v>1281</v>
      </c>
      <c r="DE248" s="1">
        <v>0.00335375631475053</v>
      </c>
      <c r="DF248" s="2" t="s">
        <v>1282</v>
      </c>
    </row>
    <row r="249" ht="15.75" customHeight="1">
      <c r="A249" s="1" t="s">
        <v>1283</v>
      </c>
      <c r="B249" s="1">
        <v>29.0</v>
      </c>
      <c r="C249" s="2" t="s">
        <v>1250</v>
      </c>
      <c r="D249" s="2" t="s">
        <v>1284</v>
      </c>
      <c r="E249" s="1">
        <v>9.478</v>
      </c>
      <c r="F249" s="1">
        <v>29051.0</v>
      </c>
      <c r="G249" s="1">
        <v>2.9051010701E10</v>
      </c>
      <c r="H249" s="1" t="s">
        <v>112</v>
      </c>
      <c r="I249" s="1" t="s">
        <v>113</v>
      </c>
      <c r="J249" s="1" t="s">
        <v>1252</v>
      </c>
      <c r="K249" s="1" t="s">
        <v>1285</v>
      </c>
      <c r="L249" s="1">
        <v>5344.0</v>
      </c>
      <c r="M249" s="1">
        <v>5332.0</v>
      </c>
      <c r="N249" s="1">
        <v>407.0</v>
      </c>
      <c r="O249" s="1">
        <v>2410.0</v>
      </c>
      <c r="P249" s="1">
        <v>2301.0</v>
      </c>
      <c r="Q249" s="1">
        <v>130.0</v>
      </c>
      <c r="R249" s="1">
        <v>2281.0</v>
      </c>
      <c r="S249" s="1">
        <v>141.0</v>
      </c>
      <c r="T249" s="1">
        <v>129.0</v>
      </c>
      <c r="U249" s="1">
        <v>95.0</v>
      </c>
      <c r="V249" s="1">
        <v>447.0</v>
      </c>
      <c r="W249" s="1">
        <v>35003.0</v>
      </c>
      <c r="X249" s="1">
        <v>5801.0</v>
      </c>
      <c r="Y249" s="1">
        <v>172.0</v>
      </c>
      <c r="Z249" s="1">
        <v>350.0</v>
      </c>
      <c r="AA249" s="1">
        <v>718.0</v>
      </c>
      <c r="AB249" s="1">
        <v>1308.0</v>
      </c>
      <c r="AC249" s="1">
        <v>220.0</v>
      </c>
      <c r="AD249" s="1">
        <v>756.0</v>
      </c>
      <c r="AE249" s="1">
        <v>51.0</v>
      </c>
      <c r="AF249" s="1">
        <v>430.0</v>
      </c>
      <c r="AG249" s="1">
        <v>105.0</v>
      </c>
      <c r="AH249" s="1">
        <v>188.0</v>
      </c>
      <c r="AI249" s="1">
        <v>0.0</v>
      </c>
      <c r="AJ249" s="1">
        <v>114.0</v>
      </c>
      <c r="AK249" s="1">
        <v>52.0</v>
      </c>
      <c r="AL249" s="1">
        <v>131.0</v>
      </c>
      <c r="AM249" s="1">
        <v>34.0</v>
      </c>
      <c r="AN249" s="1">
        <v>38.0</v>
      </c>
      <c r="AO249" s="1">
        <v>40.0</v>
      </c>
      <c r="AP249" s="1">
        <v>0.026444</v>
      </c>
      <c r="AQ249" s="1">
        <v>0.024109</v>
      </c>
      <c r="AR249" s="1">
        <v>0.032646</v>
      </c>
      <c r="AS249" s="1">
        <v>0.153553</v>
      </c>
      <c r="AT249" s="1">
        <v>35003.0</v>
      </c>
      <c r="AU249" s="1">
        <v>5801.0</v>
      </c>
      <c r="AV249" s="1">
        <v>0.047937</v>
      </c>
      <c r="AW249" s="1">
        <v>0.09745</v>
      </c>
      <c r="AX249" s="1">
        <v>0.134356</v>
      </c>
      <c r="AY249" s="1">
        <v>0.24476</v>
      </c>
      <c r="AZ249" s="1">
        <v>0.09644892</v>
      </c>
      <c r="BA249" s="1">
        <v>0.141467</v>
      </c>
      <c r="BB249" s="1">
        <v>0.010389</v>
      </c>
      <c r="BC249" s="1">
        <v>0.08759</v>
      </c>
      <c r="BD249" s="1">
        <v>0.045632</v>
      </c>
      <c r="BE249" s="1">
        <v>0.081662</v>
      </c>
      <c r="BF249" s="1">
        <v>0.0</v>
      </c>
      <c r="BG249" s="1">
        <v>0.049543</v>
      </c>
      <c r="BH249" s="1">
        <v>0.023561</v>
      </c>
      <c r="BI249" s="1">
        <v>0.059332</v>
      </c>
      <c r="BJ249" s="1">
        <v>0.015405</v>
      </c>
      <c r="BK249" s="1">
        <v>0.017182</v>
      </c>
      <c r="BL249" s="1">
        <v>0.007485</v>
      </c>
      <c r="BM249" s="1">
        <v>0.076</v>
      </c>
      <c r="BN249" s="1">
        <v>0.11</v>
      </c>
      <c r="BO249" s="1">
        <v>0.1141</v>
      </c>
      <c r="BP249" s="1">
        <v>0.122</v>
      </c>
      <c r="BQ249" s="1">
        <v>0.4221</v>
      </c>
      <c r="BR249" s="1">
        <v>0.0433</v>
      </c>
      <c r="BS249" s="1">
        <v>0.451</v>
      </c>
      <c r="BT249" s="1">
        <v>0.544</v>
      </c>
      <c r="BU249" s="1">
        <v>0.461</v>
      </c>
      <c r="BV249" s="1">
        <v>1.456</v>
      </c>
      <c r="BW249" s="1">
        <v>0.443</v>
      </c>
      <c r="BX249" s="1">
        <v>0.597</v>
      </c>
      <c r="BY249" s="1">
        <v>0.731</v>
      </c>
      <c r="BZ249" s="1">
        <v>1.328</v>
      </c>
      <c r="CA249" s="1">
        <v>0.725</v>
      </c>
      <c r="CB249" s="1">
        <v>0.635</v>
      </c>
      <c r="CC249" s="1">
        <v>0.0</v>
      </c>
      <c r="CD249" s="1">
        <v>0.738</v>
      </c>
      <c r="CE249" s="1">
        <v>0.139</v>
      </c>
      <c r="CF249" s="1">
        <v>0.543</v>
      </c>
      <c r="CG249" s="1">
        <v>2.055</v>
      </c>
      <c r="CH249" s="1">
        <v>0.364</v>
      </c>
      <c r="CI249" s="1">
        <v>5.2611</v>
      </c>
      <c r="CJ249" s="1">
        <v>0.2375</v>
      </c>
      <c r="CK249" s="1">
        <v>0.0</v>
      </c>
      <c r="CL249" s="1">
        <v>0.0</v>
      </c>
      <c r="CM249" s="1">
        <v>0.0</v>
      </c>
      <c r="CN249" s="1">
        <v>0.0</v>
      </c>
      <c r="CO249" s="1">
        <v>0.0</v>
      </c>
      <c r="CP249" s="1">
        <v>0.0</v>
      </c>
      <c r="CQ249" s="1">
        <v>0.0</v>
      </c>
      <c r="CR249" s="1">
        <v>0.0</v>
      </c>
      <c r="CS249" s="1">
        <v>0.0</v>
      </c>
      <c r="CT249" s="1">
        <v>0.0</v>
      </c>
      <c r="CU249" s="1">
        <v>0.0</v>
      </c>
      <c r="CV249" s="1">
        <v>0.0</v>
      </c>
      <c r="CW249" s="1">
        <v>0.0</v>
      </c>
      <c r="CX249" s="1">
        <v>0.0</v>
      </c>
      <c r="CY249" s="1">
        <v>0.0</v>
      </c>
      <c r="CZ249" s="1">
        <v>0.0</v>
      </c>
      <c r="DA249" s="1">
        <v>0.0</v>
      </c>
      <c r="DB249" s="1">
        <v>0.0</v>
      </c>
      <c r="DC249" s="1">
        <v>0.0</v>
      </c>
      <c r="DD249" s="1" t="s">
        <v>1286</v>
      </c>
      <c r="DE249" s="1">
        <v>0.00254931513727618</v>
      </c>
      <c r="DF249" s="2" t="s">
        <v>1287</v>
      </c>
    </row>
    <row r="250" ht="15.75" customHeight="1">
      <c r="A250" s="1" t="s">
        <v>1288</v>
      </c>
      <c r="B250" s="1">
        <v>29.0</v>
      </c>
      <c r="C250" s="2" t="s">
        <v>1250</v>
      </c>
      <c r="D250" s="2" t="s">
        <v>1289</v>
      </c>
      <c r="E250" s="1">
        <v>3.604</v>
      </c>
      <c r="F250" s="1">
        <v>29051.0</v>
      </c>
      <c r="G250" s="1">
        <v>2.9051010702E10</v>
      </c>
      <c r="H250" s="1" t="s">
        <v>112</v>
      </c>
      <c r="I250" s="1" t="s">
        <v>113</v>
      </c>
      <c r="J250" s="1" t="s">
        <v>1252</v>
      </c>
      <c r="K250" s="1" t="s">
        <v>1290</v>
      </c>
      <c r="L250" s="1">
        <v>4787.0</v>
      </c>
      <c r="M250" s="1">
        <v>4560.0</v>
      </c>
      <c r="N250" s="1">
        <v>448.0</v>
      </c>
      <c r="O250" s="1">
        <v>2056.0</v>
      </c>
      <c r="P250" s="1">
        <v>2034.0</v>
      </c>
      <c r="Q250" s="1">
        <v>100.0</v>
      </c>
      <c r="R250" s="1">
        <v>1958.0</v>
      </c>
      <c r="S250" s="1">
        <v>203.0</v>
      </c>
      <c r="T250" s="1">
        <v>100.0</v>
      </c>
      <c r="U250" s="1">
        <v>71.0</v>
      </c>
      <c r="V250" s="1">
        <v>444.0</v>
      </c>
      <c r="W250" s="1">
        <v>31399.0</v>
      </c>
      <c r="X250" s="1">
        <v>4030.0</v>
      </c>
      <c r="Y250" s="1">
        <v>151.0</v>
      </c>
      <c r="Z250" s="1">
        <v>330.0</v>
      </c>
      <c r="AA250" s="1">
        <v>738.0</v>
      </c>
      <c r="AB250" s="1">
        <v>1137.0</v>
      </c>
      <c r="AC250" s="1">
        <v>204.0</v>
      </c>
      <c r="AD250" s="1">
        <v>662.0</v>
      </c>
      <c r="AE250" s="1">
        <v>14.0</v>
      </c>
      <c r="AF250" s="1">
        <v>442.0</v>
      </c>
      <c r="AG250" s="1">
        <v>12.0</v>
      </c>
      <c r="AH250" s="1">
        <v>162.0</v>
      </c>
      <c r="AI250" s="1">
        <v>23.0</v>
      </c>
      <c r="AJ250" s="1">
        <v>25.0</v>
      </c>
      <c r="AK250" s="1">
        <v>0.0</v>
      </c>
      <c r="AL250" s="1">
        <v>161.0</v>
      </c>
      <c r="AM250" s="1">
        <v>65.0</v>
      </c>
      <c r="AN250" s="1">
        <v>45.0</v>
      </c>
      <c r="AO250" s="1">
        <v>76.0</v>
      </c>
      <c r="AP250" s="1">
        <v>0.045792</v>
      </c>
      <c r="AQ250" s="1">
        <v>0.022108</v>
      </c>
      <c r="AR250" s="1">
        <v>0.029583</v>
      </c>
      <c r="AS250" s="1">
        <v>0.184964</v>
      </c>
      <c r="AT250" s="1">
        <v>31399.0</v>
      </c>
      <c r="AU250" s="1">
        <v>4030.0</v>
      </c>
      <c r="AV250" s="1">
        <v>0.048475</v>
      </c>
      <c r="AW250" s="1">
        <v>0.105864</v>
      </c>
      <c r="AX250" s="1">
        <v>0.154167</v>
      </c>
      <c r="AY250" s="1">
        <v>0.237518</v>
      </c>
      <c r="AZ250" s="1">
        <v>0.10418794</v>
      </c>
      <c r="BA250" s="1">
        <v>0.138291</v>
      </c>
      <c r="BB250" s="1">
        <v>0.003292</v>
      </c>
      <c r="BC250" s="1">
        <v>0.10395</v>
      </c>
      <c r="BD250" s="1">
        <v>0.005899</v>
      </c>
      <c r="BE250" s="1">
        <v>0.079645</v>
      </c>
      <c r="BF250" s="1">
        <v>0.011307</v>
      </c>
      <c r="BG250" s="1">
        <v>0.012278</v>
      </c>
      <c r="BH250" s="1">
        <v>0.0</v>
      </c>
      <c r="BI250" s="1">
        <v>0.088219</v>
      </c>
      <c r="BJ250" s="1">
        <v>0.035616</v>
      </c>
      <c r="BK250" s="1">
        <v>0.024516</v>
      </c>
      <c r="BL250" s="1">
        <v>0.015876</v>
      </c>
      <c r="BM250" s="1">
        <v>0.148</v>
      </c>
      <c r="BN250" s="1">
        <v>0.084</v>
      </c>
      <c r="BO250" s="1">
        <v>0.1697</v>
      </c>
      <c r="BP250" s="1">
        <v>0.124</v>
      </c>
      <c r="BQ250" s="1">
        <v>0.5257</v>
      </c>
      <c r="BR250" s="1">
        <v>0.0744</v>
      </c>
      <c r="BS250" s="1">
        <v>0.611</v>
      </c>
      <c r="BT250" s="1">
        <v>0.468</v>
      </c>
      <c r="BU250" s="1">
        <v>0.533</v>
      </c>
      <c r="BV250" s="1">
        <v>1.612</v>
      </c>
      <c r="BW250" s="1">
        <v>0.576</v>
      </c>
      <c r="BX250" s="1">
        <v>0.585</v>
      </c>
      <c r="BY250" s="1">
        <v>0.467</v>
      </c>
      <c r="BZ250" s="1">
        <v>1.052</v>
      </c>
      <c r="CA250" s="1">
        <v>0.586</v>
      </c>
      <c r="CB250" s="1">
        <v>0.335</v>
      </c>
      <c r="CC250" s="1">
        <v>0.469</v>
      </c>
      <c r="CD250" s="1">
        <v>0.0</v>
      </c>
      <c r="CE250" s="1">
        <v>0.34</v>
      </c>
      <c r="CF250" s="1">
        <v>0.66</v>
      </c>
      <c r="CG250" s="1">
        <v>1.804</v>
      </c>
      <c r="CH250" s="1">
        <v>0.269</v>
      </c>
      <c r="CI250" s="1">
        <v>4.9937</v>
      </c>
      <c r="CJ250" s="1">
        <v>0.2007</v>
      </c>
      <c r="CK250" s="1">
        <v>0.0</v>
      </c>
      <c r="CL250" s="1">
        <v>0.0</v>
      </c>
      <c r="CM250" s="1">
        <v>0.0</v>
      </c>
      <c r="CN250" s="1">
        <v>0.0</v>
      </c>
      <c r="CO250" s="1">
        <v>0.0</v>
      </c>
      <c r="CP250" s="1">
        <v>0.0</v>
      </c>
      <c r="CQ250" s="1">
        <v>0.0</v>
      </c>
      <c r="CR250" s="1">
        <v>0.0</v>
      </c>
      <c r="CS250" s="1">
        <v>0.0</v>
      </c>
      <c r="CT250" s="1">
        <v>0.0</v>
      </c>
      <c r="CU250" s="1">
        <v>0.0</v>
      </c>
      <c r="CV250" s="1">
        <v>0.0</v>
      </c>
      <c r="CW250" s="1">
        <v>0.0</v>
      </c>
      <c r="CX250" s="1">
        <v>0.0</v>
      </c>
      <c r="CY250" s="1">
        <v>0.0</v>
      </c>
      <c r="CZ250" s="1">
        <v>0.0</v>
      </c>
      <c r="DA250" s="1">
        <v>0.0</v>
      </c>
      <c r="DB250" s="1">
        <v>0.0</v>
      </c>
      <c r="DC250" s="1">
        <v>0.0</v>
      </c>
      <c r="DD250" s="1" t="s">
        <v>1291</v>
      </c>
      <c r="DE250" s="1">
        <v>9.67483464622091E-4</v>
      </c>
      <c r="DF250" s="2" t="s">
        <v>1292</v>
      </c>
    </row>
    <row r="251" ht="15.75" customHeight="1">
      <c r="A251" s="1" t="s">
        <v>1293</v>
      </c>
      <c r="B251" s="1">
        <v>29.0</v>
      </c>
      <c r="C251" s="2" t="s">
        <v>1250</v>
      </c>
      <c r="D251" s="2" t="s">
        <v>1294</v>
      </c>
      <c r="E251" s="1">
        <v>11.251</v>
      </c>
      <c r="F251" s="1">
        <v>29051.0</v>
      </c>
      <c r="G251" s="1">
        <v>2.90510108E10</v>
      </c>
      <c r="H251" s="1" t="s">
        <v>112</v>
      </c>
      <c r="I251" s="1" t="s">
        <v>113</v>
      </c>
      <c r="J251" s="1" t="s">
        <v>1252</v>
      </c>
      <c r="K251" s="1" t="s">
        <v>1295</v>
      </c>
      <c r="L251" s="1">
        <v>8853.0</v>
      </c>
      <c r="M251" s="1">
        <v>8197.0</v>
      </c>
      <c r="N251" s="1">
        <v>650.0</v>
      </c>
      <c r="O251" s="1">
        <v>3774.0</v>
      </c>
      <c r="P251" s="1">
        <v>3616.0</v>
      </c>
      <c r="Q251" s="1">
        <v>136.0</v>
      </c>
      <c r="R251" s="1">
        <v>3604.0</v>
      </c>
      <c r="S251" s="1">
        <v>629.0</v>
      </c>
      <c r="T251" s="1">
        <v>346.0</v>
      </c>
      <c r="U251" s="1">
        <v>164.0</v>
      </c>
      <c r="V251" s="1">
        <v>387.0</v>
      </c>
      <c r="W251" s="1">
        <v>30380.0</v>
      </c>
      <c r="X251" s="1">
        <v>2417.0</v>
      </c>
      <c r="Y251" s="1">
        <v>301.0</v>
      </c>
      <c r="Z251" s="1">
        <v>326.0</v>
      </c>
      <c r="AA251" s="1">
        <v>1387.0</v>
      </c>
      <c r="AB251" s="1">
        <v>2172.0</v>
      </c>
      <c r="AC251" s="1">
        <v>351.0</v>
      </c>
      <c r="AD251" s="1">
        <v>1145.0</v>
      </c>
      <c r="AE251" s="1">
        <v>27.0</v>
      </c>
      <c r="AF251" s="1">
        <v>442.0</v>
      </c>
      <c r="AG251" s="1">
        <v>159.0</v>
      </c>
      <c r="AH251" s="1">
        <v>100.0</v>
      </c>
      <c r="AI251" s="1">
        <v>81.0</v>
      </c>
      <c r="AJ251" s="1">
        <v>46.0</v>
      </c>
      <c r="AK251" s="1">
        <v>28.0</v>
      </c>
      <c r="AL251" s="1">
        <v>121.0</v>
      </c>
      <c r="AM251" s="1">
        <v>130.0</v>
      </c>
      <c r="AN251" s="1">
        <v>77.0</v>
      </c>
      <c r="AO251" s="1">
        <v>166.0</v>
      </c>
      <c r="AP251" s="1">
        <v>0.076885</v>
      </c>
      <c r="AQ251" s="1">
        <v>0.041852</v>
      </c>
      <c r="AR251" s="1">
        <v>0.038779</v>
      </c>
      <c r="AS251" s="1">
        <v>0.091431</v>
      </c>
      <c r="AT251" s="1">
        <v>30380.0</v>
      </c>
      <c r="AU251" s="1">
        <v>2417.0</v>
      </c>
      <c r="AV251" s="1">
        <v>0.052797</v>
      </c>
      <c r="AW251" s="1">
        <v>0.057041</v>
      </c>
      <c r="AX251" s="1">
        <v>0.15667</v>
      </c>
      <c r="AY251" s="1">
        <v>0.24534</v>
      </c>
      <c r="AZ251" s="1">
        <v>0.09739178</v>
      </c>
      <c r="BA251" s="1">
        <v>0.129334</v>
      </c>
      <c r="BB251" s="1">
        <v>0.003499</v>
      </c>
      <c r="BC251" s="1">
        <v>0.05729</v>
      </c>
      <c r="BD251" s="1">
        <v>0.043971</v>
      </c>
      <c r="BE251" s="1">
        <v>0.027605</v>
      </c>
      <c r="BF251" s="1">
        <v>0.0224</v>
      </c>
      <c r="BG251" s="1">
        <v>0.012693</v>
      </c>
      <c r="BH251" s="1">
        <v>0.008262</v>
      </c>
      <c r="BI251" s="1">
        <v>0.035701</v>
      </c>
      <c r="BJ251" s="1">
        <v>0.038359</v>
      </c>
      <c r="BK251" s="1">
        <v>0.022634</v>
      </c>
      <c r="BL251" s="1">
        <v>0.01875</v>
      </c>
      <c r="BM251" s="1">
        <v>0.279</v>
      </c>
      <c r="BN251" s="1">
        <v>0.171</v>
      </c>
      <c r="BO251" s="1">
        <v>0.1884</v>
      </c>
      <c r="BP251" s="1">
        <v>0.138</v>
      </c>
      <c r="BQ251" s="1">
        <v>0.7764</v>
      </c>
      <c r="BR251" s="1">
        <v>0.1509</v>
      </c>
      <c r="BS251" s="1">
        <v>0.642</v>
      </c>
      <c r="BT251" s="1">
        <v>0.55</v>
      </c>
      <c r="BU251" s="1">
        <v>0.47</v>
      </c>
      <c r="BV251" s="1">
        <v>1.662</v>
      </c>
      <c r="BW251" s="1">
        <v>0.61</v>
      </c>
      <c r="BX251" s="1">
        <v>0.56</v>
      </c>
      <c r="BY251" s="1">
        <v>0.482</v>
      </c>
      <c r="BZ251" s="1">
        <v>1.042</v>
      </c>
      <c r="CA251" s="1">
        <v>0.575</v>
      </c>
      <c r="CB251" s="1">
        <v>0.627</v>
      </c>
      <c r="CC251" s="1">
        <v>0.523</v>
      </c>
      <c r="CD251" s="1">
        <v>0.44</v>
      </c>
      <c r="CE251" s="1">
        <v>0.374</v>
      </c>
      <c r="CF251" s="1">
        <v>0.693</v>
      </c>
      <c r="CG251" s="1">
        <v>2.657</v>
      </c>
      <c r="CH251" s="1">
        <v>0.628</v>
      </c>
      <c r="CI251" s="1">
        <v>6.1374</v>
      </c>
      <c r="CJ251" s="1">
        <v>0.3949</v>
      </c>
      <c r="CK251" s="1">
        <v>0.0</v>
      </c>
      <c r="CL251" s="1">
        <v>0.0</v>
      </c>
      <c r="CM251" s="1">
        <v>0.0</v>
      </c>
      <c r="CN251" s="1">
        <v>0.0</v>
      </c>
      <c r="CO251" s="1">
        <v>0.0</v>
      </c>
      <c r="CP251" s="1">
        <v>0.0</v>
      </c>
      <c r="CQ251" s="1">
        <v>0.0</v>
      </c>
      <c r="CR251" s="1">
        <v>0.0</v>
      </c>
      <c r="CS251" s="1">
        <v>0.0</v>
      </c>
      <c r="CT251" s="1">
        <v>0.0</v>
      </c>
      <c r="CU251" s="1">
        <v>0.0</v>
      </c>
      <c r="CV251" s="1">
        <v>0.0</v>
      </c>
      <c r="CW251" s="1">
        <v>0.0</v>
      </c>
      <c r="CX251" s="1">
        <v>0.0</v>
      </c>
      <c r="CY251" s="1">
        <v>0.0</v>
      </c>
      <c r="CZ251" s="1">
        <v>0.0</v>
      </c>
      <c r="DA251" s="1">
        <v>0.0</v>
      </c>
      <c r="DB251" s="1">
        <v>0.0</v>
      </c>
      <c r="DC251" s="1">
        <v>0.0</v>
      </c>
      <c r="DD251" s="1" t="s">
        <v>1296</v>
      </c>
      <c r="DE251" s="1">
        <v>0.00303331994089689</v>
      </c>
      <c r="DF251" s="2" t="s">
        <v>1297</v>
      </c>
    </row>
    <row r="252" ht="15.75" customHeight="1">
      <c r="A252" s="1" t="s">
        <v>1298</v>
      </c>
      <c r="B252" s="1">
        <v>29.0</v>
      </c>
      <c r="C252" s="2" t="s">
        <v>1250</v>
      </c>
      <c r="D252" s="2" t="s">
        <v>1299</v>
      </c>
      <c r="E252" s="1">
        <v>6.636</v>
      </c>
      <c r="F252" s="1">
        <v>29051.0</v>
      </c>
      <c r="G252" s="1">
        <v>2.90510109E10</v>
      </c>
      <c r="H252" s="1" t="s">
        <v>112</v>
      </c>
      <c r="I252" s="1" t="s">
        <v>113</v>
      </c>
      <c r="J252" s="1" t="s">
        <v>1252</v>
      </c>
      <c r="K252" s="1" t="s">
        <v>1300</v>
      </c>
      <c r="L252" s="1">
        <v>6235.0</v>
      </c>
      <c r="M252" s="1">
        <v>6145.0</v>
      </c>
      <c r="N252" s="1">
        <v>618.0</v>
      </c>
      <c r="O252" s="1">
        <v>3078.0</v>
      </c>
      <c r="P252" s="1">
        <v>2965.0</v>
      </c>
      <c r="Q252" s="1">
        <v>121.0</v>
      </c>
      <c r="R252" s="1">
        <v>2833.0</v>
      </c>
      <c r="S252" s="1">
        <v>292.0</v>
      </c>
      <c r="T252" s="1">
        <v>156.0</v>
      </c>
      <c r="U252" s="1">
        <v>116.0</v>
      </c>
      <c r="V252" s="1">
        <v>432.0</v>
      </c>
      <c r="W252" s="1">
        <v>29461.0</v>
      </c>
      <c r="X252" s="1">
        <v>2540.0</v>
      </c>
      <c r="Y252" s="1">
        <v>452.0</v>
      </c>
      <c r="Z252" s="1">
        <v>307.0</v>
      </c>
      <c r="AA252" s="1">
        <v>1008.0</v>
      </c>
      <c r="AB252" s="1">
        <v>1443.0</v>
      </c>
      <c r="AC252" s="1">
        <v>258.0</v>
      </c>
      <c r="AD252" s="1">
        <v>608.0</v>
      </c>
      <c r="AE252" s="1">
        <v>19.0</v>
      </c>
      <c r="AF252" s="1">
        <v>427.0</v>
      </c>
      <c r="AG252" s="1">
        <v>280.0</v>
      </c>
      <c r="AH252" s="1">
        <v>153.0</v>
      </c>
      <c r="AI252" s="1">
        <v>13.0</v>
      </c>
      <c r="AJ252" s="1">
        <v>20.0</v>
      </c>
      <c r="AK252" s="1">
        <v>0.0</v>
      </c>
      <c r="AL252" s="1">
        <v>161.0</v>
      </c>
      <c r="AM252" s="1">
        <v>80.0</v>
      </c>
      <c r="AN252" s="1">
        <v>138.0</v>
      </c>
      <c r="AO252" s="1">
        <v>34.0</v>
      </c>
      <c r="AP252" s="1">
        <v>0.048089</v>
      </c>
      <c r="AQ252" s="1">
        <v>0.025219</v>
      </c>
      <c r="AR252" s="1">
        <v>0.037108</v>
      </c>
      <c r="AS252" s="1">
        <v>0.138137</v>
      </c>
      <c r="AT252" s="1">
        <v>29461.0</v>
      </c>
      <c r="AU252" s="1">
        <v>2540.0</v>
      </c>
      <c r="AV252" s="1">
        <v>0.099581</v>
      </c>
      <c r="AW252" s="1">
        <v>0.066469</v>
      </c>
      <c r="AX252" s="1">
        <v>0.161668</v>
      </c>
      <c r="AY252" s="1">
        <v>0.231435</v>
      </c>
      <c r="AZ252" s="1">
        <v>0.09106953</v>
      </c>
      <c r="BA252" s="1">
        <v>0.097514</v>
      </c>
      <c r="BB252" s="1">
        <v>0.003221</v>
      </c>
      <c r="BC252" s="1">
        <v>0.072408</v>
      </c>
      <c r="BD252" s="1">
        <v>0.094435</v>
      </c>
      <c r="BE252" s="1">
        <v>0.051457</v>
      </c>
      <c r="BF252" s="1">
        <v>0.004384</v>
      </c>
      <c r="BG252" s="1">
        <v>0.006742</v>
      </c>
      <c r="BH252" s="1">
        <v>0.0</v>
      </c>
      <c r="BI252" s="1">
        <v>0.063939</v>
      </c>
      <c r="BJ252" s="1">
        <v>0.031771</v>
      </c>
      <c r="BK252" s="1">
        <v>0.054756</v>
      </c>
      <c r="BL252" s="1">
        <v>0.005453</v>
      </c>
      <c r="BM252" s="1">
        <v>0.158</v>
      </c>
      <c r="BN252" s="1">
        <v>0.158</v>
      </c>
      <c r="BO252" s="1">
        <v>0.2079</v>
      </c>
      <c r="BP252" s="1">
        <v>0.336</v>
      </c>
      <c r="BQ252" s="1">
        <v>0.8599</v>
      </c>
      <c r="BR252" s="1">
        <v>0.1726</v>
      </c>
      <c r="BS252" s="1">
        <v>0.679</v>
      </c>
      <c r="BT252" s="1">
        <v>0.402</v>
      </c>
      <c r="BU252" s="1">
        <v>0.412</v>
      </c>
      <c r="BV252" s="1">
        <v>1.493</v>
      </c>
      <c r="BW252" s="1">
        <v>0.48</v>
      </c>
      <c r="BX252" s="1">
        <v>0.461</v>
      </c>
      <c r="BY252" s="1">
        <v>0.464</v>
      </c>
      <c r="BZ252" s="1">
        <v>0.925</v>
      </c>
      <c r="CA252" s="1">
        <v>0.487</v>
      </c>
      <c r="CB252" s="1">
        <v>0.76</v>
      </c>
      <c r="CC252" s="1">
        <v>0.383</v>
      </c>
      <c r="CD252" s="1">
        <v>0.0</v>
      </c>
      <c r="CE252" s="1">
        <v>0.298</v>
      </c>
      <c r="CF252" s="1">
        <v>0.52</v>
      </c>
      <c r="CG252" s="1">
        <v>1.961</v>
      </c>
      <c r="CH252" s="1">
        <v>0.332</v>
      </c>
      <c r="CI252" s="1">
        <v>5.2389</v>
      </c>
      <c r="CJ252" s="1">
        <v>0.2354</v>
      </c>
      <c r="CK252" s="1">
        <v>0.0</v>
      </c>
      <c r="CL252" s="1">
        <v>0.0</v>
      </c>
      <c r="CM252" s="1">
        <v>0.0</v>
      </c>
      <c r="CN252" s="1">
        <v>0.0</v>
      </c>
      <c r="CO252" s="1">
        <v>0.0</v>
      </c>
      <c r="CP252" s="1">
        <v>0.0</v>
      </c>
      <c r="CQ252" s="1">
        <v>0.0</v>
      </c>
      <c r="CR252" s="1">
        <v>0.0</v>
      </c>
      <c r="CS252" s="1">
        <v>0.0</v>
      </c>
      <c r="CT252" s="1">
        <v>0.0</v>
      </c>
      <c r="CU252" s="1">
        <v>0.0</v>
      </c>
      <c r="CV252" s="1">
        <v>0.0</v>
      </c>
      <c r="CW252" s="1">
        <v>0.0</v>
      </c>
      <c r="CX252" s="1">
        <v>0.0</v>
      </c>
      <c r="CY252" s="1">
        <v>0.0</v>
      </c>
      <c r="CZ252" s="1">
        <v>0.0</v>
      </c>
      <c r="DA252" s="1">
        <v>0.0</v>
      </c>
      <c r="DB252" s="1">
        <v>0.0</v>
      </c>
      <c r="DC252" s="1">
        <v>0.0</v>
      </c>
      <c r="DD252" s="1" t="s">
        <v>1301</v>
      </c>
      <c r="DE252" s="1">
        <v>0.00198026366465287</v>
      </c>
      <c r="DF252" s="2" t="s">
        <v>1302</v>
      </c>
    </row>
    <row r="253" ht="15.75" customHeight="1">
      <c r="A253" s="1" t="s">
        <v>1303</v>
      </c>
      <c r="B253" s="1">
        <v>29.0</v>
      </c>
      <c r="C253" s="2" t="s">
        <v>1250</v>
      </c>
      <c r="D253" s="2" t="s">
        <v>1304</v>
      </c>
      <c r="E253" s="1">
        <v>40.193</v>
      </c>
      <c r="F253" s="1">
        <v>29051.0</v>
      </c>
      <c r="G253" s="1">
        <v>2.9051020198E10</v>
      </c>
      <c r="H253" s="1" t="s">
        <v>112</v>
      </c>
      <c r="I253" s="1" t="s">
        <v>113</v>
      </c>
      <c r="J253" s="1" t="s">
        <v>1252</v>
      </c>
      <c r="K253" s="1" t="s">
        <v>1305</v>
      </c>
      <c r="L253" s="1">
        <v>7324.0</v>
      </c>
      <c r="M253" s="1">
        <v>6071.0</v>
      </c>
      <c r="N253" s="1">
        <v>460.0</v>
      </c>
      <c r="O253" s="1">
        <v>1538.0</v>
      </c>
      <c r="P253" s="1">
        <v>1466.0</v>
      </c>
      <c r="Q253" s="1">
        <v>86.0</v>
      </c>
      <c r="R253" s="1">
        <v>1373.0</v>
      </c>
      <c r="S253" s="1">
        <v>218.0</v>
      </c>
      <c r="T253" s="1">
        <v>165.0</v>
      </c>
      <c r="U253" s="1">
        <v>42.0</v>
      </c>
      <c r="V253" s="1">
        <v>412.0</v>
      </c>
      <c r="W253" s="1">
        <v>18551.0</v>
      </c>
      <c r="X253" s="1">
        <v>1837.0</v>
      </c>
      <c r="Y253" s="1">
        <v>1001.0</v>
      </c>
      <c r="Z253" s="1">
        <v>295.0</v>
      </c>
      <c r="AA253" s="1">
        <v>469.0</v>
      </c>
      <c r="AB253" s="1">
        <v>1080.0</v>
      </c>
      <c r="AC253" s="1">
        <v>97.0</v>
      </c>
      <c r="AD253" s="1">
        <v>1735.0</v>
      </c>
      <c r="AE253" s="1">
        <v>11.0</v>
      </c>
      <c r="AF253" s="1">
        <v>442.0</v>
      </c>
      <c r="AG253" s="1">
        <v>0.0</v>
      </c>
      <c r="AH253" s="1">
        <v>197.0</v>
      </c>
      <c r="AI253" s="1">
        <v>110.0</v>
      </c>
      <c r="AJ253" s="1">
        <v>63.0</v>
      </c>
      <c r="AK253" s="1">
        <v>19.0</v>
      </c>
      <c r="AL253" s="1">
        <v>115.0</v>
      </c>
      <c r="AM253" s="1">
        <v>55.0</v>
      </c>
      <c r="AN253" s="1">
        <v>52.0</v>
      </c>
      <c r="AO253" s="1">
        <v>3488.0</v>
      </c>
      <c r="AP253" s="1">
        <v>0.05351</v>
      </c>
      <c r="AQ253" s="1">
        <v>0.040385</v>
      </c>
      <c r="AR253" s="1">
        <v>0.018608</v>
      </c>
      <c r="AS253" s="1">
        <v>0.182535</v>
      </c>
      <c r="AT253" s="1">
        <v>18551.0</v>
      </c>
      <c r="AU253" s="1">
        <v>1837.0</v>
      </c>
      <c r="AV253" s="1">
        <v>0.234371</v>
      </c>
      <c r="AW253" s="1">
        <v>0.065599</v>
      </c>
      <c r="AX253" s="1">
        <v>0.064036</v>
      </c>
      <c r="AY253" s="1">
        <v>0.14746</v>
      </c>
      <c r="AZ253" s="1">
        <v>0.07064821</v>
      </c>
      <c r="BA253" s="1">
        <v>0.236892</v>
      </c>
      <c r="BB253" s="1">
        <v>0.001883</v>
      </c>
      <c r="BC253" s="1">
        <v>0.075684</v>
      </c>
      <c r="BD253" s="1">
        <v>0.0</v>
      </c>
      <c r="BE253" s="1">
        <v>0.134379</v>
      </c>
      <c r="BF253" s="1">
        <v>0.075034</v>
      </c>
      <c r="BG253" s="1">
        <v>0.042748</v>
      </c>
      <c r="BH253" s="1">
        <v>0.013286</v>
      </c>
      <c r="BI253" s="1">
        <v>0.080415</v>
      </c>
      <c r="BJ253" s="1">
        <v>0.038461</v>
      </c>
      <c r="BK253" s="1">
        <v>0.036284</v>
      </c>
      <c r="BL253" s="1">
        <v>0.476242</v>
      </c>
      <c r="BM253" s="1">
        <v>0.183</v>
      </c>
      <c r="BN253" s="1">
        <v>0.025</v>
      </c>
      <c r="BO253" s="1">
        <v>0.7061</v>
      </c>
      <c r="BP253" s="1">
        <v>0.834</v>
      </c>
      <c r="BQ253" s="1">
        <v>1.7481</v>
      </c>
      <c r="BR253" s="1">
        <v>0.413</v>
      </c>
      <c r="BS253" s="1">
        <v>0.061</v>
      </c>
      <c r="BT253" s="1">
        <v>0.064</v>
      </c>
      <c r="BU253" s="1">
        <v>0.219</v>
      </c>
      <c r="BV253" s="1">
        <v>0.344</v>
      </c>
      <c r="BW253" s="1">
        <v>0.023</v>
      </c>
      <c r="BX253" s="1">
        <v>0.748</v>
      </c>
      <c r="BY253" s="1">
        <v>0.376</v>
      </c>
      <c r="BZ253" s="1">
        <v>1.124</v>
      </c>
      <c r="CA253" s="1">
        <v>0.625</v>
      </c>
      <c r="CB253" s="1">
        <v>0.0</v>
      </c>
      <c r="CC253" s="1">
        <v>0.664</v>
      </c>
      <c r="CD253" s="1">
        <v>0.557</v>
      </c>
      <c r="CE253" s="1">
        <v>0.374</v>
      </c>
      <c r="CF253" s="1">
        <v>0.993</v>
      </c>
      <c r="CG253" s="1">
        <v>2.588</v>
      </c>
      <c r="CH253" s="1">
        <v>0.598</v>
      </c>
      <c r="CI253" s="1">
        <v>5.8041</v>
      </c>
      <c r="CJ253" s="1">
        <v>0.3415</v>
      </c>
      <c r="CK253" s="1">
        <v>0.0</v>
      </c>
      <c r="CL253" s="1">
        <v>0.0</v>
      </c>
      <c r="CM253" s="1">
        <v>0.0</v>
      </c>
      <c r="CN253" s="1">
        <v>0.0</v>
      </c>
      <c r="CO253" s="1">
        <v>0.0</v>
      </c>
      <c r="CP253" s="1">
        <v>0.0</v>
      </c>
      <c r="CQ253" s="1">
        <v>0.0</v>
      </c>
      <c r="CR253" s="1">
        <v>0.0</v>
      </c>
      <c r="CS253" s="1">
        <v>0.0</v>
      </c>
      <c r="CT253" s="1">
        <v>0.0</v>
      </c>
      <c r="CU253" s="1">
        <v>0.0</v>
      </c>
      <c r="CV253" s="1">
        <v>0.0</v>
      </c>
      <c r="CW253" s="1">
        <v>0.0</v>
      </c>
      <c r="CX253" s="1">
        <v>0.0</v>
      </c>
      <c r="CY253" s="1">
        <v>0.0</v>
      </c>
      <c r="CZ253" s="1">
        <v>0.0</v>
      </c>
      <c r="DA253" s="1">
        <v>1.0</v>
      </c>
      <c r="DB253" s="1">
        <v>1.0</v>
      </c>
      <c r="DC253" s="1">
        <v>1.0</v>
      </c>
      <c r="DD253" s="1" t="s">
        <v>1306</v>
      </c>
      <c r="DE253" s="2" t="s">
        <v>1307</v>
      </c>
      <c r="DF253" s="2" t="s">
        <v>1308</v>
      </c>
    </row>
    <row r="254" ht="15.75" customHeight="1">
      <c r="A254" s="1" t="s">
        <v>1309</v>
      </c>
      <c r="B254" s="1">
        <v>29.0</v>
      </c>
      <c r="C254" s="2" t="s">
        <v>1250</v>
      </c>
      <c r="D254" s="2" t="s">
        <v>1310</v>
      </c>
      <c r="E254" s="1">
        <v>68.269</v>
      </c>
      <c r="F254" s="1">
        <v>29051.0</v>
      </c>
      <c r="G254" s="1">
        <v>2.90510202E10</v>
      </c>
      <c r="H254" s="1" t="s">
        <v>112</v>
      </c>
      <c r="I254" s="1" t="s">
        <v>113</v>
      </c>
      <c r="J254" s="1" t="s">
        <v>1252</v>
      </c>
      <c r="K254" s="1" t="s">
        <v>1311</v>
      </c>
      <c r="L254" s="1">
        <v>4158.0</v>
      </c>
      <c r="M254" s="1">
        <v>3986.0</v>
      </c>
      <c r="N254" s="1">
        <v>220.0</v>
      </c>
      <c r="O254" s="1">
        <v>1517.0</v>
      </c>
      <c r="P254" s="1">
        <v>1501.0</v>
      </c>
      <c r="Q254" s="1">
        <v>86.0</v>
      </c>
      <c r="R254" s="1">
        <v>1441.0</v>
      </c>
      <c r="S254" s="1">
        <v>107.0</v>
      </c>
      <c r="T254" s="1">
        <v>49.0</v>
      </c>
      <c r="U254" s="1">
        <v>33.0</v>
      </c>
      <c r="V254" s="1">
        <v>427.0</v>
      </c>
      <c r="W254" s="1">
        <v>29406.0</v>
      </c>
      <c r="X254" s="1">
        <v>3076.0</v>
      </c>
      <c r="Y254" s="1">
        <v>223.0</v>
      </c>
      <c r="Z254" s="1">
        <v>308.0</v>
      </c>
      <c r="AA254" s="1">
        <v>427.0</v>
      </c>
      <c r="AB254" s="1">
        <v>1259.0</v>
      </c>
      <c r="AC254" s="1">
        <v>112.0</v>
      </c>
      <c r="AD254" s="1">
        <v>96.0</v>
      </c>
      <c r="AE254" s="1">
        <v>20.0</v>
      </c>
      <c r="AF254" s="1">
        <v>427.0</v>
      </c>
      <c r="AG254" s="1">
        <v>8.0</v>
      </c>
      <c r="AH254" s="1">
        <v>161.0</v>
      </c>
      <c r="AI254" s="1">
        <v>45.0</v>
      </c>
      <c r="AJ254" s="1">
        <v>35.0</v>
      </c>
      <c r="AK254" s="1">
        <v>4.0</v>
      </c>
      <c r="AL254" s="1">
        <v>114.0</v>
      </c>
      <c r="AM254" s="1">
        <v>25.0</v>
      </c>
      <c r="AN254" s="1">
        <v>20.0</v>
      </c>
      <c r="AO254" s="1">
        <v>0.0</v>
      </c>
      <c r="AP254" s="1">
        <v>0.026843</v>
      </c>
      <c r="AQ254" s="1">
        <v>0.012203</v>
      </c>
      <c r="AR254" s="1">
        <v>0.015116</v>
      </c>
      <c r="AS254" s="1">
        <v>0.195598</v>
      </c>
      <c r="AT254" s="1">
        <v>29406.0</v>
      </c>
      <c r="AU254" s="1">
        <v>3076.0</v>
      </c>
      <c r="AV254" s="1">
        <v>0.08888</v>
      </c>
      <c r="AW254" s="1">
        <v>0.122632</v>
      </c>
      <c r="AX254" s="1">
        <v>0.102693</v>
      </c>
      <c r="AY254" s="1">
        <v>0.302789</v>
      </c>
      <c r="AZ254" s="1">
        <v>0.0777238</v>
      </c>
      <c r="BA254" s="1">
        <v>0.023088</v>
      </c>
      <c r="BB254" s="1">
        <v>0.00534</v>
      </c>
      <c r="BC254" s="1">
        <v>0.114018</v>
      </c>
      <c r="BD254" s="1">
        <v>0.005329</v>
      </c>
      <c r="BE254" s="1">
        <v>0.107261</v>
      </c>
      <c r="BF254" s="1">
        <v>0.02998</v>
      </c>
      <c r="BG254" s="1">
        <v>0.023254</v>
      </c>
      <c r="BH254" s="1">
        <v>0.002832</v>
      </c>
      <c r="BI254" s="1">
        <v>0.080736</v>
      </c>
      <c r="BJ254" s="1">
        <v>0.017705</v>
      </c>
      <c r="BK254" s="1">
        <v>0.014118</v>
      </c>
      <c r="BL254" s="1">
        <v>0.0</v>
      </c>
      <c r="BM254" s="1">
        <v>0.076</v>
      </c>
      <c r="BN254" s="1">
        <v>0.017</v>
      </c>
      <c r="BO254" s="1">
        <v>0.2094</v>
      </c>
      <c r="BP254" s="1">
        <v>0.288</v>
      </c>
      <c r="BQ254" s="1">
        <v>0.5904</v>
      </c>
      <c r="BR254" s="1">
        <v>0.0903</v>
      </c>
      <c r="BS254" s="1">
        <v>0.229</v>
      </c>
      <c r="BT254" s="1">
        <v>0.93</v>
      </c>
      <c r="BU254" s="1">
        <v>0.28</v>
      </c>
      <c r="BV254" s="1">
        <v>1.439</v>
      </c>
      <c r="BW254" s="1">
        <v>0.427</v>
      </c>
      <c r="BX254" s="1">
        <v>0.033</v>
      </c>
      <c r="BY254" s="1">
        <v>0.575</v>
      </c>
      <c r="BZ254" s="1">
        <v>0.608</v>
      </c>
      <c r="CA254" s="1">
        <v>0.276</v>
      </c>
      <c r="CB254" s="1">
        <v>0.324</v>
      </c>
      <c r="CC254" s="1">
        <v>0.549</v>
      </c>
      <c r="CD254" s="1">
        <v>0.29</v>
      </c>
      <c r="CE254" s="1">
        <v>0.16</v>
      </c>
      <c r="CF254" s="1">
        <v>0.0</v>
      </c>
      <c r="CG254" s="1">
        <v>1.323</v>
      </c>
      <c r="CH254" s="1">
        <v>0.134</v>
      </c>
      <c r="CI254" s="1">
        <v>3.9604</v>
      </c>
      <c r="CJ254" s="1">
        <v>0.0816</v>
      </c>
      <c r="CK254" s="1">
        <v>0.0</v>
      </c>
      <c r="CL254" s="1">
        <v>0.0</v>
      </c>
      <c r="CM254" s="1">
        <v>0.0</v>
      </c>
      <c r="CN254" s="1">
        <v>0.0</v>
      </c>
      <c r="CO254" s="1">
        <v>0.0</v>
      </c>
      <c r="CP254" s="1">
        <v>0.0</v>
      </c>
      <c r="CQ254" s="1">
        <v>1.0</v>
      </c>
      <c r="CR254" s="1">
        <v>0.0</v>
      </c>
      <c r="CS254" s="1">
        <v>1.0</v>
      </c>
      <c r="CT254" s="1">
        <v>0.0</v>
      </c>
      <c r="CU254" s="1">
        <v>0.0</v>
      </c>
      <c r="CV254" s="1">
        <v>0.0</v>
      </c>
      <c r="CW254" s="1">
        <v>0.0</v>
      </c>
      <c r="CX254" s="1">
        <v>0.0</v>
      </c>
      <c r="CY254" s="1">
        <v>0.0</v>
      </c>
      <c r="CZ254" s="1">
        <v>0.0</v>
      </c>
      <c r="DA254" s="1">
        <v>0.0</v>
      </c>
      <c r="DB254" s="1">
        <v>0.0</v>
      </c>
      <c r="DC254" s="1">
        <v>1.0</v>
      </c>
      <c r="DD254" s="1" t="s">
        <v>1312</v>
      </c>
      <c r="DE254" s="2" t="s">
        <v>1313</v>
      </c>
      <c r="DF254" s="1">
        <v>0.873394279424377</v>
      </c>
    </row>
    <row r="255" ht="15.75" customHeight="1">
      <c r="A255" s="1" t="s">
        <v>1314</v>
      </c>
      <c r="B255" s="1">
        <v>29.0</v>
      </c>
      <c r="C255" s="2" t="s">
        <v>1250</v>
      </c>
      <c r="D255" s="2" t="s">
        <v>1069</v>
      </c>
      <c r="E255" s="1">
        <v>84.138</v>
      </c>
      <c r="F255" s="1">
        <v>29051.0</v>
      </c>
      <c r="G255" s="1">
        <v>2.90510203E10</v>
      </c>
      <c r="H255" s="1" t="s">
        <v>112</v>
      </c>
      <c r="I255" s="1" t="s">
        <v>113</v>
      </c>
      <c r="J255" s="1" t="s">
        <v>1252</v>
      </c>
      <c r="K255" s="1" t="s">
        <v>1315</v>
      </c>
      <c r="L255" s="1">
        <v>3538.0</v>
      </c>
      <c r="M255" s="1">
        <v>3589.0</v>
      </c>
      <c r="N255" s="1">
        <v>252.0</v>
      </c>
      <c r="O255" s="1">
        <v>1546.0</v>
      </c>
      <c r="P255" s="1">
        <v>1537.0</v>
      </c>
      <c r="Q255" s="1">
        <v>122.0</v>
      </c>
      <c r="R255" s="1">
        <v>1335.0</v>
      </c>
      <c r="S255" s="1">
        <v>73.0</v>
      </c>
      <c r="T255" s="1">
        <v>66.0</v>
      </c>
      <c r="U255" s="1">
        <v>59.0</v>
      </c>
      <c r="V255" s="1">
        <v>472.0</v>
      </c>
      <c r="W255" s="1">
        <v>24200.0</v>
      </c>
      <c r="X255" s="1">
        <v>1767.0</v>
      </c>
      <c r="Y255" s="1">
        <v>259.0</v>
      </c>
      <c r="Z255" s="1">
        <v>338.0</v>
      </c>
      <c r="AA255" s="1">
        <v>374.0</v>
      </c>
      <c r="AB255" s="1">
        <v>865.0</v>
      </c>
      <c r="AC255" s="1">
        <v>110.0</v>
      </c>
      <c r="AD255" s="1">
        <v>82.0</v>
      </c>
      <c r="AE255" s="1">
        <v>24.0</v>
      </c>
      <c r="AF255" s="1">
        <v>428.0</v>
      </c>
      <c r="AG255" s="1">
        <v>0.0</v>
      </c>
      <c r="AH255" s="1">
        <v>197.0</v>
      </c>
      <c r="AI255" s="1">
        <v>292.0</v>
      </c>
      <c r="AJ255" s="1">
        <v>92.0</v>
      </c>
      <c r="AK255" s="1">
        <v>10.0</v>
      </c>
      <c r="AL255" s="1">
        <v>115.0</v>
      </c>
      <c r="AM255" s="1">
        <v>31.0</v>
      </c>
      <c r="AN255" s="1">
        <v>118.0</v>
      </c>
      <c r="AO255" s="1">
        <v>0.0</v>
      </c>
      <c r="AP255" s="1">
        <v>0.020604</v>
      </c>
      <c r="AQ255" s="1">
        <v>0.018579</v>
      </c>
      <c r="AR255" s="1">
        <v>0.030303</v>
      </c>
      <c r="AS255" s="1">
        <v>0.242392</v>
      </c>
      <c r="AT255" s="1">
        <v>24200.0</v>
      </c>
      <c r="AU255" s="1">
        <v>1767.0</v>
      </c>
      <c r="AV255" s="1">
        <v>0.110306</v>
      </c>
      <c r="AW255" s="1">
        <v>0.143698</v>
      </c>
      <c r="AX255" s="1">
        <v>0.105709</v>
      </c>
      <c r="AY255" s="1">
        <v>0.244488</v>
      </c>
      <c r="AZ255" s="1">
        <v>0.082397</v>
      </c>
      <c r="BA255" s="1">
        <v>0.023176</v>
      </c>
      <c r="BB255" s="1">
        <v>0.007189</v>
      </c>
      <c r="BC255" s="1">
        <v>0.128219</v>
      </c>
      <c r="BD255" s="1">
        <v>0.0</v>
      </c>
      <c r="BE255" s="1">
        <v>0.128171</v>
      </c>
      <c r="BF255" s="1">
        <v>0.18998</v>
      </c>
      <c r="BG255" s="1">
        <v>0.057926</v>
      </c>
      <c r="BH255" s="1">
        <v>0.007267</v>
      </c>
      <c r="BI255" s="1">
        <v>0.083573</v>
      </c>
      <c r="BJ255" s="1">
        <v>0.022529</v>
      </c>
      <c r="BK255" s="1">
        <v>0.085736</v>
      </c>
      <c r="BL255" s="1">
        <v>0.0</v>
      </c>
      <c r="BM255" s="1">
        <v>0.058</v>
      </c>
      <c r="BN255" s="1">
        <v>0.089</v>
      </c>
      <c r="BO255" s="1">
        <v>0.3848</v>
      </c>
      <c r="BP255" s="1">
        <v>0.384</v>
      </c>
      <c r="BQ255" s="1">
        <v>0.9158</v>
      </c>
      <c r="BR255" s="1">
        <v>0.1834</v>
      </c>
      <c r="BS255" s="1">
        <v>0.243</v>
      </c>
      <c r="BT255" s="1">
        <v>0.54</v>
      </c>
      <c r="BU255" s="1">
        <v>0.328</v>
      </c>
      <c r="BV255" s="1">
        <v>1.111</v>
      </c>
      <c r="BW255" s="1">
        <v>0.174</v>
      </c>
      <c r="BX255" s="1">
        <v>0.034</v>
      </c>
      <c r="BY255" s="1">
        <v>0.64</v>
      </c>
      <c r="BZ255" s="1">
        <v>0.674</v>
      </c>
      <c r="CA255" s="1">
        <v>0.321</v>
      </c>
      <c r="CB255" s="1">
        <v>0.0</v>
      </c>
      <c r="CC255" s="1">
        <v>0.88</v>
      </c>
      <c r="CD255" s="1">
        <v>0.402</v>
      </c>
      <c r="CE255" s="1">
        <v>0.209</v>
      </c>
      <c r="CF255" s="1">
        <v>0.0</v>
      </c>
      <c r="CG255" s="1">
        <v>1.491</v>
      </c>
      <c r="CH255" s="1">
        <v>0.173</v>
      </c>
      <c r="CI255" s="1">
        <v>4.1918</v>
      </c>
      <c r="CJ255" s="1">
        <v>0.1047</v>
      </c>
      <c r="CK255" s="1">
        <v>0.0</v>
      </c>
      <c r="CL255" s="1">
        <v>0.0</v>
      </c>
      <c r="CM255" s="1">
        <v>0.0</v>
      </c>
      <c r="CN255" s="1">
        <v>0.0</v>
      </c>
      <c r="CO255" s="1">
        <v>0.0</v>
      </c>
      <c r="CP255" s="1">
        <v>0.0</v>
      </c>
      <c r="CQ255" s="1">
        <v>0.0</v>
      </c>
      <c r="CR255" s="1">
        <v>0.0</v>
      </c>
      <c r="CS255" s="1">
        <v>0.0</v>
      </c>
      <c r="CT255" s="1">
        <v>0.0</v>
      </c>
      <c r="CU255" s="1">
        <v>0.0</v>
      </c>
      <c r="CV255" s="1">
        <v>0.0</v>
      </c>
      <c r="CW255" s="1">
        <v>0.0</v>
      </c>
      <c r="CX255" s="1">
        <v>0.0</v>
      </c>
      <c r="CY255" s="1">
        <v>0.0</v>
      </c>
      <c r="CZ255" s="1">
        <v>0.0</v>
      </c>
      <c r="DA255" s="1">
        <v>0.0</v>
      </c>
      <c r="DB255" s="1">
        <v>0.0</v>
      </c>
      <c r="DC255" s="1">
        <v>0.0</v>
      </c>
      <c r="DD255" s="1" t="s">
        <v>1316</v>
      </c>
      <c r="DE255" s="2" t="s">
        <v>1317</v>
      </c>
      <c r="DF255" s="2" t="s">
        <v>1318</v>
      </c>
    </row>
    <row r="256" ht="15.75" customHeight="1">
      <c r="A256" s="1" t="s">
        <v>1319</v>
      </c>
      <c r="B256" s="1">
        <v>29.0</v>
      </c>
      <c r="C256" s="2" t="s">
        <v>1250</v>
      </c>
      <c r="D256" s="2" t="s">
        <v>998</v>
      </c>
      <c r="E256" s="1">
        <v>20.832</v>
      </c>
      <c r="F256" s="1">
        <v>29051.0</v>
      </c>
      <c r="G256" s="1">
        <v>2.90510204E10</v>
      </c>
      <c r="H256" s="1" t="s">
        <v>112</v>
      </c>
      <c r="I256" s="1" t="s">
        <v>113</v>
      </c>
      <c r="J256" s="1" t="s">
        <v>1252</v>
      </c>
      <c r="K256" s="1" t="s">
        <v>1320</v>
      </c>
      <c r="L256" s="1">
        <v>6327.0</v>
      </c>
      <c r="M256" s="1">
        <v>6244.0</v>
      </c>
      <c r="N256" s="1">
        <v>575.0</v>
      </c>
      <c r="O256" s="1">
        <v>2547.0</v>
      </c>
      <c r="P256" s="1">
        <v>2600.0</v>
      </c>
      <c r="Q256" s="1">
        <v>173.0</v>
      </c>
      <c r="R256" s="1">
        <v>2392.0</v>
      </c>
      <c r="S256" s="1">
        <v>581.0</v>
      </c>
      <c r="T256" s="1">
        <v>270.0</v>
      </c>
      <c r="U256" s="1">
        <v>152.0</v>
      </c>
      <c r="V256" s="1">
        <v>434.0</v>
      </c>
      <c r="W256" s="1">
        <v>24962.0</v>
      </c>
      <c r="X256" s="1">
        <v>2605.0</v>
      </c>
      <c r="Y256" s="1">
        <v>507.0</v>
      </c>
      <c r="Z256" s="1">
        <v>341.0</v>
      </c>
      <c r="AA256" s="1">
        <v>509.0</v>
      </c>
      <c r="AB256" s="1">
        <v>1848.0</v>
      </c>
      <c r="AC256" s="1">
        <v>355.0</v>
      </c>
      <c r="AD256" s="1">
        <v>1306.0</v>
      </c>
      <c r="AE256" s="1">
        <v>66.0</v>
      </c>
      <c r="AF256" s="1">
        <v>447.0</v>
      </c>
      <c r="AG256" s="1">
        <v>73.0</v>
      </c>
      <c r="AH256" s="1">
        <v>130.0</v>
      </c>
      <c r="AI256" s="1">
        <v>203.0</v>
      </c>
      <c r="AJ256" s="1">
        <v>100.0</v>
      </c>
      <c r="AK256" s="1">
        <v>8.0</v>
      </c>
      <c r="AL256" s="1">
        <v>115.0</v>
      </c>
      <c r="AM256" s="1">
        <v>45.0</v>
      </c>
      <c r="AN256" s="1">
        <v>41.0</v>
      </c>
      <c r="AO256" s="1">
        <v>0.0</v>
      </c>
      <c r="AP256" s="1">
        <v>0.094119</v>
      </c>
      <c r="AQ256" s="1">
        <v>0.042851</v>
      </c>
      <c r="AR256" s="1">
        <v>0.046783</v>
      </c>
      <c r="AS256" s="1">
        <v>0.133457</v>
      </c>
      <c r="AT256" s="1">
        <v>24962.0</v>
      </c>
      <c r="AU256" s="1">
        <v>2605.0</v>
      </c>
      <c r="AV256" s="1">
        <v>0.126339</v>
      </c>
      <c r="AW256" s="1">
        <v>0.084304</v>
      </c>
      <c r="AX256" s="1">
        <v>0.080448</v>
      </c>
      <c r="AY256" s="1">
        <v>0.292081</v>
      </c>
      <c r="AZ256" s="1">
        <v>0.14841137</v>
      </c>
      <c r="BA256" s="1">
        <v>0.206416</v>
      </c>
      <c r="BB256" s="1">
        <v>0.011482</v>
      </c>
      <c r="BC256" s="1">
        <v>0.077759</v>
      </c>
      <c r="BD256" s="1">
        <v>0.028076</v>
      </c>
      <c r="BE256" s="1">
        <v>0.049965</v>
      </c>
      <c r="BF256" s="1">
        <v>0.078076</v>
      </c>
      <c r="BG256" s="1">
        <v>0.038109</v>
      </c>
      <c r="BH256" s="1">
        <v>0.003378</v>
      </c>
      <c r="BI256" s="1">
        <v>0.048563</v>
      </c>
      <c r="BJ256" s="1">
        <v>0.019003</v>
      </c>
      <c r="BK256" s="1">
        <v>0.017235</v>
      </c>
      <c r="BL256" s="1">
        <v>0.0</v>
      </c>
      <c r="BM256" s="1">
        <v>0.355</v>
      </c>
      <c r="BN256" s="1">
        <v>0.258</v>
      </c>
      <c r="BO256" s="1">
        <v>0.3509</v>
      </c>
      <c r="BP256" s="1">
        <v>0.455</v>
      </c>
      <c r="BQ256" s="1">
        <v>1.4189</v>
      </c>
      <c r="BR256" s="1">
        <v>0.3184</v>
      </c>
      <c r="BS256" s="1">
        <v>0.118</v>
      </c>
      <c r="BT256" s="1">
        <v>0.893</v>
      </c>
      <c r="BU256" s="1">
        <v>0.787</v>
      </c>
      <c r="BV256" s="1">
        <v>1.798</v>
      </c>
      <c r="BW256" s="1">
        <v>0.718</v>
      </c>
      <c r="BX256" s="1">
        <v>0.717</v>
      </c>
      <c r="BY256" s="1">
        <v>0.758</v>
      </c>
      <c r="BZ256" s="1">
        <v>1.475</v>
      </c>
      <c r="CA256" s="1">
        <v>0.807</v>
      </c>
      <c r="CB256" s="1">
        <v>0.536</v>
      </c>
      <c r="CC256" s="1">
        <v>0.672</v>
      </c>
      <c r="CD256" s="1">
        <v>0.297</v>
      </c>
      <c r="CE256" s="1">
        <v>0.172</v>
      </c>
      <c r="CF256" s="1">
        <v>0.0</v>
      </c>
      <c r="CG256" s="1">
        <v>1.677</v>
      </c>
      <c r="CH256" s="1">
        <v>0.225</v>
      </c>
      <c r="CI256" s="1">
        <v>6.3689</v>
      </c>
      <c r="CJ256" s="1">
        <v>0.4397</v>
      </c>
      <c r="CK256" s="1">
        <v>0.0</v>
      </c>
      <c r="CL256" s="1">
        <v>0.0</v>
      </c>
      <c r="CM256" s="1">
        <v>0.0</v>
      </c>
      <c r="CN256" s="1">
        <v>0.0</v>
      </c>
      <c r="CO256" s="1">
        <v>0.0</v>
      </c>
      <c r="CP256" s="1">
        <v>0.0</v>
      </c>
      <c r="CQ256" s="1">
        <v>0.0</v>
      </c>
      <c r="CR256" s="1">
        <v>0.0</v>
      </c>
      <c r="CS256" s="1">
        <v>0.0</v>
      </c>
      <c r="CT256" s="1">
        <v>0.0</v>
      </c>
      <c r="CU256" s="1">
        <v>0.0</v>
      </c>
      <c r="CV256" s="1">
        <v>0.0</v>
      </c>
      <c r="CW256" s="1">
        <v>0.0</v>
      </c>
      <c r="CX256" s="1">
        <v>0.0</v>
      </c>
      <c r="CY256" s="1">
        <v>0.0</v>
      </c>
      <c r="CZ256" s="1">
        <v>0.0</v>
      </c>
      <c r="DA256" s="1">
        <v>0.0</v>
      </c>
      <c r="DB256" s="1">
        <v>0.0</v>
      </c>
      <c r="DC256" s="1">
        <v>0.0</v>
      </c>
      <c r="DD256" s="1" t="s">
        <v>1321</v>
      </c>
      <c r="DE256" s="1">
        <v>0.0055865720311158</v>
      </c>
      <c r="DF256" s="1">
        <v>0.572611986237597</v>
      </c>
    </row>
    <row r="257" ht="15.75" customHeight="1">
      <c r="A257" s="1" t="s">
        <v>1322</v>
      </c>
      <c r="B257" s="1">
        <v>29.0</v>
      </c>
      <c r="C257" s="2" t="s">
        <v>1323</v>
      </c>
      <c r="D257" s="1">
        <v>950400.0</v>
      </c>
      <c r="E257" s="1">
        <v>3.589</v>
      </c>
      <c r="F257" s="1">
        <v>29053.0</v>
      </c>
      <c r="G257" s="1">
        <v>2.90539504E10</v>
      </c>
      <c r="H257" s="1" t="s">
        <v>112</v>
      </c>
      <c r="I257" s="1" t="s">
        <v>113</v>
      </c>
      <c r="J257" s="1" t="s">
        <v>1324</v>
      </c>
      <c r="K257" s="1" t="s">
        <v>1325</v>
      </c>
      <c r="L257" s="1">
        <v>2381.0</v>
      </c>
      <c r="M257" s="1">
        <v>2445.0</v>
      </c>
      <c r="N257" s="1">
        <v>272.0</v>
      </c>
      <c r="O257" s="1">
        <v>1081.0</v>
      </c>
      <c r="P257" s="1">
        <v>1140.0</v>
      </c>
      <c r="Q257" s="1">
        <v>101.0</v>
      </c>
      <c r="R257" s="1">
        <v>983.0</v>
      </c>
      <c r="S257" s="1">
        <v>521.0</v>
      </c>
      <c r="T257" s="1">
        <v>218.0</v>
      </c>
      <c r="U257" s="1">
        <v>77.0</v>
      </c>
      <c r="V257" s="1">
        <v>430.0</v>
      </c>
      <c r="W257" s="1">
        <v>20065.0</v>
      </c>
      <c r="X257" s="1">
        <v>3221.0</v>
      </c>
      <c r="Y257" s="1">
        <v>305.0</v>
      </c>
      <c r="Z257" s="1">
        <v>281.0</v>
      </c>
      <c r="AA257" s="1">
        <v>475.0</v>
      </c>
      <c r="AB257" s="1">
        <v>536.0</v>
      </c>
      <c r="AC257" s="1">
        <v>112.0</v>
      </c>
      <c r="AD257" s="1">
        <v>223.0</v>
      </c>
      <c r="AE257" s="1">
        <v>44.0</v>
      </c>
      <c r="AF257" s="1">
        <v>428.0</v>
      </c>
      <c r="AG257" s="1">
        <v>65.0</v>
      </c>
      <c r="AH257" s="1">
        <v>38.0</v>
      </c>
      <c r="AI257" s="1">
        <v>0.0</v>
      </c>
      <c r="AJ257" s="1">
        <v>114.0</v>
      </c>
      <c r="AK257" s="1">
        <v>0.0</v>
      </c>
      <c r="AL257" s="1">
        <v>161.0</v>
      </c>
      <c r="AM257" s="1">
        <v>65.0</v>
      </c>
      <c r="AN257" s="1">
        <v>55.0</v>
      </c>
      <c r="AO257" s="1">
        <v>51.0</v>
      </c>
      <c r="AP257" s="1">
        <v>0.213087</v>
      </c>
      <c r="AQ257" s="1">
        <v>0.085952</v>
      </c>
      <c r="AR257" s="1">
        <v>0.065254</v>
      </c>
      <c r="AS257" s="1">
        <v>0.364156</v>
      </c>
      <c r="AT257" s="1">
        <v>20065.0</v>
      </c>
      <c r="AU257" s="1">
        <v>3221.0</v>
      </c>
      <c r="AV257" s="1">
        <v>0.178885</v>
      </c>
      <c r="AW257" s="1">
        <v>0.163783</v>
      </c>
      <c r="AX257" s="1">
        <v>0.199496</v>
      </c>
      <c r="AY257" s="1">
        <v>0.225115</v>
      </c>
      <c r="AZ257" s="1">
        <v>0.11393692</v>
      </c>
      <c r="BA257" s="1">
        <v>0.093658</v>
      </c>
      <c r="BB257" s="1">
        <v>0.019155</v>
      </c>
      <c r="BC257" s="1">
        <v>0.186318</v>
      </c>
      <c r="BD257" s="1">
        <v>0.057017</v>
      </c>
      <c r="BE257" s="1">
        <v>0.032948</v>
      </c>
      <c r="BF257" s="1">
        <v>0.0</v>
      </c>
      <c r="BG257" s="1">
        <v>0.1</v>
      </c>
      <c r="BH257" s="1">
        <v>0.0</v>
      </c>
      <c r="BI257" s="1">
        <v>0.161971</v>
      </c>
      <c r="BJ257" s="1">
        <v>0.065392</v>
      </c>
      <c r="BK257" s="1">
        <v>0.05497</v>
      </c>
      <c r="BL257" s="1">
        <v>0.021419</v>
      </c>
      <c r="BM257" s="1">
        <v>0.759</v>
      </c>
      <c r="BN257" s="1">
        <v>0.473</v>
      </c>
      <c r="BO257" s="1">
        <v>0.6087</v>
      </c>
      <c r="BP257" s="1">
        <v>0.685</v>
      </c>
      <c r="BQ257" s="1">
        <v>2.5257</v>
      </c>
      <c r="BR257" s="1">
        <v>0.6729</v>
      </c>
      <c r="BS257" s="1">
        <v>0.869</v>
      </c>
      <c r="BT257" s="1">
        <v>0.341</v>
      </c>
      <c r="BU257" s="1">
        <v>0.62</v>
      </c>
      <c r="BV257" s="1">
        <v>1.83</v>
      </c>
      <c r="BW257" s="1">
        <v>0.751</v>
      </c>
      <c r="BX257" s="1">
        <v>0.444</v>
      </c>
      <c r="BY257" s="1">
        <v>0.854</v>
      </c>
      <c r="BZ257" s="1">
        <v>1.298</v>
      </c>
      <c r="CA257" s="1">
        <v>0.711</v>
      </c>
      <c r="CB257" s="1">
        <v>0.676</v>
      </c>
      <c r="CC257" s="1">
        <v>0.0</v>
      </c>
      <c r="CD257" s="1">
        <v>0.0</v>
      </c>
      <c r="CE257" s="1">
        <v>0.601</v>
      </c>
      <c r="CF257" s="1">
        <v>0.725</v>
      </c>
      <c r="CG257" s="1">
        <v>2.002</v>
      </c>
      <c r="CH257" s="1">
        <v>0.349</v>
      </c>
      <c r="CI257" s="1">
        <v>7.6557</v>
      </c>
      <c r="CJ257" s="1">
        <v>0.6599</v>
      </c>
      <c r="CK257" s="1">
        <v>0.0</v>
      </c>
      <c r="CL257" s="1">
        <v>0.0</v>
      </c>
      <c r="CM257" s="1">
        <v>0.0</v>
      </c>
      <c r="CN257" s="1">
        <v>0.0</v>
      </c>
      <c r="CO257" s="1">
        <v>0.0</v>
      </c>
      <c r="CP257" s="1">
        <v>0.0</v>
      </c>
      <c r="CQ257" s="1">
        <v>0.0</v>
      </c>
      <c r="CR257" s="1">
        <v>0.0</v>
      </c>
      <c r="CS257" s="1">
        <v>0.0</v>
      </c>
      <c r="CT257" s="1">
        <v>0.0</v>
      </c>
      <c r="CU257" s="1">
        <v>0.0</v>
      </c>
      <c r="CV257" s="1">
        <v>0.0</v>
      </c>
      <c r="CW257" s="1">
        <v>0.0</v>
      </c>
      <c r="CX257" s="1">
        <v>0.0</v>
      </c>
      <c r="CY257" s="1">
        <v>0.0</v>
      </c>
      <c r="CZ257" s="1">
        <v>0.0</v>
      </c>
      <c r="DA257" s="1">
        <v>0.0</v>
      </c>
      <c r="DB257" s="1">
        <v>0.0</v>
      </c>
      <c r="DC257" s="1">
        <v>0.0</v>
      </c>
      <c r="DD257" s="1" t="s">
        <v>1326</v>
      </c>
      <c r="DE257" s="1">
        <v>9.69463923065235E-4</v>
      </c>
      <c r="DF257" s="2" t="s">
        <v>1327</v>
      </c>
    </row>
    <row r="258" ht="15.75" customHeight="1">
      <c r="A258" s="1" t="s">
        <v>1328</v>
      </c>
      <c r="B258" s="1">
        <v>29.0</v>
      </c>
      <c r="C258" s="2" t="s">
        <v>1323</v>
      </c>
      <c r="D258" s="1">
        <v>950300.0</v>
      </c>
      <c r="E258" s="1">
        <v>8.16</v>
      </c>
      <c r="F258" s="1">
        <v>29053.0</v>
      </c>
      <c r="G258" s="1">
        <v>2.90539503E10</v>
      </c>
      <c r="H258" s="1" t="s">
        <v>112</v>
      </c>
      <c r="I258" s="1" t="s">
        <v>113</v>
      </c>
      <c r="J258" s="1" t="s">
        <v>1324</v>
      </c>
      <c r="K258" s="1" t="s">
        <v>1329</v>
      </c>
      <c r="L258" s="1">
        <v>3852.0</v>
      </c>
      <c r="M258" s="1">
        <v>4019.0</v>
      </c>
      <c r="N258" s="1">
        <v>324.0</v>
      </c>
      <c r="O258" s="1">
        <v>1788.0</v>
      </c>
      <c r="P258" s="1">
        <v>1863.0</v>
      </c>
      <c r="Q258" s="1">
        <v>122.0</v>
      </c>
      <c r="R258" s="1">
        <v>1613.0</v>
      </c>
      <c r="S258" s="1">
        <v>384.0</v>
      </c>
      <c r="T258" s="1">
        <v>170.0</v>
      </c>
      <c r="U258" s="1">
        <v>227.0</v>
      </c>
      <c r="V258" s="1">
        <v>393.0</v>
      </c>
      <c r="W258" s="1">
        <v>20796.0</v>
      </c>
      <c r="X258" s="1">
        <v>1631.0</v>
      </c>
      <c r="Y258" s="1">
        <v>416.0</v>
      </c>
      <c r="Z258" s="1">
        <v>306.0</v>
      </c>
      <c r="AA258" s="1">
        <v>740.0</v>
      </c>
      <c r="AB258" s="1">
        <v>865.0</v>
      </c>
      <c r="AC258" s="1">
        <v>163.0</v>
      </c>
      <c r="AD258" s="1">
        <v>369.0</v>
      </c>
      <c r="AE258" s="1">
        <v>0.0</v>
      </c>
      <c r="AF258" s="1">
        <v>456.0</v>
      </c>
      <c r="AG258" s="1">
        <v>66.0</v>
      </c>
      <c r="AH258" s="1">
        <v>124.0</v>
      </c>
      <c r="AI258" s="1">
        <v>61.0</v>
      </c>
      <c r="AJ258" s="1">
        <v>60.0</v>
      </c>
      <c r="AK258" s="1">
        <v>12.0</v>
      </c>
      <c r="AL258" s="1">
        <v>116.0</v>
      </c>
      <c r="AM258" s="1">
        <v>131.0</v>
      </c>
      <c r="AN258" s="1">
        <v>136.0</v>
      </c>
      <c r="AO258" s="1">
        <v>138.0</v>
      </c>
      <c r="AP258" s="1">
        <v>0.098159</v>
      </c>
      <c r="AQ258" s="1">
        <v>0.042635</v>
      </c>
      <c r="AR258" s="1">
        <v>0.1037</v>
      </c>
      <c r="AS258" s="1">
        <v>0.179133</v>
      </c>
      <c r="AT258" s="1">
        <v>20796.0</v>
      </c>
      <c r="AU258" s="1">
        <v>1631.0</v>
      </c>
      <c r="AV258" s="1">
        <v>0.150779</v>
      </c>
      <c r="AW258" s="1">
        <v>0.110176</v>
      </c>
      <c r="AX258" s="1">
        <v>0.192108</v>
      </c>
      <c r="AY258" s="1">
        <v>0.224558</v>
      </c>
      <c r="AZ258" s="1">
        <v>0.10105393</v>
      </c>
      <c r="BA258" s="1">
        <v>0.095794</v>
      </c>
      <c r="BB258" s="1">
        <v>0.0</v>
      </c>
      <c r="BC258" s="1">
        <v>0.121373</v>
      </c>
      <c r="BD258" s="1">
        <v>0.035426</v>
      </c>
      <c r="BE258" s="1">
        <v>0.066518</v>
      </c>
      <c r="BF258" s="1">
        <v>0.032742</v>
      </c>
      <c r="BG258" s="1">
        <v>0.032134</v>
      </c>
      <c r="BH258" s="1">
        <v>0.007334</v>
      </c>
      <c r="BI258" s="1">
        <v>0.070902</v>
      </c>
      <c r="BJ258" s="1">
        <v>0.080073</v>
      </c>
      <c r="BK258" s="1">
        <v>0.08287</v>
      </c>
      <c r="BL258" s="1">
        <v>0.035825</v>
      </c>
      <c r="BM258" s="1">
        <v>0.362</v>
      </c>
      <c r="BN258" s="1">
        <v>0.753</v>
      </c>
      <c r="BO258" s="1">
        <v>0.5646</v>
      </c>
      <c r="BP258" s="1">
        <v>0.571</v>
      </c>
      <c r="BQ258" s="1">
        <v>2.2506</v>
      </c>
      <c r="BR258" s="1">
        <v>0.5841</v>
      </c>
      <c r="BS258" s="1">
        <v>0.849</v>
      </c>
      <c r="BT258" s="1">
        <v>0.336</v>
      </c>
      <c r="BU258" s="1">
        <v>0.501</v>
      </c>
      <c r="BV258" s="1">
        <v>1.686</v>
      </c>
      <c r="BW258" s="1">
        <v>0.63</v>
      </c>
      <c r="BX258" s="1">
        <v>0.451</v>
      </c>
      <c r="BY258" s="1">
        <v>0.0</v>
      </c>
      <c r="BZ258" s="1">
        <v>0.451</v>
      </c>
      <c r="CA258" s="1">
        <v>0.188</v>
      </c>
      <c r="CB258" s="1">
        <v>0.582</v>
      </c>
      <c r="CC258" s="1">
        <v>0.558</v>
      </c>
      <c r="CD258" s="1">
        <v>0.405</v>
      </c>
      <c r="CE258" s="1">
        <v>0.674</v>
      </c>
      <c r="CF258" s="1">
        <v>0.845</v>
      </c>
      <c r="CG258" s="1">
        <v>3.064</v>
      </c>
      <c r="CH258" s="1">
        <v>0.802</v>
      </c>
      <c r="CI258" s="1">
        <v>7.4516</v>
      </c>
      <c r="CJ258" s="1">
        <v>0.631</v>
      </c>
      <c r="CK258" s="1">
        <v>0.0</v>
      </c>
      <c r="CL258" s="1">
        <v>0.0</v>
      </c>
      <c r="CM258" s="1">
        <v>0.0</v>
      </c>
      <c r="CN258" s="1">
        <v>0.0</v>
      </c>
      <c r="CO258" s="1">
        <v>0.0</v>
      </c>
      <c r="CP258" s="1">
        <v>0.0</v>
      </c>
      <c r="CQ258" s="1">
        <v>0.0</v>
      </c>
      <c r="CR258" s="1">
        <v>0.0</v>
      </c>
      <c r="CS258" s="1">
        <v>0.0</v>
      </c>
      <c r="CT258" s="1">
        <v>0.0</v>
      </c>
      <c r="CU258" s="1">
        <v>0.0</v>
      </c>
      <c r="CV258" s="1">
        <v>0.0</v>
      </c>
      <c r="CW258" s="1">
        <v>0.0</v>
      </c>
      <c r="CX258" s="1">
        <v>0.0</v>
      </c>
      <c r="CY258" s="1">
        <v>0.0</v>
      </c>
      <c r="CZ258" s="1">
        <v>0.0</v>
      </c>
      <c r="DA258" s="1">
        <v>0.0</v>
      </c>
      <c r="DB258" s="1">
        <v>0.0</v>
      </c>
      <c r="DC258" s="1">
        <v>0.0</v>
      </c>
      <c r="DD258" s="1" t="s">
        <v>1330</v>
      </c>
      <c r="DE258" s="1">
        <v>0.00226833508589344</v>
      </c>
      <c r="DF258" s="2" t="s">
        <v>1331</v>
      </c>
    </row>
    <row r="259" ht="15.75" customHeight="1">
      <c r="A259" s="1" t="s">
        <v>1332</v>
      </c>
      <c r="B259" s="1">
        <v>29.0</v>
      </c>
      <c r="C259" s="2" t="s">
        <v>1323</v>
      </c>
      <c r="D259" s="1">
        <v>950100.0</v>
      </c>
      <c r="E259" s="1">
        <v>220.839</v>
      </c>
      <c r="F259" s="1">
        <v>29053.0</v>
      </c>
      <c r="G259" s="1">
        <v>2.90539501E10</v>
      </c>
      <c r="H259" s="1" t="s">
        <v>112</v>
      </c>
      <c r="I259" s="1" t="s">
        <v>113</v>
      </c>
      <c r="J259" s="1" t="s">
        <v>1324</v>
      </c>
      <c r="K259" s="1" t="s">
        <v>1333</v>
      </c>
      <c r="L259" s="1">
        <v>3303.0</v>
      </c>
      <c r="M259" s="1">
        <v>2912.0</v>
      </c>
      <c r="N259" s="1">
        <v>229.0</v>
      </c>
      <c r="O259" s="1">
        <v>1451.0</v>
      </c>
      <c r="P259" s="1">
        <v>1375.0</v>
      </c>
      <c r="Q259" s="1">
        <v>98.0</v>
      </c>
      <c r="R259" s="1">
        <v>1281.0</v>
      </c>
      <c r="S259" s="1">
        <v>458.0</v>
      </c>
      <c r="T259" s="1">
        <v>217.0</v>
      </c>
      <c r="U259" s="1">
        <v>58.0</v>
      </c>
      <c r="V259" s="1">
        <v>380.0</v>
      </c>
      <c r="W259" s="1">
        <v>22234.0</v>
      </c>
      <c r="X259" s="1">
        <v>2760.0</v>
      </c>
      <c r="Y259" s="1">
        <v>251.0</v>
      </c>
      <c r="Z259" s="1">
        <v>239.0</v>
      </c>
      <c r="AA259" s="1">
        <v>488.0</v>
      </c>
      <c r="AB259" s="1">
        <v>821.0</v>
      </c>
      <c r="AC259" s="1">
        <v>91.0</v>
      </c>
      <c r="AD259" s="1">
        <v>139.0</v>
      </c>
      <c r="AE259" s="1">
        <v>24.0</v>
      </c>
      <c r="AF259" s="1">
        <v>412.0</v>
      </c>
      <c r="AG259" s="1">
        <v>0.0</v>
      </c>
      <c r="AH259" s="1">
        <v>197.0</v>
      </c>
      <c r="AI259" s="1">
        <v>149.0</v>
      </c>
      <c r="AJ259" s="1">
        <v>45.0</v>
      </c>
      <c r="AK259" s="1">
        <v>3.0</v>
      </c>
      <c r="AL259" s="1">
        <v>114.0</v>
      </c>
      <c r="AM259" s="1">
        <v>40.0</v>
      </c>
      <c r="AN259" s="1">
        <v>26.0</v>
      </c>
      <c r="AO259" s="1">
        <v>0.0</v>
      </c>
      <c r="AP259" s="1">
        <v>0.15755</v>
      </c>
      <c r="AQ259" s="1">
        <v>0.073608</v>
      </c>
      <c r="AR259" s="1">
        <v>0.043219</v>
      </c>
      <c r="AS259" s="1">
        <v>0.283116</v>
      </c>
      <c r="AT259" s="1">
        <v>22234.0</v>
      </c>
      <c r="AU259" s="1">
        <v>2760.0</v>
      </c>
      <c r="AV259" s="1">
        <v>0.12438</v>
      </c>
      <c r="AW259" s="1">
        <v>0.118053</v>
      </c>
      <c r="AX259" s="1">
        <v>0.147744</v>
      </c>
      <c r="AY259" s="1">
        <v>0.248561</v>
      </c>
      <c r="AZ259" s="1">
        <v>0.07103825</v>
      </c>
      <c r="BA259" s="1">
        <v>0.042082</v>
      </c>
      <c r="BB259" s="1">
        <v>0.008833</v>
      </c>
      <c r="BC259" s="1">
        <v>0.151636</v>
      </c>
      <c r="BD259" s="1">
        <v>0.0</v>
      </c>
      <c r="BE259" s="1">
        <v>0.143272</v>
      </c>
      <c r="BF259" s="1">
        <v>0.108363</v>
      </c>
      <c r="BG259" s="1">
        <v>0.031802</v>
      </c>
      <c r="BH259" s="1">
        <v>0.002531</v>
      </c>
      <c r="BI259" s="1">
        <v>0.096202</v>
      </c>
      <c r="BJ259" s="1">
        <v>0.033755</v>
      </c>
      <c r="BK259" s="1">
        <v>0.021668</v>
      </c>
      <c r="BL259" s="1">
        <v>0.0</v>
      </c>
      <c r="BM259" s="1">
        <v>0.602</v>
      </c>
      <c r="BN259" s="1">
        <v>0.223</v>
      </c>
      <c r="BO259" s="1">
        <v>0.4816</v>
      </c>
      <c r="BP259" s="1">
        <v>0.448</v>
      </c>
      <c r="BQ259" s="1">
        <v>1.7546</v>
      </c>
      <c r="BR259" s="1">
        <v>0.4173</v>
      </c>
      <c r="BS259" s="1">
        <v>0.561</v>
      </c>
      <c r="BT259" s="1">
        <v>0.582</v>
      </c>
      <c r="BU259" s="1">
        <v>0.225</v>
      </c>
      <c r="BV259" s="1">
        <v>1.368</v>
      </c>
      <c r="BW259" s="1">
        <v>0.365</v>
      </c>
      <c r="BX259" s="1">
        <v>0.186</v>
      </c>
      <c r="BY259" s="1">
        <v>0.692</v>
      </c>
      <c r="BZ259" s="1">
        <v>0.878</v>
      </c>
      <c r="CA259" s="1">
        <v>0.449</v>
      </c>
      <c r="CB259" s="1">
        <v>0.0</v>
      </c>
      <c r="CC259" s="1">
        <v>0.735</v>
      </c>
      <c r="CD259" s="1">
        <v>0.288</v>
      </c>
      <c r="CE259" s="1">
        <v>0.323</v>
      </c>
      <c r="CF259" s="1">
        <v>0.0</v>
      </c>
      <c r="CG259" s="1">
        <v>1.346</v>
      </c>
      <c r="CH259" s="1">
        <v>0.141</v>
      </c>
      <c r="CI259" s="1">
        <v>5.3466</v>
      </c>
      <c r="CJ259" s="1">
        <v>0.2556</v>
      </c>
      <c r="CK259" s="1">
        <v>0.0</v>
      </c>
      <c r="CL259" s="1">
        <v>0.0</v>
      </c>
      <c r="CM259" s="1">
        <v>0.0</v>
      </c>
      <c r="CN259" s="1">
        <v>0.0</v>
      </c>
      <c r="CO259" s="1">
        <v>0.0</v>
      </c>
      <c r="CP259" s="1">
        <v>0.0</v>
      </c>
      <c r="CQ259" s="1">
        <v>0.0</v>
      </c>
      <c r="CR259" s="1">
        <v>0.0</v>
      </c>
      <c r="CS259" s="1">
        <v>0.0</v>
      </c>
      <c r="CT259" s="1">
        <v>0.0</v>
      </c>
      <c r="CU259" s="1">
        <v>0.0</v>
      </c>
      <c r="CV259" s="1">
        <v>0.0</v>
      </c>
      <c r="CW259" s="1">
        <v>0.0</v>
      </c>
      <c r="CX259" s="1">
        <v>0.0</v>
      </c>
      <c r="CY259" s="1">
        <v>0.0</v>
      </c>
      <c r="CZ259" s="1">
        <v>0.0</v>
      </c>
      <c r="DA259" s="1">
        <v>0.0</v>
      </c>
      <c r="DB259" s="1">
        <v>0.0</v>
      </c>
      <c r="DC259" s="1">
        <v>0.0</v>
      </c>
      <c r="DD259" s="1" t="s">
        <v>1334</v>
      </c>
      <c r="DE259" s="1">
        <v>0.0596433706509391</v>
      </c>
      <c r="DF259" s="2" t="s">
        <v>1335</v>
      </c>
    </row>
    <row r="260" ht="15.75" customHeight="1">
      <c r="A260" s="1" t="s">
        <v>1336</v>
      </c>
      <c r="B260" s="1">
        <v>29.0</v>
      </c>
      <c r="C260" s="2" t="s">
        <v>1323</v>
      </c>
      <c r="D260" s="1">
        <v>950200.0</v>
      </c>
      <c r="E260" s="1">
        <v>12.245</v>
      </c>
      <c r="F260" s="1">
        <v>29053.0</v>
      </c>
      <c r="G260" s="1">
        <v>2.90539502E10</v>
      </c>
      <c r="H260" s="1" t="s">
        <v>112</v>
      </c>
      <c r="I260" s="1" t="s">
        <v>113</v>
      </c>
      <c r="J260" s="1" t="s">
        <v>1324</v>
      </c>
      <c r="K260" s="1" t="s">
        <v>1337</v>
      </c>
      <c r="L260" s="1">
        <v>3170.0</v>
      </c>
      <c r="M260" s="1">
        <v>3051.0</v>
      </c>
      <c r="N260" s="1">
        <v>379.0</v>
      </c>
      <c r="O260" s="1">
        <v>886.0</v>
      </c>
      <c r="P260" s="1">
        <v>822.0</v>
      </c>
      <c r="Q260" s="1">
        <v>89.0</v>
      </c>
      <c r="R260" s="1">
        <v>753.0</v>
      </c>
      <c r="S260" s="1">
        <v>256.0</v>
      </c>
      <c r="T260" s="1">
        <v>144.0</v>
      </c>
      <c r="U260" s="1">
        <v>68.0</v>
      </c>
      <c r="V260" s="1">
        <v>430.0</v>
      </c>
      <c r="W260" s="1">
        <v>12068.0</v>
      </c>
      <c r="X260" s="1">
        <v>2385.0</v>
      </c>
      <c r="Y260" s="1">
        <v>538.0</v>
      </c>
      <c r="Z260" s="1">
        <v>315.0</v>
      </c>
      <c r="AA260" s="1">
        <v>211.0</v>
      </c>
      <c r="AB260" s="1">
        <v>529.0</v>
      </c>
      <c r="AC260" s="1">
        <v>144.0</v>
      </c>
      <c r="AD260" s="1">
        <v>966.0</v>
      </c>
      <c r="AE260" s="1">
        <v>0.0</v>
      </c>
      <c r="AF260" s="1">
        <v>456.0</v>
      </c>
      <c r="AG260" s="1">
        <v>0.0</v>
      </c>
      <c r="AH260" s="1">
        <v>197.0</v>
      </c>
      <c r="AI260" s="1">
        <v>0.0</v>
      </c>
      <c r="AJ260" s="1">
        <v>114.0</v>
      </c>
      <c r="AK260" s="1">
        <v>0.0</v>
      </c>
      <c r="AL260" s="1">
        <v>161.0</v>
      </c>
      <c r="AM260" s="1">
        <v>79.0</v>
      </c>
      <c r="AN260" s="1">
        <v>55.0</v>
      </c>
      <c r="AO260" s="1">
        <v>1284.0</v>
      </c>
      <c r="AP260" s="1">
        <v>0.167539</v>
      </c>
      <c r="AQ260" s="1">
        <v>0.091494</v>
      </c>
      <c r="AR260" s="1">
        <v>0.077803</v>
      </c>
      <c r="AS260" s="1">
        <v>0.491255</v>
      </c>
      <c r="AT260" s="1">
        <v>12068.0</v>
      </c>
      <c r="AU260" s="1">
        <v>2385.0</v>
      </c>
      <c r="AV260" s="1">
        <v>0.286933</v>
      </c>
      <c r="AW260" s="1">
        <v>0.165044</v>
      </c>
      <c r="AX260" s="1">
        <v>0.066561</v>
      </c>
      <c r="AY260" s="1">
        <v>0.166876</v>
      </c>
      <c r="AZ260" s="1">
        <v>0.19123505</v>
      </c>
      <c r="BA260" s="1">
        <v>0.304731</v>
      </c>
      <c r="BB260" s="1">
        <v>0.0</v>
      </c>
      <c r="BC260" s="1">
        <v>0.155844</v>
      </c>
      <c r="BD260" s="1">
        <v>0.0</v>
      </c>
      <c r="BE260" s="1">
        <v>0.239659</v>
      </c>
      <c r="BF260" s="1">
        <v>0.0</v>
      </c>
      <c r="BG260" s="1">
        <v>0.138686</v>
      </c>
      <c r="BH260" s="1">
        <v>0.0</v>
      </c>
      <c r="BI260" s="1">
        <v>0.241379</v>
      </c>
      <c r="BJ260" s="1">
        <v>0.11844</v>
      </c>
      <c r="BK260" s="1">
        <v>0.081032</v>
      </c>
      <c r="BL260" s="1">
        <v>0.405047</v>
      </c>
      <c r="BM260" s="1">
        <v>0.632</v>
      </c>
      <c r="BN260" s="1">
        <v>0.591</v>
      </c>
      <c r="BO260" s="1">
        <v>0.9596</v>
      </c>
      <c r="BP260" s="1">
        <v>0.927</v>
      </c>
      <c r="BQ260" s="1">
        <v>3.1096</v>
      </c>
      <c r="BR260" s="1">
        <v>0.8238</v>
      </c>
      <c r="BS260" s="1">
        <v>0.069</v>
      </c>
      <c r="BT260" s="1">
        <v>0.096</v>
      </c>
      <c r="BU260" s="1">
        <v>0.889</v>
      </c>
      <c r="BV260" s="1">
        <v>1.054</v>
      </c>
      <c r="BW260" s="1">
        <v>0.135</v>
      </c>
      <c r="BX260" s="1">
        <v>0.79</v>
      </c>
      <c r="BY260" s="1">
        <v>0.0</v>
      </c>
      <c r="BZ260" s="1">
        <v>0.79</v>
      </c>
      <c r="CA260" s="1">
        <v>0.392</v>
      </c>
      <c r="CB260" s="1">
        <v>0.0</v>
      </c>
      <c r="CC260" s="1">
        <v>0.0</v>
      </c>
      <c r="CD260" s="1">
        <v>0.0</v>
      </c>
      <c r="CE260" s="1">
        <v>0.803</v>
      </c>
      <c r="CF260" s="1">
        <v>0.989</v>
      </c>
      <c r="CG260" s="1">
        <v>1.792</v>
      </c>
      <c r="CH260" s="1">
        <v>0.265</v>
      </c>
      <c r="CI260" s="1">
        <v>6.7456</v>
      </c>
      <c r="CJ260" s="1">
        <v>0.5011</v>
      </c>
      <c r="CK260" s="1">
        <v>0.0</v>
      </c>
      <c r="CL260" s="1">
        <v>0.0</v>
      </c>
      <c r="CM260" s="1">
        <v>1.0</v>
      </c>
      <c r="CN260" s="1">
        <v>1.0</v>
      </c>
      <c r="CO260" s="1">
        <v>2.0</v>
      </c>
      <c r="CP260" s="1">
        <v>0.0</v>
      </c>
      <c r="CQ260" s="1">
        <v>0.0</v>
      </c>
      <c r="CR260" s="1">
        <v>0.0</v>
      </c>
      <c r="CS260" s="1">
        <v>0.0</v>
      </c>
      <c r="CT260" s="1">
        <v>0.0</v>
      </c>
      <c r="CU260" s="1">
        <v>0.0</v>
      </c>
      <c r="CV260" s="1">
        <v>0.0</v>
      </c>
      <c r="CW260" s="1">
        <v>0.0</v>
      </c>
      <c r="CX260" s="1">
        <v>0.0</v>
      </c>
      <c r="CY260" s="1">
        <v>0.0</v>
      </c>
      <c r="CZ260" s="1">
        <v>0.0</v>
      </c>
      <c r="DA260" s="1">
        <v>1.0</v>
      </c>
      <c r="DB260" s="1">
        <v>1.0</v>
      </c>
      <c r="DC260" s="1">
        <v>3.0</v>
      </c>
      <c r="DD260" s="1" t="s">
        <v>1338</v>
      </c>
      <c r="DE260" s="1">
        <v>0.00350286096170669</v>
      </c>
      <c r="DF260" s="2" t="s">
        <v>1339</v>
      </c>
    </row>
    <row r="261" ht="15.75" customHeight="1">
      <c r="A261" s="1" t="s">
        <v>1340</v>
      </c>
      <c r="B261" s="1">
        <v>29.0</v>
      </c>
      <c r="C261" s="2" t="s">
        <v>1323</v>
      </c>
      <c r="D261" s="1">
        <v>950500.0</v>
      </c>
      <c r="E261" s="1">
        <v>319.933</v>
      </c>
      <c r="F261" s="1">
        <v>29053.0</v>
      </c>
      <c r="G261" s="1">
        <v>2.90539505E10</v>
      </c>
      <c r="H261" s="1" t="s">
        <v>112</v>
      </c>
      <c r="I261" s="1" t="s">
        <v>113</v>
      </c>
      <c r="J261" s="1" t="s">
        <v>1324</v>
      </c>
      <c r="K261" s="1" t="s">
        <v>1341</v>
      </c>
      <c r="L261" s="1">
        <v>4895.0</v>
      </c>
      <c r="M261" s="1">
        <v>5156.0</v>
      </c>
      <c r="N261" s="1">
        <v>233.0</v>
      </c>
      <c r="O261" s="1">
        <v>2257.0</v>
      </c>
      <c r="P261" s="1">
        <v>2218.0</v>
      </c>
      <c r="Q261" s="1">
        <v>131.0</v>
      </c>
      <c r="R261" s="1">
        <v>1924.0</v>
      </c>
      <c r="S261" s="1">
        <v>637.0</v>
      </c>
      <c r="T261" s="1">
        <v>176.0</v>
      </c>
      <c r="U261" s="1">
        <v>185.0</v>
      </c>
      <c r="V261" s="1">
        <v>262.0</v>
      </c>
      <c r="W261" s="1">
        <v>20169.0</v>
      </c>
      <c r="X261" s="1">
        <v>1866.0</v>
      </c>
      <c r="Y261" s="1">
        <v>531.0</v>
      </c>
      <c r="Z261" s="1">
        <v>244.0</v>
      </c>
      <c r="AA261" s="1">
        <v>788.0</v>
      </c>
      <c r="AB261" s="1">
        <v>1228.0</v>
      </c>
      <c r="AC261" s="1">
        <v>171.0</v>
      </c>
      <c r="AD261" s="1">
        <v>150.0</v>
      </c>
      <c r="AE261" s="1">
        <v>17.0</v>
      </c>
      <c r="AF261" s="1">
        <v>427.0</v>
      </c>
      <c r="AG261" s="1">
        <v>5.0</v>
      </c>
      <c r="AH261" s="1">
        <v>114.0</v>
      </c>
      <c r="AI261" s="1">
        <v>372.0</v>
      </c>
      <c r="AJ261" s="1">
        <v>95.0</v>
      </c>
      <c r="AK261" s="1">
        <v>20.0</v>
      </c>
      <c r="AL261" s="1">
        <v>115.0</v>
      </c>
      <c r="AM261" s="1">
        <v>60.0</v>
      </c>
      <c r="AN261" s="1">
        <v>29.0</v>
      </c>
      <c r="AO261" s="1">
        <v>60.0</v>
      </c>
      <c r="AP261" s="1">
        <v>0.127757</v>
      </c>
      <c r="AQ261" s="1">
        <v>0.034807</v>
      </c>
      <c r="AR261" s="1">
        <v>0.07505</v>
      </c>
      <c r="AS261" s="1">
        <v>0.106151</v>
      </c>
      <c r="AT261" s="1">
        <v>20169.0</v>
      </c>
      <c r="AU261" s="1">
        <v>1866.0</v>
      </c>
      <c r="AV261" s="1">
        <v>0.155809</v>
      </c>
      <c r="AW261" s="1">
        <v>0.071083</v>
      </c>
      <c r="AX261" s="1">
        <v>0.16098</v>
      </c>
      <c r="AY261" s="1">
        <v>0.250868</v>
      </c>
      <c r="AZ261" s="1">
        <v>0.08887733</v>
      </c>
      <c r="BA261" s="1">
        <v>0.030643</v>
      </c>
      <c r="BB261" s="1">
        <v>0.003491</v>
      </c>
      <c r="BC261" s="1">
        <v>0.087697</v>
      </c>
      <c r="BD261" s="1">
        <v>0.002254</v>
      </c>
      <c r="BE261" s="1">
        <v>0.051397</v>
      </c>
      <c r="BF261" s="1">
        <v>0.167718</v>
      </c>
      <c r="BG261" s="1">
        <v>0.04167</v>
      </c>
      <c r="BH261" s="1">
        <v>0.010443</v>
      </c>
      <c r="BI261" s="1">
        <v>0.060047</v>
      </c>
      <c r="BJ261" s="1">
        <v>0.031331</v>
      </c>
      <c r="BK261" s="1">
        <v>0.014991</v>
      </c>
      <c r="BL261" s="1">
        <v>0.012257</v>
      </c>
      <c r="BM261" s="1">
        <v>0.486</v>
      </c>
      <c r="BN261" s="1">
        <v>0.559</v>
      </c>
      <c r="BO261" s="1">
        <v>0.6029</v>
      </c>
      <c r="BP261" s="1">
        <v>0.589</v>
      </c>
      <c r="BQ261" s="1">
        <v>2.2369</v>
      </c>
      <c r="BR261" s="1">
        <v>0.5812</v>
      </c>
      <c r="BS261" s="1">
        <v>0.672</v>
      </c>
      <c r="BT261" s="1">
        <v>0.607</v>
      </c>
      <c r="BU261" s="1">
        <v>0.392</v>
      </c>
      <c r="BV261" s="1">
        <v>1.671</v>
      </c>
      <c r="BW261" s="1">
        <v>0.616</v>
      </c>
      <c r="BX261" s="1">
        <v>0.083</v>
      </c>
      <c r="BY261" s="1">
        <v>0.481</v>
      </c>
      <c r="BZ261" s="1">
        <v>0.564</v>
      </c>
      <c r="CA261" s="1">
        <v>0.246</v>
      </c>
      <c r="CB261" s="1">
        <v>0.274</v>
      </c>
      <c r="CC261" s="1">
        <v>0.848</v>
      </c>
      <c r="CD261" s="1">
        <v>0.485</v>
      </c>
      <c r="CE261" s="1">
        <v>0.295</v>
      </c>
      <c r="CF261" s="1">
        <v>0.607</v>
      </c>
      <c r="CG261" s="1">
        <v>2.509</v>
      </c>
      <c r="CH261" s="1">
        <v>0.565</v>
      </c>
      <c r="CI261" s="1">
        <v>6.9809</v>
      </c>
      <c r="CJ261" s="1">
        <v>0.543</v>
      </c>
      <c r="CK261" s="1">
        <v>0.0</v>
      </c>
      <c r="CL261" s="1">
        <v>0.0</v>
      </c>
      <c r="CM261" s="1">
        <v>0.0</v>
      </c>
      <c r="CN261" s="1">
        <v>0.0</v>
      </c>
      <c r="CO261" s="1">
        <v>0.0</v>
      </c>
      <c r="CP261" s="1">
        <v>0.0</v>
      </c>
      <c r="CQ261" s="1">
        <v>0.0</v>
      </c>
      <c r="CR261" s="1">
        <v>0.0</v>
      </c>
      <c r="CS261" s="1">
        <v>0.0</v>
      </c>
      <c r="CT261" s="1">
        <v>0.0</v>
      </c>
      <c r="CU261" s="1">
        <v>0.0</v>
      </c>
      <c r="CV261" s="1">
        <v>0.0</v>
      </c>
      <c r="CW261" s="1">
        <v>0.0</v>
      </c>
      <c r="CX261" s="1">
        <v>0.0</v>
      </c>
      <c r="CY261" s="1">
        <v>0.0</v>
      </c>
      <c r="CZ261" s="1">
        <v>0.0</v>
      </c>
      <c r="DA261" s="1">
        <v>0.0</v>
      </c>
      <c r="DB261" s="1">
        <v>0.0</v>
      </c>
      <c r="DC261" s="1">
        <v>0.0</v>
      </c>
      <c r="DD261" s="1" t="s">
        <v>1342</v>
      </c>
      <c r="DE261" s="1">
        <v>0.0865737939660296</v>
      </c>
      <c r="DF261" s="2" t="s">
        <v>1343</v>
      </c>
    </row>
    <row r="262" ht="15.75" customHeight="1">
      <c r="A262" s="1" t="s">
        <v>1344</v>
      </c>
      <c r="B262" s="1">
        <v>29.0</v>
      </c>
      <c r="C262" s="2" t="s">
        <v>1345</v>
      </c>
      <c r="D262" s="1">
        <v>450101.0</v>
      </c>
      <c r="E262" s="1">
        <v>75.791</v>
      </c>
      <c r="F262" s="1">
        <v>29055.0</v>
      </c>
      <c r="G262" s="1">
        <v>2.9055450101E10</v>
      </c>
      <c r="H262" s="1" t="s">
        <v>112</v>
      </c>
      <c r="I262" s="1" t="s">
        <v>113</v>
      </c>
      <c r="J262" s="1" t="s">
        <v>1346</v>
      </c>
      <c r="K262" s="1" t="s">
        <v>1347</v>
      </c>
      <c r="L262" s="1">
        <v>2061.0</v>
      </c>
      <c r="M262" s="1">
        <v>1896.0</v>
      </c>
      <c r="N262" s="1">
        <v>382.0</v>
      </c>
      <c r="O262" s="1">
        <v>970.0</v>
      </c>
      <c r="P262" s="1">
        <v>1003.0</v>
      </c>
      <c r="Q262" s="1">
        <v>93.0</v>
      </c>
      <c r="R262" s="1">
        <v>816.0</v>
      </c>
      <c r="S262" s="1">
        <v>142.0</v>
      </c>
      <c r="T262" s="1">
        <v>103.0</v>
      </c>
      <c r="U262" s="1">
        <v>63.0</v>
      </c>
      <c r="V262" s="1">
        <v>475.0</v>
      </c>
      <c r="W262" s="1">
        <v>19320.0</v>
      </c>
      <c r="X262" s="1">
        <v>3818.0</v>
      </c>
      <c r="Y262" s="1">
        <v>286.0</v>
      </c>
      <c r="Z262" s="1">
        <v>312.0</v>
      </c>
      <c r="AA262" s="1">
        <v>348.0</v>
      </c>
      <c r="AB262" s="1">
        <v>450.0</v>
      </c>
      <c r="AC262" s="1">
        <v>53.0</v>
      </c>
      <c r="AD262" s="1">
        <v>41.0</v>
      </c>
      <c r="AE262" s="1">
        <v>0.0</v>
      </c>
      <c r="AF262" s="1">
        <v>456.0</v>
      </c>
      <c r="AG262" s="1">
        <v>23.0</v>
      </c>
      <c r="AH262" s="1">
        <v>165.0</v>
      </c>
      <c r="AI262" s="1">
        <v>358.0</v>
      </c>
      <c r="AJ262" s="1">
        <v>115.0</v>
      </c>
      <c r="AK262" s="1">
        <v>29.0</v>
      </c>
      <c r="AL262" s="1">
        <v>121.0</v>
      </c>
      <c r="AM262" s="1">
        <v>52.0</v>
      </c>
      <c r="AN262" s="1">
        <v>48.0</v>
      </c>
      <c r="AO262" s="1">
        <v>0.0</v>
      </c>
      <c r="AP262" s="1">
        <v>0.074894</v>
      </c>
      <c r="AQ262" s="1">
        <v>0.052187</v>
      </c>
      <c r="AR262" s="1">
        <v>0.06695</v>
      </c>
      <c r="AS262" s="1">
        <v>0.504293</v>
      </c>
      <c r="AT262" s="1">
        <v>19320.0</v>
      </c>
      <c r="AU262" s="1">
        <v>3818.0</v>
      </c>
      <c r="AV262" s="1">
        <v>0.211695</v>
      </c>
      <c r="AW262" s="1">
        <v>0.228281</v>
      </c>
      <c r="AX262" s="1">
        <v>0.16885</v>
      </c>
      <c r="AY262" s="1">
        <v>0.21834</v>
      </c>
      <c r="AZ262" s="1">
        <v>0.06495098</v>
      </c>
      <c r="BA262" s="1">
        <v>0.019893</v>
      </c>
      <c r="BB262" s="1">
        <v>0.0</v>
      </c>
      <c r="BC262" s="1">
        <v>0.269503</v>
      </c>
      <c r="BD262" s="1">
        <v>0.022931</v>
      </c>
      <c r="BE262" s="1">
        <v>0.164492</v>
      </c>
      <c r="BF262" s="1">
        <v>0.356929</v>
      </c>
      <c r="BG262" s="1">
        <v>0.109775</v>
      </c>
      <c r="BH262" s="1">
        <v>0.038057</v>
      </c>
      <c r="BI262" s="1">
        <v>0.158692</v>
      </c>
      <c r="BJ262" s="1">
        <v>0.068241</v>
      </c>
      <c r="BK262" s="1">
        <v>0.062173</v>
      </c>
      <c r="BL262" s="1">
        <v>0.0</v>
      </c>
      <c r="BM262" s="1">
        <v>0.266</v>
      </c>
      <c r="BN262" s="1">
        <v>0.487</v>
      </c>
      <c r="BO262" s="1">
        <v>0.6505</v>
      </c>
      <c r="BP262" s="1">
        <v>0.784</v>
      </c>
      <c r="BQ262" s="1">
        <v>2.1875</v>
      </c>
      <c r="BR262" s="1">
        <v>0.5588</v>
      </c>
      <c r="BS262" s="1">
        <v>0.727</v>
      </c>
      <c r="BT262" s="1">
        <v>0.291</v>
      </c>
      <c r="BU262" s="1">
        <v>0.171</v>
      </c>
      <c r="BV262" s="1">
        <v>1.189</v>
      </c>
      <c r="BW262" s="1">
        <v>0.221</v>
      </c>
      <c r="BX262" s="1">
        <v>0.019</v>
      </c>
      <c r="BY262" s="1">
        <v>0.0</v>
      </c>
      <c r="BZ262" s="1">
        <v>0.019</v>
      </c>
      <c r="CA262" s="1">
        <v>0.01</v>
      </c>
      <c r="CB262" s="1">
        <v>0.498</v>
      </c>
      <c r="CC262" s="1">
        <v>0.989</v>
      </c>
      <c r="CD262" s="1">
        <v>0.881</v>
      </c>
      <c r="CE262" s="1">
        <v>0.614</v>
      </c>
      <c r="CF262" s="1">
        <v>0.0</v>
      </c>
      <c r="CG262" s="1">
        <v>2.982</v>
      </c>
      <c r="CH262" s="1">
        <v>0.769</v>
      </c>
      <c r="CI262" s="1">
        <v>6.3775</v>
      </c>
      <c r="CJ262" s="1">
        <v>0.4426</v>
      </c>
      <c r="CK262" s="1">
        <v>0.0</v>
      </c>
      <c r="CL262" s="1">
        <v>0.0</v>
      </c>
      <c r="CM262" s="1">
        <v>0.0</v>
      </c>
      <c r="CN262" s="1">
        <v>0.0</v>
      </c>
      <c r="CO262" s="1">
        <v>0.0</v>
      </c>
      <c r="CP262" s="1">
        <v>0.0</v>
      </c>
      <c r="CQ262" s="1">
        <v>0.0</v>
      </c>
      <c r="CR262" s="1">
        <v>0.0</v>
      </c>
      <c r="CS262" s="1">
        <v>0.0</v>
      </c>
      <c r="CT262" s="1">
        <v>0.0</v>
      </c>
      <c r="CU262" s="1">
        <v>0.0</v>
      </c>
      <c r="CV262" s="1">
        <v>0.0</v>
      </c>
      <c r="CW262" s="1">
        <v>0.0</v>
      </c>
      <c r="CX262" s="1">
        <v>1.0</v>
      </c>
      <c r="CY262" s="1">
        <v>0.0</v>
      </c>
      <c r="CZ262" s="1">
        <v>0.0</v>
      </c>
      <c r="DA262" s="1">
        <v>0.0</v>
      </c>
      <c r="DB262" s="1">
        <v>1.0</v>
      </c>
      <c r="DC262" s="1">
        <v>1.0</v>
      </c>
      <c r="DD262" s="1" t="s">
        <v>1348</v>
      </c>
      <c r="DE262" s="2" t="s">
        <v>1349</v>
      </c>
      <c r="DF262" s="2" t="s">
        <v>1350</v>
      </c>
    </row>
    <row r="263" ht="15.75" customHeight="1">
      <c r="A263" s="1" t="s">
        <v>1351</v>
      </c>
      <c r="B263" s="1">
        <v>29.0</v>
      </c>
      <c r="C263" s="2" t="s">
        <v>1345</v>
      </c>
      <c r="D263" s="1">
        <v>450102.0</v>
      </c>
      <c r="E263" s="1">
        <v>83.204</v>
      </c>
      <c r="F263" s="1">
        <v>29055.0</v>
      </c>
      <c r="G263" s="1">
        <v>2.9055450102E10</v>
      </c>
      <c r="H263" s="1" t="s">
        <v>112</v>
      </c>
      <c r="I263" s="1" t="s">
        <v>113</v>
      </c>
      <c r="J263" s="1" t="s">
        <v>1346</v>
      </c>
      <c r="K263" s="1" t="s">
        <v>1352</v>
      </c>
      <c r="L263" s="1">
        <v>6187.0</v>
      </c>
      <c r="M263" s="1">
        <v>6557.0</v>
      </c>
      <c r="N263" s="1">
        <v>567.0</v>
      </c>
      <c r="O263" s="1">
        <v>2713.0</v>
      </c>
      <c r="P263" s="1">
        <v>2779.0</v>
      </c>
      <c r="Q263" s="1">
        <v>149.0</v>
      </c>
      <c r="R263" s="1">
        <v>2384.0</v>
      </c>
      <c r="S263" s="1">
        <v>937.0</v>
      </c>
      <c r="T263" s="1">
        <v>337.0</v>
      </c>
      <c r="U263" s="1">
        <v>281.0</v>
      </c>
      <c r="V263" s="1">
        <v>278.0</v>
      </c>
      <c r="W263" s="1">
        <v>17094.0</v>
      </c>
      <c r="X263" s="1">
        <v>1524.0</v>
      </c>
      <c r="Y263" s="1">
        <v>957.0</v>
      </c>
      <c r="Z263" s="1">
        <v>273.0</v>
      </c>
      <c r="AA263" s="1">
        <v>887.0</v>
      </c>
      <c r="AB263" s="1">
        <v>1637.0</v>
      </c>
      <c r="AC263" s="1">
        <v>326.0</v>
      </c>
      <c r="AD263" s="1">
        <v>202.0</v>
      </c>
      <c r="AE263" s="1">
        <v>0.0</v>
      </c>
      <c r="AF263" s="1">
        <v>456.0</v>
      </c>
      <c r="AG263" s="1">
        <v>47.0</v>
      </c>
      <c r="AH263" s="1">
        <v>169.0</v>
      </c>
      <c r="AI263" s="1">
        <v>526.0</v>
      </c>
      <c r="AJ263" s="1">
        <v>145.0</v>
      </c>
      <c r="AK263" s="1">
        <v>75.0</v>
      </c>
      <c r="AL263" s="1">
        <v>67.0</v>
      </c>
      <c r="AM263" s="1">
        <v>211.0</v>
      </c>
      <c r="AN263" s="1">
        <v>82.0</v>
      </c>
      <c r="AO263" s="1">
        <v>78.0</v>
      </c>
      <c r="AP263" s="1">
        <v>0.146086</v>
      </c>
      <c r="AQ263" s="1">
        <v>0.051086</v>
      </c>
      <c r="AR263" s="1">
        <v>0.097705</v>
      </c>
      <c r="AS263" s="1">
        <v>0.095985</v>
      </c>
      <c r="AT263" s="1">
        <v>17094.0</v>
      </c>
      <c r="AU263" s="1">
        <v>1524.0</v>
      </c>
      <c r="AV263" s="1">
        <v>0.226187</v>
      </c>
      <c r="AW263" s="1">
        <v>0.061988</v>
      </c>
      <c r="AX263" s="1">
        <v>0.143365</v>
      </c>
      <c r="AY263" s="1">
        <v>0.264587</v>
      </c>
      <c r="AZ263" s="1">
        <v>0.13674496</v>
      </c>
      <c r="BA263" s="1">
        <v>0.032649</v>
      </c>
      <c r="BB263" s="1">
        <v>0.0</v>
      </c>
      <c r="BC263" s="1">
        <v>0.074692</v>
      </c>
      <c r="BD263" s="1">
        <v>0.016912</v>
      </c>
      <c r="BE263" s="1">
        <v>0.060806</v>
      </c>
      <c r="BF263" s="1">
        <v>0.189276</v>
      </c>
      <c r="BG263" s="1">
        <v>0.05118</v>
      </c>
      <c r="BH263" s="1">
        <v>0.031565</v>
      </c>
      <c r="BI263" s="1">
        <v>0.028118</v>
      </c>
      <c r="BJ263" s="1">
        <v>0.088804</v>
      </c>
      <c r="BK263" s="1">
        <v>0.033989</v>
      </c>
      <c r="BL263" s="1">
        <v>0.012607</v>
      </c>
      <c r="BM263" s="1">
        <v>0.569</v>
      </c>
      <c r="BN263" s="1">
        <v>0.72</v>
      </c>
      <c r="BO263" s="1">
        <v>0.7798</v>
      </c>
      <c r="BP263" s="1">
        <v>0.815</v>
      </c>
      <c r="BQ263" s="1">
        <v>2.8838</v>
      </c>
      <c r="BR263" s="1">
        <v>0.774</v>
      </c>
      <c r="BS263" s="1">
        <v>0.527</v>
      </c>
      <c r="BT263" s="1">
        <v>0.746</v>
      </c>
      <c r="BU263" s="1">
        <v>0.748</v>
      </c>
      <c r="BV263" s="1">
        <v>2.021</v>
      </c>
      <c r="BW263" s="1">
        <v>0.87</v>
      </c>
      <c r="BX263" s="1">
        <v>0.101</v>
      </c>
      <c r="BY263" s="1">
        <v>0.0</v>
      </c>
      <c r="BZ263" s="1">
        <v>0.101</v>
      </c>
      <c r="CA263" s="1">
        <v>0.048</v>
      </c>
      <c r="CB263" s="1">
        <v>0.44</v>
      </c>
      <c r="CC263" s="1">
        <v>0.878</v>
      </c>
      <c r="CD263" s="1">
        <v>0.825</v>
      </c>
      <c r="CE263" s="1">
        <v>0.712</v>
      </c>
      <c r="CF263" s="1">
        <v>0.615</v>
      </c>
      <c r="CG263" s="1">
        <v>3.47</v>
      </c>
      <c r="CH263" s="1">
        <v>0.928</v>
      </c>
      <c r="CI263" s="1">
        <v>8.4758</v>
      </c>
      <c r="CJ263" s="1">
        <v>0.7805</v>
      </c>
      <c r="CK263" s="1">
        <v>0.0</v>
      </c>
      <c r="CL263" s="1">
        <v>0.0</v>
      </c>
      <c r="CM263" s="1">
        <v>0.0</v>
      </c>
      <c r="CN263" s="1">
        <v>0.0</v>
      </c>
      <c r="CO263" s="1">
        <v>0.0</v>
      </c>
      <c r="CP263" s="1">
        <v>0.0</v>
      </c>
      <c r="CQ263" s="1">
        <v>0.0</v>
      </c>
      <c r="CR263" s="1">
        <v>0.0</v>
      </c>
      <c r="CS263" s="1">
        <v>0.0</v>
      </c>
      <c r="CT263" s="1">
        <v>0.0</v>
      </c>
      <c r="CU263" s="1">
        <v>0.0</v>
      </c>
      <c r="CV263" s="1">
        <v>0.0</v>
      </c>
      <c r="CW263" s="1">
        <v>0.0</v>
      </c>
      <c r="CX263" s="1">
        <v>0.0</v>
      </c>
      <c r="CY263" s="1">
        <v>0.0</v>
      </c>
      <c r="CZ263" s="1">
        <v>0.0</v>
      </c>
      <c r="DA263" s="1">
        <v>0.0</v>
      </c>
      <c r="DB263" s="1">
        <v>0.0</v>
      </c>
      <c r="DC263" s="1">
        <v>0.0</v>
      </c>
      <c r="DD263" s="1" t="s">
        <v>1353</v>
      </c>
      <c r="DE263" s="2" t="s">
        <v>1354</v>
      </c>
      <c r="DF263" s="2" t="s">
        <v>1355</v>
      </c>
    </row>
    <row r="264" ht="15.75" customHeight="1">
      <c r="A264" s="1" t="s">
        <v>1356</v>
      </c>
      <c r="B264" s="1">
        <v>29.0</v>
      </c>
      <c r="C264" s="2" t="s">
        <v>1345</v>
      </c>
      <c r="D264" s="1">
        <v>450200.0</v>
      </c>
      <c r="E264" s="1">
        <v>303.203</v>
      </c>
      <c r="F264" s="1">
        <v>29055.0</v>
      </c>
      <c r="G264" s="1">
        <v>2.90554502E10</v>
      </c>
      <c r="H264" s="1" t="s">
        <v>112</v>
      </c>
      <c r="I264" s="1" t="s">
        <v>113</v>
      </c>
      <c r="J264" s="1" t="s">
        <v>1346</v>
      </c>
      <c r="K264" s="1" t="s">
        <v>1357</v>
      </c>
      <c r="L264" s="1">
        <v>4215.0</v>
      </c>
      <c r="M264" s="1">
        <v>4124.0</v>
      </c>
      <c r="N264" s="1">
        <v>544.0</v>
      </c>
      <c r="O264" s="1">
        <v>2220.0</v>
      </c>
      <c r="P264" s="1">
        <v>2245.0</v>
      </c>
      <c r="Q264" s="1">
        <v>149.0</v>
      </c>
      <c r="R264" s="1">
        <v>1699.0</v>
      </c>
      <c r="S264" s="1">
        <v>583.0</v>
      </c>
      <c r="T264" s="1">
        <v>292.0</v>
      </c>
      <c r="U264" s="1">
        <v>198.0</v>
      </c>
      <c r="V264" s="1">
        <v>410.0</v>
      </c>
      <c r="W264" s="1">
        <v>16795.0</v>
      </c>
      <c r="X264" s="1">
        <v>2115.0</v>
      </c>
      <c r="Y264" s="1">
        <v>795.0</v>
      </c>
      <c r="Z264" s="1">
        <v>204.0</v>
      </c>
      <c r="AA264" s="1">
        <v>638.0</v>
      </c>
      <c r="AB264" s="1">
        <v>968.0</v>
      </c>
      <c r="AC264" s="1">
        <v>138.0</v>
      </c>
      <c r="AD264" s="1">
        <v>143.0</v>
      </c>
      <c r="AE264" s="1">
        <v>0.0</v>
      </c>
      <c r="AF264" s="1">
        <v>456.0</v>
      </c>
      <c r="AG264" s="1">
        <v>2.0</v>
      </c>
      <c r="AH264" s="1">
        <v>161.0</v>
      </c>
      <c r="AI264" s="1">
        <v>337.0</v>
      </c>
      <c r="AJ264" s="1">
        <v>124.0</v>
      </c>
      <c r="AK264" s="1">
        <v>21.0</v>
      </c>
      <c r="AL264" s="1">
        <v>117.0</v>
      </c>
      <c r="AM264" s="1">
        <v>40.0</v>
      </c>
      <c r="AN264" s="1">
        <v>28.0</v>
      </c>
      <c r="AO264" s="1">
        <v>5.0</v>
      </c>
      <c r="AP264" s="1">
        <v>0.144306</v>
      </c>
      <c r="AQ264" s="1">
        <v>0.069943</v>
      </c>
      <c r="AR264" s="1">
        <v>0.104817</v>
      </c>
      <c r="AS264" s="1">
        <v>0.216481</v>
      </c>
      <c r="AT264" s="1">
        <v>16795.0</v>
      </c>
      <c r="AU264" s="1">
        <v>2115.0</v>
      </c>
      <c r="AV264" s="1">
        <v>0.273195</v>
      </c>
      <c r="AW264" s="1">
        <v>0.063946</v>
      </c>
      <c r="AX264" s="1">
        <v>0.151364</v>
      </c>
      <c r="AY264" s="1">
        <v>0.229655</v>
      </c>
      <c r="AZ264" s="1">
        <v>0.08122424</v>
      </c>
      <c r="BA264" s="1">
        <v>0.033926</v>
      </c>
      <c r="BB264" s="1">
        <v>0.0</v>
      </c>
      <c r="BC264" s="1">
        <v>0.11959</v>
      </c>
      <c r="BD264" s="1">
        <v>8.9E-4</v>
      </c>
      <c r="BE264" s="1">
        <v>0.071714</v>
      </c>
      <c r="BF264" s="1">
        <v>0.150111</v>
      </c>
      <c r="BG264" s="1">
        <v>0.054327</v>
      </c>
      <c r="BH264" s="1">
        <v>0.012995</v>
      </c>
      <c r="BI264" s="1">
        <v>0.072389</v>
      </c>
      <c r="BJ264" s="1">
        <v>0.024752</v>
      </c>
      <c r="BK264" s="1">
        <v>0.017156</v>
      </c>
      <c r="BL264" s="1">
        <v>0.001186</v>
      </c>
      <c r="BM264" s="1">
        <v>0.561</v>
      </c>
      <c r="BN264" s="1">
        <v>0.761</v>
      </c>
      <c r="BO264" s="1">
        <v>0.7986</v>
      </c>
      <c r="BP264" s="1">
        <v>0.911</v>
      </c>
      <c r="BQ264" s="1">
        <v>3.0316</v>
      </c>
      <c r="BR264" s="1">
        <v>0.8101</v>
      </c>
      <c r="BS264" s="1">
        <v>0.592</v>
      </c>
      <c r="BT264" s="1">
        <v>0.382</v>
      </c>
      <c r="BU264" s="1">
        <v>0.317</v>
      </c>
      <c r="BV264" s="1">
        <v>1.291</v>
      </c>
      <c r="BW264" s="1">
        <v>0.295</v>
      </c>
      <c r="BX264" s="1">
        <v>0.111</v>
      </c>
      <c r="BY264" s="1">
        <v>0.0</v>
      </c>
      <c r="BZ264" s="1">
        <v>0.111</v>
      </c>
      <c r="CA264" s="1">
        <v>0.053</v>
      </c>
      <c r="CB264" s="1">
        <v>0.253</v>
      </c>
      <c r="CC264" s="1">
        <v>0.818</v>
      </c>
      <c r="CD264" s="1">
        <v>0.55</v>
      </c>
      <c r="CE264" s="1">
        <v>0.236</v>
      </c>
      <c r="CF264" s="1">
        <v>0.41</v>
      </c>
      <c r="CG264" s="1">
        <v>2.267</v>
      </c>
      <c r="CH264" s="1">
        <v>0.445</v>
      </c>
      <c r="CI264" s="1">
        <v>6.7006</v>
      </c>
      <c r="CJ264" s="1">
        <v>0.4917</v>
      </c>
      <c r="CK264" s="1">
        <v>0.0</v>
      </c>
      <c r="CL264" s="1">
        <v>0.0</v>
      </c>
      <c r="CM264" s="1">
        <v>0.0</v>
      </c>
      <c r="CN264" s="1">
        <v>1.0</v>
      </c>
      <c r="CO264" s="1">
        <v>1.0</v>
      </c>
      <c r="CP264" s="1">
        <v>0.0</v>
      </c>
      <c r="CQ264" s="1">
        <v>0.0</v>
      </c>
      <c r="CR264" s="1">
        <v>0.0</v>
      </c>
      <c r="CS264" s="1">
        <v>0.0</v>
      </c>
      <c r="CT264" s="1">
        <v>0.0</v>
      </c>
      <c r="CU264" s="1">
        <v>0.0</v>
      </c>
      <c r="CV264" s="1">
        <v>0.0</v>
      </c>
      <c r="CW264" s="1">
        <v>0.0</v>
      </c>
      <c r="CX264" s="1">
        <v>0.0</v>
      </c>
      <c r="CY264" s="1">
        <v>0.0</v>
      </c>
      <c r="CZ264" s="1">
        <v>0.0</v>
      </c>
      <c r="DA264" s="1">
        <v>0.0</v>
      </c>
      <c r="DB264" s="1">
        <v>0.0</v>
      </c>
      <c r="DC264" s="1">
        <v>1.0</v>
      </c>
      <c r="DD264" s="1" t="s">
        <v>1358</v>
      </c>
      <c r="DE264" s="1">
        <v>0.0805387522315622</v>
      </c>
      <c r="DF264" s="2" t="s">
        <v>1359</v>
      </c>
    </row>
    <row r="265" ht="15.75" customHeight="1">
      <c r="A265" s="1" t="s">
        <v>1360</v>
      </c>
      <c r="B265" s="1">
        <v>29.0</v>
      </c>
      <c r="C265" s="2" t="s">
        <v>1345</v>
      </c>
      <c r="D265" s="1">
        <v>450301.0</v>
      </c>
      <c r="E265" s="1">
        <v>57.367</v>
      </c>
      <c r="F265" s="1">
        <v>29055.0</v>
      </c>
      <c r="G265" s="1">
        <v>2.9055450301E10</v>
      </c>
      <c r="H265" s="1" t="s">
        <v>112</v>
      </c>
      <c r="I265" s="1" t="s">
        <v>113</v>
      </c>
      <c r="J265" s="1" t="s">
        <v>1346</v>
      </c>
      <c r="K265" s="1" t="s">
        <v>1361</v>
      </c>
      <c r="L265" s="1">
        <v>2414.0</v>
      </c>
      <c r="M265" s="1">
        <v>2840.0</v>
      </c>
      <c r="N265" s="1">
        <v>490.0</v>
      </c>
      <c r="O265" s="1">
        <v>1485.0</v>
      </c>
      <c r="P265" s="1">
        <v>1495.0</v>
      </c>
      <c r="Q265" s="1">
        <v>108.0</v>
      </c>
      <c r="R265" s="1">
        <v>1020.0</v>
      </c>
      <c r="S265" s="1">
        <v>573.0</v>
      </c>
      <c r="T265" s="1">
        <v>353.0</v>
      </c>
      <c r="U265" s="1">
        <v>178.0</v>
      </c>
      <c r="V265" s="1">
        <v>454.0</v>
      </c>
      <c r="W265" s="1">
        <v>20038.0</v>
      </c>
      <c r="X265" s="1">
        <v>4576.0</v>
      </c>
      <c r="Y265" s="1">
        <v>260.0</v>
      </c>
      <c r="Z265" s="1">
        <v>300.0</v>
      </c>
      <c r="AA265" s="1">
        <v>527.0</v>
      </c>
      <c r="AB265" s="1">
        <v>486.0</v>
      </c>
      <c r="AC265" s="1">
        <v>92.0</v>
      </c>
      <c r="AD265" s="1">
        <v>82.0</v>
      </c>
      <c r="AE265" s="1">
        <v>33.0</v>
      </c>
      <c r="AF265" s="1">
        <v>444.0</v>
      </c>
      <c r="AG265" s="1">
        <v>0.0</v>
      </c>
      <c r="AH265" s="1">
        <v>197.0</v>
      </c>
      <c r="AI265" s="1">
        <v>242.0</v>
      </c>
      <c r="AJ265" s="1">
        <v>108.0</v>
      </c>
      <c r="AK265" s="1">
        <v>19.0</v>
      </c>
      <c r="AL265" s="1">
        <v>118.0</v>
      </c>
      <c r="AM265" s="1">
        <v>24.0</v>
      </c>
      <c r="AN265" s="1">
        <v>28.0</v>
      </c>
      <c r="AO265" s="1">
        <v>0.0</v>
      </c>
      <c r="AP265" s="1">
        <v>0.20176</v>
      </c>
      <c r="AQ265" s="1">
        <v>0.119321</v>
      </c>
      <c r="AR265" s="1">
        <v>0.148457</v>
      </c>
      <c r="AS265" s="1">
        <v>0.376437</v>
      </c>
      <c r="AT265" s="1">
        <v>20038.0</v>
      </c>
      <c r="AU265" s="1">
        <v>4576.0</v>
      </c>
      <c r="AV265" s="1">
        <v>0.13874</v>
      </c>
      <c r="AW265" s="1">
        <v>0.158994</v>
      </c>
      <c r="AX265" s="1">
        <v>0.218309</v>
      </c>
      <c r="AY265" s="1">
        <v>0.201325</v>
      </c>
      <c r="AZ265" s="1">
        <v>0.09019607</v>
      </c>
      <c r="BA265" s="1">
        <v>0.033968</v>
      </c>
      <c r="BB265" s="1">
        <v>0.011861</v>
      </c>
      <c r="BC265" s="1">
        <v>0.159585</v>
      </c>
      <c r="BD265" s="1">
        <v>0.0</v>
      </c>
      <c r="BE265" s="1">
        <v>0.131772</v>
      </c>
      <c r="BF265" s="1">
        <v>0.161872</v>
      </c>
      <c r="BG265" s="1">
        <v>0.071288</v>
      </c>
      <c r="BH265" s="1">
        <v>0.017431</v>
      </c>
      <c r="BI265" s="1">
        <v>0.108238</v>
      </c>
      <c r="BJ265" s="1">
        <v>0.022018</v>
      </c>
      <c r="BK265" s="1">
        <v>0.025561</v>
      </c>
      <c r="BL265" s="1">
        <v>0.0</v>
      </c>
      <c r="BM265" s="1">
        <v>0.736</v>
      </c>
      <c r="BN265" s="1">
        <v>0.896</v>
      </c>
      <c r="BO265" s="1">
        <v>0.6108</v>
      </c>
      <c r="BP265" s="1">
        <v>0.517</v>
      </c>
      <c r="BQ265" s="1">
        <v>2.7598</v>
      </c>
      <c r="BR265" s="1">
        <v>0.7372</v>
      </c>
      <c r="BS265" s="1">
        <v>0.928</v>
      </c>
      <c r="BT265" s="1">
        <v>0.192</v>
      </c>
      <c r="BU265" s="1">
        <v>0.405</v>
      </c>
      <c r="BV265" s="1">
        <v>1.525</v>
      </c>
      <c r="BW265" s="1">
        <v>0.504</v>
      </c>
      <c r="BX265" s="1">
        <v>0.112</v>
      </c>
      <c r="BY265" s="1">
        <v>0.766</v>
      </c>
      <c r="BZ265" s="1">
        <v>0.878</v>
      </c>
      <c r="CA265" s="1">
        <v>0.45</v>
      </c>
      <c r="CB265" s="1">
        <v>0.0</v>
      </c>
      <c r="CC265" s="1">
        <v>0.841</v>
      </c>
      <c r="CD265" s="1">
        <v>0.638</v>
      </c>
      <c r="CE265" s="1">
        <v>0.202</v>
      </c>
      <c r="CF265" s="1">
        <v>0.0</v>
      </c>
      <c r="CG265" s="1">
        <v>1.681</v>
      </c>
      <c r="CH265" s="1">
        <v>0.226</v>
      </c>
      <c r="CI265" s="1">
        <v>6.8438</v>
      </c>
      <c r="CJ265" s="1">
        <v>0.5191</v>
      </c>
      <c r="CK265" s="1">
        <v>0.0</v>
      </c>
      <c r="CL265" s="1">
        <v>0.0</v>
      </c>
      <c r="CM265" s="1">
        <v>0.0</v>
      </c>
      <c r="CN265" s="1">
        <v>0.0</v>
      </c>
      <c r="CO265" s="1">
        <v>0.0</v>
      </c>
      <c r="CP265" s="1">
        <v>1.0</v>
      </c>
      <c r="CQ265" s="1">
        <v>0.0</v>
      </c>
      <c r="CR265" s="1">
        <v>0.0</v>
      </c>
      <c r="CS265" s="1">
        <v>1.0</v>
      </c>
      <c r="CT265" s="1">
        <v>0.0</v>
      </c>
      <c r="CU265" s="1">
        <v>0.0</v>
      </c>
      <c r="CV265" s="1">
        <v>0.0</v>
      </c>
      <c r="CW265" s="1">
        <v>0.0</v>
      </c>
      <c r="CX265" s="1">
        <v>0.0</v>
      </c>
      <c r="CY265" s="1">
        <v>0.0</v>
      </c>
      <c r="CZ265" s="1">
        <v>0.0</v>
      </c>
      <c r="DA265" s="1">
        <v>0.0</v>
      </c>
      <c r="DB265" s="1">
        <v>0.0</v>
      </c>
      <c r="DC265" s="1">
        <v>1.0</v>
      </c>
      <c r="DD265" s="1" t="s">
        <v>1362</v>
      </c>
      <c r="DE265" s="2" t="s">
        <v>1363</v>
      </c>
      <c r="DF265" s="2" t="s">
        <v>1364</v>
      </c>
    </row>
    <row r="266" ht="15.75" customHeight="1">
      <c r="A266" s="1" t="s">
        <v>1365</v>
      </c>
      <c r="B266" s="1">
        <v>29.0</v>
      </c>
      <c r="C266" s="2" t="s">
        <v>1345</v>
      </c>
      <c r="D266" s="1">
        <v>450302.0</v>
      </c>
      <c r="E266" s="1">
        <v>22.806</v>
      </c>
      <c r="F266" s="1">
        <v>29055.0</v>
      </c>
      <c r="G266" s="1">
        <v>2.9055450302E10</v>
      </c>
      <c r="H266" s="1" t="s">
        <v>112</v>
      </c>
      <c r="I266" s="1" t="s">
        <v>113</v>
      </c>
      <c r="J266" s="1" t="s">
        <v>1346</v>
      </c>
      <c r="K266" s="1" t="s">
        <v>1366</v>
      </c>
      <c r="L266" s="1">
        <v>4594.0</v>
      </c>
      <c r="M266" s="1">
        <v>4351.0</v>
      </c>
      <c r="N266" s="1">
        <v>501.0</v>
      </c>
      <c r="O266" s="1">
        <v>2122.0</v>
      </c>
      <c r="P266" s="1">
        <v>1864.0</v>
      </c>
      <c r="Q266" s="1">
        <v>248.0</v>
      </c>
      <c r="R266" s="1">
        <v>1873.0</v>
      </c>
      <c r="S266" s="1">
        <v>931.0</v>
      </c>
      <c r="T266" s="1">
        <v>319.0</v>
      </c>
      <c r="U266" s="1">
        <v>288.0</v>
      </c>
      <c r="V266" s="1">
        <v>445.0</v>
      </c>
      <c r="W266" s="1">
        <v>14959.0</v>
      </c>
      <c r="X266" s="1">
        <v>1914.0</v>
      </c>
      <c r="Y266" s="1">
        <v>595.0</v>
      </c>
      <c r="Z266" s="1">
        <v>221.0</v>
      </c>
      <c r="AA266" s="1">
        <v>732.0</v>
      </c>
      <c r="AB266" s="1">
        <v>1204.0</v>
      </c>
      <c r="AC266" s="1">
        <v>263.0</v>
      </c>
      <c r="AD266" s="1">
        <v>247.0</v>
      </c>
      <c r="AE266" s="1">
        <v>0.0</v>
      </c>
      <c r="AF266" s="1">
        <v>456.0</v>
      </c>
      <c r="AG266" s="1">
        <v>151.0</v>
      </c>
      <c r="AH266" s="1">
        <v>159.0</v>
      </c>
      <c r="AI266" s="1">
        <v>206.0</v>
      </c>
      <c r="AJ266" s="1">
        <v>99.0</v>
      </c>
      <c r="AK266" s="1">
        <v>67.0</v>
      </c>
      <c r="AL266" s="1">
        <v>136.0</v>
      </c>
      <c r="AM266" s="1">
        <v>142.0</v>
      </c>
      <c r="AN266" s="1">
        <v>71.0</v>
      </c>
      <c r="AO266" s="1">
        <v>72.0</v>
      </c>
      <c r="AP266" s="1">
        <v>0.222994</v>
      </c>
      <c r="AQ266" s="1">
        <v>0.071447</v>
      </c>
      <c r="AR266" s="1">
        <v>0.15894</v>
      </c>
      <c r="AS266" s="1">
        <v>0.243141</v>
      </c>
      <c r="AT266" s="1">
        <v>14959.0</v>
      </c>
      <c r="AU266" s="1">
        <v>1914.0</v>
      </c>
      <c r="AV266" s="1">
        <v>0.205101</v>
      </c>
      <c r="AW266" s="1">
        <v>0.071777</v>
      </c>
      <c r="AX266" s="1">
        <v>0.159338</v>
      </c>
      <c r="AY266" s="1">
        <v>0.26208</v>
      </c>
      <c r="AZ266" s="1">
        <v>0.14041644</v>
      </c>
      <c r="BA266" s="1">
        <v>0.053765</v>
      </c>
      <c r="BB266" s="1">
        <v>0.0</v>
      </c>
      <c r="BC266" s="1">
        <v>0.111956</v>
      </c>
      <c r="BD266" s="1">
        <v>0.081008</v>
      </c>
      <c r="BE266" s="1">
        <v>0.084616</v>
      </c>
      <c r="BF266" s="1">
        <v>0.110515</v>
      </c>
      <c r="BG266" s="1">
        <v>0.051035</v>
      </c>
      <c r="BH266" s="1">
        <v>0.039112</v>
      </c>
      <c r="BI266" s="1">
        <v>0.079203</v>
      </c>
      <c r="BJ266" s="1">
        <v>0.082895</v>
      </c>
      <c r="BK266" s="1">
        <v>0.039787</v>
      </c>
      <c r="BL266" s="1">
        <v>0.015672</v>
      </c>
      <c r="BM266" s="1">
        <v>0.777</v>
      </c>
      <c r="BN266" s="1">
        <v>0.91</v>
      </c>
      <c r="BO266" s="1">
        <v>0.8773</v>
      </c>
      <c r="BP266" s="1">
        <v>0.765</v>
      </c>
      <c r="BQ266" s="1">
        <v>3.3293</v>
      </c>
      <c r="BR266" s="1">
        <v>0.8866</v>
      </c>
      <c r="BS266" s="1">
        <v>0.657</v>
      </c>
      <c r="BT266" s="1">
        <v>0.721</v>
      </c>
      <c r="BU266" s="1">
        <v>0.757</v>
      </c>
      <c r="BV266" s="1">
        <v>2.135</v>
      </c>
      <c r="BW266" s="1">
        <v>0.941</v>
      </c>
      <c r="BX266" s="1">
        <v>0.276</v>
      </c>
      <c r="BY266" s="1">
        <v>0.0</v>
      </c>
      <c r="BZ266" s="1">
        <v>0.276</v>
      </c>
      <c r="CA266" s="1">
        <v>0.117</v>
      </c>
      <c r="CB266" s="1">
        <v>0.733</v>
      </c>
      <c r="CC266" s="1">
        <v>0.741</v>
      </c>
      <c r="CD266" s="1">
        <v>0.887</v>
      </c>
      <c r="CE266" s="1">
        <v>0.694</v>
      </c>
      <c r="CF266" s="1">
        <v>0.655</v>
      </c>
      <c r="CG266" s="1">
        <v>3.71</v>
      </c>
      <c r="CH266" s="1">
        <v>0.978</v>
      </c>
      <c r="CI266" s="1">
        <v>9.4503</v>
      </c>
      <c r="CJ266" s="1">
        <v>0.8996</v>
      </c>
      <c r="CK266" s="1">
        <v>0.0</v>
      </c>
      <c r="CL266" s="1">
        <v>1.0</v>
      </c>
      <c r="CM266" s="1">
        <v>0.0</v>
      </c>
      <c r="CN266" s="1">
        <v>0.0</v>
      </c>
      <c r="CO266" s="1">
        <v>1.0</v>
      </c>
      <c r="CP266" s="1">
        <v>0.0</v>
      </c>
      <c r="CQ266" s="1">
        <v>0.0</v>
      </c>
      <c r="CR266" s="1">
        <v>0.0</v>
      </c>
      <c r="CS266" s="1">
        <v>0.0</v>
      </c>
      <c r="CT266" s="1">
        <v>0.0</v>
      </c>
      <c r="CU266" s="1">
        <v>0.0</v>
      </c>
      <c r="CV266" s="1">
        <v>0.0</v>
      </c>
      <c r="CW266" s="1">
        <v>0.0</v>
      </c>
      <c r="CX266" s="1">
        <v>0.0</v>
      </c>
      <c r="CY266" s="1">
        <v>0.0</v>
      </c>
      <c r="CZ266" s="1">
        <v>0.0</v>
      </c>
      <c r="DA266" s="1">
        <v>0.0</v>
      </c>
      <c r="DB266" s="1">
        <v>0.0</v>
      </c>
      <c r="DC266" s="1">
        <v>1.0</v>
      </c>
      <c r="DD266" s="1" t="s">
        <v>1367</v>
      </c>
      <c r="DE266" s="1">
        <v>0.00607738086877046</v>
      </c>
      <c r="DF266" s="1">
        <v>0.449469402941304</v>
      </c>
    </row>
    <row r="267" ht="15.75" customHeight="1">
      <c r="A267" s="1" t="s">
        <v>1368</v>
      </c>
      <c r="B267" s="1">
        <v>29.0</v>
      </c>
      <c r="C267" s="2" t="s">
        <v>1345</v>
      </c>
      <c r="D267" s="1">
        <v>450400.0</v>
      </c>
      <c r="E267" s="1">
        <v>200.146</v>
      </c>
      <c r="F267" s="1">
        <v>29055.0</v>
      </c>
      <c r="G267" s="1">
        <v>2.90554504E10</v>
      </c>
      <c r="H267" s="1" t="s">
        <v>112</v>
      </c>
      <c r="I267" s="1" t="s">
        <v>113</v>
      </c>
      <c r="J267" s="1" t="s">
        <v>1346</v>
      </c>
      <c r="K267" s="1" t="s">
        <v>1369</v>
      </c>
      <c r="L267" s="1">
        <v>5225.0</v>
      </c>
      <c r="M267" s="1">
        <v>4872.0</v>
      </c>
      <c r="N267" s="1">
        <v>659.0</v>
      </c>
      <c r="O267" s="1">
        <v>2445.0</v>
      </c>
      <c r="P267" s="1">
        <v>2478.0</v>
      </c>
      <c r="Q267" s="1">
        <v>144.0</v>
      </c>
      <c r="R267" s="1">
        <v>2039.0</v>
      </c>
      <c r="S267" s="1">
        <v>552.0</v>
      </c>
      <c r="T267" s="1">
        <v>158.0</v>
      </c>
      <c r="U267" s="1">
        <v>261.0</v>
      </c>
      <c r="V267" s="1">
        <v>347.0</v>
      </c>
      <c r="W267" s="1">
        <v>17801.0</v>
      </c>
      <c r="X267" s="1">
        <v>2345.0</v>
      </c>
      <c r="Y267" s="1">
        <v>815.0</v>
      </c>
      <c r="Z267" s="1">
        <v>284.0</v>
      </c>
      <c r="AA267" s="1">
        <v>885.0</v>
      </c>
      <c r="AB267" s="1">
        <v>1256.0</v>
      </c>
      <c r="AC267" s="1">
        <v>226.0</v>
      </c>
      <c r="AD267" s="1">
        <v>177.0</v>
      </c>
      <c r="AE267" s="1">
        <v>0.0</v>
      </c>
      <c r="AF267" s="1">
        <v>456.0</v>
      </c>
      <c r="AG267" s="1">
        <v>17.0</v>
      </c>
      <c r="AH267" s="1">
        <v>20.0</v>
      </c>
      <c r="AI267" s="1">
        <v>418.0</v>
      </c>
      <c r="AJ267" s="1">
        <v>136.0</v>
      </c>
      <c r="AK267" s="1">
        <v>59.0</v>
      </c>
      <c r="AL267" s="1">
        <v>134.0</v>
      </c>
      <c r="AM267" s="1">
        <v>152.0</v>
      </c>
      <c r="AN267" s="1">
        <v>69.0</v>
      </c>
      <c r="AO267" s="1">
        <v>177.0</v>
      </c>
      <c r="AP267" s="1">
        <v>0.114404</v>
      </c>
      <c r="AQ267" s="1">
        <v>0.02893</v>
      </c>
      <c r="AR267" s="1">
        <v>0.122191</v>
      </c>
      <c r="AS267" s="1">
        <v>0.161501</v>
      </c>
      <c r="AT267" s="1">
        <v>17801.0</v>
      </c>
      <c r="AU267" s="1">
        <v>2345.0</v>
      </c>
      <c r="AV267" s="1">
        <v>0.244891</v>
      </c>
      <c r="AW267" s="1">
        <v>0.081072</v>
      </c>
      <c r="AX267" s="1">
        <v>0.169377</v>
      </c>
      <c r="AY267" s="1">
        <v>0.240382</v>
      </c>
      <c r="AZ267" s="1">
        <v>0.11083864</v>
      </c>
      <c r="BA267" s="1">
        <v>0.033875</v>
      </c>
      <c r="BB267" s="1">
        <v>0.0</v>
      </c>
      <c r="BC267" s="1">
        <v>0.101446</v>
      </c>
      <c r="BD267" s="1">
        <v>0.00686</v>
      </c>
      <c r="BE267" s="1">
        <v>0.008061</v>
      </c>
      <c r="BF267" s="1">
        <v>0.168684</v>
      </c>
      <c r="BG267" s="1">
        <v>0.054</v>
      </c>
      <c r="BH267" s="1">
        <v>0.03089</v>
      </c>
      <c r="BI267" s="1">
        <v>0.070099</v>
      </c>
      <c r="BJ267" s="1">
        <v>0.079581</v>
      </c>
      <c r="BK267" s="1">
        <v>0.035373</v>
      </c>
      <c r="BL267" s="1">
        <v>0.033875</v>
      </c>
      <c r="BM267" s="1">
        <v>0.431</v>
      </c>
      <c r="BN267" s="1">
        <v>0.83</v>
      </c>
      <c r="BO267" s="1">
        <v>0.7379</v>
      </c>
      <c r="BP267" s="1">
        <v>0.859</v>
      </c>
      <c r="BQ267" s="1">
        <v>2.8579</v>
      </c>
      <c r="BR267" s="1">
        <v>0.7668</v>
      </c>
      <c r="BS267" s="1">
        <v>0.732</v>
      </c>
      <c r="BT267" s="1">
        <v>0.5</v>
      </c>
      <c r="BU267" s="1">
        <v>0.593</v>
      </c>
      <c r="BV267" s="1">
        <v>1.825</v>
      </c>
      <c r="BW267" s="1">
        <v>0.746</v>
      </c>
      <c r="BX267" s="1">
        <v>0.11</v>
      </c>
      <c r="BY267" s="1">
        <v>0.0</v>
      </c>
      <c r="BZ267" s="1">
        <v>0.11</v>
      </c>
      <c r="CA267" s="1">
        <v>0.053</v>
      </c>
      <c r="CB267" s="1">
        <v>0.349</v>
      </c>
      <c r="CC267" s="1">
        <v>0.851</v>
      </c>
      <c r="CD267" s="1">
        <v>0.818</v>
      </c>
      <c r="CE267" s="1">
        <v>0.672</v>
      </c>
      <c r="CF267" s="1">
        <v>0.829</v>
      </c>
      <c r="CG267" s="1">
        <v>3.519</v>
      </c>
      <c r="CH267" s="1">
        <v>0.938</v>
      </c>
      <c r="CI267" s="1">
        <v>8.3119</v>
      </c>
      <c r="CJ267" s="1">
        <v>0.7639</v>
      </c>
      <c r="CK267" s="1">
        <v>0.0</v>
      </c>
      <c r="CL267" s="1">
        <v>0.0</v>
      </c>
      <c r="CM267" s="1">
        <v>0.0</v>
      </c>
      <c r="CN267" s="1">
        <v>0.0</v>
      </c>
      <c r="CO267" s="1">
        <v>0.0</v>
      </c>
      <c r="CP267" s="1">
        <v>0.0</v>
      </c>
      <c r="CQ267" s="1">
        <v>0.0</v>
      </c>
      <c r="CR267" s="1">
        <v>0.0</v>
      </c>
      <c r="CS267" s="1">
        <v>0.0</v>
      </c>
      <c r="CT267" s="1">
        <v>0.0</v>
      </c>
      <c r="CU267" s="1">
        <v>0.0</v>
      </c>
      <c r="CV267" s="1">
        <v>0.0</v>
      </c>
      <c r="CW267" s="1">
        <v>0.0</v>
      </c>
      <c r="CX267" s="1">
        <v>0.0</v>
      </c>
      <c r="CY267" s="1">
        <v>0.0</v>
      </c>
      <c r="CZ267" s="1">
        <v>0.0</v>
      </c>
      <c r="DA267" s="1">
        <v>0.0</v>
      </c>
      <c r="DB267" s="1">
        <v>0.0</v>
      </c>
      <c r="DC267" s="1">
        <v>0.0</v>
      </c>
      <c r="DD267" s="1" t="s">
        <v>1370</v>
      </c>
      <c r="DE267" s="1">
        <v>0.053144651713828</v>
      </c>
      <c r="DF267" s="2" t="s">
        <v>1371</v>
      </c>
    </row>
    <row r="268" ht="15.75" customHeight="1">
      <c r="A268" s="1" t="s">
        <v>1372</v>
      </c>
      <c r="B268" s="1">
        <v>29.0</v>
      </c>
      <c r="C268" s="2" t="s">
        <v>1373</v>
      </c>
      <c r="D268" s="1">
        <v>480200.0</v>
      </c>
      <c r="E268" s="1">
        <v>286.373</v>
      </c>
      <c r="F268" s="1">
        <v>29057.0</v>
      </c>
      <c r="G268" s="1">
        <v>2.90574802E10</v>
      </c>
      <c r="H268" s="1" t="s">
        <v>112</v>
      </c>
      <c r="I268" s="1" t="s">
        <v>113</v>
      </c>
      <c r="J268" s="1" t="s">
        <v>1374</v>
      </c>
      <c r="K268" s="1" t="s">
        <v>1375</v>
      </c>
      <c r="L268" s="1">
        <v>3147.0</v>
      </c>
      <c r="M268" s="1">
        <v>3281.0</v>
      </c>
      <c r="N268" s="1">
        <v>231.0</v>
      </c>
      <c r="O268" s="1">
        <v>1561.0</v>
      </c>
      <c r="P268" s="1">
        <v>1637.0</v>
      </c>
      <c r="Q268" s="1">
        <v>64.0</v>
      </c>
      <c r="R268" s="1">
        <v>1293.0</v>
      </c>
      <c r="S268" s="1">
        <v>934.0</v>
      </c>
      <c r="T268" s="1">
        <v>309.0</v>
      </c>
      <c r="U268" s="1">
        <v>89.0</v>
      </c>
      <c r="V268" s="1">
        <v>363.0</v>
      </c>
      <c r="W268" s="1">
        <v>16159.0</v>
      </c>
      <c r="X268" s="1">
        <v>1783.0</v>
      </c>
      <c r="Y268" s="1">
        <v>319.0</v>
      </c>
      <c r="Z268" s="1">
        <v>269.0</v>
      </c>
      <c r="AA268" s="1">
        <v>645.0</v>
      </c>
      <c r="AB268" s="1">
        <v>750.0</v>
      </c>
      <c r="AC268" s="1">
        <v>105.0</v>
      </c>
      <c r="AD268" s="1">
        <v>146.0</v>
      </c>
      <c r="AE268" s="1">
        <v>0.0</v>
      </c>
      <c r="AF268" s="1">
        <v>456.0</v>
      </c>
      <c r="AG268" s="1">
        <v>18.0</v>
      </c>
      <c r="AH268" s="1">
        <v>116.0</v>
      </c>
      <c r="AI268" s="1">
        <v>182.0</v>
      </c>
      <c r="AJ268" s="1">
        <v>69.0</v>
      </c>
      <c r="AK268" s="1">
        <v>63.0</v>
      </c>
      <c r="AL268" s="1">
        <v>122.0</v>
      </c>
      <c r="AM268" s="1">
        <v>123.0</v>
      </c>
      <c r="AN268" s="1">
        <v>64.0</v>
      </c>
      <c r="AO268" s="1">
        <v>52.0</v>
      </c>
      <c r="AP268" s="1">
        <v>0.286064</v>
      </c>
      <c r="AQ268" s="1">
        <v>0.092507</v>
      </c>
      <c r="AR268" s="1">
        <v>0.066967</v>
      </c>
      <c r="AS268" s="1">
        <v>0.273012</v>
      </c>
      <c r="AT268" s="1">
        <v>16159.0</v>
      </c>
      <c r="AU268" s="1">
        <v>1783.0</v>
      </c>
      <c r="AV268" s="1">
        <v>0.141212</v>
      </c>
      <c r="AW268" s="1">
        <v>0.118709</v>
      </c>
      <c r="AX268" s="1">
        <v>0.204957</v>
      </c>
      <c r="AY268" s="1">
        <v>0.238322</v>
      </c>
      <c r="AZ268" s="1">
        <v>0.08120649</v>
      </c>
      <c r="BA268" s="1">
        <v>0.046393</v>
      </c>
      <c r="BB268" s="1">
        <v>0.0</v>
      </c>
      <c r="BC268" s="1">
        <v>0.146718</v>
      </c>
      <c r="BD268" s="1">
        <v>0.010995</v>
      </c>
      <c r="BE268" s="1">
        <v>0.07086</v>
      </c>
      <c r="BF268" s="1">
        <v>0.111178</v>
      </c>
      <c r="BG268" s="1">
        <v>0.041925</v>
      </c>
      <c r="BH268" s="1">
        <v>0.045851</v>
      </c>
      <c r="BI268" s="1">
        <v>0.088731</v>
      </c>
      <c r="BJ268" s="1">
        <v>0.089519</v>
      </c>
      <c r="BK268" s="1">
        <v>0.046139</v>
      </c>
      <c r="BL268" s="1">
        <v>0.016523</v>
      </c>
      <c r="BM268" s="1">
        <v>0.871</v>
      </c>
      <c r="BN268" s="1">
        <v>0.487</v>
      </c>
      <c r="BO268" s="1">
        <v>0.8296</v>
      </c>
      <c r="BP268" s="1">
        <v>0.527</v>
      </c>
      <c r="BQ268" s="1">
        <v>2.7146</v>
      </c>
      <c r="BR268" s="1">
        <v>0.7278</v>
      </c>
      <c r="BS268" s="1">
        <v>0.892</v>
      </c>
      <c r="BT268" s="1">
        <v>0.479</v>
      </c>
      <c r="BU268" s="1">
        <v>0.316</v>
      </c>
      <c r="BV268" s="1">
        <v>1.687</v>
      </c>
      <c r="BW268" s="1">
        <v>0.631</v>
      </c>
      <c r="BX268" s="1">
        <v>0.224</v>
      </c>
      <c r="BY268" s="1">
        <v>0.0</v>
      </c>
      <c r="BZ268" s="1">
        <v>0.224</v>
      </c>
      <c r="CA268" s="1">
        <v>0.097</v>
      </c>
      <c r="CB268" s="1">
        <v>0.392</v>
      </c>
      <c r="CC268" s="1">
        <v>0.742</v>
      </c>
      <c r="CD268" s="1">
        <v>0.919</v>
      </c>
      <c r="CE268" s="1">
        <v>0.717</v>
      </c>
      <c r="CF268" s="1">
        <v>0.666</v>
      </c>
      <c r="CG268" s="1">
        <v>3.436</v>
      </c>
      <c r="CH268" s="1">
        <v>0.925</v>
      </c>
      <c r="CI268" s="1">
        <v>8.0616</v>
      </c>
      <c r="CJ268" s="1">
        <v>0.7242</v>
      </c>
      <c r="CK268" s="1">
        <v>0.0</v>
      </c>
      <c r="CL268" s="1">
        <v>0.0</v>
      </c>
      <c r="CM268" s="1">
        <v>0.0</v>
      </c>
      <c r="CN268" s="1">
        <v>0.0</v>
      </c>
      <c r="CO268" s="1">
        <v>0.0</v>
      </c>
      <c r="CP268" s="1">
        <v>0.0</v>
      </c>
      <c r="CQ268" s="1">
        <v>0.0</v>
      </c>
      <c r="CR268" s="1">
        <v>0.0</v>
      </c>
      <c r="CS268" s="1">
        <v>0.0</v>
      </c>
      <c r="CT268" s="1">
        <v>0.0</v>
      </c>
      <c r="CU268" s="1">
        <v>0.0</v>
      </c>
      <c r="CV268" s="1">
        <v>0.0</v>
      </c>
      <c r="CW268" s="1">
        <v>0.0</v>
      </c>
      <c r="CX268" s="1">
        <v>0.0</v>
      </c>
      <c r="CY268" s="1">
        <v>1.0</v>
      </c>
      <c r="CZ268" s="1">
        <v>0.0</v>
      </c>
      <c r="DA268" s="1">
        <v>0.0</v>
      </c>
      <c r="DB268" s="1">
        <v>1.0</v>
      </c>
      <c r="DC268" s="1">
        <v>1.0</v>
      </c>
      <c r="DD268" s="1" t="s">
        <v>1376</v>
      </c>
      <c r="DE268" s="1">
        <v>0.07669524341433</v>
      </c>
      <c r="DF268" s="2" t="s">
        <v>1377</v>
      </c>
    </row>
    <row r="269" ht="15.75" customHeight="1">
      <c r="A269" s="1" t="s">
        <v>1378</v>
      </c>
      <c r="B269" s="1">
        <v>29.0</v>
      </c>
      <c r="C269" s="2" t="s">
        <v>1373</v>
      </c>
      <c r="D269" s="1">
        <v>480100.0</v>
      </c>
      <c r="E269" s="1">
        <v>203.639</v>
      </c>
      <c r="F269" s="1">
        <v>29057.0</v>
      </c>
      <c r="G269" s="1">
        <v>2.90574801E10</v>
      </c>
      <c r="H269" s="1" t="s">
        <v>112</v>
      </c>
      <c r="I269" s="1" t="s">
        <v>113</v>
      </c>
      <c r="J269" s="1" t="s">
        <v>1374</v>
      </c>
      <c r="K269" s="1" t="s">
        <v>1379</v>
      </c>
      <c r="L269" s="1">
        <v>4736.0</v>
      </c>
      <c r="M269" s="1">
        <v>4648.0</v>
      </c>
      <c r="N269" s="1">
        <v>231.0</v>
      </c>
      <c r="O269" s="1">
        <v>2404.0</v>
      </c>
      <c r="P269" s="1">
        <v>2324.0</v>
      </c>
      <c r="Q269" s="1">
        <v>61.0</v>
      </c>
      <c r="R269" s="1">
        <v>1978.0</v>
      </c>
      <c r="S269" s="1">
        <v>680.0</v>
      </c>
      <c r="T269" s="1">
        <v>157.0</v>
      </c>
      <c r="U269" s="1">
        <v>227.0</v>
      </c>
      <c r="V269" s="1">
        <v>332.0</v>
      </c>
      <c r="W269" s="1">
        <v>16976.0</v>
      </c>
      <c r="X269" s="1">
        <v>1799.0</v>
      </c>
      <c r="Y269" s="1">
        <v>689.0</v>
      </c>
      <c r="Z269" s="1">
        <v>237.0</v>
      </c>
      <c r="AA269" s="1">
        <v>972.0</v>
      </c>
      <c r="AB269" s="1">
        <v>1035.0</v>
      </c>
      <c r="AC269" s="1">
        <v>150.0</v>
      </c>
      <c r="AD269" s="1">
        <v>261.0</v>
      </c>
      <c r="AE269" s="1">
        <v>0.0</v>
      </c>
      <c r="AF269" s="1">
        <v>456.0</v>
      </c>
      <c r="AG269" s="1">
        <v>26.0</v>
      </c>
      <c r="AH269" s="1">
        <v>115.0</v>
      </c>
      <c r="AI269" s="1">
        <v>295.0</v>
      </c>
      <c r="AJ269" s="1">
        <v>73.0</v>
      </c>
      <c r="AK269" s="1">
        <v>30.0</v>
      </c>
      <c r="AL269" s="1">
        <v>116.0</v>
      </c>
      <c r="AM269" s="1">
        <v>107.0</v>
      </c>
      <c r="AN269" s="1">
        <v>40.0</v>
      </c>
      <c r="AO269" s="1">
        <v>81.0</v>
      </c>
      <c r="AP269" s="1">
        <v>0.146963</v>
      </c>
      <c r="AQ269" s="1">
        <v>0.033135</v>
      </c>
      <c r="AR269" s="1">
        <v>0.116469</v>
      </c>
      <c r="AS269" s="1">
        <v>0.170088</v>
      </c>
      <c r="AT269" s="1">
        <v>16976.0</v>
      </c>
      <c r="AU269" s="1">
        <v>1799.0</v>
      </c>
      <c r="AV269" s="1">
        <v>0.205733</v>
      </c>
      <c r="AW269" s="1">
        <v>0.070172</v>
      </c>
      <c r="AX269" s="1">
        <v>0.205236</v>
      </c>
      <c r="AY269" s="1">
        <v>0.218538</v>
      </c>
      <c r="AZ269" s="1">
        <v>0.07583417</v>
      </c>
      <c r="BA269" s="1">
        <v>0.055109</v>
      </c>
      <c r="BB269" s="1">
        <v>0.0</v>
      </c>
      <c r="BC269" s="1">
        <v>0.103214</v>
      </c>
      <c r="BD269" s="1">
        <v>0.011187</v>
      </c>
      <c r="BE269" s="1">
        <v>0.049482</v>
      </c>
      <c r="BF269" s="1">
        <v>0.126936</v>
      </c>
      <c r="BG269" s="1">
        <v>0.031234</v>
      </c>
      <c r="BH269" s="1">
        <v>0.015772</v>
      </c>
      <c r="BI269" s="1">
        <v>0.060983</v>
      </c>
      <c r="BJ269" s="1">
        <v>0.056256</v>
      </c>
      <c r="BK269" s="1">
        <v>0.020861</v>
      </c>
      <c r="BL269" s="1">
        <v>0.017103</v>
      </c>
      <c r="BM269" s="1">
        <v>0.57</v>
      </c>
      <c r="BN269" s="1">
        <v>0.811</v>
      </c>
      <c r="BO269" s="1">
        <v>0.787</v>
      </c>
      <c r="BP269" s="1">
        <v>0.766</v>
      </c>
      <c r="BQ269" s="1">
        <v>2.934</v>
      </c>
      <c r="BR269" s="1">
        <v>0.7906</v>
      </c>
      <c r="BS269" s="1">
        <v>0.894</v>
      </c>
      <c r="BT269" s="1">
        <v>0.293</v>
      </c>
      <c r="BU269" s="1">
        <v>0.264</v>
      </c>
      <c r="BV269" s="1">
        <v>1.451</v>
      </c>
      <c r="BW269" s="1">
        <v>0.438</v>
      </c>
      <c r="BX269" s="1">
        <v>0.283</v>
      </c>
      <c r="BY269" s="1">
        <v>0.0</v>
      </c>
      <c r="BZ269" s="1">
        <v>0.283</v>
      </c>
      <c r="CA269" s="1">
        <v>0.12</v>
      </c>
      <c r="CB269" s="1">
        <v>0.394</v>
      </c>
      <c r="CC269" s="1">
        <v>0.77</v>
      </c>
      <c r="CD269" s="1">
        <v>0.61</v>
      </c>
      <c r="CE269" s="1">
        <v>0.542</v>
      </c>
      <c r="CF269" s="1">
        <v>0.674</v>
      </c>
      <c r="CG269" s="1">
        <v>2.99</v>
      </c>
      <c r="CH269" s="1">
        <v>0.771</v>
      </c>
      <c r="CI269" s="1">
        <v>7.658</v>
      </c>
      <c r="CJ269" s="1">
        <v>0.6606</v>
      </c>
      <c r="CK269" s="1">
        <v>0.0</v>
      </c>
      <c r="CL269" s="1">
        <v>0.0</v>
      </c>
      <c r="CM269" s="1">
        <v>0.0</v>
      </c>
      <c r="CN269" s="1">
        <v>0.0</v>
      </c>
      <c r="CO269" s="1">
        <v>0.0</v>
      </c>
      <c r="CP269" s="1">
        <v>0.0</v>
      </c>
      <c r="CQ269" s="1">
        <v>0.0</v>
      </c>
      <c r="CR269" s="1">
        <v>0.0</v>
      </c>
      <c r="CS269" s="1">
        <v>0.0</v>
      </c>
      <c r="CT269" s="1">
        <v>0.0</v>
      </c>
      <c r="CU269" s="1">
        <v>0.0</v>
      </c>
      <c r="CV269" s="1">
        <v>0.0</v>
      </c>
      <c r="CW269" s="1">
        <v>0.0</v>
      </c>
      <c r="CX269" s="1">
        <v>0.0</v>
      </c>
      <c r="CY269" s="1">
        <v>0.0</v>
      </c>
      <c r="CZ269" s="1">
        <v>0.0</v>
      </c>
      <c r="DA269" s="1">
        <v>0.0</v>
      </c>
      <c r="DB269" s="1">
        <v>0.0</v>
      </c>
      <c r="DC269" s="1">
        <v>0.0</v>
      </c>
      <c r="DD269" s="1" t="s">
        <v>1380</v>
      </c>
      <c r="DE269" s="1">
        <v>0.0567619103807958</v>
      </c>
      <c r="DF269" s="2" t="s">
        <v>1381</v>
      </c>
    </row>
    <row r="270" ht="15.75" customHeight="1">
      <c r="A270" s="1" t="s">
        <v>1382</v>
      </c>
      <c r="B270" s="1">
        <v>29.0</v>
      </c>
      <c r="C270" s="2" t="s">
        <v>1383</v>
      </c>
      <c r="D270" s="1">
        <v>480100.0</v>
      </c>
      <c r="E270" s="1">
        <v>264.049</v>
      </c>
      <c r="F270" s="1">
        <v>29059.0</v>
      </c>
      <c r="G270" s="1">
        <v>2.90594801E10</v>
      </c>
      <c r="H270" s="1" t="s">
        <v>112</v>
      </c>
      <c r="I270" s="1" t="s">
        <v>113</v>
      </c>
      <c r="J270" s="1" t="s">
        <v>1384</v>
      </c>
      <c r="K270" s="1" t="s">
        <v>1385</v>
      </c>
      <c r="L270" s="1">
        <v>4724.0</v>
      </c>
      <c r="M270" s="1">
        <v>4806.0</v>
      </c>
      <c r="N270" s="1">
        <v>542.0</v>
      </c>
      <c r="O270" s="1">
        <v>2247.0</v>
      </c>
      <c r="P270" s="1">
        <v>2337.0</v>
      </c>
      <c r="Q270" s="1">
        <v>198.0</v>
      </c>
      <c r="R270" s="1">
        <v>1805.0</v>
      </c>
      <c r="S270" s="1">
        <v>848.0</v>
      </c>
      <c r="T270" s="1">
        <v>271.0</v>
      </c>
      <c r="U270" s="1">
        <v>178.0</v>
      </c>
      <c r="V270" s="1">
        <v>385.0</v>
      </c>
      <c r="W270" s="1">
        <v>17844.0</v>
      </c>
      <c r="X270" s="1">
        <v>2087.0</v>
      </c>
      <c r="Y270" s="1">
        <v>602.0</v>
      </c>
      <c r="Z270" s="1">
        <v>212.0</v>
      </c>
      <c r="AA270" s="1">
        <v>799.0</v>
      </c>
      <c r="AB270" s="1">
        <v>1210.0</v>
      </c>
      <c r="AC270" s="1">
        <v>136.0</v>
      </c>
      <c r="AD270" s="1">
        <v>228.0</v>
      </c>
      <c r="AE270" s="1">
        <v>19.0</v>
      </c>
      <c r="AF270" s="1">
        <v>442.0</v>
      </c>
      <c r="AG270" s="1">
        <v>2.0</v>
      </c>
      <c r="AH270" s="1">
        <v>161.0</v>
      </c>
      <c r="AI270" s="1">
        <v>656.0</v>
      </c>
      <c r="AJ270" s="1">
        <v>181.0</v>
      </c>
      <c r="AK270" s="1">
        <v>13.0</v>
      </c>
      <c r="AL270" s="1">
        <v>116.0</v>
      </c>
      <c r="AM270" s="1">
        <v>181.0</v>
      </c>
      <c r="AN270" s="1">
        <v>84.0</v>
      </c>
      <c r="AO270" s="1">
        <v>26.0</v>
      </c>
      <c r="AP270" s="1">
        <v>0.176446</v>
      </c>
      <c r="AQ270" s="1">
        <v>0.05276</v>
      </c>
      <c r="AR270" s="1">
        <v>0.089808</v>
      </c>
      <c r="AS270" s="1">
        <v>0.193762</v>
      </c>
      <c r="AT270" s="1">
        <v>17844.0</v>
      </c>
      <c r="AU270" s="1">
        <v>2087.0</v>
      </c>
      <c r="AV270" s="1">
        <v>0.175663</v>
      </c>
      <c r="AW270" s="1">
        <v>0.058899</v>
      </c>
      <c r="AX270" s="1">
        <v>0.169136</v>
      </c>
      <c r="AY270" s="1">
        <v>0.256138</v>
      </c>
      <c r="AZ270" s="1">
        <v>0.07534626</v>
      </c>
      <c r="BA270" s="1">
        <v>0.048264</v>
      </c>
      <c r="BB270" s="1">
        <v>0.004186</v>
      </c>
      <c r="BC270" s="1">
        <v>0.097398</v>
      </c>
      <c r="BD270" s="1">
        <v>8.55E-4</v>
      </c>
      <c r="BE270" s="1">
        <v>0.068891</v>
      </c>
      <c r="BF270" s="1">
        <v>0.280701</v>
      </c>
      <c r="BG270" s="1">
        <v>0.073707</v>
      </c>
      <c r="BH270" s="1">
        <v>0.006701</v>
      </c>
      <c r="BI270" s="1">
        <v>0.059789</v>
      </c>
      <c r="BJ270" s="1">
        <v>0.093298</v>
      </c>
      <c r="BK270" s="1">
        <v>0.042069</v>
      </c>
      <c r="BL270" s="1">
        <v>0.005503</v>
      </c>
      <c r="BM270" s="1">
        <v>0.669</v>
      </c>
      <c r="BN270" s="1">
        <v>0.68</v>
      </c>
      <c r="BO270" s="1">
        <v>0.7372</v>
      </c>
      <c r="BP270" s="1">
        <v>0.671</v>
      </c>
      <c r="BQ270" s="1">
        <v>2.7572</v>
      </c>
      <c r="BR270" s="1">
        <v>0.735</v>
      </c>
      <c r="BS270" s="1">
        <v>0.731</v>
      </c>
      <c r="BT270" s="1">
        <v>0.663</v>
      </c>
      <c r="BU270" s="1">
        <v>0.259</v>
      </c>
      <c r="BV270" s="1">
        <v>1.653</v>
      </c>
      <c r="BW270" s="1">
        <v>0.604</v>
      </c>
      <c r="BX270" s="1">
        <v>0.235</v>
      </c>
      <c r="BY270" s="1">
        <v>0.525</v>
      </c>
      <c r="BZ270" s="1">
        <v>0.76</v>
      </c>
      <c r="CA270" s="1">
        <v>0.367</v>
      </c>
      <c r="CB270" s="1">
        <v>0.252</v>
      </c>
      <c r="CC270" s="1">
        <v>0.975</v>
      </c>
      <c r="CD270" s="1">
        <v>0.381</v>
      </c>
      <c r="CE270" s="1">
        <v>0.731</v>
      </c>
      <c r="CF270" s="1">
        <v>0.523</v>
      </c>
      <c r="CG270" s="1">
        <v>2.862</v>
      </c>
      <c r="CH270" s="1">
        <v>0.717</v>
      </c>
      <c r="CI270" s="1">
        <v>8.0322</v>
      </c>
      <c r="CJ270" s="1">
        <v>0.7206</v>
      </c>
      <c r="CK270" s="1">
        <v>0.0</v>
      </c>
      <c r="CL270" s="1">
        <v>0.0</v>
      </c>
      <c r="CM270" s="1">
        <v>0.0</v>
      </c>
      <c r="CN270" s="1">
        <v>0.0</v>
      </c>
      <c r="CO270" s="1">
        <v>0.0</v>
      </c>
      <c r="CP270" s="1">
        <v>0.0</v>
      </c>
      <c r="CQ270" s="1">
        <v>0.0</v>
      </c>
      <c r="CR270" s="1">
        <v>0.0</v>
      </c>
      <c r="CS270" s="1">
        <v>0.0</v>
      </c>
      <c r="CT270" s="1">
        <v>0.0</v>
      </c>
      <c r="CU270" s="1">
        <v>0.0</v>
      </c>
      <c r="CV270" s="1">
        <v>0.0</v>
      </c>
      <c r="CW270" s="1">
        <v>0.0</v>
      </c>
      <c r="CX270" s="1">
        <v>1.0</v>
      </c>
      <c r="CY270" s="1">
        <v>0.0</v>
      </c>
      <c r="CZ270" s="1">
        <v>0.0</v>
      </c>
      <c r="DA270" s="1">
        <v>0.0</v>
      </c>
      <c r="DB270" s="1">
        <v>1.0</v>
      </c>
      <c r="DC270" s="1">
        <v>1.0</v>
      </c>
      <c r="DD270" s="1" t="s">
        <v>1386</v>
      </c>
      <c r="DE270" s="1">
        <v>0.0703038633227298</v>
      </c>
      <c r="DF270" s="2" t="s">
        <v>1387</v>
      </c>
    </row>
    <row r="271" ht="15.75" customHeight="1">
      <c r="A271" s="1" t="s">
        <v>1388</v>
      </c>
      <c r="B271" s="1">
        <v>29.0</v>
      </c>
      <c r="C271" s="2" t="s">
        <v>1383</v>
      </c>
      <c r="D271" s="1">
        <v>480200.0</v>
      </c>
      <c r="E271" s="1">
        <v>60.674</v>
      </c>
      <c r="F271" s="1">
        <v>29059.0</v>
      </c>
      <c r="G271" s="1">
        <v>2.90594802E10</v>
      </c>
      <c r="H271" s="1" t="s">
        <v>112</v>
      </c>
      <c r="I271" s="1" t="s">
        <v>113</v>
      </c>
      <c r="J271" s="1" t="s">
        <v>1384</v>
      </c>
      <c r="K271" s="1" t="s">
        <v>1389</v>
      </c>
      <c r="L271" s="1">
        <v>5198.0</v>
      </c>
      <c r="M271" s="1">
        <v>5557.0</v>
      </c>
      <c r="N271" s="1">
        <v>525.0</v>
      </c>
      <c r="O271" s="1">
        <v>2498.0</v>
      </c>
      <c r="P271" s="1">
        <v>2411.0</v>
      </c>
      <c r="Q271" s="1">
        <v>268.0</v>
      </c>
      <c r="R271" s="1">
        <v>2122.0</v>
      </c>
      <c r="S271" s="1">
        <v>1026.0</v>
      </c>
      <c r="T271" s="1">
        <v>396.0</v>
      </c>
      <c r="U271" s="1">
        <v>371.0</v>
      </c>
      <c r="V271" s="1">
        <v>370.0</v>
      </c>
      <c r="W271" s="1">
        <v>18457.0</v>
      </c>
      <c r="X271" s="1">
        <v>3514.0</v>
      </c>
      <c r="Y271" s="1">
        <v>759.0</v>
      </c>
      <c r="Z271" s="1">
        <v>204.0</v>
      </c>
      <c r="AA271" s="1">
        <v>1086.0</v>
      </c>
      <c r="AB271" s="1">
        <v>1255.0</v>
      </c>
      <c r="AC271" s="1">
        <v>275.0</v>
      </c>
      <c r="AD271" s="1">
        <v>268.0</v>
      </c>
      <c r="AE271" s="1">
        <v>42.0</v>
      </c>
      <c r="AF271" s="1">
        <v>414.0</v>
      </c>
      <c r="AG271" s="1">
        <v>71.0</v>
      </c>
      <c r="AH271" s="1">
        <v>129.0</v>
      </c>
      <c r="AI271" s="1">
        <v>215.0</v>
      </c>
      <c r="AJ271" s="1">
        <v>126.0</v>
      </c>
      <c r="AK271" s="1">
        <v>67.0</v>
      </c>
      <c r="AL271" s="1">
        <v>132.0</v>
      </c>
      <c r="AM271" s="1">
        <v>138.0</v>
      </c>
      <c r="AN271" s="1">
        <v>87.0</v>
      </c>
      <c r="AO271" s="1">
        <v>173.0</v>
      </c>
      <c r="AP271" s="1">
        <v>0.193694</v>
      </c>
      <c r="AQ271" s="1">
        <v>0.071816</v>
      </c>
      <c r="AR271" s="1">
        <v>0.141982</v>
      </c>
      <c r="AS271" s="1">
        <v>0.140133</v>
      </c>
      <c r="AT271" s="1">
        <v>18457.0</v>
      </c>
      <c r="AU271" s="1">
        <v>3514.0</v>
      </c>
      <c r="AV271" s="1">
        <v>0.211067</v>
      </c>
      <c r="AW271" s="1">
        <v>0.052334</v>
      </c>
      <c r="AX271" s="1">
        <v>0.208926</v>
      </c>
      <c r="AY271" s="1">
        <v>0.241439</v>
      </c>
      <c r="AZ271" s="1">
        <v>0.12959472</v>
      </c>
      <c r="BA271" s="1">
        <v>0.051558</v>
      </c>
      <c r="BB271" s="1">
        <v>0.00833</v>
      </c>
      <c r="BC271" s="1">
        <v>0.082106</v>
      </c>
      <c r="BD271" s="1">
        <v>0.029448</v>
      </c>
      <c r="BE271" s="1">
        <v>0.053404</v>
      </c>
      <c r="BF271" s="1">
        <v>0.089174</v>
      </c>
      <c r="BG271" s="1">
        <v>0.051311</v>
      </c>
      <c r="BH271" s="1">
        <v>0.031177</v>
      </c>
      <c r="BI271" s="1">
        <v>0.061325</v>
      </c>
      <c r="BJ271" s="1">
        <v>0.064215</v>
      </c>
      <c r="BK271" s="1">
        <v>0.039843</v>
      </c>
      <c r="BL271" s="1">
        <v>0.033282</v>
      </c>
      <c r="BM271" s="1">
        <v>0.712</v>
      </c>
      <c r="BN271" s="1">
        <v>0.879</v>
      </c>
      <c r="BO271" s="1">
        <v>0.7105</v>
      </c>
      <c r="BP271" s="1">
        <v>0.783</v>
      </c>
      <c r="BQ271" s="1">
        <v>3.0845</v>
      </c>
      <c r="BR271" s="1">
        <v>0.8188</v>
      </c>
      <c r="BS271" s="1">
        <v>0.905</v>
      </c>
      <c r="BT271" s="1">
        <v>0.508</v>
      </c>
      <c r="BU271" s="1">
        <v>0.713</v>
      </c>
      <c r="BV271" s="1">
        <v>2.126</v>
      </c>
      <c r="BW271" s="1">
        <v>0.933</v>
      </c>
      <c r="BX271" s="1">
        <v>0.258</v>
      </c>
      <c r="BY271" s="1">
        <v>0.676</v>
      </c>
      <c r="BZ271" s="1">
        <v>0.934</v>
      </c>
      <c r="CA271" s="1">
        <v>0.494</v>
      </c>
      <c r="CB271" s="1">
        <v>0.547</v>
      </c>
      <c r="CC271" s="1">
        <v>0.7</v>
      </c>
      <c r="CD271" s="1">
        <v>0.822</v>
      </c>
      <c r="CE271" s="1">
        <v>0.592</v>
      </c>
      <c r="CF271" s="1">
        <v>0.825</v>
      </c>
      <c r="CG271" s="1">
        <v>3.486</v>
      </c>
      <c r="CH271" s="1">
        <v>0.932</v>
      </c>
      <c r="CI271" s="1">
        <v>9.6305</v>
      </c>
      <c r="CJ271" s="1">
        <v>0.9191</v>
      </c>
      <c r="CK271" s="1">
        <v>0.0</v>
      </c>
      <c r="CL271" s="1">
        <v>0.0</v>
      </c>
      <c r="CM271" s="1">
        <v>0.0</v>
      </c>
      <c r="CN271" s="1">
        <v>0.0</v>
      </c>
      <c r="CO271" s="1">
        <v>0.0</v>
      </c>
      <c r="CP271" s="1">
        <v>1.0</v>
      </c>
      <c r="CQ271" s="1">
        <v>0.0</v>
      </c>
      <c r="CR271" s="1">
        <v>0.0</v>
      </c>
      <c r="CS271" s="1">
        <v>1.0</v>
      </c>
      <c r="CT271" s="1">
        <v>0.0</v>
      </c>
      <c r="CU271" s="1">
        <v>0.0</v>
      </c>
      <c r="CV271" s="1">
        <v>0.0</v>
      </c>
      <c r="CW271" s="1">
        <v>0.0</v>
      </c>
      <c r="CX271" s="1">
        <v>0.0</v>
      </c>
      <c r="CY271" s="1">
        <v>0.0</v>
      </c>
      <c r="CZ271" s="1">
        <v>0.0</v>
      </c>
      <c r="DA271" s="1">
        <v>0.0</v>
      </c>
      <c r="DB271" s="1">
        <v>0.0</v>
      </c>
      <c r="DC271" s="1">
        <v>1.0</v>
      </c>
      <c r="DD271" s="1" t="s">
        <v>1390</v>
      </c>
      <c r="DE271" s="1">
        <v>0.0160910474640086</v>
      </c>
      <c r="DF271" s="2" t="s">
        <v>1391</v>
      </c>
    </row>
    <row r="272" ht="15.75" customHeight="1">
      <c r="A272" s="1" t="s">
        <v>1392</v>
      </c>
      <c r="B272" s="1">
        <v>29.0</v>
      </c>
      <c r="C272" s="2" t="s">
        <v>1383</v>
      </c>
      <c r="D272" s="1">
        <v>480300.0</v>
      </c>
      <c r="E272" s="1">
        <v>216.046</v>
      </c>
      <c r="F272" s="1">
        <v>29059.0</v>
      </c>
      <c r="G272" s="1">
        <v>2.90594803E10</v>
      </c>
      <c r="H272" s="1" t="s">
        <v>112</v>
      </c>
      <c r="I272" s="1" t="s">
        <v>113</v>
      </c>
      <c r="J272" s="1" t="s">
        <v>1384</v>
      </c>
      <c r="K272" s="1" t="s">
        <v>1393</v>
      </c>
      <c r="L272" s="1">
        <v>6855.0</v>
      </c>
      <c r="M272" s="1">
        <v>6450.0</v>
      </c>
      <c r="N272" s="1">
        <v>567.0</v>
      </c>
      <c r="O272" s="1">
        <v>2917.0</v>
      </c>
      <c r="P272" s="1">
        <v>2849.0</v>
      </c>
      <c r="Q272" s="1">
        <v>202.0</v>
      </c>
      <c r="R272" s="1">
        <v>2597.0</v>
      </c>
      <c r="S272" s="1">
        <v>835.0</v>
      </c>
      <c r="T272" s="1">
        <v>492.0</v>
      </c>
      <c r="U272" s="1">
        <v>97.0</v>
      </c>
      <c r="V272" s="1">
        <v>462.0</v>
      </c>
      <c r="W272" s="1">
        <v>18765.0</v>
      </c>
      <c r="X272" s="1">
        <v>2654.0</v>
      </c>
      <c r="Y272" s="1">
        <v>964.0</v>
      </c>
      <c r="Z272" s="1">
        <v>354.0</v>
      </c>
      <c r="AA272" s="1">
        <v>968.0</v>
      </c>
      <c r="AB272" s="1">
        <v>1704.0</v>
      </c>
      <c r="AC272" s="1">
        <v>181.0</v>
      </c>
      <c r="AD272" s="1">
        <v>244.0</v>
      </c>
      <c r="AE272" s="1">
        <v>38.0</v>
      </c>
      <c r="AF272" s="1">
        <v>444.0</v>
      </c>
      <c r="AG272" s="1">
        <v>0.0</v>
      </c>
      <c r="AH272" s="1">
        <v>197.0</v>
      </c>
      <c r="AI272" s="1">
        <v>720.0</v>
      </c>
      <c r="AJ272" s="1">
        <v>216.0</v>
      </c>
      <c r="AK272" s="1">
        <v>40.0</v>
      </c>
      <c r="AL272" s="1">
        <v>127.0</v>
      </c>
      <c r="AM272" s="1">
        <v>115.0</v>
      </c>
      <c r="AN272" s="1">
        <v>83.0</v>
      </c>
      <c r="AO272" s="1">
        <v>0.0</v>
      </c>
      <c r="AP272" s="1">
        <v>0.129457</v>
      </c>
      <c r="AQ272" s="1">
        <v>0.075425</v>
      </c>
      <c r="AR272" s="1">
        <v>0.034142</v>
      </c>
      <c r="AS272" s="1">
        <v>0.162562</v>
      </c>
      <c r="AT272" s="1">
        <v>18765.0</v>
      </c>
      <c r="AU272" s="1">
        <v>2654.0</v>
      </c>
      <c r="AV272" s="1">
        <v>0.221864</v>
      </c>
      <c r="AW272" s="1">
        <v>0.078599</v>
      </c>
      <c r="AX272" s="1">
        <v>0.14121</v>
      </c>
      <c r="AY272" s="1">
        <v>0.248577</v>
      </c>
      <c r="AZ272" s="1">
        <v>0.0696958</v>
      </c>
      <c r="BA272" s="1">
        <v>0.035594</v>
      </c>
      <c r="BB272" s="1">
        <v>0.006243</v>
      </c>
      <c r="BC272" s="1">
        <v>0.072952</v>
      </c>
      <c r="BD272" s="1">
        <v>0.0</v>
      </c>
      <c r="BE272" s="1">
        <v>0.069147</v>
      </c>
      <c r="BF272" s="1">
        <v>0.25272</v>
      </c>
      <c r="BG272" s="1">
        <v>0.073668</v>
      </c>
      <c r="BH272" s="1">
        <v>0.016985</v>
      </c>
      <c r="BI272" s="1">
        <v>0.053898</v>
      </c>
      <c r="BJ272" s="1">
        <v>0.048832</v>
      </c>
      <c r="BK272" s="1">
        <v>0.034866</v>
      </c>
      <c r="BL272" s="1">
        <v>0.0</v>
      </c>
      <c r="BM272" s="1">
        <v>0.494</v>
      </c>
      <c r="BN272" s="1">
        <v>0.124</v>
      </c>
      <c r="BO272" s="1">
        <v>0.6852</v>
      </c>
      <c r="BP272" s="1">
        <v>0.806</v>
      </c>
      <c r="BQ272" s="1">
        <v>2.1092</v>
      </c>
      <c r="BR272" s="1">
        <v>0.53</v>
      </c>
      <c r="BS272" s="1">
        <v>0.508</v>
      </c>
      <c r="BT272" s="1">
        <v>0.583</v>
      </c>
      <c r="BU272" s="1">
        <v>0.214</v>
      </c>
      <c r="BV272" s="1">
        <v>1.305</v>
      </c>
      <c r="BW272" s="1">
        <v>0.307</v>
      </c>
      <c r="BX272" s="1">
        <v>0.124</v>
      </c>
      <c r="BY272" s="1">
        <v>0.607</v>
      </c>
      <c r="BZ272" s="1">
        <v>0.731</v>
      </c>
      <c r="CA272" s="1">
        <v>0.353</v>
      </c>
      <c r="CB272" s="1">
        <v>0.0</v>
      </c>
      <c r="CC272" s="1">
        <v>0.952</v>
      </c>
      <c r="CD272" s="1">
        <v>0.628</v>
      </c>
      <c r="CE272" s="1">
        <v>0.478</v>
      </c>
      <c r="CF272" s="1">
        <v>0.0</v>
      </c>
      <c r="CG272" s="1">
        <v>2.058</v>
      </c>
      <c r="CH272" s="1">
        <v>0.366</v>
      </c>
      <c r="CI272" s="1">
        <v>6.2032</v>
      </c>
      <c r="CJ272" s="1">
        <v>0.4101</v>
      </c>
      <c r="CK272" s="1">
        <v>0.0</v>
      </c>
      <c r="CL272" s="1">
        <v>0.0</v>
      </c>
      <c r="CM272" s="1">
        <v>0.0</v>
      </c>
      <c r="CN272" s="1">
        <v>0.0</v>
      </c>
      <c r="CO272" s="1">
        <v>0.0</v>
      </c>
      <c r="CP272" s="1">
        <v>0.0</v>
      </c>
      <c r="CQ272" s="1">
        <v>0.0</v>
      </c>
      <c r="CR272" s="1">
        <v>0.0</v>
      </c>
      <c r="CS272" s="1">
        <v>0.0</v>
      </c>
      <c r="CT272" s="1">
        <v>0.0</v>
      </c>
      <c r="CU272" s="1">
        <v>0.0</v>
      </c>
      <c r="CV272" s="1">
        <v>0.0</v>
      </c>
      <c r="CW272" s="1">
        <v>0.0</v>
      </c>
      <c r="CX272" s="1">
        <v>1.0</v>
      </c>
      <c r="CY272" s="1">
        <v>0.0</v>
      </c>
      <c r="CZ272" s="1">
        <v>0.0</v>
      </c>
      <c r="DA272" s="1">
        <v>0.0</v>
      </c>
      <c r="DB272" s="1">
        <v>1.0</v>
      </c>
      <c r="DC272" s="1">
        <v>1.0</v>
      </c>
      <c r="DD272" s="1" t="s">
        <v>1394</v>
      </c>
      <c r="DE272" s="1">
        <v>0.0571889899304494</v>
      </c>
      <c r="DF272" s="2" t="s">
        <v>1395</v>
      </c>
    </row>
    <row r="273" ht="15.75" customHeight="1">
      <c r="A273" s="1" t="s">
        <v>1396</v>
      </c>
      <c r="B273" s="1">
        <v>29.0</v>
      </c>
      <c r="C273" s="2" t="s">
        <v>1397</v>
      </c>
      <c r="D273" s="1">
        <v>470200.0</v>
      </c>
      <c r="E273" s="1">
        <v>226.862</v>
      </c>
      <c r="F273" s="1">
        <v>29061.0</v>
      </c>
      <c r="G273" s="1">
        <v>2.90614702E10</v>
      </c>
      <c r="H273" s="1" t="s">
        <v>112</v>
      </c>
      <c r="I273" s="1" t="s">
        <v>113</v>
      </c>
      <c r="J273" s="1" t="s">
        <v>1398</v>
      </c>
      <c r="K273" s="1" t="s">
        <v>1399</v>
      </c>
      <c r="L273" s="1">
        <v>4990.0</v>
      </c>
      <c r="M273" s="1">
        <v>5371.0</v>
      </c>
      <c r="N273" s="1">
        <v>165.0</v>
      </c>
      <c r="O273" s="1">
        <v>2332.0</v>
      </c>
      <c r="P273" s="1">
        <v>2406.0</v>
      </c>
      <c r="Q273" s="1">
        <v>56.0</v>
      </c>
      <c r="R273" s="1">
        <v>1883.0</v>
      </c>
      <c r="S273" s="1">
        <v>896.0</v>
      </c>
      <c r="T273" s="1">
        <v>211.0</v>
      </c>
      <c r="U273" s="1">
        <v>103.0</v>
      </c>
      <c r="V273" s="1">
        <v>363.0</v>
      </c>
      <c r="W273" s="1">
        <v>19223.0</v>
      </c>
      <c r="X273" s="1">
        <v>2012.0</v>
      </c>
      <c r="Y273" s="1">
        <v>617.0</v>
      </c>
      <c r="Z273" s="1">
        <v>199.0</v>
      </c>
      <c r="AA273" s="1">
        <v>784.0</v>
      </c>
      <c r="AB273" s="1">
        <v>1440.0</v>
      </c>
      <c r="AC273" s="1">
        <v>203.0</v>
      </c>
      <c r="AD273" s="1">
        <v>126.0</v>
      </c>
      <c r="AE273" s="1">
        <v>72.0</v>
      </c>
      <c r="AF273" s="1">
        <v>413.0</v>
      </c>
      <c r="AG273" s="1">
        <v>52.0</v>
      </c>
      <c r="AH273" s="1">
        <v>117.0</v>
      </c>
      <c r="AI273" s="1">
        <v>249.0</v>
      </c>
      <c r="AJ273" s="1">
        <v>76.0</v>
      </c>
      <c r="AK273" s="1">
        <v>74.0</v>
      </c>
      <c r="AL273" s="1">
        <v>119.0</v>
      </c>
      <c r="AM273" s="1">
        <v>221.0</v>
      </c>
      <c r="AN273" s="1">
        <v>52.0</v>
      </c>
      <c r="AO273" s="1">
        <v>30.0</v>
      </c>
      <c r="AP273" s="1">
        <v>0.16912</v>
      </c>
      <c r="AQ273" s="1">
        <v>0.039501</v>
      </c>
      <c r="AR273" s="1">
        <v>0.045037</v>
      </c>
      <c r="AS273" s="1">
        <v>0.15869</v>
      </c>
      <c r="AT273" s="1">
        <v>19223.0</v>
      </c>
      <c r="AU273" s="1">
        <v>2012.0</v>
      </c>
      <c r="AV273" s="1">
        <v>0.182544</v>
      </c>
      <c r="AW273" s="1">
        <v>0.058602</v>
      </c>
      <c r="AX273" s="1">
        <v>0.157114</v>
      </c>
      <c r="AY273" s="1">
        <v>0.288577</v>
      </c>
      <c r="AZ273" s="1">
        <v>0.10780669</v>
      </c>
      <c r="BA273" s="1">
        <v>0.02525</v>
      </c>
      <c r="BB273" s="1">
        <v>0.014595</v>
      </c>
      <c r="BC273" s="1">
        <v>0.08372</v>
      </c>
      <c r="BD273" s="1">
        <v>0.021612</v>
      </c>
      <c r="BE273" s="1">
        <v>0.048625</v>
      </c>
      <c r="BF273" s="1">
        <v>0.103491</v>
      </c>
      <c r="BG273" s="1">
        <v>0.031495</v>
      </c>
      <c r="BH273" s="1">
        <v>0.036815</v>
      </c>
      <c r="BI273" s="1">
        <v>0.059177</v>
      </c>
      <c r="BJ273" s="1">
        <v>0.10995</v>
      </c>
      <c r="BK273" s="1">
        <v>0.025332</v>
      </c>
      <c r="BL273" s="1">
        <v>0.006012</v>
      </c>
      <c r="BM273" s="1">
        <v>0.641</v>
      </c>
      <c r="BN273" s="1">
        <v>0.24</v>
      </c>
      <c r="BO273" s="1">
        <v>0.6563</v>
      </c>
      <c r="BP273" s="1">
        <v>0.696</v>
      </c>
      <c r="BQ273" s="1">
        <v>2.2333</v>
      </c>
      <c r="BR273" s="1">
        <v>0.5798</v>
      </c>
      <c r="BS273" s="1">
        <v>0.646</v>
      </c>
      <c r="BT273" s="1">
        <v>0.884</v>
      </c>
      <c r="BU273" s="1">
        <v>0.566</v>
      </c>
      <c r="BV273" s="1">
        <v>2.096</v>
      </c>
      <c r="BW273" s="1">
        <v>0.915</v>
      </c>
      <c r="BX273" s="1">
        <v>0.048</v>
      </c>
      <c r="BY273" s="1">
        <v>0.805</v>
      </c>
      <c r="BZ273" s="1">
        <v>0.853</v>
      </c>
      <c r="CA273" s="1">
        <v>0.439</v>
      </c>
      <c r="CB273" s="1">
        <v>0.484</v>
      </c>
      <c r="CC273" s="1">
        <v>0.724</v>
      </c>
      <c r="CD273" s="1">
        <v>0.871</v>
      </c>
      <c r="CE273" s="1">
        <v>0.779</v>
      </c>
      <c r="CF273" s="1">
        <v>0.53</v>
      </c>
      <c r="CG273" s="1">
        <v>3.388</v>
      </c>
      <c r="CH273" s="1">
        <v>0.908</v>
      </c>
      <c r="CI273" s="1">
        <v>8.5703</v>
      </c>
      <c r="CJ273" s="1">
        <v>0.7971</v>
      </c>
      <c r="CK273" s="1">
        <v>0.0</v>
      </c>
      <c r="CL273" s="1">
        <v>0.0</v>
      </c>
      <c r="CM273" s="1">
        <v>0.0</v>
      </c>
      <c r="CN273" s="1">
        <v>0.0</v>
      </c>
      <c r="CO273" s="1">
        <v>0.0</v>
      </c>
      <c r="CP273" s="1">
        <v>0.0</v>
      </c>
      <c r="CQ273" s="1">
        <v>0.0</v>
      </c>
      <c r="CR273" s="1">
        <v>0.0</v>
      </c>
      <c r="CS273" s="1">
        <v>0.0</v>
      </c>
      <c r="CT273" s="1">
        <v>0.0</v>
      </c>
      <c r="CU273" s="1">
        <v>0.0</v>
      </c>
      <c r="CV273" s="1">
        <v>0.0</v>
      </c>
      <c r="CW273" s="1">
        <v>0.0</v>
      </c>
      <c r="CX273" s="1">
        <v>0.0</v>
      </c>
      <c r="CY273" s="1">
        <v>0.0</v>
      </c>
      <c r="CZ273" s="1">
        <v>0.0</v>
      </c>
      <c r="DA273" s="1">
        <v>0.0</v>
      </c>
      <c r="DB273" s="1">
        <v>0.0</v>
      </c>
      <c r="DC273" s="1">
        <v>0.0</v>
      </c>
      <c r="DD273" s="1" t="s">
        <v>1400</v>
      </c>
      <c r="DE273" s="1">
        <v>0.0624979216485044</v>
      </c>
      <c r="DF273" s="2" t="s">
        <v>1401</v>
      </c>
    </row>
    <row r="274" ht="15.75" customHeight="1">
      <c r="A274" s="1" t="s">
        <v>1402</v>
      </c>
      <c r="B274" s="1">
        <v>29.0</v>
      </c>
      <c r="C274" s="2" t="s">
        <v>1397</v>
      </c>
      <c r="D274" s="1">
        <v>470100.0</v>
      </c>
      <c r="E274" s="1">
        <v>336.378</v>
      </c>
      <c r="F274" s="1">
        <v>29061.0</v>
      </c>
      <c r="G274" s="1">
        <v>2.90614701E10</v>
      </c>
      <c r="H274" s="1" t="s">
        <v>112</v>
      </c>
      <c r="I274" s="1" t="s">
        <v>113</v>
      </c>
      <c r="J274" s="1" t="s">
        <v>1398</v>
      </c>
      <c r="K274" s="1" t="s">
        <v>1403</v>
      </c>
      <c r="L274" s="1">
        <v>3443.0</v>
      </c>
      <c r="M274" s="1">
        <v>2988.0</v>
      </c>
      <c r="N274" s="1">
        <v>165.0</v>
      </c>
      <c r="O274" s="1">
        <v>1867.0</v>
      </c>
      <c r="P274" s="1">
        <v>1772.0</v>
      </c>
      <c r="Q274" s="1">
        <v>61.0</v>
      </c>
      <c r="R274" s="1">
        <v>1331.0</v>
      </c>
      <c r="S274" s="1">
        <v>247.0</v>
      </c>
      <c r="T274" s="1">
        <v>85.0</v>
      </c>
      <c r="U274" s="1">
        <v>53.0</v>
      </c>
      <c r="V274" s="1">
        <v>412.0</v>
      </c>
      <c r="W274" s="1">
        <v>21117.0</v>
      </c>
      <c r="X274" s="1">
        <v>1633.0</v>
      </c>
      <c r="Y274" s="1">
        <v>264.0</v>
      </c>
      <c r="Z274" s="1">
        <v>261.0</v>
      </c>
      <c r="AA274" s="1">
        <v>657.0</v>
      </c>
      <c r="AB274" s="1">
        <v>812.0</v>
      </c>
      <c r="AC274" s="1">
        <v>91.0</v>
      </c>
      <c r="AD274" s="1">
        <v>96.0</v>
      </c>
      <c r="AE274" s="1">
        <v>7.0</v>
      </c>
      <c r="AF274" s="1">
        <v>427.0</v>
      </c>
      <c r="AG274" s="1">
        <v>3.0</v>
      </c>
      <c r="AH274" s="1">
        <v>161.0</v>
      </c>
      <c r="AI274" s="1">
        <v>285.0</v>
      </c>
      <c r="AJ274" s="1">
        <v>59.0</v>
      </c>
      <c r="AK274" s="1">
        <v>20.0</v>
      </c>
      <c r="AL274" s="1">
        <v>115.0</v>
      </c>
      <c r="AM274" s="1">
        <v>63.0</v>
      </c>
      <c r="AN274" s="1">
        <v>28.0</v>
      </c>
      <c r="AO274" s="1">
        <v>122.0</v>
      </c>
      <c r="AP274" s="1">
        <v>0.082663</v>
      </c>
      <c r="AQ274" s="1">
        <v>0.028078</v>
      </c>
      <c r="AR274" s="1">
        <v>0.038856</v>
      </c>
      <c r="AS274" s="1">
        <v>0.302034</v>
      </c>
      <c r="AT274" s="1">
        <v>21117.0</v>
      </c>
      <c r="AU274" s="1">
        <v>1633.0</v>
      </c>
      <c r="AV274" s="1">
        <v>0.123885</v>
      </c>
      <c r="AW274" s="1">
        <v>0.122334</v>
      </c>
      <c r="AX274" s="1">
        <v>0.190821</v>
      </c>
      <c r="AY274" s="1">
        <v>0.23584</v>
      </c>
      <c r="AZ274" s="1">
        <v>0.06836964</v>
      </c>
      <c r="BA274" s="1">
        <v>0.027882</v>
      </c>
      <c r="BB274" s="1">
        <v>0.002489</v>
      </c>
      <c r="BC274" s="1">
        <v>0.151849</v>
      </c>
      <c r="BD274" s="1">
        <v>0.001693</v>
      </c>
      <c r="BE274" s="1">
        <v>0.090857</v>
      </c>
      <c r="BF274" s="1">
        <v>0.160835</v>
      </c>
      <c r="BG274" s="1">
        <v>0.032832</v>
      </c>
      <c r="BH274" s="1">
        <v>0.015649</v>
      </c>
      <c r="BI274" s="1">
        <v>0.089979</v>
      </c>
      <c r="BJ274" s="1">
        <v>0.049295</v>
      </c>
      <c r="BK274" s="1">
        <v>0.02169</v>
      </c>
      <c r="BL274" s="1">
        <v>0.035434</v>
      </c>
      <c r="BM274" s="1">
        <v>0.302</v>
      </c>
      <c r="BN274" s="1">
        <v>0.173</v>
      </c>
      <c r="BO274" s="1">
        <v>0.5444</v>
      </c>
      <c r="BP274" s="1">
        <v>0.447</v>
      </c>
      <c r="BQ274" s="1">
        <v>1.4664</v>
      </c>
      <c r="BR274" s="1">
        <v>0.3329</v>
      </c>
      <c r="BS274" s="1">
        <v>0.841</v>
      </c>
      <c r="BT274" s="1">
        <v>0.448</v>
      </c>
      <c r="BU274" s="1">
        <v>0.199</v>
      </c>
      <c r="BV274" s="1">
        <v>1.488</v>
      </c>
      <c r="BW274" s="1">
        <v>0.476</v>
      </c>
      <c r="BX274" s="1">
        <v>0.066</v>
      </c>
      <c r="BY274" s="1">
        <v>0.413</v>
      </c>
      <c r="BZ274" s="1">
        <v>0.479</v>
      </c>
      <c r="CA274" s="1">
        <v>0.199</v>
      </c>
      <c r="CB274" s="1">
        <v>0.266</v>
      </c>
      <c r="CC274" s="1">
        <v>0.839</v>
      </c>
      <c r="CD274" s="1">
        <v>0.608</v>
      </c>
      <c r="CE274" s="1">
        <v>0.482</v>
      </c>
      <c r="CF274" s="1">
        <v>0.841</v>
      </c>
      <c r="CG274" s="1">
        <v>3.036</v>
      </c>
      <c r="CH274" s="1">
        <v>0.789</v>
      </c>
      <c r="CI274" s="1">
        <v>6.4694</v>
      </c>
      <c r="CJ274" s="1">
        <v>0.4542</v>
      </c>
      <c r="CK274" s="1">
        <v>0.0</v>
      </c>
      <c r="CL274" s="1">
        <v>0.0</v>
      </c>
      <c r="CM274" s="1">
        <v>0.0</v>
      </c>
      <c r="CN274" s="1">
        <v>0.0</v>
      </c>
      <c r="CO274" s="1">
        <v>0.0</v>
      </c>
      <c r="CP274" s="1">
        <v>0.0</v>
      </c>
      <c r="CQ274" s="1">
        <v>0.0</v>
      </c>
      <c r="CR274" s="1">
        <v>0.0</v>
      </c>
      <c r="CS274" s="1">
        <v>0.0</v>
      </c>
      <c r="CT274" s="1">
        <v>0.0</v>
      </c>
      <c r="CU274" s="1">
        <v>0.0</v>
      </c>
      <c r="CV274" s="1">
        <v>0.0</v>
      </c>
      <c r="CW274" s="1">
        <v>0.0</v>
      </c>
      <c r="CX274" s="1">
        <v>0.0</v>
      </c>
      <c r="CY274" s="1">
        <v>0.0</v>
      </c>
      <c r="CZ274" s="1">
        <v>0.0</v>
      </c>
      <c r="DA274" s="1">
        <v>0.0</v>
      </c>
      <c r="DB274" s="1">
        <v>0.0</v>
      </c>
      <c r="DC274" s="1">
        <v>0.0</v>
      </c>
      <c r="DD274" s="1" t="s">
        <v>1404</v>
      </c>
      <c r="DE274" s="1">
        <v>0.0928728451576812</v>
      </c>
      <c r="DF274" s="2" t="s">
        <v>1405</v>
      </c>
    </row>
    <row r="275" ht="15.75" customHeight="1">
      <c r="A275" s="1" t="s">
        <v>1406</v>
      </c>
      <c r="B275" s="1">
        <v>29.0</v>
      </c>
      <c r="C275" s="2" t="s">
        <v>1407</v>
      </c>
      <c r="D275" s="2" t="s">
        <v>1408</v>
      </c>
      <c r="E275" s="1">
        <v>212.202</v>
      </c>
      <c r="F275" s="1">
        <v>29063.0</v>
      </c>
      <c r="G275" s="1">
        <v>2.90630802E10</v>
      </c>
      <c r="H275" s="1" t="s">
        <v>112</v>
      </c>
      <c r="I275" s="1" t="s">
        <v>113</v>
      </c>
      <c r="J275" s="1" t="s">
        <v>1409</v>
      </c>
      <c r="K275" s="1" t="s">
        <v>1410</v>
      </c>
      <c r="L275" s="1">
        <v>3992.0</v>
      </c>
      <c r="M275" s="1">
        <v>3774.0</v>
      </c>
      <c r="N275" s="1">
        <v>253.0</v>
      </c>
      <c r="O275" s="1">
        <v>1821.0</v>
      </c>
      <c r="P275" s="1">
        <v>1677.0</v>
      </c>
      <c r="Q275" s="1">
        <v>91.0</v>
      </c>
      <c r="R275" s="1">
        <v>1636.0</v>
      </c>
      <c r="S275" s="1">
        <v>267.0</v>
      </c>
      <c r="T275" s="1">
        <v>88.0</v>
      </c>
      <c r="U275" s="1">
        <v>150.0</v>
      </c>
      <c r="V275" s="1">
        <v>327.0</v>
      </c>
      <c r="W275" s="1">
        <v>22786.0</v>
      </c>
      <c r="X275" s="1">
        <v>1792.0</v>
      </c>
      <c r="Y275" s="1">
        <v>367.0</v>
      </c>
      <c r="Z275" s="1">
        <v>138.0</v>
      </c>
      <c r="AA275" s="1">
        <v>669.0</v>
      </c>
      <c r="AB275" s="1">
        <v>887.0</v>
      </c>
      <c r="AC275" s="1">
        <v>108.0</v>
      </c>
      <c r="AD275" s="1">
        <v>95.0</v>
      </c>
      <c r="AE275" s="1">
        <v>10.0</v>
      </c>
      <c r="AF275" s="1">
        <v>427.0</v>
      </c>
      <c r="AG275" s="1">
        <v>3.0</v>
      </c>
      <c r="AH275" s="1">
        <v>161.0</v>
      </c>
      <c r="AI275" s="1">
        <v>167.0</v>
      </c>
      <c r="AJ275" s="1">
        <v>44.0</v>
      </c>
      <c r="AK275" s="1">
        <v>8.0</v>
      </c>
      <c r="AL275" s="1">
        <v>9.0</v>
      </c>
      <c r="AM275" s="1">
        <v>78.0</v>
      </c>
      <c r="AN275" s="1">
        <v>33.0</v>
      </c>
      <c r="AO275" s="1">
        <v>0.0</v>
      </c>
      <c r="AP275" s="1">
        <v>0.07101</v>
      </c>
      <c r="AQ275" s="1">
        <v>0.02293</v>
      </c>
      <c r="AR275" s="1">
        <v>0.078822</v>
      </c>
      <c r="AS275" s="1">
        <v>0.171661</v>
      </c>
      <c r="AT275" s="1">
        <v>22786.0</v>
      </c>
      <c r="AU275" s="1">
        <v>1792.0</v>
      </c>
      <c r="AV275" s="1">
        <v>0.139331</v>
      </c>
      <c r="AW275" s="1">
        <v>0.051408</v>
      </c>
      <c r="AX275" s="1">
        <v>0.167585</v>
      </c>
      <c r="AY275" s="1">
        <v>0.222194</v>
      </c>
      <c r="AZ275" s="1">
        <v>0.06601466</v>
      </c>
      <c r="BA275" s="1">
        <v>0.023797</v>
      </c>
      <c r="BB275" s="1">
        <v>0.002809</v>
      </c>
      <c r="BC275" s="1">
        <v>0.119977</v>
      </c>
      <c r="BD275" s="1">
        <v>0.001788</v>
      </c>
      <c r="BE275" s="1">
        <v>0.096004</v>
      </c>
      <c r="BF275" s="1">
        <v>0.099582</v>
      </c>
      <c r="BG275" s="1">
        <v>0.025674</v>
      </c>
      <c r="BH275" s="1">
        <v>0.005351</v>
      </c>
      <c r="BI275" s="1">
        <v>0.006008</v>
      </c>
      <c r="BJ275" s="1">
        <v>0.052173</v>
      </c>
      <c r="BK275" s="1">
        <v>0.021761</v>
      </c>
      <c r="BL275" s="1">
        <v>0.0</v>
      </c>
      <c r="BM275" s="1">
        <v>0.253</v>
      </c>
      <c r="BN275" s="1">
        <v>0.6</v>
      </c>
      <c r="BO275" s="1">
        <v>0.4556</v>
      </c>
      <c r="BP275" s="1">
        <v>0.522</v>
      </c>
      <c r="BQ275" s="1">
        <v>1.8306</v>
      </c>
      <c r="BR275" s="1">
        <v>0.4404</v>
      </c>
      <c r="BS275" s="1">
        <v>0.718</v>
      </c>
      <c r="BT275" s="1">
        <v>0.319</v>
      </c>
      <c r="BU275" s="1">
        <v>0.181</v>
      </c>
      <c r="BV275" s="1">
        <v>1.218</v>
      </c>
      <c r="BW275" s="1">
        <v>0.246</v>
      </c>
      <c r="BX275" s="1">
        <v>0.037</v>
      </c>
      <c r="BY275" s="1">
        <v>0.436</v>
      </c>
      <c r="BZ275" s="1">
        <v>0.473</v>
      </c>
      <c r="CA275" s="1">
        <v>0.196</v>
      </c>
      <c r="CB275" s="1">
        <v>0.269</v>
      </c>
      <c r="CC275" s="1">
        <v>0.716</v>
      </c>
      <c r="CD275" s="1">
        <v>0.343</v>
      </c>
      <c r="CE275" s="1">
        <v>0.505</v>
      </c>
      <c r="CF275" s="1">
        <v>0.0</v>
      </c>
      <c r="CG275" s="1">
        <v>1.833</v>
      </c>
      <c r="CH275" s="1">
        <v>0.275</v>
      </c>
      <c r="CI275" s="1">
        <v>5.3546</v>
      </c>
      <c r="CJ275" s="1">
        <v>0.2563</v>
      </c>
      <c r="CK275" s="1">
        <v>0.0</v>
      </c>
      <c r="CL275" s="1">
        <v>0.0</v>
      </c>
      <c r="CM275" s="1">
        <v>0.0</v>
      </c>
      <c r="CN275" s="1">
        <v>0.0</v>
      </c>
      <c r="CO275" s="1">
        <v>0.0</v>
      </c>
      <c r="CP275" s="1">
        <v>0.0</v>
      </c>
      <c r="CQ275" s="1">
        <v>0.0</v>
      </c>
      <c r="CR275" s="1">
        <v>0.0</v>
      </c>
      <c r="CS275" s="1">
        <v>0.0</v>
      </c>
      <c r="CT275" s="1">
        <v>0.0</v>
      </c>
      <c r="CU275" s="1">
        <v>0.0</v>
      </c>
      <c r="CV275" s="1">
        <v>0.0</v>
      </c>
      <c r="CW275" s="1">
        <v>0.0</v>
      </c>
      <c r="CX275" s="1">
        <v>0.0</v>
      </c>
      <c r="CY275" s="1">
        <v>0.0</v>
      </c>
      <c r="CZ275" s="1">
        <v>0.0</v>
      </c>
      <c r="DA275" s="1">
        <v>0.0</v>
      </c>
      <c r="DB275" s="1">
        <v>0.0</v>
      </c>
      <c r="DC275" s="1">
        <v>0.0</v>
      </c>
      <c r="DD275" s="1" t="s">
        <v>1411</v>
      </c>
      <c r="DE275" s="1">
        <v>0.0584424682456606</v>
      </c>
      <c r="DF275" s="2" t="s">
        <v>1412</v>
      </c>
    </row>
    <row r="276" ht="15.75" customHeight="1">
      <c r="A276" s="1" t="s">
        <v>1413</v>
      </c>
      <c r="B276" s="1">
        <v>29.0</v>
      </c>
      <c r="C276" s="2" t="s">
        <v>1407</v>
      </c>
      <c r="D276" s="2" t="s">
        <v>1414</v>
      </c>
      <c r="E276" s="1">
        <v>209.154</v>
      </c>
      <c r="F276" s="1">
        <v>29063.0</v>
      </c>
      <c r="G276" s="1">
        <v>2.90630801E10</v>
      </c>
      <c r="H276" s="1" t="s">
        <v>112</v>
      </c>
      <c r="I276" s="1" t="s">
        <v>113</v>
      </c>
      <c r="J276" s="1" t="s">
        <v>1409</v>
      </c>
      <c r="K276" s="1" t="s">
        <v>1415</v>
      </c>
      <c r="L276" s="1">
        <v>8900.0</v>
      </c>
      <c r="M276" s="1">
        <v>9098.0</v>
      </c>
      <c r="N276" s="1">
        <v>253.0</v>
      </c>
      <c r="O276" s="1">
        <v>2508.0</v>
      </c>
      <c r="P276" s="1">
        <v>2616.0</v>
      </c>
      <c r="Q276" s="1">
        <v>153.0</v>
      </c>
      <c r="R276" s="1">
        <v>2203.0</v>
      </c>
      <c r="S276" s="1">
        <v>661.0</v>
      </c>
      <c r="T276" s="1">
        <v>310.0</v>
      </c>
      <c r="U276" s="1">
        <v>105.0</v>
      </c>
      <c r="V276" s="1">
        <v>431.0</v>
      </c>
      <c r="W276" s="1">
        <v>14481.0</v>
      </c>
      <c r="X276" s="1">
        <v>1761.0</v>
      </c>
      <c r="Y276" s="1">
        <v>1279.0</v>
      </c>
      <c r="Z276" s="1">
        <v>322.0</v>
      </c>
      <c r="AA276" s="1">
        <v>1102.0</v>
      </c>
      <c r="AB276" s="1">
        <v>1423.0</v>
      </c>
      <c r="AC276" s="1">
        <v>199.0</v>
      </c>
      <c r="AD276" s="1">
        <v>1752.0</v>
      </c>
      <c r="AE276" s="1">
        <v>29.0</v>
      </c>
      <c r="AF276" s="1">
        <v>396.0</v>
      </c>
      <c r="AG276" s="1">
        <v>68.0</v>
      </c>
      <c r="AH276" s="1">
        <v>129.0</v>
      </c>
      <c r="AI276" s="1">
        <v>265.0</v>
      </c>
      <c r="AJ276" s="1">
        <v>92.0</v>
      </c>
      <c r="AK276" s="1">
        <v>65.0</v>
      </c>
      <c r="AL276" s="1">
        <v>130.0</v>
      </c>
      <c r="AM276" s="1">
        <v>280.0</v>
      </c>
      <c r="AN276" s="1">
        <v>133.0</v>
      </c>
      <c r="AO276" s="1">
        <v>3560.0</v>
      </c>
      <c r="AP276" s="1">
        <v>0.109673</v>
      </c>
      <c r="AQ276" s="1">
        <v>0.050997</v>
      </c>
      <c r="AR276" s="1">
        <v>0.036945</v>
      </c>
      <c r="AS276" s="1">
        <v>0.151608</v>
      </c>
      <c r="AT276" s="1">
        <v>14481.0</v>
      </c>
      <c r="AU276" s="1">
        <v>1761.0</v>
      </c>
      <c r="AV276" s="1">
        <v>0.187674</v>
      </c>
      <c r="AW276" s="1">
        <v>0.046818</v>
      </c>
      <c r="AX276" s="1">
        <v>0.12382</v>
      </c>
      <c r="AY276" s="1">
        <v>0.159887</v>
      </c>
      <c r="AZ276" s="1">
        <v>0.09033136</v>
      </c>
      <c r="BA276" s="1">
        <v>0.196853</v>
      </c>
      <c r="BB276" s="1">
        <v>0.003312</v>
      </c>
      <c r="BC276" s="1">
        <v>0.045236</v>
      </c>
      <c r="BD276" s="1">
        <v>0.025993</v>
      </c>
      <c r="BE276" s="1">
        <v>0.049288</v>
      </c>
      <c r="BF276" s="1">
        <v>0.101299</v>
      </c>
      <c r="BG276" s="1">
        <v>0.034665</v>
      </c>
      <c r="BH276" s="1">
        <v>0.026358</v>
      </c>
      <c r="BI276" s="1">
        <v>0.052681</v>
      </c>
      <c r="BJ276" s="1">
        <v>0.113544</v>
      </c>
      <c r="BK276" s="1">
        <v>0.053285</v>
      </c>
      <c r="BL276" s="1">
        <v>0.4</v>
      </c>
      <c r="BM276" s="1">
        <v>0.412</v>
      </c>
      <c r="BN276" s="1">
        <v>0.155</v>
      </c>
      <c r="BO276" s="1">
        <v>0.8946</v>
      </c>
      <c r="BP276" s="1">
        <v>0.717</v>
      </c>
      <c r="BQ276" s="1">
        <v>2.1786</v>
      </c>
      <c r="BR276" s="1">
        <v>0.5567</v>
      </c>
      <c r="BS276" s="1">
        <v>0.369</v>
      </c>
      <c r="BT276" s="1">
        <v>0.082</v>
      </c>
      <c r="BU276" s="1">
        <v>0.405</v>
      </c>
      <c r="BV276" s="1">
        <v>0.856</v>
      </c>
      <c r="BW276" s="1">
        <v>0.084</v>
      </c>
      <c r="BX276" s="1">
        <v>0.708</v>
      </c>
      <c r="BY276" s="1">
        <v>0.469</v>
      </c>
      <c r="BZ276" s="1">
        <v>1.177</v>
      </c>
      <c r="CA276" s="1">
        <v>0.651</v>
      </c>
      <c r="CB276" s="1">
        <v>0.52</v>
      </c>
      <c r="CC276" s="1">
        <v>0.719</v>
      </c>
      <c r="CD276" s="1">
        <v>0.774</v>
      </c>
      <c r="CE276" s="1">
        <v>0.792</v>
      </c>
      <c r="CF276" s="1">
        <v>0.988</v>
      </c>
      <c r="CG276" s="1">
        <v>3.793</v>
      </c>
      <c r="CH276" s="1">
        <v>0.985</v>
      </c>
      <c r="CI276" s="1">
        <v>8.0046</v>
      </c>
      <c r="CJ276" s="1">
        <v>0.7148</v>
      </c>
      <c r="CK276" s="1">
        <v>0.0</v>
      </c>
      <c r="CL276" s="1">
        <v>0.0</v>
      </c>
      <c r="CM276" s="1">
        <v>0.0</v>
      </c>
      <c r="CN276" s="1">
        <v>0.0</v>
      </c>
      <c r="CO276" s="1">
        <v>0.0</v>
      </c>
      <c r="CP276" s="1">
        <v>0.0</v>
      </c>
      <c r="CQ276" s="1">
        <v>0.0</v>
      </c>
      <c r="CR276" s="1">
        <v>0.0</v>
      </c>
      <c r="CS276" s="1">
        <v>0.0</v>
      </c>
      <c r="CT276" s="1">
        <v>0.0</v>
      </c>
      <c r="CU276" s="1">
        <v>0.0</v>
      </c>
      <c r="CV276" s="1">
        <v>0.0</v>
      </c>
      <c r="CW276" s="1">
        <v>0.0</v>
      </c>
      <c r="CX276" s="1">
        <v>0.0</v>
      </c>
      <c r="CY276" s="1">
        <v>0.0</v>
      </c>
      <c r="CZ276" s="1">
        <v>0.0</v>
      </c>
      <c r="DA276" s="1">
        <v>1.0</v>
      </c>
      <c r="DB276" s="1">
        <v>1.0</v>
      </c>
      <c r="DC276" s="1">
        <v>1.0</v>
      </c>
      <c r="DD276" s="1" t="s">
        <v>1416</v>
      </c>
      <c r="DE276" s="2" t="s">
        <v>1417</v>
      </c>
      <c r="DF276" s="2" t="s">
        <v>1418</v>
      </c>
    </row>
    <row r="277" ht="15.75" customHeight="1">
      <c r="A277" s="1" t="s">
        <v>1419</v>
      </c>
      <c r="B277" s="1">
        <v>29.0</v>
      </c>
      <c r="C277" s="2" t="s">
        <v>1420</v>
      </c>
      <c r="D277" s="1">
        <v>960100.0</v>
      </c>
      <c r="E277" s="1">
        <v>433.019</v>
      </c>
      <c r="F277" s="1">
        <v>29065.0</v>
      </c>
      <c r="G277" s="1">
        <v>2.90659601E10</v>
      </c>
      <c r="H277" s="1" t="s">
        <v>112</v>
      </c>
      <c r="I277" s="1" t="s">
        <v>113</v>
      </c>
      <c r="J277" s="1" t="s">
        <v>1421</v>
      </c>
      <c r="K277" s="1" t="s">
        <v>1422</v>
      </c>
      <c r="L277" s="1">
        <v>5024.0</v>
      </c>
      <c r="M277" s="1">
        <v>5124.0</v>
      </c>
      <c r="N277" s="1">
        <v>351.0</v>
      </c>
      <c r="O277" s="1">
        <v>2219.0</v>
      </c>
      <c r="P277" s="1">
        <v>2206.0</v>
      </c>
      <c r="Q277" s="1">
        <v>117.0</v>
      </c>
      <c r="R277" s="1">
        <v>1928.0</v>
      </c>
      <c r="S277" s="1">
        <v>726.0</v>
      </c>
      <c r="T277" s="1">
        <v>210.0</v>
      </c>
      <c r="U277" s="1">
        <v>210.0</v>
      </c>
      <c r="V277" s="1">
        <v>312.0</v>
      </c>
      <c r="W277" s="1">
        <v>19538.0</v>
      </c>
      <c r="X277" s="1">
        <v>1829.0</v>
      </c>
      <c r="Y277" s="1">
        <v>741.0</v>
      </c>
      <c r="Z277" s="1">
        <v>212.0</v>
      </c>
      <c r="AA277" s="1">
        <v>885.0</v>
      </c>
      <c r="AB277" s="1">
        <v>1158.0</v>
      </c>
      <c r="AC277" s="1">
        <v>166.0</v>
      </c>
      <c r="AD277" s="1">
        <v>158.0</v>
      </c>
      <c r="AE277" s="1">
        <v>0.0</v>
      </c>
      <c r="AF277" s="1">
        <v>456.0</v>
      </c>
      <c r="AG277" s="1">
        <v>0.0</v>
      </c>
      <c r="AH277" s="1">
        <v>197.0</v>
      </c>
      <c r="AI277" s="1">
        <v>568.0</v>
      </c>
      <c r="AJ277" s="1">
        <v>114.0</v>
      </c>
      <c r="AK277" s="1">
        <v>43.0</v>
      </c>
      <c r="AL277" s="1">
        <v>118.0</v>
      </c>
      <c r="AM277" s="1">
        <v>90.0</v>
      </c>
      <c r="AN277" s="1">
        <v>55.0</v>
      </c>
      <c r="AO277" s="1">
        <v>62.0</v>
      </c>
      <c r="AP277" s="1">
        <v>0.143138</v>
      </c>
      <c r="AQ277" s="1">
        <v>0.040208</v>
      </c>
      <c r="AR277" s="1">
        <v>0.085819</v>
      </c>
      <c r="AS277" s="1">
        <v>0.127247</v>
      </c>
      <c r="AT277" s="1">
        <v>19538.0</v>
      </c>
      <c r="AU277" s="1">
        <v>1829.0</v>
      </c>
      <c r="AV277" s="1">
        <v>0.210153</v>
      </c>
      <c r="AW277" s="1">
        <v>0.058555</v>
      </c>
      <c r="AX277" s="1">
        <v>0.176154</v>
      </c>
      <c r="AY277" s="1">
        <v>0.230493</v>
      </c>
      <c r="AZ277" s="1">
        <v>0.08609958</v>
      </c>
      <c r="BA277" s="1">
        <v>0.031449</v>
      </c>
      <c r="BB277" s="1">
        <v>0.0</v>
      </c>
      <c r="BC277" s="1">
        <v>0.095138</v>
      </c>
      <c r="BD277" s="1">
        <v>0.0</v>
      </c>
      <c r="BE277" s="1">
        <v>0.089301</v>
      </c>
      <c r="BF277" s="1">
        <v>0.257479</v>
      </c>
      <c r="BG277" s="1">
        <v>0.04984</v>
      </c>
      <c r="BH277" s="1">
        <v>0.022017</v>
      </c>
      <c r="BI277" s="1">
        <v>0.060402</v>
      </c>
      <c r="BJ277" s="1">
        <v>0.046082</v>
      </c>
      <c r="BK277" s="1">
        <v>0.027994</v>
      </c>
      <c r="BL277" s="1">
        <v>0.01234</v>
      </c>
      <c r="BM277" s="1">
        <v>0.556</v>
      </c>
      <c r="BN277" s="1">
        <v>0.654</v>
      </c>
      <c r="BO277" s="1">
        <v>0.6419</v>
      </c>
      <c r="BP277" s="1">
        <v>0.78</v>
      </c>
      <c r="BQ277" s="1">
        <v>2.6319</v>
      </c>
      <c r="BR277" s="1">
        <v>0.7054</v>
      </c>
      <c r="BS277" s="1">
        <v>0.767</v>
      </c>
      <c r="BT277" s="1">
        <v>0.389</v>
      </c>
      <c r="BU277" s="1">
        <v>0.367</v>
      </c>
      <c r="BV277" s="1">
        <v>1.523</v>
      </c>
      <c r="BW277" s="1">
        <v>0.5</v>
      </c>
      <c r="BX277" s="1">
        <v>0.091</v>
      </c>
      <c r="BY277" s="1">
        <v>0.0</v>
      </c>
      <c r="BZ277" s="1">
        <v>0.091</v>
      </c>
      <c r="CA277" s="1">
        <v>0.043</v>
      </c>
      <c r="CB277" s="1">
        <v>0.0</v>
      </c>
      <c r="CC277" s="1">
        <v>0.959</v>
      </c>
      <c r="CD277" s="1">
        <v>0.712</v>
      </c>
      <c r="CE277" s="1">
        <v>0.452</v>
      </c>
      <c r="CF277" s="1">
        <v>0.61</v>
      </c>
      <c r="CG277" s="1">
        <v>2.733</v>
      </c>
      <c r="CH277" s="1">
        <v>0.658</v>
      </c>
      <c r="CI277" s="1">
        <v>6.9789</v>
      </c>
      <c r="CJ277" s="1">
        <v>0.5401</v>
      </c>
      <c r="CK277" s="1">
        <v>0.0</v>
      </c>
      <c r="CL277" s="1">
        <v>0.0</v>
      </c>
      <c r="CM277" s="1">
        <v>0.0</v>
      </c>
      <c r="CN277" s="1">
        <v>0.0</v>
      </c>
      <c r="CO277" s="1">
        <v>0.0</v>
      </c>
      <c r="CP277" s="1">
        <v>0.0</v>
      </c>
      <c r="CQ277" s="1">
        <v>0.0</v>
      </c>
      <c r="CR277" s="1">
        <v>0.0</v>
      </c>
      <c r="CS277" s="1">
        <v>0.0</v>
      </c>
      <c r="CT277" s="1">
        <v>0.0</v>
      </c>
      <c r="CU277" s="1">
        <v>0.0</v>
      </c>
      <c r="CV277" s="1">
        <v>0.0</v>
      </c>
      <c r="CW277" s="1">
        <v>0.0</v>
      </c>
      <c r="CX277" s="1">
        <v>1.0</v>
      </c>
      <c r="CY277" s="1">
        <v>0.0</v>
      </c>
      <c r="CZ277" s="1">
        <v>0.0</v>
      </c>
      <c r="DA277" s="1">
        <v>0.0</v>
      </c>
      <c r="DB277" s="1">
        <v>1.0</v>
      </c>
      <c r="DC277" s="1">
        <v>1.0</v>
      </c>
      <c r="DD277" s="1" t="s">
        <v>1423</v>
      </c>
      <c r="DE277" s="2" t="s">
        <v>1424</v>
      </c>
      <c r="DF277" s="2" t="s">
        <v>1425</v>
      </c>
    </row>
    <row r="278" ht="15.75" customHeight="1">
      <c r="A278" s="1" t="s">
        <v>1426</v>
      </c>
      <c r="B278" s="1">
        <v>29.0</v>
      </c>
      <c r="C278" s="2" t="s">
        <v>1420</v>
      </c>
      <c r="D278" s="1">
        <v>960200.0</v>
      </c>
      <c r="E278" s="1">
        <v>311.338</v>
      </c>
      <c r="F278" s="1">
        <v>29065.0</v>
      </c>
      <c r="G278" s="1">
        <v>2.90659602E10</v>
      </c>
      <c r="H278" s="1" t="s">
        <v>112</v>
      </c>
      <c r="I278" s="1" t="s">
        <v>113</v>
      </c>
      <c r="J278" s="1" t="s">
        <v>1421</v>
      </c>
      <c r="K278" s="1" t="s">
        <v>1427</v>
      </c>
      <c r="L278" s="1">
        <v>5153.0</v>
      </c>
      <c r="M278" s="1">
        <v>4918.0</v>
      </c>
      <c r="N278" s="1">
        <v>343.0</v>
      </c>
      <c r="O278" s="1">
        <v>2461.0</v>
      </c>
      <c r="P278" s="1">
        <v>2393.0</v>
      </c>
      <c r="Q278" s="1">
        <v>108.0</v>
      </c>
      <c r="R278" s="1">
        <v>2080.0</v>
      </c>
      <c r="S278" s="1">
        <v>826.0</v>
      </c>
      <c r="T278" s="1">
        <v>291.0</v>
      </c>
      <c r="U278" s="1">
        <v>141.0</v>
      </c>
      <c r="V278" s="1">
        <v>364.0</v>
      </c>
      <c r="W278" s="1">
        <v>18696.0</v>
      </c>
      <c r="X278" s="1">
        <v>1502.0</v>
      </c>
      <c r="Y278" s="1">
        <v>838.0</v>
      </c>
      <c r="Z278" s="1">
        <v>148.0</v>
      </c>
      <c r="AA278" s="1">
        <v>1035.0</v>
      </c>
      <c r="AB278" s="1">
        <v>1140.0</v>
      </c>
      <c r="AC278" s="1">
        <v>149.0</v>
      </c>
      <c r="AD278" s="1">
        <v>215.0</v>
      </c>
      <c r="AE278" s="1">
        <v>0.0</v>
      </c>
      <c r="AF278" s="1">
        <v>456.0</v>
      </c>
      <c r="AG278" s="1">
        <v>0.0</v>
      </c>
      <c r="AH278" s="1">
        <v>197.0</v>
      </c>
      <c r="AI278" s="1">
        <v>561.0</v>
      </c>
      <c r="AJ278" s="1">
        <v>106.0</v>
      </c>
      <c r="AK278" s="1">
        <v>44.0</v>
      </c>
      <c r="AL278" s="1">
        <v>119.0</v>
      </c>
      <c r="AM278" s="1">
        <v>148.0</v>
      </c>
      <c r="AN278" s="1">
        <v>69.0</v>
      </c>
      <c r="AO278" s="1">
        <v>18.0</v>
      </c>
      <c r="AP278" s="1">
        <v>0.170767</v>
      </c>
      <c r="AQ278" s="1">
        <v>0.0589</v>
      </c>
      <c r="AR278" s="1">
        <v>0.06956</v>
      </c>
      <c r="AS278" s="1">
        <v>0.179429</v>
      </c>
      <c r="AT278" s="1">
        <v>18696.0</v>
      </c>
      <c r="AU278" s="1">
        <v>1502.0</v>
      </c>
      <c r="AV278" s="1">
        <v>0.242828</v>
      </c>
      <c r="AW278" s="1">
        <v>0.0398</v>
      </c>
      <c r="AX278" s="1">
        <v>0.200853</v>
      </c>
      <c r="AY278" s="1">
        <v>0.22123</v>
      </c>
      <c r="AZ278" s="1">
        <v>0.07163461</v>
      </c>
      <c r="BA278" s="1">
        <v>0.041723</v>
      </c>
      <c r="BB278" s="1">
        <v>0.0</v>
      </c>
      <c r="BC278" s="1">
        <v>0.097373</v>
      </c>
      <c r="BD278" s="1">
        <v>0.0</v>
      </c>
      <c r="BE278" s="1">
        <v>0.082323</v>
      </c>
      <c r="BF278" s="1">
        <v>0.234433</v>
      </c>
      <c r="BG278" s="1">
        <v>0.043013</v>
      </c>
      <c r="BH278" s="1">
        <v>0.023479</v>
      </c>
      <c r="BI278" s="1">
        <v>0.063481</v>
      </c>
      <c r="BJ278" s="1">
        <v>0.078975</v>
      </c>
      <c r="BK278" s="1">
        <v>0.036446</v>
      </c>
      <c r="BL278" s="1">
        <v>0.003493</v>
      </c>
      <c r="BM278" s="1">
        <v>0.646</v>
      </c>
      <c r="BN278" s="1">
        <v>0.511</v>
      </c>
      <c r="BO278" s="1">
        <v>0.6917</v>
      </c>
      <c r="BP278" s="1">
        <v>0.853</v>
      </c>
      <c r="BQ278" s="1">
        <v>2.7017</v>
      </c>
      <c r="BR278" s="1">
        <v>0.722</v>
      </c>
      <c r="BS278" s="1">
        <v>0.875</v>
      </c>
      <c r="BT278" s="1">
        <v>0.31</v>
      </c>
      <c r="BU278" s="1">
        <v>0.23</v>
      </c>
      <c r="BV278" s="1">
        <v>1.415</v>
      </c>
      <c r="BW278" s="1">
        <v>0.403</v>
      </c>
      <c r="BX278" s="1">
        <v>0.178</v>
      </c>
      <c r="BY278" s="1">
        <v>0.0</v>
      </c>
      <c r="BZ278" s="1">
        <v>0.178</v>
      </c>
      <c r="CA278" s="1">
        <v>0.084</v>
      </c>
      <c r="CB278" s="1">
        <v>0.0</v>
      </c>
      <c r="CC278" s="1">
        <v>0.935</v>
      </c>
      <c r="CD278" s="1">
        <v>0.737</v>
      </c>
      <c r="CE278" s="1">
        <v>0.666</v>
      </c>
      <c r="CF278" s="1">
        <v>0.487</v>
      </c>
      <c r="CG278" s="1">
        <v>2.825</v>
      </c>
      <c r="CH278" s="1">
        <v>0.7</v>
      </c>
      <c r="CI278" s="1">
        <v>7.1197</v>
      </c>
      <c r="CJ278" s="1">
        <v>0.5733</v>
      </c>
      <c r="CK278" s="1">
        <v>0.0</v>
      </c>
      <c r="CL278" s="1">
        <v>0.0</v>
      </c>
      <c r="CM278" s="1">
        <v>0.0</v>
      </c>
      <c r="CN278" s="1">
        <v>0.0</v>
      </c>
      <c r="CO278" s="1">
        <v>0.0</v>
      </c>
      <c r="CP278" s="1">
        <v>0.0</v>
      </c>
      <c r="CQ278" s="1">
        <v>0.0</v>
      </c>
      <c r="CR278" s="1">
        <v>0.0</v>
      </c>
      <c r="CS278" s="1">
        <v>0.0</v>
      </c>
      <c r="CT278" s="1">
        <v>0.0</v>
      </c>
      <c r="CU278" s="1">
        <v>0.0</v>
      </c>
      <c r="CV278" s="1">
        <v>0.0</v>
      </c>
      <c r="CW278" s="1">
        <v>0.0</v>
      </c>
      <c r="CX278" s="1">
        <v>1.0</v>
      </c>
      <c r="CY278" s="1">
        <v>0.0</v>
      </c>
      <c r="CZ278" s="1">
        <v>0.0</v>
      </c>
      <c r="DA278" s="1">
        <v>0.0</v>
      </c>
      <c r="DB278" s="1">
        <v>1.0</v>
      </c>
      <c r="DC278" s="1">
        <v>1.0</v>
      </c>
      <c r="DD278" s="1" t="s">
        <v>1428</v>
      </c>
      <c r="DE278" s="1">
        <v>0.082510415338302</v>
      </c>
      <c r="DF278" s="2" t="s">
        <v>1429</v>
      </c>
    </row>
    <row r="279" ht="15.75" customHeight="1">
      <c r="A279" s="1" t="s">
        <v>1430</v>
      </c>
      <c r="B279" s="1">
        <v>29.0</v>
      </c>
      <c r="C279" s="2" t="s">
        <v>1420</v>
      </c>
      <c r="D279" s="1">
        <v>960300.0</v>
      </c>
      <c r="E279" s="1">
        <v>2.117</v>
      </c>
      <c r="F279" s="1">
        <v>29065.0</v>
      </c>
      <c r="G279" s="1">
        <v>2.90659603E10</v>
      </c>
      <c r="H279" s="1" t="s">
        <v>112</v>
      </c>
      <c r="I279" s="1" t="s">
        <v>113</v>
      </c>
      <c r="J279" s="1" t="s">
        <v>1421</v>
      </c>
      <c r="K279" s="1" t="s">
        <v>1431</v>
      </c>
      <c r="L279" s="1">
        <v>2387.0</v>
      </c>
      <c r="M279" s="1">
        <v>2084.0</v>
      </c>
      <c r="N279" s="1">
        <v>262.0</v>
      </c>
      <c r="O279" s="1">
        <v>1179.0</v>
      </c>
      <c r="P279" s="1">
        <v>1149.0</v>
      </c>
      <c r="Q279" s="1">
        <v>100.0</v>
      </c>
      <c r="R279" s="1">
        <v>1057.0</v>
      </c>
      <c r="S279" s="1">
        <v>517.0</v>
      </c>
      <c r="T279" s="1">
        <v>173.0</v>
      </c>
      <c r="U279" s="1">
        <v>118.0</v>
      </c>
      <c r="V279" s="1">
        <v>432.0</v>
      </c>
      <c r="W279" s="1">
        <v>17703.0</v>
      </c>
      <c r="X279" s="1">
        <v>3204.0</v>
      </c>
      <c r="Y279" s="1">
        <v>340.0</v>
      </c>
      <c r="Z279" s="1">
        <v>321.0</v>
      </c>
      <c r="AA279" s="1">
        <v>529.0</v>
      </c>
      <c r="AB279" s="1">
        <v>520.0</v>
      </c>
      <c r="AC279" s="1">
        <v>115.0</v>
      </c>
      <c r="AD279" s="1">
        <v>91.0</v>
      </c>
      <c r="AE279" s="1">
        <v>16.0</v>
      </c>
      <c r="AF279" s="1">
        <v>442.0</v>
      </c>
      <c r="AG279" s="1">
        <v>0.0</v>
      </c>
      <c r="AH279" s="1">
        <v>197.0</v>
      </c>
      <c r="AI279" s="1">
        <v>43.0</v>
      </c>
      <c r="AJ279" s="1">
        <v>34.0</v>
      </c>
      <c r="AK279" s="1">
        <v>0.0</v>
      </c>
      <c r="AL279" s="1">
        <v>161.0</v>
      </c>
      <c r="AM279" s="1">
        <v>81.0</v>
      </c>
      <c r="AN279" s="1">
        <v>128.0</v>
      </c>
      <c r="AO279" s="1">
        <v>91.0</v>
      </c>
      <c r="AP279" s="1">
        <v>0.24808</v>
      </c>
      <c r="AQ279" s="1">
        <v>0.076931</v>
      </c>
      <c r="AR279" s="1">
        <v>0.141997</v>
      </c>
      <c r="AS279" s="1">
        <v>0.518315</v>
      </c>
      <c r="AT279" s="1">
        <v>17703.0</v>
      </c>
      <c r="AU279" s="1">
        <v>3204.0</v>
      </c>
      <c r="AV279" s="1">
        <v>0.223097</v>
      </c>
      <c r="AW279" s="1">
        <v>0.208523</v>
      </c>
      <c r="AX279" s="1">
        <v>0.221617</v>
      </c>
      <c r="AY279" s="1">
        <v>0.217846</v>
      </c>
      <c r="AZ279" s="1">
        <v>0.10879848</v>
      </c>
      <c r="BA279" s="1">
        <v>0.038123</v>
      </c>
      <c r="BB279" s="1">
        <v>0.008076</v>
      </c>
      <c r="BC279" s="1">
        <v>0.223117</v>
      </c>
      <c r="BD279" s="1">
        <v>0.0</v>
      </c>
      <c r="BE279" s="1">
        <v>0.171453</v>
      </c>
      <c r="BF279" s="1">
        <v>0.037423</v>
      </c>
      <c r="BG279" s="1">
        <v>0.029411</v>
      </c>
      <c r="BH279" s="1">
        <v>0.0</v>
      </c>
      <c r="BI279" s="1">
        <v>0.181306</v>
      </c>
      <c r="BJ279" s="1">
        <v>0.091216</v>
      </c>
      <c r="BK279" s="1">
        <v>0.143684</v>
      </c>
      <c r="BL279" s="1">
        <v>0.038123</v>
      </c>
      <c r="BM279" s="1">
        <v>0.823</v>
      </c>
      <c r="BN279" s="1">
        <v>0.879</v>
      </c>
      <c r="BO279" s="1">
        <v>0.7444</v>
      </c>
      <c r="BP279" s="1">
        <v>0.809</v>
      </c>
      <c r="BQ279" s="1">
        <v>3.2554</v>
      </c>
      <c r="BR279" s="1">
        <v>0.8693</v>
      </c>
      <c r="BS279" s="1">
        <v>0.936</v>
      </c>
      <c r="BT279" s="1">
        <v>0.287</v>
      </c>
      <c r="BU279" s="1">
        <v>0.574</v>
      </c>
      <c r="BV279" s="1">
        <v>1.797</v>
      </c>
      <c r="BW279" s="1">
        <v>0.716</v>
      </c>
      <c r="BX279" s="1">
        <v>0.15</v>
      </c>
      <c r="BY279" s="1">
        <v>0.671</v>
      </c>
      <c r="BZ279" s="1">
        <v>0.821</v>
      </c>
      <c r="CA279" s="1">
        <v>0.415</v>
      </c>
      <c r="CB279" s="1">
        <v>0.0</v>
      </c>
      <c r="CC279" s="1">
        <v>0.57</v>
      </c>
      <c r="CD279" s="1">
        <v>0.0</v>
      </c>
      <c r="CE279" s="1">
        <v>0.723</v>
      </c>
      <c r="CF279" s="1">
        <v>0.859</v>
      </c>
      <c r="CG279" s="1">
        <v>2.152</v>
      </c>
      <c r="CH279" s="1">
        <v>0.4</v>
      </c>
      <c r="CI279" s="1">
        <v>8.0254</v>
      </c>
      <c r="CJ279" s="1">
        <v>0.7177</v>
      </c>
      <c r="CK279" s="1">
        <v>0.0</v>
      </c>
      <c r="CL279" s="1">
        <v>0.0</v>
      </c>
      <c r="CM279" s="1">
        <v>0.0</v>
      </c>
      <c r="CN279" s="1">
        <v>0.0</v>
      </c>
      <c r="CO279" s="1">
        <v>0.0</v>
      </c>
      <c r="CP279" s="1">
        <v>1.0</v>
      </c>
      <c r="CQ279" s="1">
        <v>0.0</v>
      </c>
      <c r="CR279" s="1">
        <v>0.0</v>
      </c>
      <c r="CS279" s="1">
        <v>1.0</v>
      </c>
      <c r="CT279" s="1">
        <v>0.0</v>
      </c>
      <c r="CU279" s="1">
        <v>0.0</v>
      </c>
      <c r="CV279" s="1">
        <v>0.0</v>
      </c>
      <c r="CW279" s="1">
        <v>0.0</v>
      </c>
      <c r="CX279" s="1">
        <v>0.0</v>
      </c>
      <c r="CY279" s="1">
        <v>0.0</v>
      </c>
      <c r="CZ279" s="1">
        <v>0.0</v>
      </c>
      <c r="DA279" s="1">
        <v>0.0</v>
      </c>
      <c r="DB279" s="1">
        <v>0.0</v>
      </c>
      <c r="DC279" s="1">
        <v>1.0</v>
      </c>
      <c r="DD279" s="1" t="s">
        <v>1432</v>
      </c>
      <c r="DE279" s="1">
        <v>5.60782464988159E-4</v>
      </c>
      <c r="DF279" s="2" t="s">
        <v>1433</v>
      </c>
    </row>
    <row r="280" ht="15.75" customHeight="1">
      <c r="A280" s="1" t="s">
        <v>1434</v>
      </c>
      <c r="B280" s="1">
        <v>29.0</v>
      </c>
      <c r="C280" s="2" t="s">
        <v>1420</v>
      </c>
      <c r="D280" s="1">
        <v>960400.0</v>
      </c>
      <c r="E280" s="1">
        <v>6.317</v>
      </c>
      <c r="F280" s="1">
        <v>29065.0</v>
      </c>
      <c r="G280" s="1">
        <v>2.90659604E10</v>
      </c>
      <c r="H280" s="1" t="s">
        <v>112</v>
      </c>
      <c r="I280" s="1" t="s">
        <v>113</v>
      </c>
      <c r="J280" s="1" t="s">
        <v>1421</v>
      </c>
      <c r="K280" s="1" t="s">
        <v>1435</v>
      </c>
      <c r="L280" s="1">
        <v>3093.0</v>
      </c>
      <c r="M280" s="1">
        <v>3371.0</v>
      </c>
      <c r="N280" s="1">
        <v>324.0</v>
      </c>
      <c r="O280" s="1">
        <v>1426.0</v>
      </c>
      <c r="P280" s="1">
        <v>1541.0</v>
      </c>
      <c r="Q280" s="1">
        <v>125.0</v>
      </c>
      <c r="R280" s="1">
        <v>1273.0</v>
      </c>
      <c r="S280" s="1">
        <v>724.0</v>
      </c>
      <c r="T280" s="1">
        <v>214.0</v>
      </c>
      <c r="U280" s="1">
        <v>176.0</v>
      </c>
      <c r="V280" s="1">
        <v>369.0</v>
      </c>
      <c r="W280" s="1">
        <v>15341.0</v>
      </c>
      <c r="X280" s="1">
        <v>1658.0</v>
      </c>
      <c r="Y280" s="1">
        <v>653.0</v>
      </c>
      <c r="Z280" s="1">
        <v>252.0</v>
      </c>
      <c r="AA280" s="1">
        <v>528.0</v>
      </c>
      <c r="AB280" s="1">
        <v>834.0</v>
      </c>
      <c r="AC280" s="1">
        <v>157.0</v>
      </c>
      <c r="AD280" s="1">
        <v>172.0</v>
      </c>
      <c r="AE280" s="1">
        <v>44.0</v>
      </c>
      <c r="AF280" s="1">
        <v>446.0</v>
      </c>
      <c r="AG280" s="1">
        <v>0.0</v>
      </c>
      <c r="AH280" s="1">
        <v>197.0</v>
      </c>
      <c r="AI280" s="1">
        <v>85.0</v>
      </c>
      <c r="AJ280" s="1">
        <v>52.0</v>
      </c>
      <c r="AK280" s="1">
        <v>17.0</v>
      </c>
      <c r="AL280" s="1">
        <v>117.0</v>
      </c>
      <c r="AM280" s="1">
        <v>98.0</v>
      </c>
      <c r="AN280" s="1">
        <v>60.0</v>
      </c>
      <c r="AO280" s="1">
        <v>31.0</v>
      </c>
      <c r="AP280" s="1">
        <v>0.21599</v>
      </c>
      <c r="AQ280" s="1">
        <v>0.060197</v>
      </c>
      <c r="AR280" s="1">
        <v>0.134969</v>
      </c>
      <c r="AS280" s="1">
        <v>0.281864</v>
      </c>
      <c r="AT280" s="1">
        <v>15341.0</v>
      </c>
      <c r="AU280" s="1">
        <v>1658.0</v>
      </c>
      <c r="AV280" s="1">
        <v>0.296548</v>
      </c>
      <c r="AW280" s="1">
        <v>0.110503</v>
      </c>
      <c r="AX280" s="1">
        <v>0.170708</v>
      </c>
      <c r="AY280" s="1">
        <v>0.269641</v>
      </c>
      <c r="AZ280" s="1">
        <v>0.12333071</v>
      </c>
      <c r="BA280" s="1">
        <v>0.055609</v>
      </c>
      <c r="BB280" s="1">
        <v>0.014313</v>
      </c>
      <c r="BC280" s="1">
        <v>0.145082</v>
      </c>
      <c r="BD280" s="1">
        <v>0.0</v>
      </c>
      <c r="BE280" s="1">
        <v>0.127839</v>
      </c>
      <c r="BF280" s="1">
        <v>0.055158</v>
      </c>
      <c r="BG280" s="1">
        <v>0.033446</v>
      </c>
      <c r="BH280" s="1">
        <v>0.012065</v>
      </c>
      <c r="BI280" s="1">
        <v>0.083029</v>
      </c>
      <c r="BJ280" s="1">
        <v>0.069552</v>
      </c>
      <c r="BK280" s="1">
        <v>0.042026</v>
      </c>
      <c r="BL280" s="1">
        <v>0.010022</v>
      </c>
      <c r="BM280" s="1">
        <v>0.764</v>
      </c>
      <c r="BN280" s="1">
        <v>0.869</v>
      </c>
      <c r="BO280" s="1">
        <v>0.8621</v>
      </c>
      <c r="BP280" s="1">
        <v>0.941</v>
      </c>
      <c r="BQ280" s="1">
        <v>3.4361</v>
      </c>
      <c r="BR280" s="1">
        <v>0.909</v>
      </c>
      <c r="BS280" s="1">
        <v>0.741</v>
      </c>
      <c r="BT280" s="1">
        <v>0.787</v>
      </c>
      <c r="BU280" s="1">
        <v>0.687</v>
      </c>
      <c r="BV280" s="1">
        <v>2.215</v>
      </c>
      <c r="BW280" s="1">
        <v>0.965</v>
      </c>
      <c r="BX280" s="1">
        <v>0.288</v>
      </c>
      <c r="BY280" s="1">
        <v>0.799</v>
      </c>
      <c r="BZ280" s="1">
        <v>1.087</v>
      </c>
      <c r="CA280" s="1">
        <v>0.605</v>
      </c>
      <c r="CB280" s="1">
        <v>0.0</v>
      </c>
      <c r="CC280" s="1">
        <v>0.62</v>
      </c>
      <c r="CD280" s="1">
        <v>0.531</v>
      </c>
      <c r="CE280" s="1">
        <v>0.621</v>
      </c>
      <c r="CF280" s="1">
        <v>0.581</v>
      </c>
      <c r="CG280" s="1">
        <v>2.353</v>
      </c>
      <c r="CH280" s="1">
        <v>0.487</v>
      </c>
      <c r="CI280" s="1">
        <v>9.0911</v>
      </c>
      <c r="CJ280" s="1">
        <v>0.8628</v>
      </c>
      <c r="CK280" s="1">
        <v>0.0</v>
      </c>
      <c r="CL280" s="1">
        <v>0.0</v>
      </c>
      <c r="CM280" s="1">
        <v>0.0</v>
      </c>
      <c r="CN280" s="1">
        <v>1.0</v>
      </c>
      <c r="CO280" s="1">
        <v>1.0</v>
      </c>
      <c r="CP280" s="1">
        <v>0.0</v>
      </c>
      <c r="CQ280" s="1">
        <v>0.0</v>
      </c>
      <c r="CR280" s="1">
        <v>0.0</v>
      </c>
      <c r="CS280" s="1">
        <v>0.0</v>
      </c>
      <c r="CT280" s="1">
        <v>0.0</v>
      </c>
      <c r="CU280" s="1">
        <v>0.0</v>
      </c>
      <c r="CV280" s="1">
        <v>0.0</v>
      </c>
      <c r="CW280" s="1">
        <v>0.0</v>
      </c>
      <c r="CX280" s="1">
        <v>0.0</v>
      </c>
      <c r="CY280" s="1">
        <v>0.0</v>
      </c>
      <c r="CZ280" s="1">
        <v>0.0</v>
      </c>
      <c r="DA280" s="1">
        <v>0.0</v>
      </c>
      <c r="DB280" s="1">
        <v>0.0</v>
      </c>
      <c r="DC280" s="1">
        <v>1.0</v>
      </c>
      <c r="DD280" s="1" t="s">
        <v>1436</v>
      </c>
      <c r="DE280" s="1">
        <v>0.00169708801658922</v>
      </c>
      <c r="DF280" s="2" t="s">
        <v>1437</v>
      </c>
    </row>
    <row r="281" ht="15.75" customHeight="1">
      <c r="A281" s="1" t="s">
        <v>1438</v>
      </c>
      <c r="B281" s="1">
        <v>29.0</v>
      </c>
      <c r="C281" s="2" t="s">
        <v>1439</v>
      </c>
      <c r="D281" s="1">
        <v>950200.0</v>
      </c>
      <c r="E281" s="1">
        <v>338.956</v>
      </c>
      <c r="F281" s="1">
        <v>29067.0</v>
      </c>
      <c r="G281" s="1">
        <v>2.90679502E10</v>
      </c>
      <c r="H281" s="1" t="s">
        <v>112</v>
      </c>
      <c r="I281" s="1" t="s">
        <v>113</v>
      </c>
      <c r="J281" s="1" t="s">
        <v>1440</v>
      </c>
      <c r="K281" s="1" t="s">
        <v>1441</v>
      </c>
      <c r="L281" s="1">
        <v>5580.0</v>
      </c>
      <c r="M281" s="1">
        <v>6022.0</v>
      </c>
      <c r="N281" s="1">
        <v>438.0</v>
      </c>
      <c r="O281" s="1">
        <v>2561.0</v>
      </c>
      <c r="P281" s="1">
        <v>2564.0</v>
      </c>
      <c r="Q281" s="1">
        <v>119.0</v>
      </c>
      <c r="R281" s="1">
        <v>2199.0</v>
      </c>
      <c r="S281" s="1">
        <v>1182.0</v>
      </c>
      <c r="T281" s="1">
        <v>429.0</v>
      </c>
      <c r="U281" s="1">
        <v>182.0</v>
      </c>
      <c r="V281" s="1">
        <v>390.0</v>
      </c>
      <c r="W281" s="1">
        <v>14258.0</v>
      </c>
      <c r="X281" s="1">
        <v>1640.0</v>
      </c>
      <c r="Y281" s="1">
        <v>750.0</v>
      </c>
      <c r="Z281" s="1">
        <v>228.0</v>
      </c>
      <c r="AA281" s="1">
        <v>971.0</v>
      </c>
      <c r="AB281" s="1">
        <v>1288.0</v>
      </c>
      <c r="AC281" s="1">
        <v>164.0</v>
      </c>
      <c r="AD281" s="1">
        <v>173.0</v>
      </c>
      <c r="AE281" s="1">
        <v>12.0</v>
      </c>
      <c r="AF281" s="1">
        <v>442.0</v>
      </c>
      <c r="AG281" s="1">
        <v>0.0</v>
      </c>
      <c r="AH281" s="1">
        <v>197.0</v>
      </c>
      <c r="AI281" s="1">
        <v>404.0</v>
      </c>
      <c r="AJ281" s="1">
        <v>114.0</v>
      </c>
      <c r="AK281" s="1">
        <v>28.0</v>
      </c>
      <c r="AL281" s="1">
        <v>116.0</v>
      </c>
      <c r="AM281" s="1">
        <v>12.0</v>
      </c>
      <c r="AN281" s="1">
        <v>115.0</v>
      </c>
      <c r="AO281" s="1">
        <v>5.0</v>
      </c>
      <c r="AP281" s="1">
        <v>0.203267</v>
      </c>
      <c r="AQ281" s="1">
        <v>0.072062</v>
      </c>
      <c r="AR281" s="1">
        <v>0.08014</v>
      </c>
      <c r="AS281" s="1">
        <v>0.171412</v>
      </c>
      <c r="AT281" s="1">
        <v>14258.0</v>
      </c>
      <c r="AU281" s="1">
        <v>1640.0</v>
      </c>
      <c r="AV281" s="1">
        <v>0.186058</v>
      </c>
      <c r="AW281" s="1">
        <v>0.053965</v>
      </c>
      <c r="AX281" s="1">
        <v>0.174014</v>
      </c>
      <c r="AY281" s="1">
        <v>0.230824</v>
      </c>
      <c r="AZ281" s="1">
        <v>0.07457935</v>
      </c>
      <c r="BA281" s="1">
        <v>0.031003</v>
      </c>
      <c r="BB281" s="1">
        <v>0.002141</v>
      </c>
      <c r="BC281" s="1">
        <v>0.078886</v>
      </c>
      <c r="BD281" s="1">
        <v>0.0</v>
      </c>
      <c r="BE281" s="1">
        <v>0.076833</v>
      </c>
      <c r="BF281" s="1">
        <v>0.157566</v>
      </c>
      <c r="BG281" s="1">
        <v>0.043856</v>
      </c>
      <c r="BH281" s="1">
        <v>0.014492</v>
      </c>
      <c r="BI281" s="1">
        <v>0.060017</v>
      </c>
      <c r="BJ281" s="1">
        <v>0.006211</v>
      </c>
      <c r="BK281" s="1">
        <v>0.059519</v>
      </c>
      <c r="BL281" s="1">
        <v>8.96E-4</v>
      </c>
      <c r="BM281" s="1">
        <v>0.74</v>
      </c>
      <c r="BN281" s="1">
        <v>0.611</v>
      </c>
      <c r="BO281" s="1">
        <v>0.9047</v>
      </c>
      <c r="BP281" s="1">
        <v>0.71</v>
      </c>
      <c r="BQ281" s="1">
        <v>2.9657</v>
      </c>
      <c r="BR281" s="1">
        <v>0.7993</v>
      </c>
      <c r="BS281" s="1">
        <v>0.758</v>
      </c>
      <c r="BT281" s="1">
        <v>0.395</v>
      </c>
      <c r="BU281" s="1">
        <v>0.256</v>
      </c>
      <c r="BV281" s="1">
        <v>1.409</v>
      </c>
      <c r="BW281" s="1">
        <v>0.398</v>
      </c>
      <c r="BX281" s="1">
        <v>0.087</v>
      </c>
      <c r="BY281" s="1">
        <v>0.388</v>
      </c>
      <c r="BZ281" s="1">
        <v>0.475</v>
      </c>
      <c r="CA281" s="1">
        <v>0.197</v>
      </c>
      <c r="CB281" s="1">
        <v>0.0</v>
      </c>
      <c r="CC281" s="1">
        <v>0.833</v>
      </c>
      <c r="CD281" s="1">
        <v>0.582</v>
      </c>
      <c r="CE281" s="1">
        <v>0.056</v>
      </c>
      <c r="CF281" s="1">
        <v>0.39</v>
      </c>
      <c r="CG281" s="1">
        <v>1.861</v>
      </c>
      <c r="CH281" s="1">
        <v>0.289</v>
      </c>
      <c r="CI281" s="1">
        <v>6.7107</v>
      </c>
      <c r="CJ281" s="1">
        <v>0.4924</v>
      </c>
      <c r="CK281" s="1">
        <v>0.0</v>
      </c>
      <c r="CL281" s="1">
        <v>0.0</v>
      </c>
      <c r="CM281" s="1">
        <v>1.0</v>
      </c>
      <c r="CN281" s="1">
        <v>0.0</v>
      </c>
      <c r="CO281" s="1">
        <v>1.0</v>
      </c>
      <c r="CP281" s="1">
        <v>0.0</v>
      </c>
      <c r="CQ281" s="1">
        <v>0.0</v>
      </c>
      <c r="CR281" s="1">
        <v>0.0</v>
      </c>
      <c r="CS281" s="1">
        <v>0.0</v>
      </c>
      <c r="CT281" s="1">
        <v>0.0</v>
      </c>
      <c r="CU281" s="1">
        <v>0.0</v>
      </c>
      <c r="CV281" s="1">
        <v>0.0</v>
      </c>
      <c r="CW281" s="1">
        <v>0.0</v>
      </c>
      <c r="CX281" s="1">
        <v>0.0</v>
      </c>
      <c r="CY281" s="1">
        <v>0.0</v>
      </c>
      <c r="CZ281" s="1">
        <v>0.0</v>
      </c>
      <c r="DA281" s="1">
        <v>0.0</v>
      </c>
      <c r="DB281" s="1">
        <v>0.0</v>
      </c>
      <c r="DC281" s="1">
        <v>1.0</v>
      </c>
      <c r="DD281" s="1" t="s">
        <v>1442</v>
      </c>
      <c r="DE281" s="1">
        <v>0.088846361929287</v>
      </c>
      <c r="DF281" s="2" t="s">
        <v>1443</v>
      </c>
    </row>
    <row r="282" ht="15.75" customHeight="1">
      <c r="A282" s="1" t="s">
        <v>1444</v>
      </c>
      <c r="B282" s="1">
        <v>29.0</v>
      </c>
      <c r="C282" s="2" t="s">
        <v>1439</v>
      </c>
      <c r="D282" s="1">
        <v>950100.0</v>
      </c>
      <c r="E282" s="1">
        <v>433.356</v>
      </c>
      <c r="F282" s="1">
        <v>29067.0</v>
      </c>
      <c r="G282" s="1">
        <v>2.90679501E10</v>
      </c>
      <c r="H282" s="1" t="s">
        <v>112</v>
      </c>
      <c r="I282" s="1" t="s">
        <v>113</v>
      </c>
      <c r="J282" s="1" t="s">
        <v>1440</v>
      </c>
      <c r="K282" s="1" t="s">
        <v>1445</v>
      </c>
      <c r="L282" s="1">
        <v>3721.0</v>
      </c>
      <c r="M282" s="1">
        <v>3945.0</v>
      </c>
      <c r="N282" s="1">
        <v>420.0</v>
      </c>
      <c r="O282" s="1">
        <v>1835.0</v>
      </c>
      <c r="P282" s="1">
        <v>1883.0</v>
      </c>
      <c r="Q282" s="1">
        <v>123.0</v>
      </c>
      <c r="R282" s="1">
        <v>1528.0</v>
      </c>
      <c r="S282" s="1">
        <v>843.0</v>
      </c>
      <c r="T282" s="1">
        <v>292.0</v>
      </c>
      <c r="U282" s="1">
        <v>154.0</v>
      </c>
      <c r="V282" s="1">
        <v>420.0</v>
      </c>
      <c r="W282" s="1">
        <v>16522.0</v>
      </c>
      <c r="X282" s="1">
        <v>3316.0</v>
      </c>
      <c r="Y282" s="1">
        <v>561.0</v>
      </c>
      <c r="Z282" s="1">
        <v>290.0</v>
      </c>
      <c r="AA282" s="1">
        <v>709.0</v>
      </c>
      <c r="AB282" s="1">
        <v>809.0</v>
      </c>
      <c r="AC282" s="1">
        <v>118.0</v>
      </c>
      <c r="AD282" s="1">
        <v>147.0</v>
      </c>
      <c r="AE282" s="1">
        <v>0.0</v>
      </c>
      <c r="AF282" s="1">
        <v>456.0</v>
      </c>
      <c r="AG282" s="1">
        <v>0.0</v>
      </c>
      <c r="AH282" s="1">
        <v>197.0</v>
      </c>
      <c r="AI282" s="1">
        <v>395.0</v>
      </c>
      <c r="AJ282" s="1">
        <v>116.0</v>
      </c>
      <c r="AK282" s="1">
        <v>4.0</v>
      </c>
      <c r="AL282" s="1">
        <v>114.0</v>
      </c>
      <c r="AM282" s="1">
        <v>49.0</v>
      </c>
      <c r="AN282" s="1">
        <v>42.0</v>
      </c>
      <c r="AO282" s="1">
        <v>4.0</v>
      </c>
      <c r="AP282" s="1">
        <v>0.214013</v>
      </c>
      <c r="AQ282" s="1">
        <v>0.07053</v>
      </c>
      <c r="AR282" s="1">
        <v>0.09512</v>
      </c>
      <c r="AS282" s="1">
        <v>0.258897</v>
      </c>
      <c r="AT282" s="1">
        <v>16522.0</v>
      </c>
      <c r="AU282" s="1">
        <v>3316.0</v>
      </c>
      <c r="AV282" s="1">
        <v>0.204968</v>
      </c>
      <c r="AW282" s="1">
        <v>0.103964</v>
      </c>
      <c r="AX282" s="1">
        <v>0.19054</v>
      </c>
      <c r="AY282" s="1">
        <v>0.217414</v>
      </c>
      <c r="AZ282" s="1">
        <v>0.07722513</v>
      </c>
      <c r="BA282" s="1">
        <v>0.039505</v>
      </c>
      <c r="BB282" s="1">
        <v>0.0</v>
      </c>
      <c r="BC282" s="1">
        <v>0.119122</v>
      </c>
      <c r="BD282" s="1">
        <v>0.0</v>
      </c>
      <c r="BE282" s="1">
        <v>0.10462</v>
      </c>
      <c r="BF282" s="1">
        <v>0.209771</v>
      </c>
      <c r="BG282" s="1">
        <v>0.06006</v>
      </c>
      <c r="BH282" s="1">
        <v>0.002828</v>
      </c>
      <c r="BI282" s="1">
        <v>0.080621</v>
      </c>
      <c r="BJ282" s="1">
        <v>0.034653</v>
      </c>
      <c r="BK282" s="1">
        <v>0.029436</v>
      </c>
      <c r="BL282" s="1">
        <v>0.001074</v>
      </c>
      <c r="BM282" s="1">
        <v>0.762</v>
      </c>
      <c r="BN282" s="1">
        <v>0.706</v>
      </c>
      <c r="BO282" s="1">
        <v>0.8123</v>
      </c>
      <c r="BP282" s="1">
        <v>0.764</v>
      </c>
      <c r="BQ282" s="1">
        <v>3.0443</v>
      </c>
      <c r="BR282" s="1">
        <v>0.8123</v>
      </c>
      <c r="BS282" s="1">
        <v>0.84</v>
      </c>
      <c r="BT282" s="1">
        <v>0.284</v>
      </c>
      <c r="BU282" s="1">
        <v>0.273</v>
      </c>
      <c r="BV282" s="1">
        <v>1.397</v>
      </c>
      <c r="BW282" s="1">
        <v>0.387</v>
      </c>
      <c r="BX282" s="1">
        <v>0.159</v>
      </c>
      <c r="BY282" s="1">
        <v>0.0</v>
      </c>
      <c r="BZ282" s="1">
        <v>0.159</v>
      </c>
      <c r="CA282" s="1">
        <v>0.076</v>
      </c>
      <c r="CB282" s="1">
        <v>0.0</v>
      </c>
      <c r="CC282" s="1">
        <v>0.911</v>
      </c>
      <c r="CD282" s="1">
        <v>0.289</v>
      </c>
      <c r="CE282" s="1">
        <v>0.33</v>
      </c>
      <c r="CF282" s="1">
        <v>0.402</v>
      </c>
      <c r="CG282" s="1">
        <v>1.932</v>
      </c>
      <c r="CH282" s="1">
        <v>0.317</v>
      </c>
      <c r="CI282" s="1">
        <v>6.5323</v>
      </c>
      <c r="CJ282" s="1">
        <v>0.4643</v>
      </c>
      <c r="CK282" s="1">
        <v>0.0</v>
      </c>
      <c r="CL282" s="1">
        <v>0.0</v>
      </c>
      <c r="CM282" s="1">
        <v>0.0</v>
      </c>
      <c r="CN282" s="1">
        <v>0.0</v>
      </c>
      <c r="CO282" s="1">
        <v>0.0</v>
      </c>
      <c r="CP282" s="1">
        <v>0.0</v>
      </c>
      <c r="CQ282" s="1">
        <v>0.0</v>
      </c>
      <c r="CR282" s="1">
        <v>0.0</v>
      </c>
      <c r="CS282" s="1">
        <v>0.0</v>
      </c>
      <c r="CT282" s="1">
        <v>0.0</v>
      </c>
      <c r="CU282" s="1">
        <v>0.0</v>
      </c>
      <c r="CV282" s="1">
        <v>0.0</v>
      </c>
      <c r="CW282" s="1">
        <v>0.0</v>
      </c>
      <c r="CX282" s="1">
        <v>1.0</v>
      </c>
      <c r="CY282" s="1">
        <v>0.0</v>
      </c>
      <c r="CZ282" s="1">
        <v>0.0</v>
      </c>
      <c r="DA282" s="1">
        <v>0.0</v>
      </c>
      <c r="DB282" s="1">
        <v>1.0</v>
      </c>
      <c r="DC282" s="1">
        <v>1.0</v>
      </c>
      <c r="DD282" s="1" t="s">
        <v>1446</v>
      </c>
      <c r="DE282" s="2" t="s">
        <v>1447</v>
      </c>
      <c r="DF282" s="2" t="s">
        <v>1448</v>
      </c>
    </row>
    <row r="283" ht="15.75" customHeight="1">
      <c r="A283" s="1" t="s">
        <v>1449</v>
      </c>
      <c r="B283" s="1">
        <v>29.0</v>
      </c>
      <c r="C283" s="2" t="s">
        <v>1439</v>
      </c>
      <c r="D283" s="1">
        <v>950500.0</v>
      </c>
      <c r="E283" s="1">
        <v>41.319</v>
      </c>
      <c r="F283" s="1">
        <v>29067.0</v>
      </c>
      <c r="G283" s="1">
        <v>2.90679505E10</v>
      </c>
      <c r="H283" s="1" t="s">
        <v>112</v>
      </c>
      <c r="I283" s="1" t="s">
        <v>113</v>
      </c>
      <c r="J283" s="1" t="s">
        <v>1440</v>
      </c>
      <c r="K283" s="1" t="s">
        <v>1450</v>
      </c>
      <c r="L283" s="1">
        <v>4383.0</v>
      </c>
      <c r="M283" s="1">
        <v>3722.0</v>
      </c>
      <c r="N283" s="1">
        <v>223.0</v>
      </c>
      <c r="O283" s="1">
        <v>2123.0</v>
      </c>
      <c r="P283" s="1">
        <v>2011.0</v>
      </c>
      <c r="Q283" s="1">
        <v>192.0</v>
      </c>
      <c r="R283" s="1">
        <v>1860.0</v>
      </c>
      <c r="S283" s="1">
        <v>993.0</v>
      </c>
      <c r="T283" s="1">
        <v>406.0</v>
      </c>
      <c r="U283" s="1">
        <v>102.0</v>
      </c>
      <c r="V283" s="1">
        <v>450.0</v>
      </c>
      <c r="W283" s="1">
        <v>15015.0</v>
      </c>
      <c r="X283" s="1">
        <v>2021.0</v>
      </c>
      <c r="Y283" s="1">
        <v>609.0</v>
      </c>
      <c r="Z283" s="1">
        <v>262.0</v>
      </c>
      <c r="AA283" s="1">
        <v>1036.0</v>
      </c>
      <c r="AB283" s="1">
        <v>964.0</v>
      </c>
      <c r="AC283" s="1">
        <v>202.0</v>
      </c>
      <c r="AD283" s="1">
        <v>146.0</v>
      </c>
      <c r="AE283" s="1">
        <v>9.0</v>
      </c>
      <c r="AF283" s="1">
        <v>442.0</v>
      </c>
      <c r="AG283" s="1">
        <v>24.0</v>
      </c>
      <c r="AH283" s="1">
        <v>166.0</v>
      </c>
      <c r="AI283" s="1">
        <v>218.0</v>
      </c>
      <c r="AJ283" s="1">
        <v>103.0</v>
      </c>
      <c r="AK283" s="1">
        <v>69.0</v>
      </c>
      <c r="AL283" s="1">
        <v>131.0</v>
      </c>
      <c r="AM283" s="1">
        <v>102.0</v>
      </c>
      <c r="AN283" s="1">
        <v>57.0</v>
      </c>
      <c r="AO283" s="1">
        <v>114.0</v>
      </c>
      <c r="AP283" s="1">
        <v>0.266792</v>
      </c>
      <c r="AQ283" s="1">
        <v>0.107903</v>
      </c>
      <c r="AR283" s="1">
        <v>0.075055</v>
      </c>
      <c r="AS283" s="1">
        <v>0.330764</v>
      </c>
      <c r="AT283" s="1">
        <v>15015.0</v>
      </c>
      <c r="AU283" s="1">
        <v>2021.0</v>
      </c>
      <c r="AV283" s="1">
        <v>0.242532</v>
      </c>
      <c r="AW283" s="1">
        <v>0.101462</v>
      </c>
      <c r="AX283" s="1">
        <v>0.236367</v>
      </c>
      <c r="AY283" s="1">
        <v>0.21994</v>
      </c>
      <c r="AZ283" s="1">
        <v>0.10860215</v>
      </c>
      <c r="BA283" s="1">
        <v>0.03331</v>
      </c>
      <c r="BB283" s="1">
        <v>0.002613</v>
      </c>
      <c r="BC283" s="1">
        <v>0.128376</v>
      </c>
      <c r="BD283" s="1">
        <v>0.011934</v>
      </c>
      <c r="BE283" s="1">
        <v>0.082538</v>
      </c>
      <c r="BF283" s="1">
        <v>0.108403</v>
      </c>
      <c r="BG283" s="1">
        <v>0.050161</v>
      </c>
      <c r="BH283" s="1">
        <v>0.044033</v>
      </c>
      <c r="BI283" s="1">
        <v>0.083452</v>
      </c>
      <c r="BJ283" s="1">
        <v>0.065092</v>
      </c>
      <c r="BK283" s="1">
        <v>0.035632</v>
      </c>
      <c r="BL283" s="1">
        <v>0.026009</v>
      </c>
      <c r="BM283" s="1">
        <v>0.851</v>
      </c>
      <c r="BN283" s="1">
        <v>0.56</v>
      </c>
      <c r="BO283" s="1">
        <v>0.8744</v>
      </c>
      <c r="BP283" s="1">
        <v>0.853</v>
      </c>
      <c r="BQ283" s="1">
        <v>3.1384</v>
      </c>
      <c r="BR283" s="1">
        <v>0.8361</v>
      </c>
      <c r="BS283" s="1">
        <v>0.961</v>
      </c>
      <c r="BT283" s="1">
        <v>0.3</v>
      </c>
      <c r="BU283" s="1">
        <v>0.57</v>
      </c>
      <c r="BV283" s="1">
        <v>1.831</v>
      </c>
      <c r="BW283" s="1">
        <v>0.756</v>
      </c>
      <c r="BX283" s="1">
        <v>0.106</v>
      </c>
      <c r="BY283" s="1">
        <v>0.423</v>
      </c>
      <c r="BZ283" s="1">
        <v>0.529</v>
      </c>
      <c r="CA283" s="1">
        <v>0.226</v>
      </c>
      <c r="CB283" s="1">
        <v>0.397</v>
      </c>
      <c r="CC283" s="1">
        <v>0.736</v>
      </c>
      <c r="CD283" s="1">
        <v>0.911</v>
      </c>
      <c r="CE283" s="1">
        <v>0.598</v>
      </c>
      <c r="CF283" s="1">
        <v>0.78</v>
      </c>
      <c r="CG283" s="1">
        <v>3.422</v>
      </c>
      <c r="CH283" s="1">
        <v>0.923</v>
      </c>
      <c r="CI283" s="1">
        <v>8.9204</v>
      </c>
      <c r="CJ283" s="1">
        <v>0.8426</v>
      </c>
      <c r="CK283" s="1">
        <v>0.0</v>
      </c>
      <c r="CL283" s="1">
        <v>0.0</v>
      </c>
      <c r="CM283" s="1">
        <v>0.0</v>
      </c>
      <c r="CN283" s="1">
        <v>0.0</v>
      </c>
      <c r="CO283" s="1">
        <v>0.0</v>
      </c>
      <c r="CP283" s="1">
        <v>1.0</v>
      </c>
      <c r="CQ283" s="1">
        <v>0.0</v>
      </c>
      <c r="CR283" s="1">
        <v>0.0</v>
      </c>
      <c r="CS283" s="1">
        <v>1.0</v>
      </c>
      <c r="CT283" s="1">
        <v>0.0</v>
      </c>
      <c r="CU283" s="1">
        <v>0.0</v>
      </c>
      <c r="CV283" s="1">
        <v>0.0</v>
      </c>
      <c r="CW283" s="1">
        <v>0.0</v>
      </c>
      <c r="CX283" s="1">
        <v>0.0</v>
      </c>
      <c r="CY283" s="1">
        <v>1.0</v>
      </c>
      <c r="CZ283" s="1">
        <v>0.0</v>
      </c>
      <c r="DA283" s="1">
        <v>0.0</v>
      </c>
      <c r="DB283" s="1">
        <v>1.0</v>
      </c>
      <c r="DC283" s="1">
        <v>2.0</v>
      </c>
      <c r="DD283" s="1" t="s">
        <v>1451</v>
      </c>
      <c r="DE283" s="2" t="s">
        <v>1452</v>
      </c>
      <c r="DF283" s="1">
        <v>0.539791388924644</v>
      </c>
    </row>
    <row r="284" ht="15.75" customHeight="1">
      <c r="A284" s="1" t="s">
        <v>1453</v>
      </c>
      <c r="B284" s="1">
        <v>29.0</v>
      </c>
      <c r="C284" s="2" t="s">
        <v>1454</v>
      </c>
      <c r="D284" s="1">
        <v>360100.0</v>
      </c>
      <c r="E284" s="1">
        <v>4.572</v>
      </c>
      <c r="F284" s="1">
        <v>29069.0</v>
      </c>
      <c r="G284" s="1">
        <v>2.90693601E10</v>
      </c>
      <c r="H284" s="1" t="s">
        <v>112</v>
      </c>
      <c r="I284" s="1" t="s">
        <v>113</v>
      </c>
      <c r="J284" s="1" t="s">
        <v>1455</v>
      </c>
      <c r="K284" s="1" t="s">
        <v>1456</v>
      </c>
      <c r="L284" s="1">
        <v>2699.0</v>
      </c>
      <c r="M284" s="1">
        <v>2406.0</v>
      </c>
      <c r="N284" s="1">
        <v>289.0</v>
      </c>
      <c r="O284" s="1">
        <v>1322.0</v>
      </c>
      <c r="P284" s="1">
        <v>1257.0</v>
      </c>
      <c r="Q284" s="1">
        <v>127.0</v>
      </c>
      <c r="R284" s="1">
        <v>1111.0</v>
      </c>
      <c r="S284" s="1">
        <v>934.0</v>
      </c>
      <c r="T284" s="1">
        <v>262.0</v>
      </c>
      <c r="U284" s="1">
        <v>156.0</v>
      </c>
      <c r="V284" s="1">
        <v>419.0</v>
      </c>
      <c r="W284" s="1">
        <v>13663.0</v>
      </c>
      <c r="X284" s="1">
        <v>2752.0</v>
      </c>
      <c r="Y284" s="1">
        <v>673.0</v>
      </c>
      <c r="Z284" s="1">
        <v>187.0</v>
      </c>
      <c r="AA284" s="1">
        <v>366.0</v>
      </c>
      <c r="AB284" s="1">
        <v>707.0</v>
      </c>
      <c r="AC284" s="1">
        <v>212.0</v>
      </c>
      <c r="AD284" s="1">
        <v>1009.0</v>
      </c>
      <c r="AE284" s="1">
        <v>0.0</v>
      </c>
      <c r="AF284" s="1">
        <v>456.0</v>
      </c>
      <c r="AG284" s="1">
        <v>0.0</v>
      </c>
      <c r="AH284" s="1">
        <v>197.0</v>
      </c>
      <c r="AI284" s="1">
        <v>45.0</v>
      </c>
      <c r="AJ284" s="1">
        <v>40.0</v>
      </c>
      <c r="AK284" s="1">
        <v>35.0</v>
      </c>
      <c r="AL284" s="1">
        <v>124.0</v>
      </c>
      <c r="AM284" s="1">
        <v>266.0</v>
      </c>
      <c r="AN284" s="1">
        <v>156.0</v>
      </c>
      <c r="AO284" s="1">
        <v>0.0</v>
      </c>
      <c r="AP284" s="1">
        <v>0.408752</v>
      </c>
      <c r="AQ284" s="1">
        <v>0.10504</v>
      </c>
      <c r="AR284" s="1">
        <v>0.184834</v>
      </c>
      <c r="AS284" s="1">
        <v>0.494144</v>
      </c>
      <c r="AT284" s="1">
        <v>13663.0</v>
      </c>
      <c r="AU284" s="1">
        <v>2752.0</v>
      </c>
      <c r="AV284" s="1">
        <v>0.437296</v>
      </c>
      <c r="AW284" s="1">
        <v>0.106006</v>
      </c>
      <c r="AX284" s="1">
        <v>0.135605</v>
      </c>
      <c r="AY284" s="1">
        <v>0.261948</v>
      </c>
      <c r="AZ284" s="1">
        <v>0.19081908</v>
      </c>
      <c r="BA284" s="1">
        <v>0.373842</v>
      </c>
      <c r="BB284" s="1">
        <v>0.0</v>
      </c>
      <c r="BC284" s="1">
        <v>0.20559</v>
      </c>
      <c r="BD284" s="1">
        <v>0.0</v>
      </c>
      <c r="BE284" s="1">
        <v>0.156722</v>
      </c>
      <c r="BF284" s="1">
        <v>0.035799</v>
      </c>
      <c r="BG284" s="1">
        <v>0.031615</v>
      </c>
      <c r="BH284" s="1">
        <v>0.032407</v>
      </c>
      <c r="BI284" s="1">
        <v>0.114746</v>
      </c>
      <c r="BJ284" s="1">
        <v>0.246296</v>
      </c>
      <c r="BK284" s="1">
        <v>0.141272</v>
      </c>
      <c r="BL284" s="1">
        <v>0.0</v>
      </c>
      <c r="BM284" s="1">
        <v>0.959</v>
      </c>
      <c r="BN284" s="1">
        <v>0.939</v>
      </c>
      <c r="BO284" s="1">
        <v>0.9191</v>
      </c>
      <c r="BP284" s="1">
        <v>0.995</v>
      </c>
      <c r="BQ284" s="1">
        <v>3.8121</v>
      </c>
      <c r="BR284" s="1">
        <v>0.9827</v>
      </c>
      <c r="BS284" s="1">
        <v>0.457</v>
      </c>
      <c r="BT284" s="1">
        <v>0.719</v>
      </c>
      <c r="BU284" s="1">
        <v>0.887</v>
      </c>
      <c r="BV284" s="1">
        <v>2.063</v>
      </c>
      <c r="BW284" s="1">
        <v>0.9</v>
      </c>
      <c r="BX284" s="1">
        <v>0.83</v>
      </c>
      <c r="BY284" s="1">
        <v>0.0</v>
      </c>
      <c r="BZ284" s="1">
        <v>0.83</v>
      </c>
      <c r="CA284" s="1">
        <v>0.42</v>
      </c>
      <c r="CB284" s="1">
        <v>0.0</v>
      </c>
      <c r="CC284" s="1">
        <v>0.567</v>
      </c>
      <c r="CD284" s="1">
        <v>0.835</v>
      </c>
      <c r="CE284" s="1">
        <v>0.938</v>
      </c>
      <c r="CF284" s="1">
        <v>0.0</v>
      </c>
      <c r="CG284" s="1">
        <v>2.34</v>
      </c>
      <c r="CH284" s="1">
        <v>0.479</v>
      </c>
      <c r="CI284" s="1">
        <v>9.0451</v>
      </c>
      <c r="CJ284" s="1">
        <v>0.8585</v>
      </c>
      <c r="CK284" s="1">
        <v>1.0</v>
      </c>
      <c r="CL284" s="1">
        <v>1.0</v>
      </c>
      <c r="CM284" s="1">
        <v>1.0</v>
      </c>
      <c r="CN284" s="1">
        <v>1.0</v>
      </c>
      <c r="CO284" s="1">
        <v>4.0</v>
      </c>
      <c r="CP284" s="1">
        <v>0.0</v>
      </c>
      <c r="CQ284" s="1">
        <v>0.0</v>
      </c>
      <c r="CR284" s="1">
        <v>0.0</v>
      </c>
      <c r="CS284" s="1">
        <v>0.0</v>
      </c>
      <c r="CT284" s="1">
        <v>0.0</v>
      </c>
      <c r="CU284" s="1">
        <v>0.0</v>
      </c>
      <c r="CV284" s="1">
        <v>0.0</v>
      </c>
      <c r="CW284" s="1">
        <v>0.0</v>
      </c>
      <c r="CX284" s="1">
        <v>0.0</v>
      </c>
      <c r="CY284" s="1">
        <v>0.0</v>
      </c>
      <c r="CZ284" s="1">
        <v>1.0</v>
      </c>
      <c r="DA284" s="1">
        <v>0.0</v>
      </c>
      <c r="DB284" s="1">
        <v>1.0</v>
      </c>
      <c r="DC284" s="1">
        <v>5.0</v>
      </c>
      <c r="DD284" s="1" t="s">
        <v>1457</v>
      </c>
      <c r="DE284" s="1">
        <v>0.00119137902111709</v>
      </c>
      <c r="DF284" s="2" t="s">
        <v>1458</v>
      </c>
    </row>
    <row r="285" ht="15.75" customHeight="1">
      <c r="A285" s="1" t="s">
        <v>1459</v>
      </c>
      <c r="B285" s="1">
        <v>29.0</v>
      </c>
      <c r="C285" s="2" t="s">
        <v>1454</v>
      </c>
      <c r="D285" s="1">
        <v>360200.0</v>
      </c>
      <c r="E285" s="1">
        <v>13.378</v>
      </c>
      <c r="F285" s="1">
        <v>29069.0</v>
      </c>
      <c r="G285" s="1">
        <v>2.90693602E10</v>
      </c>
      <c r="H285" s="1" t="s">
        <v>112</v>
      </c>
      <c r="I285" s="1" t="s">
        <v>113</v>
      </c>
      <c r="J285" s="1" t="s">
        <v>1455</v>
      </c>
      <c r="K285" s="1" t="s">
        <v>1460</v>
      </c>
      <c r="L285" s="1">
        <v>2697.0</v>
      </c>
      <c r="M285" s="1">
        <v>3134.0</v>
      </c>
      <c r="N285" s="1">
        <v>298.0</v>
      </c>
      <c r="O285" s="1">
        <v>1207.0</v>
      </c>
      <c r="P285" s="1">
        <v>1333.0</v>
      </c>
      <c r="Q285" s="1">
        <v>125.0</v>
      </c>
      <c r="R285" s="1">
        <v>1139.0</v>
      </c>
      <c r="S285" s="1">
        <v>638.0</v>
      </c>
      <c r="T285" s="1">
        <v>285.0</v>
      </c>
      <c r="U285" s="1">
        <v>101.0</v>
      </c>
      <c r="V285" s="1">
        <v>415.0</v>
      </c>
      <c r="W285" s="1">
        <v>16307.0</v>
      </c>
      <c r="X285" s="1">
        <v>2169.0</v>
      </c>
      <c r="Y285" s="1">
        <v>596.0</v>
      </c>
      <c r="Z285" s="1">
        <v>179.0</v>
      </c>
      <c r="AA285" s="1">
        <v>576.0</v>
      </c>
      <c r="AB285" s="1">
        <v>611.0</v>
      </c>
      <c r="AC285" s="1">
        <v>136.0</v>
      </c>
      <c r="AD285" s="1">
        <v>321.0</v>
      </c>
      <c r="AE285" s="1">
        <v>25.0</v>
      </c>
      <c r="AF285" s="1">
        <v>444.0</v>
      </c>
      <c r="AG285" s="1">
        <v>24.0</v>
      </c>
      <c r="AH285" s="1">
        <v>163.0</v>
      </c>
      <c r="AI285" s="1">
        <v>68.0</v>
      </c>
      <c r="AJ285" s="1">
        <v>64.0</v>
      </c>
      <c r="AK285" s="1">
        <v>13.0</v>
      </c>
      <c r="AL285" s="1">
        <v>116.0</v>
      </c>
      <c r="AM285" s="1">
        <v>147.0</v>
      </c>
      <c r="AN285" s="1">
        <v>81.0</v>
      </c>
      <c r="AO285" s="1">
        <v>110.0</v>
      </c>
      <c r="AP285" s="1">
        <v>0.21554</v>
      </c>
      <c r="AQ285" s="1">
        <v>0.093704</v>
      </c>
      <c r="AR285" s="1">
        <v>0.076923</v>
      </c>
      <c r="AS285" s="1">
        <v>0.315668</v>
      </c>
      <c r="AT285" s="1">
        <v>16307.0</v>
      </c>
      <c r="AU285" s="1">
        <v>2169.0</v>
      </c>
      <c r="AV285" s="1">
        <v>0.295049</v>
      </c>
      <c r="AW285" s="1">
        <v>0.083609</v>
      </c>
      <c r="AX285" s="1">
        <v>0.21357</v>
      </c>
      <c r="AY285" s="1">
        <v>0.226548</v>
      </c>
      <c r="AZ285" s="1">
        <v>0.11940298</v>
      </c>
      <c r="BA285" s="1">
        <v>0.119021</v>
      </c>
      <c r="BB285" s="1">
        <v>0.008477</v>
      </c>
      <c r="BC285" s="1">
        <v>0.150557</v>
      </c>
      <c r="BD285" s="1">
        <v>0.018004</v>
      </c>
      <c r="BE285" s="1">
        <v>0.122268</v>
      </c>
      <c r="BF285" s="1">
        <v>0.051012</v>
      </c>
      <c r="BG285" s="1">
        <v>0.047773</v>
      </c>
      <c r="BH285" s="1">
        <v>0.01086</v>
      </c>
      <c r="BI285" s="1">
        <v>0.096902</v>
      </c>
      <c r="BJ285" s="1">
        <v>0.122807</v>
      </c>
      <c r="BK285" s="1">
        <v>0.066539</v>
      </c>
      <c r="BL285" s="1">
        <v>0.040786</v>
      </c>
      <c r="BM285" s="1">
        <v>0.763</v>
      </c>
      <c r="BN285" s="1">
        <v>0.578</v>
      </c>
      <c r="BO285" s="1">
        <v>0.8231</v>
      </c>
      <c r="BP285" s="1">
        <v>0.94</v>
      </c>
      <c r="BQ285" s="1">
        <v>3.1041</v>
      </c>
      <c r="BR285" s="1">
        <v>0.8224</v>
      </c>
      <c r="BS285" s="1">
        <v>0.919</v>
      </c>
      <c r="BT285" s="1">
        <v>0.353</v>
      </c>
      <c r="BU285" s="1">
        <v>0.666</v>
      </c>
      <c r="BV285" s="1">
        <v>1.938</v>
      </c>
      <c r="BW285" s="1">
        <v>0.827</v>
      </c>
      <c r="BX285" s="1">
        <v>0.534</v>
      </c>
      <c r="BY285" s="1">
        <v>0.68</v>
      </c>
      <c r="BZ285" s="1">
        <v>1.214</v>
      </c>
      <c r="CA285" s="1">
        <v>0.667</v>
      </c>
      <c r="CB285" s="1">
        <v>0.446</v>
      </c>
      <c r="CC285" s="1">
        <v>0.608</v>
      </c>
      <c r="CD285" s="1">
        <v>0.496</v>
      </c>
      <c r="CE285" s="1">
        <v>0.815</v>
      </c>
      <c r="CF285" s="1">
        <v>0.87</v>
      </c>
      <c r="CG285" s="1">
        <v>3.235</v>
      </c>
      <c r="CH285" s="1">
        <v>0.853</v>
      </c>
      <c r="CI285" s="1">
        <v>9.4911</v>
      </c>
      <c r="CJ285" s="1">
        <v>0.904</v>
      </c>
      <c r="CK285" s="1">
        <v>0.0</v>
      </c>
      <c r="CL285" s="1">
        <v>0.0</v>
      </c>
      <c r="CM285" s="1">
        <v>0.0</v>
      </c>
      <c r="CN285" s="1">
        <v>1.0</v>
      </c>
      <c r="CO285" s="1">
        <v>1.0</v>
      </c>
      <c r="CP285" s="1">
        <v>1.0</v>
      </c>
      <c r="CQ285" s="1">
        <v>0.0</v>
      </c>
      <c r="CR285" s="1">
        <v>0.0</v>
      </c>
      <c r="CS285" s="1">
        <v>1.0</v>
      </c>
      <c r="CT285" s="1">
        <v>0.0</v>
      </c>
      <c r="CU285" s="1">
        <v>0.0</v>
      </c>
      <c r="CV285" s="1">
        <v>0.0</v>
      </c>
      <c r="CW285" s="1">
        <v>0.0</v>
      </c>
      <c r="CX285" s="1">
        <v>0.0</v>
      </c>
      <c r="CY285" s="1">
        <v>0.0</v>
      </c>
      <c r="CZ285" s="1">
        <v>0.0</v>
      </c>
      <c r="DA285" s="1">
        <v>0.0</v>
      </c>
      <c r="DB285" s="1">
        <v>0.0</v>
      </c>
      <c r="DC285" s="1">
        <v>2.0</v>
      </c>
      <c r="DD285" s="1" t="s">
        <v>1461</v>
      </c>
      <c r="DE285" s="1">
        <v>0.00349329951142992</v>
      </c>
      <c r="DF285" s="2" t="s">
        <v>1462</v>
      </c>
    </row>
    <row r="286" ht="15.75" customHeight="1">
      <c r="A286" s="1" t="s">
        <v>1463</v>
      </c>
      <c r="B286" s="1">
        <v>29.0</v>
      </c>
      <c r="C286" s="2" t="s">
        <v>1454</v>
      </c>
      <c r="D286" s="1">
        <v>360600.0</v>
      </c>
      <c r="E286" s="1">
        <v>9.654</v>
      </c>
      <c r="F286" s="1">
        <v>29069.0</v>
      </c>
      <c r="G286" s="1">
        <v>2.90693606E10</v>
      </c>
      <c r="H286" s="1" t="s">
        <v>112</v>
      </c>
      <c r="I286" s="1" t="s">
        <v>113</v>
      </c>
      <c r="J286" s="1" t="s">
        <v>1455</v>
      </c>
      <c r="K286" s="1" t="s">
        <v>1464</v>
      </c>
      <c r="L286" s="1">
        <v>4698.0</v>
      </c>
      <c r="M286" s="1">
        <v>4568.0</v>
      </c>
      <c r="N286" s="1">
        <v>500.0</v>
      </c>
      <c r="O286" s="1">
        <v>2101.0</v>
      </c>
      <c r="P286" s="1">
        <v>1917.0</v>
      </c>
      <c r="Q286" s="1">
        <v>197.0</v>
      </c>
      <c r="R286" s="1">
        <v>1894.0</v>
      </c>
      <c r="S286" s="1">
        <v>947.0</v>
      </c>
      <c r="T286" s="1">
        <v>289.0</v>
      </c>
      <c r="U286" s="1">
        <v>170.0</v>
      </c>
      <c r="V286" s="1">
        <v>423.0</v>
      </c>
      <c r="W286" s="1">
        <v>15263.0</v>
      </c>
      <c r="X286" s="1">
        <v>2576.0</v>
      </c>
      <c r="Y286" s="1">
        <v>747.0</v>
      </c>
      <c r="Z286" s="1">
        <v>274.0</v>
      </c>
      <c r="AA286" s="1">
        <v>645.0</v>
      </c>
      <c r="AB286" s="1">
        <v>1267.0</v>
      </c>
      <c r="AC286" s="1">
        <v>345.0</v>
      </c>
      <c r="AD286" s="1">
        <v>1075.0</v>
      </c>
      <c r="AE286" s="1">
        <v>38.0</v>
      </c>
      <c r="AF286" s="1">
        <v>444.0</v>
      </c>
      <c r="AG286" s="1">
        <v>6.0</v>
      </c>
      <c r="AH286" s="1">
        <v>162.0</v>
      </c>
      <c r="AI286" s="1">
        <v>226.0</v>
      </c>
      <c r="AJ286" s="1">
        <v>109.0</v>
      </c>
      <c r="AK286" s="1">
        <v>0.0</v>
      </c>
      <c r="AL286" s="1">
        <v>161.0</v>
      </c>
      <c r="AM286" s="1">
        <v>83.0</v>
      </c>
      <c r="AN286" s="1">
        <v>127.0</v>
      </c>
      <c r="AO286" s="1">
        <v>8.0</v>
      </c>
      <c r="AP286" s="1">
        <v>0.207311</v>
      </c>
      <c r="AQ286" s="1">
        <v>0.059056</v>
      </c>
      <c r="AR286" s="1">
        <v>0.100651</v>
      </c>
      <c r="AS286" s="1">
        <v>0.249748</v>
      </c>
      <c r="AT286" s="1">
        <v>15263.0</v>
      </c>
      <c r="AU286" s="1">
        <v>2576.0</v>
      </c>
      <c r="AV286" s="1">
        <v>0.276053</v>
      </c>
      <c r="AW286" s="1">
        <v>0.095884</v>
      </c>
      <c r="AX286" s="1">
        <v>0.137292</v>
      </c>
      <c r="AY286" s="1">
        <v>0.269689</v>
      </c>
      <c r="AZ286" s="1">
        <v>0.18215417</v>
      </c>
      <c r="BA286" s="1">
        <v>0.22882</v>
      </c>
      <c r="BB286" s="1">
        <v>0.009343</v>
      </c>
      <c r="BC286" s="1">
        <v>0.109165</v>
      </c>
      <c r="BD286" s="1">
        <v>0.003129</v>
      </c>
      <c r="BE286" s="1">
        <v>0.084506</v>
      </c>
      <c r="BF286" s="1">
        <v>0.117892</v>
      </c>
      <c r="BG286" s="1">
        <v>0.055553</v>
      </c>
      <c r="BH286" s="1">
        <v>0.0</v>
      </c>
      <c r="BI286" s="1">
        <v>0.090449</v>
      </c>
      <c r="BJ286" s="1">
        <v>0.046629</v>
      </c>
      <c r="BK286" s="1">
        <v>0.071159</v>
      </c>
      <c r="BL286" s="1">
        <v>0.001702</v>
      </c>
      <c r="BM286" s="1">
        <v>0.747</v>
      </c>
      <c r="BN286" s="1">
        <v>0.735</v>
      </c>
      <c r="BO286" s="1">
        <v>0.8664</v>
      </c>
      <c r="BP286" s="1">
        <v>0.915</v>
      </c>
      <c r="BQ286" s="1">
        <v>3.2634</v>
      </c>
      <c r="BR286" s="1">
        <v>0.8715</v>
      </c>
      <c r="BS286" s="1">
        <v>0.474</v>
      </c>
      <c r="BT286" s="1">
        <v>0.788</v>
      </c>
      <c r="BU286" s="1">
        <v>0.869</v>
      </c>
      <c r="BV286" s="1">
        <v>2.131</v>
      </c>
      <c r="BW286" s="1">
        <v>0.938</v>
      </c>
      <c r="BX286" s="1">
        <v>0.743</v>
      </c>
      <c r="BY286" s="1">
        <v>0.703</v>
      </c>
      <c r="BZ286" s="1">
        <v>1.446</v>
      </c>
      <c r="CA286" s="1">
        <v>0.79</v>
      </c>
      <c r="CB286" s="1">
        <v>0.288</v>
      </c>
      <c r="CC286" s="1">
        <v>0.755</v>
      </c>
      <c r="CD286" s="1">
        <v>0.0</v>
      </c>
      <c r="CE286" s="1">
        <v>0.457</v>
      </c>
      <c r="CF286" s="1">
        <v>0.433</v>
      </c>
      <c r="CG286" s="1">
        <v>1.933</v>
      </c>
      <c r="CH286" s="1">
        <v>0.318</v>
      </c>
      <c r="CI286" s="1">
        <v>8.7734</v>
      </c>
      <c r="CJ286" s="1">
        <v>0.8245</v>
      </c>
      <c r="CK286" s="1">
        <v>0.0</v>
      </c>
      <c r="CL286" s="1">
        <v>0.0</v>
      </c>
      <c r="CM286" s="1">
        <v>0.0</v>
      </c>
      <c r="CN286" s="1">
        <v>1.0</v>
      </c>
      <c r="CO286" s="1">
        <v>1.0</v>
      </c>
      <c r="CP286" s="1">
        <v>0.0</v>
      </c>
      <c r="CQ286" s="1">
        <v>0.0</v>
      </c>
      <c r="CR286" s="1">
        <v>0.0</v>
      </c>
      <c r="CS286" s="1">
        <v>0.0</v>
      </c>
      <c r="CT286" s="1">
        <v>0.0</v>
      </c>
      <c r="CU286" s="1">
        <v>0.0</v>
      </c>
      <c r="CV286" s="1">
        <v>0.0</v>
      </c>
      <c r="CW286" s="1">
        <v>0.0</v>
      </c>
      <c r="CX286" s="1">
        <v>0.0</v>
      </c>
      <c r="CY286" s="1">
        <v>0.0</v>
      </c>
      <c r="CZ286" s="1">
        <v>0.0</v>
      </c>
      <c r="DA286" s="1">
        <v>0.0</v>
      </c>
      <c r="DB286" s="1">
        <v>0.0</v>
      </c>
      <c r="DC286" s="1">
        <v>1.0</v>
      </c>
      <c r="DD286" s="1" t="s">
        <v>1465</v>
      </c>
      <c r="DE286" s="1">
        <v>0.00251944009209046</v>
      </c>
      <c r="DF286" s="2" t="s">
        <v>1466</v>
      </c>
    </row>
    <row r="287" ht="15.75" customHeight="1">
      <c r="A287" s="1" t="s">
        <v>1467</v>
      </c>
      <c r="B287" s="1">
        <v>29.0</v>
      </c>
      <c r="C287" s="2" t="s">
        <v>1454</v>
      </c>
      <c r="D287" s="1">
        <v>360300.0</v>
      </c>
      <c r="E287" s="1">
        <v>115.057</v>
      </c>
      <c r="F287" s="1">
        <v>29069.0</v>
      </c>
      <c r="G287" s="1">
        <v>2.90693603E10</v>
      </c>
      <c r="H287" s="1" t="s">
        <v>112</v>
      </c>
      <c r="I287" s="1" t="s">
        <v>113</v>
      </c>
      <c r="J287" s="1" t="s">
        <v>1455</v>
      </c>
      <c r="K287" s="1" t="s">
        <v>1468</v>
      </c>
      <c r="L287" s="1">
        <v>4382.0</v>
      </c>
      <c r="M287" s="1">
        <v>4359.0</v>
      </c>
      <c r="N287" s="1">
        <v>129.0</v>
      </c>
      <c r="O287" s="1">
        <v>1973.0</v>
      </c>
      <c r="P287" s="1">
        <v>2219.0</v>
      </c>
      <c r="Q287" s="1">
        <v>146.0</v>
      </c>
      <c r="R287" s="1">
        <v>1771.0</v>
      </c>
      <c r="S287" s="1">
        <v>1044.0</v>
      </c>
      <c r="T287" s="1">
        <v>298.0</v>
      </c>
      <c r="U287" s="1">
        <v>130.0</v>
      </c>
      <c r="V287" s="1">
        <v>382.0</v>
      </c>
      <c r="W287" s="1">
        <v>16122.0</v>
      </c>
      <c r="X287" s="1">
        <v>2313.0</v>
      </c>
      <c r="Y287" s="1">
        <v>902.0</v>
      </c>
      <c r="Z287" s="1">
        <v>199.0</v>
      </c>
      <c r="AA287" s="1">
        <v>791.0</v>
      </c>
      <c r="AB287" s="1">
        <v>1045.0</v>
      </c>
      <c r="AC287" s="1">
        <v>183.0</v>
      </c>
      <c r="AD287" s="1">
        <v>148.0</v>
      </c>
      <c r="AE287" s="1">
        <v>0.0</v>
      </c>
      <c r="AF287" s="1">
        <v>456.0</v>
      </c>
      <c r="AG287" s="1">
        <v>0.0</v>
      </c>
      <c r="AH287" s="1">
        <v>197.0</v>
      </c>
      <c r="AI287" s="1">
        <v>293.0</v>
      </c>
      <c r="AJ287" s="1">
        <v>103.0</v>
      </c>
      <c r="AK287" s="1">
        <v>50.0</v>
      </c>
      <c r="AL287" s="1">
        <v>120.0</v>
      </c>
      <c r="AM287" s="1">
        <v>194.0</v>
      </c>
      <c r="AN287" s="1">
        <v>89.0</v>
      </c>
      <c r="AO287" s="1">
        <v>75.0</v>
      </c>
      <c r="AP287" s="1">
        <v>0.241946</v>
      </c>
      <c r="AQ287" s="1">
        <v>0.068594</v>
      </c>
      <c r="AR287" s="1">
        <v>0.082174</v>
      </c>
      <c r="AS287" s="1">
        <v>0.2412</v>
      </c>
      <c r="AT287" s="1">
        <v>16122.0</v>
      </c>
      <c r="AU287" s="1">
        <v>2313.0</v>
      </c>
      <c r="AV287" s="1">
        <v>0.287535</v>
      </c>
      <c r="AW287" s="1">
        <v>0.061846</v>
      </c>
      <c r="AX287" s="1">
        <v>0.180511</v>
      </c>
      <c r="AY287" s="1">
        <v>0.238475</v>
      </c>
      <c r="AZ287" s="1">
        <v>0.10333145</v>
      </c>
      <c r="BA287" s="1">
        <v>0.033774</v>
      </c>
      <c r="BB287" s="1">
        <v>0.0</v>
      </c>
      <c r="BC287" s="1">
        <v>0.109615</v>
      </c>
      <c r="BD287" s="1">
        <v>0.0</v>
      </c>
      <c r="BE287" s="1">
        <v>0.088778</v>
      </c>
      <c r="BF287" s="1">
        <v>0.132041</v>
      </c>
      <c r="BG287" s="1">
        <v>0.045597</v>
      </c>
      <c r="BH287" s="1">
        <v>0.02568</v>
      </c>
      <c r="BI287" s="1">
        <v>0.061611</v>
      </c>
      <c r="BJ287" s="1">
        <v>0.09964</v>
      </c>
      <c r="BK287" s="1">
        <v>0.045261</v>
      </c>
      <c r="BL287" s="1">
        <v>0.017115</v>
      </c>
      <c r="BM287" s="1">
        <v>0.814</v>
      </c>
      <c r="BN287" s="1">
        <v>0.63</v>
      </c>
      <c r="BO287" s="1">
        <v>0.8318</v>
      </c>
      <c r="BP287" s="1">
        <v>0.928</v>
      </c>
      <c r="BQ287" s="1">
        <v>3.2038</v>
      </c>
      <c r="BR287" s="1">
        <v>0.8534</v>
      </c>
      <c r="BS287" s="1">
        <v>0.792</v>
      </c>
      <c r="BT287" s="1">
        <v>0.48</v>
      </c>
      <c r="BU287" s="1">
        <v>0.525</v>
      </c>
      <c r="BV287" s="1">
        <v>1.797</v>
      </c>
      <c r="BW287" s="1">
        <v>0.716</v>
      </c>
      <c r="BX287" s="1">
        <v>0.108</v>
      </c>
      <c r="BY287" s="1">
        <v>0.0</v>
      </c>
      <c r="BZ287" s="1">
        <v>0.108</v>
      </c>
      <c r="CA287" s="1">
        <v>0.052</v>
      </c>
      <c r="CB287" s="1">
        <v>0.0</v>
      </c>
      <c r="CC287" s="1">
        <v>0.779</v>
      </c>
      <c r="CD287" s="1">
        <v>0.767</v>
      </c>
      <c r="CE287" s="1">
        <v>0.753</v>
      </c>
      <c r="CF287" s="1">
        <v>0.674</v>
      </c>
      <c r="CG287" s="1">
        <v>2.973</v>
      </c>
      <c r="CH287" s="1">
        <v>0.763</v>
      </c>
      <c r="CI287" s="1">
        <v>8.0818</v>
      </c>
      <c r="CJ287" s="1">
        <v>0.7285</v>
      </c>
      <c r="CK287" s="1">
        <v>0.0</v>
      </c>
      <c r="CL287" s="1">
        <v>0.0</v>
      </c>
      <c r="CM287" s="1">
        <v>0.0</v>
      </c>
      <c r="CN287" s="1">
        <v>1.0</v>
      </c>
      <c r="CO287" s="1">
        <v>1.0</v>
      </c>
      <c r="CP287" s="1">
        <v>0.0</v>
      </c>
      <c r="CQ287" s="1">
        <v>0.0</v>
      </c>
      <c r="CR287" s="1">
        <v>0.0</v>
      </c>
      <c r="CS287" s="1">
        <v>0.0</v>
      </c>
      <c r="CT287" s="1">
        <v>0.0</v>
      </c>
      <c r="CU287" s="1">
        <v>0.0</v>
      </c>
      <c r="CV287" s="1">
        <v>0.0</v>
      </c>
      <c r="CW287" s="1">
        <v>0.0</v>
      </c>
      <c r="CX287" s="1">
        <v>0.0</v>
      </c>
      <c r="CY287" s="1">
        <v>0.0</v>
      </c>
      <c r="CZ287" s="1">
        <v>0.0</v>
      </c>
      <c r="DA287" s="1">
        <v>0.0</v>
      </c>
      <c r="DB287" s="1">
        <v>0.0</v>
      </c>
      <c r="DC287" s="1">
        <v>1.0</v>
      </c>
      <c r="DD287" s="1" t="s">
        <v>1469</v>
      </c>
      <c r="DE287" s="1">
        <v>0.0303223443006415</v>
      </c>
      <c r="DF287" s="2" t="s">
        <v>1470</v>
      </c>
    </row>
    <row r="288" ht="15.75" customHeight="1">
      <c r="A288" s="1" t="s">
        <v>1471</v>
      </c>
      <c r="B288" s="1">
        <v>29.0</v>
      </c>
      <c r="C288" s="2" t="s">
        <v>1454</v>
      </c>
      <c r="D288" s="1">
        <v>360500.0</v>
      </c>
      <c r="E288" s="1">
        <v>4.867</v>
      </c>
      <c r="F288" s="1">
        <v>29069.0</v>
      </c>
      <c r="G288" s="1">
        <v>2.90693605E10</v>
      </c>
      <c r="H288" s="1" t="s">
        <v>112</v>
      </c>
      <c r="I288" s="1" t="s">
        <v>113</v>
      </c>
      <c r="J288" s="1" t="s">
        <v>1455</v>
      </c>
      <c r="K288" s="1" t="s">
        <v>1472</v>
      </c>
      <c r="L288" s="1">
        <v>3011.0</v>
      </c>
      <c r="M288" s="1">
        <v>3920.0</v>
      </c>
      <c r="N288" s="1">
        <v>752.0</v>
      </c>
      <c r="O288" s="1">
        <v>1390.0</v>
      </c>
      <c r="P288" s="1">
        <v>1394.0</v>
      </c>
      <c r="Q288" s="1">
        <v>139.0</v>
      </c>
      <c r="R288" s="1">
        <v>1229.0</v>
      </c>
      <c r="S288" s="1">
        <v>764.0</v>
      </c>
      <c r="T288" s="1">
        <v>390.0</v>
      </c>
      <c r="U288" s="1">
        <v>32.0</v>
      </c>
      <c r="V288" s="1">
        <v>485.0</v>
      </c>
      <c r="W288" s="1">
        <v>15047.0</v>
      </c>
      <c r="X288" s="1">
        <v>3373.0</v>
      </c>
      <c r="Y288" s="1">
        <v>1006.0</v>
      </c>
      <c r="Z288" s="1">
        <v>319.0</v>
      </c>
      <c r="AA288" s="1">
        <v>449.0</v>
      </c>
      <c r="AB288" s="1">
        <v>806.0</v>
      </c>
      <c r="AC288" s="1">
        <v>205.0</v>
      </c>
      <c r="AD288" s="1">
        <v>946.0</v>
      </c>
      <c r="AE288" s="1">
        <v>115.0</v>
      </c>
      <c r="AF288" s="1">
        <v>425.0</v>
      </c>
      <c r="AG288" s="1">
        <v>53.0</v>
      </c>
      <c r="AH288" s="1">
        <v>169.0</v>
      </c>
      <c r="AI288" s="1">
        <v>121.0</v>
      </c>
      <c r="AJ288" s="1">
        <v>65.0</v>
      </c>
      <c r="AK288" s="1">
        <v>45.0</v>
      </c>
      <c r="AL288" s="1">
        <v>120.0</v>
      </c>
      <c r="AM288" s="1">
        <v>180.0</v>
      </c>
      <c r="AN288" s="1">
        <v>76.0</v>
      </c>
      <c r="AO288" s="1">
        <v>152.0</v>
      </c>
      <c r="AP288" s="1">
        <v>0.269014</v>
      </c>
      <c r="AQ288" s="1">
        <v>0.129343</v>
      </c>
      <c r="AR288" s="1">
        <v>0.031589</v>
      </c>
      <c r="AS288" s="1">
        <v>0.47872</v>
      </c>
      <c r="AT288" s="1">
        <v>15047.0</v>
      </c>
      <c r="AU288" s="1">
        <v>3373.0</v>
      </c>
      <c r="AV288" s="1">
        <v>0.386774</v>
      </c>
      <c r="AW288" s="1">
        <v>0.091922</v>
      </c>
      <c r="AX288" s="1">
        <v>0.149119</v>
      </c>
      <c r="AY288" s="1">
        <v>0.267685</v>
      </c>
      <c r="AZ288" s="1">
        <v>0.16680227</v>
      </c>
      <c r="BA288" s="1">
        <v>0.314181</v>
      </c>
      <c r="BB288" s="1">
        <v>0.031506</v>
      </c>
      <c r="BC288" s="1">
        <v>0.116267</v>
      </c>
      <c r="BD288" s="1">
        <v>0.03802</v>
      </c>
      <c r="BE288" s="1">
        <v>0.121174</v>
      </c>
      <c r="BF288" s="1">
        <v>0.0868</v>
      </c>
      <c r="BG288" s="1">
        <v>0.045818</v>
      </c>
      <c r="BH288" s="1">
        <v>0.038232</v>
      </c>
      <c r="BI288" s="1">
        <v>0.101846</v>
      </c>
      <c r="BJ288" s="1">
        <v>0.152931</v>
      </c>
      <c r="BK288" s="1">
        <v>0.0618</v>
      </c>
      <c r="BL288" s="1">
        <v>0.050481</v>
      </c>
      <c r="BM288" s="1">
        <v>0.853</v>
      </c>
      <c r="BN288" s="1">
        <v>0.1</v>
      </c>
      <c r="BO288" s="1">
        <v>0.8736</v>
      </c>
      <c r="BP288" s="1">
        <v>0.987</v>
      </c>
      <c r="BQ288" s="1">
        <v>2.8136</v>
      </c>
      <c r="BR288" s="1">
        <v>0.7516</v>
      </c>
      <c r="BS288" s="1">
        <v>0.569</v>
      </c>
      <c r="BT288" s="1">
        <v>0.772</v>
      </c>
      <c r="BU288" s="1">
        <v>0.838</v>
      </c>
      <c r="BV288" s="1">
        <v>2.179</v>
      </c>
      <c r="BW288" s="1">
        <v>0.958</v>
      </c>
      <c r="BX288" s="1">
        <v>0.798</v>
      </c>
      <c r="BY288" s="1">
        <v>0.921</v>
      </c>
      <c r="BZ288" s="1">
        <v>1.719</v>
      </c>
      <c r="CA288" s="1">
        <v>0.932</v>
      </c>
      <c r="CB288" s="1">
        <v>0.602</v>
      </c>
      <c r="CC288" s="1">
        <v>0.692</v>
      </c>
      <c r="CD288" s="1">
        <v>0.882</v>
      </c>
      <c r="CE288" s="1">
        <v>0.861</v>
      </c>
      <c r="CF288" s="1">
        <v>0.895</v>
      </c>
      <c r="CG288" s="1">
        <v>3.932</v>
      </c>
      <c r="CH288" s="1">
        <v>0.995</v>
      </c>
      <c r="CI288" s="1">
        <v>10.6436</v>
      </c>
      <c r="CJ288" s="1">
        <v>0.9805</v>
      </c>
      <c r="CK288" s="1">
        <v>0.0</v>
      </c>
      <c r="CL288" s="1">
        <v>0.0</v>
      </c>
      <c r="CM288" s="1">
        <v>0.0</v>
      </c>
      <c r="CN288" s="1">
        <v>1.0</v>
      </c>
      <c r="CO288" s="1">
        <v>1.0</v>
      </c>
      <c r="CP288" s="1">
        <v>0.0</v>
      </c>
      <c r="CQ288" s="1">
        <v>0.0</v>
      </c>
      <c r="CR288" s="1">
        <v>0.0</v>
      </c>
      <c r="CS288" s="1">
        <v>0.0</v>
      </c>
      <c r="CT288" s="1">
        <v>0.0</v>
      </c>
      <c r="CU288" s="1">
        <v>1.0</v>
      </c>
      <c r="CV288" s="1">
        <v>1.0</v>
      </c>
      <c r="CW288" s="1">
        <v>0.0</v>
      </c>
      <c r="CX288" s="1">
        <v>0.0</v>
      </c>
      <c r="CY288" s="1">
        <v>0.0</v>
      </c>
      <c r="CZ288" s="1">
        <v>0.0</v>
      </c>
      <c r="DA288" s="1">
        <v>0.0</v>
      </c>
      <c r="DB288" s="1">
        <v>0.0</v>
      </c>
      <c r="DC288" s="1">
        <v>2.0</v>
      </c>
      <c r="DD288" s="1" t="s">
        <v>1473</v>
      </c>
      <c r="DE288" s="1">
        <v>0.00126897589304237</v>
      </c>
      <c r="DF288" s="2" t="s">
        <v>1474</v>
      </c>
    </row>
    <row r="289" ht="15.75" customHeight="1">
      <c r="A289" s="1" t="s">
        <v>1475</v>
      </c>
      <c r="B289" s="1">
        <v>29.0</v>
      </c>
      <c r="C289" s="2" t="s">
        <v>1454</v>
      </c>
      <c r="D289" s="1">
        <v>360400.0</v>
      </c>
      <c r="E289" s="1">
        <v>113.09</v>
      </c>
      <c r="F289" s="1">
        <v>29069.0</v>
      </c>
      <c r="G289" s="1">
        <v>2.90693604E10</v>
      </c>
      <c r="H289" s="1" t="s">
        <v>112</v>
      </c>
      <c r="I289" s="1" t="s">
        <v>113</v>
      </c>
      <c r="J289" s="1" t="s">
        <v>1455</v>
      </c>
      <c r="K289" s="1" t="s">
        <v>1476</v>
      </c>
      <c r="L289" s="1">
        <v>4396.0</v>
      </c>
      <c r="M289" s="1">
        <v>4181.0</v>
      </c>
      <c r="N289" s="1">
        <v>341.0</v>
      </c>
      <c r="O289" s="1">
        <v>1919.0</v>
      </c>
      <c r="P289" s="1">
        <v>2016.0</v>
      </c>
      <c r="Q289" s="1">
        <v>117.0</v>
      </c>
      <c r="R289" s="1">
        <v>1706.0</v>
      </c>
      <c r="S289" s="1">
        <v>738.0</v>
      </c>
      <c r="T289" s="1">
        <v>177.0</v>
      </c>
      <c r="U289" s="1">
        <v>145.0</v>
      </c>
      <c r="V289" s="1">
        <v>284.0</v>
      </c>
      <c r="W289" s="1">
        <v>16611.0</v>
      </c>
      <c r="X289" s="1">
        <v>1755.0</v>
      </c>
      <c r="Y289" s="1">
        <v>936.0</v>
      </c>
      <c r="Z289" s="1">
        <v>183.0</v>
      </c>
      <c r="AA289" s="1">
        <v>590.0</v>
      </c>
      <c r="AB289" s="1">
        <v>1230.0</v>
      </c>
      <c r="AC289" s="1">
        <v>211.0</v>
      </c>
      <c r="AD289" s="1">
        <v>493.0</v>
      </c>
      <c r="AE289" s="1">
        <v>96.0</v>
      </c>
      <c r="AF289" s="1">
        <v>398.0</v>
      </c>
      <c r="AG289" s="1">
        <v>3.0</v>
      </c>
      <c r="AH289" s="1">
        <v>161.0</v>
      </c>
      <c r="AI289" s="1">
        <v>514.0</v>
      </c>
      <c r="AJ289" s="1">
        <v>105.0</v>
      </c>
      <c r="AK289" s="1">
        <v>62.0</v>
      </c>
      <c r="AL289" s="1">
        <v>120.0</v>
      </c>
      <c r="AM289" s="1">
        <v>138.0</v>
      </c>
      <c r="AN289" s="1">
        <v>57.0</v>
      </c>
      <c r="AO289" s="1">
        <v>0.0</v>
      </c>
      <c r="AP289" s="1">
        <v>0.178735</v>
      </c>
      <c r="AQ289" s="1">
        <v>0.040277</v>
      </c>
      <c r="AR289" s="1">
        <v>0.092651</v>
      </c>
      <c r="AS289" s="1">
        <v>0.18118</v>
      </c>
      <c r="AT289" s="1">
        <v>16611.0</v>
      </c>
      <c r="AU289" s="1">
        <v>1755.0</v>
      </c>
      <c r="AV289" s="1">
        <v>0.350037</v>
      </c>
      <c r="AW289" s="1">
        <v>0.064107</v>
      </c>
      <c r="AX289" s="1">
        <v>0.134212</v>
      </c>
      <c r="AY289" s="1">
        <v>0.279799</v>
      </c>
      <c r="AZ289" s="1">
        <v>0.12368112</v>
      </c>
      <c r="BA289" s="1">
        <v>0.112147</v>
      </c>
      <c r="BB289" s="1">
        <v>0.024876</v>
      </c>
      <c r="BC289" s="1">
        <v>0.103119</v>
      </c>
      <c r="BD289" s="1">
        <v>0.001488</v>
      </c>
      <c r="BE289" s="1">
        <v>0.079861</v>
      </c>
      <c r="BF289" s="1">
        <v>0.25496</v>
      </c>
      <c r="BG289" s="1">
        <v>0.049937</v>
      </c>
      <c r="BH289" s="1">
        <v>0.036926</v>
      </c>
      <c r="BI289" s="1">
        <v>0.071423</v>
      </c>
      <c r="BJ289" s="1">
        <v>0.082191</v>
      </c>
      <c r="BK289" s="1">
        <v>0.033445</v>
      </c>
      <c r="BL289" s="1">
        <v>0.0</v>
      </c>
      <c r="BM289" s="1">
        <v>0.674</v>
      </c>
      <c r="BN289" s="1">
        <v>0.693</v>
      </c>
      <c r="BO289" s="1">
        <v>0.8065</v>
      </c>
      <c r="BP289" s="1">
        <v>0.978</v>
      </c>
      <c r="BQ289" s="1">
        <v>3.1515</v>
      </c>
      <c r="BR289" s="1">
        <v>0.8397</v>
      </c>
      <c r="BS289" s="1">
        <v>0.45</v>
      </c>
      <c r="BT289" s="1">
        <v>0.848</v>
      </c>
      <c r="BU289" s="1">
        <v>0.69</v>
      </c>
      <c r="BV289" s="1">
        <v>1.988</v>
      </c>
      <c r="BW289" s="1">
        <v>0.853</v>
      </c>
      <c r="BX289" s="1">
        <v>0.512</v>
      </c>
      <c r="BY289" s="1">
        <v>0.889</v>
      </c>
      <c r="BZ289" s="1">
        <v>1.401</v>
      </c>
      <c r="CA289" s="1">
        <v>0.767</v>
      </c>
      <c r="CB289" s="1">
        <v>0.263</v>
      </c>
      <c r="CC289" s="1">
        <v>0.954</v>
      </c>
      <c r="CD289" s="1">
        <v>0.871</v>
      </c>
      <c r="CE289" s="1">
        <v>0.689</v>
      </c>
      <c r="CF289" s="1">
        <v>0.0</v>
      </c>
      <c r="CG289" s="1">
        <v>2.777</v>
      </c>
      <c r="CH289" s="1">
        <v>0.679</v>
      </c>
      <c r="CI289" s="1">
        <v>9.3175</v>
      </c>
      <c r="CJ289" s="1">
        <v>0.8881</v>
      </c>
      <c r="CK289" s="1">
        <v>0.0</v>
      </c>
      <c r="CL289" s="1">
        <v>0.0</v>
      </c>
      <c r="CM289" s="1">
        <v>0.0</v>
      </c>
      <c r="CN289" s="1">
        <v>1.0</v>
      </c>
      <c r="CO289" s="1">
        <v>1.0</v>
      </c>
      <c r="CP289" s="1">
        <v>0.0</v>
      </c>
      <c r="CQ289" s="1">
        <v>0.0</v>
      </c>
      <c r="CR289" s="1">
        <v>0.0</v>
      </c>
      <c r="CS289" s="1">
        <v>0.0</v>
      </c>
      <c r="CT289" s="1">
        <v>0.0</v>
      </c>
      <c r="CU289" s="1">
        <v>0.0</v>
      </c>
      <c r="CV289" s="1">
        <v>0.0</v>
      </c>
      <c r="CW289" s="1">
        <v>0.0</v>
      </c>
      <c r="CX289" s="1">
        <v>1.0</v>
      </c>
      <c r="CY289" s="1">
        <v>0.0</v>
      </c>
      <c r="CZ289" s="1">
        <v>0.0</v>
      </c>
      <c r="DA289" s="1">
        <v>0.0</v>
      </c>
      <c r="DB289" s="1">
        <v>1.0</v>
      </c>
      <c r="DC289" s="1">
        <v>2.0</v>
      </c>
      <c r="DD289" s="1" t="s">
        <v>1477</v>
      </c>
      <c r="DE289" s="1">
        <v>0.0295490106994299</v>
      </c>
      <c r="DF289" s="2" t="s">
        <v>1478</v>
      </c>
    </row>
    <row r="290" ht="15.75" customHeight="1">
      <c r="A290" s="1" t="s">
        <v>1479</v>
      </c>
      <c r="B290" s="1">
        <v>29.0</v>
      </c>
      <c r="C290" s="2" t="s">
        <v>1454</v>
      </c>
      <c r="D290" s="1">
        <v>360700.0</v>
      </c>
      <c r="E290" s="1">
        <v>3.781</v>
      </c>
      <c r="F290" s="1">
        <v>29069.0</v>
      </c>
      <c r="G290" s="1">
        <v>2.90693607E10</v>
      </c>
      <c r="H290" s="1" t="s">
        <v>112</v>
      </c>
      <c r="I290" s="1" t="s">
        <v>113</v>
      </c>
      <c r="J290" s="1" t="s">
        <v>1455</v>
      </c>
      <c r="K290" s="1" t="s">
        <v>1480</v>
      </c>
      <c r="L290" s="1">
        <v>3611.0</v>
      </c>
      <c r="M290" s="1">
        <v>3099.0</v>
      </c>
      <c r="N290" s="1">
        <v>420.0</v>
      </c>
      <c r="O290" s="1">
        <v>1534.0</v>
      </c>
      <c r="P290" s="1">
        <v>1504.0</v>
      </c>
      <c r="Q290" s="1">
        <v>150.0</v>
      </c>
      <c r="R290" s="1">
        <v>1381.0</v>
      </c>
      <c r="S290" s="1">
        <v>473.0</v>
      </c>
      <c r="T290" s="1">
        <v>196.0</v>
      </c>
      <c r="U290" s="1">
        <v>122.0</v>
      </c>
      <c r="V290" s="1">
        <v>416.0</v>
      </c>
      <c r="W290" s="1">
        <v>21209.0</v>
      </c>
      <c r="X290" s="1">
        <v>3310.0</v>
      </c>
      <c r="Y290" s="1">
        <v>522.0</v>
      </c>
      <c r="Z290" s="1">
        <v>233.0</v>
      </c>
      <c r="AA290" s="1">
        <v>742.0</v>
      </c>
      <c r="AB290" s="1">
        <v>825.0</v>
      </c>
      <c r="AC290" s="1">
        <v>185.0</v>
      </c>
      <c r="AD290" s="1">
        <v>568.0</v>
      </c>
      <c r="AE290" s="1">
        <v>0.0</v>
      </c>
      <c r="AF290" s="1">
        <v>456.0</v>
      </c>
      <c r="AG290" s="1">
        <v>67.0</v>
      </c>
      <c r="AH290" s="1">
        <v>167.0</v>
      </c>
      <c r="AI290" s="1">
        <v>112.0</v>
      </c>
      <c r="AJ290" s="1">
        <v>77.0</v>
      </c>
      <c r="AK290" s="1">
        <v>0.0</v>
      </c>
      <c r="AL290" s="1">
        <v>161.0</v>
      </c>
      <c r="AM290" s="1">
        <v>126.0</v>
      </c>
      <c r="AN290" s="1">
        <v>65.0</v>
      </c>
      <c r="AO290" s="1">
        <v>253.0</v>
      </c>
      <c r="AP290" s="1">
        <v>0.161048</v>
      </c>
      <c r="AQ290" s="1">
        <v>0.063196</v>
      </c>
      <c r="AR290" s="1">
        <v>0.094867</v>
      </c>
      <c r="AS290" s="1">
        <v>0.323068</v>
      </c>
      <c r="AT290" s="1">
        <v>21209.0</v>
      </c>
      <c r="AU290" s="1">
        <v>3310.0</v>
      </c>
      <c r="AV290" s="1">
        <v>0.241331</v>
      </c>
      <c r="AW290" s="1">
        <v>0.102016</v>
      </c>
      <c r="AX290" s="1">
        <v>0.205483</v>
      </c>
      <c r="AY290" s="1">
        <v>0.228468</v>
      </c>
      <c r="AZ290" s="1">
        <v>0.13396089</v>
      </c>
      <c r="BA290" s="1">
        <v>0.157297</v>
      </c>
      <c r="BB290" s="1">
        <v>0.0</v>
      </c>
      <c r="BC290" s="1">
        <v>0.153794</v>
      </c>
      <c r="BD290" s="1">
        <v>0.044547</v>
      </c>
      <c r="BE290" s="1">
        <v>0.110948</v>
      </c>
      <c r="BF290" s="1">
        <v>0.074468</v>
      </c>
      <c r="BG290" s="1">
        <v>0.050655</v>
      </c>
      <c r="BH290" s="1">
        <v>0.0</v>
      </c>
      <c r="BI290" s="1">
        <v>0.116329</v>
      </c>
      <c r="BJ290" s="1">
        <v>0.09104</v>
      </c>
      <c r="BK290" s="1">
        <v>0.045565</v>
      </c>
      <c r="BL290" s="1">
        <v>0.070063</v>
      </c>
      <c r="BM290" s="1">
        <v>0.613</v>
      </c>
      <c r="BN290" s="1">
        <v>0.705</v>
      </c>
      <c r="BO290" s="1">
        <v>0.5401</v>
      </c>
      <c r="BP290" s="1">
        <v>0.851</v>
      </c>
      <c r="BQ290" s="1">
        <v>2.7091</v>
      </c>
      <c r="BR290" s="1">
        <v>0.7256</v>
      </c>
      <c r="BS290" s="1">
        <v>0.897</v>
      </c>
      <c r="BT290" s="1">
        <v>0.369</v>
      </c>
      <c r="BU290" s="1">
        <v>0.735</v>
      </c>
      <c r="BV290" s="1">
        <v>2.001</v>
      </c>
      <c r="BW290" s="1">
        <v>0.858</v>
      </c>
      <c r="BX290" s="1">
        <v>0.644</v>
      </c>
      <c r="BY290" s="1">
        <v>0.0</v>
      </c>
      <c r="BZ290" s="1">
        <v>0.644</v>
      </c>
      <c r="CA290" s="1">
        <v>0.299</v>
      </c>
      <c r="CB290" s="1">
        <v>0.63</v>
      </c>
      <c r="CC290" s="1">
        <v>0.661</v>
      </c>
      <c r="CD290" s="1">
        <v>0.0</v>
      </c>
      <c r="CE290" s="1">
        <v>0.722</v>
      </c>
      <c r="CF290" s="1">
        <v>0.923</v>
      </c>
      <c r="CG290" s="1">
        <v>2.936</v>
      </c>
      <c r="CH290" s="1">
        <v>0.745</v>
      </c>
      <c r="CI290" s="1">
        <v>8.2901</v>
      </c>
      <c r="CJ290" s="1">
        <v>0.7596</v>
      </c>
      <c r="CK290" s="1">
        <v>0.0</v>
      </c>
      <c r="CL290" s="1">
        <v>0.0</v>
      </c>
      <c r="CM290" s="1">
        <v>0.0</v>
      </c>
      <c r="CN290" s="1">
        <v>0.0</v>
      </c>
      <c r="CO290" s="1">
        <v>0.0</v>
      </c>
      <c r="CP290" s="1">
        <v>0.0</v>
      </c>
      <c r="CQ290" s="1">
        <v>0.0</v>
      </c>
      <c r="CR290" s="1">
        <v>0.0</v>
      </c>
      <c r="CS290" s="1">
        <v>0.0</v>
      </c>
      <c r="CT290" s="1">
        <v>0.0</v>
      </c>
      <c r="CU290" s="1">
        <v>0.0</v>
      </c>
      <c r="CV290" s="1">
        <v>0.0</v>
      </c>
      <c r="CW290" s="1">
        <v>0.0</v>
      </c>
      <c r="CX290" s="1">
        <v>0.0</v>
      </c>
      <c r="CY290" s="1">
        <v>0.0</v>
      </c>
      <c r="CZ290" s="1">
        <v>0.0</v>
      </c>
      <c r="DA290" s="1">
        <v>1.0</v>
      </c>
      <c r="DB290" s="1">
        <v>1.0</v>
      </c>
      <c r="DC290" s="1">
        <v>1.0</v>
      </c>
      <c r="DD290" s="1" t="s">
        <v>1481</v>
      </c>
      <c r="DE290" s="1">
        <v>9.79563932389767E-4</v>
      </c>
      <c r="DF290" s="2" t="s">
        <v>1482</v>
      </c>
    </row>
    <row r="291" ht="15.75" customHeight="1">
      <c r="A291" s="1" t="s">
        <v>1483</v>
      </c>
      <c r="B291" s="1">
        <v>29.0</v>
      </c>
      <c r="C291" s="2" t="s">
        <v>1454</v>
      </c>
      <c r="D291" s="1">
        <v>360800.0</v>
      </c>
      <c r="E291" s="1">
        <v>60.548</v>
      </c>
      <c r="F291" s="1">
        <v>29069.0</v>
      </c>
      <c r="G291" s="1">
        <v>2.90693608E10</v>
      </c>
      <c r="H291" s="1" t="s">
        <v>112</v>
      </c>
      <c r="I291" s="1" t="s">
        <v>113</v>
      </c>
      <c r="J291" s="1" t="s">
        <v>1455</v>
      </c>
      <c r="K291" s="1" t="s">
        <v>1484</v>
      </c>
      <c r="L291" s="1">
        <v>2384.0</v>
      </c>
      <c r="M291" s="1">
        <v>2243.0</v>
      </c>
      <c r="N291" s="1">
        <v>144.0</v>
      </c>
      <c r="O291" s="1">
        <v>1026.0</v>
      </c>
      <c r="P291" s="1">
        <v>941.0</v>
      </c>
      <c r="Q291" s="1">
        <v>99.0</v>
      </c>
      <c r="R291" s="1">
        <v>907.0</v>
      </c>
      <c r="S291" s="1">
        <v>775.0</v>
      </c>
      <c r="T291" s="1">
        <v>205.0</v>
      </c>
      <c r="U291" s="1">
        <v>115.0</v>
      </c>
      <c r="V291" s="1">
        <v>344.0</v>
      </c>
      <c r="W291" s="1">
        <v>17206.0</v>
      </c>
      <c r="X291" s="1">
        <v>3496.0</v>
      </c>
      <c r="Y291" s="1">
        <v>606.0</v>
      </c>
      <c r="Z291" s="1">
        <v>104.0</v>
      </c>
      <c r="AA291" s="1">
        <v>411.0</v>
      </c>
      <c r="AB291" s="1">
        <v>647.0</v>
      </c>
      <c r="AC291" s="1">
        <v>99.0</v>
      </c>
      <c r="AD291" s="1">
        <v>575.0</v>
      </c>
      <c r="AE291" s="1">
        <v>149.0</v>
      </c>
      <c r="AF291" s="1">
        <v>415.0</v>
      </c>
      <c r="AG291" s="1">
        <v>19.0</v>
      </c>
      <c r="AH291" s="1">
        <v>115.0</v>
      </c>
      <c r="AI291" s="1">
        <v>112.0</v>
      </c>
      <c r="AJ291" s="1">
        <v>51.0</v>
      </c>
      <c r="AK291" s="1">
        <v>29.0</v>
      </c>
      <c r="AL291" s="1">
        <v>116.0</v>
      </c>
      <c r="AM291" s="1">
        <v>70.0</v>
      </c>
      <c r="AN291" s="1">
        <v>33.0</v>
      </c>
      <c r="AO291" s="1">
        <v>74.0</v>
      </c>
      <c r="AP291" s="1">
        <v>0.378233</v>
      </c>
      <c r="AQ291" s="1">
        <v>0.095417</v>
      </c>
      <c r="AR291" s="1">
        <v>0.167151</v>
      </c>
      <c r="AS291" s="1">
        <v>0.499385</v>
      </c>
      <c r="AT291" s="1">
        <v>17206.0</v>
      </c>
      <c r="AU291" s="1">
        <v>3496.0</v>
      </c>
      <c r="AV291" s="1">
        <v>0.397116</v>
      </c>
      <c r="AW291" s="1">
        <v>0.054153</v>
      </c>
      <c r="AX291" s="1">
        <v>0.172399</v>
      </c>
      <c r="AY291" s="1">
        <v>0.271392</v>
      </c>
      <c r="AZ291" s="1">
        <v>0.10915104</v>
      </c>
      <c r="BA291" s="1">
        <v>0.241191</v>
      </c>
      <c r="BB291" s="1">
        <v>0.073254</v>
      </c>
      <c r="BC291" s="1">
        <v>0.203967</v>
      </c>
      <c r="BD291" s="1">
        <v>0.020191</v>
      </c>
      <c r="BE291" s="1">
        <v>0.122191</v>
      </c>
      <c r="BF291" s="1">
        <v>0.119022</v>
      </c>
      <c r="BG291" s="1">
        <v>0.052731</v>
      </c>
      <c r="BH291" s="1">
        <v>0.034482</v>
      </c>
      <c r="BI291" s="1">
        <v>0.137872</v>
      </c>
      <c r="BJ291" s="1">
        <v>0.083234</v>
      </c>
      <c r="BK291" s="1">
        <v>0.038021</v>
      </c>
      <c r="BL291" s="1">
        <v>0.03104</v>
      </c>
      <c r="BM291" s="1">
        <v>0.941</v>
      </c>
      <c r="BN291" s="1">
        <v>0.92</v>
      </c>
      <c r="BO291" s="1">
        <v>0.7747</v>
      </c>
      <c r="BP291" s="1">
        <v>0.988</v>
      </c>
      <c r="BQ291" s="1">
        <v>3.6237</v>
      </c>
      <c r="BR291" s="1">
        <v>0.9422</v>
      </c>
      <c r="BS291" s="1">
        <v>0.751</v>
      </c>
      <c r="BT291" s="1">
        <v>0.802</v>
      </c>
      <c r="BU291" s="1">
        <v>0.579</v>
      </c>
      <c r="BV291" s="1">
        <v>2.132</v>
      </c>
      <c r="BW291" s="1">
        <v>0.938</v>
      </c>
      <c r="BX291" s="1">
        <v>0.754</v>
      </c>
      <c r="BY291" s="1">
        <v>0.978</v>
      </c>
      <c r="BZ291" s="1">
        <v>1.732</v>
      </c>
      <c r="CA291" s="1">
        <v>0.935</v>
      </c>
      <c r="CB291" s="1">
        <v>0.464</v>
      </c>
      <c r="CC291" s="1">
        <v>0.758</v>
      </c>
      <c r="CD291" s="1">
        <v>0.856</v>
      </c>
      <c r="CE291" s="1">
        <v>0.694</v>
      </c>
      <c r="CF291" s="1">
        <v>0.814</v>
      </c>
      <c r="CG291" s="1">
        <v>3.586</v>
      </c>
      <c r="CH291" s="1">
        <v>0.951</v>
      </c>
      <c r="CI291" s="1">
        <v>11.0737</v>
      </c>
      <c r="CJ291" s="1">
        <v>0.9949</v>
      </c>
      <c r="CK291" s="1">
        <v>1.0</v>
      </c>
      <c r="CL291" s="1">
        <v>1.0</v>
      </c>
      <c r="CM291" s="1">
        <v>0.0</v>
      </c>
      <c r="CN291" s="1">
        <v>1.0</v>
      </c>
      <c r="CO291" s="1">
        <v>3.0</v>
      </c>
      <c r="CP291" s="1">
        <v>0.0</v>
      </c>
      <c r="CQ291" s="1">
        <v>0.0</v>
      </c>
      <c r="CR291" s="1">
        <v>0.0</v>
      </c>
      <c r="CS291" s="1">
        <v>0.0</v>
      </c>
      <c r="CT291" s="1">
        <v>0.0</v>
      </c>
      <c r="CU291" s="1">
        <v>1.0</v>
      </c>
      <c r="CV291" s="1">
        <v>1.0</v>
      </c>
      <c r="CW291" s="1">
        <v>0.0</v>
      </c>
      <c r="CX291" s="1">
        <v>0.0</v>
      </c>
      <c r="CY291" s="1">
        <v>0.0</v>
      </c>
      <c r="CZ291" s="1">
        <v>0.0</v>
      </c>
      <c r="DA291" s="1">
        <v>0.0</v>
      </c>
      <c r="DB291" s="1">
        <v>0.0</v>
      </c>
      <c r="DC291" s="1">
        <v>4.0</v>
      </c>
      <c r="DD291" s="1" t="s">
        <v>1485</v>
      </c>
      <c r="DE291" s="2" t="s">
        <v>1486</v>
      </c>
      <c r="DF291" s="2" t="s">
        <v>1487</v>
      </c>
    </row>
    <row r="292" ht="15.75" customHeight="1">
      <c r="A292" s="1" t="s">
        <v>1488</v>
      </c>
      <c r="B292" s="1">
        <v>29.0</v>
      </c>
      <c r="C292" s="2" t="s">
        <v>1454</v>
      </c>
      <c r="D292" s="1">
        <v>360900.0</v>
      </c>
      <c r="E292" s="1">
        <v>153.317</v>
      </c>
      <c r="F292" s="1">
        <v>29069.0</v>
      </c>
      <c r="G292" s="1">
        <v>2.90693609E10</v>
      </c>
      <c r="H292" s="1" t="s">
        <v>112</v>
      </c>
      <c r="I292" s="1" t="s">
        <v>113</v>
      </c>
      <c r="J292" s="1" t="s">
        <v>1455</v>
      </c>
      <c r="K292" s="1" t="s">
        <v>1489</v>
      </c>
      <c r="L292" s="1">
        <v>1959.0</v>
      </c>
      <c r="M292" s="1">
        <v>2031.0</v>
      </c>
      <c r="N292" s="1">
        <v>240.0</v>
      </c>
      <c r="O292" s="1">
        <v>916.0</v>
      </c>
      <c r="P292" s="1">
        <v>960.0</v>
      </c>
      <c r="Q292" s="1">
        <v>86.0</v>
      </c>
      <c r="R292" s="1">
        <v>811.0</v>
      </c>
      <c r="S292" s="1">
        <v>333.0</v>
      </c>
      <c r="T292" s="1">
        <v>185.0</v>
      </c>
      <c r="U292" s="1">
        <v>67.0</v>
      </c>
      <c r="V292" s="1">
        <v>380.0</v>
      </c>
      <c r="W292" s="1">
        <v>20202.0</v>
      </c>
      <c r="X292" s="1">
        <v>2347.0</v>
      </c>
      <c r="Y292" s="1">
        <v>376.0</v>
      </c>
      <c r="Z292" s="1">
        <v>86.0</v>
      </c>
      <c r="AA292" s="1">
        <v>319.0</v>
      </c>
      <c r="AB292" s="1">
        <v>419.0</v>
      </c>
      <c r="AC292" s="1">
        <v>66.0</v>
      </c>
      <c r="AD292" s="1">
        <v>154.0</v>
      </c>
      <c r="AE292" s="1">
        <v>0.0</v>
      </c>
      <c r="AF292" s="1">
        <v>456.0</v>
      </c>
      <c r="AG292" s="1">
        <v>5.0</v>
      </c>
      <c r="AH292" s="1">
        <v>161.0</v>
      </c>
      <c r="AI292" s="1">
        <v>99.0</v>
      </c>
      <c r="AJ292" s="1">
        <v>41.0</v>
      </c>
      <c r="AK292" s="1">
        <v>2.0</v>
      </c>
      <c r="AL292" s="1">
        <v>114.0</v>
      </c>
      <c r="AM292" s="1">
        <v>84.0</v>
      </c>
      <c r="AN292" s="1">
        <v>43.0</v>
      </c>
      <c r="AO292" s="1">
        <v>0.0</v>
      </c>
      <c r="AP292" s="1">
        <v>0.163958</v>
      </c>
      <c r="AQ292" s="1">
        <v>0.089003</v>
      </c>
      <c r="AR292" s="1">
        <v>0.072826</v>
      </c>
      <c r="AS292" s="1">
        <v>0.412797</v>
      </c>
      <c r="AT292" s="1">
        <v>20202.0</v>
      </c>
      <c r="AU292" s="1">
        <v>2347.0</v>
      </c>
      <c r="AV292" s="1">
        <v>0.264788</v>
      </c>
      <c r="AW292" s="1">
        <v>0.054998</v>
      </c>
      <c r="AX292" s="1">
        <v>0.162838</v>
      </c>
      <c r="AY292" s="1">
        <v>0.213884</v>
      </c>
      <c r="AZ292" s="1">
        <v>0.08138101</v>
      </c>
      <c r="BA292" s="1">
        <v>0.078611</v>
      </c>
      <c r="BB292" s="1">
        <v>0.0</v>
      </c>
      <c r="BC292" s="1">
        <v>0.232653</v>
      </c>
      <c r="BD292" s="1">
        <v>0.005208</v>
      </c>
      <c r="BE292" s="1">
        <v>0.167707</v>
      </c>
      <c r="BF292" s="1">
        <v>0.103125</v>
      </c>
      <c r="BG292" s="1">
        <v>0.041697</v>
      </c>
      <c r="BH292" s="1">
        <v>0.002355</v>
      </c>
      <c r="BI292" s="1">
        <v>0.134275</v>
      </c>
      <c r="BJ292" s="1">
        <v>0.098939</v>
      </c>
      <c r="BK292" s="1">
        <v>0.049867</v>
      </c>
      <c r="BL292" s="1">
        <v>0.0</v>
      </c>
      <c r="BM292" s="1">
        <v>0.623</v>
      </c>
      <c r="BN292" s="1">
        <v>0.536</v>
      </c>
      <c r="BO292" s="1">
        <v>0.5993</v>
      </c>
      <c r="BP292" s="1">
        <v>0.897</v>
      </c>
      <c r="BQ292" s="1">
        <v>2.6553</v>
      </c>
      <c r="BR292" s="1">
        <v>0.709</v>
      </c>
      <c r="BS292" s="1">
        <v>0.688</v>
      </c>
      <c r="BT292" s="1">
        <v>0.256</v>
      </c>
      <c r="BU292" s="1">
        <v>0.319</v>
      </c>
      <c r="BV292" s="1">
        <v>1.263</v>
      </c>
      <c r="BW292" s="1">
        <v>0.274</v>
      </c>
      <c r="BX292" s="1">
        <v>0.395</v>
      </c>
      <c r="BY292" s="1">
        <v>0.0</v>
      </c>
      <c r="BZ292" s="1">
        <v>0.395</v>
      </c>
      <c r="CA292" s="1">
        <v>0.161</v>
      </c>
      <c r="CB292" s="1">
        <v>0.32</v>
      </c>
      <c r="CC292" s="1">
        <v>0.723</v>
      </c>
      <c r="CD292" s="1">
        <v>0.287</v>
      </c>
      <c r="CE292" s="1">
        <v>0.751</v>
      </c>
      <c r="CF292" s="1">
        <v>0.0</v>
      </c>
      <c r="CG292" s="1">
        <v>2.081</v>
      </c>
      <c r="CH292" s="1">
        <v>0.375</v>
      </c>
      <c r="CI292" s="1">
        <v>6.3943</v>
      </c>
      <c r="CJ292" s="1">
        <v>0.444</v>
      </c>
      <c r="CK292" s="1">
        <v>0.0</v>
      </c>
      <c r="CL292" s="1">
        <v>0.0</v>
      </c>
      <c r="CM292" s="1">
        <v>0.0</v>
      </c>
      <c r="CN292" s="1">
        <v>0.0</v>
      </c>
      <c r="CO292" s="1">
        <v>0.0</v>
      </c>
      <c r="CP292" s="1">
        <v>0.0</v>
      </c>
      <c r="CQ292" s="1">
        <v>0.0</v>
      </c>
      <c r="CR292" s="1">
        <v>0.0</v>
      </c>
      <c r="CS292" s="1">
        <v>0.0</v>
      </c>
      <c r="CT292" s="1">
        <v>0.0</v>
      </c>
      <c r="CU292" s="1">
        <v>0.0</v>
      </c>
      <c r="CV292" s="1">
        <v>0.0</v>
      </c>
      <c r="CW292" s="1">
        <v>0.0</v>
      </c>
      <c r="CX292" s="1">
        <v>0.0</v>
      </c>
      <c r="CY292" s="1">
        <v>0.0</v>
      </c>
      <c r="CZ292" s="1">
        <v>0.0</v>
      </c>
      <c r="DA292" s="1">
        <v>0.0</v>
      </c>
      <c r="DB292" s="1">
        <v>0.0</v>
      </c>
      <c r="DC292" s="1">
        <v>0.0</v>
      </c>
      <c r="DD292" s="1" t="s">
        <v>1490</v>
      </c>
      <c r="DE292" s="2" t="s">
        <v>1491</v>
      </c>
      <c r="DF292" s="2" t="s">
        <v>1492</v>
      </c>
    </row>
    <row r="293" ht="15.75" customHeight="1">
      <c r="A293" s="1" t="s">
        <v>1493</v>
      </c>
      <c r="B293" s="1">
        <v>29.0</v>
      </c>
      <c r="C293" s="2" t="s">
        <v>1454</v>
      </c>
      <c r="D293" s="1">
        <v>361000.0</v>
      </c>
      <c r="E293" s="1">
        <v>62.805</v>
      </c>
      <c r="F293" s="1">
        <v>29069.0</v>
      </c>
      <c r="G293" s="1">
        <v>2.9069361E10</v>
      </c>
      <c r="H293" s="1" t="s">
        <v>112</v>
      </c>
      <c r="I293" s="1" t="s">
        <v>113</v>
      </c>
      <c r="J293" s="1" t="s">
        <v>1455</v>
      </c>
      <c r="K293" s="1" t="s">
        <v>1494</v>
      </c>
      <c r="L293" s="1">
        <v>2116.0</v>
      </c>
      <c r="M293" s="1">
        <v>2199.0</v>
      </c>
      <c r="N293" s="1">
        <v>243.0</v>
      </c>
      <c r="O293" s="1">
        <v>1031.0</v>
      </c>
      <c r="P293" s="1">
        <v>1027.0</v>
      </c>
      <c r="Q293" s="1">
        <v>107.0</v>
      </c>
      <c r="R293" s="1">
        <v>888.0</v>
      </c>
      <c r="S293" s="1">
        <v>511.0</v>
      </c>
      <c r="T293" s="1">
        <v>171.0</v>
      </c>
      <c r="U293" s="1">
        <v>57.0</v>
      </c>
      <c r="V293" s="1">
        <v>361.0</v>
      </c>
      <c r="W293" s="1">
        <v>16539.0</v>
      </c>
      <c r="X293" s="1">
        <v>2282.0</v>
      </c>
      <c r="Y293" s="1">
        <v>560.0</v>
      </c>
      <c r="Z293" s="1">
        <v>104.0</v>
      </c>
      <c r="AA293" s="1">
        <v>379.0</v>
      </c>
      <c r="AB293" s="1">
        <v>527.0</v>
      </c>
      <c r="AC293" s="1">
        <v>127.0</v>
      </c>
      <c r="AD293" s="1">
        <v>166.0</v>
      </c>
      <c r="AE293" s="1">
        <v>8.0</v>
      </c>
      <c r="AF293" s="1">
        <v>442.0</v>
      </c>
      <c r="AG293" s="1">
        <v>0.0</v>
      </c>
      <c r="AH293" s="1">
        <v>197.0</v>
      </c>
      <c r="AI293" s="1">
        <v>150.0</v>
      </c>
      <c r="AJ293" s="1">
        <v>71.0</v>
      </c>
      <c r="AK293" s="1">
        <v>8.0</v>
      </c>
      <c r="AL293" s="1">
        <v>114.0</v>
      </c>
      <c r="AM293" s="1">
        <v>55.0</v>
      </c>
      <c r="AN293" s="1">
        <v>26.0</v>
      </c>
      <c r="AO293" s="1">
        <v>0.0</v>
      </c>
      <c r="AP293" s="1">
        <v>0.233546</v>
      </c>
      <c r="AQ293" s="1">
        <v>0.073723</v>
      </c>
      <c r="AR293" s="1">
        <v>0.06909</v>
      </c>
      <c r="AS293" s="1">
        <v>0.437454</v>
      </c>
      <c r="AT293" s="1">
        <v>16539.0</v>
      </c>
      <c r="AU293" s="1">
        <v>2282.0</v>
      </c>
      <c r="AV293" s="1">
        <v>0.363636</v>
      </c>
      <c r="AW293" s="1">
        <v>0.054823</v>
      </c>
      <c r="AX293" s="1">
        <v>0.179111</v>
      </c>
      <c r="AY293" s="1">
        <v>0.249054</v>
      </c>
      <c r="AZ293" s="1">
        <v>0.14301801</v>
      </c>
      <c r="BA293" s="1">
        <v>0.078449</v>
      </c>
      <c r="BB293" s="1">
        <v>0.003935</v>
      </c>
      <c r="BC293" s="1">
        <v>0.217412</v>
      </c>
      <c r="BD293" s="1">
        <v>0.0</v>
      </c>
      <c r="BE293" s="1">
        <v>0.19182</v>
      </c>
      <c r="BF293" s="1">
        <v>0.146056</v>
      </c>
      <c r="BG293" s="1">
        <v>0.067437</v>
      </c>
      <c r="BH293" s="1">
        <v>0.008412</v>
      </c>
      <c r="BI293" s="1">
        <v>0.119869</v>
      </c>
      <c r="BJ293" s="1">
        <v>0.057833</v>
      </c>
      <c r="BK293" s="1">
        <v>0.026461</v>
      </c>
      <c r="BL293" s="1">
        <v>0.0</v>
      </c>
      <c r="BM293" s="1">
        <v>0.797</v>
      </c>
      <c r="BN293" s="1">
        <v>0.504</v>
      </c>
      <c r="BO293" s="1">
        <v>0.8108</v>
      </c>
      <c r="BP293" s="1">
        <v>0.982</v>
      </c>
      <c r="BQ293" s="1">
        <v>3.0938</v>
      </c>
      <c r="BR293" s="1">
        <v>0.8202</v>
      </c>
      <c r="BS293" s="1">
        <v>0.782</v>
      </c>
      <c r="BT293" s="1">
        <v>0.587</v>
      </c>
      <c r="BU293" s="1">
        <v>0.774</v>
      </c>
      <c r="BV293" s="1">
        <v>2.143</v>
      </c>
      <c r="BW293" s="1">
        <v>0.943</v>
      </c>
      <c r="BX293" s="1">
        <v>0.394</v>
      </c>
      <c r="BY293" s="1">
        <v>0.512</v>
      </c>
      <c r="BZ293" s="1">
        <v>0.906</v>
      </c>
      <c r="CA293" s="1">
        <v>0.471</v>
      </c>
      <c r="CB293" s="1">
        <v>0.0</v>
      </c>
      <c r="CC293" s="1">
        <v>0.807</v>
      </c>
      <c r="CD293" s="1">
        <v>0.443</v>
      </c>
      <c r="CE293" s="1">
        <v>0.553</v>
      </c>
      <c r="CF293" s="1">
        <v>0.0</v>
      </c>
      <c r="CG293" s="1">
        <v>1.803</v>
      </c>
      <c r="CH293" s="1">
        <v>0.268</v>
      </c>
      <c r="CI293" s="1">
        <v>7.9458</v>
      </c>
      <c r="CJ293" s="1">
        <v>0.7061</v>
      </c>
      <c r="CK293" s="1">
        <v>0.0</v>
      </c>
      <c r="CL293" s="1">
        <v>0.0</v>
      </c>
      <c r="CM293" s="1">
        <v>0.0</v>
      </c>
      <c r="CN293" s="1">
        <v>1.0</v>
      </c>
      <c r="CO293" s="1">
        <v>1.0</v>
      </c>
      <c r="CP293" s="1">
        <v>0.0</v>
      </c>
      <c r="CQ293" s="1">
        <v>0.0</v>
      </c>
      <c r="CR293" s="1">
        <v>0.0</v>
      </c>
      <c r="CS293" s="1">
        <v>0.0</v>
      </c>
      <c r="CT293" s="1">
        <v>0.0</v>
      </c>
      <c r="CU293" s="1">
        <v>0.0</v>
      </c>
      <c r="CV293" s="1">
        <v>0.0</v>
      </c>
      <c r="CW293" s="1">
        <v>0.0</v>
      </c>
      <c r="CX293" s="1">
        <v>0.0</v>
      </c>
      <c r="CY293" s="1">
        <v>0.0</v>
      </c>
      <c r="CZ293" s="1">
        <v>0.0</v>
      </c>
      <c r="DA293" s="1">
        <v>0.0</v>
      </c>
      <c r="DB293" s="1">
        <v>0.0</v>
      </c>
      <c r="DC293" s="1">
        <v>1.0</v>
      </c>
      <c r="DD293" s="1" t="s">
        <v>1495</v>
      </c>
      <c r="DE293" s="2" t="s">
        <v>1496</v>
      </c>
      <c r="DF293" s="2" t="s">
        <v>1497</v>
      </c>
    </row>
    <row r="294" ht="15.75" customHeight="1">
      <c r="A294" s="1" t="s">
        <v>1498</v>
      </c>
      <c r="B294" s="1">
        <v>29.0</v>
      </c>
      <c r="C294" s="2" t="s">
        <v>1499</v>
      </c>
      <c r="D294" s="1">
        <v>800702.0</v>
      </c>
      <c r="E294" s="1">
        <v>8.401</v>
      </c>
      <c r="F294" s="1">
        <v>29071.0</v>
      </c>
      <c r="G294" s="1">
        <v>2.9071800702E10</v>
      </c>
      <c r="H294" s="1" t="s">
        <v>112</v>
      </c>
      <c r="I294" s="1" t="s">
        <v>113</v>
      </c>
      <c r="J294" s="1" t="s">
        <v>1500</v>
      </c>
      <c r="K294" s="1" t="s">
        <v>1501</v>
      </c>
      <c r="L294" s="1">
        <v>3083.0</v>
      </c>
      <c r="M294" s="1">
        <v>2628.0</v>
      </c>
      <c r="N294" s="1">
        <v>301.0</v>
      </c>
      <c r="O294" s="1">
        <v>1322.0</v>
      </c>
      <c r="P294" s="1">
        <v>1237.0</v>
      </c>
      <c r="Q294" s="1">
        <v>64.0</v>
      </c>
      <c r="R294" s="1">
        <v>1213.0</v>
      </c>
      <c r="S294" s="1">
        <v>217.0</v>
      </c>
      <c r="T294" s="1">
        <v>174.0</v>
      </c>
      <c r="U294" s="1">
        <v>46.0</v>
      </c>
      <c r="V294" s="1">
        <v>443.0</v>
      </c>
      <c r="W294" s="1">
        <v>27379.0</v>
      </c>
      <c r="X294" s="1">
        <v>3876.0</v>
      </c>
      <c r="Y294" s="1">
        <v>190.0</v>
      </c>
      <c r="Z294" s="1">
        <v>308.0</v>
      </c>
      <c r="AA294" s="1">
        <v>314.0</v>
      </c>
      <c r="AB294" s="1">
        <v>728.0</v>
      </c>
      <c r="AC294" s="1">
        <v>124.0</v>
      </c>
      <c r="AD294" s="1">
        <v>196.0</v>
      </c>
      <c r="AE294" s="1">
        <v>0.0</v>
      </c>
      <c r="AF294" s="1">
        <v>456.0</v>
      </c>
      <c r="AG294" s="1">
        <v>198.0</v>
      </c>
      <c r="AH294" s="1">
        <v>177.0</v>
      </c>
      <c r="AI294" s="1">
        <v>90.0</v>
      </c>
      <c r="AJ294" s="1">
        <v>53.0</v>
      </c>
      <c r="AK294" s="1">
        <v>31.0</v>
      </c>
      <c r="AL294" s="1">
        <v>123.0</v>
      </c>
      <c r="AM294" s="1">
        <v>80.0</v>
      </c>
      <c r="AN294" s="1">
        <v>63.0</v>
      </c>
      <c r="AO294" s="1">
        <v>0.0</v>
      </c>
      <c r="AP294" s="1">
        <v>0.083014</v>
      </c>
      <c r="AQ294" s="1">
        <v>0.065851</v>
      </c>
      <c r="AR294" s="1">
        <v>0.030163</v>
      </c>
      <c r="AS294" s="1">
        <v>0.290444</v>
      </c>
      <c r="AT294" s="1">
        <v>27379.0</v>
      </c>
      <c r="AU294" s="1">
        <v>3876.0</v>
      </c>
      <c r="AV294" s="1">
        <v>0.096839</v>
      </c>
      <c r="AW294" s="1">
        <v>0.156752</v>
      </c>
      <c r="AX294" s="1">
        <v>0.101848</v>
      </c>
      <c r="AY294" s="1">
        <v>0.236133</v>
      </c>
      <c r="AZ294" s="1">
        <v>0.10222588</v>
      </c>
      <c r="BA294" s="1">
        <v>0.063574</v>
      </c>
      <c r="BB294" s="1">
        <v>0.0</v>
      </c>
      <c r="BC294" s="1">
        <v>0.178473</v>
      </c>
      <c r="BD294" s="1">
        <v>0.160064</v>
      </c>
      <c r="BE294" s="1">
        <v>0.142848</v>
      </c>
      <c r="BF294" s="1">
        <v>0.072756</v>
      </c>
      <c r="BG294" s="1">
        <v>0.042679</v>
      </c>
      <c r="BH294" s="1">
        <v>0.026495</v>
      </c>
      <c r="BI294" s="1">
        <v>0.105106</v>
      </c>
      <c r="BJ294" s="1">
        <v>0.068376</v>
      </c>
      <c r="BK294" s="1">
        <v>0.053565</v>
      </c>
      <c r="BL294" s="1">
        <v>0.0</v>
      </c>
      <c r="BM294" s="1">
        <v>0.305</v>
      </c>
      <c r="BN294" s="1">
        <v>0.088</v>
      </c>
      <c r="BO294" s="1">
        <v>0.2729</v>
      </c>
      <c r="BP294" s="1">
        <v>0.322</v>
      </c>
      <c r="BQ294" s="1">
        <v>0.9879</v>
      </c>
      <c r="BR294" s="1">
        <v>0.1986</v>
      </c>
      <c r="BS294" s="1">
        <v>0.223</v>
      </c>
      <c r="BT294" s="1">
        <v>0.451</v>
      </c>
      <c r="BU294" s="1">
        <v>0.51</v>
      </c>
      <c r="BV294" s="1">
        <v>1.184</v>
      </c>
      <c r="BW294" s="1">
        <v>0.217</v>
      </c>
      <c r="BX294" s="1">
        <v>0.331</v>
      </c>
      <c r="BY294" s="1">
        <v>0.0</v>
      </c>
      <c r="BZ294" s="1">
        <v>0.331</v>
      </c>
      <c r="CA294" s="1">
        <v>0.143</v>
      </c>
      <c r="CB294" s="1">
        <v>0.853</v>
      </c>
      <c r="CC294" s="1">
        <v>0.656</v>
      </c>
      <c r="CD294" s="1">
        <v>0.776</v>
      </c>
      <c r="CE294" s="1">
        <v>0.616</v>
      </c>
      <c r="CF294" s="1">
        <v>0.0</v>
      </c>
      <c r="CG294" s="1">
        <v>2.901</v>
      </c>
      <c r="CH294" s="1">
        <v>0.733</v>
      </c>
      <c r="CI294" s="1">
        <v>5.4039</v>
      </c>
      <c r="CJ294" s="1">
        <v>0.2635</v>
      </c>
      <c r="CK294" s="1">
        <v>0.0</v>
      </c>
      <c r="CL294" s="1">
        <v>0.0</v>
      </c>
      <c r="CM294" s="1">
        <v>0.0</v>
      </c>
      <c r="CN294" s="1">
        <v>0.0</v>
      </c>
      <c r="CO294" s="1">
        <v>0.0</v>
      </c>
      <c r="CP294" s="1">
        <v>0.0</v>
      </c>
      <c r="CQ294" s="1">
        <v>0.0</v>
      </c>
      <c r="CR294" s="1">
        <v>0.0</v>
      </c>
      <c r="CS294" s="1">
        <v>0.0</v>
      </c>
      <c r="CT294" s="1">
        <v>0.0</v>
      </c>
      <c r="CU294" s="1">
        <v>0.0</v>
      </c>
      <c r="CV294" s="1">
        <v>0.0</v>
      </c>
      <c r="CW294" s="1">
        <v>0.0</v>
      </c>
      <c r="CX294" s="1">
        <v>0.0</v>
      </c>
      <c r="CY294" s="1">
        <v>0.0</v>
      </c>
      <c r="CZ294" s="1">
        <v>0.0</v>
      </c>
      <c r="DA294" s="1">
        <v>0.0</v>
      </c>
      <c r="DB294" s="1">
        <v>0.0</v>
      </c>
      <c r="DC294" s="1">
        <v>0.0</v>
      </c>
      <c r="DD294" s="1" t="s">
        <v>1502</v>
      </c>
      <c r="DE294" s="1">
        <v>0.00225197159599087</v>
      </c>
      <c r="DF294" s="1">
        <v>0.25293216314531</v>
      </c>
    </row>
    <row r="295" ht="15.75" customHeight="1">
      <c r="A295" s="1" t="s">
        <v>1503</v>
      </c>
      <c r="B295" s="1">
        <v>29.0</v>
      </c>
      <c r="C295" s="2" t="s">
        <v>1499</v>
      </c>
      <c r="D295" s="1">
        <v>800100.0</v>
      </c>
      <c r="E295" s="1">
        <v>71.12</v>
      </c>
      <c r="F295" s="1">
        <v>29071.0</v>
      </c>
      <c r="G295" s="1">
        <v>2.90718001E10</v>
      </c>
      <c r="H295" s="1" t="s">
        <v>112</v>
      </c>
      <c r="I295" s="1" t="s">
        <v>113</v>
      </c>
      <c r="J295" s="1" t="s">
        <v>1500</v>
      </c>
      <c r="K295" s="1" t="s">
        <v>1504</v>
      </c>
      <c r="L295" s="1">
        <v>8584.0</v>
      </c>
      <c r="M295" s="1">
        <v>8816.0</v>
      </c>
      <c r="N295" s="1">
        <v>612.0</v>
      </c>
      <c r="O295" s="1">
        <v>3441.0</v>
      </c>
      <c r="P295" s="1">
        <v>3299.0</v>
      </c>
      <c r="Q295" s="1">
        <v>137.0</v>
      </c>
      <c r="R295" s="1">
        <v>3180.0</v>
      </c>
      <c r="S295" s="1">
        <v>747.0</v>
      </c>
      <c r="T295" s="1">
        <v>466.0</v>
      </c>
      <c r="U295" s="1">
        <v>304.0</v>
      </c>
      <c r="V295" s="1">
        <v>418.0</v>
      </c>
      <c r="W295" s="1">
        <v>25514.0</v>
      </c>
      <c r="X295" s="1">
        <v>2751.0</v>
      </c>
      <c r="Y295" s="1">
        <v>697.0</v>
      </c>
      <c r="Z295" s="1">
        <v>298.0</v>
      </c>
      <c r="AA295" s="1">
        <v>1113.0</v>
      </c>
      <c r="AB295" s="1">
        <v>2172.0</v>
      </c>
      <c r="AC295" s="1">
        <v>274.0</v>
      </c>
      <c r="AD295" s="1">
        <v>313.0</v>
      </c>
      <c r="AE295" s="1">
        <v>30.0</v>
      </c>
      <c r="AF295" s="1">
        <v>428.0</v>
      </c>
      <c r="AG295" s="1">
        <v>0.0</v>
      </c>
      <c r="AH295" s="1">
        <v>197.0</v>
      </c>
      <c r="AI295" s="1">
        <v>538.0</v>
      </c>
      <c r="AJ295" s="1">
        <v>138.0</v>
      </c>
      <c r="AK295" s="1">
        <v>49.0</v>
      </c>
      <c r="AL295" s="1">
        <v>135.0</v>
      </c>
      <c r="AM295" s="1">
        <v>15.0</v>
      </c>
      <c r="AN295" s="1">
        <v>117.0</v>
      </c>
      <c r="AO295" s="1">
        <v>12.0</v>
      </c>
      <c r="AP295" s="1">
        <v>0.085293</v>
      </c>
      <c r="AQ295" s="1">
        <v>0.052875</v>
      </c>
      <c r="AR295" s="1">
        <v>0.071011</v>
      </c>
      <c r="AS295" s="1">
        <v>0.097445</v>
      </c>
      <c r="AT295" s="1">
        <v>25514.0</v>
      </c>
      <c r="AU295" s="1">
        <v>2751.0</v>
      </c>
      <c r="AV295" s="1">
        <v>0.118215</v>
      </c>
      <c r="AW295" s="1">
        <v>0.05005</v>
      </c>
      <c r="AX295" s="1">
        <v>0.129659</v>
      </c>
      <c r="AY295" s="1">
        <v>0.253028</v>
      </c>
      <c r="AZ295" s="1">
        <v>0.08616352</v>
      </c>
      <c r="BA295" s="1">
        <v>0.036463</v>
      </c>
      <c r="BB295" s="1">
        <v>0.003628</v>
      </c>
      <c r="BC295" s="1">
        <v>0.051758</v>
      </c>
      <c r="BD295" s="1">
        <v>0.0</v>
      </c>
      <c r="BE295" s="1">
        <v>0.059715</v>
      </c>
      <c r="BF295" s="1">
        <v>0.163079</v>
      </c>
      <c r="BG295" s="1">
        <v>0.041279</v>
      </c>
      <c r="BH295" s="1">
        <v>0.015929</v>
      </c>
      <c r="BI295" s="1">
        <v>0.043878</v>
      </c>
      <c r="BJ295" s="1">
        <v>0.004876</v>
      </c>
      <c r="BK295" s="1">
        <v>0.038035</v>
      </c>
      <c r="BL295" s="1">
        <v>0.001397</v>
      </c>
      <c r="BM295" s="1">
        <v>0.315</v>
      </c>
      <c r="BN295" s="1">
        <v>0.523</v>
      </c>
      <c r="BO295" s="1">
        <v>0.3256</v>
      </c>
      <c r="BP295" s="1">
        <v>0.419</v>
      </c>
      <c r="BQ295" s="1">
        <v>1.5826</v>
      </c>
      <c r="BR295" s="1">
        <v>0.3675</v>
      </c>
      <c r="BS295" s="1">
        <v>0.417</v>
      </c>
      <c r="BT295" s="1">
        <v>0.641</v>
      </c>
      <c r="BU295" s="1">
        <v>0.369</v>
      </c>
      <c r="BV295" s="1">
        <v>1.427</v>
      </c>
      <c r="BW295" s="1">
        <v>0.413</v>
      </c>
      <c r="BX295" s="1">
        <v>0.13</v>
      </c>
      <c r="BY295" s="1">
        <v>0.494</v>
      </c>
      <c r="BZ295" s="1">
        <v>0.624</v>
      </c>
      <c r="CA295" s="1">
        <v>0.289</v>
      </c>
      <c r="CB295" s="1">
        <v>0.0</v>
      </c>
      <c r="CC295" s="1">
        <v>0.843</v>
      </c>
      <c r="CD295" s="1">
        <v>0.614</v>
      </c>
      <c r="CE295" s="1">
        <v>0.048</v>
      </c>
      <c r="CF295" s="1">
        <v>0.42</v>
      </c>
      <c r="CG295" s="1">
        <v>1.925</v>
      </c>
      <c r="CH295" s="1">
        <v>0.314</v>
      </c>
      <c r="CI295" s="1">
        <v>5.5586</v>
      </c>
      <c r="CJ295" s="1">
        <v>0.2924</v>
      </c>
      <c r="CK295" s="1">
        <v>0.0</v>
      </c>
      <c r="CL295" s="1">
        <v>0.0</v>
      </c>
      <c r="CM295" s="1">
        <v>0.0</v>
      </c>
      <c r="CN295" s="1">
        <v>0.0</v>
      </c>
      <c r="CO295" s="1">
        <v>0.0</v>
      </c>
      <c r="CP295" s="1">
        <v>0.0</v>
      </c>
      <c r="CQ295" s="1">
        <v>0.0</v>
      </c>
      <c r="CR295" s="1">
        <v>0.0</v>
      </c>
      <c r="CS295" s="1">
        <v>0.0</v>
      </c>
      <c r="CT295" s="1">
        <v>0.0</v>
      </c>
      <c r="CU295" s="1">
        <v>0.0</v>
      </c>
      <c r="CV295" s="1">
        <v>0.0</v>
      </c>
      <c r="CW295" s="1">
        <v>0.0</v>
      </c>
      <c r="CX295" s="1">
        <v>0.0</v>
      </c>
      <c r="CY295" s="1">
        <v>0.0</v>
      </c>
      <c r="CZ295" s="1">
        <v>0.0</v>
      </c>
      <c r="DA295" s="1">
        <v>0.0</v>
      </c>
      <c r="DB295" s="1">
        <v>0.0</v>
      </c>
      <c r="DC295" s="1">
        <v>0.0</v>
      </c>
      <c r="DD295" s="1" t="s">
        <v>1505</v>
      </c>
      <c r="DE295" s="2" t="s">
        <v>1506</v>
      </c>
      <c r="DF295" s="1">
        <v>0.758794919107029</v>
      </c>
    </row>
    <row r="296" ht="15.75" customHeight="1">
      <c r="A296" s="1" t="s">
        <v>1507</v>
      </c>
      <c r="B296" s="1">
        <v>29.0</v>
      </c>
      <c r="C296" s="2" t="s">
        <v>1499</v>
      </c>
      <c r="D296" s="1">
        <v>800201.0</v>
      </c>
      <c r="E296" s="1">
        <v>3.865</v>
      </c>
      <c r="F296" s="1">
        <v>29071.0</v>
      </c>
      <c r="G296" s="1">
        <v>2.9071800201E10</v>
      </c>
      <c r="H296" s="1" t="s">
        <v>112</v>
      </c>
      <c r="I296" s="1" t="s">
        <v>113</v>
      </c>
      <c r="J296" s="1" t="s">
        <v>1500</v>
      </c>
      <c r="K296" s="1" t="s">
        <v>1508</v>
      </c>
      <c r="L296" s="1">
        <v>5173.0</v>
      </c>
      <c r="M296" s="1">
        <v>5182.0</v>
      </c>
      <c r="N296" s="1">
        <v>329.0</v>
      </c>
      <c r="O296" s="1">
        <v>2497.0</v>
      </c>
      <c r="P296" s="1">
        <v>2491.0</v>
      </c>
      <c r="Q296" s="1">
        <v>166.0</v>
      </c>
      <c r="R296" s="1">
        <v>2293.0</v>
      </c>
      <c r="S296" s="1">
        <v>356.0</v>
      </c>
      <c r="T296" s="1">
        <v>143.0</v>
      </c>
      <c r="U296" s="1">
        <v>85.0</v>
      </c>
      <c r="V296" s="1">
        <v>430.0</v>
      </c>
      <c r="W296" s="1">
        <v>23795.0</v>
      </c>
      <c r="X296" s="1">
        <v>2372.0</v>
      </c>
      <c r="Y296" s="1">
        <v>318.0</v>
      </c>
      <c r="Z296" s="1">
        <v>302.0</v>
      </c>
      <c r="AA296" s="1">
        <v>933.0</v>
      </c>
      <c r="AB296" s="1">
        <v>1188.0</v>
      </c>
      <c r="AC296" s="1">
        <v>237.0</v>
      </c>
      <c r="AD296" s="1">
        <v>282.0</v>
      </c>
      <c r="AE296" s="1">
        <v>0.0</v>
      </c>
      <c r="AF296" s="1">
        <v>456.0</v>
      </c>
      <c r="AG296" s="1">
        <v>157.0</v>
      </c>
      <c r="AH296" s="1">
        <v>73.0</v>
      </c>
      <c r="AI296" s="1">
        <v>145.0</v>
      </c>
      <c r="AJ296" s="1">
        <v>102.0</v>
      </c>
      <c r="AK296" s="1">
        <v>0.0</v>
      </c>
      <c r="AL296" s="1">
        <v>161.0</v>
      </c>
      <c r="AM296" s="1">
        <v>65.0</v>
      </c>
      <c r="AN296" s="1">
        <v>52.0</v>
      </c>
      <c r="AO296" s="1">
        <v>0.0</v>
      </c>
      <c r="AP296" s="1">
        <v>0.068699</v>
      </c>
      <c r="AQ296" s="1">
        <v>0.027248</v>
      </c>
      <c r="AR296" s="1">
        <v>0.031493</v>
      </c>
      <c r="AS296" s="1">
        <v>0.159261</v>
      </c>
      <c r="AT296" s="1">
        <v>23795.0</v>
      </c>
      <c r="AU296" s="1">
        <v>2372.0</v>
      </c>
      <c r="AV296" s="1">
        <v>0.09034</v>
      </c>
      <c r="AW296" s="1">
        <v>0.085547</v>
      </c>
      <c r="AX296" s="1">
        <v>0.180359</v>
      </c>
      <c r="AY296" s="1">
        <v>0.229653</v>
      </c>
      <c r="AZ296" s="1">
        <v>0.10335804</v>
      </c>
      <c r="BA296" s="1">
        <v>0.054513</v>
      </c>
      <c r="BB296" s="1">
        <v>0.0</v>
      </c>
      <c r="BC296" s="1">
        <v>0.092476</v>
      </c>
      <c r="BD296" s="1">
        <v>0.063026</v>
      </c>
      <c r="BE296" s="1">
        <v>0.029002</v>
      </c>
      <c r="BF296" s="1">
        <v>0.058209</v>
      </c>
      <c r="BG296" s="1">
        <v>0.040763</v>
      </c>
      <c r="BH296" s="1">
        <v>0.0</v>
      </c>
      <c r="BI296" s="1">
        <v>0.069727</v>
      </c>
      <c r="BJ296" s="1">
        <v>0.02815</v>
      </c>
      <c r="BK296" s="1">
        <v>0.022415</v>
      </c>
      <c r="BL296" s="1">
        <v>0.0</v>
      </c>
      <c r="BM296" s="1">
        <v>0.243</v>
      </c>
      <c r="BN296" s="1">
        <v>0.098</v>
      </c>
      <c r="BO296" s="1">
        <v>0.4043</v>
      </c>
      <c r="BP296" s="1">
        <v>0.294</v>
      </c>
      <c r="BQ296" s="1">
        <v>1.0393</v>
      </c>
      <c r="BR296" s="1">
        <v>0.2108</v>
      </c>
      <c r="BS296" s="1">
        <v>0.792</v>
      </c>
      <c r="BT296" s="1">
        <v>0.381</v>
      </c>
      <c r="BU296" s="1">
        <v>0.525</v>
      </c>
      <c r="BV296" s="1">
        <v>1.698</v>
      </c>
      <c r="BW296" s="1">
        <v>0.639</v>
      </c>
      <c r="BX296" s="1">
        <v>0.28</v>
      </c>
      <c r="BY296" s="1">
        <v>0.0</v>
      </c>
      <c r="BZ296" s="1">
        <v>0.28</v>
      </c>
      <c r="CA296" s="1">
        <v>0.119</v>
      </c>
      <c r="CB296" s="1">
        <v>0.691</v>
      </c>
      <c r="CC296" s="1">
        <v>0.624</v>
      </c>
      <c r="CD296" s="1">
        <v>0.0</v>
      </c>
      <c r="CE296" s="1">
        <v>0.269</v>
      </c>
      <c r="CF296" s="1">
        <v>0.0</v>
      </c>
      <c r="CG296" s="1">
        <v>1.584</v>
      </c>
      <c r="CH296" s="1">
        <v>0.192</v>
      </c>
      <c r="CI296" s="1">
        <v>4.6013</v>
      </c>
      <c r="CJ296" s="1">
        <v>0.1422</v>
      </c>
      <c r="CK296" s="1">
        <v>0.0</v>
      </c>
      <c r="CL296" s="1">
        <v>0.0</v>
      </c>
      <c r="CM296" s="1">
        <v>0.0</v>
      </c>
      <c r="CN296" s="1">
        <v>0.0</v>
      </c>
      <c r="CO296" s="1">
        <v>0.0</v>
      </c>
      <c r="CP296" s="1">
        <v>0.0</v>
      </c>
      <c r="CQ296" s="1">
        <v>0.0</v>
      </c>
      <c r="CR296" s="1">
        <v>0.0</v>
      </c>
      <c r="CS296" s="1">
        <v>0.0</v>
      </c>
      <c r="CT296" s="1">
        <v>0.0</v>
      </c>
      <c r="CU296" s="1">
        <v>0.0</v>
      </c>
      <c r="CV296" s="1">
        <v>0.0</v>
      </c>
      <c r="CW296" s="1">
        <v>0.0</v>
      </c>
      <c r="CX296" s="1">
        <v>0.0</v>
      </c>
      <c r="CY296" s="1">
        <v>0.0</v>
      </c>
      <c r="CZ296" s="1">
        <v>0.0</v>
      </c>
      <c r="DA296" s="1">
        <v>0.0</v>
      </c>
      <c r="DB296" s="1">
        <v>0.0</v>
      </c>
      <c r="DC296" s="1">
        <v>0.0</v>
      </c>
      <c r="DD296" s="1" t="s">
        <v>1509</v>
      </c>
      <c r="DE296" s="1">
        <v>0.00116966903790793</v>
      </c>
      <c r="DF296" s="2" t="s">
        <v>1510</v>
      </c>
    </row>
    <row r="297" ht="15.75" customHeight="1">
      <c r="A297" s="1" t="s">
        <v>1511</v>
      </c>
      <c r="B297" s="1">
        <v>29.0</v>
      </c>
      <c r="C297" s="2" t="s">
        <v>1499</v>
      </c>
      <c r="D297" s="1">
        <v>800202.0</v>
      </c>
      <c r="E297" s="1">
        <v>19.76</v>
      </c>
      <c r="F297" s="1">
        <v>29071.0</v>
      </c>
      <c r="G297" s="1">
        <v>2.9071800202E10</v>
      </c>
      <c r="H297" s="1" t="s">
        <v>112</v>
      </c>
      <c r="I297" s="1" t="s">
        <v>113</v>
      </c>
      <c r="J297" s="1" t="s">
        <v>1500</v>
      </c>
      <c r="K297" s="1" t="s">
        <v>1512</v>
      </c>
      <c r="L297" s="1">
        <v>5564.0</v>
      </c>
      <c r="M297" s="1">
        <v>5567.0</v>
      </c>
      <c r="N297" s="1">
        <v>269.0</v>
      </c>
      <c r="O297" s="1">
        <v>2210.0</v>
      </c>
      <c r="P297" s="1">
        <v>2263.0</v>
      </c>
      <c r="Q297" s="1">
        <v>103.0</v>
      </c>
      <c r="R297" s="1">
        <v>2106.0</v>
      </c>
      <c r="S297" s="1">
        <v>155.0</v>
      </c>
      <c r="T297" s="1">
        <v>133.0</v>
      </c>
      <c r="U297" s="1">
        <v>98.0</v>
      </c>
      <c r="V297" s="1">
        <v>430.0</v>
      </c>
      <c r="W297" s="1">
        <v>31482.0</v>
      </c>
      <c r="X297" s="1">
        <v>2450.0</v>
      </c>
      <c r="Y297" s="1">
        <v>161.0</v>
      </c>
      <c r="Z297" s="1">
        <v>331.0</v>
      </c>
      <c r="AA297" s="1">
        <v>861.0</v>
      </c>
      <c r="AB297" s="1">
        <v>1421.0</v>
      </c>
      <c r="AC297" s="1">
        <v>125.0</v>
      </c>
      <c r="AD297" s="1">
        <v>173.0</v>
      </c>
      <c r="AE297" s="1">
        <v>29.0</v>
      </c>
      <c r="AF297" s="1">
        <v>443.0</v>
      </c>
      <c r="AG297" s="1">
        <v>0.0</v>
      </c>
      <c r="AH297" s="1">
        <v>197.0</v>
      </c>
      <c r="AI297" s="1">
        <v>89.0</v>
      </c>
      <c r="AJ297" s="1">
        <v>45.0</v>
      </c>
      <c r="AK297" s="1">
        <v>19.0</v>
      </c>
      <c r="AL297" s="1">
        <v>116.0</v>
      </c>
      <c r="AM297" s="1">
        <v>35.0</v>
      </c>
      <c r="AN297" s="1">
        <v>33.0</v>
      </c>
      <c r="AO297" s="1">
        <v>0.0</v>
      </c>
      <c r="AP297" s="1">
        <v>0.027842</v>
      </c>
      <c r="AQ297" s="1">
        <v>0.023852</v>
      </c>
      <c r="AR297" s="1">
        <v>0.035289</v>
      </c>
      <c r="AS297" s="1">
        <v>0.154812</v>
      </c>
      <c r="AT297" s="1">
        <v>31482.0</v>
      </c>
      <c r="AU297" s="1">
        <v>2450.0</v>
      </c>
      <c r="AV297" s="1">
        <v>0.042592</v>
      </c>
      <c r="AW297" s="1">
        <v>0.087543</v>
      </c>
      <c r="AX297" s="1">
        <v>0.154744</v>
      </c>
      <c r="AY297" s="1">
        <v>0.255391</v>
      </c>
      <c r="AZ297" s="1">
        <v>0.05935422</v>
      </c>
      <c r="BA297" s="1">
        <v>0.031092</v>
      </c>
      <c r="BB297" s="1">
        <v>0.00546</v>
      </c>
      <c r="BC297" s="1">
        <v>0.083411</v>
      </c>
      <c r="BD297" s="1">
        <v>0.0</v>
      </c>
      <c r="BE297" s="1">
        <v>0.087052</v>
      </c>
      <c r="BF297" s="1">
        <v>0.039328</v>
      </c>
      <c r="BG297" s="1">
        <v>0.019804</v>
      </c>
      <c r="BH297" s="1">
        <v>0.008916</v>
      </c>
      <c r="BI297" s="1">
        <v>0.054432</v>
      </c>
      <c r="BJ297" s="1">
        <v>0.016424</v>
      </c>
      <c r="BK297" s="1">
        <v>0.015465</v>
      </c>
      <c r="BL297" s="1">
        <v>0.0</v>
      </c>
      <c r="BM297" s="1">
        <v>0.081</v>
      </c>
      <c r="BN297" s="1">
        <v>0.136</v>
      </c>
      <c r="BO297" s="1">
        <v>0.1668</v>
      </c>
      <c r="BP297" s="1">
        <v>0.105</v>
      </c>
      <c r="BQ297" s="1">
        <v>0.4888</v>
      </c>
      <c r="BR297" s="1">
        <v>0.0635</v>
      </c>
      <c r="BS297" s="1">
        <v>0.617</v>
      </c>
      <c r="BT297" s="1">
        <v>0.655</v>
      </c>
      <c r="BU297" s="1">
        <v>0.125</v>
      </c>
      <c r="BV297" s="1">
        <v>1.397</v>
      </c>
      <c r="BW297" s="1">
        <v>0.388</v>
      </c>
      <c r="BX297" s="1">
        <v>0.088</v>
      </c>
      <c r="BY297" s="1">
        <v>0.579</v>
      </c>
      <c r="BZ297" s="1">
        <v>0.667</v>
      </c>
      <c r="CA297" s="1">
        <v>0.315</v>
      </c>
      <c r="CB297" s="1">
        <v>0.0</v>
      </c>
      <c r="CC297" s="1">
        <v>0.576</v>
      </c>
      <c r="CD297" s="1">
        <v>0.455</v>
      </c>
      <c r="CE297" s="1">
        <v>0.146</v>
      </c>
      <c r="CF297" s="1">
        <v>0.0</v>
      </c>
      <c r="CG297" s="1">
        <v>1.177</v>
      </c>
      <c r="CH297" s="1">
        <v>0.105</v>
      </c>
      <c r="CI297" s="1">
        <v>3.7298</v>
      </c>
      <c r="CJ297" s="1">
        <v>0.0614</v>
      </c>
      <c r="CK297" s="1">
        <v>0.0</v>
      </c>
      <c r="CL297" s="1">
        <v>0.0</v>
      </c>
      <c r="CM297" s="1">
        <v>0.0</v>
      </c>
      <c r="CN297" s="1">
        <v>0.0</v>
      </c>
      <c r="CO297" s="1">
        <v>0.0</v>
      </c>
      <c r="CP297" s="1">
        <v>0.0</v>
      </c>
      <c r="CQ297" s="1">
        <v>0.0</v>
      </c>
      <c r="CR297" s="1">
        <v>0.0</v>
      </c>
      <c r="CS297" s="1">
        <v>0.0</v>
      </c>
      <c r="CT297" s="1">
        <v>0.0</v>
      </c>
      <c r="CU297" s="1">
        <v>0.0</v>
      </c>
      <c r="CV297" s="1">
        <v>0.0</v>
      </c>
      <c r="CW297" s="1">
        <v>0.0</v>
      </c>
      <c r="CX297" s="1">
        <v>0.0</v>
      </c>
      <c r="CY297" s="1">
        <v>0.0</v>
      </c>
      <c r="CZ297" s="1">
        <v>0.0</v>
      </c>
      <c r="DA297" s="1">
        <v>0.0</v>
      </c>
      <c r="DB297" s="1">
        <v>0.0</v>
      </c>
      <c r="DC297" s="1">
        <v>0.0</v>
      </c>
      <c r="DD297" s="1" t="s">
        <v>1513</v>
      </c>
      <c r="DE297" s="1">
        <v>0.0052873080306069</v>
      </c>
      <c r="DF297" s="2" t="s">
        <v>1514</v>
      </c>
    </row>
    <row r="298" ht="15.75" customHeight="1">
      <c r="A298" s="1" t="s">
        <v>1515</v>
      </c>
      <c r="B298" s="1">
        <v>29.0</v>
      </c>
      <c r="C298" s="2" t="s">
        <v>1499</v>
      </c>
      <c r="D298" s="1">
        <v>800300.0</v>
      </c>
      <c r="E298" s="1">
        <v>18.904</v>
      </c>
      <c r="F298" s="1">
        <v>29071.0</v>
      </c>
      <c r="G298" s="1">
        <v>2.90718003E10</v>
      </c>
      <c r="H298" s="1" t="s">
        <v>112</v>
      </c>
      <c r="I298" s="1" t="s">
        <v>113</v>
      </c>
      <c r="J298" s="1" t="s">
        <v>1500</v>
      </c>
      <c r="K298" s="1" t="s">
        <v>1516</v>
      </c>
      <c r="L298" s="1">
        <v>7476.0</v>
      </c>
      <c r="M298" s="1">
        <v>7778.0</v>
      </c>
      <c r="N298" s="1">
        <v>475.0</v>
      </c>
      <c r="O298" s="1">
        <v>3260.0</v>
      </c>
      <c r="P298" s="1">
        <v>3277.0</v>
      </c>
      <c r="Q298" s="1">
        <v>145.0</v>
      </c>
      <c r="R298" s="1">
        <v>3019.0</v>
      </c>
      <c r="S298" s="1">
        <v>891.0</v>
      </c>
      <c r="T298" s="1">
        <v>372.0</v>
      </c>
      <c r="U298" s="1">
        <v>140.0</v>
      </c>
      <c r="V298" s="1">
        <v>433.0</v>
      </c>
      <c r="W298" s="1">
        <v>22493.0</v>
      </c>
      <c r="X298" s="1">
        <v>2029.0</v>
      </c>
      <c r="Y298" s="1">
        <v>488.0</v>
      </c>
      <c r="Z298" s="1">
        <v>311.0</v>
      </c>
      <c r="AA298" s="1">
        <v>1120.0</v>
      </c>
      <c r="AB298" s="1">
        <v>1795.0</v>
      </c>
      <c r="AC298" s="1">
        <v>307.0</v>
      </c>
      <c r="AD298" s="1">
        <v>314.0</v>
      </c>
      <c r="AE298" s="1">
        <v>17.0</v>
      </c>
      <c r="AF298" s="1">
        <v>442.0</v>
      </c>
      <c r="AG298" s="1">
        <v>119.0</v>
      </c>
      <c r="AH298" s="1">
        <v>148.0</v>
      </c>
      <c r="AI298" s="1">
        <v>27.0</v>
      </c>
      <c r="AJ298" s="1">
        <v>32.0</v>
      </c>
      <c r="AK298" s="1">
        <v>78.0</v>
      </c>
      <c r="AL298" s="1">
        <v>137.0</v>
      </c>
      <c r="AM298" s="1">
        <v>60.0</v>
      </c>
      <c r="AN298" s="1">
        <v>45.0</v>
      </c>
      <c r="AO298" s="1">
        <v>186.0</v>
      </c>
      <c r="AP298" s="1">
        <v>0.11528</v>
      </c>
      <c r="AQ298" s="1">
        <v>0.04761</v>
      </c>
      <c r="AR298" s="1">
        <v>0.034956</v>
      </c>
      <c r="AS298" s="1">
        <v>0.108055</v>
      </c>
      <c r="AT298" s="1">
        <v>22493.0</v>
      </c>
      <c r="AU298" s="1">
        <v>2029.0</v>
      </c>
      <c r="AV298" s="1">
        <v>0.096006</v>
      </c>
      <c r="AW298" s="1">
        <v>0.060875</v>
      </c>
      <c r="AX298" s="1">
        <v>0.149812</v>
      </c>
      <c r="AY298" s="1">
        <v>0.240101</v>
      </c>
      <c r="AZ298" s="1">
        <v>0.1016893</v>
      </c>
      <c r="BA298" s="1">
        <v>0.042001</v>
      </c>
      <c r="BB298" s="1">
        <v>0.002334</v>
      </c>
      <c r="BC298" s="1">
        <v>0.060697</v>
      </c>
      <c r="BD298" s="1">
        <v>0.036313</v>
      </c>
      <c r="BE298" s="1">
        <v>0.045134</v>
      </c>
      <c r="BF298" s="1">
        <v>0.008239</v>
      </c>
      <c r="BG298" s="1">
        <v>0.009758</v>
      </c>
      <c r="BH298" s="1">
        <v>0.025275</v>
      </c>
      <c r="BI298" s="1">
        <v>0.044373</v>
      </c>
      <c r="BJ298" s="1">
        <v>0.019442</v>
      </c>
      <c r="BK298" s="1">
        <v>0.014544</v>
      </c>
      <c r="BL298" s="1">
        <v>0.024879</v>
      </c>
      <c r="BM298" s="1">
        <v>0.434</v>
      </c>
      <c r="BN298" s="1">
        <v>0.131</v>
      </c>
      <c r="BO298" s="1">
        <v>0.4686</v>
      </c>
      <c r="BP298" s="1">
        <v>0.317</v>
      </c>
      <c r="BQ298" s="1">
        <v>1.3506</v>
      </c>
      <c r="BR298" s="1">
        <v>0.2946</v>
      </c>
      <c r="BS298" s="1">
        <v>0.576</v>
      </c>
      <c r="BT298" s="1">
        <v>0.498</v>
      </c>
      <c r="BU298" s="1">
        <v>0.505</v>
      </c>
      <c r="BV298" s="1">
        <v>1.579</v>
      </c>
      <c r="BW298" s="1">
        <v>0.548</v>
      </c>
      <c r="BX298" s="1">
        <v>0.184</v>
      </c>
      <c r="BY298" s="1">
        <v>0.401</v>
      </c>
      <c r="BZ298" s="1">
        <v>0.585</v>
      </c>
      <c r="CA298" s="1">
        <v>0.261</v>
      </c>
      <c r="CB298" s="1">
        <v>0.588</v>
      </c>
      <c r="CC298" s="1">
        <v>0.441</v>
      </c>
      <c r="CD298" s="1">
        <v>0.761</v>
      </c>
      <c r="CE298" s="1">
        <v>0.178</v>
      </c>
      <c r="CF298" s="1">
        <v>0.769</v>
      </c>
      <c r="CG298" s="1">
        <v>2.737</v>
      </c>
      <c r="CH298" s="1">
        <v>0.66</v>
      </c>
      <c r="CI298" s="1">
        <v>6.2516</v>
      </c>
      <c r="CJ298" s="1">
        <v>0.4188</v>
      </c>
      <c r="CK298" s="1">
        <v>0.0</v>
      </c>
      <c r="CL298" s="1">
        <v>0.0</v>
      </c>
      <c r="CM298" s="1">
        <v>0.0</v>
      </c>
      <c r="CN298" s="1">
        <v>0.0</v>
      </c>
      <c r="CO298" s="1">
        <v>0.0</v>
      </c>
      <c r="CP298" s="1">
        <v>0.0</v>
      </c>
      <c r="CQ298" s="1">
        <v>0.0</v>
      </c>
      <c r="CR298" s="1">
        <v>0.0</v>
      </c>
      <c r="CS298" s="1">
        <v>0.0</v>
      </c>
      <c r="CT298" s="1">
        <v>0.0</v>
      </c>
      <c r="CU298" s="1">
        <v>0.0</v>
      </c>
      <c r="CV298" s="1">
        <v>0.0</v>
      </c>
      <c r="CW298" s="1">
        <v>0.0</v>
      </c>
      <c r="CX298" s="1">
        <v>0.0</v>
      </c>
      <c r="CY298" s="1">
        <v>0.0</v>
      </c>
      <c r="CZ298" s="1">
        <v>0.0</v>
      </c>
      <c r="DA298" s="1">
        <v>0.0</v>
      </c>
      <c r="DB298" s="1">
        <v>0.0</v>
      </c>
      <c r="DC298" s="1">
        <v>0.0</v>
      </c>
      <c r="DD298" s="1" t="s">
        <v>1517</v>
      </c>
      <c r="DE298" s="1">
        <v>0.00516503047305606</v>
      </c>
      <c r="DF298" s="2" t="s">
        <v>1518</v>
      </c>
    </row>
    <row r="299" ht="15.75" customHeight="1">
      <c r="A299" s="1" t="s">
        <v>1519</v>
      </c>
      <c r="B299" s="1">
        <v>29.0</v>
      </c>
      <c r="C299" s="2" t="s">
        <v>1499</v>
      </c>
      <c r="D299" s="1">
        <v>800401.0</v>
      </c>
      <c r="E299" s="1">
        <v>102.827</v>
      </c>
      <c r="F299" s="1">
        <v>29071.0</v>
      </c>
      <c r="G299" s="1">
        <v>2.9071800401E10</v>
      </c>
      <c r="H299" s="1" t="s">
        <v>112</v>
      </c>
      <c r="I299" s="1" t="s">
        <v>113</v>
      </c>
      <c r="J299" s="1" t="s">
        <v>1500</v>
      </c>
      <c r="K299" s="1" t="s">
        <v>1520</v>
      </c>
      <c r="L299" s="1">
        <v>5084.0</v>
      </c>
      <c r="M299" s="1">
        <v>5328.0</v>
      </c>
      <c r="N299" s="1">
        <v>322.0</v>
      </c>
      <c r="O299" s="1">
        <v>2154.0</v>
      </c>
      <c r="P299" s="1">
        <v>2099.0</v>
      </c>
      <c r="Q299" s="1">
        <v>92.0</v>
      </c>
      <c r="R299" s="1">
        <v>1945.0</v>
      </c>
      <c r="S299" s="1">
        <v>466.0</v>
      </c>
      <c r="T299" s="1">
        <v>174.0</v>
      </c>
      <c r="U299" s="1">
        <v>92.0</v>
      </c>
      <c r="V299" s="1">
        <v>380.0</v>
      </c>
      <c r="W299" s="1">
        <v>25646.0</v>
      </c>
      <c r="X299" s="1">
        <v>2411.0</v>
      </c>
      <c r="Y299" s="1">
        <v>527.0</v>
      </c>
      <c r="Z299" s="1">
        <v>193.0</v>
      </c>
      <c r="AA299" s="1">
        <v>805.0</v>
      </c>
      <c r="AB299" s="1">
        <v>1263.0</v>
      </c>
      <c r="AC299" s="1">
        <v>133.0</v>
      </c>
      <c r="AD299" s="1">
        <v>167.0</v>
      </c>
      <c r="AE299" s="1">
        <v>88.0</v>
      </c>
      <c r="AF299" s="1">
        <v>416.0</v>
      </c>
      <c r="AG299" s="1">
        <v>19.0</v>
      </c>
      <c r="AH299" s="1">
        <v>115.0</v>
      </c>
      <c r="AI299" s="1">
        <v>134.0</v>
      </c>
      <c r="AJ299" s="1">
        <v>61.0</v>
      </c>
      <c r="AK299" s="1">
        <v>56.0</v>
      </c>
      <c r="AL299" s="1">
        <v>119.0</v>
      </c>
      <c r="AM299" s="1">
        <v>53.0</v>
      </c>
      <c r="AN299" s="1">
        <v>27.0</v>
      </c>
      <c r="AO299" s="1">
        <v>88.0</v>
      </c>
      <c r="AP299" s="1">
        <v>0.091033</v>
      </c>
      <c r="AQ299" s="1">
        <v>0.033645</v>
      </c>
      <c r="AR299" s="1">
        <v>0.035384</v>
      </c>
      <c r="AS299" s="1">
        <v>0.146129</v>
      </c>
      <c r="AT299" s="1">
        <v>25646.0</v>
      </c>
      <c r="AU299" s="1">
        <v>2411.0</v>
      </c>
      <c r="AV299" s="1">
        <v>0.149928</v>
      </c>
      <c r="AW299" s="1">
        <v>0.053845</v>
      </c>
      <c r="AX299" s="1">
        <v>0.158339</v>
      </c>
      <c r="AY299" s="1">
        <v>0.248426</v>
      </c>
      <c r="AZ299" s="1">
        <v>0.06838046</v>
      </c>
      <c r="BA299" s="1">
        <v>0.032848</v>
      </c>
      <c r="BB299" s="1">
        <v>0.01746</v>
      </c>
      <c r="BC299" s="1">
        <v>0.082532</v>
      </c>
      <c r="BD299" s="1">
        <v>0.009051</v>
      </c>
      <c r="BE299" s="1">
        <v>0.054786</v>
      </c>
      <c r="BF299" s="1">
        <v>0.063839</v>
      </c>
      <c r="BG299" s="1">
        <v>0.028926</v>
      </c>
      <c r="BH299" s="1">
        <v>0.029803</v>
      </c>
      <c r="BI299" s="1">
        <v>0.06331</v>
      </c>
      <c r="BJ299" s="1">
        <v>0.028206</v>
      </c>
      <c r="BK299" s="1">
        <v>0.014284</v>
      </c>
      <c r="BL299" s="1">
        <v>0.017309</v>
      </c>
      <c r="BM299" s="1">
        <v>0.341</v>
      </c>
      <c r="BN299" s="1">
        <v>0.137</v>
      </c>
      <c r="BO299" s="1">
        <v>0.322</v>
      </c>
      <c r="BP299" s="1">
        <v>0.566</v>
      </c>
      <c r="BQ299" s="1">
        <v>1.366</v>
      </c>
      <c r="BR299" s="1">
        <v>0.3011</v>
      </c>
      <c r="BS299" s="1">
        <v>0.653</v>
      </c>
      <c r="BT299" s="1">
        <v>0.579</v>
      </c>
      <c r="BU299" s="1">
        <v>0.2</v>
      </c>
      <c r="BV299" s="1">
        <v>1.432</v>
      </c>
      <c r="BW299" s="1">
        <v>0.419</v>
      </c>
      <c r="BX299" s="1">
        <v>0.102</v>
      </c>
      <c r="BY299" s="1">
        <v>0.841</v>
      </c>
      <c r="BZ299" s="1">
        <v>0.943</v>
      </c>
      <c r="CA299" s="1">
        <v>0.504</v>
      </c>
      <c r="CB299" s="1">
        <v>0.374</v>
      </c>
      <c r="CC299" s="1">
        <v>0.635</v>
      </c>
      <c r="CD299" s="1">
        <v>0.801</v>
      </c>
      <c r="CE299" s="1">
        <v>0.27</v>
      </c>
      <c r="CF299" s="1">
        <v>0.676</v>
      </c>
      <c r="CG299" s="1">
        <v>2.756</v>
      </c>
      <c r="CH299" s="1">
        <v>0.669</v>
      </c>
      <c r="CI299" s="1">
        <v>6.497</v>
      </c>
      <c r="CJ299" s="1">
        <v>0.4578</v>
      </c>
      <c r="CK299" s="1">
        <v>0.0</v>
      </c>
      <c r="CL299" s="1">
        <v>0.0</v>
      </c>
      <c r="CM299" s="1">
        <v>0.0</v>
      </c>
      <c r="CN299" s="1">
        <v>0.0</v>
      </c>
      <c r="CO299" s="1">
        <v>0.0</v>
      </c>
      <c r="CP299" s="1">
        <v>0.0</v>
      </c>
      <c r="CQ299" s="1">
        <v>0.0</v>
      </c>
      <c r="CR299" s="1">
        <v>0.0</v>
      </c>
      <c r="CS299" s="1">
        <v>0.0</v>
      </c>
      <c r="CT299" s="1">
        <v>0.0</v>
      </c>
      <c r="CU299" s="1">
        <v>0.0</v>
      </c>
      <c r="CV299" s="1">
        <v>0.0</v>
      </c>
      <c r="CW299" s="1">
        <v>0.0</v>
      </c>
      <c r="CX299" s="1">
        <v>0.0</v>
      </c>
      <c r="CY299" s="1">
        <v>0.0</v>
      </c>
      <c r="CZ299" s="1">
        <v>0.0</v>
      </c>
      <c r="DA299" s="1">
        <v>0.0</v>
      </c>
      <c r="DB299" s="1">
        <v>0.0</v>
      </c>
      <c r="DC299" s="1">
        <v>0.0</v>
      </c>
      <c r="DD299" s="1" t="s">
        <v>1521</v>
      </c>
      <c r="DE299" s="1">
        <v>0.0284468095964652</v>
      </c>
      <c r="DF299" s="2" t="s">
        <v>1522</v>
      </c>
    </row>
    <row r="300" ht="15.75" customHeight="1">
      <c r="A300" s="1" t="s">
        <v>1523</v>
      </c>
      <c r="B300" s="1">
        <v>29.0</v>
      </c>
      <c r="C300" s="2" t="s">
        <v>1499</v>
      </c>
      <c r="D300" s="1">
        <v>800402.0</v>
      </c>
      <c r="E300" s="1">
        <v>143.54</v>
      </c>
      <c r="F300" s="1">
        <v>29071.0</v>
      </c>
      <c r="G300" s="1">
        <v>2.9071800402E10</v>
      </c>
      <c r="H300" s="1" t="s">
        <v>112</v>
      </c>
      <c r="I300" s="1" t="s">
        <v>113</v>
      </c>
      <c r="J300" s="1" t="s">
        <v>1500</v>
      </c>
      <c r="K300" s="1" t="s">
        <v>1524</v>
      </c>
      <c r="L300" s="1">
        <v>6905.0</v>
      </c>
      <c r="M300" s="1">
        <v>7182.0</v>
      </c>
      <c r="N300" s="1">
        <v>445.0</v>
      </c>
      <c r="O300" s="1">
        <v>3028.0</v>
      </c>
      <c r="P300" s="1">
        <v>3123.0</v>
      </c>
      <c r="Q300" s="1">
        <v>126.0</v>
      </c>
      <c r="R300" s="1">
        <v>2615.0</v>
      </c>
      <c r="S300" s="1">
        <v>654.0</v>
      </c>
      <c r="T300" s="1">
        <v>245.0</v>
      </c>
      <c r="U300" s="1">
        <v>214.0</v>
      </c>
      <c r="V300" s="1">
        <v>354.0</v>
      </c>
      <c r="W300" s="1">
        <v>23902.0</v>
      </c>
      <c r="X300" s="1">
        <v>2386.0</v>
      </c>
      <c r="Y300" s="1">
        <v>707.0</v>
      </c>
      <c r="Z300" s="1">
        <v>266.0</v>
      </c>
      <c r="AA300" s="1">
        <v>937.0</v>
      </c>
      <c r="AB300" s="1">
        <v>1610.0</v>
      </c>
      <c r="AC300" s="1">
        <v>182.0</v>
      </c>
      <c r="AD300" s="1">
        <v>121.0</v>
      </c>
      <c r="AE300" s="1">
        <v>0.0</v>
      </c>
      <c r="AF300" s="1">
        <v>456.0</v>
      </c>
      <c r="AG300" s="1">
        <v>13.0</v>
      </c>
      <c r="AH300" s="1">
        <v>162.0</v>
      </c>
      <c r="AI300" s="1">
        <v>486.0</v>
      </c>
      <c r="AJ300" s="1">
        <v>143.0</v>
      </c>
      <c r="AK300" s="1">
        <v>61.0</v>
      </c>
      <c r="AL300" s="1">
        <v>121.0</v>
      </c>
      <c r="AM300" s="1">
        <v>97.0</v>
      </c>
      <c r="AN300" s="1">
        <v>57.0</v>
      </c>
      <c r="AO300" s="1">
        <v>0.0</v>
      </c>
      <c r="AP300" s="1">
        <v>0.09206</v>
      </c>
      <c r="AQ300" s="1">
        <v>0.033999</v>
      </c>
      <c r="AR300" s="1">
        <v>0.057713</v>
      </c>
      <c r="AS300" s="1">
        <v>0.095299</v>
      </c>
      <c r="AT300" s="1">
        <v>23902.0</v>
      </c>
      <c r="AU300" s="1">
        <v>2386.0</v>
      </c>
      <c r="AV300" s="1">
        <v>0.149345</v>
      </c>
      <c r="AW300" s="1">
        <v>0.055535</v>
      </c>
      <c r="AX300" s="1">
        <v>0.135698</v>
      </c>
      <c r="AY300" s="1">
        <v>0.233164</v>
      </c>
      <c r="AZ300" s="1">
        <v>0.06959847</v>
      </c>
      <c r="BA300" s="1">
        <v>0.017523</v>
      </c>
      <c r="BB300" s="1">
        <v>0.0</v>
      </c>
      <c r="BC300" s="1">
        <v>0.067039</v>
      </c>
      <c r="BD300" s="1">
        <v>0.004162</v>
      </c>
      <c r="BE300" s="1">
        <v>0.051872</v>
      </c>
      <c r="BF300" s="1">
        <v>0.155619</v>
      </c>
      <c r="BG300" s="1">
        <v>0.045356</v>
      </c>
      <c r="BH300" s="1">
        <v>0.022949</v>
      </c>
      <c r="BI300" s="1">
        <v>0.045507</v>
      </c>
      <c r="BJ300" s="1">
        <v>0.036493</v>
      </c>
      <c r="BK300" s="1">
        <v>0.021362</v>
      </c>
      <c r="BL300" s="1">
        <v>0.0</v>
      </c>
      <c r="BM300" s="1">
        <v>0.347</v>
      </c>
      <c r="BN300" s="1">
        <v>0.389</v>
      </c>
      <c r="BO300" s="1">
        <v>0.4007</v>
      </c>
      <c r="BP300" s="1">
        <v>0.565</v>
      </c>
      <c r="BQ300" s="1">
        <v>1.7017</v>
      </c>
      <c r="BR300" s="1">
        <v>0.4022</v>
      </c>
      <c r="BS300" s="1">
        <v>0.458</v>
      </c>
      <c r="BT300" s="1">
        <v>0.42</v>
      </c>
      <c r="BU300" s="1">
        <v>0.212</v>
      </c>
      <c r="BV300" s="1">
        <v>1.09</v>
      </c>
      <c r="BW300" s="1">
        <v>0.159</v>
      </c>
      <c r="BX300" s="1">
        <v>0.012</v>
      </c>
      <c r="BY300" s="1">
        <v>0.0</v>
      </c>
      <c r="BZ300" s="1">
        <v>0.012</v>
      </c>
      <c r="CA300" s="1">
        <v>0.007</v>
      </c>
      <c r="CB300" s="1">
        <v>0.303</v>
      </c>
      <c r="CC300" s="1">
        <v>0.829</v>
      </c>
      <c r="CD300" s="1">
        <v>0.723</v>
      </c>
      <c r="CE300" s="1">
        <v>0.348</v>
      </c>
      <c r="CF300" s="1">
        <v>0.0</v>
      </c>
      <c r="CG300" s="1">
        <v>2.203</v>
      </c>
      <c r="CH300" s="1">
        <v>0.42</v>
      </c>
      <c r="CI300" s="1">
        <v>5.0067</v>
      </c>
      <c r="CJ300" s="1">
        <v>0.2022</v>
      </c>
      <c r="CK300" s="1">
        <v>0.0</v>
      </c>
      <c r="CL300" s="1">
        <v>0.0</v>
      </c>
      <c r="CM300" s="1">
        <v>0.0</v>
      </c>
      <c r="CN300" s="1">
        <v>0.0</v>
      </c>
      <c r="CO300" s="1">
        <v>0.0</v>
      </c>
      <c r="CP300" s="1">
        <v>0.0</v>
      </c>
      <c r="CQ300" s="1">
        <v>0.0</v>
      </c>
      <c r="CR300" s="1">
        <v>0.0</v>
      </c>
      <c r="CS300" s="1">
        <v>0.0</v>
      </c>
      <c r="CT300" s="1">
        <v>0.0</v>
      </c>
      <c r="CU300" s="1">
        <v>0.0</v>
      </c>
      <c r="CV300" s="1">
        <v>0.0</v>
      </c>
      <c r="CW300" s="1">
        <v>0.0</v>
      </c>
      <c r="CX300" s="1">
        <v>0.0</v>
      </c>
      <c r="CY300" s="1">
        <v>0.0</v>
      </c>
      <c r="CZ300" s="1">
        <v>0.0</v>
      </c>
      <c r="DA300" s="1">
        <v>0.0</v>
      </c>
      <c r="DB300" s="1">
        <v>0.0</v>
      </c>
      <c r="DC300" s="1">
        <v>0.0</v>
      </c>
      <c r="DD300" s="1" t="s">
        <v>1525</v>
      </c>
      <c r="DE300" s="2" t="s">
        <v>1526</v>
      </c>
      <c r="DF300" s="2" t="s">
        <v>1527</v>
      </c>
    </row>
    <row r="301" ht="15.75" customHeight="1">
      <c r="A301" s="1" t="s">
        <v>1528</v>
      </c>
      <c r="B301" s="1">
        <v>29.0</v>
      </c>
      <c r="C301" s="2" t="s">
        <v>1499</v>
      </c>
      <c r="D301" s="1">
        <v>800500.0</v>
      </c>
      <c r="E301" s="1">
        <v>198.41</v>
      </c>
      <c r="F301" s="1">
        <v>29071.0</v>
      </c>
      <c r="G301" s="1">
        <v>2.90718005E10</v>
      </c>
      <c r="H301" s="1" t="s">
        <v>112</v>
      </c>
      <c r="I301" s="1" t="s">
        <v>113</v>
      </c>
      <c r="J301" s="1" t="s">
        <v>1500</v>
      </c>
      <c r="K301" s="1" t="s">
        <v>1529</v>
      </c>
      <c r="L301" s="1">
        <v>7201.0</v>
      </c>
      <c r="M301" s="1">
        <v>7325.0</v>
      </c>
      <c r="N301" s="1">
        <v>391.0</v>
      </c>
      <c r="O301" s="1">
        <v>3195.0</v>
      </c>
      <c r="P301" s="1">
        <v>3329.0</v>
      </c>
      <c r="Q301" s="1">
        <v>118.0</v>
      </c>
      <c r="R301" s="1">
        <v>2748.0</v>
      </c>
      <c r="S301" s="1">
        <v>798.0</v>
      </c>
      <c r="T301" s="1">
        <v>265.0</v>
      </c>
      <c r="U301" s="1">
        <v>220.0</v>
      </c>
      <c r="V301" s="1">
        <v>290.0</v>
      </c>
      <c r="W301" s="1">
        <v>22226.0</v>
      </c>
      <c r="X301" s="1">
        <v>1949.0</v>
      </c>
      <c r="Y301" s="1">
        <v>923.0</v>
      </c>
      <c r="Z301" s="1">
        <v>276.0</v>
      </c>
      <c r="AA301" s="1">
        <v>1043.0</v>
      </c>
      <c r="AB301" s="1">
        <v>1681.0</v>
      </c>
      <c r="AC301" s="1">
        <v>209.0</v>
      </c>
      <c r="AD301" s="1">
        <v>158.0</v>
      </c>
      <c r="AE301" s="1">
        <v>11.0</v>
      </c>
      <c r="AF301" s="1">
        <v>411.0</v>
      </c>
      <c r="AG301" s="1">
        <v>0.0</v>
      </c>
      <c r="AH301" s="1">
        <v>197.0</v>
      </c>
      <c r="AI301" s="1">
        <v>675.0</v>
      </c>
      <c r="AJ301" s="1">
        <v>152.0</v>
      </c>
      <c r="AK301" s="1">
        <v>58.0</v>
      </c>
      <c r="AL301" s="1">
        <v>130.0</v>
      </c>
      <c r="AM301" s="1">
        <v>124.0</v>
      </c>
      <c r="AN301" s="1">
        <v>55.0</v>
      </c>
      <c r="AO301" s="1">
        <v>28.0</v>
      </c>
      <c r="AP301" s="1">
        <v>0.109735</v>
      </c>
      <c r="AQ301" s="1">
        <v>0.035996</v>
      </c>
      <c r="AR301" s="1">
        <v>0.061936</v>
      </c>
      <c r="AS301" s="1">
        <v>0.081489</v>
      </c>
      <c r="AT301" s="1">
        <v>22226.0</v>
      </c>
      <c r="AU301" s="1">
        <v>1949.0</v>
      </c>
      <c r="AV301" s="1">
        <v>0.184121</v>
      </c>
      <c r="AW301" s="1">
        <v>0.054215</v>
      </c>
      <c r="AX301" s="1">
        <v>0.14484</v>
      </c>
      <c r="AY301" s="1">
        <v>0.233439</v>
      </c>
      <c r="AZ301" s="1">
        <v>0.07605531</v>
      </c>
      <c r="BA301" s="1">
        <v>0.021941</v>
      </c>
      <c r="BB301" s="1">
        <v>0.001615</v>
      </c>
      <c r="BC301" s="1">
        <v>0.060343</v>
      </c>
      <c r="BD301" s="1">
        <v>0.0</v>
      </c>
      <c r="BE301" s="1">
        <v>0.059176</v>
      </c>
      <c r="BF301" s="1">
        <v>0.202763</v>
      </c>
      <c r="BG301" s="1">
        <v>0.04509</v>
      </c>
      <c r="BH301" s="1">
        <v>0.02053</v>
      </c>
      <c r="BI301" s="1">
        <v>0.046005</v>
      </c>
      <c r="BJ301" s="1">
        <v>0.043893</v>
      </c>
      <c r="BK301" s="1">
        <v>0.019338</v>
      </c>
      <c r="BL301" s="1">
        <v>0.003888</v>
      </c>
      <c r="BM301" s="1">
        <v>0.414</v>
      </c>
      <c r="BN301" s="1">
        <v>0.435</v>
      </c>
      <c r="BO301" s="1">
        <v>0.4823</v>
      </c>
      <c r="BP301" s="1">
        <v>0.7</v>
      </c>
      <c r="BQ301" s="1">
        <v>2.0313</v>
      </c>
      <c r="BR301" s="1">
        <v>0.5097</v>
      </c>
      <c r="BS301" s="1">
        <v>0.538</v>
      </c>
      <c r="BT301" s="1">
        <v>0.423</v>
      </c>
      <c r="BU301" s="1">
        <v>0.266</v>
      </c>
      <c r="BV301" s="1">
        <v>1.227</v>
      </c>
      <c r="BW301" s="1">
        <v>0.252</v>
      </c>
      <c r="BX301" s="1">
        <v>0.026</v>
      </c>
      <c r="BY301" s="1">
        <v>0.36</v>
      </c>
      <c r="BZ301" s="1">
        <v>0.386</v>
      </c>
      <c r="CA301" s="1">
        <v>0.157</v>
      </c>
      <c r="CB301" s="1">
        <v>0.0</v>
      </c>
      <c r="CC301" s="1">
        <v>0.901</v>
      </c>
      <c r="CD301" s="1">
        <v>0.691</v>
      </c>
      <c r="CE301" s="1">
        <v>0.432</v>
      </c>
      <c r="CF301" s="1">
        <v>0.492</v>
      </c>
      <c r="CG301" s="1">
        <v>2.516</v>
      </c>
      <c r="CH301" s="1">
        <v>0.568</v>
      </c>
      <c r="CI301" s="1">
        <v>6.1603</v>
      </c>
      <c r="CJ301" s="1">
        <v>0.3978</v>
      </c>
      <c r="CK301" s="1">
        <v>0.0</v>
      </c>
      <c r="CL301" s="1">
        <v>0.0</v>
      </c>
      <c r="CM301" s="1">
        <v>0.0</v>
      </c>
      <c r="CN301" s="1">
        <v>0.0</v>
      </c>
      <c r="CO301" s="1">
        <v>0.0</v>
      </c>
      <c r="CP301" s="1">
        <v>0.0</v>
      </c>
      <c r="CQ301" s="1">
        <v>0.0</v>
      </c>
      <c r="CR301" s="1">
        <v>0.0</v>
      </c>
      <c r="CS301" s="1">
        <v>0.0</v>
      </c>
      <c r="CT301" s="1">
        <v>0.0</v>
      </c>
      <c r="CU301" s="1">
        <v>0.0</v>
      </c>
      <c r="CV301" s="1">
        <v>0.0</v>
      </c>
      <c r="CW301" s="1">
        <v>0.0</v>
      </c>
      <c r="CX301" s="1">
        <v>1.0</v>
      </c>
      <c r="CY301" s="1">
        <v>0.0</v>
      </c>
      <c r="CZ301" s="1">
        <v>0.0</v>
      </c>
      <c r="DA301" s="1">
        <v>0.0</v>
      </c>
      <c r="DB301" s="1">
        <v>1.0</v>
      </c>
      <c r="DC301" s="1">
        <v>1.0</v>
      </c>
      <c r="DD301" s="1" t="s">
        <v>1530</v>
      </c>
      <c r="DE301" s="2" t="s">
        <v>1531</v>
      </c>
      <c r="DF301" s="2" t="s">
        <v>1532</v>
      </c>
    </row>
    <row r="302" ht="15.75" customHeight="1">
      <c r="A302" s="1" t="s">
        <v>1533</v>
      </c>
      <c r="B302" s="1">
        <v>29.0</v>
      </c>
      <c r="C302" s="2" t="s">
        <v>1499</v>
      </c>
      <c r="D302" s="1">
        <v>800601.0</v>
      </c>
      <c r="E302" s="1">
        <v>9.257</v>
      </c>
      <c r="F302" s="1">
        <v>29071.0</v>
      </c>
      <c r="G302" s="1">
        <v>2.9071800601E10</v>
      </c>
      <c r="H302" s="1" t="s">
        <v>112</v>
      </c>
      <c r="I302" s="1" t="s">
        <v>113</v>
      </c>
      <c r="J302" s="1" t="s">
        <v>1500</v>
      </c>
      <c r="K302" s="1" t="s">
        <v>1534</v>
      </c>
      <c r="L302" s="1">
        <v>6903.0</v>
      </c>
      <c r="M302" s="1">
        <v>6547.0</v>
      </c>
      <c r="N302" s="1">
        <v>534.0</v>
      </c>
      <c r="O302" s="1">
        <v>2794.0</v>
      </c>
      <c r="P302" s="1">
        <v>2774.0</v>
      </c>
      <c r="Q302" s="1">
        <v>215.0</v>
      </c>
      <c r="R302" s="1">
        <v>2590.0</v>
      </c>
      <c r="S302" s="1">
        <v>892.0</v>
      </c>
      <c r="T302" s="1">
        <v>486.0</v>
      </c>
      <c r="U302" s="1">
        <v>154.0</v>
      </c>
      <c r="V302" s="1">
        <v>436.0</v>
      </c>
      <c r="W302" s="1">
        <v>19997.0</v>
      </c>
      <c r="X302" s="1">
        <v>2501.0</v>
      </c>
      <c r="Y302" s="1">
        <v>729.0</v>
      </c>
      <c r="Z302" s="1">
        <v>316.0</v>
      </c>
      <c r="AA302" s="1">
        <v>788.0</v>
      </c>
      <c r="AB302" s="1">
        <v>1906.0</v>
      </c>
      <c r="AC302" s="1">
        <v>367.0</v>
      </c>
      <c r="AD302" s="1">
        <v>354.0</v>
      </c>
      <c r="AE302" s="1">
        <v>0.0</v>
      </c>
      <c r="AF302" s="1">
        <v>456.0</v>
      </c>
      <c r="AG302" s="1">
        <v>233.0</v>
      </c>
      <c r="AH302" s="1">
        <v>151.0</v>
      </c>
      <c r="AI302" s="1">
        <v>210.0</v>
      </c>
      <c r="AJ302" s="1">
        <v>104.0</v>
      </c>
      <c r="AK302" s="1">
        <v>117.0</v>
      </c>
      <c r="AL302" s="1">
        <v>139.0</v>
      </c>
      <c r="AM302" s="1">
        <v>125.0</v>
      </c>
      <c r="AN302" s="1">
        <v>68.0</v>
      </c>
      <c r="AO302" s="1">
        <v>192.0</v>
      </c>
      <c r="AP302" s="1">
        <v>0.14197</v>
      </c>
      <c r="AQ302" s="1">
        <v>0.076418</v>
      </c>
      <c r="AR302" s="1">
        <v>0.048503</v>
      </c>
      <c r="AS302" s="1">
        <v>0.137215</v>
      </c>
      <c r="AT302" s="1">
        <v>19997.0</v>
      </c>
      <c r="AU302" s="1">
        <v>2501.0</v>
      </c>
      <c r="AV302" s="1">
        <v>0.177891</v>
      </c>
      <c r="AW302" s="1">
        <v>0.07604</v>
      </c>
      <c r="AX302" s="1">
        <v>0.114153</v>
      </c>
      <c r="AY302" s="1">
        <v>0.276111</v>
      </c>
      <c r="AZ302" s="1">
        <v>0.14169884</v>
      </c>
      <c r="BA302" s="1">
        <v>0.051282</v>
      </c>
      <c r="BB302" s="1">
        <v>0.0</v>
      </c>
      <c r="BC302" s="1">
        <v>0.0766</v>
      </c>
      <c r="BD302" s="1">
        <v>0.083994</v>
      </c>
      <c r="BE302" s="1">
        <v>0.054043</v>
      </c>
      <c r="BF302" s="1">
        <v>0.075702</v>
      </c>
      <c r="BG302" s="1">
        <v>0.037029</v>
      </c>
      <c r="BH302" s="1">
        <v>0.048527</v>
      </c>
      <c r="BI302" s="1">
        <v>0.057532</v>
      </c>
      <c r="BJ302" s="1">
        <v>0.051845</v>
      </c>
      <c r="BK302" s="1">
        <v>0.027922</v>
      </c>
      <c r="BL302" s="1">
        <v>0.027813</v>
      </c>
      <c r="BM302" s="1">
        <v>0.552</v>
      </c>
      <c r="BN302" s="1">
        <v>0.279</v>
      </c>
      <c r="BO302" s="1">
        <v>0.6137</v>
      </c>
      <c r="BP302" s="1">
        <v>0.678</v>
      </c>
      <c r="BQ302" s="1">
        <v>2.1227</v>
      </c>
      <c r="BR302" s="1">
        <v>0.5357</v>
      </c>
      <c r="BS302" s="1">
        <v>0.305</v>
      </c>
      <c r="BT302" s="1">
        <v>0.829</v>
      </c>
      <c r="BU302" s="1">
        <v>0.767</v>
      </c>
      <c r="BV302" s="1">
        <v>1.901</v>
      </c>
      <c r="BW302" s="1">
        <v>0.801</v>
      </c>
      <c r="BX302" s="1">
        <v>0.257</v>
      </c>
      <c r="BY302" s="1">
        <v>0.0</v>
      </c>
      <c r="BZ302" s="1">
        <v>0.257</v>
      </c>
      <c r="CA302" s="1">
        <v>0.112</v>
      </c>
      <c r="CB302" s="1">
        <v>0.738</v>
      </c>
      <c r="CC302" s="1">
        <v>0.666</v>
      </c>
      <c r="CD302" s="1">
        <v>0.93</v>
      </c>
      <c r="CE302" s="1">
        <v>0.5</v>
      </c>
      <c r="CF302" s="1">
        <v>0.793</v>
      </c>
      <c r="CG302" s="1">
        <v>3.627</v>
      </c>
      <c r="CH302" s="1">
        <v>0.963</v>
      </c>
      <c r="CI302" s="1">
        <v>7.9077</v>
      </c>
      <c r="CJ302" s="1">
        <v>0.6989</v>
      </c>
      <c r="CK302" s="1">
        <v>0.0</v>
      </c>
      <c r="CL302" s="1">
        <v>0.0</v>
      </c>
      <c r="CM302" s="1">
        <v>0.0</v>
      </c>
      <c r="CN302" s="1">
        <v>0.0</v>
      </c>
      <c r="CO302" s="1">
        <v>0.0</v>
      </c>
      <c r="CP302" s="1">
        <v>0.0</v>
      </c>
      <c r="CQ302" s="1">
        <v>0.0</v>
      </c>
      <c r="CR302" s="1">
        <v>0.0</v>
      </c>
      <c r="CS302" s="1">
        <v>0.0</v>
      </c>
      <c r="CT302" s="1">
        <v>0.0</v>
      </c>
      <c r="CU302" s="1">
        <v>0.0</v>
      </c>
      <c r="CV302" s="1">
        <v>0.0</v>
      </c>
      <c r="CW302" s="1">
        <v>0.0</v>
      </c>
      <c r="CX302" s="1">
        <v>0.0</v>
      </c>
      <c r="CY302" s="1">
        <v>1.0</v>
      </c>
      <c r="CZ302" s="1">
        <v>0.0</v>
      </c>
      <c r="DA302" s="1">
        <v>0.0</v>
      </c>
      <c r="DB302" s="1">
        <v>1.0</v>
      </c>
      <c r="DC302" s="1">
        <v>1.0</v>
      </c>
      <c r="DD302" s="1" t="s">
        <v>1535</v>
      </c>
      <c r="DE302" s="1">
        <v>0.00248043763519489</v>
      </c>
      <c r="DF302" s="2" t="s">
        <v>1536</v>
      </c>
    </row>
    <row r="303" ht="15.75" customHeight="1">
      <c r="A303" s="1" t="s">
        <v>1537</v>
      </c>
      <c r="B303" s="1">
        <v>29.0</v>
      </c>
      <c r="C303" s="2" t="s">
        <v>1499</v>
      </c>
      <c r="D303" s="1">
        <v>801101.0</v>
      </c>
      <c r="E303" s="1">
        <v>15.538</v>
      </c>
      <c r="F303" s="1">
        <v>29071.0</v>
      </c>
      <c r="G303" s="1">
        <v>2.9071801101E10</v>
      </c>
      <c r="H303" s="1" t="s">
        <v>112</v>
      </c>
      <c r="I303" s="1" t="s">
        <v>113</v>
      </c>
      <c r="J303" s="1" t="s">
        <v>1500</v>
      </c>
      <c r="K303" s="1" t="s">
        <v>1538</v>
      </c>
      <c r="L303" s="1">
        <v>4467.0</v>
      </c>
      <c r="M303" s="1">
        <v>4393.0</v>
      </c>
      <c r="N303" s="1">
        <v>490.0</v>
      </c>
      <c r="O303" s="1">
        <v>2078.0</v>
      </c>
      <c r="P303" s="1">
        <v>2162.0</v>
      </c>
      <c r="Q303" s="1">
        <v>152.0</v>
      </c>
      <c r="R303" s="1">
        <v>1862.0</v>
      </c>
      <c r="S303" s="1">
        <v>1089.0</v>
      </c>
      <c r="T303" s="1">
        <v>472.0</v>
      </c>
      <c r="U303" s="1">
        <v>235.0</v>
      </c>
      <c r="V303" s="1">
        <v>332.0</v>
      </c>
      <c r="W303" s="1">
        <v>21194.0</v>
      </c>
      <c r="X303" s="1">
        <v>5160.0</v>
      </c>
      <c r="Y303" s="1">
        <v>624.0</v>
      </c>
      <c r="Z303" s="1">
        <v>284.0</v>
      </c>
      <c r="AA303" s="1">
        <v>648.0</v>
      </c>
      <c r="AB303" s="1">
        <v>1144.0</v>
      </c>
      <c r="AC303" s="1">
        <v>255.0</v>
      </c>
      <c r="AD303" s="1">
        <v>205.0</v>
      </c>
      <c r="AE303" s="1">
        <v>8.0</v>
      </c>
      <c r="AF303" s="1">
        <v>442.0</v>
      </c>
      <c r="AG303" s="1">
        <v>56.0</v>
      </c>
      <c r="AH303" s="1">
        <v>124.0</v>
      </c>
      <c r="AI303" s="1">
        <v>278.0</v>
      </c>
      <c r="AJ303" s="1">
        <v>104.0</v>
      </c>
      <c r="AK303" s="1">
        <v>60.0</v>
      </c>
      <c r="AL303" s="1">
        <v>125.0</v>
      </c>
      <c r="AM303" s="1">
        <v>175.0</v>
      </c>
      <c r="AN303" s="1">
        <v>85.0</v>
      </c>
      <c r="AO303" s="1">
        <v>25.0</v>
      </c>
      <c r="AP303" s="1">
        <v>0.247894</v>
      </c>
      <c r="AQ303" s="1">
        <v>0.103824</v>
      </c>
      <c r="AR303" s="1">
        <v>0.110484</v>
      </c>
      <c r="AS303" s="1">
        <v>0.155189</v>
      </c>
      <c r="AT303" s="1">
        <v>21194.0</v>
      </c>
      <c r="AU303" s="1">
        <v>5160.0</v>
      </c>
      <c r="AV303" s="1">
        <v>0.219718</v>
      </c>
      <c r="AW303" s="1">
        <v>0.097956</v>
      </c>
      <c r="AX303" s="1">
        <v>0.145063</v>
      </c>
      <c r="AY303" s="1">
        <v>0.2561</v>
      </c>
      <c r="AZ303" s="1">
        <v>0.13694951</v>
      </c>
      <c r="BA303" s="1">
        <v>0.045892</v>
      </c>
      <c r="BB303" s="1">
        <v>0.002013</v>
      </c>
      <c r="BC303" s="1">
        <v>0.111222</v>
      </c>
      <c r="BD303" s="1">
        <v>0.025901</v>
      </c>
      <c r="BE303" s="1">
        <v>0.057325</v>
      </c>
      <c r="BF303" s="1">
        <v>0.128584</v>
      </c>
      <c r="BG303" s="1">
        <v>0.047246</v>
      </c>
      <c r="BH303" s="1">
        <v>0.0308</v>
      </c>
      <c r="BI303" s="1">
        <v>0.064107</v>
      </c>
      <c r="BJ303" s="1">
        <v>0.089835</v>
      </c>
      <c r="BK303" s="1">
        <v>0.042864</v>
      </c>
      <c r="BL303" s="1">
        <v>0.005596</v>
      </c>
      <c r="BM303" s="1">
        <v>0.822</v>
      </c>
      <c r="BN303" s="1">
        <v>0.789</v>
      </c>
      <c r="BO303" s="1">
        <v>0.5415</v>
      </c>
      <c r="BP303" s="1">
        <v>0.801</v>
      </c>
      <c r="BQ303" s="1">
        <v>2.9535</v>
      </c>
      <c r="BR303" s="1">
        <v>0.7971</v>
      </c>
      <c r="BS303" s="1">
        <v>0.541</v>
      </c>
      <c r="BT303" s="1">
        <v>0.661</v>
      </c>
      <c r="BU303" s="1">
        <v>0.748</v>
      </c>
      <c r="BV303" s="1">
        <v>1.95</v>
      </c>
      <c r="BW303" s="1">
        <v>0.832</v>
      </c>
      <c r="BX303" s="1">
        <v>0.219</v>
      </c>
      <c r="BY303" s="1">
        <v>0.38</v>
      </c>
      <c r="BZ303" s="1">
        <v>0.599</v>
      </c>
      <c r="CA303" s="1">
        <v>0.267</v>
      </c>
      <c r="CB303" s="1">
        <v>0.519</v>
      </c>
      <c r="CC303" s="1">
        <v>0.775</v>
      </c>
      <c r="CD303" s="1">
        <v>0.817</v>
      </c>
      <c r="CE303" s="1">
        <v>0.717</v>
      </c>
      <c r="CF303" s="1">
        <v>0.527</v>
      </c>
      <c r="CG303" s="1">
        <v>3.355</v>
      </c>
      <c r="CH303" s="1">
        <v>0.895</v>
      </c>
      <c r="CI303" s="1">
        <v>8.8575</v>
      </c>
      <c r="CJ303" s="1">
        <v>0.8347</v>
      </c>
      <c r="CK303" s="1">
        <v>0.0</v>
      </c>
      <c r="CL303" s="1">
        <v>0.0</v>
      </c>
      <c r="CM303" s="1">
        <v>0.0</v>
      </c>
      <c r="CN303" s="1">
        <v>0.0</v>
      </c>
      <c r="CO303" s="1">
        <v>0.0</v>
      </c>
      <c r="CP303" s="1">
        <v>0.0</v>
      </c>
      <c r="CQ303" s="1">
        <v>0.0</v>
      </c>
      <c r="CR303" s="1">
        <v>0.0</v>
      </c>
      <c r="CS303" s="1">
        <v>0.0</v>
      </c>
      <c r="CT303" s="1">
        <v>0.0</v>
      </c>
      <c r="CU303" s="1">
        <v>0.0</v>
      </c>
      <c r="CV303" s="1">
        <v>0.0</v>
      </c>
      <c r="CW303" s="1">
        <v>0.0</v>
      </c>
      <c r="CX303" s="1">
        <v>0.0</v>
      </c>
      <c r="CY303" s="1">
        <v>0.0</v>
      </c>
      <c r="CZ303" s="1">
        <v>0.0</v>
      </c>
      <c r="DA303" s="1">
        <v>0.0</v>
      </c>
      <c r="DB303" s="1">
        <v>0.0</v>
      </c>
      <c r="DC303" s="1">
        <v>0.0</v>
      </c>
      <c r="DD303" s="1" t="s">
        <v>1539</v>
      </c>
      <c r="DE303" s="1">
        <v>0.00413921940776468</v>
      </c>
      <c r="DF303" s="2" t="s">
        <v>1540</v>
      </c>
    </row>
    <row r="304" ht="15.75" customHeight="1">
      <c r="A304" s="1" t="s">
        <v>1541</v>
      </c>
      <c r="B304" s="1">
        <v>29.0</v>
      </c>
      <c r="C304" s="2" t="s">
        <v>1499</v>
      </c>
      <c r="D304" s="1">
        <v>800602.0</v>
      </c>
      <c r="E304" s="1">
        <v>30.964</v>
      </c>
      <c r="F304" s="1">
        <v>29071.0</v>
      </c>
      <c r="G304" s="1">
        <v>2.9071800602E10</v>
      </c>
      <c r="H304" s="1" t="s">
        <v>112</v>
      </c>
      <c r="I304" s="1" t="s">
        <v>113</v>
      </c>
      <c r="J304" s="1" t="s">
        <v>1500</v>
      </c>
      <c r="K304" s="1" t="s">
        <v>1542</v>
      </c>
      <c r="L304" s="1">
        <v>8402.0</v>
      </c>
      <c r="M304" s="1">
        <v>7875.0</v>
      </c>
      <c r="N304" s="1">
        <v>590.0</v>
      </c>
      <c r="O304" s="1">
        <v>3372.0</v>
      </c>
      <c r="P304" s="1">
        <v>3262.0</v>
      </c>
      <c r="Q304" s="1">
        <v>165.0</v>
      </c>
      <c r="R304" s="1">
        <v>3144.0</v>
      </c>
      <c r="S304" s="1">
        <v>513.0</v>
      </c>
      <c r="T304" s="1">
        <v>212.0</v>
      </c>
      <c r="U304" s="1">
        <v>359.0</v>
      </c>
      <c r="V304" s="1">
        <v>294.0</v>
      </c>
      <c r="W304" s="1">
        <v>23607.0</v>
      </c>
      <c r="X304" s="1">
        <v>2285.0</v>
      </c>
      <c r="Y304" s="1">
        <v>630.0</v>
      </c>
      <c r="Z304" s="1">
        <v>247.0</v>
      </c>
      <c r="AA304" s="1">
        <v>1056.0</v>
      </c>
      <c r="AB304" s="1">
        <v>2224.0</v>
      </c>
      <c r="AC304" s="1">
        <v>290.0</v>
      </c>
      <c r="AD304" s="1">
        <v>352.0</v>
      </c>
      <c r="AE304" s="1">
        <v>31.0</v>
      </c>
      <c r="AF304" s="1">
        <v>428.0</v>
      </c>
      <c r="AG304" s="1">
        <v>59.0</v>
      </c>
      <c r="AH304" s="1">
        <v>127.0</v>
      </c>
      <c r="AI304" s="1">
        <v>485.0</v>
      </c>
      <c r="AJ304" s="1">
        <v>159.0</v>
      </c>
      <c r="AK304" s="1">
        <v>70.0</v>
      </c>
      <c r="AL304" s="1">
        <v>133.0</v>
      </c>
      <c r="AM304" s="1">
        <v>118.0</v>
      </c>
      <c r="AN304" s="1">
        <v>55.0</v>
      </c>
      <c r="AO304" s="1">
        <v>0.0</v>
      </c>
      <c r="AP304" s="1">
        <v>0.065626</v>
      </c>
      <c r="AQ304" s="1">
        <v>0.026671</v>
      </c>
      <c r="AR304" s="1">
        <v>0.088033</v>
      </c>
      <c r="AS304" s="1">
        <v>0.071538</v>
      </c>
      <c r="AT304" s="1">
        <v>23607.0</v>
      </c>
      <c r="AU304" s="1">
        <v>2285.0</v>
      </c>
      <c r="AV304" s="1">
        <v>0.122022</v>
      </c>
      <c r="AW304" s="1">
        <v>0.04703</v>
      </c>
      <c r="AX304" s="1">
        <v>0.125684</v>
      </c>
      <c r="AY304" s="1">
        <v>0.264698</v>
      </c>
      <c r="AZ304" s="1">
        <v>0.09223918</v>
      </c>
      <c r="BA304" s="1">
        <v>0.041894</v>
      </c>
      <c r="BB304" s="1">
        <v>0.004237</v>
      </c>
      <c r="BC304" s="1">
        <v>0.058501</v>
      </c>
      <c r="BD304" s="1">
        <v>0.018087</v>
      </c>
      <c r="BE304" s="1">
        <v>0.038922</v>
      </c>
      <c r="BF304" s="1">
        <v>0.148681</v>
      </c>
      <c r="BG304" s="1">
        <v>0.048159</v>
      </c>
      <c r="BH304" s="1">
        <v>0.02295</v>
      </c>
      <c r="BI304" s="1">
        <v>0.043579</v>
      </c>
      <c r="BJ304" s="1">
        <v>0.038688</v>
      </c>
      <c r="BK304" s="1">
        <v>0.017847</v>
      </c>
      <c r="BL304" s="1">
        <v>0.0</v>
      </c>
      <c r="BM304" s="1">
        <v>0.228</v>
      </c>
      <c r="BN304" s="1">
        <v>0.666</v>
      </c>
      <c r="BO304" s="1">
        <v>0.4202</v>
      </c>
      <c r="BP304" s="1">
        <v>0.435</v>
      </c>
      <c r="BQ304" s="1">
        <v>1.7492</v>
      </c>
      <c r="BR304" s="1">
        <v>0.4144</v>
      </c>
      <c r="BS304" s="1">
        <v>0.384</v>
      </c>
      <c r="BT304" s="1">
        <v>0.748</v>
      </c>
      <c r="BU304" s="1">
        <v>0.422</v>
      </c>
      <c r="BV304" s="1">
        <v>1.554</v>
      </c>
      <c r="BW304" s="1">
        <v>0.525</v>
      </c>
      <c r="BX304" s="1">
        <v>0.182</v>
      </c>
      <c r="BY304" s="1">
        <v>0.526</v>
      </c>
      <c r="BZ304" s="1">
        <v>0.708</v>
      </c>
      <c r="CA304" s="1">
        <v>0.34</v>
      </c>
      <c r="CB304" s="1">
        <v>0.447</v>
      </c>
      <c r="CC304" s="1">
        <v>0.814</v>
      </c>
      <c r="CD304" s="1">
        <v>0.725</v>
      </c>
      <c r="CE304" s="1">
        <v>0.379</v>
      </c>
      <c r="CF304" s="1">
        <v>0.0</v>
      </c>
      <c r="CG304" s="1">
        <v>2.365</v>
      </c>
      <c r="CH304" s="1">
        <v>0.492</v>
      </c>
      <c r="CI304" s="1">
        <v>6.3762</v>
      </c>
      <c r="CJ304" s="1">
        <v>0.4419</v>
      </c>
      <c r="CK304" s="1">
        <v>0.0</v>
      </c>
      <c r="CL304" s="1">
        <v>0.0</v>
      </c>
      <c r="CM304" s="1">
        <v>0.0</v>
      </c>
      <c r="CN304" s="1">
        <v>0.0</v>
      </c>
      <c r="CO304" s="1">
        <v>0.0</v>
      </c>
      <c r="CP304" s="1">
        <v>0.0</v>
      </c>
      <c r="CQ304" s="1">
        <v>0.0</v>
      </c>
      <c r="CR304" s="1">
        <v>0.0</v>
      </c>
      <c r="CS304" s="1">
        <v>0.0</v>
      </c>
      <c r="CT304" s="1">
        <v>0.0</v>
      </c>
      <c r="CU304" s="1">
        <v>0.0</v>
      </c>
      <c r="CV304" s="1">
        <v>0.0</v>
      </c>
      <c r="CW304" s="1">
        <v>0.0</v>
      </c>
      <c r="CX304" s="1">
        <v>0.0</v>
      </c>
      <c r="CY304" s="1">
        <v>0.0</v>
      </c>
      <c r="CZ304" s="1">
        <v>0.0</v>
      </c>
      <c r="DA304" s="1">
        <v>0.0</v>
      </c>
      <c r="DB304" s="1">
        <v>0.0</v>
      </c>
      <c r="DC304" s="1">
        <v>0.0</v>
      </c>
      <c r="DD304" s="1" t="s">
        <v>1543</v>
      </c>
      <c r="DE304" s="1">
        <v>0.00826592751787095</v>
      </c>
      <c r="DF304" s="2" t="s">
        <v>1544</v>
      </c>
    </row>
    <row r="305" ht="15.75" customHeight="1">
      <c r="A305" s="1" t="s">
        <v>1545</v>
      </c>
      <c r="B305" s="1">
        <v>29.0</v>
      </c>
      <c r="C305" s="2" t="s">
        <v>1499</v>
      </c>
      <c r="D305" s="1">
        <v>800701.0</v>
      </c>
      <c r="E305" s="1">
        <v>20.755</v>
      </c>
      <c r="F305" s="1">
        <v>29071.0</v>
      </c>
      <c r="G305" s="1">
        <v>2.9071800701E10</v>
      </c>
      <c r="H305" s="1" t="s">
        <v>112</v>
      </c>
      <c r="I305" s="1" t="s">
        <v>113</v>
      </c>
      <c r="J305" s="1" t="s">
        <v>1500</v>
      </c>
      <c r="K305" s="1" t="s">
        <v>1546</v>
      </c>
      <c r="L305" s="1">
        <v>7308.0</v>
      </c>
      <c r="M305" s="1">
        <v>6905.0</v>
      </c>
      <c r="N305" s="1">
        <v>414.0</v>
      </c>
      <c r="O305" s="1">
        <v>3174.0</v>
      </c>
      <c r="P305" s="1">
        <v>3166.0</v>
      </c>
      <c r="Q305" s="1">
        <v>246.0</v>
      </c>
      <c r="R305" s="1">
        <v>2850.0</v>
      </c>
      <c r="S305" s="1">
        <v>839.0</v>
      </c>
      <c r="T305" s="1">
        <v>310.0</v>
      </c>
      <c r="U305" s="1">
        <v>365.0</v>
      </c>
      <c r="V305" s="1">
        <v>354.0</v>
      </c>
      <c r="W305" s="1">
        <v>23714.0</v>
      </c>
      <c r="X305" s="1">
        <v>4364.0</v>
      </c>
      <c r="Y305" s="1">
        <v>739.0</v>
      </c>
      <c r="Z305" s="1">
        <v>282.0</v>
      </c>
      <c r="AA305" s="1">
        <v>968.0</v>
      </c>
      <c r="AB305" s="1">
        <v>1786.0</v>
      </c>
      <c r="AC305" s="1">
        <v>394.0</v>
      </c>
      <c r="AD305" s="1">
        <v>479.0</v>
      </c>
      <c r="AE305" s="1">
        <v>17.0</v>
      </c>
      <c r="AF305" s="1">
        <v>442.0</v>
      </c>
      <c r="AG305" s="1">
        <v>317.0</v>
      </c>
      <c r="AH305" s="1">
        <v>190.0</v>
      </c>
      <c r="AI305" s="1">
        <v>464.0</v>
      </c>
      <c r="AJ305" s="1">
        <v>146.0</v>
      </c>
      <c r="AK305" s="1">
        <v>42.0</v>
      </c>
      <c r="AL305" s="1">
        <v>121.0</v>
      </c>
      <c r="AM305" s="1">
        <v>144.0</v>
      </c>
      <c r="AN305" s="1">
        <v>72.0</v>
      </c>
      <c r="AO305" s="1">
        <v>111.0</v>
      </c>
      <c r="AP305" s="1">
        <v>0.122285</v>
      </c>
      <c r="AQ305" s="1">
        <v>0.044561</v>
      </c>
      <c r="AR305" s="1">
        <v>0.096153</v>
      </c>
      <c r="AS305" s="1">
        <v>0.092584</v>
      </c>
      <c r="AT305" s="1">
        <v>23714.0</v>
      </c>
      <c r="AU305" s="1">
        <v>4364.0</v>
      </c>
      <c r="AV305" s="1">
        <v>0.161037</v>
      </c>
      <c r="AW305" s="1">
        <v>0.059834</v>
      </c>
      <c r="AX305" s="1">
        <v>0.132457</v>
      </c>
      <c r="AY305" s="1">
        <v>0.244389</v>
      </c>
      <c r="AZ305" s="1">
        <v>0.13824561</v>
      </c>
      <c r="BA305" s="1">
        <v>0.065544</v>
      </c>
      <c r="BB305" s="1">
        <v>0.002563</v>
      </c>
      <c r="BC305" s="1">
        <v>0.066656</v>
      </c>
      <c r="BD305" s="1">
        <v>0.100126</v>
      </c>
      <c r="BE305" s="1">
        <v>0.059506</v>
      </c>
      <c r="BF305" s="1">
        <v>0.146557</v>
      </c>
      <c r="BG305" s="1">
        <v>0.044686</v>
      </c>
      <c r="BH305" s="1">
        <v>0.015217</v>
      </c>
      <c r="BI305" s="1">
        <v>0.043824</v>
      </c>
      <c r="BJ305" s="1">
        <v>0.052173</v>
      </c>
      <c r="BK305" s="1">
        <v>0.025759</v>
      </c>
      <c r="BL305" s="1">
        <v>0.015188</v>
      </c>
      <c r="BM305" s="1">
        <v>0.461</v>
      </c>
      <c r="BN305" s="1">
        <v>0.711</v>
      </c>
      <c r="BO305" s="1">
        <v>0.4108</v>
      </c>
      <c r="BP305" s="1">
        <v>0.616</v>
      </c>
      <c r="BQ305" s="1">
        <v>2.1988</v>
      </c>
      <c r="BR305" s="1">
        <v>0.5668</v>
      </c>
      <c r="BS305" s="1">
        <v>0.438</v>
      </c>
      <c r="BT305" s="1">
        <v>0.538</v>
      </c>
      <c r="BU305" s="1">
        <v>0.753</v>
      </c>
      <c r="BV305" s="1">
        <v>1.729</v>
      </c>
      <c r="BW305" s="1">
        <v>0.664</v>
      </c>
      <c r="BX305" s="1">
        <v>0.343</v>
      </c>
      <c r="BY305" s="1">
        <v>0.417</v>
      </c>
      <c r="BZ305" s="1">
        <v>0.76</v>
      </c>
      <c r="CA305" s="1">
        <v>0.367</v>
      </c>
      <c r="CB305" s="1">
        <v>0.773</v>
      </c>
      <c r="CC305" s="1">
        <v>0.809</v>
      </c>
      <c r="CD305" s="1">
        <v>0.602</v>
      </c>
      <c r="CE305" s="1">
        <v>0.505</v>
      </c>
      <c r="CF305" s="1">
        <v>0.649</v>
      </c>
      <c r="CG305" s="1">
        <v>3.338</v>
      </c>
      <c r="CH305" s="1">
        <v>0.889</v>
      </c>
      <c r="CI305" s="1">
        <v>8.0258</v>
      </c>
      <c r="CJ305" s="1">
        <v>0.7184</v>
      </c>
      <c r="CK305" s="1">
        <v>0.0</v>
      </c>
      <c r="CL305" s="1">
        <v>0.0</v>
      </c>
      <c r="CM305" s="1">
        <v>0.0</v>
      </c>
      <c r="CN305" s="1">
        <v>0.0</v>
      </c>
      <c r="CO305" s="1">
        <v>0.0</v>
      </c>
      <c r="CP305" s="1">
        <v>0.0</v>
      </c>
      <c r="CQ305" s="1">
        <v>0.0</v>
      </c>
      <c r="CR305" s="1">
        <v>0.0</v>
      </c>
      <c r="CS305" s="1">
        <v>0.0</v>
      </c>
      <c r="CT305" s="1">
        <v>0.0</v>
      </c>
      <c r="CU305" s="1">
        <v>0.0</v>
      </c>
      <c r="CV305" s="1">
        <v>0.0</v>
      </c>
      <c r="CW305" s="1">
        <v>0.0</v>
      </c>
      <c r="CX305" s="1">
        <v>0.0</v>
      </c>
      <c r="CY305" s="1">
        <v>0.0</v>
      </c>
      <c r="CZ305" s="1">
        <v>0.0</v>
      </c>
      <c r="DA305" s="1">
        <v>0.0</v>
      </c>
      <c r="DB305" s="1">
        <v>0.0</v>
      </c>
      <c r="DC305" s="1">
        <v>0.0</v>
      </c>
      <c r="DD305" s="1" t="s">
        <v>1547</v>
      </c>
      <c r="DE305" s="1">
        <v>0.00559355153725838</v>
      </c>
      <c r="DF305" s="2" t="s">
        <v>1548</v>
      </c>
    </row>
    <row r="306" ht="15.75" customHeight="1">
      <c r="A306" s="1" t="s">
        <v>1549</v>
      </c>
      <c r="B306" s="1">
        <v>29.0</v>
      </c>
      <c r="C306" s="2" t="s">
        <v>1499</v>
      </c>
      <c r="D306" s="1">
        <v>800800.0</v>
      </c>
      <c r="E306" s="1">
        <v>86.007</v>
      </c>
      <c r="F306" s="1">
        <v>29071.0</v>
      </c>
      <c r="G306" s="1">
        <v>2.90718008E10</v>
      </c>
      <c r="H306" s="1" t="s">
        <v>112</v>
      </c>
      <c r="I306" s="1" t="s">
        <v>113</v>
      </c>
      <c r="J306" s="1" t="s">
        <v>1500</v>
      </c>
      <c r="K306" s="1" t="s">
        <v>1550</v>
      </c>
      <c r="L306" s="1">
        <v>7649.0</v>
      </c>
      <c r="M306" s="1">
        <v>7650.0</v>
      </c>
      <c r="N306" s="1">
        <v>641.0</v>
      </c>
      <c r="O306" s="1">
        <v>3202.0</v>
      </c>
      <c r="P306" s="1">
        <v>3210.0</v>
      </c>
      <c r="Q306" s="1">
        <v>165.0</v>
      </c>
      <c r="R306" s="1">
        <v>2832.0</v>
      </c>
      <c r="S306" s="1">
        <v>1068.0</v>
      </c>
      <c r="T306" s="1">
        <v>424.0</v>
      </c>
      <c r="U306" s="1">
        <v>645.0</v>
      </c>
      <c r="V306" s="1">
        <v>360.0</v>
      </c>
      <c r="W306" s="1">
        <v>22834.0</v>
      </c>
      <c r="X306" s="1">
        <v>2664.0</v>
      </c>
      <c r="Y306" s="1">
        <v>922.0</v>
      </c>
      <c r="Z306" s="1">
        <v>277.0</v>
      </c>
      <c r="AA306" s="1">
        <v>913.0</v>
      </c>
      <c r="AB306" s="1">
        <v>1751.0</v>
      </c>
      <c r="AC306" s="1">
        <v>264.0</v>
      </c>
      <c r="AD306" s="1">
        <v>395.0</v>
      </c>
      <c r="AE306" s="1">
        <v>16.0</v>
      </c>
      <c r="AF306" s="1">
        <v>442.0</v>
      </c>
      <c r="AG306" s="1">
        <v>0.0</v>
      </c>
      <c r="AH306" s="1">
        <v>197.0</v>
      </c>
      <c r="AI306" s="1">
        <v>486.0</v>
      </c>
      <c r="AJ306" s="1">
        <v>121.0</v>
      </c>
      <c r="AK306" s="1">
        <v>99.0</v>
      </c>
      <c r="AL306" s="1">
        <v>141.0</v>
      </c>
      <c r="AM306" s="1">
        <v>64.0</v>
      </c>
      <c r="AN306" s="1">
        <v>47.0</v>
      </c>
      <c r="AO306" s="1">
        <v>30.0</v>
      </c>
      <c r="AP306" s="1">
        <v>0.1399</v>
      </c>
      <c r="AQ306" s="1">
        <v>0.054288</v>
      </c>
      <c r="AR306" s="1">
        <v>0.17177</v>
      </c>
      <c r="AS306" s="1">
        <v>0.094283</v>
      </c>
      <c r="AT306" s="1">
        <v>22834.0</v>
      </c>
      <c r="AU306" s="1">
        <v>2664.0</v>
      </c>
      <c r="AV306" s="1">
        <v>0.173178</v>
      </c>
      <c r="AW306" s="1">
        <v>0.0504</v>
      </c>
      <c r="AX306" s="1">
        <v>0.119362</v>
      </c>
      <c r="AY306" s="1">
        <v>0.228918</v>
      </c>
      <c r="AZ306" s="1">
        <v>0.09322033</v>
      </c>
      <c r="BA306" s="1">
        <v>0.05164</v>
      </c>
      <c r="BB306" s="1">
        <v>0.002225</v>
      </c>
      <c r="BC306" s="1">
        <v>0.061474</v>
      </c>
      <c r="BD306" s="1">
        <v>0.0</v>
      </c>
      <c r="BE306" s="1">
        <v>0.06137</v>
      </c>
      <c r="BF306" s="1">
        <v>0.151401</v>
      </c>
      <c r="BG306" s="1">
        <v>0.036882</v>
      </c>
      <c r="BH306" s="1">
        <v>0.037092</v>
      </c>
      <c r="BI306" s="1">
        <v>0.052766</v>
      </c>
      <c r="BJ306" s="1">
        <v>0.023979</v>
      </c>
      <c r="BK306" s="1">
        <v>0.017531</v>
      </c>
      <c r="BL306" s="1">
        <v>0.003922</v>
      </c>
      <c r="BM306" s="1">
        <v>0.543</v>
      </c>
      <c r="BN306" s="1">
        <v>0.923</v>
      </c>
      <c r="BO306" s="1">
        <v>0.4542</v>
      </c>
      <c r="BP306" s="1">
        <v>0.663</v>
      </c>
      <c r="BQ306" s="1">
        <v>2.5832</v>
      </c>
      <c r="BR306" s="1">
        <v>0.6968</v>
      </c>
      <c r="BS306" s="1">
        <v>0.339</v>
      </c>
      <c r="BT306" s="1">
        <v>0.372</v>
      </c>
      <c r="BU306" s="1">
        <v>0.43</v>
      </c>
      <c r="BV306" s="1">
        <v>1.141</v>
      </c>
      <c r="BW306" s="1">
        <v>0.192</v>
      </c>
      <c r="BX306" s="1">
        <v>0.259</v>
      </c>
      <c r="BY306" s="1">
        <v>0.394</v>
      </c>
      <c r="BZ306" s="1">
        <v>0.653</v>
      </c>
      <c r="CA306" s="1">
        <v>0.304</v>
      </c>
      <c r="CB306" s="1">
        <v>0.0</v>
      </c>
      <c r="CC306" s="1">
        <v>0.822</v>
      </c>
      <c r="CD306" s="1">
        <v>0.873</v>
      </c>
      <c r="CE306" s="1">
        <v>0.228</v>
      </c>
      <c r="CF306" s="1">
        <v>0.494</v>
      </c>
      <c r="CG306" s="1">
        <v>2.417</v>
      </c>
      <c r="CH306" s="1">
        <v>0.523</v>
      </c>
      <c r="CI306" s="1">
        <v>6.7942</v>
      </c>
      <c r="CJ306" s="1">
        <v>0.5105</v>
      </c>
      <c r="CK306" s="1">
        <v>0.0</v>
      </c>
      <c r="CL306" s="1">
        <v>1.0</v>
      </c>
      <c r="CM306" s="1">
        <v>0.0</v>
      </c>
      <c r="CN306" s="1">
        <v>0.0</v>
      </c>
      <c r="CO306" s="1">
        <v>1.0</v>
      </c>
      <c r="CP306" s="1">
        <v>0.0</v>
      </c>
      <c r="CQ306" s="1">
        <v>0.0</v>
      </c>
      <c r="CR306" s="1">
        <v>0.0</v>
      </c>
      <c r="CS306" s="1">
        <v>0.0</v>
      </c>
      <c r="CT306" s="1">
        <v>0.0</v>
      </c>
      <c r="CU306" s="1">
        <v>0.0</v>
      </c>
      <c r="CV306" s="1">
        <v>0.0</v>
      </c>
      <c r="CW306" s="1">
        <v>0.0</v>
      </c>
      <c r="CX306" s="1">
        <v>0.0</v>
      </c>
      <c r="CY306" s="1">
        <v>0.0</v>
      </c>
      <c r="CZ306" s="1">
        <v>0.0</v>
      </c>
      <c r="DA306" s="1">
        <v>0.0</v>
      </c>
      <c r="DB306" s="1">
        <v>0.0</v>
      </c>
      <c r="DC306" s="1">
        <v>1.0</v>
      </c>
      <c r="DD306" s="1" t="s">
        <v>1551</v>
      </c>
      <c r="DE306" s="2" t="s">
        <v>1552</v>
      </c>
      <c r="DF306" s="2" t="s">
        <v>1553</v>
      </c>
    </row>
    <row r="307" ht="15.75" customHeight="1">
      <c r="A307" s="1" t="s">
        <v>1554</v>
      </c>
      <c r="B307" s="1">
        <v>29.0</v>
      </c>
      <c r="C307" s="2" t="s">
        <v>1499</v>
      </c>
      <c r="D307" s="1">
        <v>800901.0</v>
      </c>
      <c r="E307" s="1">
        <v>23.819</v>
      </c>
      <c r="F307" s="1">
        <v>29071.0</v>
      </c>
      <c r="G307" s="1">
        <v>2.9071800901E10</v>
      </c>
      <c r="H307" s="1" t="s">
        <v>112</v>
      </c>
      <c r="I307" s="1" t="s">
        <v>113</v>
      </c>
      <c r="J307" s="1" t="s">
        <v>1500</v>
      </c>
      <c r="K307" s="1" t="s">
        <v>1555</v>
      </c>
      <c r="L307" s="1">
        <v>3122.0</v>
      </c>
      <c r="M307" s="1">
        <v>2788.0</v>
      </c>
      <c r="N307" s="1">
        <v>410.0</v>
      </c>
      <c r="O307" s="1">
        <v>1372.0</v>
      </c>
      <c r="P307" s="1">
        <v>1153.0</v>
      </c>
      <c r="Q307" s="1">
        <v>86.0</v>
      </c>
      <c r="R307" s="1">
        <v>1134.0</v>
      </c>
      <c r="S307" s="1">
        <v>261.0</v>
      </c>
      <c r="T307" s="1">
        <v>202.0</v>
      </c>
      <c r="U307" s="1">
        <v>198.0</v>
      </c>
      <c r="V307" s="1">
        <v>445.0</v>
      </c>
      <c r="W307" s="1">
        <v>22155.0</v>
      </c>
      <c r="X307" s="1">
        <v>4234.0</v>
      </c>
      <c r="Y307" s="1">
        <v>306.0</v>
      </c>
      <c r="Z307" s="1">
        <v>347.0</v>
      </c>
      <c r="AA307" s="1">
        <v>402.0</v>
      </c>
      <c r="AB307" s="1">
        <v>818.0</v>
      </c>
      <c r="AC307" s="1">
        <v>112.0</v>
      </c>
      <c r="AD307" s="1">
        <v>101.0</v>
      </c>
      <c r="AE307" s="1">
        <v>0.0</v>
      </c>
      <c r="AF307" s="1">
        <v>456.0</v>
      </c>
      <c r="AG307" s="1">
        <v>0.0</v>
      </c>
      <c r="AH307" s="1">
        <v>197.0</v>
      </c>
      <c r="AI307" s="1">
        <v>297.0</v>
      </c>
      <c r="AJ307" s="1">
        <v>100.0</v>
      </c>
      <c r="AK307" s="1">
        <v>73.0</v>
      </c>
      <c r="AL307" s="1">
        <v>137.0</v>
      </c>
      <c r="AM307" s="1">
        <v>10.0</v>
      </c>
      <c r="AN307" s="1">
        <v>115.0</v>
      </c>
      <c r="AO307" s="1">
        <v>0.0</v>
      </c>
      <c r="AP307" s="1">
        <v>0.093615</v>
      </c>
      <c r="AQ307" s="1">
        <v>0.071133</v>
      </c>
      <c r="AR307" s="1">
        <v>0.143686</v>
      </c>
      <c r="AS307" s="1">
        <v>0.321392</v>
      </c>
      <c r="AT307" s="1">
        <v>22155.0</v>
      </c>
      <c r="AU307" s="1">
        <v>4234.0</v>
      </c>
      <c r="AV307" s="1">
        <v>0.175761</v>
      </c>
      <c r="AW307" s="1">
        <v>0.19848</v>
      </c>
      <c r="AX307" s="1">
        <v>0.128763</v>
      </c>
      <c r="AY307" s="1">
        <v>0.262011</v>
      </c>
      <c r="AZ307" s="1">
        <v>0.09876543</v>
      </c>
      <c r="BA307" s="1">
        <v>0.032351</v>
      </c>
      <c r="BB307" s="1">
        <v>0.0</v>
      </c>
      <c r="BC307" s="1">
        <v>0.170467</v>
      </c>
      <c r="BD307" s="1">
        <v>0.0</v>
      </c>
      <c r="BE307" s="1">
        <v>0.170858</v>
      </c>
      <c r="BF307" s="1">
        <v>0.257588</v>
      </c>
      <c r="BG307" s="1">
        <v>0.084575</v>
      </c>
      <c r="BH307" s="1">
        <v>0.077167</v>
      </c>
      <c r="BI307" s="1">
        <v>0.144599</v>
      </c>
      <c r="BJ307" s="1">
        <v>0.01057</v>
      </c>
      <c r="BK307" s="1">
        <v>0.121559</v>
      </c>
      <c r="BL307" s="1">
        <v>0.0</v>
      </c>
      <c r="BM307" s="1">
        <v>0.352</v>
      </c>
      <c r="BN307" s="1">
        <v>0.884</v>
      </c>
      <c r="BO307" s="1">
        <v>0.4881</v>
      </c>
      <c r="BP307" s="1">
        <v>0.671</v>
      </c>
      <c r="BQ307" s="1">
        <v>2.3951</v>
      </c>
      <c r="BR307" s="1">
        <v>0.6296</v>
      </c>
      <c r="BS307" s="1">
        <v>0.409</v>
      </c>
      <c r="BT307" s="1">
        <v>0.72</v>
      </c>
      <c r="BU307" s="1">
        <v>0.481</v>
      </c>
      <c r="BV307" s="1">
        <v>1.61</v>
      </c>
      <c r="BW307" s="1">
        <v>0.576</v>
      </c>
      <c r="BX307" s="1">
        <v>0.097</v>
      </c>
      <c r="BY307" s="1">
        <v>0.0</v>
      </c>
      <c r="BZ307" s="1">
        <v>0.097</v>
      </c>
      <c r="CA307" s="1">
        <v>0.046</v>
      </c>
      <c r="CB307" s="1">
        <v>0.0</v>
      </c>
      <c r="CC307" s="1">
        <v>0.96</v>
      </c>
      <c r="CD307" s="1">
        <v>0.982</v>
      </c>
      <c r="CE307" s="1">
        <v>0.096</v>
      </c>
      <c r="CF307" s="1">
        <v>0.0</v>
      </c>
      <c r="CG307" s="1">
        <v>2.038</v>
      </c>
      <c r="CH307" s="1">
        <v>0.361</v>
      </c>
      <c r="CI307" s="1">
        <v>6.1401</v>
      </c>
      <c r="CJ307" s="1">
        <v>0.3964</v>
      </c>
      <c r="CK307" s="1">
        <v>0.0</v>
      </c>
      <c r="CL307" s="1">
        <v>0.0</v>
      </c>
      <c r="CM307" s="1">
        <v>0.0</v>
      </c>
      <c r="CN307" s="1">
        <v>0.0</v>
      </c>
      <c r="CO307" s="1">
        <v>0.0</v>
      </c>
      <c r="CP307" s="1">
        <v>0.0</v>
      </c>
      <c r="CQ307" s="1">
        <v>0.0</v>
      </c>
      <c r="CR307" s="1">
        <v>0.0</v>
      </c>
      <c r="CS307" s="1">
        <v>0.0</v>
      </c>
      <c r="CT307" s="1">
        <v>0.0</v>
      </c>
      <c r="CU307" s="1">
        <v>0.0</v>
      </c>
      <c r="CV307" s="1">
        <v>0.0</v>
      </c>
      <c r="CW307" s="1">
        <v>0.0</v>
      </c>
      <c r="CX307" s="1">
        <v>1.0</v>
      </c>
      <c r="CY307" s="1">
        <v>1.0</v>
      </c>
      <c r="CZ307" s="1">
        <v>0.0</v>
      </c>
      <c r="DA307" s="1">
        <v>0.0</v>
      </c>
      <c r="DB307" s="1">
        <v>2.0</v>
      </c>
      <c r="DC307" s="1">
        <v>2.0</v>
      </c>
      <c r="DD307" s="1" t="s">
        <v>1556</v>
      </c>
      <c r="DE307" s="1">
        <v>0.00639579173112189</v>
      </c>
      <c r="DF307" s="2" t="s">
        <v>1557</v>
      </c>
    </row>
    <row r="308" ht="15.75" customHeight="1">
      <c r="A308" s="1" t="s">
        <v>1558</v>
      </c>
      <c r="B308" s="1">
        <v>29.0</v>
      </c>
      <c r="C308" s="2" t="s">
        <v>1499</v>
      </c>
      <c r="D308" s="1">
        <v>800902.0</v>
      </c>
      <c r="E308" s="1">
        <v>26.502</v>
      </c>
      <c r="F308" s="1">
        <v>29071.0</v>
      </c>
      <c r="G308" s="1">
        <v>2.9071800902E10</v>
      </c>
      <c r="H308" s="1" t="s">
        <v>112</v>
      </c>
      <c r="I308" s="1" t="s">
        <v>113</v>
      </c>
      <c r="J308" s="1" t="s">
        <v>1500</v>
      </c>
      <c r="K308" s="1" t="s">
        <v>1559</v>
      </c>
      <c r="L308" s="1">
        <v>6727.0</v>
      </c>
      <c r="M308" s="1">
        <v>6695.0</v>
      </c>
      <c r="N308" s="1">
        <v>374.0</v>
      </c>
      <c r="O308" s="1">
        <v>2983.0</v>
      </c>
      <c r="P308" s="1">
        <v>2889.0</v>
      </c>
      <c r="Q308" s="1">
        <v>173.0</v>
      </c>
      <c r="R308" s="1">
        <v>2689.0</v>
      </c>
      <c r="S308" s="1">
        <v>1028.0</v>
      </c>
      <c r="T308" s="1">
        <v>389.0</v>
      </c>
      <c r="U308" s="1">
        <v>276.0</v>
      </c>
      <c r="V308" s="1">
        <v>383.0</v>
      </c>
      <c r="W308" s="1">
        <v>18708.0</v>
      </c>
      <c r="X308" s="1">
        <v>1862.0</v>
      </c>
      <c r="Y308" s="1">
        <v>1121.0</v>
      </c>
      <c r="Z308" s="1">
        <v>317.0</v>
      </c>
      <c r="AA308" s="1">
        <v>900.0</v>
      </c>
      <c r="AB308" s="1">
        <v>1719.0</v>
      </c>
      <c r="AC308" s="1">
        <v>358.0</v>
      </c>
      <c r="AD308" s="1">
        <v>251.0</v>
      </c>
      <c r="AE308" s="1">
        <v>27.0</v>
      </c>
      <c r="AF308" s="1">
        <v>428.0</v>
      </c>
      <c r="AG308" s="1">
        <v>107.0</v>
      </c>
      <c r="AH308" s="1">
        <v>127.0</v>
      </c>
      <c r="AI308" s="1">
        <v>411.0</v>
      </c>
      <c r="AJ308" s="1">
        <v>147.0</v>
      </c>
      <c r="AK308" s="1">
        <v>79.0</v>
      </c>
      <c r="AL308" s="1">
        <v>127.0</v>
      </c>
      <c r="AM308" s="1">
        <v>311.0</v>
      </c>
      <c r="AN308" s="1">
        <v>111.0</v>
      </c>
      <c r="AO308" s="1">
        <v>95.0</v>
      </c>
      <c r="AP308" s="1">
        <v>0.154516</v>
      </c>
      <c r="AQ308" s="1">
        <v>0.057838</v>
      </c>
      <c r="AR308" s="1">
        <v>0.092307</v>
      </c>
      <c r="AS308" s="1">
        <v>0.127642</v>
      </c>
      <c r="AT308" s="1">
        <v>18708.0</v>
      </c>
      <c r="AU308" s="1">
        <v>1862.0</v>
      </c>
      <c r="AV308" s="1">
        <v>0.272351</v>
      </c>
      <c r="AW308" s="1">
        <v>0.074086</v>
      </c>
      <c r="AX308" s="1">
        <v>0.133789</v>
      </c>
      <c r="AY308" s="1">
        <v>0.255537</v>
      </c>
      <c r="AZ308" s="1">
        <v>0.13313499</v>
      </c>
      <c r="BA308" s="1">
        <v>0.037312</v>
      </c>
      <c r="BB308" s="1">
        <v>0.004529</v>
      </c>
      <c r="BC308" s="1">
        <v>0.071799</v>
      </c>
      <c r="BD308" s="1">
        <v>0.037037</v>
      </c>
      <c r="BE308" s="1">
        <v>0.043903</v>
      </c>
      <c r="BF308" s="1">
        <v>0.142263</v>
      </c>
      <c r="BG308" s="1">
        <v>0.050164</v>
      </c>
      <c r="BH308" s="1">
        <v>0.030233</v>
      </c>
      <c r="BI308" s="1">
        <v>0.048559</v>
      </c>
      <c r="BJ308" s="1">
        <v>0.11902</v>
      </c>
      <c r="BK308" s="1">
        <v>0.041707</v>
      </c>
      <c r="BL308" s="1">
        <v>0.014122</v>
      </c>
      <c r="BM308" s="1">
        <v>0.594</v>
      </c>
      <c r="BN308" s="1">
        <v>0.691</v>
      </c>
      <c r="BO308" s="1">
        <v>0.6888</v>
      </c>
      <c r="BP308" s="1">
        <v>0.91</v>
      </c>
      <c r="BQ308" s="1">
        <v>2.8838</v>
      </c>
      <c r="BR308" s="1">
        <v>0.774</v>
      </c>
      <c r="BS308" s="1">
        <v>0.449</v>
      </c>
      <c r="BT308" s="1">
        <v>0.657</v>
      </c>
      <c r="BU308" s="1">
        <v>0.73</v>
      </c>
      <c r="BV308" s="1">
        <v>1.836</v>
      </c>
      <c r="BW308" s="1">
        <v>0.761</v>
      </c>
      <c r="BX308" s="1">
        <v>0.141</v>
      </c>
      <c r="BY308" s="1">
        <v>0.54</v>
      </c>
      <c r="BZ308" s="1">
        <v>0.681</v>
      </c>
      <c r="CA308" s="1">
        <v>0.325</v>
      </c>
      <c r="CB308" s="1">
        <v>0.594</v>
      </c>
      <c r="CC308" s="1">
        <v>0.803</v>
      </c>
      <c r="CD308" s="1">
        <v>0.812</v>
      </c>
      <c r="CE308" s="1">
        <v>0.805</v>
      </c>
      <c r="CF308" s="1">
        <v>0.637</v>
      </c>
      <c r="CG308" s="1">
        <v>3.651</v>
      </c>
      <c r="CH308" s="1">
        <v>0.969</v>
      </c>
      <c r="CI308" s="1">
        <v>9.0518</v>
      </c>
      <c r="CJ308" s="1">
        <v>0.8592</v>
      </c>
      <c r="CK308" s="1">
        <v>0.0</v>
      </c>
      <c r="CL308" s="1">
        <v>0.0</v>
      </c>
      <c r="CM308" s="1">
        <v>0.0</v>
      </c>
      <c r="CN308" s="1">
        <v>1.0</v>
      </c>
      <c r="CO308" s="1">
        <v>1.0</v>
      </c>
      <c r="CP308" s="1">
        <v>0.0</v>
      </c>
      <c r="CQ308" s="1">
        <v>0.0</v>
      </c>
      <c r="CR308" s="1">
        <v>0.0</v>
      </c>
      <c r="CS308" s="1">
        <v>0.0</v>
      </c>
      <c r="CT308" s="1">
        <v>0.0</v>
      </c>
      <c r="CU308" s="1">
        <v>0.0</v>
      </c>
      <c r="CV308" s="1">
        <v>0.0</v>
      </c>
      <c r="CW308" s="1">
        <v>0.0</v>
      </c>
      <c r="CX308" s="1">
        <v>0.0</v>
      </c>
      <c r="CY308" s="1">
        <v>0.0</v>
      </c>
      <c r="CZ308" s="1">
        <v>0.0</v>
      </c>
      <c r="DA308" s="1">
        <v>0.0</v>
      </c>
      <c r="DB308" s="1">
        <v>0.0</v>
      </c>
      <c r="DC308" s="1">
        <v>1.0</v>
      </c>
      <c r="DD308" s="1" t="s">
        <v>1560</v>
      </c>
      <c r="DE308" s="1">
        <v>0.00708871199558481</v>
      </c>
      <c r="DF308" s="2" t="s">
        <v>1561</v>
      </c>
    </row>
    <row r="309" ht="15.75" customHeight="1">
      <c r="A309" s="1" t="s">
        <v>1562</v>
      </c>
      <c r="B309" s="1">
        <v>29.0</v>
      </c>
      <c r="C309" s="2" t="s">
        <v>1499</v>
      </c>
      <c r="D309" s="1">
        <v>801000.0</v>
      </c>
      <c r="E309" s="1">
        <v>111.457</v>
      </c>
      <c r="F309" s="1">
        <v>29071.0</v>
      </c>
      <c r="G309" s="1">
        <v>2.9071801E10</v>
      </c>
      <c r="H309" s="1" t="s">
        <v>112</v>
      </c>
      <c r="I309" s="1" t="s">
        <v>113</v>
      </c>
      <c r="J309" s="1" t="s">
        <v>1500</v>
      </c>
      <c r="K309" s="1" t="s">
        <v>1563</v>
      </c>
      <c r="L309" s="1">
        <v>3758.0</v>
      </c>
      <c r="M309" s="1">
        <v>3969.0</v>
      </c>
      <c r="N309" s="1">
        <v>398.0</v>
      </c>
      <c r="O309" s="1">
        <v>1690.0</v>
      </c>
      <c r="P309" s="1">
        <v>1708.0</v>
      </c>
      <c r="Q309" s="1">
        <v>97.0</v>
      </c>
      <c r="R309" s="1">
        <v>1437.0</v>
      </c>
      <c r="S309" s="1">
        <v>642.0</v>
      </c>
      <c r="T309" s="1">
        <v>290.0</v>
      </c>
      <c r="U309" s="1">
        <v>214.0</v>
      </c>
      <c r="V309" s="1">
        <v>406.0</v>
      </c>
      <c r="W309" s="1">
        <v>20455.0</v>
      </c>
      <c r="X309" s="1">
        <v>2152.0</v>
      </c>
      <c r="Y309" s="1">
        <v>417.0</v>
      </c>
      <c r="Z309" s="1">
        <v>305.0</v>
      </c>
      <c r="AA309" s="1">
        <v>500.0</v>
      </c>
      <c r="AB309" s="1">
        <v>854.0</v>
      </c>
      <c r="AC309" s="1">
        <v>107.0</v>
      </c>
      <c r="AD309" s="1">
        <v>98.0</v>
      </c>
      <c r="AE309" s="1">
        <v>0.0</v>
      </c>
      <c r="AF309" s="1">
        <v>456.0</v>
      </c>
      <c r="AG309" s="1">
        <v>0.0</v>
      </c>
      <c r="AH309" s="1">
        <v>197.0</v>
      </c>
      <c r="AI309" s="1">
        <v>466.0</v>
      </c>
      <c r="AJ309" s="1">
        <v>134.0</v>
      </c>
      <c r="AK309" s="1">
        <v>11.0</v>
      </c>
      <c r="AL309" s="1">
        <v>115.0</v>
      </c>
      <c r="AM309" s="1">
        <v>53.0</v>
      </c>
      <c r="AN309" s="1">
        <v>121.0</v>
      </c>
      <c r="AO309" s="1">
        <v>0.0</v>
      </c>
      <c r="AP309" s="1">
        <v>0.163483</v>
      </c>
      <c r="AQ309" s="1">
        <v>0.072078</v>
      </c>
      <c r="AR309" s="1">
        <v>0.114499</v>
      </c>
      <c r="AS309" s="1">
        <v>0.216495</v>
      </c>
      <c r="AT309" s="1">
        <v>20455.0</v>
      </c>
      <c r="AU309" s="1">
        <v>2152.0</v>
      </c>
      <c r="AV309" s="1">
        <v>0.162383</v>
      </c>
      <c r="AW309" s="1">
        <v>0.118134</v>
      </c>
      <c r="AX309" s="1">
        <v>0.133049</v>
      </c>
      <c r="AY309" s="1">
        <v>0.227248</v>
      </c>
      <c r="AZ309" s="1">
        <v>0.07446068</v>
      </c>
      <c r="BA309" s="1">
        <v>0.026077</v>
      </c>
      <c r="BB309" s="1">
        <v>0.0</v>
      </c>
      <c r="BC309" s="1">
        <v>0.123209</v>
      </c>
      <c r="BD309" s="1">
        <v>0.0</v>
      </c>
      <c r="BE309" s="1">
        <v>0.115339</v>
      </c>
      <c r="BF309" s="1">
        <v>0.272833</v>
      </c>
      <c r="BG309" s="1">
        <v>0.076909</v>
      </c>
      <c r="BH309" s="1">
        <v>0.00726</v>
      </c>
      <c r="BI309" s="1">
        <v>0.075905</v>
      </c>
      <c r="BJ309" s="1">
        <v>0.034983</v>
      </c>
      <c r="BK309" s="1">
        <v>0.079825</v>
      </c>
      <c r="BL309" s="1">
        <v>0.0</v>
      </c>
      <c r="BM309" s="1">
        <v>0.62</v>
      </c>
      <c r="BN309" s="1">
        <v>0.8</v>
      </c>
      <c r="BO309" s="1">
        <v>0.5841</v>
      </c>
      <c r="BP309" s="1">
        <v>0.622</v>
      </c>
      <c r="BQ309" s="1">
        <v>2.6261</v>
      </c>
      <c r="BR309" s="1">
        <v>0.704</v>
      </c>
      <c r="BS309" s="1">
        <v>0.441</v>
      </c>
      <c r="BT309" s="1">
        <v>0.362</v>
      </c>
      <c r="BU309" s="1">
        <v>0.252</v>
      </c>
      <c r="BV309" s="1">
        <v>1.055</v>
      </c>
      <c r="BW309" s="1">
        <v>0.137</v>
      </c>
      <c r="BX309" s="1">
        <v>0.052</v>
      </c>
      <c r="BY309" s="1">
        <v>0.0</v>
      </c>
      <c r="BZ309" s="1">
        <v>0.052</v>
      </c>
      <c r="CA309" s="1">
        <v>0.026</v>
      </c>
      <c r="CB309" s="1">
        <v>0.0</v>
      </c>
      <c r="CC309" s="1">
        <v>0.971</v>
      </c>
      <c r="CD309" s="1">
        <v>0.402</v>
      </c>
      <c r="CE309" s="1">
        <v>0.334</v>
      </c>
      <c r="CF309" s="1">
        <v>0.0</v>
      </c>
      <c r="CG309" s="1">
        <v>1.707</v>
      </c>
      <c r="CH309" s="1">
        <v>0.236</v>
      </c>
      <c r="CI309" s="1">
        <v>5.4401</v>
      </c>
      <c r="CJ309" s="1">
        <v>0.2715</v>
      </c>
      <c r="CK309" s="1">
        <v>0.0</v>
      </c>
      <c r="CL309" s="1">
        <v>0.0</v>
      </c>
      <c r="CM309" s="1">
        <v>0.0</v>
      </c>
      <c r="CN309" s="1">
        <v>0.0</v>
      </c>
      <c r="CO309" s="1">
        <v>0.0</v>
      </c>
      <c r="CP309" s="1">
        <v>0.0</v>
      </c>
      <c r="CQ309" s="1">
        <v>0.0</v>
      </c>
      <c r="CR309" s="1">
        <v>0.0</v>
      </c>
      <c r="CS309" s="1">
        <v>0.0</v>
      </c>
      <c r="CT309" s="1">
        <v>0.0</v>
      </c>
      <c r="CU309" s="1">
        <v>0.0</v>
      </c>
      <c r="CV309" s="1">
        <v>0.0</v>
      </c>
      <c r="CW309" s="1">
        <v>0.0</v>
      </c>
      <c r="CX309" s="1">
        <v>1.0</v>
      </c>
      <c r="CY309" s="1">
        <v>0.0</v>
      </c>
      <c r="CZ309" s="1">
        <v>0.0</v>
      </c>
      <c r="DA309" s="1">
        <v>0.0</v>
      </c>
      <c r="DB309" s="1">
        <v>1.0</v>
      </c>
      <c r="DC309" s="1">
        <v>1.0</v>
      </c>
      <c r="DD309" s="1" t="s">
        <v>1564</v>
      </c>
      <c r="DE309" s="2" t="s">
        <v>1565</v>
      </c>
      <c r="DF309" s="2" t="s">
        <v>1566</v>
      </c>
    </row>
    <row r="310" ht="15.75" customHeight="1">
      <c r="A310" s="1" t="s">
        <v>1567</v>
      </c>
      <c r="B310" s="1">
        <v>29.0</v>
      </c>
      <c r="C310" s="2" t="s">
        <v>1499</v>
      </c>
      <c r="D310" s="1">
        <v>801102.0</v>
      </c>
      <c r="E310" s="1">
        <v>31.556</v>
      </c>
      <c r="F310" s="1">
        <v>29071.0</v>
      </c>
      <c r="G310" s="1">
        <v>2.9071801102E10</v>
      </c>
      <c r="H310" s="1" t="s">
        <v>112</v>
      </c>
      <c r="I310" s="1" t="s">
        <v>113</v>
      </c>
      <c r="J310" s="1" t="s">
        <v>1500</v>
      </c>
      <c r="K310" s="1" t="s">
        <v>1568</v>
      </c>
      <c r="L310" s="1">
        <v>4086.0</v>
      </c>
      <c r="M310" s="1">
        <v>4109.0</v>
      </c>
      <c r="N310" s="1">
        <v>310.0</v>
      </c>
      <c r="O310" s="1">
        <v>1647.0</v>
      </c>
      <c r="P310" s="1">
        <v>1604.0</v>
      </c>
      <c r="Q310" s="1">
        <v>99.0</v>
      </c>
      <c r="R310" s="1">
        <v>1513.0</v>
      </c>
      <c r="S310" s="1">
        <v>420.0</v>
      </c>
      <c r="T310" s="1">
        <v>271.0</v>
      </c>
      <c r="U310" s="1">
        <v>145.0</v>
      </c>
      <c r="V310" s="1">
        <v>404.0</v>
      </c>
      <c r="W310" s="1">
        <v>23288.0</v>
      </c>
      <c r="X310" s="1">
        <v>2912.0</v>
      </c>
      <c r="Y310" s="1">
        <v>556.0</v>
      </c>
      <c r="Z310" s="1">
        <v>247.0</v>
      </c>
      <c r="AA310" s="1">
        <v>699.0</v>
      </c>
      <c r="AB310" s="1">
        <v>1044.0</v>
      </c>
      <c r="AC310" s="1">
        <v>157.0</v>
      </c>
      <c r="AD310" s="1">
        <v>143.0</v>
      </c>
      <c r="AE310" s="1">
        <v>2.0</v>
      </c>
      <c r="AF310" s="1">
        <v>442.0</v>
      </c>
      <c r="AG310" s="1">
        <v>0.0</v>
      </c>
      <c r="AH310" s="1">
        <v>197.0</v>
      </c>
      <c r="AI310" s="1">
        <v>79.0</v>
      </c>
      <c r="AJ310" s="1">
        <v>50.0</v>
      </c>
      <c r="AK310" s="1">
        <v>17.0</v>
      </c>
      <c r="AL310" s="1">
        <v>115.0</v>
      </c>
      <c r="AM310" s="1">
        <v>84.0</v>
      </c>
      <c r="AN310" s="1">
        <v>54.0</v>
      </c>
      <c r="AO310" s="1">
        <v>90.0</v>
      </c>
      <c r="AP310" s="1">
        <v>0.10706</v>
      </c>
      <c r="AQ310" s="1">
        <v>0.068579</v>
      </c>
      <c r="AR310" s="1">
        <v>0.07754</v>
      </c>
      <c r="AS310" s="1">
        <v>0.215775</v>
      </c>
      <c r="AT310" s="1">
        <v>23288.0</v>
      </c>
      <c r="AU310" s="1">
        <v>2912.0</v>
      </c>
      <c r="AV310" s="1">
        <v>0.193189</v>
      </c>
      <c r="AW310" s="1">
        <v>0.084723</v>
      </c>
      <c r="AX310" s="1">
        <v>0.171071</v>
      </c>
      <c r="AY310" s="1">
        <v>0.255506</v>
      </c>
      <c r="AZ310" s="1">
        <v>0.10376734</v>
      </c>
      <c r="BA310" s="1">
        <v>0.034997</v>
      </c>
      <c r="BB310" s="1">
        <v>5.12E-4</v>
      </c>
      <c r="BC310" s="1">
        <v>0.113333</v>
      </c>
      <c r="BD310" s="1">
        <v>0.0</v>
      </c>
      <c r="BE310" s="1">
        <v>0.122817</v>
      </c>
      <c r="BF310" s="1">
        <v>0.049251</v>
      </c>
      <c r="BG310" s="1">
        <v>0.031023</v>
      </c>
      <c r="BH310" s="1">
        <v>0.011258</v>
      </c>
      <c r="BI310" s="1">
        <v>0.076154</v>
      </c>
      <c r="BJ310" s="1">
        <v>0.055629</v>
      </c>
      <c r="BK310" s="1">
        <v>0.035518</v>
      </c>
      <c r="BL310" s="1">
        <v>0.022026</v>
      </c>
      <c r="BM310" s="1">
        <v>0.402</v>
      </c>
      <c r="BN310" s="1">
        <v>0.587</v>
      </c>
      <c r="BO310" s="1">
        <v>0.4325</v>
      </c>
      <c r="BP310" s="1">
        <v>0.733</v>
      </c>
      <c r="BQ310" s="1">
        <v>2.1545</v>
      </c>
      <c r="BR310" s="1">
        <v>0.5466</v>
      </c>
      <c r="BS310" s="1">
        <v>0.743</v>
      </c>
      <c r="BT310" s="1">
        <v>0.656</v>
      </c>
      <c r="BU310" s="1">
        <v>0.529</v>
      </c>
      <c r="BV310" s="1">
        <v>1.928</v>
      </c>
      <c r="BW310" s="1">
        <v>0.82</v>
      </c>
      <c r="BX310" s="1">
        <v>0.12</v>
      </c>
      <c r="BY310" s="1">
        <v>0.32</v>
      </c>
      <c r="BZ310" s="1">
        <v>0.44</v>
      </c>
      <c r="CA310" s="1">
        <v>0.184</v>
      </c>
      <c r="CB310" s="1">
        <v>0.0</v>
      </c>
      <c r="CC310" s="1">
        <v>0.602</v>
      </c>
      <c r="CD310" s="1">
        <v>0.506</v>
      </c>
      <c r="CE310" s="1">
        <v>0.537</v>
      </c>
      <c r="CF310" s="1">
        <v>0.737</v>
      </c>
      <c r="CG310" s="1">
        <v>2.382</v>
      </c>
      <c r="CH310" s="1">
        <v>0.505</v>
      </c>
      <c r="CI310" s="1">
        <v>6.9045</v>
      </c>
      <c r="CJ310" s="1">
        <v>0.5314</v>
      </c>
      <c r="CK310" s="1">
        <v>0.0</v>
      </c>
      <c r="CL310" s="1">
        <v>0.0</v>
      </c>
      <c r="CM310" s="1">
        <v>0.0</v>
      </c>
      <c r="CN310" s="1">
        <v>0.0</v>
      </c>
      <c r="CO310" s="1">
        <v>0.0</v>
      </c>
      <c r="CP310" s="1">
        <v>0.0</v>
      </c>
      <c r="CQ310" s="1">
        <v>0.0</v>
      </c>
      <c r="CR310" s="1">
        <v>0.0</v>
      </c>
      <c r="CS310" s="1">
        <v>0.0</v>
      </c>
      <c r="CT310" s="1">
        <v>0.0</v>
      </c>
      <c r="CU310" s="1">
        <v>0.0</v>
      </c>
      <c r="CV310" s="1">
        <v>0.0</v>
      </c>
      <c r="CW310" s="1">
        <v>0.0</v>
      </c>
      <c r="CX310" s="1">
        <v>0.0</v>
      </c>
      <c r="CY310" s="1">
        <v>0.0</v>
      </c>
      <c r="CZ310" s="1">
        <v>0.0</v>
      </c>
      <c r="DA310" s="1">
        <v>0.0</v>
      </c>
      <c r="DB310" s="1">
        <v>0.0</v>
      </c>
      <c r="DC310" s="1">
        <v>0.0</v>
      </c>
      <c r="DD310" s="1" t="s">
        <v>1569</v>
      </c>
      <c r="DE310" s="1">
        <v>0.00841767619130973</v>
      </c>
      <c r="DF310" s="2" t="s">
        <v>1570</v>
      </c>
    </row>
    <row r="311" ht="15.75" customHeight="1">
      <c r="A311" s="1" t="s">
        <v>1571</v>
      </c>
      <c r="B311" s="1">
        <v>29.0</v>
      </c>
      <c r="C311" s="2" t="s">
        <v>1572</v>
      </c>
      <c r="D311" s="1">
        <v>960100.0</v>
      </c>
      <c r="E311" s="1">
        <v>10.224</v>
      </c>
      <c r="F311" s="1">
        <v>29073.0</v>
      </c>
      <c r="G311" s="1">
        <v>2.90739601E10</v>
      </c>
      <c r="H311" s="1" t="s">
        <v>112</v>
      </c>
      <c r="I311" s="1" t="s">
        <v>113</v>
      </c>
      <c r="J311" s="1" t="s">
        <v>1573</v>
      </c>
      <c r="K311" s="1" t="s">
        <v>1574</v>
      </c>
      <c r="L311" s="1">
        <v>2715.0</v>
      </c>
      <c r="M311" s="1">
        <v>2762.0</v>
      </c>
      <c r="N311" s="1">
        <v>264.0</v>
      </c>
      <c r="O311" s="1">
        <v>1429.0</v>
      </c>
      <c r="P311" s="1">
        <v>1426.0</v>
      </c>
      <c r="Q311" s="1">
        <v>94.0</v>
      </c>
      <c r="R311" s="1">
        <v>1160.0</v>
      </c>
      <c r="S311" s="1">
        <v>109.0</v>
      </c>
      <c r="T311" s="1">
        <v>64.0</v>
      </c>
      <c r="U311" s="1">
        <v>29.0</v>
      </c>
      <c r="V311" s="1">
        <v>471.0</v>
      </c>
      <c r="W311" s="1">
        <v>27036.0</v>
      </c>
      <c r="X311" s="1">
        <v>3856.0</v>
      </c>
      <c r="Y311" s="1">
        <v>386.0</v>
      </c>
      <c r="Z311" s="1">
        <v>339.0</v>
      </c>
      <c r="AA311" s="1">
        <v>654.0</v>
      </c>
      <c r="AB311" s="1">
        <v>593.0</v>
      </c>
      <c r="AC311" s="1">
        <v>92.0</v>
      </c>
      <c r="AD311" s="1">
        <v>103.0</v>
      </c>
      <c r="AE311" s="1">
        <v>18.0</v>
      </c>
      <c r="AF311" s="1">
        <v>427.0</v>
      </c>
      <c r="AG311" s="1">
        <v>28.0</v>
      </c>
      <c r="AH311" s="1">
        <v>165.0</v>
      </c>
      <c r="AI311" s="1">
        <v>39.0</v>
      </c>
      <c r="AJ311" s="1">
        <v>28.0</v>
      </c>
      <c r="AK311" s="1">
        <v>0.0</v>
      </c>
      <c r="AL311" s="1">
        <v>161.0</v>
      </c>
      <c r="AM311" s="1">
        <v>88.0</v>
      </c>
      <c r="AN311" s="1">
        <v>45.0</v>
      </c>
      <c r="AO311" s="1">
        <v>96.0</v>
      </c>
      <c r="AP311" s="1">
        <v>0.042198</v>
      </c>
      <c r="AQ311" s="1">
        <v>0.024493</v>
      </c>
      <c r="AR311" s="1">
        <v>0.024006</v>
      </c>
      <c r="AS311" s="1">
        <v>0.389881</v>
      </c>
      <c r="AT311" s="1">
        <v>27036.0</v>
      </c>
      <c r="AU311" s="1">
        <v>3856.0</v>
      </c>
      <c r="AV311" s="1">
        <v>0.187469</v>
      </c>
      <c r="AW311" s="1">
        <v>0.16356</v>
      </c>
      <c r="AX311" s="1">
        <v>0.240883</v>
      </c>
      <c r="AY311" s="1">
        <v>0.218416</v>
      </c>
      <c r="AZ311" s="1">
        <v>0.07931034</v>
      </c>
      <c r="BA311" s="1">
        <v>0.037937</v>
      </c>
      <c r="BB311" s="1">
        <v>0.006749</v>
      </c>
      <c r="BC311" s="1">
        <v>0.160103</v>
      </c>
      <c r="BD311" s="1">
        <v>0.019635</v>
      </c>
      <c r="BE311" s="1">
        <v>0.115701</v>
      </c>
      <c r="BF311" s="1">
        <v>0.027349</v>
      </c>
      <c r="BG311" s="1">
        <v>0.019552</v>
      </c>
      <c r="BH311" s="1">
        <v>0.0</v>
      </c>
      <c r="BI311" s="1">
        <v>0.128491</v>
      </c>
      <c r="BJ311" s="1">
        <v>0.070231</v>
      </c>
      <c r="BK311" s="1">
        <v>0.03536</v>
      </c>
      <c r="BL311" s="1">
        <v>0.035359</v>
      </c>
      <c r="BM311" s="1">
        <v>0.131</v>
      </c>
      <c r="BN311" s="1">
        <v>0.045</v>
      </c>
      <c r="BO311" s="1">
        <v>0.2816</v>
      </c>
      <c r="BP311" s="1">
        <v>0.716</v>
      </c>
      <c r="BQ311" s="1">
        <v>1.1736</v>
      </c>
      <c r="BR311" s="1">
        <v>0.2469</v>
      </c>
      <c r="BS311" s="1">
        <v>0.963</v>
      </c>
      <c r="BT311" s="1">
        <v>0.292</v>
      </c>
      <c r="BU311" s="1">
        <v>0.297</v>
      </c>
      <c r="BV311" s="1">
        <v>1.552</v>
      </c>
      <c r="BW311" s="1">
        <v>0.521</v>
      </c>
      <c r="BX311" s="1">
        <v>0.146</v>
      </c>
      <c r="BY311" s="1">
        <v>0.622</v>
      </c>
      <c r="BZ311" s="1">
        <v>0.768</v>
      </c>
      <c r="CA311" s="1">
        <v>0.374</v>
      </c>
      <c r="CB311" s="1">
        <v>0.461</v>
      </c>
      <c r="CC311" s="1">
        <v>0.541</v>
      </c>
      <c r="CD311" s="1">
        <v>0.0</v>
      </c>
      <c r="CE311" s="1">
        <v>0.627</v>
      </c>
      <c r="CF311" s="1">
        <v>0.839</v>
      </c>
      <c r="CG311" s="1">
        <v>2.468</v>
      </c>
      <c r="CH311" s="1">
        <v>0.549</v>
      </c>
      <c r="CI311" s="1">
        <v>5.9616</v>
      </c>
      <c r="CJ311" s="1">
        <v>0.3668</v>
      </c>
      <c r="CK311" s="1">
        <v>0.0</v>
      </c>
      <c r="CL311" s="1">
        <v>0.0</v>
      </c>
      <c r="CM311" s="1">
        <v>0.0</v>
      </c>
      <c r="CN311" s="1">
        <v>0.0</v>
      </c>
      <c r="CO311" s="1">
        <v>0.0</v>
      </c>
      <c r="CP311" s="1">
        <v>1.0</v>
      </c>
      <c r="CQ311" s="1">
        <v>0.0</v>
      </c>
      <c r="CR311" s="1">
        <v>0.0</v>
      </c>
      <c r="CS311" s="1">
        <v>1.0</v>
      </c>
      <c r="CT311" s="1">
        <v>0.0</v>
      </c>
      <c r="CU311" s="1">
        <v>0.0</v>
      </c>
      <c r="CV311" s="1">
        <v>0.0</v>
      </c>
      <c r="CW311" s="1">
        <v>0.0</v>
      </c>
      <c r="CX311" s="1">
        <v>0.0</v>
      </c>
      <c r="CY311" s="1">
        <v>0.0</v>
      </c>
      <c r="CZ311" s="1">
        <v>0.0</v>
      </c>
      <c r="DA311" s="1">
        <v>0.0</v>
      </c>
      <c r="DB311" s="1">
        <v>0.0</v>
      </c>
      <c r="DC311" s="1">
        <v>1.0</v>
      </c>
      <c r="DD311" s="1" t="s">
        <v>1575</v>
      </c>
      <c r="DE311" s="1">
        <v>0.00287329918925761</v>
      </c>
      <c r="DF311" s="2" t="s">
        <v>1576</v>
      </c>
    </row>
    <row r="312" ht="15.75" customHeight="1">
      <c r="A312" s="1" t="s">
        <v>1577</v>
      </c>
      <c r="B312" s="1">
        <v>29.0</v>
      </c>
      <c r="C312" s="2" t="s">
        <v>1572</v>
      </c>
      <c r="D312" s="1">
        <v>960200.0</v>
      </c>
      <c r="E312" s="1">
        <v>112.296</v>
      </c>
      <c r="F312" s="1">
        <v>29073.0</v>
      </c>
      <c r="G312" s="1">
        <v>2.90739602E10</v>
      </c>
      <c r="H312" s="1" t="s">
        <v>112</v>
      </c>
      <c r="I312" s="1" t="s">
        <v>113</v>
      </c>
      <c r="J312" s="1" t="s">
        <v>1573</v>
      </c>
      <c r="K312" s="1" t="s">
        <v>1578</v>
      </c>
      <c r="L312" s="1">
        <v>1926.0</v>
      </c>
      <c r="M312" s="1">
        <v>2169.0</v>
      </c>
      <c r="N312" s="1">
        <v>293.0</v>
      </c>
      <c r="O312" s="1">
        <v>1298.0</v>
      </c>
      <c r="P312" s="1">
        <v>1331.0</v>
      </c>
      <c r="Q312" s="1">
        <v>80.0</v>
      </c>
      <c r="R312" s="1">
        <v>817.0</v>
      </c>
      <c r="S312" s="1">
        <v>231.0</v>
      </c>
      <c r="T312" s="1">
        <v>118.0</v>
      </c>
      <c r="U312" s="1">
        <v>121.0</v>
      </c>
      <c r="V312" s="1">
        <v>402.0</v>
      </c>
      <c r="W312" s="1">
        <v>20392.0</v>
      </c>
      <c r="X312" s="1">
        <v>1963.0</v>
      </c>
      <c r="Y312" s="1">
        <v>337.0</v>
      </c>
      <c r="Z312" s="1">
        <v>300.0</v>
      </c>
      <c r="AA312" s="1">
        <v>397.0</v>
      </c>
      <c r="AB312" s="1">
        <v>400.0</v>
      </c>
      <c r="AC312" s="1">
        <v>52.0</v>
      </c>
      <c r="AD312" s="1">
        <v>32.0</v>
      </c>
      <c r="AE312" s="1">
        <v>9.0</v>
      </c>
      <c r="AF312" s="1">
        <v>442.0</v>
      </c>
      <c r="AG312" s="1">
        <v>0.0</v>
      </c>
      <c r="AH312" s="1">
        <v>197.0</v>
      </c>
      <c r="AI312" s="1">
        <v>253.0</v>
      </c>
      <c r="AJ312" s="1">
        <v>86.0</v>
      </c>
      <c r="AK312" s="1">
        <v>0.0</v>
      </c>
      <c r="AL312" s="1">
        <v>161.0</v>
      </c>
      <c r="AM312" s="1">
        <v>10.0</v>
      </c>
      <c r="AN312" s="1">
        <v>114.0</v>
      </c>
      <c r="AO312" s="1">
        <v>0.0</v>
      </c>
      <c r="AP312" s="1">
        <v>0.106648</v>
      </c>
      <c r="AQ312" s="1">
        <v>0.052533</v>
      </c>
      <c r="AR312" s="1">
        <v>0.102891</v>
      </c>
      <c r="AS312" s="1">
        <v>0.341516</v>
      </c>
      <c r="AT312" s="1">
        <v>20392.0</v>
      </c>
      <c r="AU312" s="1">
        <v>1963.0</v>
      </c>
      <c r="AV312" s="1">
        <v>0.210756</v>
      </c>
      <c r="AW312" s="1">
        <v>0.185866</v>
      </c>
      <c r="AX312" s="1">
        <v>0.206126</v>
      </c>
      <c r="AY312" s="1">
        <v>0.207684</v>
      </c>
      <c r="AZ312" s="1">
        <v>0.06364749</v>
      </c>
      <c r="BA312" s="1">
        <v>0.016614</v>
      </c>
      <c r="BB312" s="1">
        <v>0.004308</v>
      </c>
      <c r="BC312" s="1">
        <v>0.211583</v>
      </c>
      <c r="BD312" s="1">
        <v>0.0</v>
      </c>
      <c r="BE312" s="1">
        <v>0.148009</v>
      </c>
      <c r="BF312" s="1">
        <v>0.190082</v>
      </c>
      <c r="BG312" s="1">
        <v>0.063594</v>
      </c>
      <c r="BH312" s="1">
        <v>0.0</v>
      </c>
      <c r="BI312" s="1">
        <v>0.178492</v>
      </c>
      <c r="BJ312" s="1">
        <v>0.011086</v>
      </c>
      <c r="BK312" s="1">
        <v>0.126376</v>
      </c>
      <c r="BL312" s="1">
        <v>0.0</v>
      </c>
      <c r="BM312" s="1">
        <v>0.4</v>
      </c>
      <c r="BN312" s="1">
        <v>0.749</v>
      </c>
      <c r="BO312" s="1">
        <v>0.5892</v>
      </c>
      <c r="BP312" s="1">
        <v>0.782</v>
      </c>
      <c r="BQ312" s="1">
        <v>2.5202</v>
      </c>
      <c r="BR312" s="1">
        <v>0.6715</v>
      </c>
      <c r="BS312" s="1">
        <v>0.899</v>
      </c>
      <c r="BT312" s="1">
        <v>0.224</v>
      </c>
      <c r="BU312" s="1">
        <v>0.161</v>
      </c>
      <c r="BV312" s="1">
        <v>1.284</v>
      </c>
      <c r="BW312" s="1">
        <v>0.291</v>
      </c>
      <c r="BX312" s="1">
        <v>0.008</v>
      </c>
      <c r="BY312" s="1">
        <v>0.528</v>
      </c>
      <c r="BZ312" s="1">
        <v>0.536</v>
      </c>
      <c r="CA312" s="1">
        <v>0.233</v>
      </c>
      <c r="CB312" s="1">
        <v>0.0</v>
      </c>
      <c r="CC312" s="1">
        <v>0.881</v>
      </c>
      <c r="CD312" s="1">
        <v>0.0</v>
      </c>
      <c r="CE312" s="1">
        <v>0.1</v>
      </c>
      <c r="CF312" s="1">
        <v>0.0</v>
      </c>
      <c r="CG312" s="1">
        <v>0.981</v>
      </c>
      <c r="CH312" s="1">
        <v>0.076</v>
      </c>
      <c r="CI312" s="1">
        <v>5.3212</v>
      </c>
      <c r="CJ312" s="1">
        <v>0.2491</v>
      </c>
      <c r="CK312" s="1">
        <v>0.0</v>
      </c>
      <c r="CL312" s="1">
        <v>0.0</v>
      </c>
      <c r="CM312" s="1">
        <v>0.0</v>
      </c>
      <c r="CN312" s="1">
        <v>0.0</v>
      </c>
      <c r="CO312" s="1">
        <v>0.0</v>
      </c>
      <c r="CP312" s="1">
        <v>0.0</v>
      </c>
      <c r="CQ312" s="1">
        <v>0.0</v>
      </c>
      <c r="CR312" s="1">
        <v>0.0</v>
      </c>
      <c r="CS312" s="1">
        <v>0.0</v>
      </c>
      <c r="CT312" s="1">
        <v>0.0</v>
      </c>
      <c r="CU312" s="1">
        <v>0.0</v>
      </c>
      <c r="CV312" s="1">
        <v>0.0</v>
      </c>
      <c r="CW312" s="1">
        <v>0.0</v>
      </c>
      <c r="CX312" s="1">
        <v>0.0</v>
      </c>
      <c r="CY312" s="1">
        <v>0.0</v>
      </c>
      <c r="CZ312" s="1">
        <v>0.0</v>
      </c>
      <c r="DA312" s="1">
        <v>0.0</v>
      </c>
      <c r="DB312" s="1">
        <v>0.0</v>
      </c>
      <c r="DC312" s="1">
        <v>0.0</v>
      </c>
      <c r="DD312" s="1" t="s">
        <v>1579</v>
      </c>
      <c r="DE312" s="2" t="s">
        <v>1580</v>
      </c>
      <c r="DF312" s="2" t="s">
        <v>1581</v>
      </c>
    </row>
    <row r="313" ht="15.75" customHeight="1">
      <c r="A313" s="1" t="s">
        <v>1582</v>
      </c>
      <c r="B313" s="1">
        <v>29.0</v>
      </c>
      <c r="C313" s="2" t="s">
        <v>1572</v>
      </c>
      <c r="D313" s="1">
        <v>960300.0</v>
      </c>
      <c r="E313" s="1">
        <v>208.578</v>
      </c>
      <c r="F313" s="1">
        <v>29073.0</v>
      </c>
      <c r="G313" s="1">
        <v>2.90739603E10</v>
      </c>
      <c r="H313" s="1" t="s">
        <v>112</v>
      </c>
      <c r="I313" s="1" t="s">
        <v>113</v>
      </c>
      <c r="J313" s="1" t="s">
        <v>1573</v>
      </c>
      <c r="K313" s="1" t="s">
        <v>1583</v>
      </c>
      <c r="L313" s="1">
        <v>2887.0</v>
      </c>
      <c r="M313" s="1">
        <v>2771.0</v>
      </c>
      <c r="N313" s="1">
        <v>233.0</v>
      </c>
      <c r="O313" s="1">
        <v>1775.0</v>
      </c>
      <c r="P313" s="1">
        <v>1726.0</v>
      </c>
      <c r="Q313" s="1">
        <v>88.0</v>
      </c>
      <c r="R313" s="1">
        <v>1185.0</v>
      </c>
      <c r="S313" s="1">
        <v>397.0</v>
      </c>
      <c r="T313" s="1">
        <v>167.0</v>
      </c>
      <c r="U313" s="1">
        <v>150.0</v>
      </c>
      <c r="V313" s="1">
        <v>368.0</v>
      </c>
      <c r="W313" s="1">
        <v>22344.0</v>
      </c>
      <c r="X313" s="1">
        <v>2588.0</v>
      </c>
      <c r="Y313" s="1">
        <v>340.0</v>
      </c>
      <c r="Z313" s="1">
        <v>249.0</v>
      </c>
      <c r="AA313" s="1">
        <v>543.0</v>
      </c>
      <c r="AB313" s="1">
        <v>617.0</v>
      </c>
      <c r="AC313" s="1">
        <v>62.0</v>
      </c>
      <c r="AD313" s="1">
        <v>73.0</v>
      </c>
      <c r="AE313" s="1">
        <v>0.0</v>
      </c>
      <c r="AF313" s="1">
        <v>456.0</v>
      </c>
      <c r="AG313" s="1">
        <v>0.0</v>
      </c>
      <c r="AH313" s="1">
        <v>197.0</v>
      </c>
      <c r="AI313" s="1">
        <v>342.0</v>
      </c>
      <c r="AJ313" s="1">
        <v>108.0</v>
      </c>
      <c r="AK313" s="1">
        <v>33.0</v>
      </c>
      <c r="AL313" s="1">
        <v>117.0</v>
      </c>
      <c r="AM313" s="1">
        <v>22.0</v>
      </c>
      <c r="AN313" s="1">
        <v>19.0</v>
      </c>
      <c r="AO313" s="1">
        <v>0.0</v>
      </c>
      <c r="AP313" s="1">
        <v>0.145261</v>
      </c>
      <c r="AQ313" s="1">
        <v>0.059869</v>
      </c>
      <c r="AR313" s="1">
        <v>0.116189</v>
      </c>
      <c r="AS313" s="1">
        <v>0.284686</v>
      </c>
      <c r="AT313" s="1">
        <v>22344.0</v>
      </c>
      <c r="AU313" s="1">
        <v>2588.0</v>
      </c>
      <c r="AV313" s="1">
        <v>0.173116</v>
      </c>
      <c r="AW313" s="1">
        <v>0.125882</v>
      </c>
      <c r="AX313" s="1">
        <v>0.188084</v>
      </c>
      <c r="AY313" s="1">
        <v>0.213716</v>
      </c>
      <c r="AZ313" s="1">
        <v>0.05232067</v>
      </c>
      <c r="BA313" s="1">
        <v>0.025285</v>
      </c>
      <c r="BB313" s="1">
        <v>0.0</v>
      </c>
      <c r="BC313" s="1">
        <v>0.171428</v>
      </c>
      <c r="BD313" s="1">
        <v>0.0</v>
      </c>
      <c r="BE313" s="1">
        <v>0.114136</v>
      </c>
      <c r="BF313" s="1">
        <v>0.198146</v>
      </c>
      <c r="BG313" s="1">
        <v>0.061751</v>
      </c>
      <c r="BH313" s="1">
        <v>0.028921</v>
      </c>
      <c r="BI313" s="1">
        <v>0.102501</v>
      </c>
      <c r="BJ313" s="1">
        <v>0.019281</v>
      </c>
      <c r="BK313" s="1">
        <v>0.016542</v>
      </c>
      <c r="BL313" s="1">
        <v>0.0</v>
      </c>
      <c r="BM313" s="1">
        <v>0.566</v>
      </c>
      <c r="BN313" s="1">
        <v>0.808</v>
      </c>
      <c r="BO313" s="1">
        <v>0.4773</v>
      </c>
      <c r="BP313" s="1">
        <v>0.662</v>
      </c>
      <c r="BQ313" s="1">
        <v>2.5133</v>
      </c>
      <c r="BR313" s="1">
        <v>0.6686</v>
      </c>
      <c r="BS313" s="1">
        <v>0.829</v>
      </c>
      <c r="BT313" s="1">
        <v>0.254</v>
      </c>
      <c r="BU313" s="1">
        <v>0.087</v>
      </c>
      <c r="BV313" s="1">
        <v>1.17</v>
      </c>
      <c r="BW313" s="1">
        <v>0.209</v>
      </c>
      <c r="BX313" s="1">
        <v>0.048</v>
      </c>
      <c r="BY313" s="1">
        <v>0.0</v>
      </c>
      <c r="BZ313" s="1">
        <v>0.048</v>
      </c>
      <c r="CA313" s="1">
        <v>0.025</v>
      </c>
      <c r="CB313" s="1">
        <v>0.0</v>
      </c>
      <c r="CC313" s="1">
        <v>0.897</v>
      </c>
      <c r="CD313" s="1">
        <v>0.793</v>
      </c>
      <c r="CE313" s="1">
        <v>0.175</v>
      </c>
      <c r="CF313" s="1">
        <v>0.0</v>
      </c>
      <c r="CG313" s="1">
        <v>1.865</v>
      </c>
      <c r="CH313" s="1">
        <v>0.291</v>
      </c>
      <c r="CI313" s="1">
        <v>5.5963</v>
      </c>
      <c r="CJ313" s="1">
        <v>0.3018</v>
      </c>
      <c r="CK313" s="1">
        <v>0.0</v>
      </c>
      <c r="CL313" s="1">
        <v>0.0</v>
      </c>
      <c r="CM313" s="1">
        <v>0.0</v>
      </c>
      <c r="CN313" s="1">
        <v>0.0</v>
      </c>
      <c r="CO313" s="1">
        <v>0.0</v>
      </c>
      <c r="CP313" s="1">
        <v>0.0</v>
      </c>
      <c r="CQ313" s="1">
        <v>0.0</v>
      </c>
      <c r="CR313" s="1">
        <v>0.0</v>
      </c>
      <c r="CS313" s="1">
        <v>0.0</v>
      </c>
      <c r="CT313" s="1">
        <v>0.0</v>
      </c>
      <c r="CU313" s="1">
        <v>0.0</v>
      </c>
      <c r="CV313" s="1">
        <v>0.0</v>
      </c>
      <c r="CW313" s="1">
        <v>0.0</v>
      </c>
      <c r="CX313" s="1">
        <v>0.0</v>
      </c>
      <c r="CY313" s="1">
        <v>0.0</v>
      </c>
      <c r="CZ313" s="1">
        <v>0.0</v>
      </c>
      <c r="DA313" s="1">
        <v>0.0</v>
      </c>
      <c r="DB313" s="1">
        <v>0.0</v>
      </c>
      <c r="DC313" s="1">
        <v>0.0</v>
      </c>
      <c r="DD313" s="1" t="s">
        <v>1584</v>
      </c>
      <c r="DE313" s="1">
        <v>0.0560567434626328</v>
      </c>
      <c r="DF313" s="2" t="s">
        <v>1585</v>
      </c>
    </row>
    <row r="314" ht="15.75" customHeight="1">
      <c r="A314" s="1" t="s">
        <v>1586</v>
      </c>
      <c r="B314" s="1">
        <v>29.0</v>
      </c>
      <c r="C314" s="2" t="s">
        <v>1572</v>
      </c>
      <c r="D314" s="1">
        <v>960400.0</v>
      </c>
      <c r="E314" s="1">
        <v>9.305</v>
      </c>
      <c r="F314" s="1">
        <v>29073.0</v>
      </c>
      <c r="G314" s="1">
        <v>2.90739604E10</v>
      </c>
      <c r="H314" s="1" t="s">
        <v>112</v>
      </c>
      <c r="I314" s="1" t="s">
        <v>113</v>
      </c>
      <c r="J314" s="1" t="s">
        <v>1573</v>
      </c>
      <c r="K314" s="1" t="s">
        <v>1587</v>
      </c>
      <c r="L314" s="1">
        <v>3202.0</v>
      </c>
      <c r="M314" s="1">
        <v>3344.0</v>
      </c>
      <c r="N314" s="1">
        <v>322.0</v>
      </c>
      <c r="O314" s="1">
        <v>1594.0</v>
      </c>
      <c r="P314" s="1">
        <v>1644.0</v>
      </c>
      <c r="Q314" s="1">
        <v>148.0</v>
      </c>
      <c r="R314" s="1">
        <v>1338.0</v>
      </c>
      <c r="S314" s="1">
        <v>543.0</v>
      </c>
      <c r="T314" s="1">
        <v>245.0</v>
      </c>
      <c r="U314" s="1">
        <v>188.0</v>
      </c>
      <c r="V314" s="1">
        <v>406.0</v>
      </c>
      <c r="W314" s="1">
        <v>17444.0</v>
      </c>
      <c r="X314" s="1">
        <v>2236.0</v>
      </c>
      <c r="Y314" s="1">
        <v>418.0</v>
      </c>
      <c r="Z314" s="1">
        <v>280.0</v>
      </c>
      <c r="AA314" s="1">
        <v>553.0</v>
      </c>
      <c r="AB314" s="1">
        <v>801.0</v>
      </c>
      <c r="AC314" s="1">
        <v>177.0</v>
      </c>
      <c r="AD314" s="1">
        <v>102.0</v>
      </c>
      <c r="AE314" s="1">
        <v>16.0</v>
      </c>
      <c r="AF314" s="1">
        <v>427.0</v>
      </c>
      <c r="AG314" s="1">
        <v>0.0</v>
      </c>
      <c r="AH314" s="1">
        <v>197.0</v>
      </c>
      <c r="AI314" s="1">
        <v>188.0</v>
      </c>
      <c r="AJ314" s="1">
        <v>75.0</v>
      </c>
      <c r="AK314" s="1">
        <v>27.0</v>
      </c>
      <c r="AL314" s="1">
        <v>118.0</v>
      </c>
      <c r="AM314" s="1">
        <v>79.0</v>
      </c>
      <c r="AN314" s="1">
        <v>42.0</v>
      </c>
      <c r="AO314" s="1">
        <v>0.0</v>
      </c>
      <c r="AP314" s="1">
        <v>0.163652</v>
      </c>
      <c r="AQ314" s="1">
        <v>0.072111</v>
      </c>
      <c r="AR314" s="1">
        <v>0.121604</v>
      </c>
      <c r="AS314" s="1">
        <v>0.262169</v>
      </c>
      <c r="AT314" s="1">
        <v>17444.0</v>
      </c>
      <c r="AU314" s="1">
        <v>2236.0</v>
      </c>
      <c r="AV314" s="1">
        <v>0.203703</v>
      </c>
      <c r="AW314" s="1">
        <v>0.135277</v>
      </c>
      <c r="AX314" s="1">
        <v>0.172704</v>
      </c>
      <c r="AY314" s="1">
        <v>0.250156</v>
      </c>
      <c r="AZ314" s="1">
        <v>0.13228699</v>
      </c>
      <c r="BA314" s="1">
        <v>0.031855</v>
      </c>
      <c r="BB314" s="1">
        <v>0.005275</v>
      </c>
      <c r="BC314" s="1">
        <v>0.140784</v>
      </c>
      <c r="BD314" s="1">
        <v>0.0</v>
      </c>
      <c r="BE314" s="1">
        <v>0.119829</v>
      </c>
      <c r="BF314" s="1">
        <v>0.114355</v>
      </c>
      <c r="BG314" s="1">
        <v>0.044443</v>
      </c>
      <c r="BH314" s="1">
        <v>0.01948</v>
      </c>
      <c r="BI314" s="1">
        <v>0.085117</v>
      </c>
      <c r="BJ314" s="1">
        <v>0.056998</v>
      </c>
      <c r="BK314" s="1">
        <v>0.029827</v>
      </c>
      <c r="BL314" s="1">
        <v>0.0</v>
      </c>
      <c r="BM314" s="1">
        <v>0.621</v>
      </c>
      <c r="BN314" s="1">
        <v>0.829</v>
      </c>
      <c r="BO314" s="1">
        <v>0.7581</v>
      </c>
      <c r="BP314" s="1">
        <v>0.758</v>
      </c>
      <c r="BQ314" s="1">
        <v>2.9661</v>
      </c>
      <c r="BR314" s="1">
        <v>0.8</v>
      </c>
      <c r="BS314" s="1">
        <v>0.752</v>
      </c>
      <c r="BT314" s="1">
        <v>0.597</v>
      </c>
      <c r="BU314" s="1">
        <v>0.725</v>
      </c>
      <c r="BV314" s="1">
        <v>2.074</v>
      </c>
      <c r="BW314" s="1">
        <v>0.907</v>
      </c>
      <c r="BX314" s="1">
        <v>0.093</v>
      </c>
      <c r="BY314" s="1">
        <v>0.572</v>
      </c>
      <c r="BZ314" s="1">
        <v>0.665</v>
      </c>
      <c r="CA314" s="1">
        <v>0.312</v>
      </c>
      <c r="CB314" s="1">
        <v>0.0</v>
      </c>
      <c r="CC314" s="1">
        <v>0.748</v>
      </c>
      <c r="CD314" s="1">
        <v>0.674</v>
      </c>
      <c r="CE314" s="1">
        <v>0.546</v>
      </c>
      <c r="CF314" s="1">
        <v>0.0</v>
      </c>
      <c r="CG314" s="1">
        <v>1.968</v>
      </c>
      <c r="CH314" s="1">
        <v>0.334</v>
      </c>
      <c r="CI314" s="1">
        <v>7.6731</v>
      </c>
      <c r="CJ314" s="1">
        <v>0.6643</v>
      </c>
      <c r="CK314" s="1">
        <v>0.0</v>
      </c>
      <c r="CL314" s="1">
        <v>0.0</v>
      </c>
      <c r="CM314" s="1">
        <v>0.0</v>
      </c>
      <c r="CN314" s="1">
        <v>0.0</v>
      </c>
      <c r="CO314" s="1">
        <v>0.0</v>
      </c>
      <c r="CP314" s="1">
        <v>0.0</v>
      </c>
      <c r="CQ314" s="1">
        <v>0.0</v>
      </c>
      <c r="CR314" s="1">
        <v>0.0</v>
      </c>
      <c r="CS314" s="1">
        <v>0.0</v>
      </c>
      <c r="CT314" s="1">
        <v>0.0</v>
      </c>
      <c r="CU314" s="1">
        <v>0.0</v>
      </c>
      <c r="CV314" s="1">
        <v>0.0</v>
      </c>
      <c r="CW314" s="1">
        <v>0.0</v>
      </c>
      <c r="CX314" s="1">
        <v>0.0</v>
      </c>
      <c r="CY314" s="1">
        <v>0.0</v>
      </c>
      <c r="CZ314" s="1">
        <v>0.0</v>
      </c>
      <c r="DA314" s="1">
        <v>0.0</v>
      </c>
      <c r="DB314" s="1">
        <v>0.0</v>
      </c>
      <c r="DC314" s="1">
        <v>0.0</v>
      </c>
      <c r="DD314" s="1" t="s">
        <v>1588</v>
      </c>
      <c r="DE314" s="1">
        <v>0.00254743208052018</v>
      </c>
      <c r="DF314" s="2" t="s">
        <v>1589</v>
      </c>
    </row>
    <row r="315" ht="15.75" customHeight="1">
      <c r="A315" s="1" t="s">
        <v>1590</v>
      </c>
      <c r="B315" s="1">
        <v>29.0</v>
      </c>
      <c r="C315" s="2" t="s">
        <v>1572</v>
      </c>
      <c r="D315" s="1">
        <v>960500.0</v>
      </c>
      <c r="E315" s="1">
        <v>177.399</v>
      </c>
      <c r="F315" s="1">
        <v>29073.0</v>
      </c>
      <c r="G315" s="1">
        <v>2.90739605E10</v>
      </c>
      <c r="H315" s="1" t="s">
        <v>112</v>
      </c>
      <c r="I315" s="1" t="s">
        <v>113</v>
      </c>
      <c r="J315" s="1" t="s">
        <v>1573</v>
      </c>
      <c r="K315" s="1" t="s">
        <v>1591</v>
      </c>
      <c r="L315" s="1">
        <v>4492.0</v>
      </c>
      <c r="M315" s="1">
        <v>4288.0</v>
      </c>
      <c r="N315" s="1">
        <v>350.0</v>
      </c>
      <c r="O315" s="1">
        <v>2109.0</v>
      </c>
      <c r="P315" s="1">
        <v>2065.0</v>
      </c>
      <c r="Q315" s="1">
        <v>96.0</v>
      </c>
      <c r="R315" s="1">
        <v>1750.0</v>
      </c>
      <c r="S315" s="1">
        <v>344.0</v>
      </c>
      <c r="T315" s="1">
        <v>132.0</v>
      </c>
      <c r="U315" s="1">
        <v>223.0</v>
      </c>
      <c r="V315" s="1">
        <v>331.0</v>
      </c>
      <c r="W315" s="1">
        <v>20184.0</v>
      </c>
      <c r="X315" s="1">
        <v>1786.0</v>
      </c>
      <c r="Y315" s="1">
        <v>481.0</v>
      </c>
      <c r="Z315" s="1">
        <v>193.0</v>
      </c>
      <c r="AA315" s="1">
        <v>915.0</v>
      </c>
      <c r="AB315" s="1">
        <v>953.0</v>
      </c>
      <c r="AC315" s="1">
        <v>124.0</v>
      </c>
      <c r="AD315" s="1">
        <v>111.0</v>
      </c>
      <c r="AE315" s="1">
        <v>0.0</v>
      </c>
      <c r="AF315" s="1">
        <v>456.0</v>
      </c>
      <c r="AG315" s="1">
        <v>0.0</v>
      </c>
      <c r="AH315" s="1">
        <v>197.0</v>
      </c>
      <c r="AI315" s="1">
        <v>320.0</v>
      </c>
      <c r="AJ315" s="1">
        <v>100.0</v>
      </c>
      <c r="AK315" s="1">
        <v>9.0</v>
      </c>
      <c r="AL315" s="1">
        <v>115.0</v>
      </c>
      <c r="AM315" s="1">
        <v>71.0</v>
      </c>
      <c r="AN315" s="1">
        <v>43.0</v>
      </c>
      <c r="AO315" s="1">
        <v>154.0</v>
      </c>
      <c r="AP315" s="1">
        <v>0.080317</v>
      </c>
      <c r="AQ315" s="1">
        <v>0.030112</v>
      </c>
      <c r="AR315" s="1">
        <v>0.099731</v>
      </c>
      <c r="AS315" s="1">
        <v>0.147738</v>
      </c>
      <c r="AT315" s="1">
        <v>20184.0</v>
      </c>
      <c r="AU315" s="1">
        <v>1786.0</v>
      </c>
      <c r="AV315" s="1">
        <v>0.152941</v>
      </c>
      <c r="AW315" s="1">
        <v>0.06047</v>
      </c>
      <c r="AX315" s="1">
        <v>0.203695</v>
      </c>
      <c r="AY315" s="1">
        <v>0.212154</v>
      </c>
      <c r="AZ315" s="1">
        <v>0.07085714</v>
      </c>
      <c r="BA315" s="1">
        <v>0.02471</v>
      </c>
      <c r="BB315" s="1">
        <v>0.0</v>
      </c>
      <c r="BC315" s="1">
        <v>0.112398</v>
      </c>
      <c r="BD315" s="1">
        <v>0.0</v>
      </c>
      <c r="BE315" s="1">
        <v>0.095399</v>
      </c>
      <c r="BF315" s="1">
        <v>0.154963</v>
      </c>
      <c r="BG315" s="1">
        <v>0.047887</v>
      </c>
      <c r="BH315" s="1">
        <v>0.005033</v>
      </c>
      <c r="BI315" s="1">
        <v>0.064316</v>
      </c>
      <c r="BJ315" s="1">
        <v>0.039709</v>
      </c>
      <c r="BK315" s="1">
        <v>0.023913</v>
      </c>
      <c r="BL315" s="1">
        <v>0.034283</v>
      </c>
      <c r="BM315" s="1">
        <v>0.293</v>
      </c>
      <c r="BN315" s="1">
        <v>0.729</v>
      </c>
      <c r="BO315" s="1">
        <v>0.6014</v>
      </c>
      <c r="BP315" s="1">
        <v>0.576</v>
      </c>
      <c r="BQ315" s="1">
        <v>2.1994</v>
      </c>
      <c r="BR315" s="1">
        <v>0.5675</v>
      </c>
      <c r="BS315" s="1">
        <v>0.888</v>
      </c>
      <c r="BT315" s="1">
        <v>0.245</v>
      </c>
      <c r="BU315" s="1">
        <v>0.223</v>
      </c>
      <c r="BV315" s="1">
        <v>1.356</v>
      </c>
      <c r="BW315" s="1">
        <v>0.353</v>
      </c>
      <c r="BX315" s="1">
        <v>0.043</v>
      </c>
      <c r="BY315" s="1">
        <v>0.0</v>
      </c>
      <c r="BZ315" s="1">
        <v>0.043</v>
      </c>
      <c r="CA315" s="1">
        <v>0.021</v>
      </c>
      <c r="CB315" s="1">
        <v>0.0</v>
      </c>
      <c r="CC315" s="1">
        <v>0.828</v>
      </c>
      <c r="CD315" s="1">
        <v>0.335</v>
      </c>
      <c r="CE315" s="1">
        <v>0.387</v>
      </c>
      <c r="CF315" s="1">
        <v>0.833</v>
      </c>
      <c r="CG315" s="1">
        <v>2.383</v>
      </c>
      <c r="CH315" s="1">
        <v>0.506</v>
      </c>
      <c r="CI315" s="1">
        <v>5.9814</v>
      </c>
      <c r="CJ315" s="1">
        <v>0.369</v>
      </c>
      <c r="CK315" s="1">
        <v>0.0</v>
      </c>
      <c r="CL315" s="1">
        <v>0.0</v>
      </c>
      <c r="CM315" s="1">
        <v>0.0</v>
      </c>
      <c r="CN315" s="1">
        <v>0.0</v>
      </c>
      <c r="CO315" s="1">
        <v>0.0</v>
      </c>
      <c r="CP315" s="1">
        <v>0.0</v>
      </c>
      <c r="CQ315" s="1">
        <v>0.0</v>
      </c>
      <c r="CR315" s="1">
        <v>0.0</v>
      </c>
      <c r="CS315" s="1">
        <v>0.0</v>
      </c>
      <c r="CT315" s="1">
        <v>0.0</v>
      </c>
      <c r="CU315" s="1">
        <v>0.0</v>
      </c>
      <c r="CV315" s="1">
        <v>0.0</v>
      </c>
      <c r="CW315" s="1">
        <v>0.0</v>
      </c>
      <c r="CX315" s="1">
        <v>0.0</v>
      </c>
      <c r="CY315" s="1">
        <v>0.0</v>
      </c>
      <c r="CZ315" s="1">
        <v>0.0</v>
      </c>
      <c r="DA315" s="1">
        <v>0.0</v>
      </c>
      <c r="DB315" s="1">
        <v>0.0</v>
      </c>
      <c r="DC315" s="1">
        <v>0.0</v>
      </c>
      <c r="DD315" s="1" t="s">
        <v>1592</v>
      </c>
      <c r="DE315" s="1">
        <v>0.0476191933474097</v>
      </c>
      <c r="DF315" s="2" t="s">
        <v>1593</v>
      </c>
    </row>
    <row r="316" ht="15.75" customHeight="1">
      <c r="A316" s="1" t="s">
        <v>1594</v>
      </c>
      <c r="B316" s="1">
        <v>29.0</v>
      </c>
      <c r="C316" s="2" t="s">
        <v>1595</v>
      </c>
      <c r="D316" s="1">
        <v>960100.0</v>
      </c>
      <c r="E316" s="1">
        <v>271.241</v>
      </c>
      <c r="F316" s="1">
        <v>29075.0</v>
      </c>
      <c r="G316" s="1">
        <v>2.90759601E10</v>
      </c>
      <c r="H316" s="1" t="s">
        <v>112</v>
      </c>
      <c r="I316" s="1" t="s">
        <v>113</v>
      </c>
      <c r="J316" s="1" t="s">
        <v>1596</v>
      </c>
      <c r="K316" s="1" t="s">
        <v>1597</v>
      </c>
      <c r="L316" s="1">
        <v>2992.0</v>
      </c>
      <c r="M316" s="1">
        <v>3203.0</v>
      </c>
      <c r="N316" s="1">
        <v>180.0</v>
      </c>
      <c r="O316" s="1">
        <v>1575.0</v>
      </c>
      <c r="P316" s="1">
        <v>1600.0</v>
      </c>
      <c r="Q316" s="1">
        <v>50.0</v>
      </c>
      <c r="R316" s="1">
        <v>1268.0</v>
      </c>
      <c r="S316" s="1">
        <v>381.0</v>
      </c>
      <c r="T316" s="1">
        <v>133.0</v>
      </c>
      <c r="U316" s="1">
        <v>114.0</v>
      </c>
      <c r="V316" s="1">
        <v>305.0</v>
      </c>
      <c r="W316" s="1">
        <v>18997.0</v>
      </c>
      <c r="X316" s="1">
        <v>1383.0</v>
      </c>
      <c r="Y316" s="1">
        <v>410.0</v>
      </c>
      <c r="Z316" s="1">
        <v>214.0</v>
      </c>
      <c r="AA316" s="1">
        <v>649.0</v>
      </c>
      <c r="AB316" s="1">
        <v>646.0</v>
      </c>
      <c r="AC316" s="1">
        <v>99.0</v>
      </c>
      <c r="AD316" s="1">
        <v>67.0</v>
      </c>
      <c r="AE316" s="1">
        <v>7.0</v>
      </c>
      <c r="AF316" s="1">
        <v>442.0</v>
      </c>
      <c r="AG316" s="1">
        <v>39.0</v>
      </c>
      <c r="AH316" s="1">
        <v>162.0</v>
      </c>
      <c r="AI316" s="1">
        <v>152.0</v>
      </c>
      <c r="AJ316" s="1">
        <v>57.0</v>
      </c>
      <c r="AK316" s="1">
        <v>11.0</v>
      </c>
      <c r="AL316" s="1">
        <v>115.0</v>
      </c>
      <c r="AM316" s="1">
        <v>50.0</v>
      </c>
      <c r="AN316" s="1">
        <v>20.0</v>
      </c>
      <c r="AO316" s="1">
        <v>66.0</v>
      </c>
      <c r="AP316" s="1">
        <v>0.123022</v>
      </c>
      <c r="AQ316" s="1">
        <v>0.042188</v>
      </c>
      <c r="AR316" s="1">
        <v>0.083394</v>
      </c>
      <c r="AS316" s="1">
        <v>0.223011</v>
      </c>
      <c r="AT316" s="1">
        <v>18997.0</v>
      </c>
      <c r="AU316" s="1">
        <v>1383.0</v>
      </c>
      <c r="AV316" s="1">
        <v>0.182465</v>
      </c>
      <c r="AW316" s="1">
        <v>0.094712</v>
      </c>
      <c r="AX316" s="1">
        <v>0.216911</v>
      </c>
      <c r="AY316" s="1">
        <v>0.215909</v>
      </c>
      <c r="AZ316" s="1">
        <v>0.0780757</v>
      </c>
      <c r="BA316" s="1">
        <v>0.022393</v>
      </c>
      <c r="BB316" s="1">
        <v>0.002383</v>
      </c>
      <c r="BC316" s="1">
        <v>0.150493</v>
      </c>
      <c r="BD316" s="1">
        <v>0.024375</v>
      </c>
      <c r="BE316" s="1">
        <v>0.101247</v>
      </c>
      <c r="BF316" s="1">
        <v>0.095</v>
      </c>
      <c r="BG316" s="1">
        <v>0.035501</v>
      </c>
      <c r="BH316" s="1">
        <v>0.008384</v>
      </c>
      <c r="BI316" s="1">
        <v>0.08765</v>
      </c>
      <c r="BJ316" s="1">
        <v>0.038109</v>
      </c>
      <c r="BK316" s="1">
        <v>0.015023</v>
      </c>
      <c r="BL316" s="1">
        <v>0.022058</v>
      </c>
      <c r="BM316" s="1">
        <v>0.464</v>
      </c>
      <c r="BN316" s="1">
        <v>0.642</v>
      </c>
      <c r="BO316" s="1">
        <v>0.6708</v>
      </c>
      <c r="BP316" s="1">
        <v>0.695</v>
      </c>
      <c r="BQ316" s="1">
        <v>2.4718</v>
      </c>
      <c r="BR316" s="1">
        <v>0.657</v>
      </c>
      <c r="BS316" s="1">
        <v>0.924</v>
      </c>
      <c r="BT316" s="1">
        <v>0.275</v>
      </c>
      <c r="BU316" s="1">
        <v>0.284</v>
      </c>
      <c r="BV316" s="1">
        <v>1.483</v>
      </c>
      <c r="BW316" s="1">
        <v>0.469</v>
      </c>
      <c r="BX316" s="1">
        <v>0.027</v>
      </c>
      <c r="BY316" s="1">
        <v>0.405</v>
      </c>
      <c r="BZ316" s="1">
        <v>0.432</v>
      </c>
      <c r="CA316" s="1">
        <v>0.179</v>
      </c>
      <c r="CB316" s="1">
        <v>0.508</v>
      </c>
      <c r="CC316" s="1">
        <v>0.706</v>
      </c>
      <c r="CD316" s="1">
        <v>0.443</v>
      </c>
      <c r="CE316" s="1">
        <v>0.372</v>
      </c>
      <c r="CF316" s="1">
        <v>0.738</v>
      </c>
      <c r="CG316" s="1">
        <v>2.767</v>
      </c>
      <c r="CH316" s="1">
        <v>0.674</v>
      </c>
      <c r="CI316" s="1">
        <v>7.1538</v>
      </c>
      <c r="CJ316" s="1">
        <v>0.5812</v>
      </c>
      <c r="CK316" s="1">
        <v>0.0</v>
      </c>
      <c r="CL316" s="1">
        <v>0.0</v>
      </c>
      <c r="CM316" s="1">
        <v>0.0</v>
      </c>
      <c r="CN316" s="1">
        <v>0.0</v>
      </c>
      <c r="CO316" s="1">
        <v>0.0</v>
      </c>
      <c r="CP316" s="1">
        <v>1.0</v>
      </c>
      <c r="CQ316" s="1">
        <v>0.0</v>
      </c>
      <c r="CR316" s="1">
        <v>0.0</v>
      </c>
      <c r="CS316" s="1">
        <v>1.0</v>
      </c>
      <c r="CT316" s="1">
        <v>0.0</v>
      </c>
      <c r="CU316" s="1">
        <v>0.0</v>
      </c>
      <c r="CV316" s="1">
        <v>0.0</v>
      </c>
      <c r="CW316" s="1">
        <v>0.0</v>
      </c>
      <c r="CX316" s="1">
        <v>0.0</v>
      </c>
      <c r="CY316" s="1">
        <v>0.0</v>
      </c>
      <c r="CZ316" s="1">
        <v>0.0</v>
      </c>
      <c r="DA316" s="1">
        <v>0.0</v>
      </c>
      <c r="DB316" s="1">
        <v>0.0</v>
      </c>
      <c r="DC316" s="1">
        <v>1.0</v>
      </c>
      <c r="DD316" s="1" t="s">
        <v>1598</v>
      </c>
      <c r="DE316" s="1">
        <v>0.07433924042922</v>
      </c>
      <c r="DF316" s="2" t="s">
        <v>1599</v>
      </c>
    </row>
    <row r="317" ht="15.75" customHeight="1">
      <c r="A317" s="1" t="s">
        <v>1600</v>
      </c>
      <c r="B317" s="1">
        <v>29.0</v>
      </c>
      <c r="C317" s="2" t="s">
        <v>1595</v>
      </c>
      <c r="D317" s="1">
        <v>960200.0</v>
      </c>
      <c r="E317" s="1">
        <v>220.181</v>
      </c>
      <c r="F317" s="1">
        <v>29075.0</v>
      </c>
      <c r="G317" s="1">
        <v>2.90759602E10</v>
      </c>
      <c r="H317" s="1" t="s">
        <v>112</v>
      </c>
      <c r="I317" s="1" t="s">
        <v>113</v>
      </c>
      <c r="J317" s="1" t="s">
        <v>1596</v>
      </c>
      <c r="K317" s="1" t="s">
        <v>1601</v>
      </c>
      <c r="L317" s="1">
        <v>3746.0</v>
      </c>
      <c r="M317" s="1">
        <v>3557.0</v>
      </c>
      <c r="N317" s="1">
        <v>180.0</v>
      </c>
      <c r="O317" s="1">
        <v>1634.0</v>
      </c>
      <c r="P317" s="1">
        <v>1632.0</v>
      </c>
      <c r="Q317" s="1">
        <v>64.0</v>
      </c>
      <c r="R317" s="1">
        <v>1406.0</v>
      </c>
      <c r="S317" s="1">
        <v>609.0</v>
      </c>
      <c r="T317" s="1">
        <v>241.0</v>
      </c>
      <c r="U317" s="1">
        <v>85.0</v>
      </c>
      <c r="V317" s="1">
        <v>381.0</v>
      </c>
      <c r="W317" s="1">
        <v>19043.0</v>
      </c>
      <c r="X317" s="1">
        <v>1419.0</v>
      </c>
      <c r="Y317" s="1">
        <v>384.0</v>
      </c>
      <c r="Z317" s="1">
        <v>215.0</v>
      </c>
      <c r="AA317" s="1">
        <v>732.0</v>
      </c>
      <c r="AB317" s="1">
        <v>1008.0</v>
      </c>
      <c r="AC317" s="1">
        <v>108.0</v>
      </c>
      <c r="AD317" s="1">
        <v>67.0</v>
      </c>
      <c r="AE317" s="1">
        <v>20.0</v>
      </c>
      <c r="AF317" s="1">
        <v>442.0</v>
      </c>
      <c r="AG317" s="1">
        <v>32.0</v>
      </c>
      <c r="AH317" s="1">
        <v>116.0</v>
      </c>
      <c r="AI317" s="1">
        <v>143.0</v>
      </c>
      <c r="AJ317" s="1">
        <v>37.0</v>
      </c>
      <c r="AK317" s="1">
        <v>37.0</v>
      </c>
      <c r="AL317" s="1">
        <v>24.0</v>
      </c>
      <c r="AM317" s="1">
        <v>105.0</v>
      </c>
      <c r="AN317" s="1">
        <v>34.0</v>
      </c>
      <c r="AO317" s="1">
        <v>111.0</v>
      </c>
      <c r="AP317" s="1">
        <v>0.172325</v>
      </c>
      <c r="AQ317" s="1">
        <v>0.067633</v>
      </c>
      <c r="AR317" s="1">
        <v>0.049736</v>
      </c>
      <c r="AS317" s="1">
        <v>0.222909</v>
      </c>
      <c r="AT317" s="1">
        <v>19043.0</v>
      </c>
      <c r="AU317" s="1">
        <v>1419.0</v>
      </c>
      <c r="AV317" s="1">
        <v>0.16732</v>
      </c>
      <c r="AW317" s="1">
        <v>0.093258</v>
      </c>
      <c r="AX317" s="1">
        <v>0.195408</v>
      </c>
      <c r="AY317" s="1">
        <v>0.269087</v>
      </c>
      <c r="AZ317" s="1">
        <v>0.07681365</v>
      </c>
      <c r="BA317" s="1">
        <v>0.017885</v>
      </c>
      <c r="BB317" s="1">
        <v>0.005936</v>
      </c>
      <c r="BC317" s="1">
        <v>0.131195</v>
      </c>
      <c r="BD317" s="1">
        <v>0.019607</v>
      </c>
      <c r="BE317" s="1">
        <v>0.071074</v>
      </c>
      <c r="BF317" s="1">
        <v>0.087622</v>
      </c>
      <c r="BG317" s="1">
        <v>0.022409</v>
      </c>
      <c r="BH317" s="1">
        <v>0.027245</v>
      </c>
      <c r="BI317" s="1">
        <v>0.017582</v>
      </c>
      <c r="BJ317" s="1">
        <v>0.077319</v>
      </c>
      <c r="BK317" s="1">
        <v>0.024518</v>
      </c>
      <c r="BL317" s="1">
        <v>0.029631</v>
      </c>
      <c r="BM317" s="1">
        <v>0.653</v>
      </c>
      <c r="BN317" s="1">
        <v>0.289</v>
      </c>
      <c r="BO317" s="1">
        <v>0.6671</v>
      </c>
      <c r="BP317" s="1">
        <v>0.646</v>
      </c>
      <c r="BQ317" s="1">
        <v>2.2551</v>
      </c>
      <c r="BR317" s="1">
        <v>0.5863</v>
      </c>
      <c r="BS317" s="1">
        <v>0.858</v>
      </c>
      <c r="BT317" s="1">
        <v>0.784</v>
      </c>
      <c r="BU317" s="1">
        <v>0.271</v>
      </c>
      <c r="BV317" s="1">
        <v>1.913</v>
      </c>
      <c r="BW317" s="1">
        <v>0.808</v>
      </c>
      <c r="BX317" s="1">
        <v>0.014</v>
      </c>
      <c r="BY317" s="1">
        <v>0.595</v>
      </c>
      <c r="BZ317" s="1">
        <v>0.609</v>
      </c>
      <c r="CA317" s="1">
        <v>0.276</v>
      </c>
      <c r="CB317" s="1">
        <v>0.46</v>
      </c>
      <c r="CC317" s="1">
        <v>0.697</v>
      </c>
      <c r="CD317" s="1">
        <v>0.782</v>
      </c>
      <c r="CE317" s="1">
        <v>0.657</v>
      </c>
      <c r="CF317" s="1">
        <v>0.804</v>
      </c>
      <c r="CG317" s="1">
        <v>3.4</v>
      </c>
      <c r="CH317" s="1">
        <v>0.914</v>
      </c>
      <c r="CI317" s="1">
        <v>8.1771</v>
      </c>
      <c r="CJ317" s="1">
        <v>0.7401</v>
      </c>
      <c r="CK317" s="1">
        <v>0.0</v>
      </c>
      <c r="CL317" s="1">
        <v>0.0</v>
      </c>
      <c r="CM317" s="1">
        <v>0.0</v>
      </c>
      <c r="CN317" s="1">
        <v>0.0</v>
      </c>
      <c r="CO317" s="1">
        <v>0.0</v>
      </c>
      <c r="CP317" s="1">
        <v>0.0</v>
      </c>
      <c r="CQ317" s="1">
        <v>0.0</v>
      </c>
      <c r="CR317" s="1">
        <v>0.0</v>
      </c>
      <c r="CS317" s="1">
        <v>0.0</v>
      </c>
      <c r="CT317" s="1">
        <v>0.0</v>
      </c>
      <c r="CU317" s="1">
        <v>0.0</v>
      </c>
      <c r="CV317" s="1">
        <v>0.0</v>
      </c>
      <c r="CW317" s="1">
        <v>0.0</v>
      </c>
      <c r="CX317" s="1">
        <v>0.0</v>
      </c>
      <c r="CY317" s="1">
        <v>0.0</v>
      </c>
      <c r="CZ317" s="1">
        <v>0.0</v>
      </c>
      <c r="DA317" s="1">
        <v>0.0</v>
      </c>
      <c r="DB317" s="1">
        <v>0.0</v>
      </c>
      <c r="DC317" s="1">
        <v>0.0</v>
      </c>
      <c r="DD317" s="1" t="s">
        <v>1602</v>
      </c>
      <c r="DE317" s="2" t="s">
        <v>1603</v>
      </c>
      <c r="DF317" s="2" t="s">
        <v>1604</v>
      </c>
    </row>
    <row r="318" ht="15.75" customHeight="1">
      <c r="A318" s="1" t="s">
        <v>1605</v>
      </c>
      <c r="B318" s="1">
        <v>29.0</v>
      </c>
      <c r="C318" s="2" t="s">
        <v>1606</v>
      </c>
      <c r="D318" s="2" t="s">
        <v>563</v>
      </c>
      <c r="E318" s="1">
        <v>1.291</v>
      </c>
      <c r="F318" s="1">
        <v>29077.0</v>
      </c>
      <c r="G318" s="1">
        <v>2.90770027E10</v>
      </c>
      <c r="H318" s="1" t="s">
        <v>112</v>
      </c>
      <c r="I318" s="1" t="s">
        <v>113</v>
      </c>
      <c r="J318" s="1" t="s">
        <v>1607</v>
      </c>
      <c r="K318" s="1" t="s">
        <v>1608</v>
      </c>
      <c r="L318" s="1">
        <v>2452.0</v>
      </c>
      <c r="M318" s="1">
        <v>2263.0</v>
      </c>
      <c r="N318" s="1">
        <v>190.0</v>
      </c>
      <c r="O318" s="1">
        <v>1574.0</v>
      </c>
      <c r="P318" s="1">
        <v>1512.0</v>
      </c>
      <c r="Q318" s="1">
        <v>48.0</v>
      </c>
      <c r="R318" s="1">
        <v>1413.0</v>
      </c>
      <c r="S318" s="1">
        <v>333.0</v>
      </c>
      <c r="T318" s="1">
        <v>183.0</v>
      </c>
      <c r="U318" s="1">
        <v>69.0</v>
      </c>
      <c r="V318" s="1">
        <v>429.0</v>
      </c>
      <c r="W318" s="1">
        <v>27169.0</v>
      </c>
      <c r="X318" s="1">
        <v>4690.0</v>
      </c>
      <c r="Y318" s="1">
        <v>171.0</v>
      </c>
      <c r="Z318" s="1">
        <v>334.0</v>
      </c>
      <c r="AA318" s="1">
        <v>630.0</v>
      </c>
      <c r="AB318" s="1">
        <v>278.0</v>
      </c>
      <c r="AC318" s="1">
        <v>71.0</v>
      </c>
      <c r="AD318" s="1">
        <v>283.0</v>
      </c>
      <c r="AE318" s="1">
        <v>67.0</v>
      </c>
      <c r="AF318" s="1">
        <v>447.0</v>
      </c>
      <c r="AG318" s="1">
        <v>536.0</v>
      </c>
      <c r="AH318" s="1">
        <v>118.0</v>
      </c>
      <c r="AI318" s="1">
        <v>241.0</v>
      </c>
      <c r="AJ318" s="1">
        <v>98.0</v>
      </c>
      <c r="AK318" s="1">
        <v>0.0</v>
      </c>
      <c r="AL318" s="1">
        <v>161.0</v>
      </c>
      <c r="AM318" s="1">
        <v>107.0</v>
      </c>
      <c r="AN318" s="1">
        <v>54.0</v>
      </c>
      <c r="AO318" s="1">
        <v>0.0</v>
      </c>
      <c r="AP318" s="1">
        <v>0.147149</v>
      </c>
      <c r="AQ318" s="1">
        <v>0.079916</v>
      </c>
      <c r="AR318" s="1">
        <v>0.062556</v>
      </c>
      <c r="AS318" s="1">
        <v>0.388605</v>
      </c>
      <c r="AT318" s="1">
        <v>27169.0</v>
      </c>
      <c r="AU318" s="1">
        <v>4690.0</v>
      </c>
      <c r="AV318" s="1">
        <v>0.093442</v>
      </c>
      <c r="AW318" s="1">
        <v>0.182294</v>
      </c>
      <c r="AX318" s="1">
        <v>0.256933</v>
      </c>
      <c r="AY318" s="1">
        <v>0.113376</v>
      </c>
      <c r="AZ318" s="1">
        <v>0.05024769</v>
      </c>
      <c r="BA318" s="1">
        <v>0.115415</v>
      </c>
      <c r="BB318" s="1">
        <v>0.030153</v>
      </c>
      <c r="BC318" s="1">
        <v>0.201155</v>
      </c>
      <c r="BD318" s="1">
        <v>0.354497</v>
      </c>
      <c r="BE318" s="1">
        <v>0.077226</v>
      </c>
      <c r="BF318" s="1">
        <v>0.159391</v>
      </c>
      <c r="BG318" s="1">
        <v>0.064616</v>
      </c>
      <c r="BH318" s="1">
        <v>0.0</v>
      </c>
      <c r="BI318" s="1">
        <v>0.11362</v>
      </c>
      <c r="BJ318" s="1">
        <v>0.075511</v>
      </c>
      <c r="BK318" s="1">
        <v>0.037819</v>
      </c>
      <c r="BL318" s="1">
        <v>0.0</v>
      </c>
      <c r="BM318" s="1">
        <v>0.571</v>
      </c>
      <c r="BN318" s="1">
        <v>0.444</v>
      </c>
      <c r="BO318" s="1">
        <v>0.278</v>
      </c>
      <c r="BP318" s="1">
        <v>0.309</v>
      </c>
      <c r="BQ318" s="1">
        <v>1.602</v>
      </c>
      <c r="BR318" s="1">
        <v>0.3733</v>
      </c>
      <c r="BS318" s="1">
        <v>0.971</v>
      </c>
      <c r="BT318" s="1">
        <v>0.032</v>
      </c>
      <c r="BU318" s="1">
        <v>0.074</v>
      </c>
      <c r="BV318" s="1">
        <v>1.077</v>
      </c>
      <c r="BW318" s="1">
        <v>0.151</v>
      </c>
      <c r="BX318" s="1">
        <v>0.526</v>
      </c>
      <c r="BY318" s="1">
        <v>0.915</v>
      </c>
      <c r="BZ318" s="1">
        <v>1.441</v>
      </c>
      <c r="CA318" s="1">
        <v>0.787</v>
      </c>
      <c r="CB318" s="1">
        <v>0.959</v>
      </c>
      <c r="CC318" s="1">
        <v>0.838</v>
      </c>
      <c r="CD318" s="1">
        <v>0.0</v>
      </c>
      <c r="CE318" s="1">
        <v>0.651</v>
      </c>
      <c r="CF318" s="1">
        <v>0.0</v>
      </c>
      <c r="CG318" s="1">
        <v>2.448</v>
      </c>
      <c r="CH318" s="1">
        <v>0.538</v>
      </c>
      <c r="CI318" s="1">
        <v>6.568</v>
      </c>
      <c r="CJ318" s="1">
        <v>0.47</v>
      </c>
      <c r="CK318" s="1">
        <v>0.0</v>
      </c>
      <c r="CL318" s="1">
        <v>0.0</v>
      </c>
      <c r="CM318" s="1">
        <v>0.0</v>
      </c>
      <c r="CN318" s="1">
        <v>0.0</v>
      </c>
      <c r="CO318" s="1">
        <v>0.0</v>
      </c>
      <c r="CP318" s="1">
        <v>1.0</v>
      </c>
      <c r="CQ318" s="1">
        <v>0.0</v>
      </c>
      <c r="CR318" s="1">
        <v>0.0</v>
      </c>
      <c r="CS318" s="1">
        <v>1.0</v>
      </c>
      <c r="CT318" s="1">
        <v>0.0</v>
      </c>
      <c r="CU318" s="1">
        <v>1.0</v>
      </c>
      <c r="CV318" s="1">
        <v>1.0</v>
      </c>
      <c r="CW318" s="1">
        <v>1.0</v>
      </c>
      <c r="CX318" s="1">
        <v>0.0</v>
      </c>
      <c r="CY318" s="1">
        <v>0.0</v>
      </c>
      <c r="CZ318" s="1">
        <v>0.0</v>
      </c>
      <c r="DA318" s="1">
        <v>0.0</v>
      </c>
      <c r="DB318" s="1">
        <v>1.0</v>
      </c>
      <c r="DC318" s="1">
        <v>3.0</v>
      </c>
      <c r="DD318" s="1" t="s">
        <v>1609</v>
      </c>
      <c r="DE318" s="1">
        <v>3.42699486391789E-4</v>
      </c>
      <c r="DF318" s="1">
        <v>0.081675154749405</v>
      </c>
    </row>
    <row r="319" ht="15.75" customHeight="1">
      <c r="A319" s="1" t="s">
        <v>1610</v>
      </c>
      <c r="B319" s="1">
        <v>29.0</v>
      </c>
      <c r="C319" s="2" t="s">
        <v>1606</v>
      </c>
      <c r="D319" s="2" t="s">
        <v>1611</v>
      </c>
      <c r="E319" s="1">
        <v>2.072</v>
      </c>
      <c r="F319" s="1">
        <v>29077.0</v>
      </c>
      <c r="G319" s="1">
        <v>2.90770033E10</v>
      </c>
      <c r="H319" s="1" t="s">
        <v>112</v>
      </c>
      <c r="I319" s="1" t="s">
        <v>113</v>
      </c>
      <c r="J319" s="1" t="s">
        <v>1607</v>
      </c>
      <c r="K319" s="1" t="s">
        <v>1612</v>
      </c>
      <c r="L319" s="1">
        <v>3897.0</v>
      </c>
      <c r="M319" s="1">
        <v>3602.0</v>
      </c>
      <c r="N319" s="1">
        <v>375.0</v>
      </c>
      <c r="O319" s="1">
        <v>1774.0</v>
      </c>
      <c r="P319" s="1">
        <v>1839.0</v>
      </c>
      <c r="Q319" s="1">
        <v>83.0</v>
      </c>
      <c r="R319" s="1">
        <v>1606.0</v>
      </c>
      <c r="S319" s="1">
        <v>971.0</v>
      </c>
      <c r="T319" s="1">
        <v>295.0</v>
      </c>
      <c r="U319" s="1">
        <v>172.0</v>
      </c>
      <c r="V319" s="1">
        <v>387.0</v>
      </c>
      <c r="W319" s="1">
        <v>16047.0</v>
      </c>
      <c r="X319" s="1">
        <v>2090.0</v>
      </c>
      <c r="Y319" s="1">
        <v>648.0</v>
      </c>
      <c r="Z319" s="1">
        <v>258.0</v>
      </c>
      <c r="AA319" s="1">
        <v>393.0</v>
      </c>
      <c r="AB319" s="1">
        <v>1110.0</v>
      </c>
      <c r="AC319" s="1">
        <v>351.0</v>
      </c>
      <c r="AD319" s="1">
        <v>573.0</v>
      </c>
      <c r="AE319" s="1">
        <v>0.0</v>
      </c>
      <c r="AF319" s="1">
        <v>456.0</v>
      </c>
      <c r="AG319" s="1">
        <v>73.0</v>
      </c>
      <c r="AH319" s="1">
        <v>174.0</v>
      </c>
      <c r="AI319" s="1">
        <v>130.0</v>
      </c>
      <c r="AJ319" s="1">
        <v>70.0</v>
      </c>
      <c r="AK319" s="1">
        <v>8.0</v>
      </c>
      <c r="AL319" s="1">
        <v>115.0</v>
      </c>
      <c r="AM319" s="1">
        <v>193.0</v>
      </c>
      <c r="AN319" s="1">
        <v>90.0</v>
      </c>
      <c r="AO319" s="1">
        <v>0.0</v>
      </c>
      <c r="AP319" s="1">
        <v>0.271153</v>
      </c>
      <c r="AQ319" s="1">
        <v>0.077468</v>
      </c>
      <c r="AR319" s="1">
        <v>0.094349</v>
      </c>
      <c r="AS319" s="1">
        <v>0.211699</v>
      </c>
      <c r="AT319" s="1">
        <v>16047.0</v>
      </c>
      <c r="AU319" s="1">
        <v>2090.0</v>
      </c>
      <c r="AV319" s="1">
        <v>0.2659</v>
      </c>
      <c r="AW319" s="1">
        <v>0.103085</v>
      </c>
      <c r="AX319" s="1">
        <v>0.100846</v>
      </c>
      <c r="AY319" s="1">
        <v>0.284834</v>
      </c>
      <c r="AZ319" s="1">
        <v>0.21855541</v>
      </c>
      <c r="BA319" s="1">
        <v>0.147036</v>
      </c>
      <c r="BB319" s="1">
        <v>0.0</v>
      </c>
      <c r="BC319" s="1">
        <v>0.137225</v>
      </c>
      <c r="BD319" s="1">
        <v>0.039695</v>
      </c>
      <c r="BE319" s="1">
        <v>0.094599</v>
      </c>
      <c r="BF319" s="1">
        <v>0.07069</v>
      </c>
      <c r="BG319" s="1">
        <v>0.03793</v>
      </c>
      <c r="BH319" s="1">
        <v>0.004869</v>
      </c>
      <c r="BI319" s="1">
        <v>0.069992</v>
      </c>
      <c r="BJ319" s="1">
        <v>0.117468</v>
      </c>
      <c r="BK319" s="1">
        <v>0.053907</v>
      </c>
      <c r="BL319" s="1">
        <v>0.0</v>
      </c>
      <c r="BM319" s="1">
        <v>0.855</v>
      </c>
      <c r="BN319" s="1">
        <v>0.702</v>
      </c>
      <c r="BO319" s="1">
        <v>0.8375</v>
      </c>
      <c r="BP319" s="1">
        <v>0.9</v>
      </c>
      <c r="BQ319" s="1">
        <v>3.2945</v>
      </c>
      <c r="BR319" s="1">
        <v>0.878</v>
      </c>
      <c r="BS319" s="1">
        <v>0.215</v>
      </c>
      <c r="BT319" s="1">
        <v>0.869</v>
      </c>
      <c r="BU319" s="1">
        <v>0.915</v>
      </c>
      <c r="BV319" s="1">
        <v>1.999</v>
      </c>
      <c r="BW319" s="1">
        <v>0.858</v>
      </c>
      <c r="BX319" s="1">
        <v>0.617</v>
      </c>
      <c r="BY319" s="1">
        <v>0.0</v>
      </c>
      <c r="BZ319" s="1">
        <v>0.617</v>
      </c>
      <c r="CA319" s="1">
        <v>0.282</v>
      </c>
      <c r="CB319" s="1">
        <v>0.61</v>
      </c>
      <c r="CC319" s="1">
        <v>0.652</v>
      </c>
      <c r="CD319" s="1">
        <v>0.332</v>
      </c>
      <c r="CE319" s="1">
        <v>0.8</v>
      </c>
      <c r="CF319" s="1">
        <v>0.0</v>
      </c>
      <c r="CG319" s="1">
        <v>2.394</v>
      </c>
      <c r="CH319" s="1">
        <v>0.512</v>
      </c>
      <c r="CI319" s="1">
        <v>8.3045</v>
      </c>
      <c r="CJ319" s="1">
        <v>0.7617</v>
      </c>
      <c r="CK319" s="1">
        <v>0.0</v>
      </c>
      <c r="CL319" s="1">
        <v>0.0</v>
      </c>
      <c r="CM319" s="1">
        <v>0.0</v>
      </c>
      <c r="CN319" s="1">
        <v>1.0</v>
      </c>
      <c r="CO319" s="1">
        <v>1.0</v>
      </c>
      <c r="CP319" s="1">
        <v>0.0</v>
      </c>
      <c r="CQ319" s="1">
        <v>0.0</v>
      </c>
      <c r="CR319" s="1">
        <v>1.0</v>
      </c>
      <c r="CS319" s="1">
        <v>1.0</v>
      </c>
      <c r="CT319" s="1">
        <v>0.0</v>
      </c>
      <c r="CU319" s="1">
        <v>0.0</v>
      </c>
      <c r="CV319" s="1">
        <v>0.0</v>
      </c>
      <c r="CW319" s="1">
        <v>0.0</v>
      </c>
      <c r="CX319" s="1">
        <v>0.0</v>
      </c>
      <c r="CY319" s="1">
        <v>0.0</v>
      </c>
      <c r="CZ319" s="1">
        <v>0.0</v>
      </c>
      <c r="DA319" s="1">
        <v>0.0</v>
      </c>
      <c r="DB319" s="1">
        <v>0.0</v>
      </c>
      <c r="DC319" s="1">
        <v>2.0</v>
      </c>
      <c r="DD319" s="1" t="s">
        <v>1613</v>
      </c>
      <c r="DE319" s="1">
        <v>5.43607550662468E-4</v>
      </c>
      <c r="DF319" s="2" t="s">
        <v>1614</v>
      </c>
    </row>
    <row r="320" ht="15.75" customHeight="1">
      <c r="A320" s="1" t="s">
        <v>1615</v>
      </c>
      <c r="B320" s="1">
        <v>29.0</v>
      </c>
      <c r="C320" s="2" t="s">
        <v>1606</v>
      </c>
      <c r="D320" s="2" t="s">
        <v>324</v>
      </c>
      <c r="E320" s="1">
        <v>1.026</v>
      </c>
      <c r="F320" s="1">
        <v>29077.0</v>
      </c>
      <c r="G320" s="1">
        <v>2.90770003E10</v>
      </c>
      <c r="H320" s="1" t="s">
        <v>112</v>
      </c>
      <c r="I320" s="1" t="s">
        <v>113</v>
      </c>
      <c r="J320" s="1" t="s">
        <v>1607</v>
      </c>
      <c r="K320" s="1" t="s">
        <v>1616</v>
      </c>
      <c r="L320" s="1">
        <v>3209.0</v>
      </c>
      <c r="M320" s="1">
        <v>3453.0</v>
      </c>
      <c r="N320" s="1">
        <v>253.0</v>
      </c>
      <c r="O320" s="1">
        <v>1652.0</v>
      </c>
      <c r="P320" s="1">
        <v>1747.0</v>
      </c>
      <c r="Q320" s="1">
        <v>76.0</v>
      </c>
      <c r="R320" s="1">
        <v>1513.0</v>
      </c>
      <c r="S320" s="1">
        <v>1183.0</v>
      </c>
      <c r="T320" s="1">
        <v>367.0</v>
      </c>
      <c r="U320" s="1">
        <v>182.0</v>
      </c>
      <c r="V320" s="1">
        <v>427.0</v>
      </c>
      <c r="W320" s="1">
        <v>23307.0</v>
      </c>
      <c r="X320" s="1">
        <v>3251.0</v>
      </c>
      <c r="Y320" s="1">
        <v>72.0</v>
      </c>
      <c r="Z320" s="1">
        <v>415.0</v>
      </c>
      <c r="AA320" s="1">
        <v>345.0</v>
      </c>
      <c r="AB320" s="1">
        <v>457.0</v>
      </c>
      <c r="AC320" s="1">
        <v>117.0</v>
      </c>
      <c r="AD320" s="1">
        <v>292.0</v>
      </c>
      <c r="AE320" s="1">
        <v>27.0</v>
      </c>
      <c r="AF320" s="1">
        <v>442.0</v>
      </c>
      <c r="AG320" s="1">
        <v>112.0</v>
      </c>
      <c r="AH320" s="1">
        <v>102.0</v>
      </c>
      <c r="AI320" s="1">
        <v>0.0</v>
      </c>
      <c r="AJ320" s="1">
        <v>114.0</v>
      </c>
      <c r="AK320" s="1">
        <v>27.0</v>
      </c>
      <c r="AL320" s="1">
        <v>117.0</v>
      </c>
      <c r="AM320" s="1">
        <v>61.0</v>
      </c>
      <c r="AN320" s="1">
        <v>44.0</v>
      </c>
      <c r="AO320" s="1">
        <v>10.0</v>
      </c>
      <c r="AP320" s="1">
        <v>0.3426</v>
      </c>
      <c r="AQ320" s="1">
        <v>0.103277</v>
      </c>
      <c r="AR320" s="1">
        <v>0.077085</v>
      </c>
      <c r="AS320" s="1">
        <v>0.180436</v>
      </c>
      <c r="AT320" s="1">
        <v>23307.0</v>
      </c>
      <c r="AU320" s="1">
        <v>3251.0</v>
      </c>
      <c r="AV320" s="1">
        <v>0.035608</v>
      </c>
      <c r="AW320" s="1">
        <v>0.205209</v>
      </c>
      <c r="AX320" s="1">
        <v>0.10751</v>
      </c>
      <c r="AY320" s="1">
        <v>0.142411</v>
      </c>
      <c r="AZ320" s="1">
        <v>0.0773298</v>
      </c>
      <c r="BA320" s="1">
        <v>0.090994</v>
      </c>
      <c r="BB320" s="1">
        <v>0.008</v>
      </c>
      <c r="BC320" s="1">
        <v>0.130961</v>
      </c>
      <c r="BD320" s="1">
        <v>0.064109</v>
      </c>
      <c r="BE320" s="1">
        <v>0.058319</v>
      </c>
      <c r="BF320" s="1">
        <v>0.0</v>
      </c>
      <c r="BG320" s="1">
        <v>0.065254</v>
      </c>
      <c r="BH320" s="1">
        <v>0.016052</v>
      </c>
      <c r="BI320" s="1">
        <v>0.069554</v>
      </c>
      <c r="BJ320" s="1">
        <v>0.036266</v>
      </c>
      <c r="BK320" s="1">
        <v>0.026077</v>
      </c>
      <c r="BL320" s="1">
        <v>0.003116</v>
      </c>
      <c r="BM320" s="1">
        <v>0.922</v>
      </c>
      <c r="BN320" s="1">
        <v>0.582</v>
      </c>
      <c r="BO320" s="1">
        <v>0.4318</v>
      </c>
      <c r="BP320" s="1">
        <v>0.082</v>
      </c>
      <c r="BQ320" s="1">
        <v>2.0178</v>
      </c>
      <c r="BR320" s="1">
        <v>0.5032</v>
      </c>
      <c r="BS320" s="1">
        <v>0.254</v>
      </c>
      <c r="BT320" s="1">
        <v>0.055</v>
      </c>
      <c r="BU320" s="1">
        <v>0.276</v>
      </c>
      <c r="BV320" s="1">
        <v>0.585</v>
      </c>
      <c r="BW320" s="1">
        <v>0.041</v>
      </c>
      <c r="BX320" s="1">
        <v>0.432</v>
      </c>
      <c r="BY320" s="1">
        <v>0.666</v>
      </c>
      <c r="BZ320" s="1">
        <v>1.098</v>
      </c>
      <c r="CA320" s="1">
        <v>0.615</v>
      </c>
      <c r="CB320" s="1">
        <v>0.696</v>
      </c>
      <c r="CC320" s="1">
        <v>0.0</v>
      </c>
      <c r="CD320" s="1">
        <v>0.616</v>
      </c>
      <c r="CE320" s="1">
        <v>0.345</v>
      </c>
      <c r="CF320" s="1">
        <v>0.477</v>
      </c>
      <c r="CG320" s="1">
        <v>2.134</v>
      </c>
      <c r="CH320" s="1">
        <v>0.393</v>
      </c>
      <c r="CI320" s="1">
        <v>5.8348</v>
      </c>
      <c r="CJ320" s="1">
        <v>0.3437</v>
      </c>
      <c r="CK320" s="1">
        <v>1.0</v>
      </c>
      <c r="CL320" s="1">
        <v>0.0</v>
      </c>
      <c r="CM320" s="1">
        <v>0.0</v>
      </c>
      <c r="CN320" s="1">
        <v>0.0</v>
      </c>
      <c r="CO320" s="1">
        <v>1.0</v>
      </c>
      <c r="CP320" s="1">
        <v>0.0</v>
      </c>
      <c r="CQ320" s="1">
        <v>0.0</v>
      </c>
      <c r="CR320" s="1">
        <v>0.0</v>
      </c>
      <c r="CS320" s="1">
        <v>0.0</v>
      </c>
      <c r="CT320" s="1">
        <v>0.0</v>
      </c>
      <c r="CU320" s="1">
        <v>0.0</v>
      </c>
      <c r="CV320" s="1">
        <v>0.0</v>
      </c>
      <c r="CW320" s="1">
        <v>0.0</v>
      </c>
      <c r="CX320" s="1">
        <v>0.0</v>
      </c>
      <c r="CY320" s="1">
        <v>0.0</v>
      </c>
      <c r="CZ320" s="1">
        <v>0.0</v>
      </c>
      <c r="DA320" s="1">
        <v>0.0</v>
      </c>
      <c r="DB320" s="1">
        <v>0.0</v>
      </c>
      <c r="DC320" s="1">
        <v>1.0</v>
      </c>
      <c r="DD320" s="1" t="s">
        <v>1617</v>
      </c>
      <c r="DE320" s="1">
        <v>2.69751176031446E-4</v>
      </c>
      <c r="DF320" s="1">
        <v>0.0661327210430438</v>
      </c>
    </row>
    <row r="321" ht="15.75" customHeight="1">
      <c r="A321" s="1" t="s">
        <v>1618</v>
      </c>
      <c r="B321" s="1">
        <v>29.0</v>
      </c>
      <c r="C321" s="2" t="s">
        <v>1606</v>
      </c>
      <c r="D321" s="2" t="s">
        <v>491</v>
      </c>
      <c r="E321" s="1">
        <v>1.271</v>
      </c>
      <c r="F321" s="1">
        <v>29077.0</v>
      </c>
      <c r="G321" s="1">
        <v>2.90770004E10</v>
      </c>
      <c r="H321" s="1" t="s">
        <v>112</v>
      </c>
      <c r="I321" s="1" t="s">
        <v>113</v>
      </c>
      <c r="J321" s="1" t="s">
        <v>1607</v>
      </c>
      <c r="K321" s="1" t="s">
        <v>1619</v>
      </c>
      <c r="L321" s="1">
        <v>4362.0</v>
      </c>
      <c r="M321" s="1">
        <v>4282.0</v>
      </c>
      <c r="N321" s="1">
        <v>440.0</v>
      </c>
      <c r="O321" s="1">
        <v>2181.0</v>
      </c>
      <c r="P321" s="1">
        <v>2116.0</v>
      </c>
      <c r="Q321" s="1">
        <v>60.0</v>
      </c>
      <c r="R321" s="1">
        <v>1967.0</v>
      </c>
      <c r="S321" s="1">
        <v>1248.0</v>
      </c>
      <c r="T321" s="1">
        <v>414.0</v>
      </c>
      <c r="U321" s="1">
        <v>165.0</v>
      </c>
      <c r="V321" s="1">
        <v>467.0</v>
      </c>
      <c r="W321" s="1">
        <v>16927.0</v>
      </c>
      <c r="X321" s="1">
        <v>2058.0</v>
      </c>
      <c r="Y321" s="1">
        <v>282.0</v>
      </c>
      <c r="Z321" s="1">
        <v>222.0</v>
      </c>
      <c r="AA321" s="1">
        <v>620.0</v>
      </c>
      <c r="AB321" s="1">
        <v>895.0</v>
      </c>
      <c r="AC321" s="1">
        <v>241.0</v>
      </c>
      <c r="AD321" s="1">
        <v>676.0</v>
      </c>
      <c r="AE321" s="1">
        <v>55.0</v>
      </c>
      <c r="AF321" s="1">
        <v>430.0</v>
      </c>
      <c r="AG321" s="1">
        <v>328.0</v>
      </c>
      <c r="AH321" s="1">
        <v>120.0</v>
      </c>
      <c r="AI321" s="1">
        <v>13.0</v>
      </c>
      <c r="AJ321" s="1">
        <v>20.0</v>
      </c>
      <c r="AK321" s="1">
        <v>0.0</v>
      </c>
      <c r="AL321" s="1">
        <v>161.0</v>
      </c>
      <c r="AM321" s="1">
        <v>185.0</v>
      </c>
      <c r="AN321" s="1">
        <v>70.0</v>
      </c>
      <c r="AO321" s="1">
        <v>89.0</v>
      </c>
      <c r="AP321" s="1">
        <v>0.311299</v>
      </c>
      <c r="AQ321" s="1">
        <v>0.098136</v>
      </c>
      <c r="AR321" s="1">
        <v>0.078571</v>
      </c>
      <c r="AS321" s="1">
        <v>0.222027</v>
      </c>
      <c r="AT321" s="1">
        <v>16927.0</v>
      </c>
      <c r="AU321" s="1">
        <v>2058.0</v>
      </c>
      <c r="AV321" s="1">
        <v>0.10307</v>
      </c>
      <c r="AW321" s="1">
        <v>0.080509</v>
      </c>
      <c r="AX321" s="1">
        <v>0.142136</v>
      </c>
      <c r="AY321" s="1">
        <v>0.205181</v>
      </c>
      <c r="AZ321" s="1">
        <v>0.1225216</v>
      </c>
      <c r="BA321" s="1">
        <v>0.154974</v>
      </c>
      <c r="BB321" s="1">
        <v>0.014109</v>
      </c>
      <c r="BC321" s="1">
        <v>0.110305</v>
      </c>
      <c r="BD321" s="1">
        <v>0.155009</v>
      </c>
      <c r="BE321" s="1">
        <v>0.05654</v>
      </c>
      <c r="BF321" s="1">
        <v>0.006143</v>
      </c>
      <c r="BG321" s="1">
        <v>0.00945</v>
      </c>
      <c r="BH321" s="1">
        <v>0.0</v>
      </c>
      <c r="BI321" s="1">
        <v>0.085501</v>
      </c>
      <c r="BJ321" s="1">
        <v>0.098247</v>
      </c>
      <c r="BK321" s="1">
        <v>0.036407</v>
      </c>
      <c r="BL321" s="1">
        <v>0.020403</v>
      </c>
      <c r="BM321" s="1">
        <v>0.893</v>
      </c>
      <c r="BN321" s="1">
        <v>0.598</v>
      </c>
      <c r="BO321" s="1">
        <v>0.7899</v>
      </c>
      <c r="BP321" s="1">
        <v>0.349</v>
      </c>
      <c r="BQ321" s="1">
        <v>2.6299</v>
      </c>
      <c r="BR321" s="1">
        <v>0.7047</v>
      </c>
      <c r="BS321" s="1">
        <v>0.517</v>
      </c>
      <c r="BT321" s="1">
        <v>0.213</v>
      </c>
      <c r="BU321" s="1">
        <v>0.682</v>
      </c>
      <c r="BV321" s="1">
        <v>1.412</v>
      </c>
      <c r="BW321" s="1">
        <v>0.401</v>
      </c>
      <c r="BX321" s="1">
        <v>0.639</v>
      </c>
      <c r="BY321" s="1">
        <v>0.797</v>
      </c>
      <c r="BZ321" s="1">
        <v>1.436</v>
      </c>
      <c r="CA321" s="1">
        <v>0.782</v>
      </c>
      <c r="CB321" s="1">
        <v>0.846</v>
      </c>
      <c r="CC321" s="1">
        <v>0.413</v>
      </c>
      <c r="CD321" s="1">
        <v>0.0</v>
      </c>
      <c r="CE321" s="1">
        <v>0.748</v>
      </c>
      <c r="CF321" s="1">
        <v>0.716</v>
      </c>
      <c r="CG321" s="1">
        <v>2.723</v>
      </c>
      <c r="CH321" s="1">
        <v>0.653</v>
      </c>
      <c r="CI321" s="1">
        <v>8.2009</v>
      </c>
      <c r="CJ321" s="1">
        <v>0.7437</v>
      </c>
      <c r="CK321" s="1">
        <v>0.0</v>
      </c>
      <c r="CL321" s="1">
        <v>0.0</v>
      </c>
      <c r="CM321" s="1">
        <v>0.0</v>
      </c>
      <c r="CN321" s="1">
        <v>0.0</v>
      </c>
      <c r="CO321" s="1">
        <v>0.0</v>
      </c>
      <c r="CP321" s="1">
        <v>0.0</v>
      </c>
      <c r="CQ321" s="1">
        <v>0.0</v>
      </c>
      <c r="CR321" s="1">
        <v>0.0</v>
      </c>
      <c r="CS321" s="1">
        <v>0.0</v>
      </c>
      <c r="CT321" s="1">
        <v>0.0</v>
      </c>
      <c r="CU321" s="1">
        <v>0.0</v>
      </c>
      <c r="CV321" s="1">
        <v>0.0</v>
      </c>
      <c r="CW321" s="1">
        <v>0.0</v>
      </c>
      <c r="CX321" s="1">
        <v>0.0</v>
      </c>
      <c r="CY321" s="1">
        <v>0.0</v>
      </c>
      <c r="CZ321" s="1">
        <v>0.0</v>
      </c>
      <c r="DA321" s="1">
        <v>0.0</v>
      </c>
      <c r="DB321" s="1">
        <v>0.0</v>
      </c>
      <c r="DC321" s="1">
        <v>0.0</v>
      </c>
      <c r="DD321" s="1" t="s">
        <v>1620</v>
      </c>
      <c r="DE321" s="1">
        <v>3.33922297564122E-4</v>
      </c>
      <c r="DF321" s="1">
        <v>0.0751973725597345</v>
      </c>
    </row>
    <row r="322" ht="15.75" customHeight="1">
      <c r="A322" s="1" t="s">
        <v>1621</v>
      </c>
      <c r="B322" s="1">
        <v>29.0</v>
      </c>
      <c r="C322" s="2" t="s">
        <v>1606</v>
      </c>
      <c r="D322" s="2" t="s">
        <v>1622</v>
      </c>
      <c r="E322" s="1">
        <v>0.43</v>
      </c>
      <c r="F322" s="1">
        <v>29077.0</v>
      </c>
      <c r="G322" s="1">
        <v>2.9077000502E10</v>
      </c>
      <c r="H322" s="1" t="s">
        <v>112</v>
      </c>
      <c r="I322" s="1" t="s">
        <v>113</v>
      </c>
      <c r="J322" s="1" t="s">
        <v>1607</v>
      </c>
      <c r="K322" s="1" t="s">
        <v>1623</v>
      </c>
      <c r="L322" s="1">
        <v>3273.0</v>
      </c>
      <c r="M322" s="1">
        <v>2973.0</v>
      </c>
      <c r="N322" s="1">
        <v>414.0</v>
      </c>
      <c r="O322" s="1">
        <v>2066.0</v>
      </c>
      <c r="P322" s="1">
        <v>2144.0</v>
      </c>
      <c r="Q322" s="1">
        <v>131.0</v>
      </c>
      <c r="R322" s="1">
        <v>1739.0</v>
      </c>
      <c r="S322" s="1">
        <v>1451.0</v>
      </c>
      <c r="T322" s="1">
        <v>388.0</v>
      </c>
      <c r="U322" s="1">
        <v>267.0</v>
      </c>
      <c r="V322" s="1">
        <v>433.0</v>
      </c>
      <c r="W322" s="1">
        <v>13272.0</v>
      </c>
      <c r="X322" s="1">
        <v>2546.0</v>
      </c>
      <c r="Y322" s="1">
        <v>417.0</v>
      </c>
      <c r="Z322" s="1">
        <v>316.0</v>
      </c>
      <c r="AA322" s="1">
        <v>236.0</v>
      </c>
      <c r="AB322" s="1">
        <v>481.0</v>
      </c>
      <c r="AC322" s="1">
        <v>166.0</v>
      </c>
      <c r="AD322" s="1">
        <v>625.0</v>
      </c>
      <c r="AE322" s="1">
        <v>115.0</v>
      </c>
      <c r="AF322" s="1">
        <v>456.0</v>
      </c>
      <c r="AG322" s="1">
        <v>652.0</v>
      </c>
      <c r="AH322" s="1">
        <v>177.0</v>
      </c>
      <c r="AI322" s="1">
        <v>0.0</v>
      </c>
      <c r="AJ322" s="1">
        <v>114.0</v>
      </c>
      <c r="AK322" s="1">
        <v>68.0</v>
      </c>
      <c r="AL322" s="1">
        <v>127.0</v>
      </c>
      <c r="AM322" s="1">
        <v>713.0</v>
      </c>
      <c r="AN322" s="1">
        <v>174.0</v>
      </c>
      <c r="AO322" s="1">
        <v>65.0</v>
      </c>
      <c r="AP322" s="1">
        <v>0.502423</v>
      </c>
      <c r="AQ322" s="1">
        <v>0.114284</v>
      </c>
      <c r="AR322" s="1">
        <v>0.187631</v>
      </c>
      <c r="AS322" s="1">
        <v>0.299819</v>
      </c>
      <c r="AT322" s="1">
        <v>13272.0</v>
      </c>
      <c r="AU322" s="1">
        <v>2546.0</v>
      </c>
      <c r="AV322" s="1">
        <v>0.238013</v>
      </c>
      <c r="AW322" s="1">
        <v>0.176872</v>
      </c>
      <c r="AX322" s="1">
        <v>0.072105</v>
      </c>
      <c r="AY322" s="1">
        <v>0.146959</v>
      </c>
      <c r="AZ322" s="1">
        <v>0.09545715</v>
      </c>
      <c r="BA322" s="1">
        <v>0.190956</v>
      </c>
      <c r="BB322" s="1">
        <v>0.04231</v>
      </c>
      <c r="BC322" s="1">
        <v>0.167669</v>
      </c>
      <c r="BD322" s="1">
        <v>0.304104</v>
      </c>
      <c r="BE322" s="1">
        <v>0.080437</v>
      </c>
      <c r="BF322" s="1">
        <v>0.0</v>
      </c>
      <c r="BG322" s="1">
        <v>0.053171</v>
      </c>
      <c r="BH322" s="1">
        <v>0.039627</v>
      </c>
      <c r="BI322" s="1">
        <v>0.073893</v>
      </c>
      <c r="BJ322" s="1">
        <v>0.415501</v>
      </c>
      <c r="BK322" s="1">
        <v>0.091668</v>
      </c>
      <c r="BL322" s="1">
        <v>0.019859</v>
      </c>
      <c r="BM322" s="1">
        <v>0.988</v>
      </c>
      <c r="BN322" s="1">
        <v>0.942</v>
      </c>
      <c r="BO322" s="1">
        <v>0.9307</v>
      </c>
      <c r="BP322" s="1">
        <v>0.839</v>
      </c>
      <c r="BQ322" s="1">
        <v>3.6997</v>
      </c>
      <c r="BR322" s="1">
        <v>0.9603</v>
      </c>
      <c r="BS322" s="1">
        <v>0.092</v>
      </c>
      <c r="BT322" s="1">
        <v>0.063</v>
      </c>
      <c r="BU322" s="1">
        <v>0.451</v>
      </c>
      <c r="BV322" s="1">
        <v>0.606</v>
      </c>
      <c r="BW322" s="1">
        <v>0.043</v>
      </c>
      <c r="BX322" s="1">
        <v>0.697</v>
      </c>
      <c r="BY322" s="1">
        <v>0.948</v>
      </c>
      <c r="BZ322" s="1">
        <v>1.645</v>
      </c>
      <c r="CA322" s="1">
        <v>0.894</v>
      </c>
      <c r="CB322" s="1">
        <v>0.945</v>
      </c>
      <c r="CC322" s="1">
        <v>0.0</v>
      </c>
      <c r="CD322" s="1">
        <v>0.892</v>
      </c>
      <c r="CE322" s="1">
        <v>0.989</v>
      </c>
      <c r="CF322" s="1">
        <v>0.707</v>
      </c>
      <c r="CG322" s="1">
        <v>3.533</v>
      </c>
      <c r="CH322" s="1">
        <v>0.943</v>
      </c>
      <c r="CI322" s="1">
        <v>9.4837</v>
      </c>
      <c r="CJ322" s="1">
        <v>0.9032</v>
      </c>
      <c r="CK322" s="1">
        <v>1.0</v>
      </c>
      <c r="CL322" s="1">
        <v>1.0</v>
      </c>
      <c r="CM322" s="1">
        <v>1.0</v>
      </c>
      <c r="CN322" s="1">
        <v>0.0</v>
      </c>
      <c r="CO322" s="1">
        <v>3.0</v>
      </c>
      <c r="CP322" s="1">
        <v>0.0</v>
      </c>
      <c r="CQ322" s="1">
        <v>0.0</v>
      </c>
      <c r="CR322" s="1">
        <v>0.0</v>
      </c>
      <c r="CS322" s="1">
        <v>0.0</v>
      </c>
      <c r="CT322" s="1">
        <v>0.0</v>
      </c>
      <c r="CU322" s="1">
        <v>1.0</v>
      </c>
      <c r="CV322" s="1">
        <v>1.0</v>
      </c>
      <c r="CW322" s="1">
        <v>1.0</v>
      </c>
      <c r="CX322" s="1">
        <v>0.0</v>
      </c>
      <c r="CY322" s="1">
        <v>0.0</v>
      </c>
      <c r="CZ322" s="1">
        <v>1.0</v>
      </c>
      <c r="DA322" s="1">
        <v>0.0</v>
      </c>
      <c r="DB322" s="1">
        <v>2.0</v>
      </c>
      <c r="DC322" s="1">
        <v>6.0</v>
      </c>
      <c r="DD322" s="1" t="s">
        <v>1624</v>
      </c>
      <c r="DE322" s="1">
        <v>1.13030502175244E-4</v>
      </c>
      <c r="DF322" s="1">
        <v>0.05062419814964</v>
      </c>
    </row>
    <row r="323" ht="15.75" customHeight="1">
      <c r="A323" s="1" t="s">
        <v>1625</v>
      </c>
      <c r="B323" s="1">
        <v>29.0</v>
      </c>
      <c r="C323" s="2" t="s">
        <v>1606</v>
      </c>
      <c r="D323" s="2" t="s">
        <v>483</v>
      </c>
      <c r="E323" s="1">
        <v>0.415</v>
      </c>
      <c r="F323" s="1">
        <v>29077.0</v>
      </c>
      <c r="G323" s="1">
        <v>2.90770001E10</v>
      </c>
      <c r="H323" s="1" t="s">
        <v>112</v>
      </c>
      <c r="I323" s="1" t="s">
        <v>113</v>
      </c>
      <c r="J323" s="1" t="s">
        <v>1607</v>
      </c>
      <c r="K323" s="1" t="s">
        <v>1626</v>
      </c>
      <c r="L323" s="1">
        <v>1649.0</v>
      </c>
      <c r="M323" s="1">
        <v>1554.0</v>
      </c>
      <c r="N323" s="1">
        <v>257.0</v>
      </c>
      <c r="O323" s="1">
        <v>919.0</v>
      </c>
      <c r="P323" s="1">
        <v>912.0</v>
      </c>
      <c r="Q323" s="1">
        <v>64.0</v>
      </c>
      <c r="R323" s="1">
        <v>797.0</v>
      </c>
      <c r="S323" s="1">
        <v>367.0</v>
      </c>
      <c r="T323" s="1">
        <v>181.0</v>
      </c>
      <c r="U323" s="1">
        <v>40.0</v>
      </c>
      <c r="V323" s="1">
        <v>472.0</v>
      </c>
      <c r="W323" s="1">
        <v>17249.0</v>
      </c>
      <c r="X323" s="1">
        <v>3834.0</v>
      </c>
      <c r="Y323" s="1">
        <v>68.0</v>
      </c>
      <c r="Z323" s="1">
        <v>397.0</v>
      </c>
      <c r="AA323" s="1">
        <v>89.0</v>
      </c>
      <c r="AB323" s="1">
        <v>63.0</v>
      </c>
      <c r="AC323" s="1">
        <v>22.0</v>
      </c>
      <c r="AD323" s="1">
        <v>342.0</v>
      </c>
      <c r="AE323" s="1">
        <v>15.0</v>
      </c>
      <c r="AF323" s="1">
        <v>442.0</v>
      </c>
      <c r="AG323" s="1">
        <v>551.0</v>
      </c>
      <c r="AH323" s="1">
        <v>154.0</v>
      </c>
      <c r="AI323" s="1">
        <v>0.0</v>
      </c>
      <c r="AJ323" s="1">
        <v>114.0</v>
      </c>
      <c r="AK323" s="1">
        <v>78.0</v>
      </c>
      <c r="AL323" s="1">
        <v>141.0</v>
      </c>
      <c r="AM323" s="1">
        <v>262.0</v>
      </c>
      <c r="AN323" s="1">
        <v>158.0</v>
      </c>
      <c r="AO323" s="1">
        <v>455.0</v>
      </c>
      <c r="AP323" s="1">
        <v>0.33608</v>
      </c>
      <c r="AQ323" s="1">
        <v>0.159544</v>
      </c>
      <c r="AR323" s="1">
        <v>0.042417</v>
      </c>
      <c r="AS323" s="1">
        <v>0.5003</v>
      </c>
      <c r="AT323" s="1">
        <v>17249.0</v>
      </c>
      <c r="AU323" s="1">
        <v>3834.0</v>
      </c>
      <c r="AV323" s="1">
        <v>0.081242</v>
      </c>
      <c r="AW323" s="1">
        <v>0.474022</v>
      </c>
      <c r="AX323" s="1">
        <v>0.053972</v>
      </c>
      <c r="AY323" s="1">
        <v>0.038204</v>
      </c>
      <c r="AZ323" s="1">
        <v>0.02760351</v>
      </c>
      <c r="BA323" s="1">
        <v>0.207398</v>
      </c>
      <c r="BB323" s="1">
        <v>0.009927</v>
      </c>
      <c r="BC323" s="1">
        <v>0.292517</v>
      </c>
      <c r="BD323" s="1">
        <v>0.604166</v>
      </c>
      <c r="BE323" s="1">
        <v>0.16345</v>
      </c>
      <c r="BF323" s="1">
        <v>0.0</v>
      </c>
      <c r="BG323" s="1">
        <v>0.125</v>
      </c>
      <c r="BH323" s="1">
        <v>0.098113</v>
      </c>
      <c r="BI323" s="1">
        <v>0.177159</v>
      </c>
      <c r="BJ323" s="1">
        <v>0.329559</v>
      </c>
      <c r="BK323" s="1">
        <v>0.196732</v>
      </c>
      <c r="BL323" s="1">
        <v>0.275924</v>
      </c>
      <c r="BM323" s="1">
        <v>0.918</v>
      </c>
      <c r="BN323" s="1">
        <v>0.212</v>
      </c>
      <c r="BO323" s="1">
        <v>0.7697</v>
      </c>
      <c r="BP323" s="1">
        <v>0.252</v>
      </c>
      <c r="BQ323" s="1">
        <v>2.1517</v>
      </c>
      <c r="BR323" s="1">
        <v>0.5451</v>
      </c>
      <c r="BS323" s="1">
        <v>0.03</v>
      </c>
      <c r="BT323" s="1">
        <v>0.007</v>
      </c>
      <c r="BU323" s="1">
        <v>0.013</v>
      </c>
      <c r="BV323" s="1">
        <v>0.05</v>
      </c>
      <c r="BW323" s="1">
        <v>0.005</v>
      </c>
      <c r="BX323" s="1">
        <v>0.718</v>
      </c>
      <c r="BY323" s="1">
        <v>0.721</v>
      </c>
      <c r="BZ323" s="1">
        <v>1.439</v>
      </c>
      <c r="CA323" s="1">
        <v>0.787</v>
      </c>
      <c r="CB323" s="1">
        <v>0.987</v>
      </c>
      <c r="CC323" s="1">
        <v>0.0</v>
      </c>
      <c r="CD323" s="1">
        <v>0.995</v>
      </c>
      <c r="CE323" s="1">
        <v>0.975</v>
      </c>
      <c r="CF323" s="1">
        <v>0.976</v>
      </c>
      <c r="CG323" s="1">
        <v>3.933</v>
      </c>
      <c r="CH323" s="1">
        <v>0.996</v>
      </c>
      <c r="CI323" s="1">
        <v>7.5737</v>
      </c>
      <c r="CJ323" s="1">
        <v>0.6477</v>
      </c>
      <c r="CK323" s="1">
        <v>1.0</v>
      </c>
      <c r="CL323" s="1">
        <v>0.0</v>
      </c>
      <c r="CM323" s="1">
        <v>0.0</v>
      </c>
      <c r="CN323" s="1">
        <v>0.0</v>
      </c>
      <c r="CO323" s="1">
        <v>1.0</v>
      </c>
      <c r="CP323" s="1">
        <v>0.0</v>
      </c>
      <c r="CQ323" s="1">
        <v>0.0</v>
      </c>
      <c r="CR323" s="1">
        <v>0.0</v>
      </c>
      <c r="CS323" s="1">
        <v>0.0</v>
      </c>
      <c r="CT323" s="1">
        <v>0.0</v>
      </c>
      <c r="CU323" s="1">
        <v>0.0</v>
      </c>
      <c r="CV323" s="1">
        <v>0.0</v>
      </c>
      <c r="CW323" s="1">
        <v>1.0</v>
      </c>
      <c r="CX323" s="1">
        <v>0.0</v>
      </c>
      <c r="CY323" s="1">
        <v>1.0</v>
      </c>
      <c r="CZ323" s="1">
        <v>1.0</v>
      </c>
      <c r="DA323" s="1">
        <v>1.0</v>
      </c>
      <c r="DB323" s="1">
        <v>4.0</v>
      </c>
      <c r="DC323" s="1">
        <v>5.0</v>
      </c>
      <c r="DD323" s="1" t="s">
        <v>1627</v>
      </c>
      <c r="DE323" s="1">
        <v>1.08384598053398E-4</v>
      </c>
      <c r="DF323" s="1">
        <v>0.0499013632438905</v>
      </c>
    </row>
    <row r="324" ht="15.75" customHeight="1">
      <c r="A324" s="1" t="s">
        <v>1628</v>
      </c>
      <c r="B324" s="1">
        <v>29.0</v>
      </c>
      <c r="C324" s="2" t="s">
        <v>1606</v>
      </c>
      <c r="D324" s="2" t="s">
        <v>1629</v>
      </c>
      <c r="E324" s="1">
        <v>0.47</v>
      </c>
      <c r="F324" s="1">
        <v>29077.0</v>
      </c>
      <c r="G324" s="1">
        <v>2.9077000501E10</v>
      </c>
      <c r="H324" s="1" t="s">
        <v>112</v>
      </c>
      <c r="I324" s="1" t="s">
        <v>113</v>
      </c>
      <c r="J324" s="1" t="s">
        <v>1607</v>
      </c>
      <c r="K324" s="1" t="s">
        <v>1630</v>
      </c>
      <c r="L324" s="1">
        <v>2217.0</v>
      </c>
      <c r="M324" s="1">
        <v>2625.0</v>
      </c>
      <c r="N324" s="1">
        <v>865.0</v>
      </c>
      <c r="O324" s="1">
        <v>1077.0</v>
      </c>
      <c r="P324" s="1">
        <v>1146.0</v>
      </c>
      <c r="Q324" s="1">
        <v>55.0</v>
      </c>
      <c r="R324" s="1">
        <v>927.0</v>
      </c>
      <c r="S324" s="1">
        <v>849.0</v>
      </c>
      <c r="T324" s="1">
        <v>417.0</v>
      </c>
      <c r="U324" s="1">
        <v>102.0</v>
      </c>
      <c r="V324" s="1">
        <v>448.0</v>
      </c>
      <c r="W324" s="1">
        <v>10606.0</v>
      </c>
      <c r="X324" s="1">
        <v>3625.0</v>
      </c>
      <c r="Y324" s="1">
        <v>145.0</v>
      </c>
      <c r="Z324" s="1">
        <v>393.0</v>
      </c>
      <c r="AA324" s="1">
        <v>133.0</v>
      </c>
      <c r="AB324" s="1">
        <v>606.0</v>
      </c>
      <c r="AC324" s="1">
        <v>192.0</v>
      </c>
      <c r="AD324" s="1">
        <v>486.0</v>
      </c>
      <c r="AE324" s="1">
        <v>5.0</v>
      </c>
      <c r="AF324" s="1">
        <v>442.0</v>
      </c>
      <c r="AG324" s="1">
        <v>90.0</v>
      </c>
      <c r="AH324" s="1">
        <v>189.0</v>
      </c>
      <c r="AI324" s="1">
        <v>0.0</v>
      </c>
      <c r="AJ324" s="1">
        <v>114.0</v>
      </c>
      <c r="AK324" s="1">
        <v>12.0</v>
      </c>
      <c r="AL324" s="1">
        <v>116.0</v>
      </c>
      <c r="AM324" s="1">
        <v>252.0</v>
      </c>
      <c r="AN324" s="1">
        <v>133.0</v>
      </c>
      <c r="AO324" s="1">
        <v>77.0</v>
      </c>
      <c r="AP324" s="1">
        <v>0.396914</v>
      </c>
      <c r="AQ324" s="1">
        <v>0.182109</v>
      </c>
      <c r="AR324" s="1">
        <v>0.099609</v>
      </c>
      <c r="AS324" s="1">
        <v>0.436466</v>
      </c>
      <c r="AT324" s="1">
        <v>10606.0</v>
      </c>
      <c r="AU324" s="1">
        <v>3625.0</v>
      </c>
      <c r="AV324" s="1">
        <v>0.112928</v>
      </c>
      <c r="AW324" s="1">
        <v>0.305046</v>
      </c>
      <c r="AX324" s="1">
        <v>0.05999</v>
      </c>
      <c r="AY324" s="1">
        <v>0.273342</v>
      </c>
      <c r="AZ324" s="1">
        <v>0.20711974</v>
      </c>
      <c r="BA324" s="1">
        <v>0.219215</v>
      </c>
      <c r="BB324" s="1">
        <v>0.002068</v>
      </c>
      <c r="BC324" s="1">
        <v>0.182869</v>
      </c>
      <c r="BD324" s="1">
        <v>0.078534</v>
      </c>
      <c r="BE324" s="1">
        <v>0.164878</v>
      </c>
      <c r="BF324" s="1">
        <v>0.0</v>
      </c>
      <c r="BG324" s="1">
        <v>0.099476</v>
      </c>
      <c r="BH324" s="1">
        <v>0.012474</v>
      </c>
      <c r="BI324" s="1">
        <v>0.120568</v>
      </c>
      <c r="BJ324" s="1">
        <v>0.261954</v>
      </c>
      <c r="BK324" s="1">
        <v>0.132736</v>
      </c>
      <c r="BL324" s="1">
        <v>0.034731</v>
      </c>
      <c r="BM324" s="1">
        <v>0.951</v>
      </c>
      <c r="BN324" s="1">
        <v>0.728</v>
      </c>
      <c r="BO324" s="1">
        <v>0.9827</v>
      </c>
      <c r="BP324" s="1">
        <v>0.392</v>
      </c>
      <c r="BQ324" s="1">
        <v>3.0537</v>
      </c>
      <c r="BR324" s="1">
        <v>0.8144</v>
      </c>
      <c r="BS324" s="1">
        <v>0.043</v>
      </c>
      <c r="BT324" s="1">
        <v>0.811</v>
      </c>
      <c r="BU324" s="1">
        <v>0.904</v>
      </c>
      <c r="BV324" s="1">
        <v>1.758</v>
      </c>
      <c r="BW324" s="1">
        <v>0.689</v>
      </c>
      <c r="BX324" s="1">
        <v>0.733</v>
      </c>
      <c r="BY324" s="1">
        <v>0.383</v>
      </c>
      <c r="BZ324" s="1">
        <v>1.116</v>
      </c>
      <c r="CA324" s="1">
        <v>0.623</v>
      </c>
      <c r="CB324" s="1">
        <v>0.729</v>
      </c>
      <c r="CC324" s="1">
        <v>0.0</v>
      </c>
      <c r="CD324" s="1">
        <v>0.538</v>
      </c>
      <c r="CE324" s="1">
        <v>0.95</v>
      </c>
      <c r="CF324" s="1">
        <v>0.836</v>
      </c>
      <c r="CG324" s="1">
        <v>3.053</v>
      </c>
      <c r="CH324" s="1">
        <v>0.795</v>
      </c>
      <c r="CI324" s="1">
        <v>8.9807</v>
      </c>
      <c r="CJ324" s="1">
        <v>0.8484</v>
      </c>
      <c r="CK324" s="1">
        <v>1.0</v>
      </c>
      <c r="CL324" s="1">
        <v>0.0</v>
      </c>
      <c r="CM324" s="1">
        <v>1.0</v>
      </c>
      <c r="CN324" s="1">
        <v>0.0</v>
      </c>
      <c r="CO324" s="1">
        <v>2.0</v>
      </c>
      <c r="CP324" s="1">
        <v>0.0</v>
      </c>
      <c r="CQ324" s="1">
        <v>0.0</v>
      </c>
      <c r="CR324" s="1">
        <v>1.0</v>
      </c>
      <c r="CS324" s="1">
        <v>1.0</v>
      </c>
      <c r="CT324" s="1">
        <v>0.0</v>
      </c>
      <c r="CU324" s="1">
        <v>0.0</v>
      </c>
      <c r="CV324" s="1">
        <v>0.0</v>
      </c>
      <c r="CW324" s="1">
        <v>0.0</v>
      </c>
      <c r="CX324" s="1">
        <v>0.0</v>
      </c>
      <c r="CY324" s="1">
        <v>0.0</v>
      </c>
      <c r="CZ324" s="1">
        <v>1.0</v>
      </c>
      <c r="DA324" s="1">
        <v>0.0</v>
      </c>
      <c r="DB324" s="1">
        <v>1.0</v>
      </c>
      <c r="DC324" s="1">
        <v>4.0</v>
      </c>
      <c r="DD324" s="1" t="s">
        <v>1631</v>
      </c>
      <c r="DE324" s="1">
        <v>1.23430508741389E-4</v>
      </c>
      <c r="DF324" s="1">
        <v>0.0468326019673004</v>
      </c>
    </row>
    <row r="325" ht="15.75" customHeight="1">
      <c r="A325" s="1" t="s">
        <v>1632</v>
      </c>
      <c r="B325" s="1">
        <v>29.0</v>
      </c>
      <c r="C325" s="2" t="s">
        <v>1606</v>
      </c>
      <c r="D325" s="2" t="s">
        <v>1633</v>
      </c>
      <c r="E325" s="1">
        <v>1.115</v>
      </c>
      <c r="F325" s="1">
        <v>29077.0</v>
      </c>
      <c r="G325" s="1">
        <v>2.90770008E10</v>
      </c>
      <c r="H325" s="1" t="s">
        <v>112</v>
      </c>
      <c r="I325" s="1" t="s">
        <v>113</v>
      </c>
      <c r="J325" s="1" t="s">
        <v>1607</v>
      </c>
      <c r="K325" s="1" t="s">
        <v>1634</v>
      </c>
      <c r="L325" s="1">
        <v>3494.0</v>
      </c>
      <c r="M325" s="1">
        <v>3757.0</v>
      </c>
      <c r="N325" s="1">
        <v>538.0</v>
      </c>
      <c r="O325" s="1">
        <v>1200.0</v>
      </c>
      <c r="P325" s="1">
        <v>1241.0</v>
      </c>
      <c r="Q325" s="1">
        <v>84.0</v>
      </c>
      <c r="R325" s="1">
        <v>1037.0</v>
      </c>
      <c r="S325" s="1">
        <v>707.0</v>
      </c>
      <c r="T325" s="1">
        <v>238.0</v>
      </c>
      <c r="U325" s="1">
        <v>300.0</v>
      </c>
      <c r="V325" s="1">
        <v>359.0</v>
      </c>
      <c r="W325" s="1">
        <v>9163.0</v>
      </c>
      <c r="X325" s="1">
        <v>1002.0</v>
      </c>
      <c r="Y325" s="1">
        <v>472.0</v>
      </c>
      <c r="Z325" s="1">
        <v>208.0</v>
      </c>
      <c r="AA325" s="1">
        <v>204.0</v>
      </c>
      <c r="AB325" s="1">
        <v>513.0</v>
      </c>
      <c r="AC325" s="1">
        <v>152.0</v>
      </c>
      <c r="AD325" s="1">
        <v>702.0</v>
      </c>
      <c r="AE325" s="1">
        <v>32.0</v>
      </c>
      <c r="AF325" s="1">
        <v>412.0</v>
      </c>
      <c r="AG325" s="1">
        <v>11.0</v>
      </c>
      <c r="AH325" s="1">
        <v>162.0</v>
      </c>
      <c r="AI325" s="1">
        <v>9.0</v>
      </c>
      <c r="AJ325" s="1">
        <v>16.0</v>
      </c>
      <c r="AK325" s="1">
        <v>11.0</v>
      </c>
      <c r="AL325" s="1">
        <v>115.0</v>
      </c>
      <c r="AM325" s="1">
        <v>115.0</v>
      </c>
      <c r="AN325" s="1">
        <v>63.0</v>
      </c>
      <c r="AO325" s="1">
        <v>1148.0</v>
      </c>
      <c r="AP325" s="1">
        <v>0.297058</v>
      </c>
      <c r="AQ325" s="1">
        <v>0.091622</v>
      </c>
      <c r="AR325" s="1">
        <v>0.15432</v>
      </c>
      <c r="AS325" s="1">
        <v>0.183159</v>
      </c>
      <c r="AT325" s="1">
        <v>9163.0</v>
      </c>
      <c r="AU325" s="1">
        <v>1002.0</v>
      </c>
      <c r="AV325" s="1">
        <v>0.290282</v>
      </c>
      <c r="AW325" s="1">
        <v>0.123292</v>
      </c>
      <c r="AX325" s="1">
        <v>0.058385</v>
      </c>
      <c r="AY325" s="1">
        <v>0.146823</v>
      </c>
      <c r="AZ325" s="1">
        <v>0.14657666</v>
      </c>
      <c r="BA325" s="1">
        <v>0.200915</v>
      </c>
      <c r="BB325" s="1">
        <v>0.008854</v>
      </c>
      <c r="BC325" s="1">
        <v>0.113993</v>
      </c>
      <c r="BD325" s="1">
        <v>0.008863</v>
      </c>
      <c r="BE325" s="1">
        <v>0.130538</v>
      </c>
      <c r="BF325" s="1">
        <v>0.007252</v>
      </c>
      <c r="BG325" s="1">
        <v>0.012883</v>
      </c>
      <c r="BH325" s="1">
        <v>0.010658</v>
      </c>
      <c r="BI325" s="1">
        <v>0.111427</v>
      </c>
      <c r="BJ325" s="1">
        <v>0.111434</v>
      </c>
      <c r="BK325" s="1">
        <v>0.059747</v>
      </c>
      <c r="BL325" s="1">
        <v>0.328563</v>
      </c>
      <c r="BM325" s="1">
        <v>0.882</v>
      </c>
      <c r="BN325" s="1">
        <v>0.905</v>
      </c>
      <c r="BO325" s="1">
        <v>0.9935</v>
      </c>
      <c r="BP325" s="1">
        <v>0.93</v>
      </c>
      <c r="BQ325" s="1">
        <v>3.7105</v>
      </c>
      <c r="BR325" s="1">
        <v>0.9625</v>
      </c>
      <c r="BS325" s="1">
        <v>0.038</v>
      </c>
      <c r="BT325" s="1">
        <v>0.062</v>
      </c>
      <c r="BU325" s="1">
        <v>0.782</v>
      </c>
      <c r="BV325" s="1">
        <v>0.882</v>
      </c>
      <c r="BW325" s="1">
        <v>0.088</v>
      </c>
      <c r="BX325" s="1">
        <v>0.711</v>
      </c>
      <c r="BY325" s="1">
        <v>0.693</v>
      </c>
      <c r="BZ325" s="1">
        <v>1.404</v>
      </c>
      <c r="CA325" s="1">
        <v>0.769</v>
      </c>
      <c r="CB325" s="1">
        <v>0.372</v>
      </c>
      <c r="CC325" s="1">
        <v>0.43</v>
      </c>
      <c r="CD325" s="1">
        <v>0.492</v>
      </c>
      <c r="CE325" s="1">
        <v>0.783</v>
      </c>
      <c r="CF325" s="1">
        <v>0.984</v>
      </c>
      <c r="CG325" s="1">
        <v>3.061</v>
      </c>
      <c r="CH325" s="1">
        <v>0.799</v>
      </c>
      <c r="CI325" s="1">
        <v>9.0575</v>
      </c>
      <c r="CJ325" s="1">
        <v>0.8606</v>
      </c>
      <c r="CK325" s="1">
        <v>0.0</v>
      </c>
      <c r="CL325" s="1">
        <v>1.0</v>
      </c>
      <c r="CM325" s="1">
        <v>1.0</v>
      </c>
      <c r="CN325" s="1">
        <v>1.0</v>
      </c>
      <c r="CO325" s="1">
        <v>3.0</v>
      </c>
      <c r="CP325" s="1">
        <v>0.0</v>
      </c>
      <c r="CQ325" s="1">
        <v>0.0</v>
      </c>
      <c r="CR325" s="1">
        <v>0.0</v>
      </c>
      <c r="CS325" s="1">
        <v>0.0</v>
      </c>
      <c r="CT325" s="1">
        <v>0.0</v>
      </c>
      <c r="CU325" s="1">
        <v>0.0</v>
      </c>
      <c r="CV325" s="1">
        <v>0.0</v>
      </c>
      <c r="CW325" s="1">
        <v>0.0</v>
      </c>
      <c r="CX325" s="1">
        <v>0.0</v>
      </c>
      <c r="CY325" s="1">
        <v>0.0</v>
      </c>
      <c r="CZ325" s="1">
        <v>0.0</v>
      </c>
      <c r="DA325" s="1">
        <v>1.0</v>
      </c>
      <c r="DB325" s="1">
        <v>1.0</v>
      </c>
      <c r="DC325" s="1">
        <v>4.0</v>
      </c>
      <c r="DD325" s="1" t="s">
        <v>1635</v>
      </c>
      <c r="DE325" s="1">
        <v>2.93592678691139E-4</v>
      </c>
      <c r="DF325" s="1">
        <v>0.0708412659176788</v>
      </c>
    </row>
    <row r="326" ht="15.75" customHeight="1">
      <c r="A326" s="1" t="s">
        <v>1636</v>
      </c>
      <c r="B326" s="1">
        <v>29.0</v>
      </c>
      <c r="C326" s="2" t="s">
        <v>1606</v>
      </c>
      <c r="D326" s="2" t="s">
        <v>1637</v>
      </c>
      <c r="E326" s="1">
        <v>0.489</v>
      </c>
      <c r="F326" s="1">
        <v>29077.0</v>
      </c>
      <c r="G326" s="1">
        <v>2.9077001302E10</v>
      </c>
      <c r="H326" s="1" t="s">
        <v>112</v>
      </c>
      <c r="I326" s="1" t="s">
        <v>113</v>
      </c>
      <c r="J326" s="1" t="s">
        <v>1607</v>
      </c>
      <c r="K326" s="1" t="s">
        <v>1638</v>
      </c>
      <c r="L326" s="1">
        <v>2032.0</v>
      </c>
      <c r="M326" s="1">
        <v>2408.0</v>
      </c>
      <c r="N326" s="1">
        <v>272.0</v>
      </c>
      <c r="O326" s="1">
        <v>1463.0</v>
      </c>
      <c r="P326" s="1">
        <v>1659.0</v>
      </c>
      <c r="Q326" s="1">
        <v>65.0</v>
      </c>
      <c r="R326" s="1">
        <v>1154.0</v>
      </c>
      <c r="S326" s="1">
        <v>457.0</v>
      </c>
      <c r="T326" s="1">
        <v>166.0</v>
      </c>
      <c r="U326" s="1">
        <v>26.0</v>
      </c>
      <c r="V326" s="1">
        <v>485.0</v>
      </c>
      <c r="W326" s="1">
        <v>19918.0</v>
      </c>
      <c r="X326" s="1">
        <v>2314.0</v>
      </c>
      <c r="Y326" s="1">
        <v>257.0</v>
      </c>
      <c r="Z326" s="1">
        <v>278.0</v>
      </c>
      <c r="AA326" s="1">
        <v>543.0</v>
      </c>
      <c r="AB326" s="1">
        <v>177.0</v>
      </c>
      <c r="AC326" s="1">
        <v>60.0</v>
      </c>
      <c r="AD326" s="1">
        <v>275.0</v>
      </c>
      <c r="AE326" s="1">
        <v>156.0</v>
      </c>
      <c r="AF326" s="1">
        <v>421.0</v>
      </c>
      <c r="AG326" s="1">
        <v>990.0</v>
      </c>
      <c r="AH326" s="1">
        <v>172.0</v>
      </c>
      <c r="AI326" s="1">
        <v>0.0</v>
      </c>
      <c r="AJ326" s="1">
        <v>114.0</v>
      </c>
      <c r="AK326" s="1">
        <v>46.0</v>
      </c>
      <c r="AL326" s="1">
        <v>132.0</v>
      </c>
      <c r="AM326" s="1">
        <v>175.0</v>
      </c>
      <c r="AN326" s="1">
        <v>69.0</v>
      </c>
      <c r="AO326" s="1">
        <v>140.0</v>
      </c>
      <c r="AP326" s="1">
        <v>0.202391</v>
      </c>
      <c r="AQ326" s="1">
        <v>0.069902</v>
      </c>
      <c r="AR326" s="1">
        <v>0.018465</v>
      </c>
      <c r="AS326" s="1">
        <v>0.344433</v>
      </c>
      <c r="AT326" s="1">
        <v>19918.0</v>
      </c>
      <c r="AU326" s="1">
        <v>2314.0</v>
      </c>
      <c r="AV326" s="1">
        <v>0.167754</v>
      </c>
      <c r="AW326" s="1">
        <v>0.180265</v>
      </c>
      <c r="AX326" s="1">
        <v>0.267224</v>
      </c>
      <c r="AY326" s="1">
        <v>0.087106</v>
      </c>
      <c r="AZ326" s="1">
        <v>0.05199306</v>
      </c>
      <c r="BA326" s="1">
        <v>0.135334</v>
      </c>
      <c r="BB326" s="1">
        <v>0.066981</v>
      </c>
      <c r="BC326" s="1">
        <v>0.180626</v>
      </c>
      <c r="BD326" s="1">
        <v>0.596745</v>
      </c>
      <c r="BE326" s="1">
        <v>0.101006</v>
      </c>
      <c r="BF326" s="1">
        <v>0.0</v>
      </c>
      <c r="BG326" s="1">
        <v>0.068716</v>
      </c>
      <c r="BH326" s="1">
        <v>0.030203</v>
      </c>
      <c r="BI326" s="1">
        <v>0.086645</v>
      </c>
      <c r="BJ326" s="1">
        <v>0.114904</v>
      </c>
      <c r="BK326" s="1">
        <v>0.044593</v>
      </c>
      <c r="BL326" s="1">
        <v>0.068897</v>
      </c>
      <c r="BM326" s="1">
        <v>0.738</v>
      </c>
      <c r="BN326" s="1">
        <v>0.023</v>
      </c>
      <c r="BO326" s="1">
        <v>0.6188</v>
      </c>
      <c r="BP326" s="1">
        <v>0.646</v>
      </c>
      <c r="BQ326" s="1">
        <v>2.0258</v>
      </c>
      <c r="BR326" s="1">
        <v>0.5069</v>
      </c>
      <c r="BS326" s="1">
        <v>0.979</v>
      </c>
      <c r="BT326" s="1">
        <v>0.019</v>
      </c>
      <c r="BU326" s="1">
        <v>0.084</v>
      </c>
      <c r="BV326" s="1">
        <v>1.082</v>
      </c>
      <c r="BW326" s="1">
        <v>0.156</v>
      </c>
      <c r="BX326" s="1">
        <v>0.576</v>
      </c>
      <c r="BY326" s="1">
        <v>0.971</v>
      </c>
      <c r="BZ326" s="1">
        <v>1.547</v>
      </c>
      <c r="CA326" s="1">
        <v>0.849</v>
      </c>
      <c r="CB326" s="1">
        <v>0.986</v>
      </c>
      <c r="CC326" s="1">
        <v>0.0</v>
      </c>
      <c r="CD326" s="1">
        <v>0.809</v>
      </c>
      <c r="CE326" s="1">
        <v>0.796</v>
      </c>
      <c r="CF326" s="1">
        <v>0.919</v>
      </c>
      <c r="CG326" s="1">
        <v>3.51</v>
      </c>
      <c r="CH326" s="1">
        <v>0.937</v>
      </c>
      <c r="CI326" s="1">
        <v>8.1648</v>
      </c>
      <c r="CJ326" s="1">
        <v>0.7379</v>
      </c>
      <c r="CK326" s="1">
        <v>0.0</v>
      </c>
      <c r="CL326" s="1">
        <v>0.0</v>
      </c>
      <c r="CM326" s="1">
        <v>0.0</v>
      </c>
      <c r="CN326" s="1">
        <v>0.0</v>
      </c>
      <c r="CO326" s="1">
        <v>0.0</v>
      </c>
      <c r="CP326" s="1">
        <v>1.0</v>
      </c>
      <c r="CQ326" s="1">
        <v>0.0</v>
      </c>
      <c r="CR326" s="1">
        <v>0.0</v>
      </c>
      <c r="CS326" s="1">
        <v>1.0</v>
      </c>
      <c r="CT326" s="1">
        <v>0.0</v>
      </c>
      <c r="CU326" s="1">
        <v>1.0</v>
      </c>
      <c r="CV326" s="1">
        <v>1.0</v>
      </c>
      <c r="CW326" s="1">
        <v>1.0</v>
      </c>
      <c r="CX326" s="1">
        <v>0.0</v>
      </c>
      <c r="CY326" s="1">
        <v>0.0</v>
      </c>
      <c r="CZ326" s="1">
        <v>0.0</v>
      </c>
      <c r="DA326" s="1">
        <v>1.0</v>
      </c>
      <c r="DB326" s="1">
        <v>2.0</v>
      </c>
      <c r="DC326" s="1">
        <v>4.0</v>
      </c>
      <c r="DD326" s="1" t="s">
        <v>1639</v>
      </c>
      <c r="DE326" s="1">
        <v>1.28614467819736E-4</v>
      </c>
      <c r="DF326" s="1">
        <v>0.0504859392060096</v>
      </c>
    </row>
    <row r="327" ht="15.75" customHeight="1">
      <c r="A327" s="1" t="s">
        <v>1640</v>
      </c>
      <c r="B327" s="1">
        <v>29.0</v>
      </c>
      <c r="C327" s="2" t="s">
        <v>1606</v>
      </c>
      <c r="D327" s="2" t="s">
        <v>1641</v>
      </c>
      <c r="E327" s="1">
        <v>0.744</v>
      </c>
      <c r="F327" s="1">
        <v>29077.0</v>
      </c>
      <c r="G327" s="1">
        <v>2.90770019E10</v>
      </c>
      <c r="H327" s="1" t="s">
        <v>112</v>
      </c>
      <c r="I327" s="1" t="s">
        <v>113</v>
      </c>
      <c r="J327" s="1" t="s">
        <v>1607</v>
      </c>
      <c r="K327" s="1" t="s">
        <v>1642</v>
      </c>
      <c r="L327" s="1">
        <v>2977.0</v>
      </c>
      <c r="M327" s="1">
        <v>3149.0</v>
      </c>
      <c r="N327" s="1">
        <v>338.0</v>
      </c>
      <c r="O327" s="1">
        <v>1415.0</v>
      </c>
      <c r="P327" s="1">
        <v>1464.0</v>
      </c>
      <c r="Q327" s="1">
        <v>50.0</v>
      </c>
      <c r="R327" s="1">
        <v>1241.0</v>
      </c>
      <c r="S327" s="1">
        <v>950.0</v>
      </c>
      <c r="T327" s="1">
        <v>413.0</v>
      </c>
      <c r="U327" s="1">
        <v>160.0</v>
      </c>
      <c r="V327" s="1">
        <v>387.0</v>
      </c>
      <c r="W327" s="1">
        <v>13290.0</v>
      </c>
      <c r="X327" s="1">
        <v>1751.0</v>
      </c>
      <c r="Y327" s="1">
        <v>392.0</v>
      </c>
      <c r="Z327" s="1">
        <v>284.0</v>
      </c>
      <c r="AA327" s="1">
        <v>288.0</v>
      </c>
      <c r="AB327" s="1">
        <v>746.0</v>
      </c>
      <c r="AC327" s="1">
        <v>214.0</v>
      </c>
      <c r="AD327" s="1">
        <v>433.0</v>
      </c>
      <c r="AE327" s="1">
        <v>36.0</v>
      </c>
      <c r="AF327" s="1">
        <v>429.0</v>
      </c>
      <c r="AG327" s="1">
        <v>11.0</v>
      </c>
      <c r="AH327" s="1">
        <v>162.0</v>
      </c>
      <c r="AI327" s="1">
        <v>0.0</v>
      </c>
      <c r="AJ327" s="1">
        <v>114.0</v>
      </c>
      <c r="AK327" s="1">
        <v>55.0</v>
      </c>
      <c r="AL327" s="1">
        <v>122.0</v>
      </c>
      <c r="AM327" s="1">
        <v>114.0</v>
      </c>
      <c r="AN327" s="1">
        <v>62.0</v>
      </c>
      <c r="AO327" s="1">
        <v>6.0</v>
      </c>
      <c r="AP327" s="1">
        <v>0.306254</v>
      </c>
      <c r="AQ327" s="1">
        <v>0.129166</v>
      </c>
      <c r="AR327" s="1">
        <v>0.11843</v>
      </c>
      <c r="AS327" s="1">
        <v>0.285145</v>
      </c>
      <c r="AT327" s="1">
        <v>13290.0</v>
      </c>
      <c r="AU327" s="1">
        <v>1751.0</v>
      </c>
      <c r="AV327" s="1">
        <v>0.18928</v>
      </c>
      <c r="AW327" s="1">
        <v>0.135769</v>
      </c>
      <c r="AX327" s="1">
        <v>0.096741</v>
      </c>
      <c r="AY327" s="1">
        <v>0.250587</v>
      </c>
      <c r="AZ327" s="1">
        <v>0.17244157</v>
      </c>
      <c r="BA327" s="1">
        <v>0.145448</v>
      </c>
      <c r="BB327" s="1">
        <v>0.012178</v>
      </c>
      <c r="BC327" s="1">
        <v>0.145123</v>
      </c>
      <c r="BD327" s="1">
        <v>0.007513</v>
      </c>
      <c r="BE327" s="1">
        <v>0.110655</v>
      </c>
      <c r="BF327" s="1">
        <v>0.0</v>
      </c>
      <c r="BG327" s="1">
        <v>0.077868</v>
      </c>
      <c r="BH327" s="1">
        <v>0.044498</v>
      </c>
      <c r="BI327" s="1">
        <v>0.098643</v>
      </c>
      <c r="BJ327" s="1">
        <v>0.092233</v>
      </c>
      <c r="BK327" s="1">
        <v>0.049636</v>
      </c>
      <c r="BL327" s="1">
        <v>0.002015</v>
      </c>
      <c r="BM327" s="1">
        <v>0.89</v>
      </c>
      <c r="BN327" s="1">
        <v>0.817</v>
      </c>
      <c r="BO327" s="1">
        <v>0.9292</v>
      </c>
      <c r="BP327" s="1">
        <v>0.723</v>
      </c>
      <c r="BQ327" s="1">
        <v>3.3592</v>
      </c>
      <c r="BR327" s="1">
        <v>0.8903</v>
      </c>
      <c r="BS327" s="1">
        <v>0.192</v>
      </c>
      <c r="BT327" s="1">
        <v>0.603</v>
      </c>
      <c r="BU327" s="1">
        <v>0.847</v>
      </c>
      <c r="BV327" s="1">
        <v>1.642</v>
      </c>
      <c r="BW327" s="1">
        <v>0.597</v>
      </c>
      <c r="BX327" s="1">
        <v>0.608</v>
      </c>
      <c r="BY327" s="1">
        <v>0.774</v>
      </c>
      <c r="BZ327" s="1">
        <v>1.382</v>
      </c>
      <c r="CA327" s="1">
        <v>0.758</v>
      </c>
      <c r="CB327" s="1">
        <v>0.358</v>
      </c>
      <c r="CC327" s="1">
        <v>0.0</v>
      </c>
      <c r="CD327" s="1">
        <v>0.912</v>
      </c>
      <c r="CE327" s="1">
        <v>0.726</v>
      </c>
      <c r="CF327" s="1">
        <v>0.444</v>
      </c>
      <c r="CG327" s="1">
        <v>2.44</v>
      </c>
      <c r="CH327" s="1">
        <v>0.537</v>
      </c>
      <c r="CI327" s="1">
        <v>8.8232</v>
      </c>
      <c r="CJ327" s="1">
        <v>0.8303</v>
      </c>
      <c r="CK327" s="1">
        <v>0.0</v>
      </c>
      <c r="CL327" s="1">
        <v>0.0</v>
      </c>
      <c r="CM327" s="1">
        <v>1.0</v>
      </c>
      <c r="CN327" s="1">
        <v>0.0</v>
      </c>
      <c r="CO327" s="1">
        <v>1.0</v>
      </c>
      <c r="CP327" s="1">
        <v>0.0</v>
      </c>
      <c r="CQ327" s="1">
        <v>0.0</v>
      </c>
      <c r="CR327" s="1">
        <v>0.0</v>
      </c>
      <c r="CS327" s="1">
        <v>0.0</v>
      </c>
      <c r="CT327" s="1">
        <v>0.0</v>
      </c>
      <c r="CU327" s="1">
        <v>0.0</v>
      </c>
      <c r="CV327" s="1">
        <v>0.0</v>
      </c>
      <c r="CW327" s="1">
        <v>0.0</v>
      </c>
      <c r="CX327" s="1">
        <v>0.0</v>
      </c>
      <c r="CY327" s="1">
        <v>1.0</v>
      </c>
      <c r="CZ327" s="1">
        <v>0.0</v>
      </c>
      <c r="DA327" s="1">
        <v>0.0</v>
      </c>
      <c r="DB327" s="1">
        <v>1.0</v>
      </c>
      <c r="DC327" s="1">
        <v>2.0</v>
      </c>
      <c r="DD327" s="1" t="s">
        <v>1643</v>
      </c>
      <c r="DE327" s="1">
        <v>1.95667052120097E-4</v>
      </c>
      <c r="DF327" s="1">
        <v>0.0573870338038303</v>
      </c>
    </row>
    <row r="328" ht="15.75" customHeight="1">
      <c r="A328" s="1" t="s">
        <v>1644</v>
      </c>
      <c r="B328" s="1">
        <v>29.0</v>
      </c>
      <c r="C328" s="2" t="s">
        <v>1606</v>
      </c>
      <c r="D328" s="2" t="s">
        <v>1645</v>
      </c>
      <c r="E328" s="1">
        <v>5.423</v>
      </c>
      <c r="F328" s="1">
        <v>29077.0</v>
      </c>
      <c r="G328" s="1">
        <v>2.9077004101E10</v>
      </c>
      <c r="H328" s="1" t="s">
        <v>112</v>
      </c>
      <c r="I328" s="1" t="s">
        <v>113</v>
      </c>
      <c r="J328" s="1" t="s">
        <v>1607</v>
      </c>
      <c r="K328" s="1" t="s">
        <v>1646</v>
      </c>
      <c r="L328" s="1">
        <v>8332.0</v>
      </c>
      <c r="M328" s="1">
        <v>7567.0</v>
      </c>
      <c r="N328" s="1">
        <v>396.0</v>
      </c>
      <c r="O328" s="1">
        <v>3281.0</v>
      </c>
      <c r="P328" s="1">
        <v>2914.0</v>
      </c>
      <c r="Q328" s="1">
        <v>156.0</v>
      </c>
      <c r="R328" s="1">
        <v>3153.0</v>
      </c>
      <c r="S328" s="1">
        <v>364.0</v>
      </c>
      <c r="T328" s="1">
        <v>177.0</v>
      </c>
      <c r="U328" s="1">
        <v>161.0</v>
      </c>
      <c r="V328" s="1">
        <v>403.0</v>
      </c>
      <c r="W328" s="1">
        <v>26648.0</v>
      </c>
      <c r="X328" s="1">
        <v>2387.0</v>
      </c>
      <c r="Y328" s="1">
        <v>274.0</v>
      </c>
      <c r="Z328" s="1">
        <v>298.0</v>
      </c>
      <c r="AA328" s="1">
        <v>831.0</v>
      </c>
      <c r="AB328" s="1">
        <v>2320.0</v>
      </c>
      <c r="AC328" s="1">
        <v>242.0</v>
      </c>
      <c r="AD328" s="1">
        <v>740.0</v>
      </c>
      <c r="AE328" s="1">
        <v>19.0</v>
      </c>
      <c r="AF328" s="1">
        <v>443.0</v>
      </c>
      <c r="AG328" s="1">
        <v>96.0</v>
      </c>
      <c r="AH328" s="1">
        <v>139.0</v>
      </c>
      <c r="AI328" s="1">
        <v>55.0</v>
      </c>
      <c r="AJ328" s="1">
        <v>63.0</v>
      </c>
      <c r="AK328" s="1">
        <v>0.0</v>
      </c>
      <c r="AL328" s="1">
        <v>161.0</v>
      </c>
      <c r="AM328" s="1">
        <v>68.0</v>
      </c>
      <c r="AN328" s="1">
        <v>127.0</v>
      </c>
      <c r="AO328" s="1">
        <v>0.0</v>
      </c>
      <c r="AP328" s="1">
        <v>0.048339</v>
      </c>
      <c r="AQ328" s="1">
        <v>0.023376</v>
      </c>
      <c r="AR328" s="1">
        <v>0.040564</v>
      </c>
      <c r="AS328" s="1">
        <v>0.101475</v>
      </c>
      <c r="AT328" s="1">
        <v>26648.0</v>
      </c>
      <c r="AU328" s="1">
        <v>2387.0</v>
      </c>
      <c r="AV328" s="1">
        <v>0.053757</v>
      </c>
      <c r="AW328" s="1">
        <v>0.05838</v>
      </c>
      <c r="AX328" s="1">
        <v>0.099735</v>
      </c>
      <c r="AY328" s="1">
        <v>0.278444</v>
      </c>
      <c r="AZ328" s="1">
        <v>0.07675229</v>
      </c>
      <c r="BA328" s="1">
        <v>0.088814</v>
      </c>
      <c r="BB328" s="1">
        <v>0.002736</v>
      </c>
      <c r="BC328" s="1">
        <v>0.063814</v>
      </c>
      <c r="BD328" s="1">
        <v>0.032944</v>
      </c>
      <c r="BE328" s="1">
        <v>0.047668</v>
      </c>
      <c r="BF328" s="1">
        <v>0.018874</v>
      </c>
      <c r="BG328" s="1">
        <v>0.021596</v>
      </c>
      <c r="BH328" s="1">
        <v>0.0</v>
      </c>
      <c r="BI328" s="1">
        <v>0.05673</v>
      </c>
      <c r="BJ328" s="1">
        <v>0.02396</v>
      </c>
      <c r="BK328" s="1">
        <v>0.044731</v>
      </c>
      <c r="BL328" s="1">
        <v>0.0</v>
      </c>
      <c r="BM328" s="1">
        <v>0.16</v>
      </c>
      <c r="BN328" s="1">
        <v>0.184</v>
      </c>
      <c r="BO328" s="1">
        <v>0.2953</v>
      </c>
      <c r="BP328" s="1">
        <v>0.142</v>
      </c>
      <c r="BQ328" s="1">
        <v>0.7813</v>
      </c>
      <c r="BR328" s="1">
        <v>0.1531</v>
      </c>
      <c r="BS328" s="1">
        <v>0.21</v>
      </c>
      <c r="BT328" s="1">
        <v>0.842</v>
      </c>
      <c r="BU328" s="1">
        <v>0.271</v>
      </c>
      <c r="BV328" s="1">
        <v>1.323</v>
      </c>
      <c r="BW328" s="1">
        <v>0.32</v>
      </c>
      <c r="BX328" s="1">
        <v>0.425</v>
      </c>
      <c r="BY328" s="1">
        <v>0.433</v>
      </c>
      <c r="BZ328" s="1">
        <v>0.858</v>
      </c>
      <c r="CA328" s="1">
        <v>0.442</v>
      </c>
      <c r="CB328" s="1">
        <v>0.566</v>
      </c>
      <c r="CC328" s="1">
        <v>0.507</v>
      </c>
      <c r="CD328" s="1">
        <v>0.0</v>
      </c>
      <c r="CE328" s="1">
        <v>0.228</v>
      </c>
      <c r="CF328" s="1">
        <v>0.0</v>
      </c>
      <c r="CG328" s="1">
        <v>1.301</v>
      </c>
      <c r="CH328" s="1">
        <v>0.127</v>
      </c>
      <c r="CI328" s="1">
        <v>4.2633</v>
      </c>
      <c r="CJ328" s="1">
        <v>0.1126</v>
      </c>
      <c r="CK328" s="1">
        <v>0.0</v>
      </c>
      <c r="CL328" s="1">
        <v>0.0</v>
      </c>
      <c r="CM328" s="1">
        <v>0.0</v>
      </c>
      <c r="CN328" s="1">
        <v>0.0</v>
      </c>
      <c r="CO328" s="1">
        <v>0.0</v>
      </c>
      <c r="CP328" s="1">
        <v>0.0</v>
      </c>
      <c r="CQ328" s="1">
        <v>0.0</v>
      </c>
      <c r="CR328" s="1">
        <v>0.0</v>
      </c>
      <c r="CS328" s="1">
        <v>0.0</v>
      </c>
      <c r="CT328" s="1">
        <v>0.0</v>
      </c>
      <c r="CU328" s="1">
        <v>0.0</v>
      </c>
      <c r="CV328" s="1">
        <v>0.0</v>
      </c>
      <c r="CW328" s="1">
        <v>0.0</v>
      </c>
      <c r="CX328" s="1">
        <v>0.0</v>
      </c>
      <c r="CY328" s="1">
        <v>0.0</v>
      </c>
      <c r="CZ328" s="1">
        <v>0.0</v>
      </c>
      <c r="DA328" s="1">
        <v>0.0</v>
      </c>
      <c r="DB328" s="1">
        <v>0.0</v>
      </c>
      <c r="DC328" s="1">
        <v>0.0</v>
      </c>
      <c r="DD328" s="1" t="s">
        <v>1647</v>
      </c>
      <c r="DE328" s="1">
        <v>0.00142402220598852</v>
      </c>
      <c r="DF328" s="2" t="s">
        <v>1648</v>
      </c>
    </row>
    <row r="329" ht="15.75" customHeight="1">
      <c r="A329" s="1" t="s">
        <v>1649</v>
      </c>
      <c r="B329" s="1">
        <v>29.0</v>
      </c>
      <c r="C329" s="2" t="s">
        <v>1606</v>
      </c>
      <c r="D329" s="2" t="s">
        <v>1650</v>
      </c>
      <c r="E329" s="1">
        <v>5.412</v>
      </c>
      <c r="F329" s="1">
        <v>29077.0</v>
      </c>
      <c r="G329" s="1">
        <v>2.90770044E10</v>
      </c>
      <c r="H329" s="1" t="s">
        <v>112</v>
      </c>
      <c r="I329" s="1" t="s">
        <v>113</v>
      </c>
      <c r="J329" s="1" t="s">
        <v>1607</v>
      </c>
      <c r="K329" s="1" t="s">
        <v>1651</v>
      </c>
      <c r="L329" s="1">
        <v>6813.0</v>
      </c>
      <c r="M329" s="1">
        <v>7452.0</v>
      </c>
      <c r="N329" s="1">
        <v>605.0</v>
      </c>
      <c r="O329" s="1">
        <v>3042.0</v>
      </c>
      <c r="P329" s="1">
        <v>3003.0</v>
      </c>
      <c r="Q329" s="1">
        <v>135.0</v>
      </c>
      <c r="R329" s="1">
        <v>2826.0</v>
      </c>
      <c r="S329" s="1">
        <v>938.0</v>
      </c>
      <c r="T329" s="1">
        <v>314.0</v>
      </c>
      <c r="U329" s="1">
        <v>330.0</v>
      </c>
      <c r="V329" s="1">
        <v>355.0</v>
      </c>
      <c r="W329" s="1">
        <v>21748.0</v>
      </c>
      <c r="X329" s="1">
        <v>1723.0</v>
      </c>
      <c r="Y329" s="1">
        <v>728.0</v>
      </c>
      <c r="Z329" s="1">
        <v>292.0</v>
      </c>
      <c r="AA329" s="1">
        <v>1431.0</v>
      </c>
      <c r="AB329" s="1">
        <v>1229.0</v>
      </c>
      <c r="AC329" s="1">
        <v>226.0</v>
      </c>
      <c r="AD329" s="1">
        <v>623.0</v>
      </c>
      <c r="AE329" s="1">
        <v>13.0</v>
      </c>
      <c r="AF329" s="1">
        <v>442.0</v>
      </c>
      <c r="AG329" s="1">
        <v>476.0</v>
      </c>
      <c r="AH329" s="1">
        <v>138.0</v>
      </c>
      <c r="AI329" s="1">
        <v>15.0</v>
      </c>
      <c r="AJ329" s="1">
        <v>25.0</v>
      </c>
      <c r="AK329" s="1">
        <v>16.0</v>
      </c>
      <c r="AL329" s="1">
        <v>117.0</v>
      </c>
      <c r="AM329" s="1">
        <v>351.0</v>
      </c>
      <c r="AN329" s="1">
        <v>121.0</v>
      </c>
      <c r="AO329" s="1">
        <v>625.0</v>
      </c>
      <c r="AP329" s="1">
        <v>0.139148</v>
      </c>
      <c r="AQ329" s="1">
        <v>0.045075</v>
      </c>
      <c r="AR329" s="1">
        <v>0.0896</v>
      </c>
      <c r="AS329" s="1">
        <v>0.095893</v>
      </c>
      <c r="AT329" s="1">
        <v>21748.0</v>
      </c>
      <c r="AU329" s="1">
        <v>1723.0</v>
      </c>
      <c r="AV329" s="1">
        <v>0.138666</v>
      </c>
      <c r="AW329" s="1">
        <v>0.054549</v>
      </c>
      <c r="AX329" s="1">
        <v>0.210039</v>
      </c>
      <c r="AY329" s="1">
        <v>0.18039</v>
      </c>
      <c r="AZ329" s="1">
        <v>0.07997169</v>
      </c>
      <c r="BA329" s="1">
        <v>0.091442</v>
      </c>
      <c r="BB329" s="1">
        <v>0.001814</v>
      </c>
      <c r="BC329" s="1">
        <v>0.061697</v>
      </c>
      <c r="BD329" s="1">
        <v>0.158508</v>
      </c>
      <c r="BE329" s="1">
        <v>0.045398</v>
      </c>
      <c r="BF329" s="1">
        <v>0.004995</v>
      </c>
      <c r="BG329" s="1">
        <v>0.008321</v>
      </c>
      <c r="BH329" s="1">
        <v>0.005481</v>
      </c>
      <c r="BI329" s="1">
        <v>0.040081</v>
      </c>
      <c r="BJ329" s="1">
        <v>0.120246</v>
      </c>
      <c r="BK329" s="1">
        <v>0.040964</v>
      </c>
      <c r="BL329" s="1">
        <v>0.091736</v>
      </c>
      <c r="BM329" s="1">
        <v>0.541</v>
      </c>
      <c r="BN329" s="1">
        <v>0.678</v>
      </c>
      <c r="BO329" s="1">
        <v>0.509</v>
      </c>
      <c r="BP329" s="1">
        <v>0.515</v>
      </c>
      <c r="BQ329" s="1">
        <v>2.243</v>
      </c>
      <c r="BR329" s="1">
        <v>0.5819</v>
      </c>
      <c r="BS329" s="1">
        <v>0.908</v>
      </c>
      <c r="BT329" s="1">
        <v>0.12</v>
      </c>
      <c r="BU329" s="1">
        <v>0.303</v>
      </c>
      <c r="BV329" s="1">
        <v>1.331</v>
      </c>
      <c r="BW329" s="1">
        <v>0.328</v>
      </c>
      <c r="BX329" s="1">
        <v>0.433</v>
      </c>
      <c r="BY329" s="1">
        <v>0.371</v>
      </c>
      <c r="BZ329" s="1">
        <v>0.804</v>
      </c>
      <c r="CA329" s="1">
        <v>0.403</v>
      </c>
      <c r="CB329" s="1">
        <v>0.851</v>
      </c>
      <c r="CC329" s="1">
        <v>0.394</v>
      </c>
      <c r="CD329" s="1">
        <v>0.346</v>
      </c>
      <c r="CE329" s="1">
        <v>0.807</v>
      </c>
      <c r="CF329" s="1">
        <v>0.939</v>
      </c>
      <c r="CG329" s="1">
        <v>3.337</v>
      </c>
      <c r="CH329" s="1">
        <v>0.888</v>
      </c>
      <c r="CI329" s="1">
        <v>7.715</v>
      </c>
      <c r="CJ329" s="1">
        <v>0.6722</v>
      </c>
      <c r="CK329" s="1">
        <v>0.0</v>
      </c>
      <c r="CL329" s="1">
        <v>0.0</v>
      </c>
      <c r="CM329" s="1">
        <v>0.0</v>
      </c>
      <c r="CN329" s="1">
        <v>0.0</v>
      </c>
      <c r="CO329" s="1">
        <v>0.0</v>
      </c>
      <c r="CP329" s="1">
        <v>1.0</v>
      </c>
      <c r="CQ329" s="1">
        <v>0.0</v>
      </c>
      <c r="CR329" s="1">
        <v>0.0</v>
      </c>
      <c r="CS329" s="1">
        <v>1.0</v>
      </c>
      <c r="CT329" s="1">
        <v>0.0</v>
      </c>
      <c r="CU329" s="1">
        <v>0.0</v>
      </c>
      <c r="CV329" s="1">
        <v>0.0</v>
      </c>
      <c r="CW329" s="1">
        <v>0.0</v>
      </c>
      <c r="CX329" s="1">
        <v>0.0</v>
      </c>
      <c r="CY329" s="1">
        <v>0.0</v>
      </c>
      <c r="CZ329" s="1">
        <v>0.0</v>
      </c>
      <c r="DA329" s="1">
        <v>1.0</v>
      </c>
      <c r="DB329" s="1">
        <v>1.0</v>
      </c>
      <c r="DC329" s="1">
        <v>2.0</v>
      </c>
      <c r="DD329" s="1" t="s">
        <v>1652</v>
      </c>
      <c r="DE329" s="1">
        <v>0.00142642092552293</v>
      </c>
      <c r="DF329" s="2" t="s">
        <v>1653</v>
      </c>
    </row>
    <row r="330" ht="15.75" customHeight="1">
      <c r="A330" s="1" t="s">
        <v>1654</v>
      </c>
      <c r="B330" s="1">
        <v>29.0</v>
      </c>
      <c r="C330" s="2" t="s">
        <v>1606</v>
      </c>
      <c r="D330" s="2" t="s">
        <v>1655</v>
      </c>
      <c r="E330" s="1">
        <v>2.823</v>
      </c>
      <c r="F330" s="1">
        <v>29077.0</v>
      </c>
      <c r="G330" s="1">
        <v>2.9077004802E10</v>
      </c>
      <c r="H330" s="1" t="s">
        <v>112</v>
      </c>
      <c r="I330" s="1" t="s">
        <v>113</v>
      </c>
      <c r="J330" s="1" t="s">
        <v>1607</v>
      </c>
      <c r="K330" s="1" t="s">
        <v>1656</v>
      </c>
      <c r="L330" s="1">
        <v>7470.0</v>
      </c>
      <c r="M330" s="1">
        <v>7254.0</v>
      </c>
      <c r="N330" s="1">
        <v>401.0</v>
      </c>
      <c r="O330" s="1">
        <v>2943.0</v>
      </c>
      <c r="P330" s="1">
        <v>3078.0</v>
      </c>
      <c r="Q330" s="1">
        <v>153.0</v>
      </c>
      <c r="R330" s="1">
        <v>2765.0</v>
      </c>
      <c r="S330" s="1">
        <v>524.0</v>
      </c>
      <c r="T330" s="1">
        <v>233.0</v>
      </c>
      <c r="U330" s="1">
        <v>134.0</v>
      </c>
      <c r="V330" s="1">
        <v>419.0</v>
      </c>
      <c r="W330" s="1">
        <v>22253.0</v>
      </c>
      <c r="X330" s="1">
        <v>1856.0</v>
      </c>
      <c r="Y330" s="1">
        <v>542.0</v>
      </c>
      <c r="Z330" s="1">
        <v>277.0</v>
      </c>
      <c r="AA330" s="1">
        <v>834.0</v>
      </c>
      <c r="AB330" s="1">
        <v>2212.0</v>
      </c>
      <c r="AC330" s="1">
        <v>374.0</v>
      </c>
      <c r="AD330" s="1">
        <v>408.0</v>
      </c>
      <c r="AE330" s="1">
        <v>0.0</v>
      </c>
      <c r="AF330" s="1">
        <v>456.0</v>
      </c>
      <c r="AG330" s="1">
        <v>208.0</v>
      </c>
      <c r="AH330" s="1">
        <v>86.0</v>
      </c>
      <c r="AI330" s="1">
        <v>0.0</v>
      </c>
      <c r="AJ330" s="1">
        <v>114.0</v>
      </c>
      <c r="AK330" s="1">
        <v>17.0</v>
      </c>
      <c r="AL330" s="1">
        <v>117.0</v>
      </c>
      <c r="AM330" s="1">
        <v>140.0</v>
      </c>
      <c r="AN330" s="1">
        <v>86.0</v>
      </c>
      <c r="AO330" s="1">
        <v>59.0</v>
      </c>
      <c r="AP330" s="1">
        <v>0.074063</v>
      </c>
      <c r="AQ330" s="1">
        <v>0.032629</v>
      </c>
      <c r="AR330" s="1">
        <v>0.035459</v>
      </c>
      <c r="AS330" s="1">
        <v>0.110818</v>
      </c>
      <c r="AT330" s="1">
        <v>22253.0</v>
      </c>
      <c r="AU330" s="1">
        <v>1856.0</v>
      </c>
      <c r="AV330" s="1">
        <v>0.123097</v>
      </c>
      <c r="AW330" s="1">
        <v>0.062247</v>
      </c>
      <c r="AX330" s="1">
        <v>0.111646</v>
      </c>
      <c r="AY330" s="1">
        <v>0.296117</v>
      </c>
      <c r="AZ330" s="1">
        <v>0.1352622</v>
      </c>
      <c r="BA330" s="1">
        <v>0.054618</v>
      </c>
      <c r="BB330" s="1">
        <v>0.0</v>
      </c>
      <c r="BC330" s="1">
        <v>0.067786</v>
      </c>
      <c r="BD330" s="1">
        <v>0.067576</v>
      </c>
      <c r="BE330" s="1">
        <v>0.027737</v>
      </c>
      <c r="BF330" s="1">
        <v>0.0</v>
      </c>
      <c r="BG330" s="1">
        <v>0.037037</v>
      </c>
      <c r="BH330" s="1">
        <v>0.006163</v>
      </c>
      <c r="BI330" s="1">
        <v>0.04242</v>
      </c>
      <c r="BJ330" s="1">
        <v>0.050761</v>
      </c>
      <c r="BK330" s="1">
        <v>0.03102</v>
      </c>
      <c r="BL330" s="1">
        <v>0.007898</v>
      </c>
      <c r="BM330" s="1">
        <v>0.263</v>
      </c>
      <c r="BN330" s="1">
        <v>0.138</v>
      </c>
      <c r="BO330" s="1">
        <v>0.4801</v>
      </c>
      <c r="BP330" s="1">
        <v>0.442</v>
      </c>
      <c r="BQ330" s="1">
        <v>1.3231</v>
      </c>
      <c r="BR330" s="1">
        <v>0.2852</v>
      </c>
      <c r="BS330" s="1">
        <v>0.284</v>
      </c>
      <c r="BT330" s="1">
        <v>0.908</v>
      </c>
      <c r="BU330" s="1">
        <v>0.74</v>
      </c>
      <c r="BV330" s="1">
        <v>1.932</v>
      </c>
      <c r="BW330" s="1">
        <v>0.822</v>
      </c>
      <c r="BX330" s="1">
        <v>0.282</v>
      </c>
      <c r="BY330" s="1">
        <v>0.0</v>
      </c>
      <c r="BZ330" s="1">
        <v>0.282</v>
      </c>
      <c r="CA330" s="1">
        <v>0.12</v>
      </c>
      <c r="CB330" s="1">
        <v>0.71</v>
      </c>
      <c r="CC330" s="1">
        <v>0.0</v>
      </c>
      <c r="CD330" s="1">
        <v>0.363</v>
      </c>
      <c r="CE330" s="1">
        <v>0.492</v>
      </c>
      <c r="CF330" s="1">
        <v>0.55</v>
      </c>
      <c r="CG330" s="1">
        <v>2.115</v>
      </c>
      <c r="CH330" s="1">
        <v>0.389</v>
      </c>
      <c r="CI330" s="1">
        <v>5.6521</v>
      </c>
      <c r="CJ330" s="1">
        <v>0.3112</v>
      </c>
      <c r="CK330" s="1">
        <v>0.0</v>
      </c>
      <c r="CL330" s="1">
        <v>0.0</v>
      </c>
      <c r="CM330" s="1">
        <v>0.0</v>
      </c>
      <c r="CN330" s="1">
        <v>0.0</v>
      </c>
      <c r="CO330" s="1">
        <v>0.0</v>
      </c>
      <c r="CP330" s="1">
        <v>0.0</v>
      </c>
      <c r="CQ330" s="1">
        <v>1.0</v>
      </c>
      <c r="CR330" s="1">
        <v>0.0</v>
      </c>
      <c r="CS330" s="1">
        <v>1.0</v>
      </c>
      <c r="CT330" s="1">
        <v>0.0</v>
      </c>
      <c r="CU330" s="1">
        <v>0.0</v>
      </c>
      <c r="CV330" s="1">
        <v>0.0</v>
      </c>
      <c r="CW330" s="1">
        <v>0.0</v>
      </c>
      <c r="CX330" s="1">
        <v>0.0</v>
      </c>
      <c r="CY330" s="1">
        <v>0.0</v>
      </c>
      <c r="CZ330" s="1">
        <v>0.0</v>
      </c>
      <c r="DA330" s="1">
        <v>0.0</v>
      </c>
      <c r="DB330" s="1">
        <v>0.0</v>
      </c>
      <c r="DC330" s="1">
        <v>1.0</v>
      </c>
      <c r="DD330" s="1" t="s">
        <v>1657</v>
      </c>
      <c r="DE330" s="1">
        <v>7.41510270925717E-4</v>
      </c>
      <c r="DF330" s="2" t="s">
        <v>1658</v>
      </c>
    </row>
    <row r="331" ht="15.75" customHeight="1">
      <c r="A331" s="1" t="s">
        <v>1659</v>
      </c>
      <c r="B331" s="1">
        <v>29.0</v>
      </c>
      <c r="C331" s="2" t="s">
        <v>1606</v>
      </c>
      <c r="D331" s="2" t="s">
        <v>1660</v>
      </c>
      <c r="E331" s="1">
        <v>1.113</v>
      </c>
      <c r="F331" s="1">
        <v>29077.0</v>
      </c>
      <c r="G331" s="1">
        <v>2.90770055E10</v>
      </c>
      <c r="H331" s="1" t="s">
        <v>112</v>
      </c>
      <c r="I331" s="1" t="s">
        <v>113</v>
      </c>
      <c r="J331" s="1" t="s">
        <v>1607</v>
      </c>
      <c r="K331" s="1" t="s">
        <v>1661</v>
      </c>
      <c r="L331" s="1">
        <v>4458.0</v>
      </c>
      <c r="M331" s="1">
        <v>4198.0</v>
      </c>
      <c r="N331" s="1">
        <v>498.0</v>
      </c>
      <c r="O331" s="1">
        <v>1947.0</v>
      </c>
      <c r="P331" s="1">
        <v>2044.0</v>
      </c>
      <c r="Q331" s="1">
        <v>75.0</v>
      </c>
      <c r="R331" s="1">
        <v>1712.0</v>
      </c>
      <c r="S331" s="1">
        <v>1110.0</v>
      </c>
      <c r="T331" s="1">
        <v>421.0</v>
      </c>
      <c r="U331" s="1">
        <v>127.0</v>
      </c>
      <c r="V331" s="1">
        <v>418.0</v>
      </c>
      <c r="W331" s="1">
        <v>14168.0</v>
      </c>
      <c r="X331" s="1">
        <v>1844.0</v>
      </c>
      <c r="Y331" s="1">
        <v>405.0</v>
      </c>
      <c r="Z331" s="1">
        <v>312.0</v>
      </c>
      <c r="AA331" s="1">
        <v>408.0</v>
      </c>
      <c r="AB331" s="1">
        <v>985.0</v>
      </c>
      <c r="AC331" s="1">
        <v>279.0</v>
      </c>
      <c r="AD331" s="1">
        <v>653.0</v>
      </c>
      <c r="AE331" s="1">
        <v>0.0</v>
      </c>
      <c r="AF331" s="1">
        <v>456.0</v>
      </c>
      <c r="AG331" s="1">
        <v>76.0</v>
      </c>
      <c r="AH331" s="1">
        <v>171.0</v>
      </c>
      <c r="AI331" s="1">
        <v>17.0</v>
      </c>
      <c r="AJ331" s="1">
        <v>25.0</v>
      </c>
      <c r="AK331" s="1">
        <v>11.0</v>
      </c>
      <c r="AL331" s="1">
        <v>115.0</v>
      </c>
      <c r="AM331" s="1">
        <v>137.0</v>
      </c>
      <c r="AN331" s="1">
        <v>75.0</v>
      </c>
      <c r="AO331" s="1">
        <v>438.0</v>
      </c>
      <c r="AP331" s="1">
        <v>0.291415</v>
      </c>
      <c r="AQ331" s="1">
        <v>0.106162</v>
      </c>
      <c r="AR331" s="1">
        <v>0.063563</v>
      </c>
      <c r="AS331" s="1">
        <v>0.208951</v>
      </c>
      <c r="AT331" s="1">
        <v>14168.0</v>
      </c>
      <c r="AU331" s="1">
        <v>1844.0</v>
      </c>
      <c r="AV331" s="1">
        <v>0.163702</v>
      </c>
      <c r="AW331" s="1">
        <v>0.125181</v>
      </c>
      <c r="AX331" s="1">
        <v>0.09152</v>
      </c>
      <c r="AY331" s="1">
        <v>0.220951</v>
      </c>
      <c r="AZ331" s="1">
        <v>0.16296728</v>
      </c>
      <c r="BA331" s="1">
        <v>0.146478</v>
      </c>
      <c r="BB331" s="1">
        <v>0.0</v>
      </c>
      <c r="BC331" s="1">
        <v>0.115942</v>
      </c>
      <c r="BD331" s="1">
        <v>0.037181</v>
      </c>
      <c r="BE331" s="1">
        <v>0.083648</v>
      </c>
      <c r="BF331" s="1">
        <v>0.008317</v>
      </c>
      <c r="BG331" s="1">
        <v>0.012227</v>
      </c>
      <c r="BH331" s="1">
        <v>0.00631</v>
      </c>
      <c r="BI331" s="1">
        <v>0.065976</v>
      </c>
      <c r="BJ331" s="1">
        <v>0.0786</v>
      </c>
      <c r="BK331" s="1">
        <v>0.042731</v>
      </c>
      <c r="BL331" s="1">
        <v>0.09825</v>
      </c>
      <c r="BM331" s="1">
        <v>0.876</v>
      </c>
      <c r="BN331" s="1">
        <v>0.457</v>
      </c>
      <c r="BO331" s="1">
        <v>0.9083</v>
      </c>
      <c r="BP331" s="1">
        <v>0.628</v>
      </c>
      <c r="BQ331" s="1">
        <v>2.8693</v>
      </c>
      <c r="BR331" s="1">
        <v>0.7711</v>
      </c>
      <c r="BS331" s="1">
        <v>0.168</v>
      </c>
      <c r="BT331" s="1">
        <v>0.305</v>
      </c>
      <c r="BU331" s="1">
        <v>0.829</v>
      </c>
      <c r="BV331" s="1">
        <v>1.302</v>
      </c>
      <c r="BW331" s="1">
        <v>0.305</v>
      </c>
      <c r="BX331" s="1">
        <v>0.613</v>
      </c>
      <c r="BY331" s="1">
        <v>0.0</v>
      </c>
      <c r="BZ331" s="1">
        <v>0.613</v>
      </c>
      <c r="CA331" s="1">
        <v>0.281</v>
      </c>
      <c r="CB331" s="1">
        <v>0.596</v>
      </c>
      <c r="CC331" s="1">
        <v>0.442</v>
      </c>
      <c r="CD331" s="1">
        <v>0.369</v>
      </c>
      <c r="CE331" s="1">
        <v>0.663</v>
      </c>
      <c r="CF331" s="1">
        <v>0.942</v>
      </c>
      <c r="CG331" s="1">
        <v>3.012</v>
      </c>
      <c r="CH331" s="1">
        <v>0.782</v>
      </c>
      <c r="CI331" s="1">
        <v>7.7963</v>
      </c>
      <c r="CJ331" s="1">
        <v>0.6801</v>
      </c>
      <c r="CK331" s="1">
        <v>0.0</v>
      </c>
      <c r="CL331" s="1">
        <v>0.0</v>
      </c>
      <c r="CM331" s="1">
        <v>1.0</v>
      </c>
      <c r="CN331" s="1">
        <v>0.0</v>
      </c>
      <c r="CO331" s="1">
        <v>1.0</v>
      </c>
      <c r="CP331" s="1">
        <v>0.0</v>
      </c>
      <c r="CQ331" s="1">
        <v>0.0</v>
      </c>
      <c r="CR331" s="1">
        <v>0.0</v>
      </c>
      <c r="CS331" s="1">
        <v>0.0</v>
      </c>
      <c r="CT331" s="1">
        <v>0.0</v>
      </c>
      <c r="CU331" s="1">
        <v>0.0</v>
      </c>
      <c r="CV331" s="1">
        <v>0.0</v>
      </c>
      <c r="CW331" s="1">
        <v>0.0</v>
      </c>
      <c r="CX331" s="1">
        <v>0.0</v>
      </c>
      <c r="CY331" s="1">
        <v>0.0</v>
      </c>
      <c r="CZ331" s="1">
        <v>0.0</v>
      </c>
      <c r="DA331" s="1">
        <v>1.0</v>
      </c>
      <c r="DB331" s="1">
        <v>1.0</v>
      </c>
      <c r="DC331" s="1">
        <v>2.0</v>
      </c>
      <c r="DD331" s="1" t="s">
        <v>1662</v>
      </c>
      <c r="DE331" s="1">
        <v>2.93352417541545E-4</v>
      </c>
      <c r="DF331" s="1">
        <v>0.0854198802316152</v>
      </c>
    </row>
    <row r="332" ht="15.75" customHeight="1">
      <c r="A332" s="1" t="s">
        <v>1663</v>
      </c>
      <c r="B332" s="1">
        <v>29.0</v>
      </c>
      <c r="C332" s="2" t="s">
        <v>1606</v>
      </c>
      <c r="D332" s="2" t="s">
        <v>1664</v>
      </c>
      <c r="E332" s="1">
        <v>2.818</v>
      </c>
      <c r="F332" s="1">
        <v>29077.0</v>
      </c>
      <c r="G332" s="1">
        <v>2.9077003002E10</v>
      </c>
      <c r="H332" s="1" t="s">
        <v>112</v>
      </c>
      <c r="I332" s="1" t="s">
        <v>113</v>
      </c>
      <c r="J332" s="1" t="s">
        <v>1607</v>
      </c>
      <c r="K332" s="1" t="s">
        <v>1665</v>
      </c>
      <c r="L332" s="1">
        <v>5057.0</v>
      </c>
      <c r="M332" s="1">
        <v>5087.0</v>
      </c>
      <c r="N332" s="1">
        <v>492.0</v>
      </c>
      <c r="O332" s="1">
        <v>2605.0</v>
      </c>
      <c r="P332" s="1">
        <v>2545.0</v>
      </c>
      <c r="Q332" s="1">
        <v>72.0</v>
      </c>
      <c r="R332" s="1">
        <v>2282.0</v>
      </c>
      <c r="S332" s="1">
        <v>1192.0</v>
      </c>
      <c r="T332" s="1">
        <v>540.0</v>
      </c>
      <c r="U332" s="1">
        <v>184.0</v>
      </c>
      <c r="V332" s="1">
        <v>443.0</v>
      </c>
      <c r="W332" s="1">
        <v>20013.0</v>
      </c>
      <c r="X332" s="1">
        <v>2720.0</v>
      </c>
      <c r="Y332" s="1">
        <v>380.0</v>
      </c>
      <c r="Z332" s="1">
        <v>407.0</v>
      </c>
      <c r="AA332" s="1">
        <v>613.0</v>
      </c>
      <c r="AB332" s="1">
        <v>1098.0</v>
      </c>
      <c r="AC332" s="1">
        <v>304.0</v>
      </c>
      <c r="AD332" s="1">
        <v>734.0</v>
      </c>
      <c r="AE332" s="1">
        <v>0.0</v>
      </c>
      <c r="AF332" s="1">
        <v>456.0</v>
      </c>
      <c r="AG332" s="1">
        <v>435.0</v>
      </c>
      <c r="AH332" s="1">
        <v>152.0</v>
      </c>
      <c r="AI332" s="1">
        <v>107.0</v>
      </c>
      <c r="AJ332" s="1">
        <v>89.0</v>
      </c>
      <c r="AK332" s="1">
        <v>85.0</v>
      </c>
      <c r="AL332" s="1">
        <v>131.0</v>
      </c>
      <c r="AM332" s="1">
        <v>88.0</v>
      </c>
      <c r="AN332" s="1">
        <v>73.0</v>
      </c>
      <c r="AO332" s="1">
        <v>84.0</v>
      </c>
      <c r="AP332" s="1">
        <v>0.234876</v>
      </c>
      <c r="AQ332" s="1">
        <v>0.103949</v>
      </c>
      <c r="AR332" s="1">
        <v>0.069407</v>
      </c>
      <c r="AS332" s="1">
        <v>0.166825</v>
      </c>
      <c r="AT332" s="1">
        <v>20013.0</v>
      </c>
      <c r="AU332" s="1">
        <v>2720.0</v>
      </c>
      <c r="AV332" s="1">
        <v>0.121405</v>
      </c>
      <c r="AW332" s="1">
        <v>0.129658</v>
      </c>
      <c r="AX332" s="1">
        <v>0.121218</v>
      </c>
      <c r="AY332" s="1">
        <v>0.217124</v>
      </c>
      <c r="AZ332" s="1">
        <v>0.13321647</v>
      </c>
      <c r="BA332" s="1">
        <v>0.145145</v>
      </c>
      <c r="BB332" s="1">
        <v>0.0</v>
      </c>
      <c r="BC332" s="1">
        <v>0.100175</v>
      </c>
      <c r="BD332" s="1">
        <v>0.170923</v>
      </c>
      <c r="BE332" s="1">
        <v>0.059528</v>
      </c>
      <c r="BF332" s="1">
        <v>0.042043</v>
      </c>
      <c r="BG332" s="1">
        <v>0.03495</v>
      </c>
      <c r="BH332" s="1">
        <v>0.03728</v>
      </c>
      <c r="BI332" s="1">
        <v>0.057388</v>
      </c>
      <c r="BJ332" s="1">
        <v>0.038596</v>
      </c>
      <c r="BK332" s="1">
        <v>0.031887</v>
      </c>
      <c r="BL332" s="1">
        <v>0.01661</v>
      </c>
      <c r="BM332" s="1">
        <v>0.8</v>
      </c>
      <c r="BN332" s="1">
        <v>0.509</v>
      </c>
      <c r="BO332" s="1">
        <v>0.6116</v>
      </c>
      <c r="BP332" s="1">
        <v>0.433</v>
      </c>
      <c r="BQ332" s="1">
        <v>2.3536</v>
      </c>
      <c r="BR332" s="1">
        <v>0.6152</v>
      </c>
      <c r="BS332" s="1">
        <v>0.352</v>
      </c>
      <c r="BT332" s="1">
        <v>0.284</v>
      </c>
      <c r="BU332" s="1">
        <v>0.731</v>
      </c>
      <c r="BV332" s="1">
        <v>1.367</v>
      </c>
      <c r="BW332" s="1">
        <v>0.363</v>
      </c>
      <c r="BX332" s="1">
        <v>0.606</v>
      </c>
      <c r="BY332" s="1">
        <v>0.0</v>
      </c>
      <c r="BZ332" s="1">
        <v>0.606</v>
      </c>
      <c r="CA332" s="1">
        <v>0.274</v>
      </c>
      <c r="CB332" s="1">
        <v>0.869</v>
      </c>
      <c r="CC332" s="1">
        <v>0.584</v>
      </c>
      <c r="CD332" s="1">
        <v>0.874</v>
      </c>
      <c r="CE332" s="1">
        <v>0.377</v>
      </c>
      <c r="CF332" s="1">
        <v>0.668</v>
      </c>
      <c r="CG332" s="1">
        <v>3.372</v>
      </c>
      <c r="CH332" s="1">
        <v>0.902</v>
      </c>
      <c r="CI332" s="1">
        <v>7.6986</v>
      </c>
      <c r="CJ332" s="1">
        <v>0.67</v>
      </c>
      <c r="CK332" s="1">
        <v>0.0</v>
      </c>
      <c r="CL332" s="1">
        <v>0.0</v>
      </c>
      <c r="CM332" s="1">
        <v>0.0</v>
      </c>
      <c r="CN332" s="1">
        <v>0.0</v>
      </c>
      <c r="CO332" s="1">
        <v>0.0</v>
      </c>
      <c r="CP332" s="1">
        <v>0.0</v>
      </c>
      <c r="CQ332" s="1">
        <v>0.0</v>
      </c>
      <c r="CR332" s="1">
        <v>0.0</v>
      </c>
      <c r="CS332" s="1">
        <v>0.0</v>
      </c>
      <c r="CT332" s="1">
        <v>0.0</v>
      </c>
      <c r="CU332" s="1">
        <v>0.0</v>
      </c>
      <c r="CV332" s="1">
        <v>0.0</v>
      </c>
      <c r="CW332" s="1">
        <v>0.0</v>
      </c>
      <c r="CX332" s="1">
        <v>0.0</v>
      </c>
      <c r="CY332" s="1">
        <v>0.0</v>
      </c>
      <c r="CZ332" s="1">
        <v>0.0</v>
      </c>
      <c r="DA332" s="1">
        <v>0.0</v>
      </c>
      <c r="DB332" s="1">
        <v>0.0</v>
      </c>
      <c r="DC332" s="1">
        <v>0.0</v>
      </c>
      <c r="DD332" s="1" t="s">
        <v>1666</v>
      </c>
      <c r="DE332" s="1">
        <v>7.4752847343365E-4</v>
      </c>
      <c r="DF332" s="2" t="s">
        <v>1667</v>
      </c>
    </row>
    <row r="333" ht="15.75" customHeight="1">
      <c r="A333" s="1" t="s">
        <v>1668</v>
      </c>
      <c r="B333" s="1">
        <v>29.0</v>
      </c>
      <c r="C333" s="2" t="s">
        <v>1606</v>
      </c>
      <c r="D333" s="2" t="s">
        <v>1669</v>
      </c>
      <c r="E333" s="1">
        <v>1.035</v>
      </c>
      <c r="F333" s="1">
        <v>29077.0</v>
      </c>
      <c r="G333" s="1">
        <v>2.90770031E10</v>
      </c>
      <c r="H333" s="1" t="s">
        <v>112</v>
      </c>
      <c r="I333" s="1" t="s">
        <v>113</v>
      </c>
      <c r="J333" s="1" t="s">
        <v>1607</v>
      </c>
      <c r="K333" s="1" t="s">
        <v>1670</v>
      </c>
      <c r="L333" s="1">
        <v>2904.0</v>
      </c>
      <c r="M333" s="1">
        <v>3058.0</v>
      </c>
      <c r="N333" s="1">
        <v>308.0</v>
      </c>
      <c r="O333" s="1">
        <v>1271.0</v>
      </c>
      <c r="P333" s="1">
        <v>1247.0</v>
      </c>
      <c r="Q333" s="1">
        <v>57.0</v>
      </c>
      <c r="R333" s="1">
        <v>1147.0</v>
      </c>
      <c r="S333" s="1">
        <v>930.0</v>
      </c>
      <c r="T333" s="1">
        <v>328.0</v>
      </c>
      <c r="U333" s="1">
        <v>89.0</v>
      </c>
      <c r="V333" s="1">
        <v>446.0</v>
      </c>
      <c r="W333" s="1">
        <v>14384.0</v>
      </c>
      <c r="X333" s="1">
        <v>1394.0</v>
      </c>
      <c r="Y333" s="1">
        <v>632.0</v>
      </c>
      <c r="Z333" s="1">
        <v>183.0</v>
      </c>
      <c r="AA333" s="1">
        <v>451.0</v>
      </c>
      <c r="AB333" s="1">
        <v>615.0</v>
      </c>
      <c r="AC333" s="1">
        <v>150.0</v>
      </c>
      <c r="AD333" s="1">
        <v>325.0</v>
      </c>
      <c r="AE333" s="1">
        <v>62.0</v>
      </c>
      <c r="AF333" s="1">
        <v>430.0</v>
      </c>
      <c r="AG333" s="1">
        <v>12.0</v>
      </c>
      <c r="AH333" s="1">
        <v>162.0</v>
      </c>
      <c r="AI333" s="1">
        <v>0.0</v>
      </c>
      <c r="AJ333" s="1">
        <v>114.0</v>
      </c>
      <c r="AK333" s="1">
        <v>23.0</v>
      </c>
      <c r="AL333" s="1">
        <v>117.0</v>
      </c>
      <c r="AM333" s="1">
        <v>77.0</v>
      </c>
      <c r="AN333" s="1">
        <v>44.0</v>
      </c>
      <c r="AO333" s="1">
        <v>142.0</v>
      </c>
      <c r="AP333" s="1">
        <v>0.336104</v>
      </c>
      <c r="AQ333" s="1">
        <v>0.111112</v>
      </c>
      <c r="AR333" s="1">
        <v>0.069045</v>
      </c>
      <c r="AS333" s="1">
        <v>0.345695</v>
      </c>
      <c r="AT333" s="1">
        <v>14384.0</v>
      </c>
      <c r="AU333" s="1">
        <v>1394.0</v>
      </c>
      <c r="AV333" s="1">
        <v>0.291916</v>
      </c>
      <c r="AW333" s="1">
        <v>0.077277</v>
      </c>
      <c r="AX333" s="1">
        <v>0.155303</v>
      </c>
      <c r="AY333" s="1">
        <v>0.211776</v>
      </c>
      <c r="AZ333" s="1">
        <v>0.13077593</v>
      </c>
      <c r="BA333" s="1">
        <v>0.111914</v>
      </c>
      <c r="BB333" s="1">
        <v>0.021861</v>
      </c>
      <c r="BC333" s="1">
        <v>0.151606</v>
      </c>
      <c r="BD333" s="1">
        <v>0.009623</v>
      </c>
      <c r="BE333" s="1">
        <v>0.129911</v>
      </c>
      <c r="BF333" s="1">
        <v>0.0</v>
      </c>
      <c r="BG333" s="1">
        <v>0.091419</v>
      </c>
      <c r="BH333" s="1">
        <v>0.019491</v>
      </c>
      <c r="BI333" s="1">
        <v>0.099144</v>
      </c>
      <c r="BJ333" s="1">
        <v>0.065254</v>
      </c>
      <c r="BK333" s="1">
        <v>0.037037</v>
      </c>
      <c r="BL333" s="1">
        <v>0.048898</v>
      </c>
      <c r="BM333" s="1">
        <v>0.919</v>
      </c>
      <c r="BN333" s="1">
        <v>0.502</v>
      </c>
      <c r="BO333" s="1">
        <v>0.8975</v>
      </c>
      <c r="BP333" s="1">
        <v>0.934</v>
      </c>
      <c r="BQ333" s="1">
        <v>3.2525</v>
      </c>
      <c r="BR333" s="1">
        <v>0.8671</v>
      </c>
      <c r="BS333" s="1">
        <v>0.623</v>
      </c>
      <c r="BT333" s="1">
        <v>0.244</v>
      </c>
      <c r="BU333" s="1">
        <v>0.719</v>
      </c>
      <c r="BV333" s="1">
        <v>1.586</v>
      </c>
      <c r="BW333" s="1">
        <v>0.557</v>
      </c>
      <c r="BX333" s="1">
        <v>0.51</v>
      </c>
      <c r="BY333" s="1">
        <v>0.869</v>
      </c>
      <c r="BZ333" s="1">
        <v>1.379</v>
      </c>
      <c r="CA333" s="1">
        <v>0.756</v>
      </c>
      <c r="CB333" s="1">
        <v>0.381</v>
      </c>
      <c r="CC333" s="1">
        <v>0.0</v>
      </c>
      <c r="CD333" s="1">
        <v>0.674</v>
      </c>
      <c r="CE333" s="1">
        <v>0.6</v>
      </c>
      <c r="CF333" s="1">
        <v>0.892</v>
      </c>
      <c r="CG333" s="1">
        <v>2.547</v>
      </c>
      <c r="CH333" s="1">
        <v>0.58</v>
      </c>
      <c r="CI333" s="1">
        <v>8.7645</v>
      </c>
      <c r="CJ333" s="1">
        <v>0.8202</v>
      </c>
      <c r="CK333" s="1">
        <v>1.0</v>
      </c>
      <c r="CL333" s="1">
        <v>0.0</v>
      </c>
      <c r="CM333" s="1">
        <v>0.0</v>
      </c>
      <c r="CN333" s="1">
        <v>1.0</v>
      </c>
      <c r="CO333" s="1">
        <v>2.0</v>
      </c>
      <c r="CP333" s="1">
        <v>0.0</v>
      </c>
      <c r="CQ333" s="1">
        <v>0.0</v>
      </c>
      <c r="CR333" s="1">
        <v>0.0</v>
      </c>
      <c r="CS333" s="1">
        <v>0.0</v>
      </c>
      <c r="CT333" s="1">
        <v>0.0</v>
      </c>
      <c r="CU333" s="1">
        <v>0.0</v>
      </c>
      <c r="CV333" s="1">
        <v>0.0</v>
      </c>
      <c r="CW333" s="1">
        <v>0.0</v>
      </c>
      <c r="CX333" s="1">
        <v>0.0</v>
      </c>
      <c r="CY333" s="1">
        <v>0.0</v>
      </c>
      <c r="CZ333" s="1">
        <v>0.0</v>
      </c>
      <c r="DA333" s="1">
        <v>0.0</v>
      </c>
      <c r="DB333" s="1">
        <v>0.0</v>
      </c>
      <c r="DC333" s="1">
        <v>2.0</v>
      </c>
      <c r="DD333" s="1" t="s">
        <v>1671</v>
      </c>
      <c r="DE333" s="1">
        <v>2.72499066212151E-4</v>
      </c>
      <c r="DF333" s="1">
        <v>0.0659891325398668</v>
      </c>
    </row>
    <row r="334" ht="15.75" customHeight="1">
      <c r="A334" s="1" t="s">
        <v>1672</v>
      </c>
      <c r="B334" s="1">
        <v>29.0</v>
      </c>
      <c r="C334" s="2" t="s">
        <v>1606</v>
      </c>
      <c r="D334" s="2" t="s">
        <v>1673</v>
      </c>
      <c r="E334" s="1">
        <v>1.414</v>
      </c>
      <c r="F334" s="1">
        <v>29077.0</v>
      </c>
      <c r="G334" s="1">
        <v>2.90770032E10</v>
      </c>
      <c r="H334" s="1" t="s">
        <v>112</v>
      </c>
      <c r="I334" s="1" t="s">
        <v>113</v>
      </c>
      <c r="J334" s="1" t="s">
        <v>1607</v>
      </c>
      <c r="K334" s="1" t="s">
        <v>1674</v>
      </c>
      <c r="L334" s="1">
        <v>4044.0</v>
      </c>
      <c r="M334" s="1">
        <v>4210.0</v>
      </c>
      <c r="N334" s="1">
        <v>427.0</v>
      </c>
      <c r="O334" s="1">
        <v>1823.0</v>
      </c>
      <c r="P334" s="1">
        <v>1879.0</v>
      </c>
      <c r="Q334" s="1">
        <v>51.0</v>
      </c>
      <c r="R334" s="1">
        <v>1605.0</v>
      </c>
      <c r="S334" s="1">
        <v>913.0</v>
      </c>
      <c r="T334" s="1">
        <v>373.0</v>
      </c>
      <c r="U334" s="1">
        <v>219.0</v>
      </c>
      <c r="V334" s="1">
        <v>410.0</v>
      </c>
      <c r="W334" s="1">
        <v>15718.0</v>
      </c>
      <c r="X334" s="1">
        <v>1613.0</v>
      </c>
      <c r="Y334" s="1">
        <v>764.0</v>
      </c>
      <c r="Z334" s="1">
        <v>277.0</v>
      </c>
      <c r="AA334" s="1">
        <v>370.0</v>
      </c>
      <c r="AB334" s="1">
        <v>1079.0</v>
      </c>
      <c r="AC334" s="1">
        <v>262.0</v>
      </c>
      <c r="AD334" s="1">
        <v>636.0</v>
      </c>
      <c r="AE334" s="1">
        <v>90.0</v>
      </c>
      <c r="AF334" s="1">
        <v>437.0</v>
      </c>
      <c r="AG334" s="1">
        <v>0.0</v>
      </c>
      <c r="AH334" s="1">
        <v>197.0</v>
      </c>
      <c r="AI334" s="1">
        <v>112.0</v>
      </c>
      <c r="AJ334" s="1">
        <v>79.0</v>
      </c>
      <c r="AK334" s="1">
        <v>21.0</v>
      </c>
      <c r="AL334" s="1">
        <v>116.0</v>
      </c>
      <c r="AM334" s="1">
        <v>85.0</v>
      </c>
      <c r="AN334" s="1">
        <v>64.0</v>
      </c>
      <c r="AO334" s="1">
        <v>0.0</v>
      </c>
      <c r="AP334" s="1">
        <v>0.217019</v>
      </c>
      <c r="AQ334" s="1">
        <v>0.085882</v>
      </c>
      <c r="AR334" s="1">
        <v>0.106053</v>
      </c>
      <c r="AS334" s="1">
        <v>0.19763</v>
      </c>
      <c r="AT334" s="1">
        <v>15718.0</v>
      </c>
      <c r="AU334" s="1">
        <v>1613.0</v>
      </c>
      <c r="AV334" s="1">
        <v>0.274228</v>
      </c>
      <c r="AW334" s="1">
        <v>0.095862</v>
      </c>
      <c r="AX334" s="1">
        <v>0.091493</v>
      </c>
      <c r="AY334" s="1">
        <v>0.266815</v>
      </c>
      <c r="AZ334" s="1">
        <v>0.16323987</v>
      </c>
      <c r="BA334" s="1">
        <v>0.15727</v>
      </c>
      <c r="BB334" s="1">
        <v>0.02334</v>
      </c>
      <c r="BC334" s="1">
        <v>0.11331</v>
      </c>
      <c r="BD334" s="1">
        <v>0.0</v>
      </c>
      <c r="BE334" s="1">
        <v>0.104843</v>
      </c>
      <c r="BF334" s="1">
        <v>0.059606</v>
      </c>
      <c r="BG334" s="1">
        <v>0.042012</v>
      </c>
      <c r="BH334" s="1">
        <v>0.012216</v>
      </c>
      <c r="BI334" s="1">
        <v>0.067475</v>
      </c>
      <c r="BJ334" s="1">
        <v>0.049447</v>
      </c>
      <c r="BK334" s="1">
        <v>0.037075</v>
      </c>
      <c r="BL334" s="1">
        <v>0.0</v>
      </c>
      <c r="BM334" s="1">
        <v>0.766</v>
      </c>
      <c r="BN334" s="1">
        <v>0.767</v>
      </c>
      <c r="BO334" s="1">
        <v>0.8477</v>
      </c>
      <c r="BP334" s="1">
        <v>0.912</v>
      </c>
      <c r="BQ334" s="1">
        <v>3.2927</v>
      </c>
      <c r="BR334" s="1">
        <v>0.8758</v>
      </c>
      <c r="BS334" s="1">
        <v>0.167</v>
      </c>
      <c r="BT334" s="1">
        <v>0.766</v>
      </c>
      <c r="BU334" s="1">
        <v>0.831</v>
      </c>
      <c r="BV334" s="1">
        <v>1.764</v>
      </c>
      <c r="BW334" s="1">
        <v>0.696</v>
      </c>
      <c r="BX334" s="1">
        <v>0.643</v>
      </c>
      <c r="BY334" s="1">
        <v>0.877</v>
      </c>
      <c r="BZ334" s="1">
        <v>1.52</v>
      </c>
      <c r="CA334" s="1">
        <v>0.84</v>
      </c>
      <c r="CB334" s="1">
        <v>0.0</v>
      </c>
      <c r="CC334" s="1">
        <v>0.628</v>
      </c>
      <c r="CD334" s="1">
        <v>0.533</v>
      </c>
      <c r="CE334" s="1">
        <v>0.483</v>
      </c>
      <c r="CF334" s="1">
        <v>0.0</v>
      </c>
      <c r="CG334" s="1">
        <v>1.644</v>
      </c>
      <c r="CH334" s="1">
        <v>0.215</v>
      </c>
      <c r="CI334" s="1">
        <v>8.2207</v>
      </c>
      <c r="CJ334" s="1">
        <v>0.7487</v>
      </c>
      <c r="CK334" s="1">
        <v>0.0</v>
      </c>
      <c r="CL334" s="1">
        <v>0.0</v>
      </c>
      <c r="CM334" s="1">
        <v>0.0</v>
      </c>
      <c r="CN334" s="1">
        <v>1.0</v>
      </c>
      <c r="CO334" s="1">
        <v>1.0</v>
      </c>
      <c r="CP334" s="1">
        <v>0.0</v>
      </c>
      <c r="CQ334" s="1">
        <v>0.0</v>
      </c>
      <c r="CR334" s="1">
        <v>0.0</v>
      </c>
      <c r="CS334" s="1">
        <v>0.0</v>
      </c>
      <c r="CT334" s="1">
        <v>0.0</v>
      </c>
      <c r="CU334" s="1">
        <v>0.0</v>
      </c>
      <c r="CV334" s="1">
        <v>0.0</v>
      </c>
      <c r="CW334" s="1">
        <v>0.0</v>
      </c>
      <c r="CX334" s="1">
        <v>0.0</v>
      </c>
      <c r="CY334" s="1">
        <v>0.0</v>
      </c>
      <c r="CZ334" s="1">
        <v>0.0</v>
      </c>
      <c r="DA334" s="1">
        <v>0.0</v>
      </c>
      <c r="DB334" s="1">
        <v>0.0</v>
      </c>
      <c r="DC334" s="1">
        <v>1.0</v>
      </c>
      <c r="DD334" s="1" t="s">
        <v>1675</v>
      </c>
      <c r="DE334" s="1">
        <v>3.71953675765571E-4</v>
      </c>
      <c r="DF334" s="1">
        <v>0.0822761716738992</v>
      </c>
    </row>
    <row r="335" ht="15.75" customHeight="1">
      <c r="A335" s="1" t="s">
        <v>1676</v>
      </c>
      <c r="B335" s="1">
        <v>29.0</v>
      </c>
      <c r="C335" s="2" t="s">
        <v>1606</v>
      </c>
      <c r="D335" s="2" t="s">
        <v>1677</v>
      </c>
      <c r="E335" s="1">
        <v>0.894</v>
      </c>
      <c r="F335" s="1">
        <v>29077.0</v>
      </c>
      <c r="G335" s="1">
        <v>2.90770036E10</v>
      </c>
      <c r="H335" s="1" t="s">
        <v>112</v>
      </c>
      <c r="I335" s="1" t="s">
        <v>113</v>
      </c>
      <c r="J335" s="1" t="s">
        <v>1607</v>
      </c>
      <c r="K335" s="1" t="s">
        <v>1678</v>
      </c>
      <c r="L335" s="1">
        <v>2728.0</v>
      </c>
      <c r="M335" s="1">
        <v>2456.0</v>
      </c>
      <c r="N335" s="1">
        <v>260.0</v>
      </c>
      <c r="O335" s="1">
        <v>1305.0</v>
      </c>
      <c r="P335" s="1">
        <v>1206.0</v>
      </c>
      <c r="Q335" s="1">
        <v>91.0</v>
      </c>
      <c r="R335" s="1">
        <v>1199.0</v>
      </c>
      <c r="S335" s="1">
        <v>883.0</v>
      </c>
      <c r="T335" s="1">
        <v>370.0</v>
      </c>
      <c r="U335" s="1">
        <v>196.0</v>
      </c>
      <c r="V335" s="1">
        <v>423.0</v>
      </c>
      <c r="W335" s="1">
        <v>13964.0</v>
      </c>
      <c r="X335" s="1">
        <v>2416.0</v>
      </c>
      <c r="Y335" s="1">
        <v>265.0</v>
      </c>
      <c r="Z335" s="1">
        <v>315.0</v>
      </c>
      <c r="AA335" s="1">
        <v>329.0</v>
      </c>
      <c r="AB335" s="1">
        <v>686.0</v>
      </c>
      <c r="AC335" s="1">
        <v>205.0</v>
      </c>
      <c r="AD335" s="1">
        <v>328.0</v>
      </c>
      <c r="AE335" s="1">
        <v>30.0</v>
      </c>
      <c r="AF335" s="1">
        <v>428.0</v>
      </c>
      <c r="AG335" s="1">
        <v>87.0</v>
      </c>
      <c r="AH335" s="1">
        <v>66.0</v>
      </c>
      <c r="AI335" s="1">
        <v>0.0</v>
      </c>
      <c r="AJ335" s="1">
        <v>114.0</v>
      </c>
      <c r="AK335" s="1">
        <v>42.0</v>
      </c>
      <c r="AL335" s="1">
        <v>121.0</v>
      </c>
      <c r="AM335" s="1">
        <v>149.0</v>
      </c>
      <c r="AN335" s="1">
        <v>72.0</v>
      </c>
      <c r="AO335" s="1">
        <v>0.0</v>
      </c>
      <c r="AP335" s="1">
        <v>0.359527</v>
      </c>
      <c r="AQ335" s="1">
        <v>0.145764</v>
      </c>
      <c r="AR335" s="1">
        <v>0.16568</v>
      </c>
      <c r="AS335" s="1">
        <v>0.355408</v>
      </c>
      <c r="AT335" s="1">
        <v>13964.0</v>
      </c>
      <c r="AU335" s="1">
        <v>2416.0</v>
      </c>
      <c r="AV335" s="1">
        <v>0.165109</v>
      </c>
      <c r="AW335" s="1">
        <v>0.195709</v>
      </c>
      <c r="AX335" s="1">
        <v>0.120601</v>
      </c>
      <c r="AY335" s="1">
        <v>0.251466</v>
      </c>
      <c r="AZ335" s="1">
        <v>0.17097581</v>
      </c>
      <c r="BA335" s="1">
        <v>0.120234</v>
      </c>
      <c r="BB335" s="1">
        <v>0.014319</v>
      </c>
      <c r="BC335" s="1">
        <v>0.20429</v>
      </c>
      <c r="BD335" s="1">
        <v>0.072139</v>
      </c>
      <c r="BE335" s="1">
        <v>0.054454</v>
      </c>
      <c r="BF335" s="1">
        <v>0.0</v>
      </c>
      <c r="BG335" s="1">
        <v>0.094527</v>
      </c>
      <c r="BH335" s="1">
        <v>0.037433</v>
      </c>
      <c r="BI335" s="1">
        <v>0.107795</v>
      </c>
      <c r="BJ335" s="1">
        <v>0.132798</v>
      </c>
      <c r="BK335" s="1">
        <v>0.063157</v>
      </c>
      <c r="BL335" s="1">
        <v>0.0</v>
      </c>
      <c r="BM335" s="1">
        <v>0.929</v>
      </c>
      <c r="BN335" s="1">
        <v>0.917</v>
      </c>
      <c r="BO335" s="1">
        <v>0.9134</v>
      </c>
      <c r="BP335" s="1">
        <v>0.634</v>
      </c>
      <c r="BQ335" s="1">
        <v>3.3934</v>
      </c>
      <c r="BR335" s="1">
        <v>0.8975</v>
      </c>
      <c r="BS335" s="1">
        <v>0.349</v>
      </c>
      <c r="BT335" s="1">
        <v>0.617</v>
      </c>
      <c r="BU335" s="1">
        <v>0.846</v>
      </c>
      <c r="BV335" s="1">
        <v>1.812</v>
      </c>
      <c r="BW335" s="1">
        <v>0.729</v>
      </c>
      <c r="BX335" s="1">
        <v>0.538</v>
      </c>
      <c r="BY335" s="1">
        <v>0.8</v>
      </c>
      <c r="BZ335" s="1">
        <v>1.338</v>
      </c>
      <c r="CA335" s="1">
        <v>0.729</v>
      </c>
      <c r="CB335" s="1">
        <v>0.719</v>
      </c>
      <c r="CC335" s="1">
        <v>0.0</v>
      </c>
      <c r="CD335" s="1">
        <v>0.876</v>
      </c>
      <c r="CE335" s="1">
        <v>0.836</v>
      </c>
      <c r="CF335" s="1">
        <v>0.0</v>
      </c>
      <c r="CG335" s="1">
        <v>2.431</v>
      </c>
      <c r="CH335" s="1">
        <v>0.531</v>
      </c>
      <c r="CI335" s="1">
        <v>8.9744</v>
      </c>
      <c r="CJ335" s="1">
        <v>0.8477</v>
      </c>
      <c r="CK335" s="1">
        <v>1.0</v>
      </c>
      <c r="CL335" s="1">
        <v>1.0</v>
      </c>
      <c r="CM335" s="1">
        <v>1.0</v>
      </c>
      <c r="CN335" s="1">
        <v>0.0</v>
      </c>
      <c r="CO335" s="1">
        <v>3.0</v>
      </c>
      <c r="CP335" s="1">
        <v>0.0</v>
      </c>
      <c r="CQ335" s="1">
        <v>0.0</v>
      </c>
      <c r="CR335" s="1">
        <v>0.0</v>
      </c>
      <c r="CS335" s="1">
        <v>0.0</v>
      </c>
      <c r="CT335" s="1">
        <v>0.0</v>
      </c>
      <c r="CU335" s="1">
        <v>0.0</v>
      </c>
      <c r="CV335" s="1">
        <v>0.0</v>
      </c>
      <c r="CW335" s="1">
        <v>0.0</v>
      </c>
      <c r="CX335" s="1">
        <v>0.0</v>
      </c>
      <c r="CY335" s="1">
        <v>0.0</v>
      </c>
      <c r="CZ335" s="1">
        <v>0.0</v>
      </c>
      <c r="DA335" s="1">
        <v>0.0</v>
      </c>
      <c r="DB335" s="1">
        <v>0.0</v>
      </c>
      <c r="DC335" s="1">
        <v>3.0</v>
      </c>
      <c r="DD335" s="1" t="s">
        <v>1679</v>
      </c>
      <c r="DE335" s="1">
        <v>2.34338557584076E-4</v>
      </c>
      <c r="DF335" s="1">
        <v>0.0702821413414507</v>
      </c>
    </row>
    <row r="336" ht="15.75" customHeight="1">
      <c r="A336" s="1" t="s">
        <v>1680</v>
      </c>
      <c r="B336" s="1">
        <v>29.0</v>
      </c>
      <c r="C336" s="2" t="s">
        <v>1606</v>
      </c>
      <c r="D336" s="2" t="s">
        <v>1681</v>
      </c>
      <c r="E336" s="1">
        <v>14.706</v>
      </c>
      <c r="F336" s="1">
        <v>29077.0</v>
      </c>
      <c r="G336" s="1">
        <v>2.90770037E10</v>
      </c>
      <c r="H336" s="1" t="s">
        <v>112</v>
      </c>
      <c r="I336" s="1" t="s">
        <v>113</v>
      </c>
      <c r="J336" s="1" t="s">
        <v>1607</v>
      </c>
      <c r="K336" s="1" t="s">
        <v>1682</v>
      </c>
      <c r="L336" s="1">
        <v>7340.0</v>
      </c>
      <c r="M336" s="1">
        <v>7092.0</v>
      </c>
      <c r="N336" s="1">
        <v>456.0</v>
      </c>
      <c r="O336" s="1">
        <v>3216.0</v>
      </c>
      <c r="P336" s="1">
        <v>2993.0</v>
      </c>
      <c r="Q336" s="1">
        <v>105.0</v>
      </c>
      <c r="R336" s="1">
        <v>3046.0</v>
      </c>
      <c r="S336" s="1">
        <v>213.0</v>
      </c>
      <c r="T336" s="1">
        <v>124.0</v>
      </c>
      <c r="U336" s="1">
        <v>95.0</v>
      </c>
      <c r="V336" s="1">
        <v>431.0</v>
      </c>
      <c r="W336" s="1">
        <v>42332.0</v>
      </c>
      <c r="X336" s="1">
        <v>4892.0</v>
      </c>
      <c r="Y336" s="1">
        <v>260.0</v>
      </c>
      <c r="Z336" s="1">
        <v>299.0</v>
      </c>
      <c r="AA336" s="1">
        <v>1395.0</v>
      </c>
      <c r="AB336" s="1">
        <v>1536.0</v>
      </c>
      <c r="AC336" s="1">
        <v>151.0</v>
      </c>
      <c r="AD336" s="1">
        <v>397.0</v>
      </c>
      <c r="AE336" s="1">
        <v>12.0</v>
      </c>
      <c r="AF336" s="1">
        <v>442.0</v>
      </c>
      <c r="AG336" s="1">
        <v>52.0</v>
      </c>
      <c r="AH336" s="1">
        <v>121.0</v>
      </c>
      <c r="AI336" s="1">
        <v>55.0</v>
      </c>
      <c r="AJ336" s="1">
        <v>67.0</v>
      </c>
      <c r="AK336" s="1">
        <v>8.0</v>
      </c>
      <c r="AL336" s="1">
        <v>115.0</v>
      </c>
      <c r="AM336" s="1">
        <v>37.0</v>
      </c>
      <c r="AN336" s="1">
        <v>128.0</v>
      </c>
      <c r="AO336" s="1">
        <v>8.0</v>
      </c>
      <c r="AP336" s="1">
        <v>0.030152</v>
      </c>
      <c r="AQ336" s="1">
        <v>0.017444</v>
      </c>
      <c r="AR336" s="1">
        <v>0.029448</v>
      </c>
      <c r="AS336" s="1">
        <v>0.133567</v>
      </c>
      <c r="AT336" s="1">
        <v>42332.0</v>
      </c>
      <c r="AU336" s="1">
        <v>4892.0</v>
      </c>
      <c r="AV336" s="1">
        <v>0.051322</v>
      </c>
      <c r="AW336" s="1">
        <v>0.058929</v>
      </c>
      <c r="AX336" s="1">
        <v>0.190054</v>
      </c>
      <c r="AY336" s="1">
        <v>0.209264</v>
      </c>
      <c r="AZ336" s="1">
        <v>0.04957321</v>
      </c>
      <c r="BA336" s="1">
        <v>0.054087</v>
      </c>
      <c r="BB336" s="1">
        <v>0.001792</v>
      </c>
      <c r="BC336" s="1">
        <v>0.066039</v>
      </c>
      <c r="BD336" s="1">
        <v>0.017373</v>
      </c>
      <c r="BE336" s="1">
        <v>0.040423</v>
      </c>
      <c r="BF336" s="1">
        <v>0.018376</v>
      </c>
      <c r="BG336" s="1">
        <v>0.022376</v>
      </c>
      <c r="BH336" s="1">
        <v>0.002886</v>
      </c>
      <c r="BI336" s="1">
        <v>0.041485</v>
      </c>
      <c r="BJ336" s="1">
        <v>0.013347</v>
      </c>
      <c r="BK336" s="1">
        <v>0.046169</v>
      </c>
      <c r="BL336" s="1">
        <v>0.001089</v>
      </c>
      <c r="BM336" s="1">
        <v>0.088</v>
      </c>
      <c r="BN336" s="1">
        <v>0.083</v>
      </c>
      <c r="BO336" s="1">
        <v>0.0534</v>
      </c>
      <c r="BP336" s="1">
        <v>0.131</v>
      </c>
      <c r="BQ336" s="1">
        <v>0.3554</v>
      </c>
      <c r="BR336" s="1">
        <v>0.0303</v>
      </c>
      <c r="BS336" s="1">
        <v>0.838</v>
      </c>
      <c r="BT336" s="1">
        <v>0.233</v>
      </c>
      <c r="BU336" s="1">
        <v>0.071</v>
      </c>
      <c r="BV336" s="1">
        <v>1.142</v>
      </c>
      <c r="BW336" s="1">
        <v>0.194</v>
      </c>
      <c r="BX336" s="1">
        <v>0.279</v>
      </c>
      <c r="BY336" s="1">
        <v>0.371</v>
      </c>
      <c r="BZ336" s="1">
        <v>0.65</v>
      </c>
      <c r="CA336" s="1">
        <v>0.303</v>
      </c>
      <c r="CB336" s="1">
        <v>0.443</v>
      </c>
      <c r="CC336" s="1">
        <v>0.504</v>
      </c>
      <c r="CD336" s="1">
        <v>0.292</v>
      </c>
      <c r="CE336" s="1">
        <v>0.118</v>
      </c>
      <c r="CF336" s="1">
        <v>0.404</v>
      </c>
      <c r="CG336" s="1">
        <v>1.761</v>
      </c>
      <c r="CH336" s="1">
        <v>0.253</v>
      </c>
      <c r="CI336" s="1">
        <v>3.9084</v>
      </c>
      <c r="CJ336" s="1">
        <v>0.0765</v>
      </c>
      <c r="CK336" s="1">
        <v>0.0</v>
      </c>
      <c r="CL336" s="1">
        <v>0.0</v>
      </c>
      <c r="CM336" s="1">
        <v>0.0</v>
      </c>
      <c r="CN336" s="1">
        <v>0.0</v>
      </c>
      <c r="CO336" s="1">
        <v>0.0</v>
      </c>
      <c r="CP336" s="1">
        <v>0.0</v>
      </c>
      <c r="CQ336" s="1">
        <v>0.0</v>
      </c>
      <c r="CR336" s="1">
        <v>0.0</v>
      </c>
      <c r="CS336" s="1">
        <v>0.0</v>
      </c>
      <c r="CT336" s="1">
        <v>0.0</v>
      </c>
      <c r="CU336" s="1">
        <v>0.0</v>
      </c>
      <c r="CV336" s="1">
        <v>0.0</v>
      </c>
      <c r="CW336" s="1">
        <v>0.0</v>
      </c>
      <c r="CX336" s="1">
        <v>0.0</v>
      </c>
      <c r="CY336" s="1">
        <v>0.0</v>
      </c>
      <c r="CZ336" s="1">
        <v>0.0</v>
      </c>
      <c r="DA336" s="1">
        <v>0.0</v>
      </c>
      <c r="DB336" s="1">
        <v>0.0</v>
      </c>
      <c r="DC336" s="1">
        <v>0.0</v>
      </c>
      <c r="DD336" s="1" t="s">
        <v>1683</v>
      </c>
      <c r="DE336" s="1">
        <v>0.00386522439689691</v>
      </c>
      <c r="DF336" s="1">
        <v>0.262638953899819</v>
      </c>
    </row>
    <row r="337" ht="15.75" customHeight="1">
      <c r="A337" s="1" t="s">
        <v>1684</v>
      </c>
      <c r="B337" s="1">
        <v>29.0</v>
      </c>
      <c r="C337" s="2" t="s">
        <v>1606</v>
      </c>
      <c r="D337" s="2" t="s">
        <v>1685</v>
      </c>
      <c r="E337" s="1">
        <v>18.87</v>
      </c>
      <c r="F337" s="1">
        <v>29077.0</v>
      </c>
      <c r="G337" s="1">
        <v>2.90770038E10</v>
      </c>
      <c r="H337" s="1" t="s">
        <v>112</v>
      </c>
      <c r="I337" s="1" t="s">
        <v>113</v>
      </c>
      <c r="J337" s="1" t="s">
        <v>1607</v>
      </c>
      <c r="K337" s="1" t="s">
        <v>1686</v>
      </c>
      <c r="L337" s="1">
        <v>7268.0</v>
      </c>
      <c r="M337" s="1">
        <v>6771.0</v>
      </c>
      <c r="N337" s="1">
        <v>425.0</v>
      </c>
      <c r="O337" s="1">
        <v>2903.0</v>
      </c>
      <c r="P337" s="1">
        <v>2803.0</v>
      </c>
      <c r="Q337" s="1">
        <v>112.0</v>
      </c>
      <c r="R337" s="1">
        <v>2756.0</v>
      </c>
      <c r="S337" s="1">
        <v>260.0</v>
      </c>
      <c r="T337" s="1">
        <v>161.0</v>
      </c>
      <c r="U337" s="1">
        <v>62.0</v>
      </c>
      <c r="V337" s="1">
        <v>458.0</v>
      </c>
      <c r="W337" s="1">
        <v>56050.0</v>
      </c>
      <c r="X337" s="1">
        <v>8399.0</v>
      </c>
      <c r="Y337" s="1">
        <v>317.0</v>
      </c>
      <c r="Z337" s="1">
        <v>276.0</v>
      </c>
      <c r="AA337" s="1">
        <v>1513.0</v>
      </c>
      <c r="AB337" s="1">
        <v>1628.0</v>
      </c>
      <c r="AC337" s="1">
        <v>99.0</v>
      </c>
      <c r="AD337" s="1">
        <v>464.0</v>
      </c>
      <c r="AE337" s="1">
        <v>18.0</v>
      </c>
      <c r="AF337" s="1">
        <v>442.0</v>
      </c>
      <c r="AG337" s="1">
        <v>63.0</v>
      </c>
      <c r="AH337" s="1">
        <v>123.0</v>
      </c>
      <c r="AI337" s="1">
        <v>12.0</v>
      </c>
      <c r="AJ337" s="1">
        <v>19.0</v>
      </c>
      <c r="AK337" s="1">
        <v>0.0</v>
      </c>
      <c r="AL337" s="1">
        <v>161.0</v>
      </c>
      <c r="AM337" s="1">
        <v>59.0</v>
      </c>
      <c r="AN337" s="1">
        <v>42.0</v>
      </c>
      <c r="AO337" s="1">
        <v>192.0</v>
      </c>
      <c r="AP337" s="1">
        <v>0.039963</v>
      </c>
      <c r="AQ337" s="1">
        <v>0.024651</v>
      </c>
      <c r="AR337" s="1">
        <v>0.021723</v>
      </c>
      <c r="AS337" s="1">
        <v>0.160462</v>
      </c>
      <c r="AT337" s="1">
        <v>56050.0</v>
      </c>
      <c r="AU337" s="1">
        <v>8399.0</v>
      </c>
      <c r="AV337" s="1">
        <v>0.060973</v>
      </c>
      <c r="AW337" s="1">
        <v>0.05293</v>
      </c>
      <c r="AX337" s="1">
        <v>0.208172</v>
      </c>
      <c r="AY337" s="1">
        <v>0.223995</v>
      </c>
      <c r="AZ337" s="1">
        <v>0.03592162</v>
      </c>
      <c r="BA337" s="1">
        <v>0.063841</v>
      </c>
      <c r="BB337" s="1">
        <v>0.002814</v>
      </c>
      <c r="BC337" s="1">
        <v>0.069116</v>
      </c>
      <c r="BD337" s="1">
        <v>0.022475</v>
      </c>
      <c r="BE337" s="1">
        <v>0.043872</v>
      </c>
      <c r="BF337" s="1">
        <v>0.004281</v>
      </c>
      <c r="BG337" s="1">
        <v>0.006776</v>
      </c>
      <c r="BH337" s="1">
        <v>0.0</v>
      </c>
      <c r="BI337" s="1">
        <v>0.06124</v>
      </c>
      <c r="BJ337" s="1">
        <v>0.022441</v>
      </c>
      <c r="BK337" s="1">
        <v>0.015932</v>
      </c>
      <c r="BL337" s="1">
        <v>0.026417</v>
      </c>
      <c r="BM337" s="1">
        <v>0.121</v>
      </c>
      <c r="BN337" s="1">
        <v>0.037</v>
      </c>
      <c r="BO337" s="1">
        <v>0.0166</v>
      </c>
      <c r="BP337" s="1">
        <v>0.171</v>
      </c>
      <c r="BQ337" s="1">
        <v>0.3456</v>
      </c>
      <c r="BR337" s="1">
        <v>0.0296</v>
      </c>
      <c r="BS337" s="1">
        <v>0.903</v>
      </c>
      <c r="BT337" s="1">
        <v>0.333</v>
      </c>
      <c r="BU337" s="1">
        <v>0.028</v>
      </c>
      <c r="BV337" s="1">
        <v>1.264</v>
      </c>
      <c r="BW337" s="1">
        <v>0.276</v>
      </c>
      <c r="BX337" s="1">
        <v>0.333</v>
      </c>
      <c r="BY337" s="1">
        <v>0.438</v>
      </c>
      <c r="BZ337" s="1">
        <v>0.771</v>
      </c>
      <c r="CA337" s="1">
        <v>0.376</v>
      </c>
      <c r="CB337" s="1">
        <v>0.495</v>
      </c>
      <c r="CC337" s="1">
        <v>0.382</v>
      </c>
      <c r="CD337" s="1">
        <v>0.0</v>
      </c>
      <c r="CE337" s="1">
        <v>0.208</v>
      </c>
      <c r="CF337" s="1">
        <v>0.784</v>
      </c>
      <c r="CG337" s="1">
        <v>1.869</v>
      </c>
      <c r="CH337" s="1">
        <v>0.292</v>
      </c>
      <c r="CI337" s="1">
        <v>4.2496</v>
      </c>
      <c r="CJ337" s="1">
        <v>0.1105</v>
      </c>
      <c r="CK337" s="1">
        <v>0.0</v>
      </c>
      <c r="CL337" s="1">
        <v>0.0</v>
      </c>
      <c r="CM337" s="1">
        <v>0.0</v>
      </c>
      <c r="CN337" s="1">
        <v>0.0</v>
      </c>
      <c r="CO337" s="1">
        <v>0.0</v>
      </c>
      <c r="CP337" s="1">
        <v>1.0</v>
      </c>
      <c r="CQ337" s="1">
        <v>0.0</v>
      </c>
      <c r="CR337" s="1">
        <v>0.0</v>
      </c>
      <c r="CS337" s="1">
        <v>1.0</v>
      </c>
      <c r="CT337" s="1">
        <v>0.0</v>
      </c>
      <c r="CU337" s="1">
        <v>0.0</v>
      </c>
      <c r="CV337" s="1">
        <v>0.0</v>
      </c>
      <c r="CW337" s="1">
        <v>0.0</v>
      </c>
      <c r="CX337" s="1">
        <v>0.0</v>
      </c>
      <c r="CY337" s="1">
        <v>0.0</v>
      </c>
      <c r="CZ337" s="1">
        <v>0.0</v>
      </c>
      <c r="DA337" s="1">
        <v>0.0</v>
      </c>
      <c r="DB337" s="1">
        <v>0.0</v>
      </c>
      <c r="DC337" s="1">
        <v>1.0</v>
      </c>
      <c r="DD337" s="1" t="s">
        <v>1687</v>
      </c>
      <c r="DE337" s="1">
        <v>0.00501007372884304</v>
      </c>
      <c r="DF337" s="2" t="s">
        <v>1688</v>
      </c>
    </row>
    <row r="338" ht="15.75" customHeight="1">
      <c r="A338" s="1" t="s">
        <v>1689</v>
      </c>
      <c r="B338" s="1">
        <v>29.0</v>
      </c>
      <c r="C338" s="2" t="s">
        <v>1606</v>
      </c>
      <c r="D338" s="2" t="s">
        <v>1690</v>
      </c>
      <c r="E338" s="1">
        <v>2.193</v>
      </c>
      <c r="F338" s="1">
        <v>29077.0</v>
      </c>
      <c r="G338" s="1">
        <v>2.90770039E10</v>
      </c>
      <c r="H338" s="1" t="s">
        <v>112</v>
      </c>
      <c r="I338" s="1" t="s">
        <v>113</v>
      </c>
      <c r="J338" s="1" t="s">
        <v>1607</v>
      </c>
      <c r="K338" s="1" t="s">
        <v>1691</v>
      </c>
      <c r="L338" s="1">
        <v>2709.0</v>
      </c>
      <c r="M338" s="1">
        <v>2830.0</v>
      </c>
      <c r="N338" s="1">
        <v>202.0</v>
      </c>
      <c r="O338" s="1">
        <v>1271.0</v>
      </c>
      <c r="P338" s="1">
        <v>1233.0</v>
      </c>
      <c r="Q338" s="1">
        <v>54.0</v>
      </c>
      <c r="R338" s="1">
        <v>1185.0</v>
      </c>
      <c r="S338" s="1">
        <v>334.0</v>
      </c>
      <c r="T338" s="1">
        <v>148.0</v>
      </c>
      <c r="U338" s="1">
        <v>44.0</v>
      </c>
      <c r="V338" s="1">
        <v>457.0</v>
      </c>
      <c r="W338" s="1">
        <v>28391.0</v>
      </c>
      <c r="X338" s="1">
        <v>4434.0</v>
      </c>
      <c r="Y338" s="1">
        <v>142.0</v>
      </c>
      <c r="Z338" s="1">
        <v>328.0</v>
      </c>
      <c r="AA338" s="1">
        <v>461.0</v>
      </c>
      <c r="AB338" s="1">
        <v>587.0</v>
      </c>
      <c r="AC338" s="1">
        <v>97.0</v>
      </c>
      <c r="AD338" s="1">
        <v>191.0</v>
      </c>
      <c r="AE338" s="1">
        <v>9.0</v>
      </c>
      <c r="AF338" s="1">
        <v>442.0</v>
      </c>
      <c r="AG338" s="1">
        <v>0.0</v>
      </c>
      <c r="AH338" s="1">
        <v>197.0</v>
      </c>
      <c r="AI338" s="1">
        <v>142.0</v>
      </c>
      <c r="AJ338" s="1">
        <v>42.0</v>
      </c>
      <c r="AK338" s="1">
        <v>4.0</v>
      </c>
      <c r="AL338" s="1">
        <v>114.0</v>
      </c>
      <c r="AM338" s="1">
        <v>45.0</v>
      </c>
      <c r="AN338" s="1">
        <v>38.0</v>
      </c>
      <c r="AO338" s="1">
        <v>6.0</v>
      </c>
      <c r="AP338" s="1">
        <v>0.118021</v>
      </c>
      <c r="AQ338" s="1">
        <v>0.051613</v>
      </c>
      <c r="AR338" s="1">
        <v>0.029609</v>
      </c>
      <c r="AS338" s="1">
        <v>0.307498</v>
      </c>
      <c r="AT338" s="1">
        <v>28391.0</v>
      </c>
      <c r="AU338" s="1">
        <v>4434.0</v>
      </c>
      <c r="AV338" s="1">
        <v>0.075052</v>
      </c>
      <c r="AW338" s="1">
        <v>0.173293</v>
      </c>
      <c r="AX338" s="1">
        <v>0.170173</v>
      </c>
      <c r="AY338" s="1">
        <v>0.216685</v>
      </c>
      <c r="AZ338" s="1">
        <v>0.08185654</v>
      </c>
      <c r="BA338" s="1">
        <v>0.070505</v>
      </c>
      <c r="BB338" s="1">
        <v>0.003377</v>
      </c>
      <c r="BC338" s="1">
        <v>0.165853</v>
      </c>
      <c r="BD338" s="1">
        <v>0.0</v>
      </c>
      <c r="BE338" s="1">
        <v>0.159772</v>
      </c>
      <c r="BF338" s="1">
        <v>0.115166</v>
      </c>
      <c r="BG338" s="1">
        <v>0.033687</v>
      </c>
      <c r="BH338" s="1">
        <v>0.003344</v>
      </c>
      <c r="BI338" s="1">
        <v>0.095317</v>
      </c>
      <c r="BJ338" s="1">
        <v>0.037625</v>
      </c>
      <c r="BK338" s="1">
        <v>0.03171</v>
      </c>
      <c r="BL338" s="1">
        <v>0.002214</v>
      </c>
      <c r="BM338" s="1">
        <v>0.446</v>
      </c>
      <c r="BN338" s="1">
        <v>0.084</v>
      </c>
      <c r="BO338" s="1">
        <v>0.2347</v>
      </c>
      <c r="BP338" s="1">
        <v>0.223</v>
      </c>
      <c r="BQ338" s="1">
        <v>0.9877</v>
      </c>
      <c r="BR338" s="1">
        <v>0.1978</v>
      </c>
      <c r="BS338" s="1">
        <v>0.737</v>
      </c>
      <c r="BT338" s="1">
        <v>0.279</v>
      </c>
      <c r="BU338" s="1">
        <v>0.323</v>
      </c>
      <c r="BV338" s="1">
        <v>1.339</v>
      </c>
      <c r="BW338" s="1">
        <v>0.336</v>
      </c>
      <c r="BX338" s="1">
        <v>0.366</v>
      </c>
      <c r="BY338" s="1">
        <v>0.474</v>
      </c>
      <c r="BZ338" s="1">
        <v>0.84</v>
      </c>
      <c r="CA338" s="1">
        <v>0.423</v>
      </c>
      <c r="CB338" s="1">
        <v>0.0</v>
      </c>
      <c r="CC338" s="1">
        <v>0.751</v>
      </c>
      <c r="CD338" s="1">
        <v>0.297</v>
      </c>
      <c r="CE338" s="1">
        <v>0.368</v>
      </c>
      <c r="CF338" s="1">
        <v>0.454</v>
      </c>
      <c r="CG338" s="1">
        <v>1.87</v>
      </c>
      <c r="CH338" s="1">
        <v>0.292</v>
      </c>
      <c r="CI338" s="1">
        <v>5.0367</v>
      </c>
      <c r="CJ338" s="1">
        <v>0.2087</v>
      </c>
      <c r="CK338" s="1">
        <v>0.0</v>
      </c>
      <c r="CL338" s="1">
        <v>0.0</v>
      </c>
      <c r="CM338" s="1">
        <v>0.0</v>
      </c>
      <c r="CN338" s="1">
        <v>0.0</v>
      </c>
      <c r="CO338" s="1">
        <v>0.0</v>
      </c>
      <c r="CP338" s="1">
        <v>0.0</v>
      </c>
      <c r="CQ338" s="1">
        <v>0.0</v>
      </c>
      <c r="CR338" s="1">
        <v>0.0</v>
      </c>
      <c r="CS338" s="1">
        <v>0.0</v>
      </c>
      <c r="CT338" s="1">
        <v>0.0</v>
      </c>
      <c r="CU338" s="1">
        <v>0.0</v>
      </c>
      <c r="CV338" s="1">
        <v>0.0</v>
      </c>
      <c r="CW338" s="1">
        <v>0.0</v>
      </c>
      <c r="CX338" s="1">
        <v>0.0</v>
      </c>
      <c r="CY338" s="1">
        <v>0.0</v>
      </c>
      <c r="CZ338" s="1">
        <v>0.0</v>
      </c>
      <c r="DA338" s="1">
        <v>0.0</v>
      </c>
      <c r="DB338" s="1">
        <v>0.0</v>
      </c>
      <c r="DC338" s="1">
        <v>0.0</v>
      </c>
      <c r="DD338" s="1" t="s">
        <v>1692</v>
      </c>
      <c r="DE338" s="1">
        <v>5.78548663632304E-4</v>
      </c>
      <c r="DF338" s="2" t="s">
        <v>1693</v>
      </c>
    </row>
    <row r="339" ht="15.75" customHeight="1">
      <c r="A339" s="1" t="s">
        <v>1694</v>
      </c>
      <c r="B339" s="1">
        <v>29.0</v>
      </c>
      <c r="C339" s="2" t="s">
        <v>1606</v>
      </c>
      <c r="D339" s="2" t="s">
        <v>1695</v>
      </c>
      <c r="E339" s="1">
        <v>2.296</v>
      </c>
      <c r="F339" s="1">
        <v>29077.0</v>
      </c>
      <c r="G339" s="1">
        <v>2.9077004001E10</v>
      </c>
      <c r="H339" s="1" t="s">
        <v>112</v>
      </c>
      <c r="I339" s="1" t="s">
        <v>113</v>
      </c>
      <c r="J339" s="1" t="s">
        <v>1607</v>
      </c>
      <c r="K339" s="1" t="s">
        <v>1696</v>
      </c>
      <c r="L339" s="1">
        <v>5125.0</v>
      </c>
      <c r="M339" s="1">
        <v>5126.0</v>
      </c>
      <c r="N339" s="1">
        <v>362.0</v>
      </c>
      <c r="O339" s="1">
        <v>2853.0</v>
      </c>
      <c r="P339" s="1">
        <v>2752.0</v>
      </c>
      <c r="Q339" s="1">
        <v>66.0</v>
      </c>
      <c r="R339" s="1">
        <v>2628.0</v>
      </c>
      <c r="S339" s="1">
        <v>636.0</v>
      </c>
      <c r="T339" s="1">
        <v>268.0</v>
      </c>
      <c r="U339" s="1">
        <v>186.0</v>
      </c>
      <c r="V339" s="1">
        <v>415.0</v>
      </c>
      <c r="W339" s="1">
        <v>28954.0</v>
      </c>
      <c r="X339" s="1">
        <v>5133.0</v>
      </c>
      <c r="Y339" s="1">
        <v>265.0</v>
      </c>
      <c r="Z339" s="1">
        <v>339.0</v>
      </c>
      <c r="AA339" s="1">
        <v>1186.0</v>
      </c>
      <c r="AB339" s="1">
        <v>754.0</v>
      </c>
      <c r="AC339" s="1">
        <v>191.0</v>
      </c>
      <c r="AD339" s="1">
        <v>490.0</v>
      </c>
      <c r="AE339" s="1">
        <v>17.0</v>
      </c>
      <c r="AF339" s="1">
        <v>442.0</v>
      </c>
      <c r="AG339" s="1">
        <v>1133.0</v>
      </c>
      <c r="AH339" s="1">
        <v>232.0</v>
      </c>
      <c r="AI339" s="1">
        <v>13.0</v>
      </c>
      <c r="AJ339" s="1">
        <v>21.0</v>
      </c>
      <c r="AK339" s="1">
        <v>0.0</v>
      </c>
      <c r="AL339" s="1">
        <v>161.0</v>
      </c>
      <c r="AM339" s="1">
        <v>127.0</v>
      </c>
      <c r="AN339" s="1">
        <v>141.0</v>
      </c>
      <c r="AO339" s="1">
        <v>0.0</v>
      </c>
      <c r="AP339" s="1">
        <v>0.124073</v>
      </c>
      <c r="AQ339" s="1">
        <v>0.051543</v>
      </c>
      <c r="AR339" s="1">
        <v>0.069325</v>
      </c>
      <c r="AS339" s="1">
        <v>0.154319</v>
      </c>
      <c r="AT339" s="1">
        <v>28954.0</v>
      </c>
      <c r="AU339" s="1">
        <v>5133.0</v>
      </c>
      <c r="AV339" s="1">
        <v>0.075931</v>
      </c>
      <c r="AW339" s="1">
        <v>0.096916</v>
      </c>
      <c r="AX339" s="1">
        <v>0.231414</v>
      </c>
      <c r="AY339" s="1">
        <v>0.147121</v>
      </c>
      <c r="AZ339" s="1">
        <v>0.07267884</v>
      </c>
      <c r="BA339" s="1">
        <v>0.095609</v>
      </c>
      <c r="BB339" s="1">
        <v>0.00344</v>
      </c>
      <c r="BC339" s="1">
        <v>0.089455</v>
      </c>
      <c r="BD339" s="1">
        <v>0.4117</v>
      </c>
      <c r="BE339" s="1">
        <v>0.083722</v>
      </c>
      <c r="BF339" s="1">
        <v>0.004723</v>
      </c>
      <c r="BG339" s="1">
        <v>0.007629</v>
      </c>
      <c r="BH339" s="1">
        <v>0.0</v>
      </c>
      <c r="BI339" s="1">
        <v>0.062572</v>
      </c>
      <c r="BJ339" s="1">
        <v>0.049358</v>
      </c>
      <c r="BK339" s="1">
        <v>0.054722</v>
      </c>
      <c r="BL339" s="1">
        <v>0.0</v>
      </c>
      <c r="BM339" s="1">
        <v>0.47</v>
      </c>
      <c r="BN339" s="1">
        <v>0.508</v>
      </c>
      <c r="BO339" s="1">
        <v>0.2224</v>
      </c>
      <c r="BP339" s="1">
        <v>0.23</v>
      </c>
      <c r="BQ339" s="1">
        <v>1.4304</v>
      </c>
      <c r="BR339" s="1">
        <v>0.322</v>
      </c>
      <c r="BS339" s="1">
        <v>0.951</v>
      </c>
      <c r="BT339" s="1">
        <v>0.064</v>
      </c>
      <c r="BU339" s="1">
        <v>0.237</v>
      </c>
      <c r="BV339" s="1">
        <v>1.252</v>
      </c>
      <c r="BW339" s="1">
        <v>0.269</v>
      </c>
      <c r="BX339" s="1">
        <v>0.449</v>
      </c>
      <c r="BY339" s="1">
        <v>0.476</v>
      </c>
      <c r="BZ339" s="1">
        <v>0.925</v>
      </c>
      <c r="CA339" s="1">
        <v>0.487</v>
      </c>
      <c r="CB339" s="1">
        <v>0.969</v>
      </c>
      <c r="CC339" s="1">
        <v>0.389</v>
      </c>
      <c r="CD339" s="1">
        <v>0.0</v>
      </c>
      <c r="CE339" s="1">
        <v>0.482</v>
      </c>
      <c r="CF339" s="1">
        <v>0.0</v>
      </c>
      <c r="CG339" s="1">
        <v>1.84</v>
      </c>
      <c r="CH339" s="1">
        <v>0.282</v>
      </c>
      <c r="CI339" s="1">
        <v>5.4474</v>
      </c>
      <c r="CJ339" s="1">
        <v>0.2722</v>
      </c>
      <c r="CK339" s="1">
        <v>0.0</v>
      </c>
      <c r="CL339" s="1">
        <v>0.0</v>
      </c>
      <c r="CM339" s="1">
        <v>0.0</v>
      </c>
      <c r="CN339" s="1">
        <v>0.0</v>
      </c>
      <c r="CO339" s="1">
        <v>0.0</v>
      </c>
      <c r="CP339" s="1">
        <v>1.0</v>
      </c>
      <c r="CQ339" s="1">
        <v>0.0</v>
      </c>
      <c r="CR339" s="1">
        <v>0.0</v>
      </c>
      <c r="CS339" s="1">
        <v>1.0</v>
      </c>
      <c r="CT339" s="1">
        <v>0.0</v>
      </c>
      <c r="CU339" s="1">
        <v>0.0</v>
      </c>
      <c r="CV339" s="1">
        <v>0.0</v>
      </c>
      <c r="CW339" s="1">
        <v>1.0</v>
      </c>
      <c r="CX339" s="1">
        <v>0.0</v>
      </c>
      <c r="CY339" s="1">
        <v>0.0</v>
      </c>
      <c r="CZ339" s="1">
        <v>0.0</v>
      </c>
      <c r="DA339" s="1">
        <v>0.0</v>
      </c>
      <c r="DB339" s="1">
        <v>1.0</v>
      </c>
      <c r="DC339" s="1">
        <v>2.0</v>
      </c>
      <c r="DD339" s="1" t="s">
        <v>1697</v>
      </c>
      <c r="DE339" s="1">
        <v>5.9728545546462E-4</v>
      </c>
      <c r="DF339" s="2" t="s">
        <v>1698</v>
      </c>
    </row>
    <row r="340" ht="15.75" customHeight="1">
      <c r="A340" s="1" t="s">
        <v>1699</v>
      </c>
      <c r="B340" s="1">
        <v>29.0</v>
      </c>
      <c r="C340" s="2" t="s">
        <v>1606</v>
      </c>
      <c r="D340" s="2" t="s">
        <v>1700</v>
      </c>
      <c r="E340" s="1">
        <v>3.024</v>
      </c>
      <c r="F340" s="1">
        <v>29077.0</v>
      </c>
      <c r="G340" s="1">
        <v>2.9077004002E10</v>
      </c>
      <c r="H340" s="1" t="s">
        <v>112</v>
      </c>
      <c r="I340" s="1" t="s">
        <v>113</v>
      </c>
      <c r="J340" s="1" t="s">
        <v>1607</v>
      </c>
      <c r="K340" s="1" t="s">
        <v>1701</v>
      </c>
      <c r="L340" s="1">
        <v>3583.0</v>
      </c>
      <c r="M340" s="1">
        <v>3421.0</v>
      </c>
      <c r="N340" s="1">
        <v>238.0</v>
      </c>
      <c r="O340" s="1">
        <v>1583.0</v>
      </c>
      <c r="P340" s="1">
        <v>1450.0</v>
      </c>
      <c r="Q340" s="1">
        <v>84.0</v>
      </c>
      <c r="R340" s="1">
        <v>1484.0</v>
      </c>
      <c r="S340" s="1">
        <v>87.0</v>
      </c>
      <c r="T340" s="1">
        <v>78.0</v>
      </c>
      <c r="U340" s="1">
        <v>55.0</v>
      </c>
      <c r="V340" s="1">
        <v>443.0</v>
      </c>
      <c r="W340" s="1">
        <v>52146.0</v>
      </c>
      <c r="X340" s="1">
        <v>11108.0</v>
      </c>
      <c r="Y340" s="1">
        <v>83.0</v>
      </c>
      <c r="Z340" s="1">
        <v>345.0</v>
      </c>
      <c r="AA340" s="1">
        <v>779.0</v>
      </c>
      <c r="AB340" s="1">
        <v>693.0</v>
      </c>
      <c r="AC340" s="1">
        <v>58.0</v>
      </c>
      <c r="AD340" s="1">
        <v>221.0</v>
      </c>
      <c r="AE340" s="1">
        <v>34.0</v>
      </c>
      <c r="AF340" s="1">
        <v>428.0</v>
      </c>
      <c r="AG340" s="1">
        <v>12.0</v>
      </c>
      <c r="AH340" s="1">
        <v>162.0</v>
      </c>
      <c r="AI340" s="1">
        <v>24.0</v>
      </c>
      <c r="AJ340" s="1">
        <v>24.0</v>
      </c>
      <c r="AK340" s="1">
        <v>0.0</v>
      </c>
      <c r="AL340" s="1">
        <v>161.0</v>
      </c>
      <c r="AM340" s="1">
        <v>33.0</v>
      </c>
      <c r="AN340" s="1">
        <v>32.0</v>
      </c>
      <c r="AO340" s="1">
        <v>5.0</v>
      </c>
      <c r="AP340" s="1">
        <v>0.025431</v>
      </c>
      <c r="AQ340" s="1">
        <v>0.022731</v>
      </c>
      <c r="AR340" s="1">
        <v>0.034788</v>
      </c>
      <c r="AS340" s="1">
        <v>0.280124</v>
      </c>
      <c r="AT340" s="1">
        <v>52146.0</v>
      </c>
      <c r="AU340" s="1">
        <v>11108.0</v>
      </c>
      <c r="AV340" s="1">
        <v>0.031703</v>
      </c>
      <c r="AW340" s="1">
        <v>0.131761</v>
      </c>
      <c r="AX340" s="1">
        <v>0.217415</v>
      </c>
      <c r="AY340" s="1">
        <v>0.193413</v>
      </c>
      <c r="AZ340" s="1">
        <v>0.03908355</v>
      </c>
      <c r="BA340" s="1">
        <v>0.06168</v>
      </c>
      <c r="BB340" s="1">
        <v>0.010559</v>
      </c>
      <c r="BC340" s="1">
        <v>0.132916</v>
      </c>
      <c r="BD340" s="1">
        <v>0.008275</v>
      </c>
      <c r="BE340" s="1">
        <v>0.111723</v>
      </c>
      <c r="BF340" s="1">
        <v>0.016551</v>
      </c>
      <c r="BG340" s="1">
        <v>0.016523</v>
      </c>
      <c r="BH340" s="1">
        <v>0.0</v>
      </c>
      <c r="BI340" s="1">
        <v>0.11322</v>
      </c>
      <c r="BJ340" s="1">
        <v>0.023206</v>
      </c>
      <c r="BK340" s="1">
        <v>0.022452</v>
      </c>
      <c r="BL340" s="1">
        <v>0.001395</v>
      </c>
      <c r="BM340" s="1">
        <v>0.074</v>
      </c>
      <c r="BN340" s="1">
        <v>0.128</v>
      </c>
      <c r="BO340" s="1">
        <v>0.0224</v>
      </c>
      <c r="BP340" s="1">
        <v>0.066</v>
      </c>
      <c r="BQ340" s="1">
        <v>0.2904</v>
      </c>
      <c r="BR340" s="1">
        <v>0.0173</v>
      </c>
      <c r="BS340" s="1">
        <v>0.926</v>
      </c>
      <c r="BT340" s="1">
        <v>0.163</v>
      </c>
      <c r="BU340" s="1">
        <v>0.035</v>
      </c>
      <c r="BV340" s="1">
        <v>1.124</v>
      </c>
      <c r="BW340" s="1">
        <v>0.184</v>
      </c>
      <c r="BX340" s="1">
        <v>0.32</v>
      </c>
      <c r="BY340" s="1">
        <v>0.735</v>
      </c>
      <c r="BZ340" s="1">
        <v>1.055</v>
      </c>
      <c r="CA340" s="1">
        <v>0.587</v>
      </c>
      <c r="CB340" s="1">
        <v>0.365</v>
      </c>
      <c r="CC340" s="1">
        <v>0.495</v>
      </c>
      <c r="CD340" s="1">
        <v>0.0</v>
      </c>
      <c r="CE340" s="1">
        <v>0.217</v>
      </c>
      <c r="CF340" s="1">
        <v>0.42</v>
      </c>
      <c r="CG340" s="1">
        <v>1.497</v>
      </c>
      <c r="CH340" s="1">
        <v>0.175</v>
      </c>
      <c r="CI340" s="1">
        <v>3.9664</v>
      </c>
      <c r="CJ340" s="1">
        <v>0.0823</v>
      </c>
      <c r="CK340" s="1">
        <v>0.0</v>
      </c>
      <c r="CL340" s="1">
        <v>0.0</v>
      </c>
      <c r="CM340" s="1">
        <v>0.0</v>
      </c>
      <c r="CN340" s="1">
        <v>0.0</v>
      </c>
      <c r="CO340" s="1">
        <v>0.0</v>
      </c>
      <c r="CP340" s="1">
        <v>1.0</v>
      </c>
      <c r="CQ340" s="1">
        <v>0.0</v>
      </c>
      <c r="CR340" s="1">
        <v>0.0</v>
      </c>
      <c r="CS340" s="1">
        <v>1.0</v>
      </c>
      <c r="CT340" s="1">
        <v>0.0</v>
      </c>
      <c r="CU340" s="1">
        <v>0.0</v>
      </c>
      <c r="CV340" s="1">
        <v>0.0</v>
      </c>
      <c r="CW340" s="1">
        <v>0.0</v>
      </c>
      <c r="CX340" s="1">
        <v>0.0</v>
      </c>
      <c r="CY340" s="1">
        <v>0.0</v>
      </c>
      <c r="CZ340" s="1">
        <v>0.0</v>
      </c>
      <c r="DA340" s="1">
        <v>0.0</v>
      </c>
      <c r="DB340" s="1">
        <v>0.0</v>
      </c>
      <c r="DC340" s="1">
        <v>1.0</v>
      </c>
      <c r="DD340" s="1" t="s">
        <v>1702</v>
      </c>
      <c r="DE340" s="1">
        <v>9.0077091318908E-4</v>
      </c>
      <c r="DF340" s="2" t="s">
        <v>1703</v>
      </c>
    </row>
    <row r="341" ht="15.75" customHeight="1">
      <c r="A341" s="1" t="s">
        <v>1704</v>
      </c>
      <c r="B341" s="1">
        <v>29.0</v>
      </c>
      <c r="C341" s="2" t="s">
        <v>1606</v>
      </c>
      <c r="D341" s="2" t="s">
        <v>318</v>
      </c>
      <c r="E341" s="1">
        <v>0.385</v>
      </c>
      <c r="F341" s="1">
        <v>29077.0</v>
      </c>
      <c r="G341" s="1">
        <v>2.90770002E10</v>
      </c>
      <c r="H341" s="1" t="s">
        <v>112</v>
      </c>
      <c r="I341" s="1" t="s">
        <v>113</v>
      </c>
      <c r="J341" s="1" t="s">
        <v>1607</v>
      </c>
      <c r="K341" s="1" t="s">
        <v>1705</v>
      </c>
      <c r="L341" s="1">
        <v>4580.0</v>
      </c>
      <c r="M341" s="1">
        <v>5493.0</v>
      </c>
      <c r="N341" s="1">
        <v>689.0</v>
      </c>
      <c r="O341" s="1">
        <v>867.0</v>
      </c>
      <c r="P341" s="1">
        <v>1018.0</v>
      </c>
      <c r="Q341" s="1">
        <v>67.0</v>
      </c>
      <c r="R341" s="1">
        <v>772.0</v>
      </c>
      <c r="S341" s="1">
        <v>838.0</v>
      </c>
      <c r="T341" s="1">
        <v>252.0</v>
      </c>
      <c r="U341" s="1">
        <v>501.0</v>
      </c>
      <c r="V341" s="1">
        <v>437.0</v>
      </c>
      <c r="W341" s="1">
        <v>5696.0</v>
      </c>
      <c r="X341" s="1">
        <v>588.0</v>
      </c>
      <c r="Y341" s="1">
        <v>68.0</v>
      </c>
      <c r="Z341" s="1">
        <v>415.0</v>
      </c>
      <c r="AA341" s="1">
        <v>29.0</v>
      </c>
      <c r="AB341" s="1">
        <v>69.0</v>
      </c>
      <c r="AC341" s="1">
        <v>22.0</v>
      </c>
      <c r="AD341" s="1">
        <v>755.0</v>
      </c>
      <c r="AE341" s="1">
        <v>0.0</v>
      </c>
      <c r="AF341" s="1">
        <v>456.0</v>
      </c>
      <c r="AG341" s="1">
        <v>487.0</v>
      </c>
      <c r="AH341" s="1">
        <v>133.0</v>
      </c>
      <c r="AI341" s="1">
        <v>0.0</v>
      </c>
      <c r="AJ341" s="1">
        <v>114.0</v>
      </c>
      <c r="AK341" s="1">
        <v>0.0</v>
      </c>
      <c r="AL341" s="1">
        <v>161.0</v>
      </c>
      <c r="AM341" s="1">
        <v>226.0</v>
      </c>
      <c r="AN341" s="1">
        <v>141.0</v>
      </c>
      <c r="AO341" s="1">
        <v>3240.0</v>
      </c>
      <c r="AP341" s="1">
        <v>0.605929</v>
      </c>
      <c r="AQ341" s="1">
        <v>0.147873</v>
      </c>
      <c r="AR341" s="1">
        <v>0.175543</v>
      </c>
      <c r="AS341" s="1">
        <v>0.149779</v>
      </c>
      <c r="AT341" s="1">
        <v>5696.0</v>
      </c>
      <c r="AU341" s="1">
        <v>588.0</v>
      </c>
      <c r="AV341" s="1">
        <v>0.122743</v>
      </c>
      <c r="AW341" s="1">
        <v>0.748715</v>
      </c>
      <c r="AX341" s="1">
        <v>0.006331</v>
      </c>
      <c r="AY341" s="1">
        <v>0.015065</v>
      </c>
      <c r="AZ341" s="1">
        <v>0.0284974</v>
      </c>
      <c r="BA341" s="1">
        <v>0.164847</v>
      </c>
      <c r="BB341" s="1">
        <v>0.0</v>
      </c>
      <c r="BC341" s="1">
        <v>0.083547</v>
      </c>
      <c r="BD341" s="1">
        <v>0.478388</v>
      </c>
      <c r="BE341" s="1">
        <v>0.126797</v>
      </c>
      <c r="BF341" s="1">
        <v>0.0</v>
      </c>
      <c r="BG341" s="1">
        <v>0.111984</v>
      </c>
      <c r="BH341" s="1">
        <v>0.0</v>
      </c>
      <c r="BI341" s="1">
        <v>0.181306</v>
      </c>
      <c r="BJ341" s="1">
        <v>0.254504</v>
      </c>
      <c r="BK341" s="1">
        <v>0.155505</v>
      </c>
      <c r="BL341" s="1">
        <v>0.707423</v>
      </c>
      <c r="BM341" s="1">
        <v>0.997</v>
      </c>
      <c r="BN341" s="1">
        <v>0.931</v>
      </c>
      <c r="BO341" s="1">
        <v>0.9986</v>
      </c>
      <c r="BP341" s="1">
        <v>0.441</v>
      </c>
      <c r="BQ341" s="1">
        <v>3.3676</v>
      </c>
      <c r="BR341" s="1">
        <v>0.891</v>
      </c>
      <c r="BS341" s="1">
        <v>0.004</v>
      </c>
      <c r="BT341" s="1">
        <v>0.002</v>
      </c>
      <c r="BU341" s="1">
        <v>0.015</v>
      </c>
      <c r="BV341" s="1">
        <v>0.021</v>
      </c>
      <c r="BW341" s="1">
        <v>0.002</v>
      </c>
      <c r="BX341" s="1">
        <v>0.658</v>
      </c>
      <c r="BY341" s="1">
        <v>0.0</v>
      </c>
      <c r="BZ341" s="1">
        <v>0.658</v>
      </c>
      <c r="CA341" s="1">
        <v>0.308</v>
      </c>
      <c r="CB341" s="1">
        <v>0.98</v>
      </c>
      <c r="CC341" s="1">
        <v>0.0</v>
      </c>
      <c r="CD341" s="1">
        <v>0.0</v>
      </c>
      <c r="CE341" s="1">
        <v>0.945</v>
      </c>
      <c r="CF341" s="1">
        <v>0.997</v>
      </c>
      <c r="CG341" s="1">
        <v>2.922</v>
      </c>
      <c r="CH341" s="1">
        <v>0.739</v>
      </c>
      <c r="CI341" s="1">
        <v>6.9686</v>
      </c>
      <c r="CJ341" s="1">
        <v>0.5386</v>
      </c>
      <c r="CK341" s="1">
        <v>1.0</v>
      </c>
      <c r="CL341" s="1">
        <v>1.0</v>
      </c>
      <c r="CM341" s="1">
        <v>1.0</v>
      </c>
      <c r="CN341" s="1">
        <v>0.0</v>
      </c>
      <c r="CO341" s="1">
        <v>3.0</v>
      </c>
      <c r="CP341" s="1">
        <v>0.0</v>
      </c>
      <c r="CQ341" s="1">
        <v>0.0</v>
      </c>
      <c r="CR341" s="1">
        <v>0.0</v>
      </c>
      <c r="CS341" s="1">
        <v>0.0</v>
      </c>
      <c r="CT341" s="1">
        <v>0.0</v>
      </c>
      <c r="CU341" s="1">
        <v>0.0</v>
      </c>
      <c r="CV341" s="1">
        <v>0.0</v>
      </c>
      <c r="CW341" s="1">
        <v>1.0</v>
      </c>
      <c r="CX341" s="1">
        <v>0.0</v>
      </c>
      <c r="CY341" s="1">
        <v>0.0</v>
      </c>
      <c r="CZ341" s="1">
        <v>1.0</v>
      </c>
      <c r="DA341" s="1">
        <v>1.0</v>
      </c>
      <c r="DB341" s="1">
        <v>3.0</v>
      </c>
      <c r="DC341" s="1">
        <v>6.0</v>
      </c>
      <c r="DD341" s="1" t="s">
        <v>1706</v>
      </c>
      <c r="DE341" s="1">
        <v>1.01139639065877E-4</v>
      </c>
      <c r="DF341" s="1">
        <v>0.0423397382728527</v>
      </c>
    </row>
    <row r="342" ht="15.75" customHeight="1">
      <c r="A342" s="1" t="s">
        <v>1707</v>
      </c>
      <c r="B342" s="1">
        <v>29.0</v>
      </c>
      <c r="C342" s="2" t="s">
        <v>1606</v>
      </c>
      <c r="D342" s="2" t="s">
        <v>333</v>
      </c>
      <c r="E342" s="1">
        <v>0.962</v>
      </c>
      <c r="F342" s="1">
        <v>29077.0</v>
      </c>
      <c r="G342" s="1">
        <v>2.90770006E10</v>
      </c>
      <c r="H342" s="1" t="s">
        <v>112</v>
      </c>
      <c r="I342" s="1" t="s">
        <v>113</v>
      </c>
      <c r="J342" s="1" t="s">
        <v>1607</v>
      </c>
      <c r="K342" s="1" t="s">
        <v>1708</v>
      </c>
      <c r="L342" s="1">
        <v>2991.0</v>
      </c>
      <c r="M342" s="1">
        <v>2626.0</v>
      </c>
      <c r="N342" s="1">
        <v>239.0</v>
      </c>
      <c r="O342" s="1">
        <v>1270.0</v>
      </c>
      <c r="P342" s="1">
        <v>1368.0</v>
      </c>
      <c r="Q342" s="1">
        <v>77.0</v>
      </c>
      <c r="R342" s="1">
        <v>1084.0</v>
      </c>
      <c r="S342" s="1">
        <v>1060.0</v>
      </c>
      <c r="T342" s="1">
        <v>352.0</v>
      </c>
      <c r="U342" s="1">
        <v>200.0</v>
      </c>
      <c r="V342" s="1">
        <v>408.0</v>
      </c>
      <c r="W342" s="1">
        <v>12411.0</v>
      </c>
      <c r="X342" s="1">
        <v>1560.0</v>
      </c>
      <c r="Y342" s="1">
        <v>432.0</v>
      </c>
      <c r="Z342" s="1">
        <v>330.0</v>
      </c>
      <c r="AA342" s="1">
        <v>181.0</v>
      </c>
      <c r="AB342" s="1">
        <v>640.0</v>
      </c>
      <c r="AC342" s="1">
        <v>167.0</v>
      </c>
      <c r="AD342" s="1">
        <v>573.0</v>
      </c>
      <c r="AE342" s="1">
        <v>49.0</v>
      </c>
      <c r="AF342" s="1">
        <v>429.0</v>
      </c>
      <c r="AG342" s="1">
        <v>121.0</v>
      </c>
      <c r="AH342" s="1">
        <v>123.0</v>
      </c>
      <c r="AI342" s="1">
        <v>0.0</v>
      </c>
      <c r="AJ342" s="1">
        <v>114.0</v>
      </c>
      <c r="AK342" s="1">
        <v>30.0</v>
      </c>
      <c r="AL342" s="1">
        <v>119.0</v>
      </c>
      <c r="AM342" s="1">
        <v>195.0</v>
      </c>
      <c r="AN342" s="1">
        <v>61.0</v>
      </c>
      <c r="AO342" s="1">
        <v>430.0</v>
      </c>
      <c r="AP342" s="1">
        <v>0.403655</v>
      </c>
      <c r="AQ342" s="1">
        <v>0.128911</v>
      </c>
      <c r="AR342" s="1">
        <v>0.145032</v>
      </c>
      <c r="AS342" s="1">
        <v>0.29447</v>
      </c>
      <c r="AT342" s="1">
        <v>12411.0</v>
      </c>
      <c r="AU342" s="1">
        <v>1560.0</v>
      </c>
      <c r="AV342" s="1">
        <v>0.24971</v>
      </c>
      <c r="AW342" s="1">
        <v>0.188913</v>
      </c>
      <c r="AX342" s="1">
        <v>0.060514</v>
      </c>
      <c r="AY342" s="1">
        <v>0.213975</v>
      </c>
      <c r="AZ342" s="1">
        <v>0.15405904</v>
      </c>
      <c r="BA342" s="1">
        <v>0.191574</v>
      </c>
      <c r="BB342" s="1">
        <v>0.020391</v>
      </c>
      <c r="BC342" s="1">
        <v>0.178516</v>
      </c>
      <c r="BD342" s="1">
        <v>0.08845</v>
      </c>
      <c r="BE342" s="1">
        <v>0.089774</v>
      </c>
      <c r="BF342" s="1">
        <v>0.0</v>
      </c>
      <c r="BG342" s="1">
        <v>0.083333</v>
      </c>
      <c r="BH342" s="1">
        <v>0.024469</v>
      </c>
      <c r="BI342" s="1">
        <v>0.097047</v>
      </c>
      <c r="BJ342" s="1">
        <v>0.159053</v>
      </c>
      <c r="BK342" s="1">
        <v>0.048427</v>
      </c>
      <c r="BL342" s="1">
        <v>0.143764</v>
      </c>
      <c r="BM342" s="1">
        <v>0.953</v>
      </c>
      <c r="BN342" s="1">
        <v>0.888</v>
      </c>
      <c r="BO342" s="1">
        <v>0.9495</v>
      </c>
      <c r="BP342" s="1">
        <v>0.868</v>
      </c>
      <c r="BQ342" s="1">
        <v>3.6585</v>
      </c>
      <c r="BR342" s="1">
        <v>0.9495</v>
      </c>
      <c r="BS342" s="1">
        <v>0.045</v>
      </c>
      <c r="BT342" s="1">
        <v>0.256</v>
      </c>
      <c r="BU342" s="1">
        <v>0.807</v>
      </c>
      <c r="BV342" s="1">
        <v>1.108</v>
      </c>
      <c r="BW342" s="1">
        <v>0.171</v>
      </c>
      <c r="BX342" s="1">
        <v>0.698</v>
      </c>
      <c r="BY342" s="1">
        <v>0.862</v>
      </c>
      <c r="BZ342" s="1">
        <v>1.56</v>
      </c>
      <c r="CA342" s="1">
        <v>0.856</v>
      </c>
      <c r="CB342" s="1">
        <v>0.746</v>
      </c>
      <c r="CC342" s="1">
        <v>0.0</v>
      </c>
      <c r="CD342" s="1">
        <v>0.749</v>
      </c>
      <c r="CE342" s="1">
        <v>0.87</v>
      </c>
      <c r="CF342" s="1">
        <v>0.956</v>
      </c>
      <c r="CG342" s="1">
        <v>3.321</v>
      </c>
      <c r="CH342" s="1">
        <v>0.879</v>
      </c>
      <c r="CI342" s="1">
        <v>9.6475</v>
      </c>
      <c r="CJ342" s="1">
        <v>0.9213</v>
      </c>
      <c r="CK342" s="1">
        <v>1.0</v>
      </c>
      <c r="CL342" s="1">
        <v>0.0</v>
      </c>
      <c r="CM342" s="1">
        <v>1.0</v>
      </c>
      <c r="CN342" s="1">
        <v>0.0</v>
      </c>
      <c r="CO342" s="1">
        <v>2.0</v>
      </c>
      <c r="CP342" s="1">
        <v>0.0</v>
      </c>
      <c r="CQ342" s="1">
        <v>0.0</v>
      </c>
      <c r="CR342" s="1">
        <v>0.0</v>
      </c>
      <c r="CS342" s="1">
        <v>0.0</v>
      </c>
      <c r="CT342" s="1">
        <v>0.0</v>
      </c>
      <c r="CU342" s="1">
        <v>0.0</v>
      </c>
      <c r="CV342" s="1">
        <v>0.0</v>
      </c>
      <c r="CW342" s="1">
        <v>0.0</v>
      </c>
      <c r="CX342" s="1">
        <v>0.0</v>
      </c>
      <c r="CY342" s="1">
        <v>0.0</v>
      </c>
      <c r="CZ342" s="1">
        <v>0.0</v>
      </c>
      <c r="DA342" s="1">
        <v>1.0</v>
      </c>
      <c r="DB342" s="1">
        <v>1.0</v>
      </c>
      <c r="DC342" s="1">
        <v>3.0</v>
      </c>
      <c r="DD342" s="1" t="s">
        <v>1709</v>
      </c>
      <c r="DE342" s="1">
        <v>2.52344423332158E-4</v>
      </c>
      <c r="DF342" s="1">
        <v>0.0812431165719599</v>
      </c>
    </row>
    <row r="343" ht="15.75" customHeight="1">
      <c r="A343" s="1" t="s">
        <v>1710</v>
      </c>
      <c r="B343" s="1">
        <v>29.0</v>
      </c>
      <c r="C343" s="2" t="s">
        <v>1606</v>
      </c>
      <c r="D343" s="2" t="s">
        <v>338</v>
      </c>
      <c r="E343" s="1">
        <v>1.311</v>
      </c>
      <c r="F343" s="1">
        <v>29077.0</v>
      </c>
      <c r="G343" s="1">
        <v>2.90770007E10</v>
      </c>
      <c r="H343" s="1" t="s">
        <v>112</v>
      </c>
      <c r="I343" s="1" t="s">
        <v>113</v>
      </c>
      <c r="J343" s="1" t="s">
        <v>1607</v>
      </c>
      <c r="K343" s="1" t="s">
        <v>1711</v>
      </c>
      <c r="L343" s="1">
        <v>3946.0</v>
      </c>
      <c r="M343" s="1">
        <v>4330.0</v>
      </c>
      <c r="N343" s="1">
        <v>506.0</v>
      </c>
      <c r="O343" s="1">
        <v>1442.0</v>
      </c>
      <c r="P343" s="1">
        <v>1466.0</v>
      </c>
      <c r="Q343" s="1">
        <v>128.0</v>
      </c>
      <c r="R343" s="1">
        <v>1234.0</v>
      </c>
      <c r="S343" s="1">
        <v>1107.0</v>
      </c>
      <c r="T343" s="1">
        <v>297.0</v>
      </c>
      <c r="U343" s="1">
        <v>234.0</v>
      </c>
      <c r="V343" s="1">
        <v>373.0</v>
      </c>
      <c r="W343" s="1">
        <v>13891.0</v>
      </c>
      <c r="X343" s="1">
        <v>4776.0</v>
      </c>
      <c r="Y343" s="1">
        <v>412.0</v>
      </c>
      <c r="Z343" s="1">
        <v>301.0</v>
      </c>
      <c r="AA343" s="1">
        <v>186.0</v>
      </c>
      <c r="AB343" s="1">
        <v>627.0</v>
      </c>
      <c r="AC343" s="1">
        <v>161.0</v>
      </c>
      <c r="AD343" s="1">
        <v>843.0</v>
      </c>
      <c r="AE343" s="1">
        <v>26.0</v>
      </c>
      <c r="AF343" s="1">
        <v>412.0</v>
      </c>
      <c r="AG343" s="1">
        <v>252.0</v>
      </c>
      <c r="AH343" s="1">
        <v>155.0</v>
      </c>
      <c r="AI343" s="1">
        <v>0.0</v>
      </c>
      <c r="AJ343" s="1">
        <v>114.0</v>
      </c>
      <c r="AK343" s="1">
        <v>22.0</v>
      </c>
      <c r="AL343" s="1">
        <v>119.0</v>
      </c>
      <c r="AM343" s="1">
        <v>222.0</v>
      </c>
      <c r="AN343" s="1">
        <v>90.0</v>
      </c>
      <c r="AO343" s="1">
        <v>1170.0</v>
      </c>
      <c r="AP343" s="1">
        <v>0.396206</v>
      </c>
      <c r="AQ343" s="1">
        <v>0.094224</v>
      </c>
      <c r="AR343" s="1">
        <v>0.128008</v>
      </c>
      <c r="AS343" s="1">
        <v>0.202604</v>
      </c>
      <c r="AT343" s="1">
        <v>13891.0</v>
      </c>
      <c r="AU343" s="1">
        <v>4776.0</v>
      </c>
      <c r="AV343" s="1">
        <v>0.19591</v>
      </c>
      <c r="AW343" s="1">
        <v>0.139387</v>
      </c>
      <c r="AX343" s="1">
        <v>0.047136</v>
      </c>
      <c r="AY343" s="1">
        <v>0.158895</v>
      </c>
      <c r="AZ343" s="1">
        <v>0.13047001</v>
      </c>
      <c r="BA343" s="1">
        <v>0.213634</v>
      </c>
      <c r="BB343" s="1">
        <v>0.006149</v>
      </c>
      <c r="BC343" s="1">
        <v>0.097442</v>
      </c>
      <c r="BD343" s="1">
        <v>0.171896</v>
      </c>
      <c r="BE343" s="1">
        <v>0.104659</v>
      </c>
      <c r="BF343" s="1">
        <v>0.0</v>
      </c>
      <c r="BG343" s="1">
        <v>0.077762</v>
      </c>
      <c r="BH343" s="1">
        <v>0.017614</v>
      </c>
      <c r="BI343" s="1">
        <v>0.095254</v>
      </c>
      <c r="BJ343" s="1">
        <v>0.177742</v>
      </c>
      <c r="BK343" s="1">
        <v>0.069082</v>
      </c>
      <c r="BL343" s="1">
        <v>0.296502</v>
      </c>
      <c r="BM343" s="1">
        <v>0.951</v>
      </c>
      <c r="BN343" s="1">
        <v>0.849</v>
      </c>
      <c r="BO343" s="1">
        <v>0.9162</v>
      </c>
      <c r="BP343" s="1">
        <v>0.741</v>
      </c>
      <c r="BQ343" s="1">
        <v>3.4572</v>
      </c>
      <c r="BR343" s="1">
        <v>0.9119</v>
      </c>
      <c r="BS343" s="1">
        <v>0.022</v>
      </c>
      <c r="BT343" s="1">
        <v>0.079</v>
      </c>
      <c r="BU343" s="1">
        <v>0.717</v>
      </c>
      <c r="BV343" s="1">
        <v>0.818</v>
      </c>
      <c r="BW343" s="1">
        <v>0.079</v>
      </c>
      <c r="BX343" s="1">
        <v>0.728</v>
      </c>
      <c r="BY343" s="1">
        <v>0.605</v>
      </c>
      <c r="BZ343" s="1">
        <v>1.333</v>
      </c>
      <c r="CA343" s="1">
        <v>0.727</v>
      </c>
      <c r="CB343" s="1">
        <v>0.869</v>
      </c>
      <c r="CC343" s="1">
        <v>0.0</v>
      </c>
      <c r="CD343" s="1">
        <v>0.641</v>
      </c>
      <c r="CE343" s="1">
        <v>0.886</v>
      </c>
      <c r="CF343" s="1">
        <v>0.978</v>
      </c>
      <c r="CG343" s="1">
        <v>3.374</v>
      </c>
      <c r="CH343" s="1">
        <v>0.903</v>
      </c>
      <c r="CI343" s="1">
        <v>8.9822</v>
      </c>
      <c r="CJ343" s="1">
        <v>0.8491</v>
      </c>
      <c r="CK343" s="1">
        <v>1.0</v>
      </c>
      <c r="CL343" s="1">
        <v>0.0</v>
      </c>
      <c r="CM343" s="1">
        <v>1.0</v>
      </c>
      <c r="CN343" s="1">
        <v>0.0</v>
      </c>
      <c r="CO343" s="1">
        <v>2.0</v>
      </c>
      <c r="CP343" s="1">
        <v>0.0</v>
      </c>
      <c r="CQ343" s="1">
        <v>0.0</v>
      </c>
      <c r="CR343" s="1">
        <v>0.0</v>
      </c>
      <c r="CS343" s="1">
        <v>0.0</v>
      </c>
      <c r="CT343" s="1">
        <v>0.0</v>
      </c>
      <c r="CU343" s="1">
        <v>0.0</v>
      </c>
      <c r="CV343" s="1">
        <v>0.0</v>
      </c>
      <c r="CW343" s="1">
        <v>0.0</v>
      </c>
      <c r="CX343" s="1">
        <v>0.0</v>
      </c>
      <c r="CY343" s="1">
        <v>0.0</v>
      </c>
      <c r="CZ343" s="1">
        <v>0.0</v>
      </c>
      <c r="DA343" s="1">
        <v>1.0</v>
      </c>
      <c r="DB343" s="1">
        <v>1.0</v>
      </c>
      <c r="DC343" s="1">
        <v>3.0</v>
      </c>
      <c r="DD343" s="1" t="s">
        <v>1712</v>
      </c>
      <c r="DE343" s="1">
        <v>3.44574334375292E-4</v>
      </c>
      <c r="DF343" s="1">
        <v>0.0775443392430946</v>
      </c>
    </row>
    <row r="344" ht="15.75" customHeight="1">
      <c r="A344" s="1" t="s">
        <v>1713</v>
      </c>
      <c r="B344" s="1">
        <v>29.0</v>
      </c>
      <c r="C344" s="2" t="s">
        <v>1606</v>
      </c>
      <c r="D344" s="2" t="s">
        <v>389</v>
      </c>
      <c r="E344" s="1">
        <v>0.93</v>
      </c>
      <c r="F344" s="1">
        <v>29077.0</v>
      </c>
      <c r="G344" s="1">
        <v>2.90770009E10</v>
      </c>
      <c r="H344" s="1" t="s">
        <v>112</v>
      </c>
      <c r="I344" s="1" t="s">
        <v>113</v>
      </c>
      <c r="J344" s="1" t="s">
        <v>1607</v>
      </c>
      <c r="K344" s="1" t="s">
        <v>1714</v>
      </c>
      <c r="L344" s="1">
        <v>4684.0</v>
      </c>
      <c r="M344" s="1">
        <v>4042.0</v>
      </c>
      <c r="N344" s="1">
        <v>431.0</v>
      </c>
      <c r="O344" s="1">
        <v>2486.0</v>
      </c>
      <c r="P344" s="1">
        <v>2496.0</v>
      </c>
      <c r="Q344" s="1">
        <v>133.0</v>
      </c>
      <c r="R344" s="1">
        <v>2225.0</v>
      </c>
      <c r="S344" s="1">
        <v>1179.0</v>
      </c>
      <c r="T344" s="1">
        <v>320.0</v>
      </c>
      <c r="U344" s="1">
        <v>213.0</v>
      </c>
      <c r="V344" s="1">
        <v>416.0</v>
      </c>
      <c r="W344" s="1">
        <v>20821.0</v>
      </c>
      <c r="X344" s="1">
        <v>3129.0</v>
      </c>
      <c r="Y344" s="1">
        <v>40.0</v>
      </c>
      <c r="Z344" s="1">
        <v>413.0</v>
      </c>
      <c r="AA344" s="1">
        <v>297.0</v>
      </c>
      <c r="AB344" s="1">
        <v>524.0</v>
      </c>
      <c r="AC344" s="1">
        <v>134.0</v>
      </c>
      <c r="AD344" s="1">
        <v>706.0</v>
      </c>
      <c r="AE344" s="1">
        <v>28.0</v>
      </c>
      <c r="AF344" s="1">
        <v>444.0</v>
      </c>
      <c r="AG344" s="1">
        <v>678.0</v>
      </c>
      <c r="AH344" s="1">
        <v>188.0</v>
      </c>
      <c r="AI344" s="1">
        <v>22.0</v>
      </c>
      <c r="AJ344" s="1">
        <v>33.0</v>
      </c>
      <c r="AK344" s="1">
        <v>0.0</v>
      </c>
      <c r="AL344" s="1">
        <v>161.0</v>
      </c>
      <c r="AM344" s="1">
        <v>197.0</v>
      </c>
      <c r="AN344" s="1">
        <v>91.0</v>
      </c>
      <c r="AO344" s="1">
        <v>438.0</v>
      </c>
      <c r="AP344" s="1">
        <v>0.320903</v>
      </c>
      <c r="AQ344" s="1">
        <v>0.08219</v>
      </c>
      <c r="AR344" s="1">
        <v>0.086655</v>
      </c>
      <c r="AS344" s="1">
        <v>0.168747</v>
      </c>
      <c r="AT344" s="1">
        <v>20821.0</v>
      </c>
      <c r="AU344" s="1">
        <v>3129.0</v>
      </c>
      <c r="AV344" s="1">
        <v>0.02006</v>
      </c>
      <c r="AW344" s="1">
        <v>0.207109</v>
      </c>
      <c r="AX344" s="1">
        <v>0.063407</v>
      </c>
      <c r="AY344" s="1">
        <v>0.11187</v>
      </c>
      <c r="AZ344" s="1">
        <v>0.06022471</v>
      </c>
      <c r="BA344" s="1">
        <v>0.150725</v>
      </c>
      <c r="BB344" s="1">
        <v>0.007092</v>
      </c>
      <c r="BC344" s="1">
        <v>0.112459</v>
      </c>
      <c r="BD344" s="1">
        <v>0.271634</v>
      </c>
      <c r="BE344" s="1">
        <v>0.073916</v>
      </c>
      <c r="BF344" s="1">
        <v>0.008814</v>
      </c>
      <c r="BG344" s="1">
        <v>0.013212</v>
      </c>
      <c r="BH344" s="1">
        <v>0.0</v>
      </c>
      <c r="BI344" s="1">
        <v>0.078117</v>
      </c>
      <c r="BJ344" s="1">
        <v>0.095584</v>
      </c>
      <c r="BK344" s="1">
        <v>0.04332</v>
      </c>
      <c r="BL344" s="1">
        <v>0.093509</v>
      </c>
      <c r="BM344" s="1">
        <v>0.903</v>
      </c>
      <c r="BN344" s="1">
        <v>0.657</v>
      </c>
      <c r="BO344" s="1">
        <v>0.5625</v>
      </c>
      <c r="BP344" s="1">
        <v>0.034</v>
      </c>
      <c r="BQ344" s="1">
        <v>2.1565</v>
      </c>
      <c r="BR344" s="1">
        <v>0.5473</v>
      </c>
      <c r="BS344" s="1">
        <v>0.058</v>
      </c>
      <c r="BT344" s="1">
        <v>0.031</v>
      </c>
      <c r="BU344" s="1">
        <v>0.133</v>
      </c>
      <c r="BV344" s="1">
        <v>0.222</v>
      </c>
      <c r="BW344" s="1">
        <v>0.016</v>
      </c>
      <c r="BX344" s="1">
        <v>0.626</v>
      </c>
      <c r="BY344" s="1">
        <v>0.636</v>
      </c>
      <c r="BZ344" s="1">
        <v>1.262</v>
      </c>
      <c r="CA344" s="1">
        <v>0.689</v>
      </c>
      <c r="CB344" s="1">
        <v>0.929</v>
      </c>
      <c r="CC344" s="1">
        <v>0.448</v>
      </c>
      <c r="CD344" s="1">
        <v>0.0</v>
      </c>
      <c r="CE344" s="1">
        <v>0.739</v>
      </c>
      <c r="CF344" s="1">
        <v>0.94</v>
      </c>
      <c r="CG344" s="1">
        <v>3.056</v>
      </c>
      <c r="CH344" s="1">
        <v>0.797</v>
      </c>
      <c r="CI344" s="1">
        <v>6.6965</v>
      </c>
      <c r="CJ344" s="1">
        <v>0.491</v>
      </c>
      <c r="CK344" s="1">
        <v>1.0</v>
      </c>
      <c r="CL344" s="1">
        <v>0.0</v>
      </c>
      <c r="CM344" s="1">
        <v>0.0</v>
      </c>
      <c r="CN344" s="1">
        <v>0.0</v>
      </c>
      <c r="CO344" s="1">
        <v>1.0</v>
      </c>
      <c r="CP344" s="1">
        <v>0.0</v>
      </c>
      <c r="CQ344" s="1">
        <v>0.0</v>
      </c>
      <c r="CR344" s="1">
        <v>0.0</v>
      </c>
      <c r="CS344" s="1">
        <v>0.0</v>
      </c>
      <c r="CT344" s="1">
        <v>0.0</v>
      </c>
      <c r="CU344" s="1">
        <v>0.0</v>
      </c>
      <c r="CV344" s="1">
        <v>0.0</v>
      </c>
      <c r="CW344" s="1">
        <v>1.0</v>
      </c>
      <c r="CX344" s="1">
        <v>0.0</v>
      </c>
      <c r="CY344" s="1">
        <v>0.0</v>
      </c>
      <c r="CZ344" s="1">
        <v>0.0</v>
      </c>
      <c r="DA344" s="1">
        <v>1.0</v>
      </c>
      <c r="DB344" s="1">
        <v>2.0</v>
      </c>
      <c r="DC344" s="1">
        <v>3.0</v>
      </c>
      <c r="DD344" s="1" t="s">
        <v>1715</v>
      </c>
      <c r="DE344" s="1">
        <v>2.45208762728106E-4</v>
      </c>
      <c r="DF344" s="1">
        <v>0.0683886245871162</v>
      </c>
    </row>
    <row r="345" ht="15.75" customHeight="1">
      <c r="A345" s="1" t="s">
        <v>1716</v>
      </c>
      <c r="B345" s="1">
        <v>29.0</v>
      </c>
      <c r="C345" s="2" t="s">
        <v>1606</v>
      </c>
      <c r="D345" s="2" t="s">
        <v>520</v>
      </c>
      <c r="E345" s="1">
        <v>0.793</v>
      </c>
      <c r="F345" s="1">
        <v>29077.0</v>
      </c>
      <c r="G345" s="1">
        <v>2.9077001E10</v>
      </c>
      <c r="H345" s="1" t="s">
        <v>112</v>
      </c>
      <c r="I345" s="1" t="s">
        <v>113</v>
      </c>
      <c r="J345" s="1" t="s">
        <v>1607</v>
      </c>
      <c r="K345" s="1" t="s">
        <v>1717</v>
      </c>
      <c r="L345" s="1">
        <v>2182.0</v>
      </c>
      <c r="M345" s="1">
        <v>2217.0</v>
      </c>
      <c r="N345" s="1">
        <v>178.0</v>
      </c>
      <c r="O345" s="1">
        <v>1144.0</v>
      </c>
      <c r="P345" s="1">
        <v>1177.0</v>
      </c>
      <c r="Q345" s="1">
        <v>33.0</v>
      </c>
      <c r="R345" s="1">
        <v>1068.0</v>
      </c>
      <c r="S345" s="1">
        <v>98.0</v>
      </c>
      <c r="T345" s="1">
        <v>69.0</v>
      </c>
      <c r="U345" s="1">
        <v>27.0</v>
      </c>
      <c r="V345" s="1">
        <v>471.0</v>
      </c>
      <c r="W345" s="1">
        <v>51859.0</v>
      </c>
      <c r="X345" s="1">
        <v>17152.0</v>
      </c>
      <c r="Y345" s="1">
        <v>63.0</v>
      </c>
      <c r="Z345" s="1">
        <v>380.0</v>
      </c>
      <c r="AA345" s="1">
        <v>354.0</v>
      </c>
      <c r="AB345" s="1">
        <v>354.0</v>
      </c>
      <c r="AC345" s="1">
        <v>74.0</v>
      </c>
      <c r="AD345" s="1">
        <v>145.0</v>
      </c>
      <c r="AE345" s="1">
        <v>9.0</v>
      </c>
      <c r="AF345" s="1">
        <v>442.0</v>
      </c>
      <c r="AG345" s="1">
        <v>36.0</v>
      </c>
      <c r="AH345" s="1">
        <v>167.0</v>
      </c>
      <c r="AI345" s="1">
        <v>0.0</v>
      </c>
      <c r="AJ345" s="1">
        <v>114.0</v>
      </c>
      <c r="AK345" s="1">
        <v>0.0</v>
      </c>
      <c r="AL345" s="1">
        <v>161.0</v>
      </c>
      <c r="AM345" s="1">
        <v>42.0</v>
      </c>
      <c r="AN345" s="1">
        <v>29.0</v>
      </c>
      <c r="AO345" s="1">
        <v>0.0</v>
      </c>
      <c r="AP345" s="1">
        <v>0.044203</v>
      </c>
      <c r="AQ345" s="1">
        <v>0.03092</v>
      </c>
      <c r="AR345" s="1">
        <v>0.022443</v>
      </c>
      <c r="AS345" s="1">
        <v>0.391492</v>
      </c>
      <c r="AT345" s="1">
        <v>51859.0</v>
      </c>
      <c r="AU345" s="1">
        <v>17152.0</v>
      </c>
      <c r="AV345" s="1">
        <v>0.041916</v>
      </c>
      <c r="AW345" s="1">
        <v>0.252797</v>
      </c>
      <c r="AX345" s="1">
        <v>0.162236</v>
      </c>
      <c r="AY345" s="1">
        <v>0.162236</v>
      </c>
      <c r="AZ345" s="1">
        <v>0.06928838</v>
      </c>
      <c r="BA345" s="1">
        <v>0.066452</v>
      </c>
      <c r="BB345" s="1">
        <v>0.004411</v>
      </c>
      <c r="BC345" s="1">
        <v>0.216666</v>
      </c>
      <c r="BD345" s="1">
        <v>0.030586</v>
      </c>
      <c r="BE345" s="1">
        <v>0.141883</v>
      </c>
      <c r="BF345" s="1">
        <v>0.0</v>
      </c>
      <c r="BG345" s="1">
        <v>0.096856</v>
      </c>
      <c r="BH345" s="1">
        <v>0.0</v>
      </c>
      <c r="BI345" s="1">
        <v>0.140857</v>
      </c>
      <c r="BJ345" s="1">
        <v>0.036745</v>
      </c>
      <c r="BK345" s="1">
        <v>0.025316</v>
      </c>
      <c r="BL345" s="1">
        <v>0.0</v>
      </c>
      <c r="BM345" s="1">
        <v>0.143</v>
      </c>
      <c r="BN345" s="1">
        <v>0.04</v>
      </c>
      <c r="BO345" s="1">
        <v>0.0231</v>
      </c>
      <c r="BP345" s="1">
        <v>0.102</v>
      </c>
      <c r="BQ345" s="1">
        <v>0.3081</v>
      </c>
      <c r="BR345" s="1">
        <v>0.0195</v>
      </c>
      <c r="BS345" s="1">
        <v>0.684</v>
      </c>
      <c r="BT345" s="1">
        <v>0.085</v>
      </c>
      <c r="BU345" s="1">
        <v>0.21</v>
      </c>
      <c r="BV345" s="1">
        <v>0.979</v>
      </c>
      <c r="BW345" s="1">
        <v>0.107</v>
      </c>
      <c r="BX345" s="1">
        <v>0.348</v>
      </c>
      <c r="BY345" s="1">
        <v>0.533</v>
      </c>
      <c r="BZ345" s="1">
        <v>0.881</v>
      </c>
      <c r="CA345" s="1">
        <v>0.453</v>
      </c>
      <c r="CB345" s="1">
        <v>0.552</v>
      </c>
      <c r="CC345" s="1">
        <v>0.0</v>
      </c>
      <c r="CD345" s="1">
        <v>0.0</v>
      </c>
      <c r="CE345" s="1">
        <v>0.354</v>
      </c>
      <c r="CF345" s="1">
        <v>0.0</v>
      </c>
      <c r="CG345" s="1">
        <v>0.906</v>
      </c>
      <c r="CH345" s="1">
        <v>0.066</v>
      </c>
      <c r="CI345" s="1">
        <v>3.0741</v>
      </c>
      <c r="CJ345" s="1">
        <v>0.0217</v>
      </c>
      <c r="CK345" s="1">
        <v>0.0</v>
      </c>
      <c r="CL345" s="1">
        <v>0.0</v>
      </c>
      <c r="CM345" s="1">
        <v>0.0</v>
      </c>
      <c r="CN345" s="1">
        <v>0.0</v>
      </c>
      <c r="CO345" s="1">
        <v>0.0</v>
      </c>
      <c r="CP345" s="1">
        <v>0.0</v>
      </c>
      <c r="CQ345" s="1">
        <v>0.0</v>
      </c>
      <c r="CR345" s="1">
        <v>0.0</v>
      </c>
      <c r="CS345" s="1">
        <v>0.0</v>
      </c>
      <c r="CT345" s="1">
        <v>0.0</v>
      </c>
      <c r="CU345" s="1">
        <v>0.0</v>
      </c>
      <c r="CV345" s="1">
        <v>0.0</v>
      </c>
      <c r="CW345" s="1">
        <v>0.0</v>
      </c>
      <c r="CX345" s="1">
        <v>0.0</v>
      </c>
      <c r="CY345" s="1">
        <v>0.0</v>
      </c>
      <c r="CZ345" s="1">
        <v>0.0</v>
      </c>
      <c r="DA345" s="1">
        <v>0.0</v>
      </c>
      <c r="DB345" s="1">
        <v>0.0</v>
      </c>
      <c r="DC345" s="1">
        <v>0.0</v>
      </c>
      <c r="DD345" s="1" t="s">
        <v>1718</v>
      </c>
      <c r="DE345" s="1">
        <v>2.08830875769979E-4</v>
      </c>
      <c r="DF345" s="2" t="s">
        <v>1719</v>
      </c>
    </row>
    <row r="346" ht="15.75" customHeight="1">
      <c r="A346" s="1" t="s">
        <v>1720</v>
      </c>
      <c r="B346" s="1">
        <v>29.0</v>
      </c>
      <c r="C346" s="2" t="s">
        <v>1606</v>
      </c>
      <c r="D346" s="2" t="s">
        <v>524</v>
      </c>
      <c r="E346" s="1">
        <v>1.23</v>
      </c>
      <c r="F346" s="1">
        <v>29077.0</v>
      </c>
      <c r="G346" s="1">
        <v>2.90770011E10</v>
      </c>
      <c r="H346" s="1" t="s">
        <v>112</v>
      </c>
      <c r="I346" s="1" t="s">
        <v>113</v>
      </c>
      <c r="J346" s="1" t="s">
        <v>1607</v>
      </c>
      <c r="K346" s="1" t="s">
        <v>1721</v>
      </c>
      <c r="L346" s="1">
        <v>3448.0</v>
      </c>
      <c r="M346" s="1">
        <v>3004.0</v>
      </c>
      <c r="N346" s="1">
        <v>231.0</v>
      </c>
      <c r="O346" s="1">
        <v>1783.0</v>
      </c>
      <c r="P346" s="1">
        <v>1767.0</v>
      </c>
      <c r="Q346" s="1">
        <v>63.0</v>
      </c>
      <c r="R346" s="1">
        <v>1636.0</v>
      </c>
      <c r="S346" s="1">
        <v>625.0</v>
      </c>
      <c r="T346" s="1">
        <v>262.0</v>
      </c>
      <c r="U346" s="1">
        <v>143.0</v>
      </c>
      <c r="V346" s="1">
        <v>433.0</v>
      </c>
      <c r="W346" s="1">
        <v>19065.0</v>
      </c>
      <c r="X346" s="1">
        <v>1510.0</v>
      </c>
      <c r="Y346" s="1">
        <v>331.0</v>
      </c>
      <c r="Z346" s="1">
        <v>281.0</v>
      </c>
      <c r="AA346" s="1">
        <v>755.0</v>
      </c>
      <c r="AB346" s="1">
        <v>562.0</v>
      </c>
      <c r="AC346" s="1">
        <v>157.0</v>
      </c>
      <c r="AD346" s="1">
        <v>406.0</v>
      </c>
      <c r="AE346" s="1">
        <v>6.0</v>
      </c>
      <c r="AF346" s="1">
        <v>442.0</v>
      </c>
      <c r="AG346" s="1">
        <v>450.0</v>
      </c>
      <c r="AH346" s="1">
        <v>129.0</v>
      </c>
      <c r="AI346" s="1">
        <v>0.0</v>
      </c>
      <c r="AJ346" s="1">
        <v>114.0</v>
      </c>
      <c r="AK346" s="1">
        <v>0.0</v>
      </c>
      <c r="AL346" s="1">
        <v>161.0</v>
      </c>
      <c r="AM346" s="1">
        <v>217.0</v>
      </c>
      <c r="AN346" s="1">
        <v>91.0</v>
      </c>
      <c r="AO346" s="1">
        <v>170.0</v>
      </c>
      <c r="AP346" s="1">
        <v>0.208055</v>
      </c>
      <c r="AQ346" s="1">
        <v>0.085737</v>
      </c>
      <c r="AR346" s="1">
        <v>0.092917</v>
      </c>
      <c r="AS346" s="1">
        <v>0.281029</v>
      </c>
      <c r="AT346" s="1">
        <v>19065.0</v>
      </c>
      <c r="AU346" s="1">
        <v>1510.0</v>
      </c>
      <c r="AV346" s="1">
        <v>0.154025</v>
      </c>
      <c r="AW346" s="1">
        <v>0.130229</v>
      </c>
      <c r="AX346" s="1">
        <v>0.218967</v>
      </c>
      <c r="AY346" s="1">
        <v>0.162993</v>
      </c>
      <c r="AZ346" s="1">
        <v>0.09596577</v>
      </c>
      <c r="BA346" s="1">
        <v>0.117749</v>
      </c>
      <c r="BB346" s="1">
        <v>0.002114</v>
      </c>
      <c r="BC346" s="1">
        <v>0.155798</v>
      </c>
      <c r="BD346" s="1">
        <v>0.254668</v>
      </c>
      <c r="BE346" s="1">
        <v>0.072438</v>
      </c>
      <c r="BF346" s="1">
        <v>0.0</v>
      </c>
      <c r="BG346" s="1">
        <v>0.064516</v>
      </c>
      <c r="BH346" s="1">
        <v>0.0</v>
      </c>
      <c r="BI346" s="1">
        <v>0.101067</v>
      </c>
      <c r="BJ346" s="1">
        <v>0.13622</v>
      </c>
      <c r="BK346" s="1">
        <v>0.056481</v>
      </c>
      <c r="BL346" s="1">
        <v>0.049303</v>
      </c>
      <c r="BM346" s="1">
        <v>0.749</v>
      </c>
      <c r="BN346" s="1">
        <v>0.695</v>
      </c>
      <c r="BO346" s="1">
        <v>0.665</v>
      </c>
      <c r="BP346" s="1">
        <v>0.584</v>
      </c>
      <c r="BQ346" s="1">
        <v>2.693</v>
      </c>
      <c r="BR346" s="1">
        <v>0.7199</v>
      </c>
      <c r="BS346" s="1">
        <v>0.929</v>
      </c>
      <c r="BT346" s="1">
        <v>0.087</v>
      </c>
      <c r="BU346" s="1">
        <v>0.456</v>
      </c>
      <c r="BV346" s="1">
        <v>1.472</v>
      </c>
      <c r="BW346" s="1">
        <v>0.456</v>
      </c>
      <c r="BX346" s="1">
        <v>0.531</v>
      </c>
      <c r="BY346" s="1">
        <v>0.386</v>
      </c>
      <c r="BZ346" s="1">
        <v>0.917</v>
      </c>
      <c r="CA346" s="1">
        <v>0.479</v>
      </c>
      <c r="CB346" s="1">
        <v>0.923</v>
      </c>
      <c r="CC346" s="1">
        <v>0.0</v>
      </c>
      <c r="CD346" s="1">
        <v>0.0</v>
      </c>
      <c r="CE346" s="1">
        <v>0.838</v>
      </c>
      <c r="CF346" s="1">
        <v>0.894</v>
      </c>
      <c r="CG346" s="1">
        <v>2.655</v>
      </c>
      <c r="CH346" s="1">
        <v>0.627</v>
      </c>
      <c r="CI346" s="1">
        <v>7.737</v>
      </c>
      <c r="CJ346" s="1">
        <v>0.6758</v>
      </c>
      <c r="CK346" s="1">
        <v>0.0</v>
      </c>
      <c r="CL346" s="1">
        <v>0.0</v>
      </c>
      <c r="CM346" s="1">
        <v>0.0</v>
      </c>
      <c r="CN346" s="1">
        <v>0.0</v>
      </c>
      <c r="CO346" s="1">
        <v>0.0</v>
      </c>
      <c r="CP346" s="1">
        <v>1.0</v>
      </c>
      <c r="CQ346" s="1">
        <v>0.0</v>
      </c>
      <c r="CR346" s="1">
        <v>0.0</v>
      </c>
      <c r="CS346" s="1">
        <v>1.0</v>
      </c>
      <c r="CT346" s="1">
        <v>0.0</v>
      </c>
      <c r="CU346" s="1">
        <v>0.0</v>
      </c>
      <c r="CV346" s="1">
        <v>0.0</v>
      </c>
      <c r="CW346" s="1">
        <v>1.0</v>
      </c>
      <c r="CX346" s="1">
        <v>0.0</v>
      </c>
      <c r="CY346" s="1">
        <v>0.0</v>
      </c>
      <c r="CZ346" s="1">
        <v>0.0</v>
      </c>
      <c r="DA346" s="1">
        <v>0.0</v>
      </c>
      <c r="DB346" s="1">
        <v>1.0</v>
      </c>
      <c r="DC346" s="1">
        <v>2.0</v>
      </c>
      <c r="DD346" s="1" t="s">
        <v>1722</v>
      </c>
      <c r="DE346" s="1">
        <v>3.22514170846665E-4</v>
      </c>
      <c r="DF346" s="1">
        <v>0.0743836654052561</v>
      </c>
    </row>
    <row r="347" ht="15.75" customHeight="1">
      <c r="A347" s="1" t="s">
        <v>1723</v>
      </c>
      <c r="B347" s="1">
        <v>29.0</v>
      </c>
      <c r="C347" s="2" t="s">
        <v>1606</v>
      </c>
      <c r="D347" s="2" t="s">
        <v>479</v>
      </c>
      <c r="E347" s="1">
        <v>1.061</v>
      </c>
      <c r="F347" s="1">
        <v>29077.0</v>
      </c>
      <c r="G347" s="1">
        <v>2.90770012E10</v>
      </c>
      <c r="H347" s="1" t="s">
        <v>112</v>
      </c>
      <c r="I347" s="1" t="s">
        <v>113</v>
      </c>
      <c r="J347" s="1" t="s">
        <v>1607</v>
      </c>
      <c r="K347" s="1" t="s">
        <v>1724</v>
      </c>
      <c r="L347" s="1">
        <v>3717.0</v>
      </c>
      <c r="M347" s="1">
        <v>3757.0</v>
      </c>
      <c r="N347" s="1">
        <v>350.0</v>
      </c>
      <c r="O347" s="1">
        <v>1906.0</v>
      </c>
      <c r="P347" s="1">
        <v>1914.0</v>
      </c>
      <c r="Q347" s="1">
        <v>74.0</v>
      </c>
      <c r="R347" s="1">
        <v>1691.0</v>
      </c>
      <c r="S347" s="1">
        <v>617.0</v>
      </c>
      <c r="T347" s="1">
        <v>239.0</v>
      </c>
      <c r="U347" s="1">
        <v>170.0</v>
      </c>
      <c r="V347" s="1">
        <v>386.0</v>
      </c>
      <c r="W347" s="1">
        <v>19333.0</v>
      </c>
      <c r="X347" s="1">
        <v>2068.0</v>
      </c>
      <c r="Y347" s="1">
        <v>221.0</v>
      </c>
      <c r="Z347" s="1">
        <v>291.0</v>
      </c>
      <c r="AA347" s="1">
        <v>503.0</v>
      </c>
      <c r="AB347" s="1">
        <v>755.0</v>
      </c>
      <c r="AC347" s="1">
        <v>198.0</v>
      </c>
      <c r="AD347" s="1">
        <v>516.0</v>
      </c>
      <c r="AE347" s="1">
        <v>41.0</v>
      </c>
      <c r="AF347" s="1">
        <v>412.0</v>
      </c>
      <c r="AG347" s="1">
        <v>110.0</v>
      </c>
      <c r="AH347" s="1">
        <v>133.0</v>
      </c>
      <c r="AI347" s="1">
        <v>19.0</v>
      </c>
      <c r="AJ347" s="1">
        <v>22.0</v>
      </c>
      <c r="AK347" s="1">
        <v>13.0</v>
      </c>
      <c r="AL347" s="1">
        <v>116.0</v>
      </c>
      <c r="AM347" s="1">
        <v>62.0</v>
      </c>
      <c r="AN347" s="1">
        <v>123.0</v>
      </c>
      <c r="AO347" s="1">
        <v>0.0</v>
      </c>
      <c r="AP347" s="1">
        <v>0.165459</v>
      </c>
      <c r="AQ347" s="1">
        <v>0.062171</v>
      </c>
      <c r="AR347" s="1">
        <v>0.083292</v>
      </c>
      <c r="AS347" s="1">
        <v>0.188754</v>
      </c>
      <c r="AT347" s="1">
        <v>19333.0</v>
      </c>
      <c r="AU347" s="1">
        <v>2068.0</v>
      </c>
      <c r="AV347" s="1">
        <v>0.094444</v>
      </c>
      <c r="AW347" s="1">
        <v>0.124169</v>
      </c>
      <c r="AX347" s="1">
        <v>0.135324</v>
      </c>
      <c r="AY347" s="1">
        <v>0.20312</v>
      </c>
      <c r="AZ347" s="1">
        <v>0.11709047</v>
      </c>
      <c r="BA347" s="1">
        <v>0.138821</v>
      </c>
      <c r="BB347" s="1">
        <v>0.011704</v>
      </c>
      <c r="BC347" s="1">
        <v>0.117607</v>
      </c>
      <c r="BD347" s="1">
        <v>0.057471</v>
      </c>
      <c r="BE347" s="1">
        <v>0.069452</v>
      </c>
      <c r="BF347" s="1">
        <v>0.009926</v>
      </c>
      <c r="BG347" s="1">
        <v>0.011487</v>
      </c>
      <c r="BH347" s="1">
        <v>0.007831</v>
      </c>
      <c r="BI347" s="1">
        <v>0.069876</v>
      </c>
      <c r="BJ347" s="1">
        <v>0.037349</v>
      </c>
      <c r="BK347" s="1">
        <v>0.074033</v>
      </c>
      <c r="BL347" s="1">
        <v>0.0</v>
      </c>
      <c r="BM347" s="1">
        <v>0.627</v>
      </c>
      <c r="BN347" s="1">
        <v>0.64</v>
      </c>
      <c r="BO347" s="1">
        <v>0.6498</v>
      </c>
      <c r="BP347" s="1">
        <v>0.312</v>
      </c>
      <c r="BQ347" s="1">
        <v>2.2288</v>
      </c>
      <c r="BR347" s="1">
        <v>0.5776</v>
      </c>
      <c r="BS347" s="1">
        <v>0.455</v>
      </c>
      <c r="BT347" s="1">
        <v>0.202</v>
      </c>
      <c r="BU347" s="1">
        <v>0.651</v>
      </c>
      <c r="BV347" s="1">
        <v>1.308</v>
      </c>
      <c r="BW347" s="1">
        <v>0.311</v>
      </c>
      <c r="BX347" s="1">
        <v>0.589</v>
      </c>
      <c r="BY347" s="1">
        <v>0.762</v>
      </c>
      <c r="BZ347" s="1">
        <v>1.351</v>
      </c>
      <c r="CA347" s="1">
        <v>0.738</v>
      </c>
      <c r="CB347" s="1">
        <v>0.678</v>
      </c>
      <c r="CC347" s="1">
        <v>0.457</v>
      </c>
      <c r="CD347" s="1">
        <v>0.43</v>
      </c>
      <c r="CE347" s="1">
        <v>0.365</v>
      </c>
      <c r="CF347" s="1">
        <v>0.0</v>
      </c>
      <c r="CG347" s="1">
        <v>1.93</v>
      </c>
      <c r="CH347" s="1">
        <v>0.315</v>
      </c>
      <c r="CI347" s="1">
        <v>6.8178</v>
      </c>
      <c r="CJ347" s="1">
        <v>0.5148</v>
      </c>
      <c r="CK347" s="1">
        <v>0.0</v>
      </c>
      <c r="CL347" s="1">
        <v>0.0</v>
      </c>
      <c r="CM347" s="1">
        <v>0.0</v>
      </c>
      <c r="CN347" s="1">
        <v>0.0</v>
      </c>
      <c r="CO347" s="1">
        <v>0.0</v>
      </c>
      <c r="CP347" s="1">
        <v>0.0</v>
      </c>
      <c r="CQ347" s="1">
        <v>0.0</v>
      </c>
      <c r="CR347" s="1">
        <v>0.0</v>
      </c>
      <c r="CS347" s="1">
        <v>0.0</v>
      </c>
      <c r="CT347" s="1">
        <v>0.0</v>
      </c>
      <c r="CU347" s="1">
        <v>0.0</v>
      </c>
      <c r="CV347" s="1">
        <v>0.0</v>
      </c>
      <c r="CW347" s="1">
        <v>0.0</v>
      </c>
      <c r="CX347" s="1">
        <v>0.0</v>
      </c>
      <c r="CY347" s="1">
        <v>0.0</v>
      </c>
      <c r="CZ347" s="1">
        <v>0.0</v>
      </c>
      <c r="DA347" s="1">
        <v>0.0</v>
      </c>
      <c r="DB347" s="1">
        <v>0.0</v>
      </c>
      <c r="DC347" s="1">
        <v>0.0</v>
      </c>
      <c r="DD347" s="1" t="s">
        <v>1725</v>
      </c>
      <c r="DE347" s="1">
        <v>2.79019885546449E-4</v>
      </c>
      <c r="DF347" s="1">
        <v>0.067803262743089</v>
      </c>
    </row>
    <row r="348" ht="15.75" customHeight="1">
      <c r="A348" s="1" t="s">
        <v>1726</v>
      </c>
      <c r="B348" s="1">
        <v>29.0</v>
      </c>
      <c r="C348" s="2" t="s">
        <v>1606</v>
      </c>
      <c r="D348" s="2" t="s">
        <v>1727</v>
      </c>
      <c r="E348" s="1">
        <v>0.49</v>
      </c>
      <c r="F348" s="1">
        <v>29077.0</v>
      </c>
      <c r="G348" s="1">
        <v>2.9077001301E10</v>
      </c>
      <c r="H348" s="1" t="s">
        <v>112</v>
      </c>
      <c r="I348" s="1" t="s">
        <v>113</v>
      </c>
      <c r="J348" s="1" t="s">
        <v>1607</v>
      </c>
      <c r="K348" s="1" t="s">
        <v>1728</v>
      </c>
      <c r="L348" s="1">
        <v>2061.0</v>
      </c>
      <c r="M348" s="1">
        <v>2221.0</v>
      </c>
      <c r="N348" s="1">
        <v>219.0</v>
      </c>
      <c r="O348" s="1">
        <v>1062.0</v>
      </c>
      <c r="P348" s="1">
        <v>1094.0</v>
      </c>
      <c r="Q348" s="1">
        <v>51.0</v>
      </c>
      <c r="R348" s="1">
        <v>961.0</v>
      </c>
      <c r="S348" s="1">
        <v>450.0</v>
      </c>
      <c r="T348" s="1">
        <v>200.0</v>
      </c>
      <c r="U348" s="1">
        <v>135.0</v>
      </c>
      <c r="V348" s="1">
        <v>419.0</v>
      </c>
      <c r="W348" s="1">
        <v>20346.0</v>
      </c>
      <c r="X348" s="1">
        <v>1892.0</v>
      </c>
      <c r="Y348" s="1">
        <v>98.0</v>
      </c>
      <c r="Z348" s="1">
        <v>347.0</v>
      </c>
      <c r="AA348" s="1">
        <v>410.0</v>
      </c>
      <c r="AB348" s="1">
        <v>419.0</v>
      </c>
      <c r="AC348" s="1">
        <v>93.0</v>
      </c>
      <c r="AD348" s="1">
        <v>313.0</v>
      </c>
      <c r="AE348" s="1">
        <v>20.0</v>
      </c>
      <c r="AF348" s="1">
        <v>427.0</v>
      </c>
      <c r="AG348" s="1">
        <v>268.0</v>
      </c>
      <c r="AH348" s="1">
        <v>86.0</v>
      </c>
      <c r="AI348" s="1">
        <v>0.0</v>
      </c>
      <c r="AJ348" s="1">
        <v>114.0</v>
      </c>
      <c r="AK348" s="1">
        <v>15.0</v>
      </c>
      <c r="AL348" s="1">
        <v>116.0</v>
      </c>
      <c r="AM348" s="1">
        <v>154.0</v>
      </c>
      <c r="AN348" s="1">
        <v>67.0</v>
      </c>
      <c r="AO348" s="1">
        <v>0.0</v>
      </c>
      <c r="AP348" s="1">
        <v>0.205385</v>
      </c>
      <c r="AQ348" s="1">
        <v>0.089196</v>
      </c>
      <c r="AR348" s="1">
        <v>0.121293</v>
      </c>
      <c r="AS348" s="1">
        <v>0.375359</v>
      </c>
      <c r="AT348" s="1">
        <v>20346.0</v>
      </c>
      <c r="AU348" s="1">
        <v>1892.0</v>
      </c>
      <c r="AV348" s="1">
        <v>0.071742</v>
      </c>
      <c r="AW348" s="1">
        <v>0.253984</v>
      </c>
      <c r="AX348" s="1">
        <v>0.198932</v>
      </c>
      <c r="AY348" s="1">
        <v>0.203299</v>
      </c>
      <c r="AZ348" s="1">
        <v>0.09677419</v>
      </c>
      <c r="BA348" s="1">
        <v>0.151868</v>
      </c>
      <c r="BB348" s="1">
        <v>0.009647</v>
      </c>
      <c r="BC348" s="1">
        <v>0.205979</v>
      </c>
      <c r="BD348" s="1">
        <v>0.244972</v>
      </c>
      <c r="BE348" s="1">
        <v>0.077776</v>
      </c>
      <c r="BF348" s="1">
        <v>0.0</v>
      </c>
      <c r="BG348" s="1">
        <v>0.104204</v>
      </c>
      <c r="BH348" s="1">
        <v>0.014005</v>
      </c>
      <c r="BI348" s="1">
        <v>0.108307</v>
      </c>
      <c r="BJ348" s="1">
        <v>0.14379</v>
      </c>
      <c r="BK348" s="1">
        <v>0.062071</v>
      </c>
      <c r="BL348" s="1">
        <v>0.0</v>
      </c>
      <c r="BM348" s="1">
        <v>0.745</v>
      </c>
      <c r="BN348" s="1">
        <v>0.827</v>
      </c>
      <c r="BO348" s="1">
        <v>0.5913</v>
      </c>
      <c r="BP348" s="1">
        <v>0.207</v>
      </c>
      <c r="BQ348" s="1">
        <v>2.3703</v>
      </c>
      <c r="BR348" s="1">
        <v>0.6238</v>
      </c>
      <c r="BS348" s="1">
        <v>0.867</v>
      </c>
      <c r="BT348" s="1">
        <v>0.204</v>
      </c>
      <c r="BU348" s="1">
        <v>0.464</v>
      </c>
      <c r="BV348" s="1">
        <v>1.535</v>
      </c>
      <c r="BW348" s="1">
        <v>0.511</v>
      </c>
      <c r="BX348" s="1">
        <v>0.63</v>
      </c>
      <c r="BY348" s="1">
        <v>0.71</v>
      </c>
      <c r="BZ348" s="1">
        <v>1.34</v>
      </c>
      <c r="CA348" s="1">
        <v>0.73</v>
      </c>
      <c r="CB348" s="1">
        <v>0.919</v>
      </c>
      <c r="CC348" s="1">
        <v>0.0</v>
      </c>
      <c r="CD348" s="1">
        <v>0.571</v>
      </c>
      <c r="CE348" s="1">
        <v>0.853</v>
      </c>
      <c r="CF348" s="1">
        <v>0.0</v>
      </c>
      <c r="CG348" s="1">
        <v>2.343</v>
      </c>
      <c r="CH348" s="1">
        <v>0.481</v>
      </c>
      <c r="CI348" s="1">
        <v>7.5883</v>
      </c>
      <c r="CJ348" s="1">
        <v>0.6513</v>
      </c>
      <c r="CK348" s="1">
        <v>0.0</v>
      </c>
      <c r="CL348" s="1">
        <v>0.0</v>
      </c>
      <c r="CM348" s="1">
        <v>0.0</v>
      </c>
      <c r="CN348" s="1">
        <v>0.0</v>
      </c>
      <c r="CO348" s="1">
        <v>0.0</v>
      </c>
      <c r="CP348" s="1">
        <v>0.0</v>
      </c>
      <c r="CQ348" s="1">
        <v>0.0</v>
      </c>
      <c r="CR348" s="1">
        <v>0.0</v>
      </c>
      <c r="CS348" s="1">
        <v>0.0</v>
      </c>
      <c r="CT348" s="1">
        <v>0.0</v>
      </c>
      <c r="CU348" s="1">
        <v>0.0</v>
      </c>
      <c r="CV348" s="1">
        <v>0.0</v>
      </c>
      <c r="CW348" s="1">
        <v>1.0</v>
      </c>
      <c r="CX348" s="1">
        <v>0.0</v>
      </c>
      <c r="CY348" s="1">
        <v>0.0</v>
      </c>
      <c r="CZ348" s="1">
        <v>0.0</v>
      </c>
      <c r="DA348" s="1">
        <v>0.0</v>
      </c>
      <c r="DB348" s="1">
        <v>1.0</v>
      </c>
      <c r="DC348" s="1">
        <v>1.0</v>
      </c>
      <c r="DD348" s="1" t="s">
        <v>1729</v>
      </c>
      <c r="DE348" s="1">
        <v>1.28721853253243E-4</v>
      </c>
      <c r="DF348" s="1">
        <v>0.0507981077917639</v>
      </c>
    </row>
    <row r="349" ht="15.75" customHeight="1">
      <c r="A349" s="1" t="s">
        <v>1730</v>
      </c>
      <c r="B349" s="1">
        <v>29.0</v>
      </c>
      <c r="C349" s="2" t="s">
        <v>1606</v>
      </c>
      <c r="D349" s="2" t="s">
        <v>428</v>
      </c>
      <c r="E349" s="1">
        <v>1.089</v>
      </c>
      <c r="F349" s="1">
        <v>29077.0</v>
      </c>
      <c r="G349" s="1">
        <v>2.90770014E10</v>
      </c>
      <c r="H349" s="1" t="s">
        <v>112</v>
      </c>
      <c r="I349" s="1" t="s">
        <v>113</v>
      </c>
      <c r="J349" s="1" t="s">
        <v>1607</v>
      </c>
      <c r="K349" s="1" t="s">
        <v>1731</v>
      </c>
      <c r="L349" s="1">
        <v>4421.0</v>
      </c>
      <c r="M349" s="1">
        <v>4781.0</v>
      </c>
      <c r="N349" s="1">
        <v>364.0</v>
      </c>
      <c r="O349" s="1">
        <v>2716.0</v>
      </c>
      <c r="P349" s="1">
        <v>2741.0</v>
      </c>
      <c r="Q349" s="1">
        <v>101.0</v>
      </c>
      <c r="R349" s="1">
        <v>2449.0</v>
      </c>
      <c r="S349" s="1">
        <v>892.0</v>
      </c>
      <c r="T349" s="1">
        <v>277.0</v>
      </c>
      <c r="U349" s="1">
        <v>119.0</v>
      </c>
      <c r="V349" s="1">
        <v>447.0</v>
      </c>
      <c r="W349" s="1">
        <v>20980.0</v>
      </c>
      <c r="X349" s="1">
        <v>2074.0</v>
      </c>
      <c r="Y349" s="1">
        <v>256.0</v>
      </c>
      <c r="Z349" s="1">
        <v>303.0</v>
      </c>
      <c r="AA349" s="1">
        <v>828.0</v>
      </c>
      <c r="AB349" s="1">
        <v>504.0</v>
      </c>
      <c r="AC349" s="1">
        <v>166.0</v>
      </c>
      <c r="AD349" s="1">
        <v>595.0</v>
      </c>
      <c r="AE349" s="1">
        <v>50.0</v>
      </c>
      <c r="AF349" s="1">
        <v>430.0</v>
      </c>
      <c r="AG349" s="1">
        <v>1439.0</v>
      </c>
      <c r="AH349" s="1">
        <v>291.0</v>
      </c>
      <c r="AI349" s="1">
        <v>0.0</v>
      </c>
      <c r="AJ349" s="1">
        <v>114.0</v>
      </c>
      <c r="AK349" s="1">
        <v>35.0</v>
      </c>
      <c r="AL349" s="1">
        <v>121.0</v>
      </c>
      <c r="AM349" s="1">
        <v>281.0</v>
      </c>
      <c r="AN349" s="1">
        <v>141.0</v>
      </c>
      <c r="AO349" s="1">
        <v>108.0</v>
      </c>
      <c r="AP349" s="1">
        <v>0.195571</v>
      </c>
      <c r="AQ349" s="1">
        <v>0.059091</v>
      </c>
      <c r="AR349" s="1">
        <v>0.042774</v>
      </c>
      <c r="AS349" s="1">
        <v>0.160548</v>
      </c>
      <c r="AT349" s="1">
        <v>20980.0</v>
      </c>
      <c r="AU349" s="1">
        <v>2074.0</v>
      </c>
      <c r="AV349" s="1">
        <v>0.08559</v>
      </c>
      <c r="AW349" s="1">
        <v>0.100824</v>
      </c>
      <c r="AX349" s="1">
        <v>0.187287</v>
      </c>
      <c r="AY349" s="1">
        <v>0.114001</v>
      </c>
      <c r="AZ349" s="1">
        <v>0.06778276</v>
      </c>
      <c r="BA349" s="1">
        <v>0.134584</v>
      </c>
      <c r="BB349" s="1">
        <v>0.010957</v>
      </c>
      <c r="BC349" s="1">
        <v>0.094232</v>
      </c>
      <c r="BD349" s="1">
        <v>0.52499</v>
      </c>
      <c r="BE349" s="1">
        <v>0.104388</v>
      </c>
      <c r="BF349" s="1">
        <v>0.0</v>
      </c>
      <c r="BG349" s="1">
        <v>0.04159</v>
      </c>
      <c r="BH349" s="1">
        <v>0.012967</v>
      </c>
      <c r="BI349" s="1">
        <v>0.044827</v>
      </c>
      <c r="BJ349" s="1">
        <v>0.104112</v>
      </c>
      <c r="BK349" s="1">
        <v>0.052042</v>
      </c>
      <c r="BL349" s="1">
        <v>0.024428</v>
      </c>
      <c r="BM349" s="1">
        <v>0.717</v>
      </c>
      <c r="BN349" s="1">
        <v>0.217</v>
      </c>
      <c r="BO349" s="1">
        <v>0.5552</v>
      </c>
      <c r="BP349" s="1">
        <v>0.273</v>
      </c>
      <c r="BQ349" s="1">
        <v>1.7622</v>
      </c>
      <c r="BR349" s="1">
        <v>0.4195</v>
      </c>
      <c r="BS349" s="1">
        <v>0.824</v>
      </c>
      <c r="BT349" s="1">
        <v>0.033</v>
      </c>
      <c r="BU349" s="1">
        <v>0.197</v>
      </c>
      <c r="BV349" s="1">
        <v>1.054</v>
      </c>
      <c r="BW349" s="1">
        <v>0.135</v>
      </c>
      <c r="BX349" s="1">
        <v>0.573</v>
      </c>
      <c r="BY349" s="1">
        <v>0.744</v>
      </c>
      <c r="BZ349" s="1">
        <v>1.317</v>
      </c>
      <c r="CA349" s="1">
        <v>0.722</v>
      </c>
      <c r="CB349" s="1">
        <v>0.984</v>
      </c>
      <c r="CC349" s="1">
        <v>0.0</v>
      </c>
      <c r="CD349" s="1">
        <v>0.548</v>
      </c>
      <c r="CE349" s="1">
        <v>0.765</v>
      </c>
      <c r="CF349" s="1">
        <v>0.764</v>
      </c>
      <c r="CG349" s="1">
        <v>3.061</v>
      </c>
      <c r="CH349" s="1">
        <v>0.799</v>
      </c>
      <c r="CI349" s="1">
        <v>7.1942</v>
      </c>
      <c r="CJ349" s="1">
        <v>0.5921</v>
      </c>
      <c r="CK349" s="1">
        <v>0.0</v>
      </c>
      <c r="CL349" s="1">
        <v>0.0</v>
      </c>
      <c r="CM349" s="1">
        <v>0.0</v>
      </c>
      <c r="CN349" s="1">
        <v>0.0</v>
      </c>
      <c r="CO349" s="1">
        <v>0.0</v>
      </c>
      <c r="CP349" s="1">
        <v>0.0</v>
      </c>
      <c r="CQ349" s="1">
        <v>0.0</v>
      </c>
      <c r="CR349" s="1">
        <v>0.0</v>
      </c>
      <c r="CS349" s="1">
        <v>0.0</v>
      </c>
      <c r="CT349" s="1">
        <v>0.0</v>
      </c>
      <c r="CU349" s="1">
        <v>0.0</v>
      </c>
      <c r="CV349" s="1">
        <v>0.0</v>
      </c>
      <c r="CW349" s="1">
        <v>1.0</v>
      </c>
      <c r="CX349" s="1">
        <v>0.0</v>
      </c>
      <c r="CY349" s="1">
        <v>0.0</v>
      </c>
      <c r="CZ349" s="1">
        <v>0.0</v>
      </c>
      <c r="DA349" s="1">
        <v>0.0</v>
      </c>
      <c r="DB349" s="1">
        <v>1.0</v>
      </c>
      <c r="DC349" s="1">
        <v>1.0</v>
      </c>
      <c r="DD349" s="1" t="s">
        <v>1732</v>
      </c>
      <c r="DE349" s="1">
        <v>2.85322059911756E-4</v>
      </c>
      <c r="DF349" s="1">
        <v>0.0727062822558272</v>
      </c>
    </row>
    <row r="350" ht="15.75" customHeight="1">
      <c r="A350" s="1" t="s">
        <v>1733</v>
      </c>
      <c r="B350" s="1">
        <v>29.0</v>
      </c>
      <c r="C350" s="2" t="s">
        <v>1606</v>
      </c>
      <c r="D350" s="2" t="s">
        <v>528</v>
      </c>
      <c r="E350" s="1">
        <v>1.342</v>
      </c>
      <c r="F350" s="1">
        <v>29077.0</v>
      </c>
      <c r="G350" s="1">
        <v>2.90770015E10</v>
      </c>
      <c r="H350" s="1" t="s">
        <v>112</v>
      </c>
      <c r="I350" s="1" t="s">
        <v>113</v>
      </c>
      <c r="J350" s="1" t="s">
        <v>1607</v>
      </c>
      <c r="K350" s="1" t="s">
        <v>1734</v>
      </c>
      <c r="L350" s="1">
        <v>5029.0</v>
      </c>
      <c r="M350" s="1">
        <v>4571.0</v>
      </c>
      <c r="N350" s="1">
        <v>326.0</v>
      </c>
      <c r="O350" s="1">
        <v>2312.0</v>
      </c>
      <c r="P350" s="1">
        <v>2392.0</v>
      </c>
      <c r="Q350" s="1">
        <v>53.0</v>
      </c>
      <c r="R350" s="1">
        <v>2166.0</v>
      </c>
      <c r="S350" s="1">
        <v>588.0</v>
      </c>
      <c r="T350" s="1">
        <v>279.0</v>
      </c>
      <c r="U350" s="1">
        <v>61.0</v>
      </c>
      <c r="V350" s="1">
        <v>444.0</v>
      </c>
      <c r="W350" s="1">
        <v>21199.0</v>
      </c>
      <c r="X350" s="1">
        <v>2012.0</v>
      </c>
      <c r="Y350" s="1">
        <v>403.0</v>
      </c>
      <c r="Z350" s="1">
        <v>308.0</v>
      </c>
      <c r="AA350" s="1">
        <v>925.0</v>
      </c>
      <c r="AB350" s="1">
        <v>1010.0</v>
      </c>
      <c r="AC350" s="1">
        <v>229.0</v>
      </c>
      <c r="AD350" s="1">
        <v>678.0</v>
      </c>
      <c r="AE350" s="1">
        <v>69.0</v>
      </c>
      <c r="AF350" s="1">
        <v>444.0</v>
      </c>
      <c r="AG350" s="1">
        <v>63.0</v>
      </c>
      <c r="AH350" s="1">
        <v>176.0</v>
      </c>
      <c r="AI350" s="1">
        <v>0.0</v>
      </c>
      <c r="AJ350" s="1">
        <v>114.0</v>
      </c>
      <c r="AK350" s="1">
        <v>25.0</v>
      </c>
      <c r="AL350" s="1">
        <v>117.0</v>
      </c>
      <c r="AM350" s="1">
        <v>50.0</v>
      </c>
      <c r="AN350" s="1">
        <v>37.0</v>
      </c>
      <c r="AO350" s="1">
        <v>114.0</v>
      </c>
      <c r="AP350" s="1">
        <v>0.12906</v>
      </c>
      <c r="AQ350" s="1">
        <v>0.060546</v>
      </c>
      <c r="AR350" s="1">
        <v>0.025051</v>
      </c>
      <c r="AS350" s="1">
        <v>0.182312</v>
      </c>
      <c r="AT350" s="1">
        <v>21199.0</v>
      </c>
      <c r="AU350" s="1">
        <v>2012.0</v>
      </c>
      <c r="AV350" s="1">
        <v>0.122306</v>
      </c>
      <c r="AW350" s="1">
        <v>0.09307</v>
      </c>
      <c r="AX350" s="1">
        <v>0.183933</v>
      </c>
      <c r="AY350" s="1">
        <v>0.200835</v>
      </c>
      <c r="AZ350" s="1">
        <v>0.10572483</v>
      </c>
      <c r="BA350" s="1">
        <v>0.134818</v>
      </c>
      <c r="BB350" s="1">
        <v>0.016001</v>
      </c>
      <c r="BC350" s="1">
        <v>0.102962</v>
      </c>
      <c r="BD350" s="1">
        <v>0.026337</v>
      </c>
      <c r="BE350" s="1">
        <v>0.073576</v>
      </c>
      <c r="BF350" s="1">
        <v>0.0</v>
      </c>
      <c r="BG350" s="1">
        <v>0.047658</v>
      </c>
      <c r="BH350" s="1">
        <v>0.011467</v>
      </c>
      <c r="BI350" s="1">
        <v>0.053664</v>
      </c>
      <c r="BJ350" s="1">
        <v>0.022935</v>
      </c>
      <c r="BK350" s="1">
        <v>0.016907</v>
      </c>
      <c r="BL350" s="1">
        <v>0.022668</v>
      </c>
      <c r="BM350" s="1">
        <v>0.492</v>
      </c>
      <c r="BN350" s="1">
        <v>0.051</v>
      </c>
      <c r="BO350" s="1">
        <v>0.5408</v>
      </c>
      <c r="BP350" s="1">
        <v>0.437</v>
      </c>
      <c r="BQ350" s="1">
        <v>1.5208</v>
      </c>
      <c r="BR350" s="1">
        <v>0.3451</v>
      </c>
      <c r="BS350" s="1">
        <v>0.812</v>
      </c>
      <c r="BT350" s="1">
        <v>0.189</v>
      </c>
      <c r="BU350" s="1">
        <v>0.547</v>
      </c>
      <c r="BV350" s="1">
        <v>1.548</v>
      </c>
      <c r="BW350" s="1">
        <v>0.519</v>
      </c>
      <c r="BX350" s="1">
        <v>0.576</v>
      </c>
      <c r="BY350" s="1">
        <v>0.825</v>
      </c>
      <c r="BZ350" s="1">
        <v>1.401</v>
      </c>
      <c r="CA350" s="1">
        <v>0.766</v>
      </c>
      <c r="CB350" s="1">
        <v>0.522</v>
      </c>
      <c r="CC350" s="1">
        <v>0.0</v>
      </c>
      <c r="CD350" s="1">
        <v>0.512</v>
      </c>
      <c r="CE350" s="1">
        <v>0.213</v>
      </c>
      <c r="CF350" s="1">
        <v>0.745</v>
      </c>
      <c r="CG350" s="1">
        <v>1.992</v>
      </c>
      <c r="CH350" s="1">
        <v>0.345</v>
      </c>
      <c r="CI350" s="1">
        <v>6.4618</v>
      </c>
      <c r="CJ350" s="1">
        <v>0.4534</v>
      </c>
      <c r="CK350" s="1">
        <v>0.0</v>
      </c>
      <c r="CL350" s="1">
        <v>0.0</v>
      </c>
      <c r="CM350" s="1">
        <v>0.0</v>
      </c>
      <c r="CN350" s="1">
        <v>0.0</v>
      </c>
      <c r="CO350" s="1">
        <v>0.0</v>
      </c>
      <c r="CP350" s="1">
        <v>0.0</v>
      </c>
      <c r="CQ350" s="1">
        <v>0.0</v>
      </c>
      <c r="CR350" s="1">
        <v>0.0</v>
      </c>
      <c r="CS350" s="1">
        <v>0.0</v>
      </c>
      <c r="CT350" s="1">
        <v>0.0</v>
      </c>
      <c r="CU350" s="1">
        <v>0.0</v>
      </c>
      <c r="CV350" s="1">
        <v>0.0</v>
      </c>
      <c r="CW350" s="1">
        <v>0.0</v>
      </c>
      <c r="CX350" s="1">
        <v>0.0</v>
      </c>
      <c r="CY350" s="1">
        <v>0.0</v>
      </c>
      <c r="CZ350" s="1">
        <v>0.0</v>
      </c>
      <c r="DA350" s="1">
        <v>0.0</v>
      </c>
      <c r="DB350" s="1">
        <v>0.0</v>
      </c>
      <c r="DC350" s="1">
        <v>0.0</v>
      </c>
      <c r="DD350" s="1" t="s">
        <v>1735</v>
      </c>
      <c r="DE350" s="1">
        <v>3.53667577889867E-4</v>
      </c>
      <c r="DF350" s="1">
        <v>0.0757920317036866</v>
      </c>
    </row>
    <row r="351" ht="15.75" customHeight="1">
      <c r="A351" s="1" t="s">
        <v>1736</v>
      </c>
      <c r="B351" s="1">
        <v>29.0</v>
      </c>
      <c r="C351" s="2" t="s">
        <v>1606</v>
      </c>
      <c r="D351" s="2" t="s">
        <v>536</v>
      </c>
      <c r="E351" s="1">
        <v>0.954</v>
      </c>
      <c r="F351" s="1">
        <v>29077.0</v>
      </c>
      <c r="G351" s="1">
        <v>2.90770017E10</v>
      </c>
      <c r="H351" s="1" t="s">
        <v>112</v>
      </c>
      <c r="I351" s="1" t="s">
        <v>113</v>
      </c>
      <c r="J351" s="1" t="s">
        <v>1607</v>
      </c>
      <c r="K351" s="1" t="s">
        <v>1737</v>
      </c>
      <c r="L351" s="1">
        <v>3195.0</v>
      </c>
      <c r="M351" s="1">
        <v>2705.0</v>
      </c>
      <c r="N351" s="1">
        <v>335.0</v>
      </c>
      <c r="O351" s="1">
        <v>1554.0</v>
      </c>
      <c r="P351" s="1">
        <v>1439.0</v>
      </c>
      <c r="Q351" s="1">
        <v>73.0</v>
      </c>
      <c r="R351" s="1">
        <v>1380.0</v>
      </c>
      <c r="S351" s="1">
        <v>739.0</v>
      </c>
      <c r="T351" s="1">
        <v>249.0</v>
      </c>
      <c r="U351" s="1">
        <v>201.0</v>
      </c>
      <c r="V351" s="1">
        <v>406.0</v>
      </c>
      <c r="W351" s="1">
        <v>14462.0</v>
      </c>
      <c r="X351" s="1">
        <v>1749.0</v>
      </c>
      <c r="Y351" s="1">
        <v>551.0</v>
      </c>
      <c r="Z351" s="1">
        <v>245.0</v>
      </c>
      <c r="AA351" s="1">
        <v>480.0</v>
      </c>
      <c r="AB351" s="1">
        <v>704.0</v>
      </c>
      <c r="AC351" s="1">
        <v>234.0</v>
      </c>
      <c r="AD351" s="1">
        <v>404.0</v>
      </c>
      <c r="AE351" s="1">
        <v>22.0</v>
      </c>
      <c r="AF351" s="1">
        <v>427.0</v>
      </c>
      <c r="AG351" s="1">
        <v>14.0</v>
      </c>
      <c r="AH351" s="1">
        <v>162.0</v>
      </c>
      <c r="AI351" s="1">
        <v>56.0</v>
      </c>
      <c r="AJ351" s="1">
        <v>63.0</v>
      </c>
      <c r="AK351" s="1">
        <v>54.0</v>
      </c>
      <c r="AL351" s="1">
        <v>124.0</v>
      </c>
      <c r="AM351" s="1">
        <v>132.0</v>
      </c>
      <c r="AN351" s="1">
        <v>74.0</v>
      </c>
      <c r="AO351" s="1">
        <v>195.0</v>
      </c>
      <c r="AP351" s="1">
        <v>0.297743</v>
      </c>
      <c r="AQ351" s="1">
        <v>0.093318</v>
      </c>
      <c r="AR351" s="1">
        <v>0.186976</v>
      </c>
      <c r="AS351" s="1">
        <v>0.375512</v>
      </c>
      <c r="AT351" s="1">
        <v>14462.0</v>
      </c>
      <c r="AU351" s="1">
        <v>1749.0</v>
      </c>
      <c r="AV351" s="1">
        <v>0.293241</v>
      </c>
      <c r="AW351" s="1">
        <v>0.125032</v>
      </c>
      <c r="AX351" s="1">
        <v>0.150234</v>
      </c>
      <c r="AY351" s="1">
        <v>0.220344</v>
      </c>
      <c r="AZ351" s="1">
        <v>0.16956521</v>
      </c>
      <c r="BA351" s="1">
        <v>0.126447</v>
      </c>
      <c r="BB351" s="1">
        <v>0.008835</v>
      </c>
      <c r="BC351" s="1">
        <v>0.171482</v>
      </c>
      <c r="BD351" s="1">
        <v>0.009728</v>
      </c>
      <c r="BE351" s="1">
        <v>0.112577</v>
      </c>
      <c r="BF351" s="1">
        <v>0.038915</v>
      </c>
      <c r="BG351" s="1">
        <v>0.043735</v>
      </c>
      <c r="BH351" s="1">
        <v>0.045879</v>
      </c>
      <c r="BI351" s="1">
        <v>0.105246</v>
      </c>
      <c r="BJ351" s="1">
        <v>0.112149</v>
      </c>
      <c r="BK351" s="1">
        <v>0.061805</v>
      </c>
      <c r="BL351" s="1">
        <v>0.061032</v>
      </c>
      <c r="BM351" s="1">
        <v>0.885</v>
      </c>
      <c r="BN351" s="1">
        <v>0.941</v>
      </c>
      <c r="BO351" s="1">
        <v>0.8953</v>
      </c>
      <c r="BP351" s="1">
        <v>0.935</v>
      </c>
      <c r="BQ351" s="1">
        <v>3.6563</v>
      </c>
      <c r="BR351" s="1">
        <v>0.9487</v>
      </c>
      <c r="BS351" s="1">
        <v>0.579</v>
      </c>
      <c r="BT351" s="1">
        <v>0.302</v>
      </c>
      <c r="BU351" s="1">
        <v>0.845</v>
      </c>
      <c r="BV351" s="1">
        <v>1.726</v>
      </c>
      <c r="BW351" s="1">
        <v>0.661</v>
      </c>
      <c r="BX351" s="1">
        <v>0.551</v>
      </c>
      <c r="BY351" s="1">
        <v>0.692</v>
      </c>
      <c r="BZ351" s="1">
        <v>1.243</v>
      </c>
      <c r="CA351" s="1">
        <v>0.682</v>
      </c>
      <c r="CB351" s="1">
        <v>0.382</v>
      </c>
      <c r="CC351" s="1">
        <v>0.575</v>
      </c>
      <c r="CD351" s="1">
        <v>0.92</v>
      </c>
      <c r="CE351" s="1">
        <v>0.787</v>
      </c>
      <c r="CF351" s="1">
        <v>0.912</v>
      </c>
      <c r="CG351" s="1">
        <v>3.576</v>
      </c>
      <c r="CH351" s="1">
        <v>0.949</v>
      </c>
      <c r="CI351" s="1">
        <v>10.2013</v>
      </c>
      <c r="CJ351" s="1">
        <v>0.9617</v>
      </c>
      <c r="CK351" s="1">
        <v>0.0</v>
      </c>
      <c r="CL351" s="1">
        <v>1.0</v>
      </c>
      <c r="CM351" s="1">
        <v>0.0</v>
      </c>
      <c r="CN351" s="1">
        <v>1.0</v>
      </c>
      <c r="CO351" s="1">
        <v>2.0</v>
      </c>
      <c r="CP351" s="1">
        <v>0.0</v>
      </c>
      <c r="CQ351" s="1">
        <v>0.0</v>
      </c>
      <c r="CR351" s="1">
        <v>0.0</v>
      </c>
      <c r="CS351" s="1">
        <v>0.0</v>
      </c>
      <c r="CT351" s="1">
        <v>0.0</v>
      </c>
      <c r="CU351" s="1">
        <v>0.0</v>
      </c>
      <c r="CV351" s="1">
        <v>0.0</v>
      </c>
      <c r="CW351" s="1">
        <v>0.0</v>
      </c>
      <c r="CX351" s="1">
        <v>0.0</v>
      </c>
      <c r="CY351" s="1">
        <v>1.0</v>
      </c>
      <c r="CZ351" s="1">
        <v>0.0</v>
      </c>
      <c r="DA351" s="1">
        <v>1.0</v>
      </c>
      <c r="DB351" s="1">
        <v>2.0</v>
      </c>
      <c r="DC351" s="1">
        <v>4.0</v>
      </c>
      <c r="DD351" s="1" t="s">
        <v>1738</v>
      </c>
      <c r="DE351" s="1">
        <v>2.51397975301619E-4</v>
      </c>
      <c r="DF351" s="1">
        <v>0.0646705955546755</v>
      </c>
    </row>
    <row r="352" ht="15.75" customHeight="1">
      <c r="A352" s="1" t="s">
        <v>1739</v>
      </c>
      <c r="B352" s="1">
        <v>29.0</v>
      </c>
      <c r="C352" s="2" t="s">
        <v>1606</v>
      </c>
      <c r="D352" s="2" t="s">
        <v>541</v>
      </c>
      <c r="E352" s="1">
        <v>1.164</v>
      </c>
      <c r="F352" s="1">
        <v>29077.0</v>
      </c>
      <c r="G352" s="1">
        <v>2.90770018E10</v>
      </c>
      <c r="H352" s="1" t="s">
        <v>112</v>
      </c>
      <c r="I352" s="1" t="s">
        <v>113</v>
      </c>
      <c r="J352" s="1" t="s">
        <v>1607</v>
      </c>
      <c r="K352" s="1" t="s">
        <v>1740</v>
      </c>
      <c r="L352" s="1">
        <v>3407.0</v>
      </c>
      <c r="M352" s="1">
        <v>3095.0</v>
      </c>
      <c r="N352" s="1">
        <v>332.0</v>
      </c>
      <c r="O352" s="1">
        <v>1617.0</v>
      </c>
      <c r="P352" s="1">
        <v>1627.0</v>
      </c>
      <c r="Q352" s="1">
        <v>65.0</v>
      </c>
      <c r="R352" s="1">
        <v>1405.0</v>
      </c>
      <c r="S352" s="1">
        <v>958.0</v>
      </c>
      <c r="T352" s="1">
        <v>287.0</v>
      </c>
      <c r="U352" s="1">
        <v>198.0</v>
      </c>
      <c r="V352" s="1">
        <v>405.0</v>
      </c>
      <c r="W352" s="1">
        <v>14381.0</v>
      </c>
      <c r="X352" s="1">
        <v>1663.0</v>
      </c>
      <c r="Y352" s="1">
        <v>544.0</v>
      </c>
      <c r="Z352" s="1">
        <v>270.0</v>
      </c>
      <c r="AA352" s="1">
        <v>352.0</v>
      </c>
      <c r="AB352" s="1">
        <v>839.0</v>
      </c>
      <c r="AC352" s="1">
        <v>229.0</v>
      </c>
      <c r="AD352" s="1">
        <v>420.0</v>
      </c>
      <c r="AE352" s="1">
        <v>0.0</v>
      </c>
      <c r="AF352" s="1">
        <v>456.0</v>
      </c>
      <c r="AG352" s="1">
        <v>11.0</v>
      </c>
      <c r="AH352" s="1">
        <v>162.0</v>
      </c>
      <c r="AI352" s="1">
        <v>0.0</v>
      </c>
      <c r="AJ352" s="1">
        <v>114.0</v>
      </c>
      <c r="AK352" s="1">
        <v>7.0</v>
      </c>
      <c r="AL352" s="1">
        <v>115.0</v>
      </c>
      <c r="AM352" s="1">
        <v>111.0</v>
      </c>
      <c r="AN352" s="1">
        <v>133.0</v>
      </c>
      <c r="AO352" s="1">
        <v>19.0</v>
      </c>
      <c r="AP352" s="1">
        <v>0.312052</v>
      </c>
      <c r="AQ352" s="1">
        <v>0.08726</v>
      </c>
      <c r="AR352" s="1">
        <v>0.129074</v>
      </c>
      <c r="AS352" s="1">
        <v>0.263142</v>
      </c>
      <c r="AT352" s="1">
        <v>14381.0</v>
      </c>
      <c r="AU352" s="1">
        <v>1663.0</v>
      </c>
      <c r="AV352" s="1">
        <v>0.255159</v>
      </c>
      <c r="AW352" s="1">
        <v>0.123771</v>
      </c>
      <c r="AX352" s="1">
        <v>0.103316</v>
      </c>
      <c r="AY352" s="1">
        <v>0.246257</v>
      </c>
      <c r="AZ352" s="1">
        <v>0.16298932</v>
      </c>
      <c r="BA352" s="1">
        <v>0.123275</v>
      </c>
      <c r="BB352" s="1">
        <v>0.0</v>
      </c>
      <c r="BC352" s="1">
        <v>0.154471</v>
      </c>
      <c r="BD352" s="1">
        <v>0.00676</v>
      </c>
      <c r="BE352" s="1">
        <v>0.099569</v>
      </c>
      <c r="BF352" s="1">
        <v>0.0</v>
      </c>
      <c r="BG352" s="1">
        <v>0.070067</v>
      </c>
      <c r="BH352" s="1">
        <v>0.005098</v>
      </c>
      <c r="BI352" s="1">
        <v>0.083757</v>
      </c>
      <c r="BJ352" s="1">
        <v>0.080844</v>
      </c>
      <c r="BK352" s="1">
        <v>0.096622</v>
      </c>
      <c r="BL352" s="1">
        <v>0.005576</v>
      </c>
      <c r="BM352" s="1">
        <v>0.895</v>
      </c>
      <c r="BN352" s="1">
        <v>0.855</v>
      </c>
      <c r="BO352" s="1">
        <v>0.8982</v>
      </c>
      <c r="BP352" s="1">
        <v>0.879</v>
      </c>
      <c r="BQ352" s="1">
        <v>3.5272</v>
      </c>
      <c r="BR352" s="1">
        <v>0.9278</v>
      </c>
      <c r="BS352" s="1">
        <v>0.232</v>
      </c>
      <c r="BT352" s="1">
        <v>0.559</v>
      </c>
      <c r="BU352" s="1">
        <v>0.83</v>
      </c>
      <c r="BV352" s="1">
        <v>1.621</v>
      </c>
      <c r="BW352" s="1">
        <v>0.581</v>
      </c>
      <c r="BX352" s="1">
        <v>0.543</v>
      </c>
      <c r="BY352" s="1">
        <v>0.0</v>
      </c>
      <c r="BZ352" s="1">
        <v>0.543</v>
      </c>
      <c r="CA352" s="1">
        <v>0.237</v>
      </c>
      <c r="CB352" s="1">
        <v>0.347</v>
      </c>
      <c r="CC352" s="1">
        <v>0.0</v>
      </c>
      <c r="CD352" s="1">
        <v>0.338</v>
      </c>
      <c r="CE352" s="1">
        <v>0.678</v>
      </c>
      <c r="CF352" s="1">
        <v>0.525</v>
      </c>
      <c r="CG352" s="1">
        <v>1.888</v>
      </c>
      <c r="CH352" s="1">
        <v>0.299</v>
      </c>
      <c r="CI352" s="1">
        <v>7.5792</v>
      </c>
      <c r="CJ352" s="1">
        <v>0.6491</v>
      </c>
      <c r="CK352" s="1">
        <v>0.0</v>
      </c>
      <c r="CL352" s="1">
        <v>0.0</v>
      </c>
      <c r="CM352" s="1">
        <v>0.0</v>
      </c>
      <c r="CN352" s="1">
        <v>0.0</v>
      </c>
      <c r="CO352" s="1">
        <v>0.0</v>
      </c>
      <c r="CP352" s="1">
        <v>0.0</v>
      </c>
      <c r="CQ352" s="1">
        <v>0.0</v>
      </c>
      <c r="CR352" s="1">
        <v>0.0</v>
      </c>
      <c r="CS352" s="1">
        <v>0.0</v>
      </c>
      <c r="CT352" s="1">
        <v>0.0</v>
      </c>
      <c r="CU352" s="1">
        <v>0.0</v>
      </c>
      <c r="CV352" s="1">
        <v>0.0</v>
      </c>
      <c r="CW352" s="1">
        <v>0.0</v>
      </c>
      <c r="CX352" s="1">
        <v>0.0</v>
      </c>
      <c r="CY352" s="1">
        <v>0.0</v>
      </c>
      <c r="CZ352" s="1">
        <v>0.0</v>
      </c>
      <c r="DA352" s="1">
        <v>0.0</v>
      </c>
      <c r="DB352" s="1">
        <v>0.0</v>
      </c>
      <c r="DC352" s="1">
        <v>0.0</v>
      </c>
      <c r="DD352" s="1" t="s">
        <v>1741</v>
      </c>
      <c r="DE352" s="1">
        <v>3.06998465275797E-4</v>
      </c>
      <c r="DF352" s="1">
        <v>0.0702471112921474</v>
      </c>
    </row>
    <row r="353" ht="15.75" customHeight="1">
      <c r="A353" s="1" t="s">
        <v>1742</v>
      </c>
      <c r="B353" s="1">
        <v>29.0</v>
      </c>
      <c r="C353" s="2" t="s">
        <v>1606</v>
      </c>
      <c r="D353" s="2" t="s">
        <v>385</v>
      </c>
      <c r="E353" s="1">
        <v>5.425</v>
      </c>
      <c r="F353" s="1">
        <v>29077.0</v>
      </c>
      <c r="G353" s="1">
        <v>2.90770022E10</v>
      </c>
      <c r="H353" s="1" t="s">
        <v>112</v>
      </c>
      <c r="I353" s="1" t="s">
        <v>113</v>
      </c>
      <c r="J353" s="1" t="s">
        <v>1607</v>
      </c>
      <c r="K353" s="1" t="s">
        <v>1743</v>
      </c>
      <c r="L353" s="1">
        <v>4261.0</v>
      </c>
      <c r="M353" s="1">
        <v>4698.0</v>
      </c>
      <c r="N353" s="1">
        <v>392.0</v>
      </c>
      <c r="O353" s="1">
        <v>2175.0</v>
      </c>
      <c r="P353" s="1">
        <v>2060.0</v>
      </c>
      <c r="Q353" s="1">
        <v>77.0</v>
      </c>
      <c r="R353" s="1">
        <v>1927.0</v>
      </c>
      <c r="S353" s="1">
        <v>748.0</v>
      </c>
      <c r="T353" s="1">
        <v>252.0</v>
      </c>
      <c r="U353" s="1">
        <v>154.0</v>
      </c>
      <c r="V353" s="1">
        <v>422.0</v>
      </c>
      <c r="W353" s="1">
        <v>15439.0</v>
      </c>
      <c r="X353" s="1">
        <v>1392.0</v>
      </c>
      <c r="Y353" s="1">
        <v>552.0</v>
      </c>
      <c r="Z353" s="1">
        <v>247.0</v>
      </c>
      <c r="AA353" s="1">
        <v>511.0</v>
      </c>
      <c r="AB353" s="1">
        <v>965.0</v>
      </c>
      <c r="AC353" s="1">
        <v>265.0</v>
      </c>
      <c r="AD353" s="1">
        <v>674.0</v>
      </c>
      <c r="AE353" s="1">
        <v>140.0</v>
      </c>
      <c r="AF353" s="1">
        <v>429.0</v>
      </c>
      <c r="AG353" s="1">
        <v>143.0</v>
      </c>
      <c r="AH353" s="1">
        <v>138.0</v>
      </c>
      <c r="AI353" s="1">
        <v>201.0</v>
      </c>
      <c r="AJ353" s="1">
        <v>78.0</v>
      </c>
      <c r="AK353" s="1">
        <v>73.0</v>
      </c>
      <c r="AL353" s="1">
        <v>123.0</v>
      </c>
      <c r="AM353" s="1">
        <v>168.0</v>
      </c>
      <c r="AN353" s="1">
        <v>82.0</v>
      </c>
      <c r="AO353" s="1">
        <v>30.0</v>
      </c>
      <c r="AP353" s="1">
        <v>0.166407</v>
      </c>
      <c r="AQ353" s="1">
        <v>0.054446</v>
      </c>
      <c r="AR353" s="1">
        <v>0.065981</v>
      </c>
      <c r="AS353" s="1">
        <v>0.180558</v>
      </c>
      <c r="AT353" s="1">
        <v>15439.0</v>
      </c>
      <c r="AU353" s="1">
        <v>1392.0</v>
      </c>
      <c r="AV353" s="1">
        <v>0.189951</v>
      </c>
      <c r="AW353" s="1">
        <v>0.08328</v>
      </c>
      <c r="AX353" s="1">
        <v>0.119924</v>
      </c>
      <c r="AY353" s="1">
        <v>0.226472</v>
      </c>
      <c r="AZ353" s="1">
        <v>0.13751946</v>
      </c>
      <c r="BA353" s="1">
        <v>0.158178</v>
      </c>
      <c r="BB353" s="1">
        <v>0.031488</v>
      </c>
      <c r="BC353" s="1">
        <v>0.096455</v>
      </c>
      <c r="BD353" s="1">
        <v>0.069417</v>
      </c>
      <c r="BE353" s="1">
        <v>0.06694</v>
      </c>
      <c r="BF353" s="1">
        <v>0.097572</v>
      </c>
      <c r="BG353" s="1">
        <v>0.037688</v>
      </c>
      <c r="BH353" s="1">
        <v>0.038563</v>
      </c>
      <c r="BI353" s="1">
        <v>0.06493</v>
      </c>
      <c r="BJ353" s="1">
        <v>0.088748</v>
      </c>
      <c r="BK353" s="1">
        <v>0.042956</v>
      </c>
      <c r="BL353" s="1">
        <v>0.00704</v>
      </c>
      <c r="BM353" s="1">
        <v>0.63</v>
      </c>
      <c r="BN353" s="1">
        <v>0.478</v>
      </c>
      <c r="BO353" s="1">
        <v>0.8599</v>
      </c>
      <c r="BP353" s="1">
        <v>0.724</v>
      </c>
      <c r="BQ353" s="1">
        <v>2.6919</v>
      </c>
      <c r="BR353" s="1">
        <v>0.7191</v>
      </c>
      <c r="BS353" s="1">
        <v>0.345</v>
      </c>
      <c r="BT353" s="1">
        <v>0.352</v>
      </c>
      <c r="BU353" s="1">
        <v>0.751</v>
      </c>
      <c r="BV353" s="1">
        <v>1.448</v>
      </c>
      <c r="BW353" s="1">
        <v>0.436</v>
      </c>
      <c r="BX353" s="1">
        <v>0.646</v>
      </c>
      <c r="BY353" s="1">
        <v>0.92</v>
      </c>
      <c r="BZ353" s="1">
        <v>1.566</v>
      </c>
      <c r="CA353" s="1">
        <v>0.861</v>
      </c>
      <c r="CB353" s="1">
        <v>0.713</v>
      </c>
      <c r="CC353" s="1">
        <v>0.709</v>
      </c>
      <c r="CD353" s="1">
        <v>0.885</v>
      </c>
      <c r="CE353" s="1">
        <v>0.712</v>
      </c>
      <c r="CF353" s="1">
        <v>0.538</v>
      </c>
      <c r="CG353" s="1">
        <v>3.557</v>
      </c>
      <c r="CH353" s="1">
        <v>0.946</v>
      </c>
      <c r="CI353" s="1">
        <v>9.2629</v>
      </c>
      <c r="CJ353" s="1">
        <v>0.8816</v>
      </c>
      <c r="CK353" s="1">
        <v>0.0</v>
      </c>
      <c r="CL353" s="1">
        <v>0.0</v>
      </c>
      <c r="CM353" s="1">
        <v>0.0</v>
      </c>
      <c r="CN353" s="1">
        <v>0.0</v>
      </c>
      <c r="CO353" s="1">
        <v>0.0</v>
      </c>
      <c r="CP353" s="1">
        <v>0.0</v>
      </c>
      <c r="CQ353" s="1">
        <v>0.0</v>
      </c>
      <c r="CR353" s="1">
        <v>0.0</v>
      </c>
      <c r="CS353" s="1">
        <v>0.0</v>
      </c>
      <c r="CT353" s="1">
        <v>0.0</v>
      </c>
      <c r="CU353" s="1">
        <v>1.0</v>
      </c>
      <c r="CV353" s="1">
        <v>1.0</v>
      </c>
      <c r="CW353" s="1">
        <v>0.0</v>
      </c>
      <c r="CX353" s="1">
        <v>0.0</v>
      </c>
      <c r="CY353" s="1">
        <v>0.0</v>
      </c>
      <c r="CZ353" s="1">
        <v>0.0</v>
      </c>
      <c r="DA353" s="1">
        <v>0.0</v>
      </c>
      <c r="DB353" s="1">
        <v>0.0</v>
      </c>
      <c r="DC353" s="1">
        <v>1.0</v>
      </c>
      <c r="DD353" s="1" t="s">
        <v>1744</v>
      </c>
      <c r="DE353" s="1">
        <v>0.00142664191695097</v>
      </c>
      <c r="DF353" s="2" t="s">
        <v>1745</v>
      </c>
    </row>
    <row r="354" ht="15.75" customHeight="1">
      <c r="A354" s="1" t="s">
        <v>1746</v>
      </c>
      <c r="B354" s="1">
        <v>29.0</v>
      </c>
      <c r="C354" s="2" t="s">
        <v>1606</v>
      </c>
      <c r="D354" s="2" t="s">
        <v>554</v>
      </c>
      <c r="E354" s="1">
        <v>2.073</v>
      </c>
      <c r="F354" s="1">
        <v>29077.0</v>
      </c>
      <c r="G354" s="1">
        <v>2.90770023E10</v>
      </c>
      <c r="H354" s="1" t="s">
        <v>112</v>
      </c>
      <c r="I354" s="1" t="s">
        <v>113</v>
      </c>
      <c r="J354" s="1" t="s">
        <v>1607</v>
      </c>
      <c r="K354" s="1" t="s">
        <v>1747</v>
      </c>
      <c r="L354" s="1">
        <v>5341.0</v>
      </c>
      <c r="M354" s="1">
        <v>5563.0</v>
      </c>
      <c r="N354" s="1">
        <v>435.0</v>
      </c>
      <c r="O354" s="1">
        <v>2790.0</v>
      </c>
      <c r="P354" s="1">
        <v>2888.0</v>
      </c>
      <c r="Q354" s="1">
        <v>67.0</v>
      </c>
      <c r="R354" s="1">
        <v>2537.0</v>
      </c>
      <c r="S354" s="1">
        <v>1498.0</v>
      </c>
      <c r="T354" s="1">
        <v>365.0</v>
      </c>
      <c r="U354" s="1">
        <v>352.0</v>
      </c>
      <c r="V354" s="1">
        <v>359.0</v>
      </c>
      <c r="W354" s="1">
        <v>17907.0</v>
      </c>
      <c r="X354" s="1">
        <v>1968.0</v>
      </c>
      <c r="Y354" s="1">
        <v>418.0</v>
      </c>
      <c r="Z354" s="1">
        <v>212.0</v>
      </c>
      <c r="AA354" s="1">
        <v>622.0</v>
      </c>
      <c r="AB354" s="1">
        <v>1048.0</v>
      </c>
      <c r="AC354" s="1">
        <v>305.0</v>
      </c>
      <c r="AD354" s="1">
        <v>729.0</v>
      </c>
      <c r="AE354" s="1">
        <v>57.0</v>
      </c>
      <c r="AF354" s="1">
        <v>414.0</v>
      </c>
      <c r="AG354" s="1">
        <v>394.0</v>
      </c>
      <c r="AH354" s="1">
        <v>160.0</v>
      </c>
      <c r="AI354" s="1">
        <v>0.0</v>
      </c>
      <c r="AJ354" s="1">
        <v>114.0</v>
      </c>
      <c r="AK354" s="1">
        <v>0.0</v>
      </c>
      <c r="AL354" s="1">
        <v>161.0</v>
      </c>
      <c r="AM354" s="1">
        <v>127.0</v>
      </c>
      <c r="AN354" s="1">
        <v>84.0</v>
      </c>
      <c r="AO354" s="1">
        <v>13.0</v>
      </c>
      <c r="AP354" s="1">
        <v>0.272066</v>
      </c>
      <c r="AQ354" s="1">
        <v>0.062827</v>
      </c>
      <c r="AR354" s="1">
        <v>0.107942</v>
      </c>
      <c r="AS354" s="1">
        <v>0.108882</v>
      </c>
      <c r="AT354" s="1">
        <v>17907.0</v>
      </c>
      <c r="AU354" s="1">
        <v>1968.0</v>
      </c>
      <c r="AV354" s="1">
        <v>0.116759</v>
      </c>
      <c r="AW354" s="1">
        <v>0.057885</v>
      </c>
      <c r="AX354" s="1">
        <v>0.116457</v>
      </c>
      <c r="AY354" s="1">
        <v>0.196217</v>
      </c>
      <c r="AZ354" s="1">
        <v>0.12022073</v>
      </c>
      <c r="BA354" s="1">
        <v>0.136491</v>
      </c>
      <c r="BB354" s="1">
        <v>0.011185</v>
      </c>
      <c r="BC354" s="1">
        <v>0.081235</v>
      </c>
      <c r="BD354" s="1">
        <v>0.136426</v>
      </c>
      <c r="BE354" s="1">
        <v>0.055311</v>
      </c>
      <c r="BF354" s="1">
        <v>0.0</v>
      </c>
      <c r="BG354" s="1">
        <v>0.039473</v>
      </c>
      <c r="BH354" s="1">
        <v>0.0</v>
      </c>
      <c r="BI354" s="1">
        <v>0.060686</v>
      </c>
      <c r="BJ354" s="1">
        <v>0.04787</v>
      </c>
      <c r="BK354" s="1">
        <v>0.031536</v>
      </c>
      <c r="BL354" s="1">
        <v>0.002434</v>
      </c>
      <c r="BM354" s="1">
        <v>0.856</v>
      </c>
      <c r="BN354" s="1">
        <v>0.777</v>
      </c>
      <c r="BO354" s="1">
        <v>0.735</v>
      </c>
      <c r="BP354" s="1">
        <v>0.412</v>
      </c>
      <c r="BQ354" s="1">
        <v>2.78</v>
      </c>
      <c r="BR354" s="1">
        <v>0.7437</v>
      </c>
      <c r="BS354" s="1">
        <v>0.319</v>
      </c>
      <c r="BT354" s="1">
        <v>0.174</v>
      </c>
      <c r="BU354" s="1">
        <v>0.672</v>
      </c>
      <c r="BV354" s="1">
        <v>1.165</v>
      </c>
      <c r="BW354" s="1">
        <v>0.208</v>
      </c>
      <c r="BX354" s="1">
        <v>0.579</v>
      </c>
      <c r="BY354" s="1">
        <v>0.752</v>
      </c>
      <c r="BZ354" s="1">
        <v>1.331</v>
      </c>
      <c r="CA354" s="1">
        <v>0.726</v>
      </c>
      <c r="CB354" s="1">
        <v>0.823</v>
      </c>
      <c r="CC354" s="1">
        <v>0.0</v>
      </c>
      <c r="CD354" s="1">
        <v>0.0</v>
      </c>
      <c r="CE354" s="1">
        <v>0.471</v>
      </c>
      <c r="CF354" s="1">
        <v>0.459</v>
      </c>
      <c r="CG354" s="1">
        <v>1.753</v>
      </c>
      <c r="CH354" s="1">
        <v>0.25</v>
      </c>
      <c r="CI354" s="1">
        <v>7.029</v>
      </c>
      <c r="CJ354" s="1">
        <v>0.5509</v>
      </c>
      <c r="CK354" s="1">
        <v>0.0</v>
      </c>
      <c r="CL354" s="1">
        <v>0.0</v>
      </c>
      <c r="CM354" s="1">
        <v>0.0</v>
      </c>
      <c r="CN354" s="1">
        <v>0.0</v>
      </c>
      <c r="CO354" s="1">
        <v>0.0</v>
      </c>
      <c r="CP354" s="1">
        <v>0.0</v>
      </c>
      <c r="CQ354" s="1">
        <v>0.0</v>
      </c>
      <c r="CR354" s="1">
        <v>0.0</v>
      </c>
      <c r="CS354" s="1">
        <v>0.0</v>
      </c>
      <c r="CT354" s="1">
        <v>0.0</v>
      </c>
      <c r="CU354" s="1">
        <v>0.0</v>
      </c>
      <c r="CV354" s="1">
        <v>0.0</v>
      </c>
      <c r="CW354" s="1">
        <v>0.0</v>
      </c>
      <c r="CX354" s="1">
        <v>0.0</v>
      </c>
      <c r="CY354" s="1">
        <v>0.0</v>
      </c>
      <c r="CZ354" s="1">
        <v>0.0</v>
      </c>
      <c r="DA354" s="1">
        <v>0.0</v>
      </c>
      <c r="DB354" s="1">
        <v>0.0</v>
      </c>
      <c r="DC354" s="1">
        <v>0.0</v>
      </c>
      <c r="DD354" s="1" t="s">
        <v>1748</v>
      </c>
      <c r="DE354" s="1">
        <v>5.44947831791193E-4</v>
      </c>
      <c r="DF354" s="2" t="s">
        <v>1749</v>
      </c>
    </row>
    <row r="355" ht="15.75" customHeight="1">
      <c r="A355" s="1" t="s">
        <v>1750</v>
      </c>
      <c r="B355" s="1">
        <v>29.0</v>
      </c>
      <c r="C355" s="2" t="s">
        <v>1606</v>
      </c>
      <c r="D355" s="2" t="s">
        <v>1751</v>
      </c>
      <c r="E355" s="1">
        <v>1.022</v>
      </c>
      <c r="F355" s="1">
        <v>29077.0</v>
      </c>
      <c r="G355" s="1">
        <v>2.9077002402E10</v>
      </c>
      <c r="H355" s="1" t="s">
        <v>112</v>
      </c>
      <c r="I355" s="1" t="s">
        <v>113</v>
      </c>
      <c r="J355" s="1" t="s">
        <v>1607</v>
      </c>
      <c r="K355" s="1" t="s">
        <v>1752</v>
      </c>
      <c r="L355" s="1">
        <v>3978.0</v>
      </c>
      <c r="M355" s="1">
        <v>4238.0</v>
      </c>
      <c r="N355" s="1">
        <v>416.0</v>
      </c>
      <c r="O355" s="1">
        <v>1908.0</v>
      </c>
      <c r="P355" s="1">
        <v>1918.0</v>
      </c>
      <c r="Q355" s="1">
        <v>68.0</v>
      </c>
      <c r="R355" s="1">
        <v>1754.0</v>
      </c>
      <c r="S355" s="1">
        <v>278.0</v>
      </c>
      <c r="T355" s="1">
        <v>165.0</v>
      </c>
      <c r="U355" s="1">
        <v>125.0</v>
      </c>
      <c r="V355" s="1">
        <v>435.0</v>
      </c>
      <c r="W355" s="1">
        <v>19852.0</v>
      </c>
      <c r="X355" s="1">
        <v>1745.0</v>
      </c>
      <c r="Y355" s="1">
        <v>353.0</v>
      </c>
      <c r="Z355" s="1">
        <v>348.0</v>
      </c>
      <c r="AA355" s="1">
        <v>598.0</v>
      </c>
      <c r="AB355" s="1">
        <v>855.0</v>
      </c>
      <c r="AC355" s="1">
        <v>191.0</v>
      </c>
      <c r="AD355" s="1">
        <v>436.0</v>
      </c>
      <c r="AE355" s="1">
        <v>14.0</v>
      </c>
      <c r="AF355" s="1">
        <v>442.0</v>
      </c>
      <c r="AG355" s="1">
        <v>85.0</v>
      </c>
      <c r="AH355" s="1">
        <v>139.0</v>
      </c>
      <c r="AI355" s="1">
        <v>0.0</v>
      </c>
      <c r="AJ355" s="1">
        <v>114.0</v>
      </c>
      <c r="AK355" s="1">
        <v>0.0</v>
      </c>
      <c r="AL355" s="1">
        <v>161.0</v>
      </c>
      <c r="AM355" s="1">
        <v>53.0</v>
      </c>
      <c r="AN355" s="1">
        <v>45.0</v>
      </c>
      <c r="AO355" s="1">
        <v>0.0</v>
      </c>
      <c r="AP355" s="1">
        <v>0.068472</v>
      </c>
      <c r="AQ355" s="1">
        <v>0.040179</v>
      </c>
      <c r="AR355" s="1">
        <v>0.055456</v>
      </c>
      <c r="AS355" s="1">
        <v>0.19282</v>
      </c>
      <c r="AT355" s="1">
        <v>19852.0</v>
      </c>
      <c r="AU355" s="1">
        <v>1745.0</v>
      </c>
      <c r="AV355" s="1">
        <v>0.131422</v>
      </c>
      <c r="AW355" s="1">
        <v>0.129148</v>
      </c>
      <c r="AX355" s="1">
        <v>0.150326</v>
      </c>
      <c r="AY355" s="1">
        <v>0.214932</v>
      </c>
      <c r="AZ355" s="1">
        <v>0.10889395</v>
      </c>
      <c r="BA355" s="1">
        <v>0.109602</v>
      </c>
      <c r="BB355" s="1">
        <v>0.003586</v>
      </c>
      <c r="BC355" s="1">
        <v>0.113245</v>
      </c>
      <c r="BD355" s="1">
        <v>0.044316</v>
      </c>
      <c r="BE355" s="1">
        <v>0.072454</v>
      </c>
      <c r="BF355" s="1">
        <v>0.0</v>
      </c>
      <c r="BG355" s="1">
        <v>0.059436</v>
      </c>
      <c r="BH355" s="1">
        <v>0.0</v>
      </c>
      <c r="BI355" s="1">
        <v>0.094207</v>
      </c>
      <c r="BJ355" s="1">
        <v>0.031012</v>
      </c>
      <c r="BK355" s="1">
        <v>0.026213</v>
      </c>
      <c r="BL355" s="1">
        <v>0.0</v>
      </c>
      <c r="BM355" s="1">
        <v>0.241</v>
      </c>
      <c r="BN355" s="1">
        <v>0.353</v>
      </c>
      <c r="BO355" s="1">
        <v>0.6231</v>
      </c>
      <c r="BP355" s="1">
        <v>0.475</v>
      </c>
      <c r="BQ355" s="1">
        <v>1.6921</v>
      </c>
      <c r="BR355" s="1">
        <v>0.3993</v>
      </c>
      <c r="BS355" s="1">
        <v>0.58</v>
      </c>
      <c r="BT355" s="1">
        <v>0.266</v>
      </c>
      <c r="BU355" s="1">
        <v>0.575</v>
      </c>
      <c r="BV355" s="1">
        <v>1.421</v>
      </c>
      <c r="BW355" s="1">
        <v>0.408</v>
      </c>
      <c r="BX355" s="1">
        <v>0.502</v>
      </c>
      <c r="BY355" s="1">
        <v>0.489</v>
      </c>
      <c r="BZ355" s="1">
        <v>0.991</v>
      </c>
      <c r="CA355" s="1">
        <v>0.552</v>
      </c>
      <c r="CB355" s="1">
        <v>0.629</v>
      </c>
      <c r="CC355" s="1">
        <v>0.0</v>
      </c>
      <c r="CD355" s="1">
        <v>0.0</v>
      </c>
      <c r="CE355" s="1">
        <v>0.292</v>
      </c>
      <c r="CF355" s="1">
        <v>0.0</v>
      </c>
      <c r="CG355" s="1">
        <v>0.921</v>
      </c>
      <c r="CH355" s="1">
        <v>0.069</v>
      </c>
      <c r="CI355" s="1">
        <v>5.0251</v>
      </c>
      <c r="CJ355" s="1">
        <v>0.2065</v>
      </c>
      <c r="CK355" s="1">
        <v>0.0</v>
      </c>
      <c r="CL355" s="1">
        <v>0.0</v>
      </c>
      <c r="CM355" s="1">
        <v>0.0</v>
      </c>
      <c r="CN355" s="1">
        <v>0.0</v>
      </c>
      <c r="CO355" s="1">
        <v>0.0</v>
      </c>
      <c r="CP355" s="1">
        <v>0.0</v>
      </c>
      <c r="CQ355" s="1">
        <v>0.0</v>
      </c>
      <c r="CR355" s="1">
        <v>0.0</v>
      </c>
      <c r="CS355" s="1">
        <v>0.0</v>
      </c>
      <c r="CT355" s="1">
        <v>0.0</v>
      </c>
      <c r="CU355" s="1">
        <v>0.0</v>
      </c>
      <c r="CV355" s="1">
        <v>0.0</v>
      </c>
      <c r="CW355" s="1">
        <v>0.0</v>
      </c>
      <c r="CX355" s="1">
        <v>0.0</v>
      </c>
      <c r="CY355" s="1">
        <v>0.0</v>
      </c>
      <c r="CZ355" s="1">
        <v>0.0</v>
      </c>
      <c r="DA355" s="1">
        <v>0.0</v>
      </c>
      <c r="DB355" s="1">
        <v>0.0</v>
      </c>
      <c r="DC355" s="1">
        <v>0.0</v>
      </c>
      <c r="DD355" s="1" t="s">
        <v>1753</v>
      </c>
      <c r="DE355" s="1">
        <v>2.68776998955581E-4</v>
      </c>
      <c r="DF355" s="1">
        <v>0.0665107799650754</v>
      </c>
    </row>
    <row r="356" ht="15.75" customHeight="1">
      <c r="A356" s="1" t="s">
        <v>1754</v>
      </c>
      <c r="B356" s="1">
        <v>29.0</v>
      </c>
      <c r="C356" s="2" t="s">
        <v>1606</v>
      </c>
      <c r="D356" s="2" t="s">
        <v>1755</v>
      </c>
      <c r="E356" s="1">
        <v>1.565</v>
      </c>
      <c r="F356" s="1">
        <v>29077.0</v>
      </c>
      <c r="G356" s="1">
        <v>2.9077002502E10</v>
      </c>
      <c r="H356" s="1" t="s">
        <v>112</v>
      </c>
      <c r="I356" s="1" t="s">
        <v>113</v>
      </c>
      <c r="J356" s="1" t="s">
        <v>1607</v>
      </c>
      <c r="K356" s="1" t="s">
        <v>1756</v>
      </c>
      <c r="L356" s="1">
        <v>5104.0</v>
      </c>
      <c r="M356" s="1">
        <v>5501.0</v>
      </c>
      <c r="N356" s="1">
        <v>395.0</v>
      </c>
      <c r="O356" s="1">
        <v>2749.0</v>
      </c>
      <c r="P356" s="1">
        <v>2811.0</v>
      </c>
      <c r="Q356" s="1">
        <v>82.0</v>
      </c>
      <c r="R356" s="1">
        <v>2490.0</v>
      </c>
      <c r="S356" s="1">
        <v>1047.0</v>
      </c>
      <c r="T356" s="1">
        <v>393.0</v>
      </c>
      <c r="U356" s="1">
        <v>240.0</v>
      </c>
      <c r="V356" s="1">
        <v>416.0</v>
      </c>
      <c r="W356" s="1">
        <v>25172.0</v>
      </c>
      <c r="X356" s="1">
        <v>2613.0</v>
      </c>
      <c r="Y356" s="1">
        <v>295.0</v>
      </c>
      <c r="Z356" s="1">
        <v>305.0</v>
      </c>
      <c r="AA356" s="1">
        <v>923.0</v>
      </c>
      <c r="AB356" s="1">
        <v>993.0</v>
      </c>
      <c r="AC356" s="1">
        <v>260.0</v>
      </c>
      <c r="AD356" s="1">
        <v>635.0</v>
      </c>
      <c r="AE356" s="1">
        <v>15.0</v>
      </c>
      <c r="AF356" s="1">
        <v>442.0</v>
      </c>
      <c r="AG356" s="1">
        <v>982.0</v>
      </c>
      <c r="AH356" s="1">
        <v>240.0</v>
      </c>
      <c r="AI356" s="1">
        <v>0.0</v>
      </c>
      <c r="AJ356" s="1">
        <v>114.0</v>
      </c>
      <c r="AK356" s="1">
        <v>42.0</v>
      </c>
      <c r="AL356" s="1">
        <v>123.0</v>
      </c>
      <c r="AM356" s="1">
        <v>125.0</v>
      </c>
      <c r="AN356" s="1">
        <v>76.0</v>
      </c>
      <c r="AO356" s="1">
        <v>0.0</v>
      </c>
      <c r="AP356" s="1">
        <v>0.190329</v>
      </c>
      <c r="AQ356" s="1">
        <v>0.070122</v>
      </c>
      <c r="AR356" s="1">
        <v>0.078765</v>
      </c>
      <c r="AS356" s="1">
        <v>0.136143</v>
      </c>
      <c r="AT356" s="1">
        <v>25172.0</v>
      </c>
      <c r="AU356" s="1">
        <v>2613.0</v>
      </c>
      <c r="AV356" s="1">
        <v>0.079194</v>
      </c>
      <c r="AW356" s="1">
        <v>0.081695</v>
      </c>
      <c r="AX356" s="1">
        <v>0.180838</v>
      </c>
      <c r="AY356" s="1">
        <v>0.194553</v>
      </c>
      <c r="AZ356" s="1">
        <v>0.10441767</v>
      </c>
      <c r="BA356" s="1">
        <v>0.124412</v>
      </c>
      <c r="BB356" s="1">
        <v>0.002876</v>
      </c>
      <c r="BC356" s="1">
        <v>0.084771</v>
      </c>
      <c r="BD356" s="1">
        <v>0.349341</v>
      </c>
      <c r="BE356" s="1">
        <v>0.084768</v>
      </c>
      <c r="BF356" s="1">
        <v>0.0</v>
      </c>
      <c r="BG356" s="1">
        <v>0.040554</v>
      </c>
      <c r="BH356" s="1">
        <v>0.015156</v>
      </c>
      <c r="BI356" s="1">
        <v>0.044384</v>
      </c>
      <c r="BJ356" s="1">
        <v>0.04511</v>
      </c>
      <c r="BK356" s="1">
        <v>0.027369</v>
      </c>
      <c r="BL356" s="1">
        <v>0.0</v>
      </c>
      <c r="BM356" s="1">
        <v>0.705</v>
      </c>
      <c r="BN356" s="1">
        <v>0.6</v>
      </c>
      <c r="BO356" s="1">
        <v>0.3401</v>
      </c>
      <c r="BP356" s="1">
        <v>0.242</v>
      </c>
      <c r="BQ356" s="1">
        <v>1.8871</v>
      </c>
      <c r="BR356" s="1">
        <v>0.4599</v>
      </c>
      <c r="BS356" s="1">
        <v>0.794</v>
      </c>
      <c r="BT356" s="1">
        <v>0.166</v>
      </c>
      <c r="BU356" s="1">
        <v>0.535</v>
      </c>
      <c r="BV356" s="1">
        <v>1.495</v>
      </c>
      <c r="BW356" s="1">
        <v>0.482</v>
      </c>
      <c r="BX356" s="1">
        <v>0.546</v>
      </c>
      <c r="BY356" s="1">
        <v>0.443</v>
      </c>
      <c r="BZ356" s="1">
        <v>0.989</v>
      </c>
      <c r="CA356" s="1">
        <v>0.551</v>
      </c>
      <c r="CB356" s="1">
        <v>0.958</v>
      </c>
      <c r="CC356" s="1">
        <v>0.0</v>
      </c>
      <c r="CD356" s="1">
        <v>0.601</v>
      </c>
      <c r="CE356" s="1">
        <v>0.445</v>
      </c>
      <c r="CF356" s="1">
        <v>0.0</v>
      </c>
      <c r="CG356" s="1">
        <v>2.004</v>
      </c>
      <c r="CH356" s="1">
        <v>0.35</v>
      </c>
      <c r="CI356" s="1">
        <v>6.3751</v>
      </c>
      <c r="CJ356" s="1">
        <v>0.4412</v>
      </c>
      <c r="CK356" s="1">
        <v>0.0</v>
      </c>
      <c r="CL356" s="1">
        <v>0.0</v>
      </c>
      <c r="CM356" s="1">
        <v>0.0</v>
      </c>
      <c r="CN356" s="1">
        <v>0.0</v>
      </c>
      <c r="CO356" s="1">
        <v>0.0</v>
      </c>
      <c r="CP356" s="1">
        <v>0.0</v>
      </c>
      <c r="CQ356" s="1">
        <v>0.0</v>
      </c>
      <c r="CR356" s="1">
        <v>0.0</v>
      </c>
      <c r="CS356" s="1">
        <v>0.0</v>
      </c>
      <c r="CT356" s="1">
        <v>0.0</v>
      </c>
      <c r="CU356" s="1">
        <v>0.0</v>
      </c>
      <c r="CV356" s="1">
        <v>0.0</v>
      </c>
      <c r="CW356" s="1">
        <v>1.0</v>
      </c>
      <c r="CX356" s="1">
        <v>0.0</v>
      </c>
      <c r="CY356" s="1">
        <v>0.0</v>
      </c>
      <c r="CZ356" s="1">
        <v>0.0</v>
      </c>
      <c r="DA356" s="1">
        <v>0.0</v>
      </c>
      <c r="DB356" s="1">
        <v>1.0</v>
      </c>
      <c r="DC356" s="1">
        <v>1.0</v>
      </c>
      <c r="DD356" s="1" t="s">
        <v>1757</v>
      </c>
      <c r="DE356" s="1">
        <v>4.18576365190681E-4</v>
      </c>
      <c r="DF356" s="1">
        <v>0.0807516699434158</v>
      </c>
    </row>
    <row r="357" ht="15.75" customHeight="1">
      <c r="A357" s="1" t="s">
        <v>1758</v>
      </c>
      <c r="B357" s="1">
        <v>29.0</v>
      </c>
      <c r="C357" s="2" t="s">
        <v>1606</v>
      </c>
      <c r="D357" s="2" t="s">
        <v>1759</v>
      </c>
      <c r="E357" s="1">
        <v>2.144</v>
      </c>
      <c r="F357" s="1">
        <v>29077.0</v>
      </c>
      <c r="G357" s="1">
        <v>2.90770026E10</v>
      </c>
      <c r="H357" s="1" t="s">
        <v>112</v>
      </c>
      <c r="I357" s="1" t="s">
        <v>113</v>
      </c>
      <c r="J357" s="1" t="s">
        <v>1607</v>
      </c>
      <c r="K357" s="1" t="s">
        <v>1760</v>
      </c>
      <c r="L357" s="1">
        <v>4804.0</v>
      </c>
      <c r="M357" s="1">
        <v>4783.0</v>
      </c>
      <c r="N357" s="1">
        <v>241.0</v>
      </c>
      <c r="O357" s="1">
        <v>2306.0</v>
      </c>
      <c r="P357" s="1">
        <v>2324.0</v>
      </c>
      <c r="Q357" s="1">
        <v>71.0</v>
      </c>
      <c r="R357" s="1">
        <v>2146.0</v>
      </c>
      <c r="S357" s="1">
        <v>309.0</v>
      </c>
      <c r="T357" s="1">
        <v>170.0</v>
      </c>
      <c r="U357" s="1">
        <v>58.0</v>
      </c>
      <c r="V357" s="1">
        <v>473.0</v>
      </c>
      <c r="W357" s="1">
        <v>35417.0</v>
      </c>
      <c r="X357" s="1">
        <v>3794.0</v>
      </c>
      <c r="Y357" s="1">
        <v>134.0</v>
      </c>
      <c r="Z357" s="1">
        <v>402.0</v>
      </c>
      <c r="AA357" s="1">
        <v>1240.0</v>
      </c>
      <c r="AB357" s="1">
        <v>925.0</v>
      </c>
      <c r="AC357" s="1">
        <v>143.0</v>
      </c>
      <c r="AD357" s="1">
        <v>343.0</v>
      </c>
      <c r="AE357" s="1">
        <v>18.0</v>
      </c>
      <c r="AF357" s="1">
        <v>442.0</v>
      </c>
      <c r="AG357" s="1">
        <v>115.0</v>
      </c>
      <c r="AH357" s="1">
        <v>184.0</v>
      </c>
      <c r="AI357" s="1">
        <v>0.0</v>
      </c>
      <c r="AJ357" s="1">
        <v>114.0</v>
      </c>
      <c r="AK357" s="1">
        <v>0.0</v>
      </c>
      <c r="AL357" s="1">
        <v>161.0</v>
      </c>
      <c r="AM357" s="1">
        <v>11.0</v>
      </c>
      <c r="AN357" s="1">
        <v>115.0</v>
      </c>
      <c r="AO357" s="1">
        <v>0.0</v>
      </c>
      <c r="AP357" s="1">
        <v>0.064603</v>
      </c>
      <c r="AQ357" s="1">
        <v>0.035393</v>
      </c>
      <c r="AR357" s="1">
        <v>0.026303</v>
      </c>
      <c r="AS357" s="1">
        <v>0.21448</v>
      </c>
      <c r="AT357" s="1">
        <v>35417.0</v>
      </c>
      <c r="AU357" s="1">
        <v>3794.0</v>
      </c>
      <c r="AV357" s="1">
        <v>0.036996</v>
      </c>
      <c r="AW357" s="1">
        <v>0.110972</v>
      </c>
      <c r="AX357" s="1">
        <v>0.258118</v>
      </c>
      <c r="AY357" s="1">
        <v>0.192547</v>
      </c>
      <c r="AZ357" s="1">
        <v>0.0666356</v>
      </c>
      <c r="BA357" s="1">
        <v>0.071398</v>
      </c>
      <c r="BB357" s="1">
        <v>0.004065</v>
      </c>
      <c r="BC357" s="1">
        <v>0.099841</v>
      </c>
      <c r="BD357" s="1">
        <v>0.049483</v>
      </c>
      <c r="BE357" s="1">
        <v>0.079159</v>
      </c>
      <c r="BF357" s="1">
        <v>0.0</v>
      </c>
      <c r="BG357" s="1">
        <v>0.049053</v>
      </c>
      <c r="BH357" s="1">
        <v>0.0</v>
      </c>
      <c r="BI357" s="1">
        <v>0.074227</v>
      </c>
      <c r="BJ357" s="1">
        <v>0.005071</v>
      </c>
      <c r="BK357" s="1">
        <v>0.053019</v>
      </c>
      <c r="BL357" s="1">
        <v>0.0</v>
      </c>
      <c r="BM357" s="1">
        <v>0.223</v>
      </c>
      <c r="BN357" s="1">
        <v>0.06</v>
      </c>
      <c r="BO357" s="1">
        <v>0.1119</v>
      </c>
      <c r="BP357" s="1">
        <v>0.087</v>
      </c>
      <c r="BQ357" s="1">
        <v>0.4819</v>
      </c>
      <c r="BR357" s="1">
        <v>0.0614</v>
      </c>
      <c r="BS357" s="1">
        <v>0.972</v>
      </c>
      <c r="BT357" s="1">
        <v>0.16</v>
      </c>
      <c r="BU357" s="1">
        <v>0.186</v>
      </c>
      <c r="BV357" s="1">
        <v>1.318</v>
      </c>
      <c r="BW357" s="1">
        <v>0.317</v>
      </c>
      <c r="BX357" s="1">
        <v>0.368</v>
      </c>
      <c r="BY357" s="1">
        <v>0.518</v>
      </c>
      <c r="BZ357" s="1">
        <v>0.886</v>
      </c>
      <c r="CA357" s="1">
        <v>0.458</v>
      </c>
      <c r="CB357" s="1">
        <v>0.655</v>
      </c>
      <c r="CC357" s="1">
        <v>0.0</v>
      </c>
      <c r="CD357" s="1">
        <v>0.0</v>
      </c>
      <c r="CE357" s="1">
        <v>0.051</v>
      </c>
      <c r="CF357" s="1">
        <v>0.0</v>
      </c>
      <c r="CG357" s="1">
        <v>0.706</v>
      </c>
      <c r="CH357" s="1">
        <v>0.047</v>
      </c>
      <c r="CI357" s="1">
        <v>3.3919</v>
      </c>
      <c r="CJ357" s="1">
        <v>0.0354</v>
      </c>
      <c r="CK357" s="1">
        <v>0.0</v>
      </c>
      <c r="CL357" s="1">
        <v>0.0</v>
      </c>
      <c r="CM357" s="1">
        <v>0.0</v>
      </c>
      <c r="CN357" s="1">
        <v>0.0</v>
      </c>
      <c r="CO357" s="1">
        <v>0.0</v>
      </c>
      <c r="CP357" s="1">
        <v>1.0</v>
      </c>
      <c r="CQ357" s="1">
        <v>0.0</v>
      </c>
      <c r="CR357" s="1">
        <v>0.0</v>
      </c>
      <c r="CS357" s="1">
        <v>1.0</v>
      </c>
      <c r="CT357" s="1">
        <v>0.0</v>
      </c>
      <c r="CU357" s="1">
        <v>0.0</v>
      </c>
      <c r="CV357" s="1">
        <v>0.0</v>
      </c>
      <c r="CW357" s="1">
        <v>0.0</v>
      </c>
      <c r="CX357" s="1">
        <v>0.0</v>
      </c>
      <c r="CY357" s="1">
        <v>0.0</v>
      </c>
      <c r="CZ357" s="1">
        <v>0.0</v>
      </c>
      <c r="DA357" s="1">
        <v>0.0</v>
      </c>
      <c r="DB357" s="1">
        <v>0.0</v>
      </c>
      <c r="DC357" s="1">
        <v>1.0</v>
      </c>
      <c r="DD357" s="1" t="s">
        <v>1761</v>
      </c>
      <c r="DE357" s="1">
        <v>5.60356086799956E-4</v>
      </c>
      <c r="DF357" s="2" t="s">
        <v>1762</v>
      </c>
    </row>
    <row r="358" ht="15.75" customHeight="1">
      <c r="A358" s="1" t="s">
        <v>1763</v>
      </c>
      <c r="B358" s="1">
        <v>29.0</v>
      </c>
      <c r="C358" s="2" t="s">
        <v>1606</v>
      </c>
      <c r="D358" s="2" t="s">
        <v>569</v>
      </c>
      <c r="E358" s="1">
        <v>0.945</v>
      </c>
      <c r="F358" s="1">
        <v>29077.0</v>
      </c>
      <c r="G358" s="1">
        <v>2.90770028E10</v>
      </c>
      <c r="H358" s="1" t="s">
        <v>112</v>
      </c>
      <c r="I358" s="1" t="s">
        <v>113</v>
      </c>
      <c r="J358" s="1" t="s">
        <v>1607</v>
      </c>
      <c r="K358" s="1" t="s">
        <v>1764</v>
      </c>
      <c r="L358" s="1">
        <v>1699.0</v>
      </c>
      <c r="M358" s="1">
        <v>1834.0</v>
      </c>
      <c r="N358" s="1">
        <v>213.0</v>
      </c>
      <c r="O358" s="1">
        <v>827.0</v>
      </c>
      <c r="P358" s="1">
        <v>817.0</v>
      </c>
      <c r="Q358" s="1">
        <v>36.0</v>
      </c>
      <c r="R358" s="1">
        <v>789.0</v>
      </c>
      <c r="S358" s="1">
        <v>57.0</v>
      </c>
      <c r="T358" s="1">
        <v>49.0</v>
      </c>
      <c r="U358" s="1">
        <v>24.0</v>
      </c>
      <c r="V358" s="1">
        <v>484.0</v>
      </c>
      <c r="W358" s="1">
        <v>29707.0</v>
      </c>
      <c r="X358" s="1">
        <v>5213.0</v>
      </c>
      <c r="Y358" s="1">
        <v>175.0</v>
      </c>
      <c r="Z358" s="1">
        <v>370.0</v>
      </c>
      <c r="AA358" s="1">
        <v>557.0</v>
      </c>
      <c r="AB358" s="1">
        <v>246.0</v>
      </c>
      <c r="AC358" s="1">
        <v>63.0</v>
      </c>
      <c r="AD358" s="1">
        <v>169.0</v>
      </c>
      <c r="AE358" s="1">
        <v>30.0</v>
      </c>
      <c r="AF358" s="1">
        <v>444.0</v>
      </c>
      <c r="AG358" s="1">
        <v>27.0</v>
      </c>
      <c r="AH358" s="1">
        <v>118.0</v>
      </c>
      <c r="AI358" s="1">
        <v>0.0</v>
      </c>
      <c r="AJ358" s="1">
        <v>114.0</v>
      </c>
      <c r="AK358" s="1">
        <v>0.0</v>
      </c>
      <c r="AL358" s="1">
        <v>161.0</v>
      </c>
      <c r="AM358" s="1">
        <v>15.0</v>
      </c>
      <c r="AN358" s="1">
        <v>116.0</v>
      </c>
      <c r="AO358" s="1">
        <v>107.0</v>
      </c>
      <c r="AP358" s="1">
        <v>0.03442</v>
      </c>
      <c r="AQ358" s="1">
        <v>0.029426</v>
      </c>
      <c r="AR358" s="1">
        <v>0.02909</v>
      </c>
      <c r="AS358" s="1">
        <v>0.586592</v>
      </c>
      <c r="AT358" s="1">
        <v>29707.0</v>
      </c>
      <c r="AU358" s="1">
        <v>5213.0</v>
      </c>
      <c r="AV358" s="1">
        <v>0.116356</v>
      </c>
      <c r="AW358" s="1">
        <v>0.245478</v>
      </c>
      <c r="AX358" s="1">
        <v>0.327839</v>
      </c>
      <c r="AY358" s="1">
        <v>0.144791</v>
      </c>
      <c r="AZ358" s="1">
        <v>0.0798479</v>
      </c>
      <c r="BA358" s="1">
        <v>0.09947</v>
      </c>
      <c r="BB358" s="1">
        <v>0.016891</v>
      </c>
      <c r="BC358" s="1">
        <v>0.249992</v>
      </c>
      <c r="BD358" s="1">
        <v>0.033047</v>
      </c>
      <c r="BE358" s="1">
        <v>0.144423</v>
      </c>
      <c r="BF358" s="1">
        <v>0.0</v>
      </c>
      <c r="BG358" s="1">
        <v>0.139534</v>
      </c>
      <c r="BH358" s="1">
        <v>0.0</v>
      </c>
      <c r="BI358" s="1">
        <v>0.208549</v>
      </c>
      <c r="BJ358" s="1">
        <v>0.01943</v>
      </c>
      <c r="BK358" s="1">
        <v>0.150249</v>
      </c>
      <c r="BL358" s="1">
        <v>0.062978</v>
      </c>
      <c r="BM358" s="1">
        <v>0.102</v>
      </c>
      <c r="BN358" s="1">
        <v>0.082</v>
      </c>
      <c r="BO358" s="1">
        <v>0.2029</v>
      </c>
      <c r="BP358" s="1">
        <v>0.409</v>
      </c>
      <c r="BQ358" s="1">
        <v>0.7959</v>
      </c>
      <c r="BR358" s="1">
        <v>0.1552</v>
      </c>
      <c r="BS358" s="1">
        <v>0.992</v>
      </c>
      <c r="BT358" s="1">
        <v>0.058</v>
      </c>
      <c r="BU358" s="1">
        <v>0.302</v>
      </c>
      <c r="BV358" s="1">
        <v>1.352</v>
      </c>
      <c r="BW358" s="1">
        <v>0.346</v>
      </c>
      <c r="BX358" s="1">
        <v>0.467</v>
      </c>
      <c r="BY358" s="1">
        <v>0.837</v>
      </c>
      <c r="BZ358" s="1">
        <v>1.304</v>
      </c>
      <c r="CA358" s="1">
        <v>0.715</v>
      </c>
      <c r="CB358" s="1">
        <v>0.566</v>
      </c>
      <c r="CC358" s="1">
        <v>0.0</v>
      </c>
      <c r="CD358" s="1">
        <v>0.0</v>
      </c>
      <c r="CE358" s="1">
        <v>0.177</v>
      </c>
      <c r="CF358" s="1">
        <v>0.915</v>
      </c>
      <c r="CG358" s="1">
        <v>1.658</v>
      </c>
      <c r="CH358" s="1">
        <v>0.22</v>
      </c>
      <c r="CI358" s="1">
        <v>5.1099</v>
      </c>
      <c r="CJ358" s="1">
        <v>0.2181</v>
      </c>
      <c r="CK358" s="1">
        <v>0.0</v>
      </c>
      <c r="CL358" s="1">
        <v>0.0</v>
      </c>
      <c r="CM358" s="1">
        <v>0.0</v>
      </c>
      <c r="CN358" s="1">
        <v>0.0</v>
      </c>
      <c r="CO358" s="1">
        <v>0.0</v>
      </c>
      <c r="CP358" s="1">
        <v>1.0</v>
      </c>
      <c r="CQ358" s="1">
        <v>0.0</v>
      </c>
      <c r="CR358" s="1">
        <v>0.0</v>
      </c>
      <c r="CS358" s="1">
        <v>1.0</v>
      </c>
      <c r="CT358" s="1">
        <v>0.0</v>
      </c>
      <c r="CU358" s="1">
        <v>0.0</v>
      </c>
      <c r="CV358" s="1">
        <v>0.0</v>
      </c>
      <c r="CW358" s="1">
        <v>0.0</v>
      </c>
      <c r="CX358" s="1">
        <v>0.0</v>
      </c>
      <c r="CY358" s="1">
        <v>0.0</v>
      </c>
      <c r="CZ358" s="1">
        <v>0.0</v>
      </c>
      <c r="DA358" s="1">
        <v>1.0</v>
      </c>
      <c r="DB358" s="1">
        <v>1.0</v>
      </c>
      <c r="DC358" s="1">
        <v>2.0</v>
      </c>
      <c r="DD358" s="1" t="s">
        <v>1765</v>
      </c>
      <c r="DE358" s="1">
        <v>2.48452627740277E-4</v>
      </c>
      <c r="DF358" s="1">
        <v>0.0646228039917681</v>
      </c>
    </row>
    <row r="359" ht="15.75" customHeight="1">
      <c r="A359" s="1" t="s">
        <v>1766</v>
      </c>
      <c r="B359" s="1">
        <v>29.0</v>
      </c>
      <c r="C359" s="2" t="s">
        <v>1606</v>
      </c>
      <c r="D359" s="2" t="s">
        <v>495</v>
      </c>
      <c r="E359" s="1">
        <v>1.367</v>
      </c>
      <c r="F359" s="1">
        <v>29077.0</v>
      </c>
      <c r="G359" s="1">
        <v>2.90770029E10</v>
      </c>
      <c r="H359" s="1" t="s">
        <v>112</v>
      </c>
      <c r="I359" s="1" t="s">
        <v>113</v>
      </c>
      <c r="J359" s="1" t="s">
        <v>1607</v>
      </c>
      <c r="K359" s="1" t="s">
        <v>1767</v>
      </c>
      <c r="L359" s="1">
        <v>4080.0</v>
      </c>
      <c r="M359" s="1">
        <v>4103.0</v>
      </c>
      <c r="N359" s="1">
        <v>244.0</v>
      </c>
      <c r="O359" s="1">
        <v>1959.0</v>
      </c>
      <c r="P359" s="1">
        <v>1967.0</v>
      </c>
      <c r="Q359" s="1">
        <v>67.0</v>
      </c>
      <c r="R359" s="1">
        <v>1860.0</v>
      </c>
      <c r="S359" s="1">
        <v>253.0</v>
      </c>
      <c r="T359" s="1">
        <v>95.0</v>
      </c>
      <c r="U359" s="1">
        <v>120.0</v>
      </c>
      <c r="V359" s="1">
        <v>447.0</v>
      </c>
      <c r="W359" s="1">
        <v>25248.0</v>
      </c>
      <c r="X359" s="1">
        <v>2026.0</v>
      </c>
      <c r="Y359" s="1">
        <v>207.0</v>
      </c>
      <c r="Z359" s="1">
        <v>270.0</v>
      </c>
      <c r="AA359" s="1">
        <v>960.0</v>
      </c>
      <c r="AB359" s="1">
        <v>743.0</v>
      </c>
      <c r="AC359" s="1">
        <v>145.0</v>
      </c>
      <c r="AD359" s="1">
        <v>347.0</v>
      </c>
      <c r="AE359" s="1">
        <v>34.0</v>
      </c>
      <c r="AF359" s="1">
        <v>445.0</v>
      </c>
      <c r="AG359" s="1">
        <v>55.0</v>
      </c>
      <c r="AH359" s="1">
        <v>125.0</v>
      </c>
      <c r="AI359" s="1">
        <v>16.0</v>
      </c>
      <c r="AJ359" s="1">
        <v>25.0</v>
      </c>
      <c r="AK359" s="1">
        <v>0.0</v>
      </c>
      <c r="AL359" s="1">
        <v>161.0</v>
      </c>
      <c r="AM359" s="1">
        <v>133.0</v>
      </c>
      <c r="AN359" s="1">
        <v>76.0</v>
      </c>
      <c r="AO359" s="1">
        <v>0.0</v>
      </c>
      <c r="AP359" s="1">
        <v>0.061662</v>
      </c>
      <c r="AQ359" s="1">
        <v>0.022861</v>
      </c>
      <c r="AR359" s="1">
        <v>0.055274</v>
      </c>
      <c r="AS359" s="1">
        <v>0.205795</v>
      </c>
      <c r="AT359" s="1">
        <v>25248.0</v>
      </c>
      <c r="AU359" s="1">
        <v>2026.0</v>
      </c>
      <c r="AV359" s="1">
        <v>0.07175</v>
      </c>
      <c r="AW359" s="1">
        <v>0.093525</v>
      </c>
      <c r="AX359" s="1">
        <v>0.235294</v>
      </c>
      <c r="AY359" s="1">
        <v>0.182107</v>
      </c>
      <c r="AZ359" s="1">
        <v>0.07795698</v>
      </c>
      <c r="BA359" s="1">
        <v>0.085049</v>
      </c>
      <c r="BB359" s="1">
        <v>0.008562</v>
      </c>
      <c r="BC359" s="1">
        <v>0.112061</v>
      </c>
      <c r="BD359" s="1">
        <v>0.027961</v>
      </c>
      <c r="BE359" s="1">
        <v>0.063541</v>
      </c>
      <c r="BF359" s="1">
        <v>0.008134</v>
      </c>
      <c r="BG359" s="1">
        <v>0.012706</v>
      </c>
      <c r="BH359" s="1">
        <v>0.0</v>
      </c>
      <c r="BI359" s="1">
        <v>0.084603</v>
      </c>
      <c r="BJ359" s="1">
        <v>0.069889</v>
      </c>
      <c r="BK359" s="1">
        <v>0.039805</v>
      </c>
      <c r="BL359" s="1">
        <v>0.0</v>
      </c>
      <c r="BM359" s="1">
        <v>0.211</v>
      </c>
      <c r="BN359" s="1">
        <v>0.349</v>
      </c>
      <c r="BO359" s="1">
        <v>0.3357</v>
      </c>
      <c r="BP359" s="1">
        <v>0.208</v>
      </c>
      <c r="BQ359" s="1">
        <v>1.1037</v>
      </c>
      <c r="BR359" s="1">
        <v>0.2282</v>
      </c>
      <c r="BS359" s="1">
        <v>0.958</v>
      </c>
      <c r="BT359" s="1">
        <v>0.125</v>
      </c>
      <c r="BU359" s="1">
        <v>0.283</v>
      </c>
      <c r="BV359" s="1">
        <v>1.366</v>
      </c>
      <c r="BW359" s="1">
        <v>0.36</v>
      </c>
      <c r="BX359" s="1">
        <v>0.412</v>
      </c>
      <c r="BY359" s="1">
        <v>0.682</v>
      </c>
      <c r="BZ359" s="1">
        <v>1.094</v>
      </c>
      <c r="CA359" s="1">
        <v>0.611</v>
      </c>
      <c r="CB359" s="1">
        <v>0.535</v>
      </c>
      <c r="CC359" s="1">
        <v>0.438</v>
      </c>
      <c r="CD359" s="1">
        <v>0.0</v>
      </c>
      <c r="CE359" s="1">
        <v>0.625</v>
      </c>
      <c r="CF359" s="1">
        <v>0.0</v>
      </c>
      <c r="CG359" s="1">
        <v>1.598</v>
      </c>
      <c r="CH359" s="1">
        <v>0.198</v>
      </c>
      <c r="CI359" s="1">
        <v>5.1617</v>
      </c>
      <c r="CJ359" s="1">
        <v>0.226</v>
      </c>
      <c r="CK359" s="1">
        <v>0.0</v>
      </c>
      <c r="CL359" s="1">
        <v>0.0</v>
      </c>
      <c r="CM359" s="1">
        <v>0.0</v>
      </c>
      <c r="CN359" s="1">
        <v>0.0</v>
      </c>
      <c r="CO359" s="1">
        <v>0.0</v>
      </c>
      <c r="CP359" s="1">
        <v>1.0</v>
      </c>
      <c r="CQ359" s="1">
        <v>0.0</v>
      </c>
      <c r="CR359" s="1">
        <v>0.0</v>
      </c>
      <c r="CS359" s="1">
        <v>1.0</v>
      </c>
      <c r="CT359" s="1">
        <v>0.0</v>
      </c>
      <c r="CU359" s="1">
        <v>0.0</v>
      </c>
      <c r="CV359" s="1">
        <v>0.0</v>
      </c>
      <c r="CW359" s="1">
        <v>0.0</v>
      </c>
      <c r="CX359" s="1">
        <v>0.0</v>
      </c>
      <c r="CY359" s="1">
        <v>0.0</v>
      </c>
      <c r="CZ359" s="1">
        <v>0.0</v>
      </c>
      <c r="DA359" s="1">
        <v>0.0</v>
      </c>
      <c r="DB359" s="1">
        <v>0.0</v>
      </c>
      <c r="DC359" s="1">
        <v>1.0</v>
      </c>
      <c r="DD359" s="1" t="s">
        <v>1768</v>
      </c>
      <c r="DE359" s="1">
        <v>3.5837034164835E-4</v>
      </c>
      <c r="DF359" s="1">
        <v>0.0758049319472938</v>
      </c>
    </row>
    <row r="360" ht="15.75" customHeight="1">
      <c r="A360" s="1" t="s">
        <v>1769</v>
      </c>
      <c r="B360" s="1">
        <v>29.0</v>
      </c>
      <c r="C360" s="2" t="s">
        <v>1606</v>
      </c>
      <c r="D360" s="2" t="s">
        <v>1770</v>
      </c>
      <c r="E360" s="1">
        <v>4.968</v>
      </c>
      <c r="F360" s="1">
        <v>29077.0</v>
      </c>
      <c r="G360" s="1">
        <v>2.9077004003E10</v>
      </c>
      <c r="H360" s="1" t="s">
        <v>112</v>
      </c>
      <c r="I360" s="1" t="s">
        <v>113</v>
      </c>
      <c r="J360" s="1" t="s">
        <v>1607</v>
      </c>
      <c r="K360" s="1" t="s">
        <v>1771</v>
      </c>
      <c r="L360" s="1">
        <v>4711.0</v>
      </c>
      <c r="M360" s="1">
        <v>4265.0</v>
      </c>
      <c r="N360" s="1">
        <v>350.0</v>
      </c>
      <c r="O360" s="1">
        <v>1927.0</v>
      </c>
      <c r="P360" s="1">
        <v>1797.0</v>
      </c>
      <c r="Q360" s="1">
        <v>79.0</v>
      </c>
      <c r="R360" s="1">
        <v>1837.0</v>
      </c>
      <c r="S360" s="1">
        <v>218.0</v>
      </c>
      <c r="T360" s="1">
        <v>147.0</v>
      </c>
      <c r="U360" s="1">
        <v>82.0</v>
      </c>
      <c r="V360" s="1">
        <v>413.0</v>
      </c>
      <c r="W360" s="1">
        <v>32497.0</v>
      </c>
      <c r="X360" s="1">
        <v>2694.0</v>
      </c>
      <c r="Y360" s="1">
        <v>92.0</v>
      </c>
      <c r="Z360" s="1">
        <v>381.0</v>
      </c>
      <c r="AA360" s="1">
        <v>684.0</v>
      </c>
      <c r="AB360" s="1">
        <v>1091.0</v>
      </c>
      <c r="AC360" s="1">
        <v>119.0</v>
      </c>
      <c r="AD360" s="1">
        <v>327.0</v>
      </c>
      <c r="AE360" s="1">
        <v>20.0</v>
      </c>
      <c r="AF360" s="1">
        <v>427.0</v>
      </c>
      <c r="AG360" s="1">
        <v>84.0</v>
      </c>
      <c r="AH360" s="1">
        <v>72.0</v>
      </c>
      <c r="AI360" s="1">
        <v>0.0</v>
      </c>
      <c r="AJ360" s="1">
        <v>114.0</v>
      </c>
      <c r="AK360" s="1">
        <v>0.0</v>
      </c>
      <c r="AL360" s="1">
        <v>161.0</v>
      </c>
      <c r="AM360" s="1">
        <v>42.0</v>
      </c>
      <c r="AN360" s="1">
        <v>34.0</v>
      </c>
      <c r="AO360" s="1">
        <v>0.0</v>
      </c>
      <c r="AP360" s="1">
        <v>0.051113</v>
      </c>
      <c r="AQ360" s="1">
        <v>0.03421</v>
      </c>
      <c r="AR360" s="1">
        <v>0.035917</v>
      </c>
      <c r="AS360" s="1">
        <v>0.180863</v>
      </c>
      <c r="AT360" s="1">
        <v>32497.0</v>
      </c>
      <c r="AU360" s="1">
        <v>2694.0</v>
      </c>
      <c r="AV360" s="1">
        <v>0.029706</v>
      </c>
      <c r="AW360" s="1">
        <v>0.123008</v>
      </c>
      <c r="AX360" s="1">
        <v>0.145192</v>
      </c>
      <c r="AY360" s="1">
        <v>0.231585</v>
      </c>
      <c r="AZ360" s="1">
        <v>0.06477953</v>
      </c>
      <c r="BA360" s="1">
        <v>0.069412</v>
      </c>
      <c r="BB360" s="1">
        <v>0.004923</v>
      </c>
      <c r="BC360" s="1">
        <v>0.105119</v>
      </c>
      <c r="BD360" s="1">
        <v>0.046744</v>
      </c>
      <c r="BE360" s="1">
        <v>0.040014</v>
      </c>
      <c r="BF360" s="1">
        <v>0.0</v>
      </c>
      <c r="BG360" s="1">
        <v>0.063439</v>
      </c>
      <c r="BH360" s="1">
        <v>0.0</v>
      </c>
      <c r="BI360" s="1">
        <v>0.094428</v>
      </c>
      <c r="BJ360" s="1">
        <v>0.024633</v>
      </c>
      <c r="BK360" s="1">
        <v>0.019888</v>
      </c>
      <c r="BL360" s="1">
        <v>0.0</v>
      </c>
      <c r="BM360" s="1">
        <v>0.171</v>
      </c>
      <c r="BN360" s="1">
        <v>0.144</v>
      </c>
      <c r="BO360" s="1">
        <v>0.1487</v>
      </c>
      <c r="BP360" s="1">
        <v>0.062</v>
      </c>
      <c r="BQ360" s="1">
        <v>0.5257</v>
      </c>
      <c r="BR360" s="1">
        <v>0.0744</v>
      </c>
      <c r="BS360" s="1">
        <v>0.541</v>
      </c>
      <c r="BT360" s="1">
        <v>0.405</v>
      </c>
      <c r="BU360" s="1">
        <v>0.171</v>
      </c>
      <c r="BV360" s="1">
        <v>1.117</v>
      </c>
      <c r="BW360" s="1">
        <v>0.179</v>
      </c>
      <c r="BX360" s="1">
        <v>0.36</v>
      </c>
      <c r="BY360" s="1">
        <v>0.558</v>
      </c>
      <c r="BZ360" s="1">
        <v>0.918</v>
      </c>
      <c r="CA360" s="1">
        <v>0.482</v>
      </c>
      <c r="CB360" s="1">
        <v>0.643</v>
      </c>
      <c r="CC360" s="1">
        <v>0.0</v>
      </c>
      <c r="CD360" s="1">
        <v>0.0</v>
      </c>
      <c r="CE360" s="1">
        <v>0.233</v>
      </c>
      <c r="CF360" s="1">
        <v>0.0</v>
      </c>
      <c r="CG360" s="1">
        <v>0.876</v>
      </c>
      <c r="CH360" s="1">
        <v>0.061</v>
      </c>
      <c r="CI360" s="1">
        <v>3.4367</v>
      </c>
      <c r="CJ360" s="1">
        <v>0.0419</v>
      </c>
      <c r="CK360" s="1">
        <v>0.0</v>
      </c>
      <c r="CL360" s="1">
        <v>0.0</v>
      </c>
      <c r="CM360" s="1">
        <v>0.0</v>
      </c>
      <c r="CN360" s="1">
        <v>0.0</v>
      </c>
      <c r="CO360" s="1">
        <v>0.0</v>
      </c>
      <c r="CP360" s="1">
        <v>0.0</v>
      </c>
      <c r="CQ360" s="1">
        <v>0.0</v>
      </c>
      <c r="CR360" s="1">
        <v>0.0</v>
      </c>
      <c r="CS360" s="1">
        <v>0.0</v>
      </c>
      <c r="CT360" s="1">
        <v>0.0</v>
      </c>
      <c r="CU360" s="1">
        <v>0.0</v>
      </c>
      <c r="CV360" s="1">
        <v>0.0</v>
      </c>
      <c r="CW360" s="1">
        <v>0.0</v>
      </c>
      <c r="CX360" s="1">
        <v>0.0</v>
      </c>
      <c r="CY360" s="1">
        <v>0.0</v>
      </c>
      <c r="CZ360" s="1">
        <v>0.0</v>
      </c>
      <c r="DA360" s="1">
        <v>0.0</v>
      </c>
      <c r="DB360" s="1">
        <v>0.0</v>
      </c>
      <c r="DC360" s="1">
        <v>0.0</v>
      </c>
      <c r="DD360" s="1" t="s">
        <v>1772</v>
      </c>
      <c r="DE360" s="1">
        <v>0.00131460268836729</v>
      </c>
      <c r="DF360" s="2" t="s">
        <v>1773</v>
      </c>
    </row>
    <row r="361" ht="15.75" customHeight="1">
      <c r="A361" s="1" t="s">
        <v>1774</v>
      </c>
      <c r="B361" s="1">
        <v>29.0</v>
      </c>
      <c r="C361" s="2" t="s">
        <v>1606</v>
      </c>
      <c r="D361" s="2" t="s">
        <v>1775</v>
      </c>
      <c r="E361" s="1">
        <v>5.321</v>
      </c>
      <c r="F361" s="1">
        <v>29077.0</v>
      </c>
      <c r="G361" s="1">
        <v>2.9077004102E10</v>
      </c>
      <c r="H361" s="1" t="s">
        <v>112</v>
      </c>
      <c r="I361" s="1" t="s">
        <v>113</v>
      </c>
      <c r="J361" s="1" t="s">
        <v>1607</v>
      </c>
      <c r="K361" s="1" t="s">
        <v>1776</v>
      </c>
      <c r="L361" s="1">
        <v>7084.0</v>
      </c>
      <c r="M361" s="1">
        <v>6858.0</v>
      </c>
      <c r="N361" s="1">
        <v>452.0</v>
      </c>
      <c r="O361" s="1">
        <v>2979.0</v>
      </c>
      <c r="P361" s="1">
        <v>2748.0</v>
      </c>
      <c r="Q361" s="1">
        <v>122.0</v>
      </c>
      <c r="R361" s="1">
        <v>2759.0</v>
      </c>
      <c r="S361" s="1">
        <v>323.0</v>
      </c>
      <c r="T361" s="1">
        <v>162.0</v>
      </c>
      <c r="U361" s="1">
        <v>158.0</v>
      </c>
      <c r="V361" s="1">
        <v>367.0</v>
      </c>
      <c r="W361" s="1">
        <v>30830.0</v>
      </c>
      <c r="X361" s="1">
        <v>3098.0</v>
      </c>
      <c r="Y361" s="1">
        <v>129.0</v>
      </c>
      <c r="Z361" s="1">
        <v>348.0</v>
      </c>
      <c r="AA361" s="1">
        <v>804.0</v>
      </c>
      <c r="AB361" s="1">
        <v>1784.0</v>
      </c>
      <c r="AC361" s="1">
        <v>236.0</v>
      </c>
      <c r="AD361" s="1">
        <v>679.0</v>
      </c>
      <c r="AE361" s="1">
        <v>31.0</v>
      </c>
      <c r="AF361" s="1">
        <v>428.0</v>
      </c>
      <c r="AG361" s="1">
        <v>409.0</v>
      </c>
      <c r="AH361" s="1">
        <v>124.0</v>
      </c>
      <c r="AI361" s="1">
        <v>10.0</v>
      </c>
      <c r="AJ361" s="1">
        <v>16.0</v>
      </c>
      <c r="AK361" s="1">
        <v>0.0</v>
      </c>
      <c r="AL361" s="1">
        <v>161.0</v>
      </c>
      <c r="AM361" s="1">
        <v>91.0</v>
      </c>
      <c r="AN361" s="1">
        <v>62.0</v>
      </c>
      <c r="AO361" s="1">
        <v>2.0</v>
      </c>
      <c r="AP361" s="1">
        <v>0.047125</v>
      </c>
      <c r="AQ361" s="1">
        <v>0.023434</v>
      </c>
      <c r="AR361" s="1">
        <v>0.04148</v>
      </c>
      <c r="AS361" s="1">
        <v>0.096265</v>
      </c>
      <c r="AT361" s="1">
        <v>30830.0</v>
      </c>
      <c r="AU361" s="1">
        <v>3098.0</v>
      </c>
      <c r="AV361" s="1">
        <v>0.028221</v>
      </c>
      <c r="AW361" s="1">
        <v>0.076113</v>
      </c>
      <c r="AX361" s="1">
        <v>0.113495</v>
      </c>
      <c r="AY361" s="1">
        <v>0.251835</v>
      </c>
      <c r="AZ361" s="1">
        <v>0.08553823</v>
      </c>
      <c r="BA361" s="1">
        <v>0.095849</v>
      </c>
      <c r="BB361" s="1">
        <v>0.004835</v>
      </c>
      <c r="BC361" s="1">
        <v>0.066759</v>
      </c>
      <c r="BD361" s="1">
        <v>0.148835</v>
      </c>
      <c r="BE361" s="1">
        <v>0.044637</v>
      </c>
      <c r="BF361" s="1">
        <v>0.003639</v>
      </c>
      <c r="BG361" s="1">
        <v>0.00582</v>
      </c>
      <c r="BH361" s="1">
        <v>0.0</v>
      </c>
      <c r="BI361" s="1">
        <v>0.061567</v>
      </c>
      <c r="BJ361" s="1">
        <v>0.034799</v>
      </c>
      <c r="BK361" s="1">
        <v>0.023631</v>
      </c>
      <c r="BL361" s="1">
        <v>2.82E-4</v>
      </c>
      <c r="BM361" s="1">
        <v>0.152</v>
      </c>
      <c r="BN361" s="1">
        <v>0.197</v>
      </c>
      <c r="BO361" s="1">
        <v>0.1798</v>
      </c>
      <c r="BP361" s="1">
        <v>0.055</v>
      </c>
      <c r="BQ361" s="1">
        <v>0.5838</v>
      </c>
      <c r="BR361" s="1">
        <v>0.0881</v>
      </c>
      <c r="BS361" s="1">
        <v>0.298</v>
      </c>
      <c r="BT361" s="1">
        <v>0.623</v>
      </c>
      <c r="BU361" s="1">
        <v>0.362</v>
      </c>
      <c r="BV361" s="1">
        <v>1.283</v>
      </c>
      <c r="BW361" s="1">
        <v>0.289</v>
      </c>
      <c r="BX361" s="1">
        <v>0.452</v>
      </c>
      <c r="BY361" s="1">
        <v>0.553</v>
      </c>
      <c r="BZ361" s="1">
        <v>1.005</v>
      </c>
      <c r="CA361" s="1">
        <v>0.563</v>
      </c>
      <c r="CB361" s="1">
        <v>0.836</v>
      </c>
      <c r="CC361" s="1">
        <v>0.374</v>
      </c>
      <c r="CD361" s="1">
        <v>0.0</v>
      </c>
      <c r="CE361" s="1">
        <v>0.332</v>
      </c>
      <c r="CF361" s="1">
        <v>0.351</v>
      </c>
      <c r="CG361" s="1">
        <v>1.893</v>
      </c>
      <c r="CH361" s="1">
        <v>0.302</v>
      </c>
      <c r="CI361" s="1">
        <v>4.7648</v>
      </c>
      <c r="CJ361" s="1">
        <v>0.1711</v>
      </c>
      <c r="CK361" s="1">
        <v>0.0</v>
      </c>
      <c r="CL361" s="1">
        <v>0.0</v>
      </c>
      <c r="CM361" s="1">
        <v>0.0</v>
      </c>
      <c r="CN361" s="1">
        <v>0.0</v>
      </c>
      <c r="CO361" s="1">
        <v>0.0</v>
      </c>
      <c r="CP361" s="1">
        <v>0.0</v>
      </c>
      <c r="CQ361" s="1">
        <v>0.0</v>
      </c>
      <c r="CR361" s="1">
        <v>0.0</v>
      </c>
      <c r="CS361" s="1">
        <v>0.0</v>
      </c>
      <c r="CT361" s="1">
        <v>0.0</v>
      </c>
      <c r="CU361" s="1">
        <v>0.0</v>
      </c>
      <c r="CV361" s="1">
        <v>0.0</v>
      </c>
      <c r="CW361" s="1">
        <v>0.0</v>
      </c>
      <c r="CX361" s="1">
        <v>0.0</v>
      </c>
      <c r="CY361" s="1">
        <v>0.0</v>
      </c>
      <c r="CZ361" s="1">
        <v>0.0</v>
      </c>
      <c r="DA361" s="1">
        <v>0.0</v>
      </c>
      <c r="DB361" s="1">
        <v>0.0</v>
      </c>
      <c r="DC361" s="1">
        <v>0.0</v>
      </c>
      <c r="DD361" s="1" t="s">
        <v>1777</v>
      </c>
      <c r="DE361" s="1">
        <v>0.00140901340163048</v>
      </c>
      <c r="DF361" s="2" t="s">
        <v>1778</v>
      </c>
    </row>
    <row r="362" ht="15.75" customHeight="1">
      <c r="A362" s="1" t="s">
        <v>1779</v>
      </c>
      <c r="B362" s="1">
        <v>29.0</v>
      </c>
      <c r="C362" s="2" t="s">
        <v>1606</v>
      </c>
      <c r="D362" s="2" t="s">
        <v>1780</v>
      </c>
      <c r="E362" s="1">
        <v>4.844</v>
      </c>
      <c r="F362" s="1">
        <v>29077.0</v>
      </c>
      <c r="G362" s="1">
        <v>2.9077004103E10</v>
      </c>
      <c r="H362" s="1" t="s">
        <v>112</v>
      </c>
      <c r="I362" s="1" t="s">
        <v>113</v>
      </c>
      <c r="J362" s="1" t="s">
        <v>1607</v>
      </c>
      <c r="K362" s="1" t="s">
        <v>1781</v>
      </c>
      <c r="L362" s="1">
        <v>6685.0</v>
      </c>
      <c r="M362" s="1">
        <v>5882.0</v>
      </c>
      <c r="N362" s="1">
        <v>286.0</v>
      </c>
      <c r="O362" s="1">
        <v>2700.0</v>
      </c>
      <c r="P362" s="1">
        <v>2324.0</v>
      </c>
      <c r="Q362" s="1">
        <v>91.0</v>
      </c>
      <c r="R362" s="1">
        <v>2505.0</v>
      </c>
      <c r="S362" s="1">
        <v>176.0</v>
      </c>
      <c r="T362" s="1">
        <v>116.0</v>
      </c>
      <c r="U362" s="1">
        <v>131.0</v>
      </c>
      <c r="V362" s="1">
        <v>415.0</v>
      </c>
      <c r="W362" s="1">
        <v>34563.0</v>
      </c>
      <c r="X362" s="1">
        <v>3503.0</v>
      </c>
      <c r="Y362" s="1">
        <v>50.0</v>
      </c>
      <c r="Z362" s="1">
        <v>397.0</v>
      </c>
      <c r="AA362" s="1">
        <v>784.0</v>
      </c>
      <c r="AB362" s="1">
        <v>1801.0</v>
      </c>
      <c r="AC362" s="1">
        <v>193.0</v>
      </c>
      <c r="AD362" s="1">
        <v>629.0</v>
      </c>
      <c r="AE362" s="1">
        <v>28.0</v>
      </c>
      <c r="AF362" s="1">
        <v>428.0</v>
      </c>
      <c r="AG362" s="1">
        <v>149.0</v>
      </c>
      <c r="AH362" s="1">
        <v>151.0</v>
      </c>
      <c r="AI362" s="1">
        <v>0.0</v>
      </c>
      <c r="AJ362" s="1">
        <v>114.0</v>
      </c>
      <c r="AK362" s="1">
        <v>24.0</v>
      </c>
      <c r="AL362" s="1">
        <v>117.0</v>
      </c>
      <c r="AM362" s="1">
        <v>9.0</v>
      </c>
      <c r="AN362" s="1">
        <v>115.0</v>
      </c>
      <c r="AO362" s="1">
        <v>83.0</v>
      </c>
      <c r="AP362" s="1">
        <v>0.029921</v>
      </c>
      <c r="AQ362" s="1">
        <v>0.019667</v>
      </c>
      <c r="AR362" s="1">
        <v>0.041839</v>
      </c>
      <c r="AS362" s="1">
        <v>0.132479</v>
      </c>
      <c r="AT362" s="1">
        <v>34563.0</v>
      </c>
      <c r="AU362" s="1">
        <v>3503.0</v>
      </c>
      <c r="AV362" s="1">
        <v>0.013099</v>
      </c>
      <c r="AW362" s="1">
        <v>0.104005</v>
      </c>
      <c r="AX362" s="1">
        <v>0.117277</v>
      </c>
      <c r="AY362" s="1">
        <v>0.269409</v>
      </c>
      <c r="AZ362" s="1">
        <v>0.0770459</v>
      </c>
      <c r="BA362" s="1">
        <v>0.094091</v>
      </c>
      <c r="BB362" s="1">
        <v>0.005117</v>
      </c>
      <c r="BC362" s="1">
        <v>0.07823</v>
      </c>
      <c r="BD362" s="1">
        <v>0.064113</v>
      </c>
      <c r="BE362" s="1">
        <v>0.064925</v>
      </c>
      <c r="BF362" s="1">
        <v>0.0</v>
      </c>
      <c r="BG362" s="1">
        <v>0.049053</v>
      </c>
      <c r="BH362" s="1">
        <v>0.010859</v>
      </c>
      <c r="BI362" s="1">
        <v>0.052938</v>
      </c>
      <c r="BJ362" s="1">
        <v>0.004072</v>
      </c>
      <c r="BK362" s="1">
        <v>0.052035</v>
      </c>
      <c r="BL362" s="1">
        <v>0.012415</v>
      </c>
      <c r="BM362" s="1">
        <v>0.087</v>
      </c>
      <c r="BN362" s="1">
        <v>0.204</v>
      </c>
      <c r="BO362" s="1">
        <v>0.1191</v>
      </c>
      <c r="BP362" s="1">
        <v>0.023</v>
      </c>
      <c r="BQ362" s="1">
        <v>0.4331</v>
      </c>
      <c r="BR362" s="1">
        <v>0.0491</v>
      </c>
      <c r="BS362" s="1">
        <v>0.323</v>
      </c>
      <c r="BT362" s="1">
        <v>0.786</v>
      </c>
      <c r="BU362" s="1">
        <v>0.272</v>
      </c>
      <c r="BV362" s="1">
        <v>1.381</v>
      </c>
      <c r="BW362" s="1">
        <v>0.374</v>
      </c>
      <c r="BX362" s="1">
        <v>0.446</v>
      </c>
      <c r="BY362" s="1">
        <v>0.569</v>
      </c>
      <c r="BZ362" s="1">
        <v>1.015</v>
      </c>
      <c r="CA362" s="1">
        <v>0.566</v>
      </c>
      <c r="CB362" s="1">
        <v>0.697</v>
      </c>
      <c r="CC362" s="1">
        <v>0.0</v>
      </c>
      <c r="CD362" s="1">
        <v>0.495</v>
      </c>
      <c r="CE362" s="1">
        <v>0.042</v>
      </c>
      <c r="CF362" s="1">
        <v>0.612</v>
      </c>
      <c r="CG362" s="1">
        <v>1.846</v>
      </c>
      <c r="CH362" s="1">
        <v>0.285</v>
      </c>
      <c r="CI362" s="1">
        <v>4.6751</v>
      </c>
      <c r="CJ362" s="1">
        <v>0.156</v>
      </c>
      <c r="CK362" s="1">
        <v>0.0</v>
      </c>
      <c r="CL362" s="1">
        <v>0.0</v>
      </c>
      <c r="CM362" s="1">
        <v>0.0</v>
      </c>
      <c r="CN362" s="1">
        <v>0.0</v>
      </c>
      <c r="CO362" s="1">
        <v>0.0</v>
      </c>
      <c r="CP362" s="1">
        <v>0.0</v>
      </c>
      <c r="CQ362" s="1">
        <v>0.0</v>
      </c>
      <c r="CR362" s="1">
        <v>0.0</v>
      </c>
      <c r="CS362" s="1">
        <v>0.0</v>
      </c>
      <c r="CT362" s="1">
        <v>0.0</v>
      </c>
      <c r="CU362" s="1">
        <v>0.0</v>
      </c>
      <c r="CV362" s="1">
        <v>0.0</v>
      </c>
      <c r="CW362" s="1">
        <v>0.0</v>
      </c>
      <c r="CX362" s="1">
        <v>0.0</v>
      </c>
      <c r="CY362" s="1">
        <v>0.0</v>
      </c>
      <c r="CZ362" s="1">
        <v>0.0</v>
      </c>
      <c r="DA362" s="1">
        <v>0.0</v>
      </c>
      <c r="DB362" s="1">
        <v>0.0</v>
      </c>
      <c r="DC362" s="1">
        <v>0.0</v>
      </c>
      <c r="DD362" s="1" t="s">
        <v>1782</v>
      </c>
      <c r="DE362" s="1">
        <v>0.00128097313868259</v>
      </c>
      <c r="DF362" s="2" t="s">
        <v>1783</v>
      </c>
    </row>
    <row r="363" ht="15.75" customHeight="1">
      <c r="A363" s="1" t="s">
        <v>1784</v>
      </c>
      <c r="B363" s="1">
        <v>29.0</v>
      </c>
      <c r="C363" s="2" t="s">
        <v>1606</v>
      </c>
      <c r="D363" s="2" t="s">
        <v>1785</v>
      </c>
      <c r="E363" s="1">
        <v>3.218</v>
      </c>
      <c r="F363" s="1">
        <v>29077.0</v>
      </c>
      <c r="G363" s="1">
        <v>2.9077004201E10</v>
      </c>
      <c r="H363" s="1" t="s">
        <v>112</v>
      </c>
      <c r="I363" s="1" t="s">
        <v>113</v>
      </c>
      <c r="J363" s="1" t="s">
        <v>1607</v>
      </c>
      <c r="K363" s="1" t="s">
        <v>1786</v>
      </c>
      <c r="L363" s="1">
        <v>4651.0</v>
      </c>
      <c r="M363" s="1">
        <v>4741.0</v>
      </c>
      <c r="N363" s="1">
        <v>453.0</v>
      </c>
      <c r="O363" s="1">
        <v>2091.0</v>
      </c>
      <c r="P363" s="1">
        <v>1983.0</v>
      </c>
      <c r="Q363" s="1">
        <v>140.0</v>
      </c>
      <c r="R363" s="1">
        <v>1948.0</v>
      </c>
      <c r="S363" s="1">
        <v>598.0</v>
      </c>
      <c r="T363" s="1">
        <v>379.0</v>
      </c>
      <c r="U363" s="1">
        <v>87.0</v>
      </c>
      <c r="V363" s="1">
        <v>461.0</v>
      </c>
      <c r="W363" s="1">
        <v>23789.0</v>
      </c>
      <c r="X363" s="1">
        <v>3516.0</v>
      </c>
      <c r="Y363" s="1">
        <v>343.0</v>
      </c>
      <c r="Z363" s="1">
        <v>266.0</v>
      </c>
      <c r="AA363" s="1">
        <v>928.0</v>
      </c>
      <c r="AB363" s="1">
        <v>954.0</v>
      </c>
      <c r="AC363" s="1">
        <v>125.0</v>
      </c>
      <c r="AD363" s="1">
        <v>345.0</v>
      </c>
      <c r="AE363" s="1">
        <v>53.0</v>
      </c>
      <c r="AF363" s="1">
        <v>428.0</v>
      </c>
      <c r="AG363" s="1">
        <v>24.0</v>
      </c>
      <c r="AH363" s="1">
        <v>164.0</v>
      </c>
      <c r="AI363" s="1">
        <v>454.0</v>
      </c>
      <c r="AJ363" s="1">
        <v>119.0</v>
      </c>
      <c r="AK363" s="1">
        <v>0.0</v>
      </c>
      <c r="AL363" s="1">
        <v>161.0</v>
      </c>
      <c r="AM363" s="1">
        <v>28.0</v>
      </c>
      <c r="AN363" s="1">
        <v>117.0</v>
      </c>
      <c r="AO363" s="1">
        <v>25.0</v>
      </c>
      <c r="AP363" s="1">
        <v>0.131544</v>
      </c>
      <c r="AQ363" s="1">
        <v>0.082542</v>
      </c>
      <c r="AR363" s="1">
        <v>0.043154</v>
      </c>
      <c r="AS363" s="1">
        <v>0.228568</v>
      </c>
      <c r="AT363" s="1">
        <v>23789.0</v>
      </c>
      <c r="AU363" s="1">
        <v>3516.0</v>
      </c>
      <c r="AV363" s="1">
        <v>0.103813</v>
      </c>
      <c r="AW363" s="1">
        <v>0.079886</v>
      </c>
      <c r="AX363" s="1">
        <v>0.199526</v>
      </c>
      <c r="AY363" s="1">
        <v>0.205117</v>
      </c>
      <c r="AZ363" s="1">
        <v>0.06416837</v>
      </c>
      <c r="BA363" s="1">
        <v>0.074177</v>
      </c>
      <c r="BB363" s="1">
        <v>0.012553</v>
      </c>
      <c r="BC363" s="1">
        <v>0.101366</v>
      </c>
      <c r="BD363" s="1">
        <v>0.012102</v>
      </c>
      <c r="BE363" s="1">
        <v>0.082698</v>
      </c>
      <c r="BF363" s="1">
        <v>0.228946</v>
      </c>
      <c r="BG363" s="1">
        <v>0.057792</v>
      </c>
      <c r="BH363" s="1">
        <v>0.0</v>
      </c>
      <c r="BI363" s="1">
        <v>0.08605</v>
      </c>
      <c r="BJ363" s="1">
        <v>0.014965</v>
      </c>
      <c r="BK363" s="1">
        <v>0.062519</v>
      </c>
      <c r="BL363" s="1">
        <v>0.005375</v>
      </c>
      <c r="BM363" s="1">
        <v>0.505</v>
      </c>
      <c r="BN363" s="1">
        <v>0.223</v>
      </c>
      <c r="BO363" s="1">
        <v>0.4058</v>
      </c>
      <c r="BP363" s="1">
        <v>0.355</v>
      </c>
      <c r="BQ363" s="1">
        <v>1.4888</v>
      </c>
      <c r="BR363" s="1">
        <v>0.3365</v>
      </c>
      <c r="BS363" s="1">
        <v>0.87</v>
      </c>
      <c r="BT363" s="1">
        <v>0.212</v>
      </c>
      <c r="BU363" s="1">
        <v>0.167</v>
      </c>
      <c r="BV363" s="1">
        <v>1.249</v>
      </c>
      <c r="BW363" s="1">
        <v>0.266</v>
      </c>
      <c r="BX363" s="1">
        <v>0.374</v>
      </c>
      <c r="BY363" s="1">
        <v>0.781</v>
      </c>
      <c r="BZ363" s="1">
        <v>1.155</v>
      </c>
      <c r="CA363" s="1">
        <v>0.638</v>
      </c>
      <c r="CB363" s="1">
        <v>0.4</v>
      </c>
      <c r="CC363" s="1">
        <v>0.93</v>
      </c>
      <c r="CD363" s="1">
        <v>0.0</v>
      </c>
      <c r="CE363" s="1">
        <v>0.133</v>
      </c>
      <c r="CF363" s="1">
        <v>0.519</v>
      </c>
      <c r="CG363" s="1">
        <v>1.982</v>
      </c>
      <c r="CH363" s="1">
        <v>0.341</v>
      </c>
      <c r="CI363" s="1">
        <v>5.8748</v>
      </c>
      <c r="CJ363" s="1">
        <v>0.3502</v>
      </c>
      <c r="CK363" s="1">
        <v>0.0</v>
      </c>
      <c r="CL363" s="1">
        <v>0.0</v>
      </c>
      <c r="CM363" s="1">
        <v>0.0</v>
      </c>
      <c r="CN363" s="1">
        <v>0.0</v>
      </c>
      <c r="CO363" s="1">
        <v>0.0</v>
      </c>
      <c r="CP363" s="1">
        <v>0.0</v>
      </c>
      <c r="CQ363" s="1">
        <v>0.0</v>
      </c>
      <c r="CR363" s="1">
        <v>0.0</v>
      </c>
      <c r="CS363" s="1">
        <v>0.0</v>
      </c>
      <c r="CT363" s="1">
        <v>0.0</v>
      </c>
      <c r="CU363" s="1">
        <v>0.0</v>
      </c>
      <c r="CV363" s="1">
        <v>0.0</v>
      </c>
      <c r="CW363" s="1">
        <v>0.0</v>
      </c>
      <c r="CX363" s="1">
        <v>1.0</v>
      </c>
      <c r="CY363" s="1">
        <v>0.0</v>
      </c>
      <c r="CZ363" s="1">
        <v>0.0</v>
      </c>
      <c r="DA363" s="1">
        <v>0.0</v>
      </c>
      <c r="DB363" s="1">
        <v>1.0</v>
      </c>
      <c r="DC363" s="1">
        <v>1.0</v>
      </c>
      <c r="DD363" s="1" t="s">
        <v>1787</v>
      </c>
      <c r="DE363" s="1">
        <v>8.4625665700048E-4</v>
      </c>
      <c r="DF363" s="2" t="s">
        <v>1788</v>
      </c>
    </row>
    <row r="364" ht="15.75" customHeight="1">
      <c r="A364" s="1" t="s">
        <v>1789</v>
      </c>
      <c r="B364" s="1">
        <v>29.0</v>
      </c>
      <c r="C364" s="2" t="s">
        <v>1606</v>
      </c>
      <c r="D364" s="2" t="s">
        <v>1790</v>
      </c>
      <c r="E364" s="1">
        <v>3.872</v>
      </c>
      <c r="F364" s="1">
        <v>29077.0</v>
      </c>
      <c r="G364" s="1">
        <v>2.9077004202E10</v>
      </c>
      <c r="H364" s="1" t="s">
        <v>112</v>
      </c>
      <c r="I364" s="1" t="s">
        <v>113</v>
      </c>
      <c r="J364" s="1" t="s">
        <v>1607</v>
      </c>
      <c r="K364" s="1" t="s">
        <v>1791</v>
      </c>
      <c r="L364" s="1">
        <v>6156.0</v>
      </c>
      <c r="M364" s="1">
        <v>5979.0</v>
      </c>
      <c r="N364" s="1">
        <v>595.0</v>
      </c>
      <c r="O364" s="1">
        <v>2690.0</v>
      </c>
      <c r="P364" s="1">
        <v>2513.0</v>
      </c>
      <c r="Q364" s="1">
        <v>80.0</v>
      </c>
      <c r="R364" s="1">
        <v>2464.0</v>
      </c>
      <c r="S364" s="1">
        <v>671.0</v>
      </c>
      <c r="T364" s="1">
        <v>321.0</v>
      </c>
      <c r="U364" s="1">
        <v>149.0</v>
      </c>
      <c r="V364" s="1">
        <v>369.0</v>
      </c>
      <c r="W364" s="1">
        <v>25094.0</v>
      </c>
      <c r="X364" s="1">
        <v>2982.0</v>
      </c>
      <c r="Y364" s="1">
        <v>382.0</v>
      </c>
      <c r="Z364" s="1">
        <v>314.0</v>
      </c>
      <c r="AA364" s="1">
        <v>536.0</v>
      </c>
      <c r="AB364" s="1">
        <v>1547.0</v>
      </c>
      <c r="AC364" s="1">
        <v>295.0</v>
      </c>
      <c r="AD364" s="1">
        <v>850.0</v>
      </c>
      <c r="AE364" s="1">
        <v>104.0</v>
      </c>
      <c r="AF364" s="1">
        <v>370.0</v>
      </c>
      <c r="AG364" s="1">
        <v>12.0</v>
      </c>
      <c r="AH364" s="1">
        <v>162.0</v>
      </c>
      <c r="AI364" s="1">
        <v>0.0</v>
      </c>
      <c r="AJ364" s="1">
        <v>114.0</v>
      </c>
      <c r="AK364" s="1">
        <v>37.0</v>
      </c>
      <c r="AL364" s="1">
        <v>126.0</v>
      </c>
      <c r="AM364" s="1">
        <v>41.0</v>
      </c>
      <c r="AN364" s="1">
        <v>34.0</v>
      </c>
      <c r="AO364" s="1">
        <v>0.0</v>
      </c>
      <c r="AP364" s="1">
        <v>0.113344</v>
      </c>
      <c r="AQ364" s="1">
        <v>0.053041</v>
      </c>
      <c r="AR364" s="1">
        <v>0.042754</v>
      </c>
      <c r="AS364" s="1">
        <v>0.105771</v>
      </c>
      <c r="AT364" s="1">
        <v>25094.0</v>
      </c>
      <c r="AU364" s="1">
        <v>2982.0</v>
      </c>
      <c r="AV364" s="1">
        <v>0.103635</v>
      </c>
      <c r="AW364" s="1">
        <v>0.084812</v>
      </c>
      <c r="AX364" s="1">
        <v>0.087069</v>
      </c>
      <c r="AY364" s="1">
        <v>0.251299</v>
      </c>
      <c r="AZ364" s="1">
        <v>0.11972402</v>
      </c>
      <c r="BA364" s="1">
        <v>0.138076</v>
      </c>
      <c r="BB364" s="1">
        <v>0.019103</v>
      </c>
      <c r="BC364" s="1">
        <v>0.067941</v>
      </c>
      <c r="BD364" s="1">
        <v>0.004775</v>
      </c>
      <c r="BE364" s="1">
        <v>0.064464</v>
      </c>
      <c r="BF364" s="1">
        <v>0.0</v>
      </c>
      <c r="BG364" s="1">
        <v>0.045364</v>
      </c>
      <c r="BH364" s="1">
        <v>0.015859</v>
      </c>
      <c r="BI364" s="1">
        <v>0.054</v>
      </c>
      <c r="BJ364" s="1">
        <v>0.017573</v>
      </c>
      <c r="BK364" s="1">
        <v>0.014538</v>
      </c>
      <c r="BL364" s="1">
        <v>0.0</v>
      </c>
      <c r="BM364" s="1">
        <v>0.427</v>
      </c>
      <c r="BN364" s="1">
        <v>0.217</v>
      </c>
      <c r="BO364" s="1">
        <v>0.3422</v>
      </c>
      <c r="BP364" s="1">
        <v>0.353</v>
      </c>
      <c r="BQ364" s="1">
        <v>1.3392</v>
      </c>
      <c r="BR364" s="1">
        <v>0.2917</v>
      </c>
      <c r="BS364" s="1">
        <v>0.146</v>
      </c>
      <c r="BT364" s="1">
        <v>0.615</v>
      </c>
      <c r="BU364" s="1">
        <v>0.669</v>
      </c>
      <c r="BV364" s="1">
        <v>1.43</v>
      </c>
      <c r="BW364" s="1">
        <v>0.417</v>
      </c>
      <c r="BX364" s="1">
        <v>0.584</v>
      </c>
      <c r="BY364" s="1">
        <v>0.853</v>
      </c>
      <c r="BZ364" s="1">
        <v>1.437</v>
      </c>
      <c r="CA364" s="1">
        <v>0.784</v>
      </c>
      <c r="CB364" s="1">
        <v>0.312</v>
      </c>
      <c r="CC364" s="1">
        <v>0.0</v>
      </c>
      <c r="CD364" s="1">
        <v>0.612</v>
      </c>
      <c r="CE364" s="1">
        <v>0.158</v>
      </c>
      <c r="CF364" s="1">
        <v>0.0</v>
      </c>
      <c r="CG364" s="1">
        <v>1.082</v>
      </c>
      <c r="CH364" s="1">
        <v>0.09</v>
      </c>
      <c r="CI364" s="1">
        <v>5.2882</v>
      </c>
      <c r="CJ364" s="1">
        <v>0.2419</v>
      </c>
      <c r="CK364" s="1">
        <v>0.0</v>
      </c>
      <c r="CL364" s="1">
        <v>0.0</v>
      </c>
      <c r="CM364" s="1">
        <v>0.0</v>
      </c>
      <c r="CN364" s="1">
        <v>0.0</v>
      </c>
      <c r="CO364" s="1">
        <v>0.0</v>
      </c>
      <c r="CP364" s="1">
        <v>0.0</v>
      </c>
      <c r="CQ364" s="1">
        <v>0.0</v>
      </c>
      <c r="CR364" s="1">
        <v>0.0</v>
      </c>
      <c r="CS364" s="1">
        <v>0.0</v>
      </c>
      <c r="CT364" s="1">
        <v>0.0</v>
      </c>
      <c r="CU364" s="1">
        <v>0.0</v>
      </c>
      <c r="CV364" s="1">
        <v>0.0</v>
      </c>
      <c r="CW364" s="1">
        <v>0.0</v>
      </c>
      <c r="CX364" s="1">
        <v>0.0</v>
      </c>
      <c r="CY364" s="1">
        <v>0.0</v>
      </c>
      <c r="CZ364" s="1">
        <v>0.0</v>
      </c>
      <c r="DA364" s="1">
        <v>0.0</v>
      </c>
      <c r="DB364" s="1">
        <v>0.0</v>
      </c>
      <c r="DC364" s="1">
        <v>0.0</v>
      </c>
      <c r="DD364" s="1" t="s">
        <v>1792</v>
      </c>
      <c r="DE364" s="1">
        <v>0.00101660671664142</v>
      </c>
      <c r="DF364" s="2" t="s">
        <v>1793</v>
      </c>
    </row>
    <row r="365" ht="15.75" customHeight="1">
      <c r="A365" s="1" t="s">
        <v>1794</v>
      </c>
      <c r="B365" s="1">
        <v>29.0</v>
      </c>
      <c r="C365" s="2" t="s">
        <v>1606</v>
      </c>
      <c r="D365" s="2" t="s">
        <v>1795</v>
      </c>
      <c r="E365" s="1">
        <v>4.981</v>
      </c>
      <c r="F365" s="1">
        <v>29077.0</v>
      </c>
      <c r="G365" s="1">
        <v>2.9077004301E10</v>
      </c>
      <c r="H365" s="1" t="s">
        <v>112</v>
      </c>
      <c r="I365" s="1" t="s">
        <v>113</v>
      </c>
      <c r="J365" s="1" t="s">
        <v>1607</v>
      </c>
      <c r="K365" s="1" t="s">
        <v>1796</v>
      </c>
      <c r="L365" s="1">
        <v>7359.0</v>
      </c>
      <c r="M365" s="1">
        <v>6851.0</v>
      </c>
      <c r="N365" s="1">
        <v>485.0</v>
      </c>
      <c r="O365" s="1">
        <v>3115.0</v>
      </c>
      <c r="P365" s="1">
        <v>2972.0</v>
      </c>
      <c r="Q365" s="1">
        <v>135.0</v>
      </c>
      <c r="R365" s="1">
        <v>2941.0</v>
      </c>
      <c r="S365" s="1">
        <v>713.0</v>
      </c>
      <c r="T365" s="1">
        <v>354.0</v>
      </c>
      <c r="U365" s="1">
        <v>177.0</v>
      </c>
      <c r="V365" s="1">
        <v>436.0</v>
      </c>
      <c r="W365" s="1">
        <v>23802.0</v>
      </c>
      <c r="X365" s="1">
        <v>2969.0</v>
      </c>
      <c r="Y365" s="1">
        <v>532.0</v>
      </c>
      <c r="Z365" s="1">
        <v>271.0</v>
      </c>
      <c r="AA365" s="1">
        <v>913.0</v>
      </c>
      <c r="AB365" s="1">
        <v>1849.0</v>
      </c>
      <c r="AC365" s="1">
        <v>265.0</v>
      </c>
      <c r="AD365" s="1">
        <v>683.0</v>
      </c>
      <c r="AE365" s="1">
        <v>15.0</v>
      </c>
      <c r="AF365" s="1">
        <v>427.0</v>
      </c>
      <c r="AG365" s="1">
        <v>0.0</v>
      </c>
      <c r="AH365" s="1">
        <v>197.0</v>
      </c>
      <c r="AI365" s="1">
        <v>129.0</v>
      </c>
      <c r="AJ365" s="1">
        <v>111.0</v>
      </c>
      <c r="AK365" s="1">
        <v>0.0</v>
      </c>
      <c r="AL365" s="1">
        <v>161.0</v>
      </c>
      <c r="AM365" s="1">
        <v>91.0</v>
      </c>
      <c r="AN365" s="1">
        <v>57.0</v>
      </c>
      <c r="AO365" s="1">
        <v>0.0</v>
      </c>
      <c r="AP365" s="1">
        <v>0.104072</v>
      </c>
      <c r="AQ365" s="1">
        <v>0.051143</v>
      </c>
      <c r="AR365" s="1">
        <v>0.047915</v>
      </c>
      <c r="AS365" s="1">
        <v>0.117917</v>
      </c>
      <c r="AT365" s="1">
        <v>23802.0</v>
      </c>
      <c r="AU365" s="1">
        <v>2969.0</v>
      </c>
      <c r="AV365" s="1">
        <v>0.116615</v>
      </c>
      <c r="AW365" s="1">
        <v>0.059022</v>
      </c>
      <c r="AX365" s="1">
        <v>0.124065</v>
      </c>
      <c r="AY365" s="1">
        <v>0.251256</v>
      </c>
      <c r="AZ365" s="1">
        <v>0.0901054</v>
      </c>
      <c r="BA365" s="1">
        <v>0.092811</v>
      </c>
      <c r="BB365" s="1">
        <v>0.002333</v>
      </c>
      <c r="BC365" s="1">
        <v>0.066417</v>
      </c>
      <c r="BD365" s="1">
        <v>0.0</v>
      </c>
      <c r="BE365" s="1">
        <v>0.066285</v>
      </c>
      <c r="BF365" s="1">
        <v>0.043405</v>
      </c>
      <c r="BG365" s="1">
        <v>0.037296</v>
      </c>
      <c r="BH365" s="1">
        <v>0.0</v>
      </c>
      <c r="BI365" s="1">
        <v>0.057274</v>
      </c>
      <c r="BJ365" s="1">
        <v>0.032372</v>
      </c>
      <c r="BK365" s="1">
        <v>0.020198</v>
      </c>
      <c r="BL365" s="1">
        <v>0.0</v>
      </c>
      <c r="BM365" s="1">
        <v>0.386</v>
      </c>
      <c r="BN365" s="1">
        <v>0.272</v>
      </c>
      <c r="BO365" s="1">
        <v>0.4036</v>
      </c>
      <c r="BP365" s="1">
        <v>0.411</v>
      </c>
      <c r="BQ365" s="1">
        <v>1.4726</v>
      </c>
      <c r="BR365" s="1">
        <v>0.3343</v>
      </c>
      <c r="BS365" s="1">
        <v>0.371</v>
      </c>
      <c r="BT365" s="1">
        <v>0.614</v>
      </c>
      <c r="BU365" s="1">
        <v>0.402</v>
      </c>
      <c r="BV365" s="1">
        <v>1.387</v>
      </c>
      <c r="BW365" s="1">
        <v>0.379</v>
      </c>
      <c r="BX365" s="1">
        <v>0.441</v>
      </c>
      <c r="BY365" s="1">
        <v>0.4</v>
      </c>
      <c r="BZ365" s="1">
        <v>0.841</v>
      </c>
      <c r="CA365" s="1">
        <v>0.424</v>
      </c>
      <c r="CB365" s="1">
        <v>0.0</v>
      </c>
      <c r="CC365" s="1">
        <v>0.588</v>
      </c>
      <c r="CD365" s="1">
        <v>0.0</v>
      </c>
      <c r="CE365" s="1">
        <v>0.305</v>
      </c>
      <c r="CF365" s="1">
        <v>0.0</v>
      </c>
      <c r="CG365" s="1">
        <v>0.893</v>
      </c>
      <c r="CH365" s="1">
        <v>0.065</v>
      </c>
      <c r="CI365" s="1">
        <v>4.5936</v>
      </c>
      <c r="CJ365" s="1">
        <v>0.1408</v>
      </c>
      <c r="CK365" s="1">
        <v>0.0</v>
      </c>
      <c r="CL365" s="1">
        <v>0.0</v>
      </c>
      <c r="CM365" s="1">
        <v>0.0</v>
      </c>
      <c r="CN365" s="1">
        <v>0.0</v>
      </c>
      <c r="CO365" s="1">
        <v>0.0</v>
      </c>
      <c r="CP365" s="1">
        <v>0.0</v>
      </c>
      <c r="CQ365" s="1">
        <v>0.0</v>
      </c>
      <c r="CR365" s="1">
        <v>0.0</v>
      </c>
      <c r="CS365" s="1">
        <v>0.0</v>
      </c>
      <c r="CT365" s="1">
        <v>0.0</v>
      </c>
      <c r="CU365" s="1">
        <v>0.0</v>
      </c>
      <c r="CV365" s="1">
        <v>0.0</v>
      </c>
      <c r="CW365" s="1">
        <v>0.0</v>
      </c>
      <c r="CX365" s="1">
        <v>0.0</v>
      </c>
      <c r="CY365" s="1">
        <v>0.0</v>
      </c>
      <c r="CZ365" s="1">
        <v>0.0</v>
      </c>
      <c r="DA365" s="1">
        <v>0.0</v>
      </c>
      <c r="DB365" s="1">
        <v>0.0</v>
      </c>
      <c r="DC365" s="1">
        <v>0.0</v>
      </c>
      <c r="DD365" s="1" t="s">
        <v>1797</v>
      </c>
      <c r="DE365" s="1">
        <v>0.00130837131775524</v>
      </c>
      <c r="DF365" s="2" t="s">
        <v>1798</v>
      </c>
    </row>
    <row r="366" ht="15.75" customHeight="1">
      <c r="A366" s="1" t="s">
        <v>1799</v>
      </c>
      <c r="B366" s="1">
        <v>29.0</v>
      </c>
      <c r="C366" s="2" t="s">
        <v>1606</v>
      </c>
      <c r="D366" s="2" t="s">
        <v>1800</v>
      </c>
      <c r="E366" s="1">
        <v>16.719</v>
      </c>
      <c r="F366" s="1">
        <v>29077.0</v>
      </c>
      <c r="G366" s="1">
        <v>2.9077004302E10</v>
      </c>
      <c r="H366" s="1" t="s">
        <v>112</v>
      </c>
      <c r="I366" s="1" t="s">
        <v>113</v>
      </c>
      <c r="J366" s="1" t="s">
        <v>1607</v>
      </c>
      <c r="K366" s="1" t="s">
        <v>1801</v>
      </c>
      <c r="L366" s="1">
        <v>3465.0</v>
      </c>
      <c r="M366" s="1">
        <v>3994.0</v>
      </c>
      <c r="N366" s="1">
        <v>460.0</v>
      </c>
      <c r="O366" s="1">
        <v>1508.0</v>
      </c>
      <c r="P366" s="1">
        <v>1634.0</v>
      </c>
      <c r="Q366" s="1">
        <v>110.0</v>
      </c>
      <c r="R366" s="1">
        <v>1367.0</v>
      </c>
      <c r="S366" s="1">
        <v>695.0</v>
      </c>
      <c r="T366" s="1">
        <v>322.0</v>
      </c>
      <c r="U366" s="1">
        <v>123.0</v>
      </c>
      <c r="V366" s="1">
        <v>433.0</v>
      </c>
      <c r="W366" s="1">
        <v>16943.0</v>
      </c>
      <c r="X366" s="1">
        <v>2700.0</v>
      </c>
      <c r="Y366" s="1">
        <v>337.0</v>
      </c>
      <c r="Z366" s="1">
        <v>276.0</v>
      </c>
      <c r="AA366" s="1">
        <v>488.0</v>
      </c>
      <c r="AB366" s="1">
        <v>856.0</v>
      </c>
      <c r="AC366" s="1">
        <v>154.0</v>
      </c>
      <c r="AD366" s="1">
        <v>356.0</v>
      </c>
      <c r="AE366" s="1">
        <v>39.0</v>
      </c>
      <c r="AF366" s="1">
        <v>428.0</v>
      </c>
      <c r="AG366" s="1">
        <v>0.0</v>
      </c>
      <c r="AH366" s="1">
        <v>197.0</v>
      </c>
      <c r="AI366" s="1">
        <v>500.0</v>
      </c>
      <c r="AJ366" s="1">
        <v>126.0</v>
      </c>
      <c r="AK366" s="1">
        <v>79.0</v>
      </c>
      <c r="AL366" s="1">
        <v>136.0</v>
      </c>
      <c r="AM366" s="1">
        <v>55.0</v>
      </c>
      <c r="AN366" s="1">
        <v>42.0</v>
      </c>
      <c r="AO366" s="1">
        <v>0.0</v>
      </c>
      <c r="AP366" s="1">
        <v>0.174011</v>
      </c>
      <c r="AQ366" s="1">
        <v>0.07809</v>
      </c>
      <c r="AR366" s="1">
        <v>0.071553</v>
      </c>
      <c r="AS366" s="1">
        <v>0.251566</v>
      </c>
      <c r="AT366" s="1">
        <v>16943.0</v>
      </c>
      <c r="AU366" s="1">
        <v>2700.0</v>
      </c>
      <c r="AV366" s="1">
        <v>0.132624</v>
      </c>
      <c r="AW366" s="1">
        <v>0.107887</v>
      </c>
      <c r="AX366" s="1">
        <v>0.140836</v>
      </c>
      <c r="AY366" s="1">
        <v>0.247041</v>
      </c>
      <c r="AZ366" s="1">
        <v>0.11265544</v>
      </c>
      <c r="BA366" s="1">
        <v>0.102741</v>
      </c>
      <c r="BB366" s="1">
        <v>0.010583</v>
      </c>
      <c r="BC366" s="1">
        <v>0.11614</v>
      </c>
      <c r="BD366" s="1">
        <v>0.0</v>
      </c>
      <c r="BE366" s="1">
        <v>0.120563</v>
      </c>
      <c r="BF366" s="1">
        <v>0.305997</v>
      </c>
      <c r="BG366" s="1">
        <v>0.074308</v>
      </c>
      <c r="BH366" s="1">
        <v>0.051667</v>
      </c>
      <c r="BI366" s="1">
        <v>0.088826</v>
      </c>
      <c r="BJ366" s="1">
        <v>0.035971</v>
      </c>
      <c r="BK366" s="1">
        <v>0.027279</v>
      </c>
      <c r="BL366" s="1">
        <v>0.0</v>
      </c>
      <c r="BM366" s="1">
        <v>0.658</v>
      </c>
      <c r="BN366" s="1">
        <v>0.527</v>
      </c>
      <c r="BO366" s="1">
        <v>0.7892</v>
      </c>
      <c r="BP366" s="1">
        <v>0.482</v>
      </c>
      <c r="BQ366" s="1">
        <v>2.4562</v>
      </c>
      <c r="BR366" s="1">
        <v>0.6505</v>
      </c>
      <c r="BS366" s="1">
        <v>0.504</v>
      </c>
      <c r="BT366" s="1">
        <v>0.566</v>
      </c>
      <c r="BU366" s="1">
        <v>0.61</v>
      </c>
      <c r="BV366" s="1">
        <v>1.68</v>
      </c>
      <c r="BW366" s="1">
        <v>0.626</v>
      </c>
      <c r="BX366" s="1">
        <v>0.48</v>
      </c>
      <c r="BY366" s="1">
        <v>0.735</v>
      </c>
      <c r="BZ366" s="1">
        <v>1.215</v>
      </c>
      <c r="CA366" s="1">
        <v>0.668</v>
      </c>
      <c r="CB366" s="1">
        <v>0.0</v>
      </c>
      <c r="CC366" s="1">
        <v>0.983</v>
      </c>
      <c r="CD366" s="1">
        <v>0.942</v>
      </c>
      <c r="CE366" s="1">
        <v>0.341</v>
      </c>
      <c r="CF366" s="1">
        <v>0.0</v>
      </c>
      <c r="CG366" s="1">
        <v>2.266</v>
      </c>
      <c r="CH366" s="1">
        <v>0.444</v>
      </c>
      <c r="CI366" s="1">
        <v>7.6172</v>
      </c>
      <c r="CJ366" s="1">
        <v>0.6556</v>
      </c>
      <c r="CK366" s="1">
        <v>0.0</v>
      </c>
      <c r="CL366" s="1">
        <v>0.0</v>
      </c>
      <c r="CM366" s="1">
        <v>0.0</v>
      </c>
      <c r="CN366" s="1">
        <v>0.0</v>
      </c>
      <c r="CO366" s="1">
        <v>0.0</v>
      </c>
      <c r="CP366" s="1">
        <v>0.0</v>
      </c>
      <c r="CQ366" s="1">
        <v>0.0</v>
      </c>
      <c r="CR366" s="1">
        <v>0.0</v>
      </c>
      <c r="CS366" s="1">
        <v>0.0</v>
      </c>
      <c r="CT366" s="1">
        <v>0.0</v>
      </c>
      <c r="CU366" s="1">
        <v>0.0</v>
      </c>
      <c r="CV366" s="1">
        <v>0.0</v>
      </c>
      <c r="CW366" s="1">
        <v>0.0</v>
      </c>
      <c r="CX366" s="1">
        <v>1.0</v>
      </c>
      <c r="CY366" s="1">
        <v>1.0</v>
      </c>
      <c r="CZ366" s="1">
        <v>0.0</v>
      </c>
      <c r="DA366" s="1">
        <v>0.0</v>
      </c>
      <c r="DB366" s="1">
        <v>2.0</v>
      </c>
      <c r="DC366" s="1">
        <v>2.0</v>
      </c>
      <c r="DD366" s="1" t="s">
        <v>1802</v>
      </c>
      <c r="DE366" s="1">
        <v>0.00440233890334377</v>
      </c>
      <c r="DF366" s="2" t="s">
        <v>1803</v>
      </c>
    </row>
    <row r="367" ht="15.75" customHeight="1">
      <c r="A367" s="1" t="s">
        <v>1804</v>
      </c>
      <c r="B367" s="1">
        <v>29.0</v>
      </c>
      <c r="C367" s="2" t="s">
        <v>1606</v>
      </c>
      <c r="D367" s="2" t="s">
        <v>1805</v>
      </c>
      <c r="E367" s="1">
        <v>7.93</v>
      </c>
      <c r="F367" s="1">
        <v>29077.0</v>
      </c>
      <c r="G367" s="1">
        <v>2.90770045E10</v>
      </c>
      <c r="H367" s="1" t="s">
        <v>112</v>
      </c>
      <c r="I367" s="1" t="s">
        <v>113</v>
      </c>
      <c r="J367" s="1" t="s">
        <v>1607</v>
      </c>
      <c r="K367" s="1" t="s">
        <v>1806</v>
      </c>
      <c r="L367" s="1">
        <v>2792.0</v>
      </c>
      <c r="M367" s="1">
        <v>2676.0</v>
      </c>
      <c r="N367" s="1">
        <v>256.0</v>
      </c>
      <c r="O367" s="1">
        <v>1373.0</v>
      </c>
      <c r="P367" s="1">
        <v>1358.0</v>
      </c>
      <c r="Q367" s="1">
        <v>110.0</v>
      </c>
      <c r="R367" s="1">
        <v>1246.0</v>
      </c>
      <c r="S367" s="1">
        <v>82.0</v>
      </c>
      <c r="T367" s="1">
        <v>72.0</v>
      </c>
      <c r="U367" s="1">
        <v>29.0</v>
      </c>
      <c r="V367" s="1">
        <v>471.0</v>
      </c>
      <c r="W367" s="1">
        <v>24331.0</v>
      </c>
      <c r="X367" s="1">
        <v>2884.0</v>
      </c>
      <c r="Y367" s="1">
        <v>97.0</v>
      </c>
      <c r="Z367" s="1">
        <v>382.0</v>
      </c>
      <c r="AA367" s="1">
        <v>344.0</v>
      </c>
      <c r="AB367" s="1">
        <v>514.0</v>
      </c>
      <c r="AC367" s="1">
        <v>103.0</v>
      </c>
      <c r="AD367" s="1">
        <v>229.0</v>
      </c>
      <c r="AE367" s="1">
        <v>0.0</v>
      </c>
      <c r="AF367" s="1">
        <v>456.0</v>
      </c>
      <c r="AG367" s="1">
        <v>519.0</v>
      </c>
      <c r="AH367" s="1">
        <v>120.0</v>
      </c>
      <c r="AI367" s="1">
        <v>47.0</v>
      </c>
      <c r="AJ367" s="1">
        <v>35.0</v>
      </c>
      <c r="AK367" s="1">
        <v>11.0</v>
      </c>
      <c r="AL367" s="1">
        <v>116.0</v>
      </c>
      <c r="AM367" s="1">
        <v>42.0</v>
      </c>
      <c r="AN367" s="1">
        <v>38.0</v>
      </c>
      <c r="AO367" s="1">
        <v>0.0</v>
      </c>
      <c r="AP367" s="1">
        <v>0.030642</v>
      </c>
      <c r="AQ367" s="1">
        <v>0.026745</v>
      </c>
      <c r="AR367" s="1">
        <v>0.018046</v>
      </c>
      <c r="AS367" s="1">
        <v>0.29308</v>
      </c>
      <c r="AT367" s="1">
        <v>24331.0</v>
      </c>
      <c r="AU367" s="1">
        <v>2884.0</v>
      </c>
      <c r="AV367" s="1">
        <v>0.054802</v>
      </c>
      <c r="AW367" s="1">
        <v>0.215757</v>
      </c>
      <c r="AX367" s="1">
        <v>0.123209</v>
      </c>
      <c r="AY367" s="1">
        <v>0.184097</v>
      </c>
      <c r="AZ367" s="1">
        <v>0.08266452</v>
      </c>
      <c r="BA367" s="1">
        <v>0.08202</v>
      </c>
      <c r="BB367" s="1">
        <v>0.0</v>
      </c>
      <c r="BC367" s="1">
        <v>0.179527</v>
      </c>
      <c r="BD367" s="1">
        <v>0.382179</v>
      </c>
      <c r="BE367" s="1">
        <v>0.082765</v>
      </c>
      <c r="BF367" s="1">
        <v>0.034609</v>
      </c>
      <c r="BG367" s="1">
        <v>0.02562</v>
      </c>
      <c r="BH367" s="1">
        <v>0.008828</v>
      </c>
      <c r="BI367" s="1">
        <v>0.093092</v>
      </c>
      <c r="BJ367" s="1">
        <v>0.033707</v>
      </c>
      <c r="BK367" s="1">
        <v>0.030268</v>
      </c>
      <c r="BL367" s="1">
        <v>0.0</v>
      </c>
      <c r="BM367" s="1">
        <v>0.089</v>
      </c>
      <c r="BN367" s="1">
        <v>0.022</v>
      </c>
      <c r="BO367" s="1">
        <v>0.3783</v>
      </c>
      <c r="BP367" s="1">
        <v>0.146</v>
      </c>
      <c r="BQ367" s="1">
        <v>0.6353</v>
      </c>
      <c r="BR367" s="1">
        <v>0.1054</v>
      </c>
      <c r="BS367" s="1">
        <v>0.364</v>
      </c>
      <c r="BT367" s="1">
        <v>0.133</v>
      </c>
      <c r="BU367" s="1">
        <v>0.333</v>
      </c>
      <c r="BV367" s="1">
        <v>0.83</v>
      </c>
      <c r="BW367" s="1">
        <v>0.079</v>
      </c>
      <c r="BX367" s="1">
        <v>0.405</v>
      </c>
      <c r="BY367" s="1">
        <v>0.0</v>
      </c>
      <c r="BZ367" s="1">
        <v>0.405</v>
      </c>
      <c r="CA367" s="1">
        <v>0.164</v>
      </c>
      <c r="CB367" s="1">
        <v>0.966</v>
      </c>
      <c r="CC367" s="1">
        <v>0.561</v>
      </c>
      <c r="CD367" s="1">
        <v>0.452</v>
      </c>
      <c r="CE367" s="1">
        <v>0.321</v>
      </c>
      <c r="CF367" s="1">
        <v>0.0</v>
      </c>
      <c r="CG367" s="1">
        <v>2.3</v>
      </c>
      <c r="CH367" s="1">
        <v>0.458</v>
      </c>
      <c r="CI367" s="1">
        <v>4.1703</v>
      </c>
      <c r="CJ367" s="1">
        <v>0.0996</v>
      </c>
      <c r="CK367" s="1">
        <v>0.0</v>
      </c>
      <c r="CL367" s="1">
        <v>0.0</v>
      </c>
      <c r="CM367" s="1">
        <v>0.0</v>
      </c>
      <c r="CN367" s="1">
        <v>0.0</v>
      </c>
      <c r="CO367" s="1">
        <v>0.0</v>
      </c>
      <c r="CP367" s="1">
        <v>0.0</v>
      </c>
      <c r="CQ367" s="1">
        <v>0.0</v>
      </c>
      <c r="CR367" s="1">
        <v>0.0</v>
      </c>
      <c r="CS367" s="1">
        <v>0.0</v>
      </c>
      <c r="CT367" s="1">
        <v>0.0</v>
      </c>
      <c r="CU367" s="1">
        <v>0.0</v>
      </c>
      <c r="CV367" s="1">
        <v>0.0</v>
      </c>
      <c r="CW367" s="1">
        <v>1.0</v>
      </c>
      <c r="CX367" s="1">
        <v>0.0</v>
      </c>
      <c r="CY367" s="1">
        <v>0.0</v>
      </c>
      <c r="CZ367" s="1">
        <v>0.0</v>
      </c>
      <c r="DA367" s="1">
        <v>0.0</v>
      </c>
      <c r="DB367" s="1">
        <v>1.0</v>
      </c>
      <c r="DC367" s="1">
        <v>1.0</v>
      </c>
      <c r="DD367" s="1" t="s">
        <v>1807</v>
      </c>
      <c r="DE367" s="1">
        <v>0.00208665952643505</v>
      </c>
      <c r="DF367" s="2" t="s">
        <v>1808</v>
      </c>
    </row>
    <row r="368" ht="15.75" customHeight="1">
      <c r="A368" s="1" t="s">
        <v>1809</v>
      </c>
      <c r="B368" s="1">
        <v>29.0</v>
      </c>
      <c r="C368" s="2" t="s">
        <v>1606</v>
      </c>
      <c r="D368" s="2" t="s">
        <v>1810</v>
      </c>
      <c r="E368" s="1">
        <v>74.239</v>
      </c>
      <c r="F368" s="1">
        <v>29077.0</v>
      </c>
      <c r="G368" s="1">
        <v>2.90770046E10</v>
      </c>
      <c r="H368" s="1" t="s">
        <v>112</v>
      </c>
      <c r="I368" s="1" t="s">
        <v>113</v>
      </c>
      <c r="J368" s="1" t="s">
        <v>1607</v>
      </c>
      <c r="K368" s="1" t="s">
        <v>1811</v>
      </c>
      <c r="L368" s="1">
        <v>7124.0</v>
      </c>
      <c r="M368" s="1">
        <v>6784.0</v>
      </c>
      <c r="N368" s="1">
        <v>560.0</v>
      </c>
      <c r="O368" s="1">
        <v>2933.0</v>
      </c>
      <c r="P368" s="1">
        <v>2739.0</v>
      </c>
      <c r="Q368" s="1">
        <v>141.0</v>
      </c>
      <c r="R368" s="1">
        <v>2718.0</v>
      </c>
      <c r="S368" s="1">
        <v>633.0</v>
      </c>
      <c r="T368" s="1">
        <v>189.0</v>
      </c>
      <c r="U368" s="1">
        <v>230.0</v>
      </c>
      <c r="V368" s="1">
        <v>336.0</v>
      </c>
      <c r="W368" s="1">
        <v>21871.0</v>
      </c>
      <c r="X368" s="1">
        <v>2290.0</v>
      </c>
      <c r="Y368" s="1">
        <v>645.0</v>
      </c>
      <c r="Z368" s="1">
        <v>266.0</v>
      </c>
      <c r="AA368" s="1">
        <v>969.0</v>
      </c>
      <c r="AB368" s="1">
        <v>1836.0</v>
      </c>
      <c r="AC368" s="1">
        <v>242.0</v>
      </c>
      <c r="AD368" s="1">
        <v>292.0</v>
      </c>
      <c r="AE368" s="1">
        <v>0.0</v>
      </c>
      <c r="AF368" s="1">
        <v>456.0</v>
      </c>
      <c r="AG368" s="1">
        <v>35.0</v>
      </c>
      <c r="AH368" s="1">
        <v>163.0</v>
      </c>
      <c r="AI368" s="1">
        <v>339.0</v>
      </c>
      <c r="AJ368" s="1">
        <v>130.0</v>
      </c>
      <c r="AK368" s="1">
        <v>82.0</v>
      </c>
      <c r="AL368" s="1">
        <v>136.0</v>
      </c>
      <c r="AM368" s="1">
        <v>108.0</v>
      </c>
      <c r="AN368" s="1">
        <v>39.0</v>
      </c>
      <c r="AO368" s="1">
        <v>104.0</v>
      </c>
      <c r="AP368" s="1">
        <v>0.093791</v>
      </c>
      <c r="AQ368" s="1">
        <v>0.026905</v>
      </c>
      <c r="AR368" s="1">
        <v>0.069718</v>
      </c>
      <c r="AS368" s="1">
        <v>0.101674</v>
      </c>
      <c r="AT368" s="1">
        <v>21871.0</v>
      </c>
      <c r="AU368" s="1">
        <v>2290.0</v>
      </c>
      <c r="AV368" s="1">
        <v>0.146857</v>
      </c>
      <c r="AW368" s="1">
        <v>0.059989</v>
      </c>
      <c r="AX368" s="1">
        <v>0.136019</v>
      </c>
      <c r="AY368" s="1">
        <v>0.25772</v>
      </c>
      <c r="AZ368" s="1">
        <v>0.08903605</v>
      </c>
      <c r="BA368" s="1">
        <v>0.040988</v>
      </c>
      <c r="BB368" s="1">
        <v>0.0</v>
      </c>
      <c r="BC368" s="1">
        <v>0.072151</v>
      </c>
      <c r="BD368" s="1">
        <v>0.012778</v>
      </c>
      <c r="BE368" s="1">
        <v>0.059507</v>
      </c>
      <c r="BF368" s="1">
        <v>0.123767</v>
      </c>
      <c r="BG368" s="1">
        <v>0.047032</v>
      </c>
      <c r="BH368" s="1">
        <v>0.031931</v>
      </c>
      <c r="BI368" s="1">
        <v>0.052931</v>
      </c>
      <c r="BJ368" s="1">
        <v>0.042056</v>
      </c>
      <c r="BK368" s="1">
        <v>0.015015</v>
      </c>
      <c r="BL368" s="1">
        <v>0.014598</v>
      </c>
      <c r="BM368" s="1">
        <v>0.353</v>
      </c>
      <c r="BN368" s="1">
        <v>0.513</v>
      </c>
      <c r="BO368" s="1">
        <v>0.5025</v>
      </c>
      <c r="BP368" s="1">
        <v>0.553</v>
      </c>
      <c r="BQ368" s="1">
        <v>1.9215</v>
      </c>
      <c r="BR368" s="1">
        <v>0.4671</v>
      </c>
      <c r="BS368" s="1">
        <v>0.463</v>
      </c>
      <c r="BT368" s="1">
        <v>0.682</v>
      </c>
      <c r="BU368" s="1">
        <v>0.392</v>
      </c>
      <c r="BV368" s="1">
        <v>1.537</v>
      </c>
      <c r="BW368" s="1">
        <v>0.512</v>
      </c>
      <c r="BX368" s="1">
        <v>0.171</v>
      </c>
      <c r="BY368" s="1">
        <v>0.0</v>
      </c>
      <c r="BZ368" s="1">
        <v>0.171</v>
      </c>
      <c r="CA368" s="1">
        <v>0.08</v>
      </c>
      <c r="CB368" s="1">
        <v>0.408</v>
      </c>
      <c r="CC368" s="1">
        <v>0.766</v>
      </c>
      <c r="CD368" s="1">
        <v>0.83</v>
      </c>
      <c r="CE368" s="1">
        <v>0.413</v>
      </c>
      <c r="CF368" s="1">
        <v>0.643</v>
      </c>
      <c r="CG368" s="1">
        <v>3.06</v>
      </c>
      <c r="CH368" s="1">
        <v>0.797</v>
      </c>
      <c r="CI368" s="1">
        <v>6.6895</v>
      </c>
      <c r="CJ368" s="1">
        <v>0.4881</v>
      </c>
      <c r="CK368" s="1">
        <v>0.0</v>
      </c>
      <c r="CL368" s="1">
        <v>0.0</v>
      </c>
      <c r="CM368" s="1">
        <v>0.0</v>
      </c>
      <c r="CN368" s="1">
        <v>0.0</v>
      </c>
      <c r="CO368" s="1">
        <v>0.0</v>
      </c>
      <c r="CP368" s="1">
        <v>0.0</v>
      </c>
      <c r="CQ368" s="1">
        <v>0.0</v>
      </c>
      <c r="CR368" s="1">
        <v>0.0</v>
      </c>
      <c r="CS368" s="1">
        <v>0.0</v>
      </c>
      <c r="CT368" s="1">
        <v>0.0</v>
      </c>
      <c r="CU368" s="1">
        <v>0.0</v>
      </c>
      <c r="CV368" s="1">
        <v>0.0</v>
      </c>
      <c r="CW368" s="1">
        <v>0.0</v>
      </c>
      <c r="CX368" s="1">
        <v>0.0</v>
      </c>
      <c r="CY368" s="1">
        <v>0.0</v>
      </c>
      <c r="CZ368" s="1">
        <v>0.0</v>
      </c>
      <c r="DA368" s="1">
        <v>0.0</v>
      </c>
      <c r="DB368" s="1">
        <v>0.0</v>
      </c>
      <c r="DC368" s="1">
        <v>0.0</v>
      </c>
      <c r="DD368" s="1" t="s">
        <v>1812</v>
      </c>
      <c r="DE368" s="2" t="s">
        <v>1813</v>
      </c>
      <c r="DF368" s="2" t="s">
        <v>1814</v>
      </c>
    </row>
    <row r="369" ht="15.75" customHeight="1">
      <c r="A369" s="1" t="s">
        <v>1815</v>
      </c>
      <c r="B369" s="1">
        <v>29.0</v>
      </c>
      <c r="C369" s="2" t="s">
        <v>1606</v>
      </c>
      <c r="D369" s="2" t="s">
        <v>1816</v>
      </c>
      <c r="E369" s="1">
        <v>59.954</v>
      </c>
      <c r="F369" s="1">
        <v>29077.0</v>
      </c>
      <c r="G369" s="1">
        <v>2.90770047E10</v>
      </c>
      <c r="H369" s="1" t="s">
        <v>112</v>
      </c>
      <c r="I369" s="1" t="s">
        <v>113</v>
      </c>
      <c r="J369" s="1" t="s">
        <v>1607</v>
      </c>
      <c r="K369" s="1" t="s">
        <v>1817</v>
      </c>
      <c r="L369" s="1">
        <v>5069.0</v>
      </c>
      <c r="M369" s="1">
        <v>4782.0</v>
      </c>
      <c r="N369" s="1">
        <v>395.0</v>
      </c>
      <c r="O369" s="1">
        <v>2211.0</v>
      </c>
      <c r="P369" s="1">
        <v>2057.0</v>
      </c>
      <c r="Q369" s="1">
        <v>155.0</v>
      </c>
      <c r="R369" s="1">
        <v>2021.0</v>
      </c>
      <c r="S369" s="1">
        <v>736.0</v>
      </c>
      <c r="T369" s="1">
        <v>391.0</v>
      </c>
      <c r="U369" s="1">
        <v>136.0</v>
      </c>
      <c r="V369" s="1">
        <v>467.0</v>
      </c>
      <c r="W369" s="1">
        <v>30390.0</v>
      </c>
      <c r="X369" s="1">
        <v>7372.0</v>
      </c>
      <c r="Y369" s="1">
        <v>292.0</v>
      </c>
      <c r="Z369" s="1">
        <v>320.0</v>
      </c>
      <c r="AA369" s="1">
        <v>868.0</v>
      </c>
      <c r="AB369" s="1">
        <v>1087.0</v>
      </c>
      <c r="AC369" s="1">
        <v>112.0</v>
      </c>
      <c r="AD369" s="1">
        <v>181.0</v>
      </c>
      <c r="AE369" s="1">
        <v>15.0</v>
      </c>
      <c r="AF369" s="1">
        <v>442.0</v>
      </c>
      <c r="AG369" s="1">
        <v>0.0</v>
      </c>
      <c r="AH369" s="1">
        <v>197.0</v>
      </c>
      <c r="AI369" s="1">
        <v>225.0</v>
      </c>
      <c r="AJ369" s="1">
        <v>83.0</v>
      </c>
      <c r="AK369" s="1">
        <v>0.0</v>
      </c>
      <c r="AL369" s="1">
        <v>161.0</v>
      </c>
      <c r="AM369" s="1">
        <v>19.0</v>
      </c>
      <c r="AN369" s="1">
        <v>116.0</v>
      </c>
      <c r="AO369" s="1">
        <v>0.0</v>
      </c>
      <c r="AP369" s="1">
        <v>0.15391</v>
      </c>
      <c r="AQ369" s="1">
        <v>0.08077</v>
      </c>
      <c r="AR369" s="1">
        <v>0.056408</v>
      </c>
      <c r="AS369" s="1">
        <v>0.193551</v>
      </c>
      <c r="AT369" s="1">
        <v>30390.0</v>
      </c>
      <c r="AU369" s="1">
        <v>7372.0</v>
      </c>
      <c r="AV369" s="1">
        <v>0.086595</v>
      </c>
      <c r="AW369" s="1">
        <v>0.094651</v>
      </c>
      <c r="AX369" s="1">
        <v>0.171236</v>
      </c>
      <c r="AY369" s="1">
        <v>0.21444</v>
      </c>
      <c r="AZ369" s="1">
        <v>0.0554181</v>
      </c>
      <c r="BA369" s="1">
        <v>0.035707</v>
      </c>
      <c r="BB369" s="1">
        <v>0.003314</v>
      </c>
      <c r="BC369" s="1">
        <v>0.097679</v>
      </c>
      <c r="BD369" s="1">
        <v>0.0</v>
      </c>
      <c r="BE369" s="1">
        <v>0.09577</v>
      </c>
      <c r="BF369" s="1">
        <v>0.109382</v>
      </c>
      <c r="BG369" s="1">
        <v>0.039499</v>
      </c>
      <c r="BH369" s="1">
        <v>0.0</v>
      </c>
      <c r="BI369" s="1">
        <v>0.081518</v>
      </c>
      <c r="BJ369" s="1">
        <v>0.00962</v>
      </c>
      <c r="BK369" s="1">
        <v>0.05873</v>
      </c>
      <c r="BL369" s="1">
        <v>0.0</v>
      </c>
      <c r="BM369" s="1">
        <v>0.592</v>
      </c>
      <c r="BN369" s="1">
        <v>0.374</v>
      </c>
      <c r="BO369" s="1">
        <v>0.1877</v>
      </c>
      <c r="BP369" s="1">
        <v>0.278</v>
      </c>
      <c r="BQ369" s="1">
        <v>1.4317</v>
      </c>
      <c r="BR369" s="1">
        <v>0.3227</v>
      </c>
      <c r="BS369" s="1">
        <v>0.744</v>
      </c>
      <c r="BT369" s="1">
        <v>0.261</v>
      </c>
      <c r="BU369" s="1">
        <v>0.105</v>
      </c>
      <c r="BV369" s="1">
        <v>1.11</v>
      </c>
      <c r="BW369" s="1">
        <v>0.173</v>
      </c>
      <c r="BX369" s="1">
        <v>0.125</v>
      </c>
      <c r="BY369" s="1">
        <v>0.469</v>
      </c>
      <c r="BZ369" s="1">
        <v>0.594</v>
      </c>
      <c r="CA369" s="1">
        <v>0.264</v>
      </c>
      <c r="CB369" s="1">
        <v>0.0</v>
      </c>
      <c r="CC369" s="1">
        <v>0.739</v>
      </c>
      <c r="CD369" s="1">
        <v>0.0</v>
      </c>
      <c r="CE369" s="1">
        <v>0.081</v>
      </c>
      <c r="CF369" s="1">
        <v>0.0</v>
      </c>
      <c r="CG369" s="1">
        <v>0.82</v>
      </c>
      <c r="CH369" s="1">
        <v>0.056</v>
      </c>
      <c r="CI369" s="1">
        <v>3.9557</v>
      </c>
      <c r="CJ369" s="1">
        <v>0.0801</v>
      </c>
      <c r="CK369" s="1">
        <v>0.0</v>
      </c>
      <c r="CL369" s="1">
        <v>0.0</v>
      </c>
      <c r="CM369" s="1">
        <v>0.0</v>
      </c>
      <c r="CN369" s="1">
        <v>0.0</v>
      </c>
      <c r="CO369" s="1">
        <v>0.0</v>
      </c>
      <c r="CP369" s="1">
        <v>0.0</v>
      </c>
      <c r="CQ369" s="1">
        <v>0.0</v>
      </c>
      <c r="CR369" s="1">
        <v>0.0</v>
      </c>
      <c r="CS369" s="1">
        <v>0.0</v>
      </c>
      <c r="CT369" s="1">
        <v>0.0</v>
      </c>
      <c r="CU369" s="1">
        <v>0.0</v>
      </c>
      <c r="CV369" s="1">
        <v>0.0</v>
      </c>
      <c r="CW369" s="1">
        <v>0.0</v>
      </c>
      <c r="CX369" s="1">
        <v>0.0</v>
      </c>
      <c r="CY369" s="1">
        <v>0.0</v>
      </c>
      <c r="CZ369" s="1">
        <v>0.0</v>
      </c>
      <c r="DA369" s="1">
        <v>0.0</v>
      </c>
      <c r="DB369" s="1">
        <v>0.0</v>
      </c>
      <c r="DC369" s="1">
        <v>0.0</v>
      </c>
      <c r="DD369" s="1" t="s">
        <v>1818</v>
      </c>
      <c r="DE369" s="2" t="s">
        <v>1819</v>
      </c>
      <c r="DF369" s="2" t="s">
        <v>1820</v>
      </c>
    </row>
    <row r="370" ht="15.75" customHeight="1">
      <c r="A370" s="1" t="s">
        <v>1821</v>
      </c>
      <c r="B370" s="1">
        <v>29.0</v>
      </c>
      <c r="C370" s="2" t="s">
        <v>1606</v>
      </c>
      <c r="D370" s="2" t="s">
        <v>1822</v>
      </c>
      <c r="E370" s="1">
        <v>35.647</v>
      </c>
      <c r="F370" s="1">
        <v>29077.0</v>
      </c>
      <c r="G370" s="1">
        <v>2.9077004801E10</v>
      </c>
      <c r="H370" s="1" t="s">
        <v>112</v>
      </c>
      <c r="I370" s="1" t="s">
        <v>113</v>
      </c>
      <c r="J370" s="1" t="s">
        <v>1607</v>
      </c>
      <c r="K370" s="1" t="s">
        <v>1823</v>
      </c>
      <c r="L370" s="1">
        <v>6379.0</v>
      </c>
      <c r="M370" s="1">
        <v>5458.0</v>
      </c>
      <c r="N370" s="1">
        <v>479.0</v>
      </c>
      <c r="O370" s="1">
        <v>2764.0</v>
      </c>
      <c r="P370" s="1">
        <v>2454.0</v>
      </c>
      <c r="Q370" s="1">
        <v>146.0</v>
      </c>
      <c r="R370" s="1">
        <v>2371.0</v>
      </c>
      <c r="S370" s="1">
        <v>337.0</v>
      </c>
      <c r="T370" s="1">
        <v>195.0</v>
      </c>
      <c r="U370" s="1">
        <v>164.0</v>
      </c>
      <c r="V370" s="1">
        <v>389.0</v>
      </c>
      <c r="W370" s="1">
        <v>23095.0</v>
      </c>
      <c r="X370" s="1">
        <v>1631.0</v>
      </c>
      <c r="Y370" s="1">
        <v>336.0</v>
      </c>
      <c r="Z370" s="1">
        <v>286.0</v>
      </c>
      <c r="AA370" s="1">
        <v>508.0</v>
      </c>
      <c r="AB370" s="1">
        <v>1875.0</v>
      </c>
      <c r="AC370" s="1">
        <v>290.0</v>
      </c>
      <c r="AD370" s="1">
        <v>455.0</v>
      </c>
      <c r="AE370" s="1">
        <v>4.0</v>
      </c>
      <c r="AF370" s="1">
        <v>442.0</v>
      </c>
      <c r="AG370" s="1">
        <v>234.0</v>
      </c>
      <c r="AH370" s="1">
        <v>164.0</v>
      </c>
      <c r="AI370" s="1">
        <v>375.0</v>
      </c>
      <c r="AJ370" s="1">
        <v>122.0</v>
      </c>
      <c r="AK370" s="1">
        <v>37.0</v>
      </c>
      <c r="AL370" s="1">
        <v>119.0</v>
      </c>
      <c r="AM370" s="1">
        <v>55.0</v>
      </c>
      <c r="AN370" s="1">
        <v>120.0</v>
      </c>
      <c r="AO370" s="1">
        <v>4.0</v>
      </c>
      <c r="AP370" s="1">
        <v>0.062592</v>
      </c>
      <c r="AQ370" s="1">
        <v>0.035823</v>
      </c>
      <c r="AR370" s="1">
        <v>0.058135</v>
      </c>
      <c r="AS370" s="1">
        <v>0.137715</v>
      </c>
      <c r="AT370" s="1">
        <v>23095.0</v>
      </c>
      <c r="AU370" s="1">
        <v>1631.0</v>
      </c>
      <c r="AV370" s="1">
        <v>0.09246</v>
      </c>
      <c r="AW370" s="1">
        <v>0.078335</v>
      </c>
      <c r="AX370" s="1">
        <v>0.079636</v>
      </c>
      <c r="AY370" s="1">
        <v>0.293933</v>
      </c>
      <c r="AZ370" s="1">
        <v>0.12231126</v>
      </c>
      <c r="BA370" s="1">
        <v>0.071327</v>
      </c>
      <c r="BB370" s="1">
        <v>7.96E-4</v>
      </c>
      <c r="BC370" s="1">
        <v>0.088012</v>
      </c>
      <c r="BD370" s="1">
        <v>0.095354</v>
      </c>
      <c r="BE370" s="1">
        <v>0.066588</v>
      </c>
      <c r="BF370" s="1">
        <v>0.152811</v>
      </c>
      <c r="BG370" s="1">
        <v>0.048876</v>
      </c>
      <c r="BH370" s="1">
        <v>0.01691</v>
      </c>
      <c r="BI370" s="1">
        <v>0.054366</v>
      </c>
      <c r="BJ370" s="1">
        <v>0.025137</v>
      </c>
      <c r="BK370" s="1">
        <v>0.054799</v>
      </c>
      <c r="BL370" s="1">
        <v>6.27E-4</v>
      </c>
      <c r="BM370" s="1">
        <v>0.217</v>
      </c>
      <c r="BN370" s="1">
        <v>0.393</v>
      </c>
      <c r="BO370" s="1">
        <v>0.4426</v>
      </c>
      <c r="BP370" s="1">
        <v>0.305</v>
      </c>
      <c r="BQ370" s="1">
        <v>1.3576</v>
      </c>
      <c r="BR370" s="1">
        <v>0.2982</v>
      </c>
      <c r="BS370" s="1">
        <v>0.115</v>
      </c>
      <c r="BT370" s="1">
        <v>0.9</v>
      </c>
      <c r="BU370" s="1">
        <v>0.681</v>
      </c>
      <c r="BV370" s="1">
        <v>1.696</v>
      </c>
      <c r="BW370" s="1">
        <v>0.638</v>
      </c>
      <c r="BX370" s="1">
        <v>0.366</v>
      </c>
      <c r="BY370" s="1">
        <v>0.328</v>
      </c>
      <c r="BZ370" s="1">
        <v>0.694</v>
      </c>
      <c r="CA370" s="1">
        <v>0.331</v>
      </c>
      <c r="CB370" s="1">
        <v>0.763</v>
      </c>
      <c r="CC370" s="1">
        <v>0.823</v>
      </c>
      <c r="CD370" s="1">
        <v>0.628</v>
      </c>
      <c r="CE370" s="1">
        <v>0.239</v>
      </c>
      <c r="CF370" s="1">
        <v>0.374</v>
      </c>
      <c r="CG370" s="1">
        <v>2.827</v>
      </c>
      <c r="CH370" s="1">
        <v>0.7</v>
      </c>
      <c r="CI370" s="1">
        <v>6.5746</v>
      </c>
      <c r="CJ370" s="1">
        <v>0.4715</v>
      </c>
      <c r="CK370" s="1">
        <v>0.0</v>
      </c>
      <c r="CL370" s="1">
        <v>0.0</v>
      </c>
      <c r="CM370" s="1">
        <v>0.0</v>
      </c>
      <c r="CN370" s="1">
        <v>0.0</v>
      </c>
      <c r="CO370" s="1">
        <v>0.0</v>
      </c>
      <c r="CP370" s="1">
        <v>0.0</v>
      </c>
      <c r="CQ370" s="1">
        <v>1.0</v>
      </c>
      <c r="CR370" s="1">
        <v>0.0</v>
      </c>
      <c r="CS370" s="1">
        <v>1.0</v>
      </c>
      <c r="CT370" s="1">
        <v>0.0</v>
      </c>
      <c r="CU370" s="1">
        <v>0.0</v>
      </c>
      <c r="CV370" s="1">
        <v>0.0</v>
      </c>
      <c r="CW370" s="1">
        <v>0.0</v>
      </c>
      <c r="CX370" s="1">
        <v>0.0</v>
      </c>
      <c r="CY370" s="1">
        <v>0.0</v>
      </c>
      <c r="CZ370" s="1">
        <v>0.0</v>
      </c>
      <c r="DA370" s="1">
        <v>0.0</v>
      </c>
      <c r="DB370" s="1">
        <v>0.0</v>
      </c>
      <c r="DC370" s="1">
        <v>1.0</v>
      </c>
      <c r="DD370" s="1" t="s">
        <v>1824</v>
      </c>
      <c r="DE370" s="1">
        <v>0.00936987649113502</v>
      </c>
      <c r="DF370" s="2" t="s">
        <v>1825</v>
      </c>
    </row>
    <row r="371" ht="15.75" customHeight="1">
      <c r="A371" s="1" t="s">
        <v>1826</v>
      </c>
      <c r="B371" s="1">
        <v>29.0</v>
      </c>
      <c r="C371" s="2" t="s">
        <v>1606</v>
      </c>
      <c r="D371" s="2" t="s">
        <v>1827</v>
      </c>
      <c r="E371" s="1">
        <v>9.183</v>
      </c>
      <c r="F371" s="1">
        <v>29077.0</v>
      </c>
      <c r="G371" s="1">
        <v>2.9077004803E10</v>
      </c>
      <c r="H371" s="1" t="s">
        <v>112</v>
      </c>
      <c r="I371" s="1" t="s">
        <v>113</v>
      </c>
      <c r="J371" s="1" t="s">
        <v>1607</v>
      </c>
      <c r="K371" s="1" t="s">
        <v>1828</v>
      </c>
      <c r="L371" s="1">
        <v>4941.0</v>
      </c>
      <c r="M371" s="1">
        <v>4354.0</v>
      </c>
      <c r="N371" s="1">
        <v>354.0</v>
      </c>
      <c r="O371" s="1">
        <v>2045.0</v>
      </c>
      <c r="P371" s="1">
        <v>1973.0</v>
      </c>
      <c r="Q371" s="1">
        <v>107.0</v>
      </c>
      <c r="R371" s="1">
        <v>1885.0</v>
      </c>
      <c r="S371" s="1">
        <v>523.0</v>
      </c>
      <c r="T371" s="1">
        <v>210.0</v>
      </c>
      <c r="U371" s="1">
        <v>133.0</v>
      </c>
      <c r="V371" s="1">
        <v>402.0</v>
      </c>
      <c r="W371" s="1">
        <v>22988.0</v>
      </c>
      <c r="X371" s="1">
        <v>2761.0</v>
      </c>
      <c r="Y371" s="1">
        <v>313.0</v>
      </c>
      <c r="Z371" s="1">
        <v>296.0</v>
      </c>
      <c r="AA371" s="1">
        <v>671.0</v>
      </c>
      <c r="AB371" s="1">
        <v>1399.0</v>
      </c>
      <c r="AC371" s="1">
        <v>257.0</v>
      </c>
      <c r="AD371" s="1">
        <v>227.0</v>
      </c>
      <c r="AE371" s="1">
        <v>0.0</v>
      </c>
      <c r="AF371" s="1">
        <v>456.0</v>
      </c>
      <c r="AG371" s="1">
        <v>51.0</v>
      </c>
      <c r="AH371" s="1">
        <v>125.0</v>
      </c>
      <c r="AI371" s="1">
        <v>0.0</v>
      </c>
      <c r="AJ371" s="1">
        <v>114.0</v>
      </c>
      <c r="AK371" s="1">
        <v>33.0</v>
      </c>
      <c r="AL371" s="1">
        <v>120.0</v>
      </c>
      <c r="AM371" s="1">
        <v>129.0</v>
      </c>
      <c r="AN371" s="1">
        <v>76.0</v>
      </c>
      <c r="AO371" s="1">
        <v>100.0</v>
      </c>
      <c r="AP371" s="1">
        <v>0.12485</v>
      </c>
      <c r="AQ371" s="1">
        <v>0.049278</v>
      </c>
      <c r="AR371" s="1">
        <v>0.061346</v>
      </c>
      <c r="AS371" s="1">
        <v>0.185287</v>
      </c>
      <c r="AT371" s="1">
        <v>22988.0</v>
      </c>
      <c r="AU371" s="1">
        <v>2761.0</v>
      </c>
      <c r="AV371" s="1">
        <v>0.106354</v>
      </c>
      <c r="AW371" s="1">
        <v>0.100161</v>
      </c>
      <c r="AX371" s="1">
        <v>0.135802</v>
      </c>
      <c r="AY371" s="1">
        <v>0.283141</v>
      </c>
      <c r="AZ371" s="1">
        <v>0.13633952</v>
      </c>
      <c r="BA371" s="1">
        <v>0.045942</v>
      </c>
      <c r="BB371" s="1">
        <v>0.0</v>
      </c>
      <c r="BC371" s="1">
        <v>0.113772</v>
      </c>
      <c r="BD371" s="1">
        <v>0.025848</v>
      </c>
      <c r="BE371" s="1">
        <v>0.063339</v>
      </c>
      <c r="BF371" s="1">
        <v>0.0</v>
      </c>
      <c r="BG371" s="1">
        <v>0.05778</v>
      </c>
      <c r="BH371" s="1">
        <v>0.018171</v>
      </c>
      <c r="BI371" s="1">
        <v>0.066065</v>
      </c>
      <c r="BJ371" s="1">
        <v>0.071035</v>
      </c>
      <c r="BK371" s="1">
        <v>0.04152</v>
      </c>
      <c r="BL371" s="1">
        <v>0.020238</v>
      </c>
      <c r="BM371" s="1">
        <v>0.473</v>
      </c>
      <c r="BN371" s="1">
        <v>0.428</v>
      </c>
      <c r="BO371" s="1">
        <v>0.4462</v>
      </c>
      <c r="BP371" s="1">
        <v>0.366</v>
      </c>
      <c r="BQ371" s="1">
        <v>1.7132</v>
      </c>
      <c r="BR371" s="1">
        <v>0.4051</v>
      </c>
      <c r="BS371" s="1">
        <v>0.461</v>
      </c>
      <c r="BT371" s="1">
        <v>0.861</v>
      </c>
      <c r="BU371" s="1">
        <v>0.746</v>
      </c>
      <c r="BV371" s="1">
        <v>2.068</v>
      </c>
      <c r="BW371" s="1">
        <v>0.902</v>
      </c>
      <c r="BX371" s="1">
        <v>0.22</v>
      </c>
      <c r="BY371" s="1">
        <v>0.0</v>
      </c>
      <c r="BZ371" s="1">
        <v>0.22</v>
      </c>
      <c r="CA371" s="1">
        <v>0.095</v>
      </c>
      <c r="CB371" s="1">
        <v>0.518</v>
      </c>
      <c r="CC371" s="1">
        <v>0.0</v>
      </c>
      <c r="CD371" s="1">
        <v>0.647</v>
      </c>
      <c r="CE371" s="1">
        <v>0.631</v>
      </c>
      <c r="CF371" s="1">
        <v>0.715</v>
      </c>
      <c r="CG371" s="1">
        <v>2.511</v>
      </c>
      <c r="CH371" s="1">
        <v>0.566</v>
      </c>
      <c r="CI371" s="1">
        <v>6.5122</v>
      </c>
      <c r="CJ371" s="1">
        <v>0.4606</v>
      </c>
      <c r="CK371" s="1">
        <v>0.0</v>
      </c>
      <c r="CL371" s="1">
        <v>0.0</v>
      </c>
      <c r="CM371" s="1">
        <v>0.0</v>
      </c>
      <c r="CN371" s="1">
        <v>0.0</v>
      </c>
      <c r="CO371" s="1">
        <v>0.0</v>
      </c>
      <c r="CP371" s="1">
        <v>0.0</v>
      </c>
      <c r="CQ371" s="1">
        <v>0.0</v>
      </c>
      <c r="CR371" s="1">
        <v>0.0</v>
      </c>
      <c r="CS371" s="1">
        <v>0.0</v>
      </c>
      <c r="CT371" s="1">
        <v>0.0</v>
      </c>
      <c r="CU371" s="1">
        <v>0.0</v>
      </c>
      <c r="CV371" s="1">
        <v>0.0</v>
      </c>
      <c r="CW371" s="1">
        <v>0.0</v>
      </c>
      <c r="CX371" s="1">
        <v>0.0</v>
      </c>
      <c r="CY371" s="1">
        <v>0.0</v>
      </c>
      <c r="CZ371" s="1">
        <v>0.0</v>
      </c>
      <c r="DA371" s="1">
        <v>0.0</v>
      </c>
      <c r="DB371" s="1">
        <v>0.0</v>
      </c>
      <c r="DC371" s="1">
        <v>0.0</v>
      </c>
      <c r="DD371" s="1" t="s">
        <v>1829</v>
      </c>
      <c r="DE371" s="1">
        <v>0.00241128272056855</v>
      </c>
      <c r="DF371" s="2" t="s">
        <v>1830</v>
      </c>
    </row>
    <row r="372" ht="15.75" customHeight="1">
      <c r="A372" s="1" t="s">
        <v>1831</v>
      </c>
      <c r="B372" s="1">
        <v>29.0</v>
      </c>
      <c r="C372" s="2" t="s">
        <v>1606</v>
      </c>
      <c r="D372" s="2" t="s">
        <v>1832</v>
      </c>
      <c r="E372" s="1">
        <v>94.462</v>
      </c>
      <c r="F372" s="1">
        <v>29077.0</v>
      </c>
      <c r="G372" s="1">
        <v>2.90770049E10</v>
      </c>
      <c r="H372" s="1" t="s">
        <v>112</v>
      </c>
      <c r="I372" s="1" t="s">
        <v>113</v>
      </c>
      <c r="J372" s="1" t="s">
        <v>1607</v>
      </c>
      <c r="K372" s="1" t="s">
        <v>1833</v>
      </c>
      <c r="L372" s="1">
        <v>5973.0</v>
      </c>
      <c r="M372" s="1">
        <v>5759.0</v>
      </c>
      <c r="N372" s="1">
        <v>452.0</v>
      </c>
      <c r="O372" s="1">
        <v>2439.0</v>
      </c>
      <c r="P372" s="1">
        <v>2375.0</v>
      </c>
      <c r="Q372" s="1">
        <v>122.0</v>
      </c>
      <c r="R372" s="1">
        <v>2280.0</v>
      </c>
      <c r="S372" s="1">
        <v>578.0</v>
      </c>
      <c r="T372" s="1">
        <v>326.0</v>
      </c>
      <c r="U372" s="1">
        <v>95.0</v>
      </c>
      <c r="V372" s="1">
        <v>430.0</v>
      </c>
      <c r="W372" s="1">
        <v>24753.0</v>
      </c>
      <c r="X372" s="1">
        <v>2873.0</v>
      </c>
      <c r="Y372" s="1">
        <v>491.0</v>
      </c>
      <c r="Z372" s="1">
        <v>335.0</v>
      </c>
      <c r="AA372" s="1">
        <v>918.0</v>
      </c>
      <c r="AB372" s="1">
        <v>1386.0</v>
      </c>
      <c r="AC372" s="1">
        <v>127.0</v>
      </c>
      <c r="AD372" s="1">
        <v>191.0</v>
      </c>
      <c r="AE372" s="1">
        <v>0.0</v>
      </c>
      <c r="AF372" s="1">
        <v>456.0</v>
      </c>
      <c r="AG372" s="1">
        <v>10.0</v>
      </c>
      <c r="AH372" s="1">
        <v>162.0</v>
      </c>
      <c r="AI372" s="1">
        <v>173.0</v>
      </c>
      <c r="AJ372" s="1">
        <v>95.0</v>
      </c>
      <c r="AK372" s="1">
        <v>17.0</v>
      </c>
      <c r="AL372" s="1">
        <v>116.0</v>
      </c>
      <c r="AM372" s="1">
        <v>27.0</v>
      </c>
      <c r="AN372" s="1">
        <v>31.0</v>
      </c>
      <c r="AO372" s="1">
        <v>0.0</v>
      </c>
      <c r="AP372" s="1">
        <v>0.100364</v>
      </c>
      <c r="AQ372" s="1">
        <v>0.056056</v>
      </c>
      <c r="AR372" s="1">
        <v>0.034432</v>
      </c>
      <c r="AS372" s="1">
        <v>0.155802</v>
      </c>
      <c r="AT372" s="1">
        <v>24753.0</v>
      </c>
      <c r="AU372" s="1">
        <v>2873.0</v>
      </c>
      <c r="AV372" s="1">
        <v>0.121715</v>
      </c>
      <c r="AW372" s="1">
        <v>0.082675</v>
      </c>
      <c r="AX372" s="1">
        <v>0.153691</v>
      </c>
      <c r="AY372" s="1">
        <v>0.232044</v>
      </c>
      <c r="AZ372" s="1">
        <v>0.05570175</v>
      </c>
      <c r="BA372" s="1">
        <v>0.031977</v>
      </c>
      <c r="BB372" s="1">
        <v>0.0</v>
      </c>
      <c r="BC372" s="1">
        <v>0.083761</v>
      </c>
      <c r="BD372" s="1">
        <v>0.00421</v>
      </c>
      <c r="BE372" s="1">
        <v>0.06821</v>
      </c>
      <c r="BF372" s="1">
        <v>0.072842</v>
      </c>
      <c r="BG372" s="1">
        <v>0.039824</v>
      </c>
      <c r="BH372" s="1">
        <v>0.007384</v>
      </c>
      <c r="BI372" s="1">
        <v>0.050388</v>
      </c>
      <c r="BJ372" s="1">
        <v>0.011728</v>
      </c>
      <c r="BK372" s="1">
        <v>0.013447</v>
      </c>
      <c r="BL372" s="1">
        <v>0.0</v>
      </c>
      <c r="BM372" s="1">
        <v>0.371</v>
      </c>
      <c r="BN372" s="1">
        <v>0.127</v>
      </c>
      <c r="BO372" s="1">
        <v>0.3596</v>
      </c>
      <c r="BP372" s="1">
        <v>0.434</v>
      </c>
      <c r="BQ372" s="1">
        <v>1.2916</v>
      </c>
      <c r="BR372" s="1">
        <v>0.2787</v>
      </c>
      <c r="BS372" s="1">
        <v>0.608</v>
      </c>
      <c r="BT372" s="1">
        <v>0.408</v>
      </c>
      <c r="BU372" s="1">
        <v>0.107</v>
      </c>
      <c r="BV372" s="1">
        <v>1.123</v>
      </c>
      <c r="BW372" s="1">
        <v>0.183</v>
      </c>
      <c r="BX372" s="1">
        <v>0.095</v>
      </c>
      <c r="BY372" s="1">
        <v>0.0</v>
      </c>
      <c r="BZ372" s="1">
        <v>0.095</v>
      </c>
      <c r="CA372" s="1">
        <v>0.045</v>
      </c>
      <c r="CB372" s="1">
        <v>0.304</v>
      </c>
      <c r="CC372" s="1">
        <v>0.658</v>
      </c>
      <c r="CD372" s="1">
        <v>0.407</v>
      </c>
      <c r="CE372" s="1">
        <v>0.105</v>
      </c>
      <c r="CF372" s="1">
        <v>0.0</v>
      </c>
      <c r="CG372" s="1">
        <v>1.474</v>
      </c>
      <c r="CH372" s="1">
        <v>0.166</v>
      </c>
      <c r="CI372" s="1">
        <v>3.9836</v>
      </c>
      <c r="CJ372" s="1">
        <v>0.0852</v>
      </c>
      <c r="CK372" s="1">
        <v>0.0</v>
      </c>
      <c r="CL372" s="1">
        <v>0.0</v>
      </c>
      <c r="CM372" s="1">
        <v>0.0</v>
      </c>
      <c r="CN372" s="1">
        <v>0.0</v>
      </c>
      <c r="CO372" s="1">
        <v>0.0</v>
      </c>
      <c r="CP372" s="1">
        <v>0.0</v>
      </c>
      <c r="CQ372" s="1">
        <v>0.0</v>
      </c>
      <c r="CR372" s="1">
        <v>0.0</v>
      </c>
      <c r="CS372" s="1">
        <v>0.0</v>
      </c>
      <c r="CT372" s="1">
        <v>0.0</v>
      </c>
      <c r="CU372" s="1">
        <v>0.0</v>
      </c>
      <c r="CV372" s="1">
        <v>0.0</v>
      </c>
      <c r="CW372" s="1">
        <v>0.0</v>
      </c>
      <c r="CX372" s="1">
        <v>0.0</v>
      </c>
      <c r="CY372" s="1">
        <v>0.0</v>
      </c>
      <c r="CZ372" s="1">
        <v>0.0</v>
      </c>
      <c r="DA372" s="1">
        <v>0.0</v>
      </c>
      <c r="DB372" s="1">
        <v>0.0</v>
      </c>
      <c r="DC372" s="1">
        <v>0.0</v>
      </c>
      <c r="DD372" s="1" t="s">
        <v>1834</v>
      </c>
      <c r="DE372" s="1">
        <v>0.0248505112565479</v>
      </c>
      <c r="DF372" s="2" t="s">
        <v>1835</v>
      </c>
    </row>
    <row r="373" ht="15.75" customHeight="1">
      <c r="A373" s="1" t="s">
        <v>1836</v>
      </c>
      <c r="B373" s="1">
        <v>29.0</v>
      </c>
      <c r="C373" s="2" t="s">
        <v>1606</v>
      </c>
      <c r="D373" s="2" t="s">
        <v>1837</v>
      </c>
      <c r="E373" s="1">
        <v>60.232</v>
      </c>
      <c r="F373" s="1">
        <v>29077.0</v>
      </c>
      <c r="G373" s="1">
        <v>2.9077005001E10</v>
      </c>
      <c r="H373" s="1" t="s">
        <v>112</v>
      </c>
      <c r="I373" s="1" t="s">
        <v>113</v>
      </c>
      <c r="J373" s="1" t="s">
        <v>1607</v>
      </c>
      <c r="K373" s="1" t="s">
        <v>1838</v>
      </c>
      <c r="L373" s="1">
        <v>3564.0</v>
      </c>
      <c r="M373" s="1">
        <v>3924.0</v>
      </c>
      <c r="N373" s="1">
        <v>272.0</v>
      </c>
      <c r="O373" s="1">
        <v>1584.0</v>
      </c>
      <c r="P373" s="1">
        <v>1606.0</v>
      </c>
      <c r="Q373" s="1">
        <v>64.0</v>
      </c>
      <c r="R373" s="1">
        <v>1428.0</v>
      </c>
      <c r="S373" s="1">
        <v>429.0</v>
      </c>
      <c r="T373" s="1">
        <v>135.0</v>
      </c>
      <c r="U373" s="1">
        <v>124.0</v>
      </c>
      <c r="V373" s="1">
        <v>325.0</v>
      </c>
      <c r="W373" s="1">
        <v>21144.0</v>
      </c>
      <c r="X373" s="1">
        <v>1900.0</v>
      </c>
      <c r="Y373" s="1">
        <v>289.0</v>
      </c>
      <c r="Z373" s="1">
        <v>209.0</v>
      </c>
      <c r="AA373" s="1">
        <v>632.0</v>
      </c>
      <c r="AB373" s="1">
        <v>822.0</v>
      </c>
      <c r="AC373" s="1">
        <v>157.0</v>
      </c>
      <c r="AD373" s="1">
        <v>123.0</v>
      </c>
      <c r="AE373" s="1">
        <v>0.0</v>
      </c>
      <c r="AF373" s="1">
        <v>456.0</v>
      </c>
      <c r="AG373" s="1">
        <v>13.0</v>
      </c>
      <c r="AH373" s="1">
        <v>114.0</v>
      </c>
      <c r="AI373" s="1">
        <v>149.0</v>
      </c>
      <c r="AJ373" s="1">
        <v>47.0</v>
      </c>
      <c r="AK373" s="1">
        <v>5.0</v>
      </c>
      <c r="AL373" s="1">
        <v>114.0</v>
      </c>
      <c r="AM373" s="1">
        <v>82.0</v>
      </c>
      <c r="AN373" s="1">
        <v>30.0</v>
      </c>
      <c r="AO373" s="1">
        <v>78.0</v>
      </c>
      <c r="AP373" s="1">
        <v>0.11626</v>
      </c>
      <c r="AQ373" s="1">
        <v>0.036065</v>
      </c>
      <c r="AR373" s="1">
        <v>0.067907</v>
      </c>
      <c r="AS373" s="1">
        <v>0.177868</v>
      </c>
      <c r="AT373" s="1">
        <v>21144.0</v>
      </c>
      <c r="AU373" s="1">
        <v>1900.0</v>
      </c>
      <c r="AV373" s="1">
        <v>0.107916</v>
      </c>
      <c r="AW373" s="1">
        <v>0.077528</v>
      </c>
      <c r="AX373" s="1">
        <v>0.177328</v>
      </c>
      <c r="AY373" s="1">
        <v>0.230639</v>
      </c>
      <c r="AZ373" s="1">
        <v>0.10994397</v>
      </c>
      <c r="BA373" s="1">
        <v>0.034511</v>
      </c>
      <c r="BB373" s="1">
        <v>0.0</v>
      </c>
      <c r="BC373" s="1">
        <v>0.122811</v>
      </c>
      <c r="BD373" s="1">
        <v>0.008094</v>
      </c>
      <c r="BE373" s="1">
        <v>0.070983</v>
      </c>
      <c r="BF373" s="1">
        <v>0.092777</v>
      </c>
      <c r="BG373" s="1">
        <v>0.02903</v>
      </c>
      <c r="BH373" s="1">
        <v>0.00338</v>
      </c>
      <c r="BI373" s="1">
        <v>0.077078</v>
      </c>
      <c r="BJ373" s="1">
        <v>0.055442</v>
      </c>
      <c r="BK373" s="1">
        <v>0.020098</v>
      </c>
      <c r="BL373" s="1">
        <v>0.021885</v>
      </c>
      <c r="BM373" s="1">
        <v>0.436</v>
      </c>
      <c r="BN373" s="1">
        <v>0.496</v>
      </c>
      <c r="BO373" s="1">
        <v>0.5437</v>
      </c>
      <c r="BP373" s="1">
        <v>0.371</v>
      </c>
      <c r="BQ373" s="1">
        <v>1.8467</v>
      </c>
      <c r="BR373" s="1">
        <v>0.4455</v>
      </c>
      <c r="BS373" s="1">
        <v>0.77</v>
      </c>
      <c r="BT373" s="1">
        <v>0.393</v>
      </c>
      <c r="BU373" s="1">
        <v>0.587</v>
      </c>
      <c r="BV373" s="1">
        <v>1.75</v>
      </c>
      <c r="BW373" s="1">
        <v>0.681</v>
      </c>
      <c r="BX373" s="1">
        <v>0.115</v>
      </c>
      <c r="BY373" s="1">
        <v>0.0</v>
      </c>
      <c r="BZ373" s="1">
        <v>0.115</v>
      </c>
      <c r="CA373" s="1">
        <v>0.056</v>
      </c>
      <c r="CB373" s="1">
        <v>0.363</v>
      </c>
      <c r="CC373" s="1">
        <v>0.702</v>
      </c>
      <c r="CD373" s="1">
        <v>0.298</v>
      </c>
      <c r="CE373" s="1">
        <v>0.535</v>
      </c>
      <c r="CF373" s="1">
        <v>0.733</v>
      </c>
      <c r="CG373" s="1">
        <v>2.631</v>
      </c>
      <c r="CH373" s="1">
        <v>0.615</v>
      </c>
      <c r="CI373" s="1">
        <v>6.3427</v>
      </c>
      <c r="CJ373" s="1">
        <v>0.4354</v>
      </c>
      <c r="CK373" s="1">
        <v>0.0</v>
      </c>
      <c r="CL373" s="1">
        <v>0.0</v>
      </c>
      <c r="CM373" s="1">
        <v>0.0</v>
      </c>
      <c r="CN373" s="1">
        <v>0.0</v>
      </c>
      <c r="CO373" s="1">
        <v>0.0</v>
      </c>
      <c r="CP373" s="1">
        <v>0.0</v>
      </c>
      <c r="CQ373" s="1">
        <v>0.0</v>
      </c>
      <c r="CR373" s="1">
        <v>0.0</v>
      </c>
      <c r="CS373" s="1">
        <v>0.0</v>
      </c>
      <c r="CT373" s="1">
        <v>0.0</v>
      </c>
      <c r="CU373" s="1">
        <v>0.0</v>
      </c>
      <c r="CV373" s="1">
        <v>0.0</v>
      </c>
      <c r="CW373" s="1">
        <v>0.0</v>
      </c>
      <c r="CX373" s="1">
        <v>0.0</v>
      </c>
      <c r="CY373" s="1">
        <v>0.0</v>
      </c>
      <c r="CZ373" s="1">
        <v>0.0</v>
      </c>
      <c r="DA373" s="1">
        <v>0.0</v>
      </c>
      <c r="DB373" s="1">
        <v>0.0</v>
      </c>
      <c r="DC373" s="1">
        <v>0.0</v>
      </c>
      <c r="DD373" s="1" t="s">
        <v>1839</v>
      </c>
      <c r="DE373" s="1">
        <v>0.0158612178384418</v>
      </c>
      <c r="DF373" s="2" t="s">
        <v>1840</v>
      </c>
    </row>
    <row r="374" ht="15.75" customHeight="1">
      <c r="A374" s="1" t="s">
        <v>1841</v>
      </c>
      <c r="B374" s="1">
        <v>29.0</v>
      </c>
      <c r="C374" s="2" t="s">
        <v>1606</v>
      </c>
      <c r="D374" s="2" t="s">
        <v>1842</v>
      </c>
      <c r="E374" s="1">
        <v>54.736</v>
      </c>
      <c r="F374" s="1">
        <v>29077.0</v>
      </c>
      <c r="G374" s="1">
        <v>2.9077005002E10</v>
      </c>
      <c r="H374" s="1" t="s">
        <v>112</v>
      </c>
      <c r="I374" s="1" t="s">
        <v>113</v>
      </c>
      <c r="J374" s="1" t="s">
        <v>1607</v>
      </c>
      <c r="K374" s="1" t="s">
        <v>1843</v>
      </c>
      <c r="L374" s="1">
        <v>6737.0</v>
      </c>
      <c r="M374" s="1">
        <v>6228.0</v>
      </c>
      <c r="N374" s="1">
        <v>430.0</v>
      </c>
      <c r="O374" s="1">
        <v>2573.0</v>
      </c>
      <c r="P374" s="1">
        <v>2514.0</v>
      </c>
      <c r="Q374" s="1">
        <v>168.0</v>
      </c>
      <c r="R374" s="1">
        <v>2426.0</v>
      </c>
      <c r="S374" s="1">
        <v>640.0</v>
      </c>
      <c r="T374" s="1">
        <v>263.0</v>
      </c>
      <c r="U374" s="1">
        <v>115.0</v>
      </c>
      <c r="V374" s="1">
        <v>400.0</v>
      </c>
      <c r="W374" s="1">
        <v>21427.0</v>
      </c>
      <c r="X374" s="1">
        <v>1725.0</v>
      </c>
      <c r="Y374" s="1">
        <v>243.0</v>
      </c>
      <c r="Z374" s="1">
        <v>274.0</v>
      </c>
      <c r="AA374" s="1">
        <v>819.0</v>
      </c>
      <c r="AB374" s="1">
        <v>1965.0</v>
      </c>
      <c r="AC374" s="1">
        <v>244.0</v>
      </c>
      <c r="AD374" s="1">
        <v>287.0</v>
      </c>
      <c r="AE374" s="1">
        <v>16.0</v>
      </c>
      <c r="AF374" s="1">
        <v>442.0</v>
      </c>
      <c r="AG374" s="1">
        <v>55.0</v>
      </c>
      <c r="AH374" s="1">
        <v>175.0</v>
      </c>
      <c r="AI374" s="1">
        <v>20.0</v>
      </c>
      <c r="AJ374" s="1">
        <v>19.0</v>
      </c>
      <c r="AK374" s="1">
        <v>11.0</v>
      </c>
      <c r="AL374" s="1">
        <v>115.0</v>
      </c>
      <c r="AM374" s="1">
        <v>45.0</v>
      </c>
      <c r="AN374" s="1">
        <v>119.0</v>
      </c>
      <c r="AO374" s="1">
        <v>69.0</v>
      </c>
      <c r="AP374" s="1">
        <v>0.103175</v>
      </c>
      <c r="AQ374" s="1">
        <v>0.041802</v>
      </c>
      <c r="AR374" s="1">
        <v>0.03741</v>
      </c>
      <c r="AS374" s="1">
        <v>0.130051</v>
      </c>
      <c r="AT374" s="1">
        <v>21427.0</v>
      </c>
      <c r="AU374" s="1">
        <v>1725.0</v>
      </c>
      <c r="AV374" s="1">
        <v>0.063981</v>
      </c>
      <c r="AW374" s="1">
        <v>0.071962</v>
      </c>
      <c r="AX374" s="1">
        <v>0.121567</v>
      </c>
      <c r="AY374" s="1">
        <v>0.291672</v>
      </c>
      <c r="AZ374" s="1">
        <v>0.10057708</v>
      </c>
      <c r="BA374" s="1">
        <v>0.0426</v>
      </c>
      <c r="BB374" s="1">
        <v>0.002713</v>
      </c>
      <c r="BC374" s="1">
        <v>0.074953</v>
      </c>
      <c r="BD374" s="1">
        <v>0.021877</v>
      </c>
      <c r="BE374" s="1">
        <v>0.069594</v>
      </c>
      <c r="BF374" s="1">
        <v>0.007955</v>
      </c>
      <c r="BG374" s="1">
        <v>0.007538</v>
      </c>
      <c r="BH374" s="1">
        <v>0.004961</v>
      </c>
      <c r="BI374" s="1">
        <v>0.05187</v>
      </c>
      <c r="BJ374" s="1">
        <v>0.020297</v>
      </c>
      <c r="BK374" s="1">
        <v>0.053656</v>
      </c>
      <c r="BL374" s="1">
        <v>0.010241</v>
      </c>
      <c r="BM374" s="1">
        <v>0.382</v>
      </c>
      <c r="BN374" s="1">
        <v>0.16</v>
      </c>
      <c r="BO374" s="1">
        <v>0.5264</v>
      </c>
      <c r="BP374" s="1">
        <v>0.18</v>
      </c>
      <c r="BQ374" s="1">
        <v>1.2484</v>
      </c>
      <c r="BR374" s="1">
        <v>0.2671</v>
      </c>
      <c r="BS374" s="1">
        <v>0.354</v>
      </c>
      <c r="BT374" s="1">
        <v>0.892</v>
      </c>
      <c r="BU374" s="1">
        <v>0.499</v>
      </c>
      <c r="BV374" s="1">
        <v>1.745</v>
      </c>
      <c r="BW374" s="1">
        <v>0.677</v>
      </c>
      <c r="BX374" s="1">
        <v>0.192</v>
      </c>
      <c r="BY374" s="1">
        <v>0.428</v>
      </c>
      <c r="BZ374" s="1">
        <v>0.62</v>
      </c>
      <c r="CA374" s="1">
        <v>0.284</v>
      </c>
      <c r="CB374" s="1">
        <v>0.488</v>
      </c>
      <c r="CC374" s="1">
        <v>0.436</v>
      </c>
      <c r="CD374" s="1">
        <v>0.334</v>
      </c>
      <c r="CE374" s="1">
        <v>0.185</v>
      </c>
      <c r="CF374" s="1">
        <v>0.583</v>
      </c>
      <c r="CG374" s="1">
        <v>2.026</v>
      </c>
      <c r="CH374" s="1">
        <v>0.357</v>
      </c>
      <c r="CI374" s="1">
        <v>5.6394</v>
      </c>
      <c r="CJ374" s="1">
        <v>0.3083</v>
      </c>
      <c r="CK374" s="1">
        <v>0.0</v>
      </c>
      <c r="CL374" s="1">
        <v>0.0</v>
      </c>
      <c r="CM374" s="1">
        <v>0.0</v>
      </c>
      <c r="CN374" s="1">
        <v>0.0</v>
      </c>
      <c r="CO374" s="1">
        <v>0.0</v>
      </c>
      <c r="CP374" s="1">
        <v>0.0</v>
      </c>
      <c r="CQ374" s="1">
        <v>0.0</v>
      </c>
      <c r="CR374" s="1">
        <v>0.0</v>
      </c>
      <c r="CS374" s="1">
        <v>0.0</v>
      </c>
      <c r="CT374" s="1">
        <v>0.0</v>
      </c>
      <c r="CU374" s="1">
        <v>0.0</v>
      </c>
      <c r="CV374" s="1">
        <v>0.0</v>
      </c>
      <c r="CW374" s="1">
        <v>0.0</v>
      </c>
      <c r="CX374" s="1">
        <v>0.0</v>
      </c>
      <c r="CY374" s="1">
        <v>0.0</v>
      </c>
      <c r="CZ374" s="1">
        <v>0.0</v>
      </c>
      <c r="DA374" s="1">
        <v>0.0</v>
      </c>
      <c r="DB374" s="1">
        <v>0.0</v>
      </c>
      <c r="DC374" s="1">
        <v>0.0</v>
      </c>
      <c r="DD374" s="1" t="s">
        <v>1844</v>
      </c>
      <c r="DE374" s="2" t="s">
        <v>1845</v>
      </c>
      <c r="DF374" s="2" t="s">
        <v>1846</v>
      </c>
    </row>
    <row r="375" ht="15.75" customHeight="1">
      <c r="A375" s="1" t="s">
        <v>1847</v>
      </c>
      <c r="B375" s="1">
        <v>29.0</v>
      </c>
      <c r="C375" s="2" t="s">
        <v>1606</v>
      </c>
      <c r="D375" s="2" t="s">
        <v>1848</v>
      </c>
      <c r="E375" s="1">
        <v>49.812</v>
      </c>
      <c r="F375" s="1">
        <v>29077.0</v>
      </c>
      <c r="G375" s="1">
        <v>2.90770051E10</v>
      </c>
      <c r="H375" s="1" t="s">
        <v>112</v>
      </c>
      <c r="I375" s="1" t="s">
        <v>113</v>
      </c>
      <c r="J375" s="1" t="s">
        <v>1607</v>
      </c>
      <c r="K375" s="1" t="s">
        <v>1849</v>
      </c>
      <c r="L375" s="1">
        <v>3340.0</v>
      </c>
      <c r="M375" s="1">
        <v>3348.0</v>
      </c>
      <c r="N375" s="1">
        <v>319.0</v>
      </c>
      <c r="O375" s="1">
        <v>1423.0</v>
      </c>
      <c r="P375" s="1">
        <v>1405.0</v>
      </c>
      <c r="Q375" s="1">
        <v>59.0</v>
      </c>
      <c r="R375" s="1">
        <v>1303.0</v>
      </c>
      <c r="S375" s="1">
        <v>276.0</v>
      </c>
      <c r="T375" s="1">
        <v>198.0</v>
      </c>
      <c r="U375" s="1">
        <v>58.0</v>
      </c>
      <c r="V375" s="1">
        <v>443.0</v>
      </c>
      <c r="W375" s="1">
        <v>22547.0</v>
      </c>
      <c r="X375" s="1">
        <v>2571.0</v>
      </c>
      <c r="Y375" s="1">
        <v>274.0</v>
      </c>
      <c r="Z375" s="1">
        <v>305.0</v>
      </c>
      <c r="AA375" s="1">
        <v>430.0</v>
      </c>
      <c r="AB375" s="1">
        <v>777.0</v>
      </c>
      <c r="AC375" s="1">
        <v>112.0</v>
      </c>
      <c r="AD375" s="1">
        <v>139.0</v>
      </c>
      <c r="AE375" s="1">
        <v>12.0</v>
      </c>
      <c r="AF375" s="1">
        <v>442.0</v>
      </c>
      <c r="AG375" s="1">
        <v>41.0</v>
      </c>
      <c r="AH375" s="1">
        <v>163.0</v>
      </c>
      <c r="AI375" s="1">
        <v>110.0</v>
      </c>
      <c r="AJ375" s="1">
        <v>49.0</v>
      </c>
      <c r="AK375" s="1">
        <v>27.0</v>
      </c>
      <c r="AL375" s="1">
        <v>116.0</v>
      </c>
      <c r="AM375" s="1">
        <v>0.0</v>
      </c>
      <c r="AN375" s="1">
        <v>161.0</v>
      </c>
      <c r="AO375" s="1">
        <v>0.0</v>
      </c>
      <c r="AP375" s="1">
        <v>0.082684</v>
      </c>
      <c r="AQ375" s="1">
        <v>0.058811</v>
      </c>
      <c r="AR375" s="1">
        <v>0.033623</v>
      </c>
      <c r="AS375" s="1">
        <v>0.256764</v>
      </c>
      <c r="AT375" s="1">
        <v>22547.0</v>
      </c>
      <c r="AU375" s="1">
        <v>2571.0</v>
      </c>
      <c r="AV375" s="1">
        <v>0.122814</v>
      </c>
      <c r="AW375" s="1">
        <v>0.136215</v>
      </c>
      <c r="AX375" s="1">
        <v>0.128742</v>
      </c>
      <c r="AY375" s="1">
        <v>0.232634</v>
      </c>
      <c r="AZ375" s="1">
        <v>0.08595548</v>
      </c>
      <c r="BA375" s="1">
        <v>0.041616</v>
      </c>
      <c r="BB375" s="1">
        <v>0.003857</v>
      </c>
      <c r="BC375" s="1">
        <v>0.142075</v>
      </c>
      <c r="BD375" s="1">
        <v>0.029181</v>
      </c>
      <c r="BE375" s="1">
        <v>0.116007</v>
      </c>
      <c r="BF375" s="1">
        <v>0.078291</v>
      </c>
      <c r="BG375" s="1">
        <v>0.03472</v>
      </c>
      <c r="BH375" s="1">
        <v>0.020849</v>
      </c>
      <c r="BI375" s="1">
        <v>0.08956</v>
      </c>
      <c r="BJ375" s="1">
        <v>0.0</v>
      </c>
      <c r="BK375" s="1">
        <v>0.124324</v>
      </c>
      <c r="BL375" s="1">
        <v>0.0</v>
      </c>
      <c r="BM375" s="1">
        <v>0.303</v>
      </c>
      <c r="BN375" s="1">
        <v>0.117</v>
      </c>
      <c r="BO375" s="1">
        <v>0.4657</v>
      </c>
      <c r="BP375" s="1">
        <v>0.441</v>
      </c>
      <c r="BQ375" s="1">
        <v>1.3267</v>
      </c>
      <c r="BR375" s="1">
        <v>0.2874</v>
      </c>
      <c r="BS375" s="1">
        <v>0.408</v>
      </c>
      <c r="BT375" s="1">
        <v>0.415</v>
      </c>
      <c r="BU375" s="1">
        <v>0.365</v>
      </c>
      <c r="BV375" s="1">
        <v>1.188</v>
      </c>
      <c r="BW375" s="1">
        <v>0.219</v>
      </c>
      <c r="BX375" s="1">
        <v>0.176</v>
      </c>
      <c r="BY375" s="1">
        <v>0.507</v>
      </c>
      <c r="BZ375" s="1">
        <v>0.683</v>
      </c>
      <c r="CA375" s="1">
        <v>0.327</v>
      </c>
      <c r="CB375" s="1">
        <v>0.545</v>
      </c>
      <c r="CC375" s="1">
        <v>0.674</v>
      </c>
      <c r="CD375" s="1">
        <v>0.694</v>
      </c>
      <c r="CE375" s="1">
        <v>0.0</v>
      </c>
      <c r="CF375" s="1">
        <v>0.0</v>
      </c>
      <c r="CG375" s="1">
        <v>1.913</v>
      </c>
      <c r="CH375" s="1">
        <v>0.309</v>
      </c>
      <c r="CI375" s="1">
        <v>5.1107</v>
      </c>
      <c r="CJ375" s="1">
        <v>0.2188</v>
      </c>
      <c r="CK375" s="1">
        <v>0.0</v>
      </c>
      <c r="CL375" s="1">
        <v>0.0</v>
      </c>
      <c r="CM375" s="1">
        <v>0.0</v>
      </c>
      <c r="CN375" s="1">
        <v>0.0</v>
      </c>
      <c r="CO375" s="1">
        <v>0.0</v>
      </c>
      <c r="CP375" s="1">
        <v>0.0</v>
      </c>
      <c r="CQ375" s="1">
        <v>0.0</v>
      </c>
      <c r="CR375" s="1">
        <v>0.0</v>
      </c>
      <c r="CS375" s="1">
        <v>0.0</v>
      </c>
      <c r="CT375" s="1">
        <v>0.0</v>
      </c>
      <c r="CU375" s="1">
        <v>0.0</v>
      </c>
      <c r="CV375" s="1">
        <v>0.0</v>
      </c>
      <c r="CW375" s="1">
        <v>0.0</v>
      </c>
      <c r="CX375" s="1">
        <v>0.0</v>
      </c>
      <c r="CY375" s="1">
        <v>0.0</v>
      </c>
      <c r="CZ375" s="1">
        <v>0.0</v>
      </c>
      <c r="DA375" s="1">
        <v>0.0</v>
      </c>
      <c r="DB375" s="1">
        <v>0.0</v>
      </c>
      <c r="DC375" s="1">
        <v>0.0</v>
      </c>
      <c r="DD375" s="1" t="s">
        <v>1850</v>
      </c>
      <c r="DE375" s="2" t="s">
        <v>1851</v>
      </c>
      <c r="DF375" s="2" t="s">
        <v>1852</v>
      </c>
    </row>
    <row r="376" ht="15.75" customHeight="1">
      <c r="A376" s="1" t="s">
        <v>1853</v>
      </c>
      <c r="B376" s="1">
        <v>29.0</v>
      </c>
      <c r="C376" s="2" t="s">
        <v>1606</v>
      </c>
      <c r="D376" s="2" t="s">
        <v>1854</v>
      </c>
      <c r="E376" s="1">
        <v>81.144</v>
      </c>
      <c r="F376" s="1">
        <v>29077.0</v>
      </c>
      <c r="G376" s="1">
        <v>2.90770052E10</v>
      </c>
      <c r="H376" s="1" t="s">
        <v>112</v>
      </c>
      <c r="I376" s="1" t="s">
        <v>113</v>
      </c>
      <c r="J376" s="1" t="s">
        <v>1607</v>
      </c>
      <c r="K376" s="1" t="s">
        <v>1855</v>
      </c>
      <c r="L376" s="1">
        <v>6722.0</v>
      </c>
      <c r="M376" s="1">
        <v>7028.0</v>
      </c>
      <c r="N376" s="1">
        <v>653.0</v>
      </c>
      <c r="O376" s="1">
        <v>2791.0</v>
      </c>
      <c r="P376" s="1">
        <v>2661.0</v>
      </c>
      <c r="Q376" s="1">
        <v>137.0</v>
      </c>
      <c r="R376" s="1">
        <v>2614.0</v>
      </c>
      <c r="S376" s="1">
        <v>1027.0</v>
      </c>
      <c r="T376" s="1">
        <v>564.0</v>
      </c>
      <c r="U376" s="1">
        <v>319.0</v>
      </c>
      <c r="V376" s="1">
        <v>366.0</v>
      </c>
      <c r="W376" s="1">
        <v>23697.0</v>
      </c>
      <c r="X376" s="1">
        <v>3853.0</v>
      </c>
      <c r="Y376" s="1">
        <v>585.0</v>
      </c>
      <c r="Z376" s="1">
        <v>307.0</v>
      </c>
      <c r="AA376" s="1">
        <v>1132.0</v>
      </c>
      <c r="AB376" s="1">
        <v>1437.0</v>
      </c>
      <c r="AC376" s="1">
        <v>156.0</v>
      </c>
      <c r="AD376" s="1">
        <v>287.0</v>
      </c>
      <c r="AE376" s="1">
        <v>8.0</v>
      </c>
      <c r="AF376" s="1">
        <v>442.0</v>
      </c>
      <c r="AG376" s="1">
        <v>0.0</v>
      </c>
      <c r="AH376" s="1">
        <v>197.0</v>
      </c>
      <c r="AI376" s="1">
        <v>380.0</v>
      </c>
      <c r="AJ376" s="1">
        <v>126.0</v>
      </c>
      <c r="AK376" s="1">
        <v>43.0</v>
      </c>
      <c r="AL376" s="1">
        <v>133.0</v>
      </c>
      <c r="AM376" s="1">
        <v>51.0</v>
      </c>
      <c r="AN376" s="1">
        <v>121.0</v>
      </c>
      <c r="AO376" s="1">
        <v>0.0</v>
      </c>
      <c r="AP376" s="1">
        <v>0.148388</v>
      </c>
      <c r="AQ376" s="1">
        <v>0.080191</v>
      </c>
      <c r="AR376" s="1">
        <v>0.098945</v>
      </c>
      <c r="AS376" s="1">
        <v>0.112827</v>
      </c>
      <c r="AT376" s="1">
        <v>23697.0</v>
      </c>
      <c r="AU376" s="1">
        <v>3853.0</v>
      </c>
      <c r="AV376" s="1">
        <v>0.126788</v>
      </c>
      <c r="AW376" s="1">
        <v>0.066124</v>
      </c>
      <c r="AX376" s="1">
        <v>0.168402</v>
      </c>
      <c r="AY376" s="1">
        <v>0.213775</v>
      </c>
      <c r="AZ376" s="1">
        <v>0.05967865</v>
      </c>
      <c r="BA376" s="1">
        <v>0.042695</v>
      </c>
      <c r="BB376" s="1">
        <v>0.001235</v>
      </c>
      <c r="BC376" s="1">
        <v>0.068273</v>
      </c>
      <c r="BD376" s="1">
        <v>0.0</v>
      </c>
      <c r="BE376" s="1">
        <v>0.074032</v>
      </c>
      <c r="BF376" s="1">
        <v>0.142803</v>
      </c>
      <c r="BG376" s="1">
        <v>0.046776</v>
      </c>
      <c r="BH376" s="1">
        <v>0.016764</v>
      </c>
      <c r="BI376" s="1">
        <v>0.051842</v>
      </c>
      <c r="BJ376" s="1">
        <v>0.019883</v>
      </c>
      <c r="BK376" s="1">
        <v>0.047158</v>
      </c>
      <c r="BL376" s="1">
        <v>0.0</v>
      </c>
      <c r="BM376" s="1">
        <v>0.574</v>
      </c>
      <c r="BN376" s="1">
        <v>0.725</v>
      </c>
      <c r="BO376" s="1">
        <v>0.4116</v>
      </c>
      <c r="BP376" s="1">
        <v>0.458</v>
      </c>
      <c r="BQ376" s="1">
        <v>2.1686</v>
      </c>
      <c r="BR376" s="1">
        <v>0.5531</v>
      </c>
      <c r="BS376" s="1">
        <v>0.725</v>
      </c>
      <c r="BT376" s="1">
        <v>0.255</v>
      </c>
      <c r="BU376" s="1">
        <v>0.128</v>
      </c>
      <c r="BV376" s="1">
        <v>1.108</v>
      </c>
      <c r="BW376" s="1">
        <v>0.171</v>
      </c>
      <c r="BX376" s="1">
        <v>0.194</v>
      </c>
      <c r="BY376" s="1">
        <v>0.343</v>
      </c>
      <c r="BZ376" s="1">
        <v>0.537</v>
      </c>
      <c r="CA376" s="1">
        <v>0.233</v>
      </c>
      <c r="CB376" s="1">
        <v>0.0</v>
      </c>
      <c r="CC376" s="1">
        <v>0.804</v>
      </c>
      <c r="CD376" s="1">
        <v>0.626</v>
      </c>
      <c r="CE376" s="1">
        <v>0.181</v>
      </c>
      <c r="CF376" s="1">
        <v>0.0</v>
      </c>
      <c r="CG376" s="1">
        <v>1.611</v>
      </c>
      <c r="CH376" s="1">
        <v>0.202</v>
      </c>
      <c r="CI376" s="1">
        <v>5.4246</v>
      </c>
      <c r="CJ376" s="1">
        <v>0.2679</v>
      </c>
      <c r="CK376" s="1">
        <v>0.0</v>
      </c>
      <c r="CL376" s="1">
        <v>0.0</v>
      </c>
      <c r="CM376" s="1">
        <v>0.0</v>
      </c>
      <c r="CN376" s="1">
        <v>0.0</v>
      </c>
      <c r="CO376" s="1">
        <v>0.0</v>
      </c>
      <c r="CP376" s="1">
        <v>0.0</v>
      </c>
      <c r="CQ376" s="1">
        <v>0.0</v>
      </c>
      <c r="CR376" s="1">
        <v>0.0</v>
      </c>
      <c r="CS376" s="1">
        <v>0.0</v>
      </c>
      <c r="CT376" s="1">
        <v>0.0</v>
      </c>
      <c r="CU376" s="1">
        <v>0.0</v>
      </c>
      <c r="CV376" s="1">
        <v>0.0</v>
      </c>
      <c r="CW376" s="1">
        <v>0.0</v>
      </c>
      <c r="CX376" s="1">
        <v>0.0</v>
      </c>
      <c r="CY376" s="1">
        <v>0.0</v>
      </c>
      <c r="CZ376" s="1">
        <v>0.0</v>
      </c>
      <c r="DA376" s="1">
        <v>0.0</v>
      </c>
      <c r="DB376" s="1">
        <v>0.0</v>
      </c>
      <c r="DC376" s="1">
        <v>0.0</v>
      </c>
      <c r="DD376" s="1" t="s">
        <v>1856</v>
      </c>
      <c r="DE376" s="2" t="s">
        <v>1857</v>
      </c>
      <c r="DF376" s="2" t="s">
        <v>1858</v>
      </c>
    </row>
    <row r="377" ht="15.75" customHeight="1">
      <c r="A377" s="1" t="s">
        <v>1859</v>
      </c>
      <c r="B377" s="1">
        <v>29.0</v>
      </c>
      <c r="C377" s="2" t="s">
        <v>1606</v>
      </c>
      <c r="D377" s="2" t="s">
        <v>1860</v>
      </c>
      <c r="E377" s="1">
        <v>2.201</v>
      </c>
      <c r="F377" s="1">
        <v>29077.0</v>
      </c>
      <c r="G377" s="1">
        <v>2.90770056E10</v>
      </c>
      <c r="H377" s="1" t="s">
        <v>112</v>
      </c>
      <c r="I377" s="1" t="s">
        <v>113</v>
      </c>
      <c r="J377" s="1" t="s">
        <v>1607</v>
      </c>
      <c r="K377" s="1" t="s">
        <v>1861</v>
      </c>
      <c r="L377" s="1">
        <v>3299.0</v>
      </c>
      <c r="M377" s="1">
        <v>3141.0</v>
      </c>
      <c r="N377" s="1">
        <v>274.0</v>
      </c>
      <c r="O377" s="1">
        <v>1694.0</v>
      </c>
      <c r="P377" s="1">
        <v>1501.0</v>
      </c>
      <c r="Q377" s="1">
        <v>77.0</v>
      </c>
      <c r="R377" s="1">
        <v>1525.0</v>
      </c>
      <c r="S377" s="1">
        <v>756.0</v>
      </c>
      <c r="T377" s="1">
        <v>302.0</v>
      </c>
      <c r="U377" s="1">
        <v>88.0</v>
      </c>
      <c r="V377" s="1">
        <v>431.0</v>
      </c>
      <c r="W377" s="1">
        <v>16365.0</v>
      </c>
      <c r="X377" s="1">
        <v>1971.0</v>
      </c>
      <c r="Y377" s="1">
        <v>298.0</v>
      </c>
      <c r="Z377" s="1">
        <v>279.0</v>
      </c>
      <c r="AA377" s="1">
        <v>539.0</v>
      </c>
      <c r="AB377" s="1">
        <v>606.0</v>
      </c>
      <c r="AC377" s="1">
        <v>133.0</v>
      </c>
      <c r="AD377" s="1">
        <v>321.0</v>
      </c>
      <c r="AE377" s="1">
        <v>0.0</v>
      </c>
      <c r="AF377" s="1">
        <v>456.0</v>
      </c>
      <c r="AG377" s="1">
        <v>133.0</v>
      </c>
      <c r="AH377" s="1">
        <v>64.0</v>
      </c>
      <c r="AI377" s="1">
        <v>175.0</v>
      </c>
      <c r="AJ377" s="1">
        <v>51.0</v>
      </c>
      <c r="AK377" s="1">
        <v>31.0</v>
      </c>
      <c r="AL377" s="1">
        <v>123.0</v>
      </c>
      <c r="AM377" s="1">
        <v>58.0</v>
      </c>
      <c r="AN377" s="1">
        <v>39.0</v>
      </c>
      <c r="AO377" s="1">
        <v>13.0</v>
      </c>
      <c r="AP377" s="1">
        <v>0.241456</v>
      </c>
      <c r="AQ377" s="1">
        <v>0.094146</v>
      </c>
      <c r="AR377" s="1">
        <v>0.057142</v>
      </c>
      <c r="AS377" s="1">
        <v>0.27973</v>
      </c>
      <c r="AT377" s="1">
        <v>16365.0</v>
      </c>
      <c r="AU377" s="1">
        <v>1971.0</v>
      </c>
      <c r="AV377" s="1">
        <v>0.134476</v>
      </c>
      <c r="AW377" s="1">
        <v>0.125433</v>
      </c>
      <c r="AX377" s="1">
        <v>0.163382</v>
      </c>
      <c r="AY377" s="1">
        <v>0.183692</v>
      </c>
      <c r="AZ377" s="1">
        <v>0.08721311</v>
      </c>
      <c r="BA377" s="1">
        <v>0.097302</v>
      </c>
      <c r="BB377" s="1">
        <v>0.0</v>
      </c>
      <c r="BC377" s="1">
        <v>0.148825</v>
      </c>
      <c r="BD377" s="1">
        <v>0.088607</v>
      </c>
      <c r="BE377" s="1">
        <v>0.042395</v>
      </c>
      <c r="BF377" s="1">
        <v>0.116588</v>
      </c>
      <c r="BG377" s="1">
        <v>0.033446</v>
      </c>
      <c r="BH377" s="1">
        <v>0.021923</v>
      </c>
      <c r="BI377" s="1">
        <v>0.086972</v>
      </c>
      <c r="BJ377" s="1">
        <v>0.041018</v>
      </c>
      <c r="BK377" s="1">
        <v>0.027415</v>
      </c>
      <c r="BL377" s="1">
        <v>0.00394</v>
      </c>
      <c r="BM377" s="1">
        <v>0.812</v>
      </c>
      <c r="BN377" s="1">
        <v>0.384</v>
      </c>
      <c r="BO377" s="1">
        <v>0.8173</v>
      </c>
      <c r="BP377" s="1">
        <v>0.494</v>
      </c>
      <c r="BQ377" s="1">
        <v>2.5073</v>
      </c>
      <c r="BR377" s="1">
        <v>0.6671</v>
      </c>
      <c r="BS377" s="1">
        <v>0.694</v>
      </c>
      <c r="BT377" s="1">
        <v>0.13</v>
      </c>
      <c r="BU377" s="1">
        <v>0.38</v>
      </c>
      <c r="BV377" s="1">
        <v>1.204</v>
      </c>
      <c r="BW377" s="1">
        <v>0.232</v>
      </c>
      <c r="BX377" s="1">
        <v>0.46</v>
      </c>
      <c r="BY377" s="1">
        <v>0.0</v>
      </c>
      <c r="BZ377" s="1">
        <v>0.46</v>
      </c>
      <c r="CA377" s="1">
        <v>0.19</v>
      </c>
      <c r="CB377" s="1">
        <v>0.747</v>
      </c>
      <c r="CC377" s="1">
        <v>0.752</v>
      </c>
      <c r="CD377" s="1">
        <v>0.709</v>
      </c>
      <c r="CE377" s="1">
        <v>0.399</v>
      </c>
      <c r="CF377" s="1">
        <v>0.497</v>
      </c>
      <c r="CG377" s="1">
        <v>3.104</v>
      </c>
      <c r="CH377" s="1">
        <v>0.817</v>
      </c>
      <c r="CI377" s="1">
        <v>7.2753</v>
      </c>
      <c r="CJ377" s="1">
        <v>0.6043</v>
      </c>
      <c r="CK377" s="1">
        <v>0.0</v>
      </c>
      <c r="CL377" s="1">
        <v>0.0</v>
      </c>
      <c r="CM377" s="1">
        <v>0.0</v>
      </c>
      <c r="CN377" s="1">
        <v>0.0</v>
      </c>
      <c r="CO377" s="1">
        <v>0.0</v>
      </c>
      <c r="CP377" s="1">
        <v>0.0</v>
      </c>
      <c r="CQ377" s="1">
        <v>0.0</v>
      </c>
      <c r="CR377" s="1">
        <v>0.0</v>
      </c>
      <c r="CS377" s="1">
        <v>0.0</v>
      </c>
      <c r="CT377" s="1">
        <v>0.0</v>
      </c>
      <c r="CU377" s="1">
        <v>0.0</v>
      </c>
      <c r="CV377" s="1">
        <v>0.0</v>
      </c>
      <c r="CW377" s="1">
        <v>0.0</v>
      </c>
      <c r="CX377" s="1">
        <v>0.0</v>
      </c>
      <c r="CY377" s="1">
        <v>0.0</v>
      </c>
      <c r="CZ377" s="1">
        <v>0.0</v>
      </c>
      <c r="DA377" s="1">
        <v>0.0</v>
      </c>
      <c r="DB377" s="1">
        <v>0.0</v>
      </c>
      <c r="DC377" s="1">
        <v>0.0</v>
      </c>
      <c r="DD377" s="1" t="s">
        <v>1862</v>
      </c>
      <c r="DE377" s="1">
        <v>5.76558957196455E-4</v>
      </c>
      <c r="DF377" s="2" t="s">
        <v>1863</v>
      </c>
    </row>
    <row r="378" ht="15.75" customHeight="1">
      <c r="A378" s="1" t="s">
        <v>1864</v>
      </c>
      <c r="B378" s="1">
        <v>29.0</v>
      </c>
      <c r="C378" s="2" t="s">
        <v>1606</v>
      </c>
      <c r="D378" s="2" t="s">
        <v>1865</v>
      </c>
      <c r="E378" s="1">
        <v>1.525</v>
      </c>
      <c r="F378" s="1">
        <v>29077.0</v>
      </c>
      <c r="G378" s="1">
        <v>2.90770057E10</v>
      </c>
      <c r="H378" s="1" t="s">
        <v>112</v>
      </c>
      <c r="I378" s="1" t="s">
        <v>113</v>
      </c>
      <c r="J378" s="1" t="s">
        <v>1607</v>
      </c>
      <c r="K378" s="1" t="s">
        <v>1866</v>
      </c>
      <c r="L378" s="1">
        <v>3488.0</v>
      </c>
      <c r="M378" s="1">
        <v>3764.0</v>
      </c>
      <c r="N378" s="1">
        <v>409.0</v>
      </c>
      <c r="O378" s="1">
        <v>2055.0</v>
      </c>
      <c r="P378" s="1">
        <v>2093.0</v>
      </c>
      <c r="Q378" s="1">
        <v>72.0</v>
      </c>
      <c r="R378" s="1">
        <v>1819.0</v>
      </c>
      <c r="S378" s="1">
        <v>770.0</v>
      </c>
      <c r="T378" s="1">
        <v>301.0</v>
      </c>
      <c r="U378" s="1">
        <v>167.0</v>
      </c>
      <c r="V378" s="1">
        <v>393.0</v>
      </c>
      <c r="W378" s="1">
        <v>18077.0</v>
      </c>
      <c r="X378" s="1">
        <v>2428.0</v>
      </c>
      <c r="Y378" s="1">
        <v>187.0</v>
      </c>
      <c r="Z378" s="1">
        <v>354.0</v>
      </c>
      <c r="AA378" s="1">
        <v>446.0</v>
      </c>
      <c r="AB378" s="1">
        <v>601.0</v>
      </c>
      <c r="AC378" s="1">
        <v>185.0</v>
      </c>
      <c r="AD378" s="1">
        <v>399.0</v>
      </c>
      <c r="AE378" s="1">
        <v>0.0</v>
      </c>
      <c r="AF378" s="1">
        <v>456.0</v>
      </c>
      <c r="AG378" s="1">
        <v>848.0</v>
      </c>
      <c r="AH378" s="1">
        <v>210.0</v>
      </c>
      <c r="AI378" s="1">
        <v>9.0</v>
      </c>
      <c r="AJ378" s="1">
        <v>14.0</v>
      </c>
      <c r="AK378" s="1">
        <v>0.0</v>
      </c>
      <c r="AL378" s="1">
        <v>161.0</v>
      </c>
      <c r="AM378" s="1">
        <v>121.0</v>
      </c>
      <c r="AN378" s="1">
        <v>69.0</v>
      </c>
      <c r="AO378" s="1">
        <v>0.0</v>
      </c>
      <c r="AP378" s="1">
        <v>0.204569</v>
      </c>
      <c r="AQ378" s="1">
        <v>0.076816</v>
      </c>
      <c r="AR378" s="1">
        <v>0.074787</v>
      </c>
      <c r="AS378" s="1">
        <v>0.175554</v>
      </c>
      <c r="AT378" s="1">
        <v>18077.0</v>
      </c>
      <c r="AU378" s="1">
        <v>2428.0</v>
      </c>
      <c r="AV378" s="1">
        <v>0.084884</v>
      </c>
      <c r="AW378" s="1">
        <v>0.160472</v>
      </c>
      <c r="AX378" s="1">
        <v>0.127866</v>
      </c>
      <c r="AY378" s="1">
        <v>0.172305</v>
      </c>
      <c r="AZ378" s="1">
        <v>0.10170423</v>
      </c>
      <c r="BA378" s="1">
        <v>0.114392</v>
      </c>
      <c r="BB378" s="1">
        <v>0.0</v>
      </c>
      <c r="BC378" s="1">
        <v>0.12874</v>
      </c>
      <c r="BD378" s="1">
        <v>0.40516</v>
      </c>
      <c r="BE378" s="1">
        <v>0.099361</v>
      </c>
      <c r="BF378" s="1">
        <v>0.0043</v>
      </c>
      <c r="BG378" s="1">
        <v>0.006687</v>
      </c>
      <c r="BH378" s="1">
        <v>0.0</v>
      </c>
      <c r="BI378" s="1">
        <v>0.083897</v>
      </c>
      <c r="BJ378" s="1">
        <v>0.063053</v>
      </c>
      <c r="BK378" s="1">
        <v>0.03563</v>
      </c>
      <c r="BL378" s="1">
        <v>0.0</v>
      </c>
      <c r="BM378" s="1">
        <v>0.742</v>
      </c>
      <c r="BN378" s="1">
        <v>0.555</v>
      </c>
      <c r="BO378" s="1">
        <v>0.7271</v>
      </c>
      <c r="BP378" s="1">
        <v>0.269</v>
      </c>
      <c r="BQ378" s="1">
        <v>2.2931</v>
      </c>
      <c r="BR378" s="1">
        <v>0.5993</v>
      </c>
      <c r="BS378" s="1">
        <v>0.4</v>
      </c>
      <c r="BT378" s="1">
        <v>0.107</v>
      </c>
      <c r="BU378" s="1">
        <v>0.505</v>
      </c>
      <c r="BV378" s="1">
        <v>1.012</v>
      </c>
      <c r="BW378" s="1">
        <v>0.12</v>
      </c>
      <c r="BX378" s="1">
        <v>0.517</v>
      </c>
      <c r="BY378" s="1">
        <v>0.0</v>
      </c>
      <c r="BZ378" s="1">
        <v>0.517</v>
      </c>
      <c r="CA378" s="1">
        <v>0.217</v>
      </c>
      <c r="CB378" s="1">
        <v>0.968</v>
      </c>
      <c r="CC378" s="1">
        <v>0.382</v>
      </c>
      <c r="CD378" s="1">
        <v>0.0</v>
      </c>
      <c r="CE378" s="1">
        <v>0.584</v>
      </c>
      <c r="CF378" s="1">
        <v>0.0</v>
      </c>
      <c r="CG378" s="1">
        <v>1.934</v>
      </c>
      <c r="CH378" s="1">
        <v>0.319</v>
      </c>
      <c r="CI378" s="1">
        <v>5.7561</v>
      </c>
      <c r="CJ378" s="1">
        <v>0.3307</v>
      </c>
      <c r="CK378" s="1">
        <v>0.0</v>
      </c>
      <c r="CL378" s="1">
        <v>0.0</v>
      </c>
      <c r="CM378" s="1">
        <v>0.0</v>
      </c>
      <c r="CN378" s="1">
        <v>0.0</v>
      </c>
      <c r="CO378" s="1">
        <v>0.0</v>
      </c>
      <c r="CP378" s="1">
        <v>0.0</v>
      </c>
      <c r="CQ378" s="1">
        <v>0.0</v>
      </c>
      <c r="CR378" s="1">
        <v>0.0</v>
      </c>
      <c r="CS378" s="1">
        <v>0.0</v>
      </c>
      <c r="CT378" s="1">
        <v>0.0</v>
      </c>
      <c r="CU378" s="1">
        <v>0.0</v>
      </c>
      <c r="CV378" s="1">
        <v>0.0</v>
      </c>
      <c r="CW378" s="1">
        <v>1.0</v>
      </c>
      <c r="CX378" s="1">
        <v>0.0</v>
      </c>
      <c r="CY378" s="1">
        <v>0.0</v>
      </c>
      <c r="CZ378" s="1">
        <v>0.0</v>
      </c>
      <c r="DA378" s="1">
        <v>0.0</v>
      </c>
      <c r="DB378" s="1">
        <v>1.0</v>
      </c>
      <c r="DC378" s="1">
        <v>1.0</v>
      </c>
      <c r="DD378" s="1" t="s">
        <v>1867</v>
      </c>
      <c r="DE378" s="1">
        <v>4.00260590739554E-4</v>
      </c>
      <c r="DF378" s="1">
        <v>0.0817307267409782</v>
      </c>
    </row>
    <row r="379" ht="15.75" customHeight="1">
      <c r="A379" s="1" t="s">
        <v>1868</v>
      </c>
      <c r="B379" s="1">
        <v>29.0</v>
      </c>
      <c r="C379" s="2" t="s">
        <v>1606</v>
      </c>
      <c r="D379" s="2" t="s">
        <v>1869</v>
      </c>
      <c r="E379" s="1">
        <v>2.718</v>
      </c>
      <c r="F379" s="1">
        <v>29077.0</v>
      </c>
      <c r="G379" s="1">
        <v>2.90770058E10</v>
      </c>
      <c r="H379" s="1" t="s">
        <v>112</v>
      </c>
      <c r="I379" s="1" t="s">
        <v>113</v>
      </c>
      <c r="J379" s="1" t="s">
        <v>1607</v>
      </c>
      <c r="K379" s="1" t="s">
        <v>1870</v>
      </c>
      <c r="L379" s="1">
        <v>5314.0</v>
      </c>
      <c r="M379" s="1">
        <v>4224.0</v>
      </c>
      <c r="N379" s="1">
        <v>353.0</v>
      </c>
      <c r="O379" s="1">
        <v>2255.0</v>
      </c>
      <c r="P379" s="1">
        <v>1859.0</v>
      </c>
      <c r="Q379" s="1">
        <v>105.0</v>
      </c>
      <c r="R379" s="1">
        <v>2031.0</v>
      </c>
      <c r="S379" s="1">
        <v>1045.0</v>
      </c>
      <c r="T379" s="1">
        <v>234.0</v>
      </c>
      <c r="U379" s="1">
        <v>146.0</v>
      </c>
      <c r="V379" s="1">
        <v>419.0</v>
      </c>
      <c r="W379" s="1">
        <v>17047.0</v>
      </c>
      <c r="X379" s="1">
        <v>4166.0</v>
      </c>
      <c r="Y379" s="1">
        <v>465.0</v>
      </c>
      <c r="Z379" s="1">
        <v>261.0</v>
      </c>
      <c r="AA379" s="1">
        <v>387.0</v>
      </c>
      <c r="AB379" s="1">
        <v>656.0</v>
      </c>
      <c r="AC379" s="1">
        <v>173.0</v>
      </c>
      <c r="AD379" s="1">
        <v>1212.0</v>
      </c>
      <c r="AE379" s="1">
        <v>16.0</v>
      </c>
      <c r="AF379" s="1">
        <v>442.0</v>
      </c>
      <c r="AG379" s="1">
        <v>702.0</v>
      </c>
      <c r="AH379" s="1">
        <v>165.0</v>
      </c>
      <c r="AI379" s="1">
        <v>197.0</v>
      </c>
      <c r="AJ379" s="1">
        <v>77.0</v>
      </c>
      <c r="AK379" s="1">
        <v>19.0</v>
      </c>
      <c r="AL379" s="1">
        <v>117.0</v>
      </c>
      <c r="AM379" s="1">
        <v>80.0</v>
      </c>
      <c r="AN379" s="1">
        <v>58.0</v>
      </c>
      <c r="AO379" s="1">
        <v>1181.0</v>
      </c>
      <c r="AP379" s="1">
        <v>0.29772</v>
      </c>
      <c r="AQ379" s="1">
        <v>0.060065</v>
      </c>
      <c r="AR379" s="1">
        <v>0.07185</v>
      </c>
      <c r="AS379" s="1">
        <v>0.205831</v>
      </c>
      <c r="AT379" s="1">
        <v>17047.0</v>
      </c>
      <c r="AU379" s="1">
        <v>4166.0</v>
      </c>
      <c r="AV379" s="1">
        <v>0.192228</v>
      </c>
      <c r="AW379" s="1">
        <v>0.106811</v>
      </c>
      <c r="AX379" s="1">
        <v>0.072826</v>
      </c>
      <c r="AY379" s="1">
        <v>0.123447</v>
      </c>
      <c r="AZ379" s="1">
        <v>0.08517971</v>
      </c>
      <c r="BA379" s="1">
        <v>0.228076</v>
      </c>
      <c r="BB379" s="1">
        <v>0.003843</v>
      </c>
      <c r="BC379" s="1">
        <v>0.106172</v>
      </c>
      <c r="BD379" s="1">
        <v>0.377622</v>
      </c>
      <c r="BE379" s="1">
        <v>0.086156</v>
      </c>
      <c r="BF379" s="1">
        <v>0.10597</v>
      </c>
      <c r="BG379" s="1">
        <v>0.040985</v>
      </c>
      <c r="BH379" s="1">
        <v>0.011143</v>
      </c>
      <c r="BI379" s="1">
        <v>0.068616</v>
      </c>
      <c r="BJ379" s="1">
        <v>0.04692</v>
      </c>
      <c r="BK379" s="1">
        <v>0.033843</v>
      </c>
      <c r="BL379" s="1">
        <v>0.222243</v>
      </c>
      <c r="BM379" s="1">
        <v>0.884</v>
      </c>
      <c r="BN379" s="1">
        <v>0.528</v>
      </c>
      <c r="BO379" s="1">
        <v>0.7834</v>
      </c>
      <c r="BP379" s="1">
        <v>0.731</v>
      </c>
      <c r="BQ379" s="1">
        <v>2.9264</v>
      </c>
      <c r="BR379" s="1">
        <v>0.787</v>
      </c>
      <c r="BS379" s="1">
        <v>0.094</v>
      </c>
      <c r="BT379" s="1">
        <v>0.038</v>
      </c>
      <c r="BU379" s="1">
        <v>0.357</v>
      </c>
      <c r="BV379" s="1">
        <v>0.489</v>
      </c>
      <c r="BW379" s="1">
        <v>0.034</v>
      </c>
      <c r="BX379" s="1">
        <v>0.741</v>
      </c>
      <c r="BY379" s="1">
        <v>0.505</v>
      </c>
      <c r="BZ379" s="1">
        <v>1.246</v>
      </c>
      <c r="CA379" s="1">
        <v>0.684</v>
      </c>
      <c r="CB379" s="1">
        <v>0.964</v>
      </c>
      <c r="CC379" s="1">
        <v>0.728</v>
      </c>
      <c r="CD379" s="1">
        <v>0.501</v>
      </c>
      <c r="CE379" s="1">
        <v>0.461</v>
      </c>
      <c r="CF379" s="1">
        <v>0.969</v>
      </c>
      <c r="CG379" s="1">
        <v>3.623</v>
      </c>
      <c r="CH379" s="1">
        <v>0.962</v>
      </c>
      <c r="CI379" s="1">
        <v>8.2844</v>
      </c>
      <c r="CJ379" s="1">
        <v>0.7581</v>
      </c>
      <c r="CK379" s="1">
        <v>0.0</v>
      </c>
      <c r="CL379" s="1">
        <v>0.0</v>
      </c>
      <c r="CM379" s="1">
        <v>0.0</v>
      </c>
      <c r="CN379" s="1">
        <v>0.0</v>
      </c>
      <c r="CO379" s="1">
        <v>0.0</v>
      </c>
      <c r="CP379" s="1">
        <v>0.0</v>
      </c>
      <c r="CQ379" s="1">
        <v>0.0</v>
      </c>
      <c r="CR379" s="1">
        <v>0.0</v>
      </c>
      <c r="CS379" s="1">
        <v>0.0</v>
      </c>
      <c r="CT379" s="1">
        <v>0.0</v>
      </c>
      <c r="CU379" s="1">
        <v>0.0</v>
      </c>
      <c r="CV379" s="1">
        <v>0.0</v>
      </c>
      <c r="CW379" s="1">
        <v>1.0</v>
      </c>
      <c r="CX379" s="1">
        <v>0.0</v>
      </c>
      <c r="CY379" s="1">
        <v>0.0</v>
      </c>
      <c r="CZ379" s="1">
        <v>0.0</v>
      </c>
      <c r="DA379" s="1">
        <v>1.0</v>
      </c>
      <c r="DB379" s="1">
        <v>2.0</v>
      </c>
      <c r="DC379" s="1">
        <v>2.0</v>
      </c>
      <c r="DD379" s="1" t="s">
        <v>1871</v>
      </c>
      <c r="DE379" s="1">
        <v>7.12533363560117E-4</v>
      </c>
      <c r="DF379" s="2" t="s">
        <v>1872</v>
      </c>
    </row>
    <row r="380" ht="15.75" customHeight="1">
      <c r="A380" s="1" t="s">
        <v>1873</v>
      </c>
      <c r="B380" s="1">
        <v>29.0</v>
      </c>
      <c r="C380" s="2" t="s">
        <v>1874</v>
      </c>
      <c r="D380" s="1">
        <v>960100.0</v>
      </c>
      <c r="E380" s="1">
        <v>237.199</v>
      </c>
      <c r="F380" s="1">
        <v>29079.0</v>
      </c>
      <c r="G380" s="1">
        <v>2.90799601E10</v>
      </c>
      <c r="H380" s="1" t="s">
        <v>112</v>
      </c>
      <c r="I380" s="1" t="s">
        <v>113</v>
      </c>
      <c r="J380" s="1" t="s">
        <v>1875</v>
      </c>
      <c r="K380" s="1" t="s">
        <v>1876</v>
      </c>
      <c r="L380" s="1">
        <v>2124.0</v>
      </c>
      <c r="M380" s="1">
        <v>2086.0</v>
      </c>
      <c r="N380" s="1">
        <v>151.0</v>
      </c>
      <c r="O380" s="1">
        <v>990.0</v>
      </c>
      <c r="P380" s="1">
        <v>1013.0</v>
      </c>
      <c r="Q380" s="1">
        <v>89.0</v>
      </c>
      <c r="R380" s="1">
        <v>830.0</v>
      </c>
      <c r="S380" s="1">
        <v>302.0</v>
      </c>
      <c r="T380" s="1">
        <v>92.0</v>
      </c>
      <c r="U380" s="1">
        <v>67.0</v>
      </c>
      <c r="V380" s="1">
        <v>324.0</v>
      </c>
      <c r="W380" s="1">
        <v>18676.0</v>
      </c>
      <c r="X380" s="1">
        <v>2462.0</v>
      </c>
      <c r="Y380" s="1">
        <v>206.0</v>
      </c>
      <c r="Z380" s="1">
        <v>233.0</v>
      </c>
      <c r="AA380" s="1">
        <v>381.0</v>
      </c>
      <c r="AB380" s="1">
        <v>563.0</v>
      </c>
      <c r="AC380" s="1">
        <v>59.0</v>
      </c>
      <c r="AD380" s="1">
        <v>44.0</v>
      </c>
      <c r="AE380" s="1">
        <v>0.0</v>
      </c>
      <c r="AF380" s="1">
        <v>456.0</v>
      </c>
      <c r="AG380" s="1">
        <v>17.0</v>
      </c>
      <c r="AH380" s="1">
        <v>115.0</v>
      </c>
      <c r="AI380" s="1">
        <v>107.0</v>
      </c>
      <c r="AJ380" s="1">
        <v>33.0</v>
      </c>
      <c r="AK380" s="1">
        <v>27.0</v>
      </c>
      <c r="AL380" s="1">
        <v>22.0</v>
      </c>
      <c r="AM380" s="1">
        <v>46.0</v>
      </c>
      <c r="AN380" s="1">
        <v>24.0</v>
      </c>
      <c r="AO380" s="1">
        <v>0.0</v>
      </c>
      <c r="AP380" s="1">
        <v>0.144774</v>
      </c>
      <c r="AQ380" s="1">
        <v>0.04284</v>
      </c>
      <c r="AR380" s="1">
        <v>0.069143</v>
      </c>
      <c r="AS380" s="1">
        <v>0.334286</v>
      </c>
      <c r="AT380" s="1">
        <v>18676.0</v>
      </c>
      <c r="AU380" s="1">
        <v>2462.0</v>
      </c>
      <c r="AV380" s="1">
        <v>0.141971</v>
      </c>
      <c r="AW380" s="1">
        <v>0.160184</v>
      </c>
      <c r="AX380" s="1">
        <v>0.179378</v>
      </c>
      <c r="AY380" s="1">
        <v>0.265065</v>
      </c>
      <c r="AZ380" s="1">
        <v>0.07108433</v>
      </c>
      <c r="BA380" s="1">
        <v>0.020715</v>
      </c>
      <c r="BB380" s="1">
        <v>0.0</v>
      </c>
      <c r="BC380" s="1">
        <v>0.235415</v>
      </c>
      <c r="BD380" s="1">
        <v>0.016781</v>
      </c>
      <c r="BE380" s="1">
        <v>0.113514</v>
      </c>
      <c r="BF380" s="1">
        <v>0.105626</v>
      </c>
      <c r="BG380" s="1">
        <v>0.031226</v>
      </c>
      <c r="BH380" s="1">
        <v>0.032219</v>
      </c>
      <c r="BI380" s="1">
        <v>0.026067</v>
      </c>
      <c r="BJ380" s="1">
        <v>0.054892</v>
      </c>
      <c r="BK380" s="1">
        <v>0.028143</v>
      </c>
      <c r="BL380" s="1">
        <v>0.0</v>
      </c>
      <c r="BM380" s="1">
        <v>0.561</v>
      </c>
      <c r="BN380" s="1">
        <v>0.506</v>
      </c>
      <c r="BO380" s="1">
        <v>0.6939</v>
      </c>
      <c r="BP380" s="1">
        <v>0.533</v>
      </c>
      <c r="BQ380" s="1">
        <v>2.2939</v>
      </c>
      <c r="BR380" s="1">
        <v>0.6007</v>
      </c>
      <c r="BS380" s="1">
        <v>0.786</v>
      </c>
      <c r="BT380" s="1">
        <v>0.753</v>
      </c>
      <c r="BU380" s="1">
        <v>0.225</v>
      </c>
      <c r="BV380" s="1">
        <v>1.764</v>
      </c>
      <c r="BW380" s="1">
        <v>0.697</v>
      </c>
      <c r="BX380" s="1">
        <v>0.021</v>
      </c>
      <c r="BY380" s="1">
        <v>0.0</v>
      </c>
      <c r="BZ380" s="1">
        <v>0.021</v>
      </c>
      <c r="CA380" s="1">
        <v>0.012</v>
      </c>
      <c r="CB380" s="1">
        <v>0.439</v>
      </c>
      <c r="CC380" s="1">
        <v>0.728</v>
      </c>
      <c r="CD380" s="1">
        <v>0.833</v>
      </c>
      <c r="CE380" s="1">
        <v>0.529</v>
      </c>
      <c r="CF380" s="1">
        <v>0.0</v>
      </c>
      <c r="CG380" s="1">
        <v>2.529</v>
      </c>
      <c r="CH380" s="1">
        <v>0.571</v>
      </c>
      <c r="CI380" s="1">
        <v>6.6079</v>
      </c>
      <c r="CJ380" s="1">
        <v>0.4787</v>
      </c>
      <c r="CK380" s="1">
        <v>0.0</v>
      </c>
      <c r="CL380" s="1">
        <v>0.0</v>
      </c>
      <c r="CM380" s="1">
        <v>0.0</v>
      </c>
      <c r="CN380" s="1">
        <v>0.0</v>
      </c>
      <c r="CO380" s="1">
        <v>0.0</v>
      </c>
      <c r="CP380" s="1">
        <v>0.0</v>
      </c>
      <c r="CQ380" s="1">
        <v>0.0</v>
      </c>
      <c r="CR380" s="1">
        <v>0.0</v>
      </c>
      <c r="CS380" s="1">
        <v>0.0</v>
      </c>
      <c r="CT380" s="1">
        <v>0.0</v>
      </c>
      <c r="CU380" s="1">
        <v>0.0</v>
      </c>
      <c r="CV380" s="1">
        <v>0.0</v>
      </c>
      <c r="CW380" s="1">
        <v>0.0</v>
      </c>
      <c r="CX380" s="1">
        <v>0.0</v>
      </c>
      <c r="CY380" s="1">
        <v>0.0</v>
      </c>
      <c r="CZ380" s="1">
        <v>0.0</v>
      </c>
      <c r="DA380" s="1">
        <v>0.0</v>
      </c>
      <c r="DB380" s="1">
        <v>0.0</v>
      </c>
      <c r="DC380" s="1">
        <v>0.0</v>
      </c>
      <c r="DD380" s="1" t="s">
        <v>1877</v>
      </c>
      <c r="DE380" s="1">
        <v>0.0651289568928167</v>
      </c>
      <c r="DF380" s="2" t="s">
        <v>1878</v>
      </c>
    </row>
    <row r="381" ht="15.75" customHeight="1">
      <c r="A381" s="1" t="s">
        <v>1879</v>
      </c>
      <c r="B381" s="1">
        <v>29.0</v>
      </c>
      <c r="C381" s="2" t="s">
        <v>1874</v>
      </c>
      <c r="D381" s="1">
        <v>960200.0</v>
      </c>
      <c r="E381" s="1">
        <v>184.34</v>
      </c>
      <c r="F381" s="1">
        <v>29079.0</v>
      </c>
      <c r="G381" s="1">
        <v>2.90799602E10</v>
      </c>
      <c r="H381" s="1" t="s">
        <v>112</v>
      </c>
      <c r="I381" s="1" t="s">
        <v>113</v>
      </c>
      <c r="J381" s="1" t="s">
        <v>1875</v>
      </c>
      <c r="K381" s="1" t="s">
        <v>1880</v>
      </c>
      <c r="L381" s="1">
        <v>2086.0</v>
      </c>
      <c r="M381" s="1">
        <v>2104.0</v>
      </c>
      <c r="N381" s="1">
        <v>136.0</v>
      </c>
      <c r="O381" s="1">
        <v>1047.0</v>
      </c>
      <c r="P381" s="1">
        <v>976.0</v>
      </c>
      <c r="Q381" s="1">
        <v>77.0</v>
      </c>
      <c r="R381" s="1">
        <v>794.0</v>
      </c>
      <c r="S381" s="1">
        <v>167.0</v>
      </c>
      <c r="T381" s="1">
        <v>66.0</v>
      </c>
      <c r="U381" s="1">
        <v>44.0</v>
      </c>
      <c r="V381" s="1">
        <v>379.0</v>
      </c>
      <c r="W381" s="1">
        <v>17320.0</v>
      </c>
      <c r="X381" s="1">
        <v>2257.0</v>
      </c>
      <c r="Y381" s="1">
        <v>198.0</v>
      </c>
      <c r="Z381" s="1">
        <v>205.0</v>
      </c>
      <c r="AA381" s="1">
        <v>343.0</v>
      </c>
      <c r="AB381" s="1">
        <v>534.0</v>
      </c>
      <c r="AC381" s="1">
        <v>58.0</v>
      </c>
      <c r="AD381" s="1">
        <v>48.0</v>
      </c>
      <c r="AE381" s="1">
        <v>0.0</v>
      </c>
      <c r="AF381" s="1">
        <v>456.0</v>
      </c>
      <c r="AG381" s="1">
        <v>0.0</v>
      </c>
      <c r="AH381" s="1">
        <v>197.0</v>
      </c>
      <c r="AI381" s="1">
        <v>151.0</v>
      </c>
      <c r="AJ381" s="1">
        <v>71.0</v>
      </c>
      <c r="AK381" s="1">
        <v>40.0</v>
      </c>
      <c r="AL381" s="1">
        <v>31.0</v>
      </c>
      <c r="AM381" s="1">
        <v>61.0</v>
      </c>
      <c r="AN381" s="1">
        <v>33.0</v>
      </c>
      <c r="AO381" s="1">
        <v>0.0</v>
      </c>
      <c r="AP381" s="1">
        <v>0.079372</v>
      </c>
      <c r="AQ381" s="1">
        <v>0.030946</v>
      </c>
      <c r="AR381" s="1">
        <v>0.044132</v>
      </c>
      <c r="AS381" s="1">
        <v>0.380099</v>
      </c>
      <c r="AT381" s="1">
        <v>17320.0</v>
      </c>
      <c r="AU381" s="1">
        <v>2257.0</v>
      </c>
      <c r="AV381" s="1">
        <v>0.161896</v>
      </c>
      <c r="AW381" s="1">
        <v>0.167196</v>
      </c>
      <c r="AX381" s="1">
        <v>0.164429</v>
      </c>
      <c r="AY381" s="1">
        <v>0.255992</v>
      </c>
      <c r="AZ381" s="1">
        <v>0.07304785</v>
      </c>
      <c r="BA381" s="1">
        <v>0.02301</v>
      </c>
      <c r="BB381" s="1">
        <v>0.0</v>
      </c>
      <c r="BC381" s="1">
        <v>0.229376</v>
      </c>
      <c r="BD381" s="1">
        <v>0.0</v>
      </c>
      <c r="BE381" s="1">
        <v>0.201844</v>
      </c>
      <c r="BF381" s="1">
        <v>0.154713</v>
      </c>
      <c r="BG381" s="1">
        <v>0.071714</v>
      </c>
      <c r="BH381" s="1">
        <v>0.053333</v>
      </c>
      <c r="BI381" s="1">
        <v>0.041006</v>
      </c>
      <c r="BJ381" s="1">
        <v>0.081333</v>
      </c>
      <c r="BK381" s="1">
        <v>0.043281</v>
      </c>
      <c r="BL381" s="1">
        <v>0.0</v>
      </c>
      <c r="BM381" s="1">
        <v>0.289</v>
      </c>
      <c r="BN381" s="1">
        <v>0.229</v>
      </c>
      <c r="BO381" s="1">
        <v>0.7639</v>
      </c>
      <c r="BP381" s="1">
        <v>0.62</v>
      </c>
      <c r="BQ381" s="1">
        <v>1.9019</v>
      </c>
      <c r="BR381" s="1">
        <v>0.4643</v>
      </c>
      <c r="BS381" s="1">
        <v>0.7</v>
      </c>
      <c r="BT381" s="1">
        <v>0.661</v>
      </c>
      <c r="BU381" s="1">
        <v>0.24</v>
      </c>
      <c r="BV381" s="1">
        <v>1.601</v>
      </c>
      <c r="BW381" s="1">
        <v>0.566</v>
      </c>
      <c r="BX381" s="1">
        <v>0.033</v>
      </c>
      <c r="BY381" s="1">
        <v>0.0</v>
      </c>
      <c r="BZ381" s="1">
        <v>0.033</v>
      </c>
      <c r="CA381" s="1">
        <v>0.019</v>
      </c>
      <c r="CB381" s="1">
        <v>0.0</v>
      </c>
      <c r="CC381" s="1">
        <v>0.826</v>
      </c>
      <c r="CD381" s="1">
        <v>0.948</v>
      </c>
      <c r="CE381" s="1">
        <v>0.682</v>
      </c>
      <c r="CF381" s="1">
        <v>0.0</v>
      </c>
      <c r="CG381" s="1">
        <v>2.456</v>
      </c>
      <c r="CH381" s="1">
        <v>0.542</v>
      </c>
      <c r="CI381" s="1">
        <v>5.9919</v>
      </c>
      <c r="CJ381" s="1">
        <v>0.3711</v>
      </c>
      <c r="CK381" s="1">
        <v>0.0</v>
      </c>
      <c r="CL381" s="1">
        <v>0.0</v>
      </c>
      <c r="CM381" s="1">
        <v>0.0</v>
      </c>
      <c r="CN381" s="1">
        <v>0.0</v>
      </c>
      <c r="CO381" s="1">
        <v>0.0</v>
      </c>
      <c r="CP381" s="1">
        <v>0.0</v>
      </c>
      <c r="CQ381" s="1">
        <v>0.0</v>
      </c>
      <c r="CR381" s="1">
        <v>0.0</v>
      </c>
      <c r="CS381" s="1">
        <v>0.0</v>
      </c>
      <c r="CT381" s="1">
        <v>0.0</v>
      </c>
      <c r="CU381" s="1">
        <v>0.0</v>
      </c>
      <c r="CV381" s="1">
        <v>0.0</v>
      </c>
      <c r="CW381" s="1">
        <v>0.0</v>
      </c>
      <c r="CX381" s="1">
        <v>0.0</v>
      </c>
      <c r="CY381" s="1">
        <v>1.0</v>
      </c>
      <c r="CZ381" s="1">
        <v>0.0</v>
      </c>
      <c r="DA381" s="1">
        <v>0.0</v>
      </c>
      <c r="DB381" s="1">
        <v>1.0</v>
      </c>
      <c r="DC381" s="1">
        <v>1.0</v>
      </c>
      <c r="DD381" s="1" t="s">
        <v>1881</v>
      </c>
      <c r="DE381" s="2" t="s">
        <v>1882</v>
      </c>
      <c r="DF381" s="2" t="s">
        <v>1883</v>
      </c>
    </row>
    <row r="382" ht="15.75" customHeight="1">
      <c r="A382" s="1" t="s">
        <v>1884</v>
      </c>
      <c r="B382" s="1">
        <v>29.0</v>
      </c>
      <c r="C382" s="2" t="s">
        <v>1874</v>
      </c>
      <c r="D382" s="1">
        <v>960300.0</v>
      </c>
      <c r="E382" s="1">
        <v>7.936</v>
      </c>
      <c r="F382" s="1">
        <v>29079.0</v>
      </c>
      <c r="G382" s="1">
        <v>2.90799603E10</v>
      </c>
      <c r="H382" s="1" t="s">
        <v>112</v>
      </c>
      <c r="I382" s="1" t="s">
        <v>113</v>
      </c>
      <c r="J382" s="1" t="s">
        <v>1875</v>
      </c>
      <c r="K382" s="1" t="s">
        <v>1885</v>
      </c>
      <c r="L382" s="1">
        <v>2511.0</v>
      </c>
      <c r="M382" s="1">
        <v>2349.0</v>
      </c>
      <c r="N382" s="1">
        <v>320.0</v>
      </c>
      <c r="O382" s="1">
        <v>1207.0</v>
      </c>
      <c r="P382" s="1">
        <v>1206.0</v>
      </c>
      <c r="Q382" s="1">
        <v>107.0</v>
      </c>
      <c r="R382" s="1">
        <v>1013.0</v>
      </c>
      <c r="S382" s="1">
        <v>191.0</v>
      </c>
      <c r="T382" s="1">
        <v>114.0</v>
      </c>
      <c r="U382" s="1">
        <v>190.0</v>
      </c>
      <c r="V382" s="1">
        <v>407.0</v>
      </c>
      <c r="W382" s="1">
        <v>18972.0</v>
      </c>
      <c r="X382" s="1">
        <v>2451.0</v>
      </c>
      <c r="Y382" s="1">
        <v>250.0</v>
      </c>
      <c r="Z382" s="1">
        <v>320.0</v>
      </c>
      <c r="AA382" s="1">
        <v>419.0</v>
      </c>
      <c r="AB382" s="1">
        <v>609.0</v>
      </c>
      <c r="AC382" s="1">
        <v>118.0</v>
      </c>
      <c r="AD382" s="1">
        <v>162.0</v>
      </c>
      <c r="AE382" s="1">
        <v>0.0</v>
      </c>
      <c r="AF382" s="1">
        <v>456.0</v>
      </c>
      <c r="AG382" s="1">
        <v>44.0</v>
      </c>
      <c r="AH382" s="1">
        <v>119.0</v>
      </c>
      <c r="AI382" s="1">
        <v>0.0</v>
      </c>
      <c r="AJ382" s="1">
        <v>114.0</v>
      </c>
      <c r="AK382" s="1">
        <v>12.0</v>
      </c>
      <c r="AL382" s="1">
        <v>116.0</v>
      </c>
      <c r="AM382" s="1">
        <v>113.0</v>
      </c>
      <c r="AN382" s="1">
        <v>71.0</v>
      </c>
      <c r="AO382" s="1">
        <v>136.0</v>
      </c>
      <c r="AP382" s="1">
        <v>0.085305</v>
      </c>
      <c r="AQ382" s="1">
        <v>0.04949</v>
      </c>
      <c r="AR382" s="1">
        <v>0.169491</v>
      </c>
      <c r="AS382" s="1">
        <v>0.362136</v>
      </c>
      <c r="AT382" s="1">
        <v>18972.0</v>
      </c>
      <c r="AU382" s="1">
        <v>2451.0</v>
      </c>
      <c r="AV382" s="1">
        <v>0.165343</v>
      </c>
      <c r="AW382" s="1">
        <v>0.21086</v>
      </c>
      <c r="AX382" s="1">
        <v>0.166865</v>
      </c>
      <c r="AY382" s="1">
        <v>0.242532</v>
      </c>
      <c r="AZ382" s="1">
        <v>0.11648568</v>
      </c>
      <c r="BA382" s="1">
        <v>0.064516</v>
      </c>
      <c r="BB382" s="1">
        <v>0.0</v>
      </c>
      <c r="BC382" s="1">
        <v>0.208791</v>
      </c>
      <c r="BD382" s="1">
        <v>0.036484</v>
      </c>
      <c r="BE382" s="1">
        <v>0.09862</v>
      </c>
      <c r="BF382" s="1">
        <v>0.0</v>
      </c>
      <c r="BG382" s="1">
        <v>0.094527</v>
      </c>
      <c r="BH382" s="1">
        <v>0.012244</v>
      </c>
      <c r="BI382" s="1">
        <v>0.118358</v>
      </c>
      <c r="BJ382" s="1">
        <v>0.115306</v>
      </c>
      <c r="BK382" s="1">
        <v>0.071174</v>
      </c>
      <c r="BL382" s="1">
        <v>0.054161</v>
      </c>
      <c r="BM382" s="1">
        <v>0.316</v>
      </c>
      <c r="BN382" s="1">
        <v>0.922</v>
      </c>
      <c r="BO382" s="1">
        <v>0.6729</v>
      </c>
      <c r="BP382" s="1">
        <v>0.635</v>
      </c>
      <c r="BQ382" s="1">
        <v>2.5459</v>
      </c>
      <c r="BR382" s="1">
        <v>0.6809</v>
      </c>
      <c r="BS382" s="1">
        <v>0.712</v>
      </c>
      <c r="BT382" s="1">
        <v>0.521</v>
      </c>
      <c r="BU382" s="1">
        <v>0.646</v>
      </c>
      <c r="BV382" s="1">
        <v>1.879</v>
      </c>
      <c r="BW382" s="1">
        <v>0.785</v>
      </c>
      <c r="BX382" s="1">
        <v>0.339</v>
      </c>
      <c r="BY382" s="1">
        <v>0.0</v>
      </c>
      <c r="BZ382" s="1">
        <v>0.339</v>
      </c>
      <c r="CA382" s="1">
        <v>0.145</v>
      </c>
      <c r="CB382" s="1">
        <v>0.589</v>
      </c>
      <c r="CC382" s="1">
        <v>0.0</v>
      </c>
      <c r="CD382" s="1">
        <v>0.533</v>
      </c>
      <c r="CE382" s="1">
        <v>0.797</v>
      </c>
      <c r="CF382" s="1">
        <v>0.903</v>
      </c>
      <c r="CG382" s="1">
        <v>2.822</v>
      </c>
      <c r="CH382" s="1">
        <v>0.697</v>
      </c>
      <c r="CI382" s="1">
        <v>7.5859</v>
      </c>
      <c r="CJ382" s="1">
        <v>0.6505</v>
      </c>
      <c r="CK382" s="1">
        <v>0.0</v>
      </c>
      <c r="CL382" s="1">
        <v>1.0</v>
      </c>
      <c r="CM382" s="1">
        <v>0.0</v>
      </c>
      <c r="CN382" s="1">
        <v>0.0</v>
      </c>
      <c r="CO382" s="1">
        <v>1.0</v>
      </c>
      <c r="CP382" s="1">
        <v>0.0</v>
      </c>
      <c r="CQ382" s="1">
        <v>0.0</v>
      </c>
      <c r="CR382" s="1">
        <v>0.0</v>
      </c>
      <c r="CS382" s="1">
        <v>0.0</v>
      </c>
      <c r="CT382" s="1">
        <v>0.0</v>
      </c>
      <c r="CU382" s="1">
        <v>0.0</v>
      </c>
      <c r="CV382" s="1">
        <v>0.0</v>
      </c>
      <c r="CW382" s="1">
        <v>0.0</v>
      </c>
      <c r="CX382" s="1">
        <v>0.0</v>
      </c>
      <c r="CY382" s="1">
        <v>0.0</v>
      </c>
      <c r="CZ382" s="1">
        <v>0.0</v>
      </c>
      <c r="DA382" s="1">
        <v>1.0</v>
      </c>
      <c r="DB382" s="1">
        <v>1.0</v>
      </c>
      <c r="DC382" s="1">
        <v>2.0</v>
      </c>
      <c r="DD382" s="1" t="s">
        <v>1886</v>
      </c>
      <c r="DE382" s="1">
        <v>0.00225259252975672</v>
      </c>
      <c r="DF382" s="2" t="s">
        <v>1887</v>
      </c>
    </row>
    <row r="383" ht="15.75" customHeight="1">
      <c r="A383" s="1" t="s">
        <v>1888</v>
      </c>
      <c r="B383" s="1">
        <v>29.0</v>
      </c>
      <c r="C383" s="2" t="s">
        <v>1874</v>
      </c>
      <c r="D383" s="1">
        <v>960400.0</v>
      </c>
      <c r="E383" s="1">
        <v>5.802</v>
      </c>
      <c r="F383" s="1">
        <v>29079.0</v>
      </c>
      <c r="G383" s="1">
        <v>2.90799604E10</v>
      </c>
      <c r="H383" s="1" t="s">
        <v>112</v>
      </c>
      <c r="I383" s="1" t="s">
        <v>113</v>
      </c>
      <c r="J383" s="1" t="s">
        <v>1875</v>
      </c>
      <c r="K383" s="1" t="s">
        <v>1889</v>
      </c>
      <c r="L383" s="1">
        <v>3540.0</v>
      </c>
      <c r="M383" s="1">
        <v>3675.0</v>
      </c>
      <c r="N383" s="1">
        <v>317.0</v>
      </c>
      <c r="O383" s="1">
        <v>1779.0</v>
      </c>
      <c r="P383" s="1">
        <v>1881.0</v>
      </c>
      <c r="Q383" s="1">
        <v>126.0</v>
      </c>
      <c r="R383" s="1">
        <v>1567.0</v>
      </c>
      <c r="S383" s="1">
        <v>666.0</v>
      </c>
      <c r="T383" s="1">
        <v>256.0</v>
      </c>
      <c r="U383" s="1">
        <v>93.0</v>
      </c>
      <c r="V383" s="1">
        <v>416.0</v>
      </c>
      <c r="W383" s="1">
        <v>17796.0</v>
      </c>
      <c r="X383" s="1">
        <v>1923.0</v>
      </c>
      <c r="Y383" s="1">
        <v>468.0</v>
      </c>
      <c r="Z383" s="1">
        <v>200.0</v>
      </c>
      <c r="AA383" s="1">
        <v>957.0</v>
      </c>
      <c r="AB383" s="1">
        <v>761.0</v>
      </c>
      <c r="AC383" s="1">
        <v>153.0</v>
      </c>
      <c r="AD383" s="1">
        <v>153.0</v>
      </c>
      <c r="AE383" s="1">
        <v>0.0</v>
      </c>
      <c r="AF383" s="1">
        <v>456.0</v>
      </c>
      <c r="AG383" s="1">
        <v>68.0</v>
      </c>
      <c r="AH383" s="1">
        <v>45.0</v>
      </c>
      <c r="AI383" s="1">
        <v>101.0</v>
      </c>
      <c r="AJ383" s="1">
        <v>62.0</v>
      </c>
      <c r="AK383" s="1">
        <v>20.0</v>
      </c>
      <c r="AL383" s="1">
        <v>118.0</v>
      </c>
      <c r="AM383" s="1">
        <v>142.0</v>
      </c>
      <c r="AN383" s="1">
        <v>77.0</v>
      </c>
      <c r="AO383" s="1">
        <v>214.0</v>
      </c>
      <c r="AP383" s="1">
        <v>0.188882</v>
      </c>
      <c r="AQ383" s="1">
        <v>0.071014</v>
      </c>
      <c r="AR383" s="1">
        <v>0.060311</v>
      </c>
      <c r="AS383" s="1">
        <v>0.26964</v>
      </c>
      <c r="AT383" s="1">
        <v>17796.0</v>
      </c>
      <c r="AU383" s="1">
        <v>1923.0</v>
      </c>
      <c r="AV383" s="1">
        <v>0.174496</v>
      </c>
      <c r="AW383" s="1">
        <v>0.073604</v>
      </c>
      <c r="AX383" s="1">
        <v>0.270338</v>
      </c>
      <c r="AY383" s="1">
        <v>0.214971</v>
      </c>
      <c r="AZ383" s="1">
        <v>0.0976388</v>
      </c>
      <c r="BA383" s="1">
        <v>0.04322</v>
      </c>
      <c r="BB383" s="1">
        <v>0.0</v>
      </c>
      <c r="BC383" s="1">
        <v>0.132365</v>
      </c>
      <c r="BD383" s="1">
        <v>0.03615</v>
      </c>
      <c r="BE383" s="1">
        <v>0.0238</v>
      </c>
      <c r="BF383" s="1">
        <v>0.053694</v>
      </c>
      <c r="BG383" s="1">
        <v>0.032764</v>
      </c>
      <c r="BH383" s="1">
        <v>0.011827</v>
      </c>
      <c r="BI383" s="1">
        <v>0.069775</v>
      </c>
      <c r="BJ383" s="1">
        <v>0.083973</v>
      </c>
      <c r="BK383" s="1">
        <v>0.045082</v>
      </c>
      <c r="BL383" s="1">
        <v>0.060451</v>
      </c>
      <c r="BM383" s="1">
        <v>0.7</v>
      </c>
      <c r="BN383" s="1">
        <v>0.42</v>
      </c>
      <c r="BO383" s="1">
        <v>0.7386</v>
      </c>
      <c r="BP383" s="1">
        <v>0.668</v>
      </c>
      <c r="BQ383" s="1">
        <v>2.5266</v>
      </c>
      <c r="BR383" s="1">
        <v>0.6736</v>
      </c>
      <c r="BS383" s="1">
        <v>0.982</v>
      </c>
      <c r="BT383" s="1">
        <v>0.267</v>
      </c>
      <c r="BU383" s="1">
        <v>0.471</v>
      </c>
      <c r="BV383" s="1">
        <v>1.72</v>
      </c>
      <c r="BW383" s="1">
        <v>0.658</v>
      </c>
      <c r="BX383" s="1">
        <v>0.2</v>
      </c>
      <c r="BY383" s="1">
        <v>0.0</v>
      </c>
      <c r="BZ383" s="1">
        <v>0.2</v>
      </c>
      <c r="CA383" s="1">
        <v>0.092</v>
      </c>
      <c r="CB383" s="1">
        <v>0.587</v>
      </c>
      <c r="CC383" s="1">
        <v>0.615</v>
      </c>
      <c r="CD383" s="1">
        <v>0.525</v>
      </c>
      <c r="CE383" s="1">
        <v>0.699</v>
      </c>
      <c r="CF383" s="1">
        <v>0.91</v>
      </c>
      <c r="CG383" s="1">
        <v>3.336</v>
      </c>
      <c r="CH383" s="1">
        <v>0.887</v>
      </c>
      <c r="CI383" s="1">
        <v>7.7826</v>
      </c>
      <c r="CJ383" s="1">
        <v>0.678</v>
      </c>
      <c r="CK383" s="1">
        <v>0.0</v>
      </c>
      <c r="CL383" s="1">
        <v>0.0</v>
      </c>
      <c r="CM383" s="1">
        <v>0.0</v>
      </c>
      <c r="CN383" s="1">
        <v>0.0</v>
      </c>
      <c r="CO383" s="1">
        <v>0.0</v>
      </c>
      <c r="CP383" s="1">
        <v>1.0</v>
      </c>
      <c r="CQ383" s="1">
        <v>0.0</v>
      </c>
      <c r="CR383" s="1">
        <v>0.0</v>
      </c>
      <c r="CS383" s="1">
        <v>1.0</v>
      </c>
      <c r="CT383" s="1">
        <v>0.0</v>
      </c>
      <c r="CU383" s="1">
        <v>0.0</v>
      </c>
      <c r="CV383" s="1">
        <v>0.0</v>
      </c>
      <c r="CW383" s="1">
        <v>0.0</v>
      </c>
      <c r="CX383" s="1">
        <v>0.0</v>
      </c>
      <c r="CY383" s="1">
        <v>0.0</v>
      </c>
      <c r="CZ383" s="1">
        <v>0.0</v>
      </c>
      <c r="DA383" s="1">
        <v>1.0</v>
      </c>
      <c r="DB383" s="1">
        <v>1.0</v>
      </c>
      <c r="DC383" s="1">
        <v>2.0</v>
      </c>
      <c r="DD383" s="1" t="s">
        <v>1890</v>
      </c>
      <c r="DE383" s="1">
        <v>0.00166055274702045</v>
      </c>
      <c r="DF383" s="2" t="s">
        <v>1891</v>
      </c>
    </row>
    <row r="384" ht="15.75" customHeight="1">
      <c r="A384" s="1" t="s">
        <v>1892</v>
      </c>
      <c r="B384" s="1">
        <v>29.0</v>
      </c>
      <c r="C384" s="2" t="s">
        <v>1893</v>
      </c>
      <c r="D384" s="1">
        <v>950100.0</v>
      </c>
      <c r="E384" s="1">
        <v>377.244</v>
      </c>
      <c r="F384" s="1">
        <v>29081.0</v>
      </c>
      <c r="G384" s="1">
        <v>2.90819501E10</v>
      </c>
      <c r="H384" s="1" t="s">
        <v>112</v>
      </c>
      <c r="I384" s="1" t="s">
        <v>113</v>
      </c>
      <c r="J384" s="1" t="s">
        <v>1894</v>
      </c>
      <c r="K384" s="1" t="s">
        <v>1895</v>
      </c>
      <c r="L384" s="1">
        <v>3483.0</v>
      </c>
      <c r="M384" s="1">
        <v>3580.0</v>
      </c>
      <c r="N384" s="1">
        <v>178.0</v>
      </c>
      <c r="O384" s="1">
        <v>1777.0</v>
      </c>
      <c r="P384" s="1">
        <v>1759.0</v>
      </c>
      <c r="Q384" s="1">
        <v>94.0</v>
      </c>
      <c r="R384" s="1">
        <v>1427.0</v>
      </c>
      <c r="S384" s="1">
        <v>605.0</v>
      </c>
      <c r="T384" s="1">
        <v>133.0</v>
      </c>
      <c r="U384" s="1">
        <v>113.0</v>
      </c>
      <c r="V384" s="1">
        <v>305.0</v>
      </c>
      <c r="W384" s="1">
        <v>18748.0</v>
      </c>
      <c r="X384" s="1">
        <v>1705.0</v>
      </c>
      <c r="Y384" s="1">
        <v>436.0</v>
      </c>
      <c r="Z384" s="1">
        <v>245.0</v>
      </c>
      <c r="AA384" s="1">
        <v>699.0</v>
      </c>
      <c r="AB384" s="1">
        <v>881.0</v>
      </c>
      <c r="AC384" s="1">
        <v>116.0</v>
      </c>
      <c r="AD384" s="1">
        <v>80.0</v>
      </c>
      <c r="AE384" s="1">
        <v>52.0</v>
      </c>
      <c r="AF384" s="1">
        <v>431.0</v>
      </c>
      <c r="AG384" s="1">
        <v>9.0</v>
      </c>
      <c r="AH384" s="1">
        <v>114.0</v>
      </c>
      <c r="AI384" s="1">
        <v>199.0</v>
      </c>
      <c r="AJ384" s="1">
        <v>45.0</v>
      </c>
      <c r="AK384" s="1">
        <v>38.0</v>
      </c>
      <c r="AL384" s="1">
        <v>25.0</v>
      </c>
      <c r="AM384" s="1">
        <v>69.0</v>
      </c>
      <c r="AN384" s="1">
        <v>21.0</v>
      </c>
      <c r="AO384" s="1">
        <v>0.0</v>
      </c>
      <c r="AP384" s="1">
        <v>0.170182</v>
      </c>
      <c r="AQ384" s="1">
        <v>0.036406</v>
      </c>
      <c r="AR384" s="1">
        <v>0.068236</v>
      </c>
      <c r="AS384" s="1">
        <v>0.184072</v>
      </c>
      <c r="AT384" s="1">
        <v>18748.0</v>
      </c>
      <c r="AU384" s="1">
        <v>1705.0</v>
      </c>
      <c r="AV384" s="1">
        <v>0.181894</v>
      </c>
      <c r="AW384" s="1">
        <v>0.101583</v>
      </c>
      <c r="AX384" s="1">
        <v>0.200689</v>
      </c>
      <c r="AY384" s="1">
        <v>0.252942</v>
      </c>
      <c r="AZ384" s="1">
        <v>0.08128941</v>
      </c>
      <c r="BA384" s="1">
        <v>0.022968</v>
      </c>
      <c r="BB384" s="1">
        <v>0.015564</v>
      </c>
      <c r="BC384" s="1">
        <v>0.129</v>
      </c>
      <c r="BD384" s="1">
        <v>0.005116</v>
      </c>
      <c r="BE384" s="1">
        <v>0.064808</v>
      </c>
      <c r="BF384" s="1">
        <v>0.113132</v>
      </c>
      <c r="BG384" s="1">
        <v>0.024858</v>
      </c>
      <c r="BH384" s="1">
        <v>0.029118</v>
      </c>
      <c r="BI384" s="1">
        <v>0.019026</v>
      </c>
      <c r="BJ384" s="1">
        <v>0.052873</v>
      </c>
      <c r="BK384" s="1">
        <v>0.015573</v>
      </c>
      <c r="BL384" s="1">
        <v>0.0</v>
      </c>
      <c r="BM384" s="1">
        <v>0.642</v>
      </c>
      <c r="BN384" s="1">
        <v>0.499</v>
      </c>
      <c r="BO384" s="1">
        <v>0.6866</v>
      </c>
      <c r="BP384" s="1">
        <v>0.693</v>
      </c>
      <c r="BQ384" s="1">
        <v>2.5206</v>
      </c>
      <c r="BR384" s="1">
        <v>0.6722</v>
      </c>
      <c r="BS384" s="1">
        <v>0.874</v>
      </c>
      <c r="BT384" s="1">
        <v>0.638</v>
      </c>
      <c r="BU384" s="1">
        <v>0.317</v>
      </c>
      <c r="BV384" s="1">
        <v>1.829</v>
      </c>
      <c r="BW384" s="1">
        <v>0.75</v>
      </c>
      <c r="BX384" s="1">
        <v>0.031</v>
      </c>
      <c r="BY384" s="1">
        <v>0.817</v>
      </c>
      <c r="BZ384" s="1">
        <v>0.848</v>
      </c>
      <c r="CA384" s="1">
        <v>0.43</v>
      </c>
      <c r="CB384" s="1">
        <v>0.318</v>
      </c>
      <c r="CC384" s="1">
        <v>0.746</v>
      </c>
      <c r="CD384" s="1">
        <v>0.795</v>
      </c>
      <c r="CE384" s="1">
        <v>0.51</v>
      </c>
      <c r="CF384" s="1">
        <v>0.0</v>
      </c>
      <c r="CG384" s="1">
        <v>2.369</v>
      </c>
      <c r="CH384" s="1">
        <v>0.494</v>
      </c>
      <c r="CI384" s="1">
        <v>7.5666</v>
      </c>
      <c r="CJ384" s="1">
        <v>0.6462</v>
      </c>
      <c r="CK384" s="1">
        <v>0.0</v>
      </c>
      <c r="CL384" s="1">
        <v>0.0</v>
      </c>
      <c r="CM384" s="1">
        <v>0.0</v>
      </c>
      <c r="CN384" s="1">
        <v>0.0</v>
      </c>
      <c r="CO384" s="1">
        <v>0.0</v>
      </c>
      <c r="CP384" s="1">
        <v>0.0</v>
      </c>
      <c r="CQ384" s="1">
        <v>0.0</v>
      </c>
      <c r="CR384" s="1">
        <v>0.0</v>
      </c>
      <c r="CS384" s="1">
        <v>0.0</v>
      </c>
      <c r="CT384" s="1">
        <v>0.0</v>
      </c>
      <c r="CU384" s="1">
        <v>0.0</v>
      </c>
      <c r="CV384" s="1">
        <v>0.0</v>
      </c>
      <c r="CW384" s="1">
        <v>0.0</v>
      </c>
      <c r="CX384" s="1">
        <v>0.0</v>
      </c>
      <c r="CY384" s="1">
        <v>0.0</v>
      </c>
      <c r="CZ384" s="1">
        <v>0.0</v>
      </c>
      <c r="DA384" s="1">
        <v>0.0</v>
      </c>
      <c r="DB384" s="1">
        <v>0.0</v>
      </c>
      <c r="DC384" s="1">
        <v>0.0</v>
      </c>
      <c r="DD384" s="1" t="s">
        <v>1896</v>
      </c>
      <c r="DE384" s="2" t="s">
        <v>1897</v>
      </c>
      <c r="DF384" s="2" t="s">
        <v>1898</v>
      </c>
    </row>
    <row r="385" ht="15.75" customHeight="1">
      <c r="A385" s="1" t="s">
        <v>1899</v>
      </c>
      <c r="B385" s="1">
        <v>29.0</v>
      </c>
      <c r="C385" s="2" t="s">
        <v>1893</v>
      </c>
      <c r="D385" s="1">
        <v>950200.0</v>
      </c>
      <c r="E385" s="1">
        <v>338.265</v>
      </c>
      <c r="F385" s="1">
        <v>29081.0</v>
      </c>
      <c r="G385" s="1">
        <v>2.90819502E10</v>
      </c>
      <c r="H385" s="1" t="s">
        <v>112</v>
      </c>
      <c r="I385" s="1" t="s">
        <v>113</v>
      </c>
      <c r="J385" s="1" t="s">
        <v>1894</v>
      </c>
      <c r="K385" s="1" t="s">
        <v>1900</v>
      </c>
      <c r="L385" s="1">
        <v>2355.0</v>
      </c>
      <c r="M385" s="1">
        <v>2171.0</v>
      </c>
      <c r="N385" s="1">
        <v>199.0</v>
      </c>
      <c r="O385" s="1">
        <v>1096.0</v>
      </c>
      <c r="P385" s="1">
        <v>1017.0</v>
      </c>
      <c r="Q385" s="1">
        <v>78.0</v>
      </c>
      <c r="R385" s="1">
        <v>890.0</v>
      </c>
      <c r="S385" s="1">
        <v>283.0</v>
      </c>
      <c r="T385" s="1">
        <v>84.0</v>
      </c>
      <c r="U385" s="1">
        <v>55.0</v>
      </c>
      <c r="V385" s="1">
        <v>380.0</v>
      </c>
      <c r="W385" s="1">
        <v>22730.0</v>
      </c>
      <c r="X385" s="1">
        <v>4163.0</v>
      </c>
      <c r="Y385" s="1">
        <v>161.0</v>
      </c>
      <c r="Z385" s="1">
        <v>262.0</v>
      </c>
      <c r="AA385" s="1">
        <v>522.0</v>
      </c>
      <c r="AB385" s="1">
        <v>592.0</v>
      </c>
      <c r="AC385" s="1">
        <v>56.0</v>
      </c>
      <c r="AD385" s="1">
        <v>53.0</v>
      </c>
      <c r="AE385" s="1">
        <v>0.0</v>
      </c>
      <c r="AF385" s="1">
        <v>456.0</v>
      </c>
      <c r="AG385" s="1">
        <v>0.0</v>
      </c>
      <c r="AH385" s="1">
        <v>197.0</v>
      </c>
      <c r="AI385" s="1">
        <v>100.0</v>
      </c>
      <c r="AJ385" s="1">
        <v>49.0</v>
      </c>
      <c r="AK385" s="1">
        <v>24.0</v>
      </c>
      <c r="AL385" s="1">
        <v>116.0</v>
      </c>
      <c r="AM385" s="1">
        <v>55.0</v>
      </c>
      <c r="AN385" s="1">
        <v>30.0</v>
      </c>
      <c r="AO385" s="1">
        <v>73.0</v>
      </c>
      <c r="AP385" s="1">
        <v>0.130354</v>
      </c>
      <c r="AQ385" s="1">
        <v>0.0368</v>
      </c>
      <c r="AR385" s="1">
        <v>0.053974</v>
      </c>
      <c r="AS385" s="1">
        <v>0.372842</v>
      </c>
      <c r="AT385" s="1">
        <v>22730.0</v>
      </c>
      <c r="AU385" s="1">
        <v>4163.0</v>
      </c>
      <c r="AV385" s="1">
        <v>0.10893</v>
      </c>
      <c r="AW385" s="1">
        <v>0.176944</v>
      </c>
      <c r="AX385" s="1">
        <v>0.221656</v>
      </c>
      <c r="AY385" s="1">
        <v>0.25138</v>
      </c>
      <c r="AZ385" s="1">
        <v>0.06292134</v>
      </c>
      <c r="BA385" s="1">
        <v>0.022505</v>
      </c>
      <c r="BB385" s="1">
        <v>0.0</v>
      </c>
      <c r="BC385" s="1">
        <v>0.227431</v>
      </c>
      <c r="BD385" s="1">
        <v>0.0</v>
      </c>
      <c r="BE385" s="1">
        <v>0.193706</v>
      </c>
      <c r="BF385" s="1">
        <v>0.098328</v>
      </c>
      <c r="BG385" s="1">
        <v>0.047587</v>
      </c>
      <c r="BH385" s="1">
        <v>0.027777</v>
      </c>
      <c r="BI385" s="1">
        <v>0.134227</v>
      </c>
      <c r="BJ385" s="1">
        <v>0.063657</v>
      </c>
      <c r="BK385" s="1">
        <v>0.034068</v>
      </c>
      <c r="BL385" s="1">
        <v>0.030997</v>
      </c>
      <c r="BM385" s="1">
        <v>0.499</v>
      </c>
      <c r="BN385" s="1">
        <v>0.338</v>
      </c>
      <c r="BO385" s="1">
        <v>0.4592</v>
      </c>
      <c r="BP385" s="1">
        <v>0.377</v>
      </c>
      <c r="BQ385" s="1">
        <v>1.6732</v>
      </c>
      <c r="BR385" s="1">
        <v>0.3942</v>
      </c>
      <c r="BS385" s="1">
        <v>0.937</v>
      </c>
      <c r="BT385" s="1">
        <v>0.616</v>
      </c>
      <c r="BU385" s="1">
        <v>0.157</v>
      </c>
      <c r="BV385" s="1">
        <v>1.71</v>
      </c>
      <c r="BW385" s="1">
        <v>0.648</v>
      </c>
      <c r="BX385" s="1">
        <v>0.029</v>
      </c>
      <c r="BY385" s="1">
        <v>0.0</v>
      </c>
      <c r="BZ385" s="1">
        <v>0.029</v>
      </c>
      <c r="CA385" s="1">
        <v>0.017</v>
      </c>
      <c r="CB385" s="1">
        <v>0.0</v>
      </c>
      <c r="CC385" s="1">
        <v>0.711</v>
      </c>
      <c r="CD385" s="1">
        <v>0.786</v>
      </c>
      <c r="CE385" s="1">
        <v>0.588</v>
      </c>
      <c r="CF385" s="1">
        <v>0.813</v>
      </c>
      <c r="CG385" s="1">
        <v>2.898</v>
      </c>
      <c r="CH385" s="1">
        <v>0.731</v>
      </c>
      <c r="CI385" s="1">
        <v>6.3102</v>
      </c>
      <c r="CJ385" s="1">
        <v>0.4303</v>
      </c>
      <c r="CK385" s="1">
        <v>0.0</v>
      </c>
      <c r="CL385" s="1">
        <v>0.0</v>
      </c>
      <c r="CM385" s="1">
        <v>0.0</v>
      </c>
      <c r="CN385" s="1">
        <v>0.0</v>
      </c>
      <c r="CO385" s="1">
        <v>0.0</v>
      </c>
      <c r="CP385" s="1">
        <v>1.0</v>
      </c>
      <c r="CQ385" s="1">
        <v>0.0</v>
      </c>
      <c r="CR385" s="1">
        <v>0.0</v>
      </c>
      <c r="CS385" s="1">
        <v>1.0</v>
      </c>
      <c r="CT385" s="1">
        <v>0.0</v>
      </c>
      <c r="CU385" s="1">
        <v>0.0</v>
      </c>
      <c r="CV385" s="1">
        <v>0.0</v>
      </c>
      <c r="CW385" s="1">
        <v>0.0</v>
      </c>
      <c r="CX385" s="1">
        <v>0.0</v>
      </c>
      <c r="CY385" s="1">
        <v>0.0</v>
      </c>
      <c r="CZ385" s="1">
        <v>0.0</v>
      </c>
      <c r="DA385" s="1">
        <v>0.0</v>
      </c>
      <c r="DB385" s="1">
        <v>0.0</v>
      </c>
      <c r="DC385" s="1">
        <v>1.0</v>
      </c>
      <c r="DD385" s="1" t="s">
        <v>1901</v>
      </c>
      <c r="DE385" s="1">
        <v>0.0933815375133445</v>
      </c>
      <c r="DF385" s="2" t="s">
        <v>1902</v>
      </c>
    </row>
    <row r="386" ht="15.75" customHeight="1">
      <c r="A386" s="1" t="s">
        <v>1903</v>
      </c>
      <c r="B386" s="1">
        <v>29.0</v>
      </c>
      <c r="C386" s="2" t="s">
        <v>1893</v>
      </c>
      <c r="D386" s="1">
        <v>950300.0</v>
      </c>
      <c r="E386" s="1">
        <v>6.994</v>
      </c>
      <c r="F386" s="1">
        <v>29081.0</v>
      </c>
      <c r="G386" s="1">
        <v>2.90819503E10</v>
      </c>
      <c r="H386" s="1" t="s">
        <v>112</v>
      </c>
      <c r="I386" s="1" t="s">
        <v>113</v>
      </c>
      <c r="J386" s="1" t="s">
        <v>1894</v>
      </c>
      <c r="K386" s="1" t="s">
        <v>1904</v>
      </c>
      <c r="L386" s="1">
        <v>3119.0</v>
      </c>
      <c r="M386" s="1">
        <v>3190.0</v>
      </c>
      <c r="N386" s="1">
        <v>169.0</v>
      </c>
      <c r="O386" s="1">
        <v>1534.0</v>
      </c>
      <c r="P386" s="1">
        <v>1643.0</v>
      </c>
      <c r="Q386" s="1">
        <v>143.0</v>
      </c>
      <c r="R386" s="1">
        <v>1352.0</v>
      </c>
      <c r="S386" s="1">
        <v>439.0</v>
      </c>
      <c r="T386" s="1">
        <v>181.0</v>
      </c>
      <c r="U386" s="1">
        <v>116.0</v>
      </c>
      <c r="V386" s="1">
        <v>465.0</v>
      </c>
      <c r="W386" s="1">
        <v>16651.0</v>
      </c>
      <c r="X386" s="1">
        <v>1836.0</v>
      </c>
      <c r="Y386" s="1">
        <v>352.0</v>
      </c>
      <c r="Z386" s="1">
        <v>258.0</v>
      </c>
      <c r="AA386" s="1">
        <v>633.0</v>
      </c>
      <c r="AB386" s="1">
        <v>748.0</v>
      </c>
      <c r="AC386" s="1">
        <v>146.0</v>
      </c>
      <c r="AD386" s="1">
        <v>165.0</v>
      </c>
      <c r="AE386" s="1">
        <v>20.0</v>
      </c>
      <c r="AF386" s="1">
        <v>427.0</v>
      </c>
      <c r="AG386" s="1">
        <v>13.0</v>
      </c>
      <c r="AH386" s="1">
        <v>163.0</v>
      </c>
      <c r="AI386" s="1">
        <v>66.0</v>
      </c>
      <c r="AJ386" s="1">
        <v>47.0</v>
      </c>
      <c r="AK386" s="1">
        <v>0.0</v>
      </c>
      <c r="AL386" s="1">
        <v>161.0</v>
      </c>
      <c r="AM386" s="1">
        <v>119.0</v>
      </c>
      <c r="AN386" s="1">
        <v>65.0</v>
      </c>
      <c r="AO386" s="1">
        <v>72.0</v>
      </c>
      <c r="AP386" s="1">
        <v>0.143276</v>
      </c>
      <c r="AQ386" s="1">
        <v>0.058033</v>
      </c>
      <c r="AR386" s="1">
        <v>0.099145</v>
      </c>
      <c r="AS386" s="1">
        <v>0.396998</v>
      </c>
      <c r="AT386" s="1">
        <v>16651.0</v>
      </c>
      <c r="AU386" s="1">
        <v>1836.0</v>
      </c>
      <c r="AV386" s="1">
        <v>0.154453</v>
      </c>
      <c r="AW386" s="1">
        <v>0.112699</v>
      </c>
      <c r="AX386" s="1">
        <v>0.202949</v>
      </c>
      <c r="AY386" s="1">
        <v>0.23982</v>
      </c>
      <c r="AZ386" s="1">
        <v>0.10798816</v>
      </c>
      <c r="BA386" s="1">
        <v>0.052901</v>
      </c>
      <c r="BB386" s="1">
        <v>0.0068</v>
      </c>
      <c r="BC386" s="1">
        <v>0.145188</v>
      </c>
      <c r="BD386" s="1">
        <v>0.007912</v>
      </c>
      <c r="BE386" s="1">
        <v>0.099206</v>
      </c>
      <c r="BF386" s="1">
        <v>0.04017</v>
      </c>
      <c r="BG386" s="1">
        <v>0.028391</v>
      </c>
      <c r="BH386" s="1">
        <v>0.0</v>
      </c>
      <c r="BI386" s="1">
        <v>0.117948</v>
      </c>
      <c r="BJ386" s="1">
        <v>0.087179</v>
      </c>
      <c r="BK386" s="1">
        <v>0.046709</v>
      </c>
      <c r="BL386" s="1">
        <v>0.023084</v>
      </c>
      <c r="BM386" s="1">
        <v>0.558</v>
      </c>
      <c r="BN386" s="1">
        <v>0.726</v>
      </c>
      <c r="BO386" s="1">
        <v>0.8043</v>
      </c>
      <c r="BP386" s="1">
        <v>0.585</v>
      </c>
      <c r="BQ386" s="1">
        <v>2.6733</v>
      </c>
      <c r="BR386" s="1">
        <v>0.7141</v>
      </c>
      <c r="BS386" s="1">
        <v>0.886</v>
      </c>
      <c r="BT386" s="1">
        <v>0.497</v>
      </c>
      <c r="BU386" s="1">
        <v>0.566</v>
      </c>
      <c r="BV386" s="1">
        <v>1.949</v>
      </c>
      <c r="BW386" s="1">
        <v>0.83</v>
      </c>
      <c r="BX386" s="1">
        <v>0.27</v>
      </c>
      <c r="BY386" s="1">
        <v>0.625</v>
      </c>
      <c r="BZ386" s="1">
        <v>0.895</v>
      </c>
      <c r="CA386" s="1">
        <v>0.464</v>
      </c>
      <c r="CB386" s="1">
        <v>0.361</v>
      </c>
      <c r="CC386" s="1">
        <v>0.58</v>
      </c>
      <c r="CD386" s="1">
        <v>0.0</v>
      </c>
      <c r="CE386" s="1">
        <v>0.708</v>
      </c>
      <c r="CF386" s="1">
        <v>0.748</v>
      </c>
      <c r="CG386" s="1">
        <v>2.397</v>
      </c>
      <c r="CH386" s="1">
        <v>0.515</v>
      </c>
      <c r="CI386" s="1">
        <v>7.9143</v>
      </c>
      <c r="CJ386" s="1">
        <v>0.7025</v>
      </c>
      <c r="CK386" s="1">
        <v>0.0</v>
      </c>
      <c r="CL386" s="1">
        <v>0.0</v>
      </c>
      <c r="CM386" s="1">
        <v>0.0</v>
      </c>
      <c r="CN386" s="1">
        <v>0.0</v>
      </c>
      <c r="CO386" s="1">
        <v>0.0</v>
      </c>
      <c r="CP386" s="1">
        <v>0.0</v>
      </c>
      <c r="CQ386" s="1">
        <v>0.0</v>
      </c>
      <c r="CR386" s="1">
        <v>0.0</v>
      </c>
      <c r="CS386" s="1">
        <v>0.0</v>
      </c>
      <c r="CT386" s="1">
        <v>0.0</v>
      </c>
      <c r="CU386" s="1">
        <v>0.0</v>
      </c>
      <c r="CV386" s="1">
        <v>0.0</v>
      </c>
      <c r="CW386" s="1">
        <v>0.0</v>
      </c>
      <c r="CX386" s="1">
        <v>0.0</v>
      </c>
      <c r="CY386" s="1">
        <v>0.0</v>
      </c>
      <c r="CZ386" s="1">
        <v>0.0</v>
      </c>
      <c r="DA386" s="1">
        <v>0.0</v>
      </c>
      <c r="DB386" s="1">
        <v>0.0</v>
      </c>
      <c r="DC386" s="1">
        <v>0.0</v>
      </c>
      <c r="DD386" s="1" t="s">
        <v>1905</v>
      </c>
      <c r="DE386" s="1">
        <v>0.0019494186462285</v>
      </c>
      <c r="DF386" s="2" t="s">
        <v>1906</v>
      </c>
    </row>
    <row r="387" ht="15.75" customHeight="1">
      <c r="A387" s="1" t="s">
        <v>1907</v>
      </c>
      <c r="B387" s="1">
        <v>29.0</v>
      </c>
      <c r="C387" s="2" t="s">
        <v>1908</v>
      </c>
      <c r="D387" s="1">
        <v>950300.0</v>
      </c>
      <c r="E387" s="1">
        <v>224.118</v>
      </c>
      <c r="F387" s="1">
        <v>29083.0</v>
      </c>
      <c r="G387" s="1">
        <v>2.90839503E10</v>
      </c>
      <c r="H387" s="1" t="s">
        <v>112</v>
      </c>
      <c r="I387" s="1" t="s">
        <v>113</v>
      </c>
      <c r="J387" s="1" t="s">
        <v>1909</v>
      </c>
      <c r="K387" s="1" t="s">
        <v>1910</v>
      </c>
      <c r="L387" s="1">
        <v>3286.0</v>
      </c>
      <c r="M387" s="1">
        <v>3445.0</v>
      </c>
      <c r="N387" s="1">
        <v>225.0</v>
      </c>
      <c r="O387" s="1">
        <v>1501.0</v>
      </c>
      <c r="P387" s="1">
        <v>1490.0</v>
      </c>
      <c r="Q387" s="1">
        <v>95.0</v>
      </c>
      <c r="R387" s="1">
        <v>1308.0</v>
      </c>
      <c r="S387" s="1">
        <v>419.0</v>
      </c>
      <c r="T387" s="1">
        <v>139.0</v>
      </c>
      <c r="U387" s="1">
        <v>125.0</v>
      </c>
      <c r="V387" s="1">
        <v>383.0</v>
      </c>
      <c r="W387" s="1">
        <v>18977.0</v>
      </c>
      <c r="X387" s="1">
        <v>1623.0</v>
      </c>
      <c r="Y387" s="1">
        <v>302.0</v>
      </c>
      <c r="Z387" s="1">
        <v>211.0</v>
      </c>
      <c r="AA387" s="1">
        <v>535.0</v>
      </c>
      <c r="AB387" s="1">
        <v>813.0</v>
      </c>
      <c r="AC387" s="1">
        <v>94.0</v>
      </c>
      <c r="AD387" s="1">
        <v>133.0</v>
      </c>
      <c r="AE387" s="1">
        <v>32.0</v>
      </c>
      <c r="AF387" s="1">
        <v>412.0</v>
      </c>
      <c r="AG387" s="1">
        <v>3.0</v>
      </c>
      <c r="AH387" s="1">
        <v>161.0</v>
      </c>
      <c r="AI387" s="1">
        <v>220.0</v>
      </c>
      <c r="AJ387" s="1">
        <v>71.0</v>
      </c>
      <c r="AK387" s="1">
        <v>26.0</v>
      </c>
      <c r="AL387" s="1">
        <v>116.0</v>
      </c>
      <c r="AM387" s="1">
        <v>48.0</v>
      </c>
      <c r="AN387" s="1">
        <v>33.0</v>
      </c>
      <c r="AO387" s="1">
        <v>0.0</v>
      </c>
      <c r="AP387" s="1">
        <v>0.123054</v>
      </c>
      <c r="AQ387" s="1">
        <v>0.039989</v>
      </c>
      <c r="AR387" s="1">
        <v>0.080593</v>
      </c>
      <c r="AS387" s="1">
        <v>0.246781</v>
      </c>
      <c r="AT387" s="1">
        <v>18977.0</v>
      </c>
      <c r="AU387" s="1">
        <v>1623.0</v>
      </c>
      <c r="AV387" s="1">
        <v>0.131647</v>
      </c>
      <c r="AW387" s="1">
        <v>0.091617</v>
      </c>
      <c r="AX387" s="1">
        <v>0.162811</v>
      </c>
      <c r="AY387" s="1">
        <v>0.247413</v>
      </c>
      <c r="AZ387" s="1">
        <v>0.07186544</v>
      </c>
      <c r="BA387" s="1">
        <v>0.040474</v>
      </c>
      <c r="BB387" s="1">
        <v>0.009891</v>
      </c>
      <c r="BC387" s="1">
        <v>0.127355</v>
      </c>
      <c r="BD387" s="1">
        <v>0.002013</v>
      </c>
      <c r="BE387" s="1">
        <v>0.108053</v>
      </c>
      <c r="BF387" s="1">
        <v>0.147651</v>
      </c>
      <c r="BG387" s="1">
        <v>0.046711</v>
      </c>
      <c r="BH387" s="1">
        <v>0.019019</v>
      </c>
      <c r="BI387" s="1">
        <v>0.084845</v>
      </c>
      <c r="BJ387" s="1">
        <v>0.035113</v>
      </c>
      <c r="BK387" s="1">
        <v>0.023995</v>
      </c>
      <c r="BL387" s="1">
        <v>0.0</v>
      </c>
      <c r="BM387" s="1">
        <v>0.464</v>
      </c>
      <c r="BN387" s="1">
        <v>0.617</v>
      </c>
      <c r="BO387" s="1">
        <v>0.6722</v>
      </c>
      <c r="BP387" s="1">
        <v>0.478</v>
      </c>
      <c r="BQ387" s="1">
        <v>2.2312</v>
      </c>
      <c r="BR387" s="1">
        <v>0.5783</v>
      </c>
      <c r="BS387" s="1">
        <v>0.687</v>
      </c>
      <c r="BT387" s="1">
        <v>0.569</v>
      </c>
      <c r="BU387" s="1">
        <v>0.232</v>
      </c>
      <c r="BV387" s="1">
        <v>1.488</v>
      </c>
      <c r="BW387" s="1">
        <v>0.476</v>
      </c>
      <c r="BX387" s="1">
        <v>0.166</v>
      </c>
      <c r="BY387" s="1">
        <v>0.719</v>
      </c>
      <c r="BZ387" s="1">
        <v>0.885</v>
      </c>
      <c r="CA387" s="1">
        <v>0.456</v>
      </c>
      <c r="CB387" s="1">
        <v>0.271</v>
      </c>
      <c r="CC387" s="1">
        <v>0.811</v>
      </c>
      <c r="CD387" s="1">
        <v>0.664</v>
      </c>
      <c r="CE387" s="1">
        <v>0.336</v>
      </c>
      <c r="CF387" s="1">
        <v>0.0</v>
      </c>
      <c r="CG387" s="1">
        <v>2.082</v>
      </c>
      <c r="CH387" s="1">
        <v>0.377</v>
      </c>
      <c r="CI387" s="1">
        <v>6.6862</v>
      </c>
      <c r="CJ387" s="1">
        <v>0.4874</v>
      </c>
      <c r="CK387" s="1">
        <v>0.0</v>
      </c>
      <c r="CL387" s="1">
        <v>0.0</v>
      </c>
      <c r="CM387" s="1">
        <v>0.0</v>
      </c>
      <c r="CN387" s="1">
        <v>0.0</v>
      </c>
      <c r="CO387" s="1">
        <v>0.0</v>
      </c>
      <c r="CP387" s="1">
        <v>0.0</v>
      </c>
      <c r="CQ387" s="1">
        <v>0.0</v>
      </c>
      <c r="CR387" s="1">
        <v>0.0</v>
      </c>
      <c r="CS387" s="1">
        <v>0.0</v>
      </c>
      <c r="CT387" s="1">
        <v>0.0</v>
      </c>
      <c r="CU387" s="1">
        <v>0.0</v>
      </c>
      <c r="CV387" s="1">
        <v>0.0</v>
      </c>
      <c r="CW387" s="1">
        <v>0.0</v>
      </c>
      <c r="CX387" s="1">
        <v>0.0</v>
      </c>
      <c r="CY387" s="1">
        <v>0.0</v>
      </c>
      <c r="CZ387" s="1">
        <v>0.0</v>
      </c>
      <c r="DA387" s="1">
        <v>0.0</v>
      </c>
      <c r="DB387" s="1">
        <v>0.0</v>
      </c>
      <c r="DC387" s="1">
        <v>0.0</v>
      </c>
      <c r="DD387" s="1" t="s">
        <v>1911</v>
      </c>
      <c r="DE387" s="1">
        <v>0.061054423930944</v>
      </c>
      <c r="DF387" s="2" t="s">
        <v>1912</v>
      </c>
    </row>
    <row r="388" ht="15.75" customHeight="1">
      <c r="A388" s="1" t="s">
        <v>1913</v>
      </c>
      <c r="B388" s="1">
        <v>29.0</v>
      </c>
      <c r="C388" s="2" t="s">
        <v>1908</v>
      </c>
      <c r="D388" s="1">
        <v>950100.0</v>
      </c>
      <c r="E388" s="1">
        <v>7.009</v>
      </c>
      <c r="F388" s="1">
        <v>29083.0</v>
      </c>
      <c r="G388" s="1">
        <v>2.90839501E10</v>
      </c>
      <c r="H388" s="1" t="s">
        <v>112</v>
      </c>
      <c r="I388" s="1" t="s">
        <v>113</v>
      </c>
      <c r="J388" s="1" t="s">
        <v>1909</v>
      </c>
      <c r="K388" s="1" t="s">
        <v>1914</v>
      </c>
      <c r="L388" s="1">
        <v>2977.0</v>
      </c>
      <c r="M388" s="1">
        <v>3057.0</v>
      </c>
      <c r="N388" s="1">
        <v>125.0</v>
      </c>
      <c r="O388" s="1">
        <v>1396.0</v>
      </c>
      <c r="P388" s="1">
        <v>1377.0</v>
      </c>
      <c r="Q388" s="1">
        <v>99.0</v>
      </c>
      <c r="R388" s="1">
        <v>1204.0</v>
      </c>
      <c r="S388" s="1">
        <v>471.0</v>
      </c>
      <c r="T388" s="1">
        <v>193.0</v>
      </c>
      <c r="U388" s="1">
        <v>140.0</v>
      </c>
      <c r="V388" s="1">
        <v>448.0</v>
      </c>
      <c r="W388" s="1">
        <v>19104.0</v>
      </c>
      <c r="X388" s="1">
        <v>6199.0</v>
      </c>
      <c r="Y388" s="1">
        <v>365.0</v>
      </c>
      <c r="Z388" s="1">
        <v>342.0</v>
      </c>
      <c r="AA388" s="1">
        <v>539.0</v>
      </c>
      <c r="AB388" s="1">
        <v>766.0</v>
      </c>
      <c r="AC388" s="1">
        <v>143.0</v>
      </c>
      <c r="AD388" s="1">
        <v>152.0</v>
      </c>
      <c r="AE388" s="1">
        <v>0.0</v>
      </c>
      <c r="AF388" s="1">
        <v>456.0</v>
      </c>
      <c r="AG388" s="1">
        <v>0.0</v>
      </c>
      <c r="AH388" s="1">
        <v>197.0</v>
      </c>
      <c r="AI388" s="1">
        <v>68.0</v>
      </c>
      <c r="AJ388" s="1">
        <v>38.0</v>
      </c>
      <c r="AK388" s="1">
        <v>0.0</v>
      </c>
      <c r="AL388" s="1">
        <v>161.0</v>
      </c>
      <c r="AM388" s="1">
        <v>79.0</v>
      </c>
      <c r="AN388" s="1">
        <v>121.0</v>
      </c>
      <c r="AO388" s="1">
        <v>46.0</v>
      </c>
      <c r="AP388" s="1">
        <v>0.158319</v>
      </c>
      <c r="AQ388" s="1">
        <v>0.064072</v>
      </c>
      <c r="AR388" s="1">
        <v>0.102564</v>
      </c>
      <c r="AS388" s="1">
        <v>0.327913</v>
      </c>
      <c r="AT388" s="1">
        <v>19104.0</v>
      </c>
      <c r="AU388" s="1">
        <v>6199.0</v>
      </c>
      <c r="AV388" s="1">
        <v>0.178571</v>
      </c>
      <c r="AW388" s="1">
        <v>0.166763</v>
      </c>
      <c r="AX388" s="1">
        <v>0.181054</v>
      </c>
      <c r="AY388" s="1">
        <v>0.257306</v>
      </c>
      <c r="AZ388" s="1">
        <v>0.11877076</v>
      </c>
      <c r="BA388" s="1">
        <v>0.051058</v>
      </c>
      <c r="BB388" s="1">
        <v>0.0</v>
      </c>
      <c r="BC388" s="1">
        <v>0.162566</v>
      </c>
      <c r="BD388" s="1">
        <v>0.0</v>
      </c>
      <c r="BE388" s="1">
        <v>0.143064</v>
      </c>
      <c r="BF388" s="1">
        <v>0.049382</v>
      </c>
      <c r="BG388" s="1">
        <v>0.027366</v>
      </c>
      <c r="BH388" s="1">
        <v>0.0</v>
      </c>
      <c r="BI388" s="1">
        <v>0.136556</v>
      </c>
      <c r="BJ388" s="1">
        <v>0.067005</v>
      </c>
      <c r="BK388" s="1">
        <v>0.102465</v>
      </c>
      <c r="BL388" s="1">
        <v>0.015451</v>
      </c>
      <c r="BM388" s="1">
        <v>0.606</v>
      </c>
      <c r="BN388" s="1">
        <v>0.745</v>
      </c>
      <c r="BO388" s="1">
        <v>0.6635</v>
      </c>
      <c r="BP388" s="1">
        <v>0.682</v>
      </c>
      <c r="BQ388" s="1">
        <v>2.6965</v>
      </c>
      <c r="BR388" s="1">
        <v>0.7213</v>
      </c>
      <c r="BS388" s="1">
        <v>0.795</v>
      </c>
      <c r="BT388" s="1">
        <v>0.676</v>
      </c>
      <c r="BU388" s="1">
        <v>0.662</v>
      </c>
      <c r="BV388" s="1">
        <v>2.133</v>
      </c>
      <c r="BW388" s="1">
        <v>0.94</v>
      </c>
      <c r="BX388" s="1">
        <v>0.253</v>
      </c>
      <c r="BY388" s="1">
        <v>0.0</v>
      </c>
      <c r="BZ388" s="1">
        <v>0.253</v>
      </c>
      <c r="CA388" s="1">
        <v>0.11</v>
      </c>
      <c r="CB388" s="1">
        <v>0.0</v>
      </c>
      <c r="CC388" s="1">
        <v>0.603</v>
      </c>
      <c r="CD388" s="1">
        <v>0.0</v>
      </c>
      <c r="CE388" s="1">
        <v>0.608</v>
      </c>
      <c r="CF388" s="1">
        <v>0.653</v>
      </c>
      <c r="CG388" s="1">
        <v>1.864</v>
      </c>
      <c r="CH388" s="1">
        <v>0.29</v>
      </c>
      <c r="CI388" s="1">
        <v>6.9465</v>
      </c>
      <c r="CJ388" s="1">
        <v>0.5379</v>
      </c>
      <c r="CK388" s="1">
        <v>0.0</v>
      </c>
      <c r="CL388" s="1">
        <v>0.0</v>
      </c>
      <c r="CM388" s="1">
        <v>0.0</v>
      </c>
      <c r="CN388" s="1">
        <v>0.0</v>
      </c>
      <c r="CO388" s="1">
        <v>0.0</v>
      </c>
      <c r="CP388" s="1">
        <v>0.0</v>
      </c>
      <c r="CQ388" s="1">
        <v>0.0</v>
      </c>
      <c r="CR388" s="1">
        <v>0.0</v>
      </c>
      <c r="CS388" s="1">
        <v>0.0</v>
      </c>
      <c r="CT388" s="1">
        <v>0.0</v>
      </c>
      <c r="CU388" s="1">
        <v>0.0</v>
      </c>
      <c r="CV388" s="1">
        <v>0.0</v>
      </c>
      <c r="CW388" s="1">
        <v>0.0</v>
      </c>
      <c r="CX388" s="1">
        <v>0.0</v>
      </c>
      <c r="CY388" s="1">
        <v>0.0</v>
      </c>
      <c r="CZ388" s="1">
        <v>0.0</v>
      </c>
      <c r="DA388" s="1">
        <v>0.0</v>
      </c>
      <c r="DB388" s="1">
        <v>0.0</v>
      </c>
      <c r="DC388" s="1">
        <v>0.0</v>
      </c>
      <c r="DD388" s="1" t="s">
        <v>1915</v>
      </c>
      <c r="DE388" s="1">
        <v>0.00189710225020412</v>
      </c>
      <c r="DF388" s="2" t="s">
        <v>1916</v>
      </c>
    </row>
    <row r="389" ht="15.75" customHeight="1">
      <c r="A389" s="1" t="s">
        <v>1917</v>
      </c>
      <c r="B389" s="1">
        <v>29.0</v>
      </c>
      <c r="C389" s="2" t="s">
        <v>1908</v>
      </c>
      <c r="D389" s="1">
        <v>950200.0</v>
      </c>
      <c r="E389" s="1">
        <v>219.081</v>
      </c>
      <c r="F389" s="1">
        <v>29083.0</v>
      </c>
      <c r="G389" s="1">
        <v>2.90839502E10</v>
      </c>
      <c r="H389" s="1" t="s">
        <v>112</v>
      </c>
      <c r="I389" s="1" t="s">
        <v>113</v>
      </c>
      <c r="J389" s="1" t="s">
        <v>1909</v>
      </c>
      <c r="K389" s="1" t="s">
        <v>1918</v>
      </c>
      <c r="L389" s="1">
        <v>3809.0</v>
      </c>
      <c r="M389" s="1">
        <v>3600.0</v>
      </c>
      <c r="N389" s="1">
        <v>283.0</v>
      </c>
      <c r="O389" s="1">
        <v>1761.0</v>
      </c>
      <c r="P389" s="1">
        <v>1731.0</v>
      </c>
      <c r="Q389" s="1">
        <v>109.0</v>
      </c>
      <c r="R389" s="1">
        <v>1530.0</v>
      </c>
      <c r="S389" s="1">
        <v>445.0</v>
      </c>
      <c r="T389" s="1">
        <v>150.0</v>
      </c>
      <c r="U389" s="1">
        <v>154.0</v>
      </c>
      <c r="V389" s="1">
        <v>310.0</v>
      </c>
      <c r="W389" s="1">
        <v>24702.0</v>
      </c>
      <c r="X389" s="1">
        <v>2736.0</v>
      </c>
      <c r="Y389" s="1">
        <v>368.0</v>
      </c>
      <c r="Z389" s="1">
        <v>177.0</v>
      </c>
      <c r="AA389" s="1">
        <v>721.0</v>
      </c>
      <c r="AB389" s="1">
        <v>800.0</v>
      </c>
      <c r="AC389" s="1">
        <v>114.0</v>
      </c>
      <c r="AD389" s="1">
        <v>105.0</v>
      </c>
      <c r="AE389" s="1">
        <v>0.0</v>
      </c>
      <c r="AF389" s="1">
        <v>456.0</v>
      </c>
      <c r="AG389" s="1">
        <v>0.0</v>
      </c>
      <c r="AH389" s="1">
        <v>197.0</v>
      </c>
      <c r="AI389" s="1">
        <v>391.0</v>
      </c>
      <c r="AJ389" s="1">
        <v>86.0</v>
      </c>
      <c r="AK389" s="1">
        <v>10.0</v>
      </c>
      <c r="AL389" s="1">
        <v>115.0</v>
      </c>
      <c r="AM389" s="1">
        <v>33.0</v>
      </c>
      <c r="AN389" s="1">
        <v>19.0</v>
      </c>
      <c r="AO389" s="1">
        <v>0.0</v>
      </c>
      <c r="AP389" s="1">
        <v>0.123783</v>
      </c>
      <c r="AQ389" s="1">
        <v>0.04057</v>
      </c>
      <c r="AR389" s="1">
        <v>0.088201</v>
      </c>
      <c r="AS389" s="1">
        <v>0.177328</v>
      </c>
      <c r="AT389" s="1">
        <v>24702.0</v>
      </c>
      <c r="AU389" s="1">
        <v>2736.0</v>
      </c>
      <c r="AV389" s="1">
        <v>0.138449</v>
      </c>
      <c r="AW389" s="1">
        <v>0.065971</v>
      </c>
      <c r="AX389" s="1">
        <v>0.189288</v>
      </c>
      <c r="AY389" s="1">
        <v>0.210028</v>
      </c>
      <c r="AZ389" s="1">
        <v>0.0745098</v>
      </c>
      <c r="BA389" s="1">
        <v>0.027566</v>
      </c>
      <c r="BB389" s="1">
        <v>0.0</v>
      </c>
      <c r="BC389" s="1">
        <v>0.132558</v>
      </c>
      <c r="BD389" s="1">
        <v>0.0</v>
      </c>
      <c r="BE389" s="1">
        <v>0.113807</v>
      </c>
      <c r="BF389" s="1">
        <v>0.22588</v>
      </c>
      <c r="BG389" s="1">
        <v>0.047602</v>
      </c>
      <c r="BH389" s="1">
        <v>0.0066</v>
      </c>
      <c r="BI389" s="1">
        <v>0.075906</v>
      </c>
      <c r="BJ389" s="1">
        <v>0.021782</v>
      </c>
      <c r="BK389" s="1">
        <v>0.012442</v>
      </c>
      <c r="BL389" s="1">
        <v>0.0</v>
      </c>
      <c r="BM389" s="1">
        <v>0.468</v>
      </c>
      <c r="BN389" s="1">
        <v>0.669</v>
      </c>
      <c r="BO389" s="1">
        <v>0.3603</v>
      </c>
      <c r="BP389" s="1">
        <v>0.515</v>
      </c>
      <c r="BQ389" s="1">
        <v>2.0123</v>
      </c>
      <c r="BR389" s="1">
        <v>0.4982</v>
      </c>
      <c r="BS389" s="1">
        <v>0.835</v>
      </c>
      <c r="BT389" s="1">
        <v>0.236</v>
      </c>
      <c r="BU389" s="1">
        <v>0.253</v>
      </c>
      <c r="BV389" s="1">
        <v>1.324</v>
      </c>
      <c r="BW389" s="1">
        <v>0.321</v>
      </c>
      <c r="BX389" s="1">
        <v>0.062</v>
      </c>
      <c r="BY389" s="1">
        <v>0.0</v>
      </c>
      <c r="BZ389" s="1">
        <v>0.062</v>
      </c>
      <c r="CA389" s="1">
        <v>0.03</v>
      </c>
      <c r="CB389" s="1">
        <v>0.0</v>
      </c>
      <c r="CC389" s="1">
        <v>0.927</v>
      </c>
      <c r="CD389" s="1">
        <v>0.379</v>
      </c>
      <c r="CE389" s="1">
        <v>0.2</v>
      </c>
      <c r="CF389" s="1">
        <v>0.0</v>
      </c>
      <c r="CG389" s="1">
        <v>1.506</v>
      </c>
      <c r="CH389" s="1">
        <v>0.179</v>
      </c>
      <c r="CI389" s="1">
        <v>4.9043</v>
      </c>
      <c r="CJ389" s="1">
        <v>0.1892</v>
      </c>
      <c r="CK389" s="1">
        <v>0.0</v>
      </c>
      <c r="CL389" s="1">
        <v>0.0</v>
      </c>
      <c r="CM389" s="1">
        <v>0.0</v>
      </c>
      <c r="CN389" s="1">
        <v>0.0</v>
      </c>
      <c r="CO389" s="1">
        <v>0.0</v>
      </c>
      <c r="CP389" s="1">
        <v>0.0</v>
      </c>
      <c r="CQ389" s="1">
        <v>0.0</v>
      </c>
      <c r="CR389" s="1">
        <v>0.0</v>
      </c>
      <c r="CS389" s="1">
        <v>0.0</v>
      </c>
      <c r="CT389" s="1">
        <v>0.0</v>
      </c>
      <c r="CU389" s="1">
        <v>0.0</v>
      </c>
      <c r="CV389" s="1">
        <v>0.0</v>
      </c>
      <c r="CW389" s="1">
        <v>0.0</v>
      </c>
      <c r="CX389" s="1">
        <v>1.0</v>
      </c>
      <c r="CY389" s="1">
        <v>0.0</v>
      </c>
      <c r="CZ389" s="1">
        <v>0.0</v>
      </c>
      <c r="DA389" s="1">
        <v>0.0</v>
      </c>
      <c r="DB389" s="1">
        <v>1.0</v>
      </c>
      <c r="DC389" s="1">
        <v>1.0</v>
      </c>
      <c r="DD389" s="1" t="s">
        <v>1919</v>
      </c>
      <c r="DE389" s="1">
        <v>0.0614666857435776</v>
      </c>
      <c r="DF389" s="2" t="s">
        <v>1920</v>
      </c>
    </row>
    <row r="390" ht="15.75" customHeight="1">
      <c r="A390" s="1" t="s">
        <v>1921</v>
      </c>
      <c r="B390" s="1">
        <v>29.0</v>
      </c>
      <c r="C390" s="2" t="s">
        <v>1908</v>
      </c>
      <c r="D390" s="1">
        <v>950400.0</v>
      </c>
      <c r="E390" s="1">
        <v>230.822</v>
      </c>
      <c r="F390" s="1">
        <v>29083.0</v>
      </c>
      <c r="G390" s="1">
        <v>2.90839504E10</v>
      </c>
      <c r="H390" s="1" t="s">
        <v>112</v>
      </c>
      <c r="I390" s="1" t="s">
        <v>113</v>
      </c>
      <c r="J390" s="1" t="s">
        <v>1909</v>
      </c>
      <c r="K390" s="1" t="s">
        <v>1922</v>
      </c>
      <c r="L390" s="1">
        <v>3027.0</v>
      </c>
      <c r="M390" s="1">
        <v>2852.0</v>
      </c>
      <c r="N390" s="1">
        <v>196.0</v>
      </c>
      <c r="O390" s="1">
        <v>1700.0</v>
      </c>
      <c r="P390" s="1">
        <v>1646.0</v>
      </c>
      <c r="Q390" s="1">
        <v>91.0</v>
      </c>
      <c r="R390" s="1">
        <v>1356.0</v>
      </c>
      <c r="S390" s="1">
        <v>465.0</v>
      </c>
      <c r="T390" s="1">
        <v>137.0</v>
      </c>
      <c r="U390" s="1">
        <v>128.0</v>
      </c>
      <c r="V390" s="1">
        <v>326.0</v>
      </c>
      <c r="W390" s="1">
        <v>18236.0</v>
      </c>
      <c r="X390" s="1">
        <v>1349.0</v>
      </c>
      <c r="Y390" s="1">
        <v>375.0</v>
      </c>
      <c r="Z390" s="1">
        <v>241.0</v>
      </c>
      <c r="AA390" s="1">
        <v>668.0</v>
      </c>
      <c r="AB390" s="1">
        <v>518.0</v>
      </c>
      <c r="AC390" s="1">
        <v>72.0</v>
      </c>
      <c r="AD390" s="1">
        <v>100.0</v>
      </c>
      <c r="AE390" s="1">
        <v>0.0</v>
      </c>
      <c r="AF390" s="1">
        <v>456.0</v>
      </c>
      <c r="AG390" s="1">
        <v>0.0</v>
      </c>
      <c r="AH390" s="1">
        <v>197.0</v>
      </c>
      <c r="AI390" s="1">
        <v>382.0</v>
      </c>
      <c r="AJ390" s="1">
        <v>93.0</v>
      </c>
      <c r="AK390" s="1">
        <v>9.0</v>
      </c>
      <c r="AL390" s="1">
        <v>114.0</v>
      </c>
      <c r="AM390" s="1">
        <v>24.0</v>
      </c>
      <c r="AN390" s="1">
        <v>13.0</v>
      </c>
      <c r="AO390" s="1">
        <v>0.0</v>
      </c>
      <c r="AP390" s="1">
        <v>0.163215</v>
      </c>
      <c r="AQ390" s="1">
        <v>0.046757</v>
      </c>
      <c r="AR390" s="1">
        <v>0.10509</v>
      </c>
      <c r="AS390" s="1">
        <v>0.267416</v>
      </c>
      <c r="AT390" s="1">
        <v>18236.0</v>
      </c>
      <c r="AU390" s="1">
        <v>1349.0</v>
      </c>
      <c r="AV390" s="1">
        <v>0.172334</v>
      </c>
      <c r="AW390" s="1">
        <v>0.110251</v>
      </c>
      <c r="AX390" s="1">
        <v>0.22068</v>
      </c>
      <c r="AY390" s="1">
        <v>0.171126</v>
      </c>
      <c r="AZ390" s="1">
        <v>0.05309734</v>
      </c>
      <c r="BA390" s="1">
        <v>0.033036</v>
      </c>
      <c r="BB390" s="1">
        <v>0.0</v>
      </c>
      <c r="BC390" s="1">
        <v>0.168826</v>
      </c>
      <c r="BD390" s="1">
        <v>0.0</v>
      </c>
      <c r="BE390" s="1">
        <v>0.119684</v>
      </c>
      <c r="BF390" s="1">
        <v>0.232077</v>
      </c>
      <c r="BG390" s="1">
        <v>0.055024</v>
      </c>
      <c r="BH390" s="1">
        <v>0.007194</v>
      </c>
      <c r="BI390" s="1">
        <v>0.091125</v>
      </c>
      <c r="BJ390" s="1">
        <v>0.019184</v>
      </c>
      <c r="BK390" s="1">
        <v>0.010309</v>
      </c>
      <c r="BL390" s="1">
        <v>0.0</v>
      </c>
      <c r="BM390" s="1">
        <v>0.62</v>
      </c>
      <c r="BN390" s="1">
        <v>0.761</v>
      </c>
      <c r="BO390" s="1">
        <v>0.7177</v>
      </c>
      <c r="BP390" s="1">
        <v>0.66</v>
      </c>
      <c r="BQ390" s="1">
        <v>2.7587</v>
      </c>
      <c r="BR390" s="1">
        <v>0.7357</v>
      </c>
      <c r="BS390" s="1">
        <v>0.934</v>
      </c>
      <c r="BT390" s="1">
        <v>0.105</v>
      </c>
      <c r="BU390" s="1">
        <v>0.092</v>
      </c>
      <c r="BV390" s="1">
        <v>1.131</v>
      </c>
      <c r="BW390" s="1">
        <v>0.187</v>
      </c>
      <c r="BX390" s="1">
        <v>0.102</v>
      </c>
      <c r="BY390" s="1">
        <v>0.0</v>
      </c>
      <c r="BZ390" s="1">
        <v>0.102</v>
      </c>
      <c r="CA390" s="1">
        <v>0.049</v>
      </c>
      <c r="CB390" s="1">
        <v>0.0</v>
      </c>
      <c r="CC390" s="1">
        <v>0.933</v>
      </c>
      <c r="CD390" s="1">
        <v>0.397</v>
      </c>
      <c r="CE390" s="1">
        <v>0.174</v>
      </c>
      <c r="CF390" s="1">
        <v>0.0</v>
      </c>
      <c r="CG390" s="1">
        <v>1.504</v>
      </c>
      <c r="CH390" s="1">
        <v>0.177</v>
      </c>
      <c r="CI390" s="1">
        <v>5.4957</v>
      </c>
      <c r="CJ390" s="1">
        <v>0.2809</v>
      </c>
      <c r="CK390" s="1">
        <v>0.0</v>
      </c>
      <c r="CL390" s="1">
        <v>0.0</v>
      </c>
      <c r="CM390" s="1">
        <v>0.0</v>
      </c>
      <c r="CN390" s="1">
        <v>0.0</v>
      </c>
      <c r="CO390" s="1">
        <v>0.0</v>
      </c>
      <c r="CP390" s="1">
        <v>1.0</v>
      </c>
      <c r="CQ390" s="1">
        <v>0.0</v>
      </c>
      <c r="CR390" s="1">
        <v>0.0</v>
      </c>
      <c r="CS390" s="1">
        <v>1.0</v>
      </c>
      <c r="CT390" s="1">
        <v>0.0</v>
      </c>
      <c r="CU390" s="1">
        <v>0.0</v>
      </c>
      <c r="CV390" s="1">
        <v>0.0</v>
      </c>
      <c r="CW390" s="1">
        <v>0.0</v>
      </c>
      <c r="CX390" s="1">
        <v>1.0</v>
      </c>
      <c r="CY390" s="1">
        <v>0.0</v>
      </c>
      <c r="CZ390" s="1">
        <v>0.0</v>
      </c>
      <c r="DA390" s="1">
        <v>0.0</v>
      </c>
      <c r="DB390" s="1">
        <v>1.0</v>
      </c>
      <c r="DC390" s="1">
        <v>2.0</v>
      </c>
      <c r="DD390" s="1" t="s">
        <v>1923</v>
      </c>
      <c r="DE390" s="1">
        <v>0.0661498693699527</v>
      </c>
      <c r="DF390" s="2" t="s">
        <v>1924</v>
      </c>
    </row>
    <row r="391" ht="15.75" customHeight="1">
      <c r="A391" s="1" t="s">
        <v>1925</v>
      </c>
      <c r="B391" s="1">
        <v>29.0</v>
      </c>
      <c r="C391" s="2" t="s">
        <v>1908</v>
      </c>
      <c r="D391" s="1">
        <v>950500.0</v>
      </c>
      <c r="E391" s="1">
        <v>7.033</v>
      </c>
      <c r="F391" s="1">
        <v>29083.0</v>
      </c>
      <c r="G391" s="1">
        <v>2.90839505E10</v>
      </c>
      <c r="H391" s="1" t="s">
        <v>112</v>
      </c>
      <c r="I391" s="1" t="s">
        <v>113</v>
      </c>
      <c r="J391" s="1" t="s">
        <v>1909</v>
      </c>
      <c r="K391" s="1" t="s">
        <v>1926</v>
      </c>
      <c r="L391" s="1">
        <v>3995.0</v>
      </c>
      <c r="M391" s="1">
        <v>4239.0</v>
      </c>
      <c r="N391" s="1">
        <v>412.0</v>
      </c>
      <c r="O391" s="1">
        <v>1977.0</v>
      </c>
      <c r="P391" s="1">
        <v>2096.0</v>
      </c>
      <c r="Q391" s="1">
        <v>141.0</v>
      </c>
      <c r="R391" s="1">
        <v>1691.0</v>
      </c>
      <c r="S391" s="1">
        <v>1099.0</v>
      </c>
      <c r="T391" s="1">
        <v>276.0</v>
      </c>
      <c r="U391" s="1">
        <v>142.0</v>
      </c>
      <c r="V391" s="1">
        <v>401.0</v>
      </c>
      <c r="W391" s="1">
        <v>16889.0</v>
      </c>
      <c r="X391" s="1">
        <v>1732.0</v>
      </c>
      <c r="Y391" s="1">
        <v>636.0</v>
      </c>
      <c r="Z391" s="1">
        <v>259.0</v>
      </c>
      <c r="AA391" s="1">
        <v>744.0</v>
      </c>
      <c r="AB391" s="1">
        <v>948.0</v>
      </c>
      <c r="AC391" s="1">
        <v>248.0</v>
      </c>
      <c r="AD391" s="1">
        <v>255.0</v>
      </c>
      <c r="AE391" s="1">
        <v>16.0</v>
      </c>
      <c r="AF391" s="1">
        <v>443.0</v>
      </c>
      <c r="AG391" s="1">
        <v>50.0</v>
      </c>
      <c r="AH391" s="1">
        <v>169.0</v>
      </c>
      <c r="AI391" s="1">
        <v>62.0</v>
      </c>
      <c r="AJ391" s="1">
        <v>40.0</v>
      </c>
      <c r="AK391" s="1">
        <v>0.0</v>
      </c>
      <c r="AL391" s="1">
        <v>161.0</v>
      </c>
      <c r="AM391" s="1">
        <v>250.0</v>
      </c>
      <c r="AN391" s="1">
        <v>80.0</v>
      </c>
      <c r="AO391" s="1">
        <v>138.0</v>
      </c>
      <c r="AP391" s="1">
        <v>0.267787</v>
      </c>
      <c r="AQ391" s="1">
        <v>0.062539</v>
      </c>
      <c r="AR391" s="1">
        <v>0.082033</v>
      </c>
      <c r="AS391" s="1">
        <v>0.23133</v>
      </c>
      <c r="AT391" s="1">
        <v>16889.0</v>
      </c>
      <c r="AU391" s="1">
        <v>1732.0</v>
      </c>
      <c r="AV391" s="1">
        <v>0.226899</v>
      </c>
      <c r="AW391" s="1">
        <v>0.090121</v>
      </c>
      <c r="AX391" s="1">
        <v>0.186232</v>
      </c>
      <c r="AY391" s="1">
        <v>0.237296</v>
      </c>
      <c r="AZ391" s="1">
        <v>0.14665878</v>
      </c>
      <c r="BA391" s="1">
        <v>0.063829</v>
      </c>
      <c r="BB391" s="1">
        <v>0.004075</v>
      </c>
      <c r="BC391" s="1">
        <v>0.112836</v>
      </c>
      <c r="BD391" s="1">
        <v>0.023854</v>
      </c>
      <c r="BE391" s="1">
        <v>0.080613</v>
      </c>
      <c r="BF391" s="1">
        <v>0.02958</v>
      </c>
      <c r="BG391" s="1">
        <v>0.018979</v>
      </c>
      <c r="BH391" s="1">
        <v>0.0</v>
      </c>
      <c r="BI391" s="1">
        <v>0.085501</v>
      </c>
      <c r="BJ391" s="1">
        <v>0.132766</v>
      </c>
      <c r="BK391" s="1">
        <v>0.040979</v>
      </c>
      <c r="BL391" s="1">
        <v>0.034543</v>
      </c>
      <c r="BM391" s="1">
        <v>0.851</v>
      </c>
      <c r="BN391" s="1">
        <v>0.628</v>
      </c>
      <c r="BO391" s="1">
        <v>0.7949</v>
      </c>
      <c r="BP391" s="1">
        <v>0.82</v>
      </c>
      <c r="BQ391" s="1">
        <v>3.0939</v>
      </c>
      <c r="BR391" s="1">
        <v>0.8209</v>
      </c>
      <c r="BS391" s="1">
        <v>0.82</v>
      </c>
      <c r="BT391" s="1">
        <v>0.466</v>
      </c>
      <c r="BU391" s="1">
        <v>0.783</v>
      </c>
      <c r="BV391" s="1">
        <v>2.069</v>
      </c>
      <c r="BW391" s="1">
        <v>0.903</v>
      </c>
      <c r="BX391" s="1">
        <v>0.333</v>
      </c>
      <c r="BY391" s="1">
        <v>0.52</v>
      </c>
      <c r="BZ391" s="1">
        <v>0.853</v>
      </c>
      <c r="CA391" s="1">
        <v>0.438</v>
      </c>
      <c r="CB391" s="1">
        <v>0.506</v>
      </c>
      <c r="CC391" s="1">
        <v>0.548</v>
      </c>
      <c r="CD391" s="1">
        <v>0.0</v>
      </c>
      <c r="CE391" s="1">
        <v>0.835</v>
      </c>
      <c r="CF391" s="1">
        <v>0.835</v>
      </c>
      <c r="CG391" s="1">
        <v>2.724</v>
      </c>
      <c r="CH391" s="1">
        <v>0.654</v>
      </c>
      <c r="CI391" s="1">
        <v>8.7399</v>
      </c>
      <c r="CJ391" s="1">
        <v>0.8166</v>
      </c>
      <c r="CK391" s="1">
        <v>0.0</v>
      </c>
      <c r="CL391" s="1">
        <v>0.0</v>
      </c>
      <c r="CM391" s="1">
        <v>0.0</v>
      </c>
      <c r="CN391" s="1">
        <v>0.0</v>
      </c>
      <c r="CO391" s="1">
        <v>0.0</v>
      </c>
      <c r="CP391" s="1">
        <v>0.0</v>
      </c>
      <c r="CQ391" s="1">
        <v>0.0</v>
      </c>
      <c r="CR391" s="1">
        <v>0.0</v>
      </c>
      <c r="CS391" s="1">
        <v>0.0</v>
      </c>
      <c r="CT391" s="1">
        <v>0.0</v>
      </c>
      <c r="CU391" s="1">
        <v>0.0</v>
      </c>
      <c r="CV391" s="1">
        <v>0.0</v>
      </c>
      <c r="CW391" s="1">
        <v>0.0</v>
      </c>
      <c r="CX391" s="1">
        <v>0.0</v>
      </c>
      <c r="CY391" s="1">
        <v>0.0</v>
      </c>
      <c r="CZ391" s="1">
        <v>0.0</v>
      </c>
      <c r="DA391" s="1">
        <v>0.0</v>
      </c>
      <c r="DB391" s="1">
        <v>0.0</v>
      </c>
      <c r="DC391" s="1">
        <v>0.0</v>
      </c>
      <c r="DD391" s="1" t="s">
        <v>1927</v>
      </c>
      <c r="DE391" s="1">
        <v>0.00217077847369613</v>
      </c>
      <c r="DF391" s="2" t="s">
        <v>1928</v>
      </c>
    </row>
    <row r="392" ht="15.75" customHeight="1">
      <c r="A392" s="1" t="s">
        <v>1929</v>
      </c>
      <c r="B392" s="1">
        <v>29.0</v>
      </c>
      <c r="C392" s="2" t="s">
        <v>1908</v>
      </c>
      <c r="D392" s="1">
        <v>950600.0</v>
      </c>
      <c r="E392" s="1">
        <v>8.885</v>
      </c>
      <c r="F392" s="1">
        <v>29083.0</v>
      </c>
      <c r="G392" s="1">
        <v>2.90839506E10</v>
      </c>
      <c r="H392" s="1" t="s">
        <v>112</v>
      </c>
      <c r="I392" s="1" t="s">
        <v>113</v>
      </c>
      <c r="J392" s="1" t="s">
        <v>1909</v>
      </c>
      <c r="K392" s="1" t="s">
        <v>1930</v>
      </c>
      <c r="L392" s="1">
        <v>5178.0</v>
      </c>
      <c r="M392" s="1">
        <v>5180.0</v>
      </c>
      <c r="N392" s="1">
        <v>373.0</v>
      </c>
      <c r="O392" s="1">
        <v>2551.0</v>
      </c>
      <c r="P392" s="1">
        <v>2487.0</v>
      </c>
      <c r="Q392" s="1">
        <v>158.0</v>
      </c>
      <c r="R392" s="1">
        <v>2316.0</v>
      </c>
      <c r="S392" s="1">
        <v>711.0</v>
      </c>
      <c r="T392" s="1">
        <v>282.0</v>
      </c>
      <c r="U392" s="1">
        <v>208.0</v>
      </c>
      <c r="V392" s="1">
        <v>425.0</v>
      </c>
      <c r="W392" s="1">
        <v>22772.0</v>
      </c>
      <c r="X392" s="1">
        <v>3594.0</v>
      </c>
      <c r="Y392" s="1">
        <v>523.0</v>
      </c>
      <c r="Z392" s="1">
        <v>257.0</v>
      </c>
      <c r="AA392" s="1">
        <v>1138.0</v>
      </c>
      <c r="AB392" s="1">
        <v>1111.0</v>
      </c>
      <c r="AC392" s="1">
        <v>248.0</v>
      </c>
      <c r="AD392" s="1">
        <v>297.0</v>
      </c>
      <c r="AE392" s="1">
        <v>17.0</v>
      </c>
      <c r="AF392" s="1">
        <v>442.0</v>
      </c>
      <c r="AG392" s="1">
        <v>108.0</v>
      </c>
      <c r="AH392" s="1">
        <v>133.0</v>
      </c>
      <c r="AI392" s="1">
        <v>235.0</v>
      </c>
      <c r="AJ392" s="1">
        <v>113.0</v>
      </c>
      <c r="AK392" s="1">
        <v>56.0</v>
      </c>
      <c r="AL392" s="1">
        <v>123.0</v>
      </c>
      <c r="AM392" s="1">
        <v>100.0</v>
      </c>
      <c r="AN392" s="1">
        <v>70.0</v>
      </c>
      <c r="AO392" s="1">
        <v>49.0</v>
      </c>
      <c r="AP392" s="1">
        <v>0.139521</v>
      </c>
      <c r="AQ392" s="1">
        <v>0.054487</v>
      </c>
      <c r="AR392" s="1">
        <v>0.091791</v>
      </c>
      <c r="AS392" s="1">
        <v>0.187109</v>
      </c>
      <c r="AT392" s="1">
        <v>22772.0</v>
      </c>
      <c r="AU392" s="1">
        <v>3594.0</v>
      </c>
      <c r="AV392" s="1">
        <v>0.136589</v>
      </c>
      <c r="AW392" s="1">
        <v>0.066514</v>
      </c>
      <c r="AX392" s="1">
        <v>0.219775</v>
      </c>
      <c r="AY392" s="1">
        <v>0.214561</v>
      </c>
      <c r="AZ392" s="1">
        <v>0.10708117</v>
      </c>
      <c r="BA392" s="1">
        <v>0.057358</v>
      </c>
      <c r="BB392" s="1">
        <v>0.003412</v>
      </c>
      <c r="BC392" s="1">
        <v>0.088719</v>
      </c>
      <c r="BD392" s="1">
        <v>0.043425</v>
      </c>
      <c r="BE392" s="1">
        <v>0.053406</v>
      </c>
      <c r="BF392" s="1">
        <v>0.094491</v>
      </c>
      <c r="BG392" s="1">
        <v>0.045037</v>
      </c>
      <c r="BH392" s="1">
        <v>0.024734</v>
      </c>
      <c r="BI392" s="1">
        <v>0.054296</v>
      </c>
      <c r="BJ392" s="1">
        <v>0.044169</v>
      </c>
      <c r="BK392" s="1">
        <v>0.030738</v>
      </c>
      <c r="BL392" s="1">
        <v>0.009463</v>
      </c>
      <c r="BM392" s="1">
        <v>0.542</v>
      </c>
      <c r="BN392" s="1">
        <v>0.689</v>
      </c>
      <c r="BO392" s="1">
        <v>0.4563</v>
      </c>
      <c r="BP392" s="1">
        <v>0.505</v>
      </c>
      <c r="BQ392" s="1">
        <v>2.1923</v>
      </c>
      <c r="BR392" s="1">
        <v>0.5603</v>
      </c>
      <c r="BS392" s="1">
        <v>0.931</v>
      </c>
      <c r="BT392" s="1">
        <v>0.264</v>
      </c>
      <c r="BU392" s="1">
        <v>0.559</v>
      </c>
      <c r="BV392" s="1">
        <v>1.754</v>
      </c>
      <c r="BW392" s="1">
        <v>0.684</v>
      </c>
      <c r="BX392" s="1">
        <v>0.299</v>
      </c>
      <c r="BY392" s="1">
        <v>0.476</v>
      </c>
      <c r="BZ392" s="1">
        <v>0.775</v>
      </c>
      <c r="CA392" s="1">
        <v>0.38</v>
      </c>
      <c r="CB392" s="1">
        <v>0.625</v>
      </c>
      <c r="CC392" s="1">
        <v>0.705</v>
      </c>
      <c r="CD392" s="1">
        <v>0.753</v>
      </c>
      <c r="CE392" s="1">
        <v>0.435</v>
      </c>
      <c r="CF392" s="1">
        <v>0.566</v>
      </c>
      <c r="CG392" s="1">
        <v>3.084</v>
      </c>
      <c r="CH392" s="1">
        <v>0.808</v>
      </c>
      <c r="CI392" s="1">
        <v>7.8053</v>
      </c>
      <c r="CJ392" s="1">
        <v>0.6816</v>
      </c>
      <c r="CK392" s="1">
        <v>0.0</v>
      </c>
      <c r="CL392" s="1">
        <v>0.0</v>
      </c>
      <c r="CM392" s="1">
        <v>0.0</v>
      </c>
      <c r="CN392" s="1">
        <v>0.0</v>
      </c>
      <c r="CO392" s="1">
        <v>0.0</v>
      </c>
      <c r="CP392" s="1">
        <v>1.0</v>
      </c>
      <c r="CQ392" s="1">
        <v>0.0</v>
      </c>
      <c r="CR392" s="1">
        <v>0.0</v>
      </c>
      <c r="CS392" s="1">
        <v>1.0</v>
      </c>
      <c r="CT392" s="1">
        <v>0.0</v>
      </c>
      <c r="CU392" s="1">
        <v>0.0</v>
      </c>
      <c r="CV392" s="1">
        <v>0.0</v>
      </c>
      <c r="CW392" s="1">
        <v>0.0</v>
      </c>
      <c r="CX392" s="1">
        <v>0.0</v>
      </c>
      <c r="CY392" s="1">
        <v>0.0</v>
      </c>
      <c r="CZ392" s="1">
        <v>0.0</v>
      </c>
      <c r="DA392" s="1">
        <v>0.0</v>
      </c>
      <c r="DB392" s="1">
        <v>0.0</v>
      </c>
      <c r="DC392" s="1">
        <v>1.0</v>
      </c>
      <c r="DD392" s="1" t="s">
        <v>1931</v>
      </c>
      <c r="DE392" s="1">
        <v>0.00281869499758978</v>
      </c>
      <c r="DF392" s="2" t="s">
        <v>1932</v>
      </c>
    </row>
    <row r="393" ht="15.75" customHeight="1">
      <c r="A393" s="1" t="s">
        <v>1933</v>
      </c>
      <c r="B393" s="1">
        <v>29.0</v>
      </c>
      <c r="C393" s="2" t="s">
        <v>1934</v>
      </c>
      <c r="D393" s="1">
        <v>470100.0</v>
      </c>
      <c r="E393" s="1">
        <v>231.121</v>
      </c>
      <c r="F393" s="1">
        <v>29085.0</v>
      </c>
      <c r="G393" s="1">
        <v>2.90854701E10</v>
      </c>
      <c r="H393" s="1" t="s">
        <v>112</v>
      </c>
      <c r="I393" s="1" t="s">
        <v>113</v>
      </c>
      <c r="J393" s="1" t="s">
        <v>1935</v>
      </c>
      <c r="K393" s="1" t="s">
        <v>1936</v>
      </c>
      <c r="L393" s="1">
        <v>3094.0</v>
      </c>
      <c r="M393" s="1">
        <v>2837.0</v>
      </c>
      <c r="N393" s="1">
        <v>353.0</v>
      </c>
      <c r="O393" s="1">
        <v>1683.0</v>
      </c>
      <c r="P393" s="1">
        <v>1686.0</v>
      </c>
      <c r="Q393" s="1">
        <v>99.0</v>
      </c>
      <c r="R393" s="1">
        <v>1333.0</v>
      </c>
      <c r="S393" s="1">
        <v>554.0</v>
      </c>
      <c r="T393" s="1">
        <v>217.0</v>
      </c>
      <c r="U393" s="1">
        <v>107.0</v>
      </c>
      <c r="V393" s="1">
        <v>401.0</v>
      </c>
      <c r="W393" s="1">
        <v>14776.0</v>
      </c>
      <c r="X393" s="1">
        <v>1856.0</v>
      </c>
      <c r="Y393" s="1">
        <v>315.0</v>
      </c>
      <c r="Z393" s="1">
        <v>220.0</v>
      </c>
      <c r="AA393" s="1">
        <v>731.0</v>
      </c>
      <c r="AB393" s="1">
        <v>633.0</v>
      </c>
      <c r="AC393" s="1">
        <v>114.0</v>
      </c>
      <c r="AD393" s="1">
        <v>129.0</v>
      </c>
      <c r="AE393" s="1">
        <v>12.0</v>
      </c>
      <c r="AF393" s="1">
        <v>442.0</v>
      </c>
      <c r="AG393" s="1">
        <v>2.0</v>
      </c>
      <c r="AH393" s="1">
        <v>161.0</v>
      </c>
      <c r="AI393" s="1">
        <v>409.0</v>
      </c>
      <c r="AJ393" s="1">
        <v>103.0</v>
      </c>
      <c r="AK393" s="1">
        <v>19.0</v>
      </c>
      <c r="AL393" s="1">
        <v>117.0</v>
      </c>
      <c r="AM393" s="1">
        <v>61.0</v>
      </c>
      <c r="AN393" s="1">
        <v>31.0</v>
      </c>
      <c r="AO393" s="1">
        <v>10.0</v>
      </c>
      <c r="AP393" s="1">
        <v>0.195759</v>
      </c>
      <c r="AQ393" s="1">
        <v>0.072755</v>
      </c>
      <c r="AR393" s="1">
        <v>0.098526</v>
      </c>
      <c r="AS393" s="1">
        <v>0.368724</v>
      </c>
      <c r="AT393" s="1">
        <v>14776.0</v>
      </c>
      <c r="AU393" s="1">
        <v>1856.0</v>
      </c>
      <c r="AV393" s="1">
        <v>0.153958</v>
      </c>
      <c r="AW393" s="1">
        <v>0.106336</v>
      </c>
      <c r="AX393" s="1">
        <v>0.236263</v>
      </c>
      <c r="AY393" s="1">
        <v>0.204589</v>
      </c>
      <c r="AZ393" s="1">
        <v>0.08552138</v>
      </c>
      <c r="BA393" s="1">
        <v>0.041693</v>
      </c>
      <c r="BB393" s="1">
        <v>0.004477</v>
      </c>
      <c r="BC393" s="1">
        <v>0.164924</v>
      </c>
      <c r="BD393" s="1">
        <v>0.001186</v>
      </c>
      <c r="BE393" s="1">
        <v>0.095492</v>
      </c>
      <c r="BF393" s="1">
        <v>0.242586</v>
      </c>
      <c r="BG393" s="1">
        <v>0.059407</v>
      </c>
      <c r="BH393" s="1">
        <v>0.014592</v>
      </c>
      <c r="BI393" s="1">
        <v>0.089851</v>
      </c>
      <c r="BJ393" s="1">
        <v>0.04685</v>
      </c>
      <c r="BK393" s="1">
        <v>0.023401</v>
      </c>
      <c r="BL393" s="1">
        <v>0.003232</v>
      </c>
      <c r="BM393" s="1">
        <v>0.718</v>
      </c>
      <c r="BN393" s="1">
        <v>0.723</v>
      </c>
      <c r="BO393" s="1">
        <v>0.8845</v>
      </c>
      <c r="BP393" s="1">
        <v>0.583</v>
      </c>
      <c r="BQ393" s="1">
        <v>2.9085</v>
      </c>
      <c r="BR393" s="1">
        <v>0.7827</v>
      </c>
      <c r="BS393" s="1">
        <v>0.96</v>
      </c>
      <c r="BT393" s="1">
        <v>0.21</v>
      </c>
      <c r="BU393" s="1">
        <v>0.361</v>
      </c>
      <c r="BV393" s="1">
        <v>1.531</v>
      </c>
      <c r="BW393" s="1">
        <v>0.507</v>
      </c>
      <c r="BX393" s="1">
        <v>0.177</v>
      </c>
      <c r="BY393" s="1">
        <v>0.535</v>
      </c>
      <c r="BZ393" s="1">
        <v>0.712</v>
      </c>
      <c r="CA393" s="1">
        <v>0.343</v>
      </c>
      <c r="CB393" s="1">
        <v>0.261</v>
      </c>
      <c r="CC393" s="1">
        <v>0.942</v>
      </c>
      <c r="CD393" s="1">
        <v>0.584</v>
      </c>
      <c r="CE393" s="1">
        <v>0.459</v>
      </c>
      <c r="CF393" s="1">
        <v>0.481</v>
      </c>
      <c r="CG393" s="1">
        <v>2.727</v>
      </c>
      <c r="CH393" s="1">
        <v>0.656</v>
      </c>
      <c r="CI393" s="1">
        <v>7.8785</v>
      </c>
      <c r="CJ393" s="1">
        <v>0.6924</v>
      </c>
      <c r="CK393" s="1">
        <v>0.0</v>
      </c>
      <c r="CL393" s="1">
        <v>0.0</v>
      </c>
      <c r="CM393" s="1">
        <v>0.0</v>
      </c>
      <c r="CN393" s="1">
        <v>0.0</v>
      </c>
      <c r="CO393" s="1">
        <v>0.0</v>
      </c>
      <c r="CP393" s="1">
        <v>1.0</v>
      </c>
      <c r="CQ393" s="1">
        <v>0.0</v>
      </c>
      <c r="CR393" s="1">
        <v>0.0</v>
      </c>
      <c r="CS393" s="1">
        <v>1.0</v>
      </c>
      <c r="CT393" s="1">
        <v>0.0</v>
      </c>
      <c r="CU393" s="1">
        <v>0.0</v>
      </c>
      <c r="CV393" s="1">
        <v>0.0</v>
      </c>
      <c r="CW393" s="1">
        <v>0.0</v>
      </c>
      <c r="CX393" s="1">
        <v>1.0</v>
      </c>
      <c r="CY393" s="1">
        <v>0.0</v>
      </c>
      <c r="CZ393" s="1">
        <v>0.0</v>
      </c>
      <c r="DA393" s="1">
        <v>0.0</v>
      </c>
      <c r="DB393" s="1">
        <v>1.0</v>
      </c>
      <c r="DC393" s="1">
        <v>2.0</v>
      </c>
      <c r="DD393" s="1" t="s">
        <v>1937</v>
      </c>
      <c r="DE393" s="2" t="s">
        <v>1938</v>
      </c>
      <c r="DF393" s="2" t="s">
        <v>1939</v>
      </c>
    </row>
    <row r="394" ht="15.75" customHeight="1">
      <c r="A394" s="1" t="s">
        <v>1940</v>
      </c>
      <c r="B394" s="1">
        <v>29.0</v>
      </c>
      <c r="C394" s="2" t="s">
        <v>1934</v>
      </c>
      <c r="D394" s="1">
        <v>470300.0</v>
      </c>
      <c r="E394" s="1">
        <v>42.795</v>
      </c>
      <c r="F394" s="1">
        <v>29085.0</v>
      </c>
      <c r="G394" s="1">
        <v>2.90854703E10</v>
      </c>
      <c r="H394" s="1" t="s">
        <v>112</v>
      </c>
      <c r="I394" s="1" t="s">
        <v>113</v>
      </c>
      <c r="J394" s="1" t="s">
        <v>1935</v>
      </c>
      <c r="K394" s="1" t="s">
        <v>1941</v>
      </c>
      <c r="L394" s="1">
        <v>2577.0</v>
      </c>
      <c r="M394" s="1">
        <v>2722.0</v>
      </c>
      <c r="N394" s="1">
        <v>300.0</v>
      </c>
      <c r="O394" s="1">
        <v>1928.0</v>
      </c>
      <c r="P394" s="1">
        <v>2014.0</v>
      </c>
      <c r="Q394" s="1">
        <v>97.0</v>
      </c>
      <c r="R394" s="1">
        <v>1223.0</v>
      </c>
      <c r="S394" s="1">
        <v>232.0</v>
      </c>
      <c r="T394" s="1">
        <v>92.0</v>
      </c>
      <c r="U394" s="1">
        <v>78.0</v>
      </c>
      <c r="V394" s="1">
        <v>414.0</v>
      </c>
      <c r="W394" s="1">
        <v>21456.0</v>
      </c>
      <c r="X394" s="1">
        <v>5075.0</v>
      </c>
      <c r="Y394" s="1">
        <v>560.0</v>
      </c>
      <c r="Z394" s="1">
        <v>239.0</v>
      </c>
      <c r="AA394" s="1">
        <v>948.0</v>
      </c>
      <c r="AB394" s="1">
        <v>359.0</v>
      </c>
      <c r="AC394" s="1">
        <v>78.0</v>
      </c>
      <c r="AD394" s="1">
        <v>95.0</v>
      </c>
      <c r="AE394" s="1">
        <v>0.0</v>
      </c>
      <c r="AF394" s="1">
        <v>456.0</v>
      </c>
      <c r="AG394" s="1">
        <v>0.0</v>
      </c>
      <c r="AH394" s="1">
        <v>197.0</v>
      </c>
      <c r="AI394" s="1">
        <v>913.0</v>
      </c>
      <c r="AJ394" s="1">
        <v>138.0</v>
      </c>
      <c r="AK394" s="1">
        <v>6.0</v>
      </c>
      <c r="AL394" s="1">
        <v>114.0</v>
      </c>
      <c r="AM394" s="1">
        <v>45.0</v>
      </c>
      <c r="AN394" s="1">
        <v>119.0</v>
      </c>
      <c r="AO394" s="1">
        <v>65.0</v>
      </c>
      <c r="AP394" s="1">
        <v>0.087514</v>
      </c>
      <c r="AQ394" s="1">
        <v>0.033211</v>
      </c>
      <c r="AR394" s="1">
        <v>0.088036</v>
      </c>
      <c r="AS394" s="1">
        <v>0.466963</v>
      </c>
      <c r="AT394" s="1">
        <v>21456.0</v>
      </c>
      <c r="AU394" s="1">
        <v>5075.0</v>
      </c>
      <c r="AV394" s="1">
        <v>0.26095</v>
      </c>
      <c r="AW394" s="1">
        <v>0.108459</v>
      </c>
      <c r="AX394" s="1">
        <v>0.367869</v>
      </c>
      <c r="AY394" s="1">
        <v>0.139309</v>
      </c>
      <c r="AZ394" s="1">
        <v>0.06377759</v>
      </c>
      <c r="BA394" s="1">
        <v>0.036864</v>
      </c>
      <c r="BB394" s="1">
        <v>0.0</v>
      </c>
      <c r="BC394" s="1">
        <v>0.174645</v>
      </c>
      <c r="BD394" s="1">
        <v>0.0</v>
      </c>
      <c r="BE394" s="1">
        <v>0.097815</v>
      </c>
      <c r="BF394" s="1">
        <v>0.453326</v>
      </c>
      <c r="BG394" s="1">
        <v>0.064948</v>
      </c>
      <c r="BH394" s="1">
        <v>0.004636</v>
      </c>
      <c r="BI394" s="1">
        <v>0.088097</v>
      </c>
      <c r="BJ394" s="1">
        <v>0.034775</v>
      </c>
      <c r="BK394" s="1">
        <v>0.091889</v>
      </c>
      <c r="BL394" s="1">
        <v>0.025223</v>
      </c>
      <c r="BM394" s="1">
        <v>0.325</v>
      </c>
      <c r="BN394" s="1">
        <v>0.667</v>
      </c>
      <c r="BO394" s="1">
        <v>0.5235</v>
      </c>
      <c r="BP394" s="1">
        <v>0.89</v>
      </c>
      <c r="BQ394" s="1">
        <v>2.4055</v>
      </c>
      <c r="BR394" s="1">
        <v>0.6347</v>
      </c>
      <c r="BS394" s="1">
        <v>0.998</v>
      </c>
      <c r="BT394" s="1">
        <v>0.052</v>
      </c>
      <c r="BU394" s="1">
        <v>0.164</v>
      </c>
      <c r="BV394" s="1">
        <v>1.214</v>
      </c>
      <c r="BW394" s="1">
        <v>0.243</v>
      </c>
      <c r="BX394" s="1">
        <v>0.134</v>
      </c>
      <c r="BY394" s="1">
        <v>0.0</v>
      </c>
      <c r="BZ394" s="1">
        <v>0.134</v>
      </c>
      <c r="CA394" s="1">
        <v>0.065</v>
      </c>
      <c r="CB394" s="1">
        <v>0.0</v>
      </c>
      <c r="CC394" s="1">
        <v>0.998</v>
      </c>
      <c r="CD394" s="1">
        <v>0.325</v>
      </c>
      <c r="CE394" s="1">
        <v>0.331</v>
      </c>
      <c r="CF394" s="1">
        <v>0.773</v>
      </c>
      <c r="CG394" s="1">
        <v>2.427</v>
      </c>
      <c r="CH394" s="1">
        <v>0.529</v>
      </c>
      <c r="CI394" s="1">
        <v>6.1805</v>
      </c>
      <c r="CJ394" s="1">
        <v>0.4014</v>
      </c>
      <c r="CK394" s="1">
        <v>0.0</v>
      </c>
      <c r="CL394" s="1">
        <v>0.0</v>
      </c>
      <c r="CM394" s="1">
        <v>0.0</v>
      </c>
      <c r="CN394" s="1">
        <v>0.0</v>
      </c>
      <c r="CO394" s="1">
        <v>0.0</v>
      </c>
      <c r="CP394" s="1">
        <v>1.0</v>
      </c>
      <c r="CQ394" s="1">
        <v>0.0</v>
      </c>
      <c r="CR394" s="1">
        <v>0.0</v>
      </c>
      <c r="CS394" s="1">
        <v>1.0</v>
      </c>
      <c r="CT394" s="1">
        <v>0.0</v>
      </c>
      <c r="CU394" s="1">
        <v>0.0</v>
      </c>
      <c r="CV394" s="1">
        <v>0.0</v>
      </c>
      <c r="CW394" s="1">
        <v>0.0</v>
      </c>
      <c r="CX394" s="1">
        <v>1.0</v>
      </c>
      <c r="CY394" s="1">
        <v>0.0</v>
      </c>
      <c r="CZ394" s="1">
        <v>0.0</v>
      </c>
      <c r="DA394" s="1">
        <v>0.0</v>
      </c>
      <c r="DB394" s="1">
        <v>1.0</v>
      </c>
      <c r="DC394" s="1">
        <v>2.0</v>
      </c>
      <c r="DD394" s="1" t="s">
        <v>1942</v>
      </c>
      <c r="DE394" s="2" t="s">
        <v>1943</v>
      </c>
      <c r="DF394" s="2" t="s">
        <v>1944</v>
      </c>
    </row>
    <row r="395" ht="15.75" customHeight="1">
      <c r="A395" s="1" t="s">
        <v>1945</v>
      </c>
      <c r="B395" s="1">
        <v>29.0</v>
      </c>
      <c r="C395" s="2" t="s">
        <v>1934</v>
      </c>
      <c r="D395" s="1">
        <v>470500.0</v>
      </c>
      <c r="E395" s="1">
        <v>125.175</v>
      </c>
      <c r="F395" s="1">
        <v>29085.0</v>
      </c>
      <c r="G395" s="1">
        <v>2.90854705E10</v>
      </c>
      <c r="H395" s="1" t="s">
        <v>112</v>
      </c>
      <c r="I395" s="1" t="s">
        <v>113</v>
      </c>
      <c r="J395" s="1" t="s">
        <v>1935</v>
      </c>
      <c r="K395" s="1" t="s">
        <v>1946</v>
      </c>
      <c r="L395" s="1">
        <v>3956.0</v>
      </c>
      <c r="M395" s="1">
        <v>4020.0</v>
      </c>
      <c r="N395" s="1">
        <v>390.0</v>
      </c>
      <c r="O395" s="1">
        <v>3224.0</v>
      </c>
      <c r="P395" s="1">
        <v>3102.0</v>
      </c>
      <c r="Q395" s="1">
        <v>120.0</v>
      </c>
      <c r="R395" s="1">
        <v>1815.0</v>
      </c>
      <c r="S395" s="1">
        <v>678.0</v>
      </c>
      <c r="T395" s="1">
        <v>215.0</v>
      </c>
      <c r="U395" s="1">
        <v>150.0</v>
      </c>
      <c r="V395" s="1">
        <v>436.0</v>
      </c>
      <c r="W395" s="1">
        <v>18448.0</v>
      </c>
      <c r="X395" s="1">
        <v>2455.0</v>
      </c>
      <c r="Y395" s="1">
        <v>689.0</v>
      </c>
      <c r="Z395" s="1">
        <v>280.0</v>
      </c>
      <c r="AA395" s="1">
        <v>1167.0</v>
      </c>
      <c r="AB395" s="1">
        <v>673.0</v>
      </c>
      <c r="AC395" s="1">
        <v>112.0</v>
      </c>
      <c r="AD395" s="1">
        <v>125.0</v>
      </c>
      <c r="AE395" s="1">
        <v>0.0</v>
      </c>
      <c r="AF395" s="1">
        <v>456.0</v>
      </c>
      <c r="AG395" s="1">
        <v>2.0</v>
      </c>
      <c r="AH395" s="1">
        <v>161.0</v>
      </c>
      <c r="AI395" s="1">
        <v>1032.0</v>
      </c>
      <c r="AJ395" s="1">
        <v>160.0</v>
      </c>
      <c r="AK395" s="1">
        <v>0.0</v>
      </c>
      <c r="AL395" s="1">
        <v>161.0</v>
      </c>
      <c r="AM395" s="1">
        <v>47.0</v>
      </c>
      <c r="AN395" s="1">
        <v>36.0</v>
      </c>
      <c r="AO395" s="1">
        <v>0.0</v>
      </c>
      <c r="AP395" s="1">
        <v>0.169077</v>
      </c>
      <c r="AQ395" s="1">
        <v>0.051072</v>
      </c>
      <c r="AR395" s="1">
        <v>0.097656</v>
      </c>
      <c r="AS395" s="1">
        <v>0.28353</v>
      </c>
      <c r="AT395" s="1">
        <v>18448.0</v>
      </c>
      <c r="AU395" s="1">
        <v>2455.0</v>
      </c>
      <c r="AV395" s="1">
        <v>0.214574</v>
      </c>
      <c r="AW395" s="1">
        <v>0.085256</v>
      </c>
      <c r="AX395" s="1">
        <v>0.294994</v>
      </c>
      <c r="AY395" s="1">
        <v>0.170121</v>
      </c>
      <c r="AZ395" s="1">
        <v>0.06170798</v>
      </c>
      <c r="BA395" s="1">
        <v>0.031597</v>
      </c>
      <c r="BB395" s="1">
        <v>0.0</v>
      </c>
      <c r="BC395" s="1">
        <v>0.118165</v>
      </c>
      <c r="BD395" s="1">
        <v>6.44E-4</v>
      </c>
      <c r="BE395" s="1">
        <v>0.051901</v>
      </c>
      <c r="BF395" s="1">
        <v>0.332688</v>
      </c>
      <c r="BG395" s="1">
        <v>0.049948</v>
      </c>
      <c r="BH395" s="1">
        <v>0.0</v>
      </c>
      <c r="BI395" s="1">
        <v>0.085547</v>
      </c>
      <c r="BJ395" s="1">
        <v>0.024973</v>
      </c>
      <c r="BK395" s="1">
        <v>0.01898</v>
      </c>
      <c r="BL395" s="1">
        <v>0.0</v>
      </c>
      <c r="BM395" s="1">
        <v>0.64</v>
      </c>
      <c r="BN395" s="1">
        <v>0.719</v>
      </c>
      <c r="BO395" s="1">
        <v>0.7112</v>
      </c>
      <c r="BP395" s="1">
        <v>0.791</v>
      </c>
      <c r="BQ395" s="1">
        <v>2.8612</v>
      </c>
      <c r="BR395" s="1">
        <v>0.7682</v>
      </c>
      <c r="BS395" s="1">
        <v>0.987</v>
      </c>
      <c r="BT395" s="1">
        <v>0.102</v>
      </c>
      <c r="BU395" s="1">
        <v>0.143</v>
      </c>
      <c r="BV395" s="1">
        <v>1.232</v>
      </c>
      <c r="BW395" s="1">
        <v>0.254</v>
      </c>
      <c r="BX395" s="1">
        <v>0.092</v>
      </c>
      <c r="BY395" s="1">
        <v>0.0</v>
      </c>
      <c r="BZ395" s="1">
        <v>0.092</v>
      </c>
      <c r="CA395" s="1">
        <v>0.043</v>
      </c>
      <c r="CB395" s="1">
        <v>0.249</v>
      </c>
      <c r="CC395" s="1">
        <v>0.986</v>
      </c>
      <c r="CD395" s="1">
        <v>0.0</v>
      </c>
      <c r="CE395" s="1">
        <v>0.238</v>
      </c>
      <c r="CF395" s="1">
        <v>0.0</v>
      </c>
      <c r="CG395" s="1">
        <v>1.473</v>
      </c>
      <c r="CH395" s="1">
        <v>0.165</v>
      </c>
      <c r="CI395" s="1">
        <v>5.6582</v>
      </c>
      <c r="CJ395" s="1">
        <v>0.3119</v>
      </c>
      <c r="CK395" s="1">
        <v>0.0</v>
      </c>
      <c r="CL395" s="1">
        <v>0.0</v>
      </c>
      <c r="CM395" s="1">
        <v>0.0</v>
      </c>
      <c r="CN395" s="1">
        <v>0.0</v>
      </c>
      <c r="CO395" s="1">
        <v>0.0</v>
      </c>
      <c r="CP395" s="1">
        <v>1.0</v>
      </c>
      <c r="CQ395" s="1">
        <v>0.0</v>
      </c>
      <c r="CR395" s="1">
        <v>0.0</v>
      </c>
      <c r="CS395" s="1">
        <v>1.0</v>
      </c>
      <c r="CT395" s="1">
        <v>0.0</v>
      </c>
      <c r="CU395" s="1">
        <v>0.0</v>
      </c>
      <c r="CV395" s="1">
        <v>0.0</v>
      </c>
      <c r="CW395" s="1">
        <v>0.0</v>
      </c>
      <c r="CX395" s="1">
        <v>1.0</v>
      </c>
      <c r="CY395" s="1">
        <v>0.0</v>
      </c>
      <c r="CZ395" s="1">
        <v>0.0</v>
      </c>
      <c r="DA395" s="1">
        <v>0.0</v>
      </c>
      <c r="DB395" s="1">
        <v>1.0</v>
      </c>
      <c r="DC395" s="1">
        <v>2.0</v>
      </c>
      <c r="DD395" s="1" t="s">
        <v>1947</v>
      </c>
      <c r="DE395" s="1">
        <v>0.0353987388723034</v>
      </c>
      <c r="DF395" s="2" t="s">
        <v>1948</v>
      </c>
    </row>
    <row r="396" ht="15.75" customHeight="1">
      <c r="A396" s="1" t="s">
        <v>1949</v>
      </c>
      <c r="B396" s="1">
        <v>29.0</v>
      </c>
      <c r="C396" s="2" t="s">
        <v>1950</v>
      </c>
      <c r="D396" s="1">
        <v>960100.0</v>
      </c>
      <c r="E396" s="1">
        <v>223.463</v>
      </c>
      <c r="F396" s="1">
        <v>29087.0</v>
      </c>
      <c r="G396" s="1">
        <v>2.90879601E10</v>
      </c>
      <c r="H396" s="1" t="s">
        <v>112</v>
      </c>
      <c r="I396" s="1" t="s">
        <v>113</v>
      </c>
      <c r="J396" s="1" t="s">
        <v>1951</v>
      </c>
      <c r="K396" s="1" t="s">
        <v>1952</v>
      </c>
      <c r="L396" s="1">
        <v>1432.0</v>
      </c>
      <c r="M396" s="1">
        <v>1500.0</v>
      </c>
      <c r="N396" s="1">
        <v>110.0</v>
      </c>
      <c r="O396" s="1">
        <v>727.0</v>
      </c>
      <c r="P396" s="1">
        <v>763.0</v>
      </c>
      <c r="Q396" s="1">
        <v>41.0</v>
      </c>
      <c r="R396" s="1">
        <v>623.0</v>
      </c>
      <c r="S396" s="1">
        <v>214.0</v>
      </c>
      <c r="T396" s="1">
        <v>93.0</v>
      </c>
      <c r="U396" s="1">
        <v>30.0</v>
      </c>
      <c r="V396" s="1">
        <v>378.0</v>
      </c>
      <c r="W396" s="1">
        <v>21265.0</v>
      </c>
      <c r="X396" s="1">
        <v>3899.0</v>
      </c>
      <c r="Y396" s="1">
        <v>120.0</v>
      </c>
      <c r="Z396" s="1">
        <v>258.0</v>
      </c>
      <c r="AA396" s="1">
        <v>261.0</v>
      </c>
      <c r="AB396" s="1">
        <v>279.0</v>
      </c>
      <c r="AC396" s="1">
        <v>39.0</v>
      </c>
      <c r="AD396" s="1">
        <v>20.0</v>
      </c>
      <c r="AE396" s="1">
        <v>0.0</v>
      </c>
      <c r="AF396" s="1">
        <v>456.0</v>
      </c>
      <c r="AG396" s="1">
        <v>8.0</v>
      </c>
      <c r="AH396" s="1">
        <v>161.0</v>
      </c>
      <c r="AI396" s="1">
        <v>57.0</v>
      </c>
      <c r="AJ396" s="1">
        <v>23.0</v>
      </c>
      <c r="AK396" s="1">
        <v>14.0</v>
      </c>
      <c r="AL396" s="1">
        <v>115.0</v>
      </c>
      <c r="AM396" s="1">
        <v>15.0</v>
      </c>
      <c r="AN396" s="1">
        <v>10.0</v>
      </c>
      <c r="AO396" s="1">
        <v>0.0</v>
      </c>
      <c r="AP396" s="1">
        <v>0.143624</v>
      </c>
      <c r="AQ396" s="1">
        <v>0.061605</v>
      </c>
      <c r="AR396" s="1">
        <v>0.042194</v>
      </c>
      <c r="AS396" s="1">
        <v>0.531629</v>
      </c>
      <c r="AT396" s="1">
        <v>21265.0</v>
      </c>
      <c r="AU396" s="1">
        <v>3899.0</v>
      </c>
      <c r="AV396" s="1">
        <v>0.114068</v>
      </c>
      <c r="AW396" s="1">
        <v>0.245115</v>
      </c>
      <c r="AX396" s="1">
        <v>0.182262</v>
      </c>
      <c r="AY396" s="1">
        <v>0.194832</v>
      </c>
      <c r="AZ396" s="1">
        <v>0.06260032</v>
      </c>
      <c r="BA396" s="1">
        <v>0.013966</v>
      </c>
      <c r="BB396" s="1">
        <v>0.0</v>
      </c>
      <c r="BC396" s="1">
        <v>0.322489</v>
      </c>
      <c r="BD396" s="1">
        <v>0.010484</v>
      </c>
      <c r="BE396" s="1">
        <v>0.211008</v>
      </c>
      <c r="BF396" s="1">
        <v>0.074705</v>
      </c>
      <c r="BG396" s="1">
        <v>0.029875</v>
      </c>
      <c r="BH396" s="1">
        <v>0.022012</v>
      </c>
      <c r="BI396" s="1">
        <v>0.180809</v>
      </c>
      <c r="BJ396" s="1">
        <v>0.023584</v>
      </c>
      <c r="BK396" s="1">
        <v>0.015613</v>
      </c>
      <c r="BL396" s="1">
        <v>0.0</v>
      </c>
      <c r="BM396" s="1">
        <v>0.559</v>
      </c>
      <c r="BN396" s="1">
        <v>0.21</v>
      </c>
      <c r="BO396" s="1">
        <v>0.535</v>
      </c>
      <c r="BP396" s="1">
        <v>0.4</v>
      </c>
      <c r="BQ396" s="1">
        <v>1.704</v>
      </c>
      <c r="BR396" s="1">
        <v>0.4029</v>
      </c>
      <c r="BS396" s="1">
        <v>0.807</v>
      </c>
      <c r="BT396" s="1">
        <v>0.167</v>
      </c>
      <c r="BU396" s="1">
        <v>0.152</v>
      </c>
      <c r="BV396" s="1">
        <v>1.126</v>
      </c>
      <c r="BW396" s="1">
        <v>0.184</v>
      </c>
      <c r="BX396" s="1">
        <v>0.003</v>
      </c>
      <c r="BY396" s="1">
        <v>0.0</v>
      </c>
      <c r="BZ396" s="1">
        <v>0.003</v>
      </c>
      <c r="CA396" s="1">
        <v>0.001</v>
      </c>
      <c r="CB396" s="1">
        <v>0.387</v>
      </c>
      <c r="CC396" s="1">
        <v>0.662</v>
      </c>
      <c r="CD396" s="1">
        <v>0.712</v>
      </c>
      <c r="CE396" s="1">
        <v>0.225</v>
      </c>
      <c r="CF396" s="1">
        <v>0.0</v>
      </c>
      <c r="CG396" s="1">
        <v>1.986</v>
      </c>
      <c r="CH396" s="1">
        <v>0.344</v>
      </c>
      <c r="CI396" s="1">
        <v>4.819</v>
      </c>
      <c r="CJ396" s="1">
        <v>0.1798</v>
      </c>
      <c r="CK396" s="1">
        <v>0.0</v>
      </c>
      <c r="CL396" s="1">
        <v>0.0</v>
      </c>
      <c r="CM396" s="1">
        <v>0.0</v>
      </c>
      <c r="CN396" s="1">
        <v>0.0</v>
      </c>
      <c r="CO396" s="1">
        <v>0.0</v>
      </c>
      <c r="CP396" s="1">
        <v>0.0</v>
      </c>
      <c r="CQ396" s="1">
        <v>0.0</v>
      </c>
      <c r="CR396" s="1">
        <v>0.0</v>
      </c>
      <c r="CS396" s="1">
        <v>0.0</v>
      </c>
      <c r="CT396" s="1">
        <v>0.0</v>
      </c>
      <c r="CU396" s="1">
        <v>0.0</v>
      </c>
      <c r="CV396" s="1">
        <v>0.0</v>
      </c>
      <c r="CW396" s="1">
        <v>0.0</v>
      </c>
      <c r="CX396" s="1">
        <v>0.0</v>
      </c>
      <c r="CY396" s="1">
        <v>0.0</v>
      </c>
      <c r="CZ396" s="1">
        <v>0.0</v>
      </c>
      <c r="DA396" s="1">
        <v>0.0</v>
      </c>
      <c r="DB396" s="1">
        <v>0.0</v>
      </c>
      <c r="DC396" s="1">
        <v>0.0</v>
      </c>
      <c r="DD396" s="1" t="s">
        <v>1953</v>
      </c>
      <c r="DE396" s="2" t="s">
        <v>1954</v>
      </c>
      <c r="DF396" s="2" t="s">
        <v>1955</v>
      </c>
    </row>
    <row r="397" ht="15.75" customHeight="1">
      <c r="A397" s="1" t="s">
        <v>1956</v>
      </c>
      <c r="B397" s="1">
        <v>29.0</v>
      </c>
      <c r="C397" s="2" t="s">
        <v>1950</v>
      </c>
      <c r="D397" s="1">
        <v>960200.0</v>
      </c>
      <c r="E397" s="1">
        <v>79.82</v>
      </c>
      <c r="F397" s="1">
        <v>29087.0</v>
      </c>
      <c r="G397" s="1">
        <v>2.90879602E10</v>
      </c>
      <c r="H397" s="1" t="s">
        <v>112</v>
      </c>
      <c r="I397" s="1" t="s">
        <v>113</v>
      </c>
      <c r="J397" s="1" t="s">
        <v>1951</v>
      </c>
      <c r="K397" s="1" t="s">
        <v>1957</v>
      </c>
      <c r="L397" s="1">
        <v>1735.0</v>
      </c>
      <c r="M397" s="1">
        <v>1753.0</v>
      </c>
      <c r="N397" s="1">
        <v>92.0</v>
      </c>
      <c r="O397" s="1">
        <v>1203.0</v>
      </c>
      <c r="P397" s="1">
        <v>1206.0</v>
      </c>
      <c r="Q397" s="1">
        <v>36.0</v>
      </c>
      <c r="R397" s="1">
        <v>773.0</v>
      </c>
      <c r="S397" s="1">
        <v>234.0</v>
      </c>
      <c r="T397" s="1">
        <v>72.0</v>
      </c>
      <c r="U397" s="1">
        <v>34.0</v>
      </c>
      <c r="V397" s="1">
        <v>395.0</v>
      </c>
      <c r="W397" s="1">
        <v>22368.0</v>
      </c>
      <c r="X397" s="1">
        <v>2009.0</v>
      </c>
      <c r="Y397" s="1">
        <v>147.0</v>
      </c>
      <c r="Z397" s="1">
        <v>200.0</v>
      </c>
      <c r="AA397" s="1">
        <v>427.0</v>
      </c>
      <c r="AB397" s="1">
        <v>333.0</v>
      </c>
      <c r="AC397" s="1">
        <v>51.0</v>
      </c>
      <c r="AD397" s="1">
        <v>70.0</v>
      </c>
      <c r="AE397" s="1">
        <v>0.0</v>
      </c>
      <c r="AF397" s="1">
        <v>456.0</v>
      </c>
      <c r="AG397" s="1">
        <v>2.0</v>
      </c>
      <c r="AH397" s="1">
        <v>161.0</v>
      </c>
      <c r="AI397" s="1">
        <v>144.0</v>
      </c>
      <c r="AJ397" s="1">
        <v>39.0</v>
      </c>
      <c r="AK397" s="1">
        <v>11.0</v>
      </c>
      <c r="AL397" s="1">
        <v>114.0</v>
      </c>
      <c r="AM397" s="1">
        <v>74.0</v>
      </c>
      <c r="AN397" s="1">
        <v>27.0</v>
      </c>
      <c r="AO397" s="1">
        <v>49.0</v>
      </c>
      <c r="AP397" s="1">
        <v>0.135025</v>
      </c>
      <c r="AQ397" s="1">
        <v>0.040963</v>
      </c>
      <c r="AR397" s="1">
        <v>0.0425</v>
      </c>
      <c r="AS397" s="1">
        <v>0.493734</v>
      </c>
      <c r="AT397" s="1">
        <v>22368.0</v>
      </c>
      <c r="AU397" s="1">
        <v>2009.0</v>
      </c>
      <c r="AV397" s="1">
        <v>0.109375</v>
      </c>
      <c r="AW397" s="1">
        <v>0.148687</v>
      </c>
      <c r="AX397" s="1">
        <v>0.246109</v>
      </c>
      <c r="AY397" s="1">
        <v>0.19193</v>
      </c>
      <c r="AZ397" s="1">
        <v>0.06597671</v>
      </c>
      <c r="BA397" s="1">
        <v>0.040345</v>
      </c>
      <c r="BB397" s="1">
        <v>0.0</v>
      </c>
      <c r="BC397" s="1">
        <v>0.27503</v>
      </c>
      <c r="BD397" s="1">
        <v>0.001658</v>
      </c>
      <c r="BE397" s="1">
        <v>0.133499</v>
      </c>
      <c r="BF397" s="1">
        <v>0.119402</v>
      </c>
      <c r="BG397" s="1">
        <v>0.032141</v>
      </c>
      <c r="BH397" s="1">
        <v>0.012971</v>
      </c>
      <c r="BI397" s="1">
        <v>0.13443</v>
      </c>
      <c r="BJ397" s="1">
        <v>0.087264</v>
      </c>
      <c r="BK397" s="1">
        <v>0.031193</v>
      </c>
      <c r="BL397" s="1">
        <v>0.028242</v>
      </c>
      <c r="BM397" s="1">
        <v>0.518</v>
      </c>
      <c r="BN397" s="1">
        <v>0.215</v>
      </c>
      <c r="BO397" s="1">
        <v>0.4765</v>
      </c>
      <c r="BP397" s="1">
        <v>0.38</v>
      </c>
      <c r="BQ397" s="1">
        <v>1.5895</v>
      </c>
      <c r="BR397" s="1">
        <v>0.3697</v>
      </c>
      <c r="BS397" s="1">
        <v>0.967</v>
      </c>
      <c r="BT397" s="1">
        <v>0.157</v>
      </c>
      <c r="BU397" s="1">
        <v>0.18</v>
      </c>
      <c r="BV397" s="1">
        <v>1.304</v>
      </c>
      <c r="BW397" s="1">
        <v>0.306</v>
      </c>
      <c r="BX397" s="1">
        <v>0.165</v>
      </c>
      <c r="BY397" s="1">
        <v>0.0</v>
      </c>
      <c r="BZ397" s="1">
        <v>0.165</v>
      </c>
      <c r="CA397" s="1">
        <v>0.078</v>
      </c>
      <c r="CB397" s="1">
        <v>0.265</v>
      </c>
      <c r="CC397" s="1">
        <v>0.761</v>
      </c>
      <c r="CD397" s="1">
        <v>0.548</v>
      </c>
      <c r="CE397" s="1">
        <v>0.709</v>
      </c>
      <c r="CF397" s="1">
        <v>0.796</v>
      </c>
      <c r="CG397" s="1">
        <v>3.079</v>
      </c>
      <c r="CH397" s="1">
        <v>0.807</v>
      </c>
      <c r="CI397" s="1">
        <v>6.1375</v>
      </c>
      <c r="CJ397" s="1">
        <v>0.3957</v>
      </c>
      <c r="CK397" s="1">
        <v>0.0</v>
      </c>
      <c r="CL397" s="1">
        <v>0.0</v>
      </c>
      <c r="CM397" s="1">
        <v>0.0</v>
      </c>
      <c r="CN397" s="1">
        <v>0.0</v>
      </c>
      <c r="CO397" s="1">
        <v>0.0</v>
      </c>
      <c r="CP397" s="1">
        <v>1.0</v>
      </c>
      <c r="CQ397" s="1">
        <v>0.0</v>
      </c>
      <c r="CR397" s="1">
        <v>0.0</v>
      </c>
      <c r="CS397" s="1">
        <v>1.0</v>
      </c>
      <c r="CT397" s="1">
        <v>0.0</v>
      </c>
      <c r="CU397" s="1">
        <v>0.0</v>
      </c>
      <c r="CV397" s="1">
        <v>0.0</v>
      </c>
      <c r="CW397" s="1">
        <v>0.0</v>
      </c>
      <c r="CX397" s="1">
        <v>0.0</v>
      </c>
      <c r="CY397" s="1">
        <v>0.0</v>
      </c>
      <c r="CZ397" s="1">
        <v>0.0</v>
      </c>
      <c r="DA397" s="1">
        <v>0.0</v>
      </c>
      <c r="DB397" s="1">
        <v>0.0</v>
      </c>
      <c r="DC397" s="1">
        <v>1.0</v>
      </c>
      <c r="DD397" s="1" t="s">
        <v>1958</v>
      </c>
      <c r="DE397" s="1">
        <v>0.0227684399360092</v>
      </c>
      <c r="DF397" s="2" t="s">
        <v>1959</v>
      </c>
    </row>
    <row r="398" ht="15.75" customHeight="1">
      <c r="A398" s="1" t="s">
        <v>1960</v>
      </c>
      <c r="B398" s="1">
        <v>29.0</v>
      </c>
      <c r="C398" s="2" t="s">
        <v>1950</v>
      </c>
      <c r="D398" s="1">
        <v>960300.0</v>
      </c>
      <c r="E398" s="1">
        <v>159.41</v>
      </c>
      <c r="F398" s="1">
        <v>29087.0</v>
      </c>
      <c r="G398" s="1">
        <v>2.90879603E10</v>
      </c>
      <c r="H398" s="1" t="s">
        <v>112</v>
      </c>
      <c r="I398" s="1" t="s">
        <v>113</v>
      </c>
      <c r="J398" s="1" t="s">
        <v>1951</v>
      </c>
      <c r="K398" s="1" t="s">
        <v>1961</v>
      </c>
      <c r="L398" s="1">
        <v>1745.0</v>
      </c>
      <c r="M398" s="1">
        <v>1691.0</v>
      </c>
      <c r="N398" s="1">
        <v>105.0</v>
      </c>
      <c r="O398" s="1">
        <v>876.0</v>
      </c>
      <c r="P398" s="1">
        <v>867.0</v>
      </c>
      <c r="Q398" s="1">
        <v>36.0</v>
      </c>
      <c r="R398" s="1">
        <v>737.0</v>
      </c>
      <c r="S398" s="1">
        <v>257.0</v>
      </c>
      <c r="T398" s="1">
        <v>84.0</v>
      </c>
      <c r="U398" s="1">
        <v>15.0</v>
      </c>
      <c r="V398" s="1">
        <v>442.0</v>
      </c>
      <c r="W398" s="1">
        <v>21295.0</v>
      </c>
      <c r="X398" s="1">
        <v>1635.0</v>
      </c>
      <c r="Y398" s="1">
        <v>141.0</v>
      </c>
      <c r="Z398" s="1">
        <v>259.0</v>
      </c>
      <c r="AA398" s="1">
        <v>355.0</v>
      </c>
      <c r="AB398" s="1">
        <v>359.0</v>
      </c>
      <c r="AC398" s="1">
        <v>48.0</v>
      </c>
      <c r="AD398" s="1">
        <v>47.0</v>
      </c>
      <c r="AE398" s="1">
        <v>0.0</v>
      </c>
      <c r="AF398" s="1">
        <v>456.0</v>
      </c>
      <c r="AG398" s="1">
        <v>5.0</v>
      </c>
      <c r="AH398" s="1">
        <v>114.0</v>
      </c>
      <c r="AI398" s="1">
        <v>54.0</v>
      </c>
      <c r="AJ398" s="1">
        <v>23.0</v>
      </c>
      <c r="AK398" s="1">
        <v>21.0</v>
      </c>
      <c r="AL398" s="1">
        <v>115.0</v>
      </c>
      <c r="AM398" s="1">
        <v>30.0</v>
      </c>
      <c r="AN398" s="1">
        <v>14.0</v>
      </c>
      <c r="AO398" s="1">
        <v>52.0</v>
      </c>
      <c r="AP398" s="1">
        <v>0.152885</v>
      </c>
      <c r="AQ398" s="1">
        <v>0.049013</v>
      </c>
      <c r="AR398" s="1">
        <v>0.019132</v>
      </c>
      <c r="AS398" s="1">
        <v>0.563772</v>
      </c>
      <c r="AT398" s="1">
        <v>21295.0</v>
      </c>
      <c r="AU398" s="1">
        <v>1635.0</v>
      </c>
      <c r="AV398" s="1">
        <v>0.114914</v>
      </c>
      <c r="AW398" s="1">
        <v>0.210967</v>
      </c>
      <c r="AX398" s="1">
        <v>0.203438</v>
      </c>
      <c r="AY398" s="1">
        <v>0.20573</v>
      </c>
      <c r="AZ398" s="1">
        <v>0.0651289</v>
      </c>
      <c r="BA398" s="1">
        <v>0.026934</v>
      </c>
      <c r="BB398" s="1">
        <v>0.0</v>
      </c>
      <c r="BC398" s="1">
        <v>0.285893</v>
      </c>
      <c r="BD398" s="1">
        <v>0.005767</v>
      </c>
      <c r="BE398" s="1">
        <v>0.131487</v>
      </c>
      <c r="BF398" s="1">
        <v>0.062283</v>
      </c>
      <c r="BG398" s="1">
        <v>0.026401</v>
      </c>
      <c r="BH398" s="1">
        <v>0.028571</v>
      </c>
      <c r="BI398" s="1">
        <v>0.15645</v>
      </c>
      <c r="BJ398" s="1">
        <v>0.040816</v>
      </c>
      <c r="BK398" s="1">
        <v>0.018852</v>
      </c>
      <c r="BL398" s="1">
        <v>0.029799</v>
      </c>
      <c r="BM398" s="1">
        <v>0.588</v>
      </c>
      <c r="BN398" s="1">
        <v>0.026</v>
      </c>
      <c r="BO398" s="1">
        <v>0.5336</v>
      </c>
      <c r="BP398" s="1">
        <v>0.407</v>
      </c>
      <c r="BQ398" s="1">
        <v>1.5546</v>
      </c>
      <c r="BR398" s="1">
        <v>0.3588</v>
      </c>
      <c r="BS398" s="1">
        <v>0.887</v>
      </c>
      <c r="BT398" s="1">
        <v>0.217</v>
      </c>
      <c r="BU398" s="1">
        <v>0.173</v>
      </c>
      <c r="BV398" s="1">
        <v>1.277</v>
      </c>
      <c r="BW398" s="1">
        <v>0.287</v>
      </c>
      <c r="BX398" s="1">
        <v>0.058</v>
      </c>
      <c r="BY398" s="1">
        <v>0.0</v>
      </c>
      <c r="BZ398" s="1">
        <v>0.058</v>
      </c>
      <c r="CA398" s="1">
        <v>0.028</v>
      </c>
      <c r="CB398" s="1">
        <v>0.33</v>
      </c>
      <c r="CC398" s="1">
        <v>0.63</v>
      </c>
      <c r="CD398" s="1">
        <v>0.79</v>
      </c>
      <c r="CE398" s="1">
        <v>0.396</v>
      </c>
      <c r="CF398" s="1">
        <v>0.806</v>
      </c>
      <c r="CG398" s="1">
        <v>2.952</v>
      </c>
      <c r="CH398" s="1">
        <v>0.753</v>
      </c>
      <c r="CI398" s="1">
        <v>5.8416</v>
      </c>
      <c r="CJ398" s="1">
        <v>0.3444</v>
      </c>
      <c r="CK398" s="1">
        <v>0.0</v>
      </c>
      <c r="CL398" s="1">
        <v>0.0</v>
      </c>
      <c r="CM398" s="1">
        <v>0.0</v>
      </c>
      <c r="CN398" s="1">
        <v>0.0</v>
      </c>
      <c r="CO398" s="1">
        <v>0.0</v>
      </c>
      <c r="CP398" s="1">
        <v>0.0</v>
      </c>
      <c r="CQ398" s="1">
        <v>0.0</v>
      </c>
      <c r="CR398" s="1">
        <v>0.0</v>
      </c>
      <c r="CS398" s="1">
        <v>0.0</v>
      </c>
      <c r="CT398" s="1">
        <v>0.0</v>
      </c>
      <c r="CU398" s="1">
        <v>0.0</v>
      </c>
      <c r="CV398" s="1">
        <v>0.0</v>
      </c>
      <c r="CW398" s="1">
        <v>0.0</v>
      </c>
      <c r="CX398" s="1">
        <v>0.0</v>
      </c>
      <c r="CY398" s="1">
        <v>0.0</v>
      </c>
      <c r="CZ398" s="1">
        <v>0.0</v>
      </c>
      <c r="DA398" s="1">
        <v>0.0</v>
      </c>
      <c r="DB398" s="1">
        <v>0.0</v>
      </c>
      <c r="DC398" s="1">
        <v>0.0</v>
      </c>
      <c r="DD398" s="1" t="s">
        <v>1962</v>
      </c>
      <c r="DE398" s="1">
        <v>0.0442638081058405</v>
      </c>
      <c r="DF398" s="2" t="s">
        <v>1963</v>
      </c>
    </row>
    <row r="399" ht="15.75" customHeight="1">
      <c r="A399" s="1" t="s">
        <v>1964</v>
      </c>
      <c r="B399" s="1">
        <v>29.0</v>
      </c>
      <c r="C399" s="2" t="s">
        <v>1965</v>
      </c>
      <c r="D399" s="1">
        <v>960100.0</v>
      </c>
      <c r="E399" s="1">
        <v>183.537</v>
      </c>
      <c r="F399" s="1">
        <v>29089.0</v>
      </c>
      <c r="G399" s="1">
        <v>2.90899601E10</v>
      </c>
      <c r="H399" s="1" t="s">
        <v>112</v>
      </c>
      <c r="I399" s="1" t="s">
        <v>113</v>
      </c>
      <c r="J399" s="1" t="s">
        <v>1966</v>
      </c>
      <c r="K399" s="1" t="s">
        <v>1967</v>
      </c>
      <c r="L399" s="1">
        <v>2950.0</v>
      </c>
      <c r="M399" s="1">
        <v>3111.0</v>
      </c>
      <c r="N399" s="1">
        <v>301.0</v>
      </c>
      <c r="O399" s="1">
        <v>1416.0</v>
      </c>
      <c r="P399" s="1">
        <v>1357.0</v>
      </c>
      <c r="Q399" s="1">
        <v>93.0</v>
      </c>
      <c r="R399" s="1">
        <v>1184.0</v>
      </c>
      <c r="S399" s="1">
        <v>503.0</v>
      </c>
      <c r="T399" s="1">
        <v>190.0</v>
      </c>
      <c r="U399" s="1">
        <v>69.0</v>
      </c>
      <c r="V399" s="1">
        <v>324.0</v>
      </c>
      <c r="W399" s="1">
        <v>27191.0</v>
      </c>
      <c r="X399" s="1">
        <v>9067.0</v>
      </c>
      <c r="Y399" s="1">
        <v>309.0</v>
      </c>
      <c r="Z399" s="1">
        <v>183.0</v>
      </c>
      <c r="AA399" s="1">
        <v>471.0</v>
      </c>
      <c r="AB399" s="1">
        <v>716.0</v>
      </c>
      <c r="AC399" s="1">
        <v>97.0</v>
      </c>
      <c r="AD399" s="1">
        <v>196.0</v>
      </c>
      <c r="AE399" s="1">
        <v>4.0</v>
      </c>
      <c r="AF399" s="1">
        <v>442.0</v>
      </c>
      <c r="AG399" s="1">
        <v>60.0</v>
      </c>
      <c r="AH399" s="1">
        <v>120.0</v>
      </c>
      <c r="AI399" s="1">
        <v>232.0</v>
      </c>
      <c r="AJ399" s="1">
        <v>57.0</v>
      </c>
      <c r="AK399" s="1">
        <v>25.0</v>
      </c>
      <c r="AL399" s="1">
        <v>115.0</v>
      </c>
      <c r="AM399" s="1">
        <v>47.0</v>
      </c>
      <c r="AN399" s="1">
        <v>27.0</v>
      </c>
      <c r="AO399" s="1">
        <v>86.0</v>
      </c>
      <c r="AP399" s="1">
        <v>0.165951</v>
      </c>
      <c r="AQ399" s="1">
        <v>0.06042</v>
      </c>
      <c r="AR399" s="1">
        <v>0.051801</v>
      </c>
      <c r="AS399" s="1">
        <v>0.243178</v>
      </c>
      <c r="AT399" s="1">
        <v>27191.0</v>
      </c>
      <c r="AU399" s="1">
        <v>9067.0</v>
      </c>
      <c r="AV399" s="1">
        <v>0.141613</v>
      </c>
      <c r="AW399" s="1">
        <v>0.082688</v>
      </c>
      <c r="AX399" s="1">
        <v>0.159661</v>
      </c>
      <c r="AY399" s="1">
        <v>0.242711</v>
      </c>
      <c r="AZ399" s="1">
        <v>0.08192567</v>
      </c>
      <c r="BA399" s="1">
        <v>0.06644</v>
      </c>
      <c r="BB399" s="1">
        <v>0.001381</v>
      </c>
      <c r="BC399" s="1">
        <v>0.152624</v>
      </c>
      <c r="BD399" s="1">
        <v>0.044215</v>
      </c>
      <c r="BE399" s="1">
        <v>0.088378</v>
      </c>
      <c r="BF399" s="1">
        <v>0.170965</v>
      </c>
      <c r="BG399" s="1">
        <v>0.040337</v>
      </c>
      <c r="BH399" s="1">
        <v>0.022007</v>
      </c>
      <c r="BI399" s="1">
        <v>0.101212</v>
      </c>
      <c r="BJ399" s="1">
        <v>0.041373</v>
      </c>
      <c r="BK399" s="1">
        <v>0.023469</v>
      </c>
      <c r="BL399" s="1">
        <v>0.029152</v>
      </c>
      <c r="BM399" s="1">
        <v>0.628</v>
      </c>
      <c r="BN399" s="1">
        <v>0.315</v>
      </c>
      <c r="BO399" s="1">
        <v>0.2758</v>
      </c>
      <c r="BP399" s="1">
        <v>0.53</v>
      </c>
      <c r="BQ399" s="1">
        <v>1.7488</v>
      </c>
      <c r="BR399" s="1">
        <v>0.4137</v>
      </c>
      <c r="BS399" s="1">
        <v>0.661</v>
      </c>
      <c r="BT399" s="1">
        <v>0.522</v>
      </c>
      <c r="BU399" s="1">
        <v>0.324</v>
      </c>
      <c r="BV399" s="1">
        <v>1.507</v>
      </c>
      <c r="BW399" s="1">
        <v>0.491</v>
      </c>
      <c r="BX399" s="1">
        <v>0.348</v>
      </c>
      <c r="BY399" s="1">
        <v>0.348</v>
      </c>
      <c r="BZ399" s="1">
        <v>0.696</v>
      </c>
      <c r="CA399" s="1">
        <v>0.333</v>
      </c>
      <c r="CB399" s="1">
        <v>0.628</v>
      </c>
      <c r="CC399" s="1">
        <v>0.854</v>
      </c>
      <c r="CD399" s="1">
        <v>0.711</v>
      </c>
      <c r="CE399" s="1">
        <v>0.405</v>
      </c>
      <c r="CF399" s="1">
        <v>0.802</v>
      </c>
      <c r="CG399" s="1">
        <v>3.4</v>
      </c>
      <c r="CH399" s="1">
        <v>0.912</v>
      </c>
      <c r="CI399" s="1">
        <v>7.3518</v>
      </c>
      <c r="CJ399" s="1">
        <v>0.6181</v>
      </c>
      <c r="CK399" s="1">
        <v>0.0</v>
      </c>
      <c r="CL399" s="1">
        <v>0.0</v>
      </c>
      <c r="CM399" s="1">
        <v>0.0</v>
      </c>
      <c r="CN399" s="1">
        <v>0.0</v>
      </c>
      <c r="CO399" s="1">
        <v>0.0</v>
      </c>
      <c r="CP399" s="1">
        <v>0.0</v>
      </c>
      <c r="CQ399" s="1">
        <v>0.0</v>
      </c>
      <c r="CR399" s="1">
        <v>0.0</v>
      </c>
      <c r="CS399" s="1">
        <v>0.0</v>
      </c>
      <c r="CT399" s="1">
        <v>0.0</v>
      </c>
      <c r="CU399" s="1">
        <v>0.0</v>
      </c>
      <c r="CV399" s="1">
        <v>0.0</v>
      </c>
      <c r="CW399" s="1">
        <v>0.0</v>
      </c>
      <c r="CX399" s="1">
        <v>0.0</v>
      </c>
      <c r="CY399" s="1">
        <v>0.0</v>
      </c>
      <c r="CZ399" s="1">
        <v>0.0</v>
      </c>
      <c r="DA399" s="1">
        <v>0.0</v>
      </c>
      <c r="DB399" s="1">
        <v>0.0</v>
      </c>
      <c r="DC399" s="1">
        <v>0.0</v>
      </c>
      <c r="DD399" s="1" t="s">
        <v>1968</v>
      </c>
      <c r="DE399" s="1">
        <v>0.0500101647510943</v>
      </c>
      <c r="DF399" s="2" t="s">
        <v>1969</v>
      </c>
    </row>
    <row r="400" ht="15.75" customHeight="1">
      <c r="A400" s="1" t="s">
        <v>1970</v>
      </c>
      <c r="B400" s="1">
        <v>29.0</v>
      </c>
      <c r="C400" s="2" t="s">
        <v>1965</v>
      </c>
      <c r="D400" s="1">
        <v>960200.0</v>
      </c>
      <c r="E400" s="1">
        <v>208.563</v>
      </c>
      <c r="F400" s="1">
        <v>29089.0</v>
      </c>
      <c r="G400" s="1">
        <v>2.90899602E10</v>
      </c>
      <c r="H400" s="1" t="s">
        <v>112</v>
      </c>
      <c r="I400" s="1" t="s">
        <v>113</v>
      </c>
      <c r="J400" s="1" t="s">
        <v>1966</v>
      </c>
      <c r="K400" s="1" t="s">
        <v>1971</v>
      </c>
      <c r="L400" s="1">
        <v>3476.0</v>
      </c>
      <c r="M400" s="1">
        <v>3330.0</v>
      </c>
      <c r="N400" s="1">
        <v>289.0</v>
      </c>
      <c r="O400" s="1">
        <v>1609.0</v>
      </c>
      <c r="P400" s="1">
        <v>1529.0</v>
      </c>
      <c r="Q400" s="1">
        <v>114.0</v>
      </c>
      <c r="R400" s="1">
        <v>1433.0</v>
      </c>
      <c r="S400" s="1">
        <v>469.0</v>
      </c>
      <c r="T400" s="1">
        <v>201.0</v>
      </c>
      <c r="U400" s="1">
        <v>150.0</v>
      </c>
      <c r="V400" s="1">
        <v>347.0</v>
      </c>
      <c r="W400" s="1">
        <v>20277.0</v>
      </c>
      <c r="X400" s="1">
        <v>1833.0</v>
      </c>
      <c r="Y400" s="1">
        <v>376.0</v>
      </c>
      <c r="Z400" s="1">
        <v>247.0</v>
      </c>
      <c r="AA400" s="1">
        <v>541.0</v>
      </c>
      <c r="AB400" s="1">
        <v>803.0</v>
      </c>
      <c r="AC400" s="1">
        <v>116.0</v>
      </c>
      <c r="AD400" s="1">
        <v>185.0</v>
      </c>
      <c r="AE400" s="1">
        <v>6.0</v>
      </c>
      <c r="AF400" s="1">
        <v>442.0</v>
      </c>
      <c r="AG400" s="1">
        <v>8.0</v>
      </c>
      <c r="AH400" s="1">
        <v>161.0</v>
      </c>
      <c r="AI400" s="1">
        <v>317.0</v>
      </c>
      <c r="AJ400" s="1">
        <v>87.0</v>
      </c>
      <c r="AK400" s="1">
        <v>17.0</v>
      </c>
      <c r="AL400" s="1">
        <v>115.0</v>
      </c>
      <c r="AM400" s="1">
        <v>107.0</v>
      </c>
      <c r="AN400" s="1">
        <v>48.0</v>
      </c>
      <c r="AO400" s="1">
        <v>0.0</v>
      </c>
      <c r="AP400" s="1">
        <v>0.140967</v>
      </c>
      <c r="AQ400" s="1">
        <v>0.05916</v>
      </c>
      <c r="AR400" s="1">
        <v>0.090854</v>
      </c>
      <c r="AS400" s="1">
        <v>0.209981</v>
      </c>
      <c r="AT400" s="1">
        <v>20277.0</v>
      </c>
      <c r="AU400" s="1">
        <v>1833.0</v>
      </c>
      <c r="AV400" s="1">
        <v>0.162419</v>
      </c>
      <c r="AW400" s="1">
        <v>0.105468</v>
      </c>
      <c r="AX400" s="1">
        <v>0.155638</v>
      </c>
      <c r="AY400" s="1">
        <v>0.231012</v>
      </c>
      <c r="AZ400" s="1">
        <v>0.08094905</v>
      </c>
      <c r="BA400" s="1">
        <v>0.053222</v>
      </c>
      <c r="BB400" s="1">
        <v>0.001912</v>
      </c>
      <c r="BC400" s="1">
        <v>0.140853</v>
      </c>
      <c r="BD400" s="1">
        <v>0.005232</v>
      </c>
      <c r="BE400" s="1">
        <v>0.105296</v>
      </c>
      <c r="BF400" s="1">
        <v>0.207325</v>
      </c>
      <c r="BG400" s="1">
        <v>0.054759</v>
      </c>
      <c r="BH400" s="1">
        <v>0.012977</v>
      </c>
      <c r="BI400" s="1">
        <v>0.087778</v>
      </c>
      <c r="BJ400" s="1">
        <v>0.081679</v>
      </c>
      <c r="BK400" s="1">
        <v>0.035856</v>
      </c>
      <c r="BL400" s="1">
        <v>0.0</v>
      </c>
      <c r="BM400" s="1">
        <v>0.548</v>
      </c>
      <c r="BN400" s="1">
        <v>0.685</v>
      </c>
      <c r="BO400" s="1">
        <v>0.5949</v>
      </c>
      <c r="BP400" s="1">
        <v>0.623</v>
      </c>
      <c r="BQ400" s="1">
        <v>2.4509</v>
      </c>
      <c r="BR400" s="1">
        <v>0.6484</v>
      </c>
      <c r="BS400" s="1">
        <v>0.627</v>
      </c>
      <c r="BT400" s="1">
        <v>0.397</v>
      </c>
      <c r="BU400" s="1">
        <v>0.314</v>
      </c>
      <c r="BV400" s="1">
        <v>1.338</v>
      </c>
      <c r="BW400" s="1">
        <v>0.335</v>
      </c>
      <c r="BX400" s="1">
        <v>0.273</v>
      </c>
      <c r="BY400" s="1">
        <v>0.376</v>
      </c>
      <c r="BZ400" s="1">
        <v>0.649</v>
      </c>
      <c r="CA400" s="1">
        <v>0.302</v>
      </c>
      <c r="CB400" s="1">
        <v>0.322</v>
      </c>
      <c r="CC400" s="1">
        <v>0.907</v>
      </c>
      <c r="CD400" s="1">
        <v>0.549</v>
      </c>
      <c r="CE400" s="1">
        <v>0.684</v>
      </c>
      <c r="CF400" s="1">
        <v>0.0</v>
      </c>
      <c r="CG400" s="1">
        <v>2.462</v>
      </c>
      <c r="CH400" s="1">
        <v>0.546</v>
      </c>
      <c r="CI400" s="1">
        <v>6.8999</v>
      </c>
      <c r="CJ400" s="1">
        <v>0.53</v>
      </c>
      <c r="CK400" s="1">
        <v>0.0</v>
      </c>
      <c r="CL400" s="1">
        <v>0.0</v>
      </c>
      <c r="CM400" s="1">
        <v>0.0</v>
      </c>
      <c r="CN400" s="1">
        <v>0.0</v>
      </c>
      <c r="CO400" s="1">
        <v>0.0</v>
      </c>
      <c r="CP400" s="1">
        <v>0.0</v>
      </c>
      <c r="CQ400" s="1">
        <v>0.0</v>
      </c>
      <c r="CR400" s="1">
        <v>0.0</v>
      </c>
      <c r="CS400" s="1">
        <v>0.0</v>
      </c>
      <c r="CT400" s="1">
        <v>0.0</v>
      </c>
      <c r="CU400" s="1">
        <v>0.0</v>
      </c>
      <c r="CV400" s="1">
        <v>0.0</v>
      </c>
      <c r="CW400" s="1">
        <v>0.0</v>
      </c>
      <c r="CX400" s="1">
        <v>1.0</v>
      </c>
      <c r="CY400" s="1">
        <v>0.0</v>
      </c>
      <c r="CZ400" s="1">
        <v>0.0</v>
      </c>
      <c r="DA400" s="1">
        <v>0.0</v>
      </c>
      <c r="DB400" s="1">
        <v>1.0</v>
      </c>
      <c r="DC400" s="1">
        <v>1.0</v>
      </c>
      <c r="DD400" s="1" t="s">
        <v>1972</v>
      </c>
      <c r="DE400" s="1">
        <v>0.0575892335880673</v>
      </c>
      <c r="DF400" s="2" t="s">
        <v>1973</v>
      </c>
    </row>
    <row r="401" ht="15.75" customHeight="1">
      <c r="A401" s="1" t="s">
        <v>1974</v>
      </c>
      <c r="B401" s="1">
        <v>29.0</v>
      </c>
      <c r="C401" s="2" t="s">
        <v>1965</v>
      </c>
      <c r="D401" s="1">
        <v>960300.0</v>
      </c>
      <c r="E401" s="1">
        <v>71.749</v>
      </c>
      <c r="F401" s="1">
        <v>29089.0</v>
      </c>
      <c r="G401" s="1">
        <v>2.90899603E10</v>
      </c>
      <c r="H401" s="1" t="s">
        <v>112</v>
      </c>
      <c r="I401" s="1" t="s">
        <v>113</v>
      </c>
      <c r="J401" s="1" t="s">
        <v>1966</v>
      </c>
      <c r="K401" s="1" t="s">
        <v>1975</v>
      </c>
      <c r="L401" s="1">
        <v>3718.0</v>
      </c>
      <c r="M401" s="1">
        <v>3679.0</v>
      </c>
      <c r="N401" s="1">
        <v>160.0</v>
      </c>
      <c r="O401" s="1">
        <v>1557.0</v>
      </c>
      <c r="P401" s="1">
        <v>1688.0</v>
      </c>
      <c r="Q401" s="1">
        <v>138.0</v>
      </c>
      <c r="R401" s="1">
        <v>1364.0</v>
      </c>
      <c r="S401" s="1">
        <v>478.0</v>
      </c>
      <c r="T401" s="1">
        <v>177.0</v>
      </c>
      <c r="U401" s="1">
        <v>108.0</v>
      </c>
      <c r="V401" s="1">
        <v>326.0</v>
      </c>
      <c r="W401" s="1">
        <v>18700.0</v>
      </c>
      <c r="X401" s="1">
        <v>1782.0</v>
      </c>
      <c r="Y401" s="1">
        <v>260.0</v>
      </c>
      <c r="Z401" s="1">
        <v>267.0</v>
      </c>
      <c r="AA401" s="1">
        <v>597.0</v>
      </c>
      <c r="AB401" s="1">
        <v>659.0</v>
      </c>
      <c r="AC401" s="1">
        <v>142.0</v>
      </c>
      <c r="AD401" s="1">
        <v>523.0</v>
      </c>
      <c r="AE401" s="1">
        <v>9.0</v>
      </c>
      <c r="AF401" s="1">
        <v>427.0</v>
      </c>
      <c r="AG401" s="1">
        <v>0.0</v>
      </c>
      <c r="AH401" s="1">
        <v>197.0</v>
      </c>
      <c r="AI401" s="1">
        <v>178.0</v>
      </c>
      <c r="AJ401" s="1">
        <v>61.0</v>
      </c>
      <c r="AK401" s="1">
        <v>0.0</v>
      </c>
      <c r="AL401" s="1">
        <v>161.0</v>
      </c>
      <c r="AM401" s="1">
        <v>154.0</v>
      </c>
      <c r="AN401" s="1">
        <v>67.0</v>
      </c>
      <c r="AO401" s="1">
        <v>628.0</v>
      </c>
      <c r="AP401" s="1">
        <v>0.160295</v>
      </c>
      <c r="AQ401" s="1">
        <v>0.057257</v>
      </c>
      <c r="AR401" s="1">
        <v>0.062427</v>
      </c>
      <c r="AS401" s="1">
        <v>0.188253</v>
      </c>
      <c r="AT401" s="1">
        <v>18700.0</v>
      </c>
      <c r="AU401" s="1">
        <v>1782.0</v>
      </c>
      <c r="AV401" s="1">
        <v>0.1247</v>
      </c>
      <c r="AW401" s="1">
        <v>0.127653</v>
      </c>
      <c r="AX401" s="1">
        <v>0.16057</v>
      </c>
      <c r="AY401" s="1">
        <v>0.177245</v>
      </c>
      <c r="AZ401" s="1">
        <v>0.10410557</v>
      </c>
      <c r="BA401" s="1">
        <v>0.140667</v>
      </c>
      <c r="BB401" s="1">
        <v>0.002577</v>
      </c>
      <c r="BC401" s="1">
        <v>0.122279</v>
      </c>
      <c r="BD401" s="1">
        <v>0.0</v>
      </c>
      <c r="BE401" s="1">
        <v>0.116706</v>
      </c>
      <c r="BF401" s="1">
        <v>0.10545</v>
      </c>
      <c r="BG401" s="1">
        <v>0.035094</v>
      </c>
      <c r="BH401" s="1">
        <v>0.0</v>
      </c>
      <c r="BI401" s="1">
        <v>0.114184</v>
      </c>
      <c r="BJ401" s="1">
        <v>0.109219</v>
      </c>
      <c r="BK401" s="1">
        <v>0.046263</v>
      </c>
      <c r="BL401" s="1">
        <v>0.168908</v>
      </c>
      <c r="BM401" s="1">
        <v>0.611</v>
      </c>
      <c r="BN401" s="1">
        <v>0.441</v>
      </c>
      <c r="BO401" s="1">
        <v>0.691</v>
      </c>
      <c r="BP401" s="1">
        <v>0.451</v>
      </c>
      <c r="BQ401" s="1">
        <v>2.194</v>
      </c>
      <c r="BR401" s="1">
        <v>0.5625</v>
      </c>
      <c r="BS401" s="1">
        <v>0.669</v>
      </c>
      <c r="BT401" s="1">
        <v>0.112</v>
      </c>
      <c r="BU401" s="1">
        <v>0.532</v>
      </c>
      <c r="BV401" s="1">
        <v>1.313</v>
      </c>
      <c r="BW401" s="1">
        <v>0.315</v>
      </c>
      <c r="BX401" s="1">
        <v>0.594</v>
      </c>
      <c r="BY401" s="1">
        <v>0.419</v>
      </c>
      <c r="BZ401" s="1">
        <v>1.013</v>
      </c>
      <c r="CA401" s="1">
        <v>0.566</v>
      </c>
      <c r="CB401" s="1">
        <v>0.0</v>
      </c>
      <c r="CC401" s="1">
        <v>0.726</v>
      </c>
      <c r="CD401" s="1">
        <v>0.0</v>
      </c>
      <c r="CE401" s="1">
        <v>0.776</v>
      </c>
      <c r="CF401" s="1">
        <v>0.96</v>
      </c>
      <c r="CG401" s="1">
        <v>2.462</v>
      </c>
      <c r="CH401" s="1">
        <v>0.545</v>
      </c>
      <c r="CI401" s="1">
        <v>6.982</v>
      </c>
      <c r="CJ401" s="1">
        <v>0.5437</v>
      </c>
      <c r="CK401" s="1">
        <v>0.0</v>
      </c>
      <c r="CL401" s="1">
        <v>0.0</v>
      </c>
      <c r="CM401" s="1">
        <v>0.0</v>
      </c>
      <c r="CN401" s="1">
        <v>0.0</v>
      </c>
      <c r="CO401" s="1">
        <v>0.0</v>
      </c>
      <c r="CP401" s="1">
        <v>0.0</v>
      </c>
      <c r="CQ401" s="1">
        <v>0.0</v>
      </c>
      <c r="CR401" s="1">
        <v>0.0</v>
      </c>
      <c r="CS401" s="1">
        <v>0.0</v>
      </c>
      <c r="CT401" s="1">
        <v>0.0</v>
      </c>
      <c r="CU401" s="1">
        <v>0.0</v>
      </c>
      <c r="CV401" s="1">
        <v>0.0</v>
      </c>
      <c r="CW401" s="1">
        <v>0.0</v>
      </c>
      <c r="CX401" s="1">
        <v>0.0</v>
      </c>
      <c r="CY401" s="1">
        <v>0.0</v>
      </c>
      <c r="CZ401" s="1">
        <v>0.0</v>
      </c>
      <c r="DA401" s="1">
        <v>1.0</v>
      </c>
      <c r="DB401" s="1">
        <v>1.0</v>
      </c>
      <c r="DC401" s="1">
        <v>1.0</v>
      </c>
      <c r="DD401" s="1" t="s">
        <v>1976</v>
      </c>
      <c r="DE401" s="2" t="s">
        <v>1977</v>
      </c>
      <c r="DF401" s="2" t="s">
        <v>1978</v>
      </c>
    </row>
    <row r="402" ht="15.75" customHeight="1">
      <c r="A402" s="1" t="s">
        <v>1979</v>
      </c>
      <c r="B402" s="1">
        <v>29.0</v>
      </c>
      <c r="C402" s="2" t="s">
        <v>1980</v>
      </c>
      <c r="D402" s="2" t="s">
        <v>1981</v>
      </c>
      <c r="E402" s="1">
        <v>135.414</v>
      </c>
      <c r="F402" s="1">
        <v>29091.0</v>
      </c>
      <c r="G402" s="1">
        <v>2.90910901E10</v>
      </c>
      <c r="H402" s="1" t="s">
        <v>112</v>
      </c>
      <c r="I402" s="1" t="s">
        <v>113</v>
      </c>
      <c r="J402" s="1" t="s">
        <v>1982</v>
      </c>
      <c r="K402" s="1" t="s">
        <v>1983</v>
      </c>
      <c r="L402" s="1">
        <v>5377.0</v>
      </c>
      <c r="M402" s="1">
        <v>5495.0</v>
      </c>
      <c r="N402" s="1">
        <v>537.0</v>
      </c>
      <c r="O402" s="1">
        <v>2437.0</v>
      </c>
      <c r="P402" s="1">
        <v>2391.0</v>
      </c>
      <c r="Q402" s="1">
        <v>129.0</v>
      </c>
      <c r="R402" s="1">
        <v>2120.0</v>
      </c>
      <c r="S402" s="1">
        <v>1312.0</v>
      </c>
      <c r="T402" s="1">
        <v>479.0</v>
      </c>
      <c r="U402" s="1">
        <v>128.0</v>
      </c>
      <c r="V402" s="1">
        <v>418.0</v>
      </c>
      <c r="W402" s="1">
        <v>14765.0</v>
      </c>
      <c r="X402" s="1">
        <v>1476.0</v>
      </c>
      <c r="Y402" s="1">
        <v>796.0</v>
      </c>
      <c r="Z402" s="1">
        <v>274.0</v>
      </c>
      <c r="AA402" s="1">
        <v>978.0</v>
      </c>
      <c r="AB402" s="1">
        <v>1421.0</v>
      </c>
      <c r="AC402" s="1">
        <v>231.0</v>
      </c>
      <c r="AD402" s="1">
        <v>241.0</v>
      </c>
      <c r="AE402" s="1">
        <v>128.0</v>
      </c>
      <c r="AF402" s="1">
        <v>403.0</v>
      </c>
      <c r="AG402" s="1">
        <v>50.0</v>
      </c>
      <c r="AH402" s="1">
        <v>168.0</v>
      </c>
      <c r="AI402" s="1">
        <v>523.0</v>
      </c>
      <c r="AJ402" s="1">
        <v>146.0</v>
      </c>
      <c r="AK402" s="1">
        <v>45.0</v>
      </c>
      <c r="AL402" s="1">
        <v>120.0</v>
      </c>
      <c r="AM402" s="1">
        <v>137.0</v>
      </c>
      <c r="AN402" s="1">
        <v>60.0</v>
      </c>
      <c r="AO402" s="1">
        <v>0.0</v>
      </c>
      <c r="AP402" s="1">
        <v>0.242111</v>
      </c>
      <c r="AQ402" s="1">
        <v>0.085086</v>
      </c>
      <c r="AR402" s="1">
        <v>0.074116</v>
      </c>
      <c r="AS402" s="1">
        <v>0.241796</v>
      </c>
      <c r="AT402" s="1">
        <v>14765.0</v>
      </c>
      <c r="AU402" s="1">
        <v>1476.0</v>
      </c>
      <c r="AV402" s="1">
        <v>0.226458</v>
      </c>
      <c r="AW402" s="1">
        <v>0.075211</v>
      </c>
      <c r="AX402" s="1">
        <v>0.181885</v>
      </c>
      <c r="AY402" s="1">
        <v>0.264273</v>
      </c>
      <c r="AZ402" s="1">
        <v>0.10896226</v>
      </c>
      <c r="BA402" s="1">
        <v>0.04482</v>
      </c>
      <c r="BB402" s="1">
        <v>0.025796</v>
      </c>
      <c r="BC402" s="1">
        <v>0.081178</v>
      </c>
      <c r="BD402" s="1">
        <v>0.020911</v>
      </c>
      <c r="BE402" s="1">
        <v>0.070254</v>
      </c>
      <c r="BF402" s="1">
        <v>0.218736</v>
      </c>
      <c r="BG402" s="1">
        <v>0.059911</v>
      </c>
      <c r="BH402" s="1">
        <v>0.022277</v>
      </c>
      <c r="BI402" s="1">
        <v>0.059379</v>
      </c>
      <c r="BJ402" s="1">
        <v>0.067821</v>
      </c>
      <c r="BK402" s="1">
        <v>0.029213</v>
      </c>
      <c r="BL402" s="1">
        <v>0.0</v>
      </c>
      <c r="BM402" s="1">
        <v>0.815</v>
      </c>
      <c r="BN402" s="1">
        <v>0.548</v>
      </c>
      <c r="BO402" s="1">
        <v>0.8852</v>
      </c>
      <c r="BP402" s="1">
        <v>0.817</v>
      </c>
      <c r="BQ402" s="1">
        <v>3.0652</v>
      </c>
      <c r="BR402" s="1">
        <v>0.8166</v>
      </c>
      <c r="BS402" s="1">
        <v>0.804</v>
      </c>
      <c r="BT402" s="1">
        <v>0.742</v>
      </c>
      <c r="BU402" s="1">
        <v>0.576</v>
      </c>
      <c r="BV402" s="1">
        <v>2.122</v>
      </c>
      <c r="BW402" s="1">
        <v>0.93</v>
      </c>
      <c r="BX402" s="1">
        <v>0.211</v>
      </c>
      <c r="BY402" s="1">
        <v>0.896</v>
      </c>
      <c r="BZ402" s="1">
        <v>1.107</v>
      </c>
      <c r="CA402" s="1">
        <v>0.619</v>
      </c>
      <c r="CB402" s="1">
        <v>0.473</v>
      </c>
      <c r="CC402" s="1">
        <v>0.92</v>
      </c>
      <c r="CD402" s="1">
        <v>0.714</v>
      </c>
      <c r="CE402" s="1">
        <v>0.612</v>
      </c>
      <c r="CF402" s="1">
        <v>0.0</v>
      </c>
      <c r="CG402" s="1">
        <v>2.719</v>
      </c>
      <c r="CH402" s="1">
        <v>0.653</v>
      </c>
      <c r="CI402" s="1">
        <v>9.0132</v>
      </c>
      <c r="CJ402" s="1">
        <v>0.8542</v>
      </c>
      <c r="CK402" s="1">
        <v>0.0</v>
      </c>
      <c r="CL402" s="1">
        <v>0.0</v>
      </c>
      <c r="CM402" s="1">
        <v>0.0</v>
      </c>
      <c r="CN402" s="1">
        <v>0.0</v>
      </c>
      <c r="CO402" s="1">
        <v>0.0</v>
      </c>
      <c r="CP402" s="1">
        <v>0.0</v>
      </c>
      <c r="CQ402" s="1">
        <v>0.0</v>
      </c>
      <c r="CR402" s="1">
        <v>0.0</v>
      </c>
      <c r="CS402" s="1">
        <v>0.0</v>
      </c>
      <c r="CT402" s="1">
        <v>0.0</v>
      </c>
      <c r="CU402" s="1">
        <v>0.0</v>
      </c>
      <c r="CV402" s="1">
        <v>0.0</v>
      </c>
      <c r="CW402" s="1">
        <v>0.0</v>
      </c>
      <c r="CX402" s="1">
        <v>1.0</v>
      </c>
      <c r="CY402" s="1">
        <v>0.0</v>
      </c>
      <c r="CZ402" s="1">
        <v>0.0</v>
      </c>
      <c r="DA402" s="1">
        <v>0.0</v>
      </c>
      <c r="DB402" s="1">
        <v>1.0</v>
      </c>
      <c r="DC402" s="1">
        <v>1.0</v>
      </c>
      <c r="DD402" s="1" t="s">
        <v>1984</v>
      </c>
      <c r="DE402" s="1">
        <v>0.0355686116009412</v>
      </c>
      <c r="DF402" s="2" t="s">
        <v>1985</v>
      </c>
    </row>
    <row r="403" ht="15.75" customHeight="1">
      <c r="A403" s="1" t="s">
        <v>1986</v>
      </c>
      <c r="B403" s="1">
        <v>29.0</v>
      </c>
      <c r="C403" s="2" t="s">
        <v>1980</v>
      </c>
      <c r="D403" s="2" t="s">
        <v>1987</v>
      </c>
      <c r="E403" s="1">
        <v>67.39</v>
      </c>
      <c r="F403" s="1">
        <v>29091.0</v>
      </c>
      <c r="G403" s="1">
        <v>2.90910905E10</v>
      </c>
      <c r="H403" s="1" t="s">
        <v>112</v>
      </c>
      <c r="I403" s="1" t="s">
        <v>113</v>
      </c>
      <c r="J403" s="1" t="s">
        <v>1982</v>
      </c>
      <c r="K403" s="1" t="s">
        <v>1988</v>
      </c>
      <c r="L403" s="1">
        <v>4762.0</v>
      </c>
      <c r="M403" s="1">
        <v>4722.0</v>
      </c>
      <c r="N403" s="1">
        <v>336.0</v>
      </c>
      <c r="O403" s="1">
        <v>2030.0</v>
      </c>
      <c r="P403" s="1">
        <v>2098.0</v>
      </c>
      <c r="Q403" s="1">
        <v>107.0</v>
      </c>
      <c r="R403" s="1">
        <v>1864.0</v>
      </c>
      <c r="S403" s="1">
        <v>485.0</v>
      </c>
      <c r="T403" s="1">
        <v>226.0</v>
      </c>
      <c r="U403" s="1">
        <v>133.0</v>
      </c>
      <c r="V403" s="1">
        <v>422.0</v>
      </c>
      <c r="W403" s="1">
        <v>21430.0</v>
      </c>
      <c r="X403" s="1">
        <v>2342.0</v>
      </c>
      <c r="Y403" s="1">
        <v>498.0</v>
      </c>
      <c r="Z403" s="1">
        <v>233.0</v>
      </c>
      <c r="AA403" s="1">
        <v>750.0</v>
      </c>
      <c r="AB403" s="1">
        <v>1174.0</v>
      </c>
      <c r="AC403" s="1">
        <v>184.0</v>
      </c>
      <c r="AD403" s="1">
        <v>174.0</v>
      </c>
      <c r="AE403" s="1">
        <v>12.0</v>
      </c>
      <c r="AF403" s="1">
        <v>442.0</v>
      </c>
      <c r="AG403" s="1">
        <v>0.0</v>
      </c>
      <c r="AH403" s="1">
        <v>197.0</v>
      </c>
      <c r="AI403" s="1">
        <v>458.0</v>
      </c>
      <c r="AJ403" s="1">
        <v>119.0</v>
      </c>
      <c r="AK403" s="1">
        <v>43.0</v>
      </c>
      <c r="AL403" s="1">
        <v>32.0</v>
      </c>
      <c r="AM403" s="1">
        <v>68.0</v>
      </c>
      <c r="AN403" s="1">
        <v>67.0</v>
      </c>
      <c r="AO403" s="1">
        <v>36.0</v>
      </c>
      <c r="AP403" s="1">
        <v>0.10271</v>
      </c>
      <c r="AQ403" s="1">
        <v>0.047299</v>
      </c>
      <c r="AR403" s="1">
        <v>0.059375</v>
      </c>
      <c r="AS403" s="1">
        <v>0.188281</v>
      </c>
      <c r="AT403" s="1">
        <v>21430.0</v>
      </c>
      <c r="AU403" s="1">
        <v>2342.0</v>
      </c>
      <c r="AV403" s="1">
        <v>0.153608</v>
      </c>
      <c r="AW403" s="1">
        <v>0.070979</v>
      </c>
      <c r="AX403" s="1">
        <v>0.157496</v>
      </c>
      <c r="AY403" s="1">
        <v>0.246535</v>
      </c>
      <c r="AZ403" s="1">
        <v>0.09871244</v>
      </c>
      <c r="BA403" s="1">
        <v>0.036539</v>
      </c>
      <c r="BB403" s="1">
        <v>0.002728</v>
      </c>
      <c r="BC403" s="1">
        <v>0.1005</v>
      </c>
      <c r="BD403" s="1">
        <v>0.0</v>
      </c>
      <c r="BE403" s="1">
        <v>0.093898</v>
      </c>
      <c r="BF403" s="1">
        <v>0.218303</v>
      </c>
      <c r="BG403" s="1">
        <v>0.055617</v>
      </c>
      <c r="BH403" s="1">
        <v>0.023243</v>
      </c>
      <c r="BI403" s="1">
        <v>0.017224</v>
      </c>
      <c r="BJ403" s="1">
        <v>0.036756</v>
      </c>
      <c r="BK403" s="1">
        <v>0.036129</v>
      </c>
      <c r="BL403" s="1">
        <v>0.007559</v>
      </c>
      <c r="BM403" s="1">
        <v>0.381</v>
      </c>
      <c r="BN403" s="1">
        <v>0.409</v>
      </c>
      <c r="BO403" s="1">
        <v>0.5256</v>
      </c>
      <c r="BP403" s="1">
        <v>0.581</v>
      </c>
      <c r="BQ403" s="1">
        <v>1.8966</v>
      </c>
      <c r="BR403" s="1">
        <v>0.4635</v>
      </c>
      <c r="BS403" s="1">
        <v>0.646</v>
      </c>
      <c r="BT403" s="1">
        <v>0.561</v>
      </c>
      <c r="BU403" s="1">
        <v>0.48</v>
      </c>
      <c r="BV403" s="1">
        <v>1.687</v>
      </c>
      <c r="BW403" s="1">
        <v>0.631</v>
      </c>
      <c r="BX403" s="1">
        <v>0.131</v>
      </c>
      <c r="BY403" s="1">
        <v>0.43</v>
      </c>
      <c r="BZ403" s="1">
        <v>0.561</v>
      </c>
      <c r="CA403" s="1">
        <v>0.246</v>
      </c>
      <c r="CB403" s="1">
        <v>0.0</v>
      </c>
      <c r="CC403" s="1">
        <v>0.918</v>
      </c>
      <c r="CD403" s="1">
        <v>0.731</v>
      </c>
      <c r="CE403" s="1">
        <v>0.355</v>
      </c>
      <c r="CF403" s="1">
        <v>0.546</v>
      </c>
      <c r="CG403" s="1">
        <v>2.55</v>
      </c>
      <c r="CH403" s="1">
        <v>0.582</v>
      </c>
      <c r="CI403" s="1">
        <v>6.6946</v>
      </c>
      <c r="CJ403" s="1">
        <v>0.4895</v>
      </c>
      <c r="CK403" s="1">
        <v>0.0</v>
      </c>
      <c r="CL403" s="1">
        <v>0.0</v>
      </c>
      <c r="CM403" s="1">
        <v>0.0</v>
      </c>
      <c r="CN403" s="1">
        <v>0.0</v>
      </c>
      <c r="CO403" s="1">
        <v>0.0</v>
      </c>
      <c r="CP403" s="1">
        <v>0.0</v>
      </c>
      <c r="CQ403" s="1">
        <v>0.0</v>
      </c>
      <c r="CR403" s="1">
        <v>0.0</v>
      </c>
      <c r="CS403" s="1">
        <v>0.0</v>
      </c>
      <c r="CT403" s="1">
        <v>0.0</v>
      </c>
      <c r="CU403" s="1">
        <v>0.0</v>
      </c>
      <c r="CV403" s="1">
        <v>0.0</v>
      </c>
      <c r="CW403" s="1">
        <v>0.0</v>
      </c>
      <c r="CX403" s="1">
        <v>1.0</v>
      </c>
      <c r="CY403" s="1">
        <v>0.0</v>
      </c>
      <c r="CZ403" s="1">
        <v>0.0</v>
      </c>
      <c r="DA403" s="1">
        <v>0.0</v>
      </c>
      <c r="DB403" s="1">
        <v>1.0</v>
      </c>
      <c r="DC403" s="1">
        <v>1.0</v>
      </c>
      <c r="DD403" s="1" t="s">
        <v>1989</v>
      </c>
      <c r="DE403" s="2" t="s">
        <v>1990</v>
      </c>
      <c r="DF403" s="1">
        <v>0.904096720487777</v>
      </c>
    </row>
    <row r="404" ht="15.75" customHeight="1">
      <c r="A404" s="1" t="s">
        <v>1991</v>
      </c>
      <c r="B404" s="1">
        <v>29.0</v>
      </c>
      <c r="C404" s="2" t="s">
        <v>1980</v>
      </c>
      <c r="D404" s="2" t="s">
        <v>1992</v>
      </c>
      <c r="E404" s="1">
        <v>231.752</v>
      </c>
      <c r="F404" s="1">
        <v>29091.0</v>
      </c>
      <c r="G404" s="1">
        <v>2.90910906E10</v>
      </c>
      <c r="H404" s="1" t="s">
        <v>112</v>
      </c>
      <c r="I404" s="1" t="s">
        <v>113</v>
      </c>
      <c r="J404" s="1" t="s">
        <v>1982</v>
      </c>
      <c r="K404" s="1" t="s">
        <v>1993</v>
      </c>
      <c r="L404" s="1">
        <v>5182.0</v>
      </c>
      <c r="M404" s="1">
        <v>5294.0</v>
      </c>
      <c r="N404" s="1">
        <v>377.0</v>
      </c>
      <c r="O404" s="1">
        <v>2218.0</v>
      </c>
      <c r="P404" s="1">
        <v>2195.0</v>
      </c>
      <c r="Q404" s="1">
        <v>83.0</v>
      </c>
      <c r="R404" s="1">
        <v>1987.0</v>
      </c>
      <c r="S404" s="1">
        <v>927.0</v>
      </c>
      <c r="T404" s="1">
        <v>353.0</v>
      </c>
      <c r="U404" s="1">
        <v>134.0</v>
      </c>
      <c r="V404" s="1">
        <v>306.0</v>
      </c>
      <c r="W404" s="1">
        <v>18199.0</v>
      </c>
      <c r="X404" s="1">
        <v>1717.0</v>
      </c>
      <c r="Y404" s="1">
        <v>425.0</v>
      </c>
      <c r="Z404" s="1">
        <v>192.0</v>
      </c>
      <c r="AA404" s="1">
        <v>692.0</v>
      </c>
      <c r="AB404" s="1">
        <v>1316.0</v>
      </c>
      <c r="AC404" s="1">
        <v>186.0</v>
      </c>
      <c r="AD404" s="1">
        <v>226.0</v>
      </c>
      <c r="AE404" s="1">
        <v>12.0</v>
      </c>
      <c r="AF404" s="1">
        <v>442.0</v>
      </c>
      <c r="AG404" s="1">
        <v>8.0</v>
      </c>
      <c r="AH404" s="1">
        <v>162.0</v>
      </c>
      <c r="AI404" s="1">
        <v>566.0</v>
      </c>
      <c r="AJ404" s="1">
        <v>121.0</v>
      </c>
      <c r="AK404" s="1">
        <v>44.0</v>
      </c>
      <c r="AL404" s="1">
        <v>118.0</v>
      </c>
      <c r="AM404" s="1">
        <v>52.0</v>
      </c>
      <c r="AN404" s="1">
        <v>26.0</v>
      </c>
      <c r="AO404" s="1">
        <v>0.0</v>
      </c>
      <c r="AP404" s="1">
        <v>0.175103</v>
      </c>
      <c r="AQ404" s="1">
        <v>0.065502</v>
      </c>
      <c r="AR404" s="1">
        <v>0.053535</v>
      </c>
      <c r="AS404" s="1">
        <v>0.122156</v>
      </c>
      <c r="AT404" s="1">
        <v>18199.0</v>
      </c>
      <c r="AU404" s="1">
        <v>1717.0</v>
      </c>
      <c r="AV404" s="1">
        <v>0.113605</v>
      </c>
      <c r="AW404" s="1">
        <v>0.050678</v>
      </c>
      <c r="AX404" s="1">
        <v>0.133539</v>
      </c>
      <c r="AY404" s="1">
        <v>0.253956</v>
      </c>
      <c r="AZ404" s="1">
        <v>0.09360845</v>
      </c>
      <c r="BA404" s="1">
        <v>0.043612</v>
      </c>
      <c r="BB404" s="1">
        <v>0.002347</v>
      </c>
      <c r="BC404" s="1">
        <v>0.086463</v>
      </c>
      <c r="BD404" s="1">
        <v>0.003644</v>
      </c>
      <c r="BE404" s="1">
        <v>0.073803</v>
      </c>
      <c r="BF404" s="1">
        <v>0.257858</v>
      </c>
      <c r="BG404" s="1">
        <v>0.054256</v>
      </c>
      <c r="BH404" s="1">
        <v>0.022312</v>
      </c>
      <c r="BI404" s="1">
        <v>0.059826</v>
      </c>
      <c r="BJ404" s="1">
        <v>0.026369</v>
      </c>
      <c r="BK404" s="1">
        <v>0.013111</v>
      </c>
      <c r="BL404" s="1">
        <v>0.0</v>
      </c>
      <c r="BM404" s="1">
        <v>0.665</v>
      </c>
      <c r="BN404" s="1">
        <v>0.333</v>
      </c>
      <c r="BO404" s="1">
        <v>0.7206</v>
      </c>
      <c r="BP404" s="1">
        <v>0.397</v>
      </c>
      <c r="BQ404" s="1">
        <v>2.1156</v>
      </c>
      <c r="BR404" s="1">
        <v>0.5329</v>
      </c>
      <c r="BS404" s="1">
        <v>0.447</v>
      </c>
      <c r="BT404" s="1">
        <v>0.646</v>
      </c>
      <c r="BU404" s="1">
        <v>0.437</v>
      </c>
      <c r="BV404" s="1">
        <v>1.53</v>
      </c>
      <c r="BW404" s="1">
        <v>0.506</v>
      </c>
      <c r="BX404" s="1">
        <v>0.202</v>
      </c>
      <c r="BY404" s="1">
        <v>0.403</v>
      </c>
      <c r="BZ404" s="1">
        <v>0.605</v>
      </c>
      <c r="CA404" s="1">
        <v>0.272</v>
      </c>
      <c r="CB404" s="1">
        <v>0.297</v>
      </c>
      <c r="CC404" s="1">
        <v>0.961</v>
      </c>
      <c r="CD404" s="1">
        <v>0.715</v>
      </c>
      <c r="CE404" s="1">
        <v>0.253</v>
      </c>
      <c r="CF404" s="1">
        <v>0.0</v>
      </c>
      <c r="CG404" s="1">
        <v>2.226</v>
      </c>
      <c r="CH404" s="1">
        <v>0.429</v>
      </c>
      <c r="CI404" s="1">
        <v>6.4766</v>
      </c>
      <c r="CJ404" s="1">
        <v>0.4549</v>
      </c>
      <c r="CK404" s="1">
        <v>0.0</v>
      </c>
      <c r="CL404" s="1">
        <v>0.0</v>
      </c>
      <c r="CM404" s="1">
        <v>0.0</v>
      </c>
      <c r="CN404" s="1">
        <v>0.0</v>
      </c>
      <c r="CO404" s="1">
        <v>0.0</v>
      </c>
      <c r="CP404" s="1">
        <v>0.0</v>
      </c>
      <c r="CQ404" s="1">
        <v>0.0</v>
      </c>
      <c r="CR404" s="1">
        <v>0.0</v>
      </c>
      <c r="CS404" s="1">
        <v>0.0</v>
      </c>
      <c r="CT404" s="1">
        <v>0.0</v>
      </c>
      <c r="CU404" s="1">
        <v>0.0</v>
      </c>
      <c r="CV404" s="1">
        <v>0.0</v>
      </c>
      <c r="CW404" s="1">
        <v>0.0</v>
      </c>
      <c r="CX404" s="1">
        <v>1.0</v>
      </c>
      <c r="CY404" s="1">
        <v>0.0</v>
      </c>
      <c r="CZ404" s="1">
        <v>0.0</v>
      </c>
      <c r="DA404" s="1">
        <v>0.0</v>
      </c>
      <c r="DB404" s="1">
        <v>1.0</v>
      </c>
      <c r="DC404" s="1">
        <v>1.0</v>
      </c>
      <c r="DD404" s="1" t="s">
        <v>1994</v>
      </c>
      <c r="DE404" s="1">
        <v>0.0605661569895952</v>
      </c>
      <c r="DF404" s="2" t="s">
        <v>1995</v>
      </c>
    </row>
    <row r="405" ht="15.75" customHeight="1">
      <c r="A405" s="1" t="s">
        <v>1996</v>
      </c>
      <c r="B405" s="1">
        <v>29.0</v>
      </c>
      <c r="C405" s="2" t="s">
        <v>1980</v>
      </c>
      <c r="D405" s="2" t="s">
        <v>1997</v>
      </c>
      <c r="E405" s="1">
        <v>7.113</v>
      </c>
      <c r="F405" s="1">
        <v>29091.0</v>
      </c>
      <c r="G405" s="1">
        <v>2.90910907E10</v>
      </c>
      <c r="H405" s="1" t="s">
        <v>112</v>
      </c>
      <c r="I405" s="1" t="s">
        <v>113</v>
      </c>
      <c r="J405" s="1" t="s">
        <v>1982</v>
      </c>
      <c r="K405" s="1" t="s">
        <v>1998</v>
      </c>
      <c r="L405" s="1">
        <v>5008.0</v>
      </c>
      <c r="M405" s="1">
        <v>5630.0</v>
      </c>
      <c r="N405" s="1">
        <v>549.0</v>
      </c>
      <c r="O405" s="1">
        <v>2468.0</v>
      </c>
      <c r="P405" s="1">
        <v>2526.0</v>
      </c>
      <c r="Q405" s="1">
        <v>167.0</v>
      </c>
      <c r="R405" s="1">
        <v>2223.0</v>
      </c>
      <c r="S405" s="1">
        <v>2103.0</v>
      </c>
      <c r="T405" s="1">
        <v>597.0</v>
      </c>
      <c r="U405" s="1">
        <v>151.0</v>
      </c>
      <c r="V405" s="1">
        <v>386.0</v>
      </c>
      <c r="W405" s="1">
        <v>14264.0</v>
      </c>
      <c r="X405" s="1">
        <v>1600.0</v>
      </c>
      <c r="Y405" s="1">
        <v>651.0</v>
      </c>
      <c r="Z405" s="1">
        <v>286.0</v>
      </c>
      <c r="AA405" s="1">
        <v>733.0</v>
      </c>
      <c r="AB405" s="1">
        <v>1259.0</v>
      </c>
      <c r="AC405" s="1">
        <v>333.0</v>
      </c>
      <c r="AD405" s="1">
        <v>321.0</v>
      </c>
      <c r="AE405" s="1">
        <v>0.0</v>
      </c>
      <c r="AF405" s="1">
        <v>456.0</v>
      </c>
      <c r="AG405" s="1">
        <v>208.0</v>
      </c>
      <c r="AH405" s="1">
        <v>145.0</v>
      </c>
      <c r="AI405" s="1">
        <v>51.0</v>
      </c>
      <c r="AJ405" s="1">
        <v>33.0</v>
      </c>
      <c r="AK405" s="1">
        <v>44.0</v>
      </c>
      <c r="AL405" s="1">
        <v>125.0</v>
      </c>
      <c r="AM405" s="1">
        <v>416.0</v>
      </c>
      <c r="AN405" s="1">
        <v>169.0</v>
      </c>
      <c r="AO405" s="1">
        <v>50.0</v>
      </c>
      <c r="AP405" s="1">
        <v>0.374132</v>
      </c>
      <c r="AQ405" s="1">
        <v>0.099724</v>
      </c>
      <c r="AR405" s="1">
        <v>0.074863</v>
      </c>
      <c r="AS405" s="1">
        <v>0.190949</v>
      </c>
      <c r="AT405" s="1">
        <v>14264.0</v>
      </c>
      <c r="AU405" s="1">
        <v>1600.0</v>
      </c>
      <c r="AV405" s="1">
        <v>0.186586</v>
      </c>
      <c r="AW405" s="1">
        <v>0.080288</v>
      </c>
      <c r="AX405" s="1">
        <v>0.146365</v>
      </c>
      <c r="AY405" s="1">
        <v>0.251397</v>
      </c>
      <c r="AZ405" s="1">
        <v>0.14979757</v>
      </c>
      <c r="BA405" s="1">
        <v>0.064097</v>
      </c>
      <c r="BB405" s="1">
        <v>0.0</v>
      </c>
      <c r="BC405" s="1">
        <v>0.090638</v>
      </c>
      <c r="BD405" s="1">
        <v>0.082343</v>
      </c>
      <c r="BE405" s="1">
        <v>0.057144</v>
      </c>
      <c r="BF405" s="1">
        <v>0.02019</v>
      </c>
      <c r="BG405" s="1">
        <v>0.012995</v>
      </c>
      <c r="BH405" s="1">
        <v>0.018819</v>
      </c>
      <c r="BI405" s="1">
        <v>0.05344</v>
      </c>
      <c r="BJ405" s="1">
        <v>0.177929</v>
      </c>
      <c r="BK405" s="1">
        <v>0.070695</v>
      </c>
      <c r="BL405" s="1">
        <v>0.009984</v>
      </c>
      <c r="BM405" s="1">
        <v>0.937</v>
      </c>
      <c r="BN405" s="1">
        <v>0.556</v>
      </c>
      <c r="BO405" s="1">
        <v>0.904</v>
      </c>
      <c r="BP405" s="1">
        <v>0.712</v>
      </c>
      <c r="BQ405" s="1">
        <v>3.109</v>
      </c>
      <c r="BR405" s="1">
        <v>0.8231</v>
      </c>
      <c r="BS405" s="1">
        <v>0.549</v>
      </c>
      <c r="BT405" s="1">
        <v>0.617</v>
      </c>
      <c r="BU405" s="1">
        <v>0.793</v>
      </c>
      <c r="BV405" s="1">
        <v>1.959</v>
      </c>
      <c r="BW405" s="1">
        <v>0.838</v>
      </c>
      <c r="BX405" s="1">
        <v>0.335</v>
      </c>
      <c r="BY405" s="1">
        <v>0.0</v>
      </c>
      <c r="BZ405" s="1">
        <v>0.335</v>
      </c>
      <c r="CA405" s="1">
        <v>0.143</v>
      </c>
      <c r="CB405" s="1">
        <v>0.735</v>
      </c>
      <c r="CC405" s="1">
        <v>0.511</v>
      </c>
      <c r="CD405" s="1">
        <v>0.658</v>
      </c>
      <c r="CE405" s="1">
        <v>0.887</v>
      </c>
      <c r="CF405" s="1">
        <v>0.578</v>
      </c>
      <c r="CG405" s="1">
        <v>3.369</v>
      </c>
      <c r="CH405" s="1">
        <v>0.901</v>
      </c>
      <c r="CI405" s="1">
        <v>8.772</v>
      </c>
      <c r="CJ405" s="1">
        <v>0.8231</v>
      </c>
      <c r="CK405" s="1">
        <v>1.0</v>
      </c>
      <c r="CL405" s="1">
        <v>0.0</v>
      </c>
      <c r="CM405" s="1">
        <v>1.0</v>
      </c>
      <c r="CN405" s="1">
        <v>0.0</v>
      </c>
      <c r="CO405" s="1">
        <v>2.0</v>
      </c>
      <c r="CP405" s="1">
        <v>0.0</v>
      </c>
      <c r="CQ405" s="1">
        <v>0.0</v>
      </c>
      <c r="CR405" s="1">
        <v>0.0</v>
      </c>
      <c r="CS405" s="1">
        <v>0.0</v>
      </c>
      <c r="CT405" s="1">
        <v>0.0</v>
      </c>
      <c r="CU405" s="1">
        <v>0.0</v>
      </c>
      <c r="CV405" s="1">
        <v>0.0</v>
      </c>
      <c r="CW405" s="1">
        <v>0.0</v>
      </c>
      <c r="CX405" s="1">
        <v>0.0</v>
      </c>
      <c r="CY405" s="1">
        <v>0.0</v>
      </c>
      <c r="CZ405" s="1">
        <v>0.0</v>
      </c>
      <c r="DA405" s="1">
        <v>0.0</v>
      </c>
      <c r="DB405" s="1">
        <v>0.0</v>
      </c>
      <c r="DC405" s="1">
        <v>2.0</v>
      </c>
      <c r="DD405" s="1" t="s">
        <v>1999</v>
      </c>
      <c r="DE405" s="1">
        <v>0.00185935119418673</v>
      </c>
      <c r="DF405" s="2" t="s">
        <v>2000</v>
      </c>
    </row>
    <row r="406" ht="15.75" customHeight="1">
      <c r="A406" s="1" t="s">
        <v>2001</v>
      </c>
      <c r="B406" s="1">
        <v>29.0</v>
      </c>
      <c r="C406" s="2" t="s">
        <v>1980</v>
      </c>
      <c r="D406" s="2" t="s">
        <v>2002</v>
      </c>
      <c r="E406" s="1">
        <v>9.301</v>
      </c>
      <c r="F406" s="1">
        <v>29091.0</v>
      </c>
      <c r="G406" s="1">
        <v>2.90910908E10</v>
      </c>
      <c r="H406" s="1" t="s">
        <v>112</v>
      </c>
      <c r="I406" s="1" t="s">
        <v>113</v>
      </c>
      <c r="J406" s="1" t="s">
        <v>1982</v>
      </c>
      <c r="K406" s="1" t="s">
        <v>2003</v>
      </c>
      <c r="L406" s="1">
        <v>6368.0</v>
      </c>
      <c r="M406" s="1">
        <v>5359.0</v>
      </c>
      <c r="N406" s="1">
        <v>349.0</v>
      </c>
      <c r="O406" s="1">
        <v>2804.0</v>
      </c>
      <c r="P406" s="1">
        <v>2692.0</v>
      </c>
      <c r="Q406" s="1">
        <v>148.0</v>
      </c>
      <c r="R406" s="1">
        <v>2561.0</v>
      </c>
      <c r="S406" s="1">
        <v>875.0</v>
      </c>
      <c r="T406" s="1">
        <v>346.0</v>
      </c>
      <c r="U406" s="1">
        <v>167.0</v>
      </c>
      <c r="V406" s="1">
        <v>469.0</v>
      </c>
      <c r="W406" s="1">
        <v>20663.0</v>
      </c>
      <c r="X406" s="1">
        <v>1992.0</v>
      </c>
      <c r="Y406" s="1">
        <v>512.0</v>
      </c>
      <c r="Z406" s="1">
        <v>246.0</v>
      </c>
      <c r="AA406" s="1">
        <v>1437.0</v>
      </c>
      <c r="AB406" s="1">
        <v>1502.0</v>
      </c>
      <c r="AC406" s="1">
        <v>299.0</v>
      </c>
      <c r="AD406" s="1">
        <v>375.0</v>
      </c>
      <c r="AE406" s="1">
        <v>35.0</v>
      </c>
      <c r="AF406" s="1">
        <v>428.0</v>
      </c>
      <c r="AG406" s="1">
        <v>56.0</v>
      </c>
      <c r="AH406" s="1">
        <v>122.0</v>
      </c>
      <c r="AI406" s="1">
        <v>0.0</v>
      </c>
      <c r="AJ406" s="1">
        <v>114.0</v>
      </c>
      <c r="AK406" s="1">
        <v>0.0</v>
      </c>
      <c r="AL406" s="1">
        <v>161.0</v>
      </c>
      <c r="AM406" s="1">
        <v>138.0</v>
      </c>
      <c r="AN406" s="1">
        <v>83.0</v>
      </c>
      <c r="AO406" s="1">
        <v>409.0</v>
      </c>
      <c r="AP406" s="1">
        <v>0.168625</v>
      </c>
      <c r="AQ406" s="1">
        <v>0.065724</v>
      </c>
      <c r="AR406" s="1">
        <v>0.070315</v>
      </c>
      <c r="AS406" s="1">
        <v>0.197258</v>
      </c>
      <c r="AT406" s="1">
        <v>20663.0</v>
      </c>
      <c r="AU406" s="1">
        <v>1992.0</v>
      </c>
      <c r="AV406" s="1">
        <v>0.131349</v>
      </c>
      <c r="AW406" s="1">
        <v>0.062454</v>
      </c>
      <c r="AX406" s="1">
        <v>0.225659</v>
      </c>
      <c r="AY406" s="1">
        <v>0.235866</v>
      </c>
      <c r="AZ406" s="1">
        <v>0.11675126</v>
      </c>
      <c r="BA406" s="1">
        <v>0.058888</v>
      </c>
      <c r="BB406" s="1">
        <v>0.006956</v>
      </c>
      <c r="BC406" s="1">
        <v>0.085071</v>
      </c>
      <c r="BD406" s="1">
        <v>0.020802</v>
      </c>
      <c r="BE406" s="1">
        <v>0.045305</v>
      </c>
      <c r="BF406" s="1">
        <v>0.0</v>
      </c>
      <c r="BG406" s="1">
        <v>0.042347</v>
      </c>
      <c r="BH406" s="1">
        <v>0.0</v>
      </c>
      <c r="BI406" s="1">
        <v>0.071175</v>
      </c>
      <c r="BJ406" s="1">
        <v>0.061007</v>
      </c>
      <c r="BK406" s="1">
        <v>0.036405</v>
      </c>
      <c r="BL406" s="1">
        <v>0.064227</v>
      </c>
      <c r="BM406" s="1">
        <v>0.638</v>
      </c>
      <c r="BN406" s="1">
        <v>0.518</v>
      </c>
      <c r="BO406" s="1">
        <v>0.5755</v>
      </c>
      <c r="BP406" s="1">
        <v>0.474</v>
      </c>
      <c r="BQ406" s="1">
        <v>2.2055</v>
      </c>
      <c r="BR406" s="1">
        <v>0.5704</v>
      </c>
      <c r="BS406" s="1">
        <v>0.945</v>
      </c>
      <c r="BT406" s="1">
        <v>0.448</v>
      </c>
      <c r="BU406" s="1">
        <v>0.649</v>
      </c>
      <c r="BV406" s="1">
        <v>2.042</v>
      </c>
      <c r="BW406" s="1">
        <v>0.886</v>
      </c>
      <c r="BX406" s="1">
        <v>0.309</v>
      </c>
      <c r="BY406" s="1">
        <v>0.63</v>
      </c>
      <c r="BZ406" s="1">
        <v>0.939</v>
      </c>
      <c r="CA406" s="1">
        <v>0.498</v>
      </c>
      <c r="CB406" s="1">
        <v>0.471</v>
      </c>
      <c r="CC406" s="1">
        <v>0.0</v>
      </c>
      <c r="CD406" s="1">
        <v>0.0</v>
      </c>
      <c r="CE406" s="1">
        <v>0.572</v>
      </c>
      <c r="CF406" s="1">
        <v>0.915</v>
      </c>
      <c r="CG406" s="1">
        <v>1.958</v>
      </c>
      <c r="CH406" s="1">
        <v>0.329</v>
      </c>
      <c r="CI406" s="1">
        <v>7.1445</v>
      </c>
      <c r="CJ406" s="1">
        <v>0.5791</v>
      </c>
      <c r="CK406" s="1">
        <v>0.0</v>
      </c>
      <c r="CL406" s="1">
        <v>0.0</v>
      </c>
      <c r="CM406" s="1">
        <v>0.0</v>
      </c>
      <c r="CN406" s="1">
        <v>0.0</v>
      </c>
      <c r="CO406" s="1">
        <v>0.0</v>
      </c>
      <c r="CP406" s="1">
        <v>1.0</v>
      </c>
      <c r="CQ406" s="1">
        <v>0.0</v>
      </c>
      <c r="CR406" s="1">
        <v>0.0</v>
      </c>
      <c r="CS406" s="1">
        <v>1.0</v>
      </c>
      <c r="CT406" s="1">
        <v>0.0</v>
      </c>
      <c r="CU406" s="1">
        <v>0.0</v>
      </c>
      <c r="CV406" s="1">
        <v>0.0</v>
      </c>
      <c r="CW406" s="1">
        <v>0.0</v>
      </c>
      <c r="CX406" s="1">
        <v>0.0</v>
      </c>
      <c r="CY406" s="1">
        <v>0.0</v>
      </c>
      <c r="CZ406" s="1">
        <v>0.0</v>
      </c>
      <c r="DA406" s="1">
        <v>1.0</v>
      </c>
      <c r="DB406" s="1">
        <v>1.0</v>
      </c>
      <c r="DC406" s="1">
        <v>2.0</v>
      </c>
      <c r="DD406" s="1" t="s">
        <v>2004</v>
      </c>
      <c r="DE406" s="1">
        <v>0.0024312506328361</v>
      </c>
      <c r="DF406" s="2" t="s">
        <v>2005</v>
      </c>
    </row>
    <row r="407" ht="15.75" customHeight="1">
      <c r="A407" s="1" t="s">
        <v>2006</v>
      </c>
      <c r="B407" s="1">
        <v>29.0</v>
      </c>
      <c r="C407" s="2" t="s">
        <v>1980</v>
      </c>
      <c r="D407" s="2" t="s">
        <v>2007</v>
      </c>
      <c r="E407" s="1">
        <v>46.597</v>
      </c>
      <c r="F407" s="1">
        <v>29091.0</v>
      </c>
      <c r="G407" s="1">
        <v>2.90910902E10</v>
      </c>
      <c r="H407" s="1" t="s">
        <v>112</v>
      </c>
      <c r="I407" s="1" t="s">
        <v>113</v>
      </c>
      <c r="J407" s="1" t="s">
        <v>1982</v>
      </c>
      <c r="K407" s="1" t="s">
        <v>2008</v>
      </c>
      <c r="L407" s="1">
        <v>4174.0</v>
      </c>
      <c r="M407" s="1">
        <v>3672.0</v>
      </c>
      <c r="N407" s="1">
        <v>316.0</v>
      </c>
      <c r="O407" s="1">
        <v>1917.0</v>
      </c>
      <c r="P407" s="1">
        <v>1881.0</v>
      </c>
      <c r="Q407" s="1">
        <v>168.0</v>
      </c>
      <c r="R407" s="1">
        <v>1724.0</v>
      </c>
      <c r="S407" s="1">
        <v>782.0</v>
      </c>
      <c r="T407" s="1">
        <v>202.0</v>
      </c>
      <c r="U407" s="1">
        <v>109.0</v>
      </c>
      <c r="V407" s="1">
        <v>346.0</v>
      </c>
      <c r="W407" s="1">
        <v>16336.0</v>
      </c>
      <c r="X407" s="1">
        <v>1711.0</v>
      </c>
      <c r="Y407" s="1">
        <v>508.0</v>
      </c>
      <c r="Z407" s="1">
        <v>229.0</v>
      </c>
      <c r="AA407" s="1">
        <v>845.0</v>
      </c>
      <c r="AB407" s="1">
        <v>1040.0</v>
      </c>
      <c r="AC407" s="1">
        <v>222.0</v>
      </c>
      <c r="AD407" s="1">
        <v>157.0</v>
      </c>
      <c r="AE407" s="1">
        <v>0.0</v>
      </c>
      <c r="AF407" s="1">
        <v>456.0</v>
      </c>
      <c r="AG407" s="1">
        <v>24.0</v>
      </c>
      <c r="AH407" s="1">
        <v>20.0</v>
      </c>
      <c r="AI407" s="1">
        <v>254.0</v>
      </c>
      <c r="AJ407" s="1">
        <v>84.0</v>
      </c>
      <c r="AK407" s="1">
        <v>18.0</v>
      </c>
      <c r="AL407" s="1">
        <v>116.0</v>
      </c>
      <c r="AM407" s="1">
        <v>157.0</v>
      </c>
      <c r="AN407" s="1">
        <v>59.0</v>
      </c>
      <c r="AO407" s="1">
        <v>100.0</v>
      </c>
      <c r="AP407" s="1">
        <v>0.217101</v>
      </c>
      <c r="AQ407" s="1">
        <v>0.052318</v>
      </c>
      <c r="AR407" s="1">
        <v>0.07714</v>
      </c>
      <c r="AS407" s="1">
        <v>0.244526</v>
      </c>
      <c r="AT407" s="1">
        <v>16336.0</v>
      </c>
      <c r="AU407" s="1">
        <v>1711.0</v>
      </c>
      <c r="AV407" s="1">
        <v>0.208709</v>
      </c>
      <c r="AW407" s="1">
        <v>0.092066</v>
      </c>
      <c r="AX407" s="1">
        <v>0.202443</v>
      </c>
      <c r="AY407" s="1">
        <v>0.249161</v>
      </c>
      <c r="AZ407" s="1">
        <v>0.1287703</v>
      </c>
      <c r="BA407" s="1">
        <v>0.037613</v>
      </c>
      <c r="BB407" s="1">
        <v>0.0</v>
      </c>
      <c r="BC407" s="1">
        <v>0.132596</v>
      </c>
      <c r="BD407" s="1">
        <v>0.012759</v>
      </c>
      <c r="BE407" s="1">
        <v>0.010571</v>
      </c>
      <c r="BF407" s="1">
        <v>0.135034</v>
      </c>
      <c r="BG407" s="1">
        <v>0.042997</v>
      </c>
      <c r="BH407" s="1">
        <v>0.01162</v>
      </c>
      <c r="BI407" s="1">
        <v>0.074879</v>
      </c>
      <c r="BJ407" s="1">
        <v>0.101355</v>
      </c>
      <c r="BK407" s="1">
        <v>0.036888</v>
      </c>
      <c r="BL407" s="1">
        <v>0.023957</v>
      </c>
      <c r="BM407" s="1">
        <v>0.767</v>
      </c>
      <c r="BN407" s="1">
        <v>0.583</v>
      </c>
      <c r="BO407" s="1">
        <v>0.8209</v>
      </c>
      <c r="BP407" s="1">
        <v>0.778</v>
      </c>
      <c r="BQ407" s="1">
        <v>2.9489</v>
      </c>
      <c r="BR407" s="1">
        <v>0.7942</v>
      </c>
      <c r="BS407" s="1">
        <v>0.882</v>
      </c>
      <c r="BT407" s="1">
        <v>0.588</v>
      </c>
      <c r="BU407" s="1">
        <v>0.71</v>
      </c>
      <c r="BV407" s="1">
        <v>2.18</v>
      </c>
      <c r="BW407" s="1">
        <v>0.96</v>
      </c>
      <c r="BX407" s="1">
        <v>0.144</v>
      </c>
      <c r="BY407" s="1">
        <v>0.0</v>
      </c>
      <c r="BZ407" s="1">
        <v>0.144</v>
      </c>
      <c r="CA407" s="1">
        <v>0.068</v>
      </c>
      <c r="CB407" s="1">
        <v>0.407</v>
      </c>
      <c r="CC407" s="1">
        <v>0.787</v>
      </c>
      <c r="CD407" s="1">
        <v>0.516</v>
      </c>
      <c r="CE407" s="1">
        <v>0.758</v>
      </c>
      <c r="CF407" s="1">
        <v>0.756</v>
      </c>
      <c r="CG407" s="1">
        <v>3.224</v>
      </c>
      <c r="CH407" s="1">
        <v>0.849</v>
      </c>
      <c r="CI407" s="1">
        <v>8.4969</v>
      </c>
      <c r="CJ407" s="1">
        <v>0.7863</v>
      </c>
      <c r="CK407" s="1">
        <v>0.0</v>
      </c>
      <c r="CL407" s="1">
        <v>0.0</v>
      </c>
      <c r="CM407" s="1">
        <v>0.0</v>
      </c>
      <c r="CN407" s="1">
        <v>0.0</v>
      </c>
      <c r="CO407" s="1">
        <v>0.0</v>
      </c>
      <c r="CP407" s="1">
        <v>0.0</v>
      </c>
      <c r="CQ407" s="1">
        <v>0.0</v>
      </c>
      <c r="CR407" s="1">
        <v>0.0</v>
      </c>
      <c r="CS407" s="1">
        <v>0.0</v>
      </c>
      <c r="CT407" s="1">
        <v>0.0</v>
      </c>
      <c r="CU407" s="1">
        <v>0.0</v>
      </c>
      <c r="CV407" s="1">
        <v>0.0</v>
      </c>
      <c r="CW407" s="1">
        <v>0.0</v>
      </c>
      <c r="CX407" s="1">
        <v>0.0</v>
      </c>
      <c r="CY407" s="1">
        <v>0.0</v>
      </c>
      <c r="CZ407" s="1">
        <v>0.0</v>
      </c>
      <c r="DA407" s="1">
        <v>0.0</v>
      </c>
      <c r="DB407" s="1">
        <v>0.0</v>
      </c>
      <c r="DC407" s="1">
        <v>0.0</v>
      </c>
      <c r="DD407" s="1" t="s">
        <v>2009</v>
      </c>
      <c r="DE407" s="1">
        <v>0.0122181422497004</v>
      </c>
      <c r="DF407" s="1">
        <v>0.510615991586681</v>
      </c>
    </row>
    <row r="408" ht="15.75" customHeight="1">
      <c r="A408" s="1" t="s">
        <v>2010</v>
      </c>
      <c r="B408" s="1">
        <v>29.0</v>
      </c>
      <c r="C408" s="2" t="s">
        <v>1980</v>
      </c>
      <c r="D408" s="2" t="s">
        <v>2011</v>
      </c>
      <c r="E408" s="1">
        <v>210.077</v>
      </c>
      <c r="F408" s="1">
        <v>29091.0</v>
      </c>
      <c r="G408" s="1">
        <v>2.90910903E10</v>
      </c>
      <c r="H408" s="1" t="s">
        <v>112</v>
      </c>
      <c r="I408" s="1" t="s">
        <v>113</v>
      </c>
      <c r="J408" s="1" t="s">
        <v>1982</v>
      </c>
      <c r="K408" s="1" t="s">
        <v>2012</v>
      </c>
      <c r="L408" s="1">
        <v>4680.0</v>
      </c>
      <c r="M408" s="1">
        <v>4680.0</v>
      </c>
      <c r="N408" s="1">
        <v>478.0</v>
      </c>
      <c r="O408" s="1">
        <v>2055.0</v>
      </c>
      <c r="P408" s="1">
        <v>2037.0</v>
      </c>
      <c r="Q408" s="1">
        <v>120.0</v>
      </c>
      <c r="R408" s="1">
        <v>1841.0</v>
      </c>
      <c r="S408" s="1">
        <v>800.0</v>
      </c>
      <c r="T408" s="1">
        <v>279.0</v>
      </c>
      <c r="U408" s="1">
        <v>72.0</v>
      </c>
      <c r="V408" s="1">
        <v>380.0</v>
      </c>
      <c r="W408" s="1">
        <v>16660.0</v>
      </c>
      <c r="X408" s="1">
        <v>1976.0</v>
      </c>
      <c r="Y408" s="1">
        <v>706.0</v>
      </c>
      <c r="Z408" s="1">
        <v>137.0</v>
      </c>
      <c r="AA408" s="1">
        <v>697.0</v>
      </c>
      <c r="AB408" s="1">
        <v>1125.0</v>
      </c>
      <c r="AC408" s="1">
        <v>160.0</v>
      </c>
      <c r="AD408" s="1">
        <v>228.0</v>
      </c>
      <c r="AE408" s="1">
        <v>0.0</v>
      </c>
      <c r="AF408" s="1">
        <v>456.0</v>
      </c>
      <c r="AG408" s="1">
        <v>0.0</v>
      </c>
      <c r="AH408" s="1">
        <v>197.0</v>
      </c>
      <c r="AI408" s="1">
        <v>546.0</v>
      </c>
      <c r="AJ408" s="1">
        <v>137.0</v>
      </c>
      <c r="AK408" s="1">
        <v>21.0</v>
      </c>
      <c r="AL408" s="1">
        <v>115.0</v>
      </c>
      <c r="AM408" s="1">
        <v>77.0</v>
      </c>
      <c r="AN408" s="1">
        <v>40.0</v>
      </c>
      <c r="AO408" s="1">
        <v>13.0</v>
      </c>
      <c r="AP408" s="1">
        <v>0.171784</v>
      </c>
      <c r="AQ408" s="1">
        <v>0.057324</v>
      </c>
      <c r="AR408" s="1">
        <v>0.038075</v>
      </c>
      <c r="AS408" s="1">
        <v>0.2009</v>
      </c>
      <c r="AT408" s="1">
        <v>16660.0</v>
      </c>
      <c r="AU408" s="1">
        <v>1976.0</v>
      </c>
      <c r="AV408" s="1">
        <v>0.23924</v>
      </c>
      <c r="AW408" s="1">
        <v>0.039887</v>
      </c>
      <c r="AX408" s="1">
        <v>0.148931</v>
      </c>
      <c r="AY408" s="1">
        <v>0.240384</v>
      </c>
      <c r="AZ408" s="1">
        <v>0.08690928</v>
      </c>
      <c r="BA408" s="1">
        <v>0.048717</v>
      </c>
      <c r="BB408" s="1">
        <v>0.0</v>
      </c>
      <c r="BC408" s="1">
        <v>0.1043</v>
      </c>
      <c r="BD408" s="1">
        <v>0.0</v>
      </c>
      <c r="BE408" s="1">
        <v>0.09671</v>
      </c>
      <c r="BF408" s="1">
        <v>0.268041</v>
      </c>
      <c r="BG408" s="1">
        <v>0.065375</v>
      </c>
      <c r="BH408" s="1">
        <v>0.012597</v>
      </c>
      <c r="BI408" s="1">
        <v>0.068976</v>
      </c>
      <c r="BJ408" s="1">
        <v>0.04619</v>
      </c>
      <c r="BK408" s="1">
        <v>0.023632</v>
      </c>
      <c r="BL408" s="1">
        <v>0.002777</v>
      </c>
      <c r="BM408" s="1">
        <v>0.651</v>
      </c>
      <c r="BN408" s="1">
        <v>0.165</v>
      </c>
      <c r="BO408" s="1">
        <v>0.8036</v>
      </c>
      <c r="BP408" s="1">
        <v>0.844</v>
      </c>
      <c r="BQ408" s="1">
        <v>2.4636</v>
      </c>
      <c r="BR408" s="1">
        <v>0.6542</v>
      </c>
      <c r="BS408" s="1">
        <v>0.567</v>
      </c>
      <c r="BT408" s="1">
        <v>0.5</v>
      </c>
      <c r="BU408" s="1">
        <v>0.375</v>
      </c>
      <c r="BV408" s="1">
        <v>1.442</v>
      </c>
      <c r="BW408" s="1">
        <v>0.43</v>
      </c>
      <c r="BX408" s="1">
        <v>0.239</v>
      </c>
      <c r="BY408" s="1">
        <v>0.0</v>
      </c>
      <c r="BZ408" s="1">
        <v>0.239</v>
      </c>
      <c r="CA408" s="1">
        <v>0.103</v>
      </c>
      <c r="CB408" s="1">
        <v>0.0</v>
      </c>
      <c r="CC408" s="1">
        <v>0.967</v>
      </c>
      <c r="CD408" s="1">
        <v>0.542</v>
      </c>
      <c r="CE408" s="1">
        <v>0.453</v>
      </c>
      <c r="CF408" s="1">
        <v>0.471</v>
      </c>
      <c r="CG408" s="1">
        <v>2.433</v>
      </c>
      <c r="CH408" s="1">
        <v>0.533</v>
      </c>
      <c r="CI408" s="1">
        <v>6.5776</v>
      </c>
      <c r="CJ408" s="1">
        <v>0.4729</v>
      </c>
      <c r="CK408" s="1">
        <v>0.0</v>
      </c>
      <c r="CL408" s="1">
        <v>0.0</v>
      </c>
      <c r="CM408" s="1">
        <v>0.0</v>
      </c>
      <c r="CN408" s="1">
        <v>0.0</v>
      </c>
      <c r="CO408" s="1">
        <v>0.0</v>
      </c>
      <c r="CP408" s="1">
        <v>0.0</v>
      </c>
      <c r="CQ408" s="1">
        <v>0.0</v>
      </c>
      <c r="CR408" s="1">
        <v>0.0</v>
      </c>
      <c r="CS408" s="1">
        <v>0.0</v>
      </c>
      <c r="CT408" s="1">
        <v>0.0</v>
      </c>
      <c r="CU408" s="1">
        <v>0.0</v>
      </c>
      <c r="CV408" s="1">
        <v>0.0</v>
      </c>
      <c r="CW408" s="1">
        <v>0.0</v>
      </c>
      <c r="CX408" s="1">
        <v>1.0</v>
      </c>
      <c r="CY408" s="1">
        <v>0.0</v>
      </c>
      <c r="CZ408" s="1">
        <v>0.0</v>
      </c>
      <c r="DA408" s="1">
        <v>0.0</v>
      </c>
      <c r="DB408" s="1">
        <v>1.0</v>
      </c>
      <c r="DC408" s="1">
        <v>1.0</v>
      </c>
      <c r="DD408" s="1" t="s">
        <v>2013</v>
      </c>
      <c r="DE408" s="1">
        <v>0.0550305981772366</v>
      </c>
      <c r="DF408" s="2" t="s">
        <v>2014</v>
      </c>
    </row>
    <row r="409" ht="15.75" customHeight="1">
      <c r="A409" s="1" t="s">
        <v>2015</v>
      </c>
      <c r="B409" s="1">
        <v>29.0</v>
      </c>
      <c r="C409" s="2" t="s">
        <v>1980</v>
      </c>
      <c r="D409" s="2" t="s">
        <v>2016</v>
      </c>
      <c r="E409" s="1">
        <v>219.606</v>
      </c>
      <c r="F409" s="1">
        <v>29091.0</v>
      </c>
      <c r="G409" s="1">
        <v>2.90910904E10</v>
      </c>
      <c r="H409" s="1" t="s">
        <v>112</v>
      </c>
      <c r="I409" s="1" t="s">
        <v>113</v>
      </c>
      <c r="J409" s="1" t="s">
        <v>1982</v>
      </c>
      <c r="K409" s="1" t="s">
        <v>2017</v>
      </c>
      <c r="L409" s="1">
        <v>4849.0</v>
      </c>
      <c r="M409" s="1">
        <v>4911.0</v>
      </c>
      <c r="N409" s="1">
        <v>601.0</v>
      </c>
      <c r="O409" s="1">
        <v>2092.0</v>
      </c>
      <c r="P409" s="1">
        <v>2040.0</v>
      </c>
      <c r="Q409" s="1">
        <v>117.0</v>
      </c>
      <c r="R409" s="1">
        <v>1872.0</v>
      </c>
      <c r="S409" s="1">
        <v>497.0</v>
      </c>
      <c r="T409" s="1">
        <v>261.0</v>
      </c>
      <c r="U409" s="1">
        <v>95.0</v>
      </c>
      <c r="V409" s="1">
        <v>431.0</v>
      </c>
      <c r="W409" s="1">
        <v>15001.0</v>
      </c>
      <c r="X409" s="1">
        <v>1641.0</v>
      </c>
      <c r="Y409" s="1">
        <v>576.0</v>
      </c>
      <c r="Z409" s="1">
        <v>251.0</v>
      </c>
      <c r="AA409" s="1">
        <v>777.0</v>
      </c>
      <c r="AB409" s="1">
        <v>1227.0</v>
      </c>
      <c r="AC409" s="1">
        <v>154.0</v>
      </c>
      <c r="AD409" s="1">
        <v>179.0</v>
      </c>
      <c r="AE409" s="1">
        <v>19.0</v>
      </c>
      <c r="AF409" s="1">
        <v>443.0</v>
      </c>
      <c r="AG409" s="1">
        <v>0.0</v>
      </c>
      <c r="AH409" s="1">
        <v>197.0</v>
      </c>
      <c r="AI409" s="1">
        <v>399.0</v>
      </c>
      <c r="AJ409" s="1">
        <v>138.0</v>
      </c>
      <c r="AK409" s="1">
        <v>27.0</v>
      </c>
      <c r="AL409" s="1">
        <v>119.0</v>
      </c>
      <c r="AM409" s="1">
        <v>36.0</v>
      </c>
      <c r="AN409" s="1">
        <v>117.0</v>
      </c>
      <c r="AO409" s="1">
        <v>0.0</v>
      </c>
      <c r="AP409" s="1">
        <v>0.101201</v>
      </c>
      <c r="AQ409" s="1">
        <v>0.051682</v>
      </c>
      <c r="AR409" s="1">
        <v>0.047146</v>
      </c>
      <c r="AS409" s="1">
        <v>0.213725</v>
      </c>
      <c r="AT409" s="1">
        <v>15001.0</v>
      </c>
      <c r="AU409" s="1">
        <v>1641.0</v>
      </c>
      <c r="AV409" s="1">
        <v>0.178715</v>
      </c>
      <c r="AW409" s="1">
        <v>0.075893</v>
      </c>
      <c r="AX409" s="1">
        <v>0.160239</v>
      </c>
      <c r="AY409" s="1">
        <v>0.253041</v>
      </c>
      <c r="AZ409" s="1">
        <v>0.08226495</v>
      </c>
      <c r="BA409" s="1">
        <v>0.036914</v>
      </c>
      <c r="BB409" s="1">
        <v>0.004066</v>
      </c>
      <c r="BC409" s="1">
        <v>0.094818</v>
      </c>
      <c r="BD409" s="1">
        <v>0.0</v>
      </c>
      <c r="BE409" s="1">
        <v>0.096568</v>
      </c>
      <c r="BF409" s="1">
        <v>0.195588</v>
      </c>
      <c r="BG409" s="1">
        <v>0.06671</v>
      </c>
      <c r="BH409" s="1">
        <v>0.015463</v>
      </c>
      <c r="BI409" s="1">
        <v>0.068139</v>
      </c>
      <c r="BJ409" s="1">
        <v>0.020618</v>
      </c>
      <c r="BK409" s="1">
        <v>0.066981</v>
      </c>
      <c r="BL409" s="1">
        <v>0.0</v>
      </c>
      <c r="BM409" s="1">
        <v>0.374</v>
      </c>
      <c r="BN409" s="1">
        <v>0.264</v>
      </c>
      <c r="BO409" s="1">
        <v>0.8751</v>
      </c>
      <c r="BP409" s="1">
        <v>0.683</v>
      </c>
      <c r="BQ409" s="1">
        <v>2.1961</v>
      </c>
      <c r="BR409" s="1">
        <v>0.5653</v>
      </c>
      <c r="BS409" s="1">
        <v>0.666</v>
      </c>
      <c r="BT409" s="1">
        <v>0.642</v>
      </c>
      <c r="BU409" s="1">
        <v>0.325</v>
      </c>
      <c r="BV409" s="1">
        <v>1.633</v>
      </c>
      <c r="BW409" s="1">
        <v>0.588</v>
      </c>
      <c r="BX409" s="1">
        <v>0.135</v>
      </c>
      <c r="BY409" s="1">
        <v>0.519</v>
      </c>
      <c r="BZ409" s="1">
        <v>0.654</v>
      </c>
      <c r="CA409" s="1">
        <v>0.305</v>
      </c>
      <c r="CB409" s="1">
        <v>0.0</v>
      </c>
      <c r="CC409" s="1">
        <v>0.892</v>
      </c>
      <c r="CD409" s="1">
        <v>0.605</v>
      </c>
      <c r="CE409" s="1">
        <v>0.188</v>
      </c>
      <c r="CF409" s="1">
        <v>0.0</v>
      </c>
      <c r="CG409" s="1">
        <v>1.685</v>
      </c>
      <c r="CH409" s="1">
        <v>0.23</v>
      </c>
      <c r="CI409" s="1">
        <v>6.1681</v>
      </c>
      <c r="CJ409" s="1">
        <v>0.3986</v>
      </c>
      <c r="CK409" s="1">
        <v>0.0</v>
      </c>
      <c r="CL409" s="1">
        <v>0.0</v>
      </c>
      <c r="CM409" s="1">
        <v>0.0</v>
      </c>
      <c r="CN409" s="1">
        <v>0.0</v>
      </c>
      <c r="CO409" s="1">
        <v>0.0</v>
      </c>
      <c r="CP409" s="1">
        <v>0.0</v>
      </c>
      <c r="CQ409" s="1">
        <v>0.0</v>
      </c>
      <c r="CR409" s="1">
        <v>0.0</v>
      </c>
      <c r="CS409" s="1">
        <v>0.0</v>
      </c>
      <c r="CT409" s="1">
        <v>0.0</v>
      </c>
      <c r="CU409" s="1">
        <v>0.0</v>
      </c>
      <c r="CV409" s="1">
        <v>0.0</v>
      </c>
      <c r="CW409" s="1">
        <v>0.0</v>
      </c>
      <c r="CX409" s="1">
        <v>0.0</v>
      </c>
      <c r="CY409" s="1">
        <v>0.0</v>
      </c>
      <c r="CZ409" s="1">
        <v>0.0</v>
      </c>
      <c r="DA409" s="1">
        <v>0.0</v>
      </c>
      <c r="DB409" s="1">
        <v>0.0</v>
      </c>
      <c r="DC409" s="1">
        <v>0.0</v>
      </c>
      <c r="DD409" s="1" t="s">
        <v>2018</v>
      </c>
      <c r="DE409" s="1">
        <v>0.057367312365693</v>
      </c>
      <c r="DF409" s="2" t="s">
        <v>2019</v>
      </c>
    </row>
    <row r="410" ht="15.75" customHeight="1">
      <c r="A410" s="1" t="s">
        <v>2020</v>
      </c>
      <c r="B410" s="1">
        <v>29.0</v>
      </c>
      <c r="C410" s="2" t="s">
        <v>2021</v>
      </c>
      <c r="D410" s="1">
        <v>950100.0</v>
      </c>
      <c r="E410" s="1">
        <v>246.933</v>
      </c>
      <c r="F410" s="1">
        <v>29093.0</v>
      </c>
      <c r="G410" s="1">
        <v>2.90939501E10</v>
      </c>
      <c r="H410" s="1" t="s">
        <v>112</v>
      </c>
      <c r="I410" s="1" t="s">
        <v>113</v>
      </c>
      <c r="J410" s="1" t="s">
        <v>2022</v>
      </c>
      <c r="K410" s="1" t="s">
        <v>2023</v>
      </c>
      <c r="L410" s="1">
        <v>2841.0</v>
      </c>
      <c r="M410" s="1">
        <v>3034.0</v>
      </c>
      <c r="N410" s="1">
        <v>303.0</v>
      </c>
      <c r="O410" s="1">
        <v>1366.0</v>
      </c>
      <c r="P410" s="1">
        <v>1403.0</v>
      </c>
      <c r="Q410" s="1">
        <v>79.0</v>
      </c>
      <c r="R410" s="1">
        <v>1165.0</v>
      </c>
      <c r="S410" s="1">
        <v>510.0</v>
      </c>
      <c r="T410" s="1">
        <v>213.0</v>
      </c>
      <c r="U410" s="1">
        <v>132.0</v>
      </c>
      <c r="V410" s="1">
        <v>382.0</v>
      </c>
      <c r="W410" s="1">
        <v>18371.0</v>
      </c>
      <c r="X410" s="1">
        <v>2909.0</v>
      </c>
      <c r="Y410" s="1">
        <v>571.0</v>
      </c>
      <c r="Z410" s="1">
        <v>165.0</v>
      </c>
      <c r="AA410" s="1">
        <v>497.0</v>
      </c>
      <c r="AB410" s="1">
        <v>598.0</v>
      </c>
      <c r="AC410" s="1">
        <v>117.0</v>
      </c>
      <c r="AD410" s="1">
        <v>71.0</v>
      </c>
      <c r="AE410" s="1">
        <v>0.0</v>
      </c>
      <c r="AF410" s="1">
        <v>456.0</v>
      </c>
      <c r="AG410" s="1">
        <v>0.0</v>
      </c>
      <c r="AH410" s="1">
        <v>197.0</v>
      </c>
      <c r="AI410" s="1">
        <v>368.0</v>
      </c>
      <c r="AJ410" s="1">
        <v>82.0</v>
      </c>
      <c r="AK410" s="1">
        <v>23.0</v>
      </c>
      <c r="AL410" s="1">
        <v>119.0</v>
      </c>
      <c r="AM410" s="1">
        <v>111.0</v>
      </c>
      <c r="AN410" s="1">
        <v>69.0</v>
      </c>
      <c r="AO410" s="1">
        <v>118.0</v>
      </c>
      <c r="AP410" s="1">
        <v>0.182012</v>
      </c>
      <c r="AQ410" s="1">
        <v>0.073809</v>
      </c>
      <c r="AR410" s="1">
        <v>0.132</v>
      </c>
      <c r="AS410" s="1">
        <v>0.381363</v>
      </c>
      <c r="AT410" s="1">
        <v>18371.0</v>
      </c>
      <c r="AU410" s="1">
        <v>2909.0</v>
      </c>
      <c r="AV410" s="1">
        <v>0.249018</v>
      </c>
      <c r="AW410" s="1">
        <v>0.068737</v>
      </c>
      <c r="AX410" s="1">
        <v>0.174938</v>
      </c>
      <c r="AY410" s="1">
        <v>0.210489</v>
      </c>
      <c r="AZ410" s="1">
        <v>0.10042918</v>
      </c>
      <c r="BA410" s="1">
        <v>0.024991</v>
      </c>
      <c r="BB410" s="1">
        <v>0.0</v>
      </c>
      <c r="BC410" s="1">
        <v>0.161073</v>
      </c>
      <c r="BD410" s="1">
        <v>0.0</v>
      </c>
      <c r="BE410" s="1">
        <v>0.140413</v>
      </c>
      <c r="BF410" s="1">
        <v>0.262295</v>
      </c>
      <c r="BG410" s="1">
        <v>0.056549</v>
      </c>
      <c r="BH410" s="1">
        <v>0.01923</v>
      </c>
      <c r="BI410" s="1">
        <v>0.099487</v>
      </c>
      <c r="BJ410" s="1">
        <v>0.092809</v>
      </c>
      <c r="BK410" s="1">
        <v>0.057258</v>
      </c>
      <c r="BL410" s="1">
        <v>0.041534</v>
      </c>
      <c r="BM410" s="1">
        <v>0.679</v>
      </c>
      <c r="BN410" s="1">
        <v>0.861</v>
      </c>
      <c r="BO410" s="1">
        <v>0.7134</v>
      </c>
      <c r="BP410" s="1">
        <v>0.866</v>
      </c>
      <c r="BQ410" s="1">
        <v>3.1194</v>
      </c>
      <c r="BR410" s="1">
        <v>0.8296</v>
      </c>
      <c r="BS410" s="1">
        <v>0.762</v>
      </c>
      <c r="BT410" s="1">
        <v>0.239</v>
      </c>
      <c r="BU410" s="1">
        <v>0.498</v>
      </c>
      <c r="BV410" s="1">
        <v>1.499</v>
      </c>
      <c r="BW410" s="1">
        <v>0.486</v>
      </c>
      <c r="BX410" s="1">
        <v>0.045</v>
      </c>
      <c r="BY410" s="1">
        <v>0.0</v>
      </c>
      <c r="BZ410" s="1">
        <v>0.045</v>
      </c>
      <c r="CA410" s="1">
        <v>0.023</v>
      </c>
      <c r="CB410" s="1">
        <v>0.0</v>
      </c>
      <c r="CC410" s="1">
        <v>0.964</v>
      </c>
      <c r="CD410" s="1">
        <v>0.666</v>
      </c>
      <c r="CE410" s="1">
        <v>0.729</v>
      </c>
      <c r="CF410" s="1">
        <v>0.873</v>
      </c>
      <c r="CG410" s="1">
        <v>3.232</v>
      </c>
      <c r="CH410" s="1">
        <v>0.853</v>
      </c>
      <c r="CI410" s="1">
        <v>7.8954</v>
      </c>
      <c r="CJ410" s="1">
        <v>0.6968</v>
      </c>
      <c r="CK410" s="1">
        <v>0.0</v>
      </c>
      <c r="CL410" s="1">
        <v>0.0</v>
      </c>
      <c r="CM410" s="1">
        <v>0.0</v>
      </c>
      <c r="CN410" s="1">
        <v>0.0</v>
      </c>
      <c r="CO410" s="1">
        <v>0.0</v>
      </c>
      <c r="CP410" s="1">
        <v>0.0</v>
      </c>
      <c r="CQ410" s="1">
        <v>0.0</v>
      </c>
      <c r="CR410" s="1">
        <v>0.0</v>
      </c>
      <c r="CS410" s="1">
        <v>0.0</v>
      </c>
      <c r="CT410" s="1">
        <v>0.0</v>
      </c>
      <c r="CU410" s="1">
        <v>0.0</v>
      </c>
      <c r="CV410" s="1">
        <v>0.0</v>
      </c>
      <c r="CW410" s="1">
        <v>0.0</v>
      </c>
      <c r="CX410" s="1">
        <v>1.0</v>
      </c>
      <c r="CY410" s="1">
        <v>0.0</v>
      </c>
      <c r="CZ410" s="1">
        <v>0.0</v>
      </c>
      <c r="DA410" s="1">
        <v>0.0</v>
      </c>
      <c r="DB410" s="1">
        <v>1.0</v>
      </c>
      <c r="DC410" s="1">
        <v>1.0</v>
      </c>
      <c r="DD410" s="1" t="s">
        <v>2024</v>
      </c>
      <c r="DE410" s="1">
        <v>0.0654741634289317</v>
      </c>
      <c r="DF410" s="2" t="s">
        <v>2025</v>
      </c>
    </row>
    <row r="411" ht="15.75" customHeight="1">
      <c r="A411" s="1" t="s">
        <v>2026</v>
      </c>
      <c r="B411" s="1">
        <v>29.0</v>
      </c>
      <c r="C411" s="2" t="s">
        <v>2021</v>
      </c>
      <c r="D411" s="1">
        <v>950300.0</v>
      </c>
      <c r="E411" s="1">
        <v>23.12</v>
      </c>
      <c r="F411" s="1">
        <v>29093.0</v>
      </c>
      <c r="G411" s="1">
        <v>2.90939503E10</v>
      </c>
      <c r="H411" s="1" t="s">
        <v>112</v>
      </c>
      <c r="I411" s="1" t="s">
        <v>113</v>
      </c>
      <c r="J411" s="1" t="s">
        <v>2022</v>
      </c>
      <c r="K411" s="1" t="s">
        <v>2027</v>
      </c>
      <c r="L411" s="1">
        <v>2885.0</v>
      </c>
      <c r="M411" s="1">
        <v>3162.0</v>
      </c>
      <c r="N411" s="1">
        <v>337.0</v>
      </c>
      <c r="O411" s="1">
        <v>1365.0</v>
      </c>
      <c r="P411" s="1">
        <v>1444.0</v>
      </c>
      <c r="Q411" s="1">
        <v>72.0</v>
      </c>
      <c r="R411" s="1">
        <v>1193.0</v>
      </c>
      <c r="S411" s="1">
        <v>932.0</v>
      </c>
      <c r="T411" s="1">
        <v>250.0</v>
      </c>
      <c r="U411" s="1">
        <v>162.0</v>
      </c>
      <c r="V411" s="1">
        <v>307.0</v>
      </c>
      <c r="W411" s="1">
        <v>15314.0</v>
      </c>
      <c r="X411" s="1">
        <v>1813.0</v>
      </c>
      <c r="Y411" s="1">
        <v>531.0</v>
      </c>
      <c r="Z411" s="1">
        <v>111.0</v>
      </c>
      <c r="AA411" s="1">
        <v>513.0</v>
      </c>
      <c r="AB411" s="1">
        <v>656.0</v>
      </c>
      <c r="AC411" s="1">
        <v>140.0</v>
      </c>
      <c r="AD411" s="1">
        <v>163.0</v>
      </c>
      <c r="AE411" s="1">
        <v>0.0</v>
      </c>
      <c r="AF411" s="1">
        <v>456.0</v>
      </c>
      <c r="AG411" s="1">
        <v>5.0</v>
      </c>
      <c r="AH411" s="1">
        <v>161.0</v>
      </c>
      <c r="AI411" s="1">
        <v>285.0</v>
      </c>
      <c r="AJ411" s="1">
        <v>82.0</v>
      </c>
      <c r="AK411" s="1">
        <v>23.0</v>
      </c>
      <c r="AL411" s="1">
        <v>117.0</v>
      </c>
      <c r="AM411" s="1">
        <v>122.0</v>
      </c>
      <c r="AN411" s="1">
        <v>64.0</v>
      </c>
      <c r="AO411" s="1">
        <v>48.0</v>
      </c>
      <c r="AP411" s="1">
        <v>0.308711</v>
      </c>
      <c r="AQ411" s="1">
        <v>0.075298</v>
      </c>
      <c r="AR411" s="1">
        <v>0.144901</v>
      </c>
      <c r="AS411" s="1">
        <v>0.273971</v>
      </c>
      <c r="AT411" s="1">
        <v>15314.0</v>
      </c>
      <c r="AU411" s="1">
        <v>1813.0</v>
      </c>
      <c r="AV411" s="1">
        <v>0.257267</v>
      </c>
      <c r="AW411" s="1">
        <v>0.046909</v>
      </c>
      <c r="AX411" s="1">
        <v>0.177816</v>
      </c>
      <c r="AY411" s="1">
        <v>0.227383</v>
      </c>
      <c r="AZ411" s="1">
        <v>0.11735121</v>
      </c>
      <c r="BA411" s="1">
        <v>0.056499</v>
      </c>
      <c r="BB411" s="1">
        <v>0.0</v>
      </c>
      <c r="BC411" s="1">
        <v>0.152355</v>
      </c>
      <c r="BD411" s="1">
        <v>0.003462</v>
      </c>
      <c r="BE411" s="1">
        <v>0.111495</v>
      </c>
      <c r="BF411" s="1">
        <v>0.197368</v>
      </c>
      <c r="BG411" s="1">
        <v>0.055927</v>
      </c>
      <c r="BH411" s="1">
        <v>0.01936</v>
      </c>
      <c r="BI411" s="1">
        <v>0.098474</v>
      </c>
      <c r="BJ411" s="1">
        <v>0.102693</v>
      </c>
      <c r="BK411" s="1">
        <v>0.053319</v>
      </c>
      <c r="BL411" s="1">
        <v>0.016637</v>
      </c>
      <c r="BM411" s="1">
        <v>0.891</v>
      </c>
      <c r="BN411" s="1">
        <v>0.887</v>
      </c>
      <c r="BO411" s="1">
        <v>0.8643</v>
      </c>
      <c r="BP411" s="1">
        <v>0.884</v>
      </c>
      <c r="BQ411" s="1">
        <v>3.5263</v>
      </c>
      <c r="BR411" s="1">
        <v>0.9271</v>
      </c>
      <c r="BS411" s="1">
        <v>0.772</v>
      </c>
      <c r="BT411" s="1">
        <v>0.364</v>
      </c>
      <c r="BU411" s="1">
        <v>0.652</v>
      </c>
      <c r="BV411" s="1">
        <v>1.788</v>
      </c>
      <c r="BW411" s="1">
        <v>0.71</v>
      </c>
      <c r="BX411" s="1">
        <v>0.296</v>
      </c>
      <c r="BY411" s="1">
        <v>0.0</v>
      </c>
      <c r="BZ411" s="1">
        <v>0.296</v>
      </c>
      <c r="CA411" s="1">
        <v>0.127</v>
      </c>
      <c r="CB411" s="1">
        <v>0.294</v>
      </c>
      <c r="CC411" s="1">
        <v>0.896</v>
      </c>
      <c r="CD411" s="1">
        <v>0.67</v>
      </c>
      <c r="CE411" s="1">
        <v>0.762</v>
      </c>
      <c r="CF411" s="1">
        <v>0.669</v>
      </c>
      <c r="CG411" s="1">
        <v>3.291</v>
      </c>
      <c r="CH411" s="1">
        <v>0.869</v>
      </c>
      <c r="CI411" s="1">
        <v>8.9013</v>
      </c>
      <c r="CJ411" s="1">
        <v>0.8397</v>
      </c>
      <c r="CK411" s="1">
        <v>0.0</v>
      </c>
      <c r="CL411" s="1">
        <v>0.0</v>
      </c>
      <c r="CM411" s="1">
        <v>0.0</v>
      </c>
      <c r="CN411" s="1">
        <v>0.0</v>
      </c>
      <c r="CO411" s="1">
        <v>0.0</v>
      </c>
      <c r="CP411" s="1">
        <v>0.0</v>
      </c>
      <c r="CQ411" s="1">
        <v>0.0</v>
      </c>
      <c r="CR411" s="1">
        <v>0.0</v>
      </c>
      <c r="CS411" s="1">
        <v>0.0</v>
      </c>
      <c r="CT411" s="1">
        <v>0.0</v>
      </c>
      <c r="CU411" s="1">
        <v>0.0</v>
      </c>
      <c r="CV411" s="1">
        <v>0.0</v>
      </c>
      <c r="CW411" s="1">
        <v>0.0</v>
      </c>
      <c r="CX411" s="1">
        <v>0.0</v>
      </c>
      <c r="CY411" s="1">
        <v>0.0</v>
      </c>
      <c r="CZ411" s="1">
        <v>0.0</v>
      </c>
      <c r="DA411" s="1">
        <v>0.0</v>
      </c>
      <c r="DB411" s="1">
        <v>0.0</v>
      </c>
      <c r="DC411" s="1">
        <v>0.0</v>
      </c>
      <c r="DD411" s="1" t="s">
        <v>2028</v>
      </c>
      <c r="DE411" s="1">
        <v>0.00613519294920312</v>
      </c>
      <c r="DF411" s="2" t="s">
        <v>2029</v>
      </c>
    </row>
    <row r="412" ht="15.75" customHeight="1">
      <c r="A412" s="1" t="s">
        <v>2030</v>
      </c>
      <c r="B412" s="1">
        <v>29.0</v>
      </c>
      <c r="C412" s="2" t="s">
        <v>2021</v>
      </c>
      <c r="D412" s="1">
        <v>950200.0</v>
      </c>
      <c r="E412" s="1">
        <v>89.087</v>
      </c>
      <c r="F412" s="1">
        <v>29093.0</v>
      </c>
      <c r="G412" s="1">
        <v>2.90939502E10</v>
      </c>
      <c r="H412" s="1" t="s">
        <v>112</v>
      </c>
      <c r="I412" s="1" t="s">
        <v>113</v>
      </c>
      <c r="J412" s="1" t="s">
        <v>2022</v>
      </c>
      <c r="K412" s="1" t="s">
        <v>2031</v>
      </c>
      <c r="L412" s="1">
        <v>2700.0</v>
      </c>
      <c r="M412" s="1">
        <v>2278.0</v>
      </c>
      <c r="N412" s="1">
        <v>328.0</v>
      </c>
      <c r="O412" s="1">
        <v>1361.0</v>
      </c>
      <c r="P412" s="1">
        <v>1332.0</v>
      </c>
      <c r="Q412" s="1">
        <v>81.0</v>
      </c>
      <c r="R412" s="1">
        <v>1106.0</v>
      </c>
      <c r="S412" s="1">
        <v>291.0</v>
      </c>
      <c r="T412" s="1">
        <v>112.0</v>
      </c>
      <c r="U412" s="1">
        <v>44.0</v>
      </c>
      <c r="V412" s="1">
        <v>458.0</v>
      </c>
      <c r="W412" s="1">
        <v>21997.0</v>
      </c>
      <c r="X412" s="1">
        <v>3376.0</v>
      </c>
      <c r="Y412" s="1">
        <v>297.0</v>
      </c>
      <c r="Z412" s="1">
        <v>186.0</v>
      </c>
      <c r="AA412" s="1">
        <v>557.0</v>
      </c>
      <c r="AB412" s="1">
        <v>637.0</v>
      </c>
      <c r="AC412" s="1">
        <v>91.0</v>
      </c>
      <c r="AD412" s="1">
        <v>110.0</v>
      </c>
      <c r="AE412" s="1">
        <v>3.0</v>
      </c>
      <c r="AF412" s="1">
        <v>442.0</v>
      </c>
      <c r="AG412" s="1">
        <v>29.0</v>
      </c>
      <c r="AH412" s="1">
        <v>166.0</v>
      </c>
      <c r="AI412" s="1">
        <v>131.0</v>
      </c>
      <c r="AJ412" s="1">
        <v>59.0</v>
      </c>
      <c r="AK412" s="1">
        <v>40.0</v>
      </c>
      <c r="AL412" s="1">
        <v>120.0</v>
      </c>
      <c r="AM412" s="1">
        <v>48.0</v>
      </c>
      <c r="AN412" s="1">
        <v>50.0</v>
      </c>
      <c r="AO412" s="1">
        <v>99.0</v>
      </c>
      <c r="AP412" s="1">
        <v>0.13114</v>
      </c>
      <c r="AQ412" s="1">
        <v>0.047537</v>
      </c>
      <c r="AR412" s="1">
        <v>0.048565</v>
      </c>
      <c r="AS412" s="1">
        <v>0.505415</v>
      </c>
      <c r="AT412" s="1">
        <v>21997.0</v>
      </c>
      <c r="AU412" s="1">
        <v>3376.0</v>
      </c>
      <c r="AV412" s="1">
        <v>0.183673</v>
      </c>
      <c r="AW412" s="1">
        <v>0.113236</v>
      </c>
      <c r="AX412" s="1">
        <v>0.206296</v>
      </c>
      <c r="AY412" s="1">
        <v>0.235925</v>
      </c>
      <c r="AZ412" s="1">
        <v>0.08227848</v>
      </c>
      <c r="BA412" s="1">
        <v>0.04074</v>
      </c>
      <c r="BB412" s="1">
        <v>0.001389</v>
      </c>
      <c r="BC412" s="1">
        <v>0.204724</v>
      </c>
      <c r="BD412" s="1">
        <v>0.021771</v>
      </c>
      <c r="BE412" s="1">
        <v>0.124617</v>
      </c>
      <c r="BF412" s="1">
        <v>0.098348</v>
      </c>
      <c r="BG412" s="1">
        <v>0.043888</v>
      </c>
      <c r="BH412" s="1">
        <v>0.039177</v>
      </c>
      <c r="BI412" s="1">
        <v>0.117485</v>
      </c>
      <c r="BJ412" s="1">
        <v>0.047012</v>
      </c>
      <c r="BK412" s="1">
        <v>0.048811</v>
      </c>
      <c r="BL412" s="1">
        <v>0.036666</v>
      </c>
      <c r="BM412" s="1">
        <v>0.502</v>
      </c>
      <c r="BN412" s="1">
        <v>0.281</v>
      </c>
      <c r="BO412" s="1">
        <v>0.4946</v>
      </c>
      <c r="BP412" s="1">
        <v>0.699</v>
      </c>
      <c r="BQ412" s="1">
        <v>1.9766</v>
      </c>
      <c r="BR412" s="1">
        <v>0.4866</v>
      </c>
      <c r="BS412" s="1">
        <v>0.9</v>
      </c>
      <c r="BT412" s="1">
        <v>0.45</v>
      </c>
      <c r="BU412" s="1">
        <v>0.326</v>
      </c>
      <c r="BV412" s="1">
        <v>1.676</v>
      </c>
      <c r="BW412" s="1">
        <v>0.624</v>
      </c>
      <c r="BX412" s="1">
        <v>0.168</v>
      </c>
      <c r="BY412" s="1">
        <v>0.351</v>
      </c>
      <c r="BZ412" s="1">
        <v>0.519</v>
      </c>
      <c r="CA412" s="1">
        <v>0.218</v>
      </c>
      <c r="CB412" s="1">
        <v>0.486</v>
      </c>
      <c r="CC412" s="1">
        <v>0.712</v>
      </c>
      <c r="CD412" s="1">
        <v>0.887</v>
      </c>
      <c r="CE412" s="1">
        <v>0.464</v>
      </c>
      <c r="CF412" s="1">
        <v>0.852</v>
      </c>
      <c r="CG412" s="1">
        <v>3.401</v>
      </c>
      <c r="CH412" s="1">
        <v>0.915</v>
      </c>
      <c r="CI412" s="1">
        <v>7.5726</v>
      </c>
      <c r="CJ412" s="1">
        <v>0.6469</v>
      </c>
      <c r="CK412" s="1">
        <v>0.0</v>
      </c>
      <c r="CL412" s="1">
        <v>0.0</v>
      </c>
      <c r="CM412" s="1">
        <v>0.0</v>
      </c>
      <c r="CN412" s="1">
        <v>0.0</v>
      </c>
      <c r="CO412" s="1">
        <v>0.0</v>
      </c>
      <c r="CP412" s="1">
        <v>1.0</v>
      </c>
      <c r="CQ412" s="1">
        <v>0.0</v>
      </c>
      <c r="CR412" s="1">
        <v>0.0</v>
      </c>
      <c r="CS412" s="1">
        <v>1.0</v>
      </c>
      <c r="CT412" s="1">
        <v>0.0</v>
      </c>
      <c r="CU412" s="1">
        <v>0.0</v>
      </c>
      <c r="CV412" s="1">
        <v>0.0</v>
      </c>
      <c r="CW412" s="1">
        <v>0.0</v>
      </c>
      <c r="CX412" s="1">
        <v>0.0</v>
      </c>
      <c r="CY412" s="1">
        <v>0.0</v>
      </c>
      <c r="CZ412" s="1">
        <v>0.0</v>
      </c>
      <c r="DA412" s="1">
        <v>0.0</v>
      </c>
      <c r="DB412" s="1">
        <v>0.0</v>
      </c>
      <c r="DC412" s="1">
        <v>1.0</v>
      </c>
      <c r="DD412" s="1" t="s">
        <v>2032</v>
      </c>
      <c r="DE412" s="1">
        <v>0.0236458290594466</v>
      </c>
      <c r="DF412" s="2" t="s">
        <v>2033</v>
      </c>
    </row>
    <row r="413" ht="15.75" customHeight="1">
      <c r="A413" s="1" t="s">
        <v>2034</v>
      </c>
      <c r="B413" s="1">
        <v>29.0</v>
      </c>
      <c r="C413" s="2" t="s">
        <v>2021</v>
      </c>
      <c r="D413" s="1">
        <v>950400.0</v>
      </c>
      <c r="E413" s="1">
        <v>191.119</v>
      </c>
      <c r="F413" s="1">
        <v>29093.0</v>
      </c>
      <c r="G413" s="1">
        <v>2.90939504E10</v>
      </c>
      <c r="H413" s="1" t="s">
        <v>112</v>
      </c>
      <c r="I413" s="1" t="s">
        <v>113</v>
      </c>
      <c r="J413" s="1" t="s">
        <v>2022</v>
      </c>
      <c r="K413" s="1" t="s">
        <v>2035</v>
      </c>
      <c r="L413" s="1">
        <v>2204.0</v>
      </c>
      <c r="M413" s="1">
        <v>2196.0</v>
      </c>
      <c r="N413" s="1">
        <v>269.0</v>
      </c>
      <c r="O413" s="1">
        <v>1237.0</v>
      </c>
      <c r="P413" s="1">
        <v>1116.0</v>
      </c>
      <c r="Q413" s="1">
        <v>80.0</v>
      </c>
      <c r="R413" s="1">
        <v>914.0</v>
      </c>
      <c r="S413" s="1">
        <v>464.0</v>
      </c>
      <c r="T413" s="1">
        <v>154.0</v>
      </c>
      <c r="U413" s="1">
        <v>57.0</v>
      </c>
      <c r="V413" s="1">
        <v>444.0</v>
      </c>
      <c r="W413" s="1">
        <v>13323.0</v>
      </c>
      <c r="X413" s="1">
        <v>1424.0</v>
      </c>
      <c r="Y413" s="1">
        <v>435.0</v>
      </c>
      <c r="Z413" s="1">
        <v>254.0</v>
      </c>
      <c r="AA413" s="1">
        <v>332.0</v>
      </c>
      <c r="AB413" s="1">
        <v>512.0</v>
      </c>
      <c r="AC413" s="1">
        <v>83.0</v>
      </c>
      <c r="AD413" s="1">
        <v>124.0</v>
      </c>
      <c r="AE413" s="1">
        <v>0.0</v>
      </c>
      <c r="AF413" s="1">
        <v>456.0</v>
      </c>
      <c r="AG413" s="1">
        <v>27.0</v>
      </c>
      <c r="AH413" s="1">
        <v>162.0</v>
      </c>
      <c r="AI413" s="1">
        <v>283.0</v>
      </c>
      <c r="AJ413" s="1">
        <v>91.0</v>
      </c>
      <c r="AK413" s="1">
        <v>34.0</v>
      </c>
      <c r="AL413" s="1">
        <v>118.0</v>
      </c>
      <c r="AM413" s="1">
        <v>90.0</v>
      </c>
      <c r="AN413" s="1">
        <v>46.0</v>
      </c>
      <c r="AO413" s="1">
        <v>11.0</v>
      </c>
      <c r="AP413" s="1">
        <v>0.216721</v>
      </c>
      <c r="AQ413" s="1">
        <v>0.06698</v>
      </c>
      <c r="AR413" s="1">
        <v>0.07734</v>
      </c>
      <c r="AS413" s="1">
        <v>0.602175</v>
      </c>
      <c r="AT413" s="1">
        <v>13323.0</v>
      </c>
      <c r="AU413" s="1">
        <v>1424.0</v>
      </c>
      <c r="AV413" s="1">
        <v>0.307203</v>
      </c>
      <c r="AW413" s="1">
        <v>0.176637</v>
      </c>
      <c r="AX413" s="1">
        <v>0.150635</v>
      </c>
      <c r="AY413" s="1">
        <v>0.232304</v>
      </c>
      <c r="AZ413" s="1">
        <v>0.09080962</v>
      </c>
      <c r="BA413" s="1">
        <v>0.056261</v>
      </c>
      <c r="BB413" s="1">
        <v>0.0</v>
      </c>
      <c r="BC413" s="1">
        <v>0.221897</v>
      </c>
      <c r="BD413" s="1">
        <v>0.024193</v>
      </c>
      <c r="BE413" s="1">
        <v>0.14515</v>
      </c>
      <c r="BF413" s="1">
        <v>0.253584</v>
      </c>
      <c r="BG413" s="1">
        <v>0.079489</v>
      </c>
      <c r="BH413" s="1">
        <v>0.038548</v>
      </c>
      <c r="BI413" s="1">
        <v>0.133716</v>
      </c>
      <c r="BJ413" s="1">
        <v>0.10204</v>
      </c>
      <c r="BK413" s="1">
        <v>0.05088</v>
      </c>
      <c r="BL413" s="1">
        <v>0.00499</v>
      </c>
      <c r="BM413" s="1">
        <v>0.765</v>
      </c>
      <c r="BN413" s="1">
        <v>0.584</v>
      </c>
      <c r="BO413" s="1">
        <v>0.9278</v>
      </c>
      <c r="BP413" s="1">
        <v>0.949</v>
      </c>
      <c r="BQ413" s="1">
        <v>3.2258</v>
      </c>
      <c r="BR413" s="1">
        <v>0.8592</v>
      </c>
      <c r="BS413" s="1">
        <v>0.584</v>
      </c>
      <c r="BT413" s="1">
        <v>0.412</v>
      </c>
      <c r="BU413" s="1">
        <v>0.41</v>
      </c>
      <c r="BV413" s="1">
        <v>1.406</v>
      </c>
      <c r="BW413" s="1">
        <v>0.394</v>
      </c>
      <c r="BX413" s="1">
        <v>0.293</v>
      </c>
      <c r="BY413" s="1">
        <v>0.0</v>
      </c>
      <c r="BZ413" s="1">
        <v>0.293</v>
      </c>
      <c r="CA413" s="1">
        <v>0.125</v>
      </c>
      <c r="CB413" s="1">
        <v>0.507</v>
      </c>
      <c r="CC413" s="1">
        <v>0.953</v>
      </c>
      <c r="CD413" s="1">
        <v>0.884</v>
      </c>
      <c r="CE413" s="1">
        <v>0.761</v>
      </c>
      <c r="CF413" s="1">
        <v>0.509</v>
      </c>
      <c r="CG413" s="1">
        <v>3.614</v>
      </c>
      <c r="CH413" s="1">
        <v>0.96</v>
      </c>
      <c r="CI413" s="1">
        <v>8.5388</v>
      </c>
      <c r="CJ413" s="1">
        <v>0.7921</v>
      </c>
      <c r="CK413" s="1">
        <v>0.0</v>
      </c>
      <c r="CL413" s="1">
        <v>0.0</v>
      </c>
      <c r="CM413" s="1">
        <v>1.0</v>
      </c>
      <c r="CN413" s="1">
        <v>1.0</v>
      </c>
      <c r="CO413" s="1">
        <v>2.0</v>
      </c>
      <c r="CP413" s="1">
        <v>0.0</v>
      </c>
      <c r="CQ413" s="1">
        <v>0.0</v>
      </c>
      <c r="CR413" s="1">
        <v>0.0</v>
      </c>
      <c r="CS413" s="1">
        <v>0.0</v>
      </c>
      <c r="CT413" s="1">
        <v>0.0</v>
      </c>
      <c r="CU413" s="1">
        <v>0.0</v>
      </c>
      <c r="CV413" s="1">
        <v>0.0</v>
      </c>
      <c r="CW413" s="1">
        <v>0.0</v>
      </c>
      <c r="CX413" s="1">
        <v>1.0</v>
      </c>
      <c r="CY413" s="1">
        <v>0.0</v>
      </c>
      <c r="CZ413" s="1">
        <v>0.0</v>
      </c>
      <c r="DA413" s="1">
        <v>0.0</v>
      </c>
      <c r="DB413" s="1">
        <v>1.0</v>
      </c>
      <c r="DC413" s="1">
        <v>3.0</v>
      </c>
      <c r="DD413" s="1" t="s">
        <v>2036</v>
      </c>
      <c r="DE413" s="1">
        <v>0.0505169689614731</v>
      </c>
      <c r="DF413" s="2" t="s">
        <v>2037</v>
      </c>
    </row>
    <row r="414" ht="15.75" customHeight="1">
      <c r="A414" s="1" t="s">
        <v>2038</v>
      </c>
      <c r="B414" s="1">
        <v>29.0</v>
      </c>
      <c r="C414" s="2" t="s">
        <v>2039</v>
      </c>
      <c r="D414" s="2" t="s">
        <v>2040</v>
      </c>
      <c r="E414" s="1">
        <v>54.265</v>
      </c>
      <c r="F414" s="1">
        <v>29095.0</v>
      </c>
      <c r="G414" s="1">
        <v>2.9095015E10</v>
      </c>
      <c r="H414" s="1" t="s">
        <v>112</v>
      </c>
      <c r="I414" s="1" t="s">
        <v>113</v>
      </c>
      <c r="J414" s="1" t="s">
        <v>2041</v>
      </c>
      <c r="K414" s="1" t="s">
        <v>2042</v>
      </c>
      <c r="L414" s="1">
        <v>3741.0</v>
      </c>
      <c r="M414" s="1">
        <v>3729.0</v>
      </c>
      <c r="N414" s="1">
        <v>210.0</v>
      </c>
      <c r="O414" s="1">
        <v>1495.0</v>
      </c>
      <c r="P414" s="1">
        <v>1411.0</v>
      </c>
      <c r="Q414" s="1">
        <v>59.0</v>
      </c>
      <c r="R414" s="1">
        <v>1371.0</v>
      </c>
      <c r="S414" s="1">
        <v>248.0</v>
      </c>
      <c r="T414" s="1">
        <v>121.0</v>
      </c>
      <c r="U414" s="1">
        <v>99.0</v>
      </c>
      <c r="V414" s="1">
        <v>363.0</v>
      </c>
      <c r="W414" s="1">
        <v>27892.0</v>
      </c>
      <c r="X414" s="1">
        <v>4374.0</v>
      </c>
      <c r="Y414" s="1">
        <v>265.0</v>
      </c>
      <c r="Z414" s="1">
        <v>211.0</v>
      </c>
      <c r="AA414" s="1">
        <v>571.0</v>
      </c>
      <c r="AB414" s="1">
        <v>898.0</v>
      </c>
      <c r="AC414" s="1">
        <v>118.0</v>
      </c>
      <c r="AD414" s="1">
        <v>247.0</v>
      </c>
      <c r="AE414" s="1">
        <v>0.0</v>
      </c>
      <c r="AF414" s="1">
        <v>456.0</v>
      </c>
      <c r="AG414" s="1">
        <v>21.0</v>
      </c>
      <c r="AH414" s="1">
        <v>18.0</v>
      </c>
      <c r="AI414" s="1">
        <v>69.0</v>
      </c>
      <c r="AJ414" s="1">
        <v>36.0</v>
      </c>
      <c r="AK414" s="1">
        <v>28.0</v>
      </c>
      <c r="AL414" s="1">
        <v>116.0</v>
      </c>
      <c r="AM414" s="1">
        <v>53.0</v>
      </c>
      <c r="AN414" s="1">
        <v>32.0</v>
      </c>
      <c r="AO414" s="1">
        <v>51.0</v>
      </c>
      <c r="AP414" s="1">
        <v>0.06672</v>
      </c>
      <c r="AQ414" s="1">
        <v>0.032334</v>
      </c>
      <c r="AR414" s="1">
        <v>0.055493</v>
      </c>
      <c r="AS414" s="1">
        <v>0.203383</v>
      </c>
      <c r="AT414" s="1">
        <v>27892.0</v>
      </c>
      <c r="AU414" s="1">
        <v>4374.0</v>
      </c>
      <c r="AV414" s="1">
        <v>0.103273</v>
      </c>
      <c r="AW414" s="1">
        <v>0.08201</v>
      </c>
      <c r="AX414" s="1">
        <v>0.152632</v>
      </c>
      <c r="AY414" s="1">
        <v>0.240042</v>
      </c>
      <c r="AZ414" s="1">
        <v>0.08606856</v>
      </c>
      <c r="BA414" s="1">
        <v>0.066025</v>
      </c>
      <c r="BB414" s="1">
        <v>0.0</v>
      </c>
      <c r="BC414" s="1">
        <v>0.128813</v>
      </c>
      <c r="BD414" s="1">
        <v>0.014883</v>
      </c>
      <c r="BE414" s="1">
        <v>0.012741</v>
      </c>
      <c r="BF414" s="1">
        <v>0.048901</v>
      </c>
      <c r="BG414" s="1">
        <v>0.025431</v>
      </c>
      <c r="BH414" s="1">
        <v>0.021212</v>
      </c>
      <c r="BI414" s="1">
        <v>0.08787</v>
      </c>
      <c r="BJ414" s="1">
        <v>0.040151</v>
      </c>
      <c r="BK414" s="1">
        <v>0.024137</v>
      </c>
      <c r="BL414" s="1">
        <v>0.013632</v>
      </c>
      <c r="BM414" s="1">
        <v>0.235</v>
      </c>
      <c r="BN414" s="1">
        <v>0.355</v>
      </c>
      <c r="BO414" s="1">
        <v>0.2542</v>
      </c>
      <c r="BP414" s="1">
        <v>0.351</v>
      </c>
      <c r="BQ414" s="1">
        <v>1.1952</v>
      </c>
      <c r="BR414" s="1">
        <v>0.2556</v>
      </c>
      <c r="BS414" s="1">
        <v>0.602</v>
      </c>
      <c r="BT414" s="1">
        <v>0.497</v>
      </c>
      <c r="BU414" s="1">
        <v>0.366</v>
      </c>
      <c r="BV414" s="1">
        <v>1.465</v>
      </c>
      <c r="BW414" s="1">
        <v>0.45</v>
      </c>
      <c r="BX414" s="1">
        <v>0.345</v>
      </c>
      <c r="BY414" s="1">
        <v>0.0</v>
      </c>
      <c r="BZ414" s="1">
        <v>0.345</v>
      </c>
      <c r="CA414" s="1">
        <v>0.146</v>
      </c>
      <c r="CB414" s="1">
        <v>0.424</v>
      </c>
      <c r="CC414" s="1">
        <v>0.601</v>
      </c>
      <c r="CD414" s="1">
        <v>0.697</v>
      </c>
      <c r="CE414" s="1">
        <v>0.392</v>
      </c>
      <c r="CF414" s="1">
        <v>0.63</v>
      </c>
      <c r="CG414" s="1">
        <v>2.744</v>
      </c>
      <c r="CH414" s="1">
        <v>0.664</v>
      </c>
      <c r="CI414" s="1">
        <v>5.7492</v>
      </c>
      <c r="CJ414" s="1">
        <v>0.3292</v>
      </c>
      <c r="CK414" s="1">
        <v>0.0</v>
      </c>
      <c r="CL414" s="1">
        <v>0.0</v>
      </c>
      <c r="CM414" s="1">
        <v>0.0</v>
      </c>
      <c r="CN414" s="1">
        <v>0.0</v>
      </c>
      <c r="CO414" s="1">
        <v>0.0</v>
      </c>
      <c r="CP414" s="1">
        <v>0.0</v>
      </c>
      <c r="CQ414" s="1">
        <v>0.0</v>
      </c>
      <c r="CR414" s="1">
        <v>0.0</v>
      </c>
      <c r="CS414" s="1">
        <v>0.0</v>
      </c>
      <c r="CT414" s="1">
        <v>0.0</v>
      </c>
      <c r="CU414" s="1">
        <v>0.0</v>
      </c>
      <c r="CV414" s="1">
        <v>0.0</v>
      </c>
      <c r="CW414" s="1">
        <v>0.0</v>
      </c>
      <c r="CX414" s="1">
        <v>0.0</v>
      </c>
      <c r="CY414" s="1">
        <v>0.0</v>
      </c>
      <c r="CZ414" s="1">
        <v>0.0</v>
      </c>
      <c r="DA414" s="1">
        <v>0.0</v>
      </c>
      <c r="DB414" s="1">
        <v>0.0</v>
      </c>
      <c r="DC414" s="1">
        <v>0.0</v>
      </c>
      <c r="DD414" s="1" t="s">
        <v>2043</v>
      </c>
      <c r="DE414" s="2" t="s">
        <v>2044</v>
      </c>
      <c r="DF414" s="2" t="s">
        <v>2045</v>
      </c>
    </row>
    <row r="415" ht="15.75" customHeight="1">
      <c r="A415" s="1" t="s">
        <v>2046</v>
      </c>
      <c r="B415" s="1">
        <v>29.0</v>
      </c>
      <c r="C415" s="2" t="s">
        <v>2039</v>
      </c>
      <c r="D415" s="2" t="s">
        <v>2047</v>
      </c>
      <c r="E415" s="1">
        <v>0.39</v>
      </c>
      <c r="F415" s="1">
        <v>29095.0</v>
      </c>
      <c r="G415" s="1">
        <v>2.90950157E10</v>
      </c>
      <c r="H415" s="1" t="s">
        <v>112</v>
      </c>
      <c r="I415" s="1" t="s">
        <v>113</v>
      </c>
      <c r="J415" s="1" t="s">
        <v>2041</v>
      </c>
      <c r="K415" s="1" t="s">
        <v>2048</v>
      </c>
      <c r="L415" s="1">
        <v>1886.0</v>
      </c>
      <c r="M415" s="1">
        <v>1733.0</v>
      </c>
      <c r="N415" s="1">
        <v>157.0</v>
      </c>
      <c r="O415" s="1">
        <v>1625.0</v>
      </c>
      <c r="P415" s="1">
        <v>1646.0</v>
      </c>
      <c r="Q415" s="1">
        <v>77.0</v>
      </c>
      <c r="R415" s="1">
        <v>1418.0</v>
      </c>
      <c r="S415" s="1">
        <v>298.0</v>
      </c>
      <c r="T415" s="1">
        <v>126.0</v>
      </c>
      <c r="U415" s="1">
        <v>92.0</v>
      </c>
      <c r="V415" s="1">
        <v>461.0</v>
      </c>
      <c r="W415" s="1">
        <v>39170.0</v>
      </c>
      <c r="X415" s="1">
        <v>6027.0</v>
      </c>
      <c r="Y415" s="1">
        <v>72.0</v>
      </c>
      <c r="Z415" s="1">
        <v>364.0</v>
      </c>
      <c r="AA415" s="1">
        <v>68.0</v>
      </c>
      <c r="AB415" s="1">
        <v>56.0</v>
      </c>
      <c r="AC415" s="1">
        <v>29.0</v>
      </c>
      <c r="AD415" s="1">
        <v>494.0</v>
      </c>
      <c r="AE415" s="1">
        <v>13.0</v>
      </c>
      <c r="AF415" s="1">
        <v>442.0</v>
      </c>
      <c r="AG415" s="1">
        <v>1611.0</v>
      </c>
      <c r="AH415" s="1">
        <v>158.0</v>
      </c>
      <c r="AI415" s="1">
        <v>0.0</v>
      </c>
      <c r="AJ415" s="1">
        <v>114.0</v>
      </c>
      <c r="AK415" s="1">
        <v>10.0</v>
      </c>
      <c r="AL415" s="1">
        <v>115.0</v>
      </c>
      <c r="AM415" s="1">
        <v>209.0</v>
      </c>
      <c r="AN415" s="1">
        <v>84.0</v>
      </c>
      <c r="AO415" s="1">
        <v>0.0</v>
      </c>
      <c r="AP415" s="1">
        <v>0.171956</v>
      </c>
      <c r="AQ415" s="1">
        <v>0.071017</v>
      </c>
      <c r="AR415" s="1">
        <v>0.065997</v>
      </c>
      <c r="AS415" s="1">
        <v>0.330366</v>
      </c>
      <c r="AT415" s="1">
        <v>39170.0</v>
      </c>
      <c r="AU415" s="1">
        <v>6027.0</v>
      </c>
      <c r="AV415" s="1">
        <v>0.051063</v>
      </c>
      <c r="AW415" s="1">
        <v>0.258091</v>
      </c>
      <c r="AX415" s="1">
        <v>0.036055</v>
      </c>
      <c r="AY415" s="1">
        <v>0.029692</v>
      </c>
      <c r="AZ415" s="1">
        <v>0.02045133</v>
      </c>
      <c r="BA415" s="1">
        <v>0.26193</v>
      </c>
      <c r="BB415" s="1">
        <v>0.007683</v>
      </c>
      <c r="BC415" s="1">
        <v>0.261228</v>
      </c>
      <c r="BD415" s="1">
        <v>0.978736</v>
      </c>
      <c r="BE415" s="1">
        <v>0.084367</v>
      </c>
      <c r="BF415" s="1">
        <v>0.0</v>
      </c>
      <c r="BG415" s="1">
        <v>0.069258</v>
      </c>
      <c r="BH415" s="1">
        <v>0.007656</v>
      </c>
      <c r="BI415" s="1">
        <v>0.088052</v>
      </c>
      <c r="BJ415" s="1">
        <v>0.16003</v>
      </c>
      <c r="BK415" s="1">
        <v>0.062643</v>
      </c>
      <c r="BL415" s="1">
        <v>0.0</v>
      </c>
      <c r="BM415" s="1">
        <v>0.652</v>
      </c>
      <c r="BN415" s="1">
        <v>0.479</v>
      </c>
      <c r="BO415" s="1">
        <v>0.0722</v>
      </c>
      <c r="BP415" s="1">
        <v>0.129</v>
      </c>
      <c r="BQ415" s="1">
        <v>1.3322</v>
      </c>
      <c r="BR415" s="1">
        <v>0.2895</v>
      </c>
      <c r="BS415" s="1">
        <v>0.015</v>
      </c>
      <c r="BT415" s="1">
        <v>0.005</v>
      </c>
      <c r="BU415" s="1">
        <v>0.007</v>
      </c>
      <c r="BV415" s="1">
        <v>0.027</v>
      </c>
      <c r="BW415" s="1">
        <v>0.003</v>
      </c>
      <c r="BX415" s="1">
        <v>0.766</v>
      </c>
      <c r="BY415" s="1">
        <v>0.655</v>
      </c>
      <c r="BZ415" s="1">
        <v>1.421</v>
      </c>
      <c r="CA415" s="1">
        <v>0.774</v>
      </c>
      <c r="CB415" s="1">
        <v>0.999</v>
      </c>
      <c r="CC415" s="1">
        <v>0.0</v>
      </c>
      <c r="CD415" s="1">
        <v>0.419</v>
      </c>
      <c r="CE415" s="1">
        <v>0.872</v>
      </c>
      <c r="CF415" s="1">
        <v>0.0</v>
      </c>
      <c r="CG415" s="1">
        <v>2.29</v>
      </c>
      <c r="CH415" s="1">
        <v>0.453</v>
      </c>
      <c r="CI415" s="1">
        <v>5.0702</v>
      </c>
      <c r="CJ415" s="1">
        <v>0.213</v>
      </c>
      <c r="CK415" s="1">
        <v>0.0</v>
      </c>
      <c r="CL415" s="1">
        <v>0.0</v>
      </c>
      <c r="CM415" s="1">
        <v>0.0</v>
      </c>
      <c r="CN415" s="1">
        <v>0.0</v>
      </c>
      <c r="CO415" s="1">
        <v>0.0</v>
      </c>
      <c r="CP415" s="1">
        <v>0.0</v>
      </c>
      <c r="CQ415" s="1">
        <v>0.0</v>
      </c>
      <c r="CR415" s="1">
        <v>0.0</v>
      </c>
      <c r="CS415" s="1">
        <v>0.0</v>
      </c>
      <c r="CT415" s="1">
        <v>0.0</v>
      </c>
      <c r="CU415" s="1">
        <v>0.0</v>
      </c>
      <c r="CV415" s="1">
        <v>0.0</v>
      </c>
      <c r="CW415" s="1">
        <v>1.0</v>
      </c>
      <c r="CX415" s="1">
        <v>0.0</v>
      </c>
      <c r="CY415" s="1">
        <v>0.0</v>
      </c>
      <c r="CZ415" s="1">
        <v>0.0</v>
      </c>
      <c r="DA415" s="1">
        <v>0.0</v>
      </c>
      <c r="DB415" s="1">
        <v>1.0</v>
      </c>
      <c r="DC415" s="1">
        <v>1.0</v>
      </c>
      <c r="DD415" s="1" t="s">
        <v>2049</v>
      </c>
      <c r="DE415" s="1">
        <v>1.05334402796493E-4</v>
      </c>
      <c r="DF415" s="1">
        <v>0.0440958100871128</v>
      </c>
    </row>
    <row r="416" ht="15.75" customHeight="1">
      <c r="A416" s="1" t="s">
        <v>2050</v>
      </c>
      <c r="B416" s="1">
        <v>29.0</v>
      </c>
      <c r="C416" s="2" t="s">
        <v>2039</v>
      </c>
      <c r="D416" s="2" t="s">
        <v>2051</v>
      </c>
      <c r="E416" s="1">
        <v>0.495</v>
      </c>
      <c r="F416" s="1">
        <v>29095.0</v>
      </c>
      <c r="G416" s="1">
        <v>2.90950162E10</v>
      </c>
      <c r="H416" s="1" t="s">
        <v>112</v>
      </c>
      <c r="I416" s="1" t="s">
        <v>113</v>
      </c>
      <c r="J416" s="1" t="s">
        <v>2041</v>
      </c>
      <c r="K416" s="1" t="s">
        <v>2052</v>
      </c>
      <c r="L416" s="1">
        <v>1155.0</v>
      </c>
      <c r="M416" s="1">
        <v>1106.0</v>
      </c>
      <c r="N416" s="1">
        <v>338.0</v>
      </c>
      <c r="O416" s="1">
        <v>712.0</v>
      </c>
      <c r="P416" s="1">
        <v>743.0</v>
      </c>
      <c r="Q416" s="1">
        <v>96.0</v>
      </c>
      <c r="R416" s="1">
        <v>529.0</v>
      </c>
      <c r="S416" s="1">
        <v>268.0</v>
      </c>
      <c r="T416" s="1">
        <v>143.0</v>
      </c>
      <c r="U416" s="1">
        <v>94.0</v>
      </c>
      <c r="V416" s="1">
        <v>463.0</v>
      </c>
      <c r="W416" s="1">
        <v>13894.0</v>
      </c>
      <c r="X416" s="1">
        <v>3186.0</v>
      </c>
      <c r="Y416" s="1">
        <v>198.0</v>
      </c>
      <c r="Z416" s="1">
        <v>314.0</v>
      </c>
      <c r="AA416" s="1">
        <v>192.0</v>
      </c>
      <c r="AB416" s="1">
        <v>229.0</v>
      </c>
      <c r="AC416" s="1">
        <v>86.0</v>
      </c>
      <c r="AD416" s="1">
        <v>1012.0</v>
      </c>
      <c r="AE416" s="1">
        <v>0.0</v>
      </c>
      <c r="AF416" s="1">
        <v>456.0</v>
      </c>
      <c r="AG416" s="1">
        <v>309.0</v>
      </c>
      <c r="AH416" s="1">
        <v>112.0</v>
      </c>
      <c r="AI416" s="1">
        <v>0.0</v>
      </c>
      <c r="AJ416" s="1">
        <v>114.0</v>
      </c>
      <c r="AK416" s="1">
        <v>0.0</v>
      </c>
      <c r="AL416" s="1">
        <v>161.0</v>
      </c>
      <c r="AM416" s="1">
        <v>259.0</v>
      </c>
      <c r="AN416" s="1">
        <v>89.0</v>
      </c>
      <c r="AO416" s="1">
        <v>84.0</v>
      </c>
      <c r="AP416" s="1">
        <v>0.242314</v>
      </c>
      <c r="AQ416" s="1">
        <v>0.105987</v>
      </c>
      <c r="AR416" s="1">
        <v>0.191446</v>
      </c>
      <c r="AS416" s="1">
        <v>0.931198</v>
      </c>
      <c r="AT416" s="1">
        <v>13894.0</v>
      </c>
      <c r="AU416" s="1">
        <v>3186.0</v>
      </c>
      <c r="AV416" s="1">
        <v>0.230769</v>
      </c>
      <c r="AW416" s="1">
        <v>0.360792</v>
      </c>
      <c r="AX416" s="1">
        <v>0.166233</v>
      </c>
      <c r="AY416" s="1">
        <v>0.198268</v>
      </c>
      <c r="AZ416" s="1">
        <v>0.16257088</v>
      </c>
      <c r="BA416" s="1">
        <v>0.87619</v>
      </c>
      <c r="BB416" s="1">
        <v>0.0</v>
      </c>
      <c r="BC416" s="1">
        <v>0.435114</v>
      </c>
      <c r="BD416" s="1">
        <v>0.415881</v>
      </c>
      <c r="BE416" s="1">
        <v>0.140837</v>
      </c>
      <c r="BF416" s="1">
        <v>0.0</v>
      </c>
      <c r="BG416" s="1">
        <v>0.153432</v>
      </c>
      <c r="BH416" s="1">
        <v>0.0</v>
      </c>
      <c r="BI416" s="1">
        <v>0.307251</v>
      </c>
      <c r="BJ416" s="1">
        <v>0.494274</v>
      </c>
      <c r="BK416" s="1">
        <v>0.139967</v>
      </c>
      <c r="BL416" s="1">
        <v>0.072727</v>
      </c>
      <c r="BM416" s="1">
        <v>0.815</v>
      </c>
      <c r="BN416" s="1">
        <v>0.944</v>
      </c>
      <c r="BO416" s="1">
        <v>0.9155</v>
      </c>
      <c r="BP416" s="1">
        <v>0.828</v>
      </c>
      <c r="BQ416" s="1">
        <v>3.5025</v>
      </c>
      <c r="BR416" s="1">
        <v>0.9227</v>
      </c>
      <c r="BS416" s="1">
        <v>0.708</v>
      </c>
      <c r="BT416" s="1">
        <v>0.181</v>
      </c>
      <c r="BU416" s="1">
        <v>0.828</v>
      </c>
      <c r="BV416" s="1">
        <v>1.717</v>
      </c>
      <c r="BW416" s="1">
        <v>0.655</v>
      </c>
      <c r="BX416" s="1">
        <v>0.941</v>
      </c>
      <c r="BY416" s="1">
        <v>0.0</v>
      </c>
      <c r="BZ416" s="1">
        <v>0.941</v>
      </c>
      <c r="CA416" s="1">
        <v>0.502</v>
      </c>
      <c r="CB416" s="1">
        <v>0.971</v>
      </c>
      <c r="CC416" s="1">
        <v>0.0</v>
      </c>
      <c r="CD416" s="1">
        <v>0.0</v>
      </c>
      <c r="CE416" s="1">
        <v>0.996</v>
      </c>
      <c r="CF416" s="1">
        <v>0.926</v>
      </c>
      <c r="CG416" s="1">
        <v>2.893</v>
      </c>
      <c r="CH416" s="1">
        <v>0.729</v>
      </c>
      <c r="CI416" s="1">
        <v>9.0535</v>
      </c>
      <c r="CJ416" s="1">
        <v>0.8599</v>
      </c>
      <c r="CK416" s="1">
        <v>0.0</v>
      </c>
      <c r="CL416" s="1">
        <v>1.0</v>
      </c>
      <c r="CM416" s="1">
        <v>1.0</v>
      </c>
      <c r="CN416" s="1">
        <v>0.0</v>
      </c>
      <c r="CO416" s="1">
        <v>2.0</v>
      </c>
      <c r="CP416" s="1">
        <v>0.0</v>
      </c>
      <c r="CQ416" s="1">
        <v>0.0</v>
      </c>
      <c r="CR416" s="1">
        <v>0.0</v>
      </c>
      <c r="CS416" s="1">
        <v>0.0</v>
      </c>
      <c r="CT416" s="1">
        <v>1.0</v>
      </c>
      <c r="CU416" s="1">
        <v>0.0</v>
      </c>
      <c r="CV416" s="1">
        <v>1.0</v>
      </c>
      <c r="CW416" s="1">
        <v>1.0</v>
      </c>
      <c r="CX416" s="1">
        <v>0.0</v>
      </c>
      <c r="CY416" s="1">
        <v>0.0</v>
      </c>
      <c r="CZ416" s="1">
        <v>1.0</v>
      </c>
      <c r="DA416" s="1">
        <v>1.0</v>
      </c>
      <c r="DB416" s="1">
        <v>3.0</v>
      </c>
      <c r="DC416" s="1">
        <v>6.0</v>
      </c>
      <c r="DD416" s="1" t="s">
        <v>2053</v>
      </c>
      <c r="DE416" s="1">
        <v>1.33979006039366E-4</v>
      </c>
      <c r="DF416" s="1">
        <v>0.0474199744858054</v>
      </c>
    </row>
    <row r="417" ht="15.75" customHeight="1">
      <c r="A417" s="1" t="s">
        <v>2054</v>
      </c>
      <c r="B417" s="1">
        <v>29.0</v>
      </c>
      <c r="C417" s="2" t="s">
        <v>2039</v>
      </c>
      <c r="D417" s="2" t="s">
        <v>2055</v>
      </c>
      <c r="E417" s="1">
        <v>0.496</v>
      </c>
      <c r="F417" s="1">
        <v>29095.0</v>
      </c>
      <c r="G417" s="1">
        <v>2.90950164E10</v>
      </c>
      <c r="H417" s="1" t="s">
        <v>112</v>
      </c>
      <c r="I417" s="1" t="s">
        <v>113</v>
      </c>
      <c r="J417" s="1" t="s">
        <v>2041</v>
      </c>
      <c r="K417" s="1" t="s">
        <v>2056</v>
      </c>
      <c r="L417" s="1">
        <v>1873.0</v>
      </c>
      <c r="M417" s="1">
        <v>2046.0</v>
      </c>
      <c r="N417" s="1">
        <v>261.0</v>
      </c>
      <c r="O417" s="1">
        <v>953.0</v>
      </c>
      <c r="P417" s="1">
        <v>1007.0</v>
      </c>
      <c r="Q417" s="1">
        <v>53.0</v>
      </c>
      <c r="R417" s="1">
        <v>672.0</v>
      </c>
      <c r="S417" s="1">
        <v>619.0</v>
      </c>
      <c r="T417" s="1">
        <v>354.0</v>
      </c>
      <c r="U417" s="1">
        <v>105.0</v>
      </c>
      <c r="V417" s="1">
        <v>433.0</v>
      </c>
      <c r="W417" s="1">
        <v>12120.0</v>
      </c>
      <c r="X417" s="1">
        <v>3115.0</v>
      </c>
      <c r="Y417" s="1">
        <v>379.0</v>
      </c>
      <c r="Z417" s="1">
        <v>275.0</v>
      </c>
      <c r="AA417" s="1">
        <v>124.0</v>
      </c>
      <c r="AB417" s="1">
        <v>539.0</v>
      </c>
      <c r="AC417" s="1">
        <v>176.0</v>
      </c>
      <c r="AD417" s="1">
        <v>1549.0</v>
      </c>
      <c r="AE417" s="1">
        <v>197.0</v>
      </c>
      <c r="AF417" s="1">
        <v>456.0</v>
      </c>
      <c r="AG417" s="1">
        <v>0.0</v>
      </c>
      <c r="AH417" s="1">
        <v>197.0</v>
      </c>
      <c r="AI417" s="1">
        <v>25.0</v>
      </c>
      <c r="AJ417" s="1">
        <v>39.0</v>
      </c>
      <c r="AK417" s="1">
        <v>57.0</v>
      </c>
      <c r="AL417" s="1">
        <v>126.0</v>
      </c>
      <c r="AM417" s="1">
        <v>137.0</v>
      </c>
      <c r="AN417" s="1">
        <v>70.0</v>
      </c>
      <c r="AO417" s="1">
        <v>47.0</v>
      </c>
      <c r="AP417" s="1">
        <v>0.311524</v>
      </c>
      <c r="AQ417" s="1">
        <v>0.173094</v>
      </c>
      <c r="AR417" s="1">
        <v>0.126964</v>
      </c>
      <c r="AS417" s="1">
        <v>0.520877</v>
      </c>
      <c r="AT417" s="1">
        <v>12120.0</v>
      </c>
      <c r="AU417" s="1">
        <v>3115.0</v>
      </c>
      <c r="AV417" s="1">
        <v>0.34963</v>
      </c>
      <c r="AW417" s="1">
        <v>0.247549</v>
      </c>
      <c r="AX417" s="1">
        <v>0.066203</v>
      </c>
      <c r="AY417" s="1">
        <v>0.287773</v>
      </c>
      <c r="AZ417" s="1">
        <v>0.26190476</v>
      </c>
      <c r="BA417" s="1">
        <v>0.827015</v>
      </c>
      <c r="BB417" s="1">
        <v>0.101861</v>
      </c>
      <c r="BC417" s="1">
        <v>0.235441</v>
      </c>
      <c r="BD417" s="1">
        <v>0.0</v>
      </c>
      <c r="BE417" s="1">
        <v>0.19563</v>
      </c>
      <c r="BF417" s="1">
        <v>0.024826</v>
      </c>
      <c r="BG417" s="1">
        <v>0.038706</v>
      </c>
      <c r="BH417" s="1">
        <v>0.084569</v>
      </c>
      <c r="BI417" s="1">
        <v>0.186646</v>
      </c>
      <c r="BJ417" s="1">
        <v>0.203264</v>
      </c>
      <c r="BK417" s="1">
        <v>0.10072</v>
      </c>
      <c r="BL417" s="1">
        <v>0.025093</v>
      </c>
      <c r="BM417" s="1">
        <v>0.894</v>
      </c>
      <c r="BN417" s="1">
        <v>0.846</v>
      </c>
      <c r="BO417" s="1">
        <v>0.9581</v>
      </c>
      <c r="BP417" s="1">
        <v>0.977</v>
      </c>
      <c r="BQ417" s="1">
        <v>3.6751</v>
      </c>
      <c r="BR417" s="1">
        <v>0.9538</v>
      </c>
      <c r="BS417" s="1">
        <v>0.069</v>
      </c>
      <c r="BT417" s="1">
        <v>0.879</v>
      </c>
      <c r="BU417" s="1">
        <v>0.957</v>
      </c>
      <c r="BV417" s="1">
        <v>1.905</v>
      </c>
      <c r="BW417" s="1">
        <v>0.804</v>
      </c>
      <c r="BX417" s="1">
        <v>0.927</v>
      </c>
      <c r="BY417" s="1">
        <v>0.984</v>
      </c>
      <c r="BZ417" s="1">
        <v>1.911</v>
      </c>
      <c r="CA417" s="1">
        <v>0.995</v>
      </c>
      <c r="CB417" s="1">
        <v>0.0</v>
      </c>
      <c r="CC417" s="1">
        <v>0.532</v>
      </c>
      <c r="CD417" s="1">
        <v>0.99</v>
      </c>
      <c r="CE417" s="1">
        <v>0.908</v>
      </c>
      <c r="CF417" s="1">
        <v>0.771</v>
      </c>
      <c r="CG417" s="1">
        <v>3.201</v>
      </c>
      <c r="CH417" s="1">
        <v>0.843</v>
      </c>
      <c r="CI417" s="1">
        <v>10.6921</v>
      </c>
      <c r="CJ417" s="1">
        <v>0.9812</v>
      </c>
      <c r="CK417" s="1">
        <v>0.0</v>
      </c>
      <c r="CL417" s="1">
        <v>0.0</v>
      </c>
      <c r="CM417" s="1">
        <v>1.0</v>
      </c>
      <c r="CN417" s="1">
        <v>1.0</v>
      </c>
      <c r="CO417" s="1">
        <v>2.0</v>
      </c>
      <c r="CP417" s="1">
        <v>0.0</v>
      </c>
      <c r="CQ417" s="1">
        <v>0.0</v>
      </c>
      <c r="CR417" s="1">
        <v>1.0</v>
      </c>
      <c r="CS417" s="1">
        <v>1.0</v>
      </c>
      <c r="CT417" s="1">
        <v>1.0</v>
      </c>
      <c r="CU417" s="1">
        <v>1.0</v>
      </c>
      <c r="CV417" s="1">
        <v>2.0</v>
      </c>
      <c r="CW417" s="1">
        <v>0.0</v>
      </c>
      <c r="CX417" s="1">
        <v>0.0</v>
      </c>
      <c r="CY417" s="1">
        <v>1.0</v>
      </c>
      <c r="CZ417" s="1">
        <v>1.0</v>
      </c>
      <c r="DA417" s="1">
        <v>0.0</v>
      </c>
      <c r="DB417" s="1">
        <v>2.0</v>
      </c>
      <c r="DC417" s="1">
        <v>7.0</v>
      </c>
      <c r="DD417" s="1" t="s">
        <v>2057</v>
      </c>
      <c r="DE417" s="1">
        <v>1.33476385865677E-4</v>
      </c>
      <c r="DF417" s="1">
        <v>0.0515632637068384</v>
      </c>
    </row>
    <row r="418" ht="15.75" customHeight="1">
      <c r="A418" s="1" t="s">
        <v>2058</v>
      </c>
      <c r="B418" s="1">
        <v>29.0</v>
      </c>
      <c r="C418" s="2" t="s">
        <v>2039</v>
      </c>
      <c r="D418" s="2" t="s">
        <v>2059</v>
      </c>
      <c r="E418" s="1">
        <v>0.495</v>
      </c>
      <c r="F418" s="1">
        <v>29095.0</v>
      </c>
      <c r="G418" s="1">
        <v>2.90950169E10</v>
      </c>
      <c r="H418" s="1" t="s">
        <v>112</v>
      </c>
      <c r="I418" s="1" t="s">
        <v>113</v>
      </c>
      <c r="J418" s="1" t="s">
        <v>2041</v>
      </c>
      <c r="K418" s="1" t="s">
        <v>2060</v>
      </c>
      <c r="L418" s="1">
        <v>2367.0</v>
      </c>
      <c r="M418" s="1">
        <v>2269.0</v>
      </c>
      <c r="N418" s="1">
        <v>441.0</v>
      </c>
      <c r="O418" s="1">
        <v>1331.0</v>
      </c>
      <c r="P418" s="1">
        <v>1322.0</v>
      </c>
      <c r="Q418" s="1">
        <v>101.0</v>
      </c>
      <c r="R418" s="1">
        <v>952.0</v>
      </c>
      <c r="S418" s="1">
        <v>684.0</v>
      </c>
      <c r="T418" s="1">
        <v>257.0</v>
      </c>
      <c r="U418" s="1">
        <v>347.0</v>
      </c>
      <c r="V418" s="1">
        <v>401.0</v>
      </c>
      <c r="W418" s="1">
        <v>14961.0</v>
      </c>
      <c r="X418" s="1">
        <v>2233.0</v>
      </c>
      <c r="Y418" s="1">
        <v>277.0</v>
      </c>
      <c r="Z418" s="1">
        <v>299.0</v>
      </c>
      <c r="AA418" s="1">
        <v>291.0</v>
      </c>
      <c r="AB418" s="1">
        <v>668.0</v>
      </c>
      <c r="AC418" s="1">
        <v>238.0</v>
      </c>
      <c r="AD418" s="1">
        <v>2211.0</v>
      </c>
      <c r="AE418" s="1">
        <v>26.0</v>
      </c>
      <c r="AF418" s="1">
        <v>412.0</v>
      </c>
      <c r="AG418" s="1">
        <v>99.0</v>
      </c>
      <c r="AH418" s="1">
        <v>129.0</v>
      </c>
      <c r="AI418" s="1">
        <v>0.0</v>
      </c>
      <c r="AJ418" s="1">
        <v>114.0</v>
      </c>
      <c r="AK418" s="1">
        <v>18.0</v>
      </c>
      <c r="AL418" s="1">
        <v>116.0</v>
      </c>
      <c r="AM418" s="1">
        <v>178.0</v>
      </c>
      <c r="AN418" s="1">
        <v>69.0</v>
      </c>
      <c r="AO418" s="1">
        <v>0.0</v>
      </c>
      <c r="AP418" s="1">
        <v>0.30346</v>
      </c>
      <c r="AQ418" s="1">
        <v>0.097341</v>
      </c>
      <c r="AR418" s="1">
        <v>0.352642</v>
      </c>
      <c r="AS418" s="1">
        <v>0.394233</v>
      </c>
      <c r="AT418" s="1">
        <v>14961.0</v>
      </c>
      <c r="AU418" s="1">
        <v>2233.0</v>
      </c>
      <c r="AV418" s="1">
        <v>0.187924</v>
      </c>
      <c r="AW418" s="1">
        <v>0.199308</v>
      </c>
      <c r="AX418" s="1">
        <v>0.12294</v>
      </c>
      <c r="AY418" s="1">
        <v>0.282213</v>
      </c>
      <c r="AZ418" s="1">
        <v>0.25</v>
      </c>
      <c r="BA418" s="1">
        <v>0.934093</v>
      </c>
      <c r="BB418" s="1">
        <v>0.012014</v>
      </c>
      <c r="BC418" s="1">
        <v>0.190372</v>
      </c>
      <c r="BD418" s="1">
        <v>0.074886</v>
      </c>
      <c r="BE418" s="1">
        <v>0.097411</v>
      </c>
      <c r="BF418" s="1">
        <v>0.0</v>
      </c>
      <c r="BG418" s="1">
        <v>0.086232</v>
      </c>
      <c r="BH418" s="1">
        <v>0.021327</v>
      </c>
      <c r="BI418" s="1">
        <v>0.137407</v>
      </c>
      <c r="BJ418" s="1">
        <v>0.2109</v>
      </c>
      <c r="BK418" s="1">
        <v>0.076153</v>
      </c>
      <c r="BL418" s="1">
        <v>0.0</v>
      </c>
      <c r="BM418" s="1">
        <v>0.889</v>
      </c>
      <c r="BN418" s="1">
        <v>0.995</v>
      </c>
      <c r="BO418" s="1">
        <v>0.8765</v>
      </c>
      <c r="BP418" s="1">
        <v>0.718</v>
      </c>
      <c r="BQ418" s="1">
        <v>3.4785</v>
      </c>
      <c r="BR418" s="1">
        <v>0.9191</v>
      </c>
      <c r="BS418" s="1">
        <v>0.362</v>
      </c>
      <c r="BT418" s="1">
        <v>0.856</v>
      </c>
      <c r="BU418" s="1">
        <v>0.946</v>
      </c>
      <c r="BV418" s="1">
        <v>2.164</v>
      </c>
      <c r="BW418" s="1">
        <v>0.953</v>
      </c>
      <c r="BX418" s="1">
        <v>0.951</v>
      </c>
      <c r="BY418" s="1">
        <v>0.771</v>
      </c>
      <c r="BZ418" s="1">
        <v>1.722</v>
      </c>
      <c r="CA418" s="1">
        <v>0.933</v>
      </c>
      <c r="CB418" s="1">
        <v>0.723</v>
      </c>
      <c r="CC418" s="1">
        <v>0.0</v>
      </c>
      <c r="CD418" s="1">
        <v>0.7</v>
      </c>
      <c r="CE418" s="1">
        <v>0.915</v>
      </c>
      <c r="CF418" s="1">
        <v>0.0</v>
      </c>
      <c r="CG418" s="1">
        <v>2.338</v>
      </c>
      <c r="CH418" s="1">
        <v>0.479</v>
      </c>
      <c r="CI418" s="1">
        <v>9.7025</v>
      </c>
      <c r="CJ418" s="1">
        <v>0.9249</v>
      </c>
      <c r="CK418" s="1">
        <v>0.0</v>
      </c>
      <c r="CL418" s="1">
        <v>1.0</v>
      </c>
      <c r="CM418" s="1">
        <v>0.0</v>
      </c>
      <c r="CN418" s="1">
        <v>0.0</v>
      </c>
      <c r="CO418" s="1">
        <v>1.0</v>
      </c>
      <c r="CP418" s="1">
        <v>0.0</v>
      </c>
      <c r="CQ418" s="1">
        <v>0.0</v>
      </c>
      <c r="CR418" s="1">
        <v>1.0</v>
      </c>
      <c r="CS418" s="1">
        <v>1.0</v>
      </c>
      <c r="CT418" s="1">
        <v>1.0</v>
      </c>
      <c r="CU418" s="1">
        <v>0.0</v>
      </c>
      <c r="CV418" s="1">
        <v>1.0</v>
      </c>
      <c r="CW418" s="1">
        <v>0.0</v>
      </c>
      <c r="CX418" s="1">
        <v>0.0</v>
      </c>
      <c r="CY418" s="1">
        <v>0.0</v>
      </c>
      <c r="CZ418" s="1">
        <v>1.0</v>
      </c>
      <c r="DA418" s="1">
        <v>0.0</v>
      </c>
      <c r="DB418" s="1">
        <v>1.0</v>
      </c>
      <c r="DC418" s="1">
        <v>4.0</v>
      </c>
      <c r="DD418" s="1" t="s">
        <v>2061</v>
      </c>
      <c r="DE418" s="1">
        <v>1.33459943487929E-4</v>
      </c>
      <c r="DF418" s="1">
        <v>0.0515064310845287</v>
      </c>
    </row>
    <row r="419" ht="15.75" customHeight="1">
      <c r="A419" s="1" t="s">
        <v>2062</v>
      </c>
      <c r="B419" s="1">
        <v>29.0</v>
      </c>
      <c r="C419" s="2" t="s">
        <v>2039</v>
      </c>
      <c r="D419" s="2" t="s">
        <v>2063</v>
      </c>
      <c r="E419" s="1">
        <v>0.47</v>
      </c>
      <c r="F419" s="1">
        <v>29095.0</v>
      </c>
      <c r="G419" s="1">
        <v>2.90950178E10</v>
      </c>
      <c r="H419" s="1" t="s">
        <v>112</v>
      </c>
      <c r="I419" s="1" t="s">
        <v>113</v>
      </c>
      <c r="J419" s="1" t="s">
        <v>2041</v>
      </c>
      <c r="K419" s="1" t="s">
        <v>2064</v>
      </c>
      <c r="L419" s="1">
        <v>2933.0</v>
      </c>
      <c r="M419" s="1">
        <v>2602.0</v>
      </c>
      <c r="N419" s="1">
        <v>343.0</v>
      </c>
      <c r="O419" s="1">
        <v>2422.0</v>
      </c>
      <c r="P419" s="1">
        <v>2373.0</v>
      </c>
      <c r="Q419" s="1">
        <v>113.0</v>
      </c>
      <c r="R419" s="1">
        <v>1689.0</v>
      </c>
      <c r="S419" s="1">
        <v>959.0</v>
      </c>
      <c r="T419" s="1">
        <v>246.0</v>
      </c>
      <c r="U419" s="1">
        <v>279.0</v>
      </c>
      <c r="V419" s="1">
        <v>321.0</v>
      </c>
      <c r="W419" s="1">
        <v>25387.0</v>
      </c>
      <c r="X419" s="1">
        <v>8363.0</v>
      </c>
      <c r="Y419" s="1">
        <v>169.0</v>
      </c>
      <c r="Z419" s="1">
        <v>291.0</v>
      </c>
      <c r="AA419" s="1">
        <v>198.0</v>
      </c>
      <c r="AB419" s="1">
        <v>426.0</v>
      </c>
      <c r="AC419" s="1">
        <v>194.0</v>
      </c>
      <c r="AD419" s="1">
        <v>1781.0</v>
      </c>
      <c r="AE419" s="1">
        <v>35.0</v>
      </c>
      <c r="AF419" s="1">
        <v>445.0</v>
      </c>
      <c r="AG419" s="1">
        <v>1584.0</v>
      </c>
      <c r="AH419" s="1">
        <v>226.0</v>
      </c>
      <c r="AI419" s="1">
        <v>0.0</v>
      </c>
      <c r="AJ419" s="1">
        <v>114.0</v>
      </c>
      <c r="AK419" s="1">
        <v>52.0</v>
      </c>
      <c r="AL419" s="1">
        <v>121.0</v>
      </c>
      <c r="AM419" s="1">
        <v>486.0</v>
      </c>
      <c r="AN419" s="1">
        <v>115.0</v>
      </c>
      <c r="AO419" s="1">
        <v>84.0</v>
      </c>
      <c r="AP419" s="1">
        <v>0.368562</v>
      </c>
      <c r="AQ419" s="1">
        <v>0.081103</v>
      </c>
      <c r="AR419" s="1">
        <v>0.174593</v>
      </c>
      <c r="AS419" s="1">
        <v>0.198201</v>
      </c>
      <c r="AT419" s="1">
        <v>25387.0</v>
      </c>
      <c r="AU419" s="1">
        <v>8363.0</v>
      </c>
      <c r="AV419" s="1">
        <v>0.091748</v>
      </c>
      <c r="AW419" s="1">
        <v>0.157253</v>
      </c>
      <c r="AX419" s="1">
        <v>0.067507</v>
      </c>
      <c r="AY419" s="1">
        <v>0.145243</v>
      </c>
      <c r="AZ419" s="1">
        <v>0.11486086</v>
      </c>
      <c r="BA419" s="1">
        <v>0.607228</v>
      </c>
      <c r="BB419" s="1">
        <v>0.014577</v>
      </c>
      <c r="BC419" s="1">
        <v>0.185329</v>
      </c>
      <c r="BD419" s="1">
        <v>0.667509</v>
      </c>
      <c r="BE419" s="1">
        <v>0.089777</v>
      </c>
      <c r="BF419" s="1">
        <v>0.0</v>
      </c>
      <c r="BG419" s="1">
        <v>0.04804</v>
      </c>
      <c r="BH419" s="1">
        <v>0.036697</v>
      </c>
      <c r="BI419" s="1">
        <v>0.085289</v>
      </c>
      <c r="BJ419" s="1">
        <v>0.342978</v>
      </c>
      <c r="BK419" s="1">
        <v>0.071189</v>
      </c>
      <c r="BL419" s="1">
        <v>0.028639</v>
      </c>
      <c r="BM419" s="1">
        <v>0.936</v>
      </c>
      <c r="BN419" s="1">
        <v>0.93</v>
      </c>
      <c r="BO419" s="1">
        <v>0.3329</v>
      </c>
      <c r="BP419" s="1">
        <v>0.3</v>
      </c>
      <c r="BQ419" s="1">
        <v>2.4989</v>
      </c>
      <c r="BR419" s="1">
        <v>0.6643</v>
      </c>
      <c r="BS419" s="1">
        <v>0.074</v>
      </c>
      <c r="BT419" s="1">
        <v>0.058</v>
      </c>
      <c r="BU419" s="1">
        <v>0.629</v>
      </c>
      <c r="BV419" s="1">
        <v>0.761</v>
      </c>
      <c r="BW419" s="1">
        <v>0.069</v>
      </c>
      <c r="BX419" s="1">
        <v>0.884</v>
      </c>
      <c r="BY419" s="1">
        <v>0.805</v>
      </c>
      <c r="BZ419" s="1">
        <v>1.689</v>
      </c>
      <c r="CA419" s="1">
        <v>0.915</v>
      </c>
      <c r="CB419" s="1">
        <v>0.99</v>
      </c>
      <c r="CC419" s="1">
        <v>0.0</v>
      </c>
      <c r="CD419" s="1">
        <v>0.869</v>
      </c>
      <c r="CE419" s="1">
        <v>0.976</v>
      </c>
      <c r="CF419" s="1">
        <v>0.8</v>
      </c>
      <c r="CG419" s="1">
        <v>3.635</v>
      </c>
      <c r="CH419" s="1">
        <v>0.965</v>
      </c>
      <c r="CI419" s="1">
        <v>8.5839</v>
      </c>
      <c r="CJ419" s="1">
        <v>0.8014</v>
      </c>
      <c r="CK419" s="1">
        <v>1.0</v>
      </c>
      <c r="CL419" s="1">
        <v>1.0</v>
      </c>
      <c r="CM419" s="1">
        <v>0.0</v>
      </c>
      <c r="CN419" s="1">
        <v>0.0</v>
      </c>
      <c r="CO419" s="1">
        <v>2.0</v>
      </c>
      <c r="CP419" s="1">
        <v>0.0</v>
      </c>
      <c r="CQ419" s="1">
        <v>0.0</v>
      </c>
      <c r="CR419" s="1">
        <v>0.0</v>
      </c>
      <c r="CS419" s="1">
        <v>0.0</v>
      </c>
      <c r="CT419" s="1">
        <v>0.0</v>
      </c>
      <c r="CU419" s="1">
        <v>0.0</v>
      </c>
      <c r="CV419" s="1">
        <v>0.0</v>
      </c>
      <c r="CW419" s="1">
        <v>1.0</v>
      </c>
      <c r="CX419" s="1">
        <v>0.0</v>
      </c>
      <c r="CY419" s="1">
        <v>0.0</v>
      </c>
      <c r="CZ419" s="1">
        <v>1.0</v>
      </c>
      <c r="DA419" s="1">
        <v>0.0</v>
      </c>
      <c r="DB419" s="1">
        <v>2.0</v>
      </c>
      <c r="DC419" s="1">
        <v>4.0</v>
      </c>
      <c r="DD419" s="1" t="s">
        <v>2065</v>
      </c>
      <c r="DE419" s="1">
        <v>1.26847550003877E-4</v>
      </c>
      <c r="DF419" s="2" t="s">
        <v>2066</v>
      </c>
    </row>
    <row r="420" ht="15.75" customHeight="1">
      <c r="A420" s="1" t="s">
        <v>2067</v>
      </c>
      <c r="B420" s="1">
        <v>29.0</v>
      </c>
      <c r="C420" s="2" t="s">
        <v>2039</v>
      </c>
      <c r="D420" s="2" t="s">
        <v>2068</v>
      </c>
      <c r="E420" s="1">
        <v>7.171</v>
      </c>
      <c r="F420" s="1">
        <v>29095.0</v>
      </c>
      <c r="G420" s="1">
        <v>2.90950181E10</v>
      </c>
      <c r="H420" s="1" t="s">
        <v>112</v>
      </c>
      <c r="I420" s="1" t="s">
        <v>113</v>
      </c>
      <c r="J420" s="1" t="s">
        <v>2041</v>
      </c>
      <c r="K420" s="1" t="s">
        <v>2069</v>
      </c>
      <c r="L420" s="1">
        <v>6643.0</v>
      </c>
      <c r="M420" s="1">
        <v>5639.0</v>
      </c>
      <c r="N420" s="1">
        <v>317.0</v>
      </c>
      <c r="O420" s="1">
        <v>2388.0</v>
      </c>
      <c r="P420" s="1">
        <v>2168.0</v>
      </c>
      <c r="Q420" s="1">
        <v>107.0</v>
      </c>
      <c r="R420" s="1">
        <v>2282.0</v>
      </c>
      <c r="S420" s="1">
        <v>111.0</v>
      </c>
      <c r="T420" s="1">
        <v>80.0</v>
      </c>
      <c r="U420" s="1">
        <v>123.0</v>
      </c>
      <c r="V420" s="1">
        <v>416.0</v>
      </c>
      <c r="W420" s="1">
        <v>32561.0</v>
      </c>
      <c r="X420" s="1">
        <v>2504.0</v>
      </c>
      <c r="Y420" s="1">
        <v>126.0</v>
      </c>
      <c r="Z420" s="1">
        <v>368.0</v>
      </c>
      <c r="AA420" s="1">
        <v>715.0</v>
      </c>
      <c r="AB420" s="1">
        <v>1980.0</v>
      </c>
      <c r="AC420" s="1">
        <v>198.0</v>
      </c>
      <c r="AD420" s="1">
        <v>1078.0</v>
      </c>
      <c r="AE420" s="1">
        <v>0.0</v>
      </c>
      <c r="AF420" s="1">
        <v>456.0</v>
      </c>
      <c r="AG420" s="1">
        <v>0.0</v>
      </c>
      <c r="AH420" s="1">
        <v>197.0</v>
      </c>
      <c r="AI420" s="1">
        <v>0.0</v>
      </c>
      <c r="AJ420" s="1">
        <v>114.0</v>
      </c>
      <c r="AK420" s="1">
        <v>0.0</v>
      </c>
      <c r="AL420" s="1">
        <v>161.0</v>
      </c>
      <c r="AM420" s="1">
        <v>5.0</v>
      </c>
      <c r="AN420" s="1">
        <v>114.0</v>
      </c>
      <c r="AO420" s="1">
        <v>7.0</v>
      </c>
      <c r="AP420" s="1">
        <v>0.019684</v>
      </c>
      <c r="AQ420" s="1">
        <v>0.014143</v>
      </c>
      <c r="AR420" s="1">
        <v>0.041302</v>
      </c>
      <c r="AS420" s="1">
        <v>0.139622</v>
      </c>
      <c r="AT420" s="1">
        <v>32561.0</v>
      </c>
      <c r="AU420" s="1">
        <v>2504.0</v>
      </c>
      <c r="AV420" s="1">
        <v>0.034044</v>
      </c>
      <c r="AW420" s="1">
        <v>0.099403</v>
      </c>
      <c r="AX420" s="1">
        <v>0.107632</v>
      </c>
      <c r="AY420" s="1">
        <v>0.298058</v>
      </c>
      <c r="AZ420" s="1">
        <v>0.08676599</v>
      </c>
      <c r="BA420" s="1">
        <v>0.162276</v>
      </c>
      <c r="BB420" s="1">
        <v>0.0</v>
      </c>
      <c r="BC420" s="1">
        <v>0.085891</v>
      </c>
      <c r="BD420" s="1">
        <v>0.0</v>
      </c>
      <c r="BE420" s="1">
        <v>0.090867</v>
      </c>
      <c r="BF420" s="1">
        <v>0.0</v>
      </c>
      <c r="BG420" s="1">
        <v>0.052583</v>
      </c>
      <c r="BH420" s="1">
        <v>0.0</v>
      </c>
      <c r="BI420" s="1">
        <v>0.080945</v>
      </c>
      <c r="BJ420" s="1">
        <v>0.002513</v>
      </c>
      <c r="BK420" s="1">
        <v>0.057314</v>
      </c>
      <c r="BL420" s="1">
        <v>0.001053</v>
      </c>
      <c r="BM420" s="1">
        <v>0.052</v>
      </c>
      <c r="BN420" s="1">
        <v>0.197</v>
      </c>
      <c r="BO420" s="1">
        <v>0.1473</v>
      </c>
      <c r="BP420" s="1">
        <v>0.078</v>
      </c>
      <c r="BQ420" s="1">
        <v>0.4743</v>
      </c>
      <c r="BR420" s="1">
        <v>0.0578</v>
      </c>
      <c r="BS420" s="1">
        <v>0.255</v>
      </c>
      <c r="BT420" s="1">
        <v>0.915</v>
      </c>
      <c r="BU420" s="1">
        <v>0.374</v>
      </c>
      <c r="BV420" s="1">
        <v>1.544</v>
      </c>
      <c r="BW420" s="1">
        <v>0.517</v>
      </c>
      <c r="BX420" s="1">
        <v>0.655</v>
      </c>
      <c r="BY420" s="1">
        <v>0.0</v>
      </c>
      <c r="BZ420" s="1">
        <v>0.655</v>
      </c>
      <c r="CA420" s="1">
        <v>0.307</v>
      </c>
      <c r="CB420" s="1">
        <v>0.0</v>
      </c>
      <c r="CC420" s="1">
        <v>0.0</v>
      </c>
      <c r="CD420" s="1">
        <v>0.0</v>
      </c>
      <c r="CE420" s="1">
        <v>0.036</v>
      </c>
      <c r="CF420" s="1">
        <v>0.402</v>
      </c>
      <c r="CG420" s="1">
        <v>0.438</v>
      </c>
      <c r="CH420" s="1">
        <v>0.023</v>
      </c>
      <c r="CI420" s="1">
        <v>3.1113</v>
      </c>
      <c r="CJ420" s="1">
        <v>0.0245</v>
      </c>
      <c r="CK420" s="1">
        <v>0.0</v>
      </c>
      <c r="CL420" s="1">
        <v>0.0</v>
      </c>
      <c r="CM420" s="1">
        <v>0.0</v>
      </c>
      <c r="CN420" s="1">
        <v>0.0</v>
      </c>
      <c r="CO420" s="1">
        <v>0.0</v>
      </c>
      <c r="CP420" s="1">
        <v>0.0</v>
      </c>
      <c r="CQ420" s="1">
        <v>1.0</v>
      </c>
      <c r="CR420" s="1">
        <v>0.0</v>
      </c>
      <c r="CS420" s="1">
        <v>1.0</v>
      </c>
      <c r="CT420" s="1">
        <v>0.0</v>
      </c>
      <c r="CU420" s="1">
        <v>0.0</v>
      </c>
      <c r="CV420" s="1">
        <v>0.0</v>
      </c>
      <c r="CW420" s="1">
        <v>0.0</v>
      </c>
      <c r="CX420" s="1">
        <v>0.0</v>
      </c>
      <c r="CY420" s="1">
        <v>0.0</v>
      </c>
      <c r="CZ420" s="1">
        <v>0.0</v>
      </c>
      <c r="DA420" s="1">
        <v>0.0</v>
      </c>
      <c r="DB420" s="1">
        <v>0.0</v>
      </c>
      <c r="DC420" s="1">
        <v>1.0</v>
      </c>
      <c r="DD420" s="1" t="s">
        <v>2070</v>
      </c>
      <c r="DE420" s="1">
        <v>0.00196976477042357</v>
      </c>
      <c r="DF420" s="2" t="s">
        <v>2071</v>
      </c>
    </row>
    <row r="421" ht="15.75" customHeight="1">
      <c r="A421" s="1" t="s">
        <v>2072</v>
      </c>
      <c r="B421" s="1">
        <v>29.0</v>
      </c>
      <c r="C421" s="2" t="s">
        <v>2039</v>
      </c>
      <c r="D421" s="2" t="s">
        <v>2073</v>
      </c>
      <c r="E421" s="1">
        <v>2.212</v>
      </c>
      <c r="F421" s="1">
        <v>29095.0</v>
      </c>
      <c r="G421" s="1">
        <v>2.9095012701E10</v>
      </c>
      <c r="H421" s="1" t="s">
        <v>112</v>
      </c>
      <c r="I421" s="1" t="s">
        <v>113</v>
      </c>
      <c r="J421" s="1" t="s">
        <v>2041</v>
      </c>
      <c r="K421" s="1" t="s">
        <v>2074</v>
      </c>
      <c r="L421" s="1">
        <v>6812.0</v>
      </c>
      <c r="M421" s="1">
        <v>6946.0</v>
      </c>
      <c r="N421" s="1">
        <v>480.0</v>
      </c>
      <c r="O421" s="1">
        <v>2919.0</v>
      </c>
      <c r="P421" s="1">
        <v>2841.0</v>
      </c>
      <c r="Q421" s="1">
        <v>118.0</v>
      </c>
      <c r="R421" s="1">
        <v>2741.0</v>
      </c>
      <c r="S421" s="1">
        <v>398.0</v>
      </c>
      <c r="T421" s="1">
        <v>262.0</v>
      </c>
      <c r="U421" s="1">
        <v>311.0</v>
      </c>
      <c r="V421" s="1">
        <v>371.0</v>
      </c>
      <c r="W421" s="1">
        <v>25030.0</v>
      </c>
      <c r="X421" s="1">
        <v>2417.0</v>
      </c>
      <c r="Y421" s="1">
        <v>482.0</v>
      </c>
      <c r="Z421" s="1">
        <v>269.0</v>
      </c>
      <c r="AA421" s="1">
        <v>1276.0</v>
      </c>
      <c r="AB421" s="1">
        <v>1510.0</v>
      </c>
      <c r="AC421" s="1">
        <v>298.0</v>
      </c>
      <c r="AD421" s="1">
        <v>2083.0</v>
      </c>
      <c r="AE421" s="1">
        <v>25.0</v>
      </c>
      <c r="AF421" s="1">
        <v>428.0</v>
      </c>
      <c r="AG421" s="1">
        <v>39.0</v>
      </c>
      <c r="AH421" s="1">
        <v>122.0</v>
      </c>
      <c r="AI421" s="1">
        <v>0.0</v>
      </c>
      <c r="AJ421" s="1">
        <v>114.0</v>
      </c>
      <c r="AK421" s="1">
        <v>12.0</v>
      </c>
      <c r="AL421" s="1">
        <v>116.0</v>
      </c>
      <c r="AM421" s="1">
        <v>54.0</v>
      </c>
      <c r="AN421" s="1">
        <v>41.0</v>
      </c>
      <c r="AO421" s="1">
        <v>202.0</v>
      </c>
      <c r="AP421" s="1">
        <v>0.059598</v>
      </c>
      <c r="AQ421" s="1">
        <v>0.039013</v>
      </c>
      <c r="AR421" s="1">
        <v>0.089858</v>
      </c>
      <c r="AS421" s="1">
        <v>0.1067</v>
      </c>
      <c r="AT421" s="1">
        <v>25030.0</v>
      </c>
      <c r="AU421" s="1">
        <v>2417.0</v>
      </c>
      <c r="AV421" s="1">
        <v>0.100416</v>
      </c>
      <c r="AW421" s="1">
        <v>0.055652</v>
      </c>
      <c r="AX421" s="1">
        <v>0.187316</v>
      </c>
      <c r="AY421" s="1">
        <v>0.221667</v>
      </c>
      <c r="AZ421" s="1">
        <v>0.10871944</v>
      </c>
      <c r="BA421" s="1">
        <v>0.305783</v>
      </c>
      <c r="BB421" s="1">
        <v>0.003853</v>
      </c>
      <c r="BC421" s="1">
        <v>0.065977</v>
      </c>
      <c r="BD421" s="1">
        <v>0.013727</v>
      </c>
      <c r="BE421" s="1">
        <v>0.042938</v>
      </c>
      <c r="BF421" s="1">
        <v>0.0</v>
      </c>
      <c r="BG421" s="1">
        <v>0.040126</v>
      </c>
      <c r="BH421" s="1">
        <v>0.004507</v>
      </c>
      <c r="BI421" s="1">
        <v>0.043575</v>
      </c>
      <c r="BJ421" s="1">
        <v>0.020285</v>
      </c>
      <c r="BK421" s="1">
        <v>0.015366</v>
      </c>
      <c r="BL421" s="1">
        <v>0.029653</v>
      </c>
      <c r="BM421" s="1">
        <v>0.203</v>
      </c>
      <c r="BN421" s="1">
        <v>0.682</v>
      </c>
      <c r="BO421" s="1">
        <v>0.348</v>
      </c>
      <c r="BP421" s="1">
        <v>0.343</v>
      </c>
      <c r="BQ421" s="1">
        <v>1.576</v>
      </c>
      <c r="BR421" s="1">
        <v>0.3632</v>
      </c>
      <c r="BS421" s="1">
        <v>0.825</v>
      </c>
      <c r="BT421" s="1">
        <v>0.312</v>
      </c>
      <c r="BU421" s="1">
        <v>0.571</v>
      </c>
      <c r="BV421" s="1">
        <v>1.708</v>
      </c>
      <c r="BW421" s="1">
        <v>0.644</v>
      </c>
      <c r="BX421" s="1">
        <v>0.791</v>
      </c>
      <c r="BY421" s="1">
        <v>0.506</v>
      </c>
      <c r="BZ421" s="1">
        <v>1.297</v>
      </c>
      <c r="CA421" s="1">
        <v>0.71</v>
      </c>
      <c r="CB421" s="1">
        <v>0.416</v>
      </c>
      <c r="CC421" s="1">
        <v>0.0</v>
      </c>
      <c r="CD421" s="1">
        <v>0.323</v>
      </c>
      <c r="CE421" s="1">
        <v>0.184</v>
      </c>
      <c r="CF421" s="1">
        <v>0.805</v>
      </c>
      <c r="CG421" s="1">
        <v>1.728</v>
      </c>
      <c r="CH421" s="1">
        <v>0.241</v>
      </c>
      <c r="CI421" s="1">
        <v>6.309</v>
      </c>
      <c r="CJ421" s="1">
        <v>0.4296</v>
      </c>
      <c r="CK421" s="1">
        <v>0.0</v>
      </c>
      <c r="CL421" s="1">
        <v>0.0</v>
      </c>
      <c r="CM421" s="1">
        <v>0.0</v>
      </c>
      <c r="CN421" s="1">
        <v>0.0</v>
      </c>
      <c r="CO421" s="1">
        <v>0.0</v>
      </c>
      <c r="CP421" s="1">
        <v>0.0</v>
      </c>
      <c r="CQ421" s="1">
        <v>0.0</v>
      </c>
      <c r="CR421" s="1">
        <v>0.0</v>
      </c>
      <c r="CS421" s="1">
        <v>0.0</v>
      </c>
      <c r="CT421" s="1">
        <v>0.0</v>
      </c>
      <c r="CU421" s="1">
        <v>0.0</v>
      </c>
      <c r="CV421" s="1">
        <v>0.0</v>
      </c>
      <c r="CW421" s="1">
        <v>0.0</v>
      </c>
      <c r="CX421" s="1">
        <v>0.0</v>
      </c>
      <c r="CY421" s="1">
        <v>0.0</v>
      </c>
      <c r="CZ421" s="1">
        <v>0.0</v>
      </c>
      <c r="DA421" s="1">
        <v>0.0</v>
      </c>
      <c r="DB421" s="1">
        <v>0.0</v>
      </c>
      <c r="DC421" s="1">
        <v>0.0</v>
      </c>
      <c r="DD421" s="1" t="s">
        <v>2075</v>
      </c>
      <c r="DE421" s="1">
        <v>6.07415706054794E-4</v>
      </c>
      <c r="DF421" s="2" t="s">
        <v>2076</v>
      </c>
    </row>
    <row r="422" ht="15.75" customHeight="1">
      <c r="A422" s="1" t="s">
        <v>2077</v>
      </c>
      <c r="B422" s="1">
        <v>29.0</v>
      </c>
      <c r="C422" s="2" t="s">
        <v>2039</v>
      </c>
      <c r="D422" s="2" t="s">
        <v>2078</v>
      </c>
      <c r="E422" s="1">
        <v>1.122</v>
      </c>
      <c r="F422" s="1">
        <v>29095.0</v>
      </c>
      <c r="G422" s="1">
        <v>2.9095012904E10</v>
      </c>
      <c r="H422" s="1" t="s">
        <v>112</v>
      </c>
      <c r="I422" s="1" t="s">
        <v>113</v>
      </c>
      <c r="J422" s="1" t="s">
        <v>2041</v>
      </c>
      <c r="K422" s="1" t="s">
        <v>2079</v>
      </c>
      <c r="L422" s="1">
        <v>2404.0</v>
      </c>
      <c r="M422" s="1">
        <v>2848.0</v>
      </c>
      <c r="N422" s="1">
        <v>265.0</v>
      </c>
      <c r="O422" s="1">
        <v>1023.0</v>
      </c>
      <c r="P422" s="1">
        <v>1065.0</v>
      </c>
      <c r="Q422" s="1">
        <v>23.0</v>
      </c>
      <c r="R422" s="1">
        <v>932.0</v>
      </c>
      <c r="S422" s="1">
        <v>213.0</v>
      </c>
      <c r="T422" s="1">
        <v>145.0</v>
      </c>
      <c r="U422" s="1">
        <v>132.0</v>
      </c>
      <c r="V422" s="1">
        <v>433.0</v>
      </c>
      <c r="W422" s="1">
        <v>23220.0</v>
      </c>
      <c r="X422" s="1">
        <v>3050.0</v>
      </c>
      <c r="Y422" s="1">
        <v>251.0</v>
      </c>
      <c r="Z422" s="1">
        <v>322.0</v>
      </c>
      <c r="AA422" s="1">
        <v>310.0</v>
      </c>
      <c r="AB422" s="1">
        <v>606.0</v>
      </c>
      <c r="AC422" s="1">
        <v>141.0</v>
      </c>
      <c r="AD422" s="1">
        <v>1565.0</v>
      </c>
      <c r="AE422" s="1">
        <v>42.0</v>
      </c>
      <c r="AF422" s="1">
        <v>444.0</v>
      </c>
      <c r="AG422" s="1">
        <v>0.0</v>
      </c>
      <c r="AH422" s="1">
        <v>197.0</v>
      </c>
      <c r="AI422" s="1">
        <v>53.0</v>
      </c>
      <c r="AJ422" s="1">
        <v>53.0</v>
      </c>
      <c r="AK422" s="1">
        <v>0.0</v>
      </c>
      <c r="AL422" s="1">
        <v>161.0</v>
      </c>
      <c r="AM422" s="1">
        <v>9.0</v>
      </c>
      <c r="AN422" s="1">
        <v>115.0</v>
      </c>
      <c r="AO422" s="1">
        <v>0.0</v>
      </c>
      <c r="AP422" s="1">
        <v>0.074789</v>
      </c>
      <c r="AQ422" s="1">
        <v>0.050435</v>
      </c>
      <c r="AR422" s="1">
        <v>0.090909</v>
      </c>
      <c r="AS422" s="1">
        <v>0.297648</v>
      </c>
      <c r="AT422" s="1">
        <v>23220.0</v>
      </c>
      <c r="AU422" s="1">
        <v>3050.0</v>
      </c>
      <c r="AV422" s="1">
        <v>0.13351</v>
      </c>
      <c r="AW422" s="1">
        <v>0.170931</v>
      </c>
      <c r="AX422" s="1">
        <v>0.128951</v>
      </c>
      <c r="AY422" s="1">
        <v>0.252079</v>
      </c>
      <c r="AZ422" s="1">
        <v>0.15128755</v>
      </c>
      <c r="BA422" s="1">
        <v>0.650998</v>
      </c>
      <c r="BB422" s="1">
        <v>0.015373</v>
      </c>
      <c r="BC422" s="1">
        <v>0.162511</v>
      </c>
      <c r="BD422" s="1">
        <v>0.0</v>
      </c>
      <c r="BE422" s="1">
        <v>0.184976</v>
      </c>
      <c r="BF422" s="1">
        <v>0.049765</v>
      </c>
      <c r="BG422" s="1">
        <v>0.049753</v>
      </c>
      <c r="BH422" s="1">
        <v>0.0</v>
      </c>
      <c r="BI422" s="1">
        <v>0.155555</v>
      </c>
      <c r="BJ422" s="1">
        <v>0.008695</v>
      </c>
      <c r="BK422" s="1">
        <v>0.11111</v>
      </c>
      <c r="BL422" s="1">
        <v>0.0</v>
      </c>
      <c r="BM422" s="1">
        <v>0.266</v>
      </c>
      <c r="BN422" s="1">
        <v>0.686</v>
      </c>
      <c r="BO422" s="1">
        <v>0.4354</v>
      </c>
      <c r="BP422" s="1">
        <v>0.489</v>
      </c>
      <c r="BQ422" s="1">
        <v>1.8764</v>
      </c>
      <c r="BR422" s="1">
        <v>0.4556</v>
      </c>
      <c r="BS422" s="1">
        <v>0.41</v>
      </c>
      <c r="BT422" s="1">
        <v>0.624</v>
      </c>
      <c r="BU422" s="1">
        <v>0.8</v>
      </c>
      <c r="BV422" s="1">
        <v>1.834</v>
      </c>
      <c r="BW422" s="1">
        <v>0.758</v>
      </c>
      <c r="BX422" s="1">
        <v>0.891</v>
      </c>
      <c r="BY422" s="1">
        <v>0.815</v>
      </c>
      <c r="BZ422" s="1">
        <v>1.706</v>
      </c>
      <c r="CA422" s="1">
        <v>0.925</v>
      </c>
      <c r="CB422" s="1">
        <v>0.0</v>
      </c>
      <c r="CC422" s="1">
        <v>0.606</v>
      </c>
      <c r="CD422" s="1">
        <v>0.0</v>
      </c>
      <c r="CE422" s="1">
        <v>0.071</v>
      </c>
      <c r="CF422" s="1">
        <v>0.0</v>
      </c>
      <c r="CG422" s="1">
        <v>0.677</v>
      </c>
      <c r="CH422" s="1">
        <v>0.043</v>
      </c>
      <c r="CI422" s="1">
        <v>6.0934</v>
      </c>
      <c r="CJ422" s="1">
        <v>0.3884</v>
      </c>
      <c r="CK422" s="1">
        <v>0.0</v>
      </c>
      <c r="CL422" s="1">
        <v>0.0</v>
      </c>
      <c r="CM422" s="1">
        <v>0.0</v>
      </c>
      <c r="CN422" s="1">
        <v>0.0</v>
      </c>
      <c r="CO422" s="1">
        <v>0.0</v>
      </c>
      <c r="CP422" s="1">
        <v>0.0</v>
      </c>
      <c r="CQ422" s="1">
        <v>0.0</v>
      </c>
      <c r="CR422" s="1">
        <v>0.0</v>
      </c>
      <c r="CS422" s="1">
        <v>0.0</v>
      </c>
      <c r="CT422" s="1">
        <v>0.0</v>
      </c>
      <c r="CU422" s="1">
        <v>0.0</v>
      </c>
      <c r="CV422" s="1">
        <v>0.0</v>
      </c>
      <c r="CW422" s="1">
        <v>0.0</v>
      </c>
      <c r="CX422" s="1">
        <v>0.0</v>
      </c>
      <c r="CY422" s="1">
        <v>0.0</v>
      </c>
      <c r="CZ422" s="1">
        <v>0.0</v>
      </c>
      <c r="DA422" s="1">
        <v>0.0</v>
      </c>
      <c r="DB422" s="1">
        <v>0.0</v>
      </c>
      <c r="DC422" s="1">
        <v>0.0</v>
      </c>
      <c r="DD422" s="1" t="s">
        <v>2080</v>
      </c>
      <c r="DE422" s="1">
        <v>3.02275232719771E-4</v>
      </c>
      <c r="DF422" s="1">
        <v>0.0737092058236247</v>
      </c>
    </row>
    <row r="423" ht="15.75" customHeight="1">
      <c r="A423" s="1" t="s">
        <v>2081</v>
      </c>
      <c r="B423" s="1">
        <v>29.0</v>
      </c>
      <c r="C423" s="2" t="s">
        <v>2039</v>
      </c>
      <c r="D423" s="2" t="s">
        <v>2082</v>
      </c>
      <c r="E423" s="1">
        <v>0.722</v>
      </c>
      <c r="F423" s="1">
        <v>29095.0</v>
      </c>
      <c r="G423" s="1">
        <v>2.909501321E10</v>
      </c>
      <c r="H423" s="1" t="s">
        <v>112</v>
      </c>
      <c r="I423" s="1" t="s">
        <v>113</v>
      </c>
      <c r="J423" s="1" t="s">
        <v>2041</v>
      </c>
      <c r="K423" s="1" t="s">
        <v>2083</v>
      </c>
      <c r="L423" s="1">
        <v>2685.0</v>
      </c>
      <c r="M423" s="1">
        <v>2701.0</v>
      </c>
      <c r="N423" s="1">
        <v>367.0</v>
      </c>
      <c r="O423" s="1">
        <v>1126.0</v>
      </c>
      <c r="P423" s="1">
        <v>1197.0</v>
      </c>
      <c r="Q423" s="1">
        <v>32.0</v>
      </c>
      <c r="R423" s="1">
        <v>1014.0</v>
      </c>
      <c r="S423" s="1">
        <v>396.0</v>
      </c>
      <c r="T423" s="1">
        <v>224.0</v>
      </c>
      <c r="U423" s="1">
        <v>139.0</v>
      </c>
      <c r="V423" s="1">
        <v>419.0</v>
      </c>
      <c r="W423" s="1">
        <v>16070.0</v>
      </c>
      <c r="X423" s="1">
        <v>2173.0</v>
      </c>
      <c r="Y423" s="1">
        <v>218.0</v>
      </c>
      <c r="Z423" s="1">
        <v>361.0</v>
      </c>
      <c r="AA423" s="1">
        <v>233.0</v>
      </c>
      <c r="AB423" s="1">
        <v>890.0</v>
      </c>
      <c r="AC423" s="1">
        <v>288.0</v>
      </c>
      <c r="AD423" s="1">
        <v>2054.0</v>
      </c>
      <c r="AE423" s="1">
        <v>0.0</v>
      </c>
      <c r="AF423" s="1">
        <v>456.0</v>
      </c>
      <c r="AG423" s="1">
        <v>47.0</v>
      </c>
      <c r="AH423" s="1">
        <v>125.0</v>
      </c>
      <c r="AI423" s="1">
        <v>0.0</v>
      </c>
      <c r="AJ423" s="1">
        <v>114.0</v>
      </c>
      <c r="AK423" s="1">
        <v>11.0</v>
      </c>
      <c r="AL423" s="1">
        <v>116.0</v>
      </c>
      <c r="AM423" s="1">
        <v>101.0</v>
      </c>
      <c r="AN423" s="1">
        <v>65.0</v>
      </c>
      <c r="AO423" s="1">
        <v>13.0</v>
      </c>
      <c r="AP423" s="1">
        <v>0.147376</v>
      </c>
      <c r="AQ423" s="1">
        <v>0.080924</v>
      </c>
      <c r="AR423" s="1">
        <v>0.109535</v>
      </c>
      <c r="AS423" s="1">
        <v>0.329045</v>
      </c>
      <c r="AT423" s="1">
        <v>16070.0</v>
      </c>
      <c r="AU423" s="1">
        <v>2173.0</v>
      </c>
      <c r="AV423" s="1">
        <v>0.153197</v>
      </c>
      <c r="AW423" s="1">
        <v>0.252403</v>
      </c>
      <c r="AX423" s="1">
        <v>0.086778</v>
      </c>
      <c r="AY423" s="1">
        <v>0.331471</v>
      </c>
      <c r="AZ423" s="1">
        <v>0.28402366</v>
      </c>
      <c r="BA423" s="1">
        <v>0.76499</v>
      </c>
      <c r="BB423" s="1">
        <v>0.0</v>
      </c>
      <c r="BC423" s="1">
        <v>0.191275</v>
      </c>
      <c r="BD423" s="1">
        <v>0.039264</v>
      </c>
      <c r="BE423" s="1">
        <v>0.104422</v>
      </c>
      <c r="BF423" s="1">
        <v>0.0</v>
      </c>
      <c r="BG423" s="1">
        <v>0.095238</v>
      </c>
      <c r="BH423" s="1">
        <v>0.010223</v>
      </c>
      <c r="BI423" s="1">
        <v>0.107802</v>
      </c>
      <c r="BJ423" s="1">
        <v>0.093866</v>
      </c>
      <c r="BK423" s="1">
        <v>0.059762</v>
      </c>
      <c r="BL423" s="1">
        <v>0.004841</v>
      </c>
      <c r="BM423" s="1">
        <v>0.572</v>
      </c>
      <c r="BN423" s="1">
        <v>0.787</v>
      </c>
      <c r="BO423" s="1">
        <v>0.8347</v>
      </c>
      <c r="BP423" s="1">
        <v>0.578</v>
      </c>
      <c r="BQ423" s="1">
        <v>2.7717</v>
      </c>
      <c r="BR423" s="1">
        <v>0.7401</v>
      </c>
      <c r="BS423" s="1">
        <v>0.146</v>
      </c>
      <c r="BT423" s="1">
        <v>0.974</v>
      </c>
      <c r="BU423" s="1">
        <v>0.974</v>
      </c>
      <c r="BV423" s="1">
        <v>2.094</v>
      </c>
      <c r="BW423" s="1">
        <v>0.914</v>
      </c>
      <c r="BX423" s="1">
        <v>0.917</v>
      </c>
      <c r="BY423" s="1">
        <v>0.0</v>
      </c>
      <c r="BZ423" s="1">
        <v>0.917</v>
      </c>
      <c r="CA423" s="1">
        <v>0.479</v>
      </c>
      <c r="CB423" s="1">
        <v>0.607</v>
      </c>
      <c r="CC423" s="1">
        <v>0.0</v>
      </c>
      <c r="CD423" s="1">
        <v>0.482</v>
      </c>
      <c r="CE423" s="1">
        <v>0.733</v>
      </c>
      <c r="CF423" s="1">
        <v>0.506</v>
      </c>
      <c r="CG423" s="1">
        <v>2.328</v>
      </c>
      <c r="CH423" s="1">
        <v>0.47</v>
      </c>
      <c r="CI423" s="1">
        <v>8.1107</v>
      </c>
      <c r="CJ423" s="1">
        <v>0.7321</v>
      </c>
      <c r="CK423" s="1">
        <v>0.0</v>
      </c>
      <c r="CL423" s="1">
        <v>0.0</v>
      </c>
      <c r="CM423" s="1">
        <v>0.0</v>
      </c>
      <c r="CN423" s="1">
        <v>0.0</v>
      </c>
      <c r="CO423" s="1">
        <v>0.0</v>
      </c>
      <c r="CP423" s="1">
        <v>0.0</v>
      </c>
      <c r="CQ423" s="1">
        <v>1.0</v>
      </c>
      <c r="CR423" s="1">
        <v>1.0</v>
      </c>
      <c r="CS423" s="1">
        <v>2.0</v>
      </c>
      <c r="CT423" s="1">
        <v>1.0</v>
      </c>
      <c r="CU423" s="1">
        <v>0.0</v>
      </c>
      <c r="CV423" s="1">
        <v>1.0</v>
      </c>
      <c r="CW423" s="1">
        <v>0.0</v>
      </c>
      <c r="CX423" s="1">
        <v>0.0</v>
      </c>
      <c r="CY423" s="1">
        <v>0.0</v>
      </c>
      <c r="CZ423" s="1">
        <v>0.0</v>
      </c>
      <c r="DA423" s="1">
        <v>0.0</v>
      </c>
      <c r="DB423" s="1">
        <v>0.0</v>
      </c>
      <c r="DC423" s="1">
        <v>3.0</v>
      </c>
      <c r="DD423" s="1" t="s">
        <v>2084</v>
      </c>
      <c r="DE423" s="1">
        <v>1.95211689582229E-4</v>
      </c>
      <c r="DF423" s="1">
        <v>0.0652745904939979</v>
      </c>
    </row>
    <row r="424" ht="15.75" customHeight="1">
      <c r="A424" s="1" t="s">
        <v>2085</v>
      </c>
      <c r="B424" s="1">
        <v>29.0</v>
      </c>
      <c r="C424" s="2" t="s">
        <v>2039</v>
      </c>
      <c r="D424" s="2" t="s">
        <v>2086</v>
      </c>
      <c r="E424" s="1">
        <v>1.185</v>
      </c>
      <c r="F424" s="1">
        <v>29095.0</v>
      </c>
      <c r="G424" s="1">
        <v>2.9095013407E10</v>
      </c>
      <c r="H424" s="1" t="s">
        <v>112</v>
      </c>
      <c r="I424" s="1" t="s">
        <v>113</v>
      </c>
      <c r="J424" s="1" t="s">
        <v>2041</v>
      </c>
      <c r="K424" s="1" t="s">
        <v>2087</v>
      </c>
      <c r="L424" s="1">
        <v>2576.0</v>
      </c>
      <c r="M424" s="1">
        <v>2463.0</v>
      </c>
      <c r="N424" s="1">
        <v>154.0</v>
      </c>
      <c r="O424" s="1">
        <v>1145.0</v>
      </c>
      <c r="P424" s="1">
        <v>1136.0</v>
      </c>
      <c r="Q424" s="1">
        <v>47.0</v>
      </c>
      <c r="R424" s="1">
        <v>1085.0</v>
      </c>
      <c r="S424" s="1">
        <v>165.0</v>
      </c>
      <c r="T424" s="1">
        <v>116.0</v>
      </c>
      <c r="U424" s="1">
        <v>12.0</v>
      </c>
      <c r="V424" s="1">
        <v>484.0</v>
      </c>
      <c r="W424" s="1">
        <v>42900.0</v>
      </c>
      <c r="X424" s="1">
        <v>8995.0</v>
      </c>
      <c r="Y424" s="1">
        <v>31.0</v>
      </c>
      <c r="Z424" s="1">
        <v>412.0</v>
      </c>
      <c r="AA424" s="1">
        <v>910.0</v>
      </c>
      <c r="AB424" s="1">
        <v>380.0</v>
      </c>
      <c r="AC424" s="1">
        <v>25.0</v>
      </c>
      <c r="AD424" s="1">
        <v>336.0</v>
      </c>
      <c r="AE424" s="1">
        <v>37.0</v>
      </c>
      <c r="AF424" s="1">
        <v>428.0</v>
      </c>
      <c r="AG424" s="1">
        <v>230.0</v>
      </c>
      <c r="AH424" s="1">
        <v>131.0</v>
      </c>
      <c r="AI424" s="1">
        <v>0.0</v>
      </c>
      <c r="AJ424" s="1">
        <v>114.0</v>
      </c>
      <c r="AK424" s="1">
        <v>0.0</v>
      </c>
      <c r="AL424" s="1">
        <v>161.0</v>
      </c>
      <c r="AM424" s="1">
        <v>186.0</v>
      </c>
      <c r="AN424" s="1">
        <v>69.0</v>
      </c>
      <c r="AO424" s="1">
        <v>230.0</v>
      </c>
      <c r="AP424" s="1">
        <v>0.066991</v>
      </c>
      <c r="AQ424" s="1">
        <v>0.04691</v>
      </c>
      <c r="AR424" s="1">
        <v>0.011299</v>
      </c>
      <c r="AS424" s="1">
        <v>0.455736</v>
      </c>
      <c r="AT424" s="1">
        <v>42900.0</v>
      </c>
      <c r="AU424" s="1">
        <v>8995.0</v>
      </c>
      <c r="AV424" s="1">
        <v>0.017079</v>
      </c>
      <c r="AW424" s="1">
        <v>0.226994</v>
      </c>
      <c r="AX424" s="1">
        <v>0.35326</v>
      </c>
      <c r="AY424" s="1">
        <v>0.147515</v>
      </c>
      <c r="AZ424" s="1">
        <v>0.02304147</v>
      </c>
      <c r="BA424" s="1">
        <v>0.130434</v>
      </c>
      <c r="BB424" s="1">
        <v>0.015784</v>
      </c>
      <c r="BC424" s="1">
        <v>0.18259</v>
      </c>
      <c r="BD424" s="1">
        <v>0.202464</v>
      </c>
      <c r="BE424" s="1">
        <v>0.115012</v>
      </c>
      <c r="BF424" s="1">
        <v>0.0</v>
      </c>
      <c r="BG424" s="1">
        <v>0.100352</v>
      </c>
      <c r="BH424" s="1">
        <v>0.0</v>
      </c>
      <c r="BI424" s="1">
        <v>0.148523</v>
      </c>
      <c r="BJ424" s="1">
        <v>0.171586</v>
      </c>
      <c r="BK424" s="1">
        <v>0.062763</v>
      </c>
      <c r="BL424" s="1">
        <v>0.089285</v>
      </c>
      <c r="BM424" s="1">
        <v>0.235</v>
      </c>
      <c r="BN424" s="1">
        <v>0.01</v>
      </c>
      <c r="BO424" s="1">
        <v>0.0491</v>
      </c>
      <c r="BP424" s="1">
        <v>0.03</v>
      </c>
      <c r="BQ424" s="1">
        <v>0.3241</v>
      </c>
      <c r="BR424" s="1">
        <v>0.0231</v>
      </c>
      <c r="BS424" s="1">
        <v>0.996</v>
      </c>
      <c r="BT424" s="1">
        <v>0.065</v>
      </c>
      <c r="BU424" s="1">
        <v>0.01</v>
      </c>
      <c r="BV424" s="1">
        <v>1.071</v>
      </c>
      <c r="BW424" s="1">
        <v>0.147</v>
      </c>
      <c r="BX424" s="1">
        <v>0.563</v>
      </c>
      <c r="BY424" s="1">
        <v>0.819</v>
      </c>
      <c r="BZ424" s="1">
        <v>1.382</v>
      </c>
      <c r="CA424" s="1">
        <v>0.758</v>
      </c>
      <c r="CB424" s="1">
        <v>0.894</v>
      </c>
      <c r="CC424" s="1">
        <v>0.0</v>
      </c>
      <c r="CD424" s="1">
        <v>0.0</v>
      </c>
      <c r="CE424" s="1">
        <v>0.88</v>
      </c>
      <c r="CF424" s="1">
        <v>0.938</v>
      </c>
      <c r="CG424" s="1">
        <v>2.712</v>
      </c>
      <c r="CH424" s="1">
        <v>0.649</v>
      </c>
      <c r="CI424" s="1">
        <v>5.4891</v>
      </c>
      <c r="CJ424" s="1">
        <v>0.2794</v>
      </c>
      <c r="CK424" s="1">
        <v>0.0</v>
      </c>
      <c r="CL424" s="1">
        <v>0.0</v>
      </c>
      <c r="CM424" s="1">
        <v>0.0</v>
      </c>
      <c r="CN424" s="1">
        <v>0.0</v>
      </c>
      <c r="CO424" s="1">
        <v>0.0</v>
      </c>
      <c r="CP424" s="1">
        <v>1.0</v>
      </c>
      <c r="CQ424" s="1">
        <v>0.0</v>
      </c>
      <c r="CR424" s="1">
        <v>0.0</v>
      </c>
      <c r="CS424" s="1">
        <v>1.0</v>
      </c>
      <c r="CT424" s="1">
        <v>0.0</v>
      </c>
      <c r="CU424" s="1">
        <v>0.0</v>
      </c>
      <c r="CV424" s="1">
        <v>0.0</v>
      </c>
      <c r="CW424" s="1">
        <v>0.0</v>
      </c>
      <c r="CX424" s="1">
        <v>0.0</v>
      </c>
      <c r="CY424" s="1">
        <v>0.0</v>
      </c>
      <c r="CZ424" s="1">
        <v>0.0</v>
      </c>
      <c r="DA424" s="1">
        <v>1.0</v>
      </c>
      <c r="DB424" s="1">
        <v>1.0</v>
      </c>
      <c r="DC424" s="1">
        <v>2.0</v>
      </c>
      <c r="DD424" s="1" t="s">
        <v>2088</v>
      </c>
      <c r="DE424" s="1">
        <v>3.22913964244116E-4</v>
      </c>
      <c r="DF424" s="1">
        <v>0.0761833290436918</v>
      </c>
    </row>
    <row r="425" ht="15.75" customHeight="1">
      <c r="A425" s="1" t="s">
        <v>2089</v>
      </c>
      <c r="B425" s="1">
        <v>29.0</v>
      </c>
      <c r="C425" s="2" t="s">
        <v>2039</v>
      </c>
      <c r="D425" s="2" t="s">
        <v>2090</v>
      </c>
      <c r="E425" s="1">
        <v>1.971</v>
      </c>
      <c r="F425" s="1">
        <v>29095.0</v>
      </c>
      <c r="G425" s="1">
        <v>2.9095014501E10</v>
      </c>
      <c r="H425" s="1" t="s">
        <v>112</v>
      </c>
      <c r="I425" s="1" t="s">
        <v>113</v>
      </c>
      <c r="J425" s="1" t="s">
        <v>2041</v>
      </c>
      <c r="K425" s="1" t="s">
        <v>2091</v>
      </c>
      <c r="L425" s="1">
        <v>3949.0</v>
      </c>
      <c r="M425" s="1">
        <v>3886.0</v>
      </c>
      <c r="N425" s="1">
        <v>365.0</v>
      </c>
      <c r="O425" s="1">
        <v>1983.0</v>
      </c>
      <c r="P425" s="1">
        <v>1917.0</v>
      </c>
      <c r="Q425" s="1">
        <v>60.0</v>
      </c>
      <c r="R425" s="1">
        <v>1850.0</v>
      </c>
      <c r="S425" s="1">
        <v>283.0</v>
      </c>
      <c r="T425" s="1">
        <v>132.0</v>
      </c>
      <c r="U425" s="1">
        <v>174.0</v>
      </c>
      <c r="V425" s="1">
        <v>403.0</v>
      </c>
      <c r="W425" s="1">
        <v>29036.0</v>
      </c>
      <c r="X425" s="1">
        <v>2685.0</v>
      </c>
      <c r="Y425" s="1">
        <v>154.0</v>
      </c>
      <c r="Z425" s="1">
        <v>330.0</v>
      </c>
      <c r="AA425" s="1">
        <v>1026.0</v>
      </c>
      <c r="AB425" s="1">
        <v>703.0</v>
      </c>
      <c r="AC425" s="1">
        <v>162.0</v>
      </c>
      <c r="AD425" s="1">
        <v>714.0</v>
      </c>
      <c r="AE425" s="1">
        <v>61.0</v>
      </c>
      <c r="AF425" s="1">
        <v>431.0</v>
      </c>
      <c r="AG425" s="1">
        <v>9.0</v>
      </c>
      <c r="AH425" s="1">
        <v>162.0</v>
      </c>
      <c r="AI425" s="1">
        <v>0.0</v>
      </c>
      <c r="AJ425" s="1">
        <v>114.0</v>
      </c>
      <c r="AK425" s="1">
        <v>21.0</v>
      </c>
      <c r="AL425" s="1">
        <v>116.0</v>
      </c>
      <c r="AM425" s="1">
        <v>33.0</v>
      </c>
      <c r="AN425" s="1">
        <v>118.0</v>
      </c>
      <c r="AO425" s="1">
        <v>0.0</v>
      </c>
      <c r="AP425" s="1">
        <v>0.072825</v>
      </c>
      <c r="AQ425" s="1">
        <v>0.033272</v>
      </c>
      <c r="AR425" s="1">
        <v>0.093397</v>
      </c>
      <c r="AS425" s="1">
        <v>0.215933</v>
      </c>
      <c r="AT425" s="1">
        <v>29036.0</v>
      </c>
      <c r="AU425" s="1">
        <v>2685.0</v>
      </c>
      <c r="AV425" s="1">
        <v>0.052185</v>
      </c>
      <c r="AW425" s="1">
        <v>0.111736</v>
      </c>
      <c r="AX425" s="1">
        <v>0.259812</v>
      </c>
      <c r="AY425" s="1">
        <v>0.178019</v>
      </c>
      <c r="AZ425" s="1">
        <v>0.08756756</v>
      </c>
      <c r="BA425" s="1">
        <v>0.180805</v>
      </c>
      <c r="BB425" s="1">
        <v>0.016517</v>
      </c>
      <c r="BC425" s="1">
        <v>0.116698</v>
      </c>
      <c r="BD425" s="1">
        <v>0.004694</v>
      </c>
      <c r="BE425" s="1">
        <v>0.084506</v>
      </c>
      <c r="BF425" s="1">
        <v>0.0</v>
      </c>
      <c r="BG425" s="1">
        <v>0.059467</v>
      </c>
      <c r="BH425" s="1">
        <v>0.011898</v>
      </c>
      <c r="BI425" s="1">
        <v>0.065717</v>
      </c>
      <c r="BJ425" s="1">
        <v>0.018696</v>
      </c>
      <c r="BK425" s="1">
        <v>0.066844</v>
      </c>
      <c r="BL425" s="1">
        <v>0.0</v>
      </c>
      <c r="BM425" s="1">
        <v>0.259</v>
      </c>
      <c r="BN425" s="1">
        <v>0.699</v>
      </c>
      <c r="BO425" s="1">
        <v>0.2195</v>
      </c>
      <c r="BP425" s="1">
        <v>0.135</v>
      </c>
      <c r="BQ425" s="1">
        <v>1.3125</v>
      </c>
      <c r="BR425" s="1">
        <v>0.2823</v>
      </c>
      <c r="BS425" s="1">
        <v>0.974</v>
      </c>
      <c r="BT425" s="1">
        <v>0.115</v>
      </c>
      <c r="BU425" s="1">
        <v>0.382</v>
      </c>
      <c r="BV425" s="1">
        <v>1.471</v>
      </c>
      <c r="BW425" s="1">
        <v>0.454</v>
      </c>
      <c r="BX425" s="1">
        <v>0.68</v>
      </c>
      <c r="BY425" s="1">
        <v>0.83</v>
      </c>
      <c r="BZ425" s="1">
        <v>1.51</v>
      </c>
      <c r="CA425" s="1">
        <v>0.832</v>
      </c>
      <c r="CB425" s="1">
        <v>0.311</v>
      </c>
      <c r="CC425" s="1">
        <v>0.0</v>
      </c>
      <c r="CD425" s="1">
        <v>0.527</v>
      </c>
      <c r="CE425" s="1">
        <v>0.17</v>
      </c>
      <c r="CF425" s="1">
        <v>0.0</v>
      </c>
      <c r="CG425" s="1">
        <v>1.008</v>
      </c>
      <c r="CH425" s="1">
        <v>0.077</v>
      </c>
      <c r="CI425" s="1">
        <v>5.3015</v>
      </c>
      <c r="CJ425" s="1">
        <v>0.2469</v>
      </c>
      <c r="CK425" s="1">
        <v>0.0</v>
      </c>
      <c r="CL425" s="1">
        <v>0.0</v>
      </c>
      <c r="CM425" s="1">
        <v>0.0</v>
      </c>
      <c r="CN425" s="1">
        <v>0.0</v>
      </c>
      <c r="CO425" s="1">
        <v>0.0</v>
      </c>
      <c r="CP425" s="1">
        <v>1.0</v>
      </c>
      <c r="CQ425" s="1">
        <v>0.0</v>
      </c>
      <c r="CR425" s="1">
        <v>0.0</v>
      </c>
      <c r="CS425" s="1">
        <v>1.0</v>
      </c>
      <c r="CT425" s="1">
        <v>0.0</v>
      </c>
      <c r="CU425" s="1">
        <v>0.0</v>
      </c>
      <c r="CV425" s="1">
        <v>0.0</v>
      </c>
      <c r="CW425" s="1">
        <v>0.0</v>
      </c>
      <c r="CX425" s="1">
        <v>0.0</v>
      </c>
      <c r="CY425" s="1">
        <v>0.0</v>
      </c>
      <c r="CZ425" s="1">
        <v>0.0</v>
      </c>
      <c r="DA425" s="1">
        <v>0.0</v>
      </c>
      <c r="DB425" s="1">
        <v>0.0</v>
      </c>
      <c r="DC425" s="1">
        <v>1.0</v>
      </c>
      <c r="DD425" s="1" t="s">
        <v>2092</v>
      </c>
      <c r="DE425" s="1">
        <v>5.31038099431588E-4</v>
      </c>
      <c r="DF425" s="2" t="s">
        <v>2093</v>
      </c>
    </row>
    <row r="426" ht="15.75" customHeight="1">
      <c r="A426" s="1" t="s">
        <v>2094</v>
      </c>
      <c r="B426" s="1">
        <v>29.0</v>
      </c>
      <c r="C426" s="2" t="s">
        <v>2039</v>
      </c>
      <c r="D426" s="2" t="s">
        <v>2095</v>
      </c>
      <c r="E426" s="1">
        <v>1.829</v>
      </c>
      <c r="F426" s="1">
        <v>29095.0</v>
      </c>
      <c r="G426" s="1">
        <v>2.9095014806E10</v>
      </c>
      <c r="H426" s="1" t="s">
        <v>112</v>
      </c>
      <c r="I426" s="1" t="s">
        <v>113</v>
      </c>
      <c r="J426" s="1" t="s">
        <v>2041</v>
      </c>
      <c r="K426" s="1" t="s">
        <v>2096</v>
      </c>
      <c r="L426" s="1">
        <v>4293.0</v>
      </c>
      <c r="M426" s="1">
        <v>4196.0</v>
      </c>
      <c r="N426" s="1">
        <v>217.0</v>
      </c>
      <c r="O426" s="1">
        <v>1702.0</v>
      </c>
      <c r="P426" s="1">
        <v>1669.0</v>
      </c>
      <c r="Q426" s="1">
        <v>37.0</v>
      </c>
      <c r="R426" s="1">
        <v>1621.0</v>
      </c>
      <c r="S426" s="1">
        <v>35.0</v>
      </c>
      <c r="T426" s="1">
        <v>121.0</v>
      </c>
      <c r="U426" s="1">
        <v>102.0</v>
      </c>
      <c r="V426" s="1">
        <v>399.0</v>
      </c>
      <c r="W426" s="1">
        <v>39549.0</v>
      </c>
      <c r="X426" s="1">
        <v>4584.0</v>
      </c>
      <c r="Y426" s="1">
        <v>56.0</v>
      </c>
      <c r="Z426" s="1">
        <v>397.0</v>
      </c>
      <c r="AA426" s="1">
        <v>489.0</v>
      </c>
      <c r="AB426" s="1">
        <v>1060.0</v>
      </c>
      <c r="AC426" s="1">
        <v>161.0</v>
      </c>
      <c r="AD426" s="1">
        <v>655.0</v>
      </c>
      <c r="AE426" s="1">
        <v>0.0</v>
      </c>
      <c r="AF426" s="1">
        <v>456.0</v>
      </c>
      <c r="AG426" s="1">
        <v>34.0</v>
      </c>
      <c r="AH426" s="1">
        <v>163.0</v>
      </c>
      <c r="AI426" s="1">
        <v>17.0</v>
      </c>
      <c r="AJ426" s="1">
        <v>27.0</v>
      </c>
      <c r="AK426" s="1">
        <v>0.0</v>
      </c>
      <c r="AL426" s="1">
        <v>161.0</v>
      </c>
      <c r="AM426" s="1">
        <v>28.0</v>
      </c>
      <c r="AN426" s="1">
        <v>118.0</v>
      </c>
      <c r="AO426" s="1">
        <v>11.0</v>
      </c>
      <c r="AP426" s="1">
        <v>0.008341</v>
      </c>
      <c r="AQ426" s="1">
        <v>0.028833</v>
      </c>
      <c r="AR426" s="1">
        <v>0.041992</v>
      </c>
      <c r="AS426" s="1">
        <v>0.164185</v>
      </c>
      <c r="AT426" s="1">
        <v>39549.0</v>
      </c>
      <c r="AU426" s="1">
        <v>4584.0</v>
      </c>
      <c r="AV426" s="1">
        <v>0.01897</v>
      </c>
      <c r="AW426" s="1">
        <v>0.13448</v>
      </c>
      <c r="AX426" s="1">
        <v>0.113906</v>
      </c>
      <c r="AY426" s="1">
        <v>0.246913</v>
      </c>
      <c r="AZ426" s="1">
        <v>0.0993214</v>
      </c>
      <c r="BA426" s="1">
        <v>0.152573</v>
      </c>
      <c r="BB426" s="1">
        <v>0.0</v>
      </c>
      <c r="BC426" s="1">
        <v>0.117043</v>
      </c>
      <c r="BD426" s="1">
        <v>0.020371</v>
      </c>
      <c r="BE426" s="1">
        <v>0.097662</v>
      </c>
      <c r="BF426" s="1">
        <v>0.010185</v>
      </c>
      <c r="BG426" s="1">
        <v>0.016175</v>
      </c>
      <c r="BH426" s="1">
        <v>0.0</v>
      </c>
      <c r="BI426" s="1">
        <v>0.102287</v>
      </c>
      <c r="BJ426" s="1">
        <v>0.017789</v>
      </c>
      <c r="BK426" s="1">
        <v>0.074963</v>
      </c>
      <c r="BL426" s="1">
        <v>0.002562</v>
      </c>
      <c r="BM426" s="1">
        <v>0.016</v>
      </c>
      <c r="BN426" s="1">
        <v>0.205</v>
      </c>
      <c r="BO426" s="1">
        <v>0.0686</v>
      </c>
      <c r="BP426" s="1">
        <v>0.033</v>
      </c>
      <c r="BQ426" s="1">
        <v>0.3226</v>
      </c>
      <c r="BR426" s="1">
        <v>0.0224</v>
      </c>
      <c r="BS426" s="1">
        <v>0.302</v>
      </c>
      <c r="BT426" s="1">
        <v>0.564</v>
      </c>
      <c r="BU426" s="1">
        <v>0.485</v>
      </c>
      <c r="BV426" s="1">
        <v>1.351</v>
      </c>
      <c r="BW426" s="1">
        <v>0.343</v>
      </c>
      <c r="BX426" s="1">
        <v>0.632</v>
      </c>
      <c r="BY426" s="1">
        <v>0.0</v>
      </c>
      <c r="BZ426" s="1">
        <v>0.632</v>
      </c>
      <c r="CA426" s="1">
        <v>0.292</v>
      </c>
      <c r="CB426" s="1">
        <v>0.467</v>
      </c>
      <c r="CC426" s="1">
        <v>0.46</v>
      </c>
      <c r="CD426" s="1">
        <v>0.0</v>
      </c>
      <c r="CE426" s="1">
        <v>0.161</v>
      </c>
      <c r="CF426" s="1">
        <v>0.463</v>
      </c>
      <c r="CG426" s="1">
        <v>1.551</v>
      </c>
      <c r="CH426" s="1">
        <v>0.185</v>
      </c>
      <c r="CI426" s="1">
        <v>3.8566</v>
      </c>
      <c r="CJ426" s="1">
        <v>0.0708</v>
      </c>
      <c r="CK426" s="1">
        <v>0.0</v>
      </c>
      <c r="CL426" s="1">
        <v>0.0</v>
      </c>
      <c r="CM426" s="1">
        <v>0.0</v>
      </c>
      <c r="CN426" s="1">
        <v>0.0</v>
      </c>
      <c r="CO426" s="1">
        <v>0.0</v>
      </c>
      <c r="CP426" s="1">
        <v>0.0</v>
      </c>
      <c r="CQ426" s="1">
        <v>0.0</v>
      </c>
      <c r="CR426" s="1">
        <v>0.0</v>
      </c>
      <c r="CS426" s="1">
        <v>0.0</v>
      </c>
      <c r="CT426" s="1">
        <v>0.0</v>
      </c>
      <c r="CU426" s="1">
        <v>0.0</v>
      </c>
      <c r="CV426" s="1">
        <v>0.0</v>
      </c>
      <c r="CW426" s="1">
        <v>0.0</v>
      </c>
      <c r="CX426" s="1">
        <v>0.0</v>
      </c>
      <c r="CY426" s="1">
        <v>0.0</v>
      </c>
      <c r="CZ426" s="1">
        <v>0.0</v>
      </c>
      <c r="DA426" s="1">
        <v>0.0</v>
      </c>
      <c r="DB426" s="1">
        <v>0.0</v>
      </c>
      <c r="DC426" s="1">
        <v>0.0</v>
      </c>
      <c r="DD426" s="1" t="s">
        <v>2097</v>
      </c>
      <c r="DE426" s="1">
        <v>4.90878719922488E-4</v>
      </c>
      <c r="DF426" s="2" t="s">
        <v>2098</v>
      </c>
    </row>
    <row r="427" ht="15.75" customHeight="1">
      <c r="A427" s="1" t="s">
        <v>2099</v>
      </c>
      <c r="B427" s="1">
        <v>29.0</v>
      </c>
      <c r="C427" s="2" t="s">
        <v>2039</v>
      </c>
      <c r="D427" s="2" t="s">
        <v>2100</v>
      </c>
      <c r="E427" s="1">
        <v>1.876</v>
      </c>
      <c r="F427" s="1">
        <v>29095.0</v>
      </c>
      <c r="G427" s="1">
        <v>2.90950156E10</v>
      </c>
      <c r="H427" s="1" t="s">
        <v>112</v>
      </c>
      <c r="I427" s="1" t="s">
        <v>113</v>
      </c>
      <c r="J427" s="1" t="s">
        <v>2041</v>
      </c>
      <c r="K427" s="1" t="s">
        <v>2101</v>
      </c>
      <c r="L427" s="1">
        <v>2417.0</v>
      </c>
      <c r="M427" s="1">
        <v>2450.0</v>
      </c>
      <c r="N427" s="1">
        <v>445.0</v>
      </c>
      <c r="O427" s="1">
        <v>1308.0</v>
      </c>
      <c r="P427" s="1">
        <v>1300.0</v>
      </c>
      <c r="Q427" s="1">
        <v>137.0</v>
      </c>
      <c r="R427" s="1">
        <v>1012.0</v>
      </c>
      <c r="S427" s="1">
        <v>977.0</v>
      </c>
      <c r="T427" s="1">
        <v>436.0</v>
      </c>
      <c r="U427" s="1">
        <v>110.0</v>
      </c>
      <c r="V427" s="1">
        <v>401.0</v>
      </c>
      <c r="W427" s="1">
        <v>12366.0</v>
      </c>
      <c r="X427" s="1">
        <v>2535.0</v>
      </c>
      <c r="Y427" s="1">
        <v>495.0</v>
      </c>
      <c r="Z427" s="1">
        <v>246.0</v>
      </c>
      <c r="AA427" s="1">
        <v>224.0</v>
      </c>
      <c r="AB427" s="1">
        <v>655.0</v>
      </c>
      <c r="AC427" s="1">
        <v>190.0</v>
      </c>
      <c r="AD427" s="1">
        <v>803.0</v>
      </c>
      <c r="AE427" s="1">
        <v>62.0</v>
      </c>
      <c r="AF427" s="1">
        <v>431.0</v>
      </c>
      <c r="AG427" s="1">
        <v>411.0</v>
      </c>
      <c r="AH427" s="1">
        <v>153.0</v>
      </c>
      <c r="AI427" s="1">
        <v>262.0</v>
      </c>
      <c r="AJ427" s="1">
        <v>91.0</v>
      </c>
      <c r="AK427" s="1">
        <v>28.0</v>
      </c>
      <c r="AL427" s="1">
        <v>117.0</v>
      </c>
      <c r="AM427" s="1">
        <v>200.0</v>
      </c>
      <c r="AN427" s="1">
        <v>87.0</v>
      </c>
      <c r="AO427" s="1">
        <v>1.0</v>
      </c>
      <c r="AP427" s="1">
        <v>0.405226</v>
      </c>
      <c r="AQ427" s="1">
        <v>0.163318</v>
      </c>
      <c r="AR427" s="1">
        <v>0.120879</v>
      </c>
      <c r="AS427" s="1">
        <v>0.439041</v>
      </c>
      <c r="AT427" s="1">
        <v>12366.0</v>
      </c>
      <c r="AU427" s="1">
        <v>2535.0</v>
      </c>
      <c r="AV427" s="1">
        <v>0.33044</v>
      </c>
      <c r="AW427" s="1">
        <v>0.156747</v>
      </c>
      <c r="AX427" s="1">
        <v>0.092676</v>
      </c>
      <c r="AY427" s="1">
        <v>0.270997</v>
      </c>
      <c r="AZ427" s="1">
        <v>0.18774703</v>
      </c>
      <c r="BA427" s="1">
        <v>0.33223</v>
      </c>
      <c r="BB427" s="1">
        <v>0.028837</v>
      </c>
      <c r="BC427" s="1">
        <v>0.200415</v>
      </c>
      <c r="BD427" s="1">
        <v>0.316153</v>
      </c>
      <c r="BE427" s="1">
        <v>0.112877</v>
      </c>
      <c r="BF427" s="1">
        <v>0.201538</v>
      </c>
      <c r="BG427" s="1">
        <v>0.0667</v>
      </c>
      <c r="BH427" s="1">
        <v>0.025362</v>
      </c>
      <c r="BI427" s="1">
        <v>0.105919</v>
      </c>
      <c r="BJ427" s="1">
        <v>0.181159</v>
      </c>
      <c r="BK427" s="1">
        <v>0.074642</v>
      </c>
      <c r="BL427" s="1">
        <v>4.13E-4</v>
      </c>
      <c r="BM427" s="1">
        <v>0.953</v>
      </c>
      <c r="BN427" s="1">
        <v>0.825</v>
      </c>
      <c r="BO427" s="1">
        <v>0.9516</v>
      </c>
      <c r="BP427" s="1">
        <v>0.967</v>
      </c>
      <c r="BQ427" s="1">
        <v>3.6966</v>
      </c>
      <c r="BR427" s="1">
        <v>0.9588</v>
      </c>
      <c r="BS427" s="1">
        <v>0.173</v>
      </c>
      <c r="BT427" s="1">
        <v>0.8</v>
      </c>
      <c r="BU427" s="1">
        <v>0.879</v>
      </c>
      <c r="BV427" s="1">
        <v>1.852</v>
      </c>
      <c r="BW427" s="1">
        <v>0.77</v>
      </c>
      <c r="BX427" s="1">
        <v>0.808</v>
      </c>
      <c r="BY427" s="1">
        <v>0.907</v>
      </c>
      <c r="BZ427" s="1">
        <v>1.715</v>
      </c>
      <c r="CA427" s="1">
        <v>0.93</v>
      </c>
      <c r="CB427" s="1">
        <v>0.949</v>
      </c>
      <c r="CC427" s="1">
        <v>0.9</v>
      </c>
      <c r="CD427" s="1">
        <v>0.761</v>
      </c>
      <c r="CE427" s="1">
        <v>0.892</v>
      </c>
      <c r="CF427" s="1">
        <v>0.362</v>
      </c>
      <c r="CG427" s="1">
        <v>3.864</v>
      </c>
      <c r="CH427" s="1">
        <v>0.99</v>
      </c>
      <c r="CI427" s="1">
        <v>11.1276</v>
      </c>
      <c r="CJ427" s="1">
        <v>0.9964</v>
      </c>
      <c r="CK427" s="1">
        <v>1.0</v>
      </c>
      <c r="CL427" s="1">
        <v>0.0</v>
      </c>
      <c r="CM427" s="1">
        <v>1.0</v>
      </c>
      <c r="CN427" s="1">
        <v>1.0</v>
      </c>
      <c r="CO427" s="1">
        <v>3.0</v>
      </c>
      <c r="CP427" s="1">
        <v>0.0</v>
      </c>
      <c r="CQ427" s="1">
        <v>0.0</v>
      </c>
      <c r="CR427" s="1">
        <v>0.0</v>
      </c>
      <c r="CS427" s="1">
        <v>0.0</v>
      </c>
      <c r="CT427" s="1">
        <v>0.0</v>
      </c>
      <c r="CU427" s="1">
        <v>1.0</v>
      </c>
      <c r="CV427" s="1">
        <v>1.0</v>
      </c>
      <c r="CW427" s="1">
        <v>1.0</v>
      </c>
      <c r="CX427" s="1">
        <v>1.0</v>
      </c>
      <c r="CY427" s="1">
        <v>0.0</v>
      </c>
      <c r="CZ427" s="1">
        <v>0.0</v>
      </c>
      <c r="DA427" s="1">
        <v>0.0</v>
      </c>
      <c r="DB427" s="1">
        <v>2.0</v>
      </c>
      <c r="DC427" s="1">
        <v>6.0</v>
      </c>
      <c r="DD427" s="1" t="s">
        <v>2102</v>
      </c>
      <c r="DE427" s="1">
        <v>5.07871889679241E-4</v>
      </c>
      <c r="DF427" s="2" t="s">
        <v>2103</v>
      </c>
    </row>
    <row r="428" ht="15.75" customHeight="1">
      <c r="A428" s="1" t="s">
        <v>2104</v>
      </c>
      <c r="B428" s="1">
        <v>29.0</v>
      </c>
      <c r="C428" s="2" t="s">
        <v>2039</v>
      </c>
      <c r="D428" s="2" t="s">
        <v>2105</v>
      </c>
      <c r="E428" s="1">
        <v>0.853</v>
      </c>
      <c r="F428" s="1">
        <v>29095.0</v>
      </c>
      <c r="G428" s="1">
        <v>2.90950158E10</v>
      </c>
      <c r="H428" s="1" t="s">
        <v>112</v>
      </c>
      <c r="I428" s="1" t="s">
        <v>113</v>
      </c>
      <c r="J428" s="1" t="s">
        <v>2041</v>
      </c>
      <c r="K428" s="1" t="s">
        <v>2106</v>
      </c>
      <c r="L428" s="1">
        <v>1485.0</v>
      </c>
      <c r="M428" s="1">
        <v>876.0</v>
      </c>
      <c r="N428" s="1">
        <v>190.0</v>
      </c>
      <c r="O428" s="1">
        <v>942.0</v>
      </c>
      <c r="P428" s="1">
        <v>660.0</v>
      </c>
      <c r="Q428" s="1">
        <v>34.0</v>
      </c>
      <c r="R428" s="1">
        <v>786.0</v>
      </c>
      <c r="S428" s="1">
        <v>23.0</v>
      </c>
      <c r="T428" s="1">
        <v>20.0</v>
      </c>
      <c r="U428" s="1">
        <v>23.0</v>
      </c>
      <c r="V428" s="1">
        <v>485.0</v>
      </c>
      <c r="W428" s="1">
        <v>38294.0</v>
      </c>
      <c r="X428" s="1">
        <v>9193.0</v>
      </c>
      <c r="Y428" s="1">
        <v>77.0</v>
      </c>
      <c r="Z428" s="1">
        <v>398.0</v>
      </c>
      <c r="AA428" s="1">
        <v>21.0</v>
      </c>
      <c r="AB428" s="1">
        <v>46.0</v>
      </c>
      <c r="AC428" s="1">
        <v>16.0</v>
      </c>
      <c r="AD428" s="1">
        <v>354.0</v>
      </c>
      <c r="AE428" s="1">
        <v>0.0</v>
      </c>
      <c r="AF428" s="1">
        <v>456.0</v>
      </c>
      <c r="AG428" s="1">
        <v>521.0</v>
      </c>
      <c r="AH428" s="1">
        <v>99.0</v>
      </c>
      <c r="AI428" s="1">
        <v>0.0</v>
      </c>
      <c r="AJ428" s="1">
        <v>114.0</v>
      </c>
      <c r="AK428" s="1">
        <v>27.0</v>
      </c>
      <c r="AL428" s="1">
        <v>119.0</v>
      </c>
      <c r="AM428" s="1">
        <v>16.0</v>
      </c>
      <c r="AN428" s="1">
        <v>115.0</v>
      </c>
      <c r="AO428" s="1">
        <v>358.0</v>
      </c>
      <c r="AP428" s="1">
        <v>0.03872</v>
      </c>
      <c r="AQ428" s="1">
        <v>0.032794</v>
      </c>
      <c r="AR428" s="1">
        <v>0.041071</v>
      </c>
      <c r="AS428" s="1">
        <v>0.865776</v>
      </c>
      <c r="AT428" s="1">
        <v>38294.0</v>
      </c>
      <c r="AU428" s="1">
        <v>9193.0</v>
      </c>
      <c r="AV428" s="1">
        <v>0.099354</v>
      </c>
      <c r="AW428" s="1">
        <v>0.512994</v>
      </c>
      <c r="AX428" s="1">
        <v>0.014141</v>
      </c>
      <c r="AY428" s="1">
        <v>0.030976</v>
      </c>
      <c r="AZ428" s="1">
        <v>0.02035623</v>
      </c>
      <c r="BA428" s="1">
        <v>0.238383</v>
      </c>
      <c r="BB428" s="1">
        <v>0.0</v>
      </c>
      <c r="BC428" s="1">
        <v>0.520547</v>
      </c>
      <c r="BD428" s="1">
        <v>0.789393</v>
      </c>
      <c r="BE428" s="1">
        <v>0.144382</v>
      </c>
      <c r="BF428" s="1">
        <v>0.0</v>
      </c>
      <c r="BG428" s="1">
        <v>0.172727</v>
      </c>
      <c r="BH428" s="1">
        <v>0.056133</v>
      </c>
      <c r="BI428" s="1">
        <v>0.247254</v>
      </c>
      <c r="BJ428" s="1">
        <v>0.033264</v>
      </c>
      <c r="BK428" s="1">
        <v>0.239031</v>
      </c>
      <c r="BL428" s="1">
        <v>0.241077</v>
      </c>
      <c r="BM428" s="1">
        <v>0.117</v>
      </c>
      <c r="BN428" s="1">
        <v>0.193</v>
      </c>
      <c r="BO428" s="1">
        <v>0.0823</v>
      </c>
      <c r="BP428" s="1">
        <v>0.334</v>
      </c>
      <c r="BQ428" s="1">
        <v>0.7263</v>
      </c>
      <c r="BR428" s="1">
        <v>0.1336</v>
      </c>
      <c r="BS428" s="1">
        <v>0.007</v>
      </c>
      <c r="BT428" s="1">
        <v>0.005</v>
      </c>
      <c r="BU428" s="1">
        <v>0.006</v>
      </c>
      <c r="BV428" s="1">
        <v>0.018</v>
      </c>
      <c r="BW428" s="1">
        <v>0.0</v>
      </c>
      <c r="BX428" s="1">
        <v>0.751</v>
      </c>
      <c r="BY428" s="1">
        <v>0.0</v>
      </c>
      <c r="BZ428" s="1">
        <v>0.751</v>
      </c>
      <c r="CA428" s="1">
        <v>0.361</v>
      </c>
      <c r="CB428" s="1">
        <v>0.994</v>
      </c>
      <c r="CC428" s="1">
        <v>0.0</v>
      </c>
      <c r="CD428" s="1">
        <v>0.955</v>
      </c>
      <c r="CE428" s="1">
        <v>0.317</v>
      </c>
      <c r="CF428" s="1">
        <v>0.973</v>
      </c>
      <c r="CG428" s="1">
        <v>3.239</v>
      </c>
      <c r="CH428" s="1">
        <v>0.854</v>
      </c>
      <c r="CI428" s="1">
        <v>4.7343</v>
      </c>
      <c r="CJ428" s="1">
        <v>0.1653</v>
      </c>
      <c r="CK428" s="1">
        <v>0.0</v>
      </c>
      <c r="CL428" s="1">
        <v>0.0</v>
      </c>
      <c r="CM428" s="1">
        <v>0.0</v>
      </c>
      <c r="CN428" s="1">
        <v>0.0</v>
      </c>
      <c r="CO428" s="1">
        <v>0.0</v>
      </c>
      <c r="CP428" s="1">
        <v>0.0</v>
      </c>
      <c r="CQ428" s="1">
        <v>0.0</v>
      </c>
      <c r="CR428" s="1">
        <v>0.0</v>
      </c>
      <c r="CS428" s="1">
        <v>0.0</v>
      </c>
      <c r="CT428" s="1">
        <v>0.0</v>
      </c>
      <c r="CU428" s="1">
        <v>0.0</v>
      </c>
      <c r="CV428" s="1">
        <v>0.0</v>
      </c>
      <c r="CW428" s="1">
        <v>1.0</v>
      </c>
      <c r="CX428" s="1">
        <v>0.0</v>
      </c>
      <c r="CY428" s="1">
        <v>1.0</v>
      </c>
      <c r="CZ428" s="1">
        <v>0.0</v>
      </c>
      <c r="DA428" s="1">
        <v>1.0</v>
      </c>
      <c r="DB428" s="1">
        <v>3.0</v>
      </c>
      <c r="DC428" s="1">
        <v>3.0</v>
      </c>
      <c r="DD428" s="1" t="s">
        <v>2107</v>
      </c>
      <c r="DE428" s="1">
        <v>2.30225280440526E-4</v>
      </c>
      <c r="DF428" s="1">
        <v>0.0760423873215418</v>
      </c>
    </row>
    <row r="429" ht="15.75" customHeight="1">
      <c r="A429" s="1" t="s">
        <v>2108</v>
      </c>
      <c r="B429" s="1">
        <v>29.0</v>
      </c>
      <c r="C429" s="2" t="s">
        <v>2039</v>
      </c>
      <c r="D429" s="2" t="s">
        <v>2109</v>
      </c>
      <c r="E429" s="1">
        <v>0.328</v>
      </c>
      <c r="F429" s="1">
        <v>29095.0</v>
      </c>
      <c r="G429" s="1">
        <v>2.90950159E10</v>
      </c>
      <c r="H429" s="1" t="s">
        <v>112</v>
      </c>
      <c r="I429" s="1" t="s">
        <v>113</v>
      </c>
      <c r="J429" s="1" t="s">
        <v>2041</v>
      </c>
      <c r="K429" s="1" t="s">
        <v>2110</v>
      </c>
      <c r="L429" s="1">
        <v>1683.0</v>
      </c>
      <c r="M429" s="1">
        <v>760.0</v>
      </c>
      <c r="N429" s="1">
        <v>193.0</v>
      </c>
      <c r="O429" s="1">
        <v>665.0</v>
      </c>
      <c r="P429" s="1">
        <v>551.0</v>
      </c>
      <c r="Q429" s="1">
        <v>108.0</v>
      </c>
      <c r="R429" s="1">
        <v>567.0</v>
      </c>
      <c r="S429" s="1">
        <v>123.0</v>
      </c>
      <c r="T429" s="1">
        <v>71.0</v>
      </c>
      <c r="U429" s="1">
        <v>40.0</v>
      </c>
      <c r="V429" s="1">
        <v>443.0</v>
      </c>
      <c r="W429" s="1">
        <v>38634.0</v>
      </c>
      <c r="X429" s="1">
        <v>15208.0</v>
      </c>
      <c r="Y429" s="1">
        <v>157.0</v>
      </c>
      <c r="Z429" s="1">
        <v>350.0</v>
      </c>
      <c r="AA429" s="1">
        <v>48.0</v>
      </c>
      <c r="AB429" s="1">
        <v>96.0</v>
      </c>
      <c r="AC429" s="1">
        <v>7.0</v>
      </c>
      <c r="AD429" s="1">
        <v>930.0</v>
      </c>
      <c r="AE429" s="1">
        <v>23.0</v>
      </c>
      <c r="AF429" s="1">
        <v>427.0</v>
      </c>
      <c r="AG429" s="1">
        <v>380.0</v>
      </c>
      <c r="AH429" s="1">
        <v>116.0</v>
      </c>
      <c r="AI429" s="1">
        <v>0.0</v>
      </c>
      <c r="AJ429" s="1">
        <v>114.0</v>
      </c>
      <c r="AK429" s="1">
        <v>0.0</v>
      </c>
      <c r="AL429" s="1">
        <v>161.0</v>
      </c>
      <c r="AM429" s="1">
        <v>85.0</v>
      </c>
      <c r="AN429" s="1">
        <v>134.0</v>
      </c>
      <c r="AO429" s="1">
        <v>907.0</v>
      </c>
      <c r="AP429" s="1">
        <v>0.252049</v>
      </c>
      <c r="AQ429" s="1">
        <v>0.127695</v>
      </c>
      <c r="AR429" s="1">
        <v>0.10025</v>
      </c>
      <c r="AS429" s="1">
        <v>1.106767</v>
      </c>
      <c r="AT429" s="1">
        <v>38634.0</v>
      </c>
      <c r="AU429" s="1">
        <v>15208.0</v>
      </c>
      <c r="AV429" s="1">
        <v>0.297912</v>
      </c>
      <c r="AW429" s="1">
        <v>0.657554</v>
      </c>
      <c r="AX429" s="1">
        <v>0.02852</v>
      </c>
      <c r="AY429" s="1">
        <v>0.057041</v>
      </c>
      <c r="AZ429" s="1">
        <v>0.01234567</v>
      </c>
      <c r="BA429" s="1">
        <v>0.552584</v>
      </c>
      <c r="BB429" s="1">
        <v>0.030263</v>
      </c>
      <c r="BC429" s="1">
        <v>0.561789</v>
      </c>
      <c r="BD429" s="1">
        <v>0.689655</v>
      </c>
      <c r="BE429" s="1">
        <v>0.161395</v>
      </c>
      <c r="BF429" s="1">
        <v>0.0</v>
      </c>
      <c r="BG429" s="1">
        <v>0.206896</v>
      </c>
      <c r="BH429" s="1">
        <v>0.0</v>
      </c>
      <c r="BI429" s="1">
        <v>0.418181</v>
      </c>
      <c r="BJ429" s="1">
        <v>0.220779</v>
      </c>
      <c r="BK429" s="1">
        <v>0.343101</v>
      </c>
      <c r="BL429" s="1">
        <v>0.538918</v>
      </c>
      <c r="BM429" s="1">
        <v>0.829</v>
      </c>
      <c r="BN429" s="1">
        <v>0.732</v>
      </c>
      <c r="BO429" s="1">
        <v>0.0801</v>
      </c>
      <c r="BP429" s="1">
        <v>0.942</v>
      </c>
      <c r="BQ429" s="1">
        <v>2.5831</v>
      </c>
      <c r="BR429" s="1">
        <v>0.696</v>
      </c>
      <c r="BS429" s="1">
        <v>0.008</v>
      </c>
      <c r="BT429" s="1">
        <v>0.014</v>
      </c>
      <c r="BU429" s="1">
        <v>0.002</v>
      </c>
      <c r="BV429" s="1">
        <v>0.024</v>
      </c>
      <c r="BW429" s="1">
        <v>0.002</v>
      </c>
      <c r="BX429" s="1">
        <v>0.873</v>
      </c>
      <c r="BY429" s="1">
        <v>0.915</v>
      </c>
      <c r="BZ429" s="1">
        <v>1.788</v>
      </c>
      <c r="CA429" s="1">
        <v>0.961</v>
      </c>
      <c r="CB429" s="1">
        <v>0.991</v>
      </c>
      <c r="CC429" s="1">
        <v>0.0</v>
      </c>
      <c r="CD429" s="1">
        <v>0.0</v>
      </c>
      <c r="CE429" s="1">
        <v>0.924</v>
      </c>
      <c r="CF429" s="1">
        <v>0.994</v>
      </c>
      <c r="CG429" s="1">
        <v>2.909</v>
      </c>
      <c r="CH429" s="1">
        <v>0.736</v>
      </c>
      <c r="CI429" s="1">
        <v>7.3041</v>
      </c>
      <c r="CJ429" s="1">
        <v>0.6072</v>
      </c>
      <c r="CK429" s="1">
        <v>0.0</v>
      </c>
      <c r="CL429" s="1">
        <v>0.0</v>
      </c>
      <c r="CM429" s="1">
        <v>0.0</v>
      </c>
      <c r="CN429" s="1">
        <v>1.0</v>
      </c>
      <c r="CO429" s="1">
        <v>1.0</v>
      </c>
      <c r="CP429" s="1">
        <v>0.0</v>
      </c>
      <c r="CQ429" s="1">
        <v>0.0</v>
      </c>
      <c r="CR429" s="1">
        <v>0.0</v>
      </c>
      <c r="CS429" s="1">
        <v>0.0</v>
      </c>
      <c r="CT429" s="1">
        <v>0.0</v>
      </c>
      <c r="CU429" s="1">
        <v>1.0</v>
      </c>
      <c r="CV429" s="1">
        <v>1.0</v>
      </c>
      <c r="CW429" s="1">
        <v>1.0</v>
      </c>
      <c r="CX429" s="1">
        <v>0.0</v>
      </c>
      <c r="CY429" s="1">
        <v>0.0</v>
      </c>
      <c r="CZ429" s="1">
        <v>1.0</v>
      </c>
      <c r="DA429" s="1">
        <v>1.0</v>
      </c>
      <c r="DB429" s="1">
        <v>3.0</v>
      </c>
      <c r="DC429" s="1">
        <v>5.0</v>
      </c>
      <c r="DD429" s="1" t="s">
        <v>2111</v>
      </c>
      <c r="DE429" s="2" t="s">
        <v>2112</v>
      </c>
      <c r="DF429" s="1">
        <v>0.0417827317481638</v>
      </c>
    </row>
    <row r="430" ht="15.75" customHeight="1">
      <c r="A430" s="1" t="s">
        <v>2113</v>
      </c>
      <c r="B430" s="1">
        <v>29.0</v>
      </c>
      <c r="C430" s="2" t="s">
        <v>2039</v>
      </c>
      <c r="D430" s="2" t="s">
        <v>2114</v>
      </c>
      <c r="E430" s="1">
        <v>0.735</v>
      </c>
      <c r="F430" s="1">
        <v>29095.0</v>
      </c>
      <c r="G430" s="1">
        <v>2.9095016E10</v>
      </c>
      <c r="H430" s="1" t="s">
        <v>112</v>
      </c>
      <c r="I430" s="1" t="s">
        <v>113</v>
      </c>
      <c r="J430" s="1" t="s">
        <v>2041</v>
      </c>
      <c r="K430" s="1" t="s">
        <v>2115</v>
      </c>
      <c r="L430" s="1">
        <v>1840.0</v>
      </c>
      <c r="M430" s="1">
        <v>2199.0</v>
      </c>
      <c r="N430" s="1">
        <v>453.0</v>
      </c>
      <c r="O430" s="1">
        <v>874.0</v>
      </c>
      <c r="P430" s="1">
        <v>1016.0</v>
      </c>
      <c r="Q430" s="1">
        <v>43.0</v>
      </c>
      <c r="R430" s="1">
        <v>671.0</v>
      </c>
      <c r="S430" s="1">
        <v>1095.0</v>
      </c>
      <c r="T430" s="1">
        <v>447.0</v>
      </c>
      <c r="U430" s="1">
        <v>349.0</v>
      </c>
      <c r="V430" s="1">
        <v>374.0</v>
      </c>
      <c r="W430" s="1">
        <v>10638.0</v>
      </c>
      <c r="X430" s="1">
        <v>3092.0</v>
      </c>
      <c r="Y430" s="1">
        <v>277.0</v>
      </c>
      <c r="Z430" s="1">
        <v>344.0</v>
      </c>
      <c r="AA430" s="1">
        <v>156.0</v>
      </c>
      <c r="AB430" s="1">
        <v>565.0</v>
      </c>
      <c r="AC430" s="1">
        <v>206.0</v>
      </c>
      <c r="AD430" s="1">
        <v>1609.0</v>
      </c>
      <c r="AE430" s="1">
        <v>0.0</v>
      </c>
      <c r="AF430" s="1">
        <v>456.0</v>
      </c>
      <c r="AG430" s="1">
        <v>25.0</v>
      </c>
      <c r="AH430" s="1">
        <v>118.0</v>
      </c>
      <c r="AI430" s="1">
        <v>33.0</v>
      </c>
      <c r="AJ430" s="1">
        <v>54.0</v>
      </c>
      <c r="AK430" s="1">
        <v>0.0</v>
      </c>
      <c r="AL430" s="1">
        <v>161.0</v>
      </c>
      <c r="AM430" s="1">
        <v>208.0</v>
      </c>
      <c r="AN430" s="1">
        <v>94.0</v>
      </c>
      <c r="AO430" s="1">
        <v>66.0</v>
      </c>
      <c r="AP430" s="1">
        <v>0.506241</v>
      </c>
      <c r="AQ430" s="1">
        <v>0.179305</v>
      </c>
      <c r="AR430" s="1">
        <v>0.375268</v>
      </c>
      <c r="AS430" s="1">
        <v>0.380582</v>
      </c>
      <c r="AT430" s="1">
        <v>10638.0</v>
      </c>
      <c r="AU430" s="1">
        <v>3092.0</v>
      </c>
      <c r="AV430" s="1">
        <v>0.24887600000000001</v>
      </c>
      <c r="AW430" s="1">
        <v>0.3043</v>
      </c>
      <c r="AX430" s="1">
        <v>0.084782</v>
      </c>
      <c r="AY430" s="1">
        <v>0.307065</v>
      </c>
      <c r="AZ430" s="1">
        <v>0.30700447</v>
      </c>
      <c r="BA430" s="1">
        <v>0.874456</v>
      </c>
      <c r="BB430" s="1">
        <v>0.0</v>
      </c>
      <c r="BC430" s="1">
        <v>0.227431</v>
      </c>
      <c r="BD430" s="1">
        <v>0.024606</v>
      </c>
      <c r="BE430" s="1">
        <v>0.116137</v>
      </c>
      <c r="BF430" s="1">
        <v>0.03248</v>
      </c>
      <c r="BG430" s="1">
        <v>0.053131</v>
      </c>
      <c r="BH430" s="1">
        <v>0.0</v>
      </c>
      <c r="BI430" s="1">
        <v>0.202007</v>
      </c>
      <c r="BJ430" s="1">
        <v>0.260978</v>
      </c>
      <c r="BK430" s="1">
        <v>0.111769</v>
      </c>
      <c r="BL430" s="1">
        <v>0.035869</v>
      </c>
      <c r="BM430" s="1">
        <v>0.989</v>
      </c>
      <c r="BN430" s="1">
        <v>0.998</v>
      </c>
      <c r="BO430" s="1">
        <v>0.9819</v>
      </c>
      <c r="BP430" s="1">
        <v>0.865</v>
      </c>
      <c r="BQ430" s="1">
        <v>3.8339</v>
      </c>
      <c r="BR430" s="1">
        <v>0.9863</v>
      </c>
      <c r="BS430" s="1">
        <v>0.136</v>
      </c>
      <c r="BT430" s="1">
        <v>0.939</v>
      </c>
      <c r="BU430" s="1">
        <v>0.982</v>
      </c>
      <c r="BV430" s="1">
        <v>2.057</v>
      </c>
      <c r="BW430" s="1">
        <v>0.896</v>
      </c>
      <c r="BX430" s="1">
        <v>0.94</v>
      </c>
      <c r="BY430" s="1">
        <v>0.0</v>
      </c>
      <c r="BZ430" s="1">
        <v>0.94</v>
      </c>
      <c r="CA430" s="1">
        <v>0.5</v>
      </c>
      <c r="CB430" s="1">
        <v>0.511</v>
      </c>
      <c r="CC430" s="1">
        <v>0.556</v>
      </c>
      <c r="CD430" s="1">
        <v>0.0</v>
      </c>
      <c r="CE430" s="1">
        <v>0.948</v>
      </c>
      <c r="CF430" s="1">
        <v>0.846</v>
      </c>
      <c r="CG430" s="1">
        <v>2.861</v>
      </c>
      <c r="CH430" s="1">
        <v>0.716</v>
      </c>
      <c r="CI430" s="1">
        <v>9.6919</v>
      </c>
      <c r="CJ430" s="1">
        <v>0.9242</v>
      </c>
      <c r="CK430" s="1">
        <v>1.0</v>
      </c>
      <c r="CL430" s="1">
        <v>1.0</v>
      </c>
      <c r="CM430" s="1">
        <v>1.0</v>
      </c>
      <c r="CN430" s="1">
        <v>0.0</v>
      </c>
      <c r="CO430" s="1">
        <v>3.0</v>
      </c>
      <c r="CP430" s="1">
        <v>0.0</v>
      </c>
      <c r="CQ430" s="1">
        <v>1.0</v>
      </c>
      <c r="CR430" s="1">
        <v>1.0</v>
      </c>
      <c r="CS430" s="1">
        <v>2.0</v>
      </c>
      <c r="CT430" s="1">
        <v>1.0</v>
      </c>
      <c r="CU430" s="1">
        <v>0.0</v>
      </c>
      <c r="CV430" s="1">
        <v>1.0</v>
      </c>
      <c r="CW430" s="1">
        <v>0.0</v>
      </c>
      <c r="CX430" s="1">
        <v>0.0</v>
      </c>
      <c r="CY430" s="1">
        <v>0.0</v>
      </c>
      <c r="CZ430" s="1">
        <v>1.0</v>
      </c>
      <c r="DA430" s="1">
        <v>0.0</v>
      </c>
      <c r="DB430" s="1">
        <v>1.0</v>
      </c>
      <c r="DC430" s="1">
        <v>7.0</v>
      </c>
      <c r="DD430" s="1" t="s">
        <v>2116</v>
      </c>
      <c r="DE430" s="1">
        <v>1.97964223393678E-4</v>
      </c>
      <c r="DF430" s="2" t="s">
        <v>2117</v>
      </c>
    </row>
    <row r="431" ht="15.75" customHeight="1">
      <c r="A431" s="1" t="s">
        <v>2118</v>
      </c>
      <c r="B431" s="1">
        <v>29.0</v>
      </c>
      <c r="C431" s="2" t="s">
        <v>2039</v>
      </c>
      <c r="D431" s="2" t="s">
        <v>2119</v>
      </c>
      <c r="E431" s="1">
        <v>2.035</v>
      </c>
      <c r="F431" s="1">
        <v>29095.0</v>
      </c>
      <c r="G431" s="1">
        <v>2.909501341E10</v>
      </c>
      <c r="H431" s="1" t="s">
        <v>112</v>
      </c>
      <c r="I431" s="1" t="s">
        <v>113</v>
      </c>
      <c r="J431" s="1" t="s">
        <v>2041</v>
      </c>
      <c r="K431" s="1" t="s">
        <v>2120</v>
      </c>
      <c r="L431" s="1">
        <v>3438.0</v>
      </c>
      <c r="M431" s="1">
        <v>3015.0</v>
      </c>
      <c r="N431" s="1">
        <v>381.0</v>
      </c>
      <c r="O431" s="1">
        <v>1629.0</v>
      </c>
      <c r="P431" s="1">
        <v>1554.0</v>
      </c>
      <c r="Q431" s="1">
        <v>79.0</v>
      </c>
      <c r="R431" s="1">
        <v>1431.0</v>
      </c>
      <c r="S431" s="1">
        <v>518.0</v>
      </c>
      <c r="T431" s="1">
        <v>407.0</v>
      </c>
      <c r="U431" s="1">
        <v>90.0</v>
      </c>
      <c r="V431" s="1">
        <v>463.0</v>
      </c>
      <c r="W431" s="1">
        <v>15948.0</v>
      </c>
      <c r="X431" s="1">
        <v>2785.0</v>
      </c>
      <c r="Y431" s="1">
        <v>211.0</v>
      </c>
      <c r="Z431" s="1">
        <v>315.0</v>
      </c>
      <c r="AA431" s="1">
        <v>208.0</v>
      </c>
      <c r="AB431" s="1">
        <v>916.0</v>
      </c>
      <c r="AC431" s="1">
        <v>247.0</v>
      </c>
      <c r="AD431" s="1">
        <v>1261.0</v>
      </c>
      <c r="AE431" s="1">
        <v>27.0</v>
      </c>
      <c r="AF431" s="1">
        <v>428.0</v>
      </c>
      <c r="AG431" s="1">
        <v>229.0</v>
      </c>
      <c r="AH431" s="1">
        <v>117.0</v>
      </c>
      <c r="AI431" s="1">
        <v>0.0</v>
      </c>
      <c r="AJ431" s="1">
        <v>114.0</v>
      </c>
      <c r="AK431" s="1">
        <v>47.0</v>
      </c>
      <c r="AL431" s="1">
        <v>135.0</v>
      </c>
      <c r="AM431" s="1">
        <v>86.0</v>
      </c>
      <c r="AN431" s="1">
        <v>61.0</v>
      </c>
      <c r="AO431" s="1">
        <v>9.0</v>
      </c>
      <c r="AP431" s="1">
        <v>0.174528</v>
      </c>
      <c r="AQ431" s="1">
        <v>0.135247</v>
      </c>
      <c r="AR431" s="1">
        <v>0.058365</v>
      </c>
      <c r="AS431" s="1">
        <v>0.299943</v>
      </c>
      <c r="AT431" s="1">
        <v>15948.0</v>
      </c>
      <c r="AU431" s="1">
        <v>2785.0</v>
      </c>
      <c r="AV431" s="1">
        <v>0.113258</v>
      </c>
      <c r="AW431" s="1">
        <v>0.168364</v>
      </c>
      <c r="AX431" s="1">
        <v>0.0605</v>
      </c>
      <c r="AY431" s="1">
        <v>0.266433</v>
      </c>
      <c r="AZ431" s="1">
        <v>0.17260656</v>
      </c>
      <c r="BA431" s="1">
        <v>0.366783</v>
      </c>
      <c r="BB431" s="1">
        <v>0.009988</v>
      </c>
      <c r="BC431" s="1">
        <v>0.158337</v>
      </c>
      <c r="BD431" s="1">
        <v>0.147361</v>
      </c>
      <c r="BE431" s="1">
        <v>0.074915</v>
      </c>
      <c r="BF431" s="1">
        <v>0.0</v>
      </c>
      <c r="BG431" s="1">
        <v>0.073359</v>
      </c>
      <c r="BH431" s="1">
        <v>0.036462</v>
      </c>
      <c r="BI431" s="1">
        <v>0.104657</v>
      </c>
      <c r="BJ431" s="1">
        <v>0.066718</v>
      </c>
      <c r="BK431" s="1">
        <v>0.046765</v>
      </c>
      <c r="BL431" s="1">
        <v>0.002617</v>
      </c>
      <c r="BM431" s="1">
        <v>0.661</v>
      </c>
      <c r="BN431" s="1">
        <v>0.397</v>
      </c>
      <c r="BO431" s="1">
        <v>0.8412</v>
      </c>
      <c r="BP431" s="1">
        <v>0.394</v>
      </c>
      <c r="BQ431" s="1">
        <v>2.2932</v>
      </c>
      <c r="BR431" s="1">
        <v>0.6</v>
      </c>
      <c r="BS431" s="1">
        <v>0.044</v>
      </c>
      <c r="BT431" s="1">
        <v>0.764</v>
      </c>
      <c r="BU431" s="1">
        <v>0.848</v>
      </c>
      <c r="BV431" s="1">
        <v>1.656</v>
      </c>
      <c r="BW431" s="1">
        <v>0.607</v>
      </c>
      <c r="BX431" s="1">
        <v>0.825</v>
      </c>
      <c r="BY431" s="1">
        <v>0.724</v>
      </c>
      <c r="BZ431" s="1">
        <v>1.549</v>
      </c>
      <c r="CA431" s="1">
        <v>0.851</v>
      </c>
      <c r="CB431" s="1">
        <v>0.835</v>
      </c>
      <c r="CC431" s="1">
        <v>0.0</v>
      </c>
      <c r="CD431" s="1">
        <v>0.868</v>
      </c>
      <c r="CE431" s="1">
        <v>0.607</v>
      </c>
      <c r="CF431" s="1">
        <v>0.464</v>
      </c>
      <c r="CG431" s="1">
        <v>2.774</v>
      </c>
      <c r="CH431" s="1">
        <v>0.677</v>
      </c>
      <c r="CI431" s="1">
        <v>8.2722</v>
      </c>
      <c r="CJ431" s="1">
        <v>0.7574</v>
      </c>
      <c r="CK431" s="1">
        <v>0.0</v>
      </c>
      <c r="CL431" s="1">
        <v>0.0</v>
      </c>
      <c r="CM431" s="1">
        <v>0.0</v>
      </c>
      <c r="CN431" s="1">
        <v>0.0</v>
      </c>
      <c r="CO431" s="1">
        <v>0.0</v>
      </c>
      <c r="CP431" s="1">
        <v>0.0</v>
      </c>
      <c r="CQ431" s="1">
        <v>0.0</v>
      </c>
      <c r="CR431" s="1">
        <v>0.0</v>
      </c>
      <c r="CS431" s="1">
        <v>0.0</v>
      </c>
      <c r="CT431" s="1">
        <v>0.0</v>
      </c>
      <c r="CU431" s="1">
        <v>0.0</v>
      </c>
      <c r="CV431" s="1">
        <v>0.0</v>
      </c>
      <c r="CW431" s="1">
        <v>0.0</v>
      </c>
      <c r="CX431" s="1">
        <v>0.0</v>
      </c>
      <c r="CY431" s="1">
        <v>0.0</v>
      </c>
      <c r="CZ431" s="1">
        <v>0.0</v>
      </c>
      <c r="DA431" s="1">
        <v>0.0</v>
      </c>
      <c r="DB431" s="1">
        <v>0.0</v>
      </c>
      <c r="DC431" s="1">
        <v>0.0</v>
      </c>
      <c r="DD431" s="1" t="s">
        <v>2121</v>
      </c>
      <c r="DE431" s="1">
        <v>5.45137669420016E-4</v>
      </c>
      <c r="DF431" s="2" t="s">
        <v>2122</v>
      </c>
    </row>
    <row r="432" ht="15.75" customHeight="1">
      <c r="A432" s="1" t="s">
        <v>2123</v>
      </c>
      <c r="B432" s="1">
        <v>29.0</v>
      </c>
      <c r="C432" s="2" t="s">
        <v>2039</v>
      </c>
      <c r="D432" s="2" t="s">
        <v>2124</v>
      </c>
      <c r="E432" s="1">
        <v>2.535</v>
      </c>
      <c r="F432" s="1">
        <v>29095.0</v>
      </c>
      <c r="G432" s="1">
        <v>2.9095013904E10</v>
      </c>
      <c r="H432" s="1" t="s">
        <v>112</v>
      </c>
      <c r="I432" s="1" t="s">
        <v>113</v>
      </c>
      <c r="J432" s="1" t="s">
        <v>2041</v>
      </c>
      <c r="K432" s="1" t="s">
        <v>2125</v>
      </c>
      <c r="L432" s="1">
        <v>6843.0</v>
      </c>
      <c r="M432" s="1">
        <v>6514.0</v>
      </c>
      <c r="N432" s="1">
        <v>290.0</v>
      </c>
      <c r="O432" s="1">
        <v>2332.0</v>
      </c>
      <c r="P432" s="1">
        <v>2212.0</v>
      </c>
      <c r="Q432" s="1">
        <v>60.0</v>
      </c>
      <c r="R432" s="1">
        <v>2276.0</v>
      </c>
      <c r="S432" s="1">
        <v>145.0</v>
      </c>
      <c r="T432" s="1">
        <v>116.0</v>
      </c>
      <c r="U432" s="1">
        <v>179.0</v>
      </c>
      <c r="V432" s="1">
        <v>352.0</v>
      </c>
      <c r="W432" s="1">
        <v>33884.0</v>
      </c>
      <c r="X432" s="1">
        <v>2530.0</v>
      </c>
      <c r="Y432" s="1">
        <v>145.0</v>
      </c>
      <c r="Z432" s="1">
        <v>370.0</v>
      </c>
      <c r="AA432" s="1">
        <v>356.0</v>
      </c>
      <c r="AB432" s="1">
        <v>2210.0</v>
      </c>
      <c r="AC432" s="1">
        <v>198.0</v>
      </c>
      <c r="AD432" s="1">
        <v>1018.0</v>
      </c>
      <c r="AE432" s="1">
        <v>0.0</v>
      </c>
      <c r="AF432" s="1">
        <v>456.0</v>
      </c>
      <c r="AG432" s="1">
        <v>54.0</v>
      </c>
      <c r="AH432" s="1">
        <v>45.0</v>
      </c>
      <c r="AI432" s="1">
        <v>47.0</v>
      </c>
      <c r="AJ432" s="1">
        <v>72.0</v>
      </c>
      <c r="AK432" s="1">
        <v>16.0</v>
      </c>
      <c r="AL432" s="1">
        <v>117.0</v>
      </c>
      <c r="AM432" s="1">
        <v>38.0</v>
      </c>
      <c r="AN432" s="1">
        <v>37.0</v>
      </c>
      <c r="AO432" s="1">
        <v>0.0</v>
      </c>
      <c r="AP432" s="1">
        <v>0.022259</v>
      </c>
      <c r="AQ432" s="1">
        <v>0.01778</v>
      </c>
      <c r="AR432" s="1">
        <v>0.045862</v>
      </c>
      <c r="AS432" s="1">
        <v>0.090084</v>
      </c>
      <c r="AT432" s="1">
        <v>33884.0</v>
      </c>
      <c r="AU432" s="1">
        <v>2530.0</v>
      </c>
      <c r="AV432" s="1">
        <v>0.035917</v>
      </c>
      <c r="AW432" s="1">
        <v>0.091632</v>
      </c>
      <c r="AX432" s="1">
        <v>0.052023</v>
      </c>
      <c r="AY432" s="1">
        <v>0.322957</v>
      </c>
      <c r="AZ432" s="1">
        <v>0.08699472</v>
      </c>
      <c r="BA432" s="1">
        <v>0.148765</v>
      </c>
      <c r="BB432" s="1">
        <v>0.0</v>
      </c>
      <c r="BC432" s="1">
        <v>0.07691</v>
      </c>
      <c r="BD432" s="1">
        <v>0.024412</v>
      </c>
      <c r="BE432" s="1">
        <v>0.020332</v>
      </c>
      <c r="BF432" s="1">
        <v>0.021247</v>
      </c>
      <c r="BG432" s="1">
        <v>0.032544</v>
      </c>
      <c r="BH432" s="1">
        <v>0.007536</v>
      </c>
      <c r="BI432" s="1">
        <v>0.055109</v>
      </c>
      <c r="BJ432" s="1">
        <v>0.017899</v>
      </c>
      <c r="BK432" s="1">
        <v>0.017413</v>
      </c>
      <c r="BL432" s="1">
        <v>0.0</v>
      </c>
      <c r="BM432" s="1">
        <v>0.064</v>
      </c>
      <c r="BN432" s="1">
        <v>0.248</v>
      </c>
      <c r="BO432" s="1">
        <v>0.1321</v>
      </c>
      <c r="BP432" s="1">
        <v>0.083</v>
      </c>
      <c r="BQ432" s="1">
        <v>0.5271</v>
      </c>
      <c r="BR432" s="1">
        <v>0.0758</v>
      </c>
      <c r="BS432" s="1">
        <v>0.026</v>
      </c>
      <c r="BT432" s="1">
        <v>0.964</v>
      </c>
      <c r="BU432" s="1">
        <v>0.376</v>
      </c>
      <c r="BV432" s="1">
        <v>1.366</v>
      </c>
      <c r="BW432" s="1">
        <v>0.361</v>
      </c>
      <c r="BX432" s="1">
        <v>0.622</v>
      </c>
      <c r="BY432" s="1">
        <v>0.0</v>
      </c>
      <c r="BZ432" s="1">
        <v>0.622</v>
      </c>
      <c r="CA432" s="1">
        <v>0.287</v>
      </c>
      <c r="CB432" s="1">
        <v>0.509</v>
      </c>
      <c r="CC432" s="1">
        <v>0.517</v>
      </c>
      <c r="CD432" s="1">
        <v>0.414</v>
      </c>
      <c r="CE432" s="1">
        <v>0.161</v>
      </c>
      <c r="CF432" s="1">
        <v>0.0</v>
      </c>
      <c r="CG432" s="1">
        <v>1.601</v>
      </c>
      <c r="CH432" s="1">
        <v>0.2</v>
      </c>
      <c r="CI432" s="1">
        <v>4.1161</v>
      </c>
      <c r="CJ432" s="1">
        <v>0.096</v>
      </c>
      <c r="CK432" s="1">
        <v>0.0</v>
      </c>
      <c r="CL432" s="1">
        <v>0.0</v>
      </c>
      <c r="CM432" s="1">
        <v>0.0</v>
      </c>
      <c r="CN432" s="1">
        <v>0.0</v>
      </c>
      <c r="CO432" s="1">
        <v>0.0</v>
      </c>
      <c r="CP432" s="1">
        <v>0.0</v>
      </c>
      <c r="CQ432" s="1">
        <v>1.0</v>
      </c>
      <c r="CR432" s="1">
        <v>0.0</v>
      </c>
      <c r="CS432" s="1">
        <v>1.0</v>
      </c>
      <c r="CT432" s="1">
        <v>0.0</v>
      </c>
      <c r="CU432" s="1">
        <v>0.0</v>
      </c>
      <c r="CV432" s="1">
        <v>0.0</v>
      </c>
      <c r="CW432" s="1">
        <v>0.0</v>
      </c>
      <c r="CX432" s="1">
        <v>0.0</v>
      </c>
      <c r="CY432" s="1">
        <v>0.0</v>
      </c>
      <c r="CZ432" s="1">
        <v>0.0</v>
      </c>
      <c r="DA432" s="1">
        <v>0.0</v>
      </c>
      <c r="DB432" s="1">
        <v>0.0</v>
      </c>
      <c r="DC432" s="1">
        <v>1.0</v>
      </c>
      <c r="DD432" s="1" t="s">
        <v>2126</v>
      </c>
      <c r="DE432" s="1">
        <v>6.83081863458406E-4</v>
      </c>
      <c r="DF432" s="2" t="s">
        <v>2127</v>
      </c>
    </row>
    <row r="433" ht="15.75" customHeight="1">
      <c r="A433" s="1" t="s">
        <v>2128</v>
      </c>
      <c r="B433" s="1">
        <v>29.0</v>
      </c>
      <c r="C433" s="2" t="s">
        <v>2039</v>
      </c>
      <c r="D433" s="2" t="s">
        <v>2129</v>
      </c>
      <c r="E433" s="1">
        <v>2.684</v>
      </c>
      <c r="F433" s="1">
        <v>29095.0</v>
      </c>
      <c r="G433" s="1">
        <v>2.9095014006E10</v>
      </c>
      <c r="H433" s="1" t="s">
        <v>112</v>
      </c>
      <c r="I433" s="1" t="s">
        <v>113</v>
      </c>
      <c r="J433" s="1" t="s">
        <v>2041</v>
      </c>
      <c r="K433" s="1" t="s">
        <v>2130</v>
      </c>
      <c r="L433" s="1">
        <v>6096.0</v>
      </c>
      <c r="M433" s="1">
        <v>6338.0</v>
      </c>
      <c r="N433" s="1">
        <v>393.0</v>
      </c>
      <c r="O433" s="1">
        <v>2233.0</v>
      </c>
      <c r="P433" s="1">
        <v>2213.0</v>
      </c>
      <c r="Q433" s="1">
        <v>160.0</v>
      </c>
      <c r="R433" s="1">
        <v>2153.0</v>
      </c>
      <c r="S433" s="1">
        <v>60.0</v>
      </c>
      <c r="T433" s="1">
        <v>78.0</v>
      </c>
      <c r="U433" s="1">
        <v>163.0</v>
      </c>
      <c r="V433" s="1">
        <v>386.0</v>
      </c>
      <c r="W433" s="1">
        <v>25291.0</v>
      </c>
      <c r="X433" s="1">
        <v>2163.0</v>
      </c>
      <c r="Y433" s="1">
        <v>274.0</v>
      </c>
      <c r="Z433" s="1">
        <v>388.0</v>
      </c>
      <c r="AA433" s="1">
        <v>464.0</v>
      </c>
      <c r="AB433" s="1">
        <v>1947.0</v>
      </c>
      <c r="AC433" s="1">
        <v>238.0</v>
      </c>
      <c r="AD433" s="1">
        <v>541.0</v>
      </c>
      <c r="AE433" s="1">
        <v>45.0</v>
      </c>
      <c r="AF433" s="1">
        <v>446.0</v>
      </c>
      <c r="AG433" s="1">
        <v>8.0</v>
      </c>
      <c r="AH433" s="1">
        <v>162.0</v>
      </c>
      <c r="AI433" s="1">
        <v>0.0</v>
      </c>
      <c r="AJ433" s="1">
        <v>114.0</v>
      </c>
      <c r="AK433" s="1">
        <v>46.0</v>
      </c>
      <c r="AL433" s="1">
        <v>133.0</v>
      </c>
      <c r="AM433" s="1">
        <v>27.0</v>
      </c>
      <c r="AN433" s="1">
        <v>118.0</v>
      </c>
      <c r="AO433" s="1">
        <v>13.0</v>
      </c>
      <c r="AP433" s="1">
        <v>0.009466</v>
      </c>
      <c r="AQ433" s="1">
        <v>0.012292</v>
      </c>
      <c r="AR433" s="1">
        <v>0.047246</v>
      </c>
      <c r="AS433" s="1">
        <v>0.111769</v>
      </c>
      <c r="AT433" s="1">
        <v>25291.0</v>
      </c>
      <c r="AU433" s="1">
        <v>2163.0</v>
      </c>
      <c r="AV433" s="1">
        <v>0.072775</v>
      </c>
      <c r="AW433" s="1">
        <v>0.10293</v>
      </c>
      <c r="AX433" s="1">
        <v>0.076115</v>
      </c>
      <c r="AY433" s="1">
        <v>0.319389</v>
      </c>
      <c r="AZ433" s="1">
        <v>0.11054342</v>
      </c>
      <c r="BA433" s="1">
        <v>0.088746</v>
      </c>
      <c r="BB433" s="1">
        <v>0.007729</v>
      </c>
      <c r="BC433" s="1">
        <v>0.076603</v>
      </c>
      <c r="BD433" s="1">
        <v>0.003615</v>
      </c>
      <c r="BE433" s="1">
        <v>0.073203</v>
      </c>
      <c r="BF433" s="1">
        <v>0.0</v>
      </c>
      <c r="BG433" s="1">
        <v>0.051513</v>
      </c>
      <c r="BH433" s="1">
        <v>0.021978</v>
      </c>
      <c r="BI433" s="1">
        <v>0.063527</v>
      </c>
      <c r="BJ433" s="1">
        <v>0.0129</v>
      </c>
      <c r="BK433" s="1">
        <v>0.056371</v>
      </c>
      <c r="BL433" s="1">
        <v>0.002132</v>
      </c>
      <c r="BM433" s="1">
        <v>0.019</v>
      </c>
      <c r="BN433" s="1">
        <v>0.267</v>
      </c>
      <c r="BO433" s="1">
        <v>0.3343</v>
      </c>
      <c r="BP433" s="1">
        <v>0.212</v>
      </c>
      <c r="BQ433" s="1">
        <v>0.8323</v>
      </c>
      <c r="BR433" s="1">
        <v>0.169</v>
      </c>
      <c r="BS433" s="1">
        <v>0.102</v>
      </c>
      <c r="BT433" s="1">
        <v>0.959</v>
      </c>
      <c r="BU433" s="1">
        <v>0.592</v>
      </c>
      <c r="BV433" s="1">
        <v>1.653</v>
      </c>
      <c r="BW433" s="1">
        <v>0.604</v>
      </c>
      <c r="BX433" s="1">
        <v>0.424</v>
      </c>
      <c r="BY433" s="1">
        <v>0.656</v>
      </c>
      <c r="BZ433" s="1">
        <v>1.08</v>
      </c>
      <c r="CA433" s="1">
        <v>0.601</v>
      </c>
      <c r="CB433" s="1">
        <v>0.296</v>
      </c>
      <c r="CC433" s="1">
        <v>0.0</v>
      </c>
      <c r="CD433" s="1">
        <v>0.71</v>
      </c>
      <c r="CE433" s="1">
        <v>0.112</v>
      </c>
      <c r="CF433" s="1">
        <v>0.45</v>
      </c>
      <c r="CG433" s="1">
        <v>1.568</v>
      </c>
      <c r="CH433" s="1">
        <v>0.189</v>
      </c>
      <c r="CI433" s="1">
        <v>5.1333</v>
      </c>
      <c r="CJ433" s="1">
        <v>0.2217</v>
      </c>
      <c r="CK433" s="1">
        <v>0.0</v>
      </c>
      <c r="CL433" s="1">
        <v>0.0</v>
      </c>
      <c r="CM433" s="1">
        <v>0.0</v>
      </c>
      <c r="CN433" s="1">
        <v>0.0</v>
      </c>
      <c r="CO433" s="1">
        <v>0.0</v>
      </c>
      <c r="CP433" s="1">
        <v>0.0</v>
      </c>
      <c r="CQ433" s="1">
        <v>1.0</v>
      </c>
      <c r="CR433" s="1">
        <v>0.0</v>
      </c>
      <c r="CS433" s="1">
        <v>1.0</v>
      </c>
      <c r="CT433" s="1">
        <v>0.0</v>
      </c>
      <c r="CU433" s="1">
        <v>0.0</v>
      </c>
      <c r="CV433" s="1">
        <v>0.0</v>
      </c>
      <c r="CW433" s="1">
        <v>0.0</v>
      </c>
      <c r="CX433" s="1">
        <v>0.0</v>
      </c>
      <c r="CY433" s="1">
        <v>0.0</v>
      </c>
      <c r="CZ433" s="1">
        <v>0.0</v>
      </c>
      <c r="DA433" s="1">
        <v>0.0</v>
      </c>
      <c r="DB433" s="1">
        <v>0.0</v>
      </c>
      <c r="DC433" s="1">
        <v>1.0</v>
      </c>
      <c r="DD433" s="1" t="s">
        <v>2131</v>
      </c>
      <c r="DE433" s="1">
        <v>7.24642564182968E-4</v>
      </c>
      <c r="DF433" s="2" t="s">
        <v>2132</v>
      </c>
    </row>
    <row r="434" ht="15.75" customHeight="1">
      <c r="A434" s="1" t="s">
        <v>2133</v>
      </c>
      <c r="B434" s="1">
        <v>29.0</v>
      </c>
      <c r="C434" s="2" t="s">
        <v>2039</v>
      </c>
      <c r="D434" s="2" t="s">
        <v>2134</v>
      </c>
      <c r="E434" s="1">
        <v>4.726</v>
      </c>
      <c r="F434" s="1">
        <v>29095.0</v>
      </c>
      <c r="G434" s="1">
        <v>2.9095014111E10</v>
      </c>
      <c r="H434" s="1" t="s">
        <v>112</v>
      </c>
      <c r="I434" s="1" t="s">
        <v>113</v>
      </c>
      <c r="J434" s="1" t="s">
        <v>2041</v>
      </c>
      <c r="K434" s="1" t="s">
        <v>2135</v>
      </c>
      <c r="L434" s="1">
        <v>2877.0</v>
      </c>
      <c r="M434" s="1">
        <v>2505.0</v>
      </c>
      <c r="N434" s="1">
        <v>214.0</v>
      </c>
      <c r="O434" s="1">
        <v>1071.0</v>
      </c>
      <c r="P434" s="1">
        <v>924.0</v>
      </c>
      <c r="Q434" s="1">
        <v>66.0</v>
      </c>
      <c r="R434" s="1">
        <v>1032.0</v>
      </c>
      <c r="S434" s="1">
        <v>122.0</v>
      </c>
      <c r="T434" s="1">
        <v>99.0</v>
      </c>
      <c r="U434" s="1">
        <v>49.0</v>
      </c>
      <c r="V434" s="1">
        <v>458.0</v>
      </c>
      <c r="W434" s="1">
        <v>28576.0</v>
      </c>
      <c r="X434" s="1">
        <v>3119.0</v>
      </c>
      <c r="Y434" s="1">
        <v>69.0</v>
      </c>
      <c r="Z434" s="1">
        <v>397.0</v>
      </c>
      <c r="AA434" s="1">
        <v>215.0</v>
      </c>
      <c r="AB434" s="1">
        <v>878.0</v>
      </c>
      <c r="AC434" s="1">
        <v>140.0</v>
      </c>
      <c r="AD434" s="1">
        <v>438.0</v>
      </c>
      <c r="AE434" s="1">
        <v>14.0</v>
      </c>
      <c r="AF434" s="1">
        <v>442.0</v>
      </c>
      <c r="AG434" s="1">
        <v>50.0</v>
      </c>
      <c r="AH434" s="1">
        <v>126.0</v>
      </c>
      <c r="AI434" s="1">
        <v>54.0</v>
      </c>
      <c r="AJ434" s="1">
        <v>43.0</v>
      </c>
      <c r="AK434" s="1">
        <v>0.0</v>
      </c>
      <c r="AL434" s="1">
        <v>161.0</v>
      </c>
      <c r="AM434" s="1">
        <v>15.0</v>
      </c>
      <c r="AN434" s="1">
        <v>19.0</v>
      </c>
      <c r="AO434" s="1">
        <v>9.0</v>
      </c>
      <c r="AP434" s="1">
        <v>0.048702</v>
      </c>
      <c r="AQ434" s="1">
        <v>0.039301</v>
      </c>
      <c r="AR434" s="1">
        <v>0.03417</v>
      </c>
      <c r="AS434" s="1">
        <v>0.319337</v>
      </c>
      <c r="AT434" s="1">
        <v>28576.0</v>
      </c>
      <c r="AU434" s="1">
        <v>3119.0</v>
      </c>
      <c r="AV434" s="1">
        <v>0.046153</v>
      </c>
      <c r="AW434" s="1">
        <v>0.265515</v>
      </c>
      <c r="AX434" s="1">
        <v>0.07473</v>
      </c>
      <c r="AY434" s="1">
        <v>0.305179</v>
      </c>
      <c r="AZ434" s="1">
        <v>0.13565891</v>
      </c>
      <c r="BA434" s="1">
        <v>0.152241</v>
      </c>
      <c r="BB434" s="1">
        <v>0.005942</v>
      </c>
      <c r="BC434" s="1">
        <v>0.187605</v>
      </c>
      <c r="BD434" s="1">
        <v>0.054112</v>
      </c>
      <c r="BE434" s="1">
        <v>0.136308</v>
      </c>
      <c r="BF434" s="1">
        <v>0.058441</v>
      </c>
      <c r="BG434" s="1">
        <v>0.046349</v>
      </c>
      <c r="BH434" s="1">
        <v>0.0</v>
      </c>
      <c r="BI434" s="1">
        <v>0.192353</v>
      </c>
      <c r="BJ434" s="1">
        <v>0.017921</v>
      </c>
      <c r="BK434" s="1">
        <v>0.02265</v>
      </c>
      <c r="BL434" s="1">
        <v>0.003128</v>
      </c>
      <c r="BM434" s="1">
        <v>0.161</v>
      </c>
      <c r="BN434" s="1">
        <v>0.125</v>
      </c>
      <c r="BO434" s="1">
        <v>0.2325</v>
      </c>
      <c r="BP434" s="1">
        <v>0.117</v>
      </c>
      <c r="BQ434" s="1">
        <v>0.6355</v>
      </c>
      <c r="BR434" s="1">
        <v>0.1061</v>
      </c>
      <c r="BS434" s="1">
        <v>0.101</v>
      </c>
      <c r="BT434" s="1">
        <v>0.935</v>
      </c>
      <c r="BU434" s="1">
        <v>0.742</v>
      </c>
      <c r="BV434" s="1">
        <v>1.778</v>
      </c>
      <c r="BW434" s="1">
        <v>0.704</v>
      </c>
      <c r="BX434" s="1">
        <v>0.63</v>
      </c>
      <c r="BY434" s="1">
        <v>0.596</v>
      </c>
      <c r="BZ434" s="1">
        <v>1.226</v>
      </c>
      <c r="CA434" s="1">
        <v>0.673</v>
      </c>
      <c r="CB434" s="1">
        <v>0.666</v>
      </c>
      <c r="CC434" s="1">
        <v>0.625</v>
      </c>
      <c r="CD434" s="1">
        <v>0.0</v>
      </c>
      <c r="CE434" s="1">
        <v>0.162</v>
      </c>
      <c r="CF434" s="1">
        <v>0.478</v>
      </c>
      <c r="CG434" s="1">
        <v>1.931</v>
      </c>
      <c r="CH434" s="1">
        <v>0.316</v>
      </c>
      <c r="CI434" s="1">
        <v>5.5705</v>
      </c>
      <c r="CJ434" s="1">
        <v>0.2939</v>
      </c>
      <c r="CK434" s="1">
        <v>0.0</v>
      </c>
      <c r="CL434" s="1">
        <v>0.0</v>
      </c>
      <c r="CM434" s="1">
        <v>0.0</v>
      </c>
      <c r="CN434" s="1">
        <v>0.0</v>
      </c>
      <c r="CO434" s="1">
        <v>0.0</v>
      </c>
      <c r="CP434" s="1">
        <v>0.0</v>
      </c>
      <c r="CQ434" s="1">
        <v>1.0</v>
      </c>
      <c r="CR434" s="1">
        <v>0.0</v>
      </c>
      <c r="CS434" s="1">
        <v>1.0</v>
      </c>
      <c r="CT434" s="1">
        <v>0.0</v>
      </c>
      <c r="CU434" s="1">
        <v>0.0</v>
      </c>
      <c r="CV434" s="1">
        <v>0.0</v>
      </c>
      <c r="CW434" s="1">
        <v>0.0</v>
      </c>
      <c r="CX434" s="1">
        <v>0.0</v>
      </c>
      <c r="CY434" s="1">
        <v>0.0</v>
      </c>
      <c r="CZ434" s="1">
        <v>0.0</v>
      </c>
      <c r="DA434" s="1">
        <v>0.0</v>
      </c>
      <c r="DB434" s="1">
        <v>0.0</v>
      </c>
      <c r="DC434" s="1">
        <v>1.0</v>
      </c>
      <c r="DD434" s="1" t="s">
        <v>2136</v>
      </c>
      <c r="DE434" s="1">
        <v>0.00127277214181601</v>
      </c>
      <c r="DF434" s="2" t="s">
        <v>2137</v>
      </c>
    </row>
    <row r="435" ht="15.75" customHeight="1">
      <c r="A435" s="1" t="s">
        <v>2138</v>
      </c>
      <c r="B435" s="1">
        <v>29.0</v>
      </c>
      <c r="C435" s="2" t="s">
        <v>2039</v>
      </c>
      <c r="D435" s="2" t="s">
        <v>324</v>
      </c>
      <c r="E435" s="1">
        <v>0.555</v>
      </c>
      <c r="F435" s="1">
        <v>29095.0</v>
      </c>
      <c r="G435" s="1">
        <v>2.90950003E10</v>
      </c>
      <c r="H435" s="1" t="s">
        <v>112</v>
      </c>
      <c r="I435" s="1" t="s">
        <v>113</v>
      </c>
      <c r="J435" s="1" t="s">
        <v>2041</v>
      </c>
      <c r="K435" s="1" t="s">
        <v>2139</v>
      </c>
      <c r="L435" s="1">
        <v>1393.0</v>
      </c>
      <c r="M435" s="1">
        <v>1886.0</v>
      </c>
      <c r="N435" s="1">
        <v>307.0</v>
      </c>
      <c r="O435" s="1">
        <v>744.0</v>
      </c>
      <c r="P435" s="1">
        <v>793.0</v>
      </c>
      <c r="Q435" s="1">
        <v>66.0</v>
      </c>
      <c r="R435" s="1">
        <v>638.0</v>
      </c>
      <c r="S435" s="1">
        <v>913.0</v>
      </c>
      <c r="T435" s="1">
        <v>307.0</v>
      </c>
      <c r="U435" s="1">
        <v>156.0</v>
      </c>
      <c r="V435" s="1">
        <v>420.0</v>
      </c>
      <c r="W435" s="1">
        <v>14215.0</v>
      </c>
      <c r="X435" s="1">
        <v>3635.0</v>
      </c>
      <c r="Y435" s="1">
        <v>272.0</v>
      </c>
      <c r="Z435" s="1">
        <v>257.0</v>
      </c>
      <c r="AA435" s="1">
        <v>173.0</v>
      </c>
      <c r="AB435" s="1">
        <v>430.0</v>
      </c>
      <c r="AC435" s="1">
        <v>125.0</v>
      </c>
      <c r="AD435" s="1">
        <v>860.0</v>
      </c>
      <c r="AE435" s="1">
        <v>124.0</v>
      </c>
      <c r="AF435" s="1">
        <v>421.0</v>
      </c>
      <c r="AG435" s="1">
        <v>79.0</v>
      </c>
      <c r="AH435" s="1">
        <v>69.0</v>
      </c>
      <c r="AI435" s="1">
        <v>11.0</v>
      </c>
      <c r="AJ435" s="1">
        <v>18.0</v>
      </c>
      <c r="AK435" s="1">
        <v>0.0</v>
      </c>
      <c r="AL435" s="1">
        <v>161.0</v>
      </c>
      <c r="AM435" s="1">
        <v>97.0</v>
      </c>
      <c r="AN435" s="1">
        <v>61.0</v>
      </c>
      <c r="AO435" s="1">
        <v>0.0</v>
      </c>
      <c r="AP435" s="1">
        <v>0.484093</v>
      </c>
      <c r="AQ435" s="1">
        <v>0.142433</v>
      </c>
      <c r="AR435" s="1">
        <v>0.187725</v>
      </c>
      <c r="AS435" s="1">
        <v>0.500087</v>
      </c>
      <c r="AT435" s="1">
        <v>14215.0</v>
      </c>
      <c r="AU435" s="1">
        <v>3635.0</v>
      </c>
      <c r="AV435" s="1">
        <v>0.228571</v>
      </c>
      <c r="AW435" s="1">
        <v>0.210428</v>
      </c>
      <c r="AX435" s="1">
        <v>0.124192</v>
      </c>
      <c r="AY435" s="1">
        <v>0.308686</v>
      </c>
      <c r="AZ435" s="1">
        <v>0.19592476</v>
      </c>
      <c r="BA435" s="1">
        <v>0.617372</v>
      </c>
      <c r="BB435" s="1">
        <v>0.0718</v>
      </c>
      <c r="BC435" s="1">
        <v>0.243443</v>
      </c>
      <c r="BD435" s="1">
        <v>0.099621</v>
      </c>
      <c r="BE435" s="1">
        <v>0.086615</v>
      </c>
      <c r="BF435" s="1">
        <v>0.013871</v>
      </c>
      <c r="BG435" s="1">
        <v>0.022669</v>
      </c>
      <c r="BH435" s="1">
        <v>0.0</v>
      </c>
      <c r="BI435" s="1">
        <v>0.211563</v>
      </c>
      <c r="BJ435" s="1">
        <v>0.127463</v>
      </c>
      <c r="BK435" s="1">
        <v>0.07914</v>
      </c>
      <c r="BL435" s="1">
        <v>0.0</v>
      </c>
      <c r="BM435" s="1">
        <v>0.986</v>
      </c>
      <c r="BN435" s="1">
        <v>0.943</v>
      </c>
      <c r="BO435" s="1">
        <v>0.9069</v>
      </c>
      <c r="BP435" s="1">
        <v>0.825</v>
      </c>
      <c r="BQ435" s="1">
        <v>3.6609</v>
      </c>
      <c r="BR435" s="1">
        <v>0.9502</v>
      </c>
      <c r="BS435" s="1">
        <v>0.373</v>
      </c>
      <c r="BT435" s="1">
        <v>0.945</v>
      </c>
      <c r="BU435" s="1">
        <v>0.892</v>
      </c>
      <c r="BV435" s="1">
        <v>2.21</v>
      </c>
      <c r="BW435" s="1">
        <v>0.964</v>
      </c>
      <c r="BX435" s="1">
        <v>0.885</v>
      </c>
      <c r="BY435" s="1">
        <v>0.977</v>
      </c>
      <c r="BZ435" s="1">
        <v>1.862</v>
      </c>
      <c r="CA435" s="1">
        <v>0.983</v>
      </c>
      <c r="CB435" s="1">
        <v>0.771</v>
      </c>
      <c r="CC435" s="1">
        <v>0.485</v>
      </c>
      <c r="CD435" s="1">
        <v>0.0</v>
      </c>
      <c r="CE435" s="1">
        <v>0.823</v>
      </c>
      <c r="CF435" s="1">
        <v>0.0</v>
      </c>
      <c r="CG435" s="1">
        <v>2.079</v>
      </c>
      <c r="CH435" s="1">
        <v>0.374</v>
      </c>
      <c r="CI435" s="1">
        <v>9.8119</v>
      </c>
      <c r="CJ435" s="1">
        <v>0.935</v>
      </c>
      <c r="CK435" s="1">
        <v>1.0</v>
      </c>
      <c r="CL435" s="1">
        <v>1.0</v>
      </c>
      <c r="CM435" s="1">
        <v>1.0</v>
      </c>
      <c r="CN435" s="1">
        <v>0.0</v>
      </c>
      <c r="CO435" s="1">
        <v>3.0</v>
      </c>
      <c r="CP435" s="1">
        <v>0.0</v>
      </c>
      <c r="CQ435" s="1">
        <v>1.0</v>
      </c>
      <c r="CR435" s="1">
        <v>0.0</v>
      </c>
      <c r="CS435" s="1">
        <v>1.0</v>
      </c>
      <c r="CT435" s="1">
        <v>0.0</v>
      </c>
      <c r="CU435" s="1">
        <v>1.0</v>
      </c>
      <c r="CV435" s="1">
        <v>1.0</v>
      </c>
      <c r="CW435" s="1">
        <v>0.0</v>
      </c>
      <c r="CX435" s="1">
        <v>0.0</v>
      </c>
      <c r="CY435" s="1">
        <v>0.0</v>
      </c>
      <c r="CZ435" s="1">
        <v>0.0</v>
      </c>
      <c r="DA435" s="1">
        <v>0.0</v>
      </c>
      <c r="DB435" s="1">
        <v>0.0</v>
      </c>
      <c r="DC435" s="1">
        <v>5.0</v>
      </c>
      <c r="DD435" s="1" t="s">
        <v>2140</v>
      </c>
      <c r="DE435" s="1">
        <v>1.73184819466484E-4</v>
      </c>
      <c r="DF435" s="1">
        <v>0.0522692147305488</v>
      </c>
    </row>
    <row r="436" ht="15.75" customHeight="1">
      <c r="A436" s="1" t="s">
        <v>2141</v>
      </c>
      <c r="B436" s="1">
        <v>29.0</v>
      </c>
      <c r="C436" s="2" t="s">
        <v>2039</v>
      </c>
      <c r="D436" s="2" t="s">
        <v>333</v>
      </c>
      <c r="E436" s="1">
        <v>0.515</v>
      </c>
      <c r="F436" s="1">
        <v>29095.0</v>
      </c>
      <c r="G436" s="1">
        <v>2.90950006E10</v>
      </c>
      <c r="H436" s="1" t="s">
        <v>112</v>
      </c>
      <c r="I436" s="1" t="s">
        <v>113</v>
      </c>
      <c r="J436" s="1" t="s">
        <v>2041</v>
      </c>
      <c r="K436" s="1" t="s">
        <v>2142</v>
      </c>
      <c r="L436" s="1">
        <v>4674.0</v>
      </c>
      <c r="M436" s="1">
        <v>4408.0</v>
      </c>
      <c r="N436" s="1">
        <v>465.0</v>
      </c>
      <c r="O436" s="1">
        <v>1773.0</v>
      </c>
      <c r="P436" s="1">
        <v>1812.0</v>
      </c>
      <c r="Q436" s="1">
        <v>83.0</v>
      </c>
      <c r="R436" s="1">
        <v>1491.0</v>
      </c>
      <c r="S436" s="1">
        <v>1450.0</v>
      </c>
      <c r="T436" s="1">
        <v>469.0</v>
      </c>
      <c r="U436" s="1">
        <v>270.0</v>
      </c>
      <c r="V436" s="1">
        <v>397.0</v>
      </c>
      <c r="W436" s="1">
        <v>11530.0</v>
      </c>
      <c r="X436" s="1">
        <v>1514.0</v>
      </c>
      <c r="Y436" s="1">
        <v>1066.0</v>
      </c>
      <c r="Z436" s="1">
        <v>215.0</v>
      </c>
      <c r="AA436" s="1">
        <v>341.0</v>
      </c>
      <c r="AB436" s="1">
        <v>1436.0</v>
      </c>
      <c r="AC436" s="1">
        <v>259.0</v>
      </c>
      <c r="AD436" s="1">
        <v>3263.0</v>
      </c>
      <c r="AE436" s="1">
        <v>986.0</v>
      </c>
      <c r="AF436" s="1">
        <v>492.0</v>
      </c>
      <c r="AG436" s="1">
        <v>62.0</v>
      </c>
      <c r="AH436" s="1">
        <v>124.0</v>
      </c>
      <c r="AI436" s="1">
        <v>0.0</v>
      </c>
      <c r="AJ436" s="1">
        <v>114.0</v>
      </c>
      <c r="AK436" s="1">
        <v>114.0</v>
      </c>
      <c r="AL436" s="1">
        <v>135.0</v>
      </c>
      <c r="AM436" s="1">
        <v>195.0</v>
      </c>
      <c r="AN436" s="1">
        <v>74.0</v>
      </c>
      <c r="AO436" s="1">
        <v>6.0</v>
      </c>
      <c r="AP436" s="1">
        <v>0.33318</v>
      </c>
      <c r="AQ436" s="1">
        <v>0.101849</v>
      </c>
      <c r="AR436" s="1">
        <v>0.141213</v>
      </c>
      <c r="AS436" s="1">
        <v>0.206426</v>
      </c>
      <c r="AT436" s="1">
        <v>11530.0</v>
      </c>
      <c r="AU436" s="1">
        <v>1514.0</v>
      </c>
      <c r="AV436" s="1">
        <v>0.406095</v>
      </c>
      <c r="AW436" s="1">
        <v>0.064047</v>
      </c>
      <c r="AX436" s="1">
        <v>0.072956</v>
      </c>
      <c r="AY436" s="1">
        <v>0.307231</v>
      </c>
      <c r="AZ436" s="1">
        <v>0.17370892</v>
      </c>
      <c r="BA436" s="1">
        <v>0.698117</v>
      </c>
      <c r="BB436" s="1">
        <v>0.24943</v>
      </c>
      <c r="BC436" s="1">
        <v>0.12158</v>
      </c>
      <c r="BD436" s="1">
        <v>0.034216</v>
      </c>
      <c r="BE436" s="1">
        <v>0.068414</v>
      </c>
      <c r="BF436" s="1">
        <v>0.0</v>
      </c>
      <c r="BG436" s="1">
        <v>0.062913</v>
      </c>
      <c r="BH436" s="1">
        <v>0.076612</v>
      </c>
      <c r="BI436" s="1">
        <v>0.090474</v>
      </c>
      <c r="BJ436" s="1">
        <v>0.131048</v>
      </c>
      <c r="BK436" s="1">
        <v>0.048374</v>
      </c>
      <c r="BL436" s="1">
        <v>0.001283</v>
      </c>
      <c r="BM436" s="1">
        <v>0.915</v>
      </c>
      <c r="BN436" s="1">
        <v>0.877</v>
      </c>
      <c r="BO436" s="1">
        <v>0.9675</v>
      </c>
      <c r="BP436" s="1">
        <v>0.991</v>
      </c>
      <c r="BQ436" s="1">
        <v>3.7505</v>
      </c>
      <c r="BR436" s="1">
        <v>0.9718</v>
      </c>
      <c r="BS436" s="1">
        <v>0.095</v>
      </c>
      <c r="BT436" s="1">
        <v>0.941</v>
      </c>
      <c r="BU436" s="1">
        <v>0.851</v>
      </c>
      <c r="BV436" s="1">
        <v>1.887</v>
      </c>
      <c r="BW436" s="1">
        <v>0.793</v>
      </c>
      <c r="BX436" s="1">
        <v>0.9</v>
      </c>
      <c r="BY436" s="1">
        <v>0.998</v>
      </c>
      <c r="BZ436" s="1">
        <v>1.898</v>
      </c>
      <c r="CA436" s="1">
        <v>0.99</v>
      </c>
      <c r="CB436" s="1">
        <v>0.573</v>
      </c>
      <c r="CC436" s="1">
        <v>0.0</v>
      </c>
      <c r="CD436" s="1">
        <v>0.982</v>
      </c>
      <c r="CE436" s="1">
        <v>0.83</v>
      </c>
      <c r="CF436" s="1">
        <v>0.415</v>
      </c>
      <c r="CG436" s="1">
        <v>2.8</v>
      </c>
      <c r="CH436" s="1">
        <v>0.688</v>
      </c>
      <c r="CI436" s="1">
        <v>10.3355</v>
      </c>
      <c r="CJ436" s="1">
        <v>0.9675</v>
      </c>
      <c r="CK436" s="1">
        <v>1.0</v>
      </c>
      <c r="CL436" s="1">
        <v>0.0</v>
      </c>
      <c r="CM436" s="1">
        <v>1.0</v>
      </c>
      <c r="CN436" s="1">
        <v>1.0</v>
      </c>
      <c r="CO436" s="1">
        <v>3.0</v>
      </c>
      <c r="CP436" s="1">
        <v>0.0</v>
      </c>
      <c r="CQ436" s="1">
        <v>1.0</v>
      </c>
      <c r="CR436" s="1">
        <v>0.0</v>
      </c>
      <c r="CS436" s="1">
        <v>1.0</v>
      </c>
      <c r="CT436" s="1">
        <v>1.0</v>
      </c>
      <c r="CU436" s="1">
        <v>1.0</v>
      </c>
      <c r="CV436" s="1">
        <v>2.0</v>
      </c>
      <c r="CW436" s="1">
        <v>0.0</v>
      </c>
      <c r="CX436" s="1">
        <v>0.0</v>
      </c>
      <c r="CY436" s="1">
        <v>1.0</v>
      </c>
      <c r="CZ436" s="1">
        <v>0.0</v>
      </c>
      <c r="DA436" s="1">
        <v>0.0</v>
      </c>
      <c r="DB436" s="1">
        <v>1.0</v>
      </c>
      <c r="DC436" s="1">
        <v>7.0</v>
      </c>
      <c r="DD436" s="1" t="s">
        <v>2143</v>
      </c>
      <c r="DE436" s="1">
        <v>1.38943004948209E-4</v>
      </c>
      <c r="DF436" s="1">
        <v>0.048346185003444</v>
      </c>
    </row>
    <row r="437" ht="15.75" customHeight="1">
      <c r="A437" s="1" t="s">
        <v>2144</v>
      </c>
      <c r="B437" s="1">
        <v>29.0</v>
      </c>
      <c r="C437" s="2" t="s">
        <v>2039</v>
      </c>
      <c r="D437" s="2" t="s">
        <v>338</v>
      </c>
      <c r="E437" s="1">
        <v>0.507</v>
      </c>
      <c r="F437" s="1">
        <v>29095.0</v>
      </c>
      <c r="G437" s="1">
        <v>2.90950007E10</v>
      </c>
      <c r="H437" s="1" t="s">
        <v>112</v>
      </c>
      <c r="I437" s="1" t="s">
        <v>113</v>
      </c>
      <c r="J437" s="1" t="s">
        <v>2041</v>
      </c>
      <c r="K437" s="1" t="s">
        <v>2145</v>
      </c>
      <c r="L437" s="1">
        <v>4094.0</v>
      </c>
      <c r="M437" s="1">
        <v>4381.0</v>
      </c>
      <c r="N437" s="1">
        <v>468.0</v>
      </c>
      <c r="O437" s="1">
        <v>1501.0</v>
      </c>
      <c r="P437" s="1">
        <v>1616.0</v>
      </c>
      <c r="Q437" s="1">
        <v>59.0</v>
      </c>
      <c r="R437" s="1">
        <v>1260.0</v>
      </c>
      <c r="S437" s="1">
        <v>1478.0</v>
      </c>
      <c r="T437" s="1">
        <v>514.0</v>
      </c>
      <c r="U437" s="1">
        <v>297.0</v>
      </c>
      <c r="V437" s="1">
        <v>347.0</v>
      </c>
      <c r="W437" s="1">
        <v>12638.0</v>
      </c>
      <c r="X437" s="1">
        <v>1911.0</v>
      </c>
      <c r="Y437" s="1">
        <v>839.0</v>
      </c>
      <c r="Z437" s="1">
        <v>194.0</v>
      </c>
      <c r="AA437" s="1">
        <v>377.0</v>
      </c>
      <c r="AB437" s="1">
        <v>1271.0</v>
      </c>
      <c r="AC437" s="1">
        <v>238.0</v>
      </c>
      <c r="AD437" s="1">
        <v>2981.0</v>
      </c>
      <c r="AE437" s="1">
        <v>683.0</v>
      </c>
      <c r="AF437" s="1">
        <v>425.0</v>
      </c>
      <c r="AG437" s="1">
        <v>162.0</v>
      </c>
      <c r="AH437" s="1">
        <v>143.0</v>
      </c>
      <c r="AI437" s="1">
        <v>0.0</v>
      </c>
      <c r="AJ437" s="1">
        <v>114.0</v>
      </c>
      <c r="AK437" s="1">
        <v>116.0</v>
      </c>
      <c r="AL437" s="1">
        <v>127.0</v>
      </c>
      <c r="AM437" s="1">
        <v>216.0</v>
      </c>
      <c r="AN437" s="1">
        <v>92.0</v>
      </c>
      <c r="AO437" s="1">
        <v>88.0</v>
      </c>
      <c r="AP437" s="1">
        <v>0.346216</v>
      </c>
      <c r="AQ437" s="1">
        <v>0.114582</v>
      </c>
      <c r="AR437" s="1">
        <v>0.150455</v>
      </c>
      <c r="AS437" s="1">
        <v>0.173998</v>
      </c>
      <c r="AT437" s="1">
        <v>12638.0</v>
      </c>
      <c r="AU437" s="1">
        <v>1911.0</v>
      </c>
      <c r="AV437" s="1">
        <v>0.341751</v>
      </c>
      <c r="AW437" s="1">
        <v>0.07046</v>
      </c>
      <c r="AX437" s="1">
        <v>0.092085</v>
      </c>
      <c r="AY437" s="1">
        <v>0.310454</v>
      </c>
      <c r="AZ437" s="1">
        <v>0.18888888</v>
      </c>
      <c r="BA437" s="1">
        <v>0.728138</v>
      </c>
      <c r="BB437" s="1">
        <v>0.17419</v>
      </c>
      <c r="BC437" s="1">
        <v>0.106894</v>
      </c>
      <c r="BD437" s="1">
        <v>0.100247</v>
      </c>
      <c r="BE437" s="1">
        <v>0.088414</v>
      </c>
      <c r="BF437" s="1">
        <v>0.0</v>
      </c>
      <c r="BG437" s="1">
        <v>0.070544</v>
      </c>
      <c r="BH437" s="1">
        <v>0.087613</v>
      </c>
      <c r="BI437" s="1">
        <v>0.095581</v>
      </c>
      <c r="BJ437" s="1">
        <v>0.163141</v>
      </c>
      <c r="BK437" s="1">
        <v>0.06784</v>
      </c>
      <c r="BL437" s="1">
        <v>0.021494</v>
      </c>
      <c r="BM437" s="1">
        <v>0.925</v>
      </c>
      <c r="BN437" s="1">
        <v>0.9</v>
      </c>
      <c r="BO437" s="1">
        <v>0.943</v>
      </c>
      <c r="BP437" s="1">
        <v>0.971</v>
      </c>
      <c r="BQ437" s="1">
        <v>3.739</v>
      </c>
      <c r="BR437" s="1">
        <v>0.9682</v>
      </c>
      <c r="BS437" s="1">
        <v>0.172</v>
      </c>
      <c r="BT437" s="1">
        <v>0.949</v>
      </c>
      <c r="BU437" s="1">
        <v>0.883</v>
      </c>
      <c r="BV437" s="1">
        <v>2.004</v>
      </c>
      <c r="BW437" s="1">
        <v>0.861</v>
      </c>
      <c r="BX437" s="1">
        <v>0.905</v>
      </c>
      <c r="BY437" s="1">
        <v>0.993</v>
      </c>
      <c r="BZ437" s="1">
        <v>1.898</v>
      </c>
      <c r="CA437" s="1">
        <v>0.99</v>
      </c>
      <c r="CB437" s="1">
        <v>0.774</v>
      </c>
      <c r="CC437" s="1">
        <v>0.0</v>
      </c>
      <c r="CD437" s="1">
        <v>0.992</v>
      </c>
      <c r="CE437" s="1">
        <v>0.874</v>
      </c>
      <c r="CF437" s="1">
        <v>0.727</v>
      </c>
      <c r="CG437" s="1">
        <v>3.367</v>
      </c>
      <c r="CH437" s="1">
        <v>0.9</v>
      </c>
      <c r="CI437" s="1">
        <v>11.008</v>
      </c>
      <c r="CJ437" s="1">
        <v>0.9921</v>
      </c>
      <c r="CK437" s="1">
        <v>1.0</v>
      </c>
      <c r="CL437" s="1">
        <v>1.0</v>
      </c>
      <c r="CM437" s="1">
        <v>1.0</v>
      </c>
      <c r="CN437" s="1">
        <v>1.0</v>
      </c>
      <c r="CO437" s="1">
        <v>4.0</v>
      </c>
      <c r="CP437" s="1">
        <v>0.0</v>
      </c>
      <c r="CQ437" s="1">
        <v>1.0</v>
      </c>
      <c r="CR437" s="1">
        <v>0.0</v>
      </c>
      <c r="CS437" s="1">
        <v>1.0</v>
      </c>
      <c r="CT437" s="1">
        <v>1.0</v>
      </c>
      <c r="CU437" s="1">
        <v>1.0</v>
      </c>
      <c r="CV437" s="1">
        <v>2.0</v>
      </c>
      <c r="CW437" s="1">
        <v>0.0</v>
      </c>
      <c r="CX437" s="1">
        <v>0.0</v>
      </c>
      <c r="CY437" s="1">
        <v>1.0</v>
      </c>
      <c r="CZ437" s="1">
        <v>0.0</v>
      </c>
      <c r="DA437" s="1">
        <v>0.0</v>
      </c>
      <c r="DB437" s="1">
        <v>1.0</v>
      </c>
      <c r="DC437" s="1">
        <v>8.0</v>
      </c>
      <c r="DD437" s="1" t="s">
        <v>2146</v>
      </c>
      <c r="DE437" s="1">
        <v>1.36845908333227E-4</v>
      </c>
      <c r="DF437" s="1">
        <v>0.0479287348367069</v>
      </c>
    </row>
    <row r="438" ht="15.75" customHeight="1">
      <c r="A438" s="1" t="s">
        <v>2147</v>
      </c>
      <c r="B438" s="1">
        <v>29.0</v>
      </c>
      <c r="C438" s="2" t="s">
        <v>2039</v>
      </c>
      <c r="D438" s="2" t="s">
        <v>385</v>
      </c>
      <c r="E438" s="1">
        <v>0.676</v>
      </c>
      <c r="F438" s="1">
        <v>29095.0</v>
      </c>
      <c r="G438" s="1">
        <v>2.90950022E10</v>
      </c>
      <c r="H438" s="1" t="s">
        <v>112</v>
      </c>
      <c r="I438" s="1" t="s">
        <v>113</v>
      </c>
      <c r="J438" s="1" t="s">
        <v>2041</v>
      </c>
      <c r="K438" s="1" t="s">
        <v>2148</v>
      </c>
      <c r="L438" s="1">
        <v>2906.0</v>
      </c>
      <c r="M438" s="1">
        <v>2887.0</v>
      </c>
      <c r="N438" s="1">
        <v>441.0</v>
      </c>
      <c r="O438" s="1">
        <v>1486.0</v>
      </c>
      <c r="P438" s="1">
        <v>1602.0</v>
      </c>
      <c r="Q438" s="1">
        <v>63.0</v>
      </c>
      <c r="R438" s="1">
        <v>1078.0</v>
      </c>
      <c r="S438" s="1">
        <v>1085.0</v>
      </c>
      <c r="T438" s="1">
        <v>421.0</v>
      </c>
      <c r="U438" s="1">
        <v>181.0</v>
      </c>
      <c r="V438" s="1">
        <v>406.0</v>
      </c>
      <c r="W438" s="1">
        <v>11566.0</v>
      </c>
      <c r="X438" s="1">
        <v>2025.0</v>
      </c>
      <c r="Y438" s="1">
        <v>874.0</v>
      </c>
      <c r="Z438" s="1">
        <v>265.0</v>
      </c>
      <c r="AA438" s="1">
        <v>318.0</v>
      </c>
      <c r="AB438" s="1">
        <v>831.0</v>
      </c>
      <c r="AC438" s="1">
        <v>191.0</v>
      </c>
      <c r="AD438" s="1">
        <v>2162.0</v>
      </c>
      <c r="AE438" s="1">
        <v>657.0</v>
      </c>
      <c r="AF438" s="1">
        <v>477.0</v>
      </c>
      <c r="AG438" s="1">
        <v>260.0</v>
      </c>
      <c r="AH438" s="1">
        <v>77.0</v>
      </c>
      <c r="AI438" s="1">
        <v>0.0</v>
      </c>
      <c r="AJ438" s="1">
        <v>114.0</v>
      </c>
      <c r="AK438" s="1">
        <v>41.0</v>
      </c>
      <c r="AL438" s="1">
        <v>120.0</v>
      </c>
      <c r="AM438" s="1">
        <v>287.0</v>
      </c>
      <c r="AN438" s="1">
        <v>115.0</v>
      </c>
      <c r="AO438" s="1">
        <v>44.0</v>
      </c>
      <c r="AP438" s="1">
        <v>0.375822</v>
      </c>
      <c r="AQ438" s="1">
        <v>0.13405</v>
      </c>
      <c r="AR438" s="1">
        <v>0.127824</v>
      </c>
      <c r="AS438" s="1">
        <v>0.285065</v>
      </c>
      <c r="AT438" s="1">
        <v>11566.0</v>
      </c>
      <c r="AU438" s="1">
        <v>2025.0</v>
      </c>
      <c r="AV438" s="1">
        <v>0.476813</v>
      </c>
      <c r="AW438" s="1">
        <v>0.125335</v>
      </c>
      <c r="AX438" s="1">
        <v>0.109428</v>
      </c>
      <c r="AY438" s="1">
        <v>0.28596</v>
      </c>
      <c r="AZ438" s="1">
        <v>0.17717996</v>
      </c>
      <c r="BA438" s="1">
        <v>0.743977</v>
      </c>
      <c r="BB438" s="1">
        <v>0.253962</v>
      </c>
      <c r="BC438" s="1">
        <v>0.180907</v>
      </c>
      <c r="BD438" s="1">
        <v>0.162297</v>
      </c>
      <c r="BE438" s="1">
        <v>0.047639</v>
      </c>
      <c r="BF438" s="1">
        <v>0.0</v>
      </c>
      <c r="BG438" s="1">
        <v>0.071161</v>
      </c>
      <c r="BH438" s="1">
        <v>0.037306</v>
      </c>
      <c r="BI438" s="1">
        <v>0.109103</v>
      </c>
      <c r="BJ438" s="1">
        <v>0.261146</v>
      </c>
      <c r="BK438" s="1">
        <v>0.100122</v>
      </c>
      <c r="BL438" s="1">
        <v>0.015141</v>
      </c>
      <c r="BM438" s="1">
        <v>0.938</v>
      </c>
      <c r="BN438" s="1">
        <v>0.848</v>
      </c>
      <c r="BO438" s="1">
        <v>0.9668</v>
      </c>
      <c r="BP438" s="1">
        <v>0.997</v>
      </c>
      <c r="BQ438" s="1">
        <v>3.7498</v>
      </c>
      <c r="BR438" s="1">
        <v>0.9711</v>
      </c>
      <c r="BS438" s="1">
        <v>0.267</v>
      </c>
      <c r="BT438" s="1">
        <v>0.873</v>
      </c>
      <c r="BU438" s="1">
        <v>0.861</v>
      </c>
      <c r="BV438" s="1">
        <v>2.001</v>
      </c>
      <c r="BW438" s="1">
        <v>0.859</v>
      </c>
      <c r="BX438" s="1">
        <v>0.91</v>
      </c>
      <c r="BY438" s="1">
        <v>0.999</v>
      </c>
      <c r="BZ438" s="1">
        <v>1.909</v>
      </c>
      <c r="CA438" s="1">
        <v>0.994</v>
      </c>
      <c r="CB438" s="1">
        <v>0.855</v>
      </c>
      <c r="CC438" s="1">
        <v>0.0</v>
      </c>
      <c r="CD438" s="1">
        <v>0.875</v>
      </c>
      <c r="CE438" s="1">
        <v>0.949</v>
      </c>
      <c r="CF438" s="1">
        <v>0.648</v>
      </c>
      <c r="CG438" s="1">
        <v>3.327</v>
      </c>
      <c r="CH438" s="1">
        <v>0.883</v>
      </c>
      <c r="CI438" s="1">
        <v>10.9868</v>
      </c>
      <c r="CJ438" s="1">
        <v>0.9899</v>
      </c>
      <c r="CK438" s="1">
        <v>1.0</v>
      </c>
      <c r="CL438" s="1">
        <v>0.0</v>
      </c>
      <c r="CM438" s="1">
        <v>1.0</v>
      </c>
      <c r="CN438" s="1">
        <v>1.0</v>
      </c>
      <c r="CO438" s="1">
        <v>3.0</v>
      </c>
      <c r="CP438" s="1">
        <v>0.0</v>
      </c>
      <c r="CQ438" s="1">
        <v>0.0</v>
      </c>
      <c r="CR438" s="1">
        <v>0.0</v>
      </c>
      <c r="CS438" s="1">
        <v>0.0</v>
      </c>
      <c r="CT438" s="1">
        <v>1.0</v>
      </c>
      <c r="CU438" s="1">
        <v>1.0</v>
      </c>
      <c r="CV438" s="1">
        <v>2.0</v>
      </c>
      <c r="CW438" s="1">
        <v>0.0</v>
      </c>
      <c r="CX438" s="1">
        <v>0.0</v>
      </c>
      <c r="CY438" s="1">
        <v>0.0</v>
      </c>
      <c r="CZ438" s="1">
        <v>1.0</v>
      </c>
      <c r="DA438" s="1">
        <v>0.0</v>
      </c>
      <c r="DB438" s="1">
        <v>1.0</v>
      </c>
      <c r="DC438" s="1">
        <v>6.0</v>
      </c>
      <c r="DD438" s="1" t="s">
        <v>2149</v>
      </c>
      <c r="DE438" s="1">
        <v>1.81470055381425E-4</v>
      </c>
      <c r="DF438" s="1">
        <v>0.0573478417398135</v>
      </c>
    </row>
    <row r="439" ht="15.75" customHeight="1">
      <c r="A439" s="1" t="s">
        <v>2150</v>
      </c>
      <c r="B439" s="1">
        <v>29.0</v>
      </c>
      <c r="C439" s="2" t="s">
        <v>2039</v>
      </c>
      <c r="D439" s="2" t="s">
        <v>554</v>
      </c>
      <c r="E439" s="1">
        <v>0.564</v>
      </c>
      <c r="F439" s="1">
        <v>29095.0</v>
      </c>
      <c r="G439" s="1">
        <v>2.90950023E10</v>
      </c>
      <c r="H439" s="1" t="s">
        <v>112</v>
      </c>
      <c r="I439" s="1" t="s">
        <v>113</v>
      </c>
      <c r="J439" s="1" t="s">
        <v>2041</v>
      </c>
      <c r="K439" s="1" t="s">
        <v>2151</v>
      </c>
      <c r="L439" s="1">
        <v>2159.0</v>
      </c>
      <c r="M439" s="1">
        <v>1922.0</v>
      </c>
      <c r="N439" s="1">
        <v>585.0</v>
      </c>
      <c r="O439" s="1">
        <v>907.0</v>
      </c>
      <c r="P439" s="1">
        <v>922.0</v>
      </c>
      <c r="Q439" s="1">
        <v>86.0</v>
      </c>
      <c r="R439" s="1">
        <v>738.0</v>
      </c>
      <c r="S439" s="1">
        <v>604.0</v>
      </c>
      <c r="T439" s="1">
        <v>346.0</v>
      </c>
      <c r="U439" s="1">
        <v>94.0</v>
      </c>
      <c r="V439" s="1">
        <v>437.0</v>
      </c>
      <c r="W439" s="1">
        <v>16592.0</v>
      </c>
      <c r="X439" s="1">
        <v>4836.0</v>
      </c>
      <c r="Y439" s="1">
        <v>391.0</v>
      </c>
      <c r="Z439" s="1">
        <v>227.0</v>
      </c>
      <c r="AA439" s="1">
        <v>177.0</v>
      </c>
      <c r="AB439" s="1">
        <v>673.0</v>
      </c>
      <c r="AC439" s="1">
        <v>137.0</v>
      </c>
      <c r="AD439" s="1">
        <v>1786.0</v>
      </c>
      <c r="AE439" s="1">
        <v>396.0</v>
      </c>
      <c r="AF439" s="1">
        <v>521.0</v>
      </c>
      <c r="AG439" s="1">
        <v>126.0</v>
      </c>
      <c r="AH439" s="1">
        <v>170.0</v>
      </c>
      <c r="AI439" s="1">
        <v>0.0</v>
      </c>
      <c r="AJ439" s="1">
        <v>114.0</v>
      </c>
      <c r="AK439" s="1">
        <v>31.0</v>
      </c>
      <c r="AL439" s="1">
        <v>118.0</v>
      </c>
      <c r="AM439" s="1">
        <v>104.0</v>
      </c>
      <c r="AN439" s="1">
        <v>57.0</v>
      </c>
      <c r="AO439" s="1">
        <v>35.0</v>
      </c>
      <c r="AP439" s="1">
        <v>0.31907</v>
      </c>
      <c r="AQ439" s="1">
        <v>0.154967</v>
      </c>
      <c r="AR439" s="1">
        <v>0.113663</v>
      </c>
      <c r="AS439" s="1">
        <v>0.526357</v>
      </c>
      <c r="AT439" s="1">
        <v>16592.0</v>
      </c>
      <c r="AU439" s="1">
        <v>4836.0</v>
      </c>
      <c r="AV439" s="1">
        <v>0.321281</v>
      </c>
      <c r="AW439" s="1">
        <v>0.16825</v>
      </c>
      <c r="AX439" s="1">
        <v>0.081982</v>
      </c>
      <c r="AY439" s="1">
        <v>0.311718</v>
      </c>
      <c r="AZ439" s="1">
        <v>0.18563685</v>
      </c>
      <c r="BA439" s="1">
        <v>0.827234</v>
      </c>
      <c r="BB439" s="1">
        <v>0.215334</v>
      </c>
      <c r="BC439" s="1">
        <v>0.275613</v>
      </c>
      <c r="BD439" s="1">
        <v>0.136659</v>
      </c>
      <c r="BE439" s="1">
        <v>0.18394</v>
      </c>
      <c r="BF439" s="1">
        <v>0.0</v>
      </c>
      <c r="BG439" s="1">
        <v>0.123644</v>
      </c>
      <c r="BH439" s="1">
        <v>0.044604</v>
      </c>
      <c r="BI439" s="1">
        <v>0.169525</v>
      </c>
      <c r="BJ439" s="1">
        <v>0.14964</v>
      </c>
      <c r="BK439" s="1">
        <v>0.07575</v>
      </c>
      <c r="BL439" s="1">
        <v>0.016211</v>
      </c>
      <c r="BM439" s="1">
        <v>0.9</v>
      </c>
      <c r="BN439" s="1">
        <v>0.797</v>
      </c>
      <c r="BO439" s="1">
        <v>0.8079</v>
      </c>
      <c r="BP439" s="1">
        <v>0.959</v>
      </c>
      <c r="BQ439" s="1">
        <v>3.4639</v>
      </c>
      <c r="BR439" s="1">
        <v>0.9148</v>
      </c>
      <c r="BS439" s="1">
        <v>0.125</v>
      </c>
      <c r="BT439" s="1">
        <v>0.951</v>
      </c>
      <c r="BU439" s="1">
        <v>0.874</v>
      </c>
      <c r="BV439" s="1">
        <v>1.95</v>
      </c>
      <c r="BW439" s="1">
        <v>0.833</v>
      </c>
      <c r="BX439" s="1">
        <v>0.928</v>
      </c>
      <c r="BY439" s="1">
        <v>0.996</v>
      </c>
      <c r="BZ439" s="1">
        <v>1.924</v>
      </c>
      <c r="CA439" s="1">
        <v>0.999</v>
      </c>
      <c r="CB439" s="1">
        <v>0.824</v>
      </c>
      <c r="CC439" s="1">
        <v>0.0</v>
      </c>
      <c r="CD439" s="1">
        <v>0.913</v>
      </c>
      <c r="CE439" s="1">
        <v>0.857</v>
      </c>
      <c r="CF439" s="1">
        <v>0.662</v>
      </c>
      <c r="CG439" s="1">
        <v>3.256</v>
      </c>
      <c r="CH439" s="1">
        <v>0.861</v>
      </c>
      <c r="CI439" s="1">
        <v>10.5939</v>
      </c>
      <c r="CJ439" s="1">
        <v>0.9791</v>
      </c>
      <c r="CK439" s="1">
        <v>1.0</v>
      </c>
      <c r="CL439" s="1">
        <v>0.0</v>
      </c>
      <c r="CM439" s="1">
        <v>0.0</v>
      </c>
      <c r="CN439" s="1">
        <v>1.0</v>
      </c>
      <c r="CO439" s="1">
        <v>2.0</v>
      </c>
      <c r="CP439" s="1">
        <v>0.0</v>
      </c>
      <c r="CQ439" s="1">
        <v>1.0</v>
      </c>
      <c r="CR439" s="1">
        <v>0.0</v>
      </c>
      <c r="CS439" s="1">
        <v>1.0</v>
      </c>
      <c r="CT439" s="1">
        <v>1.0</v>
      </c>
      <c r="CU439" s="1">
        <v>1.0</v>
      </c>
      <c r="CV439" s="1">
        <v>2.0</v>
      </c>
      <c r="CW439" s="1">
        <v>0.0</v>
      </c>
      <c r="CX439" s="1">
        <v>0.0</v>
      </c>
      <c r="CY439" s="1">
        <v>1.0</v>
      </c>
      <c r="CZ439" s="1">
        <v>0.0</v>
      </c>
      <c r="DA439" s="1">
        <v>0.0</v>
      </c>
      <c r="DB439" s="1">
        <v>1.0</v>
      </c>
      <c r="DC439" s="1">
        <v>6.0</v>
      </c>
      <c r="DD439" s="1" t="s">
        <v>2152</v>
      </c>
      <c r="DE439" s="1">
        <v>1.52959264353862E-4</v>
      </c>
      <c r="DF439" s="2" t="s">
        <v>2153</v>
      </c>
    </row>
    <row r="440" ht="15.75" customHeight="1">
      <c r="A440" s="1" t="s">
        <v>2154</v>
      </c>
      <c r="B440" s="1">
        <v>29.0</v>
      </c>
      <c r="C440" s="2" t="s">
        <v>2039</v>
      </c>
      <c r="D440" s="2" t="s">
        <v>2155</v>
      </c>
      <c r="E440" s="1">
        <v>0.494</v>
      </c>
      <c r="F440" s="1">
        <v>29095.0</v>
      </c>
      <c r="G440" s="1">
        <v>2.90950034E10</v>
      </c>
      <c r="H440" s="1" t="s">
        <v>112</v>
      </c>
      <c r="I440" s="1" t="s">
        <v>113</v>
      </c>
      <c r="J440" s="1" t="s">
        <v>2041</v>
      </c>
      <c r="K440" s="1" t="s">
        <v>2156</v>
      </c>
      <c r="L440" s="1">
        <v>3040.0</v>
      </c>
      <c r="M440" s="1">
        <v>3471.0</v>
      </c>
      <c r="N440" s="1">
        <v>561.0</v>
      </c>
      <c r="O440" s="1">
        <v>1448.0</v>
      </c>
      <c r="P440" s="1">
        <v>1581.0</v>
      </c>
      <c r="Q440" s="1">
        <v>52.0</v>
      </c>
      <c r="R440" s="1">
        <v>997.0</v>
      </c>
      <c r="S440" s="1">
        <v>1510.0</v>
      </c>
      <c r="T440" s="1">
        <v>586.0</v>
      </c>
      <c r="U440" s="1">
        <v>361.0</v>
      </c>
      <c r="V440" s="1">
        <v>368.0</v>
      </c>
      <c r="W440" s="1">
        <v>10169.0</v>
      </c>
      <c r="X440" s="1">
        <v>1868.0</v>
      </c>
      <c r="Y440" s="1">
        <v>812.0</v>
      </c>
      <c r="Z440" s="1">
        <v>289.0</v>
      </c>
      <c r="AA440" s="1">
        <v>198.0</v>
      </c>
      <c r="AB440" s="1">
        <v>979.0</v>
      </c>
      <c r="AC440" s="1">
        <v>244.0</v>
      </c>
      <c r="AD440" s="1">
        <v>2605.0</v>
      </c>
      <c r="AE440" s="1">
        <v>307.0</v>
      </c>
      <c r="AF440" s="1">
        <v>442.0</v>
      </c>
      <c r="AG440" s="1">
        <v>0.0</v>
      </c>
      <c r="AH440" s="1">
        <v>197.0</v>
      </c>
      <c r="AI440" s="1">
        <v>99.0</v>
      </c>
      <c r="AJ440" s="1">
        <v>81.0</v>
      </c>
      <c r="AK440" s="1">
        <v>60.0</v>
      </c>
      <c r="AL440" s="1">
        <v>126.0</v>
      </c>
      <c r="AM440" s="1">
        <v>261.0</v>
      </c>
      <c r="AN440" s="1">
        <v>119.0</v>
      </c>
      <c r="AO440" s="1">
        <v>6.0</v>
      </c>
      <c r="AP440" s="1">
        <v>0.435033</v>
      </c>
      <c r="AQ440" s="1">
        <v>0.153489</v>
      </c>
      <c r="AR440" s="1">
        <v>0.262927</v>
      </c>
      <c r="AS440" s="1">
        <v>0.261016</v>
      </c>
      <c r="AT440" s="1">
        <v>10169.0</v>
      </c>
      <c r="AU440" s="1">
        <v>1868.0</v>
      </c>
      <c r="AV440" s="1">
        <v>0.423799</v>
      </c>
      <c r="AW440" s="1">
        <v>0.137333</v>
      </c>
      <c r="AX440" s="1">
        <v>0.065131</v>
      </c>
      <c r="AY440" s="1">
        <v>0.322039</v>
      </c>
      <c r="AZ440" s="1">
        <v>0.2447342</v>
      </c>
      <c r="BA440" s="1">
        <v>0.856907</v>
      </c>
      <c r="BB440" s="1">
        <v>0.102027</v>
      </c>
      <c r="BC440" s="1">
        <v>0.145785</v>
      </c>
      <c r="BD440" s="1">
        <v>0.0</v>
      </c>
      <c r="BE440" s="1">
        <v>0.124604</v>
      </c>
      <c r="BF440" s="1">
        <v>0.062618</v>
      </c>
      <c r="BG440" s="1">
        <v>0.051191</v>
      </c>
      <c r="BH440" s="1">
        <v>0.052356</v>
      </c>
      <c r="BI440" s="1">
        <v>0.109777</v>
      </c>
      <c r="BJ440" s="1">
        <v>0.227748</v>
      </c>
      <c r="BK440" s="1">
        <v>0.100366</v>
      </c>
      <c r="BL440" s="1">
        <v>0.001973</v>
      </c>
      <c r="BM440" s="1">
        <v>0.974</v>
      </c>
      <c r="BN440" s="1">
        <v>0.982</v>
      </c>
      <c r="BO440" s="1">
        <v>0.9877</v>
      </c>
      <c r="BP440" s="1">
        <v>0.994</v>
      </c>
      <c r="BQ440" s="1">
        <v>3.9377</v>
      </c>
      <c r="BR440" s="1">
        <v>0.9978</v>
      </c>
      <c r="BS440" s="1">
        <v>0.065</v>
      </c>
      <c r="BT440" s="1">
        <v>0.964</v>
      </c>
      <c r="BU440" s="1">
        <v>0.941</v>
      </c>
      <c r="BV440" s="1">
        <v>1.97</v>
      </c>
      <c r="BW440" s="1">
        <v>0.845</v>
      </c>
      <c r="BX440" s="1">
        <v>0.935</v>
      </c>
      <c r="BY440" s="1">
        <v>0.984</v>
      </c>
      <c r="BZ440" s="1">
        <v>1.919</v>
      </c>
      <c r="CA440" s="1">
        <v>0.998</v>
      </c>
      <c r="CB440" s="1">
        <v>0.0</v>
      </c>
      <c r="CC440" s="1">
        <v>0.63</v>
      </c>
      <c r="CD440" s="1">
        <v>0.945</v>
      </c>
      <c r="CE440" s="1">
        <v>0.926</v>
      </c>
      <c r="CF440" s="1">
        <v>0.442</v>
      </c>
      <c r="CG440" s="1">
        <v>2.943</v>
      </c>
      <c r="CH440" s="1">
        <v>0.751</v>
      </c>
      <c r="CI440" s="1">
        <v>10.7697</v>
      </c>
      <c r="CJ440" s="1">
        <v>0.9848</v>
      </c>
      <c r="CK440" s="1">
        <v>1.0</v>
      </c>
      <c r="CL440" s="1">
        <v>1.0</v>
      </c>
      <c r="CM440" s="1">
        <v>1.0</v>
      </c>
      <c r="CN440" s="1">
        <v>1.0</v>
      </c>
      <c r="CO440" s="1">
        <v>4.0</v>
      </c>
      <c r="CP440" s="1">
        <v>0.0</v>
      </c>
      <c r="CQ440" s="1">
        <v>1.0</v>
      </c>
      <c r="CR440" s="1">
        <v>1.0</v>
      </c>
      <c r="CS440" s="1">
        <v>2.0</v>
      </c>
      <c r="CT440" s="1">
        <v>1.0</v>
      </c>
      <c r="CU440" s="1">
        <v>1.0</v>
      </c>
      <c r="CV440" s="1">
        <v>2.0</v>
      </c>
      <c r="CW440" s="1">
        <v>0.0</v>
      </c>
      <c r="CX440" s="1">
        <v>0.0</v>
      </c>
      <c r="CY440" s="1">
        <v>1.0</v>
      </c>
      <c r="CZ440" s="1">
        <v>1.0</v>
      </c>
      <c r="DA440" s="1">
        <v>0.0</v>
      </c>
      <c r="DB440" s="1">
        <v>2.0</v>
      </c>
      <c r="DC440" s="1">
        <v>10.0</v>
      </c>
      <c r="DD440" s="1" t="s">
        <v>2157</v>
      </c>
      <c r="DE440" s="1">
        <v>1.33267267311154E-4</v>
      </c>
      <c r="DF440" s="1">
        <v>0.0513462917117899</v>
      </c>
    </row>
    <row r="441" ht="15.75" customHeight="1">
      <c r="A441" s="1" t="s">
        <v>2158</v>
      </c>
      <c r="B441" s="1">
        <v>29.0</v>
      </c>
      <c r="C441" s="2" t="s">
        <v>2039</v>
      </c>
      <c r="D441" s="2" t="s">
        <v>1681</v>
      </c>
      <c r="E441" s="1">
        <v>0.257</v>
      </c>
      <c r="F441" s="1">
        <v>29095.0</v>
      </c>
      <c r="G441" s="1">
        <v>2.90950037E10</v>
      </c>
      <c r="H441" s="1" t="s">
        <v>112</v>
      </c>
      <c r="I441" s="1" t="s">
        <v>113</v>
      </c>
      <c r="J441" s="1" t="s">
        <v>2041</v>
      </c>
      <c r="K441" s="1" t="s">
        <v>2159</v>
      </c>
      <c r="L441" s="1">
        <v>1008.0</v>
      </c>
      <c r="M441" s="1">
        <v>1352.0</v>
      </c>
      <c r="N441" s="1">
        <v>301.0</v>
      </c>
      <c r="O441" s="1">
        <v>595.0</v>
      </c>
      <c r="P441" s="1">
        <v>636.0</v>
      </c>
      <c r="Q441" s="1">
        <v>73.0</v>
      </c>
      <c r="R441" s="1">
        <v>406.0</v>
      </c>
      <c r="S441" s="1">
        <v>420.0</v>
      </c>
      <c r="T441" s="1">
        <v>290.0</v>
      </c>
      <c r="U441" s="1">
        <v>127.0</v>
      </c>
      <c r="V441" s="1">
        <v>468.0</v>
      </c>
      <c r="W441" s="1">
        <v>38906.0</v>
      </c>
      <c r="X441" s="1">
        <v>42392.0</v>
      </c>
      <c r="Y441" s="1">
        <v>116.0</v>
      </c>
      <c r="Z441" s="1">
        <v>391.0</v>
      </c>
      <c r="AA441" s="1">
        <v>127.0</v>
      </c>
      <c r="AB441" s="1">
        <v>262.0</v>
      </c>
      <c r="AC441" s="1">
        <v>94.0</v>
      </c>
      <c r="AD441" s="1">
        <v>953.0</v>
      </c>
      <c r="AE441" s="1">
        <v>29.0</v>
      </c>
      <c r="AF441" s="1">
        <v>444.0</v>
      </c>
      <c r="AG441" s="1">
        <v>0.0</v>
      </c>
      <c r="AH441" s="1">
        <v>197.0</v>
      </c>
      <c r="AI441" s="1">
        <v>0.0</v>
      </c>
      <c r="AJ441" s="1">
        <v>114.0</v>
      </c>
      <c r="AK441" s="1">
        <v>23.0</v>
      </c>
      <c r="AL441" s="1">
        <v>120.0</v>
      </c>
      <c r="AM441" s="1">
        <v>107.0</v>
      </c>
      <c r="AN441" s="1">
        <v>83.0</v>
      </c>
      <c r="AO441" s="1">
        <v>10.0</v>
      </c>
      <c r="AP441" s="1">
        <v>0.332015</v>
      </c>
      <c r="AQ441" s="1">
        <v>0.212471</v>
      </c>
      <c r="AR441" s="1">
        <v>0.176634</v>
      </c>
      <c r="AS441" s="1">
        <v>0.643518</v>
      </c>
      <c r="AT441" s="1">
        <v>38906.0</v>
      </c>
      <c r="AU441" s="1">
        <v>42392.0</v>
      </c>
      <c r="AV441" s="1">
        <v>0.111004</v>
      </c>
      <c r="AW441" s="1">
        <v>0.373226</v>
      </c>
      <c r="AX441" s="1">
        <v>0.125992</v>
      </c>
      <c r="AY441" s="1">
        <v>0.25992</v>
      </c>
      <c r="AZ441" s="1">
        <v>0.23152709</v>
      </c>
      <c r="BA441" s="1">
        <v>0.945436</v>
      </c>
      <c r="BB441" s="1">
        <v>0.022342</v>
      </c>
      <c r="BC441" s="1">
        <v>0.34203</v>
      </c>
      <c r="BD441" s="1">
        <v>0.0</v>
      </c>
      <c r="BE441" s="1">
        <v>0.309748</v>
      </c>
      <c r="BF441" s="1">
        <v>0.0</v>
      </c>
      <c r="BG441" s="1">
        <v>0.179245</v>
      </c>
      <c r="BH441" s="1">
        <v>0.043893</v>
      </c>
      <c r="BI441" s="1">
        <v>0.228848</v>
      </c>
      <c r="BJ441" s="1">
        <v>0.204198</v>
      </c>
      <c r="BK441" s="1">
        <v>0.153328</v>
      </c>
      <c r="BL441" s="1">
        <v>0.00992</v>
      </c>
      <c r="BM441" s="1">
        <v>0.912</v>
      </c>
      <c r="BN441" s="1">
        <v>0.932</v>
      </c>
      <c r="BO441" s="1">
        <v>0.0765</v>
      </c>
      <c r="BP441" s="1">
        <v>0.388</v>
      </c>
      <c r="BQ441" s="1">
        <v>2.3085</v>
      </c>
      <c r="BR441" s="1">
        <v>0.6058</v>
      </c>
      <c r="BS441" s="1">
        <v>0.389</v>
      </c>
      <c r="BT441" s="1">
        <v>0.702</v>
      </c>
      <c r="BU441" s="1">
        <v>0.928</v>
      </c>
      <c r="BV441" s="1">
        <v>2.019</v>
      </c>
      <c r="BW441" s="1">
        <v>0.866</v>
      </c>
      <c r="BX441" s="1">
        <v>0.957</v>
      </c>
      <c r="BY441" s="1">
        <v>0.871</v>
      </c>
      <c r="BZ441" s="1">
        <v>1.828</v>
      </c>
      <c r="CA441" s="1">
        <v>0.972</v>
      </c>
      <c r="CB441" s="1">
        <v>0.0</v>
      </c>
      <c r="CC441" s="1">
        <v>0.0</v>
      </c>
      <c r="CD441" s="1">
        <v>0.91</v>
      </c>
      <c r="CE441" s="1">
        <v>0.91</v>
      </c>
      <c r="CF441" s="1">
        <v>0.575</v>
      </c>
      <c r="CG441" s="1">
        <v>2.395</v>
      </c>
      <c r="CH441" s="1">
        <v>0.513</v>
      </c>
      <c r="CI441" s="1">
        <v>8.5505</v>
      </c>
      <c r="CJ441" s="1">
        <v>0.7935</v>
      </c>
      <c r="CK441" s="1">
        <v>1.0</v>
      </c>
      <c r="CL441" s="1">
        <v>1.0</v>
      </c>
      <c r="CM441" s="1">
        <v>0.0</v>
      </c>
      <c r="CN441" s="1">
        <v>0.0</v>
      </c>
      <c r="CO441" s="1">
        <v>2.0</v>
      </c>
      <c r="CP441" s="1">
        <v>0.0</v>
      </c>
      <c r="CQ441" s="1">
        <v>0.0</v>
      </c>
      <c r="CR441" s="1">
        <v>1.0</v>
      </c>
      <c r="CS441" s="1">
        <v>1.0</v>
      </c>
      <c r="CT441" s="1">
        <v>1.0</v>
      </c>
      <c r="CU441" s="1">
        <v>0.0</v>
      </c>
      <c r="CV441" s="1">
        <v>1.0</v>
      </c>
      <c r="CW441" s="1">
        <v>0.0</v>
      </c>
      <c r="CX441" s="1">
        <v>0.0</v>
      </c>
      <c r="CY441" s="1">
        <v>1.0</v>
      </c>
      <c r="CZ441" s="1">
        <v>1.0</v>
      </c>
      <c r="DA441" s="1">
        <v>0.0</v>
      </c>
      <c r="DB441" s="1">
        <v>2.0</v>
      </c>
      <c r="DC441" s="1">
        <v>6.0</v>
      </c>
      <c r="DD441" s="1" t="s">
        <v>2160</v>
      </c>
      <c r="DE441" s="2" t="s">
        <v>2161</v>
      </c>
      <c r="DF441" s="2" t="s">
        <v>2162</v>
      </c>
    </row>
    <row r="442" ht="15.75" customHeight="1">
      <c r="A442" s="1" t="s">
        <v>2163</v>
      </c>
      <c r="B442" s="1">
        <v>29.0</v>
      </c>
      <c r="C442" s="2" t="s">
        <v>2039</v>
      </c>
      <c r="D442" s="2" t="s">
        <v>1685</v>
      </c>
      <c r="E442" s="1">
        <v>0.247</v>
      </c>
      <c r="F442" s="1">
        <v>29095.0</v>
      </c>
      <c r="G442" s="1">
        <v>2.90950038E10</v>
      </c>
      <c r="H442" s="1" t="s">
        <v>112</v>
      </c>
      <c r="I442" s="1" t="s">
        <v>113</v>
      </c>
      <c r="J442" s="1" t="s">
        <v>2041</v>
      </c>
      <c r="K442" s="1" t="s">
        <v>2164</v>
      </c>
      <c r="L442" s="1">
        <v>1689.0</v>
      </c>
      <c r="M442" s="1">
        <v>1757.0</v>
      </c>
      <c r="N442" s="1">
        <v>220.0</v>
      </c>
      <c r="O442" s="1">
        <v>855.0</v>
      </c>
      <c r="P442" s="1">
        <v>877.0</v>
      </c>
      <c r="Q442" s="1">
        <v>74.0</v>
      </c>
      <c r="R442" s="1">
        <v>646.0</v>
      </c>
      <c r="S442" s="1">
        <v>762.0</v>
      </c>
      <c r="T442" s="1">
        <v>267.0</v>
      </c>
      <c r="U442" s="1">
        <v>156.0</v>
      </c>
      <c r="V442" s="1">
        <v>405.0</v>
      </c>
      <c r="W442" s="1">
        <v>11271.0</v>
      </c>
      <c r="X442" s="1">
        <v>2058.0</v>
      </c>
      <c r="Y442" s="1">
        <v>183.0</v>
      </c>
      <c r="Z442" s="1">
        <v>371.0</v>
      </c>
      <c r="AA442" s="1">
        <v>258.0</v>
      </c>
      <c r="AB442" s="1">
        <v>464.0</v>
      </c>
      <c r="AC442" s="1">
        <v>153.0</v>
      </c>
      <c r="AD442" s="1">
        <v>1641.0</v>
      </c>
      <c r="AE442" s="1">
        <v>0.0</v>
      </c>
      <c r="AF442" s="1">
        <v>456.0</v>
      </c>
      <c r="AG442" s="1">
        <v>50.0</v>
      </c>
      <c r="AH442" s="1">
        <v>122.0</v>
      </c>
      <c r="AI442" s="1">
        <v>0.0</v>
      </c>
      <c r="AJ442" s="1">
        <v>114.0</v>
      </c>
      <c r="AK442" s="1">
        <v>0.0</v>
      </c>
      <c r="AL442" s="1">
        <v>161.0</v>
      </c>
      <c r="AM442" s="1">
        <v>226.0</v>
      </c>
      <c r="AN442" s="1">
        <v>86.0</v>
      </c>
      <c r="AO442" s="1">
        <v>2.0</v>
      </c>
      <c r="AP442" s="1">
        <v>0.433693</v>
      </c>
      <c r="AQ442" s="1">
        <v>0.141929</v>
      </c>
      <c r="AR442" s="1">
        <v>0.246056</v>
      </c>
      <c r="AS442" s="1">
        <v>0.627517</v>
      </c>
      <c r="AT442" s="1">
        <v>11271.0</v>
      </c>
      <c r="AU442" s="1">
        <v>2058.0</v>
      </c>
      <c r="AV442" s="1">
        <v>0.185035</v>
      </c>
      <c r="AW442" s="1">
        <v>0.373869</v>
      </c>
      <c r="AX442" s="1">
        <v>0.152753</v>
      </c>
      <c r="AY442" s="1">
        <v>0.274718</v>
      </c>
      <c r="AZ442" s="1">
        <v>0.2368421</v>
      </c>
      <c r="BA442" s="1">
        <v>0.97158</v>
      </c>
      <c r="BB442" s="1">
        <v>0.0</v>
      </c>
      <c r="BC442" s="1">
        <v>0.286252</v>
      </c>
      <c r="BD442" s="1">
        <v>0.057012</v>
      </c>
      <c r="BE442" s="1">
        <v>0.139027</v>
      </c>
      <c r="BF442" s="1">
        <v>0.0</v>
      </c>
      <c r="BG442" s="1">
        <v>0.129988</v>
      </c>
      <c r="BH442" s="1">
        <v>0.0</v>
      </c>
      <c r="BI442" s="1">
        <v>0.25117</v>
      </c>
      <c r="BJ442" s="1">
        <v>0.352574</v>
      </c>
      <c r="BK442" s="1">
        <v>0.126744</v>
      </c>
      <c r="BL442" s="1">
        <v>0.001184</v>
      </c>
      <c r="BM442" s="1">
        <v>0.974</v>
      </c>
      <c r="BN442" s="1">
        <v>0.976</v>
      </c>
      <c r="BO442" s="1">
        <v>0.9718</v>
      </c>
      <c r="BP442" s="1">
        <v>0.705</v>
      </c>
      <c r="BQ442" s="1">
        <v>3.6268</v>
      </c>
      <c r="BR442" s="1">
        <v>0.943</v>
      </c>
      <c r="BS442" s="1">
        <v>0.602</v>
      </c>
      <c r="BT442" s="1">
        <v>0.818</v>
      </c>
      <c r="BU442" s="1">
        <v>0.933</v>
      </c>
      <c r="BV442" s="1">
        <v>2.353</v>
      </c>
      <c r="BW442" s="1">
        <v>0.987</v>
      </c>
      <c r="BX442" s="1">
        <v>0.973</v>
      </c>
      <c r="BY442" s="1">
        <v>0.0</v>
      </c>
      <c r="BZ442" s="1">
        <v>0.973</v>
      </c>
      <c r="CA442" s="1">
        <v>0.529</v>
      </c>
      <c r="CB442" s="1">
        <v>0.676</v>
      </c>
      <c r="CC442" s="1">
        <v>0.0</v>
      </c>
      <c r="CD442" s="1">
        <v>0.0</v>
      </c>
      <c r="CE442" s="1">
        <v>0.979</v>
      </c>
      <c r="CF442" s="1">
        <v>0.41</v>
      </c>
      <c r="CG442" s="1">
        <v>2.065</v>
      </c>
      <c r="CH442" s="1">
        <v>0.37</v>
      </c>
      <c r="CI442" s="1">
        <v>9.0178</v>
      </c>
      <c r="CJ442" s="1">
        <v>0.8549</v>
      </c>
      <c r="CK442" s="1">
        <v>1.0</v>
      </c>
      <c r="CL442" s="1">
        <v>1.0</v>
      </c>
      <c r="CM442" s="1">
        <v>1.0</v>
      </c>
      <c r="CN442" s="1">
        <v>0.0</v>
      </c>
      <c r="CO442" s="1">
        <v>3.0</v>
      </c>
      <c r="CP442" s="1">
        <v>0.0</v>
      </c>
      <c r="CQ442" s="1">
        <v>0.0</v>
      </c>
      <c r="CR442" s="1">
        <v>1.0</v>
      </c>
      <c r="CS442" s="1">
        <v>1.0</v>
      </c>
      <c r="CT442" s="1">
        <v>1.0</v>
      </c>
      <c r="CU442" s="1">
        <v>0.0</v>
      </c>
      <c r="CV442" s="1">
        <v>1.0</v>
      </c>
      <c r="CW442" s="1">
        <v>0.0</v>
      </c>
      <c r="CX442" s="1">
        <v>0.0</v>
      </c>
      <c r="CY442" s="1">
        <v>0.0</v>
      </c>
      <c r="CZ442" s="1">
        <v>1.0</v>
      </c>
      <c r="DA442" s="1">
        <v>0.0</v>
      </c>
      <c r="DB442" s="1">
        <v>1.0</v>
      </c>
      <c r="DC442" s="1">
        <v>6.0</v>
      </c>
      <c r="DD442" s="1" t="s">
        <v>2165</v>
      </c>
      <c r="DE442" s="2" t="s">
        <v>2166</v>
      </c>
      <c r="DF442" s="2" t="s">
        <v>2167</v>
      </c>
    </row>
    <row r="443" ht="15.75" customHeight="1">
      <c r="A443" s="1" t="s">
        <v>2168</v>
      </c>
      <c r="B443" s="1">
        <v>29.0</v>
      </c>
      <c r="C443" s="2" t="s">
        <v>2039</v>
      </c>
      <c r="D443" s="2" t="s">
        <v>1848</v>
      </c>
      <c r="E443" s="1">
        <v>0.28</v>
      </c>
      <c r="F443" s="1">
        <v>29095.0</v>
      </c>
      <c r="G443" s="1">
        <v>2.90950051E10</v>
      </c>
      <c r="H443" s="1" t="s">
        <v>112</v>
      </c>
      <c r="I443" s="1" t="s">
        <v>113</v>
      </c>
      <c r="J443" s="1" t="s">
        <v>2041</v>
      </c>
      <c r="K443" s="1" t="s">
        <v>2169</v>
      </c>
      <c r="L443" s="1">
        <v>1651.0</v>
      </c>
      <c r="M443" s="1">
        <v>1550.0</v>
      </c>
      <c r="N443" s="1">
        <v>403.0</v>
      </c>
      <c r="O443" s="1">
        <v>879.0</v>
      </c>
      <c r="P443" s="1">
        <v>1026.0</v>
      </c>
      <c r="Q443" s="1">
        <v>99.0</v>
      </c>
      <c r="R443" s="1">
        <v>733.0</v>
      </c>
      <c r="S443" s="1">
        <v>312.0</v>
      </c>
      <c r="T443" s="1">
        <v>169.0</v>
      </c>
      <c r="U443" s="1">
        <v>44.0</v>
      </c>
      <c r="V443" s="1">
        <v>457.0</v>
      </c>
      <c r="W443" s="1">
        <v>24128.0</v>
      </c>
      <c r="X443" s="1">
        <v>9250.0</v>
      </c>
      <c r="Y443" s="1">
        <v>169.0</v>
      </c>
      <c r="Z443" s="1">
        <v>273.0</v>
      </c>
      <c r="AA443" s="1">
        <v>104.0</v>
      </c>
      <c r="AB443" s="1">
        <v>278.0</v>
      </c>
      <c r="AC443" s="1">
        <v>47.0</v>
      </c>
      <c r="AD443" s="1">
        <v>703.0</v>
      </c>
      <c r="AE443" s="1">
        <v>114.0</v>
      </c>
      <c r="AF443" s="1">
        <v>446.0</v>
      </c>
      <c r="AG443" s="1">
        <v>567.0</v>
      </c>
      <c r="AH443" s="1">
        <v>153.0</v>
      </c>
      <c r="AI443" s="1">
        <v>0.0</v>
      </c>
      <c r="AJ443" s="1">
        <v>114.0</v>
      </c>
      <c r="AK443" s="1">
        <v>46.0</v>
      </c>
      <c r="AL443" s="1">
        <v>125.0</v>
      </c>
      <c r="AM443" s="1">
        <v>186.0</v>
      </c>
      <c r="AN443" s="1">
        <v>90.0</v>
      </c>
      <c r="AO443" s="1">
        <v>100.0</v>
      </c>
      <c r="AP443" s="1">
        <v>0.231111</v>
      </c>
      <c r="AQ443" s="1">
        <v>0.11231</v>
      </c>
      <c r="AR443" s="1">
        <v>0.056194</v>
      </c>
      <c r="AS443" s="1">
        <v>0.583417</v>
      </c>
      <c r="AT443" s="1">
        <v>24128.0</v>
      </c>
      <c r="AU443" s="1">
        <v>9250.0</v>
      </c>
      <c r="AV443" s="1">
        <v>0.174226</v>
      </c>
      <c r="AW443" s="1">
        <v>0.277511</v>
      </c>
      <c r="AX443" s="1">
        <v>0.062992</v>
      </c>
      <c r="AY443" s="1">
        <v>0.168382</v>
      </c>
      <c r="AZ443" s="1">
        <v>0.06412005</v>
      </c>
      <c r="BA443" s="1">
        <v>0.425802</v>
      </c>
      <c r="BB443" s="1">
        <v>0.079553</v>
      </c>
      <c r="BC443" s="1">
        <v>0.310582</v>
      </c>
      <c r="BD443" s="1">
        <v>0.552631</v>
      </c>
      <c r="BE443" s="1">
        <v>0.139262</v>
      </c>
      <c r="BF443" s="1">
        <v>0.0</v>
      </c>
      <c r="BG443" s="1">
        <v>0.111111</v>
      </c>
      <c r="BH443" s="1">
        <v>0.078098</v>
      </c>
      <c r="BI443" s="1">
        <v>0.21188</v>
      </c>
      <c r="BJ443" s="1">
        <v>0.315789</v>
      </c>
      <c r="BK443" s="1">
        <v>0.144802</v>
      </c>
      <c r="BL443" s="1">
        <v>0.060569</v>
      </c>
      <c r="BM443" s="1">
        <v>0.793</v>
      </c>
      <c r="BN443" s="1">
        <v>0.369</v>
      </c>
      <c r="BO443" s="1">
        <v>0.3913</v>
      </c>
      <c r="BP443" s="1">
        <v>0.665</v>
      </c>
      <c r="BQ443" s="1">
        <v>2.2183</v>
      </c>
      <c r="BR443" s="1">
        <v>0.5747</v>
      </c>
      <c r="BS443" s="1">
        <v>0.057</v>
      </c>
      <c r="BT443" s="1">
        <v>0.097</v>
      </c>
      <c r="BU443" s="1">
        <v>0.166</v>
      </c>
      <c r="BV443" s="1">
        <v>0.32</v>
      </c>
      <c r="BW443" s="1">
        <v>0.02</v>
      </c>
      <c r="BX443" s="1">
        <v>0.849</v>
      </c>
      <c r="BY443" s="1">
        <v>0.979</v>
      </c>
      <c r="BZ443" s="1">
        <v>1.828</v>
      </c>
      <c r="CA443" s="1">
        <v>0.972</v>
      </c>
      <c r="CB443" s="1">
        <v>0.984</v>
      </c>
      <c r="CC443" s="1">
        <v>0.0</v>
      </c>
      <c r="CD443" s="1">
        <v>0.984</v>
      </c>
      <c r="CE443" s="1">
        <v>0.971</v>
      </c>
      <c r="CF443" s="1">
        <v>0.912</v>
      </c>
      <c r="CG443" s="1">
        <v>3.851</v>
      </c>
      <c r="CH443" s="1">
        <v>0.989</v>
      </c>
      <c r="CI443" s="1">
        <v>8.2173</v>
      </c>
      <c r="CJ443" s="1">
        <v>0.748</v>
      </c>
      <c r="CK443" s="1">
        <v>0.0</v>
      </c>
      <c r="CL443" s="1">
        <v>0.0</v>
      </c>
      <c r="CM443" s="1">
        <v>0.0</v>
      </c>
      <c r="CN443" s="1">
        <v>0.0</v>
      </c>
      <c r="CO443" s="1">
        <v>0.0</v>
      </c>
      <c r="CP443" s="1">
        <v>0.0</v>
      </c>
      <c r="CQ443" s="1">
        <v>0.0</v>
      </c>
      <c r="CR443" s="1">
        <v>0.0</v>
      </c>
      <c r="CS443" s="1">
        <v>0.0</v>
      </c>
      <c r="CT443" s="1">
        <v>0.0</v>
      </c>
      <c r="CU443" s="1">
        <v>1.0</v>
      </c>
      <c r="CV443" s="1">
        <v>1.0</v>
      </c>
      <c r="CW443" s="1">
        <v>1.0</v>
      </c>
      <c r="CX443" s="1">
        <v>0.0</v>
      </c>
      <c r="CY443" s="1">
        <v>1.0</v>
      </c>
      <c r="CZ443" s="1">
        <v>1.0</v>
      </c>
      <c r="DA443" s="1">
        <v>1.0</v>
      </c>
      <c r="DB443" s="1">
        <v>4.0</v>
      </c>
      <c r="DC443" s="1">
        <v>5.0</v>
      </c>
      <c r="DD443" s="1" t="s">
        <v>2170</v>
      </c>
      <c r="DE443" s="2" t="s">
        <v>2171</v>
      </c>
      <c r="DF443" s="2" t="s">
        <v>2172</v>
      </c>
    </row>
    <row r="444" ht="15.75" customHeight="1">
      <c r="A444" s="1" t="s">
        <v>2173</v>
      </c>
      <c r="B444" s="1">
        <v>29.0</v>
      </c>
      <c r="C444" s="2" t="s">
        <v>2039</v>
      </c>
      <c r="D444" s="2" t="s">
        <v>2174</v>
      </c>
      <c r="E444" s="1">
        <v>0.247</v>
      </c>
      <c r="F444" s="1">
        <v>29095.0</v>
      </c>
      <c r="G444" s="1">
        <v>2.90950053E10</v>
      </c>
      <c r="H444" s="1" t="s">
        <v>112</v>
      </c>
      <c r="I444" s="1" t="s">
        <v>113</v>
      </c>
      <c r="J444" s="1" t="s">
        <v>2041</v>
      </c>
      <c r="K444" s="1" t="s">
        <v>2175</v>
      </c>
      <c r="L444" s="1">
        <v>1368.0</v>
      </c>
      <c r="M444" s="1">
        <v>1078.0</v>
      </c>
      <c r="N444" s="1">
        <v>299.0</v>
      </c>
      <c r="O444" s="1">
        <v>699.0</v>
      </c>
      <c r="P444" s="1">
        <v>696.0</v>
      </c>
      <c r="Q444" s="1">
        <v>59.0</v>
      </c>
      <c r="R444" s="1">
        <v>509.0</v>
      </c>
      <c r="S444" s="1">
        <v>397.0</v>
      </c>
      <c r="T444" s="1">
        <v>193.0</v>
      </c>
      <c r="U444" s="1">
        <v>81.0</v>
      </c>
      <c r="V444" s="1">
        <v>418.0</v>
      </c>
      <c r="W444" s="1">
        <v>11226.0</v>
      </c>
      <c r="X444" s="1">
        <v>3291.0</v>
      </c>
      <c r="Y444" s="1">
        <v>120.0</v>
      </c>
      <c r="Z444" s="1">
        <v>355.0</v>
      </c>
      <c r="AA444" s="1">
        <v>132.0</v>
      </c>
      <c r="AB444" s="1">
        <v>370.0</v>
      </c>
      <c r="AC444" s="1">
        <v>135.0</v>
      </c>
      <c r="AD444" s="1">
        <v>1165.0</v>
      </c>
      <c r="AE444" s="1">
        <v>0.0</v>
      </c>
      <c r="AF444" s="1">
        <v>456.0</v>
      </c>
      <c r="AG444" s="1">
        <v>27.0</v>
      </c>
      <c r="AH444" s="1">
        <v>123.0</v>
      </c>
      <c r="AI444" s="1">
        <v>0.0</v>
      </c>
      <c r="AJ444" s="1">
        <v>114.0</v>
      </c>
      <c r="AK444" s="1">
        <v>0.0</v>
      </c>
      <c r="AL444" s="1">
        <v>161.0</v>
      </c>
      <c r="AM444" s="1">
        <v>25.0</v>
      </c>
      <c r="AN444" s="1">
        <v>41.0</v>
      </c>
      <c r="AO444" s="1">
        <v>25.0</v>
      </c>
      <c r="AP444" s="1">
        <v>0.368274</v>
      </c>
      <c r="AQ444" s="1">
        <v>0.147036</v>
      </c>
      <c r="AR444" s="1">
        <v>0.180803</v>
      </c>
      <c r="AS444" s="1">
        <v>0.921844</v>
      </c>
      <c r="AT444" s="1">
        <v>11226.0</v>
      </c>
      <c r="AU444" s="1">
        <v>3291.0</v>
      </c>
      <c r="AV444" s="1">
        <v>0.148148</v>
      </c>
      <c r="AW444" s="1">
        <v>0.4374</v>
      </c>
      <c r="AX444" s="1">
        <v>0.096491</v>
      </c>
      <c r="AY444" s="1">
        <v>0.270467</v>
      </c>
      <c r="AZ444" s="1">
        <v>0.26522593</v>
      </c>
      <c r="BA444" s="1">
        <v>0.851608</v>
      </c>
      <c r="BB444" s="1">
        <v>0.0</v>
      </c>
      <c r="BC444" s="1">
        <v>0.451485</v>
      </c>
      <c r="BD444" s="1">
        <v>0.038793</v>
      </c>
      <c r="BE444" s="1">
        <v>0.176693</v>
      </c>
      <c r="BF444" s="1">
        <v>0.0</v>
      </c>
      <c r="BG444" s="1">
        <v>0.163793</v>
      </c>
      <c r="BH444" s="1">
        <v>0.0</v>
      </c>
      <c r="BI444" s="1">
        <v>0.4025</v>
      </c>
      <c r="BJ444" s="1">
        <v>0.0625</v>
      </c>
      <c r="BK444" s="1">
        <v>0.101277</v>
      </c>
      <c r="BL444" s="1">
        <v>0.018274</v>
      </c>
      <c r="BM444" s="1">
        <v>0.935</v>
      </c>
      <c r="BN444" s="1">
        <v>0.935</v>
      </c>
      <c r="BO444" s="1">
        <v>0.9726</v>
      </c>
      <c r="BP444" s="1">
        <v>0.559</v>
      </c>
      <c r="BQ444" s="1">
        <v>3.4016</v>
      </c>
      <c r="BR444" s="1">
        <v>0.8989</v>
      </c>
      <c r="BS444" s="1">
        <v>0.188</v>
      </c>
      <c r="BT444" s="1">
        <v>0.792</v>
      </c>
      <c r="BU444" s="1">
        <v>0.958</v>
      </c>
      <c r="BV444" s="1">
        <v>1.938</v>
      </c>
      <c r="BW444" s="1">
        <v>0.826</v>
      </c>
      <c r="BX444" s="1">
        <v>0.933</v>
      </c>
      <c r="BY444" s="1">
        <v>0.0</v>
      </c>
      <c r="BZ444" s="1">
        <v>0.933</v>
      </c>
      <c r="CA444" s="1">
        <v>0.492</v>
      </c>
      <c r="CB444" s="1">
        <v>0.604</v>
      </c>
      <c r="CC444" s="1">
        <v>0.0</v>
      </c>
      <c r="CD444" s="1">
        <v>0.0</v>
      </c>
      <c r="CE444" s="1">
        <v>0.58</v>
      </c>
      <c r="CF444" s="1">
        <v>0.689</v>
      </c>
      <c r="CG444" s="1">
        <v>1.873</v>
      </c>
      <c r="CH444" s="1">
        <v>0.294</v>
      </c>
      <c r="CI444" s="1">
        <v>8.1456</v>
      </c>
      <c r="CJ444" s="1">
        <v>0.7365</v>
      </c>
      <c r="CK444" s="1">
        <v>1.0</v>
      </c>
      <c r="CL444" s="1">
        <v>1.0</v>
      </c>
      <c r="CM444" s="1">
        <v>1.0</v>
      </c>
      <c r="CN444" s="1">
        <v>0.0</v>
      </c>
      <c r="CO444" s="1">
        <v>3.0</v>
      </c>
      <c r="CP444" s="1">
        <v>0.0</v>
      </c>
      <c r="CQ444" s="1">
        <v>0.0</v>
      </c>
      <c r="CR444" s="1">
        <v>1.0</v>
      </c>
      <c r="CS444" s="1">
        <v>1.0</v>
      </c>
      <c r="CT444" s="1">
        <v>1.0</v>
      </c>
      <c r="CU444" s="1">
        <v>0.0</v>
      </c>
      <c r="CV444" s="1">
        <v>1.0</v>
      </c>
      <c r="CW444" s="1">
        <v>0.0</v>
      </c>
      <c r="CX444" s="1">
        <v>0.0</v>
      </c>
      <c r="CY444" s="1">
        <v>0.0</v>
      </c>
      <c r="CZ444" s="1">
        <v>0.0</v>
      </c>
      <c r="DA444" s="1">
        <v>0.0</v>
      </c>
      <c r="DB444" s="1">
        <v>0.0</v>
      </c>
      <c r="DC444" s="1">
        <v>5.0</v>
      </c>
      <c r="DD444" s="1" t="s">
        <v>2176</v>
      </c>
      <c r="DE444" s="2" t="s">
        <v>2177</v>
      </c>
      <c r="DF444" s="1">
        <v>0.0329086588182902</v>
      </c>
    </row>
    <row r="445" ht="15.75" customHeight="1">
      <c r="A445" s="1" t="s">
        <v>2178</v>
      </c>
      <c r="B445" s="1">
        <v>29.0</v>
      </c>
      <c r="C445" s="2" t="s">
        <v>2039</v>
      </c>
      <c r="D445" s="2" t="s">
        <v>2179</v>
      </c>
      <c r="E445" s="1">
        <v>0.247</v>
      </c>
      <c r="F445" s="1">
        <v>29095.0</v>
      </c>
      <c r="G445" s="1">
        <v>2.9095005601E10</v>
      </c>
      <c r="H445" s="1" t="s">
        <v>112</v>
      </c>
      <c r="I445" s="1" t="s">
        <v>113</v>
      </c>
      <c r="J445" s="1" t="s">
        <v>2041</v>
      </c>
      <c r="K445" s="1" t="s">
        <v>2180</v>
      </c>
      <c r="L445" s="1">
        <v>1556.0</v>
      </c>
      <c r="M445" s="1">
        <v>1764.0</v>
      </c>
      <c r="N445" s="1">
        <v>331.0</v>
      </c>
      <c r="O445" s="1">
        <v>908.0</v>
      </c>
      <c r="P445" s="1">
        <v>966.0</v>
      </c>
      <c r="Q445" s="1">
        <v>75.0</v>
      </c>
      <c r="R445" s="1">
        <v>647.0</v>
      </c>
      <c r="S445" s="1">
        <v>679.0</v>
      </c>
      <c r="T445" s="1">
        <v>252.0</v>
      </c>
      <c r="U445" s="1">
        <v>188.0</v>
      </c>
      <c r="V445" s="1">
        <v>373.0</v>
      </c>
      <c r="W445" s="1">
        <v>11081.0</v>
      </c>
      <c r="X445" s="1">
        <v>2183.0</v>
      </c>
      <c r="Y445" s="1">
        <v>249.0</v>
      </c>
      <c r="Z445" s="1">
        <v>296.0</v>
      </c>
      <c r="AA445" s="1">
        <v>277.0</v>
      </c>
      <c r="AB445" s="1">
        <v>431.0</v>
      </c>
      <c r="AC445" s="1">
        <v>147.0</v>
      </c>
      <c r="AD445" s="1">
        <v>1487.0</v>
      </c>
      <c r="AE445" s="1">
        <v>11.0</v>
      </c>
      <c r="AF445" s="1">
        <v>442.0</v>
      </c>
      <c r="AG445" s="1">
        <v>242.0</v>
      </c>
      <c r="AH445" s="1">
        <v>141.0</v>
      </c>
      <c r="AI445" s="1">
        <v>0.0</v>
      </c>
      <c r="AJ445" s="1">
        <v>114.0</v>
      </c>
      <c r="AK445" s="1">
        <v>9.0</v>
      </c>
      <c r="AL445" s="1">
        <v>115.0</v>
      </c>
      <c r="AM445" s="1">
        <v>304.0</v>
      </c>
      <c r="AN445" s="1">
        <v>98.0</v>
      </c>
      <c r="AO445" s="1">
        <v>0.0</v>
      </c>
      <c r="AP445" s="1">
        <v>0.38492</v>
      </c>
      <c r="AQ445" s="1">
        <v>0.123253</v>
      </c>
      <c r="AR445" s="1">
        <v>0.297939</v>
      </c>
      <c r="AS445" s="1">
        <v>0.575271</v>
      </c>
      <c r="AT445" s="1">
        <v>11081.0</v>
      </c>
      <c r="AU445" s="1">
        <v>2183.0</v>
      </c>
      <c r="AV445" s="1">
        <v>0.226363</v>
      </c>
      <c r="AW445" s="1">
        <v>0.266834</v>
      </c>
      <c r="AX445" s="1">
        <v>0.17802</v>
      </c>
      <c r="AY445" s="1">
        <v>0.276992</v>
      </c>
      <c r="AZ445" s="1">
        <v>0.22720247</v>
      </c>
      <c r="BA445" s="1">
        <v>0.955655</v>
      </c>
      <c r="BB445" s="1">
        <v>0.006849</v>
      </c>
      <c r="BC445" s="1">
        <v>0.275214</v>
      </c>
      <c r="BD445" s="1">
        <v>0.250517</v>
      </c>
      <c r="BE445" s="1">
        <v>0.144661</v>
      </c>
      <c r="BF445" s="1">
        <v>0.0</v>
      </c>
      <c r="BG445" s="1">
        <v>0.118012</v>
      </c>
      <c r="BH445" s="1">
        <v>0.011673</v>
      </c>
      <c r="BI445" s="1">
        <v>0.149147</v>
      </c>
      <c r="BJ445" s="1">
        <v>0.394293</v>
      </c>
      <c r="BK445" s="1">
        <v>0.11448</v>
      </c>
      <c r="BL445" s="1">
        <v>0.0</v>
      </c>
      <c r="BM445" s="1">
        <v>0.945</v>
      </c>
      <c r="BN445" s="1">
        <v>0.989</v>
      </c>
      <c r="BO445" s="1">
        <v>0.9755</v>
      </c>
      <c r="BP445" s="1">
        <v>0.816</v>
      </c>
      <c r="BQ445" s="1">
        <v>3.7255</v>
      </c>
      <c r="BR445" s="1">
        <v>0.9661</v>
      </c>
      <c r="BS445" s="1">
        <v>0.774</v>
      </c>
      <c r="BT445" s="1">
        <v>0.834</v>
      </c>
      <c r="BU445" s="1">
        <v>0.923</v>
      </c>
      <c r="BV445" s="1">
        <v>2.531</v>
      </c>
      <c r="BW445" s="1">
        <v>0.997</v>
      </c>
      <c r="BX445" s="1">
        <v>0.961</v>
      </c>
      <c r="BY445" s="1">
        <v>0.626</v>
      </c>
      <c r="BZ445" s="1">
        <v>1.587</v>
      </c>
      <c r="CA445" s="1">
        <v>0.865</v>
      </c>
      <c r="CB445" s="1">
        <v>0.921</v>
      </c>
      <c r="CC445" s="1">
        <v>0.0</v>
      </c>
      <c r="CD445" s="1">
        <v>0.517</v>
      </c>
      <c r="CE445" s="1">
        <v>0.984</v>
      </c>
      <c r="CF445" s="1">
        <v>0.0</v>
      </c>
      <c r="CG445" s="1">
        <v>2.422</v>
      </c>
      <c r="CH445" s="1">
        <v>0.528</v>
      </c>
      <c r="CI445" s="1">
        <v>10.2655</v>
      </c>
      <c r="CJ445" s="1">
        <v>0.9639</v>
      </c>
      <c r="CK445" s="1">
        <v>1.0</v>
      </c>
      <c r="CL445" s="1">
        <v>1.0</v>
      </c>
      <c r="CM445" s="1">
        <v>1.0</v>
      </c>
      <c r="CN445" s="1">
        <v>0.0</v>
      </c>
      <c r="CO445" s="1">
        <v>3.0</v>
      </c>
      <c r="CP445" s="1">
        <v>0.0</v>
      </c>
      <c r="CQ445" s="1">
        <v>0.0</v>
      </c>
      <c r="CR445" s="1">
        <v>1.0</v>
      </c>
      <c r="CS445" s="1">
        <v>1.0</v>
      </c>
      <c r="CT445" s="1">
        <v>1.0</v>
      </c>
      <c r="CU445" s="1">
        <v>0.0</v>
      </c>
      <c r="CV445" s="1">
        <v>1.0</v>
      </c>
      <c r="CW445" s="1">
        <v>1.0</v>
      </c>
      <c r="CX445" s="1">
        <v>0.0</v>
      </c>
      <c r="CY445" s="1">
        <v>0.0</v>
      </c>
      <c r="CZ445" s="1">
        <v>1.0</v>
      </c>
      <c r="DA445" s="1">
        <v>0.0</v>
      </c>
      <c r="DB445" s="1">
        <v>2.0</v>
      </c>
      <c r="DC445" s="1">
        <v>7.0</v>
      </c>
      <c r="DD445" s="1" t="s">
        <v>2181</v>
      </c>
      <c r="DE445" s="2" t="s">
        <v>2182</v>
      </c>
      <c r="DF445" s="1">
        <v>0.0329082225680373</v>
      </c>
    </row>
    <row r="446" ht="15.75" customHeight="1">
      <c r="A446" s="1" t="s">
        <v>2183</v>
      </c>
      <c r="B446" s="1">
        <v>29.0</v>
      </c>
      <c r="C446" s="2" t="s">
        <v>2039</v>
      </c>
      <c r="D446" s="2" t="s">
        <v>2184</v>
      </c>
      <c r="E446" s="1">
        <v>0.539</v>
      </c>
      <c r="F446" s="1">
        <v>29095.0</v>
      </c>
      <c r="G446" s="1">
        <v>2.90950063E10</v>
      </c>
      <c r="H446" s="1" t="s">
        <v>112</v>
      </c>
      <c r="I446" s="1" t="s">
        <v>113</v>
      </c>
      <c r="J446" s="1" t="s">
        <v>2041</v>
      </c>
      <c r="K446" s="1" t="s">
        <v>2185</v>
      </c>
      <c r="L446" s="1">
        <v>1676.0</v>
      </c>
      <c r="M446" s="1">
        <v>1682.0</v>
      </c>
      <c r="N446" s="1">
        <v>253.0</v>
      </c>
      <c r="O446" s="1">
        <v>1245.0</v>
      </c>
      <c r="P446" s="1">
        <v>1364.0</v>
      </c>
      <c r="Q446" s="1">
        <v>56.0</v>
      </c>
      <c r="R446" s="1">
        <v>758.0</v>
      </c>
      <c r="S446" s="1">
        <v>533.0</v>
      </c>
      <c r="T446" s="1">
        <v>242.0</v>
      </c>
      <c r="U446" s="1">
        <v>171.0</v>
      </c>
      <c r="V446" s="1">
        <v>372.0</v>
      </c>
      <c r="W446" s="1">
        <v>21384.0</v>
      </c>
      <c r="X446" s="1">
        <v>12848.0</v>
      </c>
      <c r="Y446" s="1">
        <v>265.0</v>
      </c>
      <c r="Z446" s="1">
        <v>327.0</v>
      </c>
      <c r="AA446" s="1">
        <v>167.0</v>
      </c>
      <c r="AB446" s="1">
        <v>475.0</v>
      </c>
      <c r="AC446" s="1">
        <v>174.0</v>
      </c>
      <c r="AD446" s="1">
        <v>1572.0</v>
      </c>
      <c r="AE446" s="1">
        <v>0.0</v>
      </c>
      <c r="AF446" s="1">
        <v>456.0</v>
      </c>
      <c r="AG446" s="1">
        <v>228.0</v>
      </c>
      <c r="AH446" s="1">
        <v>109.0</v>
      </c>
      <c r="AI446" s="1">
        <v>37.0</v>
      </c>
      <c r="AJ446" s="1">
        <v>51.0</v>
      </c>
      <c r="AK446" s="1">
        <v>4.0</v>
      </c>
      <c r="AL446" s="1">
        <v>114.0</v>
      </c>
      <c r="AM446" s="1">
        <v>254.0</v>
      </c>
      <c r="AN446" s="1">
        <v>110.0</v>
      </c>
      <c r="AO446" s="1">
        <v>25.0</v>
      </c>
      <c r="AP446" s="1">
        <v>0.316884</v>
      </c>
      <c r="AQ446" s="1">
        <v>0.135751</v>
      </c>
      <c r="AR446" s="1">
        <v>0.216455</v>
      </c>
      <c r="AS446" s="1">
        <v>0.466613</v>
      </c>
      <c r="AT446" s="1">
        <v>21384.0</v>
      </c>
      <c r="AU446" s="1">
        <v>12848.0</v>
      </c>
      <c r="AV446" s="1">
        <v>0.248826</v>
      </c>
      <c r="AW446" s="1">
        <v>0.303572</v>
      </c>
      <c r="AX446" s="1">
        <v>0.099642</v>
      </c>
      <c r="AY446" s="1">
        <v>0.283412</v>
      </c>
      <c r="AZ446" s="1">
        <v>0.22955145</v>
      </c>
      <c r="BA446" s="1">
        <v>0.937947</v>
      </c>
      <c r="BB446" s="1">
        <v>0.0</v>
      </c>
      <c r="BC446" s="1">
        <v>0.317107</v>
      </c>
      <c r="BD446" s="1">
        <v>0.167155</v>
      </c>
      <c r="BE446" s="1">
        <v>0.079616</v>
      </c>
      <c r="BF446" s="1">
        <v>0.027126</v>
      </c>
      <c r="BG446" s="1">
        <v>0.037373</v>
      </c>
      <c r="BH446" s="1">
        <v>0.004259</v>
      </c>
      <c r="BI446" s="1">
        <v>0.121404</v>
      </c>
      <c r="BJ446" s="1">
        <v>0.2705</v>
      </c>
      <c r="BK446" s="1">
        <v>0.111191</v>
      </c>
      <c r="BL446" s="1">
        <v>0.014916</v>
      </c>
      <c r="BM446" s="1">
        <v>0.898</v>
      </c>
      <c r="BN446" s="1">
        <v>0.961</v>
      </c>
      <c r="BO446" s="1">
        <v>0.53</v>
      </c>
      <c r="BP446" s="1">
        <v>0.864</v>
      </c>
      <c r="BQ446" s="1">
        <v>3.253</v>
      </c>
      <c r="BR446" s="1">
        <v>0.8679</v>
      </c>
      <c r="BS446" s="1">
        <v>0.209</v>
      </c>
      <c r="BT446" s="1">
        <v>0.863</v>
      </c>
      <c r="BU446" s="1">
        <v>0.926</v>
      </c>
      <c r="BV446" s="1">
        <v>1.998</v>
      </c>
      <c r="BW446" s="1">
        <v>0.857</v>
      </c>
      <c r="BX446" s="1">
        <v>0.953</v>
      </c>
      <c r="BY446" s="1">
        <v>0.0</v>
      </c>
      <c r="BZ446" s="1">
        <v>0.953</v>
      </c>
      <c r="CA446" s="1">
        <v>0.512</v>
      </c>
      <c r="CB446" s="1">
        <v>0.864</v>
      </c>
      <c r="CC446" s="1">
        <v>0.54</v>
      </c>
      <c r="CD446" s="1">
        <v>0.313</v>
      </c>
      <c r="CE446" s="1">
        <v>0.955</v>
      </c>
      <c r="CF446" s="1">
        <v>0.646</v>
      </c>
      <c r="CG446" s="1">
        <v>3.318</v>
      </c>
      <c r="CH446" s="1">
        <v>0.876</v>
      </c>
      <c r="CI446" s="1">
        <v>9.522</v>
      </c>
      <c r="CJ446" s="1">
        <v>0.9076</v>
      </c>
      <c r="CK446" s="1">
        <v>0.0</v>
      </c>
      <c r="CL446" s="1">
        <v>1.0</v>
      </c>
      <c r="CM446" s="1">
        <v>0.0</v>
      </c>
      <c r="CN446" s="1">
        <v>0.0</v>
      </c>
      <c r="CO446" s="1">
        <v>1.0</v>
      </c>
      <c r="CP446" s="1">
        <v>0.0</v>
      </c>
      <c r="CQ446" s="1">
        <v>0.0</v>
      </c>
      <c r="CR446" s="1">
        <v>1.0</v>
      </c>
      <c r="CS446" s="1">
        <v>1.0</v>
      </c>
      <c r="CT446" s="1">
        <v>1.0</v>
      </c>
      <c r="CU446" s="1">
        <v>0.0</v>
      </c>
      <c r="CV446" s="1">
        <v>1.0</v>
      </c>
      <c r="CW446" s="1">
        <v>0.0</v>
      </c>
      <c r="CX446" s="1">
        <v>0.0</v>
      </c>
      <c r="CY446" s="1">
        <v>0.0</v>
      </c>
      <c r="CZ446" s="1">
        <v>1.0</v>
      </c>
      <c r="DA446" s="1">
        <v>0.0</v>
      </c>
      <c r="DB446" s="1">
        <v>1.0</v>
      </c>
      <c r="DC446" s="1">
        <v>4.0</v>
      </c>
      <c r="DD446" s="1" t="s">
        <v>2186</v>
      </c>
      <c r="DE446" s="1">
        <v>1.46969158841721E-4</v>
      </c>
      <c r="DF446" s="1">
        <v>0.0551165300205906</v>
      </c>
    </row>
    <row r="447" ht="15.75" customHeight="1">
      <c r="A447" s="1" t="s">
        <v>2187</v>
      </c>
      <c r="B447" s="1">
        <v>29.0</v>
      </c>
      <c r="C447" s="2" t="s">
        <v>2039</v>
      </c>
      <c r="D447" s="2" t="s">
        <v>2188</v>
      </c>
      <c r="E447" s="1">
        <v>0.191</v>
      </c>
      <c r="F447" s="1">
        <v>29095.0</v>
      </c>
      <c r="G447" s="1">
        <v>2.90950069E10</v>
      </c>
      <c r="H447" s="1" t="s">
        <v>112</v>
      </c>
      <c r="I447" s="1" t="s">
        <v>113</v>
      </c>
      <c r="J447" s="1" t="s">
        <v>2041</v>
      </c>
      <c r="K447" s="1" t="s">
        <v>2189</v>
      </c>
      <c r="L447" s="1">
        <v>1213.0</v>
      </c>
      <c r="M447" s="1">
        <v>1374.0</v>
      </c>
      <c r="N447" s="1">
        <v>214.0</v>
      </c>
      <c r="O447" s="1">
        <v>944.0</v>
      </c>
      <c r="P447" s="1">
        <v>868.0</v>
      </c>
      <c r="Q447" s="1">
        <v>94.0</v>
      </c>
      <c r="R447" s="1">
        <v>753.0</v>
      </c>
      <c r="S447" s="1">
        <v>297.0</v>
      </c>
      <c r="T447" s="1">
        <v>108.0</v>
      </c>
      <c r="U447" s="1">
        <v>22.0</v>
      </c>
      <c r="V447" s="1">
        <v>484.0</v>
      </c>
      <c r="W447" s="1">
        <v>38110.0</v>
      </c>
      <c r="X447" s="1">
        <v>7831.0</v>
      </c>
      <c r="Y447" s="1">
        <v>165.0</v>
      </c>
      <c r="Z447" s="1">
        <v>294.0</v>
      </c>
      <c r="AA447" s="1">
        <v>193.0</v>
      </c>
      <c r="AB447" s="1">
        <v>66.0</v>
      </c>
      <c r="AC447" s="1">
        <v>22.0</v>
      </c>
      <c r="AD447" s="1">
        <v>306.0</v>
      </c>
      <c r="AE447" s="1">
        <v>46.0</v>
      </c>
      <c r="AF447" s="1">
        <v>447.0</v>
      </c>
      <c r="AG447" s="1">
        <v>424.0</v>
      </c>
      <c r="AH447" s="1">
        <v>125.0</v>
      </c>
      <c r="AI447" s="1">
        <v>0.0</v>
      </c>
      <c r="AJ447" s="1">
        <v>114.0</v>
      </c>
      <c r="AK447" s="1">
        <v>0.0</v>
      </c>
      <c r="AL447" s="1">
        <v>161.0</v>
      </c>
      <c r="AM447" s="1">
        <v>73.0</v>
      </c>
      <c r="AN447" s="1">
        <v>49.0</v>
      </c>
      <c r="AO447" s="1">
        <v>95.0</v>
      </c>
      <c r="AP447" s="1">
        <v>0.257142</v>
      </c>
      <c r="AQ447" s="1">
        <v>0.081486</v>
      </c>
      <c r="AR447" s="1">
        <v>0.026252</v>
      </c>
      <c r="AS447" s="1">
        <v>0.577497</v>
      </c>
      <c r="AT447" s="1">
        <v>38110.0</v>
      </c>
      <c r="AU447" s="1">
        <v>7831.0</v>
      </c>
      <c r="AV447" s="1">
        <v>0.146666</v>
      </c>
      <c r="AW447" s="1">
        <v>0.260413</v>
      </c>
      <c r="AX447" s="1">
        <v>0.159109</v>
      </c>
      <c r="AY447" s="1">
        <v>0.05441</v>
      </c>
      <c r="AZ447" s="1">
        <v>0.02921646</v>
      </c>
      <c r="BA447" s="1">
        <v>0.252267</v>
      </c>
      <c r="BB447" s="1">
        <v>0.034743</v>
      </c>
      <c r="BC447" s="1">
        <v>0.337574</v>
      </c>
      <c r="BD447" s="1">
        <v>0.488479</v>
      </c>
      <c r="BE447" s="1">
        <v>0.133941</v>
      </c>
      <c r="BF447" s="1">
        <v>0.0</v>
      </c>
      <c r="BG447" s="1">
        <v>0.131336</v>
      </c>
      <c r="BH447" s="1">
        <v>0.0</v>
      </c>
      <c r="BI447" s="1">
        <v>0.210182</v>
      </c>
      <c r="BJ447" s="1">
        <v>0.0953</v>
      </c>
      <c r="BK447" s="1">
        <v>0.06289</v>
      </c>
      <c r="BL447" s="1">
        <v>0.078318</v>
      </c>
      <c r="BM447" s="1">
        <v>0.839</v>
      </c>
      <c r="BN447" s="1">
        <v>0.059</v>
      </c>
      <c r="BO447" s="1">
        <v>0.0838</v>
      </c>
      <c r="BP447" s="1">
        <v>0.552</v>
      </c>
      <c r="BQ447" s="1">
        <v>1.5338</v>
      </c>
      <c r="BR447" s="1">
        <v>0.3523</v>
      </c>
      <c r="BS447" s="1">
        <v>0.656</v>
      </c>
      <c r="BT447" s="1">
        <v>0.012</v>
      </c>
      <c r="BU447" s="1">
        <v>0.015</v>
      </c>
      <c r="BV447" s="1">
        <v>0.683</v>
      </c>
      <c r="BW447" s="1">
        <v>0.055</v>
      </c>
      <c r="BX447" s="1">
        <v>0.761</v>
      </c>
      <c r="BY447" s="1">
        <v>0.934</v>
      </c>
      <c r="BZ447" s="1">
        <v>1.695</v>
      </c>
      <c r="CA447" s="1">
        <v>0.92</v>
      </c>
      <c r="CB447" s="1">
        <v>0.982</v>
      </c>
      <c r="CC447" s="1">
        <v>0.0</v>
      </c>
      <c r="CD447" s="1">
        <v>0.0</v>
      </c>
      <c r="CE447" s="1">
        <v>0.736</v>
      </c>
      <c r="CF447" s="1">
        <v>0.933</v>
      </c>
      <c r="CG447" s="1">
        <v>2.651</v>
      </c>
      <c r="CH447" s="1">
        <v>0.623</v>
      </c>
      <c r="CI447" s="1">
        <v>6.5628</v>
      </c>
      <c r="CJ447" s="1">
        <v>0.4679</v>
      </c>
      <c r="CK447" s="1">
        <v>0.0</v>
      </c>
      <c r="CL447" s="1">
        <v>0.0</v>
      </c>
      <c r="CM447" s="1">
        <v>0.0</v>
      </c>
      <c r="CN447" s="1">
        <v>0.0</v>
      </c>
      <c r="CO447" s="1">
        <v>0.0</v>
      </c>
      <c r="CP447" s="1">
        <v>0.0</v>
      </c>
      <c r="CQ447" s="1">
        <v>0.0</v>
      </c>
      <c r="CR447" s="1">
        <v>0.0</v>
      </c>
      <c r="CS447" s="1">
        <v>0.0</v>
      </c>
      <c r="CT447" s="1">
        <v>0.0</v>
      </c>
      <c r="CU447" s="1">
        <v>1.0</v>
      </c>
      <c r="CV447" s="1">
        <v>1.0</v>
      </c>
      <c r="CW447" s="1">
        <v>1.0</v>
      </c>
      <c r="CX447" s="1">
        <v>0.0</v>
      </c>
      <c r="CY447" s="1">
        <v>0.0</v>
      </c>
      <c r="CZ447" s="1">
        <v>0.0</v>
      </c>
      <c r="DA447" s="1">
        <v>1.0</v>
      </c>
      <c r="DB447" s="1">
        <v>2.0</v>
      </c>
      <c r="DC447" s="1">
        <v>3.0</v>
      </c>
      <c r="DD447" s="1" t="s">
        <v>2190</v>
      </c>
      <c r="DE447" s="2" t="s">
        <v>2191</v>
      </c>
      <c r="DF447" s="1">
        <v>0.0322916155263936</v>
      </c>
    </row>
    <row r="448" ht="15.75" customHeight="1">
      <c r="A448" s="1" t="s">
        <v>2192</v>
      </c>
      <c r="B448" s="1">
        <v>29.0</v>
      </c>
      <c r="C448" s="2" t="s">
        <v>2039</v>
      </c>
      <c r="D448" s="2" t="s">
        <v>2193</v>
      </c>
      <c r="E448" s="1">
        <v>0.49</v>
      </c>
      <c r="F448" s="1">
        <v>29095.0</v>
      </c>
      <c r="G448" s="1">
        <v>2.90950075E10</v>
      </c>
      <c r="H448" s="1" t="s">
        <v>112</v>
      </c>
      <c r="I448" s="1" t="s">
        <v>113</v>
      </c>
      <c r="J448" s="1" t="s">
        <v>2041</v>
      </c>
      <c r="K448" s="1" t="s">
        <v>2194</v>
      </c>
      <c r="L448" s="1">
        <v>2634.0</v>
      </c>
      <c r="M448" s="1">
        <v>2444.0</v>
      </c>
      <c r="N448" s="1">
        <v>427.0</v>
      </c>
      <c r="O448" s="1">
        <v>1053.0</v>
      </c>
      <c r="P448" s="1">
        <v>1129.0</v>
      </c>
      <c r="Q448" s="1">
        <v>56.0</v>
      </c>
      <c r="R448" s="1">
        <v>820.0</v>
      </c>
      <c r="S448" s="1">
        <v>827.0</v>
      </c>
      <c r="T448" s="1">
        <v>256.0</v>
      </c>
      <c r="U448" s="1">
        <v>169.0</v>
      </c>
      <c r="V448" s="1">
        <v>452.0</v>
      </c>
      <c r="W448" s="1">
        <v>14816.0</v>
      </c>
      <c r="X448" s="1">
        <v>3282.0</v>
      </c>
      <c r="Y448" s="1">
        <v>189.0</v>
      </c>
      <c r="Z448" s="1">
        <v>374.0</v>
      </c>
      <c r="AA448" s="1">
        <v>150.0</v>
      </c>
      <c r="AB448" s="1">
        <v>416.0</v>
      </c>
      <c r="AC448" s="1">
        <v>142.0</v>
      </c>
      <c r="AD448" s="1">
        <v>1512.0</v>
      </c>
      <c r="AE448" s="1">
        <v>14.0</v>
      </c>
      <c r="AF448" s="1">
        <v>442.0</v>
      </c>
      <c r="AG448" s="1">
        <v>24.0</v>
      </c>
      <c r="AH448" s="1">
        <v>165.0</v>
      </c>
      <c r="AI448" s="1">
        <v>0.0</v>
      </c>
      <c r="AJ448" s="1">
        <v>114.0</v>
      </c>
      <c r="AK448" s="1">
        <v>0.0</v>
      </c>
      <c r="AL448" s="1">
        <v>161.0</v>
      </c>
      <c r="AM448" s="1">
        <v>157.0</v>
      </c>
      <c r="AN448" s="1">
        <v>83.0</v>
      </c>
      <c r="AO448" s="1">
        <v>714.0</v>
      </c>
      <c r="AP448" s="1">
        <v>0.366578</v>
      </c>
      <c r="AQ448" s="1">
        <v>0.100608</v>
      </c>
      <c r="AR448" s="1">
        <v>0.13</v>
      </c>
      <c r="AS448" s="1">
        <v>0.346404</v>
      </c>
      <c r="AT448" s="1">
        <v>14816.0</v>
      </c>
      <c r="AU448" s="1">
        <v>3282.0</v>
      </c>
      <c r="AV448" s="1">
        <v>0.145945</v>
      </c>
      <c r="AW448" s="1">
        <v>0.287904</v>
      </c>
      <c r="AX448" s="1">
        <v>0.056947</v>
      </c>
      <c r="AY448" s="1">
        <v>0.157934</v>
      </c>
      <c r="AZ448" s="1">
        <v>0.17317073</v>
      </c>
      <c r="BA448" s="1">
        <v>0.574031</v>
      </c>
      <c r="BB448" s="1">
        <v>0.005835</v>
      </c>
      <c r="BC448" s="1">
        <v>0.18424</v>
      </c>
      <c r="BD448" s="1">
        <v>0.021257</v>
      </c>
      <c r="BE448" s="1">
        <v>0.146143</v>
      </c>
      <c r="BF448" s="1">
        <v>0.0</v>
      </c>
      <c r="BG448" s="1">
        <v>0.100974</v>
      </c>
      <c r="BH448" s="1">
        <v>0.0</v>
      </c>
      <c r="BI448" s="1">
        <v>0.163286</v>
      </c>
      <c r="BJ448" s="1">
        <v>0.159229</v>
      </c>
      <c r="BK448" s="1">
        <v>0.082212</v>
      </c>
      <c r="BL448" s="1">
        <v>0.27107</v>
      </c>
      <c r="BM448" s="1">
        <v>0.933</v>
      </c>
      <c r="BN448" s="1">
        <v>0.858</v>
      </c>
      <c r="BO448" s="1">
        <v>0.8838</v>
      </c>
      <c r="BP448" s="1">
        <v>0.549</v>
      </c>
      <c r="BQ448" s="1">
        <v>3.2238</v>
      </c>
      <c r="BR448" s="1">
        <v>0.8578</v>
      </c>
      <c r="BS448" s="1">
        <v>0.036</v>
      </c>
      <c r="BT448" s="1">
        <v>0.079</v>
      </c>
      <c r="BU448" s="1">
        <v>0.85</v>
      </c>
      <c r="BV448" s="1">
        <v>0.965</v>
      </c>
      <c r="BW448" s="1">
        <v>0.102</v>
      </c>
      <c r="BX448" s="1">
        <v>0.876</v>
      </c>
      <c r="BY448" s="1">
        <v>0.589</v>
      </c>
      <c r="BZ448" s="1">
        <v>1.465</v>
      </c>
      <c r="CA448" s="1">
        <v>0.802</v>
      </c>
      <c r="CB448" s="1">
        <v>0.477</v>
      </c>
      <c r="CC448" s="1">
        <v>0.0</v>
      </c>
      <c r="CD448" s="1">
        <v>0.0</v>
      </c>
      <c r="CE448" s="1">
        <v>0.871</v>
      </c>
      <c r="CF448" s="1">
        <v>0.974</v>
      </c>
      <c r="CG448" s="1">
        <v>2.322</v>
      </c>
      <c r="CH448" s="1">
        <v>0.466</v>
      </c>
      <c r="CI448" s="1">
        <v>7.9758</v>
      </c>
      <c r="CJ448" s="1">
        <v>0.7105</v>
      </c>
      <c r="CK448" s="1">
        <v>1.0</v>
      </c>
      <c r="CL448" s="1">
        <v>0.0</v>
      </c>
      <c r="CM448" s="1">
        <v>0.0</v>
      </c>
      <c r="CN448" s="1">
        <v>0.0</v>
      </c>
      <c r="CO448" s="1">
        <v>1.0</v>
      </c>
      <c r="CP448" s="1">
        <v>0.0</v>
      </c>
      <c r="CQ448" s="1">
        <v>0.0</v>
      </c>
      <c r="CR448" s="1">
        <v>0.0</v>
      </c>
      <c r="CS448" s="1">
        <v>0.0</v>
      </c>
      <c r="CT448" s="1">
        <v>0.0</v>
      </c>
      <c r="CU448" s="1">
        <v>0.0</v>
      </c>
      <c r="CV448" s="1">
        <v>0.0</v>
      </c>
      <c r="CW448" s="1">
        <v>0.0</v>
      </c>
      <c r="CX448" s="1">
        <v>0.0</v>
      </c>
      <c r="CY448" s="1">
        <v>0.0</v>
      </c>
      <c r="CZ448" s="1">
        <v>0.0</v>
      </c>
      <c r="DA448" s="1">
        <v>1.0</v>
      </c>
      <c r="DB448" s="1">
        <v>1.0</v>
      </c>
      <c r="DC448" s="1">
        <v>2.0</v>
      </c>
      <c r="DD448" s="1" t="s">
        <v>2195</v>
      </c>
      <c r="DE448" s="1">
        <v>1.30511914039625E-4</v>
      </c>
      <c r="DF448" s="2" t="s">
        <v>2196</v>
      </c>
    </row>
    <row r="449" ht="15.75" customHeight="1">
      <c r="A449" s="1" t="s">
        <v>2197</v>
      </c>
      <c r="B449" s="1">
        <v>29.0</v>
      </c>
      <c r="C449" s="2" t="s">
        <v>2039</v>
      </c>
      <c r="D449" s="2" t="s">
        <v>2198</v>
      </c>
      <c r="E449" s="1">
        <v>0.568</v>
      </c>
      <c r="F449" s="1">
        <v>29095.0</v>
      </c>
      <c r="G449" s="1">
        <v>2.9095008E10</v>
      </c>
      <c r="H449" s="1" t="s">
        <v>112</v>
      </c>
      <c r="I449" s="1" t="s">
        <v>113</v>
      </c>
      <c r="J449" s="1" t="s">
        <v>2041</v>
      </c>
      <c r="K449" s="1" t="s">
        <v>2199</v>
      </c>
      <c r="L449" s="1">
        <v>2933.0</v>
      </c>
      <c r="M449" s="1">
        <v>3087.0</v>
      </c>
      <c r="N449" s="1">
        <v>516.0</v>
      </c>
      <c r="O449" s="1">
        <v>1572.0</v>
      </c>
      <c r="P449" s="1">
        <v>1688.0</v>
      </c>
      <c r="Q449" s="1">
        <v>87.0</v>
      </c>
      <c r="R449" s="1">
        <v>1297.0</v>
      </c>
      <c r="S449" s="1">
        <v>996.0</v>
      </c>
      <c r="T449" s="1">
        <v>423.0</v>
      </c>
      <c r="U449" s="1">
        <v>223.0</v>
      </c>
      <c r="V449" s="1">
        <v>375.0</v>
      </c>
      <c r="W449" s="1">
        <v>15099.0</v>
      </c>
      <c r="X449" s="1">
        <v>2275.0</v>
      </c>
      <c r="Y449" s="1">
        <v>583.0</v>
      </c>
      <c r="Z449" s="1">
        <v>279.0</v>
      </c>
      <c r="AA449" s="1">
        <v>454.0</v>
      </c>
      <c r="AB449" s="1">
        <v>734.0</v>
      </c>
      <c r="AC449" s="1">
        <v>278.0</v>
      </c>
      <c r="AD449" s="1">
        <v>2869.0</v>
      </c>
      <c r="AE449" s="1">
        <v>0.0</v>
      </c>
      <c r="AF449" s="1">
        <v>456.0</v>
      </c>
      <c r="AG449" s="1">
        <v>160.0</v>
      </c>
      <c r="AH449" s="1">
        <v>76.0</v>
      </c>
      <c r="AI449" s="1">
        <v>0.0</v>
      </c>
      <c r="AJ449" s="1">
        <v>114.0</v>
      </c>
      <c r="AK449" s="1">
        <v>23.0</v>
      </c>
      <c r="AL449" s="1">
        <v>119.0</v>
      </c>
      <c r="AM449" s="1">
        <v>342.0</v>
      </c>
      <c r="AN449" s="1">
        <v>101.0</v>
      </c>
      <c r="AO449" s="1">
        <v>4.0</v>
      </c>
      <c r="AP449" s="1">
        <v>0.332221</v>
      </c>
      <c r="AQ449" s="1">
        <v>0.130548</v>
      </c>
      <c r="AR449" s="1">
        <v>0.171012</v>
      </c>
      <c r="AS449" s="1">
        <v>0.284725</v>
      </c>
      <c r="AT449" s="1">
        <v>15099.0</v>
      </c>
      <c r="AU449" s="1">
        <v>2275.0</v>
      </c>
      <c r="AV449" s="1">
        <v>0.290049</v>
      </c>
      <c r="AW449" s="1">
        <v>0.13536</v>
      </c>
      <c r="AX449" s="1">
        <v>0.15479</v>
      </c>
      <c r="AY449" s="1">
        <v>0.250255</v>
      </c>
      <c r="AZ449" s="1">
        <v>0.21434078</v>
      </c>
      <c r="BA449" s="1">
        <v>0.978179</v>
      </c>
      <c r="BB449" s="1">
        <v>0.0</v>
      </c>
      <c r="BC449" s="1">
        <v>0.162104</v>
      </c>
      <c r="BD449" s="1">
        <v>0.094786</v>
      </c>
      <c r="BE449" s="1">
        <v>0.044757</v>
      </c>
      <c r="BF449" s="1">
        <v>0.0</v>
      </c>
      <c r="BG449" s="1">
        <v>0.067535</v>
      </c>
      <c r="BH449" s="1">
        <v>0.017926</v>
      </c>
      <c r="BI449" s="1">
        <v>0.092733</v>
      </c>
      <c r="BJ449" s="1">
        <v>0.266562</v>
      </c>
      <c r="BK449" s="1">
        <v>0.073943</v>
      </c>
      <c r="BL449" s="1">
        <v>0.001363</v>
      </c>
      <c r="BM449" s="1">
        <v>0.913</v>
      </c>
      <c r="BN449" s="1">
        <v>0.923</v>
      </c>
      <c r="BO449" s="1">
        <v>0.8708</v>
      </c>
      <c r="BP449" s="1">
        <v>0.93</v>
      </c>
      <c r="BQ449" s="1">
        <v>3.6368</v>
      </c>
      <c r="BR449" s="1">
        <v>0.9466</v>
      </c>
      <c r="BS449" s="1">
        <v>0.618</v>
      </c>
      <c r="BT449" s="1">
        <v>0.598</v>
      </c>
      <c r="BU449" s="1">
        <v>0.912</v>
      </c>
      <c r="BV449" s="1">
        <v>2.128</v>
      </c>
      <c r="BW449" s="1">
        <v>0.935</v>
      </c>
      <c r="BX449" s="1">
        <v>0.979</v>
      </c>
      <c r="BY449" s="1">
        <v>0.0</v>
      </c>
      <c r="BZ449" s="1">
        <v>0.979</v>
      </c>
      <c r="CA449" s="1">
        <v>0.538</v>
      </c>
      <c r="CB449" s="1">
        <v>0.762</v>
      </c>
      <c r="CC449" s="1">
        <v>0.0</v>
      </c>
      <c r="CD449" s="1">
        <v>0.646</v>
      </c>
      <c r="CE449" s="1">
        <v>0.953</v>
      </c>
      <c r="CF449" s="1">
        <v>0.419</v>
      </c>
      <c r="CG449" s="1">
        <v>2.78</v>
      </c>
      <c r="CH449" s="1">
        <v>0.682</v>
      </c>
      <c r="CI449" s="1">
        <v>9.5238</v>
      </c>
      <c r="CJ449" s="1">
        <v>0.9083</v>
      </c>
      <c r="CK449" s="1">
        <v>1.0</v>
      </c>
      <c r="CL449" s="1">
        <v>1.0</v>
      </c>
      <c r="CM449" s="1">
        <v>0.0</v>
      </c>
      <c r="CN449" s="1">
        <v>1.0</v>
      </c>
      <c r="CO449" s="1">
        <v>3.0</v>
      </c>
      <c r="CP449" s="1">
        <v>0.0</v>
      </c>
      <c r="CQ449" s="1">
        <v>0.0</v>
      </c>
      <c r="CR449" s="1">
        <v>1.0</v>
      </c>
      <c r="CS449" s="1">
        <v>1.0</v>
      </c>
      <c r="CT449" s="1">
        <v>1.0</v>
      </c>
      <c r="CU449" s="1">
        <v>0.0</v>
      </c>
      <c r="CV449" s="1">
        <v>1.0</v>
      </c>
      <c r="CW449" s="1">
        <v>0.0</v>
      </c>
      <c r="CX449" s="1">
        <v>0.0</v>
      </c>
      <c r="CY449" s="1">
        <v>0.0</v>
      </c>
      <c r="CZ449" s="1">
        <v>1.0</v>
      </c>
      <c r="DA449" s="1">
        <v>0.0</v>
      </c>
      <c r="DB449" s="1">
        <v>1.0</v>
      </c>
      <c r="DC449" s="1">
        <v>6.0</v>
      </c>
      <c r="DD449" s="1" t="s">
        <v>2200</v>
      </c>
      <c r="DE449" s="1">
        <v>1.53375981252235E-4</v>
      </c>
      <c r="DF449" s="1">
        <v>0.0535663744606892</v>
      </c>
    </row>
    <row r="450" ht="15.75" customHeight="1">
      <c r="A450" s="1" t="s">
        <v>2201</v>
      </c>
      <c r="B450" s="1">
        <v>29.0</v>
      </c>
      <c r="C450" s="2" t="s">
        <v>2039</v>
      </c>
      <c r="D450" s="2" t="s">
        <v>2202</v>
      </c>
      <c r="E450" s="1">
        <v>0.754</v>
      </c>
      <c r="F450" s="1">
        <v>29095.0</v>
      </c>
      <c r="G450" s="1">
        <v>2.90950084E10</v>
      </c>
      <c r="H450" s="1" t="s">
        <v>112</v>
      </c>
      <c r="I450" s="1" t="s">
        <v>113</v>
      </c>
      <c r="J450" s="1" t="s">
        <v>2041</v>
      </c>
      <c r="K450" s="1" t="s">
        <v>2203</v>
      </c>
      <c r="L450" s="1">
        <v>2751.0</v>
      </c>
      <c r="M450" s="1">
        <v>3035.0</v>
      </c>
      <c r="N450" s="1">
        <v>206.0</v>
      </c>
      <c r="O450" s="1">
        <v>1040.0</v>
      </c>
      <c r="P450" s="1">
        <v>1060.0</v>
      </c>
      <c r="Q450" s="1">
        <v>27.0</v>
      </c>
      <c r="R450" s="1">
        <v>997.0</v>
      </c>
      <c r="S450" s="1">
        <v>72.0</v>
      </c>
      <c r="T450" s="1">
        <v>83.0</v>
      </c>
      <c r="U450" s="1">
        <v>58.0</v>
      </c>
      <c r="V450" s="1">
        <v>473.0</v>
      </c>
      <c r="W450" s="1">
        <v>73459.0</v>
      </c>
      <c r="X450" s="1">
        <v>9804.0</v>
      </c>
      <c r="Y450" s="1">
        <v>30.0</v>
      </c>
      <c r="Z450" s="1">
        <v>412.0</v>
      </c>
      <c r="AA450" s="1">
        <v>343.0</v>
      </c>
      <c r="AB450" s="1">
        <v>794.0</v>
      </c>
      <c r="AC450" s="1">
        <v>39.0</v>
      </c>
      <c r="AD450" s="1">
        <v>189.0</v>
      </c>
      <c r="AE450" s="1">
        <v>0.0</v>
      </c>
      <c r="AF450" s="1">
        <v>456.0</v>
      </c>
      <c r="AG450" s="1">
        <v>0.0</v>
      </c>
      <c r="AH450" s="1">
        <v>197.0</v>
      </c>
      <c r="AI450" s="1">
        <v>0.0</v>
      </c>
      <c r="AJ450" s="1">
        <v>114.0</v>
      </c>
      <c r="AK450" s="1">
        <v>0.0</v>
      </c>
      <c r="AL450" s="1">
        <v>161.0</v>
      </c>
      <c r="AM450" s="1">
        <v>30.0</v>
      </c>
      <c r="AN450" s="1">
        <v>120.0</v>
      </c>
      <c r="AO450" s="1">
        <v>0.0</v>
      </c>
      <c r="AP450" s="1">
        <v>0.023723</v>
      </c>
      <c r="AQ450" s="1">
        <v>0.0273</v>
      </c>
      <c r="AR450" s="1">
        <v>0.039322</v>
      </c>
      <c r="AS450" s="1">
        <v>0.320596</v>
      </c>
      <c r="AT450" s="1">
        <v>73459.0</v>
      </c>
      <c r="AU450" s="1">
        <v>9804.0</v>
      </c>
      <c r="AV450" s="1">
        <v>0.014655</v>
      </c>
      <c r="AW450" s="1">
        <v>0.201268</v>
      </c>
      <c r="AX450" s="1">
        <v>0.124681</v>
      </c>
      <c r="AY450" s="1">
        <v>0.288622</v>
      </c>
      <c r="AZ450" s="1">
        <v>0.03911735</v>
      </c>
      <c r="BA450" s="1">
        <v>0.068702</v>
      </c>
      <c r="BB450" s="1">
        <v>0.0</v>
      </c>
      <c r="BC450" s="1">
        <v>0.160281</v>
      </c>
      <c r="BD450" s="1">
        <v>0.0</v>
      </c>
      <c r="BE450" s="1">
        <v>0.185849</v>
      </c>
      <c r="BF450" s="1">
        <v>0.0</v>
      </c>
      <c r="BG450" s="1">
        <v>0.107547</v>
      </c>
      <c r="BH450" s="1">
        <v>0.0</v>
      </c>
      <c r="BI450" s="1">
        <v>0.151886</v>
      </c>
      <c r="BJ450" s="1">
        <v>0.028301</v>
      </c>
      <c r="BK450" s="1">
        <v>0.113205</v>
      </c>
      <c r="BL450" s="1">
        <v>0.0</v>
      </c>
      <c r="BM450" s="1">
        <v>0.069</v>
      </c>
      <c r="BN450" s="1">
        <v>0.177</v>
      </c>
      <c r="BO450" s="1">
        <v>0.0036</v>
      </c>
      <c r="BP450" s="1">
        <v>0.026</v>
      </c>
      <c r="BQ450" s="1">
        <v>0.2756</v>
      </c>
      <c r="BR450" s="1">
        <v>0.0152</v>
      </c>
      <c r="BS450" s="1">
        <v>0.378</v>
      </c>
      <c r="BT450" s="1">
        <v>0.884</v>
      </c>
      <c r="BU450" s="1">
        <v>0.036</v>
      </c>
      <c r="BV450" s="1">
        <v>1.298</v>
      </c>
      <c r="BW450" s="1">
        <v>0.302</v>
      </c>
      <c r="BX450" s="1">
        <v>0.358</v>
      </c>
      <c r="BY450" s="1">
        <v>0.0</v>
      </c>
      <c r="BZ450" s="1">
        <v>0.358</v>
      </c>
      <c r="CA450" s="1">
        <v>0.149</v>
      </c>
      <c r="CB450" s="1">
        <v>0.0</v>
      </c>
      <c r="CC450" s="1">
        <v>0.0</v>
      </c>
      <c r="CD450" s="1">
        <v>0.0</v>
      </c>
      <c r="CE450" s="1">
        <v>0.271</v>
      </c>
      <c r="CF450" s="1">
        <v>0.0</v>
      </c>
      <c r="CG450" s="1">
        <v>0.271</v>
      </c>
      <c r="CH450" s="1">
        <v>0.014</v>
      </c>
      <c r="CI450" s="1">
        <v>2.2026</v>
      </c>
      <c r="CJ450" s="1">
        <v>0.0036</v>
      </c>
      <c r="CK450" s="1">
        <v>0.0</v>
      </c>
      <c r="CL450" s="1">
        <v>0.0</v>
      </c>
      <c r="CM450" s="1">
        <v>0.0</v>
      </c>
      <c r="CN450" s="1">
        <v>0.0</v>
      </c>
      <c r="CO450" s="1">
        <v>0.0</v>
      </c>
      <c r="CP450" s="1">
        <v>0.0</v>
      </c>
      <c r="CQ450" s="1">
        <v>0.0</v>
      </c>
      <c r="CR450" s="1">
        <v>0.0</v>
      </c>
      <c r="CS450" s="1">
        <v>0.0</v>
      </c>
      <c r="CT450" s="1">
        <v>0.0</v>
      </c>
      <c r="CU450" s="1">
        <v>0.0</v>
      </c>
      <c r="CV450" s="1">
        <v>0.0</v>
      </c>
      <c r="CW450" s="1">
        <v>0.0</v>
      </c>
      <c r="CX450" s="1">
        <v>0.0</v>
      </c>
      <c r="CY450" s="1">
        <v>0.0</v>
      </c>
      <c r="CZ450" s="1">
        <v>0.0</v>
      </c>
      <c r="DA450" s="1">
        <v>0.0</v>
      </c>
      <c r="DB450" s="1">
        <v>0.0</v>
      </c>
      <c r="DC450" s="1">
        <v>0.0</v>
      </c>
      <c r="DD450" s="1" t="s">
        <v>2204</v>
      </c>
      <c r="DE450" s="1">
        <v>2.05432662093681E-4</v>
      </c>
      <c r="DF450" s="2" t="s">
        <v>2205</v>
      </c>
    </row>
    <row r="451" ht="15.75" customHeight="1">
      <c r="A451" s="1" t="s">
        <v>2206</v>
      </c>
      <c r="B451" s="1">
        <v>29.0</v>
      </c>
      <c r="C451" s="2" t="s">
        <v>2039</v>
      </c>
      <c r="D451" s="2" t="s">
        <v>2207</v>
      </c>
      <c r="E451" s="1">
        <v>0.99</v>
      </c>
      <c r="F451" s="1">
        <v>29095.0</v>
      </c>
      <c r="G451" s="1">
        <v>2.9095009E10</v>
      </c>
      <c r="H451" s="1" t="s">
        <v>112</v>
      </c>
      <c r="I451" s="1" t="s">
        <v>113</v>
      </c>
      <c r="J451" s="1" t="s">
        <v>2041</v>
      </c>
      <c r="K451" s="1" t="s">
        <v>2208</v>
      </c>
      <c r="L451" s="1">
        <v>4413.0</v>
      </c>
      <c r="M451" s="1">
        <v>4471.0</v>
      </c>
      <c r="N451" s="1">
        <v>525.0</v>
      </c>
      <c r="O451" s="1">
        <v>1963.0</v>
      </c>
      <c r="P451" s="1">
        <v>2061.0</v>
      </c>
      <c r="Q451" s="1">
        <v>73.0</v>
      </c>
      <c r="R451" s="1">
        <v>1705.0</v>
      </c>
      <c r="S451" s="1">
        <v>706.0</v>
      </c>
      <c r="T451" s="1">
        <v>298.0</v>
      </c>
      <c r="U451" s="1">
        <v>339.0</v>
      </c>
      <c r="V451" s="1">
        <v>344.0</v>
      </c>
      <c r="W451" s="1">
        <v>20752.0</v>
      </c>
      <c r="X451" s="1">
        <v>2001.0</v>
      </c>
      <c r="Y451" s="1">
        <v>404.0</v>
      </c>
      <c r="Z451" s="1">
        <v>243.0</v>
      </c>
      <c r="AA451" s="1">
        <v>494.0</v>
      </c>
      <c r="AB451" s="1">
        <v>1110.0</v>
      </c>
      <c r="AC451" s="1">
        <v>374.0</v>
      </c>
      <c r="AD451" s="1">
        <v>4085.0</v>
      </c>
      <c r="AE451" s="1">
        <v>12.0</v>
      </c>
      <c r="AF451" s="1">
        <v>427.0</v>
      </c>
      <c r="AG451" s="1">
        <v>69.0</v>
      </c>
      <c r="AH451" s="1">
        <v>76.0</v>
      </c>
      <c r="AI451" s="1">
        <v>0.0</v>
      </c>
      <c r="AJ451" s="1">
        <v>114.0</v>
      </c>
      <c r="AK451" s="1">
        <v>23.0</v>
      </c>
      <c r="AL451" s="1">
        <v>117.0</v>
      </c>
      <c r="AM451" s="1">
        <v>232.0</v>
      </c>
      <c r="AN451" s="1">
        <v>100.0</v>
      </c>
      <c r="AO451" s="1">
        <v>7.0</v>
      </c>
      <c r="AP451" s="1">
        <v>0.160746</v>
      </c>
      <c r="AQ451" s="1">
        <v>0.065447</v>
      </c>
      <c r="AR451" s="1">
        <v>0.150733</v>
      </c>
      <c r="AS451" s="1">
        <v>0.151483</v>
      </c>
      <c r="AT451" s="1">
        <v>20752.0</v>
      </c>
      <c r="AU451" s="1">
        <v>2001.0</v>
      </c>
      <c r="AV451" s="1">
        <v>0.137649</v>
      </c>
      <c r="AW451" s="1">
        <v>0.081827</v>
      </c>
      <c r="AX451" s="1">
        <v>0.111941</v>
      </c>
      <c r="AY451" s="1">
        <v>0.251529</v>
      </c>
      <c r="AZ451" s="1">
        <v>0.21935483</v>
      </c>
      <c r="BA451" s="1">
        <v>0.925674</v>
      </c>
      <c r="BB451" s="1">
        <v>0.002814</v>
      </c>
      <c r="BC451" s="1">
        <v>0.100163</v>
      </c>
      <c r="BD451" s="1">
        <v>0.033478</v>
      </c>
      <c r="BE451" s="1">
        <v>0.036856</v>
      </c>
      <c r="BF451" s="1">
        <v>0.0</v>
      </c>
      <c r="BG451" s="1">
        <v>0.055312</v>
      </c>
      <c r="BH451" s="1">
        <v>0.013379</v>
      </c>
      <c r="BI451" s="1">
        <v>0.06805</v>
      </c>
      <c r="BJ451" s="1">
        <v>0.134962</v>
      </c>
      <c r="BK451" s="1">
        <v>0.056694</v>
      </c>
      <c r="BL451" s="1">
        <v>0.001586</v>
      </c>
      <c r="BM451" s="1">
        <v>0.612</v>
      </c>
      <c r="BN451" s="1">
        <v>0.9</v>
      </c>
      <c r="BO451" s="1">
        <v>0.5682</v>
      </c>
      <c r="BP451" s="1">
        <v>0.51</v>
      </c>
      <c r="BQ451" s="1">
        <v>2.5902</v>
      </c>
      <c r="BR451" s="1">
        <v>0.6982</v>
      </c>
      <c r="BS451" s="1">
        <v>0.286</v>
      </c>
      <c r="BT451" s="1">
        <v>0.62</v>
      </c>
      <c r="BU451" s="1">
        <v>0.917</v>
      </c>
      <c r="BV451" s="1">
        <v>1.823</v>
      </c>
      <c r="BW451" s="1">
        <v>0.741</v>
      </c>
      <c r="BX451" s="1">
        <v>0.948</v>
      </c>
      <c r="BY451" s="1">
        <v>0.438</v>
      </c>
      <c r="BZ451" s="1">
        <v>1.386</v>
      </c>
      <c r="CA451" s="1">
        <v>0.76</v>
      </c>
      <c r="CB451" s="1">
        <v>0.567</v>
      </c>
      <c r="CC451" s="1">
        <v>0.0</v>
      </c>
      <c r="CD451" s="1">
        <v>0.561</v>
      </c>
      <c r="CE451" s="1">
        <v>0.838</v>
      </c>
      <c r="CF451" s="1">
        <v>0.428</v>
      </c>
      <c r="CG451" s="1">
        <v>2.394</v>
      </c>
      <c r="CH451" s="1">
        <v>0.512</v>
      </c>
      <c r="CI451" s="1">
        <v>8.1932</v>
      </c>
      <c r="CJ451" s="1">
        <v>0.7422</v>
      </c>
      <c r="CK451" s="1">
        <v>0.0</v>
      </c>
      <c r="CL451" s="1">
        <v>1.0</v>
      </c>
      <c r="CM451" s="1">
        <v>0.0</v>
      </c>
      <c r="CN451" s="1">
        <v>0.0</v>
      </c>
      <c r="CO451" s="1">
        <v>1.0</v>
      </c>
      <c r="CP451" s="1">
        <v>0.0</v>
      </c>
      <c r="CQ451" s="1">
        <v>0.0</v>
      </c>
      <c r="CR451" s="1">
        <v>1.0</v>
      </c>
      <c r="CS451" s="1">
        <v>1.0</v>
      </c>
      <c r="CT451" s="1">
        <v>1.0</v>
      </c>
      <c r="CU451" s="1">
        <v>0.0</v>
      </c>
      <c r="CV451" s="1">
        <v>1.0</v>
      </c>
      <c r="CW451" s="1">
        <v>0.0</v>
      </c>
      <c r="CX451" s="1">
        <v>0.0</v>
      </c>
      <c r="CY451" s="1">
        <v>0.0</v>
      </c>
      <c r="CZ451" s="1">
        <v>0.0</v>
      </c>
      <c r="DA451" s="1">
        <v>0.0</v>
      </c>
      <c r="DB451" s="1">
        <v>0.0</v>
      </c>
      <c r="DC451" s="1">
        <v>3.0</v>
      </c>
      <c r="DD451" s="1" t="s">
        <v>2209</v>
      </c>
      <c r="DE451" s="1">
        <v>2.66706442775028E-4</v>
      </c>
      <c r="DF451" s="1">
        <v>0.0658281216257769</v>
      </c>
    </row>
    <row r="452" ht="15.75" customHeight="1">
      <c r="A452" s="1" t="s">
        <v>2210</v>
      </c>
      <c r="B452" s="1">
        <v>29.0</v>
      </c>
      <c r="C452" s="2" t="s">
        <v>2039</v>
      </c>
      <c r="D452" s="2" t="s">
        <v>2211</v>
      </c>
      <c r="E452" s="1">
        <v>0.532</v>
      </c>
      <c r="F452" s="1">
        <v>29095.0</v>
      </c>
      <c r="G452" s="1">
        <v>2.90950097E10</v>
      </c>
      <c r="H452" s="1" t="s">
        <v>112</v>
      </c>
      <c r="I452" s="1" t="s">
        <v>113</v>
      </c>
      <c r="J452" s="1" t="s">
        <v>2041</v>
      </c>
      <c r="K452" s="1" t="s">
        <v>2212</v>
      </c>
      <c r="L452" s="1">
        <v>1473.0</v>
      </c>
      <c r="M452" s="1">
        <v>1424.0</v>
      </c>
      <c r="N452" s="1">
        <v>340.0</v>
      </c>
      <c r="O452" s="1">
        <v>868.0</v>
      </c>
      <c r="P452" s="1">
        <v>907.0</v>
      </c>
      <c r="Q452" s="1">
        <v>48.0</v>
      </c>
      <c r="R452" s="1">
        <v>693.0</v>
      </c>
      <c r="S452" s="1">
        <v>432.0</v>
      </c>
      <c r="T452" s="1">
        <v>196.0</v>
      </c>
      <c r="U452" s="1">
        <v>89.0</v>
      </c>
      <c r="V452" s="1">
        <v>460.0</v>
      </c>
      <c r="W452" s="1">
        <v>14462.0</v>
      </c>
      <c r="X452" s="1">
        <v>3335.0</v>
      </c>
      <c r="Y452" s="1">
        <v>125.0</v>
      </c>
      <c r="Z452" s="1">
        <v>388.0</v>
      </c>
      <c r="AA452" s="1">
        <v>59.0</v>
      </c>
      <c r="AB452" s="1">
        <v>416.0</v>
      </c>
      <c r="AC452" s="1">
        <v>173.0</v>
      </c>
      <c r="AD452" s="1">
        <v>1153.0</v>
      </c>
      <c r="AE452" s="1">
        <v>33.0</v>
      </c>
      <c r="AF452" s="1">
        <v>443.0</v>
      </c>
      <c r="AG452" s="1">
        <v>155.0</v>
      </c>
      <c r="AH452" s="1">
        <v>95.0</v>
      </c>
      <c r="AI452" s="1">
        <v>0.0</v>
      </c>
      <c r="AJ452" s="1">
        <v>114.0</v>
      </c>
      <c r="AK452" s="1">
        <v>11.0</v>
      </c>
      <c r="AL452" s="1">
        <v>115.0</v>
      </c>
      <c r="AM452" s="1">
        <v>157.0</v>
      </c>
      <c r="AN452" s="1">
        <v>147.0</v>
      </c>
      <c r="AO452" s="1">
        <v>0.0</v>
      </c>
      <c r="AP452" s="1">
        <v>0.30337</v>
      </c>
      <c r="AQ452" s="1">
        <v>0.117039</v>
      </c>
      <c r="AR452" s="1">
        <v>0.107617</v>
      </c>
      <c r="AS452" s="1">
        <v>0.554685</v>
      </c>
      <c r="AT452" s="1">
        <v>14462.0</v>
      </c>
      <c r="AU452" s="1">
        <v>3335.0</v>
      </c>
      <c r="AV452" s="1">
        <v>0.147405</v>
      </c>
      <c r="AW452" s="1">
        <v>0.45644</v>
      </c>
      <c r="AX452" s="1">
        <v>0.040054</v>
      </c>
      <c r="AY452" s="1">
        <v>0.282416</v>
      </c>
      <c r="AZ452" s="1">
        <v>0.24963924</v>
      </c>
      <c r="BA452" s="1">
        <v>0.782756</v>
      </c>
      <c r="BB452" s="1">
        <v>0.025114</v>
      </c>
      <c r="BC452" s="1">
        <v>0.337095</v>
      </c>
      <c r="BD452" s="1">
        <v>0.170893</v>
      </c>
      <c r="BE452" s="1">
        <v>0.104349</v>
      </c>
      <c r="BF452" s="1">
        <v>0.0</v>
      </c>
      <c r="BG452" s="1">
        <v>0.125689</v>
      </c>
      <c r="BH452" s="1">
        <v>0.014824</v>
      </c>
      <c r="BI452" s="1">
        <v>0.154976</v>
      </c>
      <c r="BJ452" s="1">
        <v>0.21159</v>
      </c>
      <c r="BK452" s="1">
        <v>0.196443</v>
      </c>
      <c r="BL452" s="1">
        <v>0.0</v>
      </c>
      <c r="BM452" s="1">
        <v>0.888</v>
      </c>
      <c r="BN452" s="1">
        <v>0.776</v>
      </c>
      <c r="BO452" s="1">
        <v>0.8953</v>
      </c>
      <c r="BP452" s="1">
        <v>0.557</v>
      </c>
      <c r="BQ452" s="1">
        <v>3.1163</v>
      </c>
      <c r="BR452" s="1">
        <v>0.8289</v>
      </c>
      <c r="BS452" s="1">
        <v>0.017</v>
      </c>
      <c r="BT452" s="1">
        <v>0.857</v>
      </c>
      <c r="BU452" s="1">
        <v>0.946</v>
      </c>
      <c r="BV452" s="1">
        <v>1.82</v>
      </c>
      <c r="BW452" s="1">
        <v>0.736</v>
      </c>
      <c r="BX452" s="1">
        <v>0.92</v>
      </c>
      <c r="BY452" s="1">
        <v>0.892</v>
      </c>
      <c r="BZ452" s="1">
        <v>1.812</v>
      </c>
      <c r="CA452" s="1">
        <v>0.968</v>
      </c>
      <c r="CB452" s="1">
        <v>0.868</v>
      </c>
      <c r="CC452" s="1">
        <v>0.0</v>
      </c>
      <c r="CD452" s="1">
        <v>0.592</v>
      </c>
      <c r="CE452" s="1">
        <v>0.915</v>
      </c>
      <c r="CF452" s="1">
        <v>0.0</v>
      </c>
      <c r="CG452" s="1">
        <v>2.375</v>
      </c>
      <c r="CH452" s="1">
        <v>0.5</v>
      </c>
      <c r="CI452" s="1">
        <v>9.1233</v>
      </c>
      <c r="CJ452" s="1">
        <v>0.8679</v>
      </c>
      <c r="CK452" s="1">
        <v>0.0</v>
      </c>
      <c r="CL452" s="1">
        <v>0.0</v>
      </c>
      <c r="CM452" s="1">
        <v>0.0</v>
      </c>
      <c r="CN452" s="1">
        <v>0.0</v>
      </c>
      <c r="CO452" s="1">
        <v>0.0</v>
      </c>
      <c r="CP452" s="1">
        <v>0.0</v>
      </c>
      <c r="CQ452" s="1">
        <v>0.0</v>
      </c>
      <c r="CR452" s="1">
        <v>1.0</v>
      </c>
      <c r="CS452" s="1">
        <v>1.0</v>
      </c>
      <c r="CT452" s="1">
        <v>1.0</v>
      </c>
      <c r="CU452" s="1">
        <v>0.0</v>
      </c>
      <c r="CV452" s="1">
        <v>1.0</v>
      </c>
      <c r="CW452" s="1">
        <v>0.0</v>
      </c>
      <c r="CX452" s="1">
        <v>0.0</v>
      </c>
      <c r="CY452" s="1">
        <v>0.0</v>
      </c>
      <c r="CZ452" s="1">
        <v>1.0</v>
      </c>
      <c r="DA452" s="1">
        <v>0.0</v>
      </c>
      <c r="DB452" s="1">
        <v>1.0</v>
      </c>
      <c r="DC452" s="1">
        <v>3.0</v>
      </c>
      <c r="DD452" s="1" t="s">
        <v>2213</v>
      </c>
      <c r="DE452" s="1">
        <v>1.41858558868421E-4</v>
      </c>
      <c r="DF452" s="1">
        <v>0.0661846226498429</v>
      </c>
    </row>
    <row r="453" ht="15.75" customHeight="1">
      <c r="A453" s="1" t="s">
        <v>2214</v>
      </c>
      <c r="B453" s="1">
        <v>29.0</v>
      </c>
      <c r="C453" s="2" t="s">
        <v>2039</v>
      </c>
      <c r="D453" s="2" t="s">
        <v>2215</v>
      </c>
      <c r="E453" s="1">
        <v>0.863</v>
      </c>
      <c r="F453" s="1">
        <v>29095.0</v>
      </c>
      <c r="G453" s="1">
        <v>2.90950099E10</v>
      </c>
      <c r="H453" s="1" t="s">
        <v>112</v>
      </c>
      <c r="I453" s="1" t="s">
        <v>113</v>
      </c>
      <c r="J453" s="1" t="s">
        <v>2041</v>
      </c>
      <c r="K453" s="1" t="s">
        <v>2216</v>
      </c>
      <c r="L453" s="1">
        <v>2187.0</v>
      </c>
      <c r="M453" s="1">
        <v>2217.0</v>
      </c>
      <c r="N453" s="1">
        <v>329.0</v>
      </c>
      <c r="O453" s="1">
        <v>1117.0</v>
      </c>
      <c r="P453" s="1">
        <v>1141.0</v>
      </c>
      <c r="Q453" s="1">
        <v>35.0</v>
      </c>
      <c r="R453" s="1">
        <v>1061.0</v>
      </c>
      <c r="S453" s="1">
        <v>36.0</v>
      </c>
      <c r="T453" s="1">
        <v>39.0</v>
      </c>
      <c r="U453" s="1">
        <v>59.0</v>
      </c>
      <c r="V453" s="1">
        <v>473.0</v>
      </c>
      <c r="W453" s="1">
        <v>30965.0</v>
      </c>
      <c r="X453" s="1">
        <v>3308.0</v>
      </c>
      <c r="Y453" s="1">
        <v>136.0</v>
      </c>
      <c r="Z453" s="1">
        <v>331.0</v>
      </c>
      <c r="AA453" s="1">
        <v>398.0</v>
      </c>
      <c r="AB453" s="1">
        <v>354.0</v>
      </c>
      <c r="AC453" s="1">
        <v>76.0</v>
      </c>
      <c r="AD453" s="1">
        <v>464.0</v>
      </c>
      <c r="AE453" s="1">
        <v>31.0</v>
      </c>
      <c r="AF453" s="1">
        <v>444.0</v>
      </c>
      <c r="AG453" s="1">
        <v>90.0</v>
      </c>
      <c r="AH453" s="1">
        <v>133.0</v>
      </c>
      <c r="AI453" s="1">
        <v>0.0</v>
      </c>
      <c r="AJ453" s="1">
        <v>114.0</v>
      </c>
      <c r="AK453" s="1">
        <v>21.0</v>
      </c>
      <c r="AL453" s="1">
        <v>119.0</v>
      </c>
      <c r="AM453" s="1">
        <v>44.0</v>
      </c>
      <c r="AN453" s="1">
        <v>34.0</v>
      </c>
      <c r="AO453" s="1">
        <v>2.0</v>
      </c>
      <c r="AP453" s="1">
        <v>0.016238</v>
      </c>
      <c r="AQ453" s="1">
        <v>0.017425</v>
      </c>
      <c r="AR453" s="1">
        <v>0.045524</v>
      </c>
      <c r="AS453" s="1">
        <v>0.36483</v>
      </c>
      <c r="AT453" s="1">
        <v>30965.0</v>
      </c>
      <c r="AU453" s="1">
        <v>3308.0</v>
      </c>
      <c r="AV453" s="1">
        <v>0.075388</v>
      </c>
      <c r="AW453" s="1">
        <v>0.183301</v>
      </c>
      <c r="AX453" s="1">
        <v>0.181984</v>
      </c>
      <c r="AY453" s="1">
        <v>0.161865</v>
      </c>
      <c r="AZ453" s="1">
        <v>0.07163053</v>
      </c>
      <c r="BA453" s="1">
        <v>0.212162</v>
      </c>
      <c r="BB453" s="1">
        <v>0.014365</v>
      </c>
      <c r="BC453" s="1">
        <v>0.205735</v>
      </c>
      <c r="BD453" s="1">
        <v>0.078878</v>
      </c>
      <c r="BE453" s="1">
        <v>0.116539</v>
      </c>
      <c r="BF453" s="1">
        <v>0.0</v>
      </c>
      <c r="BG453" s="1">
        <v>0.099912</v>
      </c>
      <c r="BH453" s="1">
        <v>0.019571</v>
      </c>
      <c r="BI453" s="1">
        <v>0.110896</v>
      </c>
      <c r="BJ453" s="1">
        <v>0.041006</v>
      </c>
      <c r="BK453" s="1">
        <v>0.03157</v>
      </c>
      <c r="BL453" s="1">
        <v>9.14E-4</v>
      </c>
      <c r="BM453" s="1">
        <v>0.041</v>
      </c>
      <c r="BN453" s="1">
        <v>0.244</v>
      </c>
      <c r="BO453" s="1">
        <v>0.1769</v>
      </c>
      <c r="BP453" s="1">
        <v>0.224</v>
      </c>
      <c r="BQ453" s="1">
        <v>0.6859</v>
      </c>
      <c r="BR453" s="1">
        <v>0.1191</v>
      </c>
      <c r="BS453" s="1">
        <v>0.805</v>
      </c>
      <c r="BT453" s="1">
        <v>0.084</v>
      </c>
      <c r="BU453" s="1">
        <v>0.23</v>
      </c>
      <c r="BV453" s="1">
        <v>1.119</v>
      </c>
      <c r="BW453" s="1">
        <v>0.181</v>
      </c>
      <c r="BX453" s="1">
        <v>0.724</v>
      </c>
      <c r="BY453" s="1">
        <v>0.8</v>
      </c>
      <c r="BZ453" s="1">
        <v>1.524</v>
      </c>
      <c r="CA453" s="1">
        <v>0.843</v>
      </c>
      <c r="CB453" s="1">
        <v>0.73</v>
      </c>
      <c r="CC453" s="1">
        <v>0.0</v>
      </c>
      <c r="CD453" s="1">
        <v>0.676</v>
      </c>
      <c r="CE453" s="1">
        <v>0.398</v>
      </c>
      <c r="CF453" s="1">
        <v>0.392</v>
      </c>
      <c r="CG453" s="1">
        <v>2.196</v>
      </c>
      <c r="CH453" s="1">
        <v>0.417</v>
      </c>
      <c r="CI453" s="1">
        <v>5.5249</v>
      </c>
      <c r="CJ453" s="1">
        <v>0.2874</v>
      </c>
      <c r="CK453" s="1">
        <v>0.0</v>
      </c>
      <c r="CL453" s="1">
        <v>0.0</v>
      </c>
      <c r="CM453" s="1">
        <v>0.0</v>
      </c>
      <c r="CN453" s="1">
        <v>0.0</v>
      </c>
      <c r="CO453" s="1">
        <v>0.0</v>
      </c>
      <c r="CP453" s="1">
        <v>0.0</v>
      </c>
      <c r="CQ453" s="1">
        <v>0.0</v>
      </c>
      <c r="CR453" s="1">
        <v>0.0</v>
      </c>
      <c r="CS453" s="1">
        <v>0.0</v>
      </c>
      <c r="CT453" s="1">
        <v>0.0</v>
      </c>
      <c r="CU453" s="1">
        <v>0.0</v>
      </c>
      <c r="CV453" s="1">
        <v>0.0</v>
      </c>
      <c r="CW453" s="1">
        <v>0.0</v>
      </c>
      <c r="CX453" s="1">
        <v>0.0</v>
      </c>
      <c r="CY453" s="1">
        <v>0.0</v>
      </c>
      <c r="CZ453" s="1">
        <v>0.0</v>
      </c>
      <c r="DA453" s="1">
        <v>0.0</v>
      </c>
      <c r="DB453" s="1">
        <v>0.0</v>
      </c>
      <c r="DC453" s="1">
        <v>0.0</v>
      </c>
      <c r="DD453" s="1" t="s">
        <v>2217</v>
      </c>
      <c r="DE453" s="1">
        <v>2.33746287178464E-4</v>
      </c>
      <c r="DF453" s="1">
        <v>0.0618505003350243</v>
      </c>
    </row>
    <row r="454" ht="15.75" customHeight="1">
      <c r="A454" s="1" t="s">
        <v>2218</v>
      </c>
      <c r="B454" s="1">
        <v>29.0</v>
      </c>
      <c r="C454" s="2" t="s">
        <v>2039</v>
      </c>
      <c r="D454" s="2" t="s">
        <v>2219</v>
      </c>
      <c r="E454" s="1">
        <v>2.189</v>
      </c>
      <c r="F454" s="1">
        <v>29095.0</v>
      </c>
      <c r="G454" s="1">
        <v>2.9095010204E10</v>
      </c>
      <c r="H454" s="1" t="s">
        <v>112</v>
      </c>
      <c r="I454" s="1" t="s">
        <v>113</v>
      </c>
      <c r="J454" s="1" t="s">
        <v>2041</v>
      </c>
      <c r="K454" s="1" t="s">
        <v>2220</v>
      </c>
      <c r="L454" s="1">
        <v>4475.0</v>
      </c>
      <c r="M454" s="1">
        <v>5337.0</v>
      </c>
      <c r="N454" s="1">
        <v>481.0</v>
      </c>
      <c r="O454" s="1">
        <v>2158.0</v>
      </c>
      <c r="P454" s="1">
        <v>2164.0</v>
      </c>
      <c r="Q454" s="1">
        <v>55.0</v>
      </c>
      <c r="R454" s="1">
        <v>1955.0</v>
      </c>
      <c r="S454" s="1">
        <v>1190.0</v>
      </c>
      <c r="T454" s="1">
        <v>474.0</v>
      </c>
      <c r="U454" s="1">
        <v>138.0</v>
      </c>
      <c r="V454" s="1">
        <v>437.0</v>
      </c>
      <c r="W454" s="1">
        <v>21473.0</v>
      </c>
      <c r="X454" s="1">
        <v>3261.0</v>
      </c>
      <c r="Y454" s="1">
        <v>664.0</v>
      </c>
      <c r="Z454" s="1">
        <v>392.0</v>
      </c>
      <c r="AA454" s="1">
        <v>453.0</v>
      </c>
      <c r="AB454" s="1">
        <v>893.0</v>
      </c>
      <c r="AC454" s="1">
        <v>218.0</v>
      </c>
      <c r="AD454" s="1">
        <v>1767.0</v>
      </c>
      <c r="AE454" s="1">
        <v>321.0</v>
      </c>
      <c r="AF454" s="1">
        <v>480.0</v>
      </c>
      <c r="AG454" s="1">
        <v>295.0</v>
      </c>
      <c r="AH454" s="1">
        <v>117.0</v>
      </c>
      <c r="AI454" s="1">
        <v>0.0</v>
      </c>
      <c r="AJ454" s="1">
        <v>114.0</v>
      </c>
      <c r="AK454" s="1">
        <v>35.0</v>
      </c>
      <c r="AL454" s="1">
        <v>120.0</v>
      </c>
      <c r="AM454" s="1">
        <v>21.0</v>
      </c>
      <c r="AN454" s="1">
        <v>118.0</v>
      </c>
      <c r="AO454" s="1">
        <v>4.0</v>
      </c>
      <c r="AP454" s="1">
        <v>0.222971</v>
      </c>
      <c r="AQ454" s="1">
        <v>0.08651</v>
      </c>
      <c r="AR454" s="1">
        <v>0.045186</v>
      </c>
      <c r="AS454" s="1">
        <v>0.142838</v>
      </c>
      <c r="AT454" s="1">
        <v>21473.0</v>
      </c>
      <c r="AU454" s="1">
        <v>3261.0</v>
      </c>
      <c r="AV454" s="1">
        <v>0.185838</v>
      </c>
      <c r="AW454" s="1">
        <v>0.10666</v>
      </c>
      <c r="AX454" s="1">
        <v>0.101229</v>
      </c>
      <c r="AY454" s="1">
        <v>0.199553</v>
      </c>
      <c r="AZ454" s="1">
        <v>0.11150895</v>
      </c>
      <c r="BA454" s="1">
        <v>0.39486</v>
      </c>
      <c r="BB454" s="1">
        <v>0.063614</v>
      </c>
      <c r="BC454" s="1">
        <v>0.094931</v>
      </c>
      <c r="BD454" s="1">
        <v>0.136321</v>
      </c>
      <c r="BE454" s="1">
        <v>0.053955</v>
      </c>
      <c r="BF454" s="1">
        <v>0.0</v>
      </c>
      <c r="BG454" s="1">
        <v>0.05268</v>
      </c>
      <c r="BH454" s="1">
        <v>0.017343</v>
      </c>
      <c r="BI454" s="1">
        <v>0.059456</v>
      </c>
      <c r="BJ454" s="1">
        <v>0.010406</v>
      </c>
      <c r="BK454" s="1">
        <v>0.05847</v>
      </c>
      <c r="BL454" s="1">
        <v>8.93E-4</v>
      </c>
      <c r="BM454" s="1">
        <v>0.776</v>
      </c>
      <c r="BN454" s="1">
        <v>0.241</v>
      </c>
      <c r="BO454" s="1">
        <v>0.5227</v>
      </c>
      <c r="BP454" s="1">
        <v>0.707</v>
      </c>
      <c r="BQ454" s="1">
        <v>2.2467</v>
      </c>
      <c r="BR454" s="1">
        <v>0.5827</v>
      </c>
      <c r="BS454" s="1">
        <v>0.218</v>
      </c>
      <c r="BT454" s="1">
        <v>0.184</v>
      </c>
      <c r="BU454" s="1">
        <v>0.597</v>
      </c>
      <c r="BV454" s="1">
        <v>0.999</v>
      </c>
      <c r="BW454" s="1">
        <v>0.116</v>
      </c>
      <c r="BX454" s="1">
        <v>0.84</v>
      </c>
      <c r="BY454" s="1">
        <v>0.97</v>
      </c>
      <c r="BZ454" s="1">
        <v>1.81</v>
      </c>
      <c r="CA454" s="1">
        <v>0.967</v>
      </c>
      <c r="CB454" s="1">
        <v>0.821</v>
      </c>
      <c r="CC454" s="1">
        <v>0.0</v>
      </c>
      <c r="CD454" s="1">
        <v>0.635</v>
      </c>
      <c r="CE454" s="1">
        <v>0.092</v>
      </c>
      <c r="CF454" s="1">
        <v>0.389</v>
      </c>
      <c r="CG454" s="1">
        <v>1.937</v>
      </c>
      <c r="CH454" s="1">
        <v>0.32</v>
      </c>
      <c r="CI454" s="1">
        <v>6.9927</v>
      </c>
      <c r="CJ454" s="1">
        <v>0.5444</v>
      </c>
      <c r="CK454" s="1">
        <v>0.0</v>
      </c>
      <c r="CL454" s="1">
        <v>0.0</v>
      </c>
      <c r="CM454" s="1">
        <v>0.0</v>
      </c>
      <c r="CN454" s="1">
        <v>0.0</v>
      </c>
      <c r="CO454" s="1">
        <v>0.0</v>
      </c>
      <c r="CP454" s="1">
        <v>0.0</v>
      </c>
      <c r="CQ454" s="1">
        <v>0.0</v>
      </c>
      <c r="CR454" s="1">
        <v>0.0</v>
      </c>
      <c r="CS454" s="1">
        <v>0.0</v>
      </c>
      <c r="CT454" s="1">
        <v>0.0</v>
      </c>
      <c r="CU454" s="1">
        <v>1.0</v>
      </c>
      <c r="CV454" s="1">
        <v>1.0</v>
      </c>
      <c r="CW454" s="1">
        <v>0.0</v>
      </c>
      <c r="CX454" s="1">
        <v>0.0</v>
      </c>
      <c r="CY454" s="1">
        <v>0.0</v>
      </c>
      <c r="CZ454" s="1">
        <v>0.0</v>
      </c>
      <c r="DA454" s="1">
        <v>0.0</v>
      </c>
      <c r="DB454" s="1">
        <v>0.0</v>
      </c>
      <c r="DC454" s="1">
        <v>1.0</v>
      </c>
      <c r="DD454" s="1" t="s">
        <v>2221</v>
      </c>
      <c r="DE454" s="1">
        <v>6.10147991888994E-4</v>
      </c>
      <c r="DF454" s="2" t="s">
        <v>2222</v>
      </c>
    </row>
    <row r="455" ht="15.75" customHeight="1">
      <c r="A455" s="1" t="s">
        <v>2223</v>
      </c>
      <c r="B455" s="1">
        <v>29.0</v>
      </c>
      <c r="C455" s="2" t="s">
        <v>2039</v>
      </c>
      <c r="D455" s="2" t="s">
        <v>2224</v>
      </c>
      <c r="E455" s="1">
        <v>1.1</v>
      </c>
      <c r="F455" s="1">
        <v>29095.0</v>
      </c>
      <c r="G455" s="1">
        <v>2.90950112E10</v>
      </c>
      <c r="H455" s="1" t="s">
        <v>112</v>
      </c>
      <c r="I455" s="1" t="s">
        <v>113</v>
      </c>
      <c r="J455" s="1" t="s">
        <v>2041</v>
      </c>
      <c r="K455" s="1" t="s">
        <v>2225</v>
      </c>
      <c r="L455" s="1">
        <v>3153.0</v>
      </c>
      <c r="M455" s="1">
        <v>2923.0</v>
      </c>
      <c r="N455" s="1">
        <v>289.0</v>
      </c>
      <c r="O455" s="1">
        <v>1351.0</v>
      </c>
      <c r="P455" s="1">
        <v>1329.0</v>
      </c>
      <c r="Q455" s="1">
        <v>26.0</v>
      </c>
      <c r="R455" s="1">
        <v>1194.0</v>
      </c>
      <c r="S455" s="1">
        <v>347.0</v>
      </c>
      <c r="T455" s="1">
        <v>223.0</v>
      </c>
      <c r="U455" s="1">
        <v>57.0</v>
      </c>
      <c r="V455" s="1">
        <v>472.0</v>
      </c>
      <c r="W455" s="1">
        <v>18851.0</v>
      </c>
      <c r="X455" s="1">
        <v>1742.0</v>
      </c>
      <c r="Y455" s="1">
        <v>313.0</v>
      </c>
      <c r="Z455" s="1">
        <v>228.0</v>
      </c>
      <c r="AA455" s="1">
        <v>488.0</v>
      </c>
      <c r="AB455" s="1">
        <v>800.0</v>
      </c>
      <c r="AC455" s="1">
        <v>183.0</v>
      </c>
      <c r="AD455" s="1">
        <v>500.0</v>
      </c>
      <c r="AE455" s="1">
        <v>0.0</v>
      </c>
      <c r="AF455" s="1">
        <v>456.0</v>
      </c>
      <c r="AG455" s="1">
        <v>0.0</v>
      </c>
      <c r="AH455" s="1">
        <v>197.0</v>
      </c>
      <c r="AI455" s="1">
        <v>0.0</v>
      </c>
      <c r="AJ455" s="1">
        <v>114.0</v>
      </c>
      <c r="AK455" s="1">
        <v>0.0</v>
      </c>
      <c r="AL455" s="1">
        <v>161.0</v>
      </c>
      <c r="AM455" s="1">
        <v>41.0</v>
      </c>
      <c r="AN455" s="1">
        <v>36.0</v>
      </c>
      <c r="AO455" s="1">
        <v>8.0</v>
      </c>
      <c r="AP455" s="1">
        <v>0.118713</v>
      </c>
      <c r="AQ455" s="1">
        <v>0.075383</v>
      </c>
      <c r="AR455" s="1">
        <v>0.040569</v>
      </c>
      <c r="AS455" s="1">
        <v>0.33584</v>
      </c>
      <c r="AT455" s="1">
        <v>18851.0</v>
      </c>
      <c r="AU455" s="1">
        <v>1742.0</v>
      </c>
      <c r="AV455" s="1">
        <v>0.164477</v>
      </c>
      <c r="AW455" s="1">
        <v>0.118374</v>
      </c>
      <c r="AX455" s="1">
        <v>0.154773</v>
      </c>
      <c r="AY455" s="1">
        <v>0.253726</v>
      </c>
      <c r="AZ455" s="1">
        <v>0.15326633</v>
      </c>
      <c r="BA455" s="1">
        <v>0.158579</v>
      </c>
      <c r="BB455" s="1">
        <v>0.0</v>
      </c>
      <c r="BC455" s="1">
        <v>0.16612</v>
      </c>
      <c r="BD455" s="1">
        <v>0.0</v>
      </c>
      <c r="BE455" s="1">
        <v>0.148231</v>
      </c>
      <c r="BF455" s="1">
        <v>0.0</v>
      </c>
      <c r="BG455" s="1">
        <v>0.085778</v>
      </c>
      <c r="BH455" s="1">
        <v>0.0</v>
      </c>
      <c r="BI455" s="1">
        <v>0.145175</v>
      </c>
      <c r="BJ455" s="1">
        <v>0.03697</v>
      </c>
      <c r="BK455" s="1">
        <v>0.032265</v>
      </c>
      <c r="BL455" s="1">
        <v>0.002537</v>
      </c>
      <c r="BM455" s="1">
        <v>0.45</v>
      </c>
      <c r="BN455" s="1">
        <v>0.185</v>
      </c>
      <c r="BO455" s="1">
        <v>0.6801</v>
      </c>
      <c r="BP455" s="1">
        <v>0.631</v>
      </c>
      <c r="BQ455" s="1">
        <v>1.9461</v>
      </c>
      <c r="BR455" s="1">
        <v>0.4765</v>
      </c>
      <c r="BS455" s="1">
        <v>0.617</v>
      </c>
      <c r="BT455" s="1">
        <v>0.645</v>
      </c>
      <c r="BU455" s="1">
        <v>0.805</v>
      </c>
      <c r="BV455" s="1">
        <v>2.067</v>
      </c>
      <c r="BW455" s="1">
        <v>0.902</v>
      </c>
      <c r="BX455" s="1">
        <v>0.647</v>
      </c>
      <c r="BY455" s="1">
        <v>0.0</v>
      </c>
      <c r="BZ455" s="1">
        <v>0.647</v>
      </c>
      <c r="CA455" s="1">
        <v>0.3</v>
      </c>
      <c r="CB455" s="1">
        <v>0.0</v>
      </c>
      <c r="CC455" s="1">
        <v>0.0</v>
      </c>
      <c r="CD455" s="1">
        <v>0.0</v>
      </c>
      <c r="CE455" s="1">
        <v>0.361</v>
      </c>
      <c r="CF455" s="1">
        <v>0.462</v>
      </c>
      <c r="CG455" s="1">
        <v>0.823</v>
      </c>
      <c r="CH455" s="1">
        <v>0.057</v>
      </c>
      <c r="CI455" s="1">
        <v>5.4831</v>
      </c>
      <c r="CJ455" s="1">
        <v>0.2787</v>
      </c>
      <c r="CK455" s="1">
        <v>0.0</v>
      </c>
      <c r="CL455" s="1">
        <v>0.0</v>
      </c>
      <c r="CM455" s="1">
        <v>0.0</v>
      </c>
      <c r="CN455" s="1">
        <v>0.0</v>
      </c>
      <c r="CO455" s="1">
        <v>0.0</v>
      </c>
      <c r="CP455" s="1">
        <v>0.0</v>
      </c>
      <c r="CQ455" s="1">
        <v>0.0</v>
      </c>
      <c r="CR455" s="1">
        <v>0.0</v>
      </c>
      <c r="CS455" s="1">
        <v>0.0</v>
      </c>
      <c r="CT455" s="1">
        <v>0.0</v>
      </c>
      <c r="CU455" s="1">
        <v>0.0</v>
      </c>
      <c r="CV455" s="1">
        <v>0.0</v>
      </c>
      <c r="CW455" s="1">
        <v>0.0</v>
      </c>
      <c r="CX455" s="1">
        <v>0.0</v>
      </c>
      <c r="CY455" s="1">
        <v>0.0</v>
      </c>
      <c r="CZ455" s="1">
        <v>0.0</v>
      </c>
      <c r="DA455" s="1">
        <v>0.0</v>
      </c>
      <c r="DB455" s="1">
        <v>0.0</v>
      </c>
      <c r="DC455" s="1">
        <v>0.0</v>
      </c>
      <c r="DD455" s="1" t="s">
        <v>2226</v>
      </c>
      <c r="DE455" s="1">
        <v>2.96670305184583E-4</v>
      </c>
      <c r="DF455" s="1">
        <v>0.098326361379726</v>
      </c>
    </row>
    <row r="456" ht="15.75" customHeight="1">
      <c r="A456" s="1" t="s">
        <v>2227</v>
      </c>
      <c r="B456" s="1">
        <v>29.0</v>
      </c>
      <c r="C456" s="2" t="s">
        <v>2039</v>
      </c>
      <c r="D456" s="2" t="s">
        <v>2228</v>
      </c>
      <c r="E456" s="1">
        <v>1.155</v>
      </c>
      <c r="F456" s="1">
        <v>29095.0</v>
      </c>
      <c r="G456" s="1">
        <v>2.90950117E10</v>
      </c>
      <c r="H456" s="1" t="s">
        <v>112</v>
      </c>
      <c r="I456" s="1" t="s">
        <v>113</v>
      </c>
      <c r="J456" s="1" t="s">
        <v>2041</v>
      </c>
      <c r="K456" s="1" t="s">
        <v>2229</v>
      </c>
      <c r="L456" s="1">
        <v>4177.0</v>
      </c>
      <c r="M456" s="1">
        <v>3905.0</v>
      </c>
      <c r="N456" s="1">
        <v>423.0</v>
      </c>
      <c r="O456" s="1">
        <v>2156.0</v>
      </c>
      <c r="P456" s="1">
        <v>2171.0</v>
      </c>
      <c r="Q456" s="1">
        <v>101.0</v>
      </c>
      <c r="R456" s="1">
        <v>1771.0</v>
      </c>
      <c r="S456" s="1">
        <v>749.0</v>
      </c>
      <c r="T456" s="1">
        <v>282.0</v>
      </c>
      <c r="U456" s="1">
        <v>376.0</v>
      </c>
      <c r="V456" s="1">
        <v>349.0</v>
      </c>
      <c r="W456" s="1">
        <v>19258.0</v>
      </c>
      <c r="X456" s="1">
        <v>2655.0</v>
      </c>
      <c r="Y456" s="1">
        <v>504.0</v>
      </c>
      <c r="Z456" s="1">
        <v>292.0</v>
      </c>
      <c r="AA456" s="1">
        <v>424.0</v>
      </c>
      <c r="AB456" s="1">
        <v>1022.0</v>
      </c>
      <c r="AC456" s="1">
        <v>327.0</v>
      </c>
      <c r="AD456" s="1">
        <v>823.0</v>
      </c>
      <c r="AE456" s="1">
        <v>62.0</v>
      </c>
      <c r="AF456" s="1">
        <v>430.0</v>
      </c>
      <c r="AG456" s="1">
        <v>297.0</v>
      </c>
      <c r="AH456" s="1">
        <v>183.0</v>
      </c>
      <c r="AI456" s="1">
        <v>8.0</v>
      </c>
      <c r="AJ456" s="1">
        <v>14.0</v>
      </c>
      <c r="AK456" s="1">
        <v>23.0</v>
      </c>
      <c r="AL456" s="1">
        <v>117.0</v>
      </c>
      <c r="AM456" s="1">
        <v>208.0</v>
      </c>
      <c r="AN456" s="1">
        <v>80.0</v>
      </c>
      <c r="AO456" s="1">
        <v>12.0</v>
      </c>
      <c r="AP456" s="1">
        <v>0.194343</v>
      </c>
      <c r="AQ456" s="1">
        <v>0.070099</v>
      </c>
      <c r="AR456" s="1">
        <v>0.180162</v>
      </c>
      <c r="AS456" s="1">
        <v>0.164536</v>
      </c>
      <c r="AT456" s="1">
        <v>19258.0</v>
      </c>
      <c r="AU456" s="1">
        <v>2655.0</v>
      </c>
      <c r="AV456" s="1">
        <v>0.193548</v>
      </c>
      <c r="AW456" s="1">
        <v>0.110534</v>
      </c>
      <c r="AX456" s="1">
        <v>0.101508</v>
      </c>
      <c r="AY456" s="1">
        <v>0.244673</v>
      </c>
      <c r="AZ456" s="1">
        <v>0.18464144</v>
      </c>
      <c r="BA456" s="1">
        <v>0.197031</v>
      </c>
      <c r="BB456" s="1">
        <v>0.017299</v>
      </c>
      <c r="BC456" s="1">
        <v>0.119966</v>
      </c>
      <c r="BD456" s="1">
        <v>0.136803</v>
      </c>
      <c r="BE456" s="1">
        <v>0.084052</v>
      </c>
      <c r="BF456" s="1">
        <v>0.003684</v>
      </c>
      <c r="BG456" s="1">
        <v>0.006446</v>
      </c>
      <c r="BH456" s="1">
        <v>0.013333</v>
      </c>
      <c r="BI456" s="1">
        <v>0.067816</v>
      </c>
      <c r="BJ456" s="1">
        <v>0.120579</v>
      </c>
      <c r="BK456" s="1">
        <v>0.045192</v>
      </c>
      <c r="BL456" s="1">
        <v>0.002872</v>
      </c>
      <c r="BM456" s="1">
        <v>0.715</v>
      </c>
      <c r="BN456" s="1">
        <v>0.934</v>
      </c>
      <c r="BO456" s="1">
        <v>0.6534</v>
      </c>
      <c r="BP456" s="1">
        <v>0.735</v>
      </c>
      <c r="BQ456" s="1">
        <v>3.0374</v>
      </c>
      <c r="BR456" s="1">
        <v>0.8116</v>
      </c>
      <c r="BS456" s="1">
        <v>0.221</v>
      </c>
      <c r="BT456" s="1">
        <v>0.542</v>
      </c>
      <c r="BU456" s="1">
        <v>0.874</v>
      </c>
      <c r="BV456" s="1">
        <v>1.637</v>
      </c>
      <c r="BW456" s="1">
        <v>0.589</v>
      </c>
      <c r="BX456" s="1">
        <v>0.709</v>
      </c>
      <c r="BY456" s="1">
        <v>0.841</v>
      </c>
      <c r="BZ456" s="1">
        <v>1.55</v>
      </c>
      <c r="CA456" s="1">
        <v>0.851</v>
      </c>
      <c r="CB456" s="1">
        <v>0.825</v>
      </c>
      <c r="CC456" s="1">
        <v>0.376</v>
      </c>
      <c r="CD456" s="1">
        <v>0.558</v>
      </c>
      <c r="CE456" s="1">
        <v>0.81</v>
      </c>
      <c r="CF456" s="1">
        <v>0.471</v>
      </c>
      <c r="CG456" s="1">
        <v>3.04</v>
      </c>
      <c r="CH456" s="1">
        <v>0.792</v>
      </c>
      <c r="CI456" s="1">
        <v>9.2644</v>
      </c>
      <c r="CJ456" s="1">
        <v>0.883</v>
      </c>
      <c r="CK456" s="1">
        <v>0.0</v>
      </c>
      <c r="CL456" s="1">
        <v>1.0</v>
      </c>
      <c r="CM456" s="1">
        <v>0.0</v>
      </c>
      <c r="CN456" s="1">
        <v>0.0</v>
      </c>
      <c r="CO456" s="1">
        <v>1.0</v>
      </c>
      <c r="CP456" s="1">
        <v>0.0</v>
      </c>
      <c r="CQ456" s="1">
        <v>0.0</v>
      </c>
      <c r="CR456" s="1">
        <v>0.0</v>
      </c>
      <c r="CS456" s="1">
        <v>0.0</v>
      </c>
      <c r="CT456" s="1">
        <v>0.0</v>
      </c>
      <c r="CU456" s="1">
        <v>0.0</v>
      </c>
      <c r="CV456" s="1">
        <v>0.0</v>
      </c>
      <c r="CW456" s="1">
        <v>0.0</v>
      </c>
      <c r="CX456" s="1">
        <v>0.0</v>
      </c>
      <c r="CY456" s="1">
        <v>0.0</v>
      </c>
      <c r="CZ456" s="1">
        <v>0.0</v>
      </c>
      <c r="DA456" s="1">
        <v>0.0</v>
      </c>
      <c r="DB456" s="1">
        <v>0.0</v>
      </c>
      <c r="DC456" s="1">
        <v>1.0</v>
      </c>
      <c r="DD456" s="1" t="s">
        <v>2230</v>
      </c>
      <c r="DE456" s="1">
        <v>3.11413432974333E-4</v>
      </c>
      <c r="DF456" s="1">
        <v>0.0780373997000477</v>
      </c>
    </row>
    <row r="457" ht="15.75" customHeight="1">
      <c r="A457" s="1" t="s">
        <v>2231</v>
      </c>
      <c r="B457" s="1">
        <v>29.0</v>
      </c>
      <c r="C457" s="2" t="s">
        <v>2039</v>
      </c>
      <c r="D457" s="2" t="s">
        <v>2232</v>
      </c>
      <c r="E457" s="1">
        <v>2.256</v>
      </c>
      <c r="F457" s="1">
        <v>29095.0</v>
      </c>
      <c r="G457" s="1">
        <v>2.90950122E10</v>
      </c>
      <c r="H457" s="1" t="s">
        <v>112</v>
      </c>
      <c r="I457" s="1" t="s">
        <v>113</v>
      </c>
      <c r="J457" s="1" t="s">
        <v>2041</v>
      </c>
      <c r="K457" s="1" t="s">
        <v>2233</v>
      </c>
      <c r="L457" s="1">
        <v>6205.0</v>
      </c>
      <c r="M457" s="1">
        <v>6713.0</v>
      </c>
      <c r="N457" s="1">
        <v>577.0</v>
      </c>
      <c r="O457" s="1">
        <v>2781.0</v>
      </c>
      <c r="P457" s="1">
        <v>2768.0</v>
      </c>
      <c r="Q457" s="1">
        <v>89.0</v>
      </c>
      <c r="R457" s="1">
        <v>2536.0</v>
      </c>
      <c r="S457" s="1">
        <v>727.0</v>
      </c>
      <c r="T457" s="1">
        <v>402.0</v>
      </c>
      <c r="U457" s="1">
        <v>201.0</v>
      </c>
      <c r="V457" s="1">
        <v>371.0</v>
      </c>
      <c r="W457" s="1">
        <v>21938.0</v>
      </c>
      <c r="X457" s="1">
        <v>2312.0</v>
      </c>
      <c r="Y457" s="1">
        <v>470.0</v>
      </c>
      <c r="Z457" s="1">
        <v>298.0</v>
      </c>
      <c r="AA457" s="1">
        <v>1122.0</v>
      </c>
      <c r="AB457" s="1">
        <v>1458.0</v>
      </c>
      <c r="AC457" s="1">
        <v>322.0</v>
      </c>
      <c r="AD457" s="1">
        <v>1012.0</v>
      </c>
      <c r="AE457" s="1">
        <v>87.0</v>
      </c>
      <c r="AF457" s="1">
        <v>457.0</v>
      </c>
      <c r="AG457" s="1">
        <v>79.0</v>
      </c>
      <c r="AH457" s="1">
        <v>177.0</v>
      </c>
      <c r="AI457" s="1">
        <v>0.0</v>
      </c>
      <c r="AJ457" s="1">
        <v>114.0</v>
      </c>
      <c r="AK457" s="1">
        <v>35.0</v>
      </c>
      <c r="AL457" s="1">
        <v>120.0</v>
      </c>
      <c r="AM457" s="1">
        <v>134.0</v>
      </c>
      <c r="AN457" s="1">
        <v>93.0</v>
      </c>
      <c r="AO457" s="1">
        <v>0.0</v>
      </c>
      <c r="AP457" s="1">
        <v>0.108637</v>
      </c>
      <c r="AQ457" s="1">
        <v>0.059336</v>
      </c>
      <c r="AR457" s="1">
        <v>0.062694</v>
      </c>
      <c r="AS457" s="1">
        <v>0.115474</v>
      </c>
      <c r="AT457" s="1">
        <v>21938.0</v>
      </c>
      <c r="AU457" s="1">
        <v>2312.0</v>
      </c>
      <c r="AV457" s="1">
        <v>0.105546</v>
      </c>
      <c r="AW457" s="1">
        <v>0.066448</v>
      </c>
      <c r="AX457" s="1">
        <v>0.180821</v>
      </c>
      <c r="AY457" s="1">
        <v>0.234971</v>
      </c>
      <c r="AZ457" s="1">
        <v>0.1269716</v>
      </c>
      <c r="BA457" s="1">
        <v>0.163094</v>
      </c>
      <c r="BB457" s="1">
        <v>0.014027</v>
      </c>
      <c r="BC457" s="1">
        <v>0.073675</v>
      </c>
      <c r="BD457" s="1">
        <v>0.02854</v>
      </c>
      <c r="BE457" s="1">
        <v>0.063938</v>
      </c>
      <c r="BF457" s="1">
        <v>0.0</v>
      </c>
      <c r="BG457" s="1">
        <v>0.041184</v>
      </c>
      <c r="BH457" s="1">
        <v>0.013252</v>
      </c>
      <c r="BI457" s="1">
        <v>0.045431</v>
      </c>
      <c r="BJ457" s="1">
        <v>0.050738</v>
      </c>
      <c r="BK457" s="1">
        <v>0.035103</v>
      </c>
      <c r="BL457" s="1">
        <v>0.0</v>
      </c>
      <c r="BM457" s="1">
        <v>0.406</v>
      </c>
      <c r="BN457" s="1">
        <v>0.446</v>
      </c>
      <c r="BO457" s="1">
        <v>0.4975</v>
      </c>
      <c r="BP457" s="1">
        <v>0.364</v>
      </c>
      <c r="BQ457" s="1">
        <v>1.7135</v>
      </c>
      <c r="BR457" s="1">
        <v>0.4058</v>
      </c>
      <c r="BS457" s="1">
        <v>0.794</v>
      </c>
      <c r="BT457" s="1">
        <v>0.438</v>
      </c>
      <c r="BU457" s="1">
        <v>0.705</v>
      </c>
      <c r="BV457" s="1">
        <v>1.937</v>
      </c>
      <c r="BW457" s="1">
        <v>0.825</v>
      </c>
      <c r="BX457" s="1">
        <v>0.658</v>
      </c>
      <c r="BY457" s="1">
        <v>0.797</v>
      </c>
      <c r="BZ457" s="1">
        <v>1.455</v>
      </c>
      <c r="CA457" s="1">
        <v>0.795</v>
      </c>
      <c r="CB457" s="1">
        <v>0.541</v>
      </c>
      <c r="CC457" s="1">
        <v>0.0</v>
      </c>
      <c r="CD457" s="1">
        <v>0.555</v>
      </c>
      <c r="CE457" s="1">
        <v>0.491</v>
      </c>
      <c r="CF457" s="1">
        <v>0.0</v>
      </c>
      <c r="CG457" s="1">
        <v>1.587</v>
      </c>
      <c r="CH457" s="1">
        <v>0.193</v>
      </c>
      <c r="CI457" s="1">
        <v>6.6925</v>
      </c>
      <c r="CJ457" s="1">
        <v>0.4888</v>
      </c>
      <c r="CK457" s="1">
        <v>0.0</v>
      </c>
      <c r="CL457" s="1">
        <v>0.0</v>
      </c>
      <c r="CM457" s="1">
        <v>0.0</v>
      </c>
      <c r="CN457" s="1">
        <v>0.0</v>
      </c>
      <c r="CO457" s="1">
        <v>0.0</v>
      </c>
      <c r="CP457" s="1">
        <v>0.0</v>
      </c>
      <c r="CQ457" s="1">
        <v>0.0</v>
      </c>
      <c r="CR457" s="1">
        <v>0.0</v>
      </c>
      <c r="CS457" s="1">
        <v>0.0</v>
      </c>
      <c r="CT457" s="1">
        <v>0.0</v>
      </c>
      <c r="CU457" s="1">
        <v>0.0</v>
      </c>
      <c r="CV457" s="1">
        <v>0.0</v>
      </c>
      <c r="CW457" s="1">
        <v>0.0</v>
      </c>
      <c r="CX457" s="1">
        <v>0.0</v>
      </c>
      <c r="CY457" s="1">
        <v>0.0</v>
      </c>
      <c r="CZ457" s="1">
        <v>0.0</v>
      </c>
      <c r="DA457" s="1">
        <v>0.0</v>
      </c>
      <c r="DB457" s="1">
        <v>0.0</v>
      </c>
      <c r="DC457" s="1">
        <v>0.0</v>
      </c>
      <c r="DD457" s="1" t="s">
        <v>2234</v>
      </c>
      <c r="DE457" s="1">
        <v>6.0878236241508E-4</v>
      </c>
      <c r="DF457" s="2" t="s">
        <v>2235</v>
      </c>
    </row>
    <row r="458" ht="15.75" customHeight="1">
      <c r="A458" s="1" t="s">
        <v>2236</v>
      </c>
      <c r="B458" s="1">
        <v>29.0</v>
      </c>
      <c r="C458" s="2" t="s">
        <v>2039</v>
      </c>
      <c r="D458" s="2" t="s">
        <v>2237</v>
      </c>
      <c r="E458" s="1">
        <v>3.588</v>
      </c>
      <c r="F458" s="1">
        <v>29095.0</v>
      </c>
      <c r="G458" s="1">
        <v>2.90950179E10</v>
      </c>
      <c r="H458" s="1" t="s">
        <v>112</v>
      </c>
      <c r="I458" s="1" t="s">
        <v>113</v>
      </c>
      <c r="J458" s="1" t="s">
        <v>2041</v>
      </c>
      <c r="K458" s="1" t="s">
        <v>2238</v>
      </c>
      <c r="L458" s="1">
        <v>4705.0</v>
      </c>
      <c r="M458" s="1">
        <v>5076.0</v>
      </c>
      <c r="N458" s="1">
        <v>361.0</v>
      </c>
      <c r="O458" s="1">
        <v>2213.0</v>
      </c>
      <c r="P458" s="1">
        <v>2150.0</v>
      </c>
      <c r="Q458" s="1">
        <v>50.0</v>
      </c>
      <c r="R458" s="1">
        <v>2068.0</v>
      </c>
      <c r="S458" s="1">
        <v>394.0</v>
      </c>
      <c r="T458" s="1">
        <v>252.0</v>
      </c>
      <c r="U458" s="1">
        <v>117.0</v>
      </c>
      <c r="V458" s="1">
        <v>432.0</v>
      </c>
      <c r="W458" s="1">
        <v>30114.0</v>
      </c>
      <c r="X458" s="1">
        <v>4048.0</v>
      </c>
      <c r="Y458" s="1">
        <v>79.0</v>
      </c>
      <c r="Z458" s="1">
        <v>380.0</v>
      </c>
      <c r="AA458" s="1">
        <v>523.0</v>
      </c>
      <c r="AB458" s="1">
        <v>1087.0</v>
      </c>
      <c r="AC458" s="1">
        <v>222.0</v>
      </c>
      <c r="AD458" s="1">
        <v>1016.0</v>
      </c>
      <c r="AE458" s="1">
        <v>0.0</v>
      </c>
      <c r="AF458" s="1">
        <v>456.0</v>
      </c>
      <c r="AG458" s="1">
        <v>623.0</v>
      </c>
      <c r="AH458" s="1">
        <v>140.0</v>
      </c>
      <c r="AI458" s="1">
        <v>0.0</v>
      </c>
      <c r="AJ458" s="1">
        <v>114.0</v>
      </c>
      <c r="AK458" s="1">
        <v>24.0</v>
      </c>
      <c r="AL458" s="1">
        <v>120.0</v>
      </c>
      <c r="AM458" s="1">
        <v>150.0</v>
      </c>
      <c r="AN458" s="1">
        <v>130.0</v>
      </c>
      <c r="AO458" s="1">
        <v>53.0</v>
      </c>
      <c r="AP458" s="1">
        <v>0.077973</v>
      </c>
      <c r="AQ458" s="1">
        <v>0.049572</v>
      </c>
      <c r="AR458" s="1">
        <v>0.040937</v>
      </c>
      <c r="AS458" s="1">
        <v>0.151087</v>
      </c>
      <c r="AT458" s="1">
        <v>30114.0</v>
      </c>
      <c r="AU458" s="1">
        <v>4048.0</v>
      </c>
      <c r="AV458" s="1">
        <v>0.024944</v>
      </c>
      <c r="AW458" s="1">
        <v>0.119977</v>
      </c>
      <c r="AX458" s="1">
        <v>0.111158</v>
      </c>
      <c r="AY458" s="1">
        <v>0.23103</v>
      </c>
      <c r="AZ458" s="1">
        <v>0.10735009</v>
      </c>
      <c r="BA458" s="1">
        <v>0.21594</v>
      </c>
      <c r="BB458" s="1">
        <v>0.0</v>
      </c>
      <c r="BC458" s="1">
        <v>0.096202</v>
      </c>
      <c r="BD458" s="1">
        <v>0.289767</v>
      </c>
      <c r="BE458" s="1">
        <v>0.064766</v>
      </c>
      <c r="BF458" s="1">
        <v>0.0</v>
      </c>
      <c r="BG458" s="1">
        <v>0.053023</v>
      </c>
      <c r="BH458" s="1">
        <v>0.011483</v>
      </c>
      <c r="BI458" s="1">
        <v>0.057415</v>
      </c>
      <c r="BJ458" s="1">
        <v>0.07177</v>
      </c>
      <c r="BK458" s="1">
        <v>0.062155</v>
      </c>
      <c r="BL458" s="1">
        <v>0.011264</v>
      </c>
      <c r="BM458" s="1">
        <v>0.285</v>
      </c>
      <c r="BN458" s="1">
        <v>0.19</v>
      </c>
      <c r="BO458" s="1">
        <v>0.1957</v>
      </c>
      <c r="BP458" s="1">
        <v>0.047</v>
      </c>
      <c r="BQ458" s="1">
        <v>0.7177</v>
      </c>
      <c r="BR458" s="1">
        <v>0.13</v>
      </c>
      <c r="BS458" s="1">
        <v>0.28</v>
      </c>
      <c r="BT458" s="1">
        <v>0.397</v>
      </c>
      <c r="BU458" s="1">
        <v>0.563</v>
      </c>
      <c r="BV458" s="1">
        <v>1.24</v>
      </c>
      <c r="BW458" s="1">
        <v>0.258</v>
      </c>
      <c r="BX458" s="1">
        <v>0.73</v>
      </c>
      <c r="BY458" s="1">
        <v>0.0</v>
      </c>
      <c r="BZ458" s="1">
        <v>0.73</v>
      </c>
      <c r="CA458" s="1">
        <v>0.353</v>
      </c>
      <c r="CB458" s="1">
        <v>0.941</v>
      </c>
      <c r="CC458" s="1">
        <v>0.0</v>
      </c>
      <c r="CD458" s="1">
        <v>0.513</v>
      </c>
      <c r="CE458" s="1">
        <v>0.634</v>
      </c>
      <c r="CF458" s="1">
        <v>0.595</v>
      </c>
      <c r="CG458" s="1">
        <v>2.683</v>
      </c>
      <c r="CH458" s="1">
        <v>0.637</v>
      </c>
      <c r="CI458" s="1">
        <v>5.3707</v>
      </c>
      <c r="CJ458" s="1">
        <v>0.2592</v>
      </c>
      <c r="CK458" s="1">
        <v>0.0</v>
      </c>
      <c r="CL458" s="1">
        <v>0.0</v>
      </c>
      <c r="CM458" s="1">
        <v>0.0</v>
      </c>
      <c r="CN458" s="1">
        <v>0.0</v>
      </c>
      <c r="CO458" s="1">
        <v>0.0</v>
      </c>
      <c r="CP458" s="1">
        <v>0.0</v>
      </c>
      <c r="CQ458" s="1">
        <v>0.0</v>
      </c>
      <c r="CR458" s="1">
        <v>0.0</v>
      </c>
      <c r="CS458" s="1">
        <v>0.0</v>
      </c>
      <c r="CT458" s="1">
        <v>0.0</v>
      </c>
      <c r="CU458" s="1">
        <v>0.0</v>
      </c>
      <c r="CV458" s="1">
        <v>0.0</v>
      </c>
      <c r="CW458" s="1">
        <v>1.0</v>
      </c>
      <c r="CX458" s="1">
        <v>0.0</v>
      </c>
      <c r="CY458" s="1">
        <v>0.0</v>
      </c>
      <c r="CZ458" s="1">
        <v>0.0</v>
      </c>
      <c r="DA458" s="1">
        <v>0.0</v>
      </c>
      <c r="DB458" s="1">
        <v>1.0</v>
      </c>
      <c r="DC458" s="1">
        <v>1.0</v>
      </c>
      <c r="DD458" s="1" t="s">
        <v>2239</v>
      </c>
      <c r="DE458" s="1">
        <v>9.69210382075513E-4</v>
      </c>
      <c r="DF458" s="2" t="s">
        <v>2240</v>
      </c>
    </row>
    <row r="459" ht="15.75" customHeight="1">
      <c r="A459" s="1" t="s">
        <v>2241</v>
      </c>
      <c r="B459" s="1">
        <v>29.0</v>
      </c>
      <c r="C459" s="2" t="s">
        <v>2039</v>
      </c>
      <c r="D459" s="2" t="s">
        <v>2242</v>
      </c>
      <c r="E459" s="1">
        <v>1.257</v>
      </c>
      <c r="F459" s="1">
        <v>29095.0</v>
      </c>
      <c r="G459" s="1">
        <v>2.9095018E10</v>
      </c>
      <c r="H459" s="1" t="s">
        <v>112</v>
      </c>
      <c r="I459" s="1" t="s">
        <v>113</v>
      </c>
      <c r="J459" s="1" t="s">
        <v>2041</v>
      </c>
      <c r="K459" s="1" t="s">
        <v>2243</v>
      </c>
      <c r="L459" s="1">
        <v>3644.0</v>
      </c>
      <c r="M459" s="1">
        <v>3116.0</v>
      </c>
      <c r="N459" s="1">
        <v>322.0</v>
      </c>
      <c r="O459" s="1">
        <v>1667.0</v>
      </c>
      <c r="P459" s="1">
        <v>1632.0</v>
      </c>
      <c r="Q459" s="1">
        <v>45.0</v>
      </c>
      <c r="R459" s="1">
        <v>1541.0</v>
      </c>
      <c r="S459" s="1">
        <v>343.0</v>
      </c>
      <c r="T459" s="1">
        <v>254.0</v>
      </c>
      <c r="U459" s="1">
        <v>61.0</v>
      </c>
      <c r="V459" s="1">
        <v>459.0</v>
      </c>
      <c r="W459" s="1">
        <v>27889.0</v>
      </c>
      <c r="X459" s="1">
        <v>3215.0</v>
      </c>
      <c r="Y459" s="1">
        <v>211.0</v>
      </c>
      <c r="Z459" s="1">
        <v>358.0</v>
      </c>
      <c r="AA459" s="1">
        <v>462.0</v>
      </c>
      <c r="AB459" s="1">
        <v>917.0</v>
      </c>
      <c r="AC459" s="1">
        <v>229.0</v>
      </c>
      <c r="AD459" s="1">
        <v>536.0</v>
      </c>
      <c r="AE459" s="1">
        <v>9.0</v>
      </c>
      <c r="AF459" s="1">
        <v>442.0</v>
      </c>
      <c r="AG459" s="1">
        <v>176.0</v>
      </c>
      <c r="AH459" s="1">
        <v>157.0</v>
      </c>
      <c r="AI459" s="1">
        <v>2.0</v>
      </c>
      <c r="AJ459" s="1">
        <v>8.0</v>
      </c>
      <c r="AK459" s="1">
        <v>0.0</v>
      </c>
      <c r="AL459" s="1">
        <v>161.0</v>
      </c>
      <c r="AM459" s="1">
        <v>74.0</v>
      </c>
      <c r="AN459" s="1">
        <v>54.0</v>
      </c>
      <c r="AO459" s="1">
        <v>20.0</v>
      </c>
      <c r="AP459" s="1">
        <v>0.110077</v>
      </c>
      <c r="AQ459" s="1">
        <v>0.080717</v>
      </c>
      <c r="AR459" s="1">
        <v>0.034116</v>
      </c>
      <c r="AS459" s="1">
        <v>0.25666</v>
      </c>
      <c r="AT459" s="1">
        <v>27889.0</v>
      </c>
      <c r="AU459" s="1">
        <v>3215.0</v>
      </c>
      <c r="AV459" s="1">
        <v>0.090325</v>
      </c>
      <c r="AW459" s="1">
        <v>0.15306</v>
      </c>
      <c r="AX459" s="1">
        <v>0.126783</v>
      </c>
      <c r="AY459" s="1">
        <v>0.251646</v>
      </c>
      <c r="AZ459" s="1">
        <v>0.1486048</v>
      </c>
      <c r="BA459" s="1">
        <v>0.147091</v>
      </c>
      <c r="BB459" s="1">
        <v>0.002988</v>
      </c>
      <c r="BC459" s="1">
        <v>0.146746</v>
      </c>
      <c r="BD459" s="1">
        <v>0.107843</v>
      </c>
      <c r="BE459" s="1">
        <v>0.096155</v>
      </c>
      <c r="BF459" s="1">
        <v>0.001225</v>
      </c>
      <c r="BG459" s="1">
        <v>0.004901</v>
      </c>
      <c r="BH459" s="1">
        <v>0.0</v>
      </c>
      <c r="BI459" s="1">
        <v>0.1133</v>
      </c>
      <c r="BJ459" s="1">
        <v>0.052076</v>
      </c>
      <c r="BK459" s="1">
        <v>0.037746</v>
      </c>
      <c r="BL459" s="1">
        <v>0.005488</v>
      </c>
      <c r="BM459" s="1">
        <v>0.417</v>
      </c>
      <c r="BN459" s="1">
        <v>0.122</v>
      </c>
      <c r="BO459" s="1">
        <v>0.2556</v>
      </c>
      <c r="BP459" s="1">
        <v>0.293</v>
      </c>
      <c r="BQ459" s="1">
        <v>1.0876</v>
      </c>
      <c r="BR459" s="1">
        <v>0.2231</v>
      </c>
      <c r="BS459" s="1">
        <v>0.393</v>
      </c>
      <c r="BT459" s="1">
        <v>0.621</v>
      </c>
      <c r="BU459" s="1">
        <v>0.788</v>
      </c>
      <c r="BV459" s="1">
        <v>1.802</v>
      </c>
      <c r="BW459" s="1">
        <v>0.722</v>
      </c>
      <c r="BX459" s="1">
        <v>0.618</v>
      </c>
      <c r="BY459" s="1">
        <v>0.448</v>
      </c>
      <c r="BZ459" s="1">
        <v>1.066</v>
      </c>
      <c r="CA459" s="1">
        <v>0.594</v>
      </c>
      <c r="CB459" s="1">
        <v>0.784</v>
      </c>
      <c r="CC459" s="1">
        <v>0.367</v>
      </c>
      <c r="CD459" s="1">
        <v>0.0</v>
      </c>
      <c r="CE459" s="1">
        <v>0.502</v>
      </c>
      <c r="CF459" s="1">
        <v>0.523</v>
      </c>
      <c r="CG459" s="1">
        <v>2.176</v>
      </c>
      <c r="CH459" s="1">
        <v>0.41</v>
      </c>
      <c r="CI459" s="1">
        <v>6.1316</v>
      </c>
      <c r="CJ459" s="1">
        <v>0.3942</v>
      </c>
      <c r="CK459" s="1">
        <v>0.0</v>
      </c>
      <c r="CL459" s="1">
        <v>0.0</v>
      </c>
      <c r="CM459" s="1">
        <v>0.0</v>
      </c>
      <c r="CN459" s="1">
        <v>0.0</v>
      </c>
      <c r="CO459" s="1">
        <v>0.0</v>
      </c>
      <c r="CP459" s="1">
        <v>0.0</v>
      </c>
      <c r="CQ459" s="1">
        <v>0.0</v>
      </c>
      <c r="CR459" s="1">
        <v>0.0</v>
      </c>
      <c r="CS459" s="1">
        <v>0.0</v>
      </c>
      <c r="CT459" s="1">
        <v>0.0</v>
      </c>
      <c r="CU459" s="1">
        <v>0.0</v>
      </c>
      <c r="CV459" s="1">
        <v>0.0</v>
      </c>
      <c r="CW459" s="1">
        <v>0.0</v>
      </c>
      <c r="CX459" s="1">
        <v>0.0</v>
      </c>
      <c r="CY459" s="1">
        <v>0.0</v>
      </c>
      <c r="CZ459" s="1">
        <v>0.0</v>
      </c>
      <c r="DA459" s="1">
        <v>0.0</v>
      </c>
      <c r="DB459" s="1">
        <v>0.0</v>
      </c>
      <c r="DC459" s="1">
        <v>0.0</v>
      </c>
      <c r="DD459" s="1" t="s">
        <v>2244</v>
      </c>
      <c r="DE459" s="1">
        <v>3.37077024767615E-4</v>
      </c>
      <c r="DF459" s="1">
        <v>0.0855977101039655</v>
      </c>
    </row>
    <row r="460" ht="15.75" customHeight="1">
      <c r="A460" s="1" t="s">
        <v>2245</v>
      </c>
      <c r="B460" s="1">
        <v>29.0</v>
      </c>
      <c r="C460" s="2" t="s">
        <v>2039</v>
      </c>
      <c r="D460" s="2" t="s">
        <v>2246</v>
      </c>
      <c r="E460" s="1">
        <v>14.999</v>
      </c>
      <c r="F460" s="1">
        <v>29095.0</v>
      </c>
      <c r="G460" s="1">
        <v>2.90950151E10</v>
      </c>
      <c r="H460" s="1" t="s">
        <v>112</v>
      </c>
      <c r="I460" s="1" t="s">
        <v>113</v>
      </c>
      <c r="J460" s="1" t="s">
        <v>2041</v>
      </c>
      <c r="K460" s="1" t="s">
        <v>2247</v>
      </c>
      <c r="L460" s="1">
        <v>5669.0</v>
      </c>
      <c r="M460" s="1">
        <v>5559.0</v>
      </c>
      <c r="N460" s="1">
        <v>468.0</v>
      </c>
      <c r="O460" s="1">
        <v>2084.0</v>
      </c>
      <c r="P460" s="1">
        <v>1935.0</v>
      </c>
      <c r="Q460" s="1">
        <v>113.0</v>
      </c>
      <c r="R460" s="1">
        <v>1966.0</v>
      </c>
      <c r="S460" s="1">
        <v>770.0</v>
      </c>
      <c r="T460" s="1">
        <v>459.0</v>
      </c>
      <c r="U460" s="1">
        <v>125.0</v>
      </c>
      <c r="V460" s="1">
        <v>462.0</v>
      </c>
      <c r="W460" s="1">
        <v>22218.0</v>
      </c>
      <c r="X460" s="1">
        <v>2506.0</v>
      </c>
      <c r="Y460" s="1">
        <v>579.0</v>
      </c>
      <c r="Z460" s="1">
        <v>288.0</v>
      </c>
      <c r="AA460" s="1">
        <v>581.0</v>
      </c>
      <c r="AB460" s="1">
        <v>1529.0</v>
      </c>
      <c r="AC460" s="1">
        <v>268.0</v>
      </c>
      <c r="AD460" s="1">
        <v>705.0</v>
      </c>
      <c r="AE460" s="1">
        <v>8.0</v>
      </c>
      <c r="AF460" s="1">
        <v>442.0</v>
      </c>
      <c r="AG460" s="1">
        <v>0.0</v>
      </c>
      <c r="AH460" s="1">
        <v>197.0</v>
      </c>
      <c r="AI460" s="1">
        <v>0.0</v>
      </c>
      <c r="AJ460" s="1">
        <v>114.0</v>
      </c>
      <c r="AK460" s="1">
        <v>93.0</v>
      </c>
      <c r="AL460" s="1">
        <v>142.0</v>
      </c>
      <c r="AM460" s="1">
        <v>43.0</v>
      </c>
      <c r="AN460" s="1">
        <v>34.0</v>
      </c>
      <c r="AO460" s="1">
        <v>56.0</v>
      </c>
      <c r="AP460" s="1">
        <v>0.142197</v>
      </c>
      <c r="AQ460" s="1">
        <v>0.083969</v>
      </c>
      <c r="AR460" s="1">
        <v>0.046074</v>
      </c>
      <c r="AS460" s="1">
        <v>0.170217</v>
      </c>
      <c r="AT460" s="1">
        <v>22218.0</v>
      </c>
      <c r="AU460" s="1">
        <v>2506.0</v>
      </c>
      <c r="AV460" s="1">
        <v>0.164301</v>
      </c>
      <c r="AW460" s="1">
        <v>0.080807</v>
      </c>
      <c r="AX460" s="1">
        <v>0.102487</v>
      </c>
      <c r="AY460" s="1">
        <v>0.269712</v>
      </c>
      <c r="AZ460" s="1">
        <v>0.13631739</v>
      </c>
      <c r="BA460" s="1">
        <v>0.12436</v>
      </c>
      <c r="BB460" s="1">
        <v>0.001566</v>
      </c>
      <c r="BC460" s="1">
        <v>0.086564</v>
      </c>
      <c r="BD460" s="1">
        <v>0.0</v>
      </c>
      <c r="BE460" s="1">
        <v>0.101808</v>
      </c>
      <c r="BF460" s="1">
        <v>0.0</v>
      </c>
      <c r="BG460" s="1">
        <v>0.058914</v>
      </c>
      <c r="BH460" s="1">
        <v>0.050433</v>
      </c>
      <c r="BI460" s="1">
        <v>0.076932</v>
      </c>
      <c r="BJ460" s="1">
        <v>0.023318</v>
      </c>
      <c r="BK460" s="1">
        <v>0.018372</v>
      </c>
      <c r="BL460" s="1">
        <v>0.009878</v>
      </c>
      <c r="BM460" s="1">
        <v>0.553</v>
      </c>
      <c r="BN460" s="1">
        <v>0.251</v>
      </c>
      <c r="BO460" s="1">
        <v>0.4845</v>
      </c>
      <c r="BP460" s="1">
        <v>0.63</v>
      </c>
      <c r="BQ460" s="1">
        <v>1.9185</v>
      </c>
      <c r="BR460" s="1">
        <v>0.4664</v>
      </c>
      <c r="BS460" s="1">
        <v>0.228</v>
      </c>
      <c r="BT460" s="1">
        <v>0.789</v>
      </c>
      <c r="BU460" s="1">
        <v>0.746</v>
      </c>
      <c r="BV460" s="1">
        <v>1.763</v>
      </c>
      <c r="BW460" s="1">
        <v>0.694</v>
      </c>
      <c r="BX460" s="1">
        <v>0.545</v>
      </c>
      <c r="BY460" s="1">
        <v>0.357</v>
      </c>
      <c r="BZ460" s="1">
        <v>0.902</v>
      </c>
      <c r="CA460" s="1">
        <v>0.469</v>
      </c>
      <c r="CB460" s="1">
        <v>0.0</v>
      </c>
      <c r="CC460" s="1">
        <v>0.0</v>
      </c>
      <c r="CD460" s="1">
        <v>0.936</v>
      </c>
      <c r="CE460" s="1">
        <v>0.22</v>
      </c>
      <c r="CF460" s="1">
        <v>0.574</v>
      </c>
      <c r="CG460" s="1">
        <v>1.73</v>
      </c>
      <c r="CH460" s="1">
        <v>0.243</v>
      </c>
      <c r="CI460" s="1">
        <v>6.3135</v>
      </c>
      <c r="CJ460" s="1">
        <v>0.4325</v>
      </c>
      <c r="CK460" s="1">
        <v>0.0</v>
      </c>
      <c r="CL460" s="1">
        <v>0.0</v>
      </c>
      <c r="CM460" s="1">
        <v>0.0</v>
      </c>
      <c r="CN460" s="1">
        <v>0.0</v>
      </c>
      <c r="CO460" s="1">
        <v>0.0</v>
      </c>
      <c r="CP460" s="1">
        <v>0.0</v>
      </c>
      <c r="CQ460" s="1">
        <v>0.0</v>
      </c>
      <c r="CR460" s="1">
        <v>0.0</v>
      </c>
      <c r="CS460" s="1">
        <v>0.0</v>
      </c>
      <c r="CT460" s="1">
        <v>0.0</v>
      </c>
      <c r="CU460" s="1">
        <v>0.0</v>
      </c>
      <c r="CV460" s="1">
        <v>0.0</v>
      </c>
      <c r="CW460" s="1">
        <v>0.0</v>
      </c>
      <c r="CX460" s="1">
        <v>0.0</v>
      </c>
      <c r="CY460" s="1">
        <v>1.0</v>
      </c>
      <c r="CZ460" s="1">
        <v>0.0</v>
      </c>
      <c r="DA460" s="1">
        <v>0.0</v>
      </c>
      <c r="DB460" s="1">
        <v>1.0</v>
      </c>
      <c r="DC460" s="1">
        <v>1.0</v>
      </c>
      <c r="DD460" s="1" t="s">
        <v>2248</v>
      </c>
      <c r="DE460" s="1">
        <v>0.00425038383706131</v>
      </c>
      <c r="DF460" s="2" t="s">
        <v>2249</v>
      </c>
    </row>
    <row r="461" ht="15.75" customHeight="1">
      <c r="A461" s="1" t="s">
        <v>2250</v>
      </c>
      <c r="B461" s="1">
        <v>29.0</v>
      </c>
      <c r="C461" s="2" t="s">
        <v>2039</v>
      </c>
      <c r="D461" s="2" t="s">
        <v>2251</v>
      </c>
      <c r="E461" s="1">
        <v>1.281</v>
      </c>
      <c r="F461" s="1">
        <v>29095.0</v>
      </c>
      <c r="G461" s="1">
        <v>2.90950152E10</v>
      </c>
      <c r="H461" s="1" t="s">
        <v>112</v>
      </c>
      <c r="I461" s="1" t="s">
        <v>113</v>
      </c>
      <c r="J461" s="1" t="s">
        <v>2041</v>
      </c>
      <c r="K461" s="1" t="s">
        <v>2252</v>
      </c>
      <c r="L461" s="1">
        <v>1727.0</v>
      </c>
      <c r="M461" s="1">
        <v>1628.0</v>
      </c>
      <c r="N461" s="1">
        <v>212.0</v>
      </c>
      <c r="O461" s="1">
        <v>1110.0</v>
      </c>
      <c r="P461" s="1">
        <v>1031.0</v>
      </c>
      <c r="Q461" s="1">
        <v>30.0</v>
      </c>
      <c r="R461" s="1">
        <v>1015.0</v>
      </c>
      <c r="S461" s="1">
        <v>160.0</v>
      </c>
      <c r="T461" s="1">
        <v>106.0</v>
      </c>
      <c r="U461" s="1">
        <v>70.0</v>
      </c>
      <c r="V461" s="1">
        <v>460.0</v>
      </c>
      <c r="W461" s="1">
        <v>36707.0</v>
      </c>
      <c r="X461" s="1">
        <v>9214.0</v>
      </c>
      <c r="Y461" s="1">
        <v>86.0</v>
      </c>
      <c r="Z461" s="1">
        <v>398.0</v>
      </c>
      <c r="AA461" s="1">
        <v>17.0</v>
      </c>
      <c r="AB461" s="1">
        <v>83.0</v>
      </c>
      <c r="AC461" s="1">
        <v>42.0</v>
      </c>
      <c r="AD461" s="1">
        <v>428.0</v>
      </c>
      <c r="AE461" s="1">
        <v>0.0</v>
      </c>
      <c r="AF461" s="1">
        <v>456.0</v>
      </c>
      <c r="AG461" s="1">
        <v>933.0</v>
      </c>
      <c r="AH461" s="1">
        <v>151.0</v>
      </c>
      <c r="AI461" s="1">
        <v>0.0</v>
      </c>
      <c r="AJ461" s="1">
        <v>114.0</v>
      </c>
      <c r="AK461" s="1">
        <v>51.0</v>
      </c>
      <c r="AL461" s="1">
        <v>119.0</v>
      </c>
      <c r="AM461" s="1">
        <v>88.0</v>
      </c>
      <c r="AN461" s="1">
        <v>50.0</v>
      </c>
      <c r="AO461" s="1">
        <v>296.0</v>
      </c>
      <c r="AP461" s="1">
        <v>0.118255</v>
      </c>
      <c r="AQ461" s="1">
        <v>0.077239</v>
      </c>
      <c r="AR461" s="1">
        <v>0.063694</v>
      </c>
      <c r="AS461" s="1">
        <v>0.418158</v>
      </c>
      <c r="AT461" s="1">
        <v>36707.0</v>
      </c>
      <c r="AU461" s="1">
        <v>9214.0</v>
      </c>
      <c r="AV461" s="1">
        <v>0.064807</v>
      </c>
      <c r="AW461" s="1">
        <v>0.299771</v>
      </c>
      <c r="AX461" s="1">
        <v>0.009843</v>
      </c>
      <c r="AY461" s="1">
        <v>0.04806</v>
      </c>
      <c r="AZ461" s="1">
        <v>0.04137931</v>
      </c>
      <c r="BA461" s="1">
        <v>0.247828</v>
      </c>
      <c r="BB461" s="1">
        <v>0.0</v>
      </c>
      <c r="BC461" s="1">
        <v>0.293814</v>
      </c>
      <c r="BD461" s="1">
        <v>0.904946</v>
      </c>
      <c r="BE461" s="1">
        <v>0.144073</v>
      </c>
      <c r="BF461" s="1">
        <v>0.0</v>
      </c>
      <c r="BG461" s="1">
        <v>0.110572</v>
      </c>
      <c r="BH461" s="1">
        <v>0.051671</v>
      </c>
      <c r="BI461" s="1">
        <v>0.120519</v>
      </c>
      <c r="BJ461" s="1">
        <v>0.089159</v>
      </c>
      <c r="BK461" s="1">
        <v>0.050317</v>
      </c>
      <c r="BL461" s="1">
        <v>0.171395</v>
      </c>
      <c r="BM461" s="1">
        <v>0.448</v>
      </c>
      <c r="BN461" s="1">
        <v>0.461</v>
      </c>
      <c r="BO461" s="1">
        <v>0.0939</v>
      </c>
      <c r="BP461" s="1">
        <v>0.183</v>
      </c>
      <c r="BQ461" s="1">
        <v>1.1859</v>
      </c>
      <c r="BR461" s="1">
        <v>0.2505</v>
      </c>
      <c r="BS461" s="1">
        <v>0.005</v>
      </c>
      <c r="BT461" s="1">
        <v>0.01</v>
      </c>
      <c r="BU461" s="1">
        <v>0.045</v>
      </c>
      <c r="BV461" s="1">
        <v>0.06</v>
      </c>
      <c r="BW461" s="1">
        <v>0.006</v>
      </c>
      <c r="BX461" s="1">
        <v>0.759</v>
      </c>
      <c r="BY461" s="1">
        <v>0.0</v>
      </c>
      <c r="BZ461" s="1">
        <v>0.759</v>
      </c>
      <c r="CA461" s="1">
        <v>0.366</v>
      </c>
      <c r="CB461" s="1">
        <v>0.997</v>
      </c>
      <c r="CC461" s="1">
        <v>0.0</v>
      </c>
      <c r="CD461" s="1">
        <v>0.943</v>
      </c>
      <c r="CE461" s="1">
        <v>0.714</v>
      </c>
      <c r="CF461" s="1">
        <v>0.962</v>
      </c>
      <c r="CG461" s="1">
        <v>3.616</v>
      </c>
      <c r="CH461" s="1">
        <v>0.961</v>
      </c>
      <c r="CI461" s="1">
        <v>5.6209</v>
      </c>
      <c r="CJ461" s="1">
        <v>0.3069</v>
      </c>
      <c r="CK461" s="1">
        <v>0.0</v>
      </c>
      <c r="CL461" s="1">
        <v>0.0</v>
      </c>
      <c r="CM461" s="1">
        <v>0.0</v>
      </c>
      <c r="CN461" s="1">
        <v>0.0</v>
      </c>
      <c r="CO461" s="1">
        <v>0.0</v>
      </c>
      <c r="CP461" s="1">
        <v>0.0</v>
      </c>
      <c r="CQ461" s="1">
        <v>0.0</v>
      </c>
      <c r="CR461" s="1">
        <v>0.0</v>
      </c>
      <c r="CS461" s="1">
        <v>0.0</v>
      </c>
      <c r="CT461" s="1">
        <v>0.0</v>
      </c>
      <c r="CU461" s="1">
        <v>0.0</v>
      </c>
      <c r="CV461" s="1">
        <v>0.0</v>
      </c>
      <c r="CW461" s="1">
        <v>1.0</v>
      </c>
      <c r="CX461" s="1">
        <v>0.0</v>
      </c>
      <c r="CY461" s="1">
        <v>1.0</v>
      </c>
      <c r="CZ461" s="1">
        <v>0.0</v>
      </c>
      <c r="DA461" s="1">
        <v>1.0</v>
      </c>
      <c r="DB461" s="1">
        <v>3.0</v>
      </c>
      <c r="DC461" s="1">
        <v>3.0</v>
      </c>
      <c r="DD461" s="1" t="s">
        <v>2253</v>
      </c>
      <c r="DE461" s="1">
        <v>3.90642872748133E-4</v>
      </c>
      <c r="DF461" s="2" t="s">
        <v>2254</v>
      </c>
    </row>
    <row r="462" ht="15.75" customHeight="1">
      <c r="A462" s="1" t="s">
        <v>2255</v>
      </c>
      <c r="B462" s="1">
        <v>29.0</v>
      </c>
      <c r="C462" s="2" t="s">
        <v>2039</v>
      </c>
      <c r="D462" s="2" t="s">
        <v>2256</v>
      </c>
      <c r="E462" s="1">
        <v>1.09</v>
      </c>
      <c r="F462" s="1">
        <v>29095.0</v>
      </c>
      <c r="G462" s="1">
        <v>2.90950153E10</v>
      </c>
      <c r="H462" s="1" t="s">
        <v>112</v>
      </c>
      <c r="I462" s="1" t="s">
        <v>113</v>
      </c>
      <c r="J462" s="1" t="s">
        <v>2041</v>
      </c>
      <c r="K462" s="1" t="s">
        <v>2257</v>
      </c>
      <c r="L462" s="1">
        <v>3149.0</v>
      </c>
      <c r="M462" s="1">
        <v>3559.0</v>
      </c>
      <c r="N462" s="1">
        <v>532.0</v>
      </c>
      <c r="O462" s="1">
        <v>1380.0</v>
      </c>
      <c r="P462" s="1">
        <v>1499.0</v>
      </c>
      <c r="Q462" s="1">
        <v>113.0</v>
      </c>
      <c r="R462" s="1">
        <v>1234.0</v>
      </c>
      <c r="S462" s="1">
        <v>1067.0</v>
      </c>
      <c r="T462" s="1">
        <v>482.0</v>
      </c>
      <c r="U462" s="1">
        <v>175.0</v>
      </c>
      <c r="V462" s="1">
        <v>405.0</v>
      </c>
      <c r="W462" s="1">
        <v>19016.0</v>
      </c>
      <c r="X462" s="1">
        <v>3304.0</v>
      </c>
      <c r="Y462" s="1">
        <v>854.0</v>
      </c>
      <c r="Z462" s="1">
        <v>267.0</v>
      </c>
      <c r="AA462" s="1">
        <v>320.0</v>
      </c>
      <c r="AB462" s="1">
        <v>892.0</v>
      </c>
      <c r="AC462" s="1">
        <v>254.0</v>
      </c>
      <c r="AD462" s="1">
        <v>2552.0</v>
      </c>
      <c r="AE462" s="1">
        <v>532.0</v>
      </c>
      <c r="AF462" s="1">
        <v>461.0</v>
      </c>
      <c r="AG462" s="1">
        <v>120.0</v>
      </c>
      <c r="AH462" s="1">
        <v>129.0</v>
      </c>
      <c r="AI462" s="1">
        <v>13.0</v>
      </c>
      <c r="AJ462" s="1">
        <v>20.0</v>
      </c>
      <c r="AK462" s="1">
        <v>64.0</v>
      </c>
      <c r="AL462" s="1">
        <v>133.0</v>
      </c>
      <c r="AM462" s="1">
        <v>282.0</v>
      </c>
      <c r="AN462" s="1">
        <v>107.0</v>
      </c>
      <c r="AO462" s="1">
        <v>2.0</v>
      </c>
      <c r="AP462" s="1">
        <v>0.302695</v>
      </c>
      <c r="AQ462" s="1">
        <v>0.128758</v>
      </c>
      <c r="AR462" s="1">
        <v>0.097493</v>
      </c>
      <c r="AS462" s="1">
        <v>0.224887</v>
      </c>
      <c r="AT462" s="1">
        <v>19016.0</v>
      </c>
      <c r="AU462" s="1">
        <v>3304.0</v>
      </c>
      <c r="AV462" s="1">
        <v>0.344354</v>
      </c>
      <c r="AW462" s="1">
        <v>0.101127</v>
      </c>
      <c r="AX462" s="1">
        <v>0.101619</v>
      </c>
      <c r="AY462" s="1">
        <v>0.283264</v>
      </c>
      <c r="AZ462" s="1">
        <v>0.20583468</v>
      </c>
      <c r="BA462" s="1">
        <v>0.810416</v>
      </c>
      <c r="BB462" s="1">
        <v>0.161065</v>
      </c>
      <c r="BC462" s="1">
        <v>0.137441</v>
      </c>
      <c r="BD462" s="1">
        <v>0.080053</v>
      </c>
      <c r="BE462" s="1">
        <v>0.085845</v>
      </c>
      <c r="BF462" s="1">
        <v>0.008672</v>
      </c>
      <c r="BG462" s="1">
        <v>0.013326</v>
      </c>
      <c r="BH462" s="1">
        <v>0.044975</v>
      </c>
      <c r="BI462" s="1">
        <v>0.093378</v>
      </c>
      <c r="BJ462" s="1">
        <v>0.198172</v>
      </c>
      <c r="BK462" s="1">
        <v>0.073083</v>
      </c>
      <c r="BL462" s="1">
        <v>6.35E-4</v>
      </c>
      <c r="BM462" s="1">
        <v>0.887</v>
      </c>
      <c r="BN462" s="1">
        <v>0.717</v>
      </c>
      <c r="BO462" s="1">
        <v>0.67</v>
      </c>
      <c r="BP462" s="1">
        <v>0.973</v>
      </c>
      <c r="BQ462" s="1">
        <v>3.247</v>
      </c>
      <c r="BR462" s="1">
        <v>0.8664</v>
      </c>
      <c r="BS462" s="1">
        <v>0.222</v>
      </c>
      <c r="BT462" s="1">
        <v>0.861</v>
      </c>
      <c r="BU462" s="1">
        <v>0.9</v>
      </c>
      <c r="BV462" s="1">
        <v>1.983</v>
      </c>
      <c r="BW462" s="1">
        <v>0.849</v>
      </c>
      <c r="BX462" s="1">
        <v>0.925</v>
      </c>
      <c r="BY462" s="1">
        <v>0.992</v>
      </c>
      <c r="BZ462" s="1">
        <v>1.917</v>
      </c>
      <c r="CA462" s="1">
        <v>0.997</v>
      </c>
      <c r="CB462" s="1">
        <v>0.732</v>
      </c>
      <c r="CC462" s="1">
        <v>0.446</v>
      </c>
      <c r="CD462" s="1">
        <v>0.915</v>
      </c>
      <c r="CE462" s="1">
        <v>0.905</v>
      </c>
      <c r="CF462" s="1">
        <v>0.375</v>
      </c>
      <c r="CG462" s="1">
        <v>3.373</v>
      </c>
      <c r="CH462" s="1">
        <v>0.902</v>
      </c>
      <c r="CI462" s="1">
        <v>10.52</v>
      </c>
      <c r="CJ462" s="1">
        <v>0.9733</v>
      </c>
      <c r="CK462" s="1">
        <v>0.0</v>
      </c>
      <c r="CL462" s="1">
        <v>0.0</v>
      </c>
      <c r="CM462" s="1">
        <v>0.0</v>
      </c>
      <c r="CN462" s="1">
        <v>1.0</v>
      </c>
      <c r="CO462" s="1">
        <v>1.0</v>
      </c>
      <c r="CP462" s="1">
        <v>0.0</v>
      </c>
      <c r="CQ462" s="1">
        <v>0.0</v>
      </c>
      <c r="CR462" s="1">
        <v>1.0</v>
      </c>
      <c r="CS462" s="1">
        <v>1.0</v>
      </c>
      <c r="CT462" s="1">
        <v>1.0</v>
      </c>
      <c r="CU462" s="1">
        <v>1.0</v>
      </c>
      <c r="CV462" s="1">
        <v>2.0</v>
      </c>
      <c r="CW462" s="1">
        <v>0.0</v>
      </c>
      <c r="CX462" s="1">
        <v>0.0</v>
      </c>
      <c r="CY462" s="1">
        <v>1.0</v>
      </c>
      <c r="CZ462" s="1">
        <v>1.0</v>
      </c>
      <c r="DA462" s="1">
        <v>0.0</v>
      </c>
      <c r="DB462" s="1">
        <v>2.0</v>
      </c>
      <c r="DC462" s="1">
        <v>6.0</v>
      </c>
      <c r="DD462" s="1" t="s">
        <v>2258</v>
      </c>
      <c r="DE462" s="1">
        <v>2.95702838061613E-4</v>
      </c>
      <c r="DF462" s="1">
        <v>0.0839640218964328</v>
      </c>
    </row>
    <row r="463" ht="15.75" customHeight="1">
      <c r="A463" s="1" t="s">
        <v>2259</v>
      </c>
      <c r="B463" s="1">
        <v>29.0</v>
      </c>
      <c r="C463" s="2" t="s">
        <v>2039</v>
      </c>
      <c r="D463" s="2" t="s">
        <v>2260</v>
      </c>
      <c r="E463" s="1">
        <v>0.682</v>
      </c>
      <c r="F463" s="1">
        <v>29095.0</v>
      </c>
      <c r="G463" s="1">
        <v>2.90950154E10</v>
      </c>
      <c r="H463" s="1" t="s">
        <v>112</v>
      </c>
      <c r="I463" s="1" t="s">
        <v>113</v>
      </c>
      <c r="J463" s="1" t="s">
        <v>2041</v>
      </c>
      <c r="K463" s="1" t="s">
        <v>2261</v>
      </c>
      <c r="L463" s="1">
        <v>3826.0</v>
      </c>
      <c r="M463" s="1">
        <v>3484.0</v>
      </c>
      <c r="N463" s="1">
        <v>548.0</v>
      </c>
      <c r="O463" s="1">
        <v>1496.0</v>
      </c>
      <c r="P463" s="1">
        <v>1639.0</v>
      </c>
      <c r="Q463" s="1">
        <v>68.0</v>
      </c>
      <c r="R463" s="1">
        <v>1339.0</v>
      </c>
      <c r="S463" s="1">
        <v>1958.0</v>
      </c>
      <c r="T463" s="1">
        <v>637.0</v>
      </c>
      <c r="U463" s="1">
        <v>329.0</v>
      </c>
      <c r="V463" s="1">
        <v>366.0</v>
      </c>
      <c r="W463" s="1">
        <v>7885.0</v>
      </c>
      <c r="X463" s="1">
        <v>1361.0</v>
      </c>
      <c r="Y463" s="1">
        <v>583.0</v>
      </c>
      <c r="Z463" s="1">
        <v>235.0</v>
      </c>
      <c r="AA463" s="1">
        <v>134.0</v>
      </c>
      <c r="AB463" s="1">
        <v>1413.0</v>
      </c>
      <c r="AC463" s="1">
        <v>489.0</v>
      </c>
      <c r="AD463" s="1">
        <v>3263.0</v>
      </c>
      <c r="AE463" s="1">
        <v>79.0</v>
      </c>
      <c r="AF463" s="1">
        <v>400.0</v>
      </c>
      <c r="AG463" s="1">
        <v>793.0</v>
      </c>
      <c r="AH463" s="1">
        <v>179.0</v>
      </c>
      <c r="AI463" s="1">
        <v>0.0</v>
      </c>
      <c r="AJ463" s="1">
        <v>114.0</v>
      </c>
      <c r="AK463" s="1">
        <v>90.0</v>
      </c>
      <c r="AL463" s="1">
        <v>130.0</v>
      </c>
      <c r="AM463" s="1">
        <v>549.0</v>
      </c>
      <c r="AN463" s="1">
        <v>140.0</v>
      </c>
      <c r="AO463" s="1">
        <v>402.0</v>
      </c>
      <c r="AP463" s="1">
        <v>0.561997</v>
      </c>
      <c r="AQ463" s="1">
        <v>0.160046</v>
      </c>
      <c r="AR463" s="1">
        <v>0.292184</v>
      </c>
      <c r="AS463" s="1">
        <v>0.3167</v>
      </c>
      <c r="AT463" s="1">
        <v>7885.0</v>
      </c>
      <c r="AU463" s="1">
        <v>1361.0</v>
      </c>
      <c r="AV463" s="1">
        <v>0.367359</v>
      </c>
      <c r="AW463" s="1">
        <v>0.139952</v>
      </c>
      <c r="AX463" s="1">
        <v>0.035023</v>
      </c>
      <c r="AY463" s="1">
        <v>0.369315</v>
      </c>
      <c r="AZ463" s="1">
        <v>0.3651979</v>
      </c>
      <c r="BA463" s="1">
        <v>0.852848</v>
      </c>
      <c r="BB463" s="1">
        <v>0.027622</v>
      </c>
      <c r="BC463" s="1">
        <v>0.139797</v>
      </c>
      <c r="BD463" s="1">
        <v>0.483831</v>
      </c>
      <c r="BE463" s="1">
        <v>0.107352</v>
      </c>
      <c r="BF463" s="1">
        <v>0.0</v>
      </c>
      <c r="BG463" s="1">
        <v>0.069554</v>
      </c>
      <c r="BH463" s="1">
        <v>0.067214</v>
      </c>
      <c r="BI463" s="1">
        <v>0.096887</v>
      </c>
      <c r="BJ463" s="1">
        <v>0.410007</v>
      </c>
      <c r="BK463" s="1">
        <v>0.097417</v>
      </c>
      <c r="BL463" s="1">
        <v>0.10507</v>
      </c>
      <c r="BM463" s="1">
        <v>0.993</v>
      </c>
      <c r="BN463" s="1">
        <v>0.988</v>
      </c>
      <c r="BO463" s="1">
        <v>0.9964</v>
      </c>
      <c r="BP463" s="1">
        <v>0.984</v>
      </c>
      <c r="BQ463" s="1">
        <v>3.9614</v>
      </c>
      <c r="BR463" s="1">
        <v>1.0</v>
      </c>
      <c r="BS463" s="1">
        <v>0.014</v>
      </c>
      <c r="BT463" s="1">
        <v>0.99</v>
      </c>
      <c r="BU463" s="1">
        <v>0.992</v>
      </c>
      <c r="BV463" s="1">
        <v>1.996</v>
      </c>
      <c r="BW463" s="1">
        <v>0.856</v>
      </c>
      <c r="BX463" s="1">
        <v>0.933</v>
      </c>
      <c r="BY463" s="1">
        <v>0.905</v>
      </c>
      <c r="BZ463" s="1">
        <v>1.838</v>
      </c>
      <c r="CA463" s="1">
        <v>0.976</v>
      </c>
      <c r="CB463" s="1">
        <v>0.981</v>
      </c>
      <c r="CC463" s="1">
        <v>0.0</v>
      </c>
      <c r="CD463" s="1">
        <v>0.974</v>
      </c>
      <c r="CE463" s="1">
        <v>0.988</v>
      </c>
      <c r="CF463" s="1">
        <v>0.945</v>
      </c>
      <c r="CG463" s="1">
        <v>3.888</v>
      </c>
      <c r="CH463" s="1">
        <v>0.992</v>
      </c>
      <c r="CI463" s="1">
        <v>11.6834</v>
      </c>
      <c r="CJ463" s="1">
        <v>0.9993</v>
      </c>
      <c r="CK463" s="1">
        <v>1.0</v>
      </c>
      <c r="CL463" s="1">
        <v>1.0</v>
      </c>
      <c r="CM463" s="1">
        <v>1.0</v>
      </c>
      <c r="CN463" s="1">
        <v>1.0</v>
      </c>
      <c r="CO463" s="1">
        <v>4.0</v>
      </c>
      <c r="CP463" s="1">
        <v>0.0</v>
      </c>
      <c r="CQ463" s="1">
        <v>1.0</v>
      </c>
      <c r="CR463" s="1">
        <v>1.0</v>
      </c>
      <c r="CS463" s="1">
        <v>2.0</v>
      </c>
      <c r="CT463" s="1">
        <v>1.0</v>
      </c>
      <c r="CU463" s="1">
        <v>1.0</v>
      </c>
      <c r="CV463" s="1">
        <v>2.0</v>
      </c>
      <c r="CW463" s="1">
        <v>1.0</v>
      </c>
      <c r="CX463" s="1">
        <v>0.0</v>
      </c>
      <c r="CY463" s="1">
        <v>1.0</v>
      </c>
      <c r="CZ463" s="1">
        <v>1.0</v>
      </c>
      <c r="DA463" s="1">
        <v>1.0</v>
      </c>
      <c r="DB463" s="1">
        <v>4.0</v>
      </c>
      <c r="DC463" s="1">
        <v>12.0</v>
      </c>
      <c r="DD463" s="1" t="s">
        <v>2262</v>
      </c>
      <c r="DE463" s="1">
        <v>1.85174773998793E-4</v>
      </c>
      <c r="DF463" s="1">
        <v>0.0680125563987728</v>
      </c>
    </row>
    <row r="464" ht="15.75" customHeight="1">
      <c r="A464" s="1" t="s">
        <v>2263</v>
      </c>
      <c r="B464" s="1">
        <v>29.0</v>
      </c>
      <c r="C464" s="2" t="s">
        <v>2039</v>
      </c>
      <c r="D464" s="2" t="s">
        <v>2264</v>
      </c>
      <c r="E464" s="1">
        <v>9.694</v>
      </c>
      <c r="F464" s="1">
        <v>29095.0</v>
      </c>
      <c r="G464" s="1">
        <v>2.90950155E10</v>
      </c>
      <c r="H464" s="1" t="s">
        <v>112</v>
      </c>
      <c r="I464" s="1" t="s">
        <v>113</v>
      </c>
      <c r="J464" s="1" t="s">
        <v>2041</v>
      </c>
      <c r="K464" s="1" t="s">
        <v>2265</v>
      </c>
      <c r="L464" s="1">
        <v>1415.0</v>
      </c>
      <c r="M464" s="1">
        <v>1248.0</v>
      </c>
      <c r="N464" s="1">
        <v>248.0</v>
      </c>
      <c r="O464" s="1">
        <v>723.0</v>
      </c>
      <c r="P464" s="1">
        <v>777.0</v>
      </c>
      <c r="Q464" s="1">
        <v>55.0</v>
      </c>
      <c r="R464" s="1">
        <v>540.0</v>
      </c>
      <c r="S464" s="1">
        <v>475.0</v>
      </c>
      <c r="T464" s="1">
        <v>171.0</v>
      </c>
      <c r="U464" s="1">
        <v>98.0</v>
      </c>
      <c r="V464" s="1">
        <v>414.0</v>
      </c>
      <c r="W464" s="1">
        <v>16350.0</v>
      </c>
      <c r="X464" s="1">
        <v>3013.0</v>
      </c>
      <c r="Y464" s="1">
        <v>216.0</v>
      </c>
      <c r="Z464" s="1">
        <v>244.0</v>
      </c>
      <c r="AA464" s="1">
        <v>147.0</v>
      </c>
      <c r="AB464" s="1">
        <v>360.0</v>
      </c>
      <c r="AC464" s="1">
        <v>84.0</v>
      </c>
      <c r="AD464" s="1">
        <v>521.0</v>
      </c>
      <c r="AE464" s="1">
        <v>54.0</v>
      </c>
      <c r="AF464" s="1">
        <v>413.0</v>
      </c>
      <c r="AG464" s="1">
        <v>51.0</v>
      </c>
      <c r="AH464" s="1">
        <v>123.0</v>
      </c>
      <c r="AI464" s="1">
        <v>60.0</v>
      </c>
      <c r="AJ464" s="1">
        <v>42.0</v>
      </c>
      <c r="AK464" s="1">
        <v>15.0</v>
      </c>
      <c r="AL464" s="1">
        <v>115.0</v>
      </c>
      <c r="AM464" s="1">
        <v>138.0</v>
      </c>
      <c r="AN464" s="1">
        <v>75.0</v>
      </c>
      <c r="AO464" s="1">
        <v>3.0</v>
      </c>
      <c r="AP464" s="1">
        <v>0.380608</v>
      </c>
      <c r="AQ464" s="1">
        <v>0.114253</v>
      </c>
      <c r="AR464" s="1">
        <v>0.172231</v>
      </c>
      <c r="AS464" s="1">
        <v>0.723021</v>
      </c>
      <c r="AT464" s="1">
        <v>16350.0</v>
      </c>
      <c r="AU464" s="1">
        <v>3013.0</v>
      </c>
      <c r="AV464" s="1">
        <v>0.253521</v>
      </c>
      <c r="AW464" s="1">
        <v>0.283468</v>
      </c>
      <c r="AX464" s="1">
        <v>0.103886</v>
      </c>
      <c r="AY464" s="1">
        <v>0.254416</v>
      </c>
      <c r="AZ464" s="1">
        <v>0.15555555</v>
      </c>
      <c r="BA464" s="1">
        <v>0.368197</v>
      </c>
      <c r="BB464" s="1">
        <v>0.047038</v>
      </c>
      <c r="BC464" s="1">
        <v>0.359656</v>
      </c>
      <c r="BD464" s="1">
        <v>0.065637</v>
      </c>
      <c r="BE464" s="1">
        <v>0.158232</v>
      </c>
      <c r="BF464" s="1">
        <v>0.07722</v>
      </c>
      <c r="BG464" s="1">
        <v>0.053776</v>
      </c>
      <c r="BH464" s="1">
        <v>0.025553</v>
      </c>
      <c r="BI464" s="1">
        <v>0.195884</v>
      </c>
      <c r="BJ464" s="1">
        <v>0.235093</v>
      </c>
      <c r="BK464" s="1">
        <v>0.124187</v>
      </c>
      <c r="BL464" s="1">
        <v>0.00212</v>
      </c>
      <c r="BM464" s="1">
        <v>0.943</v>
      </c>
      <c r="BN464" s="1">
        <v>0.924</v>
      </c>
      <c r="BO464" s="1">
        <v>0.8195</v>
      </c>
      <c r="BP464" s="1">
        <v>0.876</v>
      </c>
      <c r="BQ464" s="1">
        <v>3.5625</v>
      </c>
      <c r="BR464" s="1">
        <v>0.9336</v>
      </c>
      <c r="BS464" s="1">
        <v>0.235</v>
      </c>
      <c r="BT464" s="1">
        <v>0.651</v>
      </c>
      <c r="BU464" s="1">
        <v>0.812</v>
      </c>
      <c r="BV464" s="1">
        <v>1.698</v>
      </c>
      <c r="BW464" s="1">
        <v>0.639</v>
      </c>
      <c r="BX464" s="1">
        <v>0.827</v>
      </c>
      <c r="BY464" s="1">
        <v>0.956</v>
      </c>
      <c r="BZ464" s="1">
        <v>1.783</v>
      </c>
      <c r="CA464" s="1">
        <v>0.959</v>
      </c>
      <c r="CB464" s="1">
        <v>0.705</v>
      </c>
      <c r="CC464" s="1">
        <v>0.671</v>
      </c>
      <c r="CD464" s="1">
        <v>0.766</v>
      </c>
      <c r="CE464" s="1">
        <v>0.929</v>
      </c>
      <c r="CF464" s="1">
        <v>0.448</v>
      </c>
      <c r="CG464" s="1">
        <v>3.519</v>
      </c>
      <c r="CH464" s="1">
        <v>0.938</v>
      </c>
      <c r="CI464" s="1">
        <v>10.5625</v>
      </c>
      <c r="CJ464" s="1">
        <v>0.9762</v>
      </c>
      <c r="CK464" s="1">
        <v>1.0</v>
      </c>
      <c r="CL464" s="1">
        <v>1.0</v>
      </c>
      <c r="CM464" s="1">
        <v>0.0</v>
      </c>
      <c r="CN464" s="1">
        <v>0.0</v>
      </c>
      <c r="CO464" s="1">
        <v>2.0</v>
      </c>
      <c r="CP464" s="1">
        <v>0.0</v>
      </c>
      <c r="CQ464" s="1">
        <v>0.0</v>
      </c>
      <c r="CR464" s="1">
        <v>0.0</v>
      </c>
      <c r="CS464" s="1">
        <v>0.0</v>
      </c>
      <c r="CT464" s="1">
        <v>0.0</v>
      </c>
      <c r="CU464" s="1">
        <v>1.0</v>
      </c>
      <c r="CV464" s="1">
        <v>1.0</v>
      </c>
      <c r="CW464" s="1">
        <v>0.0</v>
      </c>
      <c r="CX464" s="1">
        <v>0.0</v>
      </c>
      <c r="CY464" s="1">
        <v>0.0</v>
      </c>
      <c r="CZ464" s="1">
        <v>1.0</v>
      </c>
      <c r="DA464" s="1">
        <v>0.0</v>
      </c>
      <c r="DB464" s="1">
        <v>1.0</v>
      </c>
      <c r="DC464" s="1">
        <v>4.0</v>
      </c>
      <c r="DD464" s="1" t="s">
        <v>2266</v>
      </c>
      <c r="DE464" s="1">
        <v>0.00280623839340356</v>
      </c>
      <c r="DF464" s="2" t="s">
        <v>2267</v>
      </c>
    </row>
    <row r="465" ht="15.75" customHeight="1">
      <c r="A465" s="1" t="s">
        <v>2268</v>
      </c>
      <c r="B465" s="1">
        <v>29.0</v>
      </c>
      <c r="C465" s="2" t="s">
        <v>2039</v>
      </c>
      <c r="D465" s="2" t="s">
        <v>2269</v>
      </c>
      <c r="E465" s="1">
        <v>0.873</v>
      </c>
      <c r="F465" s="1">
        <v>29095.0</v>
      </c>
      <c r="G465" s="1">
        <v>2.90950161E10</v>
      </c>
      <c r="H465" s="1" t="s">
        <v>112</v>
      </c>
      <c r="I465" s="1" t="s">
        <v>113</v>
      </c>
      <c r="J465" s="1" t="s">
        <v>2041</v>
      </c>
      <c r="K465" s="1" t="s">
        <v>2270</v>
      </c>
      <c r="L465" s="1">
        <v>2046.0</v>
      </c>
      <c r="M465" s="1">
        <v>2075.0</v>
      </c>
      <c r="N465" s="1">
        <v>328.0</v>
      </c>
      <c r="O465" s="1">
        <v>1282.0</v>
      </c>
      <c r="P465" s="1">
        <v>1288.0</v>
      </c>
      <c r="Q465" s="1">
        <v>60.0</v>
      </c>
      <c r="R465" s="1">
        <v>1087.0</v>
      </c>
      <c r="S465" s="1">
        <v>414.0</v>
      </c>
      <c r="T465" s="1">
        <v>181.0</v>
      </c>
      <c r="U465" s="1">
        <v>199.0</v>
      </c>
      <c r="V465" s="1">
        <v>379.0</v>
      </c>
      <c r="W465" s="1">
        <v>15956.0</v>
      </c>
      <c r="X465" s="1">
        <v>1660.0</v>
      </c>
      <c r="Y465" s="1">
        <v>280.0</v>
      </c>
      <c r="Z465" s="1">
        <v>340.0</v>
      </c>
      <c r="AA465" s="1">
        <v>357.0</v>
      </c>
      <c r="AB465" s="1">
        <v>378.0</v>
      </c>
      <c r="AC465" s="1">
        <v>174.0</v>
      </c>
      <c r="AD465" s="1">
        <v>1930.0</v>
      </c>
      <c r="AE465" s="1">
        <v>11.0</v>
      </c>
      <c r="AF465" s="1">
        <v>442.0</v>
      </c>
      <c r="AG465" s="1">
        <v>352.0</v>
      </c>
      <c r="AH465" s="1">
        <v>102.0</v>
      </c>
      <c r="AI465" s="1">
        <v>0.0</v>
      </c>
      <c r="AJ465" s="1">
        <v>114.0</v>
      </c>
      <c r="AK465" s="1">
        <v>0.0</v>
      </c>
      <c r="AL465" s="1">
        <v>161.0</v>
      </c>
      <c r="AM465" s="1">
        <v>268.0</v>
      </c>
      <c r="AN465" s="1">
        <v>93.0</v>
      </c>
      <c r="AO465" s="1">
        <v>113.0</v>
      </c>
      <c r="AP465" s="1">
        <v>0.202841</v>
      </c>
      <c r="AQ465" s="1">
        <v>0.083268</v>
      </c>
      <c r="AR465" s="1">
        <v>0.236061</v>
      </c>
      <c r="AS465" s="1">
        <v>0.442138</v>
      </c>
      <c r="AT465" s="1">
        <v>15956.0</v>
      </c>
      <c r="AU465" s="1">
        <v>1660.0</v>
      </c>
      <c r="AV465" s="1">
        <v>0.201874</v>
      </c>
      <c r="AW465" s="1">
        <v>0.24365</v>
      </c>
      <c r="AX465" s="1">
        <v>0.174486</v>
      </c>
      <c r="AY465" s="1">
        <v>0.18475</v>
      </c>
      <c r="AZ465" s="1">
        <v>0.16007359</v>
      </c>
      <c r="BA465" s="1">
        <v>0.943304</v>
      </c>
      <c r="BB465" s="1">
        <v>0.005432</v>
      </c>
      <c r="BC465" s="1">
        <v>0.218269</v>
      </c>
      <c r="BD465" s="1">
        <v>0.273291</v>
      </c>
      <c r="BE465" s="1">
        <v>0.078162</v>
      </c>
      <c r="BF465" s="1">
        <v>0.0</v>
      </c>
      <c r="BG465" s="1">
        <v>0.088509</v>
      </c>
      <c r="BH465" s="1">
        <v>0.0</v>
      </c>
      <c r="BI465" s="1">
        <v>0.151743</v>
      </c>
      <c r="BJ465" s="1">
        <v>0.252591</v>
      </c>
      <c r="BK465" s="1">
        <v>0.083797</v>
      </c>
      <c r="BL465" s="1">
        <v>0.055229</v>
      </c>
      <c r="BM465" s="1">
        <v>0.738</v>
      </c>
      <c r="BN465" s="1">
        <v>0.971</v>
      </c>
      <c r="BO465" s="1">
        <v>0.8397</v>
      </c>
      <c r="BP465" s="1">
        <v>0.754</v>
      </c>
      <c r="BQ465" s="1">
        <v>3.3027</v>
      </c>
      <c r="BR465" s="1">
        <v>0.8794</v>
      </c>
      <c r="BS465" s="1">
        <v>0.761</v>
      </c>
      <c r="BT465" s="1">
        <v>0.133</v>
      </c>
      <c r="BU465" s="1">
        <v>0.821</v>
      </c>
      <c r="BV465" s="1">
        <v>1.715</v>
      </c>
      <c r="BW465" s="1">
        <v>0.651</v>
      </c>
      <c r="BX465" s="1">
        <v>0.956</v>
      </c>
      <c r="BY465" s="1">
        <v>0.577</v>
      </c>
      <c r="BZ465" s="1">
        <v>1.533</v>
      </c>
      <c r="CA465" s="1">
        <v>0.846</v>
      </c>
      <c r="CB465" s="1">
        <v>0.93</v>
      </c>
      <c r="CC465" s="1">
        <v>0.0</v>
      </c>
      <c r="CD465" s="1">
        <v>0.0</v>
      </c>
      <c r="CE465" s="1">
        <v>0.943</v>
      </c>
      <c r="CF465" s="1">
        <v>0.905</v>
      </c>
      <c r="CG465" s="1">
        <v>2.778</v>
      </c>
      <c r="CH465" s="1">
        <v>0.68</v>
      </c>
      <c r="CI465" s="1">
        <v>9.3287</v>
      </c>
      <c r="CJ465" s="1">
        <v>0.8903</v>
      </c>
      <c r="CK465" s="1">
        <v>0.0</v>
      </c>
      <c r="CL465" s="1">
        <v>1.0</v>
      </c>
      <c r="CM465" s="1">
        <v>0.0</v>
      </c>
      <c r="CN465" s="1">
        <v>0.0</v>
      </c>
      <c r="CO465" s="1">
        <v>1.0</v>
      </c>
      <c r="CP465" s="1">
        <v>0.0</v>
      </c>
      <c r="CQ465" s="1">
        <v>0.0</v>
      </c>
      <c r="CR465" s="1">
        <v>0.0</v>
      </c>
      <c r="CS465" s="1">
        <v>0.0</v>
      </c>
      <c r="CT465" s="1">
        <v>1.0</v>
      </c>
      <c r="CU465" s="1">
        <v>0.0</v>
      </c>
      <c r="CV465" s="1">
        <v>1.0</v>
      </c>
      <c r="CW465" s="1">
        <v>1.0</v>
      </c>
      <c r="CX465" s="1">
        <v>0.0</v>
      </c>
      <c r="CY465" s="1">
        <v>0.0</v>
      </c>
      <c r="CZ465" s="1">
        <v>1.0</v>
      </c>
      <c r="DA465" s="1">
        <v>1.0</v>
      </c>
      <c r="DB465" s="1">
        <v>3.0</v>
      </c>
      <c r="DC465" s="1">
        <v>5.0</v>
      </c>
      <c r="DD465" s="1" t="s">
        <v>2271</v>
      </c>
      <c r="DE465" s="1">
        <v>2.37494868387497E-4</v>
      </c>
      <c r="DF465" s="1">
        <v>0.0659387924073979</v>
      </c>
    </row>
    <row r="466" ht="15.75" customHeight="1">
      <c r="A466" s="1" t="s">
        <v>2272</v>
      </c>
      <c r="B466" s="1">
        <v>29.0</v>
      </c>
      <c r="C466" s="2" t="s">
        <v>2039</v>
      </c>
      <c r="D466" s="2" t="s">
        <v>2273</v>
      </c>
      <c r="E466" s="1">
        <v>4.243</v>
      </c>
      <c r="F466" s="1">
        <v>29095.0</v>
      </c>
      <c r="G466" s="1">
        <v>2.90950163E10</v>
      </c>
      <c r="H466" s="1" t="s">
        <v>112</v>
      </c>
      <c r="I466" s="1" t="s">
        <v>113</v>
      </c>
      <c r="J466" s="1" t="s">
        <v>2041</v>
      </c>
      <c r="K466" s="1" t="s">
        <v>2274</v>
      </c>
      <c r="L466" s="1">
        <v>2450.0</v>
      </c>
      <c r="M466" s="1">
        <v>3354.0</v>
      </c>
      <c r="N466" s="1">
        <v>531.0</v>
      </c>
      <c r="O466" s="1">
        <v>1334.0</v>
      </c>
      <c r="P466" s="1">
        <v>1464.0</v>
      </c>
      <c r="Q466" s="1">
        <v>105.0</v>
      </c>
      <c r="R466" s="1">
        <v>1086.0</v>
      </c>
      <c r="S466" s="1">
        <v>1217.0</v>
      </c>
      <c r="T466" s="1">
        <v>574.0</v>
      </c>
      <c r="U466" s="1">
        <v>254.0</v>
      </c>
      <c r="V466" s="1">
        <v>446.0</v>
      </c>
      <c r="W466" s="1">
        <v>14702.0</v>
      </c>
      <c r="X466" s="1">
        <v>2967.0</v>
      </c>
      <c r="Y466" s="1">
        <v>669.0</v>
      </c>
      <c r="Z466" s="1">
        <v>281.0</v>
      </c>
      <c r="AA466" s="1">
        <v>206.0</v>
      </c>
      <c r="AB466" s="1">
        <v>593.0</v>
      </c>
      <c r="AC466" s="1">
        <v>206.0</v>
      </c>
      <c r="AD466" s="1">
        <v>1530.0</v>
      </c>
      <c r="AE466" s="1">
        <v>99.0</v>
      </c>
      <c r="AF466" s="1">
        <v>421.0</v>
      </c>
      <c r="AG466" s="1">
        <v>322.0</v>
      </c>
      <c r="AH466" s="1">
        <v>157.0</v>
      </c>
      <c r="AI466" s="1">
        <v>492.0</v>
      </c>
      <c r="AJ466" s="1">
        <v>120.0</v>
      </c>
      <c r="AK466" s="1">
        <v>113.0</v>
      </c>
      <c r="AL466" s="1">
        <v>146.0</v>
      </c>
      <c r="AM466" s="1">
        <v>105.0</v>
      </c>
      <c r="AN466" s="1">
        <v>69.0</v>
      </c>
      <c r="AO466" s="1">
        <v>0.0</v>
      </c>
      <c r="AP466" s="1">
        <v>0.36285</v>
      </c>
      <c r="AQ466" s="1">
        <v>0.161209</v>
      </c>
      <c r="AR466" s="1">
        <v>0.145225</v>
      </c>
      <c r="AS466" s="1">
        <v>0.253022</v>
      </c>
      <c r="AT466" s="1">
        <v>14702.0</v>
      </c>
      <c r="AU466" s="1">
        <v>2967.0</v>
      </c>
      <c r="AV466" s="1">
        <v>0.342725</v>
      </c>
      <c r="AW466" s="1">
        <v>0.136757</v>
      </c>
      <c r="AX466" s="1">
        <v>0.084081</v>
      </c>
      <c r="AY466" s="1">
        <v>0.24204</v>
      </c>
      <c r="AZ466" s="1">
        <v>0.18968692</v>
      </c>
      <c r="BA466" s="1">
        <v>0.624489</v>
      </c>
      <c r="BB466" s="1">
        <v>0.034291</v>
      </c>
      <c r="BC466" s="1">
        <v>0.145748</v>
      </c>
      <c r="BD466" s="1">
        <v>0.219945</v>
      </c>
      <c r="BE466" s="1">
        <v>0.106073</v>
      </c>
      <c r="BF466" s="1">
        <v>0.336065</v>
      </c>
      <c r="BG466" s="1">
        <v>0.078343</v>
      </c>
      <c r="BH466" s="1">
        <v>0.08659</v>
      </c>
      <c r="BI466" s="1">
        <v>0.111588</v>
      </c>
      <c r="BJ466" s="1">
        <v>0.080459</v>
      </c>
      <c r="BK466" s="1">
        <v>0.052344</v>
      </c>
      <c r="BL466" s="1">
        <v>0.0</v>
      </c>
      <c r="BM466" s="1">
        <v>0.93</v>
      </c>
      <c r="BN466" s="1">
        <v>0.889</v>
      </c>
      <c r="BO466" s="1">
        <v>0.8874</v>
      </c>
      <c r="BP466" s="1">
        <v>0.972</v>
      </c>
      <c r="BQ466" s="1">
        <v>3.6784</v>
      </c>
      <c r="BR466" s="1">
        <v>0.9545</v>
      </c>
      <c r="BS466" s="1">
        <v>0.132</v>
      </c>
      <c r="BT466" s="1">
        <v>0.514</v>
      </c>
      <c r="BU466" s="1">
        <v>0.887</v>
      </c>
      <c r="BV466" s="1">
        <v>1.533</v>
      </c>
      <c r="BW466" s="1">
        <v>0.51</v>
      </c>
      <c r="BX466" s="1">
        <v>0.887</v>
      </c>
      <c r="BY466" s="1">
        <v>0.932</v>
      </c>
      <c r="BZ466" s="1">
        <v>1.819</v>
      </c>
      <c r="CA466" s="1">
        <v>0.97</v>
      </c>
      <c r="CB466" s="1">
        <v>0.905</v>
      </c>
      <c r="CC466" s="1">
        <v>0.987</v>
      </c>
      <c r="CD466" s="1">
        <v>0.992</v>
      </c>
      <c r="CE466" s="1">
        <v>0.676</v>
      </c>
      <c r="CF466" s="1">
        <v>0.0</v>
      </c>
      <c r="CG466" s="1">
        <v>3.56</v>
      </c>
      <c r="CH466" s="1">
        <v>0.947</v>
      </c>
      <c r="CI466" s="1">
        <v>10.5904</v>
      </c>
      <c r="CJ466" s="1">
        <v>0.9783</v>
      </c>
      <c r="CK466" s="1">
        <v>1.0</v>
      </c>
      <c r="CL466" s="1">
        <v>0.0</v>
      </c>
      <c r="CM466" s="1">
        <v>0.0</v>
      </c>
      <c r="CN466" s="1">
        <v>1.0</v>
      </c>
      <c r="CO466" s="1">
        <v>2.0</v>
      </c>
      <c r="CP466" s="1">
        <v>0.0</v>
      </c>
      <c r="CQ466" s="1">
        <v>0.0</v>
      </c>
      <c r="CR466" s="1">
        <v>0.0</v>
      </c>
      <c r="CS466" s="1">
        <v>0.0</v>
      </c>
      <c r="CT466" s="1">
        <v>0.0</v>
      </c>
      <c r="CU466" s="1">
        <v>1.0</v>
      </c>
      <c r="CV466" s="1">
        <v>1.0</v>
      </c>
      <c r="CW466" s="1">
        <v>1.0</v>
      </c>
      <c r="CX466" s="1">
        <v>1.0</v>
      </c>
      <c r="CY466" s="1">
        <v>1.0</v>
      </c>
      <c r="CZ466" s="1">
        <v>0.0</v>
      </c>
      <c r="DA466" s="1">
        <v>0.0</v>
      </c>
      <c r="DB466" s="1">
        <v>3.0</v>
      </c>
      <c r="DC466" s="1">
        <v>6.0</v>
      </c>
      <c r="DD466" s="1" t="s">
        <v>2275</v>
      </c>
      <c r="DE466" s="1">
        <v>0.00114549635974176</v>
      </c>
      <c r="DF466" s="2" t="s">
        <v>2276</v>
      </c>
    </row>
    <row r="467" ht="15.75" customHeight="1">
      <c r="A467" s="1" t="s">
        <v>2277</v>
      </c>
      <c r="B467" s="1">
        <v>29.0</v>
      </c>
      <c r="C467" s="2" t="s">
        <v>2039</v>
      </c>
      <c r="D467" s="2" t="s">
        <v>2278</v>
      </c>
      <c r="E467" s="1">
        <v>0.493</v>
      </c>
      <c r="F467" s="1">
        <v>29095.0</v>
      </c>
      <c r="G467" s="1">
        <v>2.90950165E10</v>
      </c>
      <c r="H467" s="1" t="s">
        <v>112</v>
      </c>
      <c r="I467" s="1" t="s">
        <v>113</v>
      </c>
      <c r="J467" s="1" t="s">
        <v>2041</v>
      </c>
      <c r="K467" s="1" t="s">
        <v>2279</v>
      </c>
      <c r="L467" s="1">
        <v>1931.0</v>
      </c>
      <c r="M467" s="1">
        <v>2045.0</v>
      </c>
      <c r="N467" s="1">
        <v>330.0</v>
      </c>
      <c r="O467" s="1">
        <v>1046.0</v>
      </c>
      <c r="P467" s="1">
        <v>1135.0</v>
      </c>
      <c r="Q467" s="1">
        <v>49.0</v>
      </c>
      <c r="R467" s="1">
        <v>770.0</v>
      </c>
      <c r="S467" s="1">
        <v>261.0</v>
      </c>
      <c r="T467" s="1">
        <v>176.0</v>
      </c>
      <c r="U467" s="1">
        <v>132.0</v>
      </c>
      <c r="V467" s="1">
        <v>422.0</v>
      </c>
      <c r="W467" s="1">
        <v>15534.0</v>
      </c>
      <c r="X467" s="1">
        <v>2210.0</v>
      </c>
      <c r="Y467" s="1">
        <v>277.0</v>
      </c>
      <c r="Z467" s="1">
        <v>325.0</v>
      </c>
      <c r="AA467" s="1">
        <v>257.0</v>
      </c>
      <c r="AB467" s="1">
        <v>499.0</v>
      </c>
      <c r="AC467" s="1">
        <v>177.0</v>
      </c>
      <c r="AD467" s="1">
        <v>1869.0</v>
      </c>
      <c r="AE467" s="1">
        <v>7.0</v>
      </c>
      <c r="AF467" s="1">
        <v>442.0</v>
      </c>
      <c r="AG467" s="1">
        <v>46.0</v>
      </c>
      <c r="AH467" s="1">
        <v>48.0</v>
      </c>
      <c r="AI467" s="1">
        <v>0.0</v>
      </c>
      <c r="AJ467" s="1">
        <v>114.0</v>
      </c>
      <c r="AK467" s="1">
        <v>0.0</v>
      </c>
      <c r="AL467" s="1">
        <v>161.0</v>
      </c>
      <c r="AM467" s="1">
        <v>85.0</v>
      </c>
      <c r="AN467" s="1">
        <v>53.0</v>
      </c>
      <c r="AO467" s="1">
        <v>0.0</v>
      </c>
      <c r="AP467" s="1">
        <v>0.1294</v>
      </c>
      <c r="AQ467" s="1">
        <v>0.084976</v>
      </c>
      <c r="AR467" s="1">
        <v>0.147157</v>
      </c>
      <c r="AS467" s="1">
        <v>0.466524</v>
      </c>
      <c r="AT467" s="1">
        <v>15534.0</v>
      </c>
      <c r="AU467" s="1">
        <v>2210.0</v>
      </c>
      <c r="AV467" s="1">
        <v>0.205794</v>
      </c>
      <c r="AW467" s="1">
        <v>0.240166</v>
      </c>
      <c r="AX467" s="1">
        <v>0.133091</v>
      </c>
      <c r="AY467" s="1">
        <v>0.258415</v>
      </c>
      <c r="AZ467" s="1">
        <v>0.22987012</v>
      </c>
      <c r="BA467" s="1">
        <v>0.967892</v>
      </c>
      <c r="BB467" s="1">
        <v>0.003628</v>
      </c>
      <c r="BC467" s="1">
        <v>0.229133</v>
      </c>
      <c r="BD467" s="1">
        <v>0.040528</v>
      </c>
      <c r="BE467" s="1">
        <v>0.042254</v>
      </c>
      <c r="BF467" s="1">
        <v>0.0</v>
      </c>
      <c r="BG467" s="1">
        <v>0.10044</v>
      </c>
      <c r="BH467" s="1">
        <v>0.0</v>
      </c>
      <c r="BI467" s="1">
        <v>0.202515</v>
      </c>
      <c r="BJ467" s="1">
        <v>0.106918</v>
      </c>
      <c r="BK467" s="1">
        <v>0.06524</v>
      </c>
      <c r="BL467" s="1">
        <v>0.0</v>
      </c>
      <c r="BM467" s="1">
        <v>0.494</v>
      </c>
      <c r="BN467" s="1">
        <v>0.894</v>
      </c>
      <c r="BO467" s="1">
        <v>0.8563</v>
      </c>
      <c r="BP467" s="1">
        <v>0.767</v>
      </c>
      <c r="BQ467" s="1">
        <v>3.0113</v>
      </c>
      <c r="BR467" s="1">
        <v>0.8051</v>
      </c>
      <c r="BS467" s="1">
        <v>0.442</v>
      </c>
      <c r="BT467" s="1">
        <v>0.689</v>
      </c>
      <c r="BU467" s="1">
        <v>0.927</v>
      </c>
      <c r="BV467" s="1">
        <v>2.058</v>
      </c>
      <c r="BW467" s="1">
        <v>0.897</v>
      </c>
      <c r="BX467" s="1">
        <v>0.966</v>
      </c>
      <c r="BY467" s="1">
        <v>0.494</v>
      </c>
      <c r="BZ467" s="1">
        <v>1.46</v>
      </c>
      <c r="CA467" s="1">
        <v>0.798</v>
      </c>
      <c r="CB467" s="1">
        <v>0.612</v>
      </c>
      <c r="CC467" s="1">
        <v>0.0</v>
      </c>
      <c r="CD467" s="1">
        <v>0.0</v>
      </c>
      <c r="CE467" s="1">
        <v>0.771</v>
      </c>
      <c r="CF467" s="1">
        <v>0.0</v>
      </c>
      <c r="CG467" s="1">
        <v>1.383</v>
      </c>
      <c r="CH467" s="1">
        <v>0.145</v>
      </c>
      <c r="CI467" s="1">
        <v>7.9123</v>
      </c>
      <c r="CJ467" s="1">
        <v>0.7011</v>
      </c>
      <c r="CK467" s="1">
        <v>0.0</v>
      </c>
      <c r="CL467" s="1">
        <v>0.0</v>
      </c>
      <c r="CM467" s="1">
        <v>0.0</v>
      </c>
      <c r="CN467" s="1">
        <v>0.0</v>
      </c>
      <c r="CO467" s="1">
        <v>0.0</v>
      </c>
      <c r="CP467" s="1">
        <v>0.0</v>
      </c>
      <c r="CQ467" s="1">
        <v>0.0</v>
      </c>
      <c r="CR467" s="1">
        <v>1.0</v>
      </c>
      <c r="CS467" s="1">
        <v>1.0</v>
      </c>
      <c r="CT467" s="1">
        <v>1.0</v>
      </c>
      <c r="CU467" s="1">
        <v>0.0</v>
      </c>
      <c r="CV467" s="1">
        <v>1.0</v>
      </c>
      <c r="CW467" s="1">
        <v>0.0</v>
      </c>
      <c r="CX467" s="1">
        <v>0.0</v>
      </c>
      <c r="CY467" s="1">
        <v>0.0</v>
      </c>
      <c r="CZ467" s="1">
        <v>0.0</v>
      </c>
      <c r="DA467" s="1">
        <v>0.0</v>
      </c>
      <c r="DB467" s="1">
        <v>0.0</v>
      </c>
      <c r="DC467" s="1">
        <v>2.0</v>
      </c>
      <c r="DD467" s="1" t="s">
        <v>2280</v>
      </c>
      <c r="DE467" s="1">
        <v>1.33068320235065E-4</v>
      </c>
      <c r="DF467" s="2" t="s">
        <v>2281</v>
      </c>
    </row>
    <row r="468" ht="15.75" customHeight="1">
      <c r="A468" s="1" t="s">
        <v>2282</v>
      </c>
      <c r="B468" s="1">
        <v>29.0</v>
      </c>
      <c r="C468" s="2" t="s">
        <v>2039</v>
      </c>
      <c r="D468" s="2" t="s">
        <v>2283</v>
      </c>
      <c r="E468" s="1">
        <v>0.502</v>
      </c>
      <c r="F468" s="1">
        <v>29095.0</v>
      </c>
      <c r="G468" s="1">
        <v>2.90950166E10</v>
      </c>
      <c r="H468" s="1" t="s">
        <v>112</v>
      </c>
      <c r="I468" s="1" t="s">
        <v>113</v>
      </c>
      <c r="J468" s="1" t="s">
        <v>2041</v>
      </c>
      <c r="K468" s="1" t="s">
        <v>2284</v>
      </c>
      <c r="L468" s="1">
        <v>1771.0</v>
      </c>
      <c r="M468" s="1">
        <v>1848.0</v>
      </c>
      <c r="N468" s="1">
        <v>355.0</v>
      </c>
      <c r="O468" s="1">
        <v>1047.0</v>
      </c>
      <c r="P468" s="1">
        <v>1124.0</v>
      </c>
      <c r="Q468" s="1">
        <v>93.0</v>
      </c>
      <c r="R468" s="1">
        <v>747.0</v>
      </c>
      <c r="S468" s="1">
        <v>815.0</v>
      </c>
      <c r="T468" s="1">
        <v>362.0</v>
      </c>
      <c r="U468" s="1">
        <v>100.0</v>
      </c>
      <c r="V468" s="1">
        <v>447.0</v>
      </c>
      <c r="W468" s="1">
        <v>11737.0</v>
      </c>
      <c r="X468" s="1">
        <v>2823.0</v>
      </c>
      <c r="Y468" s="1">
        <v>349.0</v>
      </c>
      <c r="Z468" s="1">
        <v>293.0</v>
      </c>
      <c r="AA468" s="1">
        <v>236.0</v>
      </c>
      <c r="AB468" s="1">
        <v>502.0</v>
      </c>
      <c r="AC468" s="1">
        <v>168.0</v>
      </c>
      <c r="AD468" s="1">
        <v>1717.0</v>
      </c>
      <c r="AE468" s="1">
        <v>18.0</v>
      </c>
      <c r="AF468" s="1">
        <v>442.0</v>
      </c>
      <c r="AG468" s="1">
        <v>160.0</v>
      </c>
      <c r="AH468" s="1">
        <v>88.0</v>
      </c>
      <c r="AI468" s="1">
        <v>0.0</v>
      </c>
      <c r="AJ468" s="1">
        <v>114.0</v>
      </c>
      <c r="AK468" s="1">
        <v>0.0</v>
      </c>
      <c r="AL468" s="1">
        <v>161.0</v>
      </c>
      <c r="AM468" s="1">
        <v>260.0</v>
      </c>
      <c r="AN468" s="1">
        <v>98.0</v>
      </c>
      <c r="AO468" s="1">
        <v>31.0</v>
      </c>
      <c r="AP468" s="1">
        <v>0.441017</v>
      </c>
      <c r="AQ468" s="1">
        <v>0.176619</v>
      </c>
      <c r="AR468" s="1">
        <v>0.144092</v>
      </c>
      <c r="AS468" s="1">
        <v>0.640951</v>
      </c>
      <c r="AT468" s="1">
        <v>11737.0</v>
      </c>
      <c r="AU468" s="1">
        <v>2823.0</v>
      </c>
      <c r="AV468" s="1">
        <v>0.307218</v>
      </c>
      <c r="AW468" s="1">
        <v>0.251094</v>
      </c>
      <c r="AX468" s="1">
        <v>0.133258</v>
      </c>
      <c r="AY468" s="1">
        <v>0.283455</v>
      </c>
      <c r="AZ468" s="1">
        <v>0.22489959</v>
      </c>
      <c r="BA468" s="1">
        <v>0.969508</v>
      </c>
      <c r="BB468" s="1">
        <v>0.010752</v>
      </c>
      <c r="BC468" s="1">
        <v>0.264029</v>
      </c>
      <c r="BD468" s="1">
        <v>0.142348</v>
      </c>
      <c r="BE468" s="1">
        <v>0.0774</v>
      </c>
      <c r="BF468" s="1">
        <v>0.0</v>
      </c>
      <c r="BG468" s="1">
        <v>0.101423</v>
      </c>
      <c r="BH468" s="1">
        <v>0.0</v>
      </c>
      <c r="BI468" s="1">
        <v>0.213811</v>
      </c>
      <c r="BJ468" s="1">
        <v>0.345285</v>
      </c>
      <c r="BK468" s="1">
        <v>0.119386</v>
      </c>
      <c r="BL468" s="1">
        <v>0.017504</v>
      </c>
      <c r="BM468" s="1">
        <v>0.978</v>
      </c>
      <c r="BN468" s="1">
        <v>0.885</v>
      </c>
      <c r="BO468" s="1">
        <v>0.9639</v>
      </c>
      <c r="BP468" s="1">
        <v>0.95</v>
      </c>
      <c r="BQ468" s="1">
        <v>3.7769</v>
      </c>
      <c r="BR468" s="1">
        <v>0.9776</v>
      </c>
      <c r="BS468" s="1">
        <v>0.443</v>
      </c>
      <c r="BT468" s="1">
        <v>0.864</v>
      </c>
      <c r="BU468" s="1">
        <v>0.921</v>
      </c>
      <c r="BV468" s="1">
        <v>2.228</v>
      </c>
      <c r="BW468" s="1">
        <v>0.968</v>
      </c>
      <c r="BX468" s="1">
        <v>0.97</v>
      </c>
      <c r="BY468" s="1">
        <v>0.74</v>
      </c>
      <c r="BZ468" s="1">
        <v>1.71</v>
      </c>
      <c r="CA468" s="1">
        <v>0.928</v>
      </c>
      <c r="CB468" s="1">
        <v>0.83</v>
      </c>
      <c r="CC468" s="1">
        <v>0.0</v>
      </c>
      <c r="CD468" s="1">
        <v>0.0</v>
      </c>
      <c r="CE468" s="1">
        <v>0.978</v>
      </c>
      <c r="CF468" s="1">
        <v>0.68</v>
      </c>
      <c r="CG468" s="1">
        <v>2.488</v>
      </c>
      <c r="CH468" s="1">
        <v>0.556</v>
      </c>
      <c r="CI468" s="1">
        <v>10.2029</v>
      </c>
      <c r="CJ468" s="1">
        <v>0.9625</v>
      </c>
      <c r="CK468" s="1">
        <v>1.0</v>
      </c>
      <c r="CL468" s="1">
        <v>0.0</v>
      </c>
      <c r="CM468" s="1">
        <v>1.0</v>
      </c>
      <c r="CN468" s="1">
        <v>1.0</v>
      </c>
      <c r="CO468" s="1">
        <v>3.0</v>
      </c>
      <c r="CP468" s="1">
        <v>0.0</v>
      </c>
      <c r="CQ468" s="1">
        <v>0.0</v>
      </c>
      <c r="CR468" s="1">
        <v>1.0</v>
      </c>
      <c r="CS468" s="1">
        <v>1.0</v>
      </c>
      <c r="CT468" s="1">
        <v>1.0</v>
      </c>
      <c r="CU468" s="1">
        <v>0.0</v>
      </c>
      <c r="CV468" s="1">
        <v>1.0</v>
      </c>
      <c r="CW468" s="1">
        <v>0.0</v>
      </c>
      <c r="CX468" s="1">
        <v>0.0</v>
      </c>
      <c r="CY468" s="1">
        <v>0.0</v>
      </c>
      <c r="CZ468" s="1">
        <v>1.0</v>
      </c>
      <c r="DA468" s="1">
        <v>0.0</v>
      </c>
      <c r="DB468" s="1">
        <v>1.0</v>
      </c>
      <c r="DC468" s="1">
        <v>6.0</v>
      </c>
      <c r="DD468" s="1" t="s">
        <v>2285</v>
      </c>
      <c r="DE468" s="1">
        <v>1.33576249456427E-4</v>
      </c>
      <c r="DF468" s="1">
        <v>0.0474152799080939</v>
      </c>
    </row>
    <row r="469" ht="15.75" customHeight="1">
      <c r="A469" s="1" t="s">
        <v>2286</v>
      </c>
      <c r="B469" s="1">
        <v>29.0</v>
      </c>
      <c r="C469" s="2" t="s">
        <v>2039</v>
      </c>
      <c r="D469" s="2" t="s">
        <v>2287</v>
      </c>
      <c r="E469" s="1">
        <v>0.501</v>
      </c>
      <c r="F469" s="1">
        <v>29095.0</v>
      </c>
      <c r="G469" s="1">
        <v>2.90950167E10</v>
      </c>
      <c r="H469" s="1" t="s">
        <v>112</v>
      </c>
      <c r="I469" s="1" t="s">
        <v>113</v>
      </c>
      <c r="J469" s="1" t="s">
        <v>2041</v>
      </c>
      <c r="K469" s="1" t="s">
        <v>2288</v>
      </c>
      <c r="L469" s="1">
        <v>3368.0</v>
      </c>
      <c r="M469" s="1">
        <v>3008.0</v>
      </c>
      <c r="N469" s="1">
        <v>269.0</v>
      </c>
      <c r="O469" s="1">
        <v>2618.0</v>
      </c>
      <c r="P469" s="1">
        <v>2715.0</v>
      </c>
      <c r="Q469" s="1">
        <v>99.0</v>
      </c>
      <c r="R469" s="1">
        <v>2074.0</v>
      </c>
      <c r="S469" s="1">
        <v>671.0</v>
      </c>
      <c r="T469" s="1">
        <v>206.0</v>
      </c>
      <c r="U469" s="1">
        <v>132.0</v>
      </c>
      <c r="V469" s="1">
        <v>417.0</v>
      </c>
      <c r="W469" s="1">
        <v>26988.0</v>
      </c>
      <c r="X469" s="1">
        <v>4070.0</v>
      </c>
      <c r="Y469" s="1">
        <v>316.0</v>
      </c>
      <c r="Z469" s="1">
        <v>254.0</v>
      </c>
      <c r="AA469" s="1">
        <v>228.0</v>
      </c>
      <c r="AB469" s="1">
        <v>376.0</v>
      </c>
      <c r="AC469" s="1">
        <v>118.0</v>
      </c>
      <c r="AD469" s="1">
        <v>1453.0</v>
      </c>
      <c r="AE469" s="1">
        <v>96.0</v>
      </c>
      <c r="AF469" s="1">
        <v>416.0</v>
      </c>
      <c r="AG469" s="1">
        <v>1297.0</v>
      </c>
      <c r="AH469" s="1">
        <v>187.0</v>
      </c>
      <c r="AI469" s="1">
        <v>0.0</v>
      </c>
      <c r="AJ469" s="1">
        <v>114.0</v>
      </c>
      <c r="AK469" s="1">
        <v>47.0</v>
      </c>
      <c r="AL469" s="1">
        <v>123.0</v>
      </c>
      <c r="AM469" s="1">
        <v>581.0</v>
      </c>
      <c r="AN469" s="1">
        <v>152.0</v>
      </c>
      <c r="AO469" s="1">
        <v>24.0</v>
      </c>
      <c r="AP469" s="1">
        <v>0.223815</v>
      </c>
      <c r="AQ469" s="1">
        <v>0.065666</v>
      </c>
      <c r="AR469" s="1">
        <v>0.060136</v>
      </c>
      <c r="AS469" s="1">
        <v>0.189758</v>
      </c>
      <c r="AT469" s="1">
        <v>26988.0</v>
      </c>
      <c r="AU469" s="1">
        <v>4070.0</v>
      </c>
      <c r="AV469" s="1">
        <v>0.13441</v>
      </c>
      <c r="AW469" s="1">
        <v>0.107156</v>
      </c>
      <c r="AX469" s="1">
        <v>0.067695</v>
      </c>
      <c r="AY469" s="1">
        <v>0.111638</v>
      </c>
      <c r="AZ469" s="1">
        <v>0.05689488</v>
      </c>
      <c r="BA469" s="1">
        <v>0.431413</v>
      </c>
      <c r="BB469" s="1">
        <v>0.034006</v>
      </c>
      <c r="BC469" s="1">
        <v>0.14733</v>
      </c>
      <c r="BD469" s="1">
        <v>0.477716</v>
      </c>
      <c r="BE469" s="1">
        <v>0.066637</v>
      </c>
      <c r="BF469" s="1">
        <v>0.0</v>
      </c>
      <c r="BG469" s="1">
        <v>0.041988</v>
      </c>
      <c r="BH469" s="1">
        <v>0.023301</v>
      </c>
      <c r="BI469" s="1">
        <v>0.060948</v>
      </c>
      <c r="BJ469" s="1">
        <v>0.288051</v>
      </c>
      <c r="BK469" s="1">
        <v>0.071094</v>
      </c>
      <c r="BL469" s="1">
        <v>0.007125</v>
      </c>
      <c r="BM469" s="1">
        <v>0.779</v>
      </c>
      <c r="BN469" s="1">
        <v>0.417</v>
      </c>
      <c r="BO469" s="1">
        <v>0.2845</v>
      </c>
      <c r="BP469" s="1">
        <v>0.494</v>
      </c>
      <c r="BQ469" s="1">
        <v>1.9745</v>
      </c>
      <c r="BR469" s="1">
        <v>0.4852</v>
      </c>
      <c r="BS469" s="1">
        <v>0.076</v>
      </c>
      <c r="BT469" s="1">
        <v>0.03</v>
      </c>
      <c r="BU469" s="1">
        <v>0.115</v>
      </c>
      <c r="BV469" s="1">
        <v>0.221</v>
      </c>
      <c r="BW469" s="1">
        <v>0.015</v>
      </c>
      <c r="BX469" s="1">
        <v>0.85</v>
      </c>
      <c r="BY469" s="1">
        <v>0.93</v>
      </c>
      <c r="BZ469" s="1">
        <v>1.78</v>
      </c>
      <c r="CA469" s="1">
        <v>0.958</v>
      </c>
      <c r="CB469" s="1">
        <v>0.979</v>
      </c>
      <c r="CC469" s="1">
        <v>0.0</v>
      </c>
      <c r="CD469" s="1">
        <v>0.733</v>
      </c>
      <c r="CE469" s="1">
        <v>0.962</v>
      </c>
      <c r="CF469" s="1">
        <v>0.54</v>
      </c>
      <c r="CG469" s="1">
        <v>3.214</v>
      </c>
      <c r="CH469" s="1">
        <v>0.846</v>
      </c>
      <c r="CI469" s="1">
        <v>7.1895</v>
      </c>
      <c r="CJ469" s="1">
        <v>0.5892</v>
      </c>
      <c r="CK469" s="1">
        <v>0.0</v>
      </c>
      <c r="CL469" s="1">
        <v>0.0</v>
      </c>
      <c r="CM469" s="1">
        <v>0.0</v>
      </c>
      <c r="CN469" s="1">
        <v>0.0</v>
      </c>
      <c r="CO469" s="1">
        <v>0.0</v>
      </c>
      <c r="CP469" s="1">
        <v>0.0</v>
      </c>
      <c r="CQ469" s="1">
        <v>0.0</v>
      </c>
      <c r="CR469" s="1">
        <v>0.0</v>
      </c>
      <c r="CS469" s="1">
        <v>0.0</v>
      </c>
      <c r="CT469" s="1">
        <v>0.0</v>
      </c>
      <c r="CU469" s="1">
        <v>1.0</v>
      </c>
      <c r="CV469" s="1">
        <v>1.0</v>
      </c>
      <c r="CW469" s="1">
        <v>1.0</v>
      </c>
      <c r="CX469" s="1">
        <v>0.0</v>
      </c>
      <c r="CY469" s="1">
        <v>0.0</v>
      </c>
      <c r="CZ469" s="1">
        <v>1.0</v>
      </c>
      <c r="DA469" s="1">
        <v>0.0</v>
      </c>
      <c r="DB469" s="1">
        <v>2.0</v>
      </c>
      <c r="DC469" s="1">
        <v>3.0</v>
      </c>
      <c r="DD469" s="1" t="s">
        <v>2289</v>
      </c>
      <c r="DE469" s="1">
        <v>1.35020616708284E-4</v>
      </c>
      <c r="DF469" s="1">
        <v>0.0492712764256471</v>
      </c>
    </row>
    <row r="470" ht="15.75" customHeight="1">
      <c r="A470" s="1" t="s">
        <v>2290</v>
      </c>
      <c r="B470" s="1">
        <v>29.0</v>
      </c>
      <c r="C470" s="2" t="s">
        <v>2039</v>
      </c>
      <c r="D470" s="2" t="s">
        <v>2291</v>
      </c>
      <c r="E470" s="1">
        <v>0.564</v>
      </c>
      <c r="F470" s="1">
        <v>29095.0</v>
      </c>
      <c r="G470" s="1">
        <v>2.90950168E10</v>
      </c>
      <c r="H470" s="1" t="s">
        <v>112</v>
      </c>
      <c r="I470" s="1" t="s">
        <v>113</v>
      </c>
      <c r="J470" s="1" t="s">
        <v>2041</v>
      </c>
      <c r="K470" s="1" t="s">
        <v>2292</v>
      </c>
      <c r="L470" s="1">
        <v>3556.0</v>
      </c>
      <c r="M470" s="1">
        <v>3518.0</v>
      </c>
      <c r="N470" s="1">
        <v>337.0</v>
      </c>
      <c r="O470" s="1">
        <v>2379.0</v>
      </c>
      <c r="P470" s="1">
        <v>2390.0</v>
      </c>
      <c r="Q470" s="1">
        <v>126.0</v>
      </c>
      <c r="R470" s="1">
        <v>2080.0</v>
      </c>
      <c r="S470" s="1">
        <v>807.0</v>
      </c>
      <c r="T470" s="1">
        <v>316.0</v>
      </c>
      <c r="U470" s="1">
        <v>243.0</v>
      </c>
      <c r="V470" s="1">
        <v>379.0</v>
      </c>
      <c r="W470" s="1">
        <v>28987.0</v>
      </c>
      <c r="X470" s="1">
        <v>4690.0</v>
      </c>
      <c r="Y470" s="1">
        <v>224.0</v>
      </c>
      <c r="Z470" s="1">
        <v>316.0</v>
      </c>
      <c r="AA470" s="1">
        <v>305.0</v>
      </c>
      <c r="AB470" s="1">
        <v>285.0</v>
      </c>
      <c r="AC470" s="1">
        <v>81.0</v>
      </c>
      <c r="AD470" s="1">
        <v>1049.0</v>
      </c>
      <c r="AE470" s="1">
        <v>65.0</v>
      </c>
      <c r="AF470" s="1">
        <v>414.0</v>
      </c>
      <c r="AG470" s="1">
        <v>900.0</v>
      </c>
      <c r="AH470" s="1">
        <v>187.0</v>
      </c>
      <c r="AI470" s="1">
        <v>0.0</v>
      </c>
      <c r="AJ470" s="1">
        <v>114.0</v>
      </c>
      <c r="AK470" s="1">
        <v>0.0</v>
      </c>
      <c r="AL470" s="1">
        <v>161.0</v>
      </c>
      <c r="AM470" s="1">
        <v>302.0</v>
      </c>
      <c r="AN470" s="1">
        <v>102.0</v>
      </c>
      <c r="AO470" s="1">
        <v>63.0</v>
      </c>
      <c r="AP470" s="1">
        <v>0.229391</v>
      </c>
      <c r="AQ470" s="1">
        <v>0.087094</v>
      </c>
      <c r="AR470" s="1">
        <v>0.101801</v>
      </c>
      <c r="AS470" s="1">
        <v>0.157898</v>
      </c>
      <c r="AT470" s="1">
        <v>28987.0</v>
      </c>
      <c r="AU470" s="1">
        <v>4690.0</v>
      </c>
      <c r="AV470" s="1">
        <v>0.083178</v>
      </c>
      <c r="AW470" s="1">
        <v>0.117138</v>
      </c>
      <c r="AX470" s="1">
        <v>0.08577</v>
      </c>
      <c r="AY470" s="1">
        <v>0.080146</v>
      </c>
      <c r="AZ470" s="1">
        <v>0.0389423</v>
      </c>
      <c r="BA470" s="1">
        <v>0.294994</v>
      </c>
      <c r="BB470" s="1">
        <v>0.019792</v>
      </c>
      <c r="BC470" s="1">
        <v>0.126052</v>
      </c>
      <c r="BD470" s="1">
        <v>0.376569</v>
      </c>
      <c r="BE470" s="1">
        <v>0.075682</v>
      </c>
      <c r="BF470" s="1">
        <v>0.0</v>
      </c>
      <c r="BG470" s="1">
        <v>0.047698</v>
      </c>
      <c r="BH470" s="1">
        <v>0.0</v>
      </c>
      <c r="BI470" s="1">
        <v>0.079742</v>
      </c>
      <c r="BJ470" s="1">
        <v>0.149578</v>
      </c>
      <c r="BK470" s="1">
        <v>0.049443</v>
      </c>
      <c r="BL470" s="1">
        <v>0.017716</v>
      </c>
      <c r="BM470" s="1">
        <v>0.791</v>
      </c>
      <c r="BN470" s="1">
        <v>0.743</v>
      </c>
      <c r="BO470" s="1">
        <v>0.2217</v>
      </c>
      <c r="BP470" s="1">
        <v>0.259</v>
      </c>
      <c r="BQ470" s="1">
        <v>2.0147</v>
      </c>
      <c r="BR470" s="1">
        <v>0.5004</v>
      </c>
      <c r="BS470" s="1">
        <v>0.143</v>
      </c>
      <c r="BT470" s="1">
        <v>0.017</v>
      </c>
      <c r="BU470" s="1">
        <v>0.034</v>
      </c>
      <c r="BV470" s="1">
        <v>0.194</v>
      </c>
      <c r="BW470" s="1">
        <v>0.012</v>
      </c>
      <c r="BX470" s="1">
        <v>0.785</v>
      </c>
      <c r="BY470" s="1">
        <v>0.855</v>
      </c>
      <c r="BZ470" s="1">
        <v>1.64</v>
      </c>
      <c r="CA470" s="1">
        <v>0.889</v>
      </c>
      <c r="CB470" s="1">
        <v>0.964</v>
      </c>
      <c r="CC470" s="1">
        <v>0.0</v>
      </c>
      <c r="CD470" s="1">
        <v>0.0</v>
      </c>
      <c r="CE470" s="1">
        <v>0.856</v>
      </c>
      <c r="CF470" s="1">
        <v>0.682</v>
      </c>
      <c r="CG470" s="1">
        <v>2.502</v>
      </c>
      <c r="CH470" s="1">
        <v>0.561</v>
      </c>
      <c r="CI470" s="1">
        <v>6.3507</v>
      </c>
      <c r="CJ470" s="1">
        <v>0.4368</v>
      </c>
      <c r="CK470" s="1">
        <v>0.0</v>
      </c>
      <c r="CL470" s="1">
        <v>0.0</v>
      </c>
      <c r="CM470" s="1">
        <v>0.0</v>
      </c>
      <c r="CN470" s="1">
        <v>0.0</v>
      </c>
      <c r="CO470" s="1">
        <v>0.0</v>
      </c>
      <c r="CP470" s="1">
        <v>0.0</v>
      </c>
      <c r="CQ470" s="1">
        <v>0.0</v>
      </c>
      <c r="CR470" s="1">
        <v>0.0</v>
      </c>
      <c r="CS470" s="1">
        <v>0.0</v>
      </c>
      <c r="CT470" s="1">
        <v>0.0</v>
      </c>
      <c r="CU470" s="1">
        <v>0.0</v>
      </c>
      <c r="CV470" s="1">
        <v>0.0</v>
      </c>
      <c r="CW470" s="1">
        <v>1.0</v>
      </c>
      <c r="CX470" s="1">
        <v>0.0</v>
      </c>
      <c r="CY470" s="1">
        <v>0.0</v>
      </c>
      <c r="CZ470" s="1">
        <v>0.0</v>
      </c>
      <c r="DA470" s="1">
        <v>0.0</v>
      </c>
      <c r="DB470" s="1">
        <v>1.0</v>
      </c>
      <c r="DC470" s="1">
        <v>1.0</v>
      </c>
      <c r="DD470" s="1" t="s">
        <v>2293</v>
      </c>
      <c r="DE470" s="1">
        <v>1.52370214245024E-4</v>
      </c>
      <c r="DF470" s="1">
        <v>0.0569022835925142</v>
      </c>
    </row>
    <row r="471" ht="15.75" customHeight="1">
      <c r="A471" s="1" t="s">
        <v>2294</v>
      </c>
      <c r="B471" s="1">
        <v>29.0</v>
      </c>
      <c r="C471" s="2" t="s">
        <v>2039</v>
      </c>
      <c r="D471" s="2" t="s">
        <v>2295</v>
      </c>
      <c r="E471" s="1">
        <v>2.246</v>
      </c>
      <c r="F471" s="1">
        <v>29095.0</v>
      </c>
      <c r="G471" s="1">
        <v>2.9095017E10</v>
      </c>
      <c r="H471" s="1" t="s">
        <v>112</v>
      </c>
      <c r="I471" s="1" t="s">
        <v>113</v>
      </c>
      <c r="J471" s="1" t="s">
        <v>2041</v>
      </c>
      <c r="K471" s="1" t="s">
        <v>2296</v>
      </c>
      <c r="L471" s="1">
        <v>2325.0</v>
      </c>
      <c r="M471" s="1">
        <v>2329.0</v>
      </c>
      <c r="N471" s="1">
        <v>328.0</v>
      </c>
      <c r="O471" s="1">
        <v>1178.0</v>
      </c>
      <c r="P471" s="1">
        <v>1227.0</v>
      </c>
      <c r="Q471" s="1">
        <v>30.0</v>
      </c>
      <c r="R471" s="1">
        <v>1021.0</v>
      </c>
      <c r="S471" s="1">
        <v>534.0</v>
      </c>
      <c r="T471" s="1">
        <v>285.0</v>
      </c>
      <c r="U471" s="1">
        <v>80.0</v>
      </c>
      <c r="V471" s="1">
        <v>414.0</v>
      </c>
      <c r="W471" s="1">
        <v>26378.0</v>
      </c>
      <c r="X471" s="1">
        <v>10805.0</v>
      </c>
      <c r="Y471" s="1">
        <v>456.0</v>
      </c>
      <c r="Z471" s="1">
        <v>285.0</v>
      </c>
      <c r="AA471" s="1">
        <v>350.0</v>
      </c>
      <c r="AB471" s="1">
        <v>504.0</v>
      </c>
      <c r="AC471" s="1">
        <v>158.0</v>
      </c>
      <c r="AD471" s="1">
        <v>913.0</v>
      </c>
      <c r="AE471" s="1">
        <v>34.0</v>
      </c>
      <c r="AF471" s="1">
        <v>445.0</v>
      </c>
      <c r="AG471" s="1">
        <v>140.0</v>
      </c>
      <c r="AH471" s="1">
        <v>91.0</v>
      </c>
      <c r="AI471" s="1">
        <v>23.0</v>
      </c>
      <c r="AJ471" s="1">
        <v>25.0</v>
      </c>
      <c r="AK471" s="1">
        <v>31.0</v>
      </c>
      <c r="AL471" s="1">
        <v>124.0</v>
      </c>
      <c r="AM471" s="1">
        <v>117.0</v>
      </c>
      <c r="AN471" s="1">
        <v>78.0</v>
      </c>
      <c r="AO471" s="1">
        <v>0.0</v>
      </c>
      <c r="AP471" s="1">
        <v>0.229282</v>
      </c>
      <c r="AQ471" s="1">
        <v>0.118032</v>
      </c>
      <c r="AR471" s="1">
        <v>0.075187</v>
      </c>
      <c r="AS471" s="1">
        <v>0.38867</v>
      </c>
      <c r="AT471" s="1">
        <v>26378.0</v>
      </c>
      <c r="AU471" s="1">
        <v>10805.0</v>
      </c>
      <c r="AV471" s="1">
        <v>0.278728</v>
      </c>
      <c r="AW471" s="1">
        <v>0.172218</v>
      </c>
      <c r="AX471" s="1">
        <v>0.150537</v>
      </c>
      <c r="AY471" s="1">
        <v>0.216774</v>
      </c>
      <c r="AZ471" s="1">
        <v>0.15475024</v>
      </c>
      <c r="BA471" s="1">
        <v>0.392688</v>
      </c>
      <c r="BB471" s="1">
        <v>0.015977</v>
      </c>
      <c r="BC471" s="1">
        <v>0.20911</v>
      </c>
      <c r="BD471" s="1">
        <v>0.114099</v>
      </c>
      <c r="BE471" s="1">
        <v>0.074112</v>
      </c>
      <c r="BF471" s="1">
        <v>0.018744</v>
      </c>
      <c r="BG471" s="1">
        <v>0.020369</v>
      </c>
      <c r="BH471" s="1">
        <v>0.028207</v>
      </c>
      <c r="BI471" s="1">
        <v>0.11281</v>
      </c>
      <c r="BJ471" s="1">
        <v>0.10646</v>
      </c>
      <c r="BK471" s="1">
        <v>0.070538</v>
      </c>
      <c r="BL471" s="1">
        <v>0.0</v>
      </c>
      <c r="BM471" s="1">
        <v>0.79</v>
      </c>
      <c r="BN471" s="1">
        <v>0.562</v>
      </c>
      <c r="BO471" s="1">
        <v>0.2996</v>
      </c>
      <c r="BP471" s="1">
        <v>0.919</v>
      </c>
      <c r="BQ471" s="1">
        <v>2.5706</v>
      </c>
      <c r="BR471" s="1">
        <v>0.691</v>
      </c>
      <c r="BS471" s="1">
        <v>0.582</v>
      </c>
      <c r="BT471" s="1">
        <v>0.28</v>
      </c>
      <c r="BU471" s="1">
        <v>0.809</v>
      </c>
      <c r="BV471" s="1">
        <v>1.671</v>
      </c>
      <c r="BW471" s="1">
        <v>0.617</v>
      </c>
      <c r="BX471" s="1">
        <v>0.839</v>
      </c>
      <c r="BY471" s="1">
        <v>0.823</v>
      </c>
      <c r="BZ471" s="1">
        <v>1.662</v>
      </c>
      <c r="CA471" s="1">
        <v>0.902</v>
      </c>
      <c r="CB471" s="1">
        <v>0.794</v>
      </c>
      <c r="CC471" s="1">
        <v>0.506</v>
      </c>
      <c r="CD471" s="1">
        <v>0.788</v>
      </c>
      <c r="CE471" s="1">
        <v>0.769</v>
      </c>
      <c r="CF471" s="1">
        <v>0.0</v>
      </c>
      <c r="CG471" s="1">
        <v>2.857</v>
      </c>
      <c r="CH471" s="1">
        <v>0.713</v>
      </c>
      <c r="CI471" s="1">
        <v>8.7606</v>
      </c>
      <c r="CJ471" s="1">
        <v>0.8195</v>
      </c>
      <c r="CK471" s="1">
        <v>0.0</v>
      </c>
      <c r="CL471" s="1">
        <v>0.0</v>
      </c>
      <c r="CM471" s="1">
        <v>0.0</v>
      </c>
      <c r="CN471" s="1">
        <v>1.0</v>
      </c>
      <c r="CO471" s="1">
        <v>1.0</v>
      </c>
      <c r="CP471" s="1">
        <v>0.0</v>
      </c>
      <c r="CQ471" s="1">
        <v>0.0</v>
      </c>
      <c r="CR471" s="1">
        <v>0.0</v>
      </c>
      <c r="CS471" s="1">
        <v>0.0</v>
      </c>
      <c r="CT471" s="1">
        <v>0.0</v>
      </c>
      <c r="CU471" s="1">
        <v>0.0</v>
      </c>
      <c r="CV471" s="1">
        <v>0.0</v>
      </c>
      <c r="CW471" s="1">
        <v>0.0</v>
      </c>
      <c r="CX471" s="1">
        <v>0.0</v>
      </c>
      <c r="CY471" s="1">
        <v>0.0</v>
      </c>
      <c r="CZ471" s="1">
        <v>0.0</v>
      </c>
      <c r="DA471" s="1">
        <v>0.0</v>
      </c>
      <c r="DB471" s="1">
        <v>0.0</v>
      </c>
      <c r="DC471" s="1">
        <v>1.0</v>
      </c>
      <c r="DD471" s="1" t="s">
        <v>2297</v>
      </c>
      <c r="DE471" s="1">
        <v>6.08673124812875E-4</v>
      </c>
      <c r="DF471" s="2" t="s">
        <v>2298</v>
      </c>
    </row>
    <row r="472" ht="15.75" customHeight="1">
      <c r="A472" s="1" t="s">
        <v>2299</v>
      </c>
      <c r="B472" s="1">
        <v>29.0</v>
      </c>
      <c r="C472" s="2" t="s">
        <v>2039</v>
      </c>
      <c r="D472" s="2" t="s">
        <v>2300</v>
      </c>
      <c r="E472" s="1">
        <v>1.752</v>
      </c>
      <c r="F472" s="1">
        <v>29095.0</v>
      </c>
      <c r="G472" s="1">
        <v>2.90950171E10</v>
      </c>
      <c r="H472" s="1" t="s">
        <v>112</v>
      </c>
      <c r="I472" s="1" t="s">
        <v>113</v>
      </c>
      <c r="J472" s="1" t="s">
        <v>2041</v>
      </c>
      <c r="K472" s="1" t="s">
        <v>2301</v>
      </c>
      <c r="L472" s="1">
        <v>3856.0</v>
      </c>
      <c r="M472" s="1">
        <v>4337.0</v>
      </c>
      <c r="N472" s="1">
        <v>514.0</v>
      </c>
      <c r="O472" s="1">
        <v>1863.0</v>
      </c>
      <c r="P472" s="1">
        <v>1998.0</v>
      </c>
      <c r="Q472" s="1">
        <v>43.0</v>
      </c>
      <c r="R472" s="1">
        <v>1592.0</v>
      </c>
      <c r="S472" s="1">
        <v>1074.0</v>
      </c>
      <c r="T472" s="1">
        <v>434.0</v>
      </c>
      <c r="U472" s="1">
        <v>482.0</v>
      </c>
      <c r="V472" s="1">
        <v>293.0</v>
      </c>
      <c r="W472" s="1">
        <v>15135.0</v>
      </c>
      <c r="X472" s="1">
        <v>1964.0</v>
      </c>
      <c r="Y472" s="1">
        <v>604.0</v>
      </c>
      <c r="Z472" s="1">
        <v>249.0</v>
      </c>
      <c r="AA472" s="1">
        <v>625.0</v>
      </c>
      <c r="AB472" s="1">
        <v>975.0</v>
      </c>
      <c r="AC472" s="1">
        <v>380.0</v>
      </c>
      <c r="AD472" s="1">
        <v>3737.0</v>
      </c>
      <c r="AE472" s="1">
        <v>16.0</v>
      </c>
      <c r="AF472" s="1">
        <v>442.0</v>
      </c>
      <c r="AG472" s="1">
        <v>26.0</v>
      </c>
      <c r="AH472" s="1">
        <v>164.0</v>
      </c>
      <c r="AI472" s="1">
        <v>0.0</v>
      </c>
      <c r="AJ472" s="1">
        <v>114.0</v>
      </c>
      <c r="AK472" s="1">
        <v>89.0</v>
      </c>
      <c r="AL472" s="1">
        <v>130.0</v>
      </c>
      <c r="AM472" s="1">
        <v>246.0</v>
      </c>
      <c r="AN472" s="1">
        <v>97.0</v>
      </c>
      <c r="AO472" s="1">
        <v>0.0</v>
      </c>
      <c r="AP472" s="1">
        <v>0.248208</v>
      </c>
      <c r="AQ472" s="1">
        <v>0.095921</v>
      </c>
      <c r="AR472" s="1">
        <v>0.247179</v>
      </c>
      <c r="AS472" s="1">
        <v>0.14569</v>
      </c>
      <c r="AT472" s="1">
        <v>15135.0</v>
      </c>
      <c r="AU472" s="1">
        <v>1964.0</v>
      </c>
      <c r="AV472" s="1">
        <v>0.216022</v>
      </c>
      <c r="AW472" s="1">
        <v>0.086521</v>
      </c>
      <c r="AX472" s="1">
        <v>0.162085</v>
      </c>
      <c r="AY472" s="1">
        <v>0.252852</v>
      </c>
      <c r="AZ472" s="1">
        <v>0.23869346</v>
      </c>
      <c r="BA472" s="1">
        <v>0.969139</v>
      </c>
      <c r="BB472" s="1">
        <v>0.00395</v>
      </c>
      <c r="BC472" s="1">
        <v>0.109134</v>
      </c>
      <c r="BD472" s="1">
        <v>0.013013</v>
      </c>
      <c r="BE472" s="1">
        <v>0.082081</v>
      </c>
      <c r="BF472" s="1">
        <v>0.0</v>
      </c>
      <c r="BG472" s="1">
        <v>0.057057</v>
      </c>
      <c r="BH472" s="1">
        <v>0.055555</v>
      </c>
      <c r="BI472" s="1">
        <v>0.081045</v>
      </c>
      <c r="BJ472" s="1">
        <v>0.153558</v>
      </c>
      <c r="BK472" s="1">
        <v>0.059483</v>
      </c>
      <c r="BL472" s="1">
        <v>0.0</v>
      </c>
      <c r="BM472" s="1">
        <v>0.824</v>
      </c>
      <c r="BN472" s="1">
        <v>0.976</v>
      </c>
      <c r="BO472" s="1">
        <v>0.8693</v>
      </c>
      <c r="BP472" s="1">
        <v>0.793</v>
      </c>
      <c r="BQ472" s="1">
        <v>3.4623</v>
      </c>
      <c r="BR472" s="1">
        <v>0.9141</v>
      </c>
      <c r="BS472" s="1">
        <v>0.683</v>
      </c>
      <c r="BT472" s="1">
        <v>0.638</v>
      </c>
      <c r="BU472" s="1">
        <v>0.935</v>
      </c>
      <c r="BV472" s="1">
        <v>2.256</v>
      </c>
      <c r="BW472" s="1">
        <v>0.974</v>
      </c>
      <c r="BX472" s="1">
        <v>0.969</v>
      </c>
      <c r="BY472" s="1">
        <v>0.514</v>
      </c>
      <c r="BZ472" s="1">
        <v>1.483</v>
      </c>
      <c r="CA472" s="1">
        <v>0.81</v>
      </c>
      <c r="CB472" s="1">
        <v>0.41</v>
      </c>
      <c r="CC472" s="1">
        <v>0.0</v>
      </c>
      <c r="CD472" s="1">
        <v>0.951</v>
      </c>
      <c r="CE472" s="1">
        <v>0.861</v>
      </c>
      <c r="CF472" s="1">
        <v>0.0</v>
      </c>
      <c r="CG472" s="1">
        <v>2.222</v>
      </c>
      <c r="CH472" s="1">
        <v>0.426</v>
      </c>
      <c r="CI472" s="1">
        <v>9.4233</v>
      </c>
      <c r="CJ472" s="1">
        <v>0.8975</v>
      </c>
      <c r="CK472" s="1">
        <v>0.0</v>
      </c>
      <c r="CL472" s="1">
        <v>1.0</v>
      </c>
      <c r="CM472" s="1">
        <v>0.0</v>
      </c>
      <c r="CN472" s="1">
        <v>0.0</v>
      </c>
      <c r="CO472" s="1">
        <v>1.0</v>
      </c>
      <c r="CP472" s="1">
        <v>0.0</v>
      </c>
      <c r="CQ472" s="1">
        <v>0.0</v>
      </c>
      <c r="CR472" s="1">
        <v>1.0</v>
      </c>
      <c r="CS472" s="1">
        <v>1.0</v>
      </c>
      <c r="CT472" s="1">
        <v>1.0</v>
      </c>
      <c r="CU472" s="1">
        <v>0.0</v>
      </c>
      <c r="CV472" s="1">
        <v>1.0</v>
      </c>
      <c r="CW472" s="1">
        <v>0.0</v>
      </c>
      <c r="CX472" s="1">
        <v>0.0</v>
      </c>
      <c r="CY472" s="1">
        <v>1.0</v>
      </c>
      <c r="CZ472" s="1">
        <v>0.0</v>
      </c>
      <c r="DA472" s="1">
        <v>0.0</v>
      </c>
      <c r="DB472" s="1">
        <v>1.0</v>
      </c>
      <c r="DC472" s="1">
        <v>4.0</v>
      </c>
      <c r="DD472" s="1" t="s">
        <v>2302</v>
      </c>
      <c r="DE472" s="1">
        <v>4.75529501319329E-4</v>
      </c>
      <c r="DF472" s="2" t="s">
        <v>2303</v>
      </c>
    </row>
    <row r="473" ht="15.75" customHeight="1">
      <c r="A473" s="1" t="s">
        <v>2304</v>
      </c>
      <c r="B473" s="1">
        <v>29.0</v>
      </c>
      <c r="C473" s="2" t="s">
        <v>2039</v>
      </c>
      <c r="D473" s="2" t="s">
        <v>2305</v>
      </c>
      <c r="E473" s="1">
        <v>4.173</v>
      </c>
      <c r="F473" s="1">
        <v>29095.0</v>
      </c>
      <c r="G473" s="1">
        <v>2.90950172E10</v>
      </c>
      <c r="H473" s="1" t="s">
        <v>112</v>
      </c>
      <c r="I473" s="1" t="s">
        <v>113</v>
      </c>
      <c r="J473" s="1" t="s">
        <v>2041</v>
      </c>
      <c r="K473" s="1" t="s">
        <v>2306</v>
      </c>
      <c r="L473" s="1">
        <v>4591.0</v>
      </c>
      <c r="M473" s="1">
        <v>4875.0</v>
      </c>
      <c r="N473" s="1">
        <v>615.0</v>
      </c>
      <c r="O473" s="1">
        <v>2205.0</v>
      </c>
      <c r="P473" s="1">
        <v>2372.0</v>
      </c>
      <c r="Q473" s="1">
        <v>64.0</v>
      </c>
      <c r="R473" s="1">
        <v>1944.0</v>
      </c>
      <c r="S473" s="1">
        <v>1281.0</v>
      </c>
      <c r="T473" s="1">
        <v>473.0</v>
      </c>
      <c r="U473" s="1">
        <v>251.0</v>
      </c>
      <c r="V473" s="1">
        <v>344.0</v>
      </c>
      <c r="W473" s="1">
        <v>20332.0</v>
      </c>
      <c r="X473" s="1">
        <v>2600.0</v>
      </c>
      <c r="Y473" s="1">
        <v>330.0</v>
      </c>
      <c r="Z473" s="1">
        <v>332.0</v>
      </c>
      <c r="AA473" s="1">
        <v>439.0</v>
      </c>
      <c r="AB473" s="1">
        <v>1176.0</v>
      </c>
      <c r="AC473" s="1">
        <v>401.0</v>
      </c>
      <c r="AD473" s="1">
        <v>3031.0</v>
      </c>
      <c r="AE473" s="1">
        <v>31.0</v>
      </c>
      <c r="AF473" s="1">
        <v>428.0</v>
      </c>
      <c r="AG473" s="1">
        <v>416.0</v>
      </c>
      <c r="AH473" s="1">
        <v>137.0</v>
      </c>
      <c r="AI473" s="1">
        <v>20.0</v>
      </c>
      <c r="AJ473" s="1">
        <v>34.0</v>
      </c>
      <c r="AK473" s="1">
        <v>48.0</v>
      </c>
      <c r="AL473" s="1">
        <v>130.0</v>
      </c>
      <c r="AM473" s="1">
        <v>238.0</v>
      </c>
      <c r="AN473" s="1">
        <v>121.0</v>
      </c>
      <c r="AO473" s="1">
        <v>18.0</v>
      </c>
      <c r="AP473" s="1">
        <v>0.269797</v>
      </c>
      <c r="AQ473" s="1">
        <v>0.095013</v>
      </c>
      <c r="AR473" s="1">
        <v>0.096687</v>
      </c>
      <c r="AS473" s="1">
        <v>0.131769</v>
      </c>
      <c r="AT473" s="1">
        <v>20332.0</v>
      </c>
      <c r="AU473" s="1">
        <v>2600.0</v>
      </c>
      <c r="AV473" s="1">
        <v>0.11395</v>
      </c>
      <c r="AW473" s="1">
        <v>0.114011</v>
      </c>
      <c r="AX473" s="1">
        <v>0.095621</v>
      </c>
      <c r="AY473" s="1">
        <v>0.256153</v>
      </c>
      <c r="AZ473" s="1">
        <v>0.20627572</v>
      </c>
      <c r="BA473" s="1">
        <v>0.660204</v>
      </c>
      <c r="BB473" s="1">
        <v>0.006752</v>
      </c>
      <c r="BC473" s="1">
        <v>0.093222</v>
      </c>
      <c r="BD473" s="1">
        <v>0.175379</v>
      </c>
      <c r="BE473" s="1">
        <v>0.057562</v>
      </c>
      <c r="BF473" s="1">
        <v>0.008431</v>
      </c>
      <c r="BG473" s="1">
        <v>0.014332</v>
      </c>
      <c r="BH473" s="1">
        <v>0.023255</v>
      </c>
      <c r="BI473" s="1">
        <v>0.062964</v>
      </c>
      <c r="BJ473" s="1">
        <v>0.11531</v>
      </c>
      <c r="BK473" s="1">
        <v>0.058099</v>
      </c>
      <c r="BL473" s="1">
        <v>0.00392</v>
      </c>
      <c r="BM473" s="1">
        <v>0.854</v>
      </c>
      <c r="BN473" s="1">
        <v>0.714</v>
      </c>
      <c r="BO473" s="1">
        <v>0.5921</v>
      </c>
      <c r="BP473" s="1">
        <v>0.399</v>
      </c>
      <c r="BQ473" s="1">
        <v>2.5591</v>
      </c>
      <c r="BR473" s="1">
        <v>0.6845</v>
      </c>
      <c r="BS473" s="1">
        <v>0.184</v>
      </c>
      <c r="BT473" s="1">
        <v>0.664</v>
      </c>
      <c r="BU473" s="1">
        <v>0.902</v>
      </c>
      <c r="BV473" s="1">
        <v>1.75</v>
      </c>
      <c r="BW473" s="1">
        <v>0.681</v>
      </c>
      <c r="BX473" s="1">
        <v>0.892</v>
      </c>
      <c r="BY473" s="1">
        <v>0.623</v>
      </c>
      <c r="BZ473" s="1">
        <v>1.515</v>
      </c>
      <c r="CA473" s="1">
        <v>0.836</v>
      </c>
      <c r="CB473" s="1">
        <v>0.874</v>
      </c>
      <c r="CC473" s="1">
        <v>0.443</v>
      </c>
      <c r="CD473" s="1">
        <v>0.732</v>
      </c>
      <c r="CE473" s="1">
        <v>0.797</v>
      </c>
      <c r="CF473" s="1">
        <v>0.494</v>
      </c>
      <c r="CG473" s="1">
        <v>3.34</v>
      </c>
      <c r="CH473" s="1">
        <v>0.89</v>
      </c>
      <c r="CI473" s="1">
        <v>9.1641</v>
      </c>
      <c r="CJ473" s="1">
        <v>0.8729</v>
      </c>
      <c r="CK473" s="1">
        <v>0.0</v>
      </c>
      <c r="CL473" s="1">
        <v>0.0</v>
      </c>
      <c r="CM473" s="1">
        <v>0.0</v>
      </c>
      <c r="CN473" s="1">
        <v>0.0</v>
      </c>
      <c r="CO473" s="1">
        <v>0.0</v>
      </c>
      <c r="CP473" s="1">
        <v>0.0</v>
      </c>
      <c r="CQ473" s="1">
        <v>0.0</v>
      </c>
      <c r="CR473" s="1">
        <v>1.0</v>
      </c>
      <c r="CS473" s="1">
        <v>1.0</v>
      </c>
      <c r="CT473" s="1">
        <v>0.0</v>
      </c>
      <c r="CU473" s="1">
        <v>0.0</v>
      </c>
      <c r="CV473" s="1">
        <v>0.0</v>
      </c>
      <c r="CW473" s="1">
        <v>0.0</v>
      </c>
      <c r="CX473" s="1">
        <v>0.0</v>
      </c>
      <c r="CY473" s="1">
        <v>0.0</v>
      </c>
      <c r="CZ473" s="1">
        <v>0.0</v>
      </c>
      <c r="DA473" s="1">
        <v>0.0</v>
      </c>
      <c r="DB473" s="1">
        <v>0.0</v>
      </c>
      <c r="DC473" s="1">
        <v>1.0</v>
      </c>
      <c r="DD473" s="1" t="s">
        <v>2307</v>
      </c>
      <c r="DE473" s="1">
        <v>0.00112963768925003</v>
      </c>
      <c r="DF473" s="2" t="s">
        <v>2308</v>
      </c>
    </row>
    <row r="474" ht="15.75" customHeight="1">
      <c r="A474" s="1" t="s">
        <v>2309</v>
      </c>
      <c r="B474" s="1">
        <v>29.0</v>
      </c>
      <c r="C474" s="2" t="s">
        <v>2039</v>
      </c>
      <c r="D474" s="2" t="s">
        <v>2310</v>
      </c>
      <c r="E474" s="1">
        <v>1.817</v>
      </c>
      <c r="F474" s="1">
        <v>29095.0</v>
      </c>
      <c r="G474" s="1">
        <v>2.90950173E10</v>
      </c>
      <c r="H474" s="1" t="s">
        <v>112</v>
      </c>
      <c r="I474" s="1" t="s">
        <v>113</v>
      </c>
      <c r="J474" s="1" t="s">
        <v>2041</v>
      </c>
      <c r="K474" s="1" t="s">
        <v>2311</v>
      </c>
      <c r="L474" s="1">
        <v>3281.0</v>
      </c>
      <c r="M474" s="1">
        <v>3197.0</v>
      </c>
      <c r="N474" s="1">
        <v>216.0</v>
      </c>
      <c r="O474" s="1">
        <v>1588.0</v>
      </c>
      <c r="P474" s="1">
        <v>1594.0</v>
      </c>
      <c r="Q474" s="1">
        <v>67.0</v>
      </c>
      <c r="R474" s="1">
        <v>1505.0</v>
      </c>
      <c r="S474" s="1">
        <v>338.0</v>
      </c>
      <c r="T474" s="1">
        <v>188.0</v>
      </c>
      <c r="U474" s="1">
        <v>75.0</v>
      </c>
      <c r="V474" s="1">
        <v>414.0</v>
      </c>
      <c r="W474" s="1">
        <v>33286.0</v>
      </c>
      <c r="X474" s="1">
        <v>4088.0</v>
      </c>
      <c r="Y474" s="1">
        <v>93.0</v>
      </c>
      <c r="Z474" s="1">
        <v>366.0</v>
      </c>
      <c r="AA474" s="1">
        <v>684.0</v>
      </c>
      <c r="AB474" s="1">
        <v>567.0</v>
      </c>
      <c r="AC474" s="1">
        <v>92.0</v>
      </c>
      <c r="AD474" s="1">
        <v>641.0</v>
      </c>
      <c r="AE474" s="1">
        <v>61.0</v>
      </c>
      <c r="AF474" s="1">
        <v>430.0</v>
      </c>
      <c r="AG474" s="1">
        <v>139.0</v>
      </c>
      <c r="AH474" s="1">
        <v>81.0</v>
      </c>
      <c r="AI474" s="1">
        <v>10.0</v>
      </c>
      <c r="AJ474" s="1">
        <v>17.0</v>
      </c>
      <c r="AK474" s="1">
        <v>0.0</v>
      </c>
      <c r="AL474" s="1">
        <v>161.0</v>
      </c>
      <c r="AM474" s="1">
        <v>57.0</v>
      </c>
      <c r="AN474" s="1">
        <v>57.0</v>
      </c>
      <c r="AO474" s="1">
        <v>0.0</v>
      </c>
      <c r="AP474" s="1">
        <v>0.105724</v>
      </c>
      <c r="AQ474" s="1">
        <v>0.058369</v>
      </c>
      <c r="AR474" s="1">
        <v>0.046612</v>
      </c>
      <c r="AS474" s="1">
        <v>0.257176</v>
      </c>
      <c r="AT474" s="1">
        <v>33286.0</v>
      </c>
      <c r="AU474" s="1">
        <v>4088.0</v>
      </c>
      <c r="AV474" s="1">
        <v>0.03949</v>
      </c>
      <c r="AW474" s="1">
        <v>0.155378</v>
      </c>
      <c r="AX474" s="1">
        <v>0.208473</v>
      </c>
      <c r="AY474" s="1">
        <v>0.172813</v>
      </c>
      <c r="AZ474" s="1">
        <v>0.06112956</v>
      </c>
      <c r="BA474" s="1">
        <v>0.195367</v>
      </c>
      <c r="BB474" s="1">
        <v>0.020218</v>
      </c>
      <c r="BC474" s="1">
        <v>0.142517</v>
      </c>
      <c r="BD474" s="1">
        <v>0.087202</v>
      </c>
      <c r="BE474" s="1">
        <v>0.050683</v>
      </c>
      <c r="BF474" s="1">
        <v>0.006273</v>
      </c>
      <c r="BG474" s="1">
        <v>0.010661</v>
      </c>
      <c r="BH474" s="1">
        <v>0.0</v>
      </c>
      <c r="BI474" s="1">
        <v>0.108857</v>
      </c>
      <c r="BJ474" s="1">
        <v>0.038539</v>
      </c>
      <c r="BK474" s="1">
        <v>0.038474</v>
      </c>
      <c r="BL474" s="1">
        <v>0.0</v>
      </c>
      <c r="BM474" s="1">
        <v>0.397</v>
      </c>
      <c r="BN474" s="1">
        <v>0.258</v>
      </c>
      <c r="BO474" s="1">
        <v>0.1394</v>
      </c>
      <c r="BP474" s="1">
        <v>0.097</v>
      </c>
      <c r="BQ474" s="1">
        <v>0.8914</v>
      </c>
      <c r="BR474" s="1">
        <v>0.1776</v>
      </c>
      <c r="BS474" s="1">
        <v>0.904</v>
      </c>
      <c r="BT474" s="1">
        <v>0.108</v>
      </c>
      <c r="BU474" s="1">
        <v>0.138</v>
      </c>
      <c r="BV474" s="1">
        <v>1.15</v>
      </c>
      <c r="BW474" s="1">
        <v>0.198</v>
      </c>
      <c r="BX474" s="1">
        <v>0.706</v>
      </c>
      <c r="BY474" s="1">
        <v>0.859</v>
      </c>
      <c r="BZ474" s="1">
        <v>1.565</v>
      </c>
      <c r="CA474" s="1">
        <v>0.858</v>
      </c>
      <c r="CB474" s="1">
        <v>0.745</v>
      </c>
      <c r="CC474" s="1">
        <v>0.416</v>
      </c>
      <c r="CD474" s="1">
        <v>0.0</v>
      </c>
      <c r="CE474" s="1">
        <v>0.376</v>
      </c>
      <c r="CF474" s="1">
        <v>0.0</v>
      </c>
      <c r="CG474" s="1">
        <v>1.537</v>
      </c>
      <c r="CH474" s="1">
        <v>0.183</v>
      </c>
      <c r="CI474" s="1">
        <v>5.1434</v>
      </c>
      <c r="CJ474" s="1">
        <v>0.2245</v>
      </c>
      <c r="CK474" s="1">
        <v>0.0</v>
      </c>
      <c r="CL474" s="1">
        <v>0.0</v>
      </c>
      <c r="CM474" s="1">
        <v>0.0</v>
      </c>
      <c r="CN474" s="1">
        <v>0.0</v>
      </c>
      <c r="CO474" s="1">
        <v>0.0</v>
      </c>
      <c r="CP474" s="1">
        <v>1.0</v>
      </c>
      <c r="CQ474" s="1">
        <v>0.0</v>
      </c>
      <c r="CR474" s="1">
        <v>0.0</v>
      </c>
      <c r="CS474" s="1">
        <v>1.0</v>
      </c>
      <c r="CT474" s="1">
        <v>0.0</v>
      </c>
      <c r="CU474" s="1">
        <v>0.0</v>
      </c>
      <c r="CV474" s="1">
        <v>0.0</v>
      </c>
      <c r="CW474" s="1">
        <v>0.0</v>
      </c>
      <c r="CX474" s="1">
        <v>0.0</v>
      </c>
      <c r="CY474" s="1">
        <v>0.0</v>
      </c>
      <c r="CZ474" s="1">
        <v>0.0</v>
      </c>
      <c r="DA474" s="1">
        <v>0.0</v>
      </c>
      <c r="DB474" s="1">
        <v>0.0</v>
      </c>
      <c r="DC474" s="1">
        <v>1.0</v>
      </c>
      <c r="DD474" s="1" t="s">
        <v>2312</v>
      </c>
      <c r="DE474" s="1">
        <v>4.88312709270055E-4</v>
      </c>
      <c r="DF474" s="2" t="s">
        <v>2313</v>
      </c>
    </row>
    <row r="475" ht="15.75" customHeight="1">
      <c r="A475" s="1" t="s">
        <v>2314</v>
      </c>
      <c r="B475" s="1">
        <v>29.0</v>
      </c>
      <c r="C475" s="2" t="s">
        <v>2039</v>
      </c>
      <c r="D475" s="2" t="s">
        <v>2315</v>
      </c>
      <c r="E475" s="1">
        <v>2.439</v>
      </c>
      <c r="F475" s="1">
        <v>29095.0</v>
      </c>
      <c r="G475" s="1">
        <v>2.90950174E10</v>
      </c>
      <c r="H475" s="1" t="s">
        <v>112</v>
      </c>
      <c r="I475" s="1" t="s">
        <v>113</v>
      </c>
      <c r="J475" s="1" t="s">
        <v>2041</v>
      </c>
      <c r="K475" s="1" t="s">
        <v>2316</v>
      </c>
      <c r="L475" s="1">
        <v>2708.0</v>
      </c>
      <c r="M475" s="1">
        <v>2674.0</v>
      </c>
      <c r="N475" s="1">
        <v>393.0</v>
      </c>
      <c r="O475" s="1">
        <v>1451.0</v>
      </c>
      <c r="P475" s="1">
        <v>1527.0</v>
      </c>
      <c r="Q475" s="1">
        <v>42.0</v>
      </c>
      <c r="R475" s="1">
        <v>1280.0</v>
      </c>
      <c r="S475" s="1">
        <v>362.0</v>
      </c>
      <c r="T475" s="1">
        <v>228.0</v>
      </c>
      <c r="U475" s="1">
        <v>109.0</v>
      </c>
      <c r="V475" s="1">
        <v>400.0</v>
      </c>
      <c r="W475" s="1">
        <v>17890.0</v>
      </c>
      <c r="X475" s="1">
        <v>3097.0</v>
      </c>
      <c r="Y475" s="1">
        <v>184.0</v>
      </c>
      <c r="Z475" s="1">
        <v>338.0</v>
      </c>
      <c r="AA475" s="1">
        <v>202.0</v>
      </c>
      <c r="AB475" s="1">
        <v>683.0</v>
      </c>
      <c r="AC475" s="1">
        <v>260.0</v>
      </c>
      <c r="AD475" s="1">
        <v>1996.0</v>
      </c>
      <c r="AE475" s="1">
        <v>59.0</v>
      </c>
      <c r="AF475" s="1">
        <v>433.0</v>
      </c>
      <c r="AG475" s="1">
        <v>356.0</v>
      </c>
      <c r="AH475" s="1">
        <v>139.0</v>
      </c>
      <c r="AI475" s="1">
        <v>0.0</v>
      </c>
      <c r="AJ475" s="1">
        <v>114.0</v>
      </c>
      <c r="AK475" s="1">
        <v>69.0</v>
      </c>
      <c r="AL475" s="1">
        <v>127.0</v>
      </c>
      <c r="AM475" s="1">
        <v>133.0</v>
      </c>
      <c r="AN475" s="1">
        <v>83.0</v>
      </c>
      <c r="AO475" s="1">
        <v>37.0</v>
      </c>
      <c r="AP475" s="1">
        <v>0.135377</v>
      </c>
      <c r="AQ475" s="1">
        <v>0.082911</v>
      </c>
      <c r="AR475" s="1">
        <v>0.075432</v>
      </c>
      <c r="AS475" s="1">
        <v>0.276174</v>
      </c>
      <c r="AT475" s="1">
        <v>17890.0</v>
      </c>
      <c r="AU475" s="1">
        <v>3097.0</v>
      </c>
      <c r="AV475" s="1">
        <v>0.119402</v>
      </c>
      <c r="AW475" s="1">
        <v>0.218733</v>
      </c>
      <c r="AX475" s="1">
        <v>0.074593</v>
      </c>
      <c r="AY475" s="1">
        <v>0.252215</v>
      </c>
      <c r="AZ475" s="1">
        <v>0.203125</v>
      </c>
      <c r="BA475" s="1">
        <v>0.737075</v>
      </c>
      <c r="BB475" s="1">
        <v>0.026528</v>
      </c>
      <c r="BC475" s="1">
        <v>0.194648</v>
      </c>
      <c r="BD475" s="1">
        <v>0.233136</v>
      </c>
      <c r="BE475" s="1">
        <v>0.090802</v>
      </c>
      <c r="BF475" s="1">
        <v>0.0</v>
      </c>
      <c r="BG475" s="1">
        <v>0.074656</v>
      </c>
      <c r="BH475" s="1">
        <v>0.057934</v>
      </c>
      <c r="BI475" s="1">
        <v>0.106448</v>
      </c>
      <c r="BJ475" s="1">
        <v>0.11167</v>
      </c>
      <c r="BK475" s="1">
        <v>0.068631</v>
      </c>
      <c r="BL475" s="1">
        <v>0.013663</v>
      </c>
      <c r="BM475" s="1">
        <v>0.52</v>
      </c>
      <c r="BN475" s="1">
        <v>0.564</v>
      </c>
      <c r="BO475" s="1">
        <v>0.7357</v>
      </c>
      <c r="BP475" s="1">
        <v>0.427</v>
      </c>
      <c r="BQ475" s="1">
        <v>2.2467</v>
      </c>
      <c r="BR475" s="1">
        <v>0.5827</v>
      </c>
      <c r="BS475" s="1">
        <v>0.1</v>
      </c>
      <c r="BT475" s="1">
        <v>0.627</v>
      </c>
      <c r="BU475" s="1">
        <v>0.899</v>
      </c>
      <c r="BV475" s="1">
        <v>1.626</v>
      </c>
      <c r="BW475" s="1">
        <v>0.584</v>
      </c>
      <c r="BX475" s="1">
        <v>0.908</v>
      </c>
      <c r="BY475" s="1">
        <v>0.9</v>
      </c>
      <c r="BZ475" s="1">
        <v>1.808</v>
      </c>
      <c r="CA475" s="1">
        <v>0.966</v>
      </c>
      <c r="CB475" s="1">
        <v>0.911</v>
      </c>
      <c r="CC475" s="1">
        <v>0.0</v>
      </c>
      <c r="CD475" s="1">
        <v>0.958</v>
      </c>
      <c r="CE475" s="1">
        <v>0.784</v>
      </c>
      <c r="CF475" s="1">
        <v>0.63</v>
      </c>
      <c r="CG475" s="1">
        <v>3.283</v>
      </c>
      <c r="CH475" s="1">
        <v>0.867</v>
      </c>
      <c r="CI475" s="1">
        <v>8.9637</v>
      </c>
      <c r="CJ475" s="1">
        <v>0.8462</v>
      </c>
      <c r="CK475" s="1">
        <v>0.0</v>
      </c>
      <c r="CL475" s="1">
        <v>0.0</v>
      </c>
      <c r="CM475" s="1">
        <v>0.0</v>
      </c>
      <c r="CN475" s="1">
        <v>0.0</v>
      </c>
      <c r="CO475" s="1">
        <v>0.0</v>
      </c>
      <c r="CP475" s="1">
        <v>0.0</v>
      </c>
      <c r="CQ475" s="1">
        <v>0.0</v>
      </c>
      <c r="CR475" s="1">
        <v>0.0</v>
      </c>
      <c r="CS475" s="1">
        <v>0.0</v>
      </c>
      <c r="CT475" s="1">
        <v>1.0</v>
      </c>
      <c r="CU475" s="1">
        <v>1.0</v>
      </c>
      <c r="CV475" s="1">
        <v>2.0</v>
      </c>
      <c r="CW475" s="1">
        <v>1.0</v>
      </c>
      <c r="CX475" s="1">
        <v>0.0</v>
      </c>
      <c r="CY475" s="1">
        <v>1.0</v>
      </c>
      <c r="CZ475" s="1">
        <v>0.0</v>
      </c>
      <c r="DA475" s="1">
        <v>0.0</v>
      </c>
      <c r="DB475" s="1">
        <v>2.0</v>
      </c>
      <c r="DC475" s="1">
        <v>4.0</v>
      </c>
      <c r="DD475" s="1" t="s">
        <v>2317</v>
      </c>
      <c r="DE475" s="1">
        <v>6.57235636505087E-4</v>
      </c>
      <c r="DF475" s="1">
        <v>0.129344537380402</v>
      </c>
    </row>
    <row r="476" ht="15.75" customHeight="1">
      <c r="A476" s="1" t="s">
        <v>2318</v>
      </c>
      <c r="B476" s="1">
        <v>29.0</v>
      </c>
      <c r="C476" s="2" t="s">
        <v>2039</v>
      </c>
      <c r="D476" s="2" t="s">
        <v>2319</v>
      </c>
      <c r="E476" s="1">
        <v>3.307</v>
      </c>
      <c r="F476" s="1">
        <v>29095.0</v>
      </c>
      <c r="G476" s="1">
        <v>2.90950175E10</v>
      </c>
      <c r="H476" s="1" t="s">
        <v>112</v>
      </c>
      <c r="I476" s="1" t="s">
        <v>113</v>
      </c>
      <c r="J476" s="1" t="s">
        <v>2041</v>
      </c>
      <c r="K476" s="1" t="s">
        <v>2320</v>
      </c>
      <c r="L476" s="1">
        <v>2028.0</v>
      </c>
      <c r="M476" s="1">
        <v>1975.0</v>
      </c>
      <c r="N476" s="1">
        <v>378.0</v>
      </c>
      <c r="O476" s="1">
        <v>1001.0</v>
      </c>
      <c r="P476" s="1">
        <v>1025.0</v>
      </c>
      <c r="Q476" s="1">
        <v>49.0</v>
      </c>
      <c r="R476" s="1">
        <v>825.0</v>
      </c>
      <c r="S476" s="1">
        <v>218.0</v>
      </c>
      <c r="T476" s="1">
        <v>190.0</v>
      </c>
      <c r="U476" s="1">
        <v>71.0</v>
      </c>
      <c r="V476" s="1">
        <v>460.0</v>
      </c>
      <c r="W476" s="1">
        <v>29229.0</v>
      </c>
      <c r="X476" s="1">
        <v>7088.0</v>
      </c>
      <c r="Y476" s="1">
        <v>248.0</v>
      </c>
      <c r="Z476" s="1">
        <v>344.0</v>
      </c>
      <c r="AA476" s="1">
        <v>243.0</v>
      </c>
      <c r="AB476" s="1">
        <v>522.0</v>
      </c>
      <c r="AC476" s="1">
        <v>163.0</v>
      </c>
      <c r="AD476" s="1">
        <v>1031.0</v>
      </c>
      <c r="AE476" s="1">
        <v>0.0</v>
      </c>
      <c r="AF476" s="1">
        <v>456.0</v>
      </c>
      <c r="AG476" s="1">
        <v>184.0</v>
      </c>
      <c r="AH476" s="1">
        <v>171.0</v>
      </c>
      <c r="AI476" s="1">
        <v>46.0</v>
      </c>
      <c r="AJ476" s="1">
        <v>50.0</v>
      </c>
      <c r="AK476" s="1">
        <v>6.0</v>
      </c>
      <c r="AL476" s="1">
        <v>115.0</v>
      </c>
      <c r="AM476" s="1">
        <v>97.0</v>
      </c>
      <c r="AN476" s="1">
        <v>79.0</v>
      </c>
      <c r="AO476" s="1">
        <v>50.0</v>
      </c>
      <c r="AP476" s="1">
        <v>0.110379</v>
      </c>
      <c r="AQ476" s="1">
        <v>0.093854</v>
      </c>
      <c r="AR476" s="1">
        <v>0.079152</v>
      </c>
      <c r="AS476" s="1">
        <v>0.512466</v>
      </c>
      <c r="AT476" s="1">
        <v>29229.0</v>
      </c>
      <c r="AU476" s="1">
        <v>7088.0</v>
      </c>
      <c r="AV476" s="1">
        <v>0.188306</v>
      </c>
      <c r="AW476" s="1">
        <v>0.260119</v>
      </c>
      <c r="AX476" s="1">
        <v>0.119822</v>
      </c>
      <c r="AY476" s="1">
        <v>0.257396</v>
      </c>
      <c r="AZ476" s="1">
        <v>0.19757575</v>
      </c>
      <c r="BA476" s="1">
        <v>0.508382</v>
      </c>
      <c r="BB476" s="1">
        <v>0.0</v>
      </c>
      <c r="BC476" s="1">
        <v>0.247557</v>
      </c>
      <c r="BD476" s="1">
        <v>0.179512</v>
      </c>
      <c r="BE476" s="1">
        <v>0.166608</v>
      </c>
      <c r="BF476" s="1">
        <v>0.044878</v>
      </c>
      <c r="BG476" s="1">
        <v>0.048733</v>
      </c>
      <c r="BH476" s="1">
        <v>0.007843</v>
      </c>
      <c r="BI476" s="1">
        <v>0.150323</v>
      </c>
      <c r="BJ476" s="1">
        <v>0.126797</v>
      </c>
      <c r="BK476" s="1">
        <v>0.102085</v>
      </c>
      <c r="BL476" s="1">
        <v>0.024654</v>
      </c>
      <c r="BM476" s="1">
        <v>0.419</v>
      </c>
      <c r="BN476" s="1">
        <v>0.605</v>
      </c>
      <c r="BO476" s="1">
        <v>0.2144</v>
      </c>
      <c r="BP476" s="1">
        <v>0.72</v>
      </c>
      <c r="BQ476" s="1">
        <v>1.9584</v>
      </c>
      <c r="BR476" s="1">
        <v>0.4787</v>
      </c>
      <c r="BS476" s="1">
        <v>0.343</v>
      </c>
      <c r="BT476" s="1">
        <v>0.677</v>
      </c>
      <c r="BU476" s="1">
        <v>0.894</v>
      </c>
      <c r="BV476" s="1">
        <v>1.914</v>
      </c>
      <c r="BW476" s="1">
        <v>0.81</v>
      </c>
      <c r="BX476" s="1">
        <v>0.865</v>
      </c>
      <c r="BY476" s="1">
        <v>0.0</v>
      </c>
      <c r="BZ476" s="1">
        <v>0.865</v>
      </c>
      <c r="CA476" s="1">
        <v>0.443</v>
      </c>
      <c r="CB476" s="1">
        <v>0.881</v>
      </c>
      <c r="CC476" s="1">
        <v>0.592</v>
      </c>
      <c r="CD476" s="1">
        <v>0.431</v>
      </c>
      <c r="CE476" s="1">
        <v>0.82</v>
      </c>
      <c r="CF476" s="1">
        <v>0.766</v>
      </c>
      <c r="CG476" s="1">
        <v>3.49</v>
      </c>
      <c r="CH476" s="1">
        <v>0.933</v>
      </c>
      <c r="CI476" s="1">
        <v>8.2274</v>
      </c>
      <c r="CJ476" s="1">
        <v>0.7495</v>
      </c>
      <c r="CK476" s="1">
        <v>0.0</v>
      </c>
      <c r="CL476" s="1">
        <v>0.0</v>
      </c>
      <c r="CM476" s="1">
        <v>0.0</v>
      </c>
      <c r="CN476" s="1">
        <v>0.0</v>
      </c>
      <c r="CO476" s="1">
        <v>0.0</v>
      </c>
      <c r="CP476" s="1">
        <v>0.0</v>
      </c>
      <c r="CQ476" s="1">
        <v>0.0</v>
      </c>
      <c r="CR476" s="1">
        <v>0.0</v>
      </c>
      <c r="CS476" s="1">
        <v>0.0</v>
      </c>
      <c r="CT476" s="1">
        <v>0.0</v>
      </c>
      <c r="CU476" s="1">
        <v>0.0</v>
      </c>
      <c r="CV476" s="1">
        <v>0.0</v>
      </c>
      <c r="CW476" s="1">
        <v>0.0</v>
      </c>
      <c r="CX476" s="1">
        <v>0.0</v>
      </c>
      <c r="CY476" s="1">
        <v>0.0</v>
      </c>
      <c r="CZ476" s="1">
        <v>0.0</v>
      </c>
      <c r="DA476" s="1">
        <v>0.0</v>
      </c>
      <c r="DB476" s="1">
        <v>0.0</v>
      </c>
      <c r="DC476" s="1">
        <v>0.0</v>
      </c>
      <c r="DD476" s="1" t="s">
        <v>2321</v>
      </c>
      <c r="DE476" s="1">
        <v>8.88808371510915E-4</v>
      </c>
      <c r="DF476" s="2" t="s">
        <v>2322</v>
      </c>
    </row>
    <row r="477" ht="15.75" customHeight="1">
      <c r="A477" s="1" t="s">
        <v>2323</v>
      </c>
      <c r="B477" s="1">
        <v>29.0</v>
      </c>
      <c r="C477" s="2" t="s">
        <v>2039</v>
      </c>
      <c r="D477" s="2" t="s">
        <v>2324</v>
      </c>
      <c r="E477" s="1">
        <v>3.834</v>
      </c>
      <c r="F477" s="1">
        <v>29095.0</v>
      </c>
      <c r="G477" s="1">
        <v>2.90950176E10</v>
      </c>
      <c r="H477" s="1" t="s">
        <v>112</v>
      </c>
      <c r="I477" s="1" t="s">
        <v>113</v>
      </c>
      <c r="J477" s="1" t="s">
        <v>2041</v>
      </c>
      <c r="K477" s="1" t="s">
        <v>2325</v>
      </c>
      <c r="L477" s="1">
        <v>4926.0</v>
      </c>
      <c r="M477" s="1">
        <v>4897.0</v>
      </c>
      <c r="N477" s="1">
        <v>399.0</v>
      </c>
      <c r="O477" s="1">
        <v>2025.0</v>
      </c>
      <c r="P477" s="1">
        <v>2073.0</v>
      </c>
      <c r="Q477" s="1">
        <v>43.0</v>
      </c>
      <c r="R477" s="1">
        <v>1927.0</v>
      </c>
      <c r="S477" s="1">
        <v>39.0</v>
      </c>
      <c r="T477" s="1">
        <v>123.0</v>
      </c>
      <c r="U477" s="1">
        <v>156.0</v>
      </c>
      <c r="V477" s="1">
        <v>421.0</v>
      </c>
      <c r="W477" s="1">
        <v>32453.0</v>
      </c>
      <c r="X477" s="1">
        <v>2124.0</v>
      </c>
      <c r="Y477" s="1">
        <v>219.0</v>
      </c>
      <c r="Z477" s="1">
        <v>334.0</v>
      </c>
      <c r="AA477" s="1">
        <v>688.0</v>
      </c>
      <c r="AB477" s="1">
        <v>1151.0</v>
      </c>
      <c r="AC477" s="1">
        <v>192.0</v>
      </c>
      <c r="AD477" s="1">
        <v>1889.0</v>
      </c>
      <c r="AE477" s="1">
        <v>53.0</v>
      </c>
      <c r="AF477" s="1">
        <v>380.0</v>
      </c>
      <c r="AG477" s="1">
        <v>27.0</v>
      </c>
      <c r="AH477" s="1">
        <v>163.0</v>
      </c>
      <c r="AI477" s="1">
        <v>0.0</v>
      </c>
      <c r="AJ477" s="1">
        <v>114.0</v>
      </c>
      <c r="AK477" s="1">
        <v>0.0</v>
      </c>
      <c r="AL477" s="1">
        <v>161.0</v>
      </c>
      <c r="AM477" s="1">
        <v>34.0</v>
      </c>
      <c r="AN477" s="1">
        <v>119.0</v>
      </c>
      <c r="AO477" s="1">
        <v>0.0</v>
      </c>
      <c r="AP477" s="1">
        <v>0.007964</v>
      </c>
      <c r="AQ477" s="1">
        <v>0.025109</v>
      </c>
      <c r="AR477" s="1">
        <v>0.058078</v>
      </c>
      <c r="AS477" s="1">
        <v>0.156628</v>
      </c>
      <c r="AT477" s="1">
        <v>32453.0</v>
      </c>
      <c r="AU477" s="1">
        <v>2124.0</v>
      </c>
      <c r="AV477" s="1">
        <v>0.0625</v>
      </c>
      <c r="AW477" s="1">
        <v>0.095193</v>
      </c>
      <c r="AX477" s="1">
        <v>0.139667</v>
      </c>
      <c r="AY477" s="1">
        <v>0.233658</v>
      </c>
      <c r="AZ477" s="1">
        <v>0.09963674</v>
      </c>
      <c r="BA477" s="1">
        <v>0.383475</v>
      </c>
      <c r="BB477" s="1">
        <v>0.011461</v>
      </c>
      <c r="BC477" s="1">
        <v>0.082175</v>
      </c>
      <c r="BD477" s="1">
        <v>0.013024</v>
      </c>
      <c r="BE477" s="1">
        <v>0.078629</v>
      </c>
      <c r="BF477" s="1">
        <v>0.0</v>
      </c>
      <c r="BG477" s="1">
        <v>0.054992</v>
      </c>
      <c r="BH477" s="1">
        <v>0.0</v>
      </c>
      <c r="BI477" s="1">
        <v>0.081477</v>
      </c>
      <c r="BJ477" s="1">
        <v>0.017206</v>
      </c>
      <c r="BK477" s="1">
        <v>0.060216</v>
      </c>
      <c r="BL477" s="1">
        <v>0.0</v>
      </c>
      <c r="BM477" s="1">
        <v>0.015</v>
      </c>
      <c r="BN477" s="1">
        <v>0.392</v>
      </c>
      <c r="BO477" s="1">
        <v>0.1502</v>
      </c>
      <c r="BP477" s="1">
        <v>0.176</v>
      </c>
      <c r="BQ477" s="1">
        <v>0.7332</v>
      </c>
      <c r="BR477" s="1">
        <v>0.1379</v>
      </c>
      <c r="BS477" s="1">
        <v>0.495</v>
      </c>
      <c r="BT477" s="1">
        <v>0.427</v>
      </c>
      <c r="BU477" s="1">
        <v>0.489</v>
      </c>
      <c r="BV477" s="1">
        <v>1.411</v>
      </c>
      <c r="BW477" s="1">
        <v>0.4</v>
      </c>
      <c r="BX477" s="1">
        <v>0.835</v>
      </c>
      <c r="BY477" s="1">
        <v>0.756</v>
      </c>
      <c r="BZ477" s="1">
        <v>1.591</v>
      </c>
      <c r="CA477" s="1">
        <v>0.866</v>
      </c>
      <c r="CB477" s="1">
        <v>0.41</v>
      </c>
      <c r="CC477" s="1">
        <v>0.0</v>
      </c>
      <c r="CD477" s="1">
        <v>0.0</v>
      </c>
      <c r="CE477" s="1">
        <v>0.153</v>
      </c>
      <c r="CF477" s="1">
        <v>0.0</v>
      </c>
      <c r="CG477" s="1">
        <v>0.563</v>
      </c>
      <c r="CH477" s="1">
        <v>0.035</v>
      </c>
      <c r="CI477" s="1">
        <v>4.2982</v>
      </c>
      <c r="CJ477" s="1">
        <v>0.1155</v>
      </c>
      <c r="CK477" s="1">
        <v>0.0</v>
      </c>
      <c r="CL477" s="1">
        <v>0.0</v>
      </c>
      <c r="CM477" s="1">
        <v>0.0</v>
      </c>
      <c r="CN477" s="1">
        <v>0.0</v>
      </c>
      <c r="CO477" s="1">
        <v>0.0</v>
      </c>
      <c r="CP477" s="1">
        <v>0.0</v>
      </c>
      <c r="CQ477" s="1">
        <v>0.0</v>
      </c>
      <c r="CR477" s="1">
        <v>0.0</v>
      </c>
      <c r="CS477" s="1">
        <v>0.0</v>
      </c>
      <c r="CT477" s="1">
        <v>0.0</v>
      </c>
      <c r="CU477" s="1">
        <v>0.0</v>
      </c>
      <c r="CV477" s="1">
        <v>0.0</v>
      </c>
      <c r="CW477" s="1">
        <v>0.0</v>
      </c>
      <c r="CX477" s="1">
        <v>0.0</v>
      </c>
      <c r="CY477" s="1">
        <v>0.0</v>
      </c>
      <c r="CZ477" s="1">
        <v>0.0</v>
      </c>
      <c r="DA477" s="1">
        <v>0.0</v>
      </c>
      <c r="DB477" s="1">
        <v>0.0</v>
      </c>
      <c r="DC477" s="1">
        <v>0.0</v>
      </c>
      <c r="DD477" s="1" t="s">
        <v>2326</v>
      </c>
      <c r="DE477" s="1">
        <v>0.00103598781442071</v>
      </c>
      <c r="DF477" s="2" t="s">
        <v>2327</v>
      </c>
    </row>
    <row r="478" ht="15.75" customHeight="1">
      <c r="A478" s="1" t="s">
        <v>2328</v>
      </c>
      <c r="B478" s="1">
        <v>29.0</v>
      </c>
      <c r="C478" s="2" t="s">
        <v>2039</v>
      </c>
      <c r="D478" s="2" t="s">
        <v>2329</v>
      </c>
      <c r="E478" s="1">
        <v>23.059</v>
      </c>
      <c r="F478" s="1">
        <v>29095.0</v>
      </c>
      <c r="G478" s="1">
        <v>2.90950177E10</v>
      </c>
      <c r="H478" s="1" t="s">
        <v>112</v>
      </c>
      <c r="I478" s="1" t="s">
        <v>113</v>
      </c>
      <c r="J478" s="1" t="s">
        <v>2041</v>
      </c>
      <c r="K478" s="1" t="s">
        <v>2330</v>
      </c>
      <c r="L478" s="1">
        <v>5101.0</v>
      </c>
      <c r="M478" s="1">
        <v>5192.0</v>
      </c>
      <c r="N478" s="1">
        <v>524.0</v>
      </c>
      <c r="O478" s="1">
        <v>1834.0</v>
      </c>
      <c r="P478" s="1">
        <v>1732.0</v>
      </c>
      <c r="Q478" s="1">
        <v>68.0</v>
      </c>
      <c r="R478" s="1">
        <v>1757.0</v>
      </c>
      <c r="S478" s="1">
        <v>312.0</v>
      </c>
      <c r="T478" s="1">
        <v>193.0</v>
      </c>
      <c r="U478" s="1">
        <v>161.0</v>
      </c>
      <c r="V478" s="1">
        <v>369.0</v>
      </c>
      <c r="W478" s="1">
        <v>23541.0</v>
      </c>
      <c r="X478" s="1">
        <v>2398.0</v>
      </c>
      <c r="Y478" s="1">
        <v>349.0</v>
      </c>
      <c r="Z478" s="1">
        <v>317.0</v>
      </c>
      <c r="AA478" s="1">
        <v>404.0</v>
      </c>
      <c r="AB478" s="1">
        <v>1401.0</v>
      </c>
      <c r="AC478" s="1">
        <v>179.0</v>
      </c>
      <c r="AD478" s="1">
        <v>625.0</v>
      </c>
      <c r="AE478" s="1">
        <v>20.0</v>
      </c>
      <c r="AF478" s="1">
        <v>427.0</v>
      </c>
      <c r="AG478" s="1">
        <v>0.0</v>
      </c>
      <c r="AH478" s="1">
        <v>197.0</v>
      </c>
      <c r="AI478" s="1">
        <v>127.0</v>
      </c>
      <c r="AJ478" s="1">
        <v>62.0</v>
      </c>
      <c r="AK478" s="1">
        <v>25.0</v>
      </c>
      <c r="AL478" s="1">
        <v>118.0</v>
      </c>
      <c r="AM478" s="1">
        <v>18.0</v>
      </c>
      <c r="AN478" s="1">
        <v>117.0</v>
      </c>
      <c r="AO478" s="1">
        <v>39.0</v>
      </c>
      <c r="AP478" s="1">
        <v>0.062114</v>
      </c>
      <c r="AQ478" s="1">
        <v>0.037956</v>
      </c>
      <c r="AR478" s="1">
        <v>0.062306</v>
      </c>
      <c r="AS478" s="1">
        <v>0.14259</v>
      </c>
      <c r="AT478" s="1">
        <v>23541.0</v>
      </c>
      <c r="AU478" s="1">
        <v>2398.0</v>
      </c>
      <c r="AV478" s="1">
        <v>0.109062</v>
      </c>
      <c r="AW478" s="1">
        <v>0.098475</v>
      </c>
      <c r="AX478" s="1">
        <v>0.0792</v>
      </c>
      <c r="AY478" s="1">
        <v>0.274652</v>
      </c>
      <c r="AZ478" s="1">
        <v>0.1018782</v>
      </c>
      <c r="BA478" s="1">
        <v>0.122525</v>
      </c>
      <c r="BB478" s="1">
        <v>0.004135</v>
      </c>
      <c r="BC478" s="1">
        <v>0.088295</v>
      </c>
      <c r="BD478" s="1">
        <v>0.0</v>
      </c>
      <c r="BE478" s="1">
        <v>0.113741</v>
      </c>
      <c r="BF478" s="1">
        <v>0.073325</v>
      </c>
      <c r="BG478" s="1">
        <v>0.03568</v>
      </c>
      <c r="BH478" s="1">
        <v>0.014961</v>
      </c>
      <c r="BI478" s="1">
        <v>0.070612</v>
      </c>
      <c r="BJ478" s="1">
        <v>0.010771</v>
      </c>
      <c r="BK478" s="1">
        <v>0.070015</v>
      </c>
      <c r="BL478" s="1">
        <v>0.007645</v>
      </c>
      <c r="BM478" s="1">
        <v>0.215</v>
      </c>
      <c r="BN478" s="1">
        <v>0.439</v>
      </c>
      <c r="BO478" s="1">
        <v>0.4231</v>
      </c>
      <c r="BP478" s="1">
        <v>0.379</v>
      </c>
      <c r="BQ478" s="1">
        <v>1.4561</v>
      </c>
      <c r="BR478" s="1">
        <v>0.3292</v>
      </c>
      <c r="BS478" s="1">
        <v>0.113</v>
      </c>
      <c r="BT478" s="1">
        <v>0.817</v>
      </c>
      <c r="BU478" s="1">
        <v>0.507</v>
      </c>
      <c r="BV478" s="1">
        <v>1.437</v>
      </c>
      <c r="BW478" s="1">
        <v>0.425</v>
      </c>
      <c r="BX478" s="1">
        <v>0.542</v>
      </c>
      <c r="BY478" s="1">
        <v>0.522</v>
      </c>
      <c r="BZ478" s="1">
        <v>1.064</v>
      </c>
      <c r="CA478" s="1">
        <v>0.592</v>
      </c>
      <c r="CB478" s="1">
        <v>0.0</v>
      </c>
      <c r="CC478" s="1">
        <v>0.659</v>
      </c>
      <c r="CD478" s="1">
        <v>0.596</v>
      </c>
      <c r="CE478" s="1">
        <v>0.098</v>
      </c>
      <c r="CF478" s="1">
        <v>0.547</v>
      </c>
      <c r="CG478" s="1">
        <v>1.9</v>
      </c>
      <c r="CH478" s="1">
        <v>0.305</v>
      </c>
      <c r="CI478" s="1">
        <v>5.8571</v>
      </c>
      <c r="CJ478" s="1">
        <v>0.3487</v>
      </c>
      <c r="CK478" s="1">
        <v>0.0</v>
      </c>
      <c r="CL478" s="1">
        <v>0.0</v>
      </c>
      <c r="CM478" s="1">
        <v>0.0</v>
      </c>
      <c r="CN478" s="1">
        <v>0.0</v>
      </c>
      <c r="CO478" s="1">
        <v>0.0</v>
      </c>
      <c r="CP478" s="1">
        <v>0.0</v>
      </c>
      <c r="CQ478" s="1">
        <v>0.0</v>
      </c>
      <c r="CR478" s="1">
        <v>0.0</v>
      </c>
      <c r="CS478" s="1">
        <v>0.0</v>
      </c>
      <c r="CT478" s="1">
        <v>0.0</v>
      </c>
      <c r="CU478" s="1">
        <v>0.0</v>
      </c>
      <c r="CV478" s="1">
        <v>0.0</v>
      </c>
      <c r="CW478" s="1">
        <v>0.0</v>
      </c>
      <c r="CX478" s="1">
        <v>0.0</v>
      </c>
      <c r="CY478" s="1">
        <v>0.0</v>
      </c>
      <c r="CZ478" s="1">
        <v>0.0</v>
      </c>
      <c r="DA478" s="1">
        <v>0.0</v>
      </c>
      <c r="DB478" s="1">
        <v>0.0</v>
      </c>
      <c r="DC478" s="1">
        <v>0.0</v>
      </c>
      <c r="DD478" s="1" t="s">
        <v>2331</v>
      </c>
      <c r="DE478" s="1">
        <v>0.00627543371832511</v>
      </c>
      <c r="DF478" s="2" t="s">
        <v>2332</v>
      </c>
    </row>
    <row r="479" ht="15.75" customHeight="1">
      <c r="A479" s="1" t="s">
        <v>2333</v>
      </c>
      <c r="B479" s="1">
        <v>29.0</v>
      </c>
      <c r="C479" s="2" t="s">
        <v>2039</v>
      </c>
      <c r="D479" s="2" t="s">
        <v>2334</v>
      </c>
      <c r="E479" s="1">
        <v>3.96</v>
      </c>
      <c r="F479" s="1">
        <v>29095.0</v>
      </c>
      <c r="G479" s="1">
        <v>2.90950182E10</v>
      </c>
      <c r="H479" s="1" t="s">
        <v>112</v>
      </c>
      <c r="I479" s="1" t="s">
        <v>113</v>
      </c>
      <c r="J479" s="1" t="s">
        <v>2041</v>
      </c>
      <c r="K479" s="1" t="s">
        <v>2335</v>
      </c>
      <c r="L479" s="1">
        <v>3225.0</v>
      </c>
      <c r="M479" s="1">
        <v>2586.0</v>
      </c>
      <c r="N479" s="1">
        <v>151.0</v>
      </c>
      <c r="O479" s="1">
        <v>1004.0</v>
      </c>
      <c r="P479" s="1">
        <v>834.0</v>
      </c>
      <c r="Q479" s="1">
        <v>53.0</v>
      </c>
      <c r="R479" s="1">
        <v>984.0</v>
      </c>
      <c r="S479" s="1">
        <v>31.0</v>
      </c>
      <c r="T479" s="1">
        <v>41.0</v>
      </c>
      <c r="U479" s="1">
        <v>28.0</v>
      </c>
      <c r="V479" s="1">
        <v>485.0</v>
      </c>
      <c r="W479" s="1">
        <v>33905.0</v>
      </c>
      <c r="X479" s="1">
        <v>3676.0</v>
      </c>
      <c r="Y479" s="1">
        <v>14.0</v>
      </c>
      <c r="Z479" s="1">
        <v>442.0</v>
      </c>
      <c r="AA479" s="1">
        <v>101.0</v>
      </c>
      <c r="AB479" s="1">
        <v>1261.0</v>
      </c>
      <c r="AC479" s="1">
        <v>84.0</v>
      </c>
      <c r="AD479" s="1">
        <v>599.0</v>
      </c>
      <c r="AE479" s="1">
        <v>20.0</v>
      </c>
      <c r="AF479" s="1">
        <v>442.0</v>
      </c>
      <c r="AG479" s="1">
        <v>0.0</v>
      </c>
      <c r="AH479" s="1">
        <v>197.0</v>
      </c>
      <c r="AI479" s="1">
        <v>0.0</v>
      </c>
      <c r="AJ479" s="1">
        <v>114.0</v>
      </c>
      <c r="AK479" s="1">
        <v>0.0</v>
      </c>
      <c r="AL479" s="1">
        <v>161.0</v>
      </c>
      <c r="AM479" s="1">
        <v>0.0</v>
      </c>
      <c r="AN479" s="1">
        <v>161.0</v>
      </c>
      <c r="AO479" s="1">
        <v>0.0</v>
      </c>
      <c r="AP479" s="1">
        <v>0.011987</v>
      </c>
      <c r="AQ479" s="1">
        <v>0.015839</v>
      </c>
      <c r="AR479" s="1">
        <v>0.020245</v>
      </c>
      <c r="AS479" s="1">
        <v>0.350666</v>
      </c>
      <c r="AT479" s="1">
        <v>33905.0</v>
      </c>
      <c r="AU479" s="1">
        <v>3676.0</v>
      </c>
      <c r="AV479" s="1">
        <v>0.009675</v>
      </c>
      <c r="AW479" s="1">
        <v>0.305459</v>
      </c>
      <c r="AX479" s="1">
        <v>0.031317</v>
      </c>
      <c r="AY479" s="1">
        <v>0.391007</v>
      </c>
      <c r="AZ479" s="1">
        <v>0.08536585</v>
      </c>
      <c r="BA479" s="1">
        <v>0.185736</v>
      </c>
      <c r="BB479" s="1">
        <v>0.008628</v>
      </c>
      <c r="BC479" s="1">
        <v>0.19068</v>
      </c>
      <c r="BD479" s="1">
        <v>0.0</v>
      </c>
      <c r="BE479" s="1">
        <v>0.236211</v>
      </c>
      <c r="BF479" s="1">
        <v>0.0</v>
      </c>
      <c r="BG479" s="1">
        <v>0.13669</v>
      </c>
      <c r="BH479" s="1">
        <v>0.0</v>
      </c>
      <c r="BI479" s="1">
        <v>0.195151</v>
      </c>
      <c r="BJ479" s="1">
        <v>0.0</v>
      </c>
      <c r="BK479" s="1">
        <v>0.195151</v>
      </c>
      <c r="BL479" s="1">
        <v>0.0</v>
      </c>
      <c r="BM479" s="1">
        <v>0.026</v>
      </c>
      <c r="BN479" s="1">
        <v>0.031</v>
      </c>
      <c r="BO479" s="1">
        <v>0.1307</v>
      </c>
      <c r="BP479" s="1">
        <v>0.014</v>
      </c>
      <c r="BQ479" s="1">
        <v>0.2017</v>
      </c>
      <c r="BR479" s="1">
        <v>0.0072</v>
      </c>
      <c r="BS479" s="1">
        <v>0.01</v>
      </c>
      <c r="BT479" s="1">
        <v>0.997</v>
      </c>
      <c r="BU479" s="1">
        <v>0.359</v>
      </c>
      <c r="BV479" s="1">
        <v>1.366</v>
      </c>
      <c r="BW479" s="1">
        <v>0.36</v>
      </c>
      <c r="BX479" s="1">
        <v>0.689</v>
      </c>
      <c r="BY479" s="1">
        <v>0.682</v>
      </c>
      <c r="BZ479" s="1">
        <v>1.371</v>
      </c>
      <c r="CA479" s="1">
        <v>0.751</v>
      </c>
      <c r="CB479" s="1">
        <v>0.0</v>
      </c>
      <c r="CC479" s="1">
        <v>0.0</v>
      </c>
      <c r="CD479" s="1">
        <v>0.0</v>
      </c>
      <c r="CE479" s="1">
        <v>0.0</v>
      </c>
      <c r="CF479" s="1">
        <v>0.0</v>
      </c>
      <c r="CG479" s="1">
        <v>0.0</v>
      </c>
      <c r="CH479" s="1">
        <v>0.0</v>
      </c>
      <c r="CI479" s="1">
        <v>2.9387</v>
      </c>
      <c r="CJ479" s="1">
        <v>0.0166</v>
      </c>
      <c r="CK479" s="1">
        <v>0.0</v>
      </c>
      <c r="CL479" s="1">
        <v>0.0</v>
      </c>
      <c r="CM479" s="1">
        <v>0.0</v>
      </c>
      <c r="CN479" s="1">
        <v>0.0</v>
      </c>
      <c r="CO479" s="1">
        <v>0.0</v>
      </c>
      <c r="CP479" s="1">
        <v>0.0</v>
      </c>
      <c r="CQ479" s="1">
        <v>1.0</v>
      </c>
      <c r="CR479" s="1">
        <v>0.0</v>
      </c>
      <c r="CS479" s="1">
        <v>1.0</v>
      </c>
      <c r="CT479" s="1">
        <v>0.0</v>
      </c>
      <c r="CU479" s="1">
        <v>0.0</v>
      </c>
      <c r="CV479" s="1">
        <v>0.0</v>
      </c>
      <c r="CW479" s="1">
        <v>0.0</v>
      </c>
      <c r="CX479" s="1">
        <v>0.0</v>
      </c>
      <c r="CY479" s="1">
        <v>0.0</v>
      </c>
      <c r="CZ479" s="1">
        <v>0.0</v>
      </c>
      <c r="DA479" s="1">
        <v>0.0</v>
      </c>
      <c r="DB479" s="1">
        <v>0.0</v>
      </c>
      <c r="DC479" s="1">
        <v>1.0</v>
      </c>
      <c r="DD479" s="1" t="s">
        <v>2336</v>
      </c>
      <c r="DE479" s="1">
        <v>0.00106891262844695</v>
      </c>
      <c r="DF479" s="2" t="s">
        <v>2337</v>
      </c>
    </row>
    <row r="480" ht="15.75" customHeight="1">
      <c r="A480" s="1" t="s">
        <v>2338</v>
      </c>
      <c r="B480" s="1">
        <v>29.0</v>
      </c>
      <c r="C480" s="2" t="s">
        <v>2039</v>
      </c>
      <c r="D480" s="2" t="s">
        <v>2339</v>
      </c>
      <c r="E480" s="1">
        <v>4.144</v>
      </c>
      <c r="F480" s="1">
        <v>29095.0</v>
      </c>
      <c r="G480" s="1">
        <v>2.90950185E10</v>
      </c>
      <c r="H480" s="1" t="s">
        <v>112</v>
      </c>
      <c r="I480" s="1" t="s">
        <v>113</v>
      </c>
      <c r="J480" s="1" t="s">
        <v>2041</v>
      </c>
      <c r="K480" s="1" t="s">
        <v>2340</v>
      </c>
      <c r="L480" s="1">
        <v>3302.0</v>
      </c>
      <c r="M480" s="1">
        <v>3060.0</v>
      </c>
      <c r="N480" s="1">
        <v>246.0</v>
      </c>
      <c r="O480" s="1">
        <v>1240.0</v>
      </c>
      <c r="P480" s="1">
        <v>1252.0</v>
      </c>
      <c r="Q480" s="1">
        <v>39.0</v>
      </c>
      <c r="R480" s="1">
        <v>1177.0</v>
      </c>
      <c r="S480" s="1">
        <v>0.0</v>
      </c>
      <c r="T480" s="1">
        <v>161.0</v>
      </c>
      <c r="U480" s="1">
        <v>44.0</v>
      </c>
      <c r="V480" s="1">
        <v>471.0</v>
      </c>
      <c r="W480" s="1">
        <v>44163.0</v>
      </c>
      <c r="X480" s="1">
        <v>6147.0</v>
      </c>
      <c r="Y480" s="1">
        <v>27.0</v>
      </c>
      <c r="Z480" s="1">
        <v>412.0</v>
      </c>
      <c r="AA480" s="1">
        <v>340.0</v>
      </c>
      <c r="AB480" s="1">
        <v>946.0</v>
      </c>
      <c r="AC480" s="1">
        <v>106.0</v>
      </c>
      <c r="AD480" s="1">
        <v>703.0</v>
      </c>
      <c r="AE480" s="1">
        <v>9.0</v>
      </c>
      <c r="AF480" s="1">
        <v>442.0</v>
      </c>
      <c r="AG480" s="1">
        <v>0.0</v>
      </c>
      <c r="AH480" s="1">
        <v>197.0</v>
      </c>
      <c r="AI480" s="1">
        <v>0.0</v>
      </c>
      <c r="AJ480" s="1">
        <v>114.0</v>
      </c>
      <c r="AK480" s="1">
        <v>0.0</v>
      </c>
      <c r="AL480" s="1">
        <v>161.0</v>
      </c>
      <c r="AM480" s="1">
        <v>10.0</v>
      </c>
      <c r="AN480" s="1">
        <v>115.0</v>
      </c>
      <c r="AO480" s="1">
        <v>0.0</v>
      </c>
      <c r="AP480" s="1">
        <v>0.0</v>
      </c>
      <c r="AQ480" s="1">
        <v>0.052614</v>
      </c>
      <c r="AR480" s="1">
        <v>0.0275</v>
      </c>
      <c r="AS480" s="1">
        <v>0.294337</v>
      </c>
      <c r="AT480" s="1">
        <v>44163.0</v>
      </c>
      <c r="AU480" s="1">
        <v>6147.0</v>
      </c>
      <c r="AV480" s="1">
        <v>0.013333</v>
      </c>
      <c r="AW480" s="1">
        <v>0.203454</v>
      </c>
      <c r="AX480" s="1">
        <v>0.102967</v>
      </c>
      <c r="AY480" s="1">
        <v>0.286493</v>
      </c>
      <c r="AZ480" s="1">
        <v>0.09005947</v>
      </c>
      <c r="BA480" s="1">
        <v>0.212901</v>
      </c>
      <c r="BB480" s="1">
        <v>0.003206</v>
      </c>
      <c r="BC480" s="1">
        <v>0.157463</v>
      </c>
      <c r="BD480" s="1">
        <v>0.0</v>
      </c>
      <c r="BE480" s="1">
        <v>0.157348</v>
      </c>
      <c r="BF480" s="1">
        <v>0.0</v>
      </c>
      <c r="BG480" s="1">
        <v>0.091054</v>
      </c>
      <c r="BH480" s="1">
        <v>0.0</v>
      </c>
      <c r="BI480" s="1">
        <v>0.138912</v>
      </c>
      <c r="BJ480" s="1">
        <v>0.008628</v>
      </c>
      <c r="BK480" s="1">
        <v>0.099221</v>
      </c>
      <c r="BL480" s="1">
        <v>0.0</v>
      </c>
      <c r="BM480" s="1">
        <v>0.0</v>
      </c>
      <c r="BN480" s="1">
        <v>0.069</v>
      </c>
      <c r="BO480" s="1">
        <v>0.0426</v>
      </c>
      <c r="BP480" s="1">
        <v>0.024</v>
      </c>
      <c r="BQ480" s="1">
        <v>0.1356</v>
      </c>
      <c r="BR480" s="1">
        <v>0.0022</v>
      </c>
      <c r="BS480" s="1">
        <v>0.23</v>
      </c>
      <c r="BT480" s="1">
        <v>0.875</v>
      </c>
      <c r="BU480" s="1">
        <v>0.402</v>
      </c>
      <c r="BV480" s="1">
        <v>1.507</v>
      </c>
      <c r="BW480" s="1">
        <v>0.491</v>
      </c>
      <c r="BX480" s="1">
        <v>0.726</v>
      </c>
      <c r="BY480" s="1">
        <v>0.463</v>
      </c>
      <c r="BZ480" s="1">
        <v>1.189</v>
      </c>
      <c r="CA480" s="1">
        <v>0.656</v>
      </c>
      <c r="CB480" s="1">
        <v>0.0</v>
      </c>
      <c r="CC480" s="1">
        <v>0.0</v>
      </c>
      <c r="CD480" s="1">
        <v>0.0</v>
      </c>
      <c r="CE480" s="1">
        <v>0.069</v>
      </c>
      <c r="CF480" s="1">
        <v>0.0</v>
      </c>
      <c r="CG480" s="1">
        <v>0.069</v>
      </c>
      <c r="CH480" s="1">
        <v>0.009</v>
      </c>
      <c r="CI480" s="1">
        <v>2.9006</v>
      </c>
      <c r="CJ480" s="1">
        <v>0.0159</v>
      </c>
      <c r="CK480" s="1">
        <v>0.0</v>
      </c>
      <c r="CL480" s="1">
        <v>0.0</v>
      </c>
      <c r="CM480" s="1">
        <v>0.0</v>
      </c>
      <c r="CN480" s="1">
        <v>0.0</v>
      </c>
      <c r="CO480" s="1">
        <v>0.0</v>
      </c>
      <c r="CP480" s="1">
        <v>0.0</v>
      </c>
      <c r="CQ480" s="1">
        <v>0.0</v>
      </c>
      <c r="CR480" s="1">
        <v>0.0</v>
      </c>
      <c r="CS480" s="1">
        <v>0.0</v>
      </c>
      <c r="CT480" s="1">
        <v>0.0</v>
      </c>
      <c r="CU480" s="1">
        <v>0.0</v>
      </c>
      <c r="CV480" s="1">
        <v>0.0</v>
      </c>
      <c r="CW480" s="1">
        <v>0.0</v>
      </c>
      <c r="CX480" s="1">
        <v>0.0</v>
      </c>
      <c r="CY480" s="1">
        <v>0.0</v>
      </c>
      <c r="CZ480" s="1">
        <v>0.0</v>
      </c>
      <c r="DA480" s="1">
        <v>0.0</v>
      </c>
      <c r="DB480" s="1">
        <v>0.0</v>
      </c>
      <c r="DC480" s="1">
        <v>0.0</v>
      </c>
      <c r="DD480" s="1" t="s">
        <v>2341</v>
      </c>
      <c r="DE480" s="1">
        <v>0.00111572119391798</v>
      </c>
      <c r="DF480" s="2" t="s">
        <v>2342</v>
      </c>
    </row>
    <row r="481" ht="15.75" customHeight="1">
      <c r="A481" s="1" t="s">
        <v>2343</v>
      </c>
      <c r="B481" s="1">
        <v>29.0</v>
      </c>
      <c r="C481" s="2" t="s">
        <v>2039</v>
      </c>
      <c r="D481" s="2" t="s">
        <v>2344</v>
      </c>
      <c r="E481" s="1">
        <v>1.022</v>
      </c>
      <c r="F481" s="1">
        <v>29095.0</v>
      </c>
      <c r="G481" s="1">
        <v>2.90950186E10</v>
      </c>
      <c r="H481" s="1" t="s">
        <v>112</v>
      </c>
      <c r="I481" s="1" t="s">
        <v>113</v>
      </c>
      <c r="J481" s="1" t="s">
        <v>2041</v>
      </c>
      <c r="K481" s="1" t="s">
        <v>2345</v>
      </c>
      <c r="L481" s="1">
        <v>3043.0</v>
      </c>
      <c r="M481" s="1">
        <v>2941.0</v>
      </c>
      <c r="N481" s="1">
        <v>121.0</v>
      </c>
      <c r="O481" s="1">
        <v>1094.0</v>
      </c>
      <c r="P481" s="1">
        <v>1071.0</v>
      </c>
      <c r="Q481" s="1">
        <v>27.0</v>
      </c>
      <c r="R481" s="1">
        <v>1036.0</v>
      </c>
      <c r="S481" s="1">
        <v>0.0</v>
      </c>
      <c r="T481" s="1">
        <v>161.0</v>
      </c>
      <c r="U481" s="1">
        <v>94.0</v>
      </c>
      <c r="V481" s="1">
        <v>445.0</v>
      </c>
      <c r="W481" s="1">
        <v>35808.0</v>
      </c>
      <c r="X481" s="1">
        <v>3902.0</v>
      </c>
      <c r="Y481" s="1">
        <v>62.0</v>
      </c>
      <c r="Z481" s="1">
        <v>413.0</v>
      </c>
      <c r="AA481" s="1">
        <v>162.0</v>
      </c>
      <c r="AB481" s="1">
        <v>924.0</v>
      </c>
      <c r="AC481" s="1">
        <v>99.0</v>
      </c>
      <c r="AD481" s="1">
        <v>306.0</v>
      </c>
      <c r="AE481" s="1">
        <v>14.0</v>
      </c>
      <c r="AF481" s="1">
        <v>442.0</v>
      </c>
      <c r="AG481" s="1">
        <v>0.0</v>
      </c>
      <c r="AH481" s="1">
        <v>197.0</v>
      </c>
      <c r="AI481" s="1">
        <v>0.0</v>
      </c>
      <c r="AJ481" s="1">
        <v>114.0</v>
      </c>
      <c r="AK481" s="1">
        <v>0.0</v>
      </c>
      <c r="AL481" s="1">
        <v>161.0</v>
      </c>
      <c r="AM481" s="1">
        <v>13.0</v>
      </c>
      <c r="AN481" s="1">
        <v>116.0</v>
      </c>
      <c r="AO481" s="1">
        <v>0.0</v>
      </c>
      <c r="AP481" s="1">
        <v>0.0</v>
      </c>
      <c r="AQ481" s="1">
        <v>0.054743</v>
      </c>
      <c r="AR481" s="1">
        <v>0.055621</v>
      </c>
      <c r="AS481" s="1">
        <v>0.263109</v>
      </c>
      <c r="AT481" s="1">
        <v>35808.0</v>
      </c>
      <c r="AU481" s="1">
        <v>3902.0</v>
      </c>
      <c r="AV481" s="1">
        <v>0.032375</v>
      </c>
      <c r="AW481" s="1">
        <v>0.215654</v>
      </c>
      <c r="AX481" s="1">
        <v>0.053236</v>
      </c>
      <c r="AY481" s="1">
        <v>0.303647</v>
      </c>
      <c r="AZ481" s="1">
        <v>0.09555984</v>
      </c>
      <c r="BA481" s="1">
        <v>0.100558</v>
      </c>
      <c r="BB481" s="1">
        <v>0.00503</v>
      </c>
      <c r="BC481" s="1">
        <v>0.158821</v>
      </c>
      <c r="BD481" s="1">
        <v>0.0</v>
      </c>
      <c r="BE481" s="1">
        <v>0.18394</v>
      </c>
      <c r="BF481" s="1">
        <v>0.0</v>
      </c>
      <c r="BG481" s="1">
        <v>0.106442</v>
      </c>
      <c r="BH481" s="1">
        <v>0.0</v>
      </c>
      <c r="BI481" s="1">
        <v>0.150326</v>
      </c>
      <c r="BJ481" s="1">
        <v>0.012138</v>
      </c>
      <c r="BK481" s="1">
        <v>0.108309</v>
      </c>
      <c r="BL481" s="1">
        <v>0.0</v>
      </c>
      <c r="BM481" s="1">
        <v>0.0</v>
      </c>
      <c r="BN481" s="1">
        <v>0.358</v>
      </c>
      <c r="BO481" s="1">
        <v>0.1061</v>
      </c>
      <c r="BP481" s="1">
        <v>0.069</v>
      </c>
      <c r="BQ481" s="1">
        <v>0.5331</v>
      </c>
      <c r="BR481" s="1">
        <v>0.0765</v>
      </c>
      <c r="BS481" s="1">
        <v>0.029</v>
      </c>
      <c r="BT481" s="1">
        <v>0.933</v>
      </c>
      <c r="BU481" s="1">
        <v>0.452</v>
      </c>
      <c r="BV481" s="1">
        <v>1.414</v>
      </c>
      <c r="BW481" s="1">
        <v>0.402</v>
      </c>
      <c r="BX481" s="1">
        <v>0.469</v>
      </c>
      <c r="BY481" s="1">
        <v>0.562</v>
      </c>
      <c r="BZ481" s="1">
        <v>1.031</v>
      </c>
      <c r="CA481" s="1">
        <v>0.572</v>
      </c>
      <c r="CB481" s="1">
        <v>0.0</v>
      </c>
      <c r="CC481" s="1">
        <v>0.0</v>
      </c>
      <c r="CD481" s="1">
        <v>0.0</v>
      </c>
      <c r="CE481" s="1">
        <v>0.107</v>
      </c>
      <c r="CF481" s="1">
        <v>0.0</v>
      </c>
      <c r="CG481" s="1">
        <v>0.107</v>
      </c>
      <c r="CH481" s="1">
        <v>0.011</v>
      </c>
      <c r="CI481" s="1">
        <v>3.0851</v>
      </c>
      <c r="CJ481" s="1">
        <v>0.0231</v>
      </c>
      <c r="CK481" s="1">
        <v>0.0</v>
      </c>
      <c r="CL481" s="1">
        <v>0.0</v>
      </c>
      <c r="CM481" s="1">
        <v>0.0</v>
      </c>
      <c r="CN481" s="1">
        <v>0.0</v>
      </c>
      <c r="CO481" s="1">
        <v>0.0</v>
      </c>
      <c r="CP481" s="1">
        <v>0.0</v>
      </c>
      <c r="CQ481" s="1">
        <v>1.0</v>
      </c>
      <c r="CR481" s="1">
        <v>0.0</v>
      </c>
      <c r="CS481" s="1">
        <v>1.0</v>
      </c>
      <c r="CT481" s="1">
        <v>0.0</v>
      </c>
      <c r="CU481" s="1">
        <v>0.0</v>
      </c>
      <c r="CV481" s="1">
        <v>0.0</v>
      </c>
      <c r="CW481" s="1">
        <v>0.0</v>
      </c>
      <c r="CX481" s="1">
        <v>0.0</v>
      </c>
      <c r="CY481" s="1">
        <v>0.0</v>
      </c>
      <c r="CZ481" s="1">
        <v>0.0</v>
      </c>
      <c r="DA481" s="1">
        <v>0.0</v>
      </c>
      <c r="DB481" s="1">
        <v>0.0</v>
      </c>
      <c r="DC481" s="1">
        <v>1.0</v>
      </c>
      <c r="DD481" s="1" t="s">
        <v>2346</v>
      </c>
      <c r="DE481" s="1">
        <v>2.77108295015824E-4</v>
      </c>
      <c r="DF481" s="1">
        <v>0.0803204481300247</v>
      </c>
    </row>
    <row r="482" ht="15.75" customHeight="1">
      <c r="A482" s="1" t="s">
        <v>2347</v>
      </c>
      <c r="B482" s="1">
        <v>29.0</v>
      </c>
      <c r="C482" s="2" t="s">
        <v>2039</v>
      </c>
      <c r="D482" s="2" t="s">
        <v>2348</v>
      </c>
      <c r="E482" s="1">
        <v>2.702</v>
      </c>
      <c r="F482" s="1">
        <v>29095.0</v>
      </c>
      <c r="G482" s="1">
        <v>2.90950193E10</v>
      </c>
      <c r="H482" s="1" t="s">
        <v>112</v>
      </c>
      <c r="I482" s="1" t="s">
        <v>113</v>
      </c>
      <c r="J482" s="1" t="s">
        <v>2041</v>
      </c>
      <c r="K482" s="1" t="s">
        <v>2349</v>
      </c>
      <c r="L482" s="1">
        <v>6394.0</v>
      </c>
      <c r="M482" s="1">
        <v>5934.0</v>
      </c>
      <c r="N482" s="1">
        <v>385.0</v>
      </c>
      <c r="O482" s="1">
        <v>2558.0</v>
      </c>
      <c r="P482" s="1">
        <v>2572.0</v>
      </c>
      <c r="Q482" s="1">
        <v>81.0</v>
      </c>
      <c r="R482" s="1">
        <v>2420.0</v>
      </c>
      <c r="S482" s="1">
        <v>274.0</v>
      </c>
      <c r="T482" s="1">
        <v>112.0</v>
      </c>
      <c r="U482" s="1">
        <v>252.0</v>
      </c>
      <c r="V482" s="1">
        <v>358.0</v>
      </c>
      <c r="W482" s="1">
        <v>30299.0</v>
      </c>
      <c r="X482" s="1">
        <v>1879.0</v>
      </c>
      <c r="Y482" s="1">
        <v>293.0</v>
      </c>
      <c r="Z482" s="1">
        <v>343.0</v>
      </c>
      <c r="AA482" s="1">
        <v>627.0</v>
      </c>
      <c r="AB482" s="1">
        <v>1640.0</v>
      </c>
      <c r="AC482" s="1">
        <v>286.0</v>
      </c>
      <c r="AD482" s="1">
        <v>1035.0</v>
      </c>
      <c r="AE482" s="1">
        <v>38.0</v>
      </c>
      <c r="AF482" s="1">
        <v>428.0</v>
      </c>
      <c r="AG482" s="1">
        <v>0.0</v>
      </c>
      <c r="AH482" s="1">
        <v>197.0</v>
      </c>
      <c r="AI482" s="1">
        <v>58.0</v>
      </c>
      <c r="AJ482" s="1">
        <v>56.0</v>
      </c>
      <c r="AK482" s="1">
        <v>0.0</v>
      </c>
      <c r="AL482" s="1">
        <v>161.0</v>
      </c>
      <c r="AM482" s="1">
        <v>28.0</v>
      </c>
      <c r="AN482" s="1">
        <v>118.0</v>
      </c>
      <c r="AO482" s="1">
        <v>0.0</v>
      </c>
      <c r="AP482" s="1">
        <v>0.046174</v>
      </c>
      <c r="AQ482" s="1">
        <v>0.018635</v>
      </c>
      <c r="AR482" s="1">
        <v>0.072601</v>
      </c>
      <c r="AS482" s="1">
        <v>0.102904</v>
      </c>
      <c r="AT482" s="1">
        <v>30299.0</v>
      </c>
      <c r="AU482" s="1">
        <v>1879.0</v>
      </c>
      <c r="AV482" s="1">
        <v>0.071673</v>
      </c>
      <c r="AW482" s="1">
        <v>0.083792</v>
      </c>
      <c r="AX482" s="1">
        <v>0.09806</v>
      </c>
      <c r="AY482" s="1">
        <v>0.25649</v>
      </c>
      <c r="AZ482" s="1">
        <v>0.11818181</v>
      </c>
      <c r="BA482" s="1">
        <v>0.16187</v>
      </c>
      <c r="BB482" s="1">
        <v>0.006813</v>
      </c>
      <c r="BC482" s="1">
        <v>0.076742</v>
      </c>
      <c r="BD482" s="1">
        <v>0.0</v>
      </c>
      <c r="BE482" s="1">
        <v>0.076594</v>
      </c>
      <c r="BF482" s="1">
        <v>0.02255</v>
      </c>
      <c r="BG482" s="1">
        <v>0.021761</v>
      </c>
      <c r="BH482" s="1">
        <v>0.0</v>
      </c>
      <c r="BI482" s="1">
        <v>0.072164</v>
      </c>
      <c r="BJ482" s="1">
        <v>0.01255</v>
      </c>
      <c r="BK482" s="1">
        <v>0.052886</v>
      </c>
      <c r="BL482" s="1">
        <v>0.0</v>
      </c>
      <c r="BM482" s="1">
        <v>0.149</v>
      </c>
      <c r="BN482" s="1">
        <v>0.534</v>
      </c>
      <c r="BO482" s="1">
        <v>0.1906</v>
      </c>
      <c r="BP482" s="1">
        <v>0.207</v>
      </c>
      <c r="BQ482" s="1">
        <v>1.0806</v>
      </c>
      <c r="BR482" s="1">
        <v>0.2209</v>
      </c>
      <c r="BS482" s="1">
        <v>0.201</v>
      </c>
      <c r="BT482" s="1">
        <v>0.668</v>
      </c>
      <c r="BU482" s="1">
        <v>0.656</v>
      </c>
      <c r="BV482" s="1">
        <v>1.525</v>
      </c>
      <c r="BW482" s="1">
        <v>0.503</v>
      </c>
      <c r="BX482" s="1">
        <v>0.653</v>
      </c>
      <c r="BY482" s="1">
        <v>0.625</v>
      </c>
      <c r="BZ482" s="1">
        <v>1.278</v>
      </c>
      <c r="CA482" s="1">
        <v>0.702</v>
      </c>
      <c r="CB482" s="1">
        <v>0.0</v>
      </c>
      <c r="CC482" s="1">
        <v>0.525</v>
      </c>
      <c r="CD482" s="1">
        <v>0.0</v>
      </c>
      <c r="CE482" s="1">
        <v>0.11</v>
      </c>
      <c r="CF482" s="1">
        <v>0.0</v>
      </c>
      <c r="CG482" s="1">
        <v>0.635</v>
      </c>
      <c r="CH482" s="1">
        <v>0.04</v>
      </c>
      <c r="CI482" s="1">
        <v>4.5186</v>
      </c>
      <c r="CJ482" s="1">
        <v>0.1372</v>
      </c>
      <c r="CK482" s="1">
        <v>0.0</v>
      </c>
      <c r="CL482" s="1">
        <v>0.0</v>
      </c>
      <c r="CM482" s="1">
        <v>0.0</v>
      </c>
      <c r="CN482" s="1">
        <v>0.0</v>
      </c>
      <c r="CO482" s="1">
        <v>0.0</v>
      </c>
      <c r="CP482" s="1">
        <v>0.0</v>
      </c>
      <c r="CQ482" s="1">
        <v>0.0</v>
      </c>
      <c r="CR482" s="1">
        <v>0.0</v>
      </c>
      <c r="CS482" s="1">
        <v>0.0</v>
      </c>
      <c r="CT482" s="1">
        <v>0.0</v>
      </c>
      <c r="CU482" s="1">
        <v>0.0</v>
      </c>
      <c r="CV482" s="1">
        <v>0.0</v>
      </c>
      <c r="CW482" s="1">
        <v>0.0</v>
      </c>
      <c r="CX482" s="1">
        <v>0.0</v>
      </c>
      <c r="CY482" s="1">
        <v>0.0</v>
      </c>
      <c r="CZ482" s="1">
        <v>0.0</v>
      </c>
      <c r="DA482" s="1">
        <v>0.0</v>
      </c>
      <c r="DB482" s="1">
        <v>0.0</v>
      </c>
      <c r="DC482" s="1">
        <v>0.0</v>
      </c>
      <c r="DD482" s="1" t="s">
        <v>2350</v>
      </c>
      <c r="DE482" s="1">
        <v>7.62232539416427E-4</v>
      </c>
      <c r="DF482" s="2" t="s">
        <v>2351</v>
      </c>
    </row>
    <row r="483" ht="15.75" customHeight="1">
      <c r="A483" s="1" t="s">
        <v>2352</v>
      </c>
      <c r="B483" s="1">
        <v>29.0</v>
      </c>
      <c r="C483" s="2" t="s">
        <v>2039</v>
      </c>
      <c r="D483" s="1">
        <v>980101.0</v>
      </c>
      <c r="E483" s="1">
        <v>2.59</v>
      </c>
      <c r="F483" s="1">
        <v>29095.0</v>
      </c>
      <c r="G483" s="1">
        <v>2.9095980101E10</v>
      </c>
      <c r="H483" s="1" t="s">
        <v>112</v>
      </c>
      <c r="I483" s="1" t="s">
        <v>113</v>
      </c>
      <c r="J483" s="1" t="s">
        <v>2041</v>
      </c>
      <c r="K483" s="1" t="s">
        <v>2353</v>
      </c>
      <c r="L483" s="1">
        <v>8.0</v>
      </c>
      <c r="M483" s="1">
        <v>0.0</v>
      </c>
      <c r="N483" s="1">
        <v>114.0</v>
      </c>
      <c r="O483" s="1">
        <v>2.0</v>
      </c>
      <c r="P483" s="1">
        <v>0.0</v>
      </c>
      <c r="Q483" s="1">
        <v>114.0</v>
      </c>
      <c r="R483" s="1">
        <v>2.0</v>
      </c>
      <c r="S483" s="1">
        <v>0.0</v>
      </c>
      <c r="T483" s="1">
        <v>161.0</v>
      </c>
      <c r="U483" s="1">
        <v>0.0</v>
      </c>
      <c r="V483" s="1">
        <v>510.0</v>
      </c>
      <c r="W483" s="1">
        <v>-999.0</v>
      </c>
      <c r="X483" s="1">
        <v>-999.0</v>
      </c>
      <c r="Y483" s="1">
        <v>0.0</v>
      </c>
      <c r="Z483" s="1">
        <v>456.0</v>
      </c>
      <c r="AA483" s="1">
        <v>0.0</v>
      </c>
      <c r="AB483" s="1">
        <v>4.0</v>
      </c>
      <c r="AC483" s="1">
        <v>0.0</v>
      </c>
      <c r="AD483" s="1">
        <v>8.0</v>
      </c>
      <c r="AE483" s="1">
        <v>0.0</v>
      </c>
      <c r="AF483" s="1">
        <v>456.0</v>
      </c>
      <c r="AG483" s="1">
        <v>0.0</v>
      </c>
      <c r="AH483" s="1">
        <v>197.0</v>
      </c>
      <c r="AI483" s="1">
        <v>0.0</v>
      </c>
      <c r="AJ483" s="1">
        <v>114.0</v>
      </c>
      <c r="AK483" s="1">
        <v>0.0</v>
      </c>
      <c r="AL483" s="1">
        <v>161.0</v>
      </c>
      <c r="AM483" s="1">
        <v>0.0</v>
      </c>
      <c r="AN483" s="1">
        <v>161.0</v>
      </c>
      <c r="AO483" s="1">
        <v>0.0</v>
      </c>
      <c r="AP483" s="1">
        <v>0.0</v>
      </c>
      <c r="AQ483" s="1">
        <v>-999.0</v>
      </c>
      <c r="AR483" s="1">
        <v>0.0</v>
      </c>
      <c r="AS483" s="1">
        <v>-999.0</v>
      </c>
      <c r="AT483" s="1">
        <v>-999.0</v>
      </c>
      <c r="AU483" s="1">
        <v>-999.0</v>
      </c>
      <c r="AV483" s="1">
        <v>0.0</v>
      </c>
      <c r="AW483" s="1">
        <v>-999.0</v>
      </c>
      <c r="AX483" s="1">
        <v>0.0</v>
      </c>
      <c r="AY483" s="1">
        <v>0.5</v>
      </c>
      <c r="AZ483" s="1">
        <v>0.0</v>
      </c>
      <c r="BA483" s="1">
        <v>1.0</v>
      </c>
      <c r="BB483" s="1">
        <v>0.0</v>
      </c>
      <c r="BC483" s="1">
        <v>-999.0</v>
      </c>
      <c r="BD483" s="1">
        <v>0.0</v>
      </c>
      <c r="BE483" s="1">
        <v>-999.0</v>
      </c>
      <c r="BF483" s="1">
        <v>0.0</v>
      </c>
      <c r="BG483" s="1">
        <v>-999.0</v>
      </c>
      <c r="BH483" s="1">
        <v>0.0</v>
      </c>
      <c r="BI483" s="1">
        <v>-999.0</v>
      </c>
      <c r="BJ483" s="1">
        <v>0.0</v>
      </c>
      <c r="BK483" s="1">
        <v>-999.0</v>
      </c>
      <c r="BL483" s="1">
        <v>0.0</v>
      </c>
      <c r="BM483" s="1">
        <v>0.0</v>
      </c>
      <c r="BN483" s="1">
        <v>0.0</v>
      </c>
      <c r="BO483" s="1">
        <v>-999.0</v>
      </c>
      <c r="BP483" s="1">
        <v>0.0</v>
      </c>
      <c r="BQ483" s="1">
        <v>-999.0</v>
      </c>
      <c r="BR483" s="1">
        <v>-999.0</v>
      </c>
      <c r="BS483" s="1">
        <v>0.0</v>
      </c>
      <c r="BT483" s="1">
        <v>1.0</v>
      </c>
      <c r="BU483" s="1">
        <v>0.0</v>
      </c>
      <c r="BV483" s="1">
        <v>1.0</v>
      </c>
      <c r="BW483" s="1">
        <v>0.117</v>
      </c>
      <c r="BX483" s="1">
        <v>1.0</v>
      </c>
      <c r="BY483" s="1">
        <v>0.0</v>
      </c>
      <c r="BZ483" s="1">
        <v>1.0</v>
      </c>
      <c r="CA483" s="1">
        <v>0.561</v>
      </c>
      <c r="CB483" s="1">
        <v>0.0</v>
      </c>
      <c r="CC483" s="1">
        <v>0.0</v>
      </c>
      <c r="CD483" s="1">
        <v>0.0</v>
      </c>
      <c r="CE483" s="1">
        <v>0.0</v>
      </c>
      <c r="CF483" s="1">
        <v>0.0</v>
      </c>
      <c r="CG483" s="1">
        <v>0.0</v>
      </c>
      <c r="CH483" s="1">
        <v>0.0</v>
      </c>
      <c r="CI483" s="1">
        <v>-999.0</v>
      </c>
      <c r="CJ483" s="1">
        <v>-999.0</v>
      </c>
      <c r="CK483" s="1">
        <v>0.0</v>
      </c>
      <c r="CL483" s="1">
        <v>0.0</v>
      </c>
      <c r="CM483" s="1">
        <v>-999.0</v>
      </c>
      <c r="CN483" s="1">
        <v>0.0</v>
      </c>
      <c r="CO483" s="1">
        <v>-999.0</v>
      </c>
      <c r="CP483" s="1">
        <v>0.0</v>
      </c>
      <c r="CQ483" s="1">
        <v>1.0</v>
      </c>
      <c r="CR483" s="1">
        <v>0.0</v>
      </c>
      <c r="CS483" s="1">
        <v>1.0</v>
      </c>
      <c r="CT483" s="1">
        <v>1.0</v>
      </c>
      <c r="CU483" s="1">
        <v>0.0</v>
      </c>
      <c r="CV483" s="1">
        <v>1.0</v>
      </c>
      <c r="CW483" s="1">
        <v>0.0</v>
      </c>
      <c r="CX483" s="1">
        <v>0.0</v>
      </c>
      <c r="CY483" s="1">
        <v>0.0</v>
      </c>
      <c r="CZ483" s="1">
        <v>0.0</v>
      </c>
      <c r="DA483" s="1">
        <v>0.0</v>
      </c>
      <c r="DB483" s="1">
        <v>0.0</v>
      </c>
      <c r="DC483" s="1">
        <v>-999.0</v>
      </c>
      <c r="DD483" s="1" t="s">
        <v>2354</v>
      </c>
      <c r="DE483" s="1">
        <v>7.02289716374217E-4</v>
      </c>
      <c r="DF483" s="2" t="s">
        <v>2355</v>
      </c>
    </row>
    <row r="484" ht="15.75" customHeight="1">
      <c r="A484" s="1" t="s">
        <v>2356</v>
      </c>
      <c r="B484" s="1">
        <v>29.0</v>
      </c>
      <c r="C484" s="2" t="s">
        <v>2039</v>
      </c>
      <c r="D484" s="1">
        <v>988300.0</v>
      </c>
      <c r="E484" s="1">
        <v>5.45</v>
      </c>
      <c r="F484" s="1">
        <v>29095.0</v>
      </c>
      <c r="G484" s="1">
        <v>2.90959883E10</v>
      </c>
      <c r="H484" s="1" t="s">
        <v>112</v>
      </c>
      <c r="I484" s="1" t="s">
        <v>113</v>
      </c>
      <c r="J484" s="1" t="s">
        <v>2041</v>
      </c>
      <c r="K484" s="1" t="s">
        <v>2357</v>
      </c>
      <c r="L484" s="1">
        <v>102.0</v>
      </c>
      <c r="M484" s="1">
        <v>0.0</v>
      </c>
      <c r="N484" s="1">
        <v>114.0</v>
      </c>
      <c r="O484" s="1">
        <v>49.0</v>
      </c>
      <c r="P484" s="1">
        <v>0.0</v>
      </c>
      <c r="Q484" s="1">
        <v>114.0</v>
      </c>
      <c r="R484" s="1">
        <v>45.0</v>
      </c>
      <c r="S484" s="1">
        <v>0.0</v>
      </c>
      <c r="T484" s="1">
        <v>161.0</v>
      </c>
      <c r="U484" s="1">
        <v>0.0</v>
      </c>
      <c r="V484" s="1">
        <v>510.0</v>
      </c>
      <c r="W484" s="1">
        <v>-999.0</v>
      </c>
      <c r="X484" s="1">
        <v>-999.0</v>
      </c>
      <c r="Y484" s="1">
        <v>0.0</v>
      </c>
      <c r="Z484" s="1">
        <v>456.0</v>
      </c>
      <c r="AA484" s="1">
        <v>25.0</v>
      </c>
      <c r="AB484" s="1">
        <v>14.0</v>
      </c>
      <c r="AC484" s="1">
        <v>1.0</v>
      </c>
      <c r="AD484" s="1">
        <v>2.0</v>
      </c>
      <c r="AE484" s="1">
        <v>0.0</v>
      </c>
      <c r="AF484" s="1">
        <v>456.0</v>
      </c>
      <c r="AG484" s="1">
        <v>0.0</v>
      </c>
      <c r="AH484" s="1">
        <v>197.0</v>
      </c>
      <c r="AI484" s="1">
        <v>0.0</v>
      </c>
      <c r="AJ484" s="1">
        <v>114.0</v>
      </c>
      <c r="AK484" s="1">
        <v>0.0</v>
      </c>
      <c r="AL484" s="1">
        <v>161.0</v>
      </c>
      <c r="AM484" s="1">
        <v>0.0</v>
      </c>
      <c r="AN484" s="1">
        <v>161.0</v>
      </c>
      <c r="AO484" s="1">
        <v>1.0</v>
      </c>
      <c r="AP484" s="1">
        <v>0.0</v>
      </c>
      <c r="AQ484" s="1">
        <v>-999.0</v>
      </c>
      <c r="AR484" s="1">
        <v>0.0</v>
      </c>
      <c r="AS484" s="1">
        <v>-999.0</v>
      </c>
      <c r="AT484" s="1">
        <v>-999.0</v>
      </c>
      <c r="AU484" s="1">
        <v>-999.0</v>
      </c>
      <c r="AV484" s="1">
        <v>0.0</v>
      </c>
      <c r="AW484" s="1">
        <v>-999.0</v>
      </c>
      <c r="AX484" s="1">
        <v>0.245098</v>
      </c>
      <c r="AY484" s="1">
        <v>0.137254</v>
      </c>
      <c r="AZ484" s="1">
        <v>0.02222222</v>
      </c>
      <c r="BA484" s="1">
        <v>0.019607</v>
      </c>
      <c r="BB484" s="1">
        <v>0.0</v>
      </c>
      <c r="BC484" s="1">
        <v>-999.0</v>
      </c>
      <c r="BD484" s="1">
        <v>0.0</v>
      </c>
      <c r="BE484" s="1">
        <v>-999.0</v>
      </c>
      <c r="BF484" s="1">
        <v>0.0</v>
      </c>
      <c r="BG484" s="1">
        <v>-999.0</v>
      </c>
      <c r="BH484" s="1">
        <v>0.0</v>
      </c>
      <c r="BI484" s="1">
        <v>-999.0</v>
      </c>
      <c r="BJ484" s="1">
        <v>0.0</v>
      </c>
      <c r="BK484" s="1">
        <v>-999.0</v>
      </c>
      <c r="BL484" s="1">
        <v>0.009803</v>
      </c>
      <c r="BM484" s="1">
        <v>0.0</v>
      </c>
      <c r="BN484" s="1">
        <v>0.0</v>
      </c>
      <c r="BO484" s="1">
        <v>-999.0</v>
      </c>
      <c r="BP484" s="1">
        <v>0.0</v>
      </c>
      <c r="BQ484" s="1">
        <v>-999.0</v>
      </c>
      <c r="BR484" s="1">
        <v>-999.0</v>
      </c>
      <c r="BS484" s="1">
        <v>0.966</v>
      </c>
      <c r="BT484" s="1">
        <v>0.051</v>
      </c>
      <c r="BU484" s="1">
        <v>0.008</v>
      </c>
      <c r="BV484" s="1">
        <v>1.025</v>
      </c>
      <c r="BW484" s="1">
        <v>0.125</v>
      </c>
      <c r="BX484" s="1">
        <v>0.017</v>
      </c>
      <c r="BY484" s="1">
        <v>0.0</v>
      </c>
      <c r="BZ484" s="1">
        <v>0.017</v>
      </c>
      <c r="CA484" s="1">
        <v>0.009</v>
      </c>
      <c r="CB484" s="1">
        <v>0.0</v>
      </c>
      <c r="CC484" s="1">
        <v>0.0</v>
      </c>
      <c r="CD484" s="1">
        <v>0.0</v>
      </c>
      <c r="CE484" s="1">
        <v>0.0</v>
      </c>
      <c r="CF484" s="1">
        <v>0.574</v>
      </c>
      <c r="CG484" s="1">
        <v>0.574</v>
      </c>
      <c r="CH484" s="1">
        <v>0.036</v>
      </c>
      <c r="CI484" s="1">
        <v>-999.0</v>
      </c>
      <c r="CJ484" s="1">
        <v>-999.0</v>
      </c>
      <c r="CK484" s="1">
        <v>0.0</v>
      </c>
      <c r="CL484" s="1">
        <v>0.0</v>
      </c>
      <c r="CM484" s="1">
        <v>-999.0</v>
      </c>
      <c r="CN484" s="1">
        <v>0.0</v>
      </c>
      <c r="CO484" s="1">
        <v>-999.0</v>
      </c>
      <c r="CP484" s="1">
        <v>1.0</v>
      </c>
      <c r="CQ484" s="1">
        <v>0.0</v>
      </c>
      <c r="CR484" s="1">
        <v>0.0</v>
      </c>
      <c r="CS484" s="1">
        <v>1.0</v>
      </c>
      <c r="CT484" s="1">
        <v>0.0</v>
      </c>
      <c r="CU484" s="1">
        <v>0.0</v>
      </c>
      <c r="CV484" s="1">
        <v>0.0</v>
      </c>
      <c r="CW484" s="1">
        <v>0.0</v>
      </c>
      <c r="CX484" s="1">
        <v>0.0</v>
      </c>
      <c r="CY484" s="1">
        <v>0.0</v>
      </c>
      <c r="CZ484" s="1">
        <v>0.0</v>
      </c>
      <c r="DA484" s="1">
        <v>0.0</v>
      </c>
      <c r="DB484" s="1">
        <v>0.0</v>
      </c>
      <c r="DC484" s="1">
        <v>-999.0</v>
      </c>
      <c r="DD484" s="1" t="s">
        <v>2358</v>
      </c>
      <c r="DE484" s="1">
        <v>0.00185365104095973</v>
      </c>
      <c r="DF484" s="2" t="s">
        <v>2359</v>
      </c>
    </row>
    <row r="485" ht="15.75" customHeight="1">
      <c r="A485" s="1" t="s">
        <v>2360</v>
      </c>
      <c r="B485" s="1">
        <v>29.0</v>
      </c>
      <c r="C485" s="2" t="s">
        <v>2039</v>
      </c>
      <c r="D485" s="1">
        <v>989100.0</v>
      </c>
      <c r="E485" s="1">
        <v>9.597</v>
      </c>
      <c r="F485" s="1">
        <v>29095.0</v>
      </c>
      <c r="G485" s="1">
        <v>2.90959891E10</v>
      </c>
      <c r="H485" s="1" t="s">
        <v>112</v>
      </c>
      <c r="I485" s="1" t="s">
        <v>113</v>
      </c>
      <c r="J485" s="1" t="s">
        <v>2041</v>
      </c>
      <c r="K485" s="1" t="s">
        <v>2361</v>
      </c>
      <c r="L485" s="1">
        <v>13.0</v>
      </c>
      <c r="M485" s="1">
        <v>0.0</v>
      </c>
      <c r="N485" s="1">
        <v>114.0</v>
      </c>
      <c r="O485" s="1">
        <v>5.0</v>
      </c>
      <c r="P485" s="1">
        <v>0.0</v>
      </c>
      <c r="Q485" s="1">
        <v>114.0</v>
      </c>
      <c r="R485" s="1">
        <v>5.0</v>
      </c>
      <c r="S485" s="1">
        <v>0.0</v>
      </c>
      <c r="T485" s="1">
        <v>161.0</v>
      </c>
      <c r="U485" s="1">
        <v>0.0</v>
      </c>
      <c r="V485" s="1">
        <v>510.0</v>
      </c>
      <c r="W485" s="1">
        <v>-999.0</v>
      </c>
      <c r="X485" s="1">
        <v>-999.0</v>
      </c>
      <c r="Y485" s="1">
        <v>0.0</v>
      </c>
      <c r="Z485" s="1">
        <v>456.0</v>
      </c>
      <c r="AA485" s="1">
        <v>3.0</v>
      </c>
      <c r="AB485" s="1">
        <v>5.0</v>
      </c>
      <c r="AC485" s="1">
        <v>1.0</v>
      </c>
      <c r="AD485" s="1">
        <v>2.0</v>
      </c>
      <c r="AE485" s="1">
        <v>0.0</v>
      </c>
      <c r="AF485" s="1">
        <v>456.0</v>
      </c>
      <c r="AG485" s="1">
        <v>0.0</v>
      </c>
      <c r="AH485" s="1">
        <v>197.0</v>
      </c>
      <c r="AI485" s="1">
        <v>0.0</v>
      </c>
      <c r="AJ485" s="1">
        <v>114.0</v>
      </c>
      <c r="AK485" s="1">
        <v>0.0</v>
      </c>
      <c r="AL485" s="1">
        <v>161.0</v>
      </c>
      <c r="AM485" s="1">
        <v>0.0</v>
      </c>
      <c r="AN485" s="1">
        <v>161.0</v>
      </c>
      <c r="AO485" s="1">
        <v>0.0</v>
      </c>
      <c r="AP485" s="1">
        <v>0.0</v>
      </c>
      <c r="AQ485" s="1">
        <v>-999.0</v>
      </c>
      <c r="AR485" s="1">
        <v>0.0</v>
      </c>
      <c r="AS485" s="1">
        <v>-999.0</v>
      </c>
      <c r="AT485" s="1">
        <v>-999.0</v>
      </c>
      <c r="AU485" s="1">
        <v>-999.0</v>
      </c>
      <c r="AV485" s="1">
        <v>0.0</v>
      </c>
      <c r="AW485" s="1">
        <v>-999.0</v>
      </c>
      <c r="AX485" s="1">
        <v>0.230769</v>
      </c>
      <c r="AY485" s="1">
        <v>0.384615</v>
      </c>
      <c r="AZ485" s="1">
        <v>0.2</v>
      </c>
      <c r="BA485" s="1">
        <v>0.153846</v>
      </c>
      <c r="BB485" s="1">
        <v>0.0</v>
      </c>
      <c r="BC485" s="1">
        <v>-999.0</v>
      </c>
      <c r="BD485" s="1">
        <v>0.0</v>
      </c>
      <c r="BE485" s="1">
        <v>-999.0</v>
      </c>
      <c r="BF485" s="1">
        <v>0.0</v>
      </c>
      <c r="BG485" s="1">
        <v>-999.0</v>
      </c>
      <c r="BH485" s="1">
        <v>0.0</v>
      </c>
      <c r="BI485" s="1">
        <v>-999.0</v>
      </c>
      <c r="BJ485" s="1">
        <v>0.0</v>
      </c>
      <c r="BK485" s="1">
        <v>-999.0</v>
      </c>
      <c r="BL485" s="1">
        <v>0.0</v>
      </c>
      <c r="BM485" s="1">
        <v>0.0</v>
      </c>
      <c r="BN485" s="1">
        <v>0.0</v>
      </c>
      <c r="BO485" s="1">
        <v>-999.0</v>
      </c>
      <c r="BP485" s="1">
        <v>0.0</v>
      </c>
      <c r="BQ485" s="1">
        <v>-999.0</v>
      </c>
      <c r="BR485" s="1">
        <v>-999.0</v>
      </c>
      <c r="BS485" s="1">
        <v>0.949</v>
      </c>
      <c r="BT485" s="1">
        <v>0.996</v>
      </c>
      <c r="BU485" s="1">
        <v>0.897</v>
      </c>
      <c r="BV485" s="1">
        <v>2.842</v>
      </c>
      <c r="BW485" s="1">
        <v>1.0</v>
      </c>
      <c r="BX485" s="1">
        <v>0.636</v>
      </c>
      <c r="BY485" s="1">
        <v>0.0</v>
      </c>
      <c r="BZ485" s="1">
        <v>0.636</v>
      </c>
      <c r="CA485" s="1">
        <v>0.294</v>
      </c>
      <c r="CB485" s="1">
        <v>0.0</v>
      </c>
      <c r="CC485" s="1">
        <v>0.0</v>
      </c>
      <c r="CD485" s="1">
        <v>0.0</v>
      </c>
      <c r="CE485" s="1">
        <v>0.0</v>
      </c>
      <c r="CF485" s="1">
        <v>0.0</v>
      </c>
      <c r="CG485" s="1">
        <v>0.0</v>
      </c>
      <c r="CH485" s="1">
        <v>0.0</v>
      </c>
      <c r="CI485" s="1">
        <v>-999.0</v>
      </c>
      <c r="CJ485" s="1">
        <v>-999.0</v>
      </c>
      <c r="CK485" s="1">
        <v>0.0</v>
      </c>
      <c r="CL485" s="1">
        <v>0.0</v>
      </c>
      <c r="CM485" s="1">
        <v>-999.0</v>
      </c>
      <c r="CN485" s="1">
        <v>0.0</v>
      </c>
      <c r="CO485" s="1">
        <v>-999.0</v>
      </c>
      <c r="CP485" s="1">
        <v>1.0</v>
      </c>
      <c r="CQ485" s="1">
        <v>1.0</v>
      </c>
      <c r="CR485" s="1">
        <v>0.0</v>
      </c>
      <c r="CS485" s="1">
        <v>2.0</v>
      </c>
      <c r="CT485" s="1">
        <v>0.0</v>
      </c>
      <c r="CU485" s="1">
        <v>0.0</v>
      </c>
      <c r="CV485" s="1">
        <v>0.0</v>
      </c>
      <c r="CW485" s="1">
        <v>0.0</v>
      </c>
      <c r="CX485" s="1">
        <v>0.0</v>
      </c>
      <c r="CY485" s="1">
        <v>0.0</v>
      </c>
      <c r="CZ485" s="1">
        <v>0.0</v>
      </c>
      <c r="DA485" s="1">
        <v>0.0</v>
      </c>
      <c r="DB485" s="1">
        <v>0.0</v>
      </c>
      <c r="DC485" s="1">
        <v>-999.0</v>
      </c>
      <c r="DD485" s="1" t="s">
        <v>2362</v>
      </c>
      <c r="DE485" s="1">
        <v>0.00335029649748929</v>
      </c>
      <c r="DF485" s="2" t="s">
        <v>2363</v>
      </c>
    </row>
    <row r="486" ht="15.75" customHeight="1">
      <c r="A486" s="1" t="s">
        <v>2364</v>
      </c>
      <c r="B486" s="1">
        <v>29.0</v>
      </c>
      <c r="C486" s="2" t="s">
        <v>2039</v>
      </c>
      <c r="D486" s="2" t="s">
        <v>2365</v>
      </c>
      <c r="E486" s="1">
        <v>0.395</v>
      </c>
      <c r="F486" s="1">
        <v>29095.0</v>
      </c>
      <c r="G486" s="1">
        <v>2.90950081E10</v>
      </c>
      <c r="H486" s="1" t="s">
        <v>112</v>
      </c>
      <c r="I486" s="1" t="s">
        <v>113</v>
      </c>
      <c r="J486" s="1" t="s">
        <v>2041</v>
      </c>
      <c r="K486" s="1" t="s">
        <v>2366</v>
      </c>
      <c r="L486" s="1">
        <v>2223.0</v>
      </c>
      <c r="M486" s="1">
        <v>2636.0</v>
      </c>
      <c r="N486" s="1">
        <v>408.0</v>
      </c>
      <c r="O486" s="1">
        <v>1014.0</v>
      </c>
      <c r="P486" s="1">
        <v>1093.0</v>
      </c>
      <c r="Q486" s="1">
        <v>23.0</v>
      </c>
      <c r="R486" s="1">
        <v>866.0</v>
      </c>
      <c r="S486" s="1">
        <v>502.0</v>
      </c>
      <c r="T486" s="1">
        <v>269.0</v>
      </c>
      <c r="U486" s="1">
        <v>209.0</v>
      </c>
      <c r="V486" s="1">
        <v>392.0</v>
      </c>
      <c r="W486" s="1">
        <v>15091.0</v>
      </c>
      <c r="X486" s="1">
        <v>1798.0</v>
      </c>
      <c r="Y486" s="1">
        <v>312.0</v>
      </c>
      <c r="Z486" s="1">
        <v>364.0</v>
      </c>
      <c r="AA486" s="1">
        <v>263.0</v>
      </c>
      <c r="AB486" s="1">
        <v>529.0</v>
      </c>
      <c r="AC486" s="1">
        <v>194.0</v>
      </c>
      <c r="AD486" s="1">
        <v>1927.0</v>
      </c>
      <c r="AE486" s="1">
        <v>0.0</v>
      </c>
      <c r="AF486" s="1">
        <v>456.0</v>
      </c>
      <c r="AG486" s="1">
        <v>0.0</v>
      </c>
      <c r="AH486" s="1">
        <v>197.0</v>
      </c>
      <c r="AI486" s="1">
        <v>9.0</v>
      </c>
      <c r="AJ486" s="1">
        <v>20.0</v>
      </c>
      <c r="AK486" s="1">
        <v>18.0</v>
      </c>
      <c r="AL486" s="1">
        <v>117.0</v>
      </c>
      <c r="AM486" s="1">
        <v>118.0</v>
      </c>
      <c r="AN486" s="1">
        <v>71.0</v>
      </c>
      <c r="AO486" s="1">
        <v>0.0</v>
      </c>
      <c r="AP486" s="1">
        <v>0.19044</v>
      </c>
      <c r="AQ486" s="1">
        <v>0.097698</v>
      </c>
      <c r="AR486" s="1">
        <v>0.163281</v>
      </c>
      <c r="AS486" s="1">
        <v>0.303378</v>
      </c>
      <c r="AT486" s="1">
        <v>15091.0</v>
      </c>
      <c r="AU486" s="1">
        <v>1798.0</v>
      </c>
      <c r="AV486" s="1">
        <v>0.202203</v>
      </c>
      <c r="AW486" s="1">
        <v>0.232714</v>
      </c>
      <c r="AX486" s="1">
        <v>0.118308</v>
      </c>
      <c r="AY486" s="1">
        <v>0.237966</v>
      </c>
      <c r="AZ486" s="1">
        <v>0.22401847</v>
      </c>
      <c r="BA486" s="1">
        <v>0.866846</v>
      </c>
      <c r="BB486" s="1">
        <v>0.0</v>
      </c>
      <c r="BC486" s="1">
        <v>0.190874</v>
      </c>
      <c r="BD486" s="1">
        <v>0.0</v>
      </c>
      <c r="BE486" s="1">
        <v>0.180237</v>
      </c>
      <c r="BF486" s="1">
        <v>0.008234</v>
      </c>
      <c r="BG486" s="1">
        <v>0.018297</v>
      </c>
      <c r="BH486" s="1">
        <v>0.020066</v>
      </c>
      <c r="BI486" s="1">
        <v>0.130409</v>
      </c>
      <c r="BJ486" s="1">
        <v>0.131549</v>
      </c>
      <c r="BK486" s="1">
        <v>0.077366</v>
      </c>
      <c r="BL486" s="1">
        <v>0.0</v>
      </c>
      <c r="BM486" s="1">
        <v>0.705</v>
      </c>
      <c r="BN486" s="1">
        <v>0.913</v>
      </c>
      <c r="BO486" s="1">
        <v>0.8715</v>
      </c>
      <c r="BP486" s="1">
        <v>0.756</v>
      </c>
      <c r="BQ486" s="1">
        <v>3.2455</v>
      </c>
      <c r="BR486" s="1">
        <v>0.8657</v>
      </c>
      <c r="BS486" s="1">
        <v>0.332</v>
      </c>
      <c r="BT486" s="1">
        <v>0.474</v>
      </c>
      <c r="BU486" s="1">
        <v>0.92</v>
      </c>
      <c r="BV486" s="1">
        <v>1.726</v>
      </c>
      <c r="BW486" s="1">
        <v>0.661</v>
      </c>
      <c r="BX486" s="1">
        <v>0.938</v>
      </c>
      <c r="BY486" s="1">
        <v>0.0</v>
      </c>
      <c r="BZ486" s="1">
        <v>0.938</v>
      </c>
      <c r="CA486" s="1">
        <v>0.497</v>
      </c>
      <c r="CB486" s="1">
        <v>0.0</v>
      </c>
      <c r="CC486" s="1">
        <v>0.441</v>
      </c>
      <c r="CD486" s="1">
        <v>0.685</v>
      </c>
      <c r="CE486" s="1">
        <v>0.833</v>
      </c>
      <c r="CF486" s="1">
        <v>0.0</v>
      </c>
      <c r="CG486" s="1">
        <v>1.959</v>
      </c>
      <c r="CH486" s="1">
        <v>0.33</v>
      </c>
      <c r="CI486" s="1">
        <v>7.8685</v>
      </c>
      <c r="CJ486" s="1">
        <v>0.691</v>
      </c>
      <c r="CK486" s="1">
        <v>0.0</v>
      </c>
      <c r="CL486" s="1">
        <v>1.0</v>
      </c>
      <c r="CM486" s="1">
        <v>0.0</v>
      </c>
      <c r="CN486" s="1">
        <v>0.0</v>
      </c>
      <c r="CO486" s="1">
        <v>1.0</v>
      </c>
      <c r="CP486" s="1">
        <v>0.0</v>
      </c>
      <c r="CQ486" s="1">
        <v>0.0</v>
      </c>
      <c r="CR486" s="1">
        <v>1.0</v>
      </c>
      <c r="CS486" s="1">
        <v>1.0</v>
      </c>
      <c r="CT486" s="1">
        <v>1.0</v>
      </c>
      <c r="CU486" s="1">
        <v>0.0</v>
      </c>
      <c r="CV486" s="1">
        <v>1.0</v>
      </c>
      <c r="CW486" s="1">
        <v>0.0</v>
      </c>
      <c r="CX486" s="1">
        <v>0.0</v>
      </c>
      <c r="CY486" s="1">
        <v>0.0</v>
      </c>
      <c r="CZ486" s="1">
        <v>0.0</v>
      </c>
      <c r="DA486" s="1">
        <v>0.0</v>
      </c>
      <c r="DB486" s="1">
        <v>0.0</v>
      </c>
      <c r="DC486" s="1">
        <v>3.0</v>
      </c>
      <c r="DD486" s="1" t="s">
        <v>2367</v>
      </c>
      <c r="DE486" s="1">
        <v>1.05985597139574E-4</v>
      </c>
      <c r="DF486" s="1">
        <v>0.0463988157659534</v>
      </c>
    </row>
    <row r="487" ht="15.75" customHeight="1">
      <c r="A487" s="1" t="s">
        <v>2368</v>
      </c>
      <c r="B487" s="1">
        <v>29.0</v>
      </c>
      <c r="C487" s="2" t="s">
        <v>2039</v>
      </c>
      <c r="D487" s="2" t="s">
        <v>2369</v>
      </c>
      <c r="E487" s="1">
        <v>0.479</v>
      </c>
      <c r="F487" s="1">
        <v>29095.0</v>
      </c>
      <c r="G487" s="1">
        <v>2.90950082E10</v>
      </c>
      <c r="H487" s="1" t="s">
        <v>112</v>
      </c>
      <c r="I487" s="1" t="s">
        <v>113</v>
      </c>
      <c r="J487" s="1" t="s">
        <v>2041</v>
      </c>
      <c r="K487" s="1" t="s">
        <v>2370</v>
      </c>
      <c r="L487" s="1">
        <v>2765.0</v>
      </c>
      <c r="M487" s="1">
        <v>2968.0</v>
      </c>
      <c r="N487" s="1">
        <v>254.0</v>
      </c>
      <c r="O487" s="1">
        <v>1417.0</v>
      </c>
      <c r="P487" s="1">
        <v>1408.0</v>
      </c>
      <c r="Q487" s="1">
        <v>53.0</v>
      </c>
      <c r="R487" s="1">
        <v>1345.0</v>
      </c>
      <c r="S487" s="1">
        <v>261.0</v>
      </c>
      <c r="T487" s="1">
        <v>134.0</v>
      </c>
      <c r="U487" s="1">
        <v>21.0</v>
      </c>
      <c r="V487" s="1">
        <v>484.0</v>
      </c>
      <c r="W487" s="1">
        <v>40245.0</v>
      </c>
      <c r="X487" s="1">
        <v>6107.0</v>
      </c>
      <c r="Y487" s="1">
        <v>52.0</v>
      </c>
      <c r="Z487" s="1">
        <v>397.0</v>
      </c>
      <c r="AA487" s="1">
        <v>224.0</v>
      </c>
      <c r="AB487" s="1">
        <v>398.0</v>
      </c>
      <c r="AC487" s="1">
        <v>58.0</v>
      </c>
      <c r="AD487" s="1">
        <v>395.0</v>
      </c>
      <c r="AE487" s="1">
        <v>7.0</v>
      </c>
      <c r="AF487" s="1">
        <v>442.0</v>
      </c>
      <c r="AG487" s="1">
        <v>0.0</v>
      </c>
      <c r="AH487" s="1">
        <v>197.0</v>
      </c>
      <c r="AI487" s="1">
        <v>0.0</v>
      </c>
      <c r="AJ487" s="1">
        <v>114.0</v>
      </c>
      <c r="AK487" s="1">
        <v>0.0</v>
      </c>
      <c r="AL487" s="1">
        <v>161.0</v>
      </c>
      <c r="AM487" s="1">
        <v>59.0</v>
      </c>
      <c r="AN487" s="1">
        <v>42.0</v>
      </c>
      <c r="AO487" s="1">
        <v>7.0</v>
      </c>
      <c r="AP487" s="1">
        <v>0.087938</v>
      </c>
      <c r="AQ487" s="1">
        <v>0.044516</v>
      </c>
      <c r="AR487" s="1">
        <v>0.010892</v>
      </c>
      <c r="AS487" s="1">
        <v>0.251031</v>
      </c>
      <c r="AT487" s="1">
        <v>40245.0</v>
      </c>
      <c r="AU487" s="1">
        <v>6107.0</v>
      </c>
      <c r="AV487" s="1">
        <v>0.022501</v>
      </c>
      <c r="AW487" s="1">
        <v>0.171775</v>
      </c>
      <c r="AX487" s="1">
        <v>0.081012</v>
      </c>
      <c r="AY487" s="1">
        <v>0.143942</v>
      </c>
      <c r="AZ487" s="1">
        <v>0.04312267</v>
      </c>
      <c r="BA487" s="1">
        <v>0.142857</v>
      </c>
      <c r="BB487" s="1">
        <v>0.00254</v>
      </c>
      <c r="BC487" s="1">
        <v>0.160435</v>
      </c>
      <c r="BD487" s="1">
        <v>0.0</v>
      </c>
      <c r="BE487" s="1">
        <v>0.139914</v>
      </c>
      <c r="BF487" s="1">
        <v>0.0</v>
      </c>
      <c r="BG487" s="1">
        <v>0.080965</v>
      </c>
      <c r="BH487" s="1">
        <v>0.0</v>
      </c>
      <c r="BI487" s="1">
        <v>0.118731</v>
      </c>
      <c r="BJ487" s="1">
        <v>0.04351</v>
      </c>
      <c r="BK487" s="1">
        <v>0.030879</v>
      </c>
      <c r="BL487" s="1">
        <v>0.002531</v>
      </c>
      <c r="BM487" s="1">
        <v>0.328</v>
      </c>
      <c r="BN487" s="1">
        <v>0.009</v>
      </c>
      <c r="BO487" s="1">
        <v>0.065</v>
      </c>
      <c r="BP487" s="1">
        <v>0.038</v>
      </c>
      <c r="BQ487" s="1">
        <v>0.44</v>
      </c>
      <c r="BR487" s="1">
        <v>0.0498</v>
      </c>
      <c r="BS487" s="1">
        <v>0.121</v>
      </c>
      <c r="BT487" s="1">
        <v>0.056</v>
      </c>
      <c r="BU487" s="1">
        <v>0.051</v>
      </c>
      <c r="BV487" s="1">
        <v>0.228</v>
      </c>
      <c r="BW487" s="1">
        <v>0.017</v>
      </c>
      <c r="BX487" s="1">
        <v>0.6</v>
      </c>
      <c r="BY487" s="1">
        <v>0.416</v>
      </c>
      <c r="BZ487" s="1">
        <v>1.016</v>
      </c>
      <c r="CA487" s="1">
        <v>0.567</v>
      </c>
      <c r="CB487" s="1">
        <v>0.0</v>
      </c>
      <c r="CC487" s="1">
        <v>0.0</v>
      </c>
      <c r="CD487" s="1">
        <v>0.0</v>
      </c>
      <c r="CE487" s="1">
        <v>0.428</v>
      </c>
      <c r="CF487" s="1">
        <v>0.461</v>
      </c>
      <c r="CG487" s="1">
        <v>0.889</v>
      </c>
      <c r="CH487" s="1">
        <v>0.063</v>
      </c>
      <c r="CI487" s="1">
        <v>2.573</v>
      </c>
      <c r="CJ487" s="1">
        <v>0.0058</v>
      </c>
      <c r="CK487" s="1">
        <v>0.0</v>
      </c>
      <c r="CL487" s="1">
        <v>0.0</v>
      </c>
      <c r="CM487" s="1">
        <v>0.0</v>
      </c>
      <c r="CN487" s="1">
        <v>0.0</v>
      </c>
      <c r="CO487" s="1">
        <v>0.0</v>
      </c>
      <c r="CP487" s="1">
        <v>0.0</v>
      </c>
      <c r="CQ487" s="1">
        <v>0.0</v>
      </c>
      <c r="CR487" s="1">
        <v>0.0</v>
      </c>
      <c r="CS487" s="1">
        <v>0.0</v>
      </c>
      <c r="CT487" s="1">
        <v>0.0</v>
      </c>
      <c r="CU487" s="1">
        <v>0.0</v>
      </c>
      <c r="CV487" s="1">
        <v>0.0</v>
      </c>
      <c r="CW487" s="1">
        <v>0.0</v>
      </c>
      <c r="CX487" s="1">
        <v>0.0</v>
      </c>
      <c r="CY487" s="1">
        <v>0.0</v>
      </c>
      <c r="CZ487" s="1">
        <v>0.0</v>
      </c>
      <c r="DA487" s="1">
        <v>0.0</v>
      </c>
      <c r="DB487" s="1">
        <v>0.0</v>
      </c>
      <c r="DC487" s="1">
        <v>0.0</v>
      </c>
      <c r="DD487" s="1" t="s">
        <v>2371</v>
      </c>
      <c r="DE487" s="1">
        <v>1.28975953262798E-4</v>
      </c>
      <c r="DF487" s="2" t="s">
        <v>2372</v>
      </c>
    </row>
    <row r="488" ht="15.75" customHeight="1">
      <c r="A488" s="1" t="s">
        <v>2373</v>
      </c>
      <c r="B488" s="1">
        <v>29.0</v>
      </c>
      <c r="C488" s="2" t="s">
        <v>2039</v>
      </c>
      <c r="D488" s="2" t="s">
        <v>2374</v>
      </c>
      <c r="E488" s="1">
        <v>0.479</v>
      </c>
      <c r="F488" s="1">
        <v>29095.0</v>
      </c>
      <c r="G488" s="1">
        <v>2.90950083E10</v>
      </c>
      <c r="H488" s="1" t="s">
        <v>112</v>
      </c>
      <c r="I488" s="1" t="s">
        <v>113</v>
      </c>
      <c r="J488" s="1" t="s">
        <v>2041</v>
      </c>
      <c r="K488" s="1" t="s">
        <v>2375</v>
      </c>
      <c r="L488" s="1">
        <v>2275.0</v>
      </c>
      <c r="M488" s="1">
        <v>2434.0</v>
      </c>
      <c r="N488" s="1">
        <v>159.0</v>
      </c>
      <c r="O488" s="1">
        <v>973.0</v>
      </c>
      <c r="P488" s="1">
        <v>959.0</v>
      </c>
      <c r="Q488" s="1">
        <v>36.0</v>
      </c>
      <c r="R488" s="1">
        <v>928.0</v>
      </c>
      <c r="S488" s="1">
        <v>49.0</v>
      </c>
      <c r="T488" s="1">
        <v>38.0</v>
      </c>
      <c r="U488" s="1">
        <v>0.0</v>
      </c>
      <c r="V488" s="1">
        <v>510.0</v>
      </c>
      <c r="W488" s="1">
        <v>51223.0</v>
      </c>
      <c r="X488" s="1">
        <v>8786.0</v>
      </c>
      <c r="Y488" s="1">
        <v>0.0</v>
      </c>
      <c r="Z488" s="1">
        <v>456.0</v>
      </c>
      <c r="AA488" s="1">
        <v>256.0</v>
      </c>
      <c r="AB488" s="1">
        <v>528.0</v>
      </c>
      <c r="AC488" s="1">
        <v>38.0</v>
      </c>
      <c r="AD488" s="1">
        <v>173.0</v>
      </c>
      <c r="AE488" s="1">
        <v>0.0</v>
      </c>
      <c r="AF488" s="1">
        <v>456.0</v>
      </c>
      <c r="AG488" s="1">
        <v>0.0</v>
      </c>
      <c r="AH488" s="1">
        <v>197.0</v>
      </c>
      <c r="AI488" s="1">
        <v>0.0</v>
      </c>
      <c r="AJ488" s="1">
        <v>114.0</v>
      </c>
      <c r="AK488" s="1">
        <v>0.0</v>
      </c>
      <c r="AL488" s="1">
        <v>161.0</v>
      </c>
      <c r="AM488" s="1">
        <v>0.0</v>
      </c>
      <c r="AN488" s="1">
        <v>161.0</v>
      </c>
      <c r="AO488" s="1">
        <v>0.0</v>
      </c>
      <c r="AP488" s="1">
        <v>0.020131</v>
      </c>
      <c r="AQ488" s="1">
        <v>0.015556</v>
      </c>
      <c r="AR488" s="1">
        <v>0.0</v>
      </c>
      <c r="AS488" s="1">
        <v>0.388719</v>
      </c>
      <c r="AT488" s="1">
        <v>51223.0</v>
      </c>
      <c r="AU488" s="1">
        <v>8786.0</v>
      </c>
      <c r="AV488" s="1">
        <v>0.0</v>
      </c>
      <c r="AW488" s="1">
        <v>0.270783</v>
      </c>
      <c r="AX488" s="1">
        <v>0.112527</v>
      </c>
      <c r="AY488" s="1">
        <v>0.232087</v>
      </c>
      <c r="AZ488" s="1">
        <v>0.04094827</v>
      </c>
      <c r="BA488" s="1">
        <v>0.076043</v>
      </c>
      <c r="BB488" s="1">
        <v>0.0</v>
      </c>
      <c r="BC488" s="1">
        <v>0.210526</v>
      </c>
      <c r="BD488" s="1">
        <v>0.0</v>
      </c>
      <c r="BE488" s="1">
        <v>0.205422</v>
      </c>
      <c r="BF488" s="1">
        <v>0.0</v>
      </c>
      <c r="BG488" s="1">
        <v>0.118873</v>
      </c>
      <c r="BH488" s="1">
        <v>0.0</v>
      </c>
      <c r="BI488" s="1">
        <v>0.172746</v>
      </c>
      <c r="BJ488" s="1">
        <v>0.0</v>
      </c>
      <c r="BK488" s="1">
        <v>0.172746</v>
      </c>
      <c r="BL488" s="1">
        <v>0.0</v>
      </c>
      <c r="BM488" s="1">
        <v>0.056</v>
      </c>
      <c r="BN488" s="1">
        <v>0.0</v>
      </c>
      <c r="BO488" s="1">
        <v>0.0245</v>
      </c>
      <c r="BP488" s="1">
        <v>0.0</v>
      </c>
      <c r="BQ488" s="1">
        <v>0.0805</v>
      </c>
      <c r="BR488" s="1">
        <v>7.0E-4</v>
      </c>
      <c r="BS488" s="1">
        <v>0.289</v>
      </c>
      <c r="BT488" s="1">
        <v>0.41</v>
      </c>
      <c r="BU488" s="1">
        <v>0.043</v>
      </c>
      <c r="BV488" s="1">
        <v>0.742</v>
      </c>
      <c r="BW488" s="1">
        <v>0.063</v>
      </c>
      <c r="BX488" s="1">
        <v>0.382</v>
      </c>
      <c r="BY488" s="1">
        <v>0.0</v>
      </c>
      <c r="BZ488" s="1">
        <v>0.382</v>
      </c>
      <c r="CA488" s="1">
        <v>0.155</v>
      </c>
      <c r="CB488" s="1">
        <v>0.0</v>
      </c>
      <c r="CC488" s="1">
        <v>0.0</v>
      </c>
      <c r="CD488" s="1">
        <v>0.0</v>
      </c>
      <c r="CE488" s="1">
        <v>0.0</v>
      </c>
      <c r="CF488" s="1">
        <v>0.0</v>
      </c>
      <c r="CG488" s="1">
        <v>0.0</v>
      </c>
      <c r="CH488" s="1">
        <v>0.0</v>
      </c>
      <c r="CI488" s="1">
        <v>1.2045</v>
      </c>
      <c r="CJ488" s="1">
        <v>0.0</v>
      </c>
      <c r="CK488" s="1">
        <v>0.0</v>
      </c>
      <c r="CL488" s="1">
        <v>0.0</v>
      </c>
      <c r="CM488" s="1">
        <v>0.0</v>
      </c>
      <c r="CN488" s="1">
        <v>0.0</v>
      </c>
      <c r="CO488" s="1">
        <v>0.0</v>
      </c>
      <c r="CP488" s="1">
        <v>0.0</v>
      </c>
      <c r="CQ488" s="1">
        <v>0.0</v>
      </c>
      <c r="CR488" s="1">
        <v>0.0</v>
      </c>
      <c r="CS488" s="1">
        <v>0.0</v>
      </c>
      <c r="CT488" s="1">
        <v>0.0</v>
      </c>
      <c r="CU488" s="1">
        <v>0.0</v>
      </c>
      <c r="CV488" s="1">
        <v>0.0</v>
      </c>
      <c r="CW488" s="1">
        <v>0.0</v>
      </c>
      <c r="CX488" s="1">
        <v>0.0</v>
      </c>
      <c r="CY488" s="1">
        <v>0.0</v>
      </c>
      <c r="CZ488" s="1">
        <v>0.0</v>
      </c>
      <c r="DA488" s="1">
        <v>0.0</v>
      </c>
      <c r="DB488" s="1">
        <v>0.0</v>
      </c>
      <c r="DC488" s="1">
        <v>0.0</v>
      </c>
      <c r="DD488" s="1" t="s">
        <v>2376</v>
      </c>
      <c r="DE488" s="1">
        <v>1.28978671025854E-4</v>
      </c>
      <c r="DF488" s="1">
        <v>0.0462638083662081</v>
      </c>
    </row>
    <row r="489" ht="15.75" customHeight="1">
      <c r="A489" s="1" t="s">
        <v>2377</v>
      </c>
      <c r="B489" s="1">
        <v>29.0</v>
      </c>
      <c r="C489" s="2" t="s">
        <v>2039</v>
      </c>
      <c r="D489" s="2" t="s">
        <v>2378</v>
      </c>
      <c r="E489" s="1">
        <v>0.779</v>
      </c>
      <c r="F489" s="1">
        <v>29095.0</v>
      </c>
      <c r="G489" s="1">
        <v>2.90950085E10</v>
      </c>
      <c r="H489" s="1" t="s">
        <v>112</v>
      </c>
      <c r="I489" s="1" t="s">
        <v>113</v>
      </c>
      <c r="J489" s="1" t="s">
        <v>2041</v>
      </c>
      <c r="K489" s="1" t="s">
        <v>2379</v>
      </c>
      <c r="L489" s="1">
        <v>3383.0</v>
      </c>
      <c r="M489" s="1">
        <v>3485.0</v>
      </c>
      <c r="N489" s="1">
        <v>209.0</v>
      </c>
      <c r="O489" s="1">
        <v>1387.0</v>
      </c>
      <c r="P489" s="1">
        <v>1414.0</v>
      </c>
      <c r="Q489" s="1">
        <v>39.0</v>
      </c>
      <c r="R489" s="1">
        <v>1340.0</v>
      </c>
      <c r="S489" s="1">
        <v>123.0</v>
      </c>
      <c r="T489" s="1">
        <v>77.0</v>
      </c>
      <c r="U489" s="1">
        <v>50.0</v>
      </c>
      <c r="V489" s="1">
        <v>443.0</v>
      </c>
      <c r="W489" s="1">
        <v>60787.0</v>
      </c>
      <c r="X489" s="1">
        <v>8234.0</v>
      </c>
      <c r="Y489" s="1">
        <v>6.0</v>
      </c>
      <c r="Z489" s="1">
        <v>442.0</v>
      </c>
      <c r="AA489" s="1">
        <v>476.0</v>
      </c>
      <c r="AB489" s="1">
        <v>888.0</v>
      </c>
      <c r="AC489" s="1">
        <v>40.0</v>
      </c>
      <c r="AD489" s="1">
        <v>213.0</v>
      </c>
      <c r="AE489" s="1">
        <v>7.0</v>
      </c>
      <c r="AF489" s="1">
        <v>442.0</v>
      </c>
      <c r="AG489" s="1">
        <v>0.0</v>
      </c>
      <c r="AH489" s="1">
        <v>197.0</v>
      </c>
      <c r="AI489" s="1">
        <v>23.0</v>
      </c>
      <c r="AJ489" s="1">
        <v>24.0</v>
      </c>
      <c r="AK489" s="1">
        <v>0.0</v>
      </c>
      <c r="AL489" s="1">
        <v>161.0</v>
      </c>
      <c r="AM489" s="1">
        <v>0.0</v>
      </c>
      <c r="AN489" s="1">
        <v>161.0</v>
      </c>
      <c r="AO489" s="1">
        <v>0.0</v>
      </c>
      <c r="AP489" s="1">
        <v>0.035294</v>
      </c>
      <c r="AQ489" s="1">
        <v>0.021993</v>
      </c>
      <c r="AR489" s="1">
        <v>0.02787</v>
      </c>
      <c r="AS489" s="1">
        <v>0.246884</v>
      </c>
      <c r="AT489" s="1">
        <v>60787.0</v>
      </c>
      <c r="AU489" s="1">
        <v>8234.0</v>
      </c>
      <c r="AV489" s="1">
        <v>0.002445</v>
      </c>
      <c r="AW489" s="1">
        <v>0.180187</v>
      </c>
      <c r="AX489" s="1">
        <v>0.140703</v>
      </c>
      <c r="AY489" s="1">
        <v>0.262488</v>
      </c>
      <c r="AZ489" s="1">
        <v>0.02985074</v>
      </c>
      <c r="BA489" s="1">
        <v>0.062961</v>
      </c>
      <c r="BB489" s="1">
        <v>0.002222</v>
      </c>
      <c r="BC489" s="1">
        <v>0.140361</v>
      </c>
      <c r="BD489" s="1">
        <v>0.0</v>
      </c>
      <c r="BE489" s="1">
        <v>0.139321</v>
      </c>
      <c r="BF489" s="1">
        <v>0.016265</v>
      </c>
      <c r="BG489" s="1">
        <v>0.016967</v>
      </c>
      <c r="BH489" s="1">
        <v>0.0</v>
      </c>
      <c r="BI489" s="1">
        <v>0.117604</v>
      </c>
      <c r="BJ489" s="1">
        <v>0.0</v>
      </c>
      <c r="BK489" s="1">
        <v>0.117604</v>
      </c>
      <c r="BL489" s="1">
        <v>0.0</v>
      </c>
      <c r="BM489" s="1">
        <v>0.105</v>
      </c>
      <c r="BN489" s="1">
        <v>0.071</v>
      </c>
      <c r="BO489" s="1">
        <v>0.0116</v>
      </c>
      <c r="BP489" s="1">
        <v>0.007</v>
      </c>
      <c r="BQ489" s="1">
        <v>0.1946</v>
      </c>
      <c r="BR489" s="1">
        <v>0.0065</v>
      </c>
      <c r="BS489" s="1">
        <v>0.503</v>
      </c>
      <c r="BT489" s="1">
        <v>0.728</v>
      </c>
      <c r="BU489" s="1">
        <v>0.017</v>
      </c>
      <c r="BV489" s="1">
        <v>1.248</v>
      </c>
      <c r="BW489" s="1">
        <v>0.265</v>
      </c>
      <c r="BX489" s="1">
        <v>0.328</v>
      </c>
      <c r="BY489" s="1">
        <v>0.393</v>
      </c>
      <c r="BZ489" s="1">
        <v>0.721</v>
      </c>
      <c r="CA489" s="1">
        <v>0.348</v>
      </c>
      <c r="CB489" s="1">
        <v>0.0</v>
      </c>
      <c r="CC489" s="1">
        <v>0.493</v>
      </c>
      <c r="CD489" s="1">
        <v>0.0</v>
      </c>
      <c r="CE489" s="1">
        <v>0.0</v>
      </c>
      <c r="CF489" s="1">
        <v>0.0</v>
      </c>
      <c r="CG489" s="1">
        <v>0.493</v>
      </c>
      <c r="CH489" s="1">
        <v>0.028</v>
      </c>
      <c r="CI489" s="1">
        <v>2.6566</v>
      </c>
      <c r="CJ489" s="1">
        <v>0.0087</v>
      </c>
      <c r="CK489" s="1">
        <v>0.0</v>
      </c>
      <c r="CL489" s="1">
        <v>0.0</v>
      </c>
      <c r="CM489" s="1">
        <v>0.0</v>
      </c>
      <c r="CN489" s="1">
        <v>0.0</v>
      </c>
      <c r="CO489" s="1">
        <v>0.0</v>
      </c>
      <c r="CP489" s="1">
        <v>0.0</v>
      </c>
      <c r="CQ489" s="1">
        <v>0.0</v>
      </c>
      <c r="CR489" s="1">
        <v>0.0</v>
      </c>
      <c r="CS489" s="1">
        <v>0.0</v>
      </c>
      <c r="CT489" s="1">
        <v>0.0</v>
      </c>
      <c r="CU489" s="1">
        <v>0.0</v>
      </c>
      <c r="CV489" s="1">
        <v>0.0</v>
      </c>
      <c r="CW489" s="1">
        <v>0.0</v>
      </c>
      <c r="CX489" s="1">
        <v>0.0</v>
      </c>
      <c r="CY489" s="1">
        <v>0.0</v>
      </c>
      <c r="CZ489" s="1">
        <v>0.0</v>
      </c>
      <c r="DA489" s="1">
        <v>0.0</v>
      </c>
      <c r="DB489" s="1">
        <v>0.0</v>
      </c>
      <c r="DC489" s="1">
        <v>0.0</v>
      </c>
      <c r="DD489" s="1" t="s">
        <v>2380</v>
      </c>
      <c r="DE489" s="1">
        <v>2.12262790344676E-4</v>
      </c>
      <c r="DF489" s="1">
        <v>0.05863716116218</v>
      </c>
    </row>
    <row r="490" ht="15.75" customHeight="1">
      <c r="A490" s="1" t="s">
        <v>2381</v>
      </c>
      <c r="B490" s="1">
        <v>29.0</v>
      </c>
      <c r="C490" s="2" t="s">
        <v>2039</v>
      </c>
      <c r="D490" s="2" t="s">
        <v>2382</v>
      </c>
      <c r="E490" s="1">
        <v>0.992</v>
      </c>
      <c r="F490" s="1">
        <v>29095.0</v>
      </c>
      <c r="G490" s="1">
        <v>2.90950086E10</v>
      </c>
      <c r="H490" s="1" t="s">
        <v>112</v>
      </c>
      <c r="I490" s="1" t="s">
        <v>113</v>
      </c>
      <c r="J490" s="1" t="s">
        <v>2041</v>
      </c>
      <c r="K490" s="1" t="s">
        <v>2383</v>
      </c>
      <c r="L490" s="1">
        <v>5015.0</v>
      </c>
      <c r="M490" s="1">
        <v>5206.0</v>
      </c>
      <c r="N490" s="1">
        <v>332.0</v>
      </c>
      <c r="O490" s="1">
        <v>2451.0</v>
      </c>
      <c r="P490" s="1">
        <v>2450.0</v>
      </c>
      <c r="Q490" s="1">
        <v>96.0</v>
      </c>
      <c r="R490" s="1">
        <v>2309.0</v>
      </c>
      <c r="S490" s="1">
        <v>197.0</v>
      </c>
      <c r="T490" s="1">
        <v>120.0</v>
      </c>
      <c r="U490" s="1">
        <v>73.0</v>
      </c>
      <c r="V490" s="1">
        <v>460.0</v>
      </c>
      <c r="W490" s="1">
        <v>44091.0</v>
      </c>
      <c r="X490" s="1">
        <v>4327.0</v>
      </c>
      <c r="Y490" s="1">
        <v>157.0</v>
      </c>
      <c r="Z490" s="1">
        <v>288.0</v>
      </c>
      <c r="AA490" s="1">
        <v>582.0</v>
      </c>
      <c r="AB490" s="1">
        <v>941.0</v>
      </c>
      <c r="AC490" s="1">
        <v>101.0</v>
      </c>
      <c r="AD490" s="1">
        <v>598.0</v>
      </c>
      <c r="AE490" s="1">
        <v>0.0</v>
      </c>
      <c r="AF490" s="1">
        <v>456.0</v>
      </c>
      <c r="AG490" s="1">
        <v>136.0</v>
      </c>
      <c r="AH490" s="1">
        <v>130.0</v>
      </c>
      <c r="AI490" s="1">
        <v>0.0</v>
      </c>
      <c r="AJ490" s="1">
        <v>114.0</v>
      </c>
      <c r="AK490" s="1">
        <v>18.0</v>
      </c>
      <c r="AL490" s="1">
        <v>117.0</v>
      </c>
      <c r="AM490" s="1">
        <v>115.0</v>
      </c>
      <c r="AN490" s="1">
        <v>74.0</v>
      </c>
      <c r="AO490" s="1">
        <v>122.0</v>
      </c>
      <c r="AP490" s="1">
        <v>0.040016</v>
      </c>
      <c r="AQ490" s="1">
        <v>0.024278</v>
      </c>
      <c r="AR490" s="1">
        <v>0.021974</v>
      </c>
      <c r="AS490" s="1">
        <v>0.138439</v>
      </c>
      <c r="AT490" s="1">
        <v>44091.0</v>
      </c>
      <c r="AU490" s="1">
        <v>4327.0</v>
      </c>
      <c r="AV490" s="1">
        <v>0.038603</v>
      </c>
      <c r="AW490" s="1">
        <v>0.070744</v>
      </c>
      <c r="AX490" s="1">
        <v>0.116051</v>
      </c>
      <c r="AY490" s="1">
        <v>0.187637</v>
      </c>
      <c r="AZ490" s="1">
        <v>0.04374187</v>
      </c>
      <c r="BA490" s="1">
        <v>0.119242</v>
      </c>
      <c r="BB490" s="1">
        <v>0.0</v>
      </c>
      <c r="BC490" s="1">
        <v>0.092158</v>
      </c>
      <c r="BD490" s="1">
        <v>0.05551</v>
      </c>
      <c r="BE490" s="1">
        <v>0.053016</v>
      </c>
      <c r="BF490" s="1">
        <v>0.0</v>
      </c>
      <c r="BG490" s="1">
        <v>0.04653</v>
      </c>
      <c r="BH490" s="1">
        <v>0.007547</v>
      </c>
      <c r="BI490" s="1">
        <v>0.049055</v>
      </c>
      <c r="BJ490" s="1">
        <v>0.048218</v>
      </c>
      <c r="BK490" s="1">
        <v>0.030967</v>
      </c>
      <c r="BL490" s="1">
        <v>0.024327</v>
      </c>
      <c r="BM490" s="1">
        <v>0.123</v>
      </c>
      <c r="BN490" s="1">
        <v>0.038</v>
      </c>
      <c r="BO490" s="1">
        <v>0.044</v>
      </c>
      <c r="BP490" s="1">
        <v>0.092</v>
      </c>
      <c r="BQ490" s="1">
        <v>0.297</v>
      </c>
      <c r="BR490" s="1">
        <v>0.0181</v>
      </c>
      <c r="BS490" s="1">
        <v>0.316</v>
      </c>
      <c r="BT490" s="1">
        <v>0.142</v>
      </c>
      <c r="BU490" s="1">
        <v>0.053</v>
      </c>
      <c r="BV490" s="1">
        <v>0.511</v>
      </c>
      <c r="BW490" s="1">
        <v>0.037</v>
      </c>
      <c r="BX490" s="1">
        <v>0.535</v>
      </c>
      <c r="BY490" s="1">
        <v>0.0</v>
      </c>
      <c r="BZ490" s="1">
        <v>0.535</v>
      </c>
      <c r="CA490" s="1">
        <v>0.232</v>
      </c>
      <c r="CB490" s="1">
        <v>0.671</v>
      </c>
      <c r="CC490" s="1">
        <v>0.0</v>
      </c>
      <c r="CD490" s="1">
        <v>0.415</v>
      </c>
      <c r="CE490" s="1">
        <v>0.474</v>
      </c>
      <c r="CF490" s="1">
        <v>0.761</v>
      </c>
      <c r="CG490" s="1">
        <v>2.321</v>
      </c>
      <c r="CH490" s="1">
        <v>0.466</v>
      </c>
      <c r="CI490" s="1">
        <v>3.664</v>
      </c>
      <c r="CJ490" s="1">
        <v>0.0542</v>
      </c>
      <c r="CK490" s="1">
        <v>0.0</v>
      </c>
      <c r="CL490" s="1">
        <v>0.0</v>
      </c>
      <c r="CM490" s="1">
        <v>0.0</v>
      </c>
      <c r="CN490" s="1">
        <v>0.0</v>
      </c>
      <c r="CO490" s="1">
        <v>0.0</v>
      </c>
      <c r="CP490" s="1">
        <v>0.0</v>
      </c>
      <c r="CQ490" s="1">
        <v>0.0</v>
      </c>
      <c r="CR490" s="1">
        <v>0.0</v>
      </c>
      <c r="CS490" s="1">
        <v>0.0</v>
      </c>
      <c r="CT490" s="1">
        <v>0.0</v>
      </c>
      <c r="CU490" s="1">
        <v>0.0</v>
      </c>
      <c r="CV490" s="1">
        <v>0.0</v>
      </c>
      <c r="CW490" s="1">
        <v>0.0</v>
      </c>
      <c r="CX490" s="1">
        <v>0.0</v>
      </c>
      <c r="CY490" s="1">
        <v>0.0</v>
      </c>
      <c r="CZ490" s="1">
        <v>0.0</v>
      </c>
      <c r="DA490" s="1">
        <v>0.0</v>
      </c>
      <c r="DB490" s="1">
        <v>0.0</v>
      </c>
      <c r="DC490" s="1">
        <v>0.0</v>
      </c>
      <c r="DD490" s="1" t="s">
        <v>2384</v>
      </c>
      <c r="DE490" s="1">
        <v>2.67220263511916E-4</v>
      </c>
      <c r="DF490" s="1">
        <v>0.0661494001160595</v>
      </c>
    </row>
    <row r="491" ht="15.75" customHeight="1">
      <c r="A491" s="1" t="s">
        <v>2385</v>
      </c>
      <c r="B491" s="1">
        <v>29.0</v>
      </c>
      <c r="C491" s="2" t="s">
        <v>2039</v>
      </c>
      <c r="D491" s="2" t="s">
        <v>2386</v>
      </c>
      <c r="E491" s="1">
        <v>0.991</v>
      </c>
      <c r="F491" s="1">
        <v>29095.0</v>
      </c>
      <c r="G491" s="1">
        <v>2.90950087E10</v>
      </c>
      <c r="H491" s="1" t="s">
        <v>112</v>
      </c>
      <c r="I491" s="1" t="s">
        <v>113</v>
      </c>
      <c r="J491" s="1" t="s">
        <v>2041</v>
      </c>
      <c r="K491" s="1" t="s">
        <v>2387</v>
      </c>
      <c r="L491" s="1">
        <v>2501.0</v>
      </c>
      <c r="M491" s="1">
        <v>2109.0</v>
      </c>
      <c r="N491" s="1">
        <v>237.0</v>
      </c>
      <c r="O491" s="1">
        <v>1192.0</v>
      </c>
      <c r="P491" s="1">
        <v>1259.0</v>
      </c>
      <c r="Q491" s="1">
        <v>66.0</v>
      </c>
      <c r="R491" s="1">
        <v>1005.0</v>
      </c>
      <c r="S491" s="1">
        <v>457.0</v>
      </c>
      <c r="T491" s="1">
        <v>198.0</v>
      </c>
      <c r="U491" s="1">
        <v>111.0</v>
      </c>
      <c r="V491" s="1">
        <v>416.0</v>
      </c>
      <c r="W491" s="1">
        <v>19597.0</v>
      </c>
      <c r="X491" s="1">
        <v>3427.0</v>
      </c>
      <c r="Y491" s="1">
        <v>385.0</v>
      </c>
      <c r="Z491" s="1">
        <v>335.0</v>
      </c>
      <c r="AA491" s="1">
        <v>284.0</v>
      </c>
      <c r="AB491" s="1">
        <v>677.0</v>
      </c>
      <c r="AC491" s="1">
        <v>241.0</v>
      </c>
      <c r="AD491" s="1">
        <v>2313.0</v>
      </c>
      <c r="AE491" s="1">
        <v>0.0</v>
      </c>
      <c r="AF491" s="1">
        <v>456.0</v>
      </c>
      <c r="AG491" s="1">
        <v>102.0</v>
      </c>
      <c r="AH491" s="1">
        <v>173.0</v>
      </c>
      <c r="AI491" s="1">
        <v>10.0</v>
      </c>
      <c r="AJ491" s="1">
        <v>16.0</v>
      </c>
      <c r="AK491" s="1">
        <v>0.0</v>
      </c>
      <c r="AL491" s="1">
        <v>161.0</v>
      </c>
      <c r="AM491" s="1">
        <v>244.0</v>
      </c>
      <c r="AN491" s="1">
        <v>93.0</v>
      </c>
      <c r="AO491" s="1">
        <v>31.0</v>
      </c>
      <c r="AP491" s="1">
        <v>0.21793</v>
      </c>
      <c r="AQ491" s="1">
        <v>0.091179</v>
      </c>
      <c r="AR491" s="1">
        <v>0.10861</v>
      </c>
      <c r="AS491" s="1">
        <v>0.405621</v>
      </c>
      <c r="AT491" s="1">
        <v>19597.0</v>
      </c>
      <c r="AU491" s="1">
        <v>3427.0</v>
      </c>
      <c r="AV491" s="1">
        <v>0.227138</v>
      </c>
      <c r="AW491" s="1">
        <v>0.195683</v>
      </c>
      <c r="AX491" s="1">
        <v>0.113554</v>
      </c>
      <c r="AY491" s="1">
        <v>0.270691</v>
      </c>
      <c r="AZ491" s="1">
        <v>0.23980099</v>
      </c>
      <c r="BA491" s="1">
        <v>0.92483</v>
      </c>
      <c r="BB491" s="1">
        <v>0.0</v>
      </c>
      <c r="BC491" s="1">
        <v>0.225074</v>
      </c>
      <c r="BD491" s="1">
        <v>0.081016</v>
      </c>
      <c r="BE491" s="1">
        <v>0.137344</v>
      </c>
      <c r="BF491" s="1">
        <v>0.007942</v>
      </c>
      <c r="BG491" s="1">
        <v>0.012701</v>
      </c>
      <c r="BH491" s="1">
        <v>0.0</v>
      </c>
      <c r="BI491" s="1">
        <v>0.153772</v>
      </c>
      <c r="BJ491" s="1">
        <v>0.233046</v>
      </c>
      <c r="BK491" s="1">
        <v>0.086048</v>
      </c>
      <c r="BL491" s="1">
        <v>0.012395</v>
      </c>
      <c r="BM491" s="1">
        <v>0.771</v>
      </c>
      <c r="BN491" s="1">
        <v>0.782</v>
      </c>
      <c r="BO491" s="1">
        <v>0.6397</v>
      </c>
      <c r="BP491" s="1">
        <v>0.82</v>
      </c>
      <c r="BQ491" s="1">
        <v>3.0127</v>
      </c>
      <c r="BR491" s="1">
        <v>0.8058</v>
      </c>
      <c r="BS491" s="1">
        <v>0.299</v>
      </c>
      <c r="BT491" s="1">
        <v>0.797</v>
      </c>
      <c r="BU491" s="1">
        <v>0.937</v>
      </c>
      <c r="BV491" s="1">
        <v>2.033</v>
      </c>
      <c r="BW491" s="1">
        <v>0.881</v>
      </c>
      <c r="BX491" s="1">
        <v>0.947</v>
      </c>
      <c r="BY491" s="1">
        <v>0.0</v>
      </c>
      <c r="BZ491" s="1">
        <v>0.947</v>
      </c>
      <c r="CA491" s="1">
        <v>0.509</v>
      </c>
      <c r="CB491" s="1">
        <v>0.733</v>
      </c>
      <c r="CC491" s="1">
        <v>0.435</v>
      </c>
      <c r="CD491" s="1">
        <v>0.0</v>
      </c>
      <c r="CE491" s="1">
        <v>0.928</v>
      </c>
      <c r="CF491" s="1">
        <v>0.611</v>
      </c>
      <c r="CG491" s="1">
        <v>2.707</v>
      </c>
      <c r="CH491" s="1">
        <v>0.646</v>
      </c>
      <c r="CI491" s="1">
        <v>8.6997</v>
      </c>
      <c r="CJ491" s="1">
        <v>0.8123</v>
      </c>
      <c r="CK491" s="1">
        <v>0.0</v>
      </c>
      <c r="CL491" s="1">
        <v>0.0</v>
      </c>
      <c r="CM491" s="1">
        <v>0.0</v>
      </c>
      <c r="CN491" s="1">
        <v>0.0</v>
      </c>
      <c r="CO491" s="1">
        <v>0.0</v>
      </c>
      <c r="CP491" s="1">
        <v>0.0</v>
      </c>
      <c r="CQ491" s="1">
        <v>0.0</v>
      </c>
      <c r="CR491" s="1">
        <v>1.0</v>
      </c>
      <c r="CS491" s="1">
        <v>1.0</v>
      </c>
      <c r="CT491" s="1">
        <v>1.0</v>
      </c>
      <c r="CU491" s="1">
        <v>0.0</v>
      </c>
      <c r="CV491" s="1">
        <v>1.0</v>
      </c>
      <c r="CW491" s="1">
        <v>0.0</v>
      </c>
      <c r="CX491" s="1">
        <v>0.0</v>
      </c>
      <c r="CY491" s="1">
        <v>0.0</v>
      </c>
      <c r="CZ491" s="1">
        <v>1.0</v>
      </c>
      <c r="DA491" s="1">
        <v>0.0</v>
      </c>
      <c r="DB491" s="1">
        <v>1.0</v>
      </c>
      <c r="DC491" s="1">
        <v>3.0</v>
      </c>
      <c r="DD491" s="1" t="s">
        <v>2388</v>
      </c>
      <c r="DE491" s="1">
        <v>2.66874587439254E-4</v>
      </c>
      <c r="DF491" s="1">
        <v>0.065766490351855</v>
      </c>
    </row>
    <row r="492" ht="15.75" customHeight="1">
      <c r="A492" s="1" t="s">
        <v>2389</v>
      </c>
      <c r="B492" s="1">
        <v>29.0</v>
      </c>
      <c r="C492" s="2" t="s">
        <v>2039</v>
      </c>
      <c r="D492" s="2" t="s">
        <v>2390</v>
      </c>
      <c r="E492" s="1">
        <v>0.98</v>
      </c>
      <c r="F492" s="1">
        <v>29095.0</v>
      </c>
      <c r="G492" s="1">
        <v>2.90950088E10</v>
      </c>
      <c r="H492" s="1" t="s">
        <v>112</v>
      </c>
      <c r="I492" s="1" t="s">
        <v>113</v>
      </c>
      <c r="J492" s="1" t="s">
        <v>2041</v>
      </c>
      <c r="K492" s="1" t="s">
        <v>2391</v>
      </c>
      <c r="L492" s="1">
        <v>3602.0</v>
      </c>
      <c r="M492" s="1">
        <v>3127.0</v>
      </c>
      <c r="N492" s="1">
        <v>381.0</v>
      </c>
      <c r="O492" s="1">
        <v>1824.0</v>
      </c>
      <c r="P492" s="1">
        <v>1908.0</v>
      </c>
      <c r="Q492" s="1">
        <v>72.0</v>
      </c>
      <c r="R492" s="1">
        <v>1449.0</v>
      </c>
      <c r="S492" s="1">
        <v>716.0</v>
      </c>
      <c r="T492" s="1">
        <v>313.0</v>
      </c>
      <c r="U492" s="1">
        <v>177.0</v>
      </c>
      <c r="V492" s="1">
        <v>422.0</v>
      </c>
      <c r="W492" s="1">
        <v>16713.0</v>
      </c>
      <c r="X492" s="1">
        <v>1988.0</v>
      </c>
      <c r="Y492" s="1">
        <v>355.0</v>
      </c>
      <c r="Z492" s="1">
        <v>286.0</v>
      </c>
      <c r="AA492" s="1">
        <v>475.0</v>
      </c>
      <c r="AB492" s="1">
        <v>943.0</v>
      </c>
      <c r="AC492" s="1">
        <v>392.0</v>
      </c>
      <c r="AD492" s="1">
        <v>3397.0</v>
      </c>
      <c r="AE492" s="1">
        <v>0.0</v>
      </c>
      <c r="AF492" s="1">
        <v>456.0</v>
      </c>
      <c r="AG492" s="1">
        <v>35.0</v>
      </c>
      <c r="AH492" s="1">
        <v>170.0</v>
      </c>
      <c r="AI492" s="1">
        <v>33.0</v>
      </c>
      <c r="AJ492" s="1">
        <v>31.0</v>
      </c>
      <c r="AK492" s="1">
        <v>21.0</v>
      </c>
      <c r="AL492" s="1">
        <v>117.0</v>
      </c>
      <c r="AM492" s="1">
        <v>204.0</v>
      </c>
      <c r="AN492" s="1">
        <v>94.0</v>
      </c>
      <c r="AO492" s="1">
        <v>85.0</v>
      </c>
      <c r="AP492" s="1">
        <v>0.228973</v>
      </c>
      <c r="AQ492" s="1">
        <v>0.096129</v>
      </c>
      <c r="AR492" s="1">
        <v>0.128353</v>
      </c>
      <c r="AS492" s="1">
        <v>0.304329</v>
      </c>
      <c r="AT492" s="1">
        <v>16713.0</v>
      </c>
      <c r="AU492" s="1">
        <v>1988.0</v>
      </c>
      <c r="AV492" s="1">
        <v>0.171497</v>
      </c>
      <c r="AW492" s="1">
        <v>0.136749</v>
      </c>
      <c r="AX492" s="1">
        <v>0.131871</v>
      </c>
      <c r="AY492" s="1">
        <v>0.261799</v>
      </c>
      <c r="AZ492" s="1">
        <v>0.2705314</v>
      </c>
      <c r="BA492" s="1">
        <v>0.943087</v>
      </c>
      <c r="BB492" s="1">
        <v>0.0</v>
      </c>
      <c r="BC492" s="1">
        <v>0.153225</v>
      </c>
      <c r="BD492" s="1">
        <v>0.018343</v>
      </c>
      <c r="BE492" s="1">
        <v>0.089095</v>
      </c>
      <c r="BF492" s="1">
        <v>0.017295</v>
      </c>
      <c r="BG492" s="1">
        <v>0.016234</v>
      </c>
      <c r="BH492" s="1">
        <v>0.014695</v>
      </c>
      <c r="BI492" s="1">
        <v>0.081859</v>
      </c>
      <c r="BJ492" s="1">
        <v>0.142757</v>
      </c>
      <c r="BK492" s="1">
        <v>0.063883</v>
      </c>
      <c r="BL492" s="1">
        <v>0.023598</v>
      </c>
      <c r="BM492" s="1">
        <v>0.789</v>
      </c>
      <c r="BN492" s="1">
        <v>0.851</v>
      </c>
      <c r="BO492" s="1">
        <v>0.8022</v>
      </c>
      <c r="BP492" s="1">
        <v>0.655</v>
      </c>
      <c r="BQ492" s="1">
        <v>3.0972</v>
      </c>
      <c r="BR492" s="1">
        <v>0.8217</v>
      </c>
      <c r="BS492" s="1">
        <v>0.434</v>
      </c>
      <c r="BT492" s="1">
        <v>0.717</v>
      </c>
      <c r="BU492" s="1">
        <v>0.965</v>
      </c>
      <c r="BV492" s="1">
        <v>2.116</v>
      </c>
      <c r="BW492" s="1">
        <v>0.926</v>
      </c>
      <c r="BX492" s="1">
        <v>0.955</v>
      </c>
      <c r="BY492" s="1">
        <v>0.0</v>
      </c>
      <c r="BZ492" s="1">
        <v>0.955</v>
      </c>
      <c r="CA492" s="1">
        <v>0.515</v>
      </c>
      <c r="CB492" s="1">
        <v>0.451</v>
      </c>
      <c r="CC492" s="1">
        <v>0.498</v>
      </c>
      <c r="CD492" s="1">
        <v>0.587</v>
      </c>
      <c r="CE492" s="1">
        <v>0.851</v>
      </c>
      <c r="CF492" s="1">
        <v>0.754</v>
      </c>
      <c r="CG492" s="1">
        <v>3.141</v>
      </c>
      <c r="CH492" s="1">
        <v>0.828</v>
      </c>
      <c r="CI492" s="1">
        <v>9.3092</v>
      </c>
      <c r="CJ492" s="1">
        <v>0.8866</v>
      </c>
      <c r="CK492" s="1">
        <v>0.0</v>
      </c>
      <c r="CL492" s="1">
        <v>0.0</v>
      </c>
      <c r="CM492" s="1">
        <v>0.0</v>
      </c>
      <c r="CN492" s="1">
        <v>0.0</v>
      </c>
      <c r="CO492" s="1">
        <v>0.0</v>
      </c>
      <c r="CP492" s="1">
        <v>0.0</v>
      </c>
      <c r="CQ492" s="1">
        <v>0.0</v>
      </c>
      <c r="CR492" s="1">
        <v>1.0</v>
      </c>
      <c r="CS492" s="1">
        <v>1.0</v>
      </c>
      <c r="CT492" s="1">
        <v>1.0</v>
      </c>
      <c r="CU492" s="1">
        <v>0.0</v>
      </c>
      <c r="CV492" s="1">
        <v>1.0</v>
      </c>
      <c r="CW492" s="1">
        <v>0.0</v>
      </c>
      <c r="CX492" s="1">
        <v>0.0</v>
      </c>
      <c r="CY492" s="1">
        <v>0.0</v>
      </c>
      <c r="CZ492" s="1">
        <v>0.0</v>
      </c>
      <c r="DA492" s="1">
        <v>0.0</v>
      </c>
      <c r="DB492" s="1">
        <v>0.0</v>
      </c>
      <c r="DC492" s="1">
        <v>2.0</v>
      </c>
      <c r="DD492" s="1" t="s">
        <v>2392</v>
      </c>
      <c r="DE492" s="1">
        <v>2.64994305835012E-4</v>
      </c>
      <c r="DF492" s="1">
        <v>0.0758472058854046</v>
      </c>
    </row>
    <row r="493" ht="15.75" customHeight="1">
      <c r="A493" s="1" t="s">
        <v>2393</v>
      </c>
      <c r="B493" s="1">
        <v>29.0</v>
      </c>
      <c r="C493" s="2" t="s">
        <v>2039</v>
      </c>
      <c r="D493" s="2" t="s">
        <v>2394</v>
      </c>
      <c r="E493" s="1">
        <v>0.855</v>
      </c>
      <c r="F493" s="1">
        <v>29095.0</v>
      </c>
      <c r="G493" s="1">
        <v>2.90950089E10</v>
      </c>
      <c r="H493" s="1" t="s">
        <v>112</v>
      </c>
      <c r="I493" s="1" t="s">
        <v>113</v>
      </c>
      <c r="J493" s="1" t="s">
        <v>2041</v>
      </c>
      <c r="K493" s="1" t="s">
        <v>2395</v>
      </c>
      <c r="L493" s="1">
        <v>2139.0</v>
      </c>
      <c r="M493" s="1">
        <v>1984.0</v>
      </c>
      <c r="N493" s="1">
        <v>238.0</v>
      </c>
      <c r="O493" s="1">
        <v>996.0</v>
      </c>
      <c r="P493" s="1">
        <v>1047.0</v>
      </c>
      <c r="Q493" s="1">
        <v>30.0</v>
      </c>
      <c r="R493" s="1">
        <v>817.0</v>
      </c>
      <c r="S493" s="1">
        <v>636.0</v>
      </c>
      <c r="T493" s="1">
        <v>226.0</v>
      </c>
      <c r="U493" s="1">
        <v>162.0</v>
      </c>
      <c r="V493" s="1">
        <v>422.0</v>
      </c>
      <c r="W493" s="1">
        <v>15691.0</v>
      </c>
      <c r="X493" s="1">
        <v>2603.0</v>
      </c>
      <c r="Y493" s="1">
        <v>306.0</v>
      </c>
      <c r="Z493" s="1">
        <v>329.0</v>
      </c>
      <c r="AA493" s="1">
        <v>277.0</v>
      </c>
      <c r="AB493" s="1">
        <v>631.0</v>
      </c>
      <c r="AC493" s="1">
        <v>216.0</v>
      </c>
      <c r="AD493" s="1">
        <v>2067.0</v>
      </c>
      <c r="AE493" s="1">
        <v>4.0</v>
      </c>
      <c r="AF493" s="1">
        <v>442.0</v>
      </c>
      <c r="AG493" s="1">
        <v>0.0</v>
      </c>
      <c r="AH493" s="1">
        <v>197.0</v>
      </c>
      <c r="AI493" s="1">
        <v>0.0</v>
      </c>
      <c r="AJ493" s="1">
        <v>114.0</v>
      </c>
      <c r="AK493" s="1">
        <v>0.0</v>
      </c>
      <c r="AL493" s="1">
        <v>161.0</v>
      </c>
      <c r="AM493" s="1">
        <v>101.0</v>
      </c>
      <c r="AN493" s="1">
        <v>62.0</v>
      </c>
      <c r="AO493" s="1">
        <v>79.0</v>
      </c>
      <c r="AP493" s="1">
        <v>0.320564</v>
      </c>
      <c r="AQ493" s="1">
        <v>0.107224</v>
      </c>
      <c r="AR493" s="1">
        <v>0.19684</v>
      </c>
      <c r="AS493" s="1">
        <v>0.508914</v>
      </c>
      <c r="AT493" s="1">
        <v>15691.0</v>
      </c>
      <c r="AU493" s="1">
        <v>2603.0</v>
      </c>
      <c r="AV493" s="1">
        <v>0.251851</v>
      </c>
      <c r="AW493" s="1">
        <v>0.269154</v>
      </c>
      <c r="AX493" s="1">
        <v>0.129499</v>
      </c>
      <c r="AY493" s="1">
        <v>0.294997</v>
      </c>
      <c r="AZ493" s="1">
        <v>0.26438188</v>
      </c>
      <c r="BA493" s="1">
        <v>0.966339</v>
      </c>
      <c r="BB493" s="1">
        <v>0.002163</v>
      </c>
      <c r="BC493" s="1">
        <v>0.239047</v>
      </c>
      <c r="BD493" s="1">
        <v>0.0</v>
      </c>
      <c r="BE493" s="1">
        <v>0.188156</v>
      </c>
      <c r="BF493" s="1">
        <v>0.0</v>
      </c>
      <c r="BG493" s="1">
        <v>0.108882</v>
      </c>
      <c r="BH493" s="1">
        <v>0.0</v>
      </c>
      <c r="BI493" s="1">
        <v>0.188967</v>
      </c>
      <c r="BJ493" s="1">
        <v>0.118544</v>
      </c>
      <c r="BK493" s="1">
        <v>0.071684</v>
      </c>
      <c r="BL493" s="1">
        <v>0.036933</v>
      </c>
      <c r="BM493" s="1">
        <v>0.902</v>
      </c>
      <c r="BN493" s="1">
        <v>0.951</v>
      </c>
      <c r="BO493" s="1">
        <v>0.8491</v>
      </c>
      <c r="BP493" s="1">
        <v>0.873</v>
      </c>
      <c r="BQ493" s="1">
        <v>3.5751</v>
      </c>
      <c r="BR493" s="1">
        <v>0.9365</v>
      </c>
      <c r="BS493" s="1">
        <v>0.416</v>
      </c>
      <c r="BT493" s="1">
        <v>0.905</v>
      </c>
      <c r="BU493" s="1">
        <v>0.958</v>
      </c>
      <c r="BV493" s="1">
        <v>2.279</v>
      </c>
      <c r="BW493" s="1">
        <v>0.976</v>
      </c>
      <c r="BX493" s="1">
        <v>0.966</v>
      </c>
      <c r="BY493" s="1">
        <v>0.39</v>
      </c>
      <c r="BZ493" s="1">
        <v>1.356</v>
      </c>
      <c r="CA493" s="1">
        <v>0.742</v>
      </c>
      <c r="CB493" s="1">
        <v>0.0</v>
      </c>
      <c r="CC493" s="1">
        <v>0.0</v>
      </c>
      <c r="CD493" s="1">
        <v>0.0</v>
      </c>
      <c r="CE493" s="1">
        <v>0.804</v>
      </c>
      <c r="CF493" s="1">
        <v>0.854</v>
      </c>
      <c r="CG493" s="1">
        <v>1.658</v>
      </c>
      <c r="CH493" s="1">
        <v>0.22</v>
      </c>
      <c r="CI493" s="1">
        <v>8.8681</v>
      </c>
      <c r="CJ493" s="1">
        <v>0.8361</v>
      </c>
      <c r="CK493" s="1">
        <v>1.0</v>
      </c>
      <c r="CL493" s="1">
        <v>1.0</v>
      </c>
      <c r="CM493" s="1">
        <v>0.0</v>
      </c>
      <c r="CN493" s="1">
        <v>0.0</v>
      </c>
      <c r="CO493" s="1">
        <v>2.0</v>
      </c>
      <c r="CP493" s="1">
        <v>0.0</v>
      </c>
      <c r="CQ493" s="1">
        <v>1.0</v>
      </c>
      <c r="CR493" s="1">
        <v>1.0</v>
      </c>
      <c r="CS493" s="1">
        <v>2.0</v>
      </c>
      <c r="CT493" s="1">
        <v>1.0</v>
      </c>
      <c r="CU493" s="1">
        <v>0.0</v>
      </c>
      <c r="CV493" s="1">
        <v>1.0</v>
      </c>
      <c r="CW493" s="1">
        <v>0.0</v>
      </c>
      <c r="CX493" s="1">
        <v>0.0</v>
      </c>
      <c r="CY493" s="1">
        <v>0.0</v>
      </c>
      <c r="CZ493" s="1">
        <v>0.0</v>
      </c>
      <c r="DA493" s="1">
        <v>0.0</v>
      </c>
      <c r="DB493" s="1">
        <v>0.0</v>
      </c>
      <c r="DC493" s="1">
        <v>5.0</v>
      </c>
      <c r="DD493" s="1" t="s">
        <v>2396</v>
      </c>
      <c r="DE493" s="1">
        <v>2.28907718543505E-4</v>
      </c>
      <c r="DF493" s="1">
        <v>0.0737498763742107</v>
      </c>
    </row>
    <row r="494" ht="15.75" customHeight="1">
      <c r="A494" s="1" t="s">
        <v>2397</v>
      </c>
      <c r="B494" s="1">
        <v>29.0</v>
      </c>
      <c r="C494" s="2" t="s">
        <v>2039</v>
      </c>
      <c r="D494" s="2" t="s">
        <v>2398</v>
      </c>
      <c r="E494" s="1">
        <v>0.752</v>
      </c>
      <c r="F494" s="1">
        <v>29095.0</v>
      </c>
      <c r="G494" s="1">
        <v>2.90950091E10</v>
      </c>
      <c r="H494" s="1" t="s">
        <v>112</v>
      </c>
      <c r="I494" s="1" t="s">
        <v>113</v>
      </c>
      <c r="J494" s="1" t="s">
        <v>2041</v>
      </c>
      <c r="K494" s="1" t="s">
        <v>2399</v>
      </c>
      <c r="L494" s="1">
        <v>3690.0</v>
      </c>
      <c r="M494" s="1">
        <v>3664.0</v>
      </c>
      <c r="N494" s="1">
        <v>339.0</v>
      </c>
      <c r="O494" s="1">
        <v>1860.0</v>
      </c>
      <c r="P494" s="1">
        <v>1864.0</v>
      </c>
      <c r="Q494" s="1">
        <v>34.0</v>
      </c>
      <c r="R494" s="1">
        <v>1772.0</v>
      </c>
      <c r="S494" s="1">
        <v>103.0</v>
      </c>
      <c r="T494" s="1">
        <v>127.0</v>
      </c>
      <c r="U494" s="1">
        <v>120.0</v>
      </c>
      <c r="V494" s="1">
        <v>417.0</v>
      </c>
      <c r="W494" s="1">
        <v>36490.0</v>
      </c>
      <c r="X494" s="1">
        <v>3526.0</v>
      </c>
      <c r="Y494" s="1">
        <v>59.0</v>
      </c>
      <c r="Z494" s="1">
        <v>381.0</v>
      </c>
      <c r="AA494" s="1">
        <v>338.0</v>
      </c>
      <c r="AB494" s="1">
        <v>654.0</v>
      </c>
      <c r="AC494" s="1">
        <v>116.0</v>
      </c>
      <c r="AD494" s="1">
        <v>848.0</v>
      </c>
      <c r="AE494" s="1">
        <v>93.0</v>
      </c>
      <c r="AF494" s="1">
        <v>417.0</v>
      </c>
      <c r="AG494" s="1">
        <v>0.0</v>
      </c>
      <c r="AH494" s="1">
        <v>197.0</v>
      </c>
      <c r="AI494" s="1">
        <v>0.0</v>
      </c>
      <c r="AJ494" s="1">
        <v>114.0</v>
      </c>
      <c r="AK494" s="1">
        <v>0.0</v>
      </c>
      <c r="AL494" s="1">
        <v>161.0</v>
      </c>
      <c r="AM494" s="1">
        <v>77.0</v>
      </c>
      <c r="AN494" s="1">
        <v>62.0</v>
      </c>
      <c r="AO494" s="1">
        <v>2.0</v>
      </c>
      <c r="AP494" s="1">
        <v>0.028165</v>
      </c>
      <c r="AQ494" s="1">
        <v>0.03463</v>
      </c>
      <c r="AR494" s="1">
        <v>0.048289</v>
      </c>
      <c r="AS494" s="1">
        <v>0.1677</v>
      </c>
      <c r="AT494" s="1">
        <v>36490.0</v>
      </c>
      <c r="AU494" s="1">
        <v>3526.0</v>
      </c>
      <c r="AV494" s="1">
        <v>0.020862</v>
      </c>
      <c r="AW494" s="1">
        <v>0.134716</v>
      </c>
      <c r="AX494" s="1">
        <v>0.091598</v>
      </c>
      <c r="AY494" s="1">
        <v>0.177235</v>
      </c>
      <c r="AZ494" s="1">
        <v>0.06546275</v>
      </c>
      <c r="BA494" s="1">
        <v>0.22981</v>
      </c>
      <c r="BB494" s="1">
        <v>0.027034</v>
      </c>
      <c r="BC494" s="1">
        <v>0.121193</v>
      </c>
      <c r="BD494" s="1">
        <v>0.0</v>
      </c>
      <c r="BE494" s="1">
        <v>0.105686</v>
      </c>
      <c r="BF494" s="1">
        <v>0.0</v>
      </c>
      <c r="BG494" s="1">
        <v>0.061158</v>
      </c>
      <c r="BH494" s="1">
        <v>0.0</v>
      </c>
      <c r="BI494" s="1">
        <v>0.089843</v>
      </c>
      <c r="BJ494" s="1">
        <v>0.042968</v>
      </c>
      <c r="BK494" s="1">
        <v>0.034546</v>
      </c>
      <c r="BL494" s="1">
        <v>5.42E-4</v>
      </c>
      <c r="BM494" s="1">
        <v>0.082</v>
      </c>
      <c r="BN494" s="1">
        <v>0.278</v>
      </c>
      <c r="BO494" s="1">
        <v>0.096</v>
      </c>
      <c r="BP494" s="1">
        <v>0.036</v>
      </c>
      <c r="BQ494" s="1">
        <v>0.492</v>
      </c>
      <c r="BR494" s="1">
        <v>0.0643</v>
      </c>
      <c r="BS494" s="1">
        <v>0.169</v>
      </c>
      <c r="BT494" s="1">
        <v>0.111</v>
      </c>
      <c r="BU494" s="1">
        <v>0.176</v>
      </c>
      <c r="BV494" s="1">
        <v>0.456</v>
      </c>
      <c r="BW494" s="1">
        <v>0.03</v>
      </c>
      <c r="BX494" s="1">
        <v>0.744</v>
      </c>
      <c r="BY494" s="1">
        <v>0.901</v>
      </c>
      <c r="BZ494" s="1">
        <v>1.645</v>
      </c>
      <c r="CA494" s="1">
        <v>0.894</v>
      </c>
      <c r="CB494" s="1">
        <v>0.0</v>
      </c>
      <c r="CC494" s="1">
        <v>0.0</v>
      </c>
      <c r="CD494" s="1">
        <v>0.0</v>
      </c>
      <c r="CE494" s="1">
        <v>0.423</v>
      </c>
      <c r="CF494" s="1">
        <v>0.371</v>
      </c>
      <c r="CG494" s="1">
        <v>0.794</v>
      </c>
      <c r="CH494" s="1">
        <v>0.053</v>
      </c>
      <c r="CI494" s="1">
        <v>3.387</v>
      </c>
      <c r="CJ494" s="1">
        <v>0.0347</v>
      </c>
      <c r="CK494" s="1">
        <v>0.0</v>
      </c>
      <c r="CL494" s="1">
        <v>0.0</v>
      </c>
      <c r="CM494" s="1">
        <v>0.0</v>
      </c>
      <c r="CN494" s="1">
        <v>0.0</v>
      </c>
      <c r="CO494" s="1">
        <v>0.0</v>
      </c>
      <c r="CP494" s="1">
        <v>0.0</v>
      </c>
      <c r="CQ494" s="1">
        <v>0.0</v>
      </c>
      <c r="CR494" s="1">
        <v>0.0</v>
      </c>
      <c r="CS494" s="1">
        <v>0.0</v>
      </c>
      <c r="CT494" s="1">
        <v>0.0</v>
      </c>
      <c r="CU494" s="1">
        <v>1.0</v>
      </c>
      <c r="CV494" s="1">
        <v>1.0</v>
      </c>
      <c r="CW494" s="1">
        <v>0.0</v>
      </c>
      <c r="CX494" s="1">
        <v>0.0</v>
      </c>
      <c r="CY494" s="1">
        <v>0.0</v>
      </c>
      <c r="CZ494" s="1">
        <v>0.0</v>
      </c>
      <c r="DA494" s="1">
        <v>0.0</v>
      </c>
      <c r="DB494" s="1">
        <v>0.0</v>
      </c>
      <c r="DC494" s="1">
        <v>1.0</v>
      </c>
      <c r="DD494" s="1" t="s">
        <v>2400</v>
      </c>
      <c r="DE494" s="1">
        <v>2.02531970649455E-4</v>
      </c>
      <c r="DF494" s="1">
        <v>0.0588466806294728</v>
      </c>
    </row>
    <row r="495" ht="15.75" customHeight="1">
      <c r="A495" s="1" t="s">
        <v>2401</v>
      </c>
      <c r="B495" s="1">
        <v>29.0</v>
      </c>
      <c r="C495" s="2" t="s">
        <v>2039</v>
      </c>
      <c r="D495" s="2" t="s">
        <v>2402</v>
      </c>
      <c r="E495" s="1">
        <v>0.578</v>
      </c>
      <c r="F495" s="1">
        <v>29095.0</v>
      </c>
      <c r="G495" s="1">
        <v>2.90950092E10</v>
      </c>
      <c r="H495" s="1" t="s">
        <v>112</v>
      </c>
      <c r="I495" s="1" t="s">
        <v>113</v>
      </c>
      <c r="J495" s="1" t="s">
        <v>2041</v>
      </c>
      <c r="K495" s="1" t="s">
        <v>2403</v>
      </c>
      <c r="L495" s="1">
        <v>2795.0</v>
      </c>
      <c r="M495" s="1">
        <v>2649.0</v>
      </c>
      <c r="N495" s="1">
        <v>221.0</v>
      </c>
      <c r="O495" s="1">
        <v>1414.0</v>
      </c>
      <c r="P495" s="1">
        <v>1418.0</v>
      </c>
      <c r="Q495" s="1">
        <v>43.0</v>
      </c>
      <c r="R495" s="1">
        <v>1340.0</v>
      </c>
      <c r="S495" s="1">
        <v>173.0</v>
      </c>
      <c r="T495" s="1">
        <v>150.0</v>
      </c>
      <c r="U495" s="1">
        <v>79.0</v>
      </c>
      <c r="V495" s="1">
        <v>476.0</v>
      </c>
      <c r="W495" s="1">
        <v>39083.0</v>
      </c>
      <c r="X495" s="1">
        <v>4355.0</v>
      </c>
      <c r="Y495" s="1">
        <v>57.0</v>
      </c>
      <c r="Z495" s="1">
        <v>363.0</v>
      </c>
      <c r="AA495" s="1">
        <v>277.0</v>
      </c>
      <c r="AB495" s="1">
        <v>498.0</v>
      </c>
      <c r="AC495" s="1">
        <v>76.0</v>
      </c>
      <c r="AD495" s="1">
        <v>317.0</v>
      </c>
      <c r="AE495" s="1">
        <v>0.0</v>
      </c>
      <c r="AF495" s="1">
        <v>456.0</v>
      </c>
      <c r="AG495" s="1">
        <v>0.0</v>
      </c>
      <c r="AH495" s="1">
        <v>197.0</v>
      </c>
      <c r="AI495" s="1">
        <v>0.0</v>
      </c>
      <c r="AJ495" s="1">
        <v>114.0</v>
      </c>
      <c r="AK495" s="1">
        <v>0.0</v>
      </c>
      <c r="AL495" s="1">
        <v>161.0</v>
      </c>
      <c r="AM495" s="1">
        <v>12.0</v>
      </c>
      <c r="AN495" s="1">
        <v>115.0</v>
      </c>
      <c r="AO495" s="1">
        <v>0.0</v>
      </c>
      <c r="AP495" s="1">
        <v>0.065307</v>
      </c>
      <c r="AQ495" s="1">
        <v>0.056362</v>
      </c>
      <c r="AR495" s="1">
        <v>0.045559</v>
      </c>
      <c r="AS495" s="1">
        <v>0.274419</v>
      </c>
      <c r="AT495" s="1">
        <v>39083.0</v>
      </c>
      <c r="AU495" s="1">
        <v>4355.0</v>
      </c>
      <c r="AV495" s="1">
        <v>0.029051</v>
      </c>
      <c r="AW495" s="1">
        <v>0.184999</v>
      </c>
      <c r="AX495" s="1">
        <v>0.099105</v>
      </c>
      <c r="AY495" s="1">
        <v>0.178175</v>
      </c>
      <c r="AZ495" s="1">
        <v>0.05671641</v>
      </c>
      <c r="BA495" s="1">
        <v>0.113416</v>
      </c>
      <c r="BB495" s="1">
        <v>0.0</v>
      </c>
      <c r="BC495" s="1">
        <v>0.181168</v>
      </c>
      <c r="BD495" s="1">
        <v>0.0</v>
      </c>
      <c r="BE495" s="1">
        <v>0.138928</v>
      </c>
      <c r="BF495" s="1">
        <v>0.0</v>
      </c>
      <c r="BG495" s="1">
        <v>0.080394</v>
      </c>
      <c r="BH495" s="1">
        <v>0.0</v>
      </c>
      <c r="BI495" s="1">
        <v>0.128697</v>
      </c>
      <c r="BJ495" s="1">
        <v>0.009592</v>
      </c>
      <c r="BK495" s="1">
        <v>0.091923</v>
      </c>
      <c r="BL495" s="1">
        <v>0.0</v>
      </c>
      <c r="BM495" s="1">
        <v>0.227</v>
      </c>
      <c r="BN495" s="1">
        <v>0.246</v>
      </c>
      <c r="BO495" s="1">
        <v>0.0744</v>
      </c>
      <c r="BP495" s="1">
        <v>0.06</v>
      </c>
      <c r="BQ495" s="1">
        <v>0.6074</v>
      </c>
      <c r="BR495" s="1">
        <v>0.1011</v>
      </c>
      <c r="BS495" s="1">
        <v>0.207</v>
      </c>
      <c r="BT495" s="1">
        <v>0.115</v>
      </c>
      <c r="BU495" s="1">
        <v>0.114</v>
      </c>
      <c r="BV495" s="1">
        <v>0.436</v>
      </c>
      <c r="BW495" s="1">
        <v>0.03</v>
      </c>
      <c r="BX495" s="1">
        <v>0.515</v>
      </c>
      <c r="BY495" s="1">
        <v>0.0</v>
      </c>
      <c r="BZ495" s="1">
        <v>0.515</v>
      </c>
      <c r="CA495" s="1">
        <v>0.215</v>
      </c>
      <c r="CB495" s="1">
        <v>0.0</v>
      </c>
      <c r="CC495" s="1">
        <v>0.0</v>
      </c>
      <c r="CD495" s="1">
        <v>0.0</v>
      </c>
      <c r="CE495" s="1">
        <v>0.08</v>
      </c>
      <c r="CF495" s="1">
        <v>0.0</v>
      </c>
      <c r="CG495" s="1">
        <v>0.08</v>
      </c>
      <c r="CH495" s="1">
        <v>0.01</v>
      </c>
      <c r="CI495" s="1">
        <v>1.6384</v>
      </c>
      <c r="CJ495" s="1">
        <v>7.0E-4</v>
      </c>
      <c r="CK495" s="1">
        <v>0.0</v>
      </c>
      <c r="CL495" s="1">
        <v>0.0</v>
      </c>
      <c r="CM495" s="1">
        <v>0.0</v>
      </c>
      <c r="CN495" s="1">
        <v>0.0</v>
      </c>
      <c r="CO495" s="1">
        <v>0.0</v>
      </c>
      <c r="CP495" s="1">
        <v>0.0</v>
      </c>
      <c r="CQ495" s="1">
        <v>0.0</v>
      </c>
      <c r="CR495" s="1">
        <v>0.0</v>
      </c>
      <c r="CS495" s="1">
        <v>0.0</v>
      </c>
      <c r="CT495" s="1">
        <v>0.0</v>
      </c>
      <c r="CU495" s="1">
        <v>0.0</v>
      </c>
      <c r="CV495" s="1">
        <v>0.0</v>
      </c>
      <c r="CW495" s="1">
        <v>0.0</v>
      </c>
      <c r="CX495" s="1">
        <v>0.0</v>
      </c>
      <c r="CY495" s="1">
        <v>0.0</v>
      </c>
      <c r="CZ495" s="1">
        <v>0.0</v>
      </c>
      <c r="DA495" s="1">
        <v>0.0</v>
      </c>
      <c r="DB495" s="1">
        <v>0.0</v>
      </c>
      <c r="DC495" s="1">
        <v>0.0</v>
      </c>
      <c r="DD495" s="1" t="s">
        <v>2404</v>
      </c>
      <c r="DE495" s="1">
        <v>1.58693583845361E-4</v>
      </c>
      <c r="DF495" s="1">
        <v>0.05238400746637</v>
      </c>
    </row>
    <row r="496" ht="15.75" customHeight="1">
      <c r="A496" s="1" t="s">
        <v>2405</v>
      </c>
      <c r="B496" s="1">
        <v>29.0</v>
      </c>
      <c r="C496" s="2" t="s">
        <v>2039</v>
      </c>
      <c r="D496" s="2" t="s">
        <v>2406</v>
      </c>
      <c r="E496" s="1">
        <v>0.713</v>
      </c>
      <c r="F496" s="1">
        <v>29095.0</v>
      </c>
      <c r="G496" s="1">
        <v>2.90950093E10</v>
      </c>
      <c r="H496" s="1" t="s">
        <v>112</v>
      </c>
      <c r="I496" s="1" t="s">
        <v>113</v>
      </c>
      <c r="J496" s="1" t="s">
        <v>2041</v>
      </c>
      <c r="K496" s="1" t="s">
        <v>2407</v>
      </c>
      <c r="L496" s="1">
        <v>2316.0</v>
      </c>
      <c r="M496" s="1">
        <v>2408.0</v>
      </c>
      <c r="N496" s="1">
        <v>233.0</v>
      </c>
      <c r="O496" s="1">
        <v>1373.0</v>
      </c>
      <c r="P496" s="1">
        <v>1350.0</v>
      </c>
      <c r="Q496" s="1">
        <v>39.0</v>
      </c>
      <c r="R496" s="1">
        <v>1282.0</v>
      </c>
      <c r="S496" s="1">
        <v>248.0</v>
      </c>
      <c r="T496" s="1">
        <v>148.0</v>
      </c>
      <c r="U496" s="1">
        <v>155.0</v>
      </c>
      <c r="V496" s="1">
        <v>439.0</v>
      </c>
      <c r="W496" s="1">
        <v>33899.0</v>
      </c>
      <c r="X496" s="1">
        <v>3992.0</v>
      </c>
      <c r="Y496" s="1">
        <v>154.0</v>
      </c>
      <c r="Z496" s="1">
        <v>352.0</v>
      </c>
      <c r="AA496" s="1">
        <v>357.0</v>
      </c>
      <c r="AB496" s="1">
        <v>277.0</v>
      </c>
      <c r="AC496" s="1">
        <v>49.0</v>
      </c>
      <c r="AD496" s="1">
        <v>359.0</v>
      </c>
      <c r="AE496" s="1">
        <v>21.0</v>
      </c>
      <c r="AF496" s="1">
        <v>442.0</v>
      </c>
      <c r="AG496" s="1">
        <v>0.0</v>
      </c>
      <c r="AH496" s="1">
        <v>197.0</v>
      </c>
      <c r="AI496" s="1">
        <v>8.0</v>
      </c>
      <c r="AJ496" s="1">
        <v>12.0</v>
      </c>
      <c r="AK496" s="1">
        <v>0.0</v>
      </c>
      <c r="AL496" s="1">
        <v>161.0</v>
      </c>
      <c r="AM496" s="1">
        <v>80.0</v>
      </c>
      <c r="AN496" s="1">
        <v>52.0</v>
      </c>
      <c r="AO496" s="1">
        <v>75.0</v>
      </c>
      <c r="AP496" s="1">
        <v>0.106437</v>
      </c>
      <c r="AQ496" s="1">
        <v>0.062885</v>
      </c>
      <c r="AR496" s="1">
        <v>0.101772</v>
      </c>
      <c r="AS496" s="1">
        <v>0.287585</v>
      </c>
      <c r="AT496" s="1">
        <v>33899.0</v>
      </c>
      <c r="AU496" s="1">
        <v>3992.0</v>
      </c>
      <c r="AV496" s="1">
        <v>0.077699</v>
      </c>
      <c r="AW496" s="1">
        <v>0.177464</v>
      </c>
      <c r="AX496" s="1">
        <v>0.154145</v>
      </c>
      <c r="AY496" s="1">
        <v>0.119602</v>
      </c>
      <c r="AZ496" s="1">
        <v>0.03822152</v>
      </c>
      <c r="BA496" s="1">
        <v>0.155008</v>
      </c>
      <c r="BB496" s="1">
        <v>0.00921</v>
      </c>
      <c r="BC496" s="1">
        <v>0.193857</v>
      </c>
      <c r="BD496" s="1">
        <v>0.0</v>
      </c>
      <c r="BE496" s="1">
        <v>0.145925</v>
      </c>
      <c r="BF496" s="1">
        <v>0.005925</v>
      </c>
      <c r="BG496" s="1">
        <v>0.008887</v>
      </c>
      <c r="BH496" s="1">
        <v>0.0</v>
      </c>
      <c r="BI496" s="1">
        <v>0.119259</v>
      </c>
      <c r="BJ496" s="1">
        <v>0.059259</v>
      </c>
      <c r="BK496" s="1">
        <v>0.03848</v>
      </c>
      <c r="BL496" s="1">
        <v>0.032383</v>
      </c>
      <c r="BM496" s="1">
        <v>0.399</v>
      </c>
      <c r="BN496" s="1">
        <v>0.743</v>
      </c>
      <c r="BO496" s="1">
        <v>0.1314</v>
      </c>
      <c r="BP496" s="1">
        <v>0.237</v>
      </c>
      <c r="BQ496" s="1">
        <v>1.5104</v>
      </c>
      <c r="BR496" s="1">
        <v>0.343</v>
      </c>
      <c r="BS496" s="1">
        <v>0.61</v>
      </c>
      <c r="BT496" s="1">
        <v>0.036</v>
      </c>
      <c r="BU496" s="1">
        <v>0.033</v>
      </c>
      <c r="BV496" s="1">
        <v>0.679</v>
      </c>
      <c r="BW496" s="1">
        <v>0.054</v>
      </c>
      <c r="BX496" s="1">
        <v>0.64</v>
      </c>
      <c r="BY496" s="1">
        <v>0.702</v>
      </c>
      <c r="BZ496" s="1">
        <v>1.342</v>
      </c>
      <c r="CA496" s="1">
        <v>0.732</v>
      </c>
      <c r="CB496" s="1">
        <v>0.0</v>
      </c>
      <c r="CC496" s="1">
        <v>0.41</v>
      </c>
      <c r="CD496" s="1">
        <v>0.0</v>
      </c>
      <c r="CE496" s="1">
        <v>0.564</v>
      </c>
      <c r="CF496" s="1">
        <v>0.817</v>
      </c>
      <c r="CG496" s="1">
        <v>1.791</v>
      </c>
      <c r="CH496" s="1">
        <v>0.264</v>
      </c>
      <c r="CI496" s="1">
        <v>5.3224</v>
      </c>
      <c r="CJ496" s="1">
        <v>0.2498</v>
      </c>
      <c r="CK496" s="1">
        <v>0.0</v>
      </c>
      <c r="CL496" s="1">
        <v>0.0</v>
      </c>
      <c r="CM496" s="1">
        <v>0.0</v>
      </c>
      <c r="CN496" s="1">
        <v>0.0</v>
      </c>
      <c r="CO496" s="1">
        <v>0.0</v>
      </c>
      <c r="CP496" s="1">
        <v>0.0</v>
      </c>
      <c r="CQ496" s="1">
        <v>0.0</v>
      </c>
      <c r="CR496" s="1">
        <v>0.0</v>
      </c>
      <c r="CS496" s="1">
        <v>0.0</v>
      </c>
      <c r="CT496" s="1">
        <v>0.0</v>
      </c>
      <c r="CU496" s="1">
        <v>0.0</v>
      </c>
      <c r="CV496" s="1">
        <v>0.0</v>
      </c>
      <c r="CW496" s="1">
        <v>0.0</v>
      </c>
      <c r="CX496" s="1">
        <v>0.0</v>
      </c>
      <c r="CY496" s="1">
        <v>0.0</v>
      </c>
      <c r="CZ496" s="1">
        <v>0.0</v>
      </c>
      <c r="DA496" s="1">
        <v>0.0</v>
      </c>
      <c r="DB496" s="1">
        <v>0.0</v>
      </c>
      <c r="DC496" s="1">
        <v>0.0</v>
      </c>
      <c r="DD496" s="1" t="s">
        <v>2408</v>
      </c>
      <c r="DE496" s="1">
        <v>1.92307431291177E-4</v>
      </c>
      <c r="DF496" s="1">
        <v>0.0553069175654637</v>
      </c>
    </row>
    <row r="497" ht="15.75" customHeight="1">
      <c r="A497" s="1" t="s">
        <v>2409</v>
      </c>
      <c r="B497" s="1">
        <v>29.0</v>
      </c>
      <c r="C497" s="2" t="s">
        <v>2039</v>
      </c>
      <c r="D497" s="2" t="s">
        <v>2410</v>
      </c>
      <c r="E497" s="1">
        <v>0.997</v>
      </c>
      <c r="F497" s="1">
        <v>29095.0</v>
      </c>
      <c r="G497" s="1">
        <v>2.90950094E10</v>
      </c>
      <c r="H497" s="1" t="s">
        <v>112</v>
      </c>
      <c r="I497" s="1" t="s">
        <v>113</v>
      </c>
      <c r="J497" s="1" t="s">
        <v>2041</v>
      </c>
      <c r="K497" s="1" t="s">
        <v>2411</v>
      </c>
      <c r="L497" s="1">
        <v>4389.0</v>
      </c>
      <c r="M497" s="1">
        <v>4107.0</v>
      </c>
      <c r="N497" s="1">
        <v>359.0</v>
      </c>
      <c r="O497" s="1">
        <v>2595.0</v>
      </c>
      <c r="P497" s="1">
        <v>2679.0</v>
      </c>
      <c r="Q497" s="1">
        <v>41.0</v>
      </c>
      <c r="R497" s="1">
        <v>2305.0</v>
      </c>
      <c r="S497" s="1">
        <v>650.0</v>
      </c>
      <c r="T497" s="1">
        <v>298.0</v>
      </c>
      <c r="U497" s="1">
        <v>281.0</v>
      </c>
      <c r="V497" s="1">
        <v>439.0</v>
      </c>
      <c r="W497" s="1">
        <v>24464.0</v>
      </c>
      <c r="X497" s="1">
        <v>2643.0</v>
      </c>
      <c r="Y497" s="1">
        <v>329.0</v>
      </c>
      <c r="Z497" s="1">
        <v>333.0</v>
      </c>
      <c r="AA497" s="1">
        <v>505.0</v>
      </c>
      <c r="AB497" s="1">
        <v>698.0</v>
      </c>
      <c r="AC497" s="1">
        <v>242.0</v>
      </c>
      <c r="AD497" s="1">
        <v>1867.0</v>
      </c>
      <c r="AE497" s="1">
        <v>112.0</v>
      </c>
      <c r="AF497" s="1">
        <v>442.0</v>
      </c>
      <c r="AG497" s="1">
        <v>303.0</v>
      </c>
      <c r="AH497" s="1">
        <v>192.0</v>
      </c>
      <c r="AI497" s="1">
        <v>30.0</v>
      </c>
      <c r="AJ497" s="1">
        <v>32.0</v>
      </c>
      <c r="AK497" s="1">
        <v>18.0</v>
      </c>
      <c r="AL497" s="1">
        <v>117.0</v>
      </c>
      <c r="AM497" s="1">
        <v>188.0</v>
      </c>
      <c r="AN497" s="1">
        <v>95.0</v>
      </c>
      <c r="AO497" s="1">
        <v>103.0</v>
      </c>
      <c r="AP497" s="1">
        <v>0.158266</v>
      </c>
      <c r="AQ497" s="1">
        <v>0.071227</v>
      </c>
      <c r="AR497" s="1">
        <v>0.1154</v>
      </c>
      <c r="AS497" s="1">
        <v>0.179066</v>
      </c>
      <c r="AT497" s="1">
        <v>24464.0</v>
      </c>
      <c r="AU497" s="1">
        <v>2643.0</v>
      </c>
      <c r="AV497" s="1">
        <v>0.103982</v>
      </c>
      <c r="AW497" s="1">
        <v>0.104802</v>
      </c>
      <c r="AX497" s="1">
        <v>0.11506</v>
      </c>
      <c r="AY497" s="1">
        <v>0.159033</v>
      </c>
      <c r="AZ497" s="1">
        <v>0.10498915</v>
      </c>
      <c r="BA497" s="1">
        <v>0.425381</v>
      </c>
      <c r="BB497" s="1">
        <v>0.029212</v>
      </c>
      <c r="BC497" s="1">
        <v>0.115254</v>
      </c>
      <c r="BD497" s="1">
        <v>0.113101</v>
      </c>
      <c r="BE497" s="1">
        <v>0.071647</v>
      </c>
      <c r="BF497" s="1">
        <v>0.011198</v>
      </c>
      <c r="BG497" s="1">
        <v>0.011943</v>
      </c>
      <c r="BH497" s="1">
        <v>0.008275</v>
      </c>
      <c r="BI497" s="1">
        <v>0.053788</v>
      </c>
      <c r="BJ497" s="1">
        <v>0.086436</v>
      </c>
      <c r="BK497" s="1">
        <v>0.043094</v>
      </c>
      <c r="BL497" s="1">
        <v>0.023467</v>
      </c>
      <c r="BM497" s="1">
        <v>0.605</v>
      </c>
      <c r="BN497" s="1">
        <v>0.804</v>
      </c>
      <c r="BO497" s="1">
        <v>0.3718</v>
      </c>
      <c r="BP497" s="1">
        <v>0.356</v>
      </c>
      <c r="BQ497" s="1">
        <v>2.1368</v>
      </c>
      <c r="BR497" s="1">
        <v>0.5408</v>
      </c>
      <c r="BS497" s="1">
        <v>0.31</v>
      </c>
      <c r="BT497" s="1">
        <v>0.08</v>
      </c>
      <c r="BU497" s="1">
        <v>0.538</v>
      </c>
      <c r="BV497" s="1">
        <v>0.928</v>
      </c>
      <c r="BW497" s="1">
        <v>0.093</v>
      </c>
      <c r="BX497" s="1">
        <v>0.848</v>
      </c>
      <c r="BY497" s="1">
        <v>0.909</v>
      </c>
      <c r="BZ497" s="1">
        <v>1.757</v>
      </c>
      <c r="CA497" s="1">
        <v>0.947</v>
      </c>
      <c r="CB497" s="1">
        <v>0.792</v>
      </c>
      <c r="CC497" s="1">
        <v>0.468</v>
      </c>
      <c r="CD497" s="1">
        <v>0.441</v>
      </c>
      <c r="CE497" s="1">
        <v>0.705</v>
      </c>
      <c r="CF497" s="1">
        <v>0.751</v>
      </c>
      <c r="CG497" s="1">
        <v>3.157</v>
      </c>
      <c r="CH497" s="1">
        <v>0.834</v>
      </c>
      <c r="CI497" s="1">
        <v>7.9788</v>
      </c>
      <c r="CJ497" s="1">
        <v>0.7112</v>
      </c>
      <c r="CK497" s="1">
        <v>0.0</v>
      </c>
      <c r="CL497" s="1">
        <v>0.0</v>
      </c>
      <c r="CM497" s="1">
        <v>0.0</v>
      </c>
      <c r="CN497" s="1">
        <v>0.0</v>
      </c>
      <c r="CO497" s="1">
        <v>0.0</v>
      </c>
      <c r="CP497" s="1">
        <v>0.0</v>
      </c>
      <c r="CQ497" s="1">
        <v>0.0</v>
      </c>
      <c r="CR497" s="1">
        <v>0.0</v>
      </c>
      <c r="CS497" s="1">
        <v>0.0</v>
      </c>
      <c r="CT497" s="1">
        <v>0.0</v>
      </c>
      <c r="CU497" s="1">
        <v>1.0</v>
      </c>
      <c r="CV497" s="1">
        <v>1.0</v>
      </c>
      <c r="CW497" s="1">
        <v>0.0</v>
      </c>
      <c r="CX497" s="1">
        <v>0.0</v>
      </c>
      <c r="CY497" s="1">
        <v>0.0</v>
      </c>
      <c r="CZ497" s="1">
        <v>0.0</v>
      </c>
      <c r="DA497" s="1">
        <v>0.0</v>
      </c>
      <c r="DB497" s="1">
        <v>0.0</v>
      </c>
      <c r="DC497" s="1">
        <v>1.0</v>
      </c>
      <c r="DD497" s="1" t="s">
        <v>2412</v>
      </c>
      <c r="DE497" s="1">
        <v>2.68977908352381E-4</v>
      </c>
      <c r="DF497" s="1">
        <v>0.0660864346152129</v>
      </c>
    </row>
    <row r="498" ht="15.75" customHeight="1">
      <c r="A498" s="1" t="s">
        <v>2413</v>
      </c>
      <c r="B498" s="1">
        <v>29.0</v>
      </c>
      <c r="C498" s="2" t="s">
        <v>2039</v>
      </c>
      <c r="D498" s="2" t="s">
        <v>2414</v>
      </c>
      <c r="E498" s="1">
        <v>0.857</v>
      </c>
      <c r="F498" s="1">
        <v>29095.0</v>
      </c>
      <c r="G498" s="1">
        <v>2.90950095E10</v>
      </c>
      <c r="H498" s="1" t="s">
        <v>112</v>
      </c>
      <c r="I498" s="1" t="s">
        <v>113</v>
      </c>
      <c r="J498" s="1" t="s">
        <v>2041</v>
      </c>
      <c r="K498" s="1" t="s">
        <v>2415</v>
      </c>
      <c r="L498" s="1">
        <v>3145.0</v>
      </c>
      <c r="M498" s="1">
        <v>3686.0</v>
      </c>
      <c r="N498" s="1">
        <v>495.0</v>
      </c>
      <c r="O498" s="1">
        <v>1606.0</v>
      </c>
      <c r="P498" s="1">
        <v>1775.0</v>
      </c>
      <c r="Q498" s="1">
        <v>40.0</v>
      </c>
      <c r="R498" s="1">
        <v>1244.0</v>
      </c>
      <c r="S498" s="1">
        <v>1180.0</v>
      </c>
      <c r="T498" s="1">
        <v>462.0</v>
      </c>
      <c r="U498" s="1">
        <v>239.0</v>
      </c>
      <c r="V498" s="1">
        <v>374.0</v>
      </c>
      <c r="W498" s="1">
        <v>14270.0</v>
      </c>
      <c r="X498" s="1">
        <v>2055.0</v>
      </c>
      <c r="Y498" s="1">
        <v>339.0</v>
      </c>
      <c r="Z498" s="1">
        <v>284.0</v>
      </c>
      <c r="AA498" s="1">
        <v>283.0</v>
      </c>
      <c r="AB498" s="1">
        <v>924.0</v>
      </c>
      <c r="AC498" s="1">
        <v>348.0</v>
      </c>
      <c r="AD498" s="1">
        <v>2313.0</v>
      </c>
      <c r="AE498" s="1">
        <v>0.0</v>
      </c>
      <c r="AF498" s="1">
        <v>456.0</v>
      </c>
      <c r="AG498" s="1">
        <v>82.0</v>
      </c>
      <c r="AH498" s="1">
        <v>128.0</v>
      </c>
      <c r="AI498" s="1">
        <v>0.0</v>
      </c>
      <c r="AJ498" s="1">
        <v>114.0</v>
      </c>
      <c r="AK498" s="1">
        <v>60.0</v>
      </c>
      <c r="AL498" s="1">
        <v>124.0</v>
      </c>
      <c r="AM498" s="1">
        <v>189.0</v>
      </c>
      <c r="AN498" s="1">
        <v>87.0</v>
      </c>
      <c r="AO498" s="1">
        <v>0.0</v>
      </c>
      <c r="AP498" s="1">
        <v>0.321001</v>
      </c>
      <c r="AQ498" s="1">
        <v>0.118044</v>
      </c>
      <c r="AR498" s="1">
        <v>0.132704</v>
      </c>
      <c r="AS498" s="1">
        <v>0.206513</v>
      </c>
      <c r="AT498" s="1">
        <v>14270.0</v>
      </c>
      <c r="AU498" s="1">
        <v>2055.0</v>
      </c>
      <c r="AV498" s="1">
        <v>0.170351</v>
      </c>
      <c r="AW498" s="1">
        <v>0.141672</v>
      </c>
      <c r="AX498" s="1">
        <v>0.089984</v>
      </c>
      <c r="AY498" s="1">
        <v>0.293799</v>
      </c>
      <c r="AZ498" s="1">
        <v>0.27974276</v>
      </c>
      <c r="BA498" s="1">
        <v>0.735453</v>
      </c>
      <c r="BB498" s="1">
        <v>0.0</v>
      </c>
      <c r="BC498" s="1">
        <v>0.135714</v>
      </c>
      <c r="BD498" s="1">
        <v>0.046197</v>
      </c>
      <c r="BE498" s="1">
        <v>0.072105</v>
      </c>
      <c r="BF498" s="1">
        <v>0.0</v>
      </c>
      <c r="BG498" s="1">
        <v>0.064225</v>
      </c>
      <c r="BH498" s="1">
        <v>0.041666</v>
      </c>
      <c r="BI498" s="1">
        <v>0.086035</v>
      </c>
      <c r="BJ498" s="1">
        <v>0.13125</v>
      </c>
      <c r="BK498" s="1">
        <v>0.059332</v>
      </c>
      <c r="BL498" s="1">
        <v>0.0</v>
      </c>
      <c r="BM498" s="1">
        <v>0.904</v>
      </c>
      <c r="BN498" s="1">
        <v>0.863</v>
      </c>
      <c r="BO498" s="1">
        <v>0.9032</v>
      </c>
      <c r="BP498" s="1">
        <v>0.654</v>
      </c>
      <c r="BQ498" s="1">
        <v>3.3242</v>
      </c>
      <c r="BR498" s="1">
        <v>0.8845</v>
      </c>
      <c r="BS498" s="1">
        <v>0.159</v>
      </c>
      <c r="BT498" s="1">
        <v>0.898</v>
      </c>
      <c r="BU498" s="1">
        <v>0.971</v>
      </c>
      <c r="BV498" s="1">
        <v>2.028</v>
      </c>
      <c r="BW498" s="1">
        <v>0.875</v>
      </c>
      <c r="BX498" s="1">
        <v>0.907</v>
      </c>
      <c r="BY498" s="1">
        <v>0.0</v>
      </c>
      <c r="BZ498" s="1">
        <v>0.907</v>
      </c>
      <c r="CA498" s="1">
        <v>0.471</v>
      </c>
      <c r="CB498" s="1">
        <v>0.64</v>
      </c>
      <c r="CC498" s="1">
        <v>0.0</v>
      </c>
      <c r="CD498" s="1">
        <v>0.9</v>
      </c>
      <c r="CE498" s="1">
        <v>0.83</v>
      </c>
      <c r="CF498" s="1">
        <v>0.0</v>
      </c>
      <c r="CG498" s="1">
        <v>2.37</v>
      </c>
      <c r="CH498" s="1">
        <v>0.496</v>
      </c>
      <c r="CI498" s="1">
        <v>8.6292</v>
      </c>
      <c r="CJ498" s="1">
        <v>0.8051</v>
      </c>
      <c r="CK498" s="1">
        <v>1.0</v>
      </c>
      <c r="CL498" s="1">
        <v>0.0</v>
      </c>
      <c r="CM498" s="1">
        <v>1.0</v>
      </c>
      <c r="CN498" s="1">
        <v>0.0</v>
      </c>
      <c r="CO498" s="1">
        <v>2.0</v>
      </c>
      <c r="CP498" s="1">
        <v>0.0</v>
      </c>
      <c r="CQ498" s="1">
        <v>0.0</v>
      </c>
      <c r="CR498" s="1">
        <v>1.0</v>
      </c>
      <c r="CS498" s="1">
        <v>1.0</v>
      </c>
      <c r="CT498" s="1">
        <v>1.0</v>
      </c>
      <c r="CU498" s="1">
        <v>0.0</v>
      </c>
      <c r="CV498" s="1">
        <v>1.0</v>
      </c>
      <c r="CW498" s="1">
        <v>0.0</v>
      </c>
      <c r="CX498" s="1">
        <v>0.0</v>
      </c>
      <c r="CY498" s="1">
        <v>1.0</v>
      </c>
      <c r="CZ498" s="1">
        <v>0.0</v>
      </c>
      <c r="DA498" s="1">
        <v>0.0</v>
      </c>
      <c r="DB498" s="1">
        <v>1.0</v>
      </c>
      <c r="DC498" s="1">
        <v>5.0</v>
      </c>
      <c r="DD498" s="1" t="s">
        <v>2416</v>
      </c>
      <c r="DE498" s="1">
        <v>2.30326953390109E-4</v>
      </c>
      <c r="DF498" s="1">
        <v>0.065040007738134</v>
      </c>
    </row>
    <row r="499" ht="15.75" customHeight="1">
      <c r="A499" s="1" t="s">
        <v>2417</v>
      </c>
      <c r="B499" s="1">
        <v>29.0</v>
      </c>
      <c r="C499" s="2" t="s">
        <v>2039</v>
      </c>
      <c r="D499" s="2" t="s">
        <v>2418</v>
      </c>
      <c r="E499" s="1">
        <v>2.395</v>
      </c>
      <c r="F499" s="1">
        <v>29095.0</v>
      </c>
      <c r="G499" s="1">
        <v>2.90950096E10</v>
      </c>
      <c r="H499" s="1" t="s">
        <v>112</v>
      </c>
      <c r="I499" s="1" t="s">
        <v>113</v>
      </c>
      <c r="J499" s="1" t="s">
        <v>2041</v>
      </c>
      <c r="K499" s="1" t="s">
        <v>2419</v>
      </c>
      <c r="L499" s="1">
        <v>1719.0</v>
      </c>
      <c r="M499" s="1">
        <v>1654.0</v>
      </c>
      <c r="N499" s="1">
        <v>276.0</v>
      </c>
      <c r="O499" s="1">
        <v>779.0</v>
      </c>
      <c r="P499" s="1">
        <v>755.0</v>
      </c>
      <c r="Q499" s="1">
        <v>45.0</v>
      </c>
      <c r="R499" s="1">
        <v>644.0</v>
      </c>
      <c r="S499" s="1">
        <v>820.0</v>
      </c>
      <c r="T499" s="1">
        <v>312.0</v>
      </c>
      <c r="U499" s="1">
        <v>148.0</v>
      </c>
      <c r="V499" s="1">
        <v>421.0</v>
      </c>
      <c r="W499" s="1">
        <v>10903.0</v>
      </c>
      <c r="X499" s="1">
        <v>2446.0</v>
      </c>
      <c r="Y499" s="1">
        <v>266.0</v>
      </c>
      <c r="Z499" s="1">
        <v>299.0</v>
      </c>
      <c r="AA499" s="1">
        <v>134.0</v>
      </c>
      <c r="AB499" s="1">
        <v>596.0</v>
      </c>
      <c r="AC499" s="1">
        <v>241.0</v>
      </c>
      <c r="AD499" s="1">
        <v>1298.0</v>
      </c>
      <c r="AE499" s="1">
        <v>74.0</v>
      </c>
      <c r="AF499" s="1">
        <v>431.0</v>
      </c>
      <c r="AG499" s="1">
        <v>21.0</v>
      </c>
      <c r="AH499" s="1">
        <v>164.0</v>
      </c>
      <c r="AI499" s="1">
        <v>0.0</v>
      </c>
      <c r="AJ499" s="1">
        <v>114.0</v>
      </c>
      <c r="AK499" s="1">
        <v>33.0</v>
      </c>
      <c r="AL499" s="1">
        <v>124.0</v>
      </c>
      <c r="AM499" s="1">
        <v>181.0</v>
      </c>
      <c r="AN499" s="1">
        <v>78.0</v>
      </c>
      <c r="AO499" s="1">
        <v>0.0</v>
      </c>
      <c r="AP499" s="1">
        <v>0.495767</v>
      </c>
      <c r="AQ499" s="1">
        <v>0.169525</v>
      </c>
      <c r="AR499" s="1">
        <v>0.267631</v>
      </c>
      <c r="AS499" s="1">
        <v>0.747795</v>
      </c>
      <c r="AT499" s="1">
        <v>10903.0</v>
      </c>
      <c r="AU499" s="1">
        <v>2446.0</v>
      </c>
      <c r="AV499" s="1">
        <v>0.298876</v>
      </c>
      <c r="AW499" s="1">
        <v>0.334531</v>
      </c>
      <c r="AX499" s="1">
        <v>0.077952</v>
      </c>
      <c r="AY499" s="1">
        <v>0.346713</v>
      </c>
      <c r="AZ499" s="1">
        <v>0.3742236</v>
      </c>
      <c r="BA499" s="1">
        <v>0.75509</v>
      </c>
      <c r="BB499" s="1">
        <v>0.050754</v>
      </c>
      <c r="BC499" s="1">
        <v>0.295522</v>
      </c>
      <c r="BD499" s="1">
        <v>0.027814</v>
      </c>
      <c r="BE499" s="1">
        <v>0.217212</v>
      </c>
      <c r="BF499" s="1">
        <v>0.0</v>
      </c>
      <c r="BG499" s="1">
        <v>0.150993</v>
      </c>
      <c r="BH499" s="1">
        <v>0.046089</v>
      </c>
      <c r="BI499" s="1">
        <v>0.173138</v>
      </c>
      <c r="BJ499" s="1">
        <v>0.252793</v>
      </c>
      <c r="BK499" s="1">
        <v>0.106716</v>
      </c>
      <c r="BL499" s="1">
        <v>0.0</v>
      </c>
      <c r="BM499" s="1">
        <v>0.987</v>
      </c>
      <c r="BN499" s="1">
        <v>0.984</v>
      </c>
      <c r="BO499" s="1">
        <v>0.9791</v>
      </c>
      <c r="BP499" s="1">
        <v>0.944</v>
      </c>
      <c r="BQ499" s="1">
        <v>3.8941</v>
      </c>
      <c r="BR499" s="1">
        <v>0.9942</v>
      </c>
      <c r="BS499" s="1">
        <v>0.107</v>
      </c>
      <c r="BT499" s="1">
        <v>0.982</v>
      </c>
      <c r="BU499" s="1">
        <v>0.994</v>
      </c>
      <c r="BV499" s="1">
        <v>2.083</v>
      </c>
      <c r="BW499" s="1">
        <v>0.911</v>
      </c>
      <c r="BX499" s="1">
        <v>0.912</v>
      </c>
      <c r="BY499" s="1">
        <v>0.961</v>
      </c>
      <c r="BZ499" s="1">
        <v>1.873</v>
      </c>
      <c r="CA499" s="1">
        <v>0.984</v>
      </c>
      <c r="CB499" s="1">
        <v>0.533</v>
      </c>
      <c r="CC499" s="1">
        <v>0.0</v>
      </c>
      <c r="CD499" s="1">
        <v>0.922</v>
      </c>
      <c r="CE499" s="1">
        <v>0.943</v>
      </c>
      <c r="CF499" s="1">
        <v>0.0</v>
      </c>
      <c r="CG499" s="1">
        <v>2.398</v>
      </c>
      <c r="CH499" s="1">
        <v>0.516</v>
      </c>
      <c r="CI499" s="1">
        <v>10.2481</v>
      </c>
      <c r="CJ499" s="1">
        <v>0.9632</v>
      </c>
      <c r="CK499" s="1">
        <v>1.0</v>
      </c>
      <c r="CL499" s="1">
        <v>1.0</v>
      </c>
      <c r="CM499" s="1">
        <v>1.0</v>
      </c>
      <c r="CN499" s="1">
        <v>1.0</v>
      </c>
      <c r="CO499" s="1">
        <v>4.0</v>
      </c>
      <c r="CP499" s="1">
        <v>0.0</v>
      </c>
      <c r="CQ499" s="1">
        <v>1.0</v>
      </c>
      <c r="CR499" s="1">
        <v>1.0</v>
      </c>
      <c r="CS499" s="1">
        <v>2.0</v>
      </c>
      <c r="CT499" s="1">
        <v>1.0</v>
      </c>
      <c r="CU499" s="1">
        <v>1.0</v>
      </c>
      <c r="CV499" s="1">
        <v>2.0</v>
      </c>
      <c r="CW499" s="1">
        <v>0.0</v>
      </c>
      <c r="CX499" s="1">
        <v>0.0</v>
      </c>
      <c r="CY499" s="1">
        <v>1.0</v>
      </c>
      <c r="CZ499" s="1">
        <v>1.0</v>
      </c>
      <c r="DA499" s="1">
        <v>0.0</v>
      </c>
      <c r="DB499" s="1">
        <v>2.0</v>
      </c>
      <c r="DC499" s="1">
        <v>10.0</v>
      </c>
      <c r="DD499" s="1" t="s">
        <v>2420</v>
      </c>
      <c r="DE499" s="1">
        <v>6.4470864156583E-4</v>
      </c>
      <c r="DF499" s="2" t="s">
        <v>2421</v>
      </c>
    </row>
    <row r="500" ht="15.75" customHeight="1">
      <c r="A500" s="1" t="s">
        <v>2422</v>
      </c>
      <c r="B500" s="1">
        <v>29.0</v>
      </c>
      <c r="C500" s="2" t="s">
        <v>2039</v>
      </c>
      <c r="D500" s="2" t="s">
        <v>2423</v>
      </c>
      <c r="E500" s="1">
        <v>0.932</v>
      </c>
      <c r="F500" s="1">
        <v>29095.0</v>
      </c>
      <c r="G500" s="1">
        <v>2.90950098E10</v>
      </c>
      <c r="H500" s="1" t="s">
        <v>112</v>
      </c>
      <c r="I500" s="1" t="s">
        <v>113</v>
      </c>
      <c r="J500" s="1" t="s">
        <v>2041</v>
      </c>
      <c r="K500" s="1" t="s">
        <v>2424</v>
      </c>
      <c r="L500" s="1">
        <v>3330.0</v>
      </c>
      <c r="M500" s="1">
        <v>3212.0</v>
      </c>
      <c r="N500" s="1">
        <v>277.0</v>
      </c>
      <c r="O500" s="1">
        <v>1791.0</v>
      </c>
      <c r="P500" s="1">
        <v>1843.0</v>
      </c>
      <c r="Q500" s="1">
        <v>39.0</v>
      </c>
      <c r="R500" s="1">
        <v>1650.0</v>
      </c>
      <c r="S500" s="1">
        <v>207.0</v>
      </c>
      <c r="T500" s="1">
        <v>108.0</v>
      </c>
      <c r="U500" s="1">
        <v>130.0</v>
      </c>
      <c r="V500" s="1">
        <v>447.0</v>
      </c>
      <c r="W500" s="1">
        <v>26856.0</v>
      </c>
      <c r="X500" s="1">
        <v>2270.0</v>
      </c>
      <c r="Y500" s="1">
        <v>121.0</v>
      </c>
      <c r="Z500" s="1">
        <v>348.0</v>
      </c>
      <c r="AA500" s="1">
        <v>393.0</v>
      </c>
      <c r="AB500" s="1">
        <v>611.0</v>
      </c>
      <c r="AC500" s="1">
        <v>190.0</v>
      </c>
      <c r="AD500" s="1">
        <v>1149.0</v>
      </c>
      <c r="AE500" s="1">
        <v>23.0</v>
      </c>
      <c r="AF500" s="1">
        <v>442.0</v>
      </c>
      <c r="AG500" s="1">
        <v>155.0</v>
      </c>
      <c r="AH500" s="1">
        <v>77.0</v>
      </c>
      <c r="AI500" s="1">
        <v>0.0</v>
      </c>
      <c r="AJ500" s="1">
        <v>114.0</v>
      </c>
      <c r="AK500" s="1">
        <v>0.0</v>
      </c>
      <c r="AL500" s="1">
        <v>161.0</v>
      </c>
      <c r="AM500" s="1">
        <v>120.0</v>
      </c>
      <c r="AN500" s="1">
        <v>89.0</v>
      </c>
      <c r="AO500" s="1">
        <v>0.0</v>
      </c>
      <c r="AP500" s="1">
        <v>0.064829</v>
      </c>
      <c r="AQ500" s="1">
        <v>0.033342</v>
      </c>
      <c r="AR500" s="1">
        <v>0.067287</v>
      </c>
      <c r="AS500" s="1">
        <v>0.231151</v>
      </c>
      <c r="AT500" s="1">
        <v>26856.0</v>
      </c>
      <c r="AU500" s="1">
        <v>2270.0</v>
      </c>
      <c r="AV500" s="1">
        <v>0.050818</v>
      </c>
      <c r="AW500" s="1">
        <v>0.146096</v>
      </c>
      <c r="AX500" s="1">
        <v>0.118018</v>
      </c>
      <c r="AY500" s="1">
        <v>0.183483</v>
      </c>
      <c r="AZ500" s="1">
        <v>0.11515151</v>
      </c>
      <c r="BA500" s="1">
        <v>0.345045</v>
      </c>
      <c r="BB500" s="1">
        <v>0.007457</v>
      </c>
      <c r="BC500" s="1">
        <v>0.143318</v>
      </c>
      <c r="BD500" s="1">
        <v>0.084102</v>
      </c>
      <c r="BE500" s="1">
        <v>0.041741</v>
      </c>
      <c r="BF500" s="1">
        <v>0.0</v>
      </c>
      <c r="BG500" s="1">
        <v>0.061855</v>
      </c>
      <c r="BH500" s="1">
        <v>0.0</v>
      </c>
      <c r="BI500" s="1">
        <v>0.093387</v>
      </c>
      <c r="BJ500" s="1">
        <v>0.069605</v>
      </c>
      <c r="BK500" s="1">
        <v>0.051449</v>
      </c>
      <c r="BL500" s="1">
        <v>0.0</v>
      </c>
      <c r="BM500" s="1">
        <v>0.224</v>
      </c>
      <c r="BN500" s="1">
        <v>0.491</v>
      </c>
      <c r="BO500" s="1">
        <v>0.2881</v>
      </c>
      <c r="BP500" s="1">
        <v>0.128</v>
      </c>
      <c r="BQ500" s="1">
        <v>1.1311</v>
      </c>
      <c r="BR500" s="1">
        <v>0.2339</v>
      </c>
      <c r="BS500" s="1">
        <v>0.329</v>
      </c>
      <c r="BT500" s="1">
        <v>0.129</v>
      </c>
      <c r="BU500" s="1">
        <v>0.633</v>
      </c>
      <c r="BV500" s="1">
        <v>1.091</v>
      </c>
      <c r="BW500" s="1">
        <v>0.16</v>
      </c>
      <c r="BX500" s="1">
        <v>0.815</v>
      </c>
      <c r="BY500" s="1">
        <v>0.647</v>
      </c>
      <c r="BZ500" s="1">
        <v>1.462</v>
      </c>
      <c r="CA500" s="1">
        <v>0.8</v>
      </c>
      <c r="CB500" s="1">
        <v>0.739</v>
      </c>
      <c r="CC500" s="1">
        <v>0.0</v>
      </c>
      <c r="CD500" s="1">
        <v>0.0</v>
      </c>
      <c r="CE500" s="1">
        <v>0.622</v>
      </c>
      <c r="CF500" s="1">
        <v>0.0</v>
      </c>
      <c r="CG500" s="1">
        <v>1.361</v>
      </c>
      <c r="CH500" s="1">
        <v>0.143</v>
      </c>
      <c r="CI500" s="1">
        <v>5.0451</v>
      </c>
      <c r="CJ500" s="1">
        <v>0.2094</v>
      </c>
      <c r="CK500" s="1">
        <v>0.0</v>
      </c>
      <c r="CL500" s="1">
        <v>0.0</v>
      </c>
      <c r="CM500" s="1">
        <v>0.0</v>
      </c>
      <c r="CN500" s="1">
        <v>0.0</v>
      </c>
      <c r="CO500" s="1">
        <v>0.0</v>
      </c>
      <c r="CP500" s="1">
        <v>0.0</v>
      </c>
      <c r="CQ500" s="1">
        <v>0.0</v>
      </c>
      <c r="CR500" s="1">
        <v>0.0</v>
      </c>
      <c r="CS500" s="1">
        <v>0.0</v>
      </c>
      <c r="CT500" s="1">
        <v>0.0</v>
      </c>
      <c r="CU500" s="1">
        <v>0.0</v>
      </c>
      <c r="CV500" s="1">
        <v>0.0</v>
      </c>
      <c r="CW500" s="1">
        <v>0.0</v>
      </c>
      <c r="CX500" s="1">
        <v>0.0</v>
      </c>
      <c r="CY500" s="1">
        <v>0.0</v>
      </c>
      <c r="CZ500" s="1">
        <v>0.0</v>
      </c>
      <c r="DA500" s="1">
        <v>0.0</v>
      </c>
      <c r="DB500" s="1">
        <v>0.0</v>
      </c>
      <c r="DC500" s="1">
        <v>0.0</v>
      </c>
      <c r="DD500" s="1" t="s">
        <v>2425</v>
      </c>
      <c r="DE500" s="1">
        <v>2.52640097355551E-4</v>
      </c>
      <c r="DF500" s="1">
        <v>0.0642088711385419</v>
      </c>
    </row>
    <row r="501" ht="15.75" customHeight="1">
      <c r="A501" s="1" t="s">
        <v>2426</v>
      </c>
      <c r="B501" s="1">
        <v>29.0</v>
      </c>
      <c r="C501" s="2" t="s">
        <v>2039</v>
      </c>
      <c r="D501" s="2" t="s">
        <v>2427</v>
      </c>
      <c r="E501" s="1">
        <v>0.779</v>
      </c>
      <c r="F501" s="1">
        <v>29095.0</v>
      </c>
      <c r="G501" s="1">
        <v>2.9095010001E10</v>
      </c>
      <c r="H501" s="1" t="s">
        <v>112</v>
      </c>
      <c r="I501" s="1" t="s">
        <v>113</v>
      </c>
      <c r="J501" s="1" t="s">
        <v>2041</v>
      </c>
      <c r="K501" s="1" t="s">
        <v>2428</v>
      </c>
      <c r="L501" s="1">
        <v>1696.0</v>
      </c>
      <c r="M501" s="1">
        <v>2146.0</v>
      </c>
      <c r="N501" s="1">
        <v>224.0</v>
      </c>
      <c r="O501" s="1">
        <v>1067.0</v>
      </c>
      <c r="P501" s="1">
        <v>1032.0</v>
      </c>
      <c r="Q501" s="1">
        <v>67.0</v>
      </c>
      <c r="R501" s="1">
        <v>909.0</v>
      </c>
      <c r="S501" s="1">
        <v>111.0</v>
      </c>
      <c r="T501" s="1">
        <v>70.0</v>
      </c>
      <c r="U501" s="1">
        <v>21.0</v>
      </c>
      <c r="V501" s="1">
        <v>484.0</v>
      </c>
      <c r="W501" s="1">
        <v>29931.0</v>
      </c>
      <c r="X501" s="1">
        <v>3919.0</v>
      </c>
      <c r="Y501" s="1">
        <v>102.0</v>
      </c>
      <c r="Z501" s="1">
        <v>347.0</v>
      </c>
      <c r="AA501" s="1">
        <v>623.0</v>
      </c>
      <c r="AB501" s="1">
        <v>175.0</v>
      </c>
      <c r="AC501" s="1">
        <v>39.0</v>
      </c>
      <c r="AD501" s="1">
        <v>307.0</v>
      </c>
      <c r="AE501" s="1">
        <v>0.0</v>
      </c>
      <c r="AF501" s="1">
        <v>456.0</v>
      </c>
      <c r="AG501" s="1">
        <v>243.0</v>
      </c>
      <c r="AH501" s="1">
        <v>145.0</v>
      </c>
      <c r="AI501" s="1">
        <v>0.0</v>
      </c>
      <c r="AJ501" s="1">
        <v>114.0</v>
      </c>
      <c r="AK501" s="1">
        <v>0.0</v>
      </c>
      <c r="AL501" s="1">
        <v>161.0</v>
      </c>
      <c r="AM501" s="1">
        <v>210.0</v>
      </c>
      <c r="AN501" s="1">
        <v>75.0</v>
      </c>
      <c r="AO501" s="1">
        <v>42.0</v>
      </c>
      <c r="AP501" s="1">
        <v>0.059105</v>
      </c>
      <c r="AQ501" s="1">
        <v>0.036801</v>
      </c>
      <c r="AR501" s="1">
        <v>0.023702</v>
      </c>
      <c r="AS501" s="1">
        <v>0.546224</v>
      </c>
      <c r="AT501" s="1">
        <v>29931.0</v>
      </c>
      <c r="AU501" s="1">
        <v>3919.0</v>
      </c>
      <c r="AV501" s="1">
        <v>0.056698</v>
      </c>
      <c r="AW501" s="1">
        <v>0.192789</v>
      </c>
      <c r="AX501" s="1">
        <v>0.367334</v>
      </c>
      <c r="AY501" s="1">
        <v>0.103183</v>
      </c>
      <c r="AZ501" s="1">
        <v>0.04290429</v>
      </c>
      <c r="BA501" s="1">
        <v>0.181014</v>
      </c>
      <c r="BB501" s="1">
        <v>0.0</v>
      </c>
      <c r="BC501" s="1">
        <v>0.216936</v>
      </c>
      <c r="BD501" s="1">
        <v>0.235465</v>
      </c>
      <c r="BE501" s="1">
        <v>0.139669</v>
      </c>
      <c r="BF501" s="1">
        <v>0.0</v>
      </c>
      <c r="BG501" s="1">
        <v>0.110465</v>
      </c>
      <c r="BH501" s="1">
        <v>0.0</v>
      </c>
      <c r="BI501" s="1">
        <v>0.164118</v>
      </c>
      <c r="BJ501" s="1">
        <v>0.214067</v>
      </c>
      <c r="BK501" s="1">
        <v>0.074727</v>
      </c>
      <c r="BL501" s="1">
        <v>0.024764</v>
      </c>
      <c r="BM501" s="1">
        <v>0.201</v>
      </c>
      <c r="BN501" s="1">
        <v>0.043</v>
      </c>
      <c r="BO501" s="1">
        <v>0.1986</v>
      </c>
      <c r="BP501" s="1">
        <v>0.155</v>
      </c>
      <c r="BQ501" s="1">
        <v>0.5976</v>
      </c>
      <c r="BR501" s="1">
        <v>0.0931</v>
      </c>
      <c r="BS501" s="1">
        <v>0.997</v>
      </c>
      <c r="BT501" s="1">
        <v>0.026</v>
      </c>
      <c r="BU501" s="1">
        <v>0.048</v>
      </c>
      <c r="BV501" s="1">
        <v>1.071</v>
      </c>
      <c r="BW501" s="1">
        <v>0.147</v>
      </c>
      <c r="BX501" s="1">
        <v>0.682</v>
      </c>
      <c r="BY501" s="1">
        <v>0.0</v>
      </c>
      <c r="BZ501" s="1">
        <v>0.682</v>
      </c>
      <c r="CA501" s="1">
        <v>0.326</v>
      </c>
      <c r="CB501" s="1">
        <v>0.912</v>
      </c>
      <c r="CC501" s="1">
        <v>0.0</v>
      </c>
      <c r="CD501" s="1">
        <v>0.0</v>
      </c>
      <c r="CE501" s="1">
        <v>0.917</v>
      </c>
      <c r="CF501" s="1">
        <v>0.767</v>
      </c>
      <c r="CG501" s="1">
        <v>2.596</v>
      </c>
      <c r="CH501" s="1">
        <v>0.601</v>
      </c>
      <c r="CI501" s="1">
        <v>4.9466</v>
      </c>
      <c r="CJ501" s="1">
        <v>0.1964</v>
      </c>
      <c r="CK501" s="1">
        <v>0.0</v>
      </c>
      <c r="CL501" s="1">
        <v>0.0</v>
      </c>
      <c r="CM501" s="1">
        <v>0.0</v>
      </c>
      <c r="CN501" s="1">
        <v>0.0</v>
      </c>
      <c r="CO501" s="1">
        <v>0.0</v>
      </c>
      <c r="CP501" s="1">
        <v>1.0</v>
      </c>
      <c r="CQ501" s="1">
        <v>0.0</v>
      </c>
      <c r="CR501" s="1">
        <v>0.0</v>
      </c>
      <c r="CS501" s="1">
        <v>1.0</v>
      </c>
      <c r="CT501" s="1">
        <v>0.0</v>
      </c>
      <c r="CU501" s="1">
        <v>0.0</v>
      </c>
      <c r="CV501" s="1">
        <v>0.0</v>
      </c>
      <c r="CW501" s="1">
        <v>1.0</v>
      </c>
      <c r="CX501" s="1">
        <v>0.0</v>
      </c>
      <c r="CY501" s="1">
        <v>0.0</v>
      </c>
      <c r="CZ501" s="1">
        <v>1.0</v>
      </c>
      <c r="DA501" s="1">
        <v>0.0</v>
      </c>
      <c r="DB501" s="1">
        <v>2.0</v>
      </c>
      <c r="DC501" s="1">
        <v>3.0</v>
      </c>
      <c r="DD501" s="1" t="s">
        <v>2429</v>
      </c>
      <c r="DE501" s="1">
        <v>2.09858440982869E-4</v>
      </c>
      <c r="DF501" s="1">
        <v>0.0599510367680435</v>
      </c>
    </row>
    <row r="502" ht="15.75" customHeight="1">
      <c r="A502" s="1" t="s">
        <v>2430</v>
      </c>
      <c r="B502" s="1">
        <v>29.0</v>
      </c>
      <c r="C502" s="2" t="s">
        <v>2039</v>
      </c>
      <c r="D502" s="2" t="s">
        <v>1854</v>
      </c>
      <c r="E502" s="1">
        <v>0.249</v>
      </c>
      <c r="F502" s="1">
        <v>29095.0</v>
      </c>
      <c r="G502" s="1">
        <v>2.90950052E10</v>
      </c>
      <c r="H502" s="1" t="s">
        <v>112</v>
      </c>
      <c r="I502" s="1" t="s">
        <v>113</v>
      </c>
      <c r="J502" s="1" t="s">
        <v>2041</v>
      </c>
      <c r="K502" s="1" t="s">
        <v>2431</v>
      </c>
      <c r="L502" s="1">
        <v>1192.0</v>
      </c>
      <c r="M502" s="1">
        <v>1221.0</v>
      </c>
      <c r="N502" s="1">
        <v>239.0</v>
      </c>
      <c r="O502" s="1">
        <v>632.0</v>
      </c>
      <c r="P502" s="1">
        <v>726.0</v>
      </c>
      <c r="Q502" s="1">
        <v>23.0</v>
      </c>
      <c r="R502" s="1">
        <v>541.0</v>
      </c>
      <c r="S502" s="1">
        <v>584.0</v>
      </c>
      <c r="T502" s="1">
        <v>235.0</v>
      </c>
      <c r="U502" s="1">
        <v>70.0</v>
      </c>
      <c r="V502" s="1">
        <v>487.0</v>
      </c>
      <c r="W502" s="1">
        <v>12450.0</v>
      </c>
      <c r="X502" s="1">
        <v>3267.0</v>
      </c>
      <c r="Y502" s="1">
        <v>166.0</v>
      </c>
      <c r="Z502" s="1">
        <v>354.0</v>
      </c>
      <c r="AA502" s="1">
        <v>136.0</v>
      </c>
      <c r="AB502" s="1">
        <v>269.0</v>
      </c>
      <c r="AC502" s="1">
        <v>89.0</v>
      </c>
      <c r="AD502" s="1">
        <v>1043.0</v>
      </c>
      <c r="AE502" s="1">
        <v>0.0</v>
      </c>
      <c r="AF502" s="1">
        <v>456.0</v>
      </c>
      <c r="AG502" s="1">
        <v>327.0</v>
      </c>
      <c r="AH502" s="1">
        <v>105.0</v>
      </c>
      <c r="AI502" s="1">
        <v>0.0</v>
      </c>
      <c r="AJ502" s="1">
        <v>114.0</v>
      </c>
      <c r="AK502" s="1">
        <v>0.0</v>
      </c>
      <c r="AL502" s="1">
        <v>161.0</v>
      </c>
      <c r="AM502" s="1">
        <v>240.0</v>
      </c>
      <c r="AN502" s="1">
        <v>92.0</v>
      </c>
      <c r="AO502" s="1">
        <v>73.0</v>
      </c>
      <c r="AP502" s="1">
        <v>0.478296</v>
      </c>
      <c r="AQ502" s="1">
        <v>0.168159</v>
      </c>
      <c r="AR502" s="1">
        <v>0.144032</v>
      </c>
      <c r="AS502" s="1">
        <v>0.997215</v>
      </c>
      <c r="AT502" s="1">
        <v>12450.0</v>
      </c>
      <c r="AU502" s="1">
        <v>3267.0</v>
      </c>
      <c r="AV502" s="1">
        <v>0.227709</v>
      </c>
      <c r="AW502" s="1">
        <v>0.481994</v>
      </c>
      <c r="AX502" s="1">
        <v>0.114093</v>
      </c>
      <c r="AY502" s="1">
        <v>0.225671</v>
      </c>
      <c r="AZ502" s="1">
        <v>0.16451016</v>
      </c>
      <c r="BA502" s="1">
        <v>0.875</v>
      </c>
      <c r="BB502" s="1">
        <v>0.0</v>
      </c>
      <c r="BC502" s="1">
        <v>0.38546</v>
      </c>
      <c r="BD502" s="1">
        <v>0.450413</v>
      </c>
      <c r="BE502" s="1">
        <v>0.143922</v>
      </c>
      <c r="BF502" s="1">
        <v>0.0</v>
      </c>
      <c r="BG502" s="1">
        <v>0.157024</v>
      </c>
      <c r="BH502" s="1">
        <v>0.0</v>
      </c>
      <c r="BI502" s="1">
        <v>0.29009</v>
      </c>
      <c r="BJ502" s="1">
        <v>0.432432</v>
      </c>
      <c r="BK502" s="1">
        <v>0.148708</v>
      </c>
      <c r="BL502" s="1">
        <v>0.061241</v>
      </c>
      <c r="BM502" s="1">
        <v>0.982</v>
      </c>
      <c r="BN502" s="1">
        <v>0.884</v>
      </c>
      <c r="BO502" s="1">
        <v>0.9473</v>
      </c>
      <c r="BP502" s="1">
        <v>0.822</v>
      </c>
      <c r="BQ502" s="1">
        <v>3.6353</v>
      </c>
      <c r="BR502" s="1">
        <v>0.9451</v>
      </c>
      <c r="BS502" s="1">
        <v>0.305</v>
      </c>
      <c r="BT502" s="1">
        <v>0.346</v>
      </c>
      <c r="BU502" s="1">
        <v>0.835</v>
      </c>
      <c r="BV502" s="1">
        <v>1.486</v>
      </c>
      <c r="BW502" s="1">
        <v>0.474</v>
      </c>
      <c r="BX502" s="1">
        <v>0.941</v>
      </c>
      <c r="BY502" s="1">
        <v>0.0</v>
      </c>
      <c r="BZ502" s="1">
        <v>0.941</v>
      </c>
      <c r="CA502" s="1">
        <v>0.502</v>
      </c>
      <c r="CB502" s="1">
        <v>0.975</v>
      </c>
      <c r="CC502" s="1">
        <v>0.0</v>
      </c>
      <c r="CD502" s="1">
        <v>0.0</v>
      </c>
      <c r="CE502" s="1">
        <v>0.991</v>
      </c>
      <c r="CF502" s="1">
        <v>0.913</v>
      </c>
      <c r="CG502" s="1">
        <v>2.879</v>
      </c>
      <c r="CH502" s="1">
        <v>0.725</v>
      </c>
      <c r="CI502" s="1">
        <v>8.9413</v>
      </c>
      <c r="CJ502" s="1">
        <v>0.844</v>
      </c>
      <c r="CK502" s="1">
        <v>1.0</v>
      </c>
      <c r="CL502" s="1">
        <v>0.0</v>
      </c>
      <c r="CM502" s="1">
        <v>1.0</v>
      </c>
      <c r="CN502" s="1">
        <v>0.0</v>
      </c>
      <c r="CO502" s="1">
        <v>2.0</v>
      </c>
      <c r="CP502" s="1">
        <v>0.0</v>
      </c>
      <c r="CQ502" s="1">
        <v>0.0</v>
      </c>
      <c r="CR502" s="1">
        <v>0.0</v>
      </c>
      <c r="CS502" s="1">
        <v>0.0</v>
      </c>
      <c r="CT502" s="1">
        <v>1.0</v>
      </c>
      <c r="CU502" s="1">
        <v>0.0</v>
      </c>
      <c r="CV502" s="1">
        <v>1.0</v>
      </c>
      <c r="CW502" s="1">
        <v>1.0</v>
      </c>
      <c r="CX502" s="1">
        <v>0.0</v>
      </c>
      <c r="CY502" s="1">
        <v>0.0</v>
      </c>
      <c r="CZ502" s="1">
        <v>1.0</v>
      </c>
      <c r="DA502" s="1">
        <v>1.0</v>
      </c>
      <c r="DB502" s="1">
        <v>3.0</v>
      </c>
      <c r="DC502" s="1">
        <v>6.0</v>
      </c>
      <c r="DD502" s="1" t="s">
        <v>2432</v>
      </c>
      <c r="DE502" s="2" t="s">
        <v>2433</v>
      </c>
      <c r="DF502" s="1">
        <v>0.033023481517704</v>
      </c>
    </row>
    <row r="503" ht="15.75" customHeight="1">
      <c r="A503" s="1" t="s">
        <v>2434</v>
      </c>
      <c r="B503" s="1">
        <v>29.0</v>
      </c>
      <c r="C503" s="2" t="s">
        <v>2039</v>
      </c>
      <c r="D503" s="2" t="s">
        <v>2435</v>
      </c>
      <c r="E503" s="1">
        <v>0.249</v>
      </c>
      <c r="F503" s="1">
        <v>29095.0</v>
      </c>
      <c r="G503" s="1">
        <v>2.90950054E10</v>
      </c>
      <c r="H503" s="1" t="s">
        <v>112</v>
      </c>
      <c r="I503" s="1" t="s">
        <v>113</v>
      </c>
      <c r="J503" s="1" t="s">
        <v>2041</v>
      </c>
      <c r="K503" s="1" t="s">
        <v>2436</v>
      </c>
      <c r="L503" s="1">
        <v>903.0</v>
      </c>
      <c r="M503" s="1">
        <v>1121.0</v>
      </c>
      <c r="N503" s="1">
        <v>417.0</v>
      </c>
      <c r="O503" s="1">
        <v>588.0</v>
      </c>
      <c r="P503" s="1">
        <v>562.0</v>
      </c>
      <c r="Q503" s="1">
        <v>63.0</v>
      </c>
      <c r="R503" s="1">
        <v>358.0</v>
      </c>
      <c r="S503" s="1">
        <v>412.0</v>
      </c>
      <c r="T503" s="1">
        <v>265.0</v>
      </c>
      <c r="U503" s="1">
        <v>73.0</v>
      </c>
      <c r="V503" s="1">
        <v>475.0</v>
      </c>
      <c r="W503" s="1">
        <v>10733.0</v>
      </c>
      <c r="X503" s="1">
        <v>1731.0</v>
      </c>
      <c r="Y503" s="1">
        <v>250.0</v>
      </c>
      <c r="Z503" s="1">
        <v>369.0</v>
      </c>
      <c r="AA503" s="1">
        <v>118.0</v>
      </c>
      <c r="AB503" s="1">
        <v>216.0</v>
      </c>
      <c r="AC503" s="1">
        <v>83.0</v>
      </c>
      <c r="AD503" s="1">
        <v>870.0</v>
      </c>
      <c r="AE503" s="1">
        <v>0.0</v>
      </c>
      <c r="AF503" s="1">
        <v>456.0</v>
      </c>
      <c r="AG503" s="1">
        <v>115.0</v>
      </c>
      <c r="AH503" s="1">
        <v>83.0</v>
      </c>
      <c r="AI503" s="1">
        <v>0.0</v>
      </c>
      <c r="AJ503" s="1">
        <v>114.0</v>
      </c>
      <c r="AK503" s="1">
        <v>20.0</v>
      </c>
      <c r="AL503" s="1">
        <v>119.0</v>
      </c>
      <c r="AM503" s="1">
        <v>129.0</v>
      </c>
      <c r="AN503" s="1">
        <v>59.0</v>
      </c>
      <c r="AO503" s="1">
        <v>40.0</v>
      </c>
      <c r="AP503" s="1">
        <v>0.367528</v>
      </c>
      <c r="AQ503" s="1">
        <v>0.192851</v>
      </c>
      <c r="AR503" s="1">
        <v>0.216617</v>
      </c>
      <c r="AS503" s="1">
        <v>1.38994</v>
      </c>
      <c r="AT503" s="1">
        <v>10733.0</v>
      </c>
      <c r="AU503" s="1">
        <v>1731.0</v>
      </c>
      <c r="AV503" s="1">
        <v>0.32552</v>
      </c>
      <c r="AW503" s="1">
        <v>0.466847</v>
      </c>
      <c r="AX503" s="1">
        <v>0.130675</v>
      </c>
      <c r="AY503" s="1">
        <v>0.239202</v>
      </c>
      <c r="AZ503" s="1">
        <v>0.23184357</v>
      </c>
      <c r="BA503" s="1">
        <v>0.963455</v>
      </c>
      <c r="BB503" s="1">
        <v>0.0</v>
      </c>
      <c r="BC503" s="1">
        <v>0.455544</v>
      </c>
      <c r="BD503" s="1">
        <v>0.204626</v>
      </c>
      <c r="BE503" s="1">
        <v>0.145894</v>
      </c>
      <c r="BF503" s="1">
        <v>0.0</v>
      </c>
      <c r="BG503" s="1">
        <v>0.202846</v>
      </c>
      <c r="BH503" s="1">
        <v>0.05102</v>
      </c>
      <c r="BI503" s="1">
        <v>0.303401</v>
      </c>
      <c r="BJ503" s="1">
        <v>0.329081</v>
      </c>
      <c r="BK503" s="1">
        <v>0.135519</v>
      </c>
      <c r="BL503" s="1">
        <v>0.044296</v>
      </c>
      <c r="BM503" s="1">
        <v>0.934</v>
      </c>
      <c r="BN503" s="1">
        <v>0.962</v>
      </c>
      <c r="BO503" s="1">
        <v>0.9805</v>
      </c>
      <c r="BP503" s="1">
        <v>0.963</v>
      </c>
      <c r="BQ503" s="1">
        <v>3.8395</v>
      </c>
      <c r="BR503" s="1">
        <v>0.987</v>
      </c>
      <c r="BS503" s="1">
        <v>0.425</v>
      </c>
      <c r="BT503" s="1">
        <v>0.488</v>
      </c>
      <c r="BU503" s="1">
        <v>0.93</v>
      </c>
      <c r="BV503" s="1">
        <v>1.843</v>
      </c>
      <c r="BW503" s="1">
        <v>0.764</v>
      </c>
      <c r="BX503" s="1">
        <v>0.964</v>
      </c>
      <c r="BY503" s="1">
        <v>0.0</v>
      </c>
      <c r="BZ503" s="1">
        <v>0.964</v>
      </c>
      <c r="CA503" s="1">
        <v>0.521</v>
      </c>
      <c r="CB503" s="1">
        <v>0.895</v>
      </c>
      <c r="CC503" s="1">
        <v>0.0</v>
      </c>
      <c r="CD503" s="1">
        <v>0.939</v>
      </c>
      <c r="CE503" s="1">
        <v>0.974</v>
      </c>
      <c r="CF503" s="1">
        <v>0.879</v>
      </c>
      <c r="CG503" s="1">
        <v>3.687</v>
      </c>
      <c r="CH503" s="1">
        <v>0.974</v>
      </c>
      <c r="CI503" s="1">
        <v>10.3335</v>
      </c>
      <c r="CJ503" s="1">
        <v>0.9668</v>
      </c>
      <c r="CK503" s="1">
        <v>1.0</v>
      </c>
      <c r="CL503" s="1">
        <v>1.0</v>
      </c>
      <c r="CM503" s="1">
        <v>1.0</v>
      </c>
      <c r="CN503" s="1">
        <v>1.0</v>
      </c>
      <c r="CO503" s="1">
        <v>4.0</v>
      </c>
      <c r="CP503" s="1">
        <v>0.0</v>
      </c>
      <c r="CQ503" s="1">
        <v>0.0</v>
      </c>
      <c r="CR503" s="1">
        <v>1.0</v>
      </c>
      <c r="CS503" s="1">
        <v>1.0</v>
      </c>
      <c r="CT503" s="1">
        <v>1.0</v>
      </c>
      <c r="CU503" s="1">
        <v>0.0</v>
      </c>
      <c r="CV503" s="1">
        <v>1.0</v>
      </c>
      <c r="CW503" s="1">
        <v>0.0</v>
      </c>
      <c r="CX503" s="1">
        <v>0.0</v>
      </c>
      <c r="CY503" s="1">
        <v>1.0</v>
      </c>
      <c r="CZ503" s="1">
        <v>1.0</v>
      </c>
      <c r="DA503" s="1">
        <v>0.0</v>
      </c>
      <c r="DB503" s="1">
        <v>2.0</v>
      </c>
      <c r="DC503" s="1">
        <v>8.0</v>
      </c>
      <c r="DD503" s="1" t="s">
        <v>2437</v>
      </c>
      <c r="DE503" s="2" t="s">
        <v>2438</v>
      </c>
      <c r="DF503" s="1">
        <v>0.033015830977842</v>
      </c>
    </row>
    <row r="504" ht="15.75" customHeight="1">
      <c r="A504" s="1" t="s">
        <v>2439</v>
      </c>
      <c r="B504" s="1">
        <v>29.0</v>
      </c>
      <c r="C504" s="2" t="s">
        <v>2039</v>
      </c>
      <c r="D504" s="2" t="s">
        <v>1660</v>
      </c>
      <c r="E504" s="1">
        <v>0.247</v>
      </c>
      <c r="F504" s="1">
        <v>29095.0</v>
      </c>
      <c r="G504" s="1">
        <v>2.90950055E10</v>
      </c>
      <c r="H504" s="1" t="s">
        <v>112</v>
      </c>
      <c r="I504" s="1" t="s">
        <v>113</v>
      </c>
      <c r="J504" s="1" t="s">
        <v>2041</v>
      </c>
      <c r="K504" s="1" t="s">
        <v>2440</v>
      </c>
      <c r="L504" s="1">
        <v>886.0</v>
      </c>
      <c r="M504" s="1">
        <v>1151.0</v>
      </c>
      <c r="N504" s="1">
        <v>240.0</v>
      </c>
      <c r="O504" s="1">
        <v>494.0</v>
      </c>
      <c r="P504" s="1">
        <v>534.0</v>
      </c>
      <c r="Q504" s="1">
        <v>49.0</v>
      </c>
      <c r="R504" s="1">
        <v>346.0</v>
      </c>
      <c r="S504" s="1">
        <v>476.0</v>
      </c>
      <c r="T504" s="1">
        <v>163.0</v>
      </c>
      <c r="U504" s="1">
        <v>140.0</v>
      </c>
      <c r="V504" s="1">
        <v>450.0</v>
      </c>
      <c r="W504" s="1">
        <v>11001.0</v>
      </c>
      <c r="X504" s="1">
        <v>2630.0</v>
      </c>
      <c r="Y504" s="1">
        <v>253.0</v>
      </c>
      <c r="Z504" s="1">
        <v>361.0</v>
      </c>
      <c r="AA504" s="1">
        <v>122.0</v>
      </c>
      <c r="AB504" s="1">
        <v>258.0</v>
      </c>
      <c r="AC504" s="1">
        <v>114.0</v>
      </c>
      <c r="AD504" s="1">
        <v>860.0</v>
      </c>
      <c r="AE504" s="1">
        <v>0.0</v>
      </c>
      <c r="AF504" s="1">
        <v>456.0</v>
      </c>
      <c r="AG504" s="1">
        <v>51.0</v>
      </c>
      <c r="AH504" s="1">
        <v>124.0</v>
      </c>
      <c r="AI504" s="1">
        <v>7.0</v>
      </c>
      <c r="AJ504" s="1">
        <v>11.0</v>
      </c>
      <c r="AK504" s="1">
        <v>13.0</v>
      </c>
      <c r="AL504" s="1">
        <v>115.0</v>
      </c>
      <c r="AM504" s="1">
        <v>97.0</v>
      </c>
      <c r="AN504" s="1">
        <v>67.0</v>
      </c>
      <c r="AO504" s="1">
        <v>0.0</v>
      </c>
      <c r="AP504" s="1">
        <v>0.423487</v>
      </c>
      <c r="AQ504" s="1">
        <v>0.11485</v>
      </c>
      <c r="AR504" s="1">
        <v>0.295983</v>
      </c>
      <c r="AS504" s="1">
        <v>0.931387</v>
      </c>
      <c r="AT504" s="1">
        <v>11001.0</v>
      </c>
      <c r="AU504" s="1">
        <v>2630.0</v>
      </c>
      <c r="AV504" s="1">
        <v>0.409385</v>
      </c>
      <c r="AW504" s="1">
        <v>0.573698</v>
      </c>
      <c r="AX504" s="1">
        <v>0.137697</v>
      </c>
      <c r="AY504" s="1">
        <v>0.291196</v>
      </c>
      <c r="AZ504" s="1">
        <v>0.32947976</v>
      </c>
      <c r="BA504" s="1">
        <v>0.970654</v>
      </c>
      <c r="BB504" s="1">
        <v>0.0</v>
      </c>
      <c r="BC504" s="1">
        <v>0.462944</v>
      </c>
      <c r="BD504" s="1">
        <v>0.095505</v>
      </c>
      <c r="BE504" s="1">
        <v>0.232044</v>
      </c>
      <c r="BF504" s="1">
        <v>0.013108</v>
      </c>
      <c r="BG504" s="1">
        <v>0.020564</v>
      </c>
      <c r="BH504" s="1">
        <v>0.037037</v>
      </c>
      <c r="BI504" s="1">
        <v>0.327561</v>
      </c>
      <c r="BJ504" s="1">
        <v>0.276353</v>
      </c>
      <c r="BK504" s="1">
        <v>0.183674</v>
      </c>
      <c r="BL504" s="1">
        <v>0.0</v>
      </c>
      <c r="BM504" s="1">
        <v>0.97</v>
      </c>
      <c r="BN504" s="1">
        <v>0.989</v>
      </c>
      <c r="BO504" s="1">
        <v>0.9769</v>
      </c>
      <c r="BP504" s="1">
        <v>0.992</v>
      </c>
      <c r="BQ504" s="1">
        <v>3.9279</v>
      </c>
      <c r="BR504" s="1">
        <v>0.9971</v>
      </c>
      <c r="BS504" s="1">
        <v>0.476</v>
      </c>
      <c r="BT504" s="1">
        <v>0.89</v>
      </c>
      <c r="BU504" s="1">
        <v>0.986</v>
      </c>
      <c r="BV504" s="1">
        <v>2.352</v>
      </c>
      <c r="BW504" s="1">
        <v>0.987</v>
      </c>
      <c r="BX504" s="1">
        <v>0.971</v>
      </c>
      <c r="BY504" s="1">
        <v>0.0</v>
      </c>
      <c r="BZ504" s="1">
        <v>0.971</v>
      </c>
      <c r="CA504" s="1">
        <v>0.527</v>
      </c>
      <c r="CB504" s="1">
        <v>0.764</v>
      </c>
      <c r="CC504" s="1">
        <v>0.479</v>
      </c>
      <c r="CD504" s="1">
        <v>0.872</v>
      </c>
      <c r="CE504" s="1">
        <v>0.958</v>
      </c>
      <c r="CF504" s="1">
        <v>0.0</v>
      </c>
      <c r="CG504" s="1">
        <v>3.073</v>
      </c>
      <c r="CH504" s="1">
        <v>0.805</v>
      </c>
      <c r="CI504" s="1">
        <v>10.3239</v>
      </c>
      <c r="CJ504" s="1">
        <v>0.9653</v>
      </c>
      <c r="CK504" s="1">
        <v>1.0</v>
      </c>
      <c r="CL504" s="1">
        <v>1.0</v>
      </c>
      <c r="CM504" s="1">
        <v>1.0</v>
      </c>
      <c r="CN504" s="1">
        <v>1.0</v>
      </c>
      <c r="CO504" s="1">
        <v>4.0</v>
      </c>
      <c r="CP504" s="1">
        <v>0.0</v>
      </c>
      <c r="CQ504" s="1">
        <v>0.0</v>
      </c>
      <c r="CR504" s="1">
        <v>1.0</v>
      </c>
      <c r="CS504" s="1">
        <v>1.0</v>
      </c>
      <c r="CT504" s="1">
        <v>1.0</v>
      </c>
      <c r="CU504" s="1">
        <v>0.0</v>
      </c>
      <c r="CV504" s="1">
        <v>1.0</v>
      </c>
      <c r="CW504" s="1">
        <v>0.0</v>
      </c>
      <c r="CX504" s="1">
        <v>0.0</v>
      </c>
      <c r="CY504" s="1">
        <v>0.0</v>
      </c>
      <c r="CZ504" s="1">
        <v>1.0</v>
      </c>
      <c r="DA504" s="1">
        <v>0.0</v>
      </c>
      <c r="DB504" s="1">
        <v>1.0</v>
      </c>
      <c r="DC504" s="1">
        <v>7.0</v>
      </c>
      <c r="DD504" s="1" t="s">
        <v>2441</v>
      </c>
      <c r="DE504" s="2" t="s">
        <v>2442</v>
      </c>
      <c r="DF504" s="1">
        <v>0.0329311787347995</v>
      </c>
    </row>
    <row r="505" ht="15.75" customHeight="1">
      <c r="A505" s="1" t="s">
        <v>2443</v>
      </c>
      <c r="B505" s="1">
        <v>29.0</v>
      </c>
      <c r="C505" s="2" t="s">
        <v>2039</v>
      </c>
      <c r="D505" s="2" t="s">
        <v>2444</v>
      </c>
      <c r="E505" s="1">
        <v>0.246</v>
      </c>
      <c r="F505" s="1">
        <v>29095.0</v>
      </c>
      <c r="G505" s="1">
        <v>2.9095005602E10</v>
      </c>
      <c r="H505" s="1" t="s">
        <v>112</v>
      </c>
      <c r="I505" s="1" t="s">
        <v>113</v>
      </c>
      <c r="J505" s="1" t="s">
        <v>2041</v>
      </c>
      <c r="K505" s="1" t="s">
        <v>2445</v>
      </c>
      <c r="L505" s="1">
        <v>1457.0</v>
      </c>
      <c r="M505" s="1">
        <v>1962.0</v>
      </c>
      <c r="N505" s="1">
        <v>383.0</v>
      </c>
      <c r="O505" s="1">
        <v>788.0</v>
      </c>
      <c r="P505" s="1">
        <v>858.0</v>
      </c>
      <c r="Q505" s="1">
        <v>39.0</v>
      </c>
      <c r="R505" s="1">
        <v>522.0</v>
      </c>
      <c r="S505" s="1">
        <v>799.0</v>
      </c>
      <c r="T505" s="1">
        <v>330.0</v>
      </c>
      <c r="U505" s="1">
        <v>228.0</v>
      </c>
      <c r="V505" s="1">
        <v>407.0</v>
      </c>
      <c r="W505" s="1">
        <v>11125.0</v>
      </c>
      <c r="X505" s="1">
        <v>2241.0</v>
      </c>
      <c r="Y505" s="1">
        <v>276.0</v>
      </c>
      <c r="Z505" s="1">
        <v>342.0</v>
      </c>
      <c r="AA505" s="1">
        <v>204.0</v>
      </c>
      <c r="AB505" s="1">
        <v>415.0</v>
      </c>
      <c r="AC505" s="1">
        <v>140.0</v>
      </c>
      <c r="AD505" s="1">
        <v>1417.0</v>
      </c>
      <c r="AE505" s="1">
        <v>0.0</v>
      </c>
      <c r="AF505" s="1">
        <v>456.0</v>
      </c>
      <c r="AG505" s="1">
        <v>0.0</v>
      </c>
      <c r="AH505" s="1">
        <v>197.0</v>
      </c>
      <c r="AI505" s="1">
        <v>0.0</v>
      </c>
      <c r="AJ505" s="1">
        <v>114.0</v>
      </c>
      <c r="AK505" s="1">
        <v>0.0</v>
      </c>
      <c r="AL505" s="1">
        <v>161.0</v>
      </c>
      <c r="AM505" s="1">
        <v>186.0</v>
      </c>
      <c r="AN505" s="1">
        <v>69.0</v>
      </c>
      <c r="AO505" s="1">
        <v>7.0</v>
      </c>
      <c r="AP505" s="1">
        <v>0.407237</v>
      </c>
      <c r="AQ505" s="1">
        <v>0.148223</v>
      </c>
      <c r="AR505" s="1">
        <v>0.300791</v>
      </c>
      <c r="AS505" s="1">
        <v>0.524893</v>
      </c>
      <c r="AT505" s="1">
        <v>11125.0</v>
      </c>
      <c r="AU505" s="1">
        <v>2241.0</v>
      </c>
      <c r="AV505" s="1">
        <v>0.212634</v>
      </c>
      <c r="AW505" s="1">
        <v>0.260279</v>
      </c>
      <c r="AX505" s="1">
        <v>0.140013</v>
      </c>
      <c r="AY505" s="1">
        <v>0.284831</v>
      </c>
      <c r="AZ505" s="1">
        <v>0.26819923</v>
      </c>
      <c r="BA505" s="1">
        <v>0.972546</v>
      </c>
      <c r="BB505" s="1">
        <v>0.0</v>
      </c>
      <c r="BC505" s="1">
        <v>0.254748</v>
      </c>
      <c r="BD505" s="1">
        <v>0.0</v>
      </c>
      <c r="BE505" s="1">
        <v>0.229603</v>
      </c>
      <c r="BF505" s="1">
        <v>0.0</v>
      </c>
      <c r="BG505" s="1">
        <v>0.132867</v>
      </c>
      <c r="BH505" s="1">
        <v>0.0</v>
      </c>
      <c r="BI505" s="1">
        <v>0.250388</v>
      </c>
      <c r="BJ505" s="1">
        <v>0.289269</v>
      </c>
      <c r="BK505" s="1">
        <v>0.100603</v>
      </c>
      <c r="BL505" s="1">
        <v>0.004804</v>
      </c>
      <c r="BM505" s="1">
        <v>0.956</v>
      </c>
      <c r="BN505" s="1">
        <v>0.991</v>
      </c>
      <c r="BO505" s="1">
        <v>0.974</v>
      </c>
      <c r="BP505" s="1">
        <v>0.786</v>
      </c>
      <c r="BQ505" s="1">
        <v>3.707</v>
      </c>
      <c r="BR505" s="1">
        <v>0.9617</v>
      </c>
      <c r="BS505" s="1">
        <v>0.497</v>
      </c>
      <c r="BT505" s="1">
        <v>0.868</v>
      </c>
      <c r="BU505" s="1">
        <v>0.962</v>
      </c>
      <c r="BV505" s="1">
        <v>2.327</v>
      </c>
      <c r="BW505" s="1">
        <v>0.984</v>
      </c>
      <c r="BX505" s="1">
        <v>0.975</v>
      </c>
      <c r="BY505" s="1">
        <v>0.0</v>
      </c>
      <c r="BZ505" s="1">
        <v>0.975</v>
      </c>
      <c r="CA505" s="1">
        <v>0.533</v>
      </c>
      <c r="CB505" s="1">
        <v>0.0</v>
      </c>
      <c r="CC505" s="1">
        <v>0.0</v>
      </c>
      <c r="CD505" s="1">
        <v>0.0</v>
      </c>
      <c r="CE505" s="1">
        <v>0.963</v>
      </c>
      <c r="CF505" s="1">
        <v>0.505</v>
      </c>
      <c r="CG505" s="1">
        <v>1.468</v>
      </c>
      <c r="CH505" s="1">
        <v>0.164</v>
      </c>
      <c r="CI505" s="1">
        <v>8.477</v>
      </c>
      <c r="CJ505" s="1">
        <v>0.7812</v>
      </c>
      <c r="CK505" s="1">
        <v>1.0</v>
      </c>
      <c r="CL505" s="1">
        <v>1.0</v>
      </c>
      <c r="CM505" s="1">
        <v>1.0</v>
      </c>
      <c r="CN505" s="1">
        <v>0.0</v>
      </c>
      <c r="CO505" s="1">
        <v>3.0</v>
      </c>
      <c r="CP505" s="1">
        <v>0.0</v>
      </c>
      <c r="CQ505" s="1">
        <v>0.0</v>
      </c>
      <c r="CR505" s="1">
        <v>1.0</v>
      </c>
      <c r="CS505" s="1">
        <v>1.0</v>
      </c>
      <c r="CT505" s="1">
        <v>1.0</v>
      </c>
      <c r="CU505" s="1">
        <v>0.0</v>
      </c>
      <c r="CV505" s="1">
        <v>1.0</v>
      </c>
      <c r="CW505" s="1">
        <v>0.0</v>
      </c>
      <c r="CX505" s="1">
        <v>0.0</v>
      </c>
      <c r="CY505" s="1">
        <v>0.0</v>
      </c>
      <c r="CZ505" s="1">
        <v>1.0</v>
      </c>
      <c r="DA505" s="1">
        <v>0.0</v>
      </c>
      <c r="DB505" s="1">
        <v>1.0</v>
      </c>
      <c r="DC505" s="1">
        <v>6.0</v>
      </c>
      <c r="DD505" s="1" t="s">
        <v>2446</v>
      </c>
      <c r="DE505" s="2" t="s">
        <v>2447</v>
      </c>
      <c r="DF505" s="1">
        <v>0.0328493754875316</v>
      </c>
    </row>
    <row r="506" ht="15.75" customHeight="1">
      <c r="A506" s="1" t="s">
        <v>2448</v>
      </c>
      <c r="B506" s="1">
        <v>29.0</v>
      </c>
      <c r="C506" s="2" t="s">
        <v>2039</v>
      </c>
      <c r="D506" s="2" t="s">
        <v>1865</v>
      </c>
      <c r="E506" s="1">
        <v>0.494</v>
      </c>
      <c r="F506" s="1">
        <v>29095.0</v>
      </c>
      <c r="G506" s="1">
        <v>2.90950057E10</v>
      </c>
      <c r="H506" s="1" t="s">
        <v>112</v>
      </c>
      <c r="I506" s="1" t="s">
        <v>113</v>
      </c>
      <c r="J506" s="1" t="s">
        <v>2041</v>
      </c>
      <c r="K506" s="1" t="s">
        <v>2449</v>
      </c>
      <c r="L506" s="1">
        <v>2187.0</v>
      </c>
      <c r="M506" s="1">
        <v>2206.0</v>
      </c>
      <c r="N506" s="1">
        <v>334.0</v>
      </c>
      <c r="O506" s="1">
        <v>1216.0</v>
      </c>
      <c r="P506" s="1">
        <v>1341.0</v>
      </c>
      <c r="Q506" s="1">
        <v>38.0</v>
      </c>
      <c r="R506" s="1">
        <v>904.0</v>
      </c>
      <c r="S506" s="1">
        <v>605.0</v>
      </c>
      <c r="T506" s="1">
        <v>261.0</v>
      </c>
      <c r="U506" s="1">
        <v>335.0</v>
      </c>
      <c r="V506" s="1">
        <v>390.0</v>
      </c>
      <c r="W506" s="1">
        <v>14283.0</v>
      </c>
      <c r="X506" s="1">
        <v>2233.0</v>
      </c>
      <c r="Y506" s="1">
        <v>552.0</v>
      </c>
      <c r="Z506" s="1">
        <v>284.0</v>
      </c>
      <c r="AA506" s="1">
        <v>375.0</v>
      </c>
      <c r="AB506" s="1">
        <v>520.0</v>
      </c>
      <c r="AC506" s="1">
        <v>192.0</v>
      </c>
      <c r="AD506" s="1">
        <v>2148.0</v>
      </c>
      <c r="AE506" s="1">
        <v>0.0</v>
      </c>
      <c r="AF506" s="1">
        <v>456.0</v>
      </c>
      <c r="AG506" s="1">
        <v>0.0</v>
      </c>
      <c r="AH506" s="1">
        <v>197.0</v>
      </c>
      <c r="AI506" s="1">
        <v>0.0</v>
      </c>
      <c r="AJ506" s="1">
        <v>114.0</v>
      </c>
      <c r="AK506" s="1">
        <v>17.0</v>
      </c>
      <c r="AL506" s="1">
        <v>116.0</v>
      </c>
      <c r="AM506" s="1">
        <v>150.0</v>
      </c>
      <c r="AN506" s="1">
        <v>104.0</v>
      </c>
      <c r="AO506" s="1">
        <v>0.0</v>
      </c>
      <c r="AP506" s="1">
        <v>0.274252</v>
      </c>
      <c r="AQ506" s="1">
        <v>0.110787</v>
      </c>
      <c r="AR506" s="1">
        <v>0.3294</v>
      </c>
      <c r="AS506" s="1">
        <v>0.370364</v>
      </c>
      <c r="AT506" s="1">
        <v>14283.0</v>
      </c>
      <c r="AU506" s="1">
        <v>2233.0</v>
      </c>
      <c r="AV506" s="1">
        <v>0.322053</v>
      </c>
      <c r="AW506" s="1">
        <v>0.16142</v>
      </c>
      <c r="AX506" s="1">
        <v>0.171467</v>
      </c>
      <c r="AY506" s="1">
        <v>0.237768</v>
      </c>
      <c r="AZ506" s="1">
        <v>0.21238938</v>
      </c>
      <c r="BA506" s="1">
        <v>0.982167</v>
      </c>
      <c r="BB506" s="1">
        <v>0.0</v>
      </c>
      <c r="BC506" s="1">
        <v>0.21479</v>
      </c>
      <c r="BD506" s="1">
        <v>0.0</v>
      </c>
      <c r="BE506" s="1">
        <v>0.146905</v>
      </c>
      <c r="BF506" s="1">
        <v>0.0</v>
      </c>
      <c r="BG506" s="1">
        <v>0.085011</v>
      </c>
      <c r="BH506" s="1">
        <v>0.015539</v>
      </c>
      <c r="BI506" s="1">
        <v>0.106021</v>
      </c>
      <c r="BJ506" s="1">
        <v>0.137111</v>
      </c>
      <c r="BK506" s="1">
        <v>0.094059</v>
      </c>
      <c r="BL506" s="1">
        <v>0.0</v>
      </c>
      <c r="BM506" s="1">
        <v>0.863</v>
      </c>
      <c r="BN506" s="1">
        <v>0.993</v>
      </c>
      <c r="BO506" s="1">
        <v>0.9011</v>
      </c>
      <c r="BP506" s="1">
        <v>0.96</v>
      </c>
      <c r="BQ506" s="1">
        <v>3.7171</v>
      </c>
      <c r="BR506" s="1">
        <v>0.9646</v>
      </c>
      <c r="BS506" s="1">
        <v>0.746</v>
      </c>
      <c r="BT506" s="1">
        <v>0.471</v>
      </c>
      <c r="BU506" s="1">
        <v>0.909</v>
      </c>
      <c r="BV506" s="1">
        <v>2.126</v>
      </c>
      <c r="BW506" s="1">
        <v>0.934</v>
      </c>
      <c r="BX506" s="1">
        <v>0.982</v>
      </c>
      <c r="BY506" s="1">
        <v>0.0</v>
      </c>
      <c r="BZ506" s="1">
        <v>0.982</v>
      </c>
      <c r="CA506" s="1">
        <v>0.541</v>
      </c>
      <c r="CB506" s="1">
        <v>0.0</v>
      </c>
      <c r="CC506" s="1">
        <v>0.0</v>
      </c>
      <c r="CD506" s="1">
        <v>0.606</v>
      </c>
      <c r="CE506" s="1">
        <v>0.841</v>
      </c>
      <c r="CF506" s="1">
        <v>0.0</v>
      </c>
      <c r="CG506" s="1">
        <v>1.447</v>
      </c>
      <c r="CH506" s="1">
        <v>0.158</v>
      </c>
      <c r="CI506" s="1">
        <v>8.2721</v>
      </c>
      <c r="CJ506" s="1">
        <v>0.7567</v>
      </c>
      <c r="CK506" s="1">
        <v>0.0</v>
      </c>
      <c r="CL506" s="1">
        <v>1.0</v>
      </c>
      <c r="CM506" s="1">
        <v>1.0</v>
      </c>
      <c r="CN506" s="1">
        <v>1.0</v>
      </c>
      <c r="CO506" s="1">
        <v>3.0</v>
      </c>
      <c r="CP506" s="1">
        <v>0.0</v>
      </c>
      <c r="CQ506" s="1">
        <v>0.0</v>
      </c>
      <c r="CR506" s="1">
        <v>1.0</v>
      </c>
      <c r="CS506" s="1">
        <v>1.0</v>
      </c>
      <c r="CT506" s="1">
        <v>1.0</v>
      </c>
      <c r="CU506" s="1">
        <v>0.0</v>
      </c>
      <c r="CV506" s="1">
        <v>1.0</v>
      </c>
      <c r="CW506" s="1">
        <v>0.0</v>
      </c>
      <c r="CX506" s="1">
        <v>0.0</v>
      </c>
      <c r="CY506" s="1">
        <v>0.0</v>
      </c>
      <c r="CZ506" s="1">
        <v>0.0</v>
      </c>
      <c r="DA506" s="1">
        <v>0.0</v>
      </c>
      <c r="DB506" s="1">
        <v>0.0</v>
      </c>
      <c r="DC506" s="1">
        <v>5.0</v>
      </c>
      <c r="DD506" s="1" t="s">
        <v>2450</v>
      </c>
      <c r="DE506" s="1">
        <v>1.33015826324425E-4</v>
      </c>
      <c r="DF506" s="2" t="s">
        <v>2451</v>
      </c>
    </row>
    <row r="507" ht="15.75" customHeight="1">
      <c r="A507" s="1" t="s">
        <v>2452</v>
      </c>
      <c r="B507" s="1">
        <v>29.0</v>
      </c>
      <c r="C507" s="2" t="s">
        <v>2039</v>
      </c>
      <c r="D507" s="2" t="s">
        <v>2453</v>
      </c>
      <c r="E507" s="1">
        <v>0.945</v>
      </c>
      <c r="F507" s="1">
        <v>29095.0</v>
      </c>
      <c r="G507" s="1">
        <v>2.9095005801E10</v>
      </c>
      <c r="H507" s="1" t="s">
        <v>112</v>
      </c>
      <c r="I507" s="1" t="s">
        <v>113</v>
      </c>
      <c r="J507" s="1" t="s">
        <v>2041</v>
      </c>
      <c r="K507" s="1" t="s">
        <v>2454</v>
      </c>
      <c r="L507" s="1">
        <v>1844.0</v>
      </c>
      <c r="M507" s="1">
        <v>1281.0</v>
      </c>
      <c r="N507" s="1">
        <v>262.0</v>
      </c>
      <c r="O507" s="1">
        <v>1040.0</v>
      </c>
      <c r="P507" s="1">
        <v>1100.0</v>
      </c>
      <c r="Q507" s="1">
        <v>116.0</v>
      </c>
      <c r="R507" s="1">
        <v>849.0</v>
      </c>
      <c r="S507" s="1">
        <v>399.0</v>
      </c>
      <c r="T507" s="1">
        <v>195.0</v>
      </c>
      <c r="U507" s="1">
        <v>81.0</v>
      </c>
      <c r="V507" s="1">
        <v>474.0</v>
      </c>
      <c r="W507" s="1">
        <v>15627.0</v>
      </c>
      <c r="X507" s="1">
        <v>3797.0</v>
      </c>
      <c r="Y507" s="1">
        <v>260.0</v>
      </c>
      <c r="Z507" s="1">
        <v>300.0</v>
      </c>
      <c r="AA507" s="1">
        <v>297.0</v>
      </c>
      <c r="AB507" s="1">
        <v>455.0</v>
      </c>
      <c r="AC507" s="1">
        <v>202.0</v>
      </c>
      <c r="AD507" s="1">
        <v>1793.0</v>
      </c>
      <c r="AE507" s="1">
        <v>35.0</v>
      </c>
      <c r="AF507" s="1">
        <v>445.0</v>
      </c>
      <c r="AG507" s="1">
        <v>53.0</v>
      </c>
      <c r="AH507" s="1">
        <v>125.0</v>
      </c>
      <c r="AI507" s="1">
        <v>25.0</v>
      </c>
      <c r="AJ507" s="1">
        <v>37.0</v>
      </c>
      <c r="AK507" s="1">
        <v>0.0</v>
      </c>
      <c r="AL507" s="1">
        <v>161.0</v>
      </c>
      <c r="AM507" s="1">
        <v>186.0</v>
      </c>
      <c r="AN507" s="1">
        <v>94.0</v>
      </c>
      <c r="AO507" s="1">
        <v>0.0</v>
      </c>
      <c r="AP507" s="1">
        <v>0.311475</v>
      </c>
      <c r="AQ507" s="1">
        <v>0.138253</v>
      </c>
      <c r="AR507" s="1">
        <v>0.141114</v>
      </c>
      <c r="AS507" s="1">
        <v>0.821211</v>
      </c>
      <c r="AT507" s="1">
        <v>15627.0</v>
      </c>
      <c r="AU507" s="1">
        <v>3797.0</v>
      </c>
      <c r="AV507" s="1">
        <v>0.276595</v>
      </c>
      <c r="AW507" s="1">
        <v>0.313676</v>
      </c>
      <c r="AX507" s="1">
        <v>0.161062</v>
      </c>
      <c r="AY507" s="1">
        <v>0.246746</v>
      </c>
      <c r="AZ507" s="1">
        <v>0.23792697</v>
      </c>
      <c r="BA507" s="1">
        <v>0.972342</v>
      </c>
      <c r="BB507" s="1">
        <v>0.031645</v>
      </c>
      <c r="BC507" s="1">
        <v>0.402296</v>
      </c>
      <c r="BD507" s="1">
        <v>0.048181</v>
      </c>
      <c r="BE507" s="1">
        <v>0.113522</v>
      </c>
      <c r="BF507" s="1">
        <v>0.022727</v>
      </c>
      <c r="BG507" s="1">
        <v>0.03355</v>
      </c>
      <c r="BH507" s="1">
        <v>0.0</v>
      </c>
      <c r="BI507" s="1">
        <v>0.205619</v>
      </c>
      <c r="BJ507" s="1">
        <v>0.237547</v>
      </c>
      <c r="BK507" s="1">
        <v>0.112286</v>
      </c>
      <c r="BL507" s="1">
        <v>0.0</v>
      </c>
      <c r="BM507" s="1">
        <v>0.894</v>
      </c>
      <c r="BN507" s="1">
        <v>0.876</v>
      </c>
      <c r="BO507" s="1">
        <v>0.8534</v>
      </c>
      <c r="BP507" s="1">
        <v>0.917</v>
      </c>
      <c r="BQ507" s="1">
        <v>3.5404</v>
      </c>
      <c r="BR507" s="1">
        <v>0.93</v>
      </c>
      <c r="BS507" s="1">
        <v>0.674</v>
      </c>
      <c r="BT507" s="1">
        <v>0.563</v>
      </c>
      <c r="BU507" s="1">
        <v>0.934</v>
      </c>
      <c r="BV507" s="1">
        <v>2.171</v>
      </c>
      <c r="BW507" s="1">
        <v>0.957</v>
      </c>
      <c r="BX507" s="1">
        <v>0.974</v>
      </c>
      <c r="BY507" s="1">
        <v>0.923</v>
      </c>
      <c r="BZ507" s="1">
        <v>1.897</v>
      </c>
      <c r="CA507" s="1">
        <v>0.989</v>
      </c>
      <c r="CB507" s="1">
        <v>0.649</v>
      </c>
      <c r="CC507" s="1">
        <v>0.527</v>
      </c>
      <c r="CD507" s="1">
        <v>0.0</v>
      </c>
      <c r="CE507" s="1">
        <v>0.931</v>
      </c>
      <c r="CF507" s="1">
        <v>0.0</v>
      </c>
      <c r="CG507" s="1">
        <v>2.107</v>
      </c>
      <c r="CH507" s="1">
        <v>0.384</v>
      </c>
      <c r="CI507" s="1">
        <v>9.7154</v>
      </c>
      <c r="CJ507" s="1">
        <v>0.9264</v>
      </c>
      <c r="CK507" s="1">
        <v>0.0</v>
      </c>
      <c r="CL507" s="1">
        <v>0.0</v>
      </c>
      <c r="CM507" s="1">
        <v>0.0</v>
      </c>
      <c r="CN507" s="1">
        <v>1.0</v>
      </c>
      <c r="CO507" s="1">
        <v>1.0</v>
      </c>
      <c r="CP507" s="1">
        <v>0.0</v>
      </c>
      <c r="CQ507" s="1">
        <v>0.0</v>
      </c>
      <c r="CR507" s="1">
        <v>1.0</v>
      </c>
      <c r="CS507" s="1">
        <v>1.0</v>
      </c>
      <c r="CT507" s="1">
        <v>1.0</v>
      </c>
      <c r="CU507" s="1">
        <v>1.0</v>
      </c>
      <c r="CV507" s="1">
        <v>2.0</v>
      </c>
      <c r="CW507" s="1">
        <v>0.0</v>
      </c>
      <c r="CX507" s="1">
        <v>0.0</v>
      </c>
      <c r="CY507" s="1">
        <v>0.0</v>
      </c>
      <c r="CZ507" s="1">
        <v>1.0</v>
      </c>
      <c r="DA507" s="1">
        <v>0.0</v>
      </c>
      <c r="DB507" s="1">
        <v>1.0</v>
      </c>
      <c r="DC507" s="1">
        <v>5.0</v>
      </c>
      <c r="DD507" s="1" t="s">
        <v>2455</v>
      </c>
      <c r="DE507" s="1">
        <v>2.54050529687448E-4</v>
      </c>
      <c r="DF507" s="1">
        <v>0.0677500018791073</v>
      </c>
    </row>
    <row r="508" ht="15.75" customHeight="1">
      <c r="A508" s="1" t="s">
        <v>2456</v>
      </c>
      <c r="B508" s="1">
        <v>29.0</v>
      </c>
      <c r="C508" s="2" t="s">
        <v>2039</v>
      </c>
      <c r="D508" s="2" t="s">
        <v>2457</v>
      </c>
      <c r="E508" s="1">
        <v>0.428</v>
      </c>
      <c r="F508" s="1">
        <v>29095.0</v>
      </c>
      <c r="G508" s="1">
        <v>2.9095006E10</v>
      </c>
      <c r="H508" s="1" t="s">
        <v>112</v>
      </c>
      <c r="I508" s="1" t="s">
        <v>113</v>
      </c>
      <c r="J508" s="1" t="s">
        <v>2041</v>
      </c>
      <c r="K508" s="1" t="s">
        <v>2458</v>
      </c>
      <c r="L508" s="1">
        <v>1346.0</v>
      </c>
      <c r="M508" s="1">
        <v>1169.0</v>
      </c>
      <c r="N508" s="1">
        <v>218.0</v>
      </c>
      <c r="O508" s="1">
        <v>821.0</v>
      </c>
      <c r="P508" s="1">
        <v>857.0</v>
      </c>
      <c r="Q508" s="1">
        <v>58.0</v>
      </c>
      <c r="R508" s="1">
        <v>615.0</v>
      </c>
      <c r="S508" s="1">
        <v>505.0</v>
      </c>
      <c r="T508" s="1">
        <v>210.0</v>
      </c>
      <c r="U508" s="1">
        <v>37.0</v>
      </c>
      <c r="V508" s="1">
        <v>501.0</v>
      </c>
      <c r="W508" s="1">
        <v>12407.0</v>
      </c>
      <c r="X508" s="1">
        <v>2175.0</v>
      </c>
      <c r="Y508" s="1">
        <v>270.0</v>
      </c>
      <c r="Z508" s="1">
        <v>342.0</v>
      </c>
      <c r="AA508" s="1">
        <v>273.0</v>
      </c>
      <c r="AB508" s="1">
        <v>291.0</v>
      </c>
      <c r="AC508" s="1">
        <v>127.0</v>
      </c>
      <c r="AD508" s="1">
        <v>1308.0</v>
      </c>
      <c r="AE508" s="1">
        <v>0.0</v>
      </c>
      <c r="AF508" s="1">
        <v>456.0</v>
      </c>
      <c r="AG508" s="1">
        <v>0.0</v>
      </c>
      <c r="AH508" s="1">
        <v>197.0</v>
      </c>
      <c r="AI508" s="1">
        <v>0.0</v>
      </c>
      <c r="AJ508" s="1">
        <v>114.0</v>
      </c>
      <c r="AK508" s="1">
        <v>0.0</v>
      </c>
      <c r="AL508" s="1">
        <v>161.0</v>
      </c>
      <c r="AM508" s="1">
        <v>213.0</v>
      </c>
      <c r="AN508" s="1">
        <v>94.0</v>
      </c>
      <c r="AO508" s="1">
        <v>0.0</v>
      </c>
      <c r="AP508" s="1">
        <v>0.443371</v>
      </c>
      <c r="AQ508" s="1">
        <v>0.164677</v>
      </c>
      <c r="AR508" s="1">
        <v>0.09893</v>
      </c>
      <c r="AS508" s="1">
        <v>1.336423</v>
      </c>
      <c r="AT508" s="1">
        <v>12407.0</v>
      </c>
      <c r="AU508" s="1">
        <v>2175.0</v>
      </c>
      <c r="AV508" s="1">
        <v>0.318772</v>
      </c>
      <c r="AW508" s="1">
        <v>0.401571</v>
      </c>
      <c r="AX508" s="1">
        <v>0.202823</v>
      </c>
      <c r="AY508" s="1">
        <v>0.216196</v>
      </c>
      <c r="AZ508" s="1">
        <v>0.20650406</v>
      </c>
      <c r="BA508" s="1">
        <v>0.971768</v>
      </c>
      <c r="BB508" s="1">
        <v>0.0</v>
      </c>
      <c r="BC508" s="1">
        <v>0.390076</v>
      </c>
      <c r="BD508" s="1">
        <v>0.0</v>
      </c>
      <c r="BE508" s="1">
        <v>0.229871</v>
      </c>
      <c r="BF508" s="1">
        <v>0.0</v>
      </c>
      <c r="BG508" s="1">
        <v>0.133022</v>
      </c>
      <c r="BH508" s="1">
        <v>0.0</v>
      </c>
      <c r="BI508" s="1">
        <v>0.279029</v>
      </c>
      <c r="BJ508" s="1">
        <v>0.36915</v>
      </c>
      <c r="BK508" s="1">
        <v>0.155284</v>
      </c>
      <c r="BL508" s="1">
        <v>0.0</v>
      </c>
      <c r="BM508" s="1">
        <v>0.979</v>
      </c>
      <c r="BN508" s="1">
        <v>0.725</v>
      </c>
      <c r="BO508" s="1">
        <v>0.9502</v>
      </c>
      <c r="BP508" s="1">
        <v>0.957</v>
      </c>
      <c r="BQ508" s="1">
        <v>3.6112</v>
      </c>
      <c r="BR508" s="1">
        <v>0.9401</v>
      </c>
      <c r="BS508" s="1">
        <v>0.885</v>
      </c>
      <c r="BT508" s="1">
        <v>0.278</v>
      </c>
      <c r="BU508" s="1">
        <v>0.902</v>
      </c>
      <c r="BV508" s="1">
        <v>2.065</v>
      </c>
      <c r="BW508" s="1">
        <v>0.9</v>
      </c>
      <c r="BX508" s="1">
        <v>0.974</v>
      </c>
      <c r="BY508" s="1">
        <v>0.0</v>
      </c>
      <c r="BZ508" s="1">
        <v>0.974</v>
      </c>
      <c r="CA508" s="1">
        <v>0.53</v>
      </c>
      <c r="CB508" s="1">
        <v>0.0</v>
      </c>
      <c r="CC508" s="1">
        <v>0.0</v>
      </c>
      <c r="CD508" s="1">
        <v>0.0</v>
      </c>
      <c r="CE508" s="1">
        <v>0.98</v>
      </c>
      <c r="CF508" s="1">
        <v>0.0</v>
      </c>
      <c r="CG508" s="1">
        <v>0.98</v>
      </c>
      <c r="CH508" s="1">
        <v>0.075</v>
      </c>
      <c r="CI508" s="1">
        <v>7.6302</v>
      </c>
      <c r="CJ508" s="1">
        <v>0.657</v>
      </c>
      <c r="CK508" s="1">
        <v>1.0</v>
      </c>
      <c r="CL508" s="1">
        <v>0.0</v>
      </c>
      <c r="CM508" s="1">
        <v>1.0</v>
      </c>
      <c r="CN508" s="1">
        <v>1.0</v>
      </c>
      <c r="CO508" s="1">
        <v>3.0</v>
      </c>
      <c r="CP508" s="1">
        <v>0.0</v>
      </c>
      <c r="CQ508" s="1">
        <v>0.0</v>
      </c>
      <c r="CR508" s="1">
        <v>1.0</v>
      </c>
      <c r="CS508" s="1">
        <v>1.0</v>
      </c>
      <c r="CT508" s="1">
        <v>1.0</v>
      </c>
      <c r="CU508" s="1">
        <v>0.0</v>
      </c>
      <c r="CV508" s="1">
        <v>1.0</v>
      </c>
      <c r="CW508" s="1">
        <v>0.0</v>
      </c>
      <c r="CX508" s="1">
        <v>0.0</v>
      </c>
      <c r="CY508" s="1">
        <v>0.0</v>
      </c>
      <c r="CZ508" s="1">
        <v>1.0</v>
      </c>
      <c r="DA508" s="1">
        <v>0.0</v>
      </c>
      <c r="DB508" s="1">
        <v>1.0</v>
      </c>
      <c r="DC508" s="1">
        <v>6.0</v>
      </c>
      <c r="DD508" s="1" t="s">
        <v>2459</v>
      </c>
      <c r="DE508" s="1">
        <v>1.15545326193569E-4</v>
      </c>
      <c r="DF508" s="1">
        <v>0.0465930934421149</v>
      </c>
    </row>
    <row r="509" ht="15.75" customHeight="1">
      <c r="A509" s="1" t="s">
        <v>2460</v>
      </c>
      <c r="B509" s="1">
        <v>29.0</v>
      </c>
      <c r="C509" s="2" t="s">
        <v>2039</v>
      </c>
      <c r="D509" s="2" t="s">
        <v>2461</v>
      </c>
      <c r="E509" s="1">
        <v>0.517</v>
      </c>
      <c r="F509" s="1">
        <v>29095.0</v>
      </c>
      <c r="G509" s="1">
        <v>2.90950061E10</v>
      </c>
      <c r="H509" s="1" t="s">
        <v>112</v>
      </c>
      <c r="I509" s="1" t="s">
        <v>113</v>
      </c>
      <c r="J509" s="1" t="s">
        <v>2041</v>
      </c>
      <c r="K509" s="1" t="s">
        <v>2462</v>
      </c>
      <c r="L509" s="1">
        <v>2542.0</v>
      </c>
      <c r="M509" s="1">
        <v>2761.0</v>
      </c>
      <c r="N509" s="1">
        <v>315.0</v>
      </c>
      <c r="O509" s="1">
        <v>1397.0</v>
      </c>
      <c r="P509" s="1">
        <v>1440.0</v>
      </c>
      <c r="Q509" s="1">
        <v>74.0</v>
      </c>
      <c r="R509" s="1">
        <v>1018.0</v>
      </c>
      <c r="S509" s="1">
        <v>1006.0</v>
      </c>
      <c r="T509" s="1">
        <v>394.0</v>
      </c>
      <c r="U509" s="1">
        <v>329.0</v>
      </c>
      <c r="V509" s="1">
        <v>403.0</v>
      </c>
      <c r="W509" s="1">
        <v>12295.0</v>
      </c>
      <c r="X509" s="1">
        <v>1600.0</v>
      </c>
      <c r="Y509" s="1">
        <v>485.0</v>
      </c>
      <c r="Z509" s="1">
        <v>300.0</v>
      </c>
      <c r="AA509" s="1">
        <v>470.0</v>
      </c>
      <c r="AB509" s="1">
        <v>663.0</v>
      </c>
      <c r="AC509" s="1">
        <v>217.0</v>
      </c>
      <c r="AD509" s="1">
        <v>2495.0</v>
      </c>
      <c r="AE509" s="1">
        <v>0.0</v>
      </c>
      <c r="AF509" s="1">
        <v>456.0</v>
      </c>
      <c r="AG509" s="1">
        <v>0.0</v>
      </c>
      <c r="AH509" s="1">
        <v>197.0</v>
      </c>
      <c r="AI509" s="1">
        <v>0.0</v>
      </c>
      <c r="AJ509" s="1">
        <v>114.0</v>
      </c>
      <c r="AK509" s="1">
        <v>17.0</v>
      </c>
      <c r="AL509" s="1">
        <v>117.0</v>
      </c>
      <c r="AM509" s="1">
        <v>186.0</v>
      </c>
      <c r="AN509" s="1">
        <v>85.0</v>
      </c>
      <c r="AO509" s="1">
        <v>0.0</v>
      </c>
      <c r="AP509" s="1">
        <v>0.36436</v>
      </c>
      <c r="AQ509" s="1">
        <v>0.136513</v>
      </c>
      <c r="AR509" s="1">
        <v>0.290123</v>
      </c>
      <c r="AS509" s="1">
        <v>0.344309</v>
      </c>
      <c r="AT509" s="1">
        <v>12295.0</v>
      </c>
      <c r="AU509" s="1">
        <v>1600.0</v>
      </c>
      <c r="AV509" s="1">
        <v>0.26202</v>
      </c>
      <c r="AW509" s="1">
        <v>0.15832</v>
      </c>
      <c r="AX509" s="1">
        <v>0.184893</v>
      </c>
      <c r="AY509" s="1">
        <v>0.260818</v>
      </c>
      <c r="AZ509" s="1">
        <v>0.21316306</v>
      </c>
      <c r="BA509" s="1">
        <v>0.98151</v>
      </c>
      <c r="BB509" s="1">
        <v>0.0</v>
      </c>
      <c r="BC509" s="1">
        <v>0.173055</v>
      </c>
      <c r="BD509" s="1">
        <v>0.0</v>
      </c>
      <c r="BE509" s="1">
        <v>0.136805</v>
      </c>
      <c r="BF509" s="1">
        <v>0.0</v>
      </c>
      <c r="BG509" s="1">
        <v>0.079166</v>
      </c>
      <c r="BH509" s="1">
        <v>0.016346</v>
      </c>
      <c r="BI509" s="1">
        <v>0.112487</v>
      </c>
      <c r="BJ509" s="1">
        <v>0.178846</v>
      </c>
      <c r="BK509" s="1">
        <v>0.079711</v>
      </c>
      <c r="BL509" s="1">
        <v>0.0</v>
      </c>
      <c r="BM509" s="1">
        <v>0.932</v>
      </c>
      <c r="BN509" s="1">
        <v>0.987</v>
      </c>
      <c r="BO509" s="1">
        <v>0.9538</v>
      </c>
      <c r="BP509" s="1">
        <v>0.892</v>
      </c>
      <c r="BQ509" s="1">
        <v>3.7648</v>
      </c>
      <c r="BR509" s="1">
        <v>0.974</v>
      </c>
      <c r="BS509" s="1">
        <v>0.816</v>
      </c>
      <c r="BT509" s="1">
        <v>0.707</v>
      </c>
      <c r="BU509" s="1">
        <v>0.912</v>
      </c>
      <c r="BV509" s="1">
        <v>2.435</v>
      </c>
      <c r="BW509" s="1">
        <v>0.994</v>
      </c>
      <c r="BX509" s="1">
        <v>0.98</v>
      </c>
      <c r="BY509" s="1">
        <v>0.0</v>
      </c>
      <c r="BZ509" s="1">
        <v>0.98</v>
      </c>
      <c r="CA509" s="1">
        <v>0.54</v>
      </c>
      <c r="CB509" s="1">
        <v>0.0</v>
      </c>
      <c r="CC509" s="1">
        <v>0.0</v>
      </c>
      <c r="CD509" s="1">
        <v>0.619</v>
      </c>
      <c r="CE509" s="1">
        <v>0.889</v>
      </c>
      <c r="CF509" s="1">
        <v>0.0</v>
      </c>
      <c r="CG509" s="1">
        <v>1.508</v>
      </c>
      <c r="CH509" s="1">
        <v>0.179</v>
      </c>
      <c r="CI509" s="1">
        <v>8.6878</v>
      </c>
      <c r="CJ509" s="1">
        <v>0.8116</v>
      </c>
      <c r="CK509" s="1">
        <v>1.0</v>
      </c>
      <c r="CL509" s="1">
        <v>1.0</v>
      </c>
      <c r="CM509" s="1">
        <v>1.0</v>
      </c>
      <c r="CN509" s="1">
        <v>0.0</v>
      </c>
      <c r="CO509" s="1">
        <v>3.0</v>
      </c>
      <c r="CP509" s="1">
        <v>0.0</v>
      </c>
      <c r="CQ509" s="1">
        <v>0.0</v>
      </c>
      <c r="CR509" s="1">
        <v>1.0</v>
      </c>
      <c r="CS509" s="1">
        <v>1.0</v>
      </c>
      <c r="CT509" s="1">
        <v>1.0</v>
      </c>
      <c r="CU509" s="1">
        <v>0.0</v>
      </c>
      <c r="CV509" s="1">
        <v>1.0</v>
      </c>
      <c r="CW509" s="1">
        <v>0.0</v>
      </c>
      <c r="CX509" s="1">
        <v>0.0</v>
      </c>
      <c r="CY509" s="1">
        <v>0.0</v>
      </c>
      <c r="CZ509" s="1">
        <v>0.0</v>
      </c>
      <c r="DA509" s="1">
        <v>0.0</v>
      </c>
      <c r="DB509" s="1">
        <v>0.0</v>
      </c>
      <c r="DC509" s="1">
        <v>5.0</v>
      </c>
      <c r="DD509" s="1" t="s">
        <v>2463</v>
      </c>
      <c r="DE509" s="1">
        <v>1.39415712609982E-4</v>
      </c>
      <c r="DF509" s="1">
        <v>0.0542593691930203</v>
      </c>
    </row>
    <row r="510" ht="15.75" customHeight="1">
      <c r="A510" s="1" t="s">
        <v>2464</v>
      </c>
      <c r="B510" s="1">
        <v>29.0</v>
      </c>
      <c r="C510" s="2" t="s">
        <v>2039</v>
      </c>
      <c r="D510" s="2" t="s">
        <v>524</v>
      </c>
      <c r="E510" s="1">
        <v>0.25</v>
      </c>
      <c r="F510" s="1">
        <v>29095.0</v>
      </c>
      <c r="G510" s="1">
        <v>2.90950011E10</v>
      </c>
      <c r="H510" s="1" t="s">
        <v>112</v>
      </c>
      <c r="I510" s="1" t="s">
        <v>113</v>
      </c>
      <c r="J510" s="1" t="s">
        <v>2041</v>
      </c>
      <c r="K510" s="1" t="s">
        <v>2465</v>
      </c>
      <c r="L510" s="1">
        <v>1709.0</v>
      </c>
      <c r="M510" s="1">
        <v>1308.0</v>
      </c>
      <c r="N510" s="1">
        <v>161.0</v>
      </c>
      <c r="O510" s="1">
        <v>1342.0</v>
      </c>
      <c r="P510" s="1">
        <v>1319.0</v>
      </c>
      <c r="Q510" s="1">
        <v>74.0</v>
      </c>
      <c r="R510" s="1">
        <v>1087.0</v>
      </c>
      <c r="S510" s="1">
        <v>194.0</v>
      </c>
      <c r="T510" s="1">
        <v>90.0</v>
      </c>
      <c r="U510" s="1">
        <v>57.0</v>
      </c>
      <c r="V510" s="1">
        <v>458.0</v>
      </c>
      <c r="W510" s="1">
        <v>29828.0</v>
      </c>
      <c r="X510" s="1">
        <v>3148.0</v>
      </c>
      <c r="Y510" s="1">
        <v>109.0</v>
      </c>
      <c r="Z510" s="1">
        <v>367.0</v>
      </c>
      <c r="AA510" s="1">
        <v>221.0</v>
      </c>
      <c r="AB510" s="1">
        <v>58.0</v>
      </c>
      <c r="AC510" s="1">
        <v>25.0</v>
      </c>
      <c r="AD510" s="1">
        <v>609.0</v>
      </c>
      <c r="AE510" s="1">
        <v>36.0</v>
      </c>
      <c r="AF510" s="1">
        <v>445.0</v>
      </c>
      <c r="AG510" s="1">
        <v>1222.0</v>
      </c>
      <c r="AH510" s="1">
        <v>165.0</v>
      </c>
      <c r="AI510" s="1">
        <v>0.0</v>
      </c>
      <c r="AJ510" s="1">
        <v>114.0</v>
      </c>
      <c r="AK510" s="1">
        <v>0.0</v>
      </c>
      <c r="AL510" s="1">
        <v>161.0</v>
      </c>
      <c r="AM510" s="1">
        <v>227.0</v>
      </c>
      <c r="AN510" s="1">
        <v>82.0</v>
      </c>
      <c r="AO510" s="1">
        <v>291.0</v>
      </c>
      <c r="AP510" s="1">
        <v>0.148318</v>
      </c>
      <c r="AQ510" s="1">
        <v>0.066341</v>
      </c>
      <c r="AR510" s="1">
        <v>0.058163</v>
      </c>
      <c r="AS510" s="1">
        <v>0.466984</v>
      </c>
      <c r="AT510" s="1">
        <v>29828.0</v>
      </c>
      <c r="AU510" s="1">
        <v>3148.0</v>
      </c>
      <c r="AV510" s="1">
        <v>0.101207</v>
      </c>
      <c r="AW510" s="1">
        <v>0.340477</v>
      </c>
      <c r="AX510" s="1">
        <v>0.129315</v>
      </c>
      <c r="AY510" s="1">
        <v>0.033937</v>
      </c>
      <c r="AZ510" s="1">
        <v>0.02299908</v>
      </c>
      <c r="BA510" s="1">
        <v>0.356348</v>
      </c>
      <c r="BB510" s="1">
        <v>0.027522</v>
      </c>
      <c r="BC510" s="1">
        <v>0.340197</v>
      </c>
      <c r="BD510" s="1">
        <v>0.926459</v>
      </c>
      <c r="BE510" s="1">
        <v>0.113785</v>
      </c>
      <c r="BF510" s="1">
        <v>0.0</v>
      </c>
      <c r="BG510" s="1">
        <v>0.086429</v>
      </c>
      <c r="BH510" s="1">
        <v>0.0</v>
      </c>
      <c r="BI510" s="1">
        <v>0.146098</v>
      </c>
      <c r="BJ510" s="1">
        <v>0.205989</v>
      </c>
      <c r="BK510" s="1">
        <v>0.071671</v>
      </c>
      <c r="BL510" s="1">
        <v>0.170275</v>
      </c>
      <c r="BM510" s="1">
        <v>0.574</v>
      </c>
      <c r="BN510" s="1">
        <v>0.394</v>
      </c>
      <c r="BO510" s="1">
        <v>0.2014</v>
      </c>
      <c r="BP510" s="1">
        <v>0.345</v>
      </c>
      <c r="BQ510" s="1">
        <v>1.5144</v>
      </c>
      <c r="BR510" s="1">
        <v>0.3437</v>
      </c>
      <c r="BS510" s="1">
        <v>0.413</v>
      </c>
      <c r="BT510" s="1">
        <v>0.006</v>
      </c>
      <c r="BU510" s="1">
        <v>0.009</v>
      </c>
      <c r="BV510" s="1">
        <v>0.428</v>
      </c>
      <c r="BW510" s="1">
        <v>0.029</v>
      </c>
      <c r="BX510" s="1">
        <v>0.82</v>
      </c>
      <c r="BY510" s="1">
        <v>0.904</v>
      </c>
      <c r="BZ510" s="1">
        <v>1.724</v>
      </c>
      <c r="CA510" s="1">
        <v>0.933</v>
      </c>
      <c r="CB510" s="1">
        <v>0.997</v>
      </c>
      <c r="CC510" s="1">
        <v>0.0</v>
      </c>
      <c r="CD510" s="1">
        <v>0.0</v>
      </c>
      <c r="CE510" s="1">
        <v>0.911</v>
      </c>
      <c r="CF510" s="1">
        <v>0.961</v>
      </c>
      <c r="CG510" s="1">
        <v>2.869</v>
      </c>
      <c r="CH510" s="1">
        <v>0.72</v>
      </c>
      <c r="CI510" s="1">
        <v>6.5354</v>
      </c>
      <c r="CJ510" s="1">
        <v>0.465</v>
      </c>
      <c r="CK510" s="1">
        <v>0.0</v>
      </c>
      <c r="CL510" s="1">
        <v>0.0</v>
      </c>
      <c r="CM510" s="1">
        <v>0.0</v>
      </c>
      <c r="CN510" s="1">
        <v>0.0</v>
      </c>
      <c r="CO510" s="1">
        <v>0.0</v>
      </c>
      <c r="CP510" s="1">
        <v>0.0</v>
      </c>
      <c r="CQ510" s="1">
        <v>0.0</v>
      </c>
      <c r="CR510" s="1">
        <v>0.0</v>
      </c>
      <c r="CS510" s="1">
        <v>0.0</v>
      </c>
      <c r="CT510" s="1">
        <v>0.0</v>
      </c>
      <c r="CU510" s="1">
        <v>1.0</v>
      </c>
      <c r="CV510" s="1">
        <v>1.0</v>
      </c>
      <c r="CW510" s="1">
        <v>1.0</v>
      </c>
      <c r="CX510" s="1">
        <v>0.0</v>
      </c>
      <c r="CY510" s="1">
        <v>0.0</v>
      </c>
      <c r="CZ510" s="1">
        <v>1.0</v>
      </c>
      <c r="DA510" s="1">
        <v>1.0</v>
      </c>
      <c r="DB510" s="1">
        <v>3.0</v>
      </c>
      <c r="DC510" s="1">
        <v>4.0</v>
      </c>
      <c r="DD510" s="1" t="s">
        <v>2466</v>
      </c>
      <c r="DE510" s="2" t="s">
        <v>2467</v>
      </c>
      <c r="DF510" s="1">
        <v>0.0338613812225702</v>
      </c>
    </row>
    <row r="511" ht="15.75" customHeight="1">
      <c r="A511" s="1" t="s">
        <v>2468</v>
      </c>
      <c r="B511" s="1">
        <v>29.0</v>
      </c>
      <c r="C511" s="2" t="s">
        <v>2039</v>
      </c>
      <c r="D511" s="2" t="s">
        <v>2469</v>
      </c>
      <c r="E511" s="1">
        <v>2.272</v>
      </c>
      <c r="F511" s="1">
        <v>29095.0</v>
      </c>
      <c r="G511" s="1">
        <v>2.9095013606E10</v>
      </c>
      <c r="H511" s="1" t="s">
        <v>112</v>
      </c>
      <c r="I511" s="1" t="s">
        <v>113</v>
      </c>
      <c r="J511" s="1" t="s">
        <v>2041</v>
      </c>
      <c r="K511" s="1" t="s">
        <v>2470</v>
      </c>
      <c r="L511" s="1">
        <v>1429.0</v>
      </c>
      <c r="M511" s="1">
        <v>1344.0</v>
      </c>
      <c r="N511" s="1">
        <v>139.0</v>
      </c>
      <c r="O511" s="1">
        <v>548.0</v>
      </c>
      <c r="P511" s="1">
        <v>523.0</v>
      </c>
      <c r="Q511" s="1">
        <v>42.0</v>
      </c>
      <c r="R511" s="1">
        <v>535.0</v>
      </c>
      <c r="S511" s="1">
        <v>27.0</v>
      </c>
      <c r="T511" s="1">
        <v>120.0</v>
      </c>
      <c r="U511" s="1">
        <v>53.0</v>
      </c>
      <c r="V511" s="1">
        <v>472.0</v>
      </c>
      <c r="W511" s="1">
        <v>48066.0</v>
      </c>
      <c r="X511" s="1">
        <v>6623.0</v>
      </c>
      <c r="Y511" s="1">
        <v>61.0</v>
      </c>
      <c r="Z511" s="1">
        <v>398.0</v>
      </c>
      <c r="AA511" s="1">
        <v>220.0</v>
      </c>
      <c r="AB511" s="1">
        <v>259.0</v>
      </c>
      <c r="AC511" s="1">
        <v>17.0</v>
      </c>
      <c r="AD511" s="1">
        <v>118.0</v>
      </c>
      <c r="AE511" s="1">
        <v>0.0</v>
      </c>
      <c r="AF511" s="1">
        <v>456.0</v>
      </c>
      <c r="AG511" s="1">
        <v>0.0</v>
      </c>
      <c r="AH511" s="1">
        <v>197.0</v>
      </c>
      <c r="AI511" s="1">
        <v>0.0</v>
      </c>
      <c r="AJ511" s="1">
        <v>114.0</v>
      </c>
      <c r="AK511" s="1">
        <v>0.0</v>
      </c>
      <c r="AL511" s="1">
        <v>161.0</v>
      </c>
      <c r="AM511" s="1">
        <v>15.0</v>
      </c>
      <c r="AN511" s="1">
        <v>117.0</v>
      </c>
      <c r="AO511" s="1">
        <v>0.0</v>
      </c>
      <c r="AP511" s="1">
        <v>0.020089</v>
      </c>
      <c r="AQ511" s="1">
        <v>0.089261</v>
      </c>
      <c r="AR511" s="1">
        <v>0.069645</v>
      </c>
      <c r="AS511" s="1">
        <v>0.619544</v>
      </c>
      <c r="AT511" s="1">
        <v>48066.0</v>
      </c>
      <c r="AU511" s="1">
        <v>6623.0</v>
      </c>
      <c r="AV511" s="1">
        <v>0.060396</v>
      </c>
      <c r="AW511" s="1">
        <v>0.394021</v>
      </c>
      <c r="AX511" s="1">
        <v>0.153953</v>
      </c>
      <c r="AY511" s="1">
        <v>0.181245</v>
      </c>
      <c r="AZ511" s="1">
        <v>0.0317757</v>
      </c>
      <c r="BA511" s="1">
        <v>0.082575</v>
      </c>
      <c r="BB511" s="1">
        <v>0.0</v>
      </c>
      <c r="BC511" s="1">
        <v>0.348623</v>
      </c>
      <c r="BD511" s="1">
        <v>0.0</v>
      </c>
      <c r="BE511" s="1">
        <v>0.376673</v>
      </c>
      <c r="BF511" s="1">
        <v>0.0</v>
      </c>
      <c r="BG511" s="1">
        <v>0.217973</v>
      </c>
      <c r="BH511" s="1">
        <v>0.0</v>
      </c>
      <c r="BI511" s="1">
        <v>0.317554</v>
      </c>
      <c r="BJ511" s="1">
        <v>0.029585</v>
      </c>
      <c r="BK511" s="1">
        <v>0.230754</v>
      </c>
      <c r="BL511" s="1">
        <v>0.0</v>
      </c>
      <c r="BM511" s="1">
        <v>0.056</v>
      </c>
      <c r="BN511" s="1">
        <v>0.512</v>
      </c>
      <c r="BO511" s="1">
        <v>0.031</v>
      </c>
      <c r="BP511" s="1">
        <v>0.17</v>
      </c>
      <c r="BQ511" s="1">
        <v>0.769</v>
      </c>
      <c r="BR511" s="1">
        <v>0.148</v>
      </c>
      <c r="BS511" s="1">
        <v>0.61</v>
      </c>
      <c r="BT511" s="1">
        <v>0.123</v>
      </c>
      <c r="BU511" s="1">
        <v>0.019</v>
      </c>
      <c r="BV511" s="1">
        <v>0.752</v>
      </c>
      <c r="BW511" s="1">
        <v>0.067</v>
      </c>
      <c r="BX511" s="1">
        <v>0.406</v>
      </c>
      <c r="BY511" s="1">
        <v>0.0</v>
      </c>
      <c r="BZ511" s="1">
        <v>0.406</v>
      </c>
      <c r="CA511" s="1">
        <v>0.165</v>
      </c>
      <c r="CB511" s="1">
        <v>0.0</v>
      </c>
      <c r="CC511" s="1">
        <v>0.0</v>
      </c>
      <c r="CD511" s="1">
        <v>0.0</v>
      </c>
      <c r="CE511" s="1">
        <v>0.282</v>
      </c>
      <c r="CF511" s="1">
        <v>0.0</v>
      </c>
      <c r="CG511" s="1">
        <v>0.282</v>
      </c>
      <c r="CH511" s="1">
        <v>0.015</v>
      </c>
      <c r="CI511" s="1">
        <v>2.209</v>
      </c>
      <c r="CJ511" s="1">
        <v>0.0043</v>
      </c>
      <c r="CK511" s="1">
        <v>0.0</v>
      </c>
      <c r="CL511" s="1">
        <v>0.0</v>
      </c>
      <c r="CM511" s="1">
        <v>0.0</v>
      </c>
      <c r="CN511" s="1">
        <v>0.0</v>
      </c>
      <c r="CO511" s="1">
        <v>0.0</v>
      </c>
      <c r="CP511" s="1">
        <v>0.0</v>
      </c>
      <c r="CQ511" s="1">
        <v>0.0</v>
      </c>
      <c r="CR511" s="1">
        <v>0.0</v>
      </c>
      <c r="CS511" s="1">
        <v>0.0</v>
      </c>
      <c r="CT511" s="1">
        <v>0.0</v>
      </c>
      <c r="CU511" s="1">
        <v>0.0</v>
      </c>
      <c r="CV511" s="1">
        <v>0.0</v>
      </c>
      <c r="CW511" s="1">
        <v>0.0</v>
      </c>
      <c r="CX511" s="1">
        <v>0.0</v>
      </c>
      <c r="CY511" s="1">
        <v>0.0</v>
      </c>
      <c r="CZ511" s="1">
        <v>0.0</v>
      </c>
      <c r="DA511" s="1">
        <v>0.0</v>
      </c>
      <c r="DB511" s="1">
        <v>0.0</v>
      </c>
      <c r="DC511" s="1">
        <v>0.0</v>
      </c>
      <c r="DD511" s="1" t="s">
        <v>2471</v>
      </c>
      <c r="DE511" s="1">
        <v>6.09843082853665E-4</v>
      </c>
      <c r="DF511" s="2" t="s">
        <v>2472</v>
      </c>
    </row>
    <row r="512" ht="15.75" customHeight="1">
      <c r="A512" s="1" t="s">
        <v>2473</v>
      </c>
      <c r="B512" s="1">
        <v>29.0</v>
      </c>
      <c r="C512" s="2" t="s">
        <v>2039</v>
      </c>
      <c r="D512" s="2" t="s">
        <v>1633</v>
      </c>
      <c r="E512" s="1">
        <v>0.473</v>
      </c>
      <c r="F512" s="1">
        <v>29095.0</v>
      </c>
      <c r="G512" s="1">
        <v>2.90950008E10</v>
      </c>
      <c r="H512" s="1" t="s">
        <v>112</v>
      </c>
      <c r="I512" s="1" t="s">
        <v>113</v>
      </c>
      <c r="J512" s="1" t="s">
        <v>2041</v>
      </c>
      <c r="K512" s="1" t="s">
        <v>2474</v>
      </c>
      <c r="L512" s="1">
        <v>3978.0</v>
      </c>
      <c r="M512" s="1">
        <v>4488.0</v>
      </c>
      <c r="N512" s="1">
        <v>572.0</v>
      </c>
      <c r="O512" s="1">
        <v>1577.0</v>
      </c>
      <c r="P512" s="1">
        <v>1650.0</v>
      </c>
      <c r="Q512" s="1">
        <v>113.0</v>
      </c>
      <c r="R512" s="1">
        <v>1250.0</v>
      </c>
      <c r="S512" s="1">
        <v>1478.0</v>
      </c>
      <c r="T512" s="1">
        <v>540.0</v>
      </c>
      <c r="U512" s="1">
        <v>286.0</v>
      </c>
      <c r="V512" s="1">
        <v>361.0</v>
      </c>
      <c r="W512" s="1">
        <v>12678.0</v>
      </c>
      <c r="X512" s="1">
        <v>1945.0</v>
      </c>
      <c r="Y512" s="1">
        <v>959.0</v>
      </c>
      <c r="Z512" s="1">
        <v>240.0</v>
      </c>
      <c r="AA512" s="1">
        <v>265.0</v>
      </c>
      <c r="AB512" s="1">
        <v>1309.0</v>
      </c>
      <c r="AC512" s="1">
        <v>270.0</v>
      </c>
      <c r="AD512" s="1">
        <v>2803.0</v>
      </c>
      <c r="AE512" s="1">
        <v>652.0</v>
      </c>
      <c r="AF512" s="1">
        <v>437.0</v>
      </c>
      <c r="AG512" s="1">
        <v>27.0</v>
      </c>
      <c r="AH512" s="1">
        <v>165.0</v>
      </c>
      <c r="AI512" s="1">
        <v>9.0</v>
      </c>
      <c r="AJ512" s="1">
        <v>15.0</v>
      </c>
      <c r="AK512" s="1">
        <v>81.0</v>
      </c>
      <c r="AL512" s="1">
        <v>130.0</v>
      </c>
      <c r="AM512" s="1">
        <v>158.0</v>
      </c>
      <c r="AN512" s="1">
        <v>77.0</v>
      </c>
      <c r="AO512" s="1">
        <v>11.0</v>
      </c>
      <c r="AP512" s="1">
        <v>0.332284</v>
      </c>
      <c r="AQ512" s="1">
        <v>0.113634</v>
      </c>
      <c r="AR512" s="1">
        <v>0.129881</v>
      </c>
      <c r="AS512" s="1">
        <v>0.162951</v>
      </c>
      <c r="AT512" s="1">
        <v>12678.0</v>
      </c>
      <c r="AU512" s="1">
        <v>1945.0</v>
      </c>
      <c r="AV512" s="1">
        <v>0.365333</v>
      </c>
      <c r="AW512" s="1">
        <v>0.080232</v>
      </c>
      <c r="AX512" s="1">
        <v>0.066616</v>
      </c>
      <c r="AY512" s="1">
        <v>0.329059</v>
      </c>
      <c r="AZ512" s="1">
        <v>0.216</v>
      </c>
      <c r="BA512" s="1">
        <v>0.704625</v>
      </c>
      <c r="BB512" s="1">
        <v>0.158869</v>
      </c>
      <c r="BC512" s="1">
        <v>0.104902</v>
      </c>
      <c r="BD512" s="1">
        <v>0.016363</v>
      </c>
      <c r="BE512" s="1">
        <v>0.099993</v>
      </c>
      <c r="BF512" s="1">
        <v>0.005454</v>
      </c>
      <c r="BG512" s="1">
        <v>0.009083</v>
      </c>
      <c r="BH512" s="1">
        <v>0.055823</v>
      </c>
      <c r="BI512" s="1">
        <v>0.089457</v>
      </c>
      <c r="BJ512" s="1">
        <v>0.10889</v>
      </c>
      <c r="BK512" s="1">
        <v>0.05219</v>
      </c>
      <c r="BL512" s="1">
        <v>0.002765</v>
      </c>
      <c r="BM512" s="1">
        <v>0.914</v>
      </c>
      <c r="BN512" s="1">
        <v>0.857</v>
      </c>
      <c r="BO512" s="1">
        <v>0.9415</v>
      </c>
      <c r="BP512" s="1">
        <v>0.983</v>
      </c>
      <c r="BQ512" s="1">
        <v>3.6955</v>
      </c>
      <c r="BR512" s="1">
        <v>0.9581</v>
      </c>
      <c r="BS512" s="1">
        <v>0.07</v>
      </c>
      <c r="BT512" s="1">
        <v>0.971</v>
      </c>
      <c r="BU512" s="1">
        <v>0.914</v>
      </c>
      <c r="BV512" s="1">
        <v>1.955</v>
      </c>
      <c r="BW512" s="1">
        <v>0.835</v>
      </c>
      <c r="BX512" s="1">
        <v>0.902</v>
      </c>
      <c r="BY512" s="1">
        <v>0.991</v>
      </c>
      <c r="BZ512" s="1">
        <v>1.893</v>
      </c>
      <c r="CA512" s="1">
        <v>0.989</v>
      </c>
      <c r="CB512" s="1">
        <v>0.436</v>
      </c>
      <c r="CC512" s="1">
        <v>0.405</v>
      </c>
      <c r="CD512" s="1">
        <v>0.953</v>
      </c>
      <c r="CE512" s="1">
        <v>0.776</v>
      </c>
      <c r="CF512" s="1">
        <v>0.469</v>
      </c>
      <c r="CG512" s="1">
        <v>3.039</v>
      </c>
      <c r="CH512" s="1">
        <v>0.79</v>
      </c>
      <c r="CI512" s="1">
        <v>10.5825</v>
      </c>
      <c r="CJ512" s="1">
        <v>0.9769</v>
      </c>
      <c r="CK512" s="1">
        <v>1.0</v>
      </c>
      <c r="CL512" s="1">
        <v>0.0</v>
      </c>
      <c r="CM512" s="1">
        <v>1.0</v>
      </c>
      <c r="CN512" s="1">
        <v>1.0</v>
      </c>
      <c r="CO512" s="1">
        <v>3.0</v>
      </c>
      <c r="CP512" s="1">
        <v>0.0</v>
      </c>
      <c r="CQ512" s="1">
        <v>1.0</v>
      </c>
      <c r="CR512" s="1">
        <v>1.0</v>
      </c>
      <c r="CS512" s="1">
        <v>2.0</v>
      </c>
      <c r="CT512" s="1">
        <v>1.0</v>
      </c>
      <c r="CU512" s="1">
        <v>1.0</v>
      </c>
      <c r="CV512" s="1">
        <v>2.0</v>
      </c>
      <c r="CW512" s="1">
        <v>0.0</v>
      </c>
      <c r="CX512" s="1">
        <v>0.0</v>
      </c>
      <c r="CY512" s="1">
        <v>1.0</v>
      </c>
      <c r="CZ512" s="1">
        <v>0.0</v>
      </c>
      <c r="DA512" s="1">
        <v>0.0</v>
      </c>
      <c r="DB512" s="1">
        <v>1.0</v>
      </c>
      <c r="DC512" s="1">
        <v>8.0</v>
      </c>
      <c r="DD512" s="1" t="s">
        <v>2475</v>
      </c>
      <c r="DE512" s="1">
        <v>1.27773617448056E-4</v>
      </c>
      <c r="DF512" s="1">
        <v>0.0472216549123113</v>
      </c>
    </row>
    <row r="513" ht="15.75" customHeight="1">
      <c r="A513" s="1" t="s">
        <v>2476</v>
      </c>
      <c r="B513" s="1">
        <v>29.0</v>
      </c>
      <c r="C513" s="2" t="s">
        <v>2039</v>
      </c>
      <c r="D513" s="2" t="s">
        <v>389</v>
      </c>
      <c r="E513" s="1">
        <v>0.542</v>
      </c>
      <c r="F513" s="1">
        <v>29095.0</v>
      </c>
      <c r="G513" s="1">
        <v>2.90950009E10</v>
      </c>
      <c r="H513" s="1" t="s">
        <v>112</v>
      </c>
      <c r="I513" s="1" t="s">
        <v>113</v>
      </c>
      <c r="J513" s="1" t="s">
        <v>2041</v>
      </c>
      <c r="K513" s="1" t="s">
        <v>2477</v>
      </c>
      <c r="L513" s="1">
        <v>3052.0</v>
      </c>
      <c r="M513" s="1">
        <v>3273.0</v>
      </c>
      <c r="N513" s="1">
        <v>562.0</v>
      </c>
      <c r="O513" s="1">
        <v>1454.0</v>
      </c>
      <c r="P513" s="1">
        <v>1578.0</v>
      </c>
      <c r="Q513" s="1">
        <v>86.0</v>
      </c>
      <c r="R513" s="1">
        <v>1065.0</v>
      </c>
      <c r="S513" s="1">
        <v>1051.0</v>
      </c>
      <c r="T513" s="1">
        <v>553.0</v>
      </c>
      <c r="U513" s="1">
        <v>137.0</v>
      </c>
      <c r="V513" s="1">
        <v>435.0</v>
      </c>
      <c r="W513" s="1">
        <v>16080.0</v>
      </c>
      <c r="X513" s="1">
        <v>3153.0</v>
      </c>
      <c r="Y513" s="1">
        <v>822.0</v>
      </c>
      <c r="Z513" s="1">
        <v>359.0</v>
      </c>
      <c r="AA513" s="1">
        <v>238.0</v>
      </c>
      <c r="AB513" s="1">
        <v>886.0</v>
      </c>
      <c r="AC513" s="1">
        <v>198.0</v>
      </c>
      <c r="AD513" s="1">
        <v>2018.0</v>
      </c>
      <c r="AE513" s="1">
        <v>682.0</v>
      </c>
      <c r="AF513" s="1">
        <v>525.0</v>
      </c>
      <c r="AG513" s="1">
        <v>104.0</v>
      </c>
      <c r="AH513" s="1">
        <v>132.0</v>
      </c>
      <c r="AI513" s="1">
        <v>0.0</v>
      </c>
      <c r="AJ513" s="1">
        <v>114.0</v>
      </c>
      <c r="AK513" s="1">
        <v>94.0</v>
      </c>
      <c r="AL513" s="1">
        <v>134.0</v>
      </c>
      <c r="AM513" s="1">
        <v>166.0</v>
      </c>
      <c r="AN513" s="1">
        <v>91.0</v>
      </c>
      <c r="AO513" s="1">
        <v>8.0</v>
      </c>
      <c r="AP513" s="1">
        <v>0.321112</v>
      </c>
      <c r="AQ513" s="1">
        <v>0.159708</v>
      </c>
      <c r="AR513" s="1">
        <v>0.07474</v>
      </c>
      <c r="AS513" s="1">
        <v>0.236869</v>
      </c>
      <c r="AT513" s="1">
        <v>16080.0</v>
      </c>
      <c r="AU513" s="1">
        <v>3153.0</v>
      </c>
      <c r="AV513" s="1">
        <v>0.384651</v>
      </c>
      <c r="AW513" s="1">
        <v>0.155439</v>
      </c>
      <c r="AX513" s="1">
        <v>0.077981</v>
      </c>
      <c r="AY513" s="1">
        <v>0.290301</v>
      </c>
      <c r="AZ513" s="1">
        <v>0.18591549</v>
      </c>
      <c r="BA513" s="1">
        <v>0.661205</v>
      </c>
      <c r="BB513" s="1">
        <v>0.233082</v>
      </c>
      <c r="BC513" s="1">
        <v>0.17551</v>
      </c>
      <c r="BD513" s="1">
        <v>0.065906</v>
      </c>
      <c r="BE513" s="1">
        <v>0.083573</v>
      </c>
      <c r="BF513" s="1">
        <v>0.0</v>
      </c>
      <c r="BG513" s="1">
        <v>0.072243</v>
      </c>
      <c r="BH513" s="1">
        <v>0.08608</v>
      </c>
      <c r="BI513" s="1">
        <v>0.122314</v>
      </c>
      <c r="BJ513" s="1">
        <v>0.152014</v>
      </c>
      <c r="BK513" s="1">
        <v>0.081496</v>
      </c>
      <c r="BL513" s="1">
        <v>0.002621</v>
      </c>
      <c r="BM513" s="1">
        <v>0.905</v>
      </c>
      <c r="BN513" s="1">
        <v>0.554</v>
      </c>
      <c r="BO513" s="1">
        <v>0.8339</v>
      </c>
      <c r="BP513" s="1">
        <v>0.986</v>
      </c>
      <c r="BQ513" s="1">
        <v>3.2789</v>
      </c>
      <c r="BR513" s="1">
        <v>0.8736</v>
      </c>
      <c r="BS513" s="1">
        <v>0.107</v>
      </c>
      <c r="BT513" s="1">
        <v>0.889</v>
      </c>
      <c r="BU513" s="1">
        <v>0.875</v>
      </c>
      <c r="BV513" s="1">
        <v>1.871</v>
      </c>
      <c r="BW513" s="1">
        <v>0.782</v>
      </c>
      <c r="BX513" s="1">
        <v>0.893</v>
      </c>
      <c r="BY513" s="1">
        <v>0.997</v>
      </c>
      <c r="BZ513" s="1">
        <v>1.89</v>
      </c>
      <c r="CA513" s="1">
        <v>0.987</v>
      </c>
      <c r="CB513" s="1">
        <v>0.707</v>
      </c>
      <c r="CC513" s="1">
        <v>0.0</v>
      </c>
      <c r="CD513" s="1">
        <v>0.991</v>
      </c>
      <c r="CE513" s="1">
        <v>0.86</v>
      </c>
      <c r="CF513" s="1">
        <v>0.464</v>
      </c>
      <c r="CG513" s="1">
        <v>3.022</v>
      </c>
      <c r="CH513" s="1">
        <v>0.784</v>
      </c>
      <c r="CI513" s="1">
        <v>10.0619</v>
      </c>
      <c r="CJ513" s="1">
        <v>0.9509</v>
      </c>
      <c r="CK513" s="1">
        <v>1.0</v>
      </c>
      <c r="CL513" s="1">
        <v>0.0</v>
      </c>
      <c r="CM513" s="1">
        <v>0.0</v>
      </c>
      <c r="CN513" s="1">
        <v>1.0</v>
      </c>
      <c r="CO513" s="1">
        <v>2.0</v>
      </c>
      <c r="CP513" s="1">
        <v>0.0</v>
      </c>
      <c r="CQ513" s="1">
        <v>0.0</v>
      </c>
      <c r="CR513" s="1">
        <v>0.0</v>
      </c>
      <c r="CS513" s="1">
        <v>0.0</v>
      </c>
      <c r="CT513" s="1">
        <v>0.0</v>
      </c>
      <c r="CU513" s="1">
        <v>1.0</v>
      </c>
      <c r="CV513" s="1">
        <v>1.0</v>
      </c>
      <c r="CW513" s="1">
        <v>0.0</v>
      </c>
      <c r="CX513" s="1">
        <v>0.0</v>
      </c>
      <c r="CY513" s="1">
        <v>1.0</v>
      </c>
      <c r="CZ513" s="1">
        <v>0.0</v>
      </c>
      <c r="DA513" s="1">
        <v>0.0</v>
      </c>
      <c r="DB513" s="1">
        <v>1.0</v>
      </c>
      <c r="DC513" s="1">
        <v>4.0</v>
      </c>
      <c r="DD513" s="1" t="s">
        <v>2478</v>
      </c>
      <c r="DE513" s="1">
        <v>1.46322637017975E-4</v>
      </c>
      <c r="DF513" s="2" t="s">
        <v>2479</v>
      </c>
    </row>
    <row r="514" ht="15.75" customHeight="1">
      <c r="A514" s="1" t="s">
        <v>2480</v>
      </c>
      <c r="B514" s="1">
        <v>29.0</v>
      </c>
      <c r="C514" s="2" t="s">
        <v>2039</v>
      </c>
      <c r="D514" s="2" t="s">
        <v>520</v>
      </c>
      <c r="E514" s="1">
        <v>0.604</v>
      </c>
      <c r="F514" s="1">
        <v>29095.0</v>
      </c>
      <c r="G514" s="1">
        <v>2.9095001E10</v>
      </c>
      <c r="H514" s="1" t="s">
        <v>112</v>
      </c>
      <c r="I514" s="1" t="s">
        <v>113</v>
      </c>
      <c r="J514" s="1" t="s">
        <v>2041</v>
      </c>
      <c r="K514" s="1" t="s">
        <v>2481</v>
      </c>
      <c r="L514" s="1">
        <v>3218.0</v>
      </c>
      <c r="M514" s="1">
        <v>2968.0</v>
      </c>
      <c r="N514" s="1">
        <v>461.0</v>
      </c>
      <c r="O514" s="1">
        <v>1505.0</v>
      </c>
      <c r="P514" s="1">
        <v>1551.0</v>
      </c>
      <c r="Q514" s="1">
        <v>76.0</v>
      </c>
      <c r="R514" s="1">
        <v>1223.0</v>
      </c>
      <c r="S514" s="1">
        <v>1295.0</v>
      </c>
      <c r="T514" s="1">
        <v>411.0</v>
      </c>
      <c r="U514" s="1">
        <v>294.0</v>
      </c>
      <c r="V514" s="1">
        <v>346.0</v>
      </c>
      <c r="W514" s="1">
        <v>11426.0</v>
      </c>
      <c r="X514" s="1">
        <v>1648.0</v>
      </c>
      <c r="Y514" s="1">
        <v>590.0</v>
      </c>
      <c r="Z514" s="1">
        <v>227.0</v>
      </c>
      <c r="AA514" s="1">
        <v>250.0</v>
      </c>
      <c r="AB514" s="1">
        <v>1060.0</v>
      </c>
      <c r="AC514" s="1">
        <v>295.0</v>
      </c>
      <c r="AD514" s="1">
        <v>2436.0</v>
      </c>
      <c r="AE514" s="1">
        <v>379.0</v>
      </c>
      <c r="AF514" s="1">
        <v>427.0</v>
      </c>
      <c r="AG514" s="1">
        <v>344.0</v>
      </c>
      <c r="AH514" s="1">
        <v>162.0</v>
      </c>
      <c r="AI514" s="1">
        <v>0.0</v>
      </c>
      <c r="AJ514" s="1">
        <v>114.0</v>
      </c>
      <c r="AK514" s="1">
        <v>48.0</v>
      </c>
      <c r="AL514" s="1">
        <v>127.0</v>
      </c>
      <c r="AM514" s="1">
        <v>241.0</v>
      </c>
      <c r="AN514" s="1">
        <v>98.0</v>
      </c>
      <c r="AO514" s="1">
        <v>0.0</v>
      </c>
      <c r="AP514" s="1">
        <v>0.43632</v>
      </c>
      <c r="AQ514" s="1">
        <v>0.12076</v>
      </c>
      <c r="AR514" s="1">
        <v>0.205738</v>
      </c>
      <c r="AS514" s="1">
        <v>0.237591</v>
      </c>
      <c r="AT514" s="1">
        <v>11426.0</v>
      </c>
      <c r="AU514" s="1">
        <v>1648.0</v>
      </c>
      <c r="AV514" s="1">
        <v>0.335608</v>
      </c>
      <c r="AW514" s="1">
        <v>0.116103</v>
      </c>
      <c r="AX514" s="1">
        <v>0.077688</v>
      </c>
      <c r="AY514" s="1">
        <v>0.329397</v>
      </c>
      <c r="AZ514" s="1">
        <v>0.24121013</v>
      </c>
      <c r="BA514" s="1">
        <v>0.756991</v>
      </c>
      <c r="BB514" s="1">
        <v>0.140422</v>
      </c>
      <c r="BC514" s="1">
        <v>0.15648</v>
      </c>
      <c r="BD514" s="1">
        <v>0.221792</v>
      </c>
      <c r="BE514" s="1">
        <v>0.103881</v>
      </c>
      <c r="BF514" s="1">
        <v>0.0</v>
      </c>
      <c r="BG514" s="1">
        <v>0.0735</v>
      </c>
      <c r="BH514" s="1">
        <v>0.044943</v>
      </c>
      <c r="BI514" s="1">
        <v>0.118791</v>
      </c>
      <c r="BJ514" s="1">
        <v>0.225655</v>
      </c>
      <c r="BK514" s="1">
        <v>0.087684</v>
      </c>
      <c r="BL514" s="1">
        <v>0.0</v>
      </c>
      <c r="BM514" s="1">
        <v>0.976</v>
      </c>
      <c r="BN514" s="1">
        <v>0.955</v>
      </c>
      <c r="BO514" s="1">
        <v>0.969</v>
      </c>
      <c r="BP514" s="1">
        <v>0.97</v>
      </c>
      <c r="BQ514" s="1">
        <v>3.87</v>
      </c>
      <c r="BR514" s="1">
        <v>0.9921</v>
      </c>
      <c r="BS514" s="1">
        <v>0.105</v>
      </c>
      <c r="BT514" s="1">
        <v>0.972</v>
      </c>
      <c r="BU514" s="1">
        <v>0.938</v>
      </c>
      <c r="BV514" s="1">
        <v>2.015</v>
      </c>
      <c r="BW514" s="1">
        <v>0.864</v>
      </c>
      <c r="BX514" s="1">
        <v>0.915</v>
      </c>
      <c r="BY514" s="1">
        <v>0.989</v>
      </c>
      <c r="BZ514" s="1">
        <v>1.904</v>
      </c>
      <c r="CA514" s="1">
        <v>0.993</v>
      </c>
      <c r="CB514" s="1">
        <v>0.907</v>
      </c>
      <c r="CC514" s="1">
        <v>0.0</v>
      </c>
      <c r="CD514" s="1">
        <v>0.915</v>
      </c>
      <c r="CE514" s="1">
        <v>0.925</v>
      </c>
      <c r="CF514" s="1">
        <v>0.0</v>
      </c>
      <c r="CG514" s="1">
        <v>2.747</v>
      </c>
      <c r="CH514" s="1">
        <v>0.664</v>
      </c>
      <c r="CI514" s="1">
        <v>10.536</v>
      </c>
      <c r="CJ514" s="1">
        <v>0.974</v>
      </c>
      <c r="CK514" s="1">
        <v>1.0</v>
      </c>
      <c r="CL514" s="1">
        <v>1.0</v>
      </c>
      <c r="CM514" s="1">
        <v>1.0</v>
      </c>
      <c r="CN514" s="1">
        <v>1.0</v>
      </c>
      <c r="CO514" s="1">
        <v>4.0</v>
      </c>
      <c r="CP514" s="1">
        <v>0.0</v>
      </c>
      <c r="CQ514" s="1">
        <v>1.0</v>
      </c>
      <c r="CR514" s="1">
        <v>1.0</v>
      </c>
      <c r="CS514" s="1">
        <v>2.0</v>
      </c>
      <c r="CT514" s="1">
        <v>1.0</v>
      </c>
      <c r="CU514" s="1">
        <v>1.0</v>
      </c>
      <c r="CV514" s="1">
        <v>2.0</v>
      </c>
      <c r="CW514" s="1">
        <v>1.0</v>
      </c>
      <c r="CX514" s="1">
        <v>0.0</v>
      </c>
      <c r="CY514" s="1">
        <v>1.0</v>
      </c>
      <c r="CZ514" s="1">
        <v>1.0</v>
      </c>
      <c r="DA514" s="1">
        <v>0.0</v>
      </c>
      <c r="DB514" s="1">
        <v>3.0</v>
      </c>
      <c r="DC514" s="1">
        <v>11.0</v>
      </c>
      <c r="DD514" s="1" t="s">
        <v>2482</v>
      </c>
      <c r="DE514" s="1">
        <v>1.61568769604453E-4</v>
      </c>
      <c r="DF514" s="1">
        <v>0.051957819707108</v>
      </c>
    </row>
    <row r="515" ht="15.75" customHeight="1">
      <c r="A515" s="1" t="s">
        <v>2483</v>
      </c>
      <c r="B515" s="1">
        <v>29.0</v>
      </c>
      <c r="C515" s="2" t="s">
        <v>2039</v>
      </c>
      <c r="D515" s="2" t="s">
        <v>541</v>
      </c>
      <c r="E515" s="1">
        <v>0.383</v>
      </c>
      <c r="F515" s="1">
        <v>29095.0</v>
      </c>
      <c r="G515" s="1">
        <v>2.90950018E10</v>
      </c>
      <c r="H515" s="1" t="s">
        <v>112</v>
      </c>
      <c r="I515" s="1" t="s">
        <v>113</v>
      </c>
      <c r="J515" s="1" t="s">
        <v>2041</v>
      </c>
      <c r="K515" s="1" t="s">
        <v>2484</v>
      </c>
      <c r="L515" s="1">
        <v>2966.0</v>
      </c>
      <c r="M515" s="1">
        <v>2380.0</v>
      </c>
      <c r="N515" s="1">
        <v>449.0</v>
      </c>
      <c r="O515" s="1">
        <v>1415.0</v>
      </c>
      <c r="P515" s="1">
        <v>1453.0</v>
      </c>
      <c r="Q515" s="1">
        <v>101.0</v>
      </c>
      <c r="R515" s="1">
        <v>948.0</v>
      </c>
      <c r="S515" s="1">
        <v>759.0</v>
      </c>
      <c r="T515" s="1">
        <v>342.0</v>
      </c>
      <c r="U515" s="1">
        <v>232.0</v>
      </c>
      <c r="V515" s="1">
        <v>411.0</v>
      </c>
      <c r="W515" s="1">
        <v>12656.0</v>
      </c>
      <c r="X515" s="1">
        <v>2128.0</v>
      </c>
      <c r="Y515" s="1">
        <v>620.0</v>
      </c>
      <c r="Z515" s="1">
        <v>169.0</v>
      </c>
      <c r="AA515" s="1">
        <v>177.0</v>
      </c>
      <c r="AB515" s="1">
        <v>936.0</v>
      </c>
      <c r="AC515" s="1">
        <v>181.0</v>
      </c>
      <c r="AD515" s="1">
        <v>2149.0</v>
      </c>
      <c r="AE515" s="1">
        <v>484.0</v>
      </c>
      <c r="AF515" s="1">
        <v>385.0</v>
      </c>
      <c r="AG515" s="1">
        <v>199.0</v>
      </c>
      <c r="AH515" s="1">
        <v>151.0</v>
      </c>
      <c r="AI515" s="1">
        <v>25.0</v>
      </c>
      <c r="AJ515" s="1">
        <v>28.0</v>
      </c>
      <c r="AK515" s="1">
        <v>60.0</v>
      </c>
      <c r="AL515" s="1">
        <v>127.0</v>
      </c>
      <c r="AM515" s="1">
        <v>280.0</v>
      </c>
      <c r="AN515" s="1">
        <v>113.0</v>
      </c>
      <c r="AO515" s="1">
        <v>138.0</v>
      </c>
      <c r="AP515" s="1">
        <v>0.320253</v>
      </c>
      <c r="AQ515" s="1">
        <v>0.130991</v>
      </c>
      <c r="AR515" s="1">
        <v>0.179984</v>
      </c>
      <c r="AS515" s="1">
        <v>0.315842</v>
      </c>
      <c r="AT515" s="1">
        <v>12656.0</v>
      </c>
      <c r="AU515" s="1">
        <v>2128.0</v>
      </c>
      <c r="AV515" s="1">
        <v>0.421195</v>
      </c>
      <c r="AW515" s="1">
        <v>0.087928</v>
      </c>
      <c r="AX515" s="1">
        <v>0.059676</v>
      </c>
      <c r="AY515" s="1">
        <v>0.315576</v>
      </c>
      <c r="AZ515" s="1">
        <v>0.19092827</v>
      </c>
      <c r="BA515" s="1">
        <v>0.724544</v>
      </c>
      <c r="BB515" s="1">
        <v>0.21163</v>
      </c>
      <c r="BC515" s="1">
        <v>0.16339</v>
      </c>
      <c r="BD515" s="1">
        <v>0.136958</v>
      </c>
      <c r="BE515" s="1">
        <v>0.103485</v>
      </c>
      <c r="BF515" s="1">
        <v>0.017205</v>
      </c>
      <c r="BG515" s="1">
        <v>0.019233</v>
      </c>
      <c r="BH515" s="1">
        <v>0.064724</v>
      </c>
      <c r="BI515" s="1">
        <v>0.136589</v>
      </c>
      <c r="BJ515" s="1">
        <v>0.302049</v>
      </c>
      <c r="BK515" s="1">
        <v>0.111383</v>
      </c>
      <c r="BL515" s="1">
        <v>0.046527</v>
      </c>
      <c r="BM515" s="1">
        <v>0.902</v>
      </c>
      <c r="BN515" s="1">
        <v>0.933</v>
      </c>
      <c r="BO515" s="1">
        <v>0.9422</v>
      </c>
      <c r="BP515" s="1">
        <v>0.994</v>
      </c>
      <c r="BQ515" s="1">
        <v>3.7712</v>
      </c>
      <c r="BR515" s="1">
        <v>0.9769</v>
      </c>
      <c r="BS515" s="1">
        <v>0.043</v>
      </c>
      <c r="BT515" s="1">
        <v>0.955</v>
      </c>
      <c r="BU515" s="1">
        <v>0.888</v>
      </c>
      <c r="BV515" s="1">
        <v>1.886</v>
      </c>
      <c r="BW515" s="1">
        <v>0.792</v>
      </c>
      <c r="BX515" s="1">
        <v>0.904</v>
      </c>
      <c r="BY515" s="1">
        <v>0.995</v>
      </c>
      <c r="BZ515" s="1">
        <v>1.899</v>
      </c>
      <c r="CA515" s="1">
        <v>0.992</v>
      </c>
      <c r="CB515" s="1">
        <v>0.825</v>
      </c>
      <c r="CC515" s="1">
        <v>0.497</v>
      </c>
      <c r="CD515" s="1">
        <v>0.971</v>
      </c>
      <c r="CE515" s="1">
        <v>0.967</v>
      </c>
      <c r="CF515" s="1">
        <v>0.884</v>
      </c>
      <c r="CG515" s="1">
        <v>4.144</v>
      </c>
      <c r="CH515" s="1">
        <v>0.999</v>
      </c>
      <c r="CI515" s="1">
        <v>11.7002</v>
      </c>
      <c r="CJ515" s="1">
        <v>1.0</v>
      </c>
      <c r="CK515" s="1">
        <v>1.0</v>
      </c>
      <c r="CL515" s="1">
        <v>1.0</v>
      </c>
      <c r="CM515" s="1">
        <v>1.0</v>
      </c>
      <c r="CN515" s="1">
        <v>1.0</v>
      </c>
      <c r="CO515" s="1">
        <v>4.0</v>
      </c>
      <c r="CP515" s="1">
        <v>0.0</v>
      </c>
      <c r="CQ515" s="1">
        <v>1.0</v>
      </c>
      <c r="CR515" s="1">
        <v>0.0</v>
      </c>
      <c r="CS515" s="1">
        <v>1.0</v>
      </c>
      <c r="CT515" s="1">
        <v>1.0</v>
      </c>
      <c r="CU515" s="1">
        <v>1.0</v>
      </c>
      <c r="CV515" s="1">
        <v>2.0</v>
      </c>
      <c r="CW515" s="1">
        <v>0.0</v>
      </c>
      <c r="CX515" s="1">
        <v>0.0</v>
      </c>
      <c r="CY515" s="1">
        <v>1.0</v>
      </c>
      <c r="CZ515" s="1">
        <v>1.0</v>
      </c>
      <c r="DA515" s="1">
        <v>0.0</v>
      </c>
      <c r="DB515" s="1">
        <v>2.0</v>
      </c>
      <c r="DC515" s="1">
        <v>9.0</v>
      </c>
      <c r="DD515" s="1" t="s">
        <v>2485</v>
      </c>
      <c r="DE515" s="1">
        <v>1.03206177317559E-4</v>
      </c>
      <c r="DF515" s="1">
        <v>0.0425733702605159</v>
      </c>
    </row>
    <row r="516" ht="15.75" customHeight="1">
      <c r="A516" s="1" t="s">
        <v>2486</v>
      </c>
      <c r="B516" s="1">
        <v>29.0</v>
      </c>
      <c r="C516" s="2" t="s">
        <v>2039</v>
      </c>
      <c r="D516" s="2" t="s">
        <v>1641</v>
      </c>
      <c r="E516" s="1">
        <v>0.669</v>
      </c>
      <c r="F516" s="1">
        <v>29095.0</v>
      </c>
      <c r="G516" s="1">
        <v>2.90950019E10</v>
      </c>
      <c r="H516" s="1" t="s">
        <v>112</v>
      </c>
      <c r="I516" s="1" t="s">
        <v>113</v>
      </c>
      <c r="J516" s="1" t="s">
        <v>2041</v>
      </c>
      <c r="K516" s="1" t="s">
        <v>2487</v>
      </c>
      <c r="L516" s="1">
        <v>3346.0</v>
      </c>
      <c r="M516" s="1">
        <v>3685.0</v>
      </c>
      <c r="N516" s="1">
        <v>691.0</v>
      </c>
      <c r="O516" s="1">
        <v>1476.0</v>
      </c>
      <c r="P516" s="1">
        <v>1508.0</v>
      </c>
      <c r="Q516" s="1">
        <v>89.0</v>
      </c>
      <c r="R516" s="1">
        <v>1142.0</v>
      </c>
      <c r="S516" s="1">
        <v>1434.0</v>
      </c>
      <c r="T516" s="1">
        <v>520.0</v>
      </c>
      <c r="U516" s="1">
        <v>213.0</v>
      </c>
      <c r="V516" s="1">
        <v>357.0</v>
      </c>
      <c r="W516" s="1">
        <v>10533.0</v>
      </c>
      <c r="X516" s="1">
        <v>1592.0</v>
      </c>
      <c r="Y516" s="1">
        <v>954.0</v>
      </c>
      <c r="Z516" s="1">
        <v>248.0</v>
      </c>
      <c r="AA516" s="1">
        <v>210.0</v>
      </c>
      <c r="AB516" s="1">
        <v>1063.0</v>
      </c>
      <c r="AC516" s="1">
        <v>240.0</v>
      </c>
      <c r="AD516" s="1">
        <v>2503.0</v>
      </c>
      <c r="AE516" s="1">
        <v>870.0</v>
      </c>
      <c r="AF516" s="1">
        <v>445.0</v>
      </c>
      <c r="AG516" s="1">
        <v>167.0</v>
      </c>
      <c r="AH516" s="1">
        <v>147.0</v>
      </c>
      <c r="AI516" s="1">
        <v>0.0</v>
      </c>
      <c r="AJ516" s="1">
        <v>114.0</v>
      </c>
      <c r="AK516" s="1">
        <v>172.0</v>
      </c>
      <c r="AL516" s="1">
        <v>95.0</v>
      </c>
      <c r="AM516" s="1">
        <v>264.0</v>
      </c>
      <c r="AN516" s="1">
        <v>116.0</v>
      </c>
      <c r="AO516" s="1">
        <v>0.0</v>
      </c>
      <c r="AP516" s="1">
        <v>0.389145</v>
      </c>
      <c r="AQ516" s="1">
        <v>0.12078</v>
      </c>
      <c r="AR516" s="1">
        <v>0.143627</v>
      </c>
      <c r="AS516" s="1">
        <v>0.238897</v>
      </c>
      <c r="AT516" s="1">
        <v>10533.0</v>
      </c>
      <c r="AU516" s="1">
        <v>1592.0</v>
      </c>
      <c r="AV516" s="1">
        <v>0.459095</v>
      </c>
      <c r="AW516" s="1">
        <v>0.088583</v>
      </c>
      <c r="AX516" s="1">
        <v>0.062761</v>
      </c>
      <c r="AY516" s="1">
        <v>0.317692</v>
      </c>
      <c r="AZ516" s="1">
        <v>0.21015761</v>
      </c>
      <c r="BA516" s="1">
        <v>0.748057</v>
      </c>
      <c r="BB516" s="1">
        <v>0.262048</v>
      </c>
      <c r="BC516" s="1">
        <v>0.12548</v>
      </c>
      <c r="BD516" s="1">
        <v>0.110742</v>
      </c>
      <c r="BE516" s="1">
        <v>0.09726</v>
      </c>
      <c r="BF516" s="1">
        <v>0.0</v>
      </c>
      <c r="BG516" s="1">
        <v>0.075596</v>
      </c>
      <c r="BH516" s="1">
        <v>0.140522</v>
      </c>
      <c r="BI516" s="1">
        <v>0.076143</v>
      </c>
      <c r="BJ516" s="1">
        <v>0.215686</v>
      </c>
      <c r="BK516" s="1">
        <v>0.091916</v>
      </c>
      <c r="BL516" s="1">
        <v>0.0</v>
      </c>
      <c r="BM516" s="1">
        <v>0.947</v>
      </c>
      <c r="BN516" s="1">
        <v>0.883</v>
      </c>
      <c r="BO516" s="1">
        <v>0.9834</v>
      </c>
      <c r="BP516" s="1">
        <v>0.997</v>
      </c>
      <c r="BQ516" s="1">
        <v>3.8104</v>
      </c>
      <c r="BR516" s="1">
        <v>0.9819</v>
      </c>
      <c r="BS516" s="1">
        <v>0.056</v>
      </c>
      <c r="BT516" s="1">
        <v>0.957</v>
      </c>
      <c r="BU516" s="1">
        <v>0.907</v>
      </c>
      <c r="BV516" s="1">
        <v>1.92</v>
      </c>
      <c r="BW516" s="1">
        <v>0.814</v>
      </c>
      <c r="BX516" s="1">
        <v>0.911</v>
      </c>
      <c r="BY516" s="1">
        <v>1.0</v>
      </c>
      <c r="BZ516" s="1">
        <v>1.911</v>
      </c>
      <c r="CA516" s="1">
        <v>0.995</v>
      </c>
      <c r="CB516" s="1">
        <v>0.789</v>
      </c>
      <c r="CC516" s="1">
        <v>0.0</v>
      </c>
      <c r="CD516" s="1">
        <v>0.999</v>
      </c>
      <c r="CE516" s="1">
        <v>0.92</v>
      </c>
      <c r="CF516" s="1">
        <v>0.0</v>
      </c>
      <c r="CG516" s="1">
        <v>2.708</v>
      </c>
      <c r="CH516" s="1">
        <v>0.647</v>
      </c>
      <c r="CI516" s="1">
        <v>10.3494</v>
      </c>
      <c r="CJ516" s="1">
        <v>0.969</v>
      </c>
      <c r="CK516" s="1">
        <v>1.0</v>
      </c>
      <c r="CL516" s="1">
        <v>0.0</v>
      </c>
      <c r="CM516" s="1">
        <v>1.0</v>
      </c>
      <c r="CN516" s="1">
        <v>1.0</v>
      </c>
      <c r="CO516" s="1">
        <v>3.0</v>
      </c>
      <c r="CP516" s="1">
        <v>0.0</v>
      </c>
      <c r="CQ516" s="1">
        <v>1.0</v>
      </c>
      <c r="CR516" s="1">
        <v>1.0</v>
      </c>
      <c r="CS516" s="1">
        <v>2.0</v>
      </c>
      <c r="CT516" s="1">
        <v>1.0</v>
      </c>
      <c r="CU516" s="1">
        <v>1.0</v>
      </c>
      <c r="CV516" s="1">
        <v>2.0</v>
      </c>
      <c r="CW516" s="1">
        <v>0.0</v>
      </c>
      <c r="CX516" s="1">
        <v>0.0</v>
      </c>
      <c r="CY516" s="1">
        <v>1.0</v>
      </c>
      <c r="CZ516" s="1">
        <v>1.0</v>
      </c>
      <c r="DA516" s="1">
        <v>0.0</v>
      </c>
      <c r="DB516" s="1">
        <v>2.0</v>
      </c>
      <c r="DC516" s="1">
        <v>9.0</v>
      </c>
      <c r="DD516" s="1" t="s">
        <v>2488</v>
      </c>
      <c r="DE516" s="1">
        <v>1.8040284678489E-4</v>
      </c>
      <c r="DF516" s="1">
        <v>0.0657489086923682</v>
      </c>
    </row>
    <row r="517" ht="15.75" customHeight="1">
      <c r="A517" s="1" t="s">
        <v>2489</v>
      </c>
      <c r="B517" s="1">
        <v>29.0</v>
      </c>
      <c r="C517" s="2" t="s">
        <v>2039</v>
      </c>
      <c r="D517" s="2" t="s">
        <v>376</v>
      </c>
      <c r="E517" s="1">
        <v>0.7</v>
      </c>
      <c r="F517" s="1">
        <v>29095.0</v>
      </c>
      <c r="G517" s="1">
        <v>2.9095002E10</v>
      </c>
      <c r="H517" s="1" t="s">
        <v>112</v>
      </c>
      <c r="I517" s="1" t="s">
        <v>113</v>
      </c>
      <c r="J517" s="1" t="s">
        <v>2041</v>
      </c>
      <c r="K517" s="1" t="s">
        <v>2490</v>
      </c>
      <c r="L517" s="1">
        <v>2336.0</v>
      </c>
      <c r="M517" s="1">
        <v>2206.0</v>
      </c>
      <c r="N517" s="1">
        <v>526.0</v>
      </c>
      <c r="O517" s="1">
        <v>899.0</v>
      </c>
      <c r="P517" s="1">
        <v>935.0</v>
      </c>
      <c r="Q517" s="1">
        <v>54.0</v>
      </c>
      <c r="R517" s="1">
        <v>743.0</v>
      </c>
      <c r="S517" s="1">
        <v>898.0</v>
      </c>
      <c r="T517" s="1">
        <v>411.0</v>
      </c>
      <c r="U517" s="1">
        <v>105.0</v>
      </c>
      <c r="V517" s="1">
        <v>463.0</v>
      </c>
      <c r="W517" s="1">
        <v>11708.0</v>
      </c>
      <c r="X517" s="1">
        <v>2903.0</v>
      </c>
      <c r="Y517" s="1">
        <v>668.0</v>
      </c>
      <c r="Z517" s="1">
        <v>237.0</v>
      </c>
      <c r="AA517" s="1">
        <v>145.0</v>
      </c>
      <c r="AB517" s="1">
        <v>747.0</v>
      </c>
      <c r="AC517" s="1">
        <v>158.0</v>
      </c>
      <c r="AD517" s="1">
        <v>1616.0</v>
      </c>
      <c r="AE517" s="1">
        <v>337.0</v>
      </c>
      <c r="AF517" s="1">
        <v>429.0</v>
      </c>
      <c r="AG517" s="1">
        <v>20.0</v>
      </c>
      <c r="AH517" s="1">
        <v>116.0</v>
      </c>
      <c r="AI517" s="1">
        <v>0.0</v>
      </c>
      <c r="AJ517" s="1">
        <v>114.0</v>
      </c>
      <c r="AK517" s="1">
        <v>0.0</v>
      </c>
      <c r="AL517" s="1">
        <v>161.0</v>
      </c>
      <c r="AM517" s="1">
        <v>137.0</v>
      </c>
      <c r="AN517" s="1">
        <v>75.0</v>
      </c>
      <c r="AO517" s="1">
        <v>26.0</v>
      </c>
      <c r="AP517" s="1">
        <v>0.407071</v>
      </c>
      <c r="AQ517" s="1">
        <v>0.159029</v>
      </c>
      <c r="AR517" s="1">
        <v>0.10396</v>
      </c>
      <c r="AS517" s="1">
        <v>0.457798</v>
      </c>
      <c r="AT517" s="1">
        <v>11708.0</v>
      </c>
      <c r="AU517" s="1">
        <v>2903.0</v>
      </c>
      <c r="AV517" s="1">
        <v>0.493353</v>
      </c>
      <c r="AW517" s="1">
        <v>0.129894</v>
      </c>
      <c r="AX517" s="1">
        <v>0.062071</v>
      </c>
      <c r="AY517" s="1">
        <v>0.319777</v>
      </c>
      <c r="AZ517" s="1">
        <v>0.21265141</v>
      </c>
      <c r="BA517" s="1">
        <v>0.69178</v>
      </c>
      <c r="BB517" s="1">
        <v>0.170979</v>
      </c>
      <c r="BC517" s="1">
        <v>0.213602</v>
      </c>
      <c r="BD517" s="1">
        <v>0.02139</v>
      </c>
      <c r="BE517" s="1">
        <v>0.124058</v>
      </c>
      <c r="BF517" s="1">
        <v>0.0</v>
      </c>
      <c r="BG517" s="1">
        <v>0.121925</v>
      </c>
      <c r="BH517" s="1">
        <v>0.0</v>
      </c>
      <c r="BI517" s="1">
        <v>0.216981</v>
      </c>
      <c r="BJ517" s="1">
        <v>0.184636</v>
      </c>
      <c r="BK517" s="1">
        <v>0.097774</v>
      </c>
      <c r="BL517" s="1">
        <v>0.01113</v>
      </c>
      <c r="BM517" s="1">
        <v>0.955</v>
      </c>
      <c r="BN517" s="1">
        <v>0.756</v>
      </c>
      <c r="BO517" s="1">
        <v>0.9646</v>
      </c>
      <c r="BP517" s="1">
        <v>0.998</v>
      </c>
      <c r="BQ517" s="1">
        <v>3.6736</v>
      </c>
      <c r="BR517" s="1">
        <v>0.9531</v>
      </c>
      <c r="BS517" s="1">
        <v>0.05</v>
      </c>
      <c r="BT517" s="1">
        <v>0.96</v>
      </c>
      <c r="BU517" s="1">
        <v>0.91</v>
      </c>
      <c r="BV517" s="1">
        <v>1.92</v>
      </c>
      <c r="BW517" s="1">
        <v>0.814</v>
      </c>
      <c r="BX517" s="1">
        <v>0.898</v>
      </c>
      <c r="BY517" s="1">
        <v>0.992</v>
      </c>
      <c r="BZ517" s="1">
        <v>1.89</v>
      </c>
      <c r="CA517" s="1">
        <v>0.987</v>
      </c>
      <c r="CB517" s="1">
        <v>0.48</v>
      </c>
      <c r="CC517" s="1">
        <v>0.0</v>
      </c>
      <c r="CD517" s="1">
        <v>0.0</v>
      </c>
      <c r="CE517" s="1">
        <v>0.895</v>
      </c>
      <c r="CF517" s="1">
        <v>0.593</v>
      </c>
      <c r="CG517" s="1">
        <v>1.968</v>
      </c>
      <c r="CH517" s="1">
        <v>0.333</v>
      </c>
      <c r="CI517" s="1">
        <v>9.4516</v>
      </c>
      <c r="CJ517" s="1">
        <v>0.9011</v>
      </c>
      <c r="CK517" s="1">
        <v>1.0</v>
      </c>
      <c r="CL517" s="1">
        <v>0.0</v>
      </c>
      <c r="CM517" s="1">
        <v>1.0</v>
      </c>
      <c r="CN517" s="1">
        <v>1.0</v>
      </c>
      <c r="CO517" s="1">
        <v>3.0</v>
      </c>
      <c r="CP517" s="1">
        <v>0.0</v>
      </c>
      <c r="CQ517" s="1">
        <v>1.0</v>
      </c>
      <c r="CR517" s="1">
        <v>1.0</v>
      </c>
      <c r="CS517" s="1">
        <v>2.0</v>
      </c>
      <c r="CT517" s="1">
        <v>0.0</v>
      </c>
      <c r="CU517" s="1">
        <v>1.0</v>
      </c>
      <c r="CV517" s="1">
        <v>1.0</v>
      </c>
      <c r="CW517" s="1">
        <v>0.0</v>
      </c>
      <c r="CX517" s="1">
        <v>0.0</v>
      </c>
      <c r="CY517" s="1">
        <v>0.0</v>
      </c>
      <c r="CZ517" s="1">
        <v>0.0</v>
      </c>
      <c r="DA517" s="1">
        <v>0.0</v>
      </c>
      <c r="DB517" s="1">
        <v>0.0</v>
      </c>
      <c r="DC517" s="1">
        <v>6.0</v>
      </c>
      <c r="DD517" s="1" t="s">
        <v>2491</v>
      </c>
      <c r="DE517" s="1">
        <v>1.95497522700148E-4</v>
      </c>
      <c r="DF517" s="1">
        <v>0.069292144719012</v>
      </c>
    </row>
    <row r="518" ht="15.75" customHeight="1">
      <c r="A518" s="1" t="s">
        <v>2492</v>
      </c>
      <c r="B518" s="1">
        <v>29.0</v>
      </c>
      <c r="C518" s="2" t="s">
        <v>2039</v>
      </c>
      <c r="D518" s="2" t="s">
        <v>381</v>
      </c>
      <c r="E518" s="1">
        <v>1.415</v>
      </c>
      <c r="F518" s="1">
        <v>29095.0</v>
      </c>
      <c r="G518" s="1">
        <v>2.90950021E10</v>
      </c>
      <c r="H518" s="1" t="s">
        <v>112</v>
      </c>
      <c r="I518" s="1" t="s">
        <v>113</v>
      </c>
      <c r="J518" s="1" t="s">
        <v>2041</v>
      </c>
      <c r="K518" s="1" t="s">
        <v>2493</v>
      </c>
      <c r="L518" s="1">
        <v>4280.0</v>
      </c>
      <c r="M518" s="1">
        <v>4425.0</v>
      </c>
      <c r="N518" s="1">
        <v>622.0</v>
      </c>
      <c r="O518" s="1">
        <v>1763.0</v>
      </c>
      <c r="P518" s="1">
        <v>1716.0</v>
      </c>
      <c r="Q518" s="1">
        <v>83.0</v>
      </c>
      <c r="R518" s="1">
        <v>1339.0</v>
      </c>
      <c r="S518" s="1">
        <v>1709.0</v>
      </c>
      <c r="T518" s="1">
        <v>498.0</v>
      </c>
      <c r="U518" s="1">
        <v>196.0</v>
      </c>
      <c r="V518" s="1">
        <v>407.0</v>
      </c>
      <c r="W518" s="1">
        <v>9187.0</v>
      </c>
      <c r="X518" s="1">
        <v>1487.0</v>
      </c>
      <c r="Y518" s="1">
        <v>909.0</v>
      </c>
      <c r="Z518" s="1">
        <v>241.0</v>
      </c>
      <c r="AA518" s="1">
        <v>264.0</v>
      </c>
      <c r="AB518" s="1">
        <v>1553.0</v>
      </c>
      <c r="AC518" s="1">
        <v>371.0</v>
      </c>
      <c r="AD518" s="1">
        <v>3271.0</v>
      </c>
      <c r="AE518" s="1">
        <v>460.0</v>
      </c>
      <c r="AF518" s="1">
        <v>404.0</v>
      </c>
      <c r="AG518" s="1">
        <v>23.0</v>
      </c>
      <c r="AH518" s="1">
        <v>166.0</v>
      </c>
      <c r="AI518" s="1">
        <v>13.0</v>
      </c>
      <c r="AJ518" s="1">
        <v>20.0</v>
      </c>
      <c r="AK518" s="1">
        <v>177.0</v>
      </c>
      <c r="AL518" s="1">
        <v>139.0</v>
      </c>
      <c r="AM518" s="1">
        <v>218.0</v>
      </c>
      <c r="AN518" s="1">
        <v>84.0</v>
      </c>
      <c r="AO518" s="1">
        <v>0.0</v>
      </c>
      <c r="AP518" s="1">
        <v>0.386651</v>
      </c>
      <c r="AQ518" s="1">
        <v>0.098708</v>
      </c>
      <c r="AR518" s="1">
        <v>0.125</v>
      </c>
      <c r="AS518" s="1">
        <v>0.257983</v>
      </c>
      <c r="AT518" s="1">
        <v>9187.0</v>
      </c>
      <c r="AU518" s="1">
        <v>1487.0</v>
      </c>
      <c r="AV518" s="1">
        <v>0.397463</v>
      </c>
      <c r="AW518" s="1">
        <v>0.085176</v>
      </c>
      <c r="AX518" s="1">
        <v>0.061682</v>
      </c>
      <c r="AY518" s="1">
        <v>0.36285</v>
      </c>
      <c r="AZ518" s="1">
        <v>0.27707244</v>
      </c>
      <c r="BA518" s="1">
        <v>0.764252</v>
      </c>
      <c r="BB518" s="1">
        <v>0.118009</v>
      </c>
      <c r="BC518" s="1">
        <v>0.102191</v>
      </c>
      <c r="BD518" s="1">
        <v>0.013403</v>
      </c>
      <c r="BE518" s="1">
        <v>0.096734</v>
      </c>
      <c r="BF518" s="1">
        <v>0.007575</v>
      </c>
      <c r="BG518" s="1">
        <v>0.011649</v>
      </c>
      <c r="BH518" s="1">
        <v>0.13082</v>
      </c>
      <c r="BI518" s="1">
        <v>0.101773</v>
      </c>
      <c r="BJ518" s="1">
        <v>0.161123</v>
      </c>
      <c r="BK518" s="1">
        <v>0.059634</v>
      </c>
      <c r="BL518" s="1">
        <v>0.0</v>
      </c>
      <c r="BM518" s="1">
        <v>0.946</v>
      </c>
      <c r="BN518" s="1">
        <v>0.839</v>
      </c>
      <c r="BO518" s="1">
        <v>0.9928</v>
      </c>
      <c r="BP518" s="1">
        <v>0.989</v>
      </c>
      <c r="BQ518" s="1">
        <v>3.7668</v>
      </c>
      <c r="BR518" s="1">
        <v>0.9747</v>
      </c>
      <c r="BS518" s="1">
        <v>0.049</v>
      </c>
      <c r="BT518" s="1">
        <v>0.988</v>
      </c>
      <c r="BU518" s="1">
        <v>0.968</v>
      </c>
      <c r="BV518" s="1">
        <v>2.005</v>
      </c>
      <c r="BW518" s="1">
        <v>0.861</v>
      </c>
      <c r="BX518" s="1">
        <v>0.917</v>
      </c>
      <c r="BY518" s="1">
        <v>0.987</v>
      </c>
      <c r="BZ518" s="1">
        <v>1.904</v>
      </c>
      <c r="CA518" s="1">
        <v>0.993</v>
      </c>
      <c r="CB518" s="1">
        <v>0.412</v>
      </c>
      <c r="CC518" s="1">
        <v>0.433</v>
      </c>
      <c r="CD518" s="1">
        <v>0.998</v>
      </c>
      <c r="CE518" s="1">
        <v>0.873</v>
      </c>
      <c r="CF518" s="1">
        <v>0.0</v>
      </c>
      <c r="CG518" s="1">
        <v>2.716</v>
      </c>
      <c r="CH518" s="1">
        <v>0.652</v>
      </c>
      <c r="CI518" s="1">
        <v>10.3918</v>
      </c>
      <c r="CJ518" s="1">
        <v>0.9704</v>
      </c>
      <c r="CK518" s="1">
        <v>1.0</v>
      </c>
      <c r="CL518" s="1">
        <v>0.0</v>
      </c>
      <c r="CM518" s="1">
        <v>1.0</v>
      </c>
      <c r="CN518" s="1">
        <v>1.0</v>
      </c>
      <c r="CO518" s="1">
        <v>3.0</v>
      </c>
      <c r="CP518" s="1">
        <v>0.0</v>
      </c>
      <c r="CQ518" s="1">
        <v>1.0</v>
      </c>
      <c r="CR518" s="1">
        <v>1.0</v>
      </c>
      <c r="CS518" s="1">
        <v>2.0</v>
      </c>
      <c r="CT518" s="1">
        <v>1.0</v>
      </c>
      <c r="CU518" s="1">
        <v>1.0</v>
      </c>
      <c r="CV518" s="1">
        <v>2.0</v>
      </c>
      <c r="CW518" s="1">
        <v>0.0</v>
      </c>
      <c r="CX518" s="1">
        <v>0.0</v>
      </c>
      <c r="CY518" s="1">
        <v>1.0</v>
      </c>
      <c r="CZ518" s="1">
        <v>0.0</v>
      </c>
      <c r="DA518" s="1">
        <v>0.0</v>
      </c>
      <c r="DB518" s="1">
        <v>1.0</v>
      </c>
      <c r="DC518" s="1">
        <v>8.0</v>
      </c>
      <c r="DD518" s="1" t="s">
        <v>2494</v>
      </c>
      <c r="DE518" s="1">
        <v>3.87682238426019E-4</v>
      </c>
      <c r="DF518" s="1">
        <v>0.0813099895132374</v>
      </c>
    </row>
    <row r="519" ht="15.75" customHeight="1">
      <c r="A519" s="1" t="s">
        <v>2495</v>
      </c>
      <c r="B519" s="1">
        <v>29.0</v>
      </c>
      <c r="C519" s="2" t="s">
        <v>2039</v>
      </c>
      <c r="D519" s="2" t="s">
        <v>2496</v>
      </c>
      <c r="E519" s="1">
        <v>0.47</v>
      </c>
      <c r="F519" s="1">
        <v>29095.0</v>
      </c>
      <c r="G519" s="1">
        <v>2.90950043E10</v>
      </c>
      <c r="H519" s="1" t="s">
        <v>112</v>
      </c>
      <c r="I519" s="1" t="s">
        <v>113</v>
      </c>
      <c r="J519" s="1" t="s">
        <v>2041</v>
      </c>
      <c r="K519" s="1" t="s">
        <v>2497</v>
      </c>
      <c r="L519" s="1">
        <v>2168.0</v>
      </c>
      <c r="M519" s="1">
        <v>2193.0</v>
      </c>
      <c r="N519" s="1">
        <v>311.0</v>
      </c>
      <c r="O519" s="1">
        <v>1199.0</v>
      </c>
      <c r="P519" s="1">
        <v>1313.0</v>
      </c>
      <c r="Q519" s="1">
        <v>72.0</v>
      </c>
      <c r="R519" s="1">
        <v>1045.0</v>
      </c>
      <c r="S519" s="1">
        <v>850.0</v>
      </c>
      <c r="T519" s="1">
        <v>317.0</v>
      </c>
      <c r="U519" s="1">
        <v>203.0</v>
      </c>
      <c r="V519" s="1">
        <v>471.0</v>
      </c>
      <c r="W519" s="1">
        <v>22756.0</v>
      </c>
      <c r="X519" s="1">
        <v>4974.0</v>
      </c>
      <c r="Y519" s="1">
        <v>236.0</v>
      </c>
      <c r="Z519" s="1">
        <v>298.0</v>
      </c>
      <c r="AA519" s="1">
        <v>110.0</v>
      </c>
      <c r="AB519" s="1">
        <v>327.0</v>
      </c>
      <c r="AC519" s="1">
        <v>109.0</v>
      </c>
      <c r="AD519" s="1">
        <v>1068.0</v>
      </c>
      <c r="AE519" s="1">
        <v>13.0</v>
      </c>
      <c r="AF519" s="1">
        <v>427.0</v>
      </c>
      <c r="AG519" s="1">
        <v>170.0</v>
      </c>
      <c r="AH519" s="1">
        <v>91.0</v>
      </c>
      <c r="AI519" s="1">
        <v>0.0</v>
      </c>
      <c r="AJ519" s="1">
        <v>114.0</v>
      </c>
      <c r="AK519" s="1">
        <v>0.0</v>
      </c>
      <c r="AL519" s="1">
        <v>161.0</v>
      </c>
      <c r="AM519" s="1">
        <v>310.0</v>
      </c>
      <c r="AN519" s="1">
        <v>115.0</v>
      </c>
      <c r="AO519" s="1">
        <v>288.0</v>
      </c>
      <c r="AP519" s="1">
        <v>0.392066</v>
      </c>
      <c r="AQ519" s="1">
        <v>0.135043</v>
      </c>
      <c r="AR519" s="1">
        <v>0.163183</v>
      </c>
      <c r="AS519" s="1">
        <v>0.376511</v>
      </c>
      <c r="AT519" s="1">
        <v>22756.0</v>
      </c>
      <c r="AU519" s="1">
        <v>4974.0</v>
      </c>
      <c r="AV519" s="1">
        <v>0.157965</v>
      </c>
      <c r="AW519" s="1">
        <v>0.19791</v>
      </c>
      <c r="AX519" s="1">
        <v>0.050738</v>
      </c>
      <c r="AY519" s="1">
        <v>0.15083</v>
      </c>
      <c r="AZ519" s="1">
        <v>0.10430622</v>
      </c>
      <c r="BA519" s="1">
        <v>0.492619</v>
      </c>
      <c r="BB519" s="1">
        <v>0.006454</v>
      </c>
      <c r="BC519" s="1">
        <v>0.212013</v>
      </c>
      <c r="BD519" s="1">
        <v>0.129474</v>
      </c>
      <c r="BE519" s="1">
        <v>0.068942</v>
      </c>
      <c r="BF519" s="1">
        <v>0.0</v>
      </c>
      <c r="BG519" s="1">
        <v>0.086824</v>
      </c>
      <c r="BH519" s="1">
        <v>0.0</v>
      </c>
      <c r="BI519" s="1">
        <v>0.146897</v>
      </c>
      <c r="BJ519" s="1">
        <v>0.282846</v>
      </c>
      <c r="BK519" s="1">
        <v>0.099845</v>
      </c>
      <c r="BL519" s="1">
        <v>0.132841</v>
      </c>
      <c r="BM519" s="1">
        <v>0.948</v>
      </c>
      <c r="BN519" s="1">
        <v>0.912</v>
      </c>
      <c r="BO519" s="1">
        <v>0.4578</v>
      </c>
      <c r="BP519" s="1">
        <v>0.602</v>
      </c>
      <c r="BQ519" s="1">
        <v>2.9198</v>
      </c>
      <c r="BR519" s="1">
        <v>0.7834</v>
      </c>
      <c r="BS519" s="1">
        <v>0.024</v>
      </c>
      <c r="BT519" s="1">
        <v>0.069</v>
      </c>
      <c r="BU519" s="1">
        <v>0.534</v>
      </c>
      <c r="BV519" s="1">
        <v>0.627</v>
      </c>
      <c r="BW519" s="1">
        <v>0.048</v>
      </c>
      <c r="BX519" s="1">
        <v>0.863</v>
      </c>
      <c r="BY519" s="1">
        <v>0.615</v>
      </c>
      <c r="BZ519" s="1">
        <v>1.478</v>
      </c>
      <c r="CA519" s="1">
        <v>0.807</v>
      </c>
      <c r="CB519" s="1">
        <v>0.812</v>
      </c>
      <c r="CC519" s="1">
        <v>0.0</v>
      </c>
      <c r="CD519" s="1">
        <v>0.0</v>
      </c>
      <c r="CE519" s="1">
        <v>0.961</v>
      </c>
      <c r="CF519" s="1">
        <v>0.951</v>
      </c>
      <c r="CG519" s="1">
        <v>2.724</v>
      </c>
      <c r="CH519" s="1">
        <v>0.654</v>
      </c>
      <c r="CI519" s="1">
        <v>7.7488</v>
      </c>
      <c r="CJ519" s="1">
        <v>0.6773</v>
      </c>
      <c r="CK519" s="1">
        <v>1.0</v>
      </c>
      <c r="CL519" s="1">
        <v>1.0</v>
      </c>
      <c r="CM519" s="1">
        <v>0.0</v>
      </c>
      <c r="CN519" s="1">
        <v>0.0</v>
      </c>
      <c r="CO519" s="1">
        <v>2.0</v>
      </c>
      <c r="CP519" s="1">
        <v>0.0</v>
      </c>
      <c r="CQ519" s="1">
        <v>0.0</v>
      </c>
      <c r="CR519" s="1">
        <v>0.0</v>
      </c>
      <c r="CS519" s="1">
        <v>0.0</v>
      </c>
      <c r="CT519" s="1">
        <v>0.0</v>
      </c>
      <c r="CU519" s="1">
        <v>0.0</v>
      </c>
      <c r="CV519" s="1">
        <v>0.0</v>
      </c>
      <c r="CW519" s="1">
        <v>0.0</v>
      </c>
      <c r="CX519" s="1">
        <v>0.0</v>
      </c>
      <c r="CY519" s="1">
        <v>0.0</v>
      </c>
      <c r="CZ519" s="1">
        <v>1.0</v>
      </c>
      <c r="DA519" s="1">
        <v>1.0</v>
      </c>
      <c r="DB519" s="1">
        <v>2.0</v>
      </c>
      <c r="DC519" s="1">
        <v>4.0</v>
      </c>
      <c r="DD519" s="1" t="s">
        <v>2498</v>
      </c>
      <c r="DE519" s="1">
        <v>1.28349908791091E-4</v>
      </c>
      <c r="DF519" s="1">
        <v>0.0477036971266238</v>
      </c>
    </row>
    <row r="520" ht="15.75" customHeight="1">
      <c r="A520" s="1" t="s">
        <v>2499</v>
      </c>
      <c r="B520" s="1">
        <v>29.0</v>
      </c>
      <c r="C520" s="2" t="s">
        <v>2039</v>
      </c>
      <c r="D520" s="2" t="s">
        <v>1650</v>
      </c>
      <c r="E520" s="1">
        <v>0.672</v>
      </c>
      <c r="F520" s="1">
        <v>29095.0</v>
      </c>
      <c r="G520" s="1">
        <v>2.90950044E10</v>
      </c>
      <c r="H520" s="1" t="s">
        <v>112</v>
      </c>
      <c r="I520" s="1" t="s">
        <v>113</v>
      </c>
      <c r="J520" s="1" t="s">
        <v>2041</v>
      </c>
      <c r="K520" s="1" t="s">
        <v>2500</v>
      </c>
      <c r="L520" s="1">
        <v>875.0</v>
      </c>
      <c r="M520" s="1">
        <v>896.0</v>
      </c>
      <c r="N520" s="1">
        <v>148.0</v>
      </c>
      <c r="O520" s="1">
        <v>859.0</v>
      </c>
      <c r="P520" s="1">
        <v>755.0</v>
      </c>
      <c r="Q520" s="1">
        <v>78.0</v>
      </c>
      <c r="R520" s="1">
        <v>603.0</v>
      </c>
      <c r="S520" s="1">
        <v>139.0</v>
      </c>
      <c r="T520" s="1">
        <v>71.0</v>
      </c>
      <c r="U520" s="1">
        <v>40.0</v>
      </c>
      <c r="V520" s="1">
        <v>472.0</v>
      </c>
      <c r="W520" s="1">
        <v>59053.0</v>
      </c>
      <c r="X520" s="1">
        <v>20552.0</v>
      </c>
      <c r="Y520" s="1">
        <v>0.0</v>
      </c>
      <c r="Z520" s="1">
        <v>456.0</v>
      </c>
      <c r="AA520" s="1">
        <v>147.0</v>
      </c>
      <c r="AB520" s="1">
        <v>36.0</v>
      </c>
      <c r="AC520" s="1">
        <v>9.0</v>
      </c>
      <c r="AD520" s="1">
        <v>235.0</v>
      </c>
      <c r="AE520" s="1">
        <v>0.0</v>
      </c>
      <c r="AF520" s="1">
        <v>456.0</v>
      </c>
      <c r="AG520" s="1">
        <v>502.0</v>
      </c>
      <c r="AH520" s="1">
        <v>115.0</v>
      </c>
      <c r="AI520" s="1">
        <v>0.0</v>
      </c>
      <c r="AJ520" s="1">
        <v>114.0</v>
      </c>
      <c r="AK520" s="1">
        <v>0.0</v>
      </c>
      <c r="AL520" s="1">
        <v>161.0</v>
      </c>
      <c r="AM520" s="1">
        <v>45.0</v>
      </c>
      <c r="AN520" s="1">
        <v>45.0</v>
      </c>
      <c r="AO520" s="1">
        <v>0.0</v>
      </c>
      <c r="AP520" s="1">
        <v>0.155133</v>
      </c>
      <c r="AQ520" s="1">
        <v>0.074983</v>
      </c>
      <c r="AR520" s="1">
        <v>0.074349</v>
      </c>
      <c r="AS520" s="1">
        <v>0.876675</v>
      </c>
      <c r="AT520" s="1">
        <v>59053.0</v>
      </c>
      <c r="AU520" s="1">
        <v>20552.0</v>
      </c>
      <c r="AV520" s="1">
        <v>0.0</v>
      </c>
      <c r="AW520" s="1">
        <v>0.676557</v>
      </c>
      <c r="AX520" s="1">
        <v>0.168</v>
      </c>
      <c r="AY520" s="1">
        <v>0.041142</v>
      </c>
      <c r="AZ520" s="1">
        <v>0.01492537</v>
      </c>
      <c r="BA520" s="1">
        <v>0.268571</v>
      </c>
      <c r="BB520" s="1">
        <v>0.0</v>
      </c>
      <c r="BC520" s="1">
        <v>0.508928</v>
      </c>
      <c r="BD520" s="1">
        <v>0.6649</v>
      </c>
      <c r="BE520" s="1">
        <v>0.135949</v>
      </c>
      <c r="BF520" s="1">
        <v>0.0</v>
      </c>
      <c r="BG520" s="1">
        <v>0.150993</v>
      </c>
      <c r="BH520" s="1">
        <v>0.0</v>
      </c>
      <c r="BI520" s="1">
        <v>0.265238</v>
      </c>
      <c r="BJ520" s="1">
        <v>0.074135</v>
      </c>
      <c r="BK520" s="1">
        <v>0.073259</v>
      </c>
      <c r="BL520" s="1">
        <v>0.0</v>
      </c>
      <c r="BM520" s="1">
        <v>0.597</v>
      </c>
      <c r="BN520" s="1">
        <v>0.549</v>
      </c>
      <c r="BO520" s="1">
        <v>0.0137</v>
      </c>
      <c r="BP520" s="1">
        <v>0.0</v>
      </c>
      <c r="BQ520" s="1">
        <v>1.1597</v>
      </c>
      <c r="BR520" s="1">
        <v>0.2419</v>
      </c>
      <c r="BS520" s="1">
        <v>0.72</v>
      </c>
      <c r="BT520" s="1">
        <v>0.008</v>
      </c>
      <c r="BU520" s="1">
        <v>0.004</v>
      </c>
      <c r="BV520" s="1">
        <v>0.732</v>
      </c>
      <c r="BW520" s="1">
        <v>0.061</v>
      </c>
      <c r="BX520" s="1">
        <v>0.774</v>
      </c>
      <c r="BY520" s="1">
        <v>0.0</v>
      </c>
      <c r="BZ520" s="1">
        <v>0.774</v>
      </c>
      <c r="CA520" s="1">
        <v>0.379</v>
      </c>
      <c r="CB520" s="1">
        <v>0.989</v>
      </c>
      <c r="CC520" s="1">
        <v>0.0</v>
      </c>
      <c r="CD520" s="1">
        <v>0.0</v>
      </c>
      <c r="CE520" s="1">
        <v>0.645</v>
      </c>
      <c r="CF520" s="1">
        <v>0.0</v>
      </c>
      <c r="CG520" s="1">
        <v>1.634</v>
      </c>
      <c r="CH520" s="1">
        <v>0.212</v>
      </c>
      <c r="CI520" s="1">
        <v>4.2997</v>
      </c>
      <c r="CJ520" s="1">
        <v>0.1162</v>
      </c>
      <c r="CK520" s="1">
        <v>0.0</v>
      </c>
      <c r="CL520" s="1">
        <v>0.0</v>
      </c>
      <c r="CM520" s="1">
        <v>0.0</v>
      </c>
      <c r="CN520" s="1">
        <v>0.0</v>
      </c>
      <c r="CO520" s="1">
        <v>0.0</v>
      </c>
      <c r="CP520" s="1">
        <v>0.0</v>
      </c>
      <c r="CQ520" s="1">
        <v>0.0</v>
      </c>
      <c r="CR520" s="1">
        <v>0.0</v>
      </c>
      <c r="CS520" s="1">
        <v>0.0</v>
      </c>
      <c r="CT520" s="1">
        <v>0.0</v>
      </c>
      <c r="CU520" s="1">
        <v>0.0</v>
      </c>
      <c r="CV520" s="1">
        <v>0.0</v>
      </c>
      <c r="CW520" s="1">
        <v>1.0</v>
      </c>
      <c r="CX520" s="1">
        <v>0.0</v>
      </c>
      <c r="CY520" s="1">
        <v>0.0</v>
      </c>
      <c r="CZ520" s="1">
        <v>0.0</v>
      </c>
      <c r="DA520" s="1">
        <v>0.0</v>
      </c>
      <c r="DB520" s="1">
        <v>1.0</v>
      </c>
      <c r="DC520" s="1">
        <v>1.0</v>
      </c>
      <c r="DD520" s="1" t="s">
        <v>2501</v>
      </c>
      <c r="DE520" s="1">
        <v>1.79292852115593E-4</v>
      </c>
      <c r="DF520" s="2" t="s">
        <v>2502</v>
      </c>
    </row>
    <row r="521" ht="15.75" customHeight="1">
      <c r="A521" s="1" t="s">
        <v>2503</v>
      </c>
      <c r="B521" s="1">
        <v>29.0</v>
      </c>
      <c r="C521" s="2" t="s">
        <v>2039</v>
      </c>
      <c r="D521" s="2" t="s">
        <v>1810</v>
      </c>
      <c r="E521" s="1">
        <v>0.662</v>
      </c>
      <c r="F521" s="1">
        <v>29095.0</v>
      </c>
      <c r="G521" s="1">
        <v>2.90950046E10</v>
      </c>
      <c r="H521" s="1" t="s">
        <v>112</v>
      </c>
      <c r="I521" s="1" t="s">
        <v>113</v>
      </c>
      <c r="J521" s="1" t="s">
        <v>2041</v>
      </c>
      <c r="K521" s="1" t="s">
        <v>2504</v>
      </c>
      <c r="L521" s="1">
        <v>2501.0</v>
      </c>
      <c r="M521" s="1">
        <v>2561.0</v>
      </c>
      <c r="N521" s="1">
        <v>354.0</v>
      </c>
      <c r="O521" s="1">
        <v>1427.0</v>
      </c>
      <c r="P521" s="1">
        <v>1537.0</v>
      </c>
      <c r="Q521" s="1">
        <v>52.0</v>
      </c>
      <c r="R521" s="1">
        <v>1284.0</v>
      </c>
      <c r="S521" s="1">
        <v>430.0</v>
      </c>
      <c r="T521" s="1">
        <v>191.0</v>
      </c>
      <c r="U521" s="1">
        <v>252.0</v>
      </c>
      <c r="V521" s="1">
        <v>364.0</v>
      </c>
      <c r="W521" s="1">
        <v>34178.0</v>
      </c>
      <c r="X521" s="1">
        <v>6741.0</v>
      </c>
      <c r="Y521" s="1">
        <v>137.0</v>
      </c>
      <c r="Z521" s="1">
        <v>366.0</v>
      </c>
      <c r="AA521" s="1">
        <v>253.0</v>
      </c>
      <c r="AB521" s="1">
        <v>409.0</v>
      </c>
      <c r="AC521" s="1">
        <v>120.0</v>
      </c>
      <c r="AD521" s="1">
        <v>841.0</v>
      </c>
      <c r="AE521" s="1">
        <v>49.0</v>
      </c>
      <c r="AF521" s="1">
        <v>431.0</v>
      </c>
      <c r="AG521" s="1">
        <v>238.0</v>
      </c>
      <c r="AH521" s="1">
        <v>99.0</v>
      </c>
      <c r="AI521" s="1">
        <v>0.0</v>
      </c>
      <c r="AJ521" s="1">
        <v>114.0</v>
      </c>
      <c r="AK521" s="1">
        <v>14.0</v>
      </c>
      <c r="AL521" s="1">
        <v>116.0</v>
      </c>
      <c r="AM521" s="1">
        <v>144.0</v>
      </c>
      <c r="AN521" s="1">
        <v>82.0</v>
      </c>
      <c r="AO521" s="1">
        <v>57.0</v>
      </c>
      <c r="AP521" s="1">
        <v>0.167903</v>
      </c>
      <c r="AQ521" s="1">
        <v>0.070877</v>
      </c>
      <c r="AR521" s="1">
        <v>0.145833</v>
      </c>
      <c r="AS521" s="1">
        <v>0.208776</v>
      </c>
      <c r="AT521" s="1">
        <v>34178.0</v>
      </c>
      <c r="AU521" s="1">
        <v>6741.0</v>
      </c>
      <c r="AV521" s="1">
        <v>0.068295</v>
      </c>
      <c r="AW521" s="1">
        <v>0.182272</v>
      </c>
      <c r="AX521" s="1">
        <v>0.101159</v>
      </c>
      <c r="AY521" s="1">
        <v>0.163534</v>
      </c>
      <c r="AZ521" s="1">
        <v>0.09345794</v>
      </c>
      <c r="BA521" s="1">
        <v>0.336265</v>
      </c>
      <c r="BB521" s="1">
        <v>0.020008</v>
      </c>
      <c r="BC521" s="1">
        <v>0.17597</v>
      </c>
      <c r="BD521" s="1">
        <v>0.154847</v>
      </c>
      <c r="BE521" s="1">
        <v>0.064197</v>
      </c>
      <c r="BF521" s="1">
        <v>0.0</v>
      </c>
      <c r="BG521" s="1">
        <v>0.07417</v>
      </c>
      <c r="BH521" s="1">
        <v>0.010518</v>
      </c>
      <c r="BI521" s="1">
        <v>0.087148</v>
      </c>
      <c r="BJ521" s="1">
        <v>0.108189</v>
      </c>
      <c r="BK521" s="1">
        <v>0.060943</v>
      </c>
      <c r="BL521" s="1">
        <v>0.02279</v>
      </c>
      <c r="BM521" s="1">
        <v>0.633</v>
      </c>
      <c r="BN521" s="1">
        <v>0.892</v>
      </c>
      <c r="BO521" s="1">
        <v>0.1256</v>
      </c>
      <c r="BP521" s="1">
        <v>0.194</v>
      </c>
      <c r="BQ521" s="1">
        <v>1.8446</v>
      </c>
      <c r="BR521" s="1">
        <v>0.4448</v>
      </c>
      <c r="BS521" s="1">
        <v>0.217</v>
      </c>
      <c r="BT521" s="1">
        <v>0.088</v>
      </c>
      <c r="BU521" s="1">
        <v>0.433</v>
      </c>
      <c r="BV521" s="1">
        <v>0.738</v>
      </c>
      <c r="BW521" s="1">
        <v>0.062</v>
      </c>
      <c r="BX521" s="1">
        <v>0.81</v>
      </c>
      <c r="BY521" s="1">
        <v>0.857</v>
      </c>
      <c r="BZ521" s="1">
        <v>1.667</v>
      </c>
      <c r="CA521" s="1">
        <v>0.905</v>
      </c>
      <c r="CB521" s="1">
        <v>0.846</v>
      </c>
      <c r="CC521" s="1">
        <v>0.0</v>
      </c>
      <c r="CD521" s="1">
        <v>0.487</v>
      </c>
      <c r="CE521" s="1">
        <v>0.774</v>
      </c>
      <c r="CF521" s="1">
        <v>0.746</v>
      </c>
      <c r="CG521" s="1">
        <v>2.853</v>
      </c>
      <c r="CH521" s="1">
        <v>0.71</v>
      </c>
      <c r="CI521" s="1">
        <v>7.1026</v>
      </c>
      <c r="CJ521" s="1">
        <v>0.5704</v>
      </c>
      <c r="CK521" s="1">
        <v>0.0</v>
      </c>
      <c r="CL521" s="1">
        <v>0.0</v>
      </c>
      <c r="CM521" s="1">
        <v>0.0</v>
      </c>
      <c r="CN521" s="1">
        <v>0.0</v>
      </c>
      <c r="CO521" s="1">
        <v>0.0</v>
      </c>
      <c r="CP521" s="1">
        <v>0.0</v>
      </c>
      <c r="CQ521" s="1">
        <v>0.0</v>
      </c>
      <c r="CR521" s="1">
        <v>0.0</v>
      </c>
      <c r="CS521" s="1">
        <v>0.0</v>
      </c>
      <c r="CT521" s="1">
        <v>0.0</v>
      </c>
      <c r="CU521" s="1">
        <v>0.0</v>
      </c>
      <c r="CV521" s="1">
        <v>0.0</v>
      </c>
      <c r="CW521" s="1">
        <v>0.0</v>
      </c>
      <c r="CX521" s="1">
        <v>0.0</v>
      </c>
      <c r="CY521" s="1">
        <v>0.0</v>
      </c>
      <c r="CZ521" s="1">
        <v>0.0</v>
      </c>
      <c r="DA521" s="1">
        <v>0.0</v>
      </c>
      <c r="DB521" s="1">
        <v>0.0</v>
      </c>
      <c r="DC521" s="1">
        <v>0.0</v>
      </c>
      <c r="DD521" s="1" t="s">
        <v>2505</v>
      </c>
      <c r="DE521" s="1">
        <v>1.78215739850336E-4</v>
      </c>
      <c r="DF521" s="1">
        <v>0.0559985026576881</v>
      </c>
    </row>
    <row r="522" ht="15.75" customHeight="1">
      <c r="A522" s="1" t="s">
        <v>2506</v>
      </c>
      <c r="B522" s="1">
        <v>29.0</v>
      </c>
      <c r="C522" s="2" t="s">
        <v>2039</v>
      </c>
      <c r="D522" s="2" t="s">
        <v>2507</v>
      </c>
      <c r="E522" s="1">
        <v>0.187</v>
      </c>
      <c r="F522" s="1">
        <v>29095.0</v>
      </c>
      <c r="G522" s="1">
        <v>2.90950065E10</v>
      </c>
      <c r="H522" s="1" t="s">
        <v>112</v>
      </c>
      <c r="I522" s="1" t="s">
        <v>113</v>
      </c>
      <c r="J522" s="1" t="s">
        <v>2041</v>
      </c>
      <c r="K522" s="1" t="s">
        <v>2508</v>
      </c>
      <c r="L522" s="1">
        <v>1640.0</v>
      </c>
      <c r="M522" s="1">
        <v>1387.0</v>
      </c>
      <c r="N522" s="1">
        <v>200.0</v>
      </c>
      <c r="O522" s="1">
        <v>1006.0</v>
      </c>
      <c r="P522" s="1">
        <v>1039.0</v>
      </c>
      <c r="Q522" s="1">
        <v>64.0</v>
      </c>
      <c r="R522" s="1">
        <v>817.0</v>
      </c>
      <c r="S522" s="1">
        <v>155.0</v>
      </c>
      <c r="T522" s="1">
        <v>75.0</v>
      </c>
      <c r="U522" s="1">
        <v>0.0</v>
      </c>
      <c r="V522" s="1">
        <v>510.0</v>
      </c>
      <c r="W522" s="1">
        <v>29210.0</v>
      </c>
      <c r="X522" s="1">
        <v>3780.0</v>
      </c>
      <c r="Y522" s="1">
        <v>71.0</v>
      </c>
      <c r="Z522" s="1">
        <v>381.0</v>
      </c>
      <c r="AA522" s="1">
        <v>66.0</v>
      </c>
      <c r="AB522" s="1">
        <v>213.0</v>
      </c>
      <c r="AC522" s="1">
        <v>62.0</v>
      </c>
      <c r="AD522" s="1">
        <v>607.0</v>
      </c>
      <c r="AE522" s="1">
        <v>0.0</v>
      </c>
      <c r="AF522" s="1">
        <v>456.0</v>
      </c>
      <c r="AG522" s="1">
        <v>106.0</v>
      </c>
      <c r="AH522" s="1">
        <v>74.0</v>
      </c>
      <c r="AI522" s="1">
        <v>0.0</v>
      </c>
      <c r="AJ522" s="1">
        <v>114.0</v>
      </c>
      <c r="AK522" s="1">
        <v>0.0</v>
      </c>
      <c r="AL522" s="1">
        <v>161.0</v>
      </c>
      <c r="AM522" s="1">
        <v>48.0</v>
      </c>
      <c r="AN522" s="1">
        <v>119.0</v>
      </c>
      <c r="AO522" s="1">
        <v>77.0</v>
      </c>
      <c r="AP522" s="1">
        <v>0.111751</v>
      </c>
      <c r="AQ522" s="1">
        <v>0.051616</v>
      </c>
      <c r="AR522" s="1">
        <v>0.0</v>
      </c>
      <c r="AS522" s="1">
        <v>0.541401</v>
      </c>
      <c r="AT522" s="1">
        <v>29210.0</v>
      </c>
      <c r="AU522" s="1">
        <v>3780.0</v>
      </c>
      <c r="AV522" s="1">
        <v>0.067107</v>
      </c>
      <c r="AW522" s="1">
        <v>0.359938</v>
      </c>
      <c r="AX522" s="1">
        <v>0.040243</v>
      </c>
      <c r="AY522" s="1">
        <v>0.129878</v>
      </c>
      <c r="AZ522" s="1">
        <v>0.07588739</v>
      </c>
      <c r="BA522" s="1">
        <v>0.370121</v>
      </c>
      <c r="BB522" s="1">
        <v>0.0</v>
      </c>
      <c r="BC522" s="1">
        <v>0.359905</v>
      </c>
      <c r="BD522" s="1">
        <v>0.102021</v>
      </c>
      <c r="BE522" s="1">
        <v>0.070944</v>
      </c>
      <c r="BF522" s="1">
        <v>0.0</v>
      </c>
      <c r="BG522" s="1">
        <v>0.10972</v>
      </c>
      <c r="BH522" s="1">
        <v>0.0</v>
      </c>
      <c r="BI522" s="1">
        <v>0.230329</v>
      </c>
      <c r="BJ522" s="1">
        <v>0.068669</v>
      </c>
      <c r="BK522" s="1">
        <v>0.169912</v>
      </c>
      <c r="BL522" s="1">
        <v>0.046951</v>
      </c>
      <c r="BM522" s="1">
        <v>0.424</v>
      </c>
      <c r="BN522" s="1">
        <v>0.0</v>
      </c>
      <c r="BO522" s="1">
        <v>0.2159</v>
      </c>
      <c r="BP522" s="1">
        <v>0.189</v>
      </c>
      <c r="BQ522" s="1">
        <v>0.8289</v>
      </c>
      <c r="BR522" s="1">
        <v>0.1668</v>
      </c>
      <c r="BS522" s="1">
        <v>0.017</v>
      </c>
      <c r="BT522" s="1">
        <v>0.041</v>
      </c>
      <c r="BU522" s="1">
        <v>0.265</v>
      </c>
      <c r="BV522" s="1">
        <v>0.323</v>
      </c>
      <c r="BW522" s="1">
        <v>0.021</v>
      </c>
      <c r="BX522" s="1">
        <v>0.828</v>
      </c>
      <c r="BY522" s="1">
        <v>0.0</v>
      </c>
      <c r="BZ522" s="1">
        <v>0.828</v>
      </c>
      <c r="CA522" s="1">
        <v>0.419</v>
      </c>
      <c r="CB522" s="1">
        <v>0.776</v>
      </c>
      <c r="CC522" s="1">
        <v>0.0</v>
      </c>
      <c r="CD522" s="1">
        <v>0.0</v>
      </c>
      <c r="CE522" s="1">
        <v>0.617</v>
      </c>
      <c r="CF522" s="1">
        <v>0.886</v>
      </c>
      <c r="CG522" s="1">
        <v>2.279</v>
      </c>
      <c r="CH522" s="1">
        <v>0.451</v>
      </c>
      <c r="CI522" s="1">
        <v>4.2589</v>
      </c>
      <c r="CJ522" s="1">
        <v>0.1112</v>
      </c>
      <c r="CK522" s="1">
        <v>0.0</v>
      </c>
      <c r="CL522" s="1">
        <v>0.0</v>
      </c>
      <c r="CM522" s="1">
        <v>0.0</v>
      </c>
      <c r="CN522" s="1">
        <v>0.0</v>
      </c>
      <c r="CO522" s="1">
        <v>0.0</v>
      </c>
      <c r="CP522" s="1">
        <v>0.0</v>
      </c>
      <c r="CQ522" s="1">
        <v>0.0</v>
      </c>
      <c r="CR522" s="1">
        <v>0.0</v>
      </c>
      <c r="CS522" s="1">
        <v>0.0</v>
      </c>
      <c r="CT522" s="1">
        <v>0.0</v>
      </c>
      <c r="CU522" s="1">
        <v>0.0</v>
      </c>
      <c r="CV522" s="1">
        <v>0.0</v>
      </c>
      <c r="CW522" s="1">
        <v>0.0</v>
      </c>
      <c r="CX522" s="1">
        <v>0.0</v>
      </c>
      <c r="CY522" s="1">
        <v>0.0</v>
      </c>
      <c r="CZ522" s="1">
        <v>0.0</v>
      </c>
      <c r="DA522" s="1">
        <v>0.0</v>
      </c>
      <c r="DB522" s="1">
        <v>0.0</v>
      </c>
      <c r="DC522" s="1">
        <v>0.0</v>
      </c>
      <c r="DD522" s="1" t="s">
        <v>2509</v>
      </c>
      <c r="DE522" s="2" t="s">
        <v>2510</v>
      </c>
      <c r="DF522" s="2" t="s">
        <v>2511</v>
      </c>
    </row>
    <row r="523" ht="15.75" customHeight="1">
      <c r="A523" s="1" t="s">
        <v>2512</v>
      </c>
      <c r="B523" s="1">
        <v>29.0</v>
      </c>
      <c r="C523" s="2" t="s">
        <v>2039</v>
      </c>
      <c r="D523" s="2" t="s">
        <v>2513</v>
      </c>
      <c r="E523" s="1">
        <v>0.374</v>
      </c>
      <c r="F523" s="1">
        <v>29095.0</v>
      </c>
      <c r="G523" s="1">
        <v>2.90950066E10</v>
      </c>
      <c r="H523" s="1" t="s">
        <v>112</v>
      </c>
      <c r="I523" s="1" t="s">
        <v>113</v>
      </c>
      <c r="J523" s="1" t="s">
        <v>2041</v>
      </c>
      <c r="K523" s="1" t="s">
        <v>2514</v>
      </c>
      <c r="L523" s="1">
        <v>1735.0</v>
      </c>
      <c r="M523" s="1">
        <v>1736.0</v>
      </c>
      <c r="N523" s="1">
        <v>297.0</v>
      </c>
      <c r="O523" s="1">
        <v>1218.0</v>
      </c>
      <c r="P523" s="1">
        <v>1273.0</v>
      </c>
      <c r="Q523" s="1">
        <v>78.0</v>
      </c>
      <c r="R523" s="1">
        <v>984.0</v>
      </c>
      <c r="S523" s="1">
        <v>370.0</v>
      </c>
      <c r="T523" s="1">
        <v>235.0</v>
      </c>
      <c r="U523" s="1">
        <v>109.0</v>
      </c>
      <c r="V523" s="1">
        <v>464.0</v>
      </c>
      <c r="W523" s="1">
        <v>43519.0</v>
      </c>
      <c r="X523" s="1">
        <v>9069.0</v>
      </c>
      <c r="Y523" s="1">
        <v>49.0</v>
      </c>
      <c r="Z523" s="1">
        <v>414.0</v>
      </c>
      <c r="AA523" s="1">
        <v>216.0</v>
      </c>
      <c r="AB523" s="1">
        <v>125.0</v>
      </c>
      <c r="AC523" s="1">
        <v>29.0</v>
      </c>
      <c r="AD523" s="1">
        <v>333.0</v>
      </c>
      <c r="AE523" s="1">
        <v>0.0</v>
      </c>
      <c r="AF523" s="1">
        <v>456.0</v>
      </c>
      <c r="AG523" s="1">
        <v>505.0</v>
      </c>
      <c r="AH523" s="1">
        <v>104.0</v>
      </c>
      <c r="AI523" s="1">
        <v>0.0</v>
      </c>
      <c r="AJ523" s="1">
        <v>114.0</v>
      </c>
      <c r="AK523" s="1">
        <v>0.0</v>
      </c>
      <c r="AL523" s="1">
        <v>161.0</v>
      </c>
      <c r="AM523" s="1">
        <v>72.0</v>
      </c>
      <c r="AN523" s="1">
        <v>57.0</v>
      </c>
      <c r="AO523" s="1">
        <v>96.0</v>
      </c>
      <c r="AP523" s="1">
        <v>0.213133</v>
      </c>
      <c r="AQ523" s="1">
        <v>0.130365</v>
      </c>
      <c r="AR523" s="1">
        <v>0.100925</v>
      </c>
      <c r="AS523" s="1">
        <v>0.428832</v>
      </c>
      <c r="AT523" s="1">
        <v>43519.0</v>
      </c>
      <c r="AU523" s="1">
        <v>9069.0</v>
      </c>
      <c r="AV523" s="1">
        <v>0.034875</v>
      </c>
      <c r="AW523" s="1">
        <v>0.294609</v>
      </c>
      <c r="AX523" s="1">
        <v>0.124495</v>
      </c>
      <c r="AY523" s="1">
        <v>0.072046</v>
      </c>
      <c r="AZ523" s="1">
        <v>0.02947154</v>
      </c>
      <c r="BA523" s="1">
        <v>0.19193</v>
      </c>
      <c r="BB523" s="1">
        <v>0.0</v>
      </c>
      <c r="BC523" s="1">
        <v>0.268709</v>
      </c>
      <c r="BD523" s="1">
        <v>0.3967</v>
      </c>
      <c r="BE523" s="1">
        <v>0.077997</v>
      </c>
      <c r="BF523" s="1">
        <v>0.0</v>
      </c>
      <c r="BG523" s="1">
        <v>0.089552</v>
      </c>
      <c r="BH523" s="1">
        <v>0.0</v>
      </c>
      <c r="BI523" s="1">
        <v>0.16312</v>
      </c>
      <c r="BJ523" s="1">
        <v>0.072948</v>
      </c>
      <c r="BK523" s="1">
        <v>0.057099</v>
      </c>
      <c r="BL523" s="1">
        <v>0.055331</v>
      </c>
      <c r="BM523" s="1">
        <v>0.76</v>
      </c>
      <c r="BN523" s="1">
        <v>0.738</v>
      </c>
      <c r="BO523" s="1">
        <v>0.0462</v>
      </c>
      <c r="BP523" s="1">
        <v>0.079</v>
      </c>
      <c r="BQ523" s="1">
        <v>1.6232</v>
      </c>
      <c r="BR523" s="1">
        <v>0.3805</v>
      </c>
      <c r="BS523" s="1">
        <v>0.376</v>
      </c>
      <c r="BT523" s="1">
        <v>0.017</v>
      </c>
      <c r="BU523" s="1">
        <v>0.016</v>
      </c>
      <c r="BV523" s="1">
        <v>0.409</v>
      </c>
      <c r="BW523" s="1">
        <v>0.028</v>
      </c>
      <c r="BX523" s="1">
        <v>0.701</v>
      </c>
      <c r="BY523" s="1">
        <v>0.0</v>
      </c>
      <c r="BZ523" s="1">
        <v>0.701</v>
      </c>
      <c r="CA523" s="1">
        <v>0.338</v>
      </c>
      <c r="CB523" s="1">
        <v>0.967</v>
      </c>
      <c r="CC523" s="1">
        <v>0.0</v>
      </c>
      <c r="CD523" s="1">
        <v>0.0</v>
      </c>
      <c r="CE523" s="1">
        <v>0.64</v>
      </c>
      <c r="CF523" s="1">
        <v>0.905</v>
      </c>
      <c r="CG523" s="1">
        <v>2.512</v>
      </c>
      <c r="CH523" s="1">
        <v>0.567</v>
      </c>
      <c r="CI523" s="1">
        <v>5.2452</v>
      </c>
      <c r="CJ523" s="1">
        <v>0.2361</v>
      </c>
      <c r="CK523" s="1">
        <v>0.0</v>
      </c>
      <c r="CL523" s="1">
        <v>0.0</v>
      </c>
      <c r="CM523" s="1">
        <v>0.0</v>
      </c>
      <c r="CN523" s="1">
        <v>0.0</v>
      </c>
      <c r="CO523" s="1">
        <v>0.0</v>
      </c>
      <c r="CP523" s="1">
        <v>0.0</v>
      </c>
      <c r="CQ523" s="1">
        <v>0.0</v>
      </c>
      <c r="CR523" s="1">
        <v>0.0</v>
      </c>
      <c r="CS523" s="1">
        <v>0.0</v>
      </c>
      <c r="CT523" s="1">
        <v>0.0</v>
      </c>
      <c r="CU523" s="1">
        <v>0.0</v>
      </c>
      <c r="CV523" s="1">
        <v>0.0</v>
      </c>
      <c r="CW523" s="1">
        <v>1.0</v>
      </c>
      <c r="CX523" s="1">
        <v>0.0</v>
      </c>
      <c r="CY523" s="1">
        <v>0.0</v>
      </c>
      <c r="CZ523" s="1">
        <v>0.0</v>
      </c>
      <c r="DA523" s="1">
        <v>1.0</v>
      </c>
      <c r="DB523" s="1">
        <v>2.0</v>
      </c>
      <c r="DC523" s="1">
        <v>2.0</v>
      </c>
      <c r="DD523" s="1" t="s">
        <v>2515</v>
      </c>
      <c r="DE523" s="1">
        <v>1.00771141487357E-4</v>
      </c>
      <c r="DF523" s="1">
        <v>0.0431161242774085</v>
      </c>
    </row>
    <row r="524" ht="15.75" customHeight="1">
      <c r="A524" s="1" t="s">
        <v>2516</v>
      </c>
      <c r="B524" s="1">
        <v>29.0</v>
      </c>
      <c r="C524" s="2" t="s">
        <v>2039</v>
      </c>
      <c r="D524" s="2" t="s">
        <v>2517</v>
      </c>
      <c r="E524" s="1">
        <v>0.188</v>
      </c>
      <c r="F524" s="1">
        <v>29095.0</v>
      </c>
      <c r="G524" s="1">
        <v>2.90950067E10</v>
      </c>
      <c r="H524" s="1" t="s">
        <v>112</v>
      </c>
      <c r="I524" s="1" t="s">
        <v>113</v>
      </c>
      <c r="J524" s="1" t="s">
        <v>2041</v>
      </c>
      <c r="K524" s="1" t="s">
        <v>2518</v>
      </c>
      <c r="L524" s="1">
        <v>1795.0</v>
      </c>
      <c r="M524" s="1">
        <v>1281.0</v>
      </c>
      <c r="N524" s="1">
        <v>236.0</v>
      </c>
      <c r="O524" s="1">
        <v>1223.0</v>
      </c>
      <c r="P524" s="1">
        <v>1035.0</v>
      </c>
      <c r="Q524" s="1">
        <v>105.0</v>
      </c>
      <c r="R524" s="1">
        <v>1040.0</v>
      </c>
      <c r="S524" s="1">
        <v>373.0</v>
      </c>
      <c r="T524" s="1">
        <v>162.0</v>
      </c>
      <c r="U524" s="1">
        <v>95.0</v>
      </c>
      <c r="V524" s="1">
        <v>447.0</v>
      </c>
      <c r="W524" s="1">
        <v>21639.0</v>
      </c>
      <c r="X524" s="1">
        <v>4764.0</v>
      </c>
      <c r="Y524" s="1">
        <v>50.0</v>
      </c>
      <c r="Z524" s="1">
        <v>414.0</v>
      </c>
      <c r="AA524" s="1">
        <v>74.0</v>
      </c>
      <c r="AB524" s="1">
        <v>178.0</v>
      </c>
      <c r="AC524" s="1">
        <v>43.0</v>
      </c>
      <c r="AD524" s="1">
        <v>620.0</v>
      </c>
      <c r="AE524" s="1">
        <v>9.0</v>
      </c>
      <c r="AF524" s="1">
        <v>442.0</v>
      </c>
      <c r="AG524" s="1">
        <v>457.0</v>
      </c>
      <c r="AH524" s="1">
        <v>180.0</v>
      </c>
      <c r="AI524" s="1">
        <v>7.0</v>
      </c>
      <c r="AJ524" s="1">
        <v>12.0</v>
      </c>
      <c r="AK524" s="1">
        <v>0.0</v>
      </c>
      <c r="AL524" s="1">
        <v>161.0</v>
      </c>
      <c r="AM524" s="1">
        <v>170.0</v>
      </c>
      <c r="AN524" s="1">
        <v>68.0</v>
      </c>
      <c r="AO524" s="1">
        <v>0.0</v>
      </c>
      <c r="AP524" s="1">
        <v>0.291178</v>
      </c>
      <c r="AQ524" s="1">
        <v>0.114522</v>
      </c>
      <c r="AR524" s="1">
        <v>0.108944</v>
      </c>
      <c r="AS524" s="1">
        <v>0.511385</v>
      </c>
      <c r="AT524" s="1">
        <v>21639.0</v>
      </c>
      <c r="AU524" s="1">
        <v>4764.0</v>
      </c>
      <c r="AV524" s="1">
        <v>0.067204</v>
      </c>
      <c r="AW524" s="1">
        <v>0.556284</v>
      </c>
      <c r="AX524" s="1">
        <v>0.041225</v>
      </c>
      <c r="AY524" s="1">
        <v>0.099164</v>
      </c>
      <c r="AZ524" s="1">
        <v>0.04134615</v>
      </c>
      <c r="BA524" s="1">
        <v>0.345403</v>
      </c>
      <c r="BB524" s="1">
        <v>0.007299</v>
      </c>
      <c r="BC524" s="1">
        <v>0.358473</v>
      </c>
      <c r="BD524" s="1">
        <v>0.441545</v>
      </c>
      <c r="BE524" s="1">
        <v>0.168045</v>
      </c>
      <c r="BF524" s="1">
        <v>0.006763</v>
      </c>
      <c r="BG524" s="1">
        <v>0.011573</v>
      </c>
      <c r="BH524" s="1">
        <v>0.0</v>
      </c>
      <c r="BI524" s="1">
        <v>0.202515</v>
      </c>
      <c r="BJ524" s="1">
        <v>0.213836</v>
      </c>
      <c r="BK524" s="1">
        <v>0.080254</v>
      </c>
      <c r="BL524" s="1">
        <v>0.0</v>
      </c>
      <c r="BM524" s="1">
        <v>0.875</v>
      </c>
      <c r="BN524" s="1">
        <v>0.783</v>
      </c>
      <c r="BO524" s="1">
        <v>0.5134</v>
      </c>
      <c r="BP524" s="1">
        <v>0.189</v>
      </c>
      <c r="BQ524" s="1">
        <v>2.3604</v>
      </c>
      <c r="BR524" s="1">
        <v>0.6173</v>
      </c>
      <c r="BS524" s="1">
        <v>0.019</v>
      </c>
      <c r="BT524" s="1">
        <v>0.024</v>
      </c>
      <c r="BU524" s="1">
        <v>0.044</v>
      </c>
      <c r="BV524" s="1">
        <v>0.087</v>
      </c>
      <c r="BW524" s="1">
        <v>0.009</v>
      </c>
      <c r="BX524" s="1">
        <v>0.817</v>
      </c>
      <c r="BY524" s="1">
        <v>0.643</v>
      </c>
      <c r="BZ524" s="1">
        <v>1.46</v>
      </c>
      <c r="CA524" s="1">
        <v>0.798</v>
      </c>
      <c r="CB524" s="1">
        <v>0.974</v>
      </c>
      <c r="CC524" s="1">
        <v>0.423</v>
      </c>
      <c r="CD524" s="1">
        <v>0.0</v>
      </c>
      <c r="CE524" s="1">
        <v>0.917</v>
      </c>
      <c r="CF524" s="1">
        <v>0.0</v>
      </c>
      <c r="CG524" s="1">
        <v>2.314</v>
      </c>
      <c r="CH524" s="1">
        <v>0.461</v>
      </c>
      <c r="CI524" s="1">
        <v>6.2214</v>
      </c>
      <c r="CJ524" s="1">
        <v>0.4123</v>
      </c>
      <c r="CK524" s="1">
        <v>0.0</v>
      </c>
      <c r="CL524" s="1">
        <v>0.0</v>
      </c>
      <c r="CM524" s="1">
        <v>0.0</v>
      </c>
      <c r="CN524" s="1">
        <v>0.0</v>
      </c>
      <c r="CO524" s="1">
        <v>0.0</v>
      </c>
      <c r="CP524" s="1">
        <v>0.0</v>
      </c>
      <c r="CQ524" s="1">
        <v>0.0</v>
      </c>
      <c r="CR524" s="1">
        <v>0.0</v>
      </c>
      <c r="CS524" s="1">
        <v>0.0</v>
      </c>
      <c r="CT524" s="1">
        <v>0.0</v>
      </c>
      <c r="CU524" s="1">
        <v>0.0</v>
      </c>
      <c r="CV524" s="1">
        <v>0.0</v>
      </c>
      <c r="CW524" s="1">
        <v>1.0</v>
      </c>
      <c r="CX524" s="1">
        <v>0.0</v>
      </c>
      <c r="CY524" s="1">
        <v>0.0</v>
      </c>
      <c r="CZ524" s="1">
        <v>1.0</v>
      </c>
      <c r="DA524" s="1">
        <v>0.0</v>
      </c>
      <c r="DB524" s="1">
        <v>2.0</v>
      </c>
      <c r="DC524" s="1">
        <v>2.0</v>
      </c>
      <c r="DD524" s="1" t="s">
        <v>2519</v>
      </c>
      <c r="DE524" s="2" t="s">
        <v>2520</v>
      </c>
      <c r="DF524" s="1">
        <v>0.029424890213105</v>
      </c>
    </row>
    <row r="525" ht="15.75" customHeight="1">
      <c r="A525" s="1" t="s">
        <v>2521</v>
      </c>
      <c r="B525" s="1">
        <v>29.0</v>
      </c>
      <c r="C525" s="2" t="s">
        <v>2039</v>
      </c>
      <c r="D525" s="2" t="s">
        <v>2522</v>
      </c>
      <c r="E525" s="1">
        <v>0.3</v>
      </c>
      <c r="F525" s="1">
        <v>29095.0</v>
      </c>
      <c r="G525" s="1">
        <v>2.90950071E10</v>
      </c>
      <c r="H525" s="1" t="s">
        <v>112</v>
      </c>
      <c r="I525" s="1" t="s">
        <v>113</v>
      </c>
      <c r="J525" s="1" t="s">
        <v>2041</v>
      </c>
      <c r="K525" s="1" t="s">
        <v>2523</v>
      </c>
      <c r="L525" s="1">
        <v>2847.0</v>
      </c>
      <c r="M525" s="1">
        <v>2865.0</v>
      </c>
      <c r="N525" s="1">
        <v>379.0</v>
      </c>
      <c r="O525" s="1">
        <v>2128.0</v>
      </c>
      <c r="P525" s="1">
        <v>1957.0</v>
      </c>
      <c r="Q525" s="1">
        <v>100.0</v>
      </c>
      <c r="R525" s="1">
        <v>1757.0</v>
      </c>
      <c r="S525" s="1">
        <v>646.0</v>
      </c>
      <c r="T525" s="1">
        <v>298.0</v>
      </c>
      <c r="U525" s="1">
        <v>100.0</v>
      </c>
      <c r="V525" s="1">
        <v>449.0</v>
      </c>
      <c r="W525" s="1">
        <v>29916.0</v>
      </c>
      <c r="X525" s="1">
        <v>4539.0</v>
      </c>
      <c r="Y525" s="1">
        <v>127.0</v>
      </c>
      <c r="Z525" s="1">
        <v>329.0</v>
      </c>
      <c r="AA525" s="1">
        <v>328.0</v>
      </c>
      <c r="AB525" s="1">
        <v>171.0</v>
      </c>
      <c r="AC525" s="1">
        <v>49.0</v>
      </c>
      <c r="AD525" s="1">
        <v>519.0</v>
      </c>
      <c r="AE525" s="1">
        <v>0.0</v>
      </c>
      <c r="AF525" s="1">
        <v>456.0</v>
      </c>
      <c r="AG525" s="1">
        <v>600.0</v>
      </c>
      <c r="AH525" s="1">
        <v>170.0</v>
      </c>
      <c r="AI525" s="1">
        <v>0.0</v>
      </c>
      <c r="AJ525" s="1">
        <v>114.0</v>
      </c>
      <c r="AK525" s="1">
        <v>0.0</v>
      </c>
      <c r="AL525" s="1">
        <v>161.0</v>
      </c>
      <c r="AM525" s="1">
        <v>182.0</v>
      </c>
      <c r="AN525" s="1">
        <v>89.0</v>
      </c>
      <c r="AO525" s="1">
        <v>67.0</v>
      </c>
      <c r="AP525" s="1">
        <v>0.225479</v>
      </c>
      <c r="AQ525" s="1">
        <v>0.099645</v>
      </c>
      <c r="AR525" s="1">
        <v>0.049776</v>
      </c>
      <c r="AS525" s="1">
        <v>0.223309</v>
      </c>
      <c r="AT525" s="1">
        <v>29916.0</v>
      </c>
      <c r="AU525" s="1">
        <v>4539.0</v>
      </c>
      <c r="AV525" s="1">
        <v>0.054623</v>
      </c>
      <c r="AW525" s="1">
        <v>0.141257</v>
      </c>
      <c r="AX525" s="1">
        <v>0.115208</v>
      </c>
      <c r="AY525" s="1">
        <v>0.060063</v>
      </c>
      <c r="AZ525" s="1">
        <v>0.02788844</v>
      </c>
      <c r="BA525" s="1">
        <v>0.182297</v>
      </c>
      <c r="BB525" s="1">
        <v>0.0</v>
      </c>
      <c r="BC525" s="1">
        <v>0.16274</v>
      </c>
      <c r="BD525" s="1">
        <v>0.306591</v>
      </c>
      <c r="BE525" s="1">
        <v>0.085443</v>
      </c>
      <c r="BF525" s="1">
        <v>0.0</v>
      </c>
      <c r="BG525" s="1">
        <v>0.058252</v>
      </c>
      <c r="BH525" s="1">
        <v>0.0</v>
      </c>
      <c r="BI525" s="1">
        <v>0.09835</v>
      </c>
      <c r="BJ525" s="1">
        <v>0.111178</v>
      </c>
      <c r="BK525" s="1">
        <v>0.053529</v>
      </c>
      <c r="BL525" s="1">
        <v>0.023533</v>
      </c>
      <c r="BM525" s="1">
        <v>0.782</v>
      </c>
      <c r="BN525" s="1">
        <v>0.291</v>
      </c>
      <c r="BO525" s="1">
        <v>0.1993</v>
      </c>
      <c r="BP525" s="1">
        <v>0.146</v>
      </c>
      <c r="BQ525" s="1">
        <v>1.4183</v>
      </c>
      <c r="BR525" s="1">
        <v>0.3162</v>
      </c>
      <c r="BS525" s="1">
        <v>0.311</v>
      </c>
      <c r="BT525" s="1">
        <v>0.015</v>
      </c>
      <c r="BU525" s="1">
        <v>0.014</v>
      </c>
      <c r="BV525" s="1">
        <v>0.34</v>
      </c>
      <c r="BW525" s="1">
        <v>0.023</v>
      </c>
      <c r="BX525" s="1">
        <v>0.685</v>
      </c>
      <c r="BY525" s="1">
        <v>0.0</v>
      </c>
      <c r="BZ525" s="1">
        <v>0.685</v>
      </c>
      <c r="CA525" s="1">
        <v>0.328</v>
      </c>
      <c r="CB525" s="1">
        <v>0.947</v>
      </c>
      <c r="CC525" s="1">
        <v>0.0</v>
      </c>
      <c r="CD525" s="1">
        <v>0.0</v>
      </c>
      <c r="CE525" s="1">
        <v>0.782</v>
      </c>
      <c r="CF525" s="1">
        <v>0.753</v>
      </c>
      <c r="CG525" s="1">
        <v>2.482</v>
      </c>
      <c r="CH525" s="1">
        <v>0.553</v>
      </c>
      <c r="CI525" s="1">
        <v>4.9253</v>
      </c>
      <c r="CJ525" s="1">
        <v>0.1928</v>
      </c>
      <c r="CK525" s="1">
        <v>0.0</v>
      </c>
      <c r="CL525" s="1">
        <v>0.0</v>
      </c>
      <c r="CM525" s="1">
        <v>0.0</v>
      </c>
      <c r="CN525" s="1">
        <v>0.0</v>
      </c>
      <c r="CO525" s="1">
        <v>0.0</v>
      </c>
      <c r="CP525" s="1">
        <v>0.0</v>
      </c>
      <c r="CQ525" s="1">
        <v>0.0</v>
      </c>
      <c r="CR525" s="1">
        <v>0.0</v>
      </c>
      <c r="CS525" s="1">
        <v>0.0</v>
      </c>
      <c r="CT525" s="1">
        <v>0.0</v>
      </c>
      <c r="CU525" s="1">
        <v>0.0</v>
      </c>
      <c r="CV525" s="1">
        <v>0.0</v>
      </c>
      <c r="CW525" s="1">
        <v>1.0</v>
      </c>
      <c r="CX525" s="1">
        <v>0.0</v>
      </c>
      <c r="CY525" s="1">
        <v>0.0</v>
      </c>
      <c r="CZ525" s="1">
        <v>0.0</v>
      </c>
      <c r="DA525" s="1">
        <v>0.0</v>
      </c>
      <c r="DB525" s="1">
        <v>1.0</v>
      </c>
      <c r="DC525" s="1">
        <v>1.0</v>
      </c>
      <c r="DD525" s="1" t="s">
        <v>2524</v>
      </c>
      <c r="DE525" s="2" t="s">
        <v>2525</v>
      </c>
      <c r="DF525" s="2" t="s">
        <v>2526</v>
      </c>
    </row>
    <row r="526" ht="15.75" customHeight="1">
      <c r="A526" s="1" t="s">
        <v>2527</v>
      </c>
      <c r="B526" s="1">
        <v>29.0</v>
      </c>
      <c r="C526" s="2" t="s">
        <v>2039</v>
      </c>
      <c r="D526" s="2" t="s">
        <v>2528</v>
      </c>
      <c r="E526" s="1">
        <v>0.748</v>
      </c>
      <c r="F526" s="1">
        <v>29095.0</v>
      </c>
      <c r="G526" s="1">
        <v>2.90950072E10</v>
      </c>
      <c r="H526" s="1" t="s">
        <v>112</v>
      </c>
      <c r="I526" s="1" t="s">
        <v>113</v>
      </c>
      <c r="J526" s="1" t="s">
        <v>2041</v>
      </c>
      <c r="K526" s="1" t="s">
        <v>2529</v>
      </c>
      <c r="L526" s="1">
        <v>1892.0</v>
      </c>
      <c r="M526" s="1">
        <v>1994.0</v>
      </c>
      <c r="N526" s="1">
        <v>227.0</v>
      </c>
      <c r="O526" s="1">
        <v>1086.0</v>
      </c>
      <c r="P526" s="1">
        <v>1063.0</v>
      </c>
      <c r="Q526" s="1">
        <v>56.0</v>
      </c>
      <c r="R526" s="1">
        <v>974.0</v>
      </c>
      <c r="S526" s="1">
        <v>196.0</v>
      </c>
      <c r="T526" s="1">
        <v>111.0</v>
      </c>
      <c r="U526" s="1">
        <v>125.0</v>
      </c>
      <c r="V526" s="1">
        <v>433.0</v>
      </c>
      <c r="W526" s="1">
        <v>70263.0</v>
      </c>
      <c r="X526" s="1">
        <v>21347.0</v>
      </c>
      <c r="Y526" s="1">
        <v>45.0</v>
      </c>
      <c r="Z526" s="1">
        <v>414.0</v>
      </c>
      <c r="AA526" s="1">
        <v>309.0</v>
      </c>
      <c r="AB526" s="1">
        <v>249.0</v>
      </c>
      <c r="AC526" s="1">
        <v>24.0</v>
      </c>
      <c r="AD526" s="1">
        <v>174.0</v>
      </c>
      <c r="AE526" s="1">
        <v>0.0</v>
      </c>
      <c r="AF526" s="1">
        <v>456.0</v>
      </c>
      <c r="AG526" s="1">
        <v>92.0</v>
      </c>
      <c r="AH526" s="1">
        <v>53.0</v>
      </c>
      <c r="AI526" s="1">
        <v>0.0</v>
      </c>
      <c r="AJ526" s="1">
        <v>114.0</v>
      </c>
      <c r="AK526" s="1">
        <v>0.0</v>
      </c>
      <c r="AL526" s="1">
        <v>161.0</v>
      </c>
      <c r="AM526" s="1">
        <v>17.0</v>
      </c>
      <c r="AN526" s="1">
        <v>21.0</v>
      </c>
      <c r="AO526" s="1">
        <v>0.0</v>
      </c>
      <c r="AP526" s="1">
        <v>0.098294</v>
      </c>
      <c r="AQ526" s="1">
        <v>0.05453</v>
      </c>
      <c r="AR526" s="1">
        <v>0.107851</v>
      </c>
      <c r="AS526" s="1">
        <v>0.372783</v>
      </c>
      <c r="AT526" s="1">
        <v>70263.0</v>
      </c>
      <c r="AU526" s="1">
        <v>21347.0</v>
      </c>
      <c r="AV526" s="1">
        <v>0.028427</v>
      </c>
      <c r="AW526" s="1">
        <v>0.261512</v>
      </c>
      <c r="AX526" s="1">
        <v>0.163319</v>
      </c>
      <c r="AY526" s="1">
        <v>0.131606</v>
      </c>
      <c r="AZ526" s="1">
        <v>0.02464065</v>
      </c>
      <c r="BA526" s="1">
        <v>0.091966</v>
      </c>
      <c r="BB526" s="1">
        <v>0.0</v>
      </c>
      <c r="BC526" s="1">
        <v>0.233846</v>
      </c>
      <c r="BD526" s="1">
        <v>0.086547</v>
      </c>
      <c r="BE526" s="1">
        <v>0.049649</v>
      </c>
      <c r="BF526" s="1">
        <v>0.0</v>
      </c>
      <c r="BG526" s="1">
        <v>0.107243</v>
      </c>
      <c r="BH526" s="1">
        <v>0.0</v>
      </c>
      <c r="BI526" s="1">
        <v>0.160518</v>
      </c>
      <c r="BJ526" s="1">
        <v>0.016949</v>
      </c>
      <c r="BK526" s="1">
        <v>0.020897</v>
      </c>
      <c r="BL526" s="1">
        <v>0.0</v>
      </c>
      <c r="BM526" s="1">
        <v>0.364</v>
      </c>
      <c r="BN526" s="1">
        <v>0.776</v>
      </c>
      <c r="BO526" s="1">
        <v>0.0043</v>
      </c>
      <c r="BP526" s="1">
        <v>0.056</v>
      </c>
      <c r="BQ526" s="1">
        <v>1.2003</v>
      </c>
      <c r="BR526" s="1">
        <v>0.257</v>
      </c>
      <c r="BS526" s="1">
        <v>0.693</v>
      </c>
      <c r="BT526" s="1">
        <v>0.042</v>
      </c>
      <c r="BU526" s="1">
        <v>0.012</v>
      </c>
      <c r="BV526" s="1">
        <v>0.747</v>
      </c>
      <c r="BW526" s="1">
        <v>0.064</v>
      </c>
      <c r="BX526" s="1">
        <v>0.437</v>
      </c>
      <c r="BY526" s="1">
        <v>0.0</v>
      </c>
      <c r="BZ526" s="1">
        <v>0.437</v>
      </c>
      <c r="CA526" s="1">
        <v>0.182</v>
      </c>
      <c r="CB526" s="1">
        <v>0.743</v>
      </c>
      <c r="CC526" s="1">
        <v>0.0</v>
      </c>
      <c r="CD526" s="1">
        <v>0.0</v>
      </c>
      <c r="CE526" s="1">
        <v>0.151</v>
      </c>
      <c r="CF526" s="1">
        <v>0.0</v>
      </c>
      <c r="CG526" s="1">
        <v>0.894</v>
      </c>
      <c r="CH526" s="1">
        <v>0.066</v>
      </c>
      <c r="CI526" s="1">
        <v>3.2783</v>
      </c>
      <c r="CJ526" s="1">
        <v>0.0318</v>
      </c>
      <c r="CK526" s="1">
        <v>0.0</v>
      </c>
      <c r="CL526" s="1">
        <v>0.0</v>
      </c>
      <c r="CM526" s="1">
        <v>0.0</v>
      </c>
      <c r="CN526" s="1">
        <v>0.0</v>
      </c>
      <c r="CO526" s="1">
        <v>0.0</v>
      </c>
      <c r="CP526" s="1">
        <v>0.0</v>
      </c>
      <c r="CQ526" s="1">
        <v>0.0</v>
      </c>
      <c r="CR526" s="1">
        <v>0.0</v>
      </c>
      <c r="CS526" s="1">
        <v>0.0</v>
      </c>
      <c r="CT526" s="1">
        <v>0.0</v>
      </c>
      <c r="CU526" s="1">
        <v>0.0</v>
      </c>
      <c r="CV526" s="1">
        <v>0.0</v>
      </c>
      <c r="CW526" s="1">
        <v>0.0</v>
      </c>
      <c r="CX526" s="1">
        <v>0.0</v>
      </c>
      <c r="CY526" s="1">
        <v>0.0</v>
      </c>
      <c r="CZ526" s="1">
        <v>0.0</v>
      </c>
      <c r="DA526" s="1">
        <v>0.0</v>
      </c>
      <c r="DB526" s="1">
        <v>0.0</v>
      </c>
      <c r="DC526" s="1">
        <v>0.0</v>
      </c>
      <c r="DD526" s="1" t="s">
        <v>2530</v>
      </c>
      <c r="DE526" s="1">
        <v>2.02985813745739E-4</v>
      </c>
      <c r="DF526" s="2" t="s">
        <v>2531</v>
      </c>
    </row>
    <row r="527" ht="15.75" customHeight="1">
      <c r="A527" s="1" t="s">
        <v>2532</v>
      </c>
      <c r="B527" s="1">
        <v>29.0</v>
      </c>
      <c r="C527" s="2" t="s">
        <v>2039</v>
      </c>
      <c r="D527" s="2" t="s">
        <v>2533</v>
      </c>
      <c r="E527" s="1">
        <v>0.272</v>
      </c>
      <c r="F527" s="1">
        <v>29095.0</v>
      </c>
      <c r="G527" s="1">
        <v>2.90950073E10</v>
      </c>
      <c r="H527" s="1" t="s">
        <v>112</v>
      </c>
      <c r="I527" s="1" t="s">
        <v>113</v>
      </c>
      <c r="J527" s="1" t="s">
        <v>2041</v>
      </c>
      <c r="K527" s="1" t="s">
        <v>2534</v>
      </c>
      <c r="L527" s="1">
        <v>2998.0</v>
      </c>
      <c r="M527" s="1">
        <v>2668.0</v>
      </c>
      <c r="N527" s="1">
        <v>287.0</v>
      </c>
      <c r="O527" s="1">
        <v>2713.0</v>
      </c>
      <c r="P527" s="1">
        <v>2589.0</v>
      </c>
      <c r="Q527" s="1">
        <v>170.0</v>
      </c>
      <c r="R527" s="1">
        <v>2209.0</v>
      </c>
      <c r="S527" s="1">
        <v>353.0</v>
      </c>
      <c r="T527" s="1">
        <v>135.0</v>
      </c>
      <c r="U527" s="1">
        <v>150.0</v>
      </c>
      <c r="V527" s="1">
        <v>465.0</v>
      </c>
      <c r="W527" s="1">
        <v>53103.0</v>
      </c>
      <c r="X527" s="1">
        <v>8488.0</v>
      </c>
      <c r="Y527" s="1">
        <v>104.0</v>
      </c>
      <c r="Z527" s="1">
        <v>420.0</v>
      </c>
      <c r="AA527" s="1">
        <v>307.0</v>
      </c>
      <c r="AB527" s="1">
        <v>89.0</v>
      </c>
      <c r="AC527" s="1">
        <v>29.0</v>
      </c>
      <c r="AD527" s="1">
        <v>584.0</v>
      </c>
      <c r="AE527" s="1">
        <v>124.0</v>
      </c>
      <c r="AF527" s="1">
        <v>406.0</v>
      </c>
      <c r="AG527" s="1">
        <v>2078.0</v>
      </c>
      <c r="AH527" s="1">
        <v>302.0</v>
      </c>
      <c r="AI527" s="1">
        <v>16.0</v>
      </c>
      <c r="AJ527" s="1">
        <v>27.0</v>
      </c>
      <c r="AK527" s="1">
        <v>0.0</v>
      </c>
      <c r="AL527" s="1">
        <v>161.0</v>
      </c>
      <c r="AM527" s="1">
        <v>440.0</v>
      </c>
      <c r="AN527" s="1">
        <v>160.0</v>
      </c>
      <c r="AO527" s="1">
        <v>0.0</v>
      </c>
      <c r="AP527" s="1">
        <v>0.132308</v>
      </c>
      <c r="AQ527" s="1">
        <v>0.048556</v>
      </c>
      <c r="AR527" s="1">
        <v>0.079072</v>
      </c>
      <c r="AS527" s="1">
        <v>0.244611</v>
      </c>
      <c r="AT527" s="1">
        <v>53103.0</v>
      </c>
      <c r="AU527" s="1">
        <v>8488.0</v>
      </c>
      <c r="AV527" s="1">
        <v>0.047186</v>
      </c>
      <c r="AW527" s="1">
        <v>0.190458</v>
      </c>
      <c r="AX527" s="1">
        <v>0.102401</v>
      </c>
      <c r="AY527" s="1">
        <v>0.029686</v>
      </c>
      <c r="AZ527" s="1">
        <v>0.01312811</v>
      </c>
      <c r="BA527" s="1">
        <v>0.194796</v>
      </c>
      <c r="BB527" s="1">
        <v>0.046476</v>
      </c>
      <c r="BC527" s="1">
        <v>0.152091</v>
      </c>
      <c r="BD527" s="1">
        <v>0.802626</v>
      </c>
      <c r="BE527" s="1">
        <v>0.104062</v>
      </c>
      <c r="BF527" s="1">
        <v>0.006179</v>
      </c>
      <c r="BG527" s="1">
        <v>0.01042</v>
      </c>
      <c r="BH527" s="1">
        <v>0.0</v>
      </c>
      <c r="BI527" s="1">
        <v>0.074571</v>
      </c>
      <c r="BJ527" s="1">
        <v>0.203798</v>
      </c>
      <c r="BK527" s="1">
        <v>0.071761</v>
      </c>
      <c r="BL527" s="1">
        <v>0.0</v>
      </c>
      <c r="BM527" s="1">
        <v>0.507</v>
      </c>
      <c r="BN527" s="1">
        <v>0.605</v>
      </c>
      <c r="BO527" s="1">
        <v>0.0209</v>
      </c>
      <c r="BP527" s="1">
        <v>0.12</v>
      </c>
      <c r="BQ527" s="1">
        <v>1.2529</v>
      </c>
      <c r="BR527" s="1">
        <v>0.2686</v>
      </c>
      <c r="BS527" s="1">
        <v>0.227</v>
      </c>
      <c r="BT527" s="1">
        <v>0.004</v>
      </c>
      <c r="BU527" s="1">
        <v>0.003</v>
      </c>
      <c r="BV527" s="1">
        <v>0.234</v>
      </c>
      <c r="BW527" s="1">
        <v>0.017</v>
      </c>
      <c r="BX527" s="1">
        <v>0.705</v>
      </c>
      <c r="BY527" s="1">
        <v>0.953</v>
      </c>
      <c r="BZ527" s="1">
        <v>1.658</v>
      </c>
      <c r="CA527" s="1">
        <v>0.901</v>
      </c>
      <c r="CB527" s="1">
        <v>0.995</v>
      </c>
      <c r="CC527" s="1">
        <v>0.414</v>
      </c>
      <c r="CD527" s="1">
        <v>0.0</v>
      </c>
      <c r="CE527" s="1">
        <v>0.91</v>
      </c>
      <c r="CF527" s="1">
        <v>0.0</v>
      </c>
      <c r="CG527" s="1">
        <v>2.319</v>
      </c>
      <c r="CH527" s="1">
        <v>0.464</v>
      </c>
      <c r="CI527" s="1">
        <v>5.4639</v>
      </c>
      <c r="CJ527" s="1">
        <v>0.2751</v>
      </c>
      <c r="CK527" s="1">
        <v>0.0</v>
      </c>
      <c r="CL527" s="1">
        <v>0.0</v>
      </c>
      <c r="CM527" s="1">
        <v>0.0</v>
      </c>
      <c r="CN527" s="1">
        <v>0.0</v>
      </c>
      <c r="CO527" s="1">
        <v>0.0</v>
      </c>
      <c r="CP527" s="1">
        <v>0.0</v>
      </c>
      <c r="CQ527" s="1">
        <v>0.0</v>
      </c>
      <c r="CR527" s="1">
        <v>0.0</v>
      </c>
      <c r="CS527" s="1">
        <v>0.0</v>
      </c>
      <c r="CT527" s="1">
        <v>0.0</v>
      </c>
      <c r="CU527" s="1">
        <v>1.0</v>
      </c>
      <c r="CV527" s="1">
        <v>1.0</v>
      </c>
      <c r="CW527" s="1">
        <v>1.0</v>
      </c>
      <c r="CX527" s="1">
        <v>0.0</v>
      </c>
      <c r="CY527" s="1">
        <v>0.0</v>
      </c>
      <c r="CZ527" s="1">
        <v>1.0</v>
      </c>
      <c r="DA527" s="1">
        <v>0.0</v>
      </c>
      <c r="DB527" s="1">
        <v>2.0</v>
      </c>
      <c r="DC527" s="1">
        <v>3.0</v>
      </c>
      <c r="DD527" s="1" t="s">
        <v>2535</v>
      </c>
      <c r="DE527" s="2" t="s">
        <v>2536</v>
      </c>
      <c r="DF527" s="2" t="s">
        <v>2537</v>
      </c>
    </row>
    <row r="528" ht="15.75" customHeight="1">
      <c r="A528" s="1" t="s">
        <v>2538</v>
      </c>
      <c r="B528" s="1">
        <v>29.0</v>
      </c>
      <c r="C528" s="2" t="s">
        <v>2039</v>
      </c>
      <c r="D528" s="2" t="s">
        <v>2539</v>
      </c>
      <c r="E528" s="1">
        <v>0.88</v>
      </c>
      <c r="F528" s="1">
        <v>29095.0</v>
      </c>
      <c r="G528" s="1">
        <v>2.90950074E10</v>
      </c>
      <c r="H528" s="1" t="s">
        <v>112</v>
      </c>
      <c r="I528" s="1" t="s">
        <v>113</v>
      </c>
      <c r="J528" s="1" t="s">
        <v>2041</v>
      </c>
      <c r="K528" s="1" t="s">
        <v>2540</v>
      </c>
      <c r="L528" s="1">
        <v>3538.0</v>
      </c>
      <c r="M528" s="1">
        <v>3407.0</v>
      </c>
      <c r="N528" s="1">
        <v>347.0</v>
      </c>
      <c r="O528" s="1">
        <v>1704.0</v>
      </c>
      <c r="P528" s="1">
        <v>1854.0</v>
      </c>
      <c r="Q528" s="1">
        <v>144.0</v>
      </c>
      <c r="R528" s="1">
        <v>1470.0</v>
      </c>
      <c r="S528" s="1">
        <v>664.0</v>
      </c>
      <c r="T528" s="1">
        <v>309.0</v>
      </c>
      <c r="U528" s="1">
        <v>158.0</v>
      </c>
      <c r="V528" s="1">
        <v>468.0</v>
      </c>
      <c r="W528" s="1">
        <v>54388.0</v>
      </c>
      <c r="X528" s="1">
        <v>11476.0</v>
      </c>
      <c r="Y528" s="1">
        <v>61.0</v>
      </c>
      <c r="Z528" s="1">
        <v>397.0</v>
      </c>
      <c r="AA528" s="1">
        <v>410.0</v>
      </c>
      <c r="AB528" s="1">
        <v>348.0</v>
      </c>
      <c r="AC528" s="1">
        <v>36.0</v>
      </c>
      <c r="AD528" s="1">
        <v>854.0</v>
      </c>
      <c r="AE528" s="1">
        <v>100.0</v>
      </c>
      <c r="AF528" s="1">
        <v>446.0</v>
      </c>
      <c r="AG528" s="1">
        <v>597.0</v>
      </c>
      <c r="AH528" s="1">
        <v>185.0</v>
      </c>
      <c r="AI528" s="1">
        <v>0.0</v>
      </c>
      <c r="AJ528" s="1">
        <v>114.0</v>
      </c>
      <c r="AK528" s="1">
        <v>12.0</v>
      </c>
      <c r="AL528" s="1">
        <v>115.0</v>
      </c>
      <c r="AM528" s="1">
        <v>131.0</v>
      </c>
      <c r="AN528" s="1">
        <v>84.0</v>
      </c>
      <c r="AO528" s="1">
        <v>497.0</v>
      </c>
      <c r="AP528" s="1">
        <v>0.213025</v>
      </c>
      <c r="AQ528" s="1">
        <v>0.096737</v>
      </c>
      <c r="AR528" s="1">
        <v>0.082463</v>
      </c>
      <c r="AS528" s="1">
        <v>0.243908</v>
      </c>
      <c r="AT528" s="1">
        <v>54388.0</v>
      </c>
      <c r="AU528" s="1">
        <v>11476.0</v>
      </c>
      <c r="AV528" s="1">
        <v>0.029698</v>
      </c>
      <c r="AW528" s="1">
        <v>0.193255</v>
      </c>
      <c r="AX528" s="1">
        <v>0.115884</v>
      </c>
      <c r="AY528" s="1">
        <v>0.09836</v>
      </c>
      <c r="AZ528" s="1">
        <v>0.02448979</v>
      </c>
      <c r="BA528" s="1">
        <v>0.241379</v>
      </c>
      <c r="BB528" s="1">
        <v>0.030797</v>
      </c>
      <c r="BC528" s="1">
        <v>0.13732</v>
      </c>
      <c r="BD528" s="1">
        <v>0.322006</v>
      </c>
      <c r="BE528" s="1">
        <v>0.096599</v>
      </c>
      <c r="BF528" s="1">
        <v>0.0</v>
      </c>
      <c r="BG528" s="1">
        <v>0.061488</v>
      </c>
      <c r="BH528" s="1">
        <v>0.007547</v>
      </c>
      <c r="BI528" s="1">
        <v>0.072323</v>
      </c>
      <c r="BJ528" s="1">
        <v>0.082389</v>
      </c>
      <c r="BK528" s="1">
        <v>0.052239</v>
      </c>
      <c r="BL528" s="1">
        <v>0.140474</v>
      </c>
      <c r="BM528" s="1">
        <v>0.758</v>
      </c>
      <c r="BN528" s="1">
        <v>0.633</v>
      </c>
      <c r="BO528" s="1">
        <v>0.0195</v>
      </c>
      <c r="BP528" s="1">
        <v>0.061</v>
      </c>
      <c r="BQ528" s="1">
        <v>1.4715</v>
      </c>
      <c r="BR528" s="1">
        <v>0.3336</v>
      </c>
      <c r="BS528" s="1">
        <v>0.314</v>
      </c>
      <c r="BT528" s="1">
        <v>0.023</v>
      </c>
      <c r="BU528" s="1">
        <v>0.011</v>
      </c>
      <c r="BV528" s="1">
        <v>0.348</v>
      </c>
      <c r="BW528" s="1">
        <v>0.024</v>
      </c>
      <c r="BX528" s="1">
        <v>0.755</v>
      </c>
      <c r="BY528" s="1">
        <v>0.917</v>
      </c>
      <c r="BZ528" s="1">
        <v>1.672</v>
      </c>
      <c r="CA528" s="1">
        <v>0.908</v>
      </c>
      <c r="CB528" s="1">
        <v>0.951</v>
      </c>
      <c r="CC528" s="1">
        <v>0.0</v>
      </c>
      <c r="CD528" s="1">
        <v>0.415</v>
      </c>
      <c r="CE528" s="1">
        <v>0.691</v>
      </c>
      <c r="CF528" s="1">
        <v>0.953</v>
      </c>
      <c r="CG528" s="1">
        <v>3.01</v>
      </c>
      <c r="CH528" s="1">
        <v>0.78</v>
      </c>
      <c r="CI528" s="1">
        <v>6.5015</v>
      </c>
      <c r="CJ528" s="1">
        <v>0.4599</v>
      </c>
      <c r="CK528" s="1">
        <v>0.0</v>
      </c>
      <c r="CL528" s="1">
        <v>0.0</v>
      </c>
      <c r="CM528" s="1">
        <v>0.0</v>
      </c>
      <c r="CN528" s="1">
        <v>0.0</v>
      </c>
      <c r="CO528" s="1">
        <v>0.0</v>
      </c>
      <c r="CP528" s="1">
        <v>0.0</v>
      </c>
      <c r="CQ528" s="1">
        <v>0.0</v>
      </c>
      <c r="CR528" s="1">
        <v>0.0</v>
      </c>
      <c r="CS528" s="1">
        <v>0.0</v>
      </c>
      <c r="CT528" s="1">
        <v>0.0</v>
      </c>
      <c r="CU528" s="1">
        <v>1.0</v>
      </c>
      <c r="CV528" s="1">
        <v>1.0</v>
      </c>
      <c r="CW528" s="1">
        <v>1.0</v>
      </c>
      <c r="CX528" s="1">
        <v>0.0</v>
      </c>
      <c r="CY528" s="1">
        <v>0.0</v>
      </c>
      <c r="CZ528" s="1">
        <v>0.0</v>
      </c>
      <c r="DA528" s="1">
        <v>1.0</v>
      </c>
      <c r="DB528" s="1">
        <v>2.0</v>
      </c>
      <c r="DC528" s="1">
        <v>3.0</v>
      </c>
      <c r="DD528" s="1" t="s">
        <v>2541</v>
      </c>
      <c r="DE528" s="1">
        <v>2.37678584685078E-4</v>
      </c>
      <c r="DF528" s="1">
        <v>0.0672810746575603</v>
      </c>
    </row>
    <row r="529" ht="15.75" customHeight="1">
      <c r="A529" s="1" t="s">
        <v>2542</v>
      </c>
      <c r="B529" s="1">
        <v>29.0</v>
      </c>
      <c r="C529" s="2" t="s">
        <v>2039</v>
      </c>
      <c r="D529" s="2" t="s">
        <v>2543</v>
      </c>
      <c r="E529" s="1">
        <v>0.474</v>
      </c>
      <c r="F529" s="1">
        <v>29095.0</v>
      </c>
      <c r="G529" s="1">
        <v>2.90950076E10</v>
      </c>
      <c r="H529" s="1" t="s">
        <v>112</v>
      </c>
      <c r="I529" s="1" t="s">
        <v>113</v>
      </c>
      <c r="J529" s="1" t="s">
        <v>2041</v>
      </c>
      <c r="K529" s="1" t="s">
        <v>2544</v>
      </c>
      <c r="L529" s="1">
        <v>2205.0</v>
      </c>
      <c r="M529" s="1">
        <v>2631.0</v>
      </c>
      <c r="N529" s="1">
        <v>392.0</v>
      </c>
      <c r="O529" s="1">
        <v>1164.0</v>
      </c>
      <c r="P529" s="1">
        <v>1196.0</v>
      </c>
      <c r="Q529" s="1">
        <v>52.0</v>
      </c>
      <c r="R529" s="1">
        <v>848.0</v>
      </c>
      <c r="S529" s="1">
        <v>889.0</v>
      </c>
      <c r="T529" s="1">
        <v>304.0</v>
      </c>
      <c r="U529" s="1">
        <v>200.0</v>
      </c>
      <c r="V529" s="1">
        <v>408.0</v>
      </c>
      <c r="W529" s="1">
        <v>11919.0</v>
      </c>
      <c r="X529" s="1">
        <v>1849.0</v>
      </c>
      <c r="Y529" s="1">
        <v>335.0</v>
      </c>
      <c r="Z529" s="1">
        <v>345.0</v>
      </c>
      <c r="AA529" s="1">
        <v>364.0</v>
      </c>
      <c r="AB529" s="1">
        <v>550.0</v>
      </c>
      <c r="AC529" s="1">
        <v>207.0</v>
      </c>
      <c r="AD529" s="1">
        <v>2086.0</v>
      </c>
      <c r="AE529" s="1">
        <v>0.0</v>
      </c>
      <c r="AF529" s="1">
        <v>456.0</v>
      </c>
      <c r="AG529" s="1">
        <v>12.0</v>
      </c>
      <c r="AH529" s="1">
        <v>162.0</v>
      </c>
      <c r="AI529" s="1">
        <v>0.0</v>
      </c>
      <c r="AJ529" s="1">
        <v>114.0</v>
      </c>
      <c r="AK529" s="1">
        <v>5.0</v>
      </c>
      <c r="AL529" s="1">
        <v>114.0</v>
      </c>
      <c r="AM529" s="1">
        <v>138.0</v>
      </c>
      <c r="AN529" s="1">
        <v>58.0</v>
      </c>
      <c r="AO529" s="1">
        <v>75.0</v>
      </c>
      <c r="AP529" s="1">
        <v>0.337894</v>
      </c>
      <c r="AQ529" s="1">
        <v>0.104001</v>
      </c>
      <c r="AR529" s="1">
        <v>0.206398</v>
      </c>
      <c r="AS529" s="1">
        <v>0.416776</v>
      </c>
      <c r="AT529" s="1">
        <v>11919.0</v>
      </c>
      <c r="AU529" s="1">
        <v>1849.0</v>
      </c>
      <c r="AV529" s="1">
        <v>0.218383</v>
      </c>
      <c r="AW529" s="1">
        <v>0.2224</v>
      </c>
      <c r="AX529" s="1">
        <v>0.165079</v>
      </c>
      <c r="AY529" s="1">
        <v>0.249433</v>
      </c>
      <c r="AZ529" s="1">
        <v>0.24410377</v>
      </c>
      <c r="BA529" s="1">
        <v>0.946031</v>
      </c>
      <c r="BB529" s="1">
        <v>0.0</v>
      </c>
      <c r="BC529" s="1">
        <v>0.184391</v>
      </c>
      <c r="BD529" s="1">
        <v>0.010033</v>
      </c>
      <c r="BE529" s="1">
        <v>0.13545</v>
      </c>
      <c r="BF529" s="1">
        <v>0.0</v>
      </c>
      <c r="BG529" s="1">
        <v>0.095317</v>
      </c>
      <c r="BH529" s="1">
        <v>0.005428</v>
      </c>
      <c r="BI529" s="1">
        <v>0.123777</v>
      </c>
      <c r="BJ529" s="1">
        <v>0.149837</v>
      </c>
      <c r="BK529" s="1">
        <v>0.06117</v>
      </c>
      <c r="BL529" s="1">
        <v>0.034013</v>
      </c>
      <c r="BM529" s="1">
        <v>0.92</v>
      </c>
      <c r="BN529" s="1">
        <v>0.956</v>
      </c>
      <c r="BO529" s="1">
        <v>0.961</v>
      </c>
      <c r="BP529" s="1">
        <v>0.799</v>
      </c>
      <c r="BQ529" s="1">
        <v>3.636</v>
      </c>
      <c r="BR529" s="1">
        <v>0.9458</v>
      </c>
      <c r="BS529" s="1">
        <v>0.703</v>
      </c>
      <c r="BT529" s="1">
        <v>0.591</v>
      </c>
      <c r="BU529" s="1">
        <v>0.94</v>
      </c>
      <c r="BV529" s="1">
        <v>2.234</v>
      </c>
      <c r="BW529" s="1">
        <v>0.97</v>
      </c>
      <c r="BX529" s="1">
        <v>0.958</v>
      </c>
      <c r="BY529" s="1">
        <v>0.0</v>
      </c>
      <c r="BZ529" s="1">
        <v>0.958</v>
      </c>
      <c r="CA529" s="1">
        <v>0.516</v>
      </c>
      <c r="CB529" s="1">
        <v>0.384</v>
      </c>
      <c r="CC529" s="1">
        <v>0.0</v>
      </c>
      <c r="CD529" s="1">
        <v>0.345</v>
      </c>
      <c r="CE529" s="1">
        <v>0.858</v>
      </c>
      <c r="CF529" s="1">
        <v>0.83</v>
      </c>
      <c r="CG529" s="1">
        <v>2.417</v>
      </c>
      <c r="CH529" s="1">
        <v>0.523</v>
      </c>
      <c r="CI529" s="1">
        <v>9.245</v>
      </c>
      <c r="CJ529" s="1">
        <v>0.8787</v>
      </c>
      <c r="CK529" s="1">
        <v>1.0</v>
      </c>
      <c r="CL529" s="1">
        <v>1.0</v>
      </c>
      <c r="CM529" s="1">
        <v>1.0</v>
      </c>
      <c r="CN529" s="1">
        <v>0.0</v>
      </c>
      <c r="CO529" s="1">
        <v>3.0</v>
      </c>
      <c r="CP529" s="1">
        <v>0.0</v>
      </c>
      <c r="CQ529" s="1">
        <v>0.0</v>
      </c>
      <c r="CR529" s="1">
        <v>1.0</v>
      </c>
      <c r="CS529" s="1">
        <v>1.0</v>
      </c>
      <c r="CT529" s="1">
        <v>1.0</v>
      </c>
      <c r="CU529" s="1">
        <v>0.0</v>
      </c>
      <c r="CV529" s="1">
        <v>1.0</v>
      </c>
      <c r="CW529" s="1">
        <v>0.0</v>
      </c>
      <c r="CX529" s="1">
        <v>0.0</v>
      </c>
      <c r="CY529" s="1">
        <v>0.0</v>
      </c>
      <c r="CZ529" s="1">
        <v>0.0</v>
      </c>
      <c r="DA529" s="1">
        <v>0.0</v>
      </c>
      <c r="DB529" s="1">
        <v>0.0</v>
      </c>
      <c r="DC529" s="1">
        <v>5.0</v>
      </c>
      <c r="DD529" s="1" t="s">
        <v>2545</v>
      </c>
      <c r="DE529" s="1">
        <v>1.27351688604866E-4</v>
      </c>
      <c r="DF529" s="2" t="s">
        <v>2546</v>
      </c>
    </row>
    <row r="530" ht="15.75" customHeight="1">
      <c r="A530" s="1" t="s">
        <v>2547</v>
      </c>
      <c r="B530" s="1">
        <v>29.0</v>
      </c>
      <c r="C530" s="2" t="s">
        <v>2039</v>
      </c>
      <c r="D530" s="2" t="s">
        <v>2548</v>
      </c>
      <c r="E530" s="1">
        <v>0.635</v>
      </c>
      <c r="F530" s="1">
        <v>29095.0</v>
      </c>
      <c r="G530" s="1">
        <v>2.90950077E10</v>
      </c>
      <c r="H530" s="1" t="s">
        <v>112</v>
      </c>
      <c r="I530" s="1" t="s">
        <v>113</v>
      </c>
      <c r="J530" s="1" t="s">
        <v>2041</v>
      </c>
      <c r="K530" s="1" t="s">
        <v>2549</v>
      </c>
      <c r="L530" s="1">
        <v>1624.0</v>
      </c>
      <c r="M530" s="1">
        <v>1403.0</v>
      </c>
      <c r="N530" s="1">
        <v>322.0</v>
      </c>
      <c r="O530" s="1">
        <v>901.0</v>
      </c>
      <c r="P530" s="1">
        <v>1004.0</v>
      </c>
      <c r="Q530" s="1">
        <v>55.0</v>
      </c>
      <c r="R530" s="1">
        <v>699.0</v>
      </c>
      <c r="S530" s="1">
        <v>306.0</v>
      </c>
      <c r="T530" s="1">
        <v>197.0</v>
      </c>
      <c r="U530" s="1">
        <v>134.0</v>
      </c>
      <c r="V530" s="1">
        <v>435.0</v>
      </c>
      <c r="W530" s="1">
        <v>14348.0</v>
      </c>
      <c r="X530" s="1">
        <v>2988.0</v>
      </c>
      <c r="Y530" s="1">
        <v>307.0</v>
      </c>
      <c r="Z530" s="1">
        <v>280.0</v>
      </c>
      <c r="AA530" s="1">
        <v>231.0</v>
      </c>
      <c r="AB530" s="1">
        <v>382.0</v>
      </c>
      <c r="AC530" s="1">
        <v>159.0</v>
      </c>
      <c r="AD530" s="1">
        <v>1596.0</v>
      </c>
      <c r="AE530" s="1">
        <v>0.0</v>
      </c>
      <c r="AF530" s="1">
        <v>456.0</v>
      </c>
      <c r="AG530" s="1">
        <v>119.0</v>
      </c>
      <c r="AH530" s="1">
        <v>71.0</v>
      </c>
      <c r="AI530" s="1">
        <v>0.0</v>
      </c>
      <c r="AJ530" s="1">
        <v>114.0</v>
      </c>
      <c r="AK530" s="1">
        <v>0.0</v>
      </c>
      <c r="AL530" s="1">
        <v>161.0</v>
      </c>
      <c r="AM530" s="1">
        <v>165.0</v>
      </c>
      <c r="AN530" s="1">
        <v>82.0</v>
      </c>
      <c r="AO530" s="1">
        <v>11.0</v>
      </c>
      <c r="AP530" s="1">
        <v>0.218104</v>
      </c>
      <c r="AQ530" s="1">
        <v>0.131187</v>
      </c>
      <c r="AR530" s="1">
        <v>0.253787</v>
      </c>
      <c r="AS530" s="1">
        <v>0.816924</v>
      </c>
      <c r="AT530" s="1">
        <v>14348.0</v>
      </c>
      <c r="AU530" s="1">
        <v>2988.0</v>
      </c>
      <c r="AV530" s="1">
        <v>0.319126</v>
      </c>
      <c r="AW530" s="1">
        <v>0.284658</v>
      </c>
      <c r="AX530" s="1">
        <v>0.142241</v>
      </c>
      <c r="AY530" s="1">
        <v>0.235221</v>
      </c>
      <c r="AZ530" s="1">
        <v>0.22746781</v>
      </c>
      <c r="BA530" s="1">
        <v>0.982758</v>
      </c>
      <c r="BB530" s="1">
        <v>0.0</v>
      </c>
      <c r="BC530" s="1">
        <v>0.341829</v>
      </c>
      <c r="BD530" s="1">
        <v>0.118525</v>
      </c>
      <c r="BE530" s="1">
        <v>0.070418</v>
      </c>
      <c r="BF530" s="1">
        <v>0.0</v>
      </c>
      <c r="BG530" s="1">
        <v>0.113545</v>
      </c>
      <c r="BH530" s="1">
        <v>0.0</v>
      </c>
      <c r="BI530" s="1">
        <v>0.267886</v>
      </c>
      <c r="BJ530" s="1">
        <v>0.274542</v>
      </c>
      <c r="BK530" s="1">
        <v>0.12773</v>
      </c>
      <c r="BL530" s="1">
        <v>0.006773</v>
      </c>
      <c r="BM530" s="1">
        <v>0.773</v>
      </c>
      <c r="BN530" s="1">
        <v>0.979</v>
      </c>
      <c r="BO530" s="1">
        <v>0.8989</v>
      </c>
      <c r="BP530" s="1">
        <v>0.958</v>
      </c>
      <c r="BQ530" s="1">
        <v>3.6089</v>
      </c>
      <c r="BR530" s="1">
        <v>0.9386</v>
      </c>
      <c r="BS530" s="1">
        <v>0.52</v>
      </c>
      <c r="BT530" s="1">
        <v>0.441</v>
      </c>
      <c r="BU530" s="1">
        <v>0.924</v>
      </c>
      <c r="BV530" s="1">
        <v>1.885</v>
      </c>
      <c r="BW530" s="1">
        <v>0.79</v>
      </c>
      <c r="BX530" s="1">
        <v>0.982</v>
      </c>
      <c r="BY530" s="1">
        <v>0.0</v>
      </c>
      <c r="BZ530" s="1">
        <v>0.982</v>
      </c>
      <c r="CA530" s="1">
        <v>0.541</v>
      </c>
      <c r="CB530" s="1">
        <v>0.8</v>
      </c>
      <c r="CC530" s="1">
        <v>0.0</v>
      </c>
      <c r="CD530" s="1">
        <v>0.0</v>
      </c>
      <c r="CE530" s="1">
        <v>0.958</v>
      </c>
      <c r="CF530" s="1">
        <v>0.537</v>
      </c>
      <c r="CG530" s="1">
        <v>2.295</v>
      </c>
      <c r="CH530" s="1">
        <v>0.454</v>
      </c>
      <c r="CI530" s="1">
        <v>8.7709</v>
      </c>
      <c r="CJ530" s="1">
        <v>0.8224</v>
      </c>
      <c r="CK530" s="1">
        <v>0.0</v>
      </c>
      <c r="CL530" s="1">
        <v>1.0</v>
      </c>
      <c r="CM530" s="1">
        <v>0.0</v>
      </c>
      <c r="CN530" s="1">
        <v>1.0</v>
      </c>
      <c r="CO530" s="1">
        <v>2.0</v>
      </c>
      <c r="CP530" s="1">
        <v>0.0</v>
      </c>
      <c r="CQ530" s="1">
        <v>0.0</v>
      </c>
      <c r="CR530" s="1">
        <v>1.0</v>
      </c>
      <c r="CS530" s="1">
        <v>1.0</v>
      </c>
      <c r="CT530" s="1">
        <v>1.0</v>
      </c>
      <c r="CU530" s="1">
        <v>0.0</v>
      </c>
      <c r="CV530" s="1">
        <v>1.0</v>
      </c>
      <c r="CW530" s="1">
        <v>0.0</v>
      </c>
      <c r="CX530" s="1">
        <v>0.0</v>
      </c>
      <c r="CY530" s="1">
        <v>0.0</v>
      </c>
      <c r="CZ530" s="1">
        <v>1.0</v>
      </c>
      <c r="DA530" s="1">
        <v>0.0</v>
      </c>
      <c r="DB530" s="1">
        <v>1.0</v>
      </c>
      <c r="DC530" s="1">
        <v>5.0</v>
      </c>
      <c r="DD530" s="1" t="s">
        <v>2550</v>
      </c>
      <c r="DE530" s="1">
        <v>1.70086941399706E-4</v>
      </c>
      <c r="DF530" s="2" t="s">
        <v>2551</v>
      </c>
    </row>
    <row r="531" ht="15.75" customHeight="1">
      <c r="A531" s="1" t="s">
        <v>2552</v>
      </c>
      <c r="B531" s="1">
        <v>29.0</v>
      </c>
      <c r="C531" s="2" t="s">
        <v>2039</v>
      </c>
      <c r="D531" s="2" t="s">
        <v>2553</v>
      </c>
      <c r="E531" s="1">
        <v>2.975</v>
      </c>
      <c r="F531" s="1">
        <v>29095.0</v>
      </c>
      <c r="G531" s="1">
        <v>2.9095013612E10</v>
      </c>
      <c r="H531" s="1" t="s">
        <v>112</v>
      </c>
      <c r="I531" s="1" t="s">
        <v>113</v>
      </c>
      <c r="J531" s="1" t="s">
        <v>2041</v>
      </c>
      <c r="K531" s="1" t="s">
        <v>2554</v>
      </c>
      <c r="L531" s="1">
        <v>6101.0</v>
      </c>
      <c r="M531" s="1">
        <v>6052.0</v>
      </c>
      <c r="N531" s="1">
        <v>359.0</v>
      </c>
      <c r="O531" s="1">
        <v>2062.0</v>
      </c>
      <c r="P531" s="1">
        <v>1944.0</v>
      </c>
      <c r="Q531" s="1">
        <v>90.0</v>
      </c>
      <c r="R531" s="1">
        <v>2002.0</v>
      </c>
      <c r="S531" s="1">
        <v>133.0</v>
      </c>
      <c r="T531" s="1">
        <v>105.0</v>
      </c>
      <c r="U531" s="1">
        <v>93.0</v>
      </c>
      <c r="V531" s="1">
        <v>459.0</v>
      </c>
      <c r="W531" s="1">
        <v>39164.0</v>
      </c>
      <c r="X531" s="1">
        <v>4097.0</v>
      </c>
      <c r="Y531" s="1">
        <v>37.0</v>
      </c>
      <c r="Z531" s="1">
        <v>412.0</v>
      </c>
      <c r="AA531" s="1">
        <v>437.0</v>
      </c>
      <c r="AB531" s="1">
        <v>1996.0</v>
      </c>
      <c r="AC531" s="1">
        <v>124.0</v>
      </c>
      <c r="AD531" s="1">
        <v>1157.0</v>
      </c>
      <c r="AE531" s="1">
        <v>33.0</v>
      </c>
      <c r="AF531" s="1">
        <v>428.0</v>
      </c>
      <c r="AG531" s="1">
        <v>116.0</v>
      </c>
      <c r="AH531" s="1">
        <v>58.0</v>
      </c>
      <c r="AI531" s="1">
        <v>14.0</v>
      </c>
      <c r="AJ531" s="1">
        <v>21.0</v>
      </c>
      <c r="AK531" s="1">
        <v>0.0</v>
      </c>
      <c r="AL531" s="1">
        <v>161.0</v>
      </c>
      <c r="AM531" s="1">
        <v>32.0</v>
      </c>
      <c r="AN531" s="1">
        <v>117.0</v>
      </c>
      <c r="AO531" s="1">
        <v>0.0</v>
      </c>
      <c r="AP531" s="1">
        <v>0.021976</v>
      </c>
      <c r="AQ531" s="1">
        <v>0.0173</v>
      </c>
      <c r="AR531" s="1">
        <v>0.03306</v>
      </c>
      <c r="AS531" s="1">
        <v>0.163133</v>
      </c>
      <c r="AT531" s="1">
        <v>39164.0</v>
      </c>
      <c r="AU531" s="1">
        <v>4097.0</v>
      </c>
      <c r="AV531" s="1">
        <v>0.010292</v>
      </c>
      <c r="AW531" s="1">
        <v>0.114601</v>
      </c>
      <c r="AX531" s="1">
        <v>0.071627</v>
      </c>
      <c r="AY531" s="1">
        <v>0.327159</v>
      </c>
      <c r="AZ531" s="1">
        <v>0.06193806</v>
      </c>
      <c r="BA531" s="1">
        <v>0.189641</v>
      </c>
      <c r="BB531" s="1">
        <v>0.005855</v>
      </c>
      <c r="BC531" s="1">
        <v>0.075939</v>
      </c>
      <c r="BD531" s="1">
        <v>0.05967</v>
      </c>
      <c r="BE531" s="1">
        <v>0.029707</v>
      </c>
      <c r="BF531" s="1">
        <v>0.007201</v>
      </c>
      <c r="BG531" s="1">
        <v>0.010797</v>
      </c>
      <c r="BH531" s="1">
        <v>0.0</v>
      </c>
      <c r="BI531" s="1">
        <v>0.084249</v>
      </c>
      <c r="BJ531" s="1">
        <v>0.016745</v>
      </c>
      <c r="BK531" s="1">
        <v>0.061218</v>
      </c>
      <c r="BL531" s="1">
        <v>0.0</v>
      </c>
      <c r="BM531" s="1">
        <v>0.063</v>
      </c>
      <c r="BN531" s="1">
        <v>0.112</v>
      </c>
      <c r="BO531" s="1">
        <v>0.0729</v>
      </c>
      <c r="BP531" s="1">
        <v>0.015</v>
      </c>
      <c r="BQ531" s="1">
        <v>0.2629</v>
      </c>
      <c r="BR531" s="1">
        <v>0.013</v>
      </c>
      <c r="BS531" s="1">
        <v>0.089</v>
      </c>
      <c r="BT531" s="1">
        <v>0.97</v>
      </c>
      <c r="BU531" s="1">
        <v>0.148</v>
      </c>
      <c r="BV531" s="1">
        <v>1.207</v>
      </c>
      <c r="BW531" s="1">
        <v>0.235</v>
      </c>
      <c r="BX531" s="1">
        <v>0.693</v>
      </c>
      <c r="BY531" s="1">
        <v>0.591</v>
      </c>
      <c r="BZ531" s="1">
        <v>1.284</v>
      </c>
      <c r="CA531" s="1">
        <v>0.705</v>
      </c>
      <c r="CB531" s="1">
        <v>0.683</v>
      </c>
      <c r="CC531" s="1">
        <v>0.428</v>
      </c>
      <c r="CD531" s="1">
        <v>0.0</v>
      </c>
      <c r="CE531" s="1">
        <v>0.149</v>
      </c>
      <c r="CF531" s="1">
        <v>0.0</v>
      </c>
      <c r="CG531" s="1">
        <v>1.26</v>
      </c>
      <c r="CH531" s="1">
        <v>0.12</v>
      </c>
      <c r="CI531" s="1">
        <v>4.0139</v>
      </c>
      <c r="CJ531" s="1">
        <v>0.0874</v>
      </c>
      <c r="CK531" s="1">
        <v>0.0</v>
      </c>
      <c r="CL531" s="1">
        <v>0.0</v>
      </c>
      <c r="CM531" s="1">
        <v>0.0</v>
      </c>
      <c r="CN531" s="1">
        <v>0.0</v>
      </c>
      <c r="CO531" s="1">
        <v>0.0</v>
      </c>
      <c r="CP531" s="1">
        <v>0.0</v>
      </c>
      <c r="CQ531" s="1">
        <v>1.0</v>
      </c>
      <c r="CR531" s="1">
        <v>0.0</v>
      </c>
      <c r="CS531" s="1">
        <v>1.0</v>
      </c>
      <c r="CT531" s="1">
        <v>0.0</v>
      </c>
      <c r="CU531" s="1">
        <v>0.0</v>
      </c>
      <c r="CV531" s="1">
        <v>0.0</v>
      </c>
      <c r="CW531" s="1">
        <v>0.0</v>
      </c>
      <c r="CX531" s="1">
        <v>0.0</v>
      </c>
      <c r="CY531" s="1">
        <v>0.0</v>
      </c>
      <c r="CZ531" s="1">
        <v>0.0</v>
      </c>
      <c r="DA531" s="1">
        <v>0.0</v>
      </c>
      <c r="DB531" s="1">
        <v>0.0</v>
      </c>
      <c r="DC531" s="1">
        <v>1.0</v>
      </c>
      <c r="DD531" s="1" t="s">
        <v>2555</v>
      </c>
      <c r="DE531" s="1">
        <v>8.10230366166435E-4</v>
      </c>
      <c r="DF531" s="2" t="s">
        <v>2556</v>
      </c>
    </row>
    <row r="532" ht="15.75" customHeight="1">
      <c r="A532" s="1" t="s">
        <v>2557</v>
      </c>
      <c r="B532" s="1">
        <v>29.0</v>
      </c>
      <c r="C532" s="2" t="s">
        <v>2039</v>
      </c>
      <c r="D532" s="2" t="s">
        <v>2558</v>
      </c>
      <c r="E532" s="1">
        <v>1.472</v>
      </c>
      <c r="F532" s="1">
        <v>29095.0</v>
      </c>
      <c r="G532" s="1">
        <v>2.9095013703E10</v>
      </c>
      <c r="H532" s="1" t="s">
        <v>112</v>
      </c>
      <c r="I532" s="1" t="s">
        <v>113</v>
      </c>
      <c r="J532" s="1" t="s">
        <v>2041</v>
      </c>
      <c r="K532" s="1" t="s">
        <v>2559</v>
      </c>
      <c r="L532" s="1">
        <v>5527.0</v>
      </c>
      <c r="M532" s="1">
        <v>5213.0</v>
      </c>
      <c r="N532" s="1">
        <v>481.0</v>
      </c>
      <c r="O532" s="1">
        <v>2611.0</v>
      </c>
      <c r="P532" s="1">
        <v>2510.0</v>
      </c>
      <c r="Q532" s="1">
        <v>94.0</v>
      </c>
      <c r="R532" s="1">
        <v>2440.0</v>
      </c>
      <c r="S532" s="1">
        <v>935.0</v>
      </c>
      <c r="T532" s="1">
        <v>444.0</v>
      </c>
      <c r="U532" s="1">
        <v>256.0</v>
      </c>
      <c r="V532" s="1">
        <v>420.0</v>
      </c>
      <c r="W532" s="1">
        <v>20405.0</v>
      </c>
      <c r="X532" s="1">
        <v>2348.0</v>
      </c>
      <c r="Y532" s="1">
        <v>251.0</v>
      </c>
      <c r="Z532" s="1">
        <v>341.0</v>
      </c>
      <c r="AA532" s="1">
        <v>579.0</v>
      </c>
      <c r="AB532" s="1">
        <v>1485.0</v>
      </c>
      <c r="AC532" s="1">
        <v>513.0</v>
      </c>
      <c r="AD532" s="1">
        <v>1104.0</v>
      </c>
      <c r="AE532" s="1">
        <v>45.0</v>
      </c>
      <c r="AF532" s="1">
        <v>447.0</v>
      </c>
      <c r="AG532" s="1">
        <v>425.0</v>
      </c>
      <c r="AH532" s="1">
        <v>162.0</v>
      </c>
      <c r="AI532" s="1">
        <v>0.0</v>
      </c>
      <c r="AJ532" s="1">
        <v>114.0</v>
      </c>
      <c r="AK532" s="1">
        <v>0.0</v>
      </c>
      <c r="AL532" s="1">
        <v>161.0</v>
      </c>
      <c r="AM532" s="1">
        <v>100.0</v>
      </c>
      <c r="AN532" s="1">
        <v>61.0</v>
      </c>
      <c r="AO532" s="1">
        <v>18.0</v>
      </c>
      <c r="AP532" s="1">
        <v>0.186254</v>
      </c>
      <c r="AQ532" s="1">
        <v>0.087049</v>
      </c>
      <c r="AR532" s="1">
        <v>0.097523</v>
      </c>
      <c r="AS532" s="1">
        <v>0.159352</v>
      </c>
      <c r="AT532" s="1">
        <v>20405.0</v>
      </c>
      <c r="AU532" s="1">
        <v>2348.0</v>
      </c>
      <c r="AV532" s="1">
        <v>0.075876</v>
      </c>
      <c r="AW532" s="1">
        <v>0.102811</v>
      </c>
      <c r="AX532" s="1">
        <v>0.104758</v>
      </c>
      <c r="AY532" s="1">
        <v>0.268681</v>
      </c>
      <c r="AZ532" s="1">
        <v>0.2102459</v>
      </c>
      <c r="BA532" s="1">
        <v>0.199746</v>
      </c>
      <c r="BB532" s="1">
        <v>0.009784</v>
      </c>
      <c r="BC532" s="1">
        <v>0.09719</v>
      </c>
      <c r="BD532" s="1">
        <v>0.169322</v>
      </c>
      <c r="BE532" s="1">
        <v>0.064229</v>
      </c>
      <c r="BF532" s="1">
        <v>0.0</v>
      </c>
      <c r="BG532" s="1">
        <v>0.045418</v>
      </c>
      <c r="BH532" s="1">
        <v>0.0</v>
      </c>
      <c r="BI532" s="1">
        <v>0.066749</v>
      </c>
      <c r="BJ532" s="1">
        <v>0.041459</v>
      </c>
      <c r="BK532" s="1">
        <v>0.025175</v>
      </c>
      <c r="BL532" s="1">
        <v>0.003256</v>
      </c>
      <c r="BM532" s="1">
        <v>0.693</v>
      </c>
      <c r="BN532" s="1">
        <v>0.717</v>
      </c>
      <c r="BO532" s="1">
        <v>0.5863</v>
      </c>
      <c r="BP532" s="1">
        <v>0.229</v>
      </c>
      <c r="BQ532" s="1">
        <v>2.2253</v>
      </c>
      <c r="BR532" s="1">
        <v>0.5755</v>
      </c>
      <c r="BS532" s="1">
        <v>0.239</v>
      </c>
      <c r="BT532" s="1">
        <v>0.782</v>
      </c>
      <c r="BU532" s="1">
        <v>0.908</v>
      </c>
      <c r="BV532" s="1">
        <v>1.929</v>
      </c>
      <c r="BW532" s="1">
        <v>0.82</v>
      </c>
      <c r="BX532" s="1">
        <v>0.71</v>
      </c>
      <c r="BY532" s="1">
        <v>0.715</v>
      </c>
      <c r="BZ532" s="1">
        <v>1.425</v>
      </c>
      <c r="CA532" s="1">
        <v>0.777</v>
      </c>
      <c r="CB532" s="1">
        <v>0.866</v>
      </c>
      <c r="CC532" s="1">
        <v>0.0</v>
      </c>
      <c r="CD532" s="1">
        <v>0.0</v>
      </c>
      <c r="CE532" s="1">
        <v>0.406</v>
      </c>
      <c r="CF532" s="1">
        <v>0.482</v>
      </c>
      <c r="CG532" s="1">
        <v>1.754</v>
      </c>
      <c r="CH532" s="1">
        <v>0.251</v>
      </c>
      <c r="CI532" s="1">
        <v>7.3333</v>
      </c>
      <c r="CJ532" s="1">
        <v>0.6144</v>
      </c>
      <c r="CK532" s="1">
        <v>0.0</v>
      </c>
      <c r="CL532" s="1">
        <v>0.0</v>
      </c>
      <c r="CM532" s="1">
        <v>0.0</v>
      </c>
      <c r="CN532" s="1">
        <v>0.0</v>
      </c>
      <c r="CO532" s="1">
        <v>0.0</v>
      </c>
      <c r="CP532" s="1">
        <v>0.0</v>
      </c>
      <c r="CQ532" s="1">
        <v>0.0</v>
      </c>
      <c r="CR532" s="1">
        <v>1.0</v>
      </c>
      <c r="CS532" s="1">
        <v>1.0</v>
      </c>
      <c r="CT532" s="1">
        <v>0.0</v>
      </c>
      <c r="CU532" s="1">
        <v>0.0</v>
      </c>
      <c r="CV532" s="1">
        <v>0.0</v>
      </c>
      <c r="CW532" s="1">
        <v>0.0</v>
      </c>
      <c r="CX532" s="1">
        <v>0.0</v>
      </c>
      <c r="CY532" s="1">
        <v>0.0</v>
      </c>
      <c r="CZ532" s="1">
        <v>0.0</v>
      </c>
      <c r="DA532" s="1">
        <v>0.0</v>
      </c>
      <c r="DB532" s="1">
        <v>0.0</v>
      </c>
      <c r="DC532" s="1">
        <v>1.0</v>
      </c>
      <c r="DD532" s="1" t="s">
        <v>2560</v>
      </c>
      <c r="DE532" s="1">
        <v>3.95081142560672E-4</v>
      </c>
      <c r="DF532" s="1">
        <v>0.0871775903243596</v>
      </c>
    </row>
    <row r="533" ht="15.75" customHeight="1">
      <c r="A533" s="1" t="s">
        <v>2561</v>
      </c>
      <c r="B533" s="1">
        <v>29.0</v>
      </c>
      <c r="C533" s="2" t="s">
        <v>2039</v>
      </c>
      <c r="D533" s="2" t="s">
        <v>2562</v>
      </c>
      <c r="E533" s="1">
        <v>2.988</v>
      </c>
      <c r="F533" s="1">
        <v>29095.0</v>
      </c>
      <c r="G533" s="1">
        <v>2.9095013704E10</v>
      </c>
      <c r="H533" s="1" t="s">
        <v>112</v>
      </c>
      <c r="I533" s="1" t="s">
        <v>113</v>
      </c>
      <c r="J533" s="1" t="s">
        <v>2041</v>
      </c>
      <c r="K533" s="1" t="s">
        <v>2563</v>
      </c>
      <c r="L533" s="1">
        <v>6003.0</v>
      </c>
      <c r="M533" s="1">
        <v>5636.0</v>
      </c>
      <c r="N533" s="1">
        <v>307.0</v>
      </c>
      <c r="O533" s="1">
        <v>2558.0</v>
      </c>
      <c r="P533" s="1">
        <v>2369.0</v>
      </c>
      <c r="Q533" s="1">
        <v>82.0</v>
      </c>
      <c r="R533" s="1">
        <v>2361.0</v>
      </c>
      <c r="S533" s="1">
        <v>272.0</v>
      </c>
      <c r="T533" s="1">
        <v>187.0</v>
      </c>
      <c r="U533" s="1">
        <v>55.0</v>
      </c>
      <c r="V533" s="1">
        <v>473.0</v>
      </c>
      <c r="W533" s="1">
        <v>30366.0</v>
      </c>
      <c r="X533" s="1">
        <v>2606.0</v>
      </c>
      <c r="Y533" s="1">
        <v>140.0</v>
      </c>
      <c r="Z533" s="1">
        <v>349.0</v>
      </c>
      <c r="AA533" s="1">
        <v>1002.0</v>
      </c>
      <c r="AB533" s="1">
        <v>1401.0</v>
      </c>
      <c r="AC533" s="1">
        <v>190.0</v>
      </c>
      <c r="AD533" s="1">
        <v>705.0</v>
      </c>
      <c r="AE533" s="1">
        <v>0.0</v>
      </c>
      <c r="AF533" s="1">
        <v>456.0</v>
      </c>
      <c r="AG533" s="1">
        <v>90.0</v>
      </c>
      <c r="AH533" s="1">
        <v>133.0</v>
      </c>
      <c r="AI533" s="1">
        <v>0.0</v>
      </c>
      <c r="AJ533" s="1">
        <v>114.0</v>
      </c>
      <c r="AK533" s="1">
        <v>0.0</v>
      </c>
      <c r="AL533" s="1">
        <v>161.0</v>
      </c>
      <c r="AM533" s="1">
        <v>126.0</v>
      </c>
      <c r="AN533" s="1">
        <v>82.0</v>
      </c>
      <c r="AO533" s="1">
        <v>139.0</v>
      </c>
      <c r="AP533" s="1">
        <v>0.050045</v>
      </c>
      <c r="AQ533" s="1">
        <v>0.0343</v>
      </c>
      <c r="AR533" s="1">
        <v>0.019482</v>
      </c>
      <c r="AS533" s="1">
        <v>0.167537</v>
      </c>
      <c r="AT533" s="1">
        <v>30366.0</v>
      </c>
      <c r="AU533" s="1">
        <v>2606.0</v>
      </c>
      <c r="AV533" s="1">
        <v>0.03611</v>
      </c>
      <c r="AW533" s="1">
        <v>0.089997</v>
      </c>
      <c r="AX533" s="1">
        <v>0.166916</v>
      </c>
      <c r="AY533" s="1">
        <v>0.233383</v>
      </c>
      <c r="AZ533" s="1">
        <v>0.08047437</v>
      </c>
      <c r="BA533" s="1">
        <v>0.117441</v>
      </c>
      <c r="BB533" s="1">
        <v>0.0</v>
      </c>
      <c r="BC533" s="1">
        <v>0.08815</v>
      </c>
      <c r="BD533" s="1">
        <v>0.03799</v>
      </c>
      <c r="BE533" s="1">
        <v>0.056126</v>
      </c>
      <c r="BF533" s="1">
        <v>0.0</v>
      </c>
      <c r="BG533" s="1">
        <v>0.048121</v>
      </c>
      <c r="BH533" s="1">
        <v>0.0</v>
      </c>
      <c r="BI533" s="1">
        <v>0.073181</v>
      </c>
      <c r="BJ533" s="1">
        <v>0.057272</v>
      </c>
      <c r="BK533" s="1">
        <v>0.037156</v>
      </c>
      <c r="BL533" s="1">
        <v>0.023155</v>
      </c>
      <c r="BM533" s="1">
        <v>0.164</v>
      </c>
      <c r="BN533" s="1">
        <v>0.029</v>
      </c>
      <c r="BO533" s="1">
        <v>0.1892</v>
      </c>
      <c r="BP533" s="1">
        <v>0.084</v>
      </c>
      <c r="BQ533" s="1">
        <v>0.4662</v>
      </c>
      <c r="BR533" s="1">
        <v>0.0556</v>
      </c>
      <c r="BS533" s="1">
        <v>0.713</v>
      </c>
      <c r="BT533" s="1">
        <v>0.422</v>
      </c>
      <c r="BU533" s="1">
        <v>0.308</v>
      </c>
      <c r="BV533" s="1">
        <v>1.443</v>
      </c>
      <c r="BW533" s="1">
        <v>0.431</v>
      </c>
      <c r="BX533" s="1">
        <v>0.53</v>
      </c>
      <c r="BY533" s="1">
        <v>0.0</v>
      </c>
      <c r="BZ533" s="1">
        <v>0.53</v>
      </c>
      <c r="CA533" s="1">
        <v>0.228</v>
      </c>
      <c r="CB533" s="1">
        <v>0.601</v>
      </c>
      <c r="CC533" s="1">
        <v>0.0</v>
      </c>
      <c r="CD533" s="1">
        <v>0.0</v>
      </c>
      <c r="CE533" s="1">
        <v>0.55</v>
      </c>
      <c r="CF533" s="1">
        <v>0.748</v>
      </c>
      <c r="CG533" s="1">
        <v>1.899</v>
      </c>
      <c r="CH533" s="1">
        <v>0.304</v>
      </c>
      <c r="CI533" s="1">
        <v>4.3382</v>
      </c>
      <c r="CJ533" s="1">
        <v>0.1191</v>
      </c>
      <c r="CK533" s="1">
        <v>0.0</v>
      </c>
      <c r="CL533" s="1">
        <v>0.0</v>
      </c>
      <c r="CM533" s="1">
        <v>0.0</v>
      </c>
      <c r="CN533" s="1">
        <v>0.0</v>
      </c>
      <c r="CO533" s="1">
        <v>0.0</v>
      </c>
      <c r="CP533" s="1">
        <v>0.0</v>
      </c>
      <c r="CQ533" s="1">
        <v>0.0</v>
      </c>
      <c r="CR533" s="1">
        <v>0.0</v>
      </c>
      <c r="CS533" s="1">
        <v>0.0</v>
      </c>
      <c r="CT533" s="1">
        <v>0.0</v>
      </c>
      <c r="CU533" s="1">
        <v>0.0</v>
      </c>
      <c r="CV533" s="1">
        <v>0.0</v>
      </c>
      <c r="CW533" s="1">
        <v>0.0</v>
      </c>
      <c r="CX533" s="1">
        <v>0.0</v>
      </c>
      <c r="CY533" s="1">
        <v>0.0</v>
      </c>
      <c r="CZ533" s="1">
        <v>0.0</v>
      </c>
      <c r="DA533" s="1">
        <v>0.0</v>
      </c>
      <c r="DB533" s="1">
        <v>0.0</v>
      </c>
      <c r="DC533" s="1">
        <v>0.0</v>
      </c>
      <c r="DD533" s="1" t="s">
        <v>2564</v>
      </c>
      <c r="DE533" s="1">
        <v>8.02088457757139E-4</v>
      </c>
      <c r="DF533" s="2" t="s">
        <v>2565</v>
      </c>
    </row>
    <row r="534" ht="15.75" customHeight="1">
      <c r="A534" s="1" t="s">
        <v>2566</v>
      </c>
      <c r="B534" s="1">
        <v>29.0</v>
      </c>
      <c r="C534" s="2" t="s">
        <v>2039</v>
      </c>
      <c r="D534" s="2" t="s">
        <v>2567</v>
      </c>
      <c r="E534" s="1">
        <v>1.38</v>
      </c>
      <c r="F534" s="1">
        <v>29095.0</v>
      </c>
      <c r="G534" s="1">
        <v>2.9095013801E10</v>
      </c>
      <c r="H534" s="1" t="s">
        <v>112</v>
      </c>
      <c r="I534" s="1" t="s">
        <v>113</v>
      </c>
      <c r="J534" s="1" t="s">
        <v>2041</v>
      </c>
      <c r="K534" s="1" t="s">
        <v>2568</v>
      </c>
      <c r="L534" s="1">
        <v>5541.0</v>
      </c>
      <c r="M534" s="1">
        <v>5187.0</v>
      </c>
      <c r="N534" s="1">
        <v>319.0</v>
      </c>
      <c r="O534" s="1">
        <v>2182.0</v>
      </c>
      <c r="P534" s="1">
        <v>2166.0</v>
      </c>
      <c r="Q534" s="1">
        <v>47.0</v>
      </c>
      <c r="R534" s="1">
        <v>2064.0</v>
      </c>
      <c r="S534" s="1">
        <v>314.0</v>
      </c>
      <c r="T534" s="1">
        <v>182.0</v>
      </c>
      <c r="U534" s="1">
        <v>96.0</v>
      </c>
      <c r="V534" s="1">
        <v>445.0</v>
      </c>
      <c r="W534" s="1">
        <v>28369.0</v>
      </c>
      <c r="X534" s="1">
        <v>2138.0</v>
      </c>
      <c r="Y534" s="1">
        <v>143.0</v>
      </c>
      <c r="Z534" s="1">
        <v>413.0</v>
      </c>
      <c r="AA534" s="1">
        <v>389.0</v>
      </c>
      <c r="AB534" s="1">
        <v>1545.0</v>
      </c>
      <c r="AC534" s="1">
        <v>297.0</v>
      </c>
      <c r="AD534" s="1">
        <v>1025.0</v>
      </c>
      <c r="AE534" s="1">
        <v>61.0</v>
      </c>
      <c r="AF534" s="1">
        <v>433.0</v>
      </c>
      <c r="AG534" s="1">
        <v>19.0</v>
      </c>
      <c r="AH534" s="1">
        <v>164.0</v>
      </c>
      <c r="AI534" s="1">
        <v>0.0</v>
      </c>
      <c r="AJ534" s="1">
        <v>114.0</v>
      </c>
      <c r="AK534" s="1">
        <v>0.0</v>
      </c>
      <c r="AL534" s="1">
        <v>161.0</v>
      </c>
      <c r="AM534" s="1">
        <v>46.0</v>
      </c>
      <c r="AN534" s="1">
        <v>42.0</v>
      </c>
      <c r="AO534" s="1">
        <v>0.0</v>
      </c>
      <c r="AP534" s="1">
        <v>0.060711</v>
      </c>
      <c r="AQ534" s="1">
        <v>0.03499</v>
      </c>
      <c r="AR534" s="1">
        <v>0.032214</v>
      </c>
      <c r="AS534" s="1">
        <v>0.149281</v>
      </c>
      <c r="AT534" s="1">
        <v>28369.0</v>
      </c>
      <c r="AU534" s="1">
        <v>2138.0</v>
      </c>
      <c r="AV534" s="1">
        <v>0.043784000000000003</v>
      </c>
      <c r="AW534" s="1">
        <v>0.126414</v>
      </c>
      <c r="AX534" s="1">
        <v>0.070203</v>
      </c>
      <c r="AY534" s="1">
        <v>0.27883</v>
      </c>
      <c r="AZ534" s="1">
        <v>0.14389534</v>
      </c>
      <c r="BA534" s="1">
        <v>0.184984</v>
      </c>
      <c r="BB534" s="1">
        <v>0.012572</v>
      </c>
      <c r="BC534" s="1">
        <v>0.089238</v>
      </c>
      <c r="BD534" s="1">
        <v>0.008771</v>
      </c>
      <c r="BE534" s="1">
        <v>0.075715</v>
      </c>
      <c r="BF534" s="1">
        <v>0.0</v>
      </c>
      <c r="BG534" s="1">
        <v>0.052631</v>
      </c>
      <c r="BH534" s="1">
        <v>0.0</v>
      </c>
      <c r="BI534" s="1">
        <v>0.081108</v>
      </c>
      <c r="BJ534" s="1">
        <v>0.023173</v>
      </c>
      <c r="BK534" s="1">
        <v>0.021099</v>
      </c>
      <c r="BL534" s="1">
        <v>0.0</v>
      </c>
      <c r="BM534" s="1">
        <v>0.207</v>
      </c>
      <c r="BN534" s="1">
        <v>0.105</v>
      </c>
      <c r="BO534" s="1">
        <v>0.2368</v>
      </c>
      <c r="BP534" s="1">
        <v>0.107</v>
      </c>
      <c r="BQ534" s="1">
        <v>0.6558</v>
      </c>
      <c r="BR534" s="1">
        <v>0.1134</v>
      </c>
      <c r="BS534" s="1">
        <v>0.085</v>
      </c>
      <c r="BT534" s="1">
        <v>0.843</v>
      </c>
      <c r="BU534" s="1">
        <v>0.776</v>
      </c>
      <c r="BV534" s="1">
        <v>1.704</v>
      </c>
      <c r="BW534" s="1">
        <v>0.642</v>
      </c>
      <c r="BX534" s="1">
        <v>0.689</v>
      </c>
      <c r="BY534" s="1">
        <v>0.782</v>
      </c>
      <c r="BZ534" s="1">
        <v>1.471</v>
      </c>
      <c r="CA534" s="1">
        <v>0.805</v>
      </c>
      <c r="CB534" s="1">
        <v>0.37</v>
      </c>
      <c r="CC534" s="1">
        <v>0.0</v>
      </c>
      <c r="CD534" s="1">
        <v>0.0</v>
      </c>
      <c r="CE534" s="1">
        <v>0.217</v>
      </c>
      <c r="CF534" s="1">
        <v>0.0</v>
      </c>
      <c r="CG534" s="1">
        <v>0.587</v>
      </c>
      <c r="CH534" s="1">
        <v>0.038</v>
      </c>
      <c r="CI534" s="1">
        <v>4.4178</v>
      </c>
      <c r="CJ534" s="1">
        <v>0.1256</v>
      </c>
      <c r="CK534" s="1">
        <v>0.0</v>
      </c>
      <c r="CL534" s="1">
        <v>0.0</v>
      </c>
      <c r="CM534" s="1">
        <v>0.0</v>
      </c>
      <c r="CN534" s="1">
        <v>0.0</v>
      </c>
      <c r="CO534" s="1">
        <v>0.0</v>
      </c>
      <c r="CP534" s="1">
        <v>0.0</v>
      </c>
      <c r="CQ534" s="1">
        <v>0.0</v>
      </c>
      <c r="CR534" s="1">
        <v>0.0</v>
      </c>
      <c r="CS534" s="1">
        <v>0.0</v>
      </c>
      <c r="CT534" s="1">
        <v>0.0</v>
      </c>
      <c r="CU534" s="1">
        <v>0.0</v>
      </c>
      <c r="CV534" s="1">
        <v>0.0</v>
      </c>
      <c r="CW534" s="1">
        <v>0.0</v>
      </c>
      <c r="CX534" s="1">
        <v>0.0</v>
      </c>
      <c r="CY534" s="1">
        <v>0.0</v>
      </c>
      <c r="CZ534" s="1">
        <v>0.0</v>
      </c>
      <c r="DA534" s="1">
        <v>0.0</v>
      </c>
      <c r="DB534" s="1">
        <v>0.0</v>
      </c>
      <c r="DC534" s="1">
        <v>0.0</v>
      </c>
      <c r="DD534" s="1" t="s">
        <v>2569</v>
      </c>
      <c r="DE534" s="1">
        <v>3.71572075968042E-4</v>
      </c>
      <c r="DF534" s="1">
        <v>0.0820802465926398</v>
      </c>
    </row>
    <row r="535" ht="15.75" customHeight="1">
      <c r="A535" s="1" t="s">
        <v>2570</v>
      </c>
      <c r="B535" s="1">
        <v>29.0</v>
      </c>
      <c r="C535" s="2" t="s">
        <v>2039</v>
      </c>
      <c r="D535" s="2" t="s">
        <v>2571</v>
      </c>
      <c r="E535" s="1">
        <v>4.867</v>
      </c>
      <c r="F535" s="1">
        <v>29095.0</v>
      </c>
      <c r="G535" s="1">
        <v>2.9095013802E10</v>
      </c>
      <c r="H535" s="1" t="s">
        <v>112</v>
      </c>
      <c r="I535" s="1" t="s">
        <v>113</v>
      </c>
      <c r="J535" s="1" t="s">
        <v>2041</v>
      </c>
      <c r="K535" s="1" t="s">
        <v>2572</v>
      </c>
      <c r="L535" s="1">
        <v>8421.0</v>
      </c>
      <c r="M535" s="1">
        <v>8704.0</v>
      </c>
      <c r="N535" s="1">
        <v>310.0</v>
      </c>
      <c r="O535" s="1">
        <v>3209.0</v>
      </c>
      <c r="P535" s="1">
        <v>3146.0</v>
      </c>
      <c r="Q535" s="1">
        <v>59.0</v>
      </c>
      <c r="R535" s="1">
        <v>3105.0</v>
      </c>
      <c r="S535" s="1">
        <v>281.0</v>
      </c>
      <c r="T535" s="1">
        <v>194.0</v>
      </c>
      <c r="U535" s="1">
        <v>309.0</v>
      </c>
      <c r="V535" s="1">
        <v>324.0</v>
      </c>
      <c r="W535" s="1">
        <v>27892.0</v>
      </c>
      <c r="X535" s="1">
        <v>2030.0</v>
      </c>
      <c r="Y535" s="1">
        <v>248.0</v>
      </c>
      <c r="Z535" s="1">
        <v>339.0</v>
      </c>
      <c r="AA535" s="1">
        <v>755.0</v>
      </c>
      <c r="AB535" s="1">
        <v>2411.0</v>
      </c>
      <c r="AC535" s="1">
        <v>349.0</v>
      </c>
      <c r="AD535" s="1">
        <v>1274.0</v>
      </c>
      <c r="AE535" s="1">
        <v>157.0</v>
      </c>
      <c r="AF535" s="1">
        <v>435.0</v>
      </c>
      <c r="AG535" s="1">
        <v>0.0</v>
      </c>
      <c r="AH535" s="1">
        <v>197.0</v>
      </c>
      <c r="AI535" s="1">
        <v>0.0</v>
      </c>
      <c r="AJ535" s="1">
        <v>114.0</v>
      </c>
      <c r="AK535" s="1">
        <v>11.0</v>
      </c>
      <c r="AL535" s="1">
        <v>116.0</v>
      </c>
      <c r="AM535" s="1">
        <v>68.0</v>
      </c>
      <c r="AN535" s="1">
        <v>58.0</v>
      </c>
      <c r="AO535" s="1">
        <v>0.0</v>
      </c>
      <c r="AP535" s="1">
        <v>0.032284</v>
      </c>
      <c r="AQ535" s="1">
        <v>0.022258</v>
      </c>
      <c r="AR535" s="1">
        <v>0.063306</v>
      </c>
      <c r="AS535" s="1">
        <v>0.066145</v>
      </c>
      <c r="AT535" s="1">
        <v>27892.0</v>
      </c>
      <c r="AU535" s="1">
        <v>2030.0</v>
      </c>
      <c r="AV535" s="1">
        <v>0.044073</v>
      </c>
      <c r="AW535" s="1">
        <v>0.060223</v>
      </c>
      <c r="AX535" s="1">
        <v>0.089656</v>
      </c>
      <c r="AY535" s="1">
        <v>0.286308</v>
      </c>
      <c r="AZ535" s="1">
        <v>0.11239935</v>
      </c>
      <c r="BA535" s="1">
        <v>0.151288</v>
      </c>
      <c r="BB535" s="1">
        <v>0.018954</v>
      </c>
      <c r="BC535" s="1">
        <v>0.052512</v>
      </c>
      <c r="BD535" s="1">
        <v>0.0</v>
      </c>
      <c r="BE535" s="1">
        <v>0.062619</v>
      </c>
      <c r="BF535" s="1">
        <v>0.0</v>
      </c>
      <c r="BG535" s="1">
        <v>0.036236</v>
      </c>
      <c r="BH535" s="1">
        <v>0.003496</v>
      </c>
      <c r="BI535" s="1">
        <v>0.036872</v>
      </c>
      <c r="BJ535" s="1">
        <v>0.021614</v>
      </c>
      <c r="BK535" s="1">
        <v>0.018431</v>
      </c>
      <c r="BL535" s="1">
        <v>0.0</v>
      </c>
      <c r="BM535" s="1">
        <v>0.094</v>
      </c>
      <c r="BN535" s="1">
        <v>0.453</v>
      </c>
      <c r="BO535" s="1">
        <v>0.2542</v>
      </c>
      <c r="BP535" s="1">
        <v>0.11</v>
      </c>
      <c r="BQ535" s="1">
        <v>0.9112</v>
      </c>
      <c r="BR535" s="1">
        <v>0.1827</v>
      </c>
      <c r="BS535" s="1">
        <v>0.156</v>
      </c>
      <c r="BT535" s="1">
        <v>0.874</v>
      </c>
      <c r="BU535" s="1">
        <v>0.607</v>
      </c>
      <c r="BV535" s="1">
        <v>1.637</v>
      </c>
      <c r="BW535" s="1">
        <v>0.589</v>
      </c>
      <c r="BX535" s="1">
        <v>0.628</v>
      </c>
      <c r="BY535" s="1">
        <v>0.851</v>
      </c>
      <c r="BZ535" s="1">
        <v>1.479</v>
      </c>
      <c r="CA535" s="1">
        <v>0.809</v>
      </c>
      <c r="CB535" s="1">
        <v>0.0</v>
      </c>
      <c r="CC535" s="1">
        <v>0.0</v>
      </c>
      <c r="CD535" s="1">
        <v>0.3</v>
      </c>
      <c r="CE535" s="1">
        <v>0.197</v>
      </c>
      <c r="CF535" s="1">
        <v>0.0</v>
      </c>
      <c r="CG535" s="1">
        <v>0.497</v>
      </c>
      <c r="CH535" s="1">
        <v>0.03</v>
      </c>
      <c r="CI535" s="1">
        <v>4.5242</v>
      </c>
      <c r="CJ535" s="1">
        <v>0.1379</v>
      </c>
      <c r="CK535" s="1">
        <v>0.0</v>
      </c>
      <c r="CL535" s="1">
        <v>0.0</v>
      </c>
      <c r="CM535" s="1">
        <v>0.0</v>
      </c>
      <c r="CN535" s="1">
        <v>0.0</v>
      </c>
      <c r="CO535" s="1">
        <v>0.0</v>
      </c>
      <c r="CP535" s="1">
        <v>0.0</v>
      </c>
      <c r="CQ535" s="1">
        <v>0.0</v>
      </c>
      <c r="CR535" s="1">
        <v>0.0</v>
      </c>
      <c r="CS535" s="1">
        <v>0.0</v>
      </c>
      <c r="CT535" s="1">
        <v>0.0</v>
      </c>
      <c r="CU535" s="1">
        <v>0.0</v>
      </c>
      <c r="CV535" s="1">
        <v>0.0</v>
      </c>
      <c r="CW535" s="1">
        <v>0.0</v>
      </c>
      <c r="CX535" s="1">
        <v>0.0</v>
      </c>
      <c r="CY535" s="1">
        <v>0.0</v>
      </c>
      <c r="CZ535" s="1">
        <v>0.0</v>
      </c>
      <c r="DA535" s="1">
        <v>0.0</v>
      </c>
      <c r="DB535" s="1">
        <v>0.0</v>
      </c>
      <c r="DC535" s="1">
        <v>0.0</v>
      </c>
      <c r="DD535" s="1" t="s">
        <v>2573</v>
      </c>
      <c r="DE535" s="1">
        <v>0.00130917423935042</v>
      </c>
      <c r="DF535" s="2" t="s">
        <v>2574</v>
      </c>
    </row>
    <row r="536" ht="15.75" customHeight="1">
      <c r="A536" s="1" t="s">
        <v>2575</v>
      </c>
      <c r="B536" s="1">
        <v>29.0</v>
      </c>
      <c r="C536" s="2" t="s">
        <v>2039</v>
      </c>
      <c r="D536" s="2" t="s">
        <v>2576</v>
      </c>
      <c r="E536" s="1">
        <v>66.003</v>
      </c>
      <c r="F536" s="1">
        <v>29095.0</v>
      </c>
      <c r="G536" s="1">
        <v>2.9095013901E10</v>
      </c>
      <c r="H536" s="1" t="s">
        <v>112</v>
      </c>
      <c r="I536" s="1" t="s">
        <v>113</v>
      </c>
      <c r="J536" s="1" t="s">
        <v>2041</v>
      </c>
      <c r="K536" s="1" t="s">
        <v>2577</v>
      </c>
      <c r="L536" s="1">
        <v>6337.0</v>
      </c>
      <c r="M536" s="1">
        <v>6468.0</v>
      </c>
      <c r="N536" s="1">
        <v>385.0</v>
      </c>
      <c r="O536" s="1">
        <v>2985.0</v>
      </c>
      <c r="P536" s="1">
        <v>2671.0</v>
      </c>
      <c r="Q536" s="1">
        <v>147.0</v>
      </c>
      <c r="R536" s="1">
        <v>2455.0</v>
      </c>
      <c r="S536" s="1">
        <v>88.0</v>
      </c>
      <c r="T536" s="1">
        <v>52.0</v>
      </c>
      <c r="U536" s="1">
        <v>229.0</v>
      </c>
      <c r="V536" s="1">
        <v>379.0</v>
      </c>
      <c r="W536" s="1">
        <v>37976.0</v>
      </c>
      <c r="X536" s="1">
        <v>3211.0</v>
      </c>
      <c r="Y536" s="1">
        <v>152.0</v>
      </c>
      <c r="Z536" s="1">
        <v>373.0</v>
      </c>
      <c r="AA536" s="1">
        <v>917.0</v>
      </c>
      <c r="AB536" s="1">
        <v>1356.0</v>
      </c>
      <c r="AC536" s="1">
        <v>125.0</v>
      </c>
      <c r="AD536" s="1">
        <v>269.0</v>
      </c>
      <c r="AE536" s="1">
        <v>11.0</v>
      </c>
      <c r="AF536" s="1">
        <v>442.0</v>
      </c>
      <c r="AG536" s="1">
        <v>0.0</v>
      </c>
      <c r="AH536" s="1">
        <v>197.0</v>
      </c>
      <c r="AI536" s="1">
        <v>55.0</v>
      </c>
      <c r="AJ536" s="1">
        <v>38.0</v>
      </c>
      <c r="AK536" s="1">
        <v>0.0</v>
      </c>
      <c r="AL536" s="1">
        <v>161.0</v>
      </c>
      <c r="AM536" s="1">
        <v>87.0</v>
      </c>
      <c r="AN536" s="1">
        <v>52.0</v>
      </c>
      <c r="AO536" s="1">
        <v>0.0</v>
      </c>
      <c r="AP536" s="1">
        <v>0.013702</v>
      </c>
      <c r="AQ536" s="1">
        <v>0.008056</v>
      </c>
      <c r="AR536" s="1">
        <v>0.063558</v>
      </c>
      <c r="AS536" s="1">
        <v>0.105048</v>
      </c>
      <c r="AT536" s="1">
        <v>37976.0</v>
      </c>
      <c r="AU536" s="1">
        <v>3211.0</v>
      </c>
      <c r="AV536" s="1">
        <v>0.033762</v>
      </c>
      <c r="AW536" s="1">
        <v>0.082826</v>
      </c>
      <c r="AX536" s="1">
        <v>0.144705</v>
      </c>
      <c r="AY536" s="1">
        <v>0.213981</v>
      </c>
      <c r="AZ536" s="1">
        <v>0.05091649</v>
      </c>
      <c r="BA536" s="1">
        <v>0.042449</v>
      </c>
      <c r="BB536" s="1">
        <v>0.001788</v>
      </c>
      <c r="BC536" s="1">
        <v>0.071846</v>
      </c>
      <c r="BD536" s="1">
        <v>0.0</v>
      </c>
      <c r="BE536" s="1">
        <v>0.073755</v>
      </c>
      <c r="BF536" s="1">
        <v>0.020591</v>
      </c>
      <c r="BG536" s="1">
        <v>0.014181</v>
      </c>
      <c r="BH536" s="1">
        <v>0.0</v>
      </c>
      <c r="BI536" s="1">
        <v>0.068336</v>
      </c>
      <c r="BJ536" s="1">
        <v>0.036926</v>
      </c>
      <c r="BK536" s="1">
        <v>0.021944</v>
      </c>
      <c r="BL536" s="1">
        <v>0.0</v>
      </c>
      <c r="BM536" s="1">
        <v>0.033</v>
      </c>
      <c r="BN536" s="1">
        <v>0.456</v>
      </c>
      <c r="BO536" s="1">
        <v>0.0852</v>
      </c>
      <c r="BP536" s="1">
        <v>0.076</v>
      </c>
      <c r="BQ536" s="1">
        <v>0.6502</v>
      </c>
      <c r="BR536" s="1">
        <v>0.1112</v>
      </c>
      <c r="BS536" s="1">
        <v>0.536</v>
      </c>
      <c r="BT536" s="1">
        <v>0.257</v>
      </c>
      <c r="BU536" s="1">
        <v>0.079</v>
      </c>
      <c r="BV536" s="1">
        <v>0.872</v>
      </c>
      <c r="BW536" s="1">
        <v>0.085</v>
      </c>
      <c r="BX536" s="1">
        <v>0.189</v>
      </c>
      <c r="BY536" s="1">
        <v>0.37</v>
      </c>
      <c r="BZ536" s="1">
        <v>0.559</v>
      </c>
      <c r="CA536" s="1">
        <v>0.245</v>
      </c>
      <c r="CB536" s="1">
        <v>0.0</v>
      </c>
      <c r="CC536" s="1">
        <v>0.515</v>
      </c>
      <c r="CD536" s="1">
        <v>0.0</v>
      </c>
      <c r="CE536" s="1">
        <v>0.359</v>
      </c>
      <c r="CF536" s="1">
        <v>0.0</v>
      </c>
      <c r="CG536" s="1">
        <v>0.874</v>
      </c>
      <c r="CH536" s="1">
        <v>0.061</v>
      </c>
      <c r="CI536" s="1">
        <v>2.9552</v>
      </c>
      <c r="CJ536" s="1">
        <v>0.0173</v>
      </c>
      <c r="CK536" s="1">
        <v>0.0</v>
      </c>
      <c r="CL536" s="1">
        <v>0.0</v>
      </c>
      <c r="CM536" s="1">
        <v>0.0</v>
      </c>
      <c r="CN536" s="1">
        <v>0.0</v>
      </c>
      <c r="CO536" s="1">
        <v>0.0</v>
      </c>
      <c r="CP536" s="1">
        <v>0.0</v>
      </c>
      <c r="CQ536" s="1">
        <v>0.0</v>
      </c>
      <c r="CR536" s="1">
        <v>0.0</v>
      </c>
      <c r="CS536" s="1">
        <v>0.0</v>
      </c>
      <c r="CT536" s="1">
        <v>0.0</v>
      </c>
      <c r="CU536" s="1">
        <v>0.0</v>
      </c>
      <c r="CV536" s="1">
        <v>0.0</v>
      </c>
      <c r="CW536" s="1">
        <v>0.0</v>
      </c>
      <c r="CX536" s="1">
        <v>0.0</v>
      </c>
      <c r="CY536" s="1">
        <v>0.0</v>
      </c>
      <c r="CZ536" s="1">
        <v>0.0</v>
      </c>
      <c r="DA536" s="1">
        <v>0.0</v>
      </c>
      <c r="DB536" s="1">
        <v>0.0</v>
      </c>
      <c r="DC536" s="1">
        <v>0.0</v>
      </c>
      <c r="DD536" s="1" t="s">
        <v>2578</v>
      </c>
      <c r="DE536" s="2" t="s">
        <v>2579</v>
      </c>
      <c r="DF536" s="2" t="s">
        <v>2580</v>
      </c>
    </row>
    <row r="537" ht="15.75" customHeight="1">
      <c r="A537" s="1" t="s">
        <v>2581</v>
      </c>
      <c r="B537" s="1">
        <v>29.0</v>
      </c>
      <c r="C537" s="2" t="s">
        <v>2039</v>
      </c>
      <c r="D537" s="2" t="s">
        <v>2582</v>
      </c>
      <c r="E537" s="1">
        <v>3.505</v>
      </c>
      <c r="F537" s="1">
        <v>29095.0</v>
      </c>
      <c r="G537" s="1">
        <v>2.9095014101E10</v>
      </c>
      <c r="H537" s="1" t="s">
        <v>112</v>
      </c>
      <c r="I537" s="1" t="s">
        <v>113</v>
      </c>
      <c r="J537" s="1" t="s">
        <v>2041</v>
      </c>
      <c r="K537" s="1" t="s">
        <v>2583</v>
      </c>
      <c r="L537" s="1">
        <v>6783.0</v>
      </c>
      <c r="M537" s="1">
        <v>6274.0</v>
      </c>
      <c r="N537" s="1">
        <v>529.0</v>
      </c>
      <c r="O537" s="1">
        <v>3166.0</v>
      </c>
      <c r="P537" s="1">
        <v>3141.0</v>
      </c>
      <c r="Q537" s="1">
        <v>115.0</v>
      </c>
      <c r="R537" s="1">
        <v>2887.0</v>
      </c>
      <c r="S537" s="1">
        <v>848.0</v>
      </c>
      <c r="T537" s="1">
        <v>405.0</v>
      </c>
      <c r="U537" s="1">
        <v>201.0</v>
      </c>
      <c r="V537" s="1">
        <v>423.0</v>
      </c>
      <c r="W537" s="1">
        <v>25214.0</v>
      </c>
      <c r="X537" s="1">
        <v>4298.0</v>
      </c>
      <c r="Y537" s="1">
        <v>580.0</v>
      </c>
      <c r="Z537" s="1">
        <v>319.0</v>
      </c>
      <c r="AA537" s="1">
        <v>928.0</v>
      </c>
      <c r="AB537" s="1">
        <v>1739.0</v>
      </c>
      <c r="AC537" s="1">
        <v>473.0</v>
      </c>
      <c r="AD537" s="1">
        <v>1264.0</v>
      </c>
      <c r="AE537" s="1">
        <v>32.0</v>
      </c>
      <c r="AF537" s="1">
        <v>428.0</v>
      </c>
      <c r="AG537" s="1">
        <v>244.0</v>
      </c>
      <c r="AH537" s="1">
        <v>133.0</v>
      </c>
      <c r="AI537" s="1">
        <v>37.0</v>
      </c>
      <c r="AJ537" s="1">
        <v>53.0</v>
      </c>
      <c r="AK537" s="1">
        <v>35.0</v>
      </c>
      <c r="AL537" s="1">
        <v>121.0</v>
      </c>
      <c r="AM537" s="1">
        <v>143.0</v>
      </c>
      <c r="AN537" s="1">
        <v>149.0</v>
      </c>
      <c r="AO537" s="1">
        <v>101.0</v>
      </c>
      <c r="AP537" s="1">
        <v>0.138902</v>
      </c>
      <c r="AQ537" s="1">
        <v>0.06543</v>
      </c>
      <c r="AR537" s="1">
        <v>0.058583</v>
      </c>
      <c r="AS537" s="1">
        <v>0.123073</v>
      </c>
      <c r="AT537" s="1">
        <v>25214.0</v>
      </c>
      <c r="AU537" s="1">
        <v>4298.0</v>
      </c>
      <c r="AV537" s="1">
        <v>0.133486</v>
      </c>
      <c r="AW537" s="1">
        <v>0.072589</v>
      </c>
      <c r="AX537" s="1">
        <v>0.136812</v>
      </c>
      <c r="AY537" s="1">
        <v>0.256376</v>
      </c>
      <c r="AZ537" s="1">
        <v>0.16383789</v>
      </c>
      <c r="BA537" s="1">
        <v>0.186348</v>
      </c>
      <c r="BB537" s="1">
        <v>0.005505</v>
      </c>
      <c r="BC537" s="1">
        <v>0.073639</v>
      </c>
      <c r="BD537" s="1">
        <v>0.077682</v>
      </c>
      <c r="BE537" s="1">
        <v>0.042247</v>
      </c>
      <c r="BF537" s="1">
        <v>0.011779</v>
      </c>
      <c r="BG537" s="1">
        <v>0.016868</v>
      </c>
      <c r="BH537" s="1">
        <v>0.012526</v>
      </c>
      <c r="BI537" s="1">
        <v>0.043301</v>
      </c>
      <c r="BJ537" s="1">
        <v>0.051181</v>
      </c>
      <c r="BK537" s="1">
        <v>0.053246</v>
      </c>
      <c r="BL537" s="1">
        <v>0.01489</v>
      </c>
      <c r="BM537" s="1">
        <v>0.538</v>
      </c>
      <c r="BN537" s="1">
        <v>0.4</v>
      </c>
      <c r="BO537" s="1">
        <v>0.3372</v>
      </c>
      <c r="BP537" s="1">
        <v>0.488</v>
      </c>
      <c r="BQ537" s="1">
        <v>1.7632</v>
      </c>
      <c r="BR537" s="1">
        <v>0.4202</v>
      </c>
      <c r="BS537" s="1">
        <v>0.471</v>
      </c>
      <c r="BT537" s="1">
        <v>0.666</v>
      </c>
      <c r="BU537" s="1">
        <v>0.833</v>
      </c>
      <c r="BV537" s="1">
        <v>1.97</v>
      </c>
      <c r="BW537" s="1">
        <v>0.846</v>
      </c>
      <c r="BX537" s="1">
        <v>0.69</v>
      </c>
      <c r="BY537" s="1">
        <v>0.581</v>
      </c>
      <c r="BZ537" s="1">
        <v>1.271</v>
      </c>
      <c r="CA537" s="1">
        <v>0.698</v>
      </c>
      <c r="CB537" s="1">
        <v>0.727</v>
      </c>
      <c r="CC537" s="1">
        <v>0.471</v>
      </c>
      <c r="CD537" s="1">
        <v>0.54</v>
      </c>
      <c r="CE537" s="1">
        <v>0.495</v>
      </c>
      <c r="CF537" s="1">
        <v>0.645</v>
      </c>
      <c r="CG537" s="1">
        <v>2.878</v>
      </c>
      <c r="CH537" s="1">
        <v>0.724</v>
      </c>
      <c r="CI537" s="1">
        <v>7.8822</v>
      </c>
      <c r="CJ537" s="1">
        <v>0.6939</v>
      </c>
      <c r="CK537" s="1">
        <v>0.0</v>
      </c>
      <c r="CL537" s="1">
        <v>0.0</v>
      </c>
      <c r="CM537" s="1">
        <v>0.0</v>
      </c>
      <c r="CN537" s="1">
        <v>0.0</v>
      </c>
      <c r="CO537" s="1">
        <v>0.0</v>
      </c>
      <c r="CP537" s="1">
        <v>0.0</v>
      </c>
      <c r="CQ537" s="1">
        <v>0.0</v>
      </c>
      <c r="CR537" s="1">
        <v>0.0</v>
      </c>
      <c r="CS537" s="1">
        <v>0.0</v>
      </c>
      <c r="CT537" s="1">
        <v>0.0</v>
      </c>
      <c r="CU537" s="1">
        <v>0.0</v>
      </c>
      <c r="CV537" s="1">
        <v>0.0</v>
      </c>
      <c r="CW537" s="1">
        <v>0.0</v>
      </c>
      <c r="CX537" s="1">
        <v>0.0</v>
      </c>
      <c r="CY537" s="1">
        <v>0.0</v>
      </c>
      <c r="CZ537" s="1">
        <v>0.0</v>
      </c>
      <c r="DA537" s="1">
        <v>0.0</v>
      </c>
      <c r="DB537" s="1">
        <v>0.0</v>
      </c>
      <c r="DC537" s="1">
        <v>0.0</v>
      </c>
      <c r="DD537" s="1" t="s">
        <v>2584</v>
      </c>
      <c r="DE537" s="1">
        <v>9.43064120582657E-4</v>
      </c>
      <c r="DF537" s="2" t="s">
        <v>2585</v>
      </c>
    </row>
    <row r="538" ht="15.75" customHeight="1">
      <c r="A538" s="1" t="s">
        <v>2586</v>
      </c>
      <c r="B538" s="1">
        <v>29.0</v>
      </c>
      <c r="C538" s="2" t="s">
        <v>2039</v>
      </c>
      <c r="D538" s="2" t="s">
        <v>2587</v>
      </c>
      <c r="E538" s="1">
        <v>4.225</v>
      </c>
      <c r="F538" s="1">
        <v>29095.0</v>
      </c>
      <c r="G538" s="1">
        <v>2.9095014105E10</v>
      </c>
      <c r="H538" s="1" t="s">
        <v>112</v>
      </c>
      <c r="I538" s="1" t="s">
        <v>113</v>
      </c>
      <c r="J538" s="1" t="s">
        <v>2041</v>
      </c>
      <c r="K538" s="1" t="s">
        <v>2588</v>
      </c>
      <c r="L538" s="1">
        <v>7828.0</v>
      </c>
      <c r="M538" s="1">
        <v>8303.0</v>
      </c>
      <c r="N538" s="1">
        <v>425.0</v>
      </c>
      <c r="O538" s="1">
        <v>2850.0</v>
      </c>
      <c r="P538" s="1">
        <v>2928.0</v>
      </c>
      <c r="Q538" s="1">
        <v>70.0</v>
      </c>
      <c r="R538" s="1">
        <v>2708.0</v>
      </c>
      <c r="S538" s="1">
        <v>283.0</v>
      </c>
      <c r="T538" s="1">
        <v>173.0</v>
      </c>
      <c r="U538" s="1">
        <v>166.0</v>
      </c>
      <c r="V538" s="1">
        <v>387.0</v>
      </c>
      <c r="W538" s="1">
        <v>23754.0</v>
      </c>
      <c r="X538" s="1">
        <v>1497.0</v>
      </c>
      <c r="Y538" s="1">
        <v>294.0</v>
      </c>
      <c r="Z538" s="1">
        <v>365.0</v>
      </c>
      <c r="AA538" s="1">
        <v>463.0</v>
      </c>
      <c r="AB538" s="1">
        <v>2405.0</v>
      </c>
      <c r="AC538" s="1">
        <v>407.0</v>
      </c>
      <c r="AD538" s="1">
        <v>1147.0</v>
      </c>
      <c r="AE538" s="1">
        <v>48.0</v>
      </c>
      <c r="AF538" s="1">
        <v>415.0</v>
      </c>
      <c r="AG538" s="1">
        <v>94.0</v>
      </c>
      <c r="AH538" s="1">
        <v>170.0</v>
      </c>
      <c r="AI538" s="1">
        <v>37.0</v>
      </c>
      <c r="AJ538" s="1">
        <v>58.0</v>
      </c>
      <c r="AK538" s="1">
        <v>40.0</v>
      </c>
      <c r="AL538" s="1">
        <v>120.0</v>
      </c>
      <c r="AM538" s="1">
        <v>11.0</v>
      </c>
      <c r="AN538" s="1">
        <v>115.0</v>
      </c>
      <c r="AO538" s="1">
        <v>0.0</v>
      </c>
      <c r="AP538" s="1">
        <v>0.034199</v>
      </c>
      <c r="AQ538" s="1">
        <v>0.020833</v>
      </c>
      <c r="AR538" s="1">
        <v>0.036126</v>
      </c>
      <c r="AS538" s="1">
        <v>0.084145</v>
      </c>
      <c r="AT538" s="1">
        <v>23754.0</v>
      </c>
      <c r="AU538" s="1">
        <v>1497.0</v>
      </c>
      <c r="AV538" s="1">
        <v>0.058882</v>
      </c>
      <c r="AW538" s="1">
        <v>0.073029</v>
      </c>
      <c r="AX538" s="1">
        <v>0.059146</v>
      </c>
      <c r="AY538" s="1">
        <v>0.30723</v>
      </c>
      <c r="AZ538" s="1">
        <v>0.15029542</v>
      </c>
      <c r="BA538" s="1">
        <v>0.146525</v>
      </c>
      <c r="BB538" s="1">
        <v>0.006245</v>
      </c>
      <c r="BC538" s="1">
        <v>0.053993</v>
      </c>
      <c r="BD538" s="1">
        <v>0.032103</v>
      </c>
      <c r="BE538" s="1">
        <v>0.058055</v>
      </c>
      <c r="BF538" s="1">
        <v>0.012636</v>
      </c>
      <c r="BG538" s="1">
        <v>0.019806</v>
      </c>
      <c r="BH538" s="1">
        <v>0.014461</v>
      </c>
      <c r="BI538" s="1">
        <v>0.043379</v>
      </c>
      <c r="BJ538" s="1">
        <v>0.003976</v>
      </c>
      <c r="BK538" s="1">
        <v>0.041575</v>
      </c>
      <c r="BL538" s="1">
        <v>0.0</v>
      </c>
      <c r="BM538" s="1">
        <v>0.101</v>
      </c>
      <c r="BN538" s="1">
        <v>0.148</v>
      </c>
      <c r="BO538" s="1">
        <v>0.4072</v>
      </c>
      <c r="BP538" s="1">
        <v>0.164</v>
      </c>
      <c r="BQ538" s="1">
        <v>0.8202</v>
      </c>
      <c r="BR538" s="1">
        <v>0.1617</v>
      </c>
      <c r="BS538" s="1">
        <v>0.041</v>
      </c>
      <c r="BT538" s="1">
        <v>0.94</v>
      </c>
      <c r="BU538" s="1">
        <v>0.797</v>
      </c>
      <c r="BV538" s="1">
        <v>1.778</v>
      </c>
      <c r="BW538" s="1">
        <v>0.704</v>
      </c>
      <c r="BX538" s="1">
        <v>0.615</v>
      </c>
      <c r="BY538" s="1">
        <v>0.608</v>
      </c>
      <c r="BZ538" s="1">
        <v>1.223</v>
      </c>
      <c r="CA538" s="1">
        <v>0.671</v>
      </c>
      <c r="CB538" s="1">
        <v>0.561</v>
      </c>
      <c r="CC538" s="1">
        <v>0.475</v>
      </c>
      <c r="CD538" s="1">
        <v>0.582</v>
      </c>
      <c r="CE538" s="1">
        <v>0.041</v>
      </c>
      <c r="CF538" s="1">
        <v>0.0</v>
      </c>
      <c r="CG538" s="1">
        <v>1.659</v>
      </c>
      <c r="CH538" s="1">
        <v>0.221</v>
      </c>
      <c r="CI538" s="1">
        <v>5.4802</v>
      </c>
      <c r="CJ538" s="1">
        <v>0.2773</v>
      </c>
      <c r="CK538" s="1">
        <v>0.0</v>
      </c>
      <c r="CL538" s="1">
        <v>0.0</v>
      </c>
      <c r="CM538" s="1">
        <v>0.0</v>
      </c>
      <c r="CN538" s="1">
        <v>0.0</v>
      </c>
      <c r="CO538" s="1">
        <v>0.0</v>
      </c>
      <c r="CP538" s="1">
        <v>0.0</v>
      </c>
      <c r="CQ538" s="1">
        <v>1.0</v>
      </c>
      <c r="CR538" s="1">
        <v>0.0</v>
      </c>
      <c r="CS538" s="1">
        <v>1.0</v>
      </c>
      <c r="CT538" s="1">
        <v>0.0</v>
      </c>
      <c r="CU538" s="1">
        <v>0.0</v>
      </c>
      <c r="CV538" s="1">
        <v>0.0</v>
      </c>
      <c r="CW538" s="1">
        <v>0.0</v>
      </c>
      <c r="CX538" s="1">
        <v>0.0</v>
      </c>
      <c r="CY538" s="1">
        <v>0.0</v>
      </c>
      <c r="CZ538" s="1">
        <v>0.0</v>
      </c>
      <c r="DA538" s="1">
        <v>0.0</v>
      </c>
      <c r="DB538" s="1">
        <v>0.0</v>
      </c>
      <c r="DC538" s="1">
        <v>1.0</v>
      </c>
      <c r="DD538" s="1" t="s">
        <v>2589</v>
      </c>
      <c r="DE538" s="1">
        <v>0.0011351794935487</v>
      </c>
      <c r="DF538" s="2" t="s">
        <v>2590</v>
      </c>
    </row>
    <row r="539" ht="15.75" customHeight="1">
      <c r="A539" s="1" t="s">
        <v>2591</v>
      </c>
      <c r="B539" s="1">
        <v>29.0</v>
      </c>
      <c r="C539" s="2" t="s">
        <v>2039</v>
      </c>
      <c r="D539" s="2" t="s">
        <v>2592</v>
      </c>
      <c r="E539" s="1">
        <v>1.824</v>
      </c>
      <c r="F539" s="1">
        <v>29095.0</v>
      </c>
      <c r="G539" s="1">
        <v>2.9095014108E10</v>
      </c>
      <c r="H539" s="1" t="s">
        <v>112</v>
      </c>
      <c r="I539" s="1" t="s">
        <v>113</v>
      </c>
      <c r="J539" s="1" t="s">
        <v>2041</v>
      </c>
      <c r="K539" s="1" t="s">
        <v>2593</v>
      </c>
      <c r="L539" s="1">
        <v>6581.0</v>
      </c>
      <c r="M539" s="1">
        <v>6698.0</v>
      </c>
      <c r="N539" s="1">
        <v>437.0</v>
      </c>
      <c r="O539" s="1">
        <v>2717.0</v>
      </c>
      <c r="P539" s="1">
        <v>2751.0</v>
      </c>
      <c r="Q539" s="1">
        <v>69.0</v>
      </c>
      <c r="R539" s="1">
        <v>2538.0</v>
      </c>
      <c r="S539" s="1">
        <v>693.0</v>
      </c>
      <c r="T539" s="1">
        <v>400.0</v>
      </c>
      <c r="U539" s="1">
        <v>202.0</v>
      </c>
      <c r="V539" s="1">
        <v>373.0</v>
      </c>
      <c r="W539" s="1">
        <v>22961.0</v>
      </c>
      <c r="X539" s="1">
        <v>2546.0</v>
      </c>
      <c r="Y539" s="1">
        <v>262.0</v>
      </c>
      <c r="Z539" s="1">
        <v>301.0</v>
      </c>
      <c r="AA539" s="1">
        <v>623.0</v>
      </c>
      <c r="AB539" s="1">
        <v>1848.0</v>
      </c>
      <c r="AC539" s="1">
        <v>455.0</v>
      </c>
      <c r="AD539" s="1">
        <v>1171.0</v>
      </c>
      <c r="AE539" s="1">
        <v>0.0</v>
      </c>
      <c r="AF539" s="1">
        <v>456.0</v>
      </c>
      <c r="AG539" s="1">
        <v>288.0</v>
      </c>
      <c r="AH539" s="1">
        <v>131.0</v>
      </c>
      <c r="AI539" s="1">
        <v>16.0</v>
      </c>
      <c r="AJ539" s="1">
        <v>28.0</v>
      </c>
      <c r="AK539" s="1">
        <v>34.0</v>
      </c>
      <c r="AL539" s="1">
        <v>120.0</v>
      </c>
      <c r="AM539" s="1">
        <v>52.0</v>
      </c>
      <c r="AN539" s="1">
        <v>127.0</v>
      </c>
      <c r="AO539" s="1">
        <v>11.0</v>
      </c>
      <c r="AP539" s="1">
        <v>0.103463</v>
      </c>
      <c r="AQ539" s="1">
        <v>0.059336</v>
      </c>
      <c r="AR539" s="1">
        <v>0.05557</v>
      </c>
      <c r="AS539" s="1">
        <v>0.102422</v>
      </c>
      <c r="AT539" s="1">
        <v>22961.0</v>
      </c>
      <c r="AU539" s="1">
        <v>2546.0</v>
      </c>
      <c r="AV539" s="1">
        <v>0.062814</v>
      </c>
      <c r="AW539" s="1">
        <v>0.072014</v>
      </c>
      <c r="AX539" s="1">
        <v>0.094666</v>
      </c>
      <c r="AY539" s="1">
        <v>0.280808</v>
      </c>
      <c r="AZ539" s="1">
        <v>0.17927501</v>
      </c>
      <c r="BA539" s="1">
        <v>0.177936</v>
      </c>
      <c r="BB539" s="1">
        <v>0.0</v>
      </c>
      <c r="BC539" s="1">
        <v>0.07417</v>
      </c>
      <c r="BD539" s="1">
        <v>0.104689</v>
      </c>
      <c r="BE539" s="1">
        <v>0.047546</v>
      </c>
      <c r="BF539" s="1">
        <v>0.005816</v>
      </c>
      <c r="BG539" s="1">
        <v>0.010177</v>
      </c>
      <c r="BH539" s="1">
        <v>0.013173</v>
      </c>
      <c r="BI539" s="1">
        <v>0.046488</v>
      </c>
      <c r="BJ539" s="1">
        <v>0.020147</v>
      </c>
      <c r="BK539" s="1">
        <v>0.049193</v>
      </c>
      <c r="BL539" s="1">
        <v>0.001671</v>
      </c>
      <c r="BM539" s="1">
        <v>0.384</v>
      </c>
      <c r="BN539" s="1">
        <v>0.356</v>
      </c>
      <c r="BO539" s="1">
        <v>0.4491</v>
      </c>
      <c r="BP539" s="1">
        <v>0.178</v>
      </c>
      <c r="BQ539" s="1">
        <v>1.3671</v>
      </c>
      <c r="BR539" s="1">
        <v>0.3018</v>
      </c>
      <c r="BS539" s="1">
        <v>0.179</v>
      </c>
      <c r="BT539" s="1">
        <v>0.852</v>
      </c>
      <c r="BU539" s="1">
        <v>0.864</v>
      </c>
      <c r="BV539" s="1">
        <v>1.895</v>
      </c>
      <c r="BW539" s="1">
        <v>0.798</v>
      </c>
      <c r="BX539" s="1">
        <v>0.674</v>
      </c>
      <c r="BY539" s="1">
        <v>0.0</v>
      </c>
      <c r="BZ539" s="1">
        <v>0.674</v>
      </c>
      <c r="CA539" s="1">
        <v>0.321</v>
      </c>
      <c r="CB539" s="1">
        <v>0.779</v>
      </c>
      <c r="CC539" s="1">
        <v>0.407</v>
      </c>
      <c r="CD539" s="1">
        <v>0.553</v>
      </c>
      <c r="CE539" s="1">
        <v>0.183</v>
      </c>
      <c r="CF539" s="1">
        <v>0.432</v>
      </c>
      <c r="CG539" s="1">
        <v>2.354</v>
      </c>
      <c r="CH539" s="1">
        <v>0.488</v>
      </c>
      <c r="CI539" s="1">
        <v>6.2901</v>
      </c>
      <c r="CJ539" s="1">
        <v>0.426</v>
      </c>
      <c r="CK539" s="1">
        <v>0.0</v>
      </c>
      <c r="CL539" s="1">
        <v>0.0</v>
      </c>
      <c r="CM539" s="1">
        <v>0.0</v>
      </c>
      <c r="CN539" s="1">
        <v>0.0</v>
      </c>
      <c r="CO539" s="1">
        <v>0.0</v>
      </c>
      <c r="CP539" s="1">
        <v>0.0</v>
      </c>
      <c r="CQ539" s="1">
        <v>0.0</v>
      </c>
      <c r="CR539" s="1">
        <v>0.0</v>
      </c>
      <c r="CS539" s="1">
        <v>0.0</v>
      </c>
      <c r="CT539" s="1">
        <v>0.0</v>
      </c>
      <c r="CU539" s="1">
        <v>0.0</v>
      </c>
      <c r="CV539" s="1">
        <v>0.0</v>
      </c>
      <c r="CW539" s="1">
        <v>0.0</v>
      </c>
      <c r="CX539" s="1">
        <v>0.0</v>
      </c>
      <c r="CY539" s="1">
        <v>0.0</v>
      </c>
      <c r="CZ539" s="1">
        <v>0.0</v>
      </c>
      <c r="DA539" s="1">
        <v>0.0</v>
      </c>
      <c r="DB539" s="1">
        <v>0.0</v>
      </c>
      <c r="DC539" s="1">
        <v>0.0</v>
      </c>
      <c r="DD539" s="1" t="s">
        <v>2594</v>
      </c>
      <c r="DE539" s="1">
        <v>4.91216748508741E-4</v>
      </c>
      <c r="DF539" s="1">
        <v>0.0935869452866929</v>
      </c>
    </row>
    <row r="540" ht="15.75" customHeight="1">
      <c r="A540" s="1" t="s">
        <v>2595</v>
      </c>
      <c r="B540" s="1">
        <v>29.0</v>
      </c>
      <c r="C540" s="2" t="s">
        <v>2039</v>
      </c>
      <c r="D540" s="2" t="s">
        <v>2596</v>
      </c>
      <c r="E540" s="1">
        <v>6.239</v>
      </c>
      <c r="F540" s="1">
        <v>29095.0</v>
      </c>
      <c r="G540" s="1">
        <v>2.9095014112E10</v>
      </c>
      <c r="H540" s="1" t="s">
        <v>112</v>
      </c>
      <c r="I540" s="1" t="s">
        <v>113</v>
      </c>
      <c r="J540" s="1" t="s">
        <v>2041</v>
      </c>
      <c r="K540" s="1" t="s">
        <v>2597</v>
      </c>
      <c r="L540" s="1">
        <v>790.0</v>
      </c>
      <c r="M540" s="1">
        <v>623.0</v>
      </c>
      <c r="N540" s="1">
        <v>79.0</v>
      </c>
      <c r="O540" s="1">
        <v>322.0</v>
      </c>
      <c r="P540" s="1">
        <v>264.0</v>
      </c>
      <c r="Q540" s="1">
        <v>38.0</v>
      </c>
      <c r="R540" s="1">
        <v>302.0</v>
      </c>
      <c r="S540" s="1">
        <v>0.0</v>
      </c>
      <c r="T540" s="1">
        <v>161.0</v>
      </c>
      <c r="U540" s="1">
        <v>19.0</v>
      </c>
      <c r="V540" s="1">
        <v>498.0</v>
      </c>
      <c r="W540" s="1">
        <v>39455.0</v>
      </c>
      <c r="X540" s="1">
        <v>9472.0</v>
      </c>
      <c r="Y540" s="1">
        <v>6.0</v>
      </c>
      <c r="Z540" s="1">
        <v>442.0</v>
      </c>
      <c r="AA540" s="1">
        <v>121.0</v>
      </c>
      <c r="AB540" s="1">
        <v>177.0</v>
      </c>
      <c r="AC540" s="1">
        <v>13.0</v>
      </c>
      <c r="AD540" s="1">
        <v>80.0</v>
      </c>
      <c r="AE540" s="1">
        <v>0.0</v>
      </c>
      <c r="AF540" s="1">
        <v>456.0</v>
      </c>
      <c r="AG540" s="1">
        <v>8.0</v>
      </c>
      <c r="AH540" s="1">
        <v>162.0</v>
      </c>
      <c r="AI540" s="1">
        <v>0.0</v>
      </c>
      <c r="AJ540" s="1">
        <v>114.0</v>
      </c>
      <c r="AK540" s="1">
        <v>0.0</v>
      </c>
      <c r="AL540" s="1">
        <v>161.0</v>
      </c>
      <c r="AM540" s="1">
        <v>0.0</v>
      </c>
      <c r="AN540" s="1">
        <v>161.0</v>
      </c>
      <c r="AO540" s="1">
        <v>7.0</v>
      </c>
      <c r="AP540" s="1">
        <v>0.0</v>
      </c>
      <c r="AQ540" s="1">
        <v>0.258426</v>
      </c>
      <c r="AR540" s="1">
        <v>0.059561</v>
      </c>
      <c r="AS540" s="1">
        <v>1.560169</v>
      </c>
      <c r="AT540" s="1">
        <v>39455.0</v>
      </c>
      <c r="AU540" s="1">
        <v>9472.0</v>
      </c>
      <c r="AV540" s="1">
        <v>0.013015</v>
      </c>
      <c r="AW540" s="1">
        <v>0.958782</v>
      </c>
      <c r="AX540" s="1">
        <v>0.153164</v>
      </c>
      <c r="AY540" s="1">
        <v>0.22405</v>
      </c>
      <c r="AZ540" s="1">
        <v>0.04304635</v>
      </c>
      <c r="BA540" s="1">
        <v>0.101265</v>
      </c>
      <c r="BB540" s="1">
        <v>0.0</v>
      </c>
      <c r="BC540" s="1">
        <v>0.778156</v>
      </c>
      <c r="BD540" s="1">
        <v>0.030303</v>
      </c>
      <c r="BE540" s="1">
        <v>0.61362</v>
      </c>
      <c r="BF540" s="1">
        <v>0.0</v>
      </c>
      <c r="BG540" s="1">
        <v>0.431818</v>
      </c>
      <c r="BH540" s="1">
        <v>0.0</v>
      </c>
      <c r="BI540" s="1">
        <v>0.748837</v>
      </c>
      <c r="BJ540" s="1">
        <v>0.0</v>
      </c>
      <c r="BK540" s="1">
        <v>0.748837</v>
      </c>
      <c r="BL540" s="1">
        <v>0.00886</v>
      </c>
      <c r="BM540" s="1">
        <v>0.0</v>
      </c>
      <c r="BN540" s="1">
        <v>0.412</v>
      </c>
      <c r="BO540" s="1">
        <v>0.0708</v>
      </c>
      <c r="BP540" s="1">
        <v>0.023</v>
      </c>
      <c r="BQ540" s="1">
        <v>0.5058</v>
      </c>
      <c r="BR540" s="1">
        <v>0.0679</v>
      </c>
      <c r="BS540" s="1">
        <v>0.604</v>
      </c>
      <c r="BT540" s="1">
        <v>0.335</v>
      </c>
      <c r="BU540" s="1">
        <v>0.05</v>
      </c>
      <c r="BV540" s="1">
        <v>0.989</v>
      </c>
      <c r="BW540" s="1">
        <v>0.112</v>
      </c>
      <c r="BX540" s="1">
        <v>0.472</v>
      </c>
      <c r="BY540" s="1">
        <v>0.0</v>
      </c>
      <c r="BZ540" s="1">
        <v>0.472</v>
      </c>
      <c r="CA540" s="1">
        <v>0.195</v>
      </c>
      <c r="CB540" s="1">
        <v>0.551</v>
      </c>
      <c r="CC540" s="1">
        <v>0.0</v>
      </c>
      <c r="CD540" s="1">
        <v>0.0</v>
      </c>
      <c r="CE540" s="1">
        <v>0.0</v>
      </c>
      <c r="CF540" s="1">
        <v>0.56</v>
      </c>
      <c r="CG540" s="1">
        <v>1.111</v>
      </c>
      <c r="CH540" s="1">
        <v>0.094</v>
      </c>
      <c r="CI540" s="1">
        <v>3.0778</v>
      </c>
      <c r="CJ540" s="1">
        <v>0.0224</v>
      </c>
      <c r="CK540" s="1">
        <v>0.0</v>
      </c>
      <c r="CL540" s="1">
        <v>0.0</v>
      </c>
      <c r="CM540" s="1">
        <v>0.0</v>
      </c>
      <c r="CN540" s="1">
        <v>0.0</v>
      </c>
      <c r="CO540" s="1">
        <v>0.0</v>
      </c>
      <c r="CP540" s="1">
        <v>0.0</v>
      </c>
      <c r="CQ540" s="1">
        <v>0.0</v>
      </c>
      <c r="CR540" s="1">
        <v>0.0</v>
      </c>
      <c r="CS540" s="1">
        <v>0.0</v>
      </c>
      <c r="CT540" s="1">
        <v>0.0</v>
      </c>
      <c r="CU540" s="1">
        <v>0.0</v>
      </c>
      <c r="CV540" s="1">
        <v>0.0</v>
      </c>
      <c r="CW540" s="1">
        <v>0.0</v>
      </c>
      <c r="CX540" s="1">
        <v>0.0</v>
      </c>
      <c r="CY540" s="1">
        <v>0.0</v>
      </c>
      <c r="CZ540" s="1">
        <v>0.0</v>
      </c>
      <c r="DA540" s="1">
        <v>0.0</v>
      </c>
      <c r="DB540" s="1">
        <v>0.0</v>
      </c>
      <c r="DC540" s="1">
        <v>0.0</v>
      </c>
      <c r="DD540" s="1" t="s">
        <v>2598</v>
      </c>
      <c r="DE540" s="1">
        <v>0.00169989254322609</v>
      </c>
      <c r="DF540" s="2" t="s">
        <v>2599</v>
      </c>
    </row>
    <row r="541" ht="15.75" customHeight="1">
      <c r="A541" s="1" t="s">
        <v>2600</v>
      </c>
      <c r="B541" s="1">
        <v>29.0</v>
      </c>
      <c r="C541" s="2" t="s">
        <v>2039</v>
      </c>
      <c r="D541" s="2" t="s">
        <v>2601</v>
      </c>
      <c r="E541" s="1">
        <v>1.321</v>
      </c>
      <c r="F541" s="1">
        <v>29095.0</v>
      </c>
      <c r="G541" s="1">
        <v>2.90950116E10</v>
      </c>
      <c r="H541" s="1" t="s">
        <v>112</v>
      </c>
      <c r="I541" s="1" t="s">
        <v>113</v>
      </c>
      <c r="J541" s="1" t="s">
        <v>2041</v>
      </c>
      <c r="K541" s="1" t="s">
        <v>2602</v>
      </c>
      <c r="L541" s="1">
        <v>4938.0</v>
      </c>
      <c r="M541" s="1">
        <v>4469.0</v>
      </c>
      <c r="N541" s="1">
        <v>506.0</v>
      </c>
      <c r="O541" s="1">
        <v>2739.0</v>
      </c>
      <c r="P541" s="1">
        <v>2731.0</v>
      </c>
      <c r="Q541" s="1">
        <v>116.0</v>
      </c>
      <c r="R541" s="1">
        <v>2335.0</v>
      </c>
      <c r="S541" s="1">
        <v>898.0</v>
      </c>
      <c r="T541" s="1">
        <v>295.0</v>
      </c>
      <c r="U541" s="1">
        <v>233.0</v>
      </c>
      <c r="V541" s="1">
        <v>360.0</v>
      </c>
      <c r="W541" s="1">
        <v>18583.0</v>
      </c>
      <c r="X541" s="1">
        <v>1600.0</v>
      </c>
      <c r="Y541" s="1">
        <v>463.0</v>
      </c>
      <c r="Z541" s="1">
        <v>247.0</v>
      </c>
      <c r="AA541" s="1">
        <v>1101.0</v>
      </c>
      <c r="AB541" s="1">
        <v>949.0</v>
      </c>
      <c r="AC541" s="1">
        <v>230.0</v>
      </c>
      <c r="AD541" s="1">
        <v>714.0</v>
      </c>
      <c r="AE541" s="1">
        <v>54.0</v>
      </c>
      <c r="AF541" s="1">
        <v>430.0</v>
      </c>
      <c r="AG541" s="1">
        <v>659.0</v>
      </c>
      <c r="AH541" s="1">
        <v>147.0</v>
      </c>
      <c r="AI541" s="1">
        <v>17.0</v>
      </c>
      <c r="AJ541" s="1">
        <v>30.0</v>
      </c>
      <c r="AK541" s="1">
        <v>40.0</v>
      </c>
      <c r="AL541" s="1">
        <v>129.0</v>
      </c>
      <c r="AM541" s="1">
        <v>439.0</v>
      </c>
      <c r="AN541" s="1">
        <v>111.0</v>
      </c>
      <c r="AO541" s="1">
        <v>266.0</v>
      </c>
      <c r="AP541" s="1">
        <v>0.208934</v>
      </c>
      <c r="AQ541" s="1">
        <v>0.064151</v>
      </c>
      <c r="AR541" s="1">
        <v>0.12129</v>
      </c>
      <c r="AS541" s="1">
        <v>0.186436</v>
      </c>
      <c r="AT541" s="1">
        <v>18583.0</v>
      </c>
      <c r="AU541" s="1">
        <v>1600.0</v>
      </c>
      <c r="AV541" s="1">
        <v>0.14897</v>
      </c>
      <c r="AW541" s="1">
        <v>0.078458</v>
      </c>
      <c r="AX541" s="1">
        <v>0.222964</v>
      </c>
      <c r="AY541" s="1">
        <v>0.192183</v>
      </c>
      <c r="AZ541" s="1">
        <v>0.09850107</v>
      </c>
      <c r="BA541" s="1">
        <v>0.144592</v>
      </c>
      <c r="BB541" s="1">
        <v>0.013241</v>
      </c>
      <c r="BC541" s="1">
        <v>0.105434</v>
      </c>
      <c r="BD541" s="1">
        <v>0.241303</v>
      </c>
      <c r="BE541" s="1">
        <v>0.052841</v>
      </c>
      <c r="BF541" s="1">
        <v>0.006224</v>
      </c>
      <c r="BG541" s="1">
        <v>0.010981</v>
      </c>
      <c r="BH541" s="1">
        <v>0.01839</v>
      </c>
      <c r="BI541" s="1">
        <v>0.059297</v>
      </c>
      <c r="BJ541" s="1">
        <v>0.201839</v>
      </c>
      <c r="BK541" s="1">
        <v>0.049177</v>
      </c>
      <c r="BL541" s="1">
        <v>0.053867</v>
      </c>
      <c r="BM541" s="1">
        <v>0.751</v>
      </c>
      <c r="BN541" s="1">
        <v>0.826</v>
      </c>
      <c r="BO541" s="1">
        <v>0.7018</v>
      </c>
      <c r="BP541" s="1">
        <v>0.563</v>
      </c>
      <c r="BQ541" s="1">
        <v>2.8418</v>
      </c>
      <c r="BR541" s="1">
        <v>0.7632</v>
      </c>
      <c r="BS541" s="1">
        <v>0.938</v>
      </c>
      <c r="BT541" s="1">
        <v>0.158</v>
      </c>
      <c r="BU541" s="1">
        <v>0.479</v>
      </c>
      <c r="BV541" s="1">
        <v>1.575</v>
      </c>
      <c r="BW541" s="1">
        <v>0.544</v>
      </c>
      <c r="BX541" s="1">
        <v>0.603</v>
      </c>
      <c r="BY541" s="1">
        <v>0.788</v>
      </c>
      <c r="BZ541" s="1">
        <v>1.391</v>
      </c>
      <c r="CA541" s="1">
        <v>0.761</v>
      </c>
      <c r="CB541" s="1">
        <v>0.915</v>
      </c>
      <c r="CC541" s="1">
        <v>0.415</v>
      </c>
      <c r="CD541" s="1">
        <v>0.651</v>
      </c>
      <c r="CE541" s="1">
        <v>0.907</v>
      </c>
      <c r="CF541" s="1">
        <v>0.902</v>
      </c>
      <c r="CG541" s="1">
        <v>3.79</v>
      </c>
      <c r="CH541" s="1">
        <v>0.984</v>
      </c>
      <c r="CI541" s="1">
        <v>9.5978</v>
      </c>
      <c r="CJ541" s="1">
        <v>0.9162</v>
      </c>
      <c r="CK541" s="1">
        <v>0.0</v>
      </c>
      <c r="CL541" s="1">
        <v>0.0</v>
      </c>
      <c r="CM541" s="1">
        <v>0.0</v>
      </c>
      <c r="CN541" s="1">
        <v>0.0</v>
      </c>
      <c r="CO541" s="1">
        <v>0.0</v>
      </c>
      <c r="CP541" s="1">
        <v>1.0</v>
      </c>
      <c r="CQ541" s="1">
        <v>0.0</v>
      </c>
      <c r="CR541" s="1">
        <v>0.0</v>
      </c>
      <c r="CS541" s="1">
        <v>1.0</v>
      </c>
      <c r="CT541" s="1">
        <v>0.0</v>
      </c>
      <c r="CU541" s="1">
        <v>0.0</v>
      </c>
      <c r="CV541" s="1">
        <v>0.0</v>
      </c>
      <c r="CW541" s="1">
        <v>1.0</v>
      </c>
      <c r="CX541" s="1">
        <v>0.0</v>
      </c>
      <c r="CY541" s="1">
        <v>0.0</v>
      </c>
      <c r="CZ541" s="1">
        <v>1.0</v>
      </c>
      <c r="DA541" s="1">
        <v>1.0</v>
      </c>
      <c r="DB541" s="1">
        <v>3.0</v>
      </c>
      <c r="DC541" s="1">
        <v>4.0</v>
      </c>
      <c r="DD541" s="1" t="s">
        <v>2603</v>
      </c>
      <c r="DE541" s="1">
        <v>3.56232024215458E-4</v>
      </c>
      <c r="DF541" s="2" t="s">
        <v>2604</v>
      </c>
    </row>
    <row r="542" ht="15.75" customHeight="1">
      <c r="A542" s="1" t="s">
        <v>2605</v>
      </c>
      <c r="B542" s="1">
        <v>29.0</v>
      </c>
      <c r="C542" s="2" t="s">
        <v>2039</v>
      </c>
      <c r="D542" s="2" t="s">
        <v>2606</v>
      </c>
      <c r="E542" s="1">
        <v>1.239</v>
      </c>
      <c r="F542" s="1">
        <v>29095.0</v>
      </c>
      <c r="G542" s="1">
        <v>2.90950118E10</v>
      </c>
      <c r="H542" s="1" t="s">
        <v>112</v>
      </c>
      <c r="I542" s="1" t="s">
        <v>113</v>
      </c>
      <c r="J542" s="1" t="s">
        <v>2041</v>
      </c>
      <c r="K542" s="1" t="s">
        <v>2607</v>
      </c>
      <c r="L542" s="1">
        <v>5127.0</v>
      </c>
      <c r="M542" s="1">
        <v>5705.0</v>
      </c>
      <c r="N542" s="1">
        <v>767.0</v>
      </c>
      <c r="O542" s="1">
        <v>2556.0</v>
      </c>
      <c r="P542" s="1">
        <v>2531.0</v>
      </c>
      <c r="Q542" s="1">
        <v>81.0</v>
      </c>
      <c r="R542" s="1">
        <v>2206.0</v>
      </c>
      <c r="S542" s="1">
        <v>1353.0</v>
      </c>
      <c r="T542" s="1">
        <v>714.0</v>
      </c>
      <c r="U542" s="1">
        <v>320.0</v>
      </c>
      <c r="V542" s="1">
        <v>362.0</v>
      </c>
      <c r="W542" s="1">
        <v>16924.0</v>
      </c>
      <c r="X542" s="1">
        <v>2504.0</v>
      </c>
      <c r="Y542" s="1">
        <v>776.0</v>
      </c>
      <c r="Z542" s="1">
        <v>274.0</v>
      </c>
      <c r="AA542" s="1">
        <v>532.0</v>
      </c>
      <c r="AB542" s="1">
        <v>1200.0</v>
      </c>
      <c r="AC542" s="1">
        <v>347.0</v>
      </c>
      <c r="AD542" s="1">
        <v>1046.0</v>
      </c>
      <c r="AE542" s="1">
        <v>94.0</v>
      </c>
      <c r="AF542" s="1">
        <v>434.0</v>
      </c>
      <c r="AG542" s="1">
        <v>38.0</v>
      </c>
      <c r="AH542" s="1">
        <v>118.0</v>
      </c>
      <c r="AI542" s="1">
        <v>52.0</v>
      </c>
      <c r="AJ542" s="1">
        <v>57.0</v>
      </c>
      <c r="AK542" s="1">
        <v>129.0</v>
      </c>
      <c r="AL542" s="1">
        <v>136.0</v>
      </c>
      <c r="AM542" s="1">
        <v>155.0</v>
      </c>
      <c r="AN542" s="1">
        <v>79.0</v>
      </c>
      <c r="AO542" s="1">
        <v>27.0</v>
      </c>
      <c r="AP542" s="1">
        <v>0.239936</v>
      </c>
      <c r="AQ542" s="1">
        <v>0.122508</v>
      </c>
      <c r="AR542" s="1">
        <v>0.121442</v>
      </c>
      <c r="AS542" s="1">
        <v>0.136169</v>
      </c>
      <c r="AT542" s="1">
        <v>16924.0</v>
      </c>
      <c r="AU542" s="1">
        <v>2504.0</v>
      </c>
      <c r="AV542" s="1">
        <v>0.226569</v>
      </c>
      <c r="AW542" s="1">
        <v>0.075093</v>
      </c>
      <c r="AX542" s="1">
        <v>0.103764</v>
      </c>
      <c r="AY542" s="1">
        <v>0.234055</v>
      </c>
      <c r="AZ542" s="1">
        <v>0.15729827</v>
      </c>
      <c r="BA542" s="1">
        <v>0.204017</v>
      </c>
      <c r="BB542" s="1">
        <v>0.019028</v>
      </c>
      <c r="BC542" s="1">
        <v>0.087822</v>
      </c>
      <c r="BD542" s="1">
        <v>0.015013</v>
      </c>
      <c r="BE542" s="1">
        <v>0.046619</v>
      </c>
      <c r="BF542" s="1">
        <v>0.020545</v>
      </c>
      <c r="BG542" s="1">
        <v>0.022511</v>
      </c>
      <c r="BH542" s="1">
        <v>0.059529</v>
      </c>
      <c r="BI542" s="1">
        <v>0.062579</v>
      </c>
      <c r="BJ542" s="1">
        <v>0.071527</v>
      </c>
      <c r="BK542" s="1">
        <v>0.036005</v>
      </c>
      <c r="BL542" s="1">
        <v>0.005266</v>
      </c>
      <c r="BM542" s="1">
        <v>0.809</v>
      </c>
      <c r="BN542" s="1">
        <v>0.828</v>
      </c>
      <c r="BO542" s="1">
        <v>0.7906</v>
      </c>
      <c r="BP542" s="1">
        <v>0.817</v>
      </c>
      <c r="BQ542" s="1">
        <v>3.2446</v>
      </c>
      <c r="BR542" s="1">
        <v>0.865</v>
      </c>
      <c r="BS542" s="1">
        <v>0.234</v>
      </c>
      <c r="BT542" s="1">
        <v>0.43</v>
      </c>
      <c r="BU542" s="1">
        <v>0.817</v>
      </c>
      <c r="BV542" s="1">
        <v>1.481</v>
      </c>
      <c r="BW542" s="1">
        <v>0.466</v>
      </c>
      <c r="BX542" s="1">
        <v>0.713</v>
      </c>
      <c r="BY542" s="1">
        <v>0.852</v>
      </c>
      <c r="BZ542" s="1">
        <v>1.565</v>
      </c>
      <c r="CA542" s="1">
        <v>0.858</v>
      </c>
      <c r="CB542" s="1">
        <v>0.426</v>
      </c>
      <c r="CC542" s="1">
        <v>0.514</v>
      </c>
      <c r="CD542" s="1">
        <v>0.961</v>
      </c>
      <c r="CE542" s="1">
        <v>0.633</v>
      </c>
      <c r="CF542" s="1">
        <v>0.516</v>
      </c>
      <c r="CG542" s="1">
        <v>3.05</v>
      </c>
      <c r="CH542" s="1">
        <v>0.794</v>
      </c>
      <c r="CI542" s="1">
        <v>9.3406</v>
      </c>
      <c r="CJ542" s="1">
        <v>0.8946</v>
      </c>
      <c r="CK542" s="1">
        <v>0.0</v>
      </c>
      <c r="CL542" s="1">
        <v>0.0</v>
      </c>
      <c r="CM542" s="1">
        <v>0.0</v>
      </c>
      <c r="CN542" s="1">
        <v>0.0</v>
      </c>
      <c r="CO542" s="1">
        <v>0.0</v>
      </c>
      <c r="CP542" s="1">
        <v>0.0</v>
      </c>
      <c r="CQ542" s="1">
        <v>0.0</v>
      </c>
      <c r="CR542" s="1">
        <v>0.0</v>
      </c>
      <c r="CS542" s="1">
        <v>0.0</v>
      </c>
      <c r="CT542" s="1">
        <v>0.0</v>
      </c>
      <c r="CU542" s="1">
        <v>0.0</v>
      </c>
      <c r="CV542" s="1">
        <v>0.0</v>
      </c>
      <c r="CW542" s="1">
        <v>0.0</v>
      </c>
      <c r="CX542" s="1">
        <v>0.0</v>
      </c>
      <c r="CY542" s="1">
        <v>1.0</v>
      </c>
      <c r="CZ542" s="1">
        <v>0.0</v>
      </c>
      <c r="DA542" s="1">
        <v>0.0</v>
      </c>
      <c r="DB542" s="1">
        <v>1.0</v>
      </c>
      <c r="DC542" s="1">
        <v>1.0</v>
      </c>
      <c r="DD542" s="1" t="s">
        <v>2608</v>
      </c>
      <c r="DE542" s="1">
        <v>3.30893482837702E-4</v>
      </c>
      <c r="DF542" s="1">
        <v>0.0756379027287284</v>
      </c>
    </row>
    <row r="543" ht="15.75" customHeight="1">
      <c r="A543" s="1" t="s">
        <v>2609</v>
      </c>
      <c r="B543" s="1">
        <v>29.0</v>
      </c>
      <c r="C543" s="2" t="s">
        <v>2039</v>
      </c>
      <c r="D543" s="2" t="s">
        <v>2610</v>
      </c>
      <c r="E543" s="1">
        <v>5.186</v>
      </c>
      <c r="F543" s="1">
        <v>29095.0</v>
      </c>
      <c r="G543" s="1">
        <v>2.9095014204E10</v>
      </c>
      <c r="H543" s="1" t="s">
        <v>112</v>
      </c>
      <c r="I543" s="1" t="s">
        <v>113</v>
      </c>
      <c r="J543" s="1" t="s">
        <v>2041</v>
      </c>
      <c r="K543" s="1" t="s">
        <v>2611</v>
      </c>
      <c r="L543" s="1">
        <v>7993.0</v>
      </c>
      <c r="M543" s="1">
        <v>8214.0</v>
      </c>
      <c r="N543" s="1">
        <v>421.0</v>
      </c>
      <c r="O543" s="1">
        <v>3345.0</v>
      </c>
      <c r="P543" s="1">
        <v>3097.0</v>
      </c>
      <c r="Q543" s="1">
        <v>102.0</v>
      </c>
      <c r="R543" s="1">
        <v>3103.0</v>
      </c>
      <c r="S543" s="1">
        <v>797.0</v>
      </c>
      <c r="T543" s="1">
        <v>420.0</v>
      </c>
      <c r="U543" s="1">
        <v>128.0</v>
      </c>
      <c r="V543" s="1">
        <v>403.0</v>
      </c>
      <c r="W543" s="1">
        <v>37517.0</v>
      </c>
      <c r="X543" s="1">
        <v>3722.0</v>
      </c>
      <c r="Y543" s="1">
        <v>45.0</v>
      </c>
      <c r="Z543" s="1">
        <v>429.0</v>
      </c>
      <c r="AA543" s="1">
        <v>1358.0</v>
      </c>
      <c r="AB543" s="1">
        <v>1982.0</v>
      </c>
      <c r="AC543" s="1">
        <v>365.0</v>
      </c>
      <c r="AD543" s="1">
        <v>1520.0</v>
      </c>
      <c r="AE543" s="1">
        <v>36.0</v>
      </c>
      <c r="AF543" s="1">
        <v>444.0</v>
      </c>
      <c r="AG543" s="1">
        <v>133.0</v>
      </c>
      <c r="AH543" s="1">
        <v>80.0</v>
      </c>
      <c r="AI543" s="1">
        <v>0.0</v>
      </c>
      <c r="AJ543" s="1">
        <v>114.0</v>
      </c>
      <c r="AK543" s="1">
        <v>39.0</v>
      </c>
      <c r="AL543" s="1">
        <v>127.0</v>
      </c>
      <c r="AM543" s="1">
        <v>38.0</v>
      </c>
      <c r="AN543" s="1">
        <v>123.0</v>
      </c>
      <c r="AO543" s="1">
        <v>192.0</v>
      </c>
      <c r="AP543" s="1">
        <v>0.098407</v>
      </c>
      <c r="AQ543" s="1">
        <v>0.051628</v>
      </c>
      <c r="AR543" s="1">
        <v>0.030025</v>
      </c>
      <c r="AS543" s="1">
        <v>0.094492</v>
      </c>
      <c r="AT543" s="1">
        <v>37517.0</v>
      </c>
      <c r="AU543" s="1">
        <v>3722.0</v>
      </c>
      <c r="AV543" s="1">
        <v>0.008228</v>
      </c>
      <c r="AW543" s="1">
        <v>0.07844</v>
      </c>
      <c r="AX543" s="1">
        <v>0.169898</v>
      </c>
      <c r="AY543" s="1">
        <v>0.247966</v>
      </c>
      <c r="AZ543" s="1">
        <v>0.1176281</v>
      </c>
      <c r="BA543" s="1">
        <v>0.190166</v>
      </c>
      <c r="BB543" s="1">
        <v>0.004754</v>
      </c>
      <c r="BC543" s="1">
        <v>0.058636</v>
      </c>
      <c r="BD543" s="1">
        <v>0.042944</v>
      </c>
      <c r="BE543" s="1">
        <v>0.025792</v>
      </c>
      <c r="BF543" s="1">
        <v>0.0</v>
      </c>
      <c r="BG543" s="1">
        <v>0.036809</v>
      </c>
      <c r="BH543" s="1">
        <v>0.012654</v>
      </c>
      <c r="BI543" s="1">
        <v>0.041204</v>
      </c>
      <c r="BJ543" s="1">
        <v>0.012329</v>
      </c>
      <c r="BK543" s="1">
        <v>0.039906</v>
      </c>
      <c r="BL543" s="1">
        <v>0.024021</v>
      </c>
      <c r="BM543" s="1">
        <v>0.364</v>
      </c>
      <c r="BN543" s="1">
        <v>0.087</v>
      </c>
      <c r="BO543" s="1">
        <v>0.0881</v>
      </c>
      <c r="BP543" s="1">
        <v>0.013</v>
      </c>
      <c r="BQ543" s="1">
        <v>0.5521</v>
      </c>
      <c r="BR543" s="1">
        <v>0.0823</v>
      </c>
      <c r="BS543" s="1">
        <v>0.735</v>
      </c>
      <c r="BT543" s="1">
        <v>0.574</v>
      </c>
      <c r="BU543" s="1">
        <v>0.653</v>
      </c>
      <c r="BV543" s="1">
        <v>1.962</v>
      </c>
      <c r="BW543" s="1">
        <v>0.838</v>
      </c>
      <c r="BX543" s="1">
        <v>0.694</v>
      </c>
      <c r="BY543" s="1">
        <v>0.551</v>
      </c>
      <c r="BZ543" s="1">
        <v>1.245</v>
      </c>
      <c r="CA543" s="1">
        <v>0.683</v>
      </c>
      <c r="CB543" s="1">
        <v>0.622</v>
      </c>
      <c r="CC543" s="1">
        <v>0.0</v>
      </c>
      <c r="CD543" s="1">
        <v>0.543</v>
      </c>
      <c r="CE543" s="1">
        <v>0.109</v>
      </c>
      <c r="CF543" s="1">
        <v>0.758</v>
      </c>
      <c r="CG543" s="1">
        <v>2.032</v>
      </c>
      <c r="CH543" s="1">
        <v>0.359</v>
      </c>
      <c r="CI543" s="1">
        <v>5.7911</v>
      </c>
      <c r="CJ543" s="1">
        <v>0.3386</v>
      </c>
      <c r="CK543" s="1">
        <v>0.0</v>
      </c>
      <c r="CL543" s="1">
        <v>0.0</v>
      </c>
      <c r="CM543" s="1">
        <v>0.0</v>
      </c>
      <c r="CN543" s="1">
        <v>0.0</v>
      </c>
      <c r="CO543" s="1">
        <v>0.0</v>
      </c>
      <c r="CP543" s="1">
        <v>0.0</v>
      </c>
      <c r="CQ543" s="1">
        <v>0.0</v>
      </c>
      <c r="CR543" s="1">
        <v>0.0</v>
      </c>
      <c r="CS543" s="1">
        <v>0.0</v>
      </c>
      <c r="CT543" s="1">
        <v>0.0</v>
      </c>
      <c r="CU543" s="1">
        <v>0.0</v>
      </c>
      <c r="CV543" s="1">
        <v>0.0</v>
      </c>
      <c r="CW543" s="1">
        <v>0.0</v>
      </c>
      <c r="CX543" s="1">
        <v>0.0</v>
      </c>
      <c r="CY543" s="1">
        <v>0.0</v>
      </c>
      <c r="CZ543" s="1">
        <v>0.0</v>
      </c>
      <c r="DA543" s="1">
        <v>0.0</v>
      </c>
      <c r="DB543" s="1">
        <v>0.0</v>
      </c>
      <c r="DC543" s="1">
        <v>0.0</v>
      </c>
      <c r="DD543" s="1" t="s">
        <v>2612</v>
      </c>
      <c r="DE543" s="1">
        <v>0.00153140866241688</v>
      </c>
      <c r="DF543" s="2" t="s">
        <v>2613</v>
      </c>
    </row>
    <row r="544" ht="15.75" customHeight="1">
      <c r="A544" s="1" t="s">
        <v>2614</v>
      </c>
      <c r="B544" s="1">
        <v>29.0</v>
      </c>
      <c r="C544" s="2" t="s">
        <v>2039</v>
      </c>
      <c r="D544" s="2" t="s">
        <v>2615</v>
      </c>
      <c r="E544" s="1">
        <v>12.12</v>
      </c>
      <c r="F544" s="1">
        <v>29095.0</v>
      </c>
      <c r="G544" s="1">
        <v>2.90950143E10</v>
      </c>
      <c r="H544" s="1" t="s">
        <v>112</v>
      </c>
      <c r="I544" s="1" t="s">
        <v>113</v>
      </c>
      <c r="J544" s="1" t="s">
        <v>2041</v>
      </c>
      <c r="K544" s="1" t="s">
        <v>2616</v>
      </c>
      <c r="L544" s="1">
        <v>5174.0</v>
      </c>
      <c r="M544" s="1">
        <v>4930.0</v>
      </c>
      <c r="N544" s="1">
        <v>309.0</v>
      </c>
      <c r="O544" s="1">
        <v>2137.0</v>
      </c>
      <c r="P544" s="1">
        <v>2121.0</v>
      </c>
      <c r="Q544" s="1">
        <v>44.0</v>
      </c>
      <c r="R544" s="1">
        <v>2026.0</v>
      </c>
      <c r="S544" s="1">
        <v>306.0</v>
      </c>
      <c r="T544" s="1">
        <v>127.0</v>
      </c>
      <c r="U544" s="1">
        <v>260.0</v>
      </c>
      <c r="V544" s="1">
        <v>396.0</v>
      </c>
      <c r="W544" s="1">
        <v>28261.0</v>
      </c>
      <c r="X544" s="1">
        <v>2459.0</v>
      </c>
      <c r="Y544" s="1">
        <v>259.0</v>
      </c>
      <c r="Z544" s="1">
        <v>317.0</v>
      </c>
      <c r="AA544" s="1">
        <v>917.0</v>
      </c>
      <c r="AB544" s="1">
        <v>1253.0</v>
      </c>
      <c r="AC544" s="1">
        <v>289.0</v>
      </c>
      <c r="AD544" s="1">
        <v>1586.0</v>
      </c>
      <c r="AE544" s="1">
        <v>0.0</v>
      </c>
      <c r="AF544" s="1">
        <v>456.0</v>
      </c>
      <c r="AG544" s="1">
        <v>444.0</v>
      </c>
      <c r="AH544" s="1">
        <v>112.0</v>
      </c>
      <c r="AI544" s="1">
        <v>0.0</v>
      </c>
      <c r="AJ544" s="1">
        <v>114.0</v>
      </c>
      <c r="AK544" s="1">
        <v>0.0</v>
      </c>
      <c r="AL544" s="1">
        <v>161.0</v>
      </c>
      <c r="AM544" s="1">
        <v>160.0</v>
      </c>
      <c r="AN544" s="1">
        <v>80.0</v>
      </c>
      <c r="AO544" s="1">
        <v>264.0</v>
      </c>
      <c r="AP544" s="1">
        <v>0.063262</v>
      </c>
      <c r="AQ544" s="1">
        <v>0.025957</v>
      </c>
      <c r="AR544" s="1">
        <v>0.094476</v>
      </c>
      <c r="AS544" s="1">
        <v>0.14355</v>
      </c>
      <c r="AT544" s="1">
        <v>28261.0</v>
      </c>
      <c r="AU544" s="1">
        <v>2459.0</v>
      </c>
      <c r="AV544" s="1">
        <v>0.07573</v>
      </c>
      <c r="AW544" s="1">
        <v>0.092577</v>
      </c>
      <c r="AX544" s="1">
        <v>0.177232</v>
      </c>
      <c r="AY544" s="1">
        <v>0.242172</v>
      </c>
      <c r="AZ544" s="1">
        <v>0.1426456</v>
      </c>
      <c r="BA544" s="1">
        <v>0.306532</v>
      </c>
      <c r="BB544" s="1">
        <v>0.0</v>
      </c>
      <c r="BC544" s="1">
        <v>0.097207</v>
      </c>
      <c r="BD544" s="1">
        <v>0.209335</v>
      </c>
      <c r="BE544" s="1">
        <v>0.052626</v>
      </c>
      <c r="BF544" s="1">
        <v>0.0</v>
      </c>
      <c r="BG544" s="1">
        <v>0.053748</v>
      </c>
      <c r="BH544" s="1">
        <v>0.0</v>
      </c>
      <c r="BI544" s="1">
        <v>0.079115</v>
      </c>
      <c r="BJ544" s="1">
        <v>0.078624</v>
      </c>
      <c r="BK544" s="1">
        <v>0.039184</v>
      </c>
      <c r="BL544" s="1">
        <v>0.051024</v>
      </c>
      <c r="BM544" s="1">
        <v>0.217</v>
      </c>
      <c r="BN544" s="1">
        <v>0.702</v>
      </c>
      <c r="BO544" s="1">
        <v>0.2426</v>
      </c>
      <c r="BP544" s="1">
        <v>0.226</v>
      </c>
      <c r="BQ544" s="1">
        <v>1.3876</v>
      </c>
      <c r="BR544" s="1">
        <v>0.3061</v>
      </c>
      <c r="BS544" s="1">
        <v>0.769</v>
      </c>
      <c r="BT544" s="1">
        <v>0.515</v>
      </c>
      <c r="BU544" s="1">
        <v>0.772</v>
      </c>
      <c r="BV544" s="1">
        <v>2.056</v>
      </c>
      <c r="BW544" s="1">
        <v>0.895</v>
      </c>
      <c r="BX544" s="1">
        <v>0.792</v>
      </c>
      <c r="BY544" s="1">
        <v>0.0</v>
      </c>
      <c r="BZ544" s="1">
        <v>0.792</v>
      </c>
      <c r="CA544" s="1">
        <v>0.393</v>
      </c>
      <c r="CB544" s="1">
        <v>0.899</v>
      </c>
      <c r="CC544" s="1">
        <v>0.0</v>
      </c>
      <c r="CD544" s="1">
        <v>0.0</v>
      </c>
      <c r="CE544" s="1">
        <v>0.664</v>
      </c>
      <c r="CF544" s="1">
        <v>0.897</v>
      </c>
      <c r="CG544" s="1">
        <v>2.46</v>
      </c>
      <c r="CH544" s="1">
        <v>0.543</v>
      </c>
      <c r="CI544" s="1">
        <v>6.6956</v>
      </c>
      <c r="CJ544" s="1">
        <v>0.4903</v>
      </c>
      <c r="CK544" s="1">
        <v>0.0</v>
      </c>
      <c r="CL544" s="1">
        <v>0.0</v>
      </c>
      <c r="CM544" s="1">
        <v>0.0</v>
      </c>
      <c r="CN544" s="1">
        <v>0.0</v>
      </c>
      <c r="CO544" s="1">
        <v>0.0</v>
      </c>
      <c r="CP544" s="1">
        <v>0.0</v>
      </c>
      <c r="CQ544" s="1">
        <v>0.0</v>
      </c>
      <c r="CR544" s="1">
        <v>0.0</v>
      </c>
      <c r="CS544" s="1">
        <v>0.0</v>
      </c>
      <c r="CT544" s="1">
        <v>0.0</v>
      </c>
      <c r="CU544" s="1">
        <v>0.0</v>
      </c>
      <c r="CV544" s="1">
        <v>0.0</v>
      </c>
      <c r="CW544" s="1">
        <v>0.0</v>
      </c>
      <c r="CX544" s="1">
        <v>0.0</v>
      </c>
      <c r="CY544" s="1">
        <v>0.0</v>
      </c>
      <c r="CZ544" s="1">
        <v>0.0</v>
      </c>
      <c r="DA544" s="1">
        <v>0.0</v>
      </c>
      <c r="DB544" s="1">
        <v>0.0</v>
      </c>
      <c r="DC544" s="1">
        <v>0.0</v>
      </c>
      <c r="DD544" s="1" t="s">
        <v>2617</v>
      </c>
      <c r="DE544" s="1">
        <v>0.00329163239524614</v>
      </c>
      <c r="DF544" s="2" t="s">
        <v>2618</v>
      </c>
    </row>
    <row r="545" ht="15.75" customHeight="1">
      <c r="A545" s="1" t="s">
        <v>2619</v>
      </c>
      <c r="B545" s="1">
        <v>29.0</v>
      </c>
      <c r="C545" s="2" t="s">
        <v>2039</v>
      </c>
      <c r="D545" s="2" t="s">
        <v>2620</v>
      </c>
      <c r="E545" s="1">
        <v>2.694</v>
      </c>
      <c r="F545" s="1">
        <v>29095.0</v>
      </c>
      <c r="G545" s="1">
        <v>2.9095014502E10</v>
      </c>
      <c r="H545" s="1" t="s">
        <v>112</v>
      </c>
      <c r="I545" s="1" t="s">
        <v>113</v>
      </c>
      <c r="J545" s="1" t="s">
        <v>2041</v>
      </c>
      <c r="K545" s="1" t="s">
        <v>2621</v>
      </c>
      <c r="L545" s="1">
        <v>4546.0</v>
      </c>
      <c r="M545" s="1">
        <v>4565.0</v>
      </c>
      <c r="N545" s="1">
        <v>517.0</v>
      </c>
      <c r="O545" s="1">
        <v>2184.0</v>
      </c>
      <c r="P545" s="1">
        <v>2062.0</v>
      </c>
      <c r="Q545" s="1">
        <v>109.0</v>
      </c>
      <c r="R545" s="1">
        <v>2071.0</v>
      </c>
      <c r="S545" s="1">
        <v>270.0</v>
      </c>
      <c r="T545" s="1">
        <v>168.0</v>
      </c>
      <c r="U545" s="1">
        <v>132.0</v>
      </c>
      <c r="V545" s="1">
        <v>419.0</v>
      </c>
      <c r="W545" s="1">
        <v>30996.0</v>
      </c>
      <c r="X545" s="1">
        <v>3446.0</v>
      </c>
      <c r="Y545" s="1">
        <v>175.0</v>
      </c>
      <c r="Z545" s="1">
        <v>292.0</v>
      </c>
      <c r="AA545" s="1">
        <v>1048.0</v>
      </c>
      <c r="AB545" s="1">
        <v>738.0</v>
      </c>
      <c r="AC545" s="1">
        <v>156.0</v>
      </c>
      <c r="AD545" s="1">
        <v>602.0</v>
      </c>
      <c r="AE545" s="1">
        <v>24.0</v>
      </c>
      <c r="AF545" s="1">
        <v>443.0</v>
      </c>
      <c r="AG545" s="1">
        <v>171.0</v>
      </c>
      <c r="AH545" s="1">
        <v>80.0</v>
      </c>
      <c r="AI545" s="1">
        <v>648.0</v>
      </c>
      <c r="AJ545" s="1">
        <v>152.0</v>
      </c>
      <c r="AK545" s="1">
        <v>27.0</v>
      </c>
      <c r="AL545" s="1">
        <v>123.0</v>
      </c>
      <c r="AM545" s="1">
        <v>81.0</v>
      </c>
      <c r="AN545" s="1">
        <v>78.0</v>
      </c>
      <c r="AO545" s="1">
        <v>103.0</v>
      </c>
      <c r="AP545" s="1">
        <v>0.061869</v>
      </c>
      <c r="AQ545" s="1">
        <v>0.037872</v>
      </c>
      <c r="AR545" s="1">
        <v>0.060218</v>
      </c>
      <c r="AS545" s="1">
        <v>0.190949</v>
      </c>
      <c r="AT545" s="1">
        <v>30996.0</v>
      </c>
      <c r="AU545" s="1">
        <v>3446.0</v>
      </c>
      <c r="AV545" s="1">
        <v>0.056542</v>
      </c>
      <c r="AW545" s="1">
        <v>0.094195</v>
      </c>
      <c r="AX545" s="1">
        <v>0.230532</v>
      </c>
      <c r="AY545" s="1">
        <v>0.16234</v>
      </c>
      <c r="AZ545" s="1">
        <v>0.07532592</v>
      </c>
      <c r="BA545" s="1">
        <v>0.132424</v>
      </c>
      <c r="BB545" s="1">
        <v>0.005455</v>
      </c>
      <c r="BC545" s="1">
        <v>0.100702</v>
      </c>
      <c r="BD545" s="1">
        <v>0.082929</v>
      </c>
      <c r="BE545" s="1">
        <v>0.038548</v>
      </c>
      <c r="BF545" s="1">
        <v>0.314258</v>
      </c>
      <c r="BG545" s="1">
        <v>0.071818</v>
      </c>
      <c r="BH545" s="1">
        <v>0.014158</v>
      </c>
      <c r="BI545" s="1">
        <v>0.064491</v>
      </c>
      <c r="BJ545" s="1">
        <v>0.042475</v>
      </c>
      <c r="BK545" s="1">
        <v>0.040787</v>
      </c>
      <c r="BL545" s="1">
        <v>0.022657</v>
      </c>
      <c r="BM545" s="1">
        <v>0.214</v>
      </c>
      <c r="BN545" s="1">
        <v>0.419</v>
      </c>
      <c r="BO545" s="1">
        <v>0.1755</v>
      </c>
      <c r="BP545" s="1">
        <v>0.153</v>
      </c>
      <c r="BQ545" s="1">
        <v>0.9615</v>
      </c>
      <c r="BR545" s="1">
        <v>0.1921</v>
      </c>
      <c r="BS545" s="1">
        <v>0.948</v>
      </c>
      <c r="BT545" s="1">
        <v>0.087</v>
      </c>
      <c r="BU545" s="1">
        <v>0.258</v>
      </c>
      <c r="BV545" s="1">
        <v>1.293</v>
      </c>
      <c r="BW545" s="1">
        <v>0.296</v>
      </c>
      <c r="BX545" s="1">
        <v>0.569</v>
      </c>
      <c r="BY545" s="1">
        <v>0.579</v>
      </c>
      <c r="BZ545" s="1">
        <v>1.148</v>
      </c>
      <c r="CA545" s="1">
        <v>0.631</v>
      </c>
      <c r="CB545" s="1">
        <v>0.736</v>
      </c>
      <c r="CC545" s="1">
        <v>0.984</v>
      </c>
      <c r="CD545" s="1">
        <v>0.576</v>
      </c>
      <c r="CE545" s="1">
        <v>0.418</v>
      </c>
      <c r="CF545" s="1">
        <v>0.743</v>
      </c>
      <c r="CG545" s="1">
        <v>3.457</v>
      </c>
      <c r="CH545" s="1">
        <v>0.927</v>
      </c>
      <c r="CI545" s="1">
        <v>6.8595</v>
      </c>
      <c r="CJ545" s="1">
        <v>0.5227</v>
      </c>
      <c r="CK545" s="1">
        <v>0.0</v>
      </c>
      <c r="CL545" s="1">
        <v>0.0</v>
      </c>
      <c r="CM545" s="1">
        <v>0.0</v>
      </c>
      <c r="CN545" s="1">
        <v>0.0</v>
      </c>
      <c r="CO545" s="1">
        <v>0.0</v>
      </c>
      <c r="CP545" s="1">
        <v>1.0</v>
      </c>
      <c r="CQ545" s="1">
        <v>0.0</v>
      </c>
      <c r="CR545" s="1">
        <v>0.0</v>
      </c>
      <c r="CS545" s="1">
        <v>1.0</v>
      </c>
      <c r="CT545" s="1">
        <v>0.0</v>
      </c>
      <c r="CU545" s="1">
        <v>0.0</v>
      </c>
      <c r="CV545" s="1">
        <v>0.0</v>
      </c>
      <c r="CW545" s="1">
        <v>0.0</v>
      </c>
      <c r="CX545" s="1">
        <v>1.0</v>
      </c>
      <c r="CY545" s="1">
        <v>0.0</v>
      </c>
      <c r="CZ545" s="1">
        <v>0.0</v>
      </c>
      <c r="DA545" s="1">
        <v>0.0</v>
      </c>
      <c r="DB545" s="1">
        <v>1.0</v>
      </c>
      <c r="DC545" s="1">
        <v>2.0</v>
      </c>
      <c r="DD545" s="1" t="s">
        <v>2622</v>
      </c>
      <c r="DE545" s="1">
        <v>7.30520957167545E-4</v>
      </c>
      <c r="DF545" s="2" t="s">
        <v>2623</v>
      </c>
    </row>
    <row r="546" ht="15.75" customHeight="1">
      <c r="A546" s="1" t="s">
        <v>2624</v>
      </c>
      <c r="B546" s="1">
        <v>29.0</v>
      </c>
      <c r="C546" s="2" t="s">
        <v>2039</v>
      </c>
      <c r="D546" s="2" t="s">
        <v>2625</v>
      </c>
      <c r="E546" s="1">
        <v>1.41</v>
      </c>
      <c r="F546" s="1">
        <v>29095.0</v>
      </c>
      <c r="G546" s="1">
        <v>2.9095014601E10</v>
      </c>
      <c r="H546" s="1" t="s">
        <v>112</v>
      </c>
      <c r="I546" s="1" t="s">
        <v>113</v>
      </c>
      <c r="J546" s="1" t="s">
        <v>2041</v>
      </c>
      <c r="K546" s="1" t="s">
        <v>2626</v>
      </c>
      <c r="L546" s="1">
        <v>5108.0</v>
      </c>
      <c r="M546" s="1">
        <v>4743.0</v>
      </c>
      <c r="N546" s="1">
        <v>421.0</v>
      </c>
      <c r="O546" s="1">
        <v>2234.0</v>
      </c>
      <c r="P546" s="1">
        <v>2166.0</v>
      </c>
      <c r="Q546" s="1">
        <v>75.0</v>
      </c>
      <c r="R546" s="1">
        <v>2140.0</v>
      </c>
      <c r="S546" s="1">
        <v>446.0</v>
      </c>
      <c r="T546" s="1">
        <v>372.0</v>
      </c>
      <c r="U546" s="1">
        <v>44.0</v>
      </c>
      <c r="V546" s="1">
        <v>472.0</v>
      </c>
      <c r="W546" s="1">
        <v>24896.0</v>
      </c>
      <c r="X546" s="1">
        <v>2735.0</v>
      </c>
      <c r="Y546" s="1">
        <v>456.0</v>
      </c>
      <c r="Z546" s="1">
        <v>279.0</v>
      </c>
      <c r="AA546" s="1">
        <v>1269.0</v>
      </c>
      <c r="AB546" s="1">
        <v>1051.0</v>
      </c>
      <c r="AC546" s="1">
        <v>171.0</v>
      </c>
      <c r="AD546" s="1">
        <v>713.0</v>
      </c>
      <c r="AE546" s="1">
        <v>14.0</v>
      </c>
      <c r="AF546" s="1">
        <v>442.0</v>
      </c>
      <c r="AG546" s="1">
        <v>163.0</v>
      </c>
      <c r="AH546" s="1">
        <v>136.0</v>
      </c>
      <c r="AI546" s="1">
        <v>0.0</v>
      </c>
      <c r="AJ546" s="1">
        <v>114.0</v>
      </c>
      <c r="AK546" s="1">
        <v>10.0</v>
      </c>
      <c r="AL546" s="1">
        <v>116.0</v>
      </c>
      <c r="AM546" s="1">
        <v>114.0</v>
      </c>
      <c r="AN546" s="1">
        <v>81.0</v>
      </c>
      <c r="AO546" s="1">
        <v>0.0</v>
      </c>
      <c r="AP546" s="1">
        <v>0.094033</v>
      </c>
      <c r="AQ546" s="1">
        <v>0.077985</v>
      </c>
      <c r="AR546" s="1">
        <v>0.022278</v>
      </c>
      <c r="AS546" s="1">
        <v>0.238962</v>
      </c>
      <c r="AT546" s="1">
        <v>24896.0</v>
      </c>
      <c r="AU546" s="1">
        <v>2735.0</v>
      </c>
      <c r="AV546" s="1">
        <v>0.129914</v>
      </c>
      <c r="AW546" s="1">
        <v>0.078893</v>
      </c>
      <c r="AX546" s="1">
        <v>0.248433</v>
      </c>
      <c r="AY546" s="1">
        <v>0.205755</v>
      </c>
      <c r="AZ546" s="1">
        <v>0.07990654</v>
      </c>
      <c r="BA546" s="1">
        <v>0.139584</v>
      </c>
      <c r="BB546" s="1">
        <v>0.003144</v>
      </c>
      <c r="BC546" s="1">
        <v>0.09928</v>
      </c>
      <c r="BD546" s="1">
        <v>0.075253</v>
      </c>
      <c r="BE546" s="1">
        <v>0.062734</v>
      </c>
      <c r="BF546" s="1">
        <v>0.0</v>
      </c>
      <c r="BG546" s="1">
        <v>0.052631</v>
      </c>
      <c r="BH546" s="1">
        <v>0.00484</v>
      </c>
      <c r="BI546" s="1">
        <v>0.056146</v>
      </c>
      <c r="BJ546" s="1">
        <v>0.055179</v>
      </c>
      <c r="BK546" s="1">
        <v>0.039089</v>
      </c>
      <c r="BL546" s="1">
        <v>0.0</v>
      </c>
      <c r="BM546" s="1">
        <v>0.354</v>
      </c>
      <c r="BN546" s="1">
        <v>0.039</v>
      </c>
      <c r="BO546" s="1">
        <v>0.3538</v>
      </c>
      <c r="BP546" s="1">
        <v>0.47</v>
      </c>
      <c r="BQ546" s="1">
        <v>1.2168</v>
      </c>
      <c r="BR546" s="1">
        <v>0.2592</v>
      </c>
      <c r="BS546" s="1">
        <v>0.968</v>
      </c>
      <c r="BT546" s="1">
        <v>0.218</v>
      </c>
      <c r="BU546" s="1">
        <v>0.302</v>
      </c>
      <c r="BV546" s="1">
        <v>1.488</v>
      </c>
      <c r="BW546" s="1">
        <v>0.476</v>
      </c>
      <c r="BX546" s="1">
        <v>0.59</v>
      </c>
      <c r="BY546" s="1">
        <v>0.458</v>
      </c>
      <c r="BZ546" s="1">
        <v>1.048</v>
      </c>
      <c r="CA546" s="1">
        <v>0.582</v>
      </c>
      <c r="CB546" s="1">
        <v>0.724</v>
      </c>
      <c r="CC546" s="1">
        <v>0.0</v>
      </c>
      <c r="CD546" s="1">
        <v>0.33</v>
      </c>
      <c r="CE546" s="1">
        <v>0.53</v>
      </c>
      <c r="CF546" s="1">
        <v>0.0</v>
      </c>
      <c r="CG546" s="1">
        <v>1.584</v>
      </c>
      <c r="CH546" s="1">
        <v>0.192</v>
      </c>
      <c r="CI546" s="1">
        <v>5.3368</v>
      </c>
      <c r="CJ546" s="1">
        <v>0.252</v>
      </c>
      <c r="CK546" s="1">
        <v>0.0</v>
      </c>
      <c r="CL546" s="1">
        <v>0.0</v>
      </c>
      <c r="CM546" s="1">
        <v>0.0</v>
      </c>
      <c r="CN546" s="1">
        <v>0.0</v>
      </c>
      <c r="CO546" s="1">
        <v>0.0</v>
      </c>
      <c r="CP546" s="1">
        <v>1.0</v>
      </c>
      <c r="CQ546" s="1">
        <v>0.0</v>
      </c>
      <c r="CR546" s="1">
        <v>0.0</v>
      </c>
      <c r="CS546" s="1">
        <v>1.0</v>
      </c>
      <c r="CT546" s="1">
        <v>0.0</v>
      </c>
      <c r="CU546" s="1">
        <v>0.0</v>
      </c>
      <c r="CV546" s="1">
        <v>0.0</v>
      </c>
      <c r="CW546" s="1">
        <v>0.0</v>
      </c>
      <c r="CX546" s="1">
        <v>0.0</v>
      </c>
      <c r="CY546" s="1">
        <v>0.0</v>
      </c>
      <c r="CZ546" s="1">
        <v>0.0</v>
      </c>
      <c r="DA546" s="1">
        <v>0.0</v>
      </c>
      <c r="DB546" s="1">
        <v>0.0</v>
      </c>
      <c r="DC546" s="1">
        <v>1.0</v>
      </c>
      <c r="DD546" s="1" t="s">
        <v>2627</v>
      </c>
      <c r="DE546" s="1">
        <v>3.80670343149661E-4</v>
      </c>
      <c r="DF546" s="1">
        <v>0.086850881914679</v>
      </c>
    </row>
    <row r="547" ht="15.75" customHeight="1">
      <c r="A547" s="1" t="s">
        <v>2628</v>
      </c>
      <c r="B547" s="1">
        <v>29.0</v>
      </c>
      <c r="C547" s="2" t="s">
        <v>2039</v>
      </c>
      <c r="D547" s="2" t="s">
        <v>2629</v>
      </c>
      <c r="E547" s="1">
        <v>1.257</v>
      </c>
      <c r="F547" s="1">
        <v>29095.0</v>
      </c>
      <c r="G547" s="1">
        <v>2.9095007802E10</v>
      </c>
      <c r="H547" s="1" t="s">
        <v>112</v>
      </c>
      <c r="I547" s="1" t="s">
        <v>113</v>
      </c>
      <c r="J547" s="1" t="s">
        <v>2041</v>
      </c>
      <c r="K547" s="1" t="s">
        <v>2630</v>
      </c>
      <c r="L547" s="1">
        <v>2191.0</v>
      </c>
      <c r="M547" s="1">
        <v>2276.0</v>
      </c>
      <c r="N547" s="1">
        <v>412.0</v>
      </c>
      <c r="O547" s="1">
        <v>1164.0</v>
      </c>
      <c r="P547" s="1">
        <v>1254.0</v>
      </c>
      <c r="Q547" s="1">
        <v>65.0</v>
      </c>
      <c r="R547" s="1">
        <v>958.0</v>
      </c>
      <c r="S547" s="1">
        <v>620.0</v>
      </c>
      <c r="T547" s="1">
        <v>263.0</v>
      </c>
      <c r="U547" s="1">
        <v>146.0</v>
      </c>
      <c r="V547" s="1">
        <v>433.0</v>
      </c>
      <c r="W547" s="1">
        <v>19601.0</v>
      </c>
      <c r="X547" s="1">
        <v>3404.0</v>
      </c>
      <c r="Y547" s="1">
        <v>428.0</v>
      </c>
      <c r="Z547" s="1">
        <v>267.0</v>
      </c>
      <c r="AA547" s="1">
        <v>469.0</v>
      </c>
      <c r="AB547" s="1">
        <v>543.0</v>
      </c>
      <c r="AC547" s="1">
        <v>201.0</v>
      </c>
      <c r="AD547" s="1">
        <v>2122.0</v>
      </c>
      <c r="AE547" s="1">
        <v>0.0</v>
      </c>
      <c r="AF547" s="1">
        <v>456.0</v>
      </c>
      <c r="AG547" s="1">
        <v>236.0</v>
      </c>
      <c r="AH547" s="1">
        <v>109.0</v>
      </c>
      <c r="AI547" s="1">
        <v>0.0</v>
      </c>
      <c r="AJ547" s="1">
        <v>114.0</v>
      </c>
      <c r="AK547" s="1">
        <v>0.0</v>
      </c>
      <c r="AL547" s="1">
        <v>161.0</v>
      </c>
      <c r="AM547" s="1">
        <v>196.0</v>
      </c>
      <c r="AN547" s="1">
        <v>77.0</v>
      </c>
      <c r="AO547" s="1">
        <v>1.0</v>
      </c>
      <c r="AP547" s="1">
        <v>0.272407</v>
      </c>
      <c r="AQ547" s="1">
        <v>0.104503</v>
      </c>
      <c r="AR547" s="1">
        <v>0.164785</v>
      </c>
      <c r="AS547" s="1">
        <v>0.484749</v>
      </c>
      <c r="AT547" s="1">
        <v>19601.0</v>
      </c>
      <c r="AU547" s="1">
        <v>3404.0</v>
      </c>
      <c r="AV547" s="1">
        <v>0.264524</v>
      </c>
      <c r="AW547" s="1">
        <v>0.159792</v>
      </c>
      <c r="AX547" s="1">
        <v>0.214057</v>
      </c>
      <c r="AY547" s="1">
        <v>0.247832</v>
      </c>
      <c r="AZ547" s="1">
        <v>0.2098121</v>
      </c>
      <c r="BA547" s="1">
        <v>0.968507</v>
      </c>
      <c r="BB547" s="1">
        <v>0.0</v>
      </c>
      <c r="BC547" s="1">
        <v>0.209174</v>
      </c>
      <c r="BD547" s="1">
        <v>0.188197</v>
      </c>
      <c r="BE547" s="1">
        <v>0.086372</v>
      </c>
      <c r="BF547" s="1">
        <v>0.0</v>
      </c>
      <c r="BG547" s="1">
        <v>0.090909</v>
      </c>
      <c r="BH547" s="1">
        <v>0.0</v>
      </c>
      <c r="BI547" s="1">
        <v>0.165467</v>
      </c>
      <c r="BJ547" s="1">
        <v>0.201438</v>
      </c>
      <c r="BK547" s="1">
        <v>0.074419</v>
      </c>
      <c r="BL547" s="1">
        <v>4.56E-4</v>
      </c>
      <c r="BM547" s="1">
        <v>0.858</v>
      </c>
      <c r="BN547" s="1">
        <v>0.916</v>
      </c>
      <c r="BO547" s="1">
        <v>0.639</v>
      </c>
      <c r="BP547" s="1">
        <v>0.897</v>
      </c>
      <c r="BQ547" s="1">
        <v>3.31</v>
      </c>
      <c r="BR547" s="1">
        <v>0.8801</v>
      </c>
      <c r="BS547" s="1">
        <v>0.92</v>
      </c>
      <c r="BT547" s="1">
        <v>0.572</v>
      </c>
      <c r="BU547" s="1">
        <v>0.907</v>
      </c>
      <c r="BV547" s="1">
        <v>2.399</v>
      </c>
      <c r="BW547" s="1">
        <v>0.991</v>
      </c>
      <c r="BX547" s="1">
        <v>0.968</v>
      </c>
      <c r="BY547" s="1">
        <v>0.0</v>
      </c>
      <c r="BZ547" s="1">
        <v>0.968</v>
      </c>
      <c r="CA547" s="1">
        <v>0.524</v>
      </c>
      <c r="CB547" s="1">
        <v>0.887</v>
      </c>
      <c r="CC547" s="1">
        <v>0.0</v>
      </c>
      <c r="CD547" s="1">
        <v>0.0</v>
      </c>
      <c r="CE547" s="1">
        <v>0.907</v>
      </c>
      <c r="CF547" s="1">
        <v>0.365</v>
      </c>
      <c r="CG547" s="1">
        <v>2.159</v>
      </c>
      <c r="CH547" s="1">
        <v>0.401</v>
      </c>
      <c r="CI547" s="1">
        <v>8.836</v>
      </c>
      <c r="CJ547" s="1">
        <v>0.8318</v>
      </c>
      <c r="CK547" s="1">
        <v>0.0</v>
      </c>
      <c r="CL547" s="1">
        <v>1.0</v>
      </c>
      <c r="CM547" s="1">
        <v>0.0</v>
      </c>
      <c r="CN547" s="1">
        <v>0.0</v>
      </c>
      <c r="CO547" s="1">
        <v>1.0</v>
      </c>
      <c r="CP547" s="1">
        <v>1.0</v>
      </c>
      <c r="CQ547" s="1">
        <v>0.0</v>
      </c>
      <c r="CR547" s="1">
        <v>1.0</v>
      </c>
      <c r="CS547" s="1">
        <v>2.0</v>
      </c>
      <c r="CT547" s="1">
        <v>1.0</v>
      </c>
      <c r="CU547" s="1">
        <v>0.0</v>
      </c>
      <c r="CV547" s="1">
        <v>1.0</v>
      </c>
      <c r="CW547" s="1">
        <v>0.0</v>
      </c>
      <c r="CX547" s="1">
        <v>0.0</v>
      </c>
      <c r="CY547" s="1">
        <v>0.0</v>
      </c>
      <c r="CZ547" s="1">
        <v>1.0</v>
      </c>
      <c r="DA547" s="1">
        <v>0.0</v>
      </c>
      <c r="DB547" s="1">
        <v>1.0</v>
      </c>
      <c r="DC547" s="1">
        <v>5.0</v>
      </c>
      <c r="DD547" s="1" t="s">
        <v>2631</v>
      </c>
      <c r="DE547" s="1">
        <v>3.3843889255953E-4</v>
      </c>
      <c r="DF547" s="2" t="s">
        <v>2632</v>
      </c>
    </row>
    <row r="548" ht="15.75" customHeight="1">
      <c r="A548" s="1" t="s">
        <v>2633</v>
      </c>
      <c r="B548" s="1">
        <v>29.0</v>
      </c>
      <c r="C548" s="2" t="s">
        <v>2039</v>
      </c>
      <c r="D548" s="2" t="s">
        <v>2634</v>
      </c>
      <c r="E548" s="1">
        <v>0.978</v>
      </c>
      <c r="F548" s="1">
        <v>29095.0</v>
      </c>
      <c r="G548" s="1">
        <v>2.90950079E10</v>
      </c>
      <c r="H548" s="1" t="s">
        <v>112</v>
      </c>
      <c r="I548" s="1" t="s">
        <v>113</v>
      </c>
      <c r="J548" s="1" t="s">
        <v>2041</v>
      </c>
      <c r="K548" s="1" t="s">
        <v>2635</v>
      </c>
      <c r="L548" s="1">
        <v>3681.0</v>
      </c>
      <c r="M548" s="1">
        <v>3639.0</v>
      </c>
      <c r="N548" s="1">
        <v>431.0</v>
      </c>
      <c r="O548" s="1">
        <v>1770.0</v>
      </c>
      <c r="P548" s="1">
        <v>1867.0</v>
      </c>
      <c r="Q548" s="1">
        <v>78.0</v>
      </c>
      <c r="R548" s="1">
        <v>1381.0</v>
      </c>
      <c r="S548" s="1">
        <v>1525.0</v>
      </c>
      <c r="T548" s="1">
        <v>434.0</v>
      </c>
      <c r="U548" s="1">
        <v>264.0</v>
      </c>
      <c r="V548" s="1">
        <v>383.0</v>
      </c>
      <c r="W548" s="1">
        <v>12521.0</v>
      </c>
      <c r="X548" s="1">
        <v>1953.0</v>
      </c>
      <c r="Y548" s="1">
        <v>474.0</v>
      </c>
      <c r="Z548" s="1">
        <v>258.0</v>
      </c>
      <c r="AA548" s="1">
        <v>624.0</v>
      </c>
      <c r="AB548" s="1">
        <v>1035.0</v>
      </c>
      <c r="AC548" s="1">
        <v>415.0</v>
      </c>
      <c r="AD548" s="1">
        <v>3528.0</v>
      </c>
      <c r="AE548" s="1">
        <v>0.0</v>
      </c>
      <c r="AF548" s="1">
        <v>456.0</v>
      </c>
      <c r="AG548" s="1">
        <v>44.0</v>
      </c>
      <c r="AH548" s="1">
        <v>122.0</v>
      </c>
      <c r="AI548" s="1">
        <v>34.0</v>
      </c>
      <c r="AJ548" s="1">
        <v>51.0</v>
      </c>
      <c r="AK548" s="1">
        <v>23.0</v>
      </c>
      <c r="AL548" s="1">
        <v>118.0</v>
      </c>
      <c r="AM548" s="1">
        <v>311.0</v>
      </c>
      <c r="AN548" s="1">
        <v>124.0</v>
      </c>
      <c r="AO548" s="1">
        <v>178.0</v>
      </c>
      <c r="AP548" s="1">
        <v>0.419071</v>
      </c>
      <c r="AQ548" s="1">
        <v>0.108444</v>
      </c>
      <c r="AR548" s="1">
        <v>0.201834</v>
      </c>
      <c r="AS548" s="1">
        <v>0.288242</v>
      </c>
      <c r="AT548" s="1">
        <v>12521.0</v>
      </c>
      <c r="AU548" s="1">
        <v>1953.0</v>
      </c>
      <c r="AV548" s="1">
        <v>0.207167</v>
      </c>
      <c r="AW548" s="1">
        <v>0.109574</v>
      </c>
      <c r="AX548" s="1">
        <v>0.169519</v>
      </c>
      <c r="AY548" s="1">
        <v>0.281173</v>
      </c>
      <c r="AZ548" s="1">
        <v>0.30050687</v>
      </c>
      <c r="BA548" s="1">
        <v>0.958435</v>
      </c>
      <c r="BB548" s="1">
        <v>0.0</v>
      </c>
      <c r="BC548" s="1">
        <v>0.14444</v>
      </c>
      <c r="BD548" s="1">
        <v>0.023567</v>
      </c>
      <c r="BE548" s="1">
        <v>0.065338</v>
      </c>
      <c r="BF548" s="1">
        <v>0.018211</v>
      </c>
      <c r="BG548" s="1">
        <v>0.027305</v>
      </c>
      <c r="BH548" s="1">
        <v>0.014456</v>
      </c>
      <c r="BI548" s="1">
        <v>0.074158</v>
      </c>
      <c r="BJ548" s="1">
        <v>0.195474</v>
      </c>
      <c r="BK548" s="1">
        <v>0.07641</v>
      </c>
      <c r="BL548" s="1">
        <v>0.048356</v>
      </c>
      <c r="BM548" s="1">
        <v>0.968</v>
      </c>
      <c r="BN548" s="1">
        <v>0.953</v>
      </c>
      <c r="BO548" s="1">
        <v>0.9458</v>
      </c>
      <c r="BP548" s="1">
        <v>0.771</v>
      </c>
      <c r="BQ548" s="1">
        <v>3.6378</v>
      </c>
      <c r="BR548" s="1">
        <v>0.9473</v>
      </c>
      <c r="BS548" s="1">
        <v>0.734</v>
      </c>
      <c r="BT548" s="1">
        <v>0.853</v>
      </c>
      <c r="BU548" s="1">
        <v>0.981</v>
      </c>
      <c r="BV548" s="1">
        <v>2.568</v>
      </c>
      <c r="BW548" s="1">
        <v>0.999</v>
      </c>
      <c r="BX548" s="1">
        <v>0.961</v>
      </c>
      <c r="BY548" s="1">
        <v>0.0</v>
      </c>
      <c r="BZ548" s="1">
        <v>0.961</v>
      </c>
      <c r="CA548" s="1">
        <v>0.518</v>
      </c>
      <c r="CB548" s="1">
        <v>0.504</v>
      </c>
      <c r="CC548" s="1">
        <v>0.502</v>
      </c>
      <c r="CD548" s="1">
        <v>0.581</v>
      </c>
      <c r="CE548" s="1">
        <v>0.905</v>
      </c>
      <c r="CF548" s="1">
        <v>0.89</v>
      </c>
      <c r="CG548" s="1">
        <v>3.382</v>
      </c>
      <c r="CH548" s="1">
        <v>0.907</v>
      </c>
      <c r="CI548" s="1">
        <v>10.5488</v>
      </c>
      <c r="CJ548" s="1">
        <v>0.9747</v>
      </c>
      <c r="CK548" s="1">
        <v>1.0</v>
      </c>
      <c r="CL548" s="1">
        <v>1.0</v>
      </c>
      <c r="CM548" s="1">
        <v>1.0</v>
      </c>
      <c r="CN548" s="1">
        <v>0.0</v>
      </c>
      <c r="CO548" s="1">
        <v>3.0</v>
      </c>
      <c r="CP548" s="1">
        <v>0.0</v>
      </c>
      <c r="CQ548" s="1">
        <v>0.0</v>
      </c>
      <c r="CR548" s="1">
        <v>1.0</v>
      </c>
      <c r="CS548" s="1">
        <v>1.0</v>
      </c>
      <c r="CT548" s="1">
        <v>1.0</v>
      </c>
      <c r="CU548" s="1">
        <v>0.0</v>
      </c>
      <c r="CV548" s="1">
        <v>1.0</v>
      </c>
      <c r="CW548" s="1">
        <v>0.0</v>
      </c>
      <c r="CX548" s="1">
        <v>0.0</v>
      </c>
      <c r="CY548" s="1">
        <v>0.0</v>
      </c>
      <c r="CZ548" s="1">
        <v>1.0</v>
      </c>
      <c r="DA548" s="1">
        <v>0.0</v>
      </c>
      <c r="DB548" s="1">
        <v>1.0</v>
      </c>
      <c r="DC548" s="1">
        <v>6.0</v>
      </c>
      <c r="DD548" s="1" t="s">
        <v>2636</v>
      </c>
      <c r="DE548" s="1">
        <v>2.6324908516541E-4</v>
      </c>
      <c r="DF548" s="1">
        <v>0.0656206480437712</v>
      </c>
    </row>
    <row r="549" ht="15.75" customHeight="1">
      <c r="A549" s="1" t="s">
        <v>2637</v>
      </c>
      <c r="B549" s="1">
        <v>29.0</v>
      </c>
      <c r="C549" s="2" t="s">
        <v>2039</v>
      </c>
      <c r="D549" s="2" t="s">
        <v>2638</v>
      </c>
      <c r="E549" s="1">
        <v>0.784</v>
      </c>
      <c r="F549" s="1">
        <v>29095.0</v>
      </c>
      <c r="G549" s="1">
        <v>2.9095010002E10</v>
      </c>
      <c r="H549" s="1" t="s">
        <v>112</v>
      </c>
      <c r="I549" s="1" t="s">
        <v>113</v>
      </c>
      <c r="J549" s="1" t="s">
        <v>2041</v>
      </c>
      <c r="K549" s="1" t="s">
        <v>2639</v>
      </c>
      <c r="L549" s="1">
        <v>3516.0</v>
      </c>
      <c r="M549" s="1">
        <v>3557.0</v>
      </c>
      <c r="N549" s="1">
        <v>597.0</v>
      </c>
      <c r="O549" s="1">
        <v>2202.0</v>
      </c>
      <c r="P549" s="1">
        <v>2286.0</v>
      </c>
      <c r="Q549" s="1">
        <v>116.0</v>
      </c>
      <c r="R549" s="1">
        <v>1991.0</v>
      </c>
      <c r="S549" s="1">
        <v>606.0</v>
      </c>
      <c r="T549" s="1">
        <v>542.0</v>
      </c>
      <c r="U549" s="1">
        <v>216.0</v>
      </c>
      <c r="V549" s="1">
        <v>441.0</v>
      </c>
      <c r="W549" s="1">
        <v>23972.0</v>
      </c>
      <c r="X549" s="1">
        <v>4479.0</v>
      </c>
      <c r="Y549" s="1">
        <v>232.0</v>
      </c>
      <c r="Z549" s="1">
        <v>308.0</v>
      </c>
      <c r="AA549" s="1">
        <v>465.0</v>
      </c>
      <c r="AB549" s="1">
        <v>526.0</v>
      </c>
      <c r="AC549" s="1">
        <v>214.0</v>
      </c>
      <c r="AD549" s="1">
        <v>1832.0</v>
      </c>
      <c r="AE549" s="1">
        <v>79.0</v>
      </c>
      <c r="AF549" s="1">
        <v>434.0</v>
      </c>
      <c r="AG549" s="1">
        <v>994.0</v>
      </c>
      <c r="AH549" s="1">
        <v>236.0</v>
      </c>
      <c r="AI549" s="1">
        <v>0.0</v>
      </c>
      <c r="AJ549" s="1">
        <v>114.0</v>
      </c>
      <c r="AK549" s="1">
        <v>0.0</v>
      </c>
      <c r="AL549" s="1">
        <v>161.0</v>
      </c>
      <c r="AM549" s="1">
        <v>141.0</v>
      </c>
      <c r="AN549" s="1">
        <v>71.0</v>
      </c>
      <c r="AO549" s="1">
        <v>4.0</v>
      </c>
      <c r="AP549" s="1">
        <v>0.171574</v>
      </c>
      <c r="AQ549" s="1">
        <v>0.150698</v>
      </c>
      <c r="AR549" s="1">
        <v>0.102759</v>
      </c>
      <c r="AS549" s="1">
        <v>0.20894</v>
      </c>
      <c r="AT549" s="1">
        <v>23972.0</v>
      </c>
      <c r="AU549" s="1">
        <v>4479.0</v>
      </c>
      <c r="AV549" s="1">
        <v>0.088549</v>
      </c>
      <c r="AW549" s="1">
        <v>0.116827</v>
      </c>
      <c r="AX549" s="1">
        <v>0.132252</v>
      </c>
      <c r="AY549" s="1">
        <v>0.149601</v>
      </c>
      <c r="AZ549" s="1">
        <v>0.10748367</v>
      </c>
      <c r="BA549" s="1">
        <v>0.521046</v>
      </c>
      <c r="BB549" s="1">
        <v>0.024144</v>
      </c>
      <c r="BC549" s="1">
        <v>0.132574</v>
      </c>
      <c r="BD549" s="1">
        <v>0.43482</v>
      </c>
      <c r="BE549" s="1">
        <v>0.100851</v>
      </c>
      <c r="BF549" s="1">
        <v>0.0</v>
      </c>
      <c r="BG549" s="1">
        <v>0.049868</v>
      </c>
      <c r="BH549" s="1">
        <v>0.0</v>
      </c>
      <c r="BI549" s="1">
        <v>0.080299</v>
      </c>
      <c r="BJ549" s="1">
        <v>0.070324</v>
      </c>
      <c r="BK549" s="1">
        <v>0.034969</v>
      </c>
      <c r="BL549" s="1">
        <v>0.001137</v>
      </c>
      <c r="BM549" s="1">
        <v>0.649</v>
      </c>
      <c r="BN549" s="1">
        <v>0.748</v>
      </c>
      <c r="BO549" s="1">
        <v>0.3964</v>
      </c>
      <c r="BP549" s="1">
        <v>0.286</v>
      </c>
      <c r="BQ549" s="1">
        <v>2.0794</v>
      </c>
      <c r="BR549" s="1">
        <v>0.5242</v>
      </c>
      <c r="BS549" s="1">
        <v>0.436</v>
      </c>
      <c r="BT549" s="1">
        <v>0.068</v>
      </c>
      <c r="BU549" s="1">
        <v>0.564</v>
      </c>
      <c r="BV549" s="1">
        <v>1.068</v>
      </c>
      <c r="BW549" s="1">
        <v>0.145</v>
      </c>
      <c r="BX549" s="1">
        <v>0.868</v>
      </c>
      <c r="BY549" s="1">
        <v>0.883</v>
      </c>
      <c r="BZ549" s="1">
        <v>1.751</v>
      </c>
      <c r="CA549" s="1">
        <v>0.943</v>
      </c>
      <c r="CB549" s="1">
        <v>0.972</v>
      </c>
      <c r="CC549" s="1">
        <v>0.0</v>
      </c>
      <c r="CD549" s="1">
        <v>0.0</v>
      </c>
      <c r="CE549" s="1">
        <v>0.628</v>
      </c>
      <c r="CF549" s="1">
        <v>0.407</v>
      </c>
      <c r="CG549" s="1">
        <v>2.007</v>
      </c>
      <c r="CH549" s="1">
        <v>0.351</v>
      </c>
      <c r="CI549" s="1">
        <v>6.9054</v>
      </c>
      <c r="CJ549" s="1">
        <v>0.5329</v>
      </c>
      <c r="CK549" s="1">
        <v>0.0</v>
      </c>
      <c r="CL549" s="1">
        <v>0.0</v>
      </c>
      <c r="CM549" s="1">
        <v>0.0</v>
      </c>
      <c r="CN549" s="1">
        <v>0.0</v>
      </c>
      <c r="CO549" s="1">
        <v>0.0</v>
      </c>
      <c r="CP549" s="1">
        <v>0.0</v>
      </c>
      <c r="CQ549" s="1">
        <v>0.0</v>
      </c>
      <c r="CR549" s="1">
        <v>0.0</v>
      </c>
      <c r="CS549" s="1">
        <v>0.0</v>
      </c>
      <c r="CT549" s="1">
        <v>0.0</v>
      </c>
      <c r="CU549" s="1">
        <v>0.0</v>
      </c>
      <c r="CV549" s="1">
        <v>0.0</v>
      </c>
      <c r="CW549" s="1">
        <v>1.0</v>
      </c>
      <c r="CX549" s="1">
        <v>0.0</v>
      </c>
      <c r="CY549" s="1">
        <v>0.0</v>
      </c>
      <c r="CZ549" s="1">
        <v>0.0</v>
      </c>
      <c r="DA549" s="1">
        <v>0.0</v>
      </c>
      <c r="DB549" s="1">
        <v>1.0</v>
      </c>
      <c r="DC549" s="1">
        <v>1.0</v>
      </c>
      <c r="DD549" s="1" t="s">
        <v>2640</v>
      </c>
      <c r="DE549" s="1">
        <v>2.09845248018983E-4</v>
      </c>
      <c r="DF549" s="1">
        <v>0.0588821525140577</v>
      </c>
    </row>
    <row r="550" ht="15.75" customHeight="1">
      <c r="A550" s="1" t="s">
        <v>2641</v>
      </c>
      <c r="B550" s="1">
        <v>29.0</v>
      </c>
      <c r="C550" s="2" t="s">
        <v>2039</v>
      </c>
      <c r="D550" s="2" t="s">
        <v>2642</v>
      </c>
      <c r="E550" s="1">
        <v>1.375</v>
      </c>
      <c r="F550" s="1">
        <v>29095.0</v>
      </c>
      <c r="G550" s="1">
        <v>2.9095010103E10</v>
      </c>
      <c r="H550" s="1" t="s">
        <v>112</v>
      </c>
      <c r="I550" s="1" t="s">
        <v>113</v>
      </c>
      <c r="J550" s="1" t="s">
        <v>2041</v>
      </c>
      <c r="K550" s="1" t="s">
        <v>2643</v>
      </c>
      <c r="L550" s="1">
        <v>2080.0</v>
      </c>
      <c r="M550" s="1">
        <v>2035.0</v>
      </c>
      <c r="N550" s="1">
        <v>210.0</v>
      </c>
      <c r="O550" s="1">
        <v>1179.0</v>
      </c>
      <c r="P550" s="1">
        <v>1217.0</v>
      </c>
      <c r="Q550" s="1">
        <v>74.0</v>
      </c>
      <c r="R550" s="1">
        <v>943.0</v>
      </c>
      <c r="S550" s="1">
        <v>238.0</v>
      </c>
      <c r="T550" s="1">
        <v>216.0</v>
      </c>
      <c r="U550" s="1">
        <v>80.0</v>
      </c>
      <c r="V550" s="1">
        <v>415.0</v>
      </c>
      <c r="W550" s="1">
        <v>32660.0</v>
      </c>
      <c r="X550" s="1">
        <v>6571.0</v>
      </c>
      <c r="Y550" s="1">
        <v>72.0</v>
      </c>
      <c r="Z550" s="1">
        <v>416.0</v>
      </c>
      <c r="AA550" s="1">
        <v>282.0</v>
      </c>
      <c r="AB550" s="1">
        <v>437.0</v>
      </c>
      <c r="AC550" s="1">
        <v>134.0</v>
      </c>
      <c r="AD550" s="1">
        <v>1159.0</v>
      </c>
      <c r="AE550" s="1">
        <v>7.0</v>
      </c>
      <c r="AF550" s="1">
        <v>442.0</v>
      </c>
      <c r="AG550" s="1">
        <v>134.0</v>
      </c>
      <c r="AH550" s="1">
        <v>154.0</v>
      </c>
      <c r="AI550" s="1">
        <v>0.0</v>
      </c>
      <c r="AJ550" s="1">
        <v>114.0</v>
      </c>
      <c r="AK550" s="1">
        <v>0.0</v>
      </c>
      <c r="AL550" s="1">
        <v>161.0</v>
      </c>
      <c r="AM550" s="1">
        <v>132.0</v>
      </c>
      <c r="AN550" s="1">
        <v>83.0</v>
      </c>
      <c r="AO550" s="1">
        <v>4.0</v>
      </c>
      <c r="AP550" s="1">
        <v>0.116953</v>
      </c>
      <c r="AQ550" s="1">
        <v>0.105454</v>
      </c>
      <c r="AR550" s="1">
        <v>0.069808</v>
      </c>
      <c r="AS550" s="1">
        <v>0.361766</v>
      </c>
      <c r="AT550" s="1">
        <v>32660.0</v>
      </c>
      <c r="AU550" s="1">
        <v>6571.0</v>
      </c>
      <c r="AV550" s="1">
        <v>0.056074</v>
      </c>
      <c r="AW550" s="1">
        <v>0.323938</v>
      </c>
      <c r="AX550" s="1">
        <v>0.135576</v>
      </c>
      <c r="AY550" s="1">
        <v>0.210096</v>
      </c>
      <c r="AZ550" s="1">
        <v>0.14209968</v>
      </c>
      <c r="BA550" s="1">
        <v>0.557211</v>
      </c>
      <c r="BB550" s="1">
        <v>0.003655</v>
      </c>
      <c r="BC550" s="1">
        <v>0.230809</v>
      </c>
      <c r="BD550" s="1">
        <v>0.110106</v>
      </c>
      <c r="BE550" s="1">
        <v>0.126363</v>
      </c>
      <c r="BF550" s="1">
        <v>0.0</v>
      </c>
      <c r="BG550" s="1">
        <v>0.093672</v>
      </c>
      <c r="BH550" s="1">
        <v>0.0</v>
      </c>
      <c r="BI550" s="1">
        <v>0.17019</v>
      </c>
      <c r="BJ550" s="1">
        <v>0.139534</v>
      </c>
      <c r="BK550" s="1">
        <v>0.086463</v>
      </c>
      <c r="BL550" s="1">
        <v>0.001923</v>
      </c>
      <c r="BM550" s="1">
        <v>0.441</v>
      </c>
      <c r="BN550" s="1">
        <v>0.514</v>
      </c>
      <c r="BO550" s="1">
        <v>0.1444</v>
      </c>
      <c r="BP550" s="1">
        <v>0.151</v>
      </c>
      <c r="BQ550" s="1">
        <v>1.2504</v>
      </c>
      <c r="BR550" s="1">
        <v>0.2679</v>
      </c>
      <c r="BS550" s="1">
        <v>0.456</v>
      </c>
      <c r="BT550" s="1">
        <v>0.237</v>
      </c>
      <c r="BU550" s="1">
        <v>0.769</v>
      </c>
      <c r="BV550" s="1">
        <v>1.462</v>
      </c>
      <c r="BW550" s="1">
        <v>0.447</v>
      </c>
      <c r="BX550" s="1">
        <v>0.874</v>
      </c>
      <c r="BY550" s="1">
        <v>0.496</v>
      </c>
      <c r="BZ550" s="1">
        <v>1.37</v>
      </c>
      <c r="CA550" s="1">
        <v>0.75</v>
      </c>
      <c r="CB550" s="1">
        <v>0.788</v>
      </c>
      <c r="CC550" s="1">
        <v>0.0</v>
      </c>
      <c r="CD550" s="1">
        <v>0.0</v>
      </c>
      <c r="CE550" s="1">
        <v>0.846</v>
      </c>
      <c r="CF550" s="1">
        <v>0.441</v>
      </c>
      <c r="CG550" s="1">
        <v>2.075</v>
      </c>
      <c r="CH550" s="1">
        <v>0.372</v>
      </c>
      <c r="CI550" s="1">
        <v>6.1574</v>
      </c>
      <c r="CJ550" s="1">
        <v>0.3971</v>
      </c>
      <c r="CK550" s="1">
        <v>0.0</v>
      </c>
      <c r="CL550" s="1">
        <v>0.0</v>
      </c>
      <c r="CM550" s="1">
        <v>0.0</v>
      </c>
      <c r="CN550" s="1">
        <v>0.0</v>
      </c>
      <c r="CO550" s="1">
        <v>0.0</v>
      </c>
      <c r="CP550" s="1">
        <v>0.0</v>
      </c>
      <c r="CQ550" s="1">
        <v>0.0</v>
      </c>
      <c r="CR550" s="1">
        <v>0.0</v>
      </c>
      <c r="CS550" s="1">
        <v>0.0</v>
      </c>
      <c r="CT550" s="1">
        <v>0.0</v>
      </c>
      <c r="CU550" s="1">
        <v>0.0</v>
      </c>
      <c r="CV550" s="1">
        <v>0.0</v>
      </c>
      <c r="CW550" s="1">
        <v>0.0</v>
      </c>
      <c r="CX550" s="1">
        <v>0.0</v>
      </c>
      <c r="CY550" s="1">
        <v>0.0</v>
      </c>
      <c r="CZ550" s="1">
        <v>0.0</v>
      </c>
      <c r="DA550" s="1">
        <v>0.0</v>
      </c>
      <c r="DB550" s="1">
        <v>0.0</v>
      </c>
      <c r="DC550" s="1">
        <v>0.0</v>
      </c>
      <c r="DD550" s="1" t="s">
        <v>2644</v>
      </c>
      <c r="DE550" s="1">
        <v>3.69861579575342E-4</v>
      </c>
      <c r="DF550" s="1">
        <v>0.084004599496439</v>
      </c>
    </row>
    <row r="551" ht="15.75" customHeight="1">
      <c r="A551" s="1" t="s">
        <v>2645</v>
      </c>
      <c r="B551" s="1">
        <v>29.0</v>
      </c>
      <c r="C551" s="2" t="s">
        <v>2039</v>
      </c>
      <c r="D551" s="2" t="s">
        <v>2646</v>
      </c>
      <c r="E551" s="1">
        <v>1.258</v>
      </c>
      <c r="F551" s="1">
        <v>29095.0</v>
      </c>
      <c r="G551" s="1">
        <v>2.9095010105E10</v>
      </c>
      <c r="H551" s="1" t="s">
        <v>112</v>
      </c>
      <c r="I551" s="1" t="s">
        <v>113</v>
      </c>
      <c r="J551" s="1" t="s">
        <v>2041</v>
      </c>
      <c r="K551" s="1" t="s">
        <v>2647</v>
      </c>
      <c r="L551" s="1">
        <v>3384.0</v>
      </c>
      <c r="M551" s="1">
        <v>3206.0</v>
      </c>
      <c r="N551" s="1">
        <v>279.0</v>
      </c>
      <c r="O551" s="1">
        <v>1759.0</v>
      </c>
      <c r="P551" s="1">
        <v>1784.0</v>
      </c>
      <c r="Q551" s="1">
        <v>45.0</v>
      </c>
      <c r="R551" s="1">
        <v>1647.0</v>
      </c>
      <c r="S551" s="1">
        <v>156.0</v>
      </c>
      <c r="T551" s="1">
        <v>98.0</v>
      </c>
      <c r="U551" s="1">
        <v>117.0</v>
      </c>
      <c r="V551" s="1">
        <v>384.0</v>
      </c>
      <c r="W551" s="1">
        <v>38952.0</v>
      </c>
      <c r="X551" s="1">
        <v>4708.0</v>
      </c>
      <c r="Y551" s="1">
        <v>130.0</v>
      </c>
      <c r="Z551" s="1">
        <v>349.0</v>
      </c>
      <c r="AA551" s="1">
        <v>1036.0</v>
      </c>
      <c r="AB551" s="1">
        <v>454.0</v>
      </c>
      <c r="AC551" s="1">
        <v>58.0</v>
      </c>
      <c r="AD551" s="1">
        <v>571.0</v>
      </c>
      <c r="AE551" s="1">
        <v>16.0</v>
      </c>
      <c r="AF551" s="1">
        <v>427.0</v>
      </c>
      <c r="AG551" s="1">
        <v>515.0</v>
      </c>
      <c r="AH551" s="1">
        <v>132.0</v>
      </c>
      <c r="AI551" s="1">
        <v>0.0</v>
      </c>
      <c r="AJ551" s="1">
        <v>114.0</v>
      </c>
      <c r="AK551" s="1">
        <v>0.0</v>
      </c>
      <c r="AL551" s="1">
        <v>161.0</v>
      </c>
      <c r="AM551" s="1">
        <v>184.0</v>
      </c>
      <c r="AN551" s="1">
        <v>74.0</v>
      </c>
      <c r="AO551" s="1">
        <v>155.0</v>
      </c>
      <c r="AP551" s="1">
        <v>0.05108</v>
      </c>
      <c r="AQ551" s="1">
        <v>0.031855</v>
      </c>
      <c r="AR551" s="1">
        <v>0.084354</v>
      </c>
      <c r="AS551" s="1">
        <v>0.276518</v>
      </c>
      <c r="AT551" s="1">
        <v>38952.0</v>
      </c>
      <c r="AU551" s="1">
        <v>4708.0</v>
      </c>
      <c r="AV551" s="1">
        <v>0.05027</v>
      </c>
      <c r="AW551" s="1">
        <v>0.134894</v>
      </c>
      <c r="AX551" s="1">
        <v>0.306146</v>
      </c>
      <c r="AY551" s="1">
        <v>0.13416</v>
      </c>
      <c r="AZ551" s="1">
        <v>0.03521554</v>
      </c>
      <c r="BA551" s="1">
        <v>0.168735</v>
      </c>
      <c r="BB551" s="1">
        <v>0.005152</v>
      </c>
      <c r="BC551" s="1">
        <v>0.137519</v>
      </c>
      <c r="BD551" s="1">
        <v>0.288677</v>
      </c>
      <c r="BE551" s="1">
        <v>0.073631</v>
      </c>
      <c r="BF551" s="1">
        <v>0.0</v>
      </c>
      <c r="BG551" s="1">
        <v>0.063901</v>
      </c>
      <c r="BH551" s="1">
        <v>0.0</v>
      </c>
      <c r="BI551" s="1">
        <v>0.096871</v>
      </c>
      <c r="BJ551" s="1">
        <v>0.110709</v>
      </c>
      <c r="BK551" s="1">
        <v>0.04395</v>
      </c>
      <c r="BL551" s="1">
        <v>0.045803</v>
      </c>
      <c r="BM551" s="1">
        <v>0.169</v>
      </c>
      <c r="BN551" s="1">
        <v>0.646</v>
      </c>
      <c r="BO551" s="1">
        <v>0.0751</v>
      </c>
      <c r="BP551" s="1">
        <v>0.128</v>
      </c>
      <c r="BQ551" s="1">
        <v>1.0181</v>
      </c>
      <c r="BR551" s="1">
        <v>0.2051</v>
      </c>
      <c r="BS551" s="1">
        <v>0.989</v>
      </c>
      <c r="BT551" s="1">
        <v>0.048</v>
      </c>
      <c r="BU551" s="1">
        <v>0.025</v>
      </c>
      <c r="BV551" s="1">
        <v>1.062</v>
      </c>
      <c r="BW551" s="1">
        <v>0.143</v>
      </c>
      <c r="BX551" s="1">
        <v>0.664</v>
      </c>
      <c r="BY551" s="1">
        <v>0.569</v>
      </c>
      <c r="BZ551" s="1">
        <v>1.233</v>
      </c>
      <c r="CA551" s="1">
        <v>0.678</v>
      </c>
      <c r="CB551" s="1">
        <v>0.941</v>
      </c>
      <c r="CC551" s="1">
        <v>0.0</v>
      </c>
      <c r="CD551" s="1">
        <v>0.0</v>
      </c>
      <c r="CE551" s="1">
        <v>0.782</v>
      </c>
      <c r="CF551" s="1">
        <v>0.881</v>
      </c>
      <c r="CG551" s="1">
        <v>2.604</v>
      </c>
      <c r="CH551" s="1">
        <v>0.605</v>
      </c>
      <c r="CI551" s="1">
        <v>5.9171</v>
      </c>
      <c r="CJ551" s="1">
        <v>0.3574</v>
      </c>
      <c r="CK551" s="1">
        <v>0.0</v>
      </c>
      <c r="CL551" s="1">
        <v>0.0</v>
      </c>
      <c r="CM551" s="1">
        <v>0.0</v>
      </c>
      <c r="CN551" s="1">
        <v>0.0</v>
      </c>
      <c r="CO551" s="1">
        <v>0.0</v>
      </c>
      <c r="CP551" s="1">
        <v>1.0</v>
      </c>
      <c r="CQ551" s="1">
        <v>0.0</v>
      </c>
      <c r="CR551" s="1">
        <v>0.0</v>
      </c>
      <c r="CS551" s="1">
        <v>1.0</v>
      </c>
      <c r="CT551" s="1">
        <v>0.0</v>
      </c>
      <c r="CU551" s="1">
        <v>0.0</v>
      </c>
      <c r="CV551" s="1">
        <v>0.0</v>
      </c>
      <c r="CW551" s="1">
        <v>1.0</v>
      </c>
      <c r="CX551" s="1">
        <v>0.0</v>
      </c>
      <c r="CY551" s="1">
        <v>0.0</v>
      </c>
      <c r="CZ551" s="1">
        <v>0.0</v>
      </c>
      <c r="DA551" s="1">
        <v>0.0</v>
      </c>
      <c r="DB551" s="1">
        <v>1.0</v>
      </c>
      <c r="DC551" s="1">
        <v>2.0</v>
      </c>
      <c r="DD551" s="1" t="s">
        <v>2648</v>
      </c>
      <c r="DE551" s="1">
        <v>3.38194279657067E-4</v>
      </c>
      <c r="DF551" s="1">
        <v>0.0759713379800729</v>
      </c>
    </row>
    <row r="552" ht="15.75" customHeight="1">
      <c r="A552" s="1" t="s">
        <v>2649</v>
      </c>
      <c r="B552" s="1">
        <v>29.0</v>
      </c>
      <c r="C552" s="2" t="s">
        <v>2039</v>
      </c>
      <c r="D552" s="2" t="s">
        <v>2650</v>
      </c>
      <c r="E552" s="1">
        <v>1.932</v>
      </c>
      <c r="F552" s="1">
        <v>29095.0</v>
      </c>
      <c r="G552" s="1">
        <v>2.9095010201E10</v>
      </c>
      <c r="H552" s="1" t="s">
        <v>112</v>
      </c>
      <c r="I552" s="1" t="s">
        <v>113</v>
      </c>
      <c r="J552" s="1" t="s">
        <v>2041</v>
      </c>
      <c r="K552" s="1" t="s">
        <v>2651</v>
      </c>
      <c r="L552" s="1">
        <v>1784.0</v>
      </c>
      <c r="M552" s="1">
        <v>1909.0</v>
      </c>
      <c r="N552" s="1">
        <v>345.0</v>
      </c>
      <c r="O552" s="1">
        <v>1134.0</v>
      </c>
      <c r="P552" s="1">
        <v>1085.0</v>
      </c>
      <c r="Q552" s="1">
        <v>49.0</v>
      </c>
      <c r="R552" s="1">
        <v>796.0</v>
      </c>
      <c r="S552" s="1">
        <v>941.0</v>
      </c>
      <c r="T552" s="1">
        <v>325.0</v>
      </c>
      <c r="U552" s="1">
        <v>90.0</v>
      </c>
      <c r="V552" s="1">
        <v>474.0</v>
      </c>
      <c r="W552" s="1">
        <v>8474.0</v>
      </c>
      <c r="X552" s="1">
        <v>2625.0</v>
      </c>
      <c r="Y552" s="1">
        <v>92.0</v>
      </c>
      <c r="Z552" s="1">
        <v>399.0</v>
      </c>
      <c r="AA552" s="1">
        <v>108.0</v>
      </c>
      <c r="AB552" s="1">
        <v>595.0</v>
      </c>
      <c r="AC552" s="1">
        <v>223.0</v>
      </c>
      <c r="AD552" s="1">
        <v>1117.0</v>
      </c>
      <c r="AE552" s="1">
        <v>0.0</v>
      </c>
      <c r="AF552" s="1">
        <v>456.0</v>
      </c>
      <c r="AG552" s="1">
        <v>233.0</v>
      </c>
      <c r="AH552" s="1">
        <v>158.0</v>
      </c>
      <c r="AI552" s="1">
        <v>0.0</v>
      </c>
      <c r="AJ552" s="1">
        <v>114.0</v>
      </c>
      <c r="AK552" s="1">
        <v>58.0</v>
      </c>
      <c r="AL552" s="1">
        <v>123.0</v>
      </c>
      <c r="AM552" s="1">
        <v>236.0</v>
      </c>
      <c r="AN552" s="1">
        <v>84.0</v>
      </c>
      <c r="AO552" s="1">
        <v>53.0</v>
      </c>
      <c r="AP552" s="1">
        <v>0.522197</v>
      </c>
      <c r="AQ552" s="1">
        <v>0.157213</v>
      </c>
      <c r="AR552" s="1">
        <v>0.15544</v>
      </c>
      <c r="AS552" s="1">
        <v>0.814245</v>
      </c>
      <c r="AT552" s="1">
        <v>8474.0</v>
      </c>
      <c r="AU552" s="1">
        <v>2625.0</v>
      </c>
      <c r="AV552" s="1">
        <v>0.113861</v>
      </c>
      <c r="AW552" s="1">
        <v>0.493545</v>
      </c>
      <c r="AX552" s="1">
        <v>0.060538</v>
      </c>
      <c r="AY552" s="1">
        <v>0.33352</v>
      </c>
      <c r="AZ552" s="1">
        <v>0.28015075</v>
      </c>
      <c r="BA552" s="1">
        <v>0.626121</v>
      </c>
      <c r="BB552" s="1">
        <v>0.0</v>
      </c>
      <c r="BC552" s="1">
        <v>0.295145</v>
      </c>
      <c r="BD552" s="1">
        <v>0.214746</v>
      </c>
      <c r="BE552" s="1">
        <v>0.145298</v>
      </c>
      <c r="BF552" s="1">
        <v>0.0</v>
      </c>
      <c r="BG552" s="1">
        <v>0.105069</v>
      </c>
      <c r="BH552" s="1">
        <v>0.078167</v>
      </c>
      <c r="BI552" s="1">
        <v>0.165478</v>
      </c>
      <c r="BJ552" s="1">
        <v>0.318059</v>
      </c>
      <c r="BK552" s="1">
        <v>0.105956</v>
      </c>
      <c r="BL552" s="1">
        <v>0.029708</v>
      </c>
      <c r="BM552" s="1">
        <v>0.992</v>
      </c>
      <c r="BN552" s="1">
        <v>0.907</v>
      </c>
      <c r="BO552" s="1">
        <v>0.9957</v>
      </c>
      <c r="BP552" s="1">
        <v>0.398</v>
      </c>
      <c r="BQ552" s="1">
        <v>3.2927</v>
      </c>
      <c r="BR552" s="1">
        <v>0.8758</v>
      </c>
      <c r="BS552" s="1">
        <v>0.046</v>
      </c>
      <c r="BT552" s="1">
        <v>0.976</v>
      </c>
      <c r="BU552" s="1">
        <v>0.971</v>
      </c>
      <c r="BV552" s="1">
        <v>1.993</v>
      </c>
      <c r="BW552" s="1">
        <v>0.853</v>
      </c>
      <c r="BX552" s="1">
        <v>0.887</v>
      </c>
      <c r="BY552" s="1">
        <v>0.0</v>
      </c>
      <c r="BZ552" s="1">
        <v>0.887</v>
      </c>
      <c r="CA552" s="1">
        <v>0.459</v>
      </c>
      <c r="CB552" s="1">
        <v>0.901</v>
      </c>
      <c r="CC552" s="1">
        <v>0.0</v>
      </c>
      <c r="CD552" s="1">
        <v>0.985</v>
      </c>
      <c r="CE552" s="1">
        <v>0.972</v>
      </c>
      <c r="CF552" s="1">
        <v>0.805</v>
      </c>
      <c r="CG552" s="1">
        <v>3.663</v>
      </c>
      <c r="CH552" s="1">
        <v>0.971</v>
      </c>
      <c r="CI552" s="1">
        <v>9.8357</v>
      </c>
      <c r="CJ552" s="1">
        <v>0.9386</v>
      </c>
      <c r="CK552" s="1">
        <v>1.0</v>
      </c>
      <c r="CL552" s="1">
        <v>1.0</v>
      </c>
      <c r="CM552" s="1">
        <v>1.0</v>
      </c>
      <c r="CN552" s="1">
        <v>0.0</v>
      </c>
      <c r="CO552" s="1">
        <v>3.0</v>
      </c>
      <c r="CP552" s="1">
        <v>0.0</v>
      </c>
      <c r="CQ552" s="1">
        <v>1.0</v>
      </c>
      <c r="CR552" s="1">
        <v>1.0</v>
      </c>
      <c r="CS552" s="1">
        <v>2.0</v>
      </c>
      <c r="CT552" s="1">
        <v>0.0</v>
      </c>
      <c r="CU552" s="1">
        <v>0.0</v>
      </c>
      <c r="CV552" s="1">
        <v>0.0</v>
      </c>
      <c r="CW552" s="1">
        <v>1.0</v>
      </c>
      <c r="CX552" s="1">
        <v>0.0</v>
      </c>
      <c r="CY552" s="1">
        <v>1.0</v>
      </c>
      <c r="CZ552" s="1">
        <v>1.0</v>
      </c>
      <c r="DA552" s="1">
        <v>0.0</v>
      </c>
      <c r="DB552" s="1">
        <v>3.0</v>
      </c>
      <c r="DC552" s="1">
        <v>8.0</v>
      </c>
      <c r="DD552" s="1" t="s">
        <v>2652</v>
      </c>
      <c r="DE552" s="1">
        <v>5.20345263426112E-4</v>
      </c>
      <c r="DF552" s="1">
        <v>0.0975912080794956</v>
      </c>
    </row>
    <row r="553" ht="15.75" customHeight="1">
      <c r="A553" s="1" t="s">
        <v>2653</v>
      </c>
      <c r="B553" s="1">
        <v>29.0</v>
      </c>
      <c r="C553" s="2" t="s">
        <v>2039</v>
      </c>
      <c r="D553" s="2" t="s">
        <v>2654</v>
      </c>
      <c r="E553" s="1">
        <v>2.205</v>
      </c>
      <c r="F553" s="1">
        <v>29095.0</v>
      </c>
      <c r="G553" s="1">
        <v>2.9095010203E10</v>
      </c>
      <c r="H553" s="1" t="s">
        <v>112</v>
      </c>
      <c r="I553" s="1" t="s">
        <v>113</v>
      </c>
      <c r="J553" s="1" t="s">
        <v>2041</v>
      </c>
      <c r="K553" s="1" t="s">
        <v>2655</v>
      </c>
      <c r="L553" s="1">
        <v>4251.0</v>
      </c>
      <c r="M553" s="1">
        <v>4387.0</v>
      </c>
      <c r="N553" s="1">
        <v>313.0</v>
      </c>
      <c r="O553" s="1">
        <v>1635.0</v>
      </c>
      <c r="P553" s="1">
        <v>1702.0</v>
      </c>
      <c r="Q553" s="1">
        <v>41.0</v>
      </c>
      <c r="R553" s="1">
        <v>1538.0</v>
      </c>
      <c r="S553" s="1">
        <v>229.0</v>
      </c>
      <c r="T553" s="1">
        <v>101.0</v>
      </c>
      <c r="U553" s="1">
        <v>98.0</v>
      </c>
      <c r="V553" s="1">
        <v>445.0</v>
      </c>
      <c r="W553" s="1">
        <v>25065.0</v>
      </c>
      <c r="X553" s="1">
        <v>2196.0</v>
      </c>
      <c r="Y553" s="1">
        <v>252.0</v>
      </c>
      <c r="Z553" s="1">
        <v>320.0</v>
      </c>
      <c r="AA553" s="1">
        <v>695.0</v>
      </c>
      <c r="AB553" s="1">
        <v>943.0</v>
      </c>
      <c r="AC553" s="1">
        <v>131.0</v>
      </c>
      <c r="AD553" s="1">
        <v>1646.0</v>
      </c>
      <c r="AE553" s="1">
        <v>18.0</v>
      </c>
      <c r="AF553" s="1">
        <v>442.0</v>
      </c>
      <c r="AG553" s="1">
        <v>30.0</v>
      </c>
      <c r="AH553" s="1">
        <v>163.0</v>
      </c>
      <c r="AI553" s="1">
        <v>0.0</v>
      </c>
      <c r="AJ553" s="1">
        <v>114.0</v>
      </c>
      <c r="AK553" s="1">
        <v>0.0</v>
      </c>
      <c r="AL553" s="1">
        <v>161.0</v>
      </c>
      <c r="AM553" s="1">
        <v>52.0</v>
      </c>
      <c r="AN553" s="1">
        <v>38.0</v>
      </c>
      <c r="AO553" s="1">
        <v>138.0</v>
      </c>
      <c r="AP553" s="1">
        <v>0.052199</v>
      </c>
      <c r="AQ553" s="1">
        <v>0.022719</v>
      </c>
      <c r="AR553" s="1">
        <v>0.040918</v>
      </c>
      <c r="AS553" s="1">
        <v>0.18573</v>
      </c>
      <c r="AT553" s="1">
        <v>25065.0</v>
      </c>
      <c r="AU553" s="1">
        <v>2196.0</v>
      </c>
      <c r="AV553" s="1">
        <v>0.089077</v>
      </c>
      <c r="AW553" s="1">
        <v>0.112936</v>
      </c>
      <c r="AX553" s="1">
        <v>0.16349</v>
      </c>
      <c r="AY553" s="1">
        <v>0.22183</v>
      </c>
      <c r="AZ553" s="1">
        <v>0.08517555</v>
      </c>
      <c r="BA553" s="1">
        <v>0.387203</v>
      </c>
      <c r="BB553" s="1">
        <v>0.004301</v>
      </c>
      <c r="BC553" s="1">
        <v>0.105614</v>
      </c>
      <c r="BD553" s="1">
        <v>0.017626</v>
      </c>
      <c r="BE553" s="1">
        <v>0.095768</v>
      </c>
      <c r="BF553" s="1">
        <v>0.0</v>
      </c>
      <c r="BG553" s="1">
        <v>0.06698</v>
      </c>
      <c r="BH553" s="1">
        <v>0.0</v>
      </c>
      <c r="BI553" s="1">
        <v>0.09847</v>
      </c>
      <c r="BJ553" s="1">
        <v>0.031804</v>
      </c>
      <c r="BK553" s="1">
        <v>0.023193</v>
      </c>
      <c r="BL553" s="1">
        <v>0.032462</v>
      </c>
      <c r="BM553" s="1">
        <v>0.176</v>
      </c>
      <c r="BN553" s="1">
        <v>0.189</v>
      </c>
      <c r="BO553" s="1">
        <v>0.3444</v>
      </c>
      <c r="BP553" s="1">
        <v>0.29</v>
      </c>
      <c r="BQ553" s="1">
        <v>0.9994</v>
      </c>
      <c r="BR553" s="1">
        <v>0.2022</v>
      </c>
      <c r="BS553" s="1">
        <v>0.696</v>
      </c>
      <c r="BT553" s="1">
        <v>0.313</v>
      </c>
      <c r="BU553" s="1">
        <v>0.356</v>
      </c>
      <c r="BV553" s="1">
        <v>1.365</v>
      </c>
      <c r="BW553" s="1">
        <v>0.359</v>
      </c>
      <c r="BX553" s="1">
        <v>0.836</v>
      </c>
      <c r="BY553" s="1">
        <v>0.527</v>
      </c>
      <c r="BZ553" s="1">
        <v>1.363</v>
      </c>
      <c r="CA553" s="1">
        <v>0.746</v>
      </c>
      <c r="CB553" s="1">
        <v>0.445</v>
      </c>
      <c r="CC553" s="1">
        <v>0.0</v>
      </c>
      <c r="CD553" s="1">
        <v>0.0</v>
      </c>
      <c r="CE553" s="1">
        <v>0.3</v>
      </c>
      <c r="CF553" s="1">
        <v>0.819</v>
      </c>
      <c r="CG553" s="1">
        <v>1.564</v>
      </c>
      <c r="CH553" s="1">
        <v>0.187</v>
      </c>
      <c r="CI553" s="1">
        <v>5.2914</v>
      </c>
      <c r="CJ553" s="1">
        <v>0.2433</v>
      </c>
      <c r="CK553" s="1">
        <v>0.0</v>
      </c>
      <c r="CL553" s="1">
        <v>0.0</v>
      </c>
      <c r="CM553" s="1">
        <v>0.0</v>
      </c>
      <c r="CN553" s="1">
        <v>0.0</v>
      </c>
      <c r="CO553" s="1">
        <v>0.0</v>
      </c>
      <c r="CP553" s="1">
        <v>0.0</v>
      </c>
      <c r="CQ553" s="1">
        <v>0.0</v>
      </c>
      <c r="CR553" s="1">
        <v>0.0</v>
      </c>
      <c r="CS553" s="1">
        <v>0.0</v>
      </c>
      <c r="CT553" s="1">
        <v>0.0</v>
      </c>
      <c r="CU553" s="1">
        <v>0.0</v>
      </c>
      <c r="CV553" s="1">
        <v>0.0</v>
      </c>
      <c r="CW553" s="1">
        <v>0.0</v>
      </c>
      <c r="CX553" s="1">
        <v>0.0</v>
      </c>
      <c r="CY553" s="1">
        <v>0.0</v>
      </c>
      <c r="CZ553" s="1">
        <v>0.0</v>
      </c>
      <c r="DA553" s="1">
        <v>0.0</v>
      </c>
      <c r="DB553" s="1">
        <v>0.0</v>
      </c>
      <c r="DC553" s="1">
        <v>0.0</v>
      </c>
      <c r="DD553" s="1" t="s">
        <v>2656</v>
      </c>
      <c r="DE553" s="1">
        <v>6.00129695536622E-4</v>
      </c>
      <c r="DF553" s="2" t="s">
        <v>2657</v>
      </c>
    </row>
    <row r="554" ht="15.75" customHeight="1">
      <c r="A554" s="1" t="s">
        <v>2658</v>
      </c>
      <c r="B554" s="1">
        <v>29.0</v>
      </c>
      <c r="C554" s="2" t="s">
        <v>2039</v>
      </c>
      <c r="D554" s="2" t="s">
        <v>1261</v>
      </c>
      <c r="E554" s="1">
        <v>2.455</v>
      </c>
      <c r="F554" s="1">
        <v>29095.0</v>
      </c>
      <c r="G554" s="1">
        <v>2.90950105E10</v>
      </c>
      <c r="H554" s="1" t="s">
        <v>112</v>
      </c>
      <c r="I554" s="1" t="s">
        <v>113</v>
      </c>
      <c r="J554" s="1" t="s">
        <v>2041</v>
      </c>
      <c r="K554" s="1" t="s">
        <v>2659</v>
      </c>
      <c r="L554" s="1">
        <v>4912.0</v>
      </c>
      <c r="M554" s="1">
        <v>4554.0</v>
      </c>
      <c r="N554" s="1">
        <v>532.0</v>
      </c>
      <c r="O554" s="1">
        <v>2201.0</v>
      </c>
      <c r="P554" s="1">
        <v>2141.0</v>
      </c>
      <c r="Q554" s="1">
        <v>34.0</v>
      </c>
      <c r="R554" s="1">
        <v>1969.0</v>
      </c>
      <c r="S554" s="1">
        <v>766.0</v>
      </c>
      <c r="T554" s="1">
        <v>254.0</v>
      </c>
      <c r="U554" s="1">
        <v>130.0</v>
      </c>
      <c r="V554" s="1">
        <v>435.0</v>
      </c>
      <c r="W554" s="1">
        <v>17254.0</v>
      </c>
      <c r="X554" s="1">
        <v>1865.0</v>
      </c>
      <c r="Y554" s="1">
        <v>503.0</v>
      </c>
      <c r="Z554" s="1">
        <v>335.0</v>
      </c>
      <c r="AA554" s="1">
        <v>735.0</v>
      </c>
      <c r="AB554" s="1">
        <v>1279.0</v>
      </c>
      <c r="AC554" s="1">
        <v>368.0</v>
      </c>
      <c r="AD554" s="1">
        <v>2780.0</v>
      </c>
      <c r="AE554" s="1">
        <v>47.0</v>
      </c>
      <c r="AF554" s="1">
        <v>429.0</v>
      </c>
      <c r="AG554" s="1">
        <v>241.0</v>
      </c>
      <c r="AH554" s="1">
        <v>101.0</v>
      </c>
      <c r="AI554" s="1">
        <v>0.0</v>
      </c>
      <c r="AJ554" s="1">
        <v>114.0</v>
      </c>
      <c r="AK554" s="1">
        <v>54.0</v>
      </c>
      <c r="AL554" s="1">
        <v>120.0</v>
      </c>
      <c r="AM554" s="1">
        <v>100.0</v>
      </c>
      <c r="AN554" s="1">
        <v>52.0</v>
      </c>
      <c r="AO554" s="1">
        <v>164.0</v>
      </c>
      <c r="AP554" s="1">
        <v>0.175728</v>
      </c>
      <c r="AQ554" s="1">
        <v>0.055876</v>
      </c>
      <c r="AR554" s="1">
        <v>0.06262</v>
      </c>
      <c r="AS554" s="1">
        <v>0.209354</v>
      </c>
      <c r="AT554" s="1">
        <v>17254.0</v>
      </c>
      <c r="AU554" s="1">
        <v>1865.0</v>
      </c>
      <c r="AV554" s="1">
        <v>0.168791</v>
      </c>
      <c r="AW554" s="1">
        <v>0.11108</v>
      </c>
      <c r="AX554" s="1">
        <v>0.149633</v>
      </c>
      <c r="AY554" s="1">
        <v>0.260382</v>
      </c>
      <c r="AZ554" s="1">
        <v>0.1868969</v>
      </c>
      <c r="BA554" s="1">
        <v>0.56596</v>
      </c>
      <c r="BB554" s="1">
        <v>0.0113</v>
      </c>
      <c r="BC554" s="1">
        <v>0.10314</v>
      </c>
      <c r="BD554" s="1">
        <v>0.112564</v>
      </c>
      <c r="BE554" s="1">
        <v>0.04714</v>
      </c>
      <c r="BF554" s="1">
        <v>0.0</v>
      </c>
      <c r="BG554" s="1">
        <v>0.053246</v>
      </c>
      <c r="BH554" s="1">
        <v>0.029268</v>
      </c>
      <c r="BI554" s="1">
        <v>0.065011</v>
      </c>
      <c r="BJ554" s="1">
        <v>0.0542</v>
      </c>
      <c r="BK554" s="1">
        <v>0.027955</v>
      </c>
      <c r="BL554" s="1">
        <v>0.033387</v>
      </c>
      <c r="BM554" s="1">
        <v>0.667</v>
      </c>
      <c r="BN554" s="1">
        <v>0.445</v>
      </c>
      <c r="BO554" s="1">
        <v>0.7675</v>
      </c>
      <c r="BP554" s="1">
        <v>0.651</v>
      </c>
      <c r="BQ554" s="1">
        <v>2.5305</v>
      </c>
      <c r="BR554" s="1">
        <v>0.6758</v>
      </c>
      <c r="BS554" s="1">
        <v>0.575</v>
      </c>
      <c r="BT554" s="1">
        <v>0.706</v>
      </c>
      <c r="BU554" s="1">
        <v>0.878</v>
      </c>
      <c r="BV554" s="1">
        <v>2.159</v>
      </c>
      <c r="BW554" s="1">
        <v>0.952</v>
      </c>
      <c r="BX554" s="1">
        <v>0.874</v>
      </c>
      <c r="BY554" s="1">
        <v>0.755</v>
      </c>
      <c r="BZ554" s="1">
        <v>1.629</v>
      </c>
      <c r="CA554" s="1">
        <v>0.883</v>
      </c>
      <c r="CB554" s="1">
        <v>0.791</v>
      </c>
      <c r="CC554" s="1">
        <v>0.0</v>
      </c>
      <c r="CD554" s="1">
        <v>0.797</v>
      </c>
      <c r="CE554" s="1">
        <v>0.522</v>
      </c>
      <c r="CF554" s="1">
        <v>0.827</v>
      </c>
      <c r="CG554" s="1">
        <v>2.937</v>
      </c>
      <c r="CH554" s="1">
        <v>0.747</v>
      </c>
      <c r="CI554" s="1">
        <v>9.2555</v>
      </c>
      <c r="CJ554" s="1">
        <v>0.8801</v>
      </c>
      <c r="CK554" s="1">
        <v>0.0</v>
      </c>
      <c r="CL554" s="1">
        <v>0.0</v>
      </c>
      <c r="CM554" s="1">
        <v>0.0</v>
      </c>
      <c r="CN554" s="1">
        <v>0.0</v>
      </c>
      <c r="CO554" s="1">
        <v>0.0</v>
      </c>
      <c r="CP554" s="1">
        <v>0.0</v>
      </c>
      <c r="CQ554" s="1">
        <v>0.0</v>
      </c>
      <c r="CR554" s="1">
        <v>0.0</v>
      </c>
      <c r="CS554" s="1">
        <v>0.0</v>
      </c>
      <c r="CT554" s="1">
        <v>0.0</v>
      </c>
      <c r="CU554" s="1">
        <v>0.0</v>
      </c>
      <c r="CV554" s="1">
        <v>0.0</v>
      </c>
      <c r="CW554" s="1">
        <v>0.0</v>
      </c>
      <c r="CX554" s="1">
        <v>0.0</v>
      </c>
      <c r="CY554" s="1">
        <v>0.0</v>
      </c>
      <c r="CZ554" s="1">
        <v>0.0</v>
      </c>
      <c r="DA554" s="1">
        <v>0.0</v>
      </c>
      <c r="DB554" s="1">
        <v>0.0</v>
      </c>
      <c r="DC554" s="1">
        <v>0.0</v>
      </c>
      <c r="DD554" s="1" t="s">
        <v>2660</v>
      </c>
      <c r="DE554" s="1">
        <v>6.61760143474772E-4</v>
      </c>
      <c r="DF554" s="2" t="s">
        <v>2661</v>
      </c>
    </row>
    <row r="555" ht="15.75" customHeight="1">
      <c r="A555" s="1" t="s">
        <v>2662</v>
      </c>
      <c r="B555" s="1">
        <v>29.0</v>
      </c>
      <c r="C555" s="2" t="s">
        <v>2039</v>
      </c>
      <c r="D555" s="2" t="s">
        <v>1251</v>
      </c>
      <c r="E555" s="1">
        <v>1.388</v>
      </c>
      <c r="F555" s="1">
        <v>29095.0</v>
      </c>
      <c r="G555" s="1">
        <v>2.90950106E10</v>
      </c>
      <c r="H555" s="1" t="s">
        <v>112</v>
      </c>
      <c r="I555" s="1" t="s">
        <v>113</v>
      </c>
      <c r="J555" s="1" t="s">
        <v>2041</v>
      </c>
      <c r="K555" s="1" t="s">
        <v>2663</v>
      </c>
      <c r="L555" s="1">
        <v>3221.0</v>
      </c>
      <c r="M555" s="1">
        <v>2863.0</v>
      </c>
      <c r="N555" s="1">
        <v>263.0</v>
      </c>
      <c r="O555" s="1">
        <v>1335.0</v>
      </c>
      <c r="P555" s="1">
        <v>1366.0</v>
      </c>
      <c r="Q555" s="1">
        <v>45.0</v>
      </c>
      <c r="R555" s="1">
        <v>1250.0</v>
      </c>
      <c r="S555" s="1">
        <v>183.0</v>
      </c>
      <c r="T555" s="1">
        <v>119.0</v>
      </c>
      <c r="U555" s="1">
        <v>105.0</v>
      </c>
      <c r="V555" s="1">
        <v>431.0</v>
      </c>
      <c r="W555" s="1">
        <v>22853.0</v>
      </c>
      <c r="X555" s="1">
        <v>2546.0</v>
      </c>
      <c r="Y555" s="1">
        <v>191.0</v>
      </c>
      <c r="Z555" s="1">
        <v>352.0</v>
      </c>
      <c r="AA555" s="1">
        <v>500.0</v>
      </c>
      <c r="AB555" s="1">
        <v>828.0</v>
      </c>
      <c r="AC555" s="1">
        <v>165.0</v>
      </c>
      <c r="AD555" s="1">
        <v>1092.0</v>
      </c>
      <c r="AE555" s="1">
        <v>15.0</v>
      </c>
      <c r="AF555" s="1">
        <v>442.0</v>
      </c>
      <c r="AG555" s="1">
        <v>0.0</v>
      </c>
      <c r="AH555" s="1">
        <v>197.0</v>
      </c>
      <c r="AI555" s="1">
        <v>116.0</v>
      </c>
      <c r="AJ555" s="1">
        <v>46.0</v>
      </c>
      <c r="AK555" s="1">
        <v>0.0</v>
      </c>
      <c r="AL555" s="1">
        <v>161.0</v>
      </c>
      <c r="AM555" s="1">
        <v>59.0</v>
      </c>
      <c r="AN555" s="1">
        <v>120.0</v>
      </c>
      <c r="AO555" s="1">
        <v>0.0</v>
      </c>
      <c r="AP555" s="1">
        <v>0.063918</v>
      </c>
      <c r="AQ555" s="1">
        <v>0.041147</v>
      </c>
      <c r="AR555" s="1">
        <v>0.081903</v>
      </c>
      <c r="AS555" s="1">
        <v>0.335907</v>
      </c>
      <c r="AT555" s="1">
        <v>22853.0</v>
      </c>
      <c r="AU555" s="1">
        <v>2546.0</v>
      </c>
      <c r="AV555" s="1">
        <v>0.097052</v>
      </c>
      <c r="AW555" s="1">
        <v>0.178655</v>
      </c>
      <c r="AX555" s="1">
        <v>0.155231</v>
      </c>
      <c r="AY555" s="1">
        <v>0.257063</v>
      </c>
      <c r="AZ555" s="1">
        <v>0.132</v>
      </c>
      <c r="BA555" s="1">
        <v>0.339025</v>
      </c>
      <c r="BB555" s="1">
        <v>0.005634</v>
      </c>
      <c r="BC555" s="1">
        <v>0.166039</v>
      </c>
      <c r="BD555" s="1">
        <v>0.0</v>
      </c>
      <c r="BE555" s="1">
        <v>0.144216</v>
      </c>
      <c r="BF555" s="1">
        <v>0.084919</v>
      </c>
      <c r="BG555" s="1">
        <v>0.033558</v>
      </c>
      <c r="BH555" s="1">
        <v>0.0</v>
      </c>
      <c r="BI555" s="1">
        <v>0.131428</v>
      </c>
      <c r="BJ555" s="1">
        <v>0.048163</v>
      </c>
      <c r="BK555" s="1">
        <v>0.097886</v>
      </c>
      <c r="BL555" s="1">
        <v>0.0</v>
      </c>
      <c r="BM555" s="1">
        <v>0.22</v>
      </c>
      <c r="BN555" s="1">
        <v>0.627</v>
      </c>
      <c r="BO555" s="1">
        <v>0.4534</v>
      </c>
      <c r="BP555" s="1">
        <v>0.323</v>
      </c>
      <c r="BQ555" s="1">
        <v>1.6234</v>
      </c>
      <c r="BR555" s="1">
        <v>0.3812</v>
      </c>
      <c r="BS555" s="1">
        <v>0.622</v>
      </c>
      <c r="BT555" s="1">
        <v>0.674</v>
      </c>
      <c r="BU555" s="1">
        <v>0.724</v>
      </c>
      <c r="BV555" s="1">
        <v>2.02</v>
      </c>
      <c r="BW555" s="1">
        <v>0.867</v>
      </c>
      <c r="BX555" s="1">
        <v>0.811</v>
      </c>
      <c r="BY555" s="1">
        <v>0.583</v>
      </c>
      <c r="BZ555" s="1">
        <v>1.394</v>
      </c>
      <c r="CA555" s="1">
        <v>0.763</v>
      </c>
      <c r="CB555" s="1">
        <v>0.0</v>
      </c>
      <c r="CC555" s="1">
        <v>0.686</v>
      </c>
      <c r="CD555" s="1">
        <v>0.0</v>
      </c>
      <c r="CE555" s="1">
        <v>0.473</v>
      </c>
      <c r="CF555" s="1">
        <v>0.0</v>
      </c>
      <c r="CG555" s="1">
        <v>1.159</v>
      </c>
      <c r="CH555" s="1">
        <v>0.102</v>
      </c>
      <c r="CI555" s="1">
        <v>6.1964</v>
      </c>
      <c r="CJ555" s="1">
        <v>0.4087</v>
      </c>
      <c r="CK555" s="1">
        <v>0.0</v>
      </c>
      <c r="CL555" s="1">
        <v>0.0</v>
      </c>
      <c r="CM555" s="1">
        <v>0.0</v>
      </c>
      <c r="CN555" s="1">
        <v>0.0</v>
      </c>
      <c r="CO555" s="1">
        <v>0.0</v>
      </c>
      <c r="CP555" s="1">
        <v>0.0</v>
      </c>
      <c r="CQ555" s="1">
        <v>0.0</v>
      </c>
      <c r="CR555" s="1">
        <v>0.0</v>
      </c>
      <c r="CS555" s="1">
        <v>0.0</v>
      </c>
      <c r="CT555" s="1">
        <v>0.0</v>
      </c>
      <c r="CU555" s="1">
        <v>0.0</v>
      </c>
      <c r="CV555" s="1">
        <v>0.0</v>
      </c>
      <c r="CW555" s="1">
        <v>0.0</v>
      </c>
      <c r="CX555" s="1">
        <v>0.0</v>
      </c>
      <c r="CY555" s="1">
        <v>0.0</v>
      </c>
      <c r="CZ555" s="1">
        <v>0.0</v>
      </c>
      <c r="DA555" s="1">
        <v>0.0</v>
      </c>
      <c r="DB555" s="1">
        <v>0.0</v>
      </c>
      <c r="DC555" s="1">
        <v>0.0</v>
      </c>
      <c r="DD555" s="1" t="s">
        <v>2664</v>
      </c>
      <c r="DE555" s="1">
        <v>3.73046774703361E-4</v>
      </c>
      <c r="DF555" s="2" t="s">
        <v>2665</v>
      </c>
    </row>
    <row r="556" ht="15.75" customHeight="1">
      <c r="A556" s="1" t="s">
        <v>2666</v>
      </c>
      <c r="B556" s="1">
        <v>29.0</v>
      </c>
      <c r="C556" s="2" t="s">
        <v>2039</v>
      </c>
      <c r="D556" s="2" t="s">
        <v>1289</v>
      </c>
      <c r="E556" s="1">
        <v>1.629</v>
      </c>
      <c r="F556" s="1">
        <v>29095.0</v>
      </c>
      <c r="G556" s="1">
        <v>2.9095010702E10</v>
      </c>
      <c r="H556" s="1" t="s">
        <v>112</v>
      </c>
      <c r="I556" s="1" t="s">
        <v>113</v>
      </c>
      <c r="J556" s="1" t="s">
        <v>2041</v>
      </c>
      <c r="K556" s="1" t="s">
        <v>2667</v>
      </c>
      <c r="L556" s="1">
        <v>3523.0</v>
      </c>
      <c r="M556" s="1">
        <v>3073.0</v>
      </c>
      <c r="N556" s="1">
        <v>308.0</v>
      </c>
      <c r="O556" s="1">
        <v>1749.0</v>
      </c>
      <c r="P556" s="1">
        <v>1735.0</v>
      </c>
      <c r="Q556" s="1">
        <v>33.0</v>
      </c>
      <c r="R556" s="1">
        <v>1557.0</v>
      </c>
      <c r="S556" s="1">
        <v>611.0</v>
      </c>
      <c r="T556" s="1">
        <v>278.0</v>
      </c>
      <c r="U556" s="1">
        <v>167.0</v>
      </c>
      <c r="V556" s="1">
        <v>406.0</v>
      </c>
      <c r="W556" s="1">
        <v>20701.0</v>
      </c>
      <c r="X556" s="1">
        <v>2489.0</v>
      </c>
      <c r="Y556" s="1">
        <v>186.0</v>
      </c>
      <c r="Z556" s="1">
        <v>312.0</v>
      </c>
      <c r="AA556" s="1">
        <v>346.0</v>
      </c>
      <c r="AB556" s="1">
        <v>1051.0</v>
      </c>
      <c r="AC556" s="1">
        <v>400.0</v>
      </c>
      <c r="AD556" s="1">
        <v>2080.0</v>
      </c>
      <c r="AE556" s="1">
        <v>63.0</v>
      </c>
      <c r="AF556" s="1">
        <v>433.0</v>
      </c>
      <c r="AG556" s="1">
        <v>500.0</v>
      </c>
      <c r="AH556" s="1">
        <v>159.0</v>
      </c>
      <c r="AI556" s="1">
        <v>0.0</v>
      </c>
      <c r="AJ556" s="1">
        <v>114.0</v>
      </c>
      <c r="AK556" s="1">
        <v>0.0</v>
      </c>
      <c r="AL556" s="1">
        <v>161.0</v>
      </c>
      <c r="AM556" s="1">
        <v>365.0</v>
      </c>
      <c r="AN556" s="1">
        <v>142.0</v>
      </c>
      <c r="AO556" s="1">
        <v>0.0</v>
      </c>
      <c r="AP556" s="1">
        <v>0.199869</v>
      </c>
      <c r="AQ556" s="1">
        <v>0.088827</v>
      </c>
      <c r="AR556" s="1">
        <v>0.1003</v>
      </c>
      <c r="AS556" s="1">
        <v>0.243007</v>
      </c>
      <c r="AT556" s="1">
        <v>20701.0</v>
      </c>
      <c r="AU556" s="1">
        <v>2489.0</v>
      </c>
      <c r="AV556" s="1">
        <v>0.097997</v>
      </c>
      <c r="AW556" s="1">
        <v>0.163987</v>
      </c>
      <c r="AX556" s="1">
        <v>0.098211</v>
      </c>
      <c r="AY556" s="1">
        <v>0.298325</v>
      </c>
      <c r="AZ556" s="1">
        <v>0.2569043</v>
      </c>
      <c r="BA556" s="1">
        <v>0.590405</v>
      </c>
      <c r="BB556" s="1">
        <v>0.022867</v>
      </c>
      <c r="BC556" s="1">
        <v>0.157147</v>
      </c>
      <c r="BD556" s="1">
        <v>0.288184</v>
      </c>
      <c r="BE556" s="1">
        <v>0.091478</v>
      </c>
      <c r="BF556" s="1">
        <v>0.0</v>
      </c>
      <c r="BG556" s="1">
        <v>0.065706</v>
      </c>
      <c r="BH556" s="1">
        <v>0.0</v>
      </c>
      <c r="BI556" s="1">
        <v>0.110047</v>
      </c>
      <c r="BJ556" s="1">
        <v>0.249487</v>
      </c>
      <c r="BK556" s="1">
        <v>0.094495</v>
      </c>
      <c r="BL556" s="1">
        <v>0.0</v>
      </c>
      <c r="BM556" s="1">
        <v>0.731</v>
      </c>
      <c r="BN556" s="1">
        <v>0.733</v>
      </c>
      <c r="BO556" s="1">
        <v>0.5726</v>
      </c>
      <c r="BP556" s="1">
        <v>0.328</v>
      </c>
      <c r="BQ556" s="1">
        <v>2.3646</v>
      </c>
      <c r="BR556" s="1">
        <v>0.6195</v>
      </c>
      <c r="BS556" s="1">
        <v>0.202</v>
      </c>
      <c r="BT556" s="1">
        <v>0.917</v>
      </c>
      <c r="BU556" s="1">
        <v>0.951</v>
      </c>
      <c r="BV556" s="1">
        <v>2.07</v>
      </c>
      <c r="BW556" s="1">
        <v>0.904</v>
      </c>
      <c r="BX556" s="1">
        <v>0.882</v>
      </c>
      <c r="BY556" s="1">
        <v>0.874</v>
      </c>
      <c r="BZ556" s="1">
        <v>1.756</v>
      </c>
      <c r="CA556" s="1">
        <v>0.946</v>
      </c>
      <c r="CB556" s="1">
        <v>0.94</v>
      </c>
      <c r="CC556" s="1">
        <v>0.0</v>
      </c>
      <c r="CD556" s="1">
        <v>0.0</v>
      </c>
      <c r="CE556" s="1">
        <v>0.94</v>
      </c>
      <c r="CF556" s="1">
        <v>0.0</v>
      </c>
      <c r="CG556" s="1">
        <v>1.88</v>
      </c>
      <c r="CH556" s="1">
        <v>0.296</v>
      </c>
      <c r="CI556" s="1">
        <v>8.0706</v>
      </c>
      <c r="CJ556" s="1">
        <v>0.7256</v>
      </c>
      <c r="CK556" s="1">
        <v>0.0</v>
      </c>
      <c r="CL556" s="1">
        <v>0.0</v>
      </c>
      <c r="CM556" s="1">
        <v>0.0</v>
      </c>
      <c r="CN556" s="1">
        <v>0.0</v>
      </c>
      <c r="CO556" s="1">
        <v>0.0</v>
      </c>
      <c r="CP556" s="1">
        <v>0.0</v>
      </c>
      <c r="CQ556" s="1">
        <v>1.0</v>
      </c>
      <c r="CR556" s="1">
        <v>1.0</v>
      </c>
      <c r="CS556" s="1">
        <v>2.0</v>
      </c>
      <c r="CT556" s="1">
        <v>0.0</v>
      </c>
      <c r="CU556" s="1">
        <v>0.0</v>
      </c>
      <c r="CV556" s="1">
        <v>0.0</v>
      </c>
      <c r="CW556" s="1">
        <v>1.0</v>
      </c>
      <c r="CX556" s="1">
        <v>0.0</v>
      </c>
      <c r="CY556" s="1">
        <v>0.0</v>
      </c>
      <c r="CZ556" s="1">
        <v>1.0</v>
      </c>
      <c r="DA556" s="1">
        <v>0.0</v>
      </c>
      <c r="DB556" s="1">
        <v>2.0</v>
      </c>
      <c r="DC556" s="1">
        <v>4.0</v>
      </c>
      <c r="DD556" s="1" t="s">
        <v>2668</v>
      </c>
      <c r="DE556" s="1">
        <v>4.46764986795285E-4</v>
      </c>
      <c r="DF556" s="2" t="s">
        <v>2669</v>
      </c>
    </row>
    <row r="557" ht="15.75" customHeight="1">
      <c r="A557" s="1" t="s">
        <v>2670</v>
      </c>
      <c r="B557" s="1">
        <v>29.0</v>
      </c>
      <c r="C557" s="2" t="s">
        <v>2039</v>
      </c>
      <c r="D557" s="2" t="s">
        <v>2671</v>
      </c>
      <c r="E557" s="1">
        <v>3.007</v>
      </c>
      <c r="F557" s="1">
        <v>29095.0</v>
      </c>
      <c r="G557" s="1">
        <v>2.90950111E10</v>
      </c>
      <c r="H557" s="1" t="s">
        <v>112</v>
      </c>
      <c r="I557" s="1" t="s">
        <v>113</v>
      </c>
      <c r="J557" s="1" t="s">
        <v>2041</v>
      </c>
      <c r="K557" s="1" t="s">
        <v>2672</v>
      </c>
      <c r="L557" s="1">
        <v>3233.0</v>
      </c>
      <c r="M557" s="1">
        <v>3219.0</v>
      </c>
      <c r="N557" s="1">
        <v>128.0</v>
      </c>
      <c r="O557" s="1">
        <v>1583.0</v>
      </c>
      <c r="P557" s="1">
        <v>1597.0</v>
      </c>
      <c r="Q557" s="1">
        <v>168.0</v>
      </c>
      <c r="R557" s="1">
        <v>1377.0</v>
      </c>
      <c r="S557" s="1">
        <v>391.0</v>
      </c>
      <c r="T557" s="1">
        <v>243.0</v>
      </c>
      <c r="U557" s="1">
        <v>89.0</v>
      </c>
      <c r="V557" s="1">
        <v>447.0</v>
      </c>
      <c r="W557" s="1">
        <v>20330.0</v>
      </c>
      <c r="X557" s="1">
        <v>2203.0</v>
      </c>
      <c r="Y557" s="1">
        <v>423.0</v>
      </c>
      <c r="Z557" s="1">
        <v>273.0</v>
      </c>
      <c r="AA557" s="1">
        <v>491.0</v>
      </c>
      <c r="AB557" s="1">
        <v>696.0</v>
      </c>
      <c r="AC557" s="1">
        <v>172.0</v>
      </c>
      <c r="AD557" s="1">
        <v>413.0</v>
      </c>
      <c r="AE557" s="1">
        <v>47.0</v>
      </c>
      <c r="AF557" s="1">
        <v>429.0</v>
      </c>
      <c r="AG557" s="1">
        <v>33.0</v>
      </c>
      <c r="AH557" s="1">
        <v>166.0</v>
      </c>
      <c r="AI557" s="1">
        <v>70.0</v>
      </c>
      <c r="AJ557" s="1">
        <v>54.0</v>
      </c>
      <c r="AK557" s="1">
        <v>24.0</v>
      </c>
      <c r="AL557" s="1">
        <v>120.0</v>
      </c>
      <c r="AM557" s="1">
        <v>61.0</v>
      </c>
      <c r="AN557" s="1">
        <v>51.0</v>
      </c>
      <c r="AO557" s="1">
        <v>0.0</v>
      </c>
      <c r="AP557" s="1">
        <v>0.121579</v>
      </c>
      <c r="AQ557" s="1">
        <v>0.075402</v>
      </c>
      <c r="AR557" s="1">
        <v>0.057308</v>
      </c>
      <c r="AS557" s="1">
        <v>0.287644</v>
      </c>
      <c r="AT557" s="1">
        <v>20330.0</v>
      </c>
      <c r="AU557" s="1">
        <v>2203.0</v>
      </c>
      <c r="AV557" s="1">
        <v>0.184716</v>
      </c>
      <c r="AW557" s="1">
        <v>0.118266</v>
      </c>
      <c r="AX557" s="1">
        <v>0.151871</v>
      </c>
      <c r="AY557" s="1">
        <v>0.215279</v>
      </c>
      <c r="AZ557" s="1">
        <v>0.12490922</v>
      </c>
      <c r="BA557" s="1">
        <v>0.127745</v>
      </c>
      <c r="BB557" s="1">
        <v>0.015808</v>
      </c>
      <c r="BC557" s="1">
        <v>0.144295</v>
      </c>
      <c r="BD557" s="1">
        <v>0.020663</v>
      </c>
      <c r="BE557" s="1">
        <v>0.103922</v>
      </c>
      <c r="BF557" s="1">
        <v>0.043832</v>
      </c>
      <c r="BG557" s="1">
        <v>0.033497</v>
      </c>
      <c r="BH557" s="1">
        <v>0.016997</v>
      </c>
      <c r="BI557" s="1">
        <v>0.084966</v>
      </c>
      <c r="BJ557" s="1">
        <v>0.043201</v>
      </c>
      <c r="BK557" s="1">
        <v>0.03583</v>
      </c>
      <c r="BL557" s="1">
        <v>0.0</v>
      </c>
      <c r="BM557" s="1">
        <v>0.459</v>
      </c>
      <c r="BN557" s="1">
        <v>0.385</v>
      </c>
      <c r="BO557" s="1">
        <v>0.5928</v>
      </c>
      <c r="BP557" s="1">
        <v>0.704</v>
      </c>
      <c r="BQ557" s="1">
        <v>2.1408</v>
      </c>
      <c r="BR557" s="1">
        <v>0.5415</v>
      </c>
      <c r="BS557" s="1">
        <v>0.597</v>
      </c>
      <c r="BT557" s="1">
        <v>0.27</v>
      </c>
      <c r="BU557" s="1">
        <v>0.697</v>
      </c>
      <c r="BV557" s="1">
        <v>1.564</v>
      </c>
      <c r="BW557" s="1">
        <v>0.535</v>
      </c>
      <c r="BX557" s="1">
        <v>0.555</v>
      </c>
      <c r="BY557" s="1">
        <v>0.82</v>
      </c>
      <c r="BZ557" s="1">
        <v>1.375</v>
      </c>
      <c r="CA557" s="1">
        <v>0.753</v>
      </c>
      <c r="CB557" s="1">
        <v>0.469</v>
      </c>
      <c r="CC557" s="1">
        <v>0.59</v>
      </c>
      <c r="CD557" s="1">
        <v>0.629</v>
      </c>
      <c r="CE557" s="1">
        <v>0.424</v>
      </c>
      <c r="CF557" s="1">
        <v>0.0</v>
      </c>
      <c r="CG557" s="1">
        <v>2.112</v>
      </c>
      <c r="CH557" s="1">
        <v>0.386</v>
      </c>
      <c r="CI557" s="1">
        <v>7.1918</v>
      </c>
      <c r="CJ557" s="1">
        <v>0.5906</v>
      </c>
      <c r="CK557" s="1">
        <v>0.0</v>
      </c>
      <c r="CL557" s="1">
        <v>0.0</v>
      </c>
      <c r="CM557" s="1">
        <v>0.0</v>
      </c>
      <c r="CN557" s="1">
        <v>0.0</v>
      </c>
      <c r="CO557" s="1">
        <v>0.0</v>
      </c>
      <c r="CP557" s="1">
        <v>0.0</v>
      </c>
      <c r="CQ557" s="1">
        <v>0.0</v>
      </c>
      <c r="CR557" s="1">
        <v>0.0</v>
      </c>
      <c r="CS557" s="1">
        <v>0.0</v>
      </c>
      <c r="CT557" s="1">
        <v>0.0</v>
      </c>
      <c r="CU557" s="1">
        <v>0.0</v>
      </c>
      <c r="CV557" s="1">
        <v>0.0</v>
      </c>
      <c r="CW557" s="1">
        <v>0.0</v>
      </c>
      <c r="CX557" s="1">
        <v>0.0</v>
      </c>
      <c r="CY557" s="1">
        <v>0.0</v>
      </c>
      <c r="CZ557" s="1">
        <v>0.0</v>
      </c>
      <c r="DA557" s="1">
        <v>0.0</v>
      </c>
      <c r="DB557" s="1">
        <v>0.0</v>
      </c>
      <c r="DC557" s="1">
        <v>0.0</v>
      </c>
      <c r="DD557" s="1" t="s">
        <v>2673</v>
      </c>
      <c r="DE557" s="1">
        <v>8.66160650934603E-4</v>
      </c>
      <c r="DF557" s="2" t="s">
        <v>2674</v>
      </c>
    </row>
    <row r="558" ht="15.75" customHeight="1">
      <c r="A558" s="1" t="s">
        <v>2675</v>
      </c>
      <c r="B558" s="1">
        <v>29.0</v>
      </c>
      <c r="C558" s="2" t="s">
        <v>2039</v>
      </c>
      <c r="D558" s="2" t="s">
        <v>2676</v>
      </c>
      <c r="E558" s="1">
        <v>3.596</v>
      </c>
      <c r="F558" s="1">
        <v>29095.0</v>
      </c>
      <c r="G558" s="1">
        <v>2.90950113E10</v>
      </c>
      <c r="H558" s="1" t="s">
        <v>112</v>
      </c>
      <c r="I558" s="1" t="s">
        <v>113</v>
      </c>
      <c r="J558" s="1" t="s">
        <v>2041</v>
      </c>
      <c r="K558" s="1" t="s">
        <v>2677</v>
      </c>
      <c r="L558" s="1">
        <v>4819.0</v>
      </c>
      <c r="M558" s="1">
        <v>4844.0</v>
      </c>
      <c r="N558" s="1">
        <v>580.0</v>
      </c>
      <c r="O558" s="1">
        <v>2096.0</v>
      </c>
      <c r="P558" s="1">
        <v>2055.0</v>
      </c>
      <c r="Q558" s="1">
        <v>50.0</v>
      </c>
      <c r="R558" s="1">
        <v>1891.0</v>
      </c>
      <c r="S558" s="1">
        <v>1191.0</v>
      </c>
      <c r="T558" s="1">
        <v>735.0</v>
      </c>
      <c r="U558" s="1">
        <v>285.0</v>
      </c>
      <c r="V558" s="1">
        <v>423.0</v>
      </c>
      <c r="W558" s="1">
        <v>18510.0</v>
      </c>
      <c r="X558" s="1">
        <v>3492.0</v>
      </c>
      <c r="Y558" s="1">
        <v>629.0</v>
      </c>
      <c r="Z558" s="1">
        <v>279.0</v>
      </c>
      <c r="AA558" s="1">
        <v>708.0</v>
      </c>
      <c r="AB558" s="1">
        <v>1273.0</v>
      </c>
      <c r="AC558" s="1">
        <v>340.0</v>
      </c>
      <c r="AD558" s="1">
        <v>851.0</v>
      </c>
      <c r="AE558" s="1">
        <v>59.0</v>
      </c>
      <c r="AF558" s="1">
        <v>433.0</v>
      </c>
      <c r="AG558" s="1">
        <v>58.0</v>
      </c>
      <c r="AH558" s="1">
        <v>168.0</v>
      </c>
      <c r="AI558" s="1">
        <v>33.0</v>
      </c>
      <c r="AJ558" s="1">
        <v>26.0</v>
      </c>
      <c r="AK558" s="1">
        <v>57.0</v>
      </c>
      <c r="AL558" s="1">
        <v>146.0</v>
      </c>
      <c r="AM558" s="1">
        <v>122.0</v>
      </c>
      <c r="AN558" s="1">
        <v>69.0</v>
      </c>
      <c r="AO558" s="1">
        <v>19.0</v>
      </c>
      <c r="AP558" s="1">
        <v>0.248746</v>
      </c>
      <c r="AQ558" s="1">
        <v>0.150353</v>
      </c>
      <c r="AR558" s="1">
        <v>0.131155</v>
      </c>
      <c r="AS558" s="1">
        <v>0.193817</v>
      </c>
      <c r="AT558" s="1">
        <v>18510.0</v>
      </c>
      <c r="AU558" s="1">
        <v>3492.0</v>
      </c>
      <c r="AV558" s="1">
        <v>0.208209</v>
      </c>
      <c r="AW558" s="1">
        <v>0.089681</v>
      </c>
      <c r="AX558" s="1">
        <v>0.146918</v>
      </c>
      <c r="AY558" s="1">
        <v>0.264162</v>
      </c>
      <c r="AZ558" s="1">
        <v>0.17979904</v>
      </c>
      <c r="BA558" s="1">
        <v>0.176592</v>
      </c>
      <c r="BB558" s="1">
        <v>0.013001</v>
      </c>
      <c r="BC558" s="1">
        <v>0.0954</v>
      </c>
      <c r="BD558" s="1">
        <v>0.028223</v>
      </c>
      <c r="BE558" s="1">
        <v>0.081748</v>
      </c>
      <c r="BF558" s="1">
        <v>0.016058</v>
      </c>
      <c r="BG558" s="1">
        <v>0.012646</v>
      </c>
      <c r="BH558" s="1">
        <v>0.03011</v>
      </c>
      <c r="BI558" s="1">
        <v>0.077107</v>
      </c>
      <c r="BJ558" s="1">
        <v>0.064447</v>
      </c>
      <c r="BK558" s="1">
        <v>0.036264</v>
      </c>
      <c r="BL558" s="1">
        <v>0.003942</v>
      </c>
      <c r="BM558" s="1">
        <v>0.825</v>
      </c>
      <c r="BN558" s="1">
        <v>0.859</v>
      </c>
      <c r="BO558" s="1">
        <v>0.709</v>
      </c>
      <c r="BP558" s="1">
        <v>0.775</v>
      </c>
      <c r="BQ558" s="1">
        <v>3.168</v>
      </c>
      <c r="BR558" s="1">
        <v>0.8433</v>
      </c>
      <c r="BS558" s="1">
        <v>0.554</v>
      </c>
      <c r="BT558" s="1">
        <v>0.74</v>
      </c>
      <c r="BU558" s="1">
        <v>0.866</v>
      </c>
      <c r="BV558" s="1">
        <v>2.16</v>
      </c>
      <c r="BW558" s="1">
        <v>0.953</v>
      </c>
      <c r="BX558" s="1">
        <v>0.672</v>
      </c>
      <c r="BY558" s="1">
        <v>0.785</v>
      </c>
      <c r="BZ558" s="1">
        <v>1.457</v>
      </c>
      <c r="CA558" s="1">
        <v>0.797</v>
      </c>
      <c r="CB558" s="1">
        <v>0.537</v>
      </c>
      <c r="CC558" s="1">
        <v>0.492</v>
      </c>
      <c r="CD558" s="1">
        <v>0.807</v>
      </c>
      <c r="CE558" s="1">
        <v>0.594</v>
      </c>
      <c r="CF558" s="1">
        <v>0.497</v>
      </c>
      <c r="CG558" s="1">
        <v>2.927</v>
      </c>
      <c r="CH558" s="1">
        <v>0.741</v>
      </c>
      <c r="CI558" s="1">
        <v>9.712</v>
      </c>
      <c r="CJ558" s="1">
        <v>0.9256</v>
      </c>
      <c r="CK558" s="1">
        <v>0.0</v>
      </c>
      <c r="CL558" s="1">
        <v>0.0</v>
      </c>
      <c r="CM558" s="1">
        <v>0.0</v>
      </c>
      <c r="CN558" s="1">
        <v>0.0</v>
      </c>
      <c r="CO558" s="1">
        <v>0.0</v>
      </c>
      <c r="CP558" s="1">
        <v>0.0</v>
      </c>
      <c r="CQ558" s="1">
        <v>0.0</v>
      </c>
      <c r="CR558" s="1">
        <v>0.0</v>
      </c>
      <c r="CS558" s="1">
        <v>0.0</v>
      </c>
      <c r="CT558" s="1">
        <v>0.0</v>
      </c>
      <c r="CU558" s="1">
        <v>0.0</v>
      </c>
      <c r="CV558" s="1">
        <v>0.0</v>
      </c>
      <c r="CW558" s="1">
        <v>0.0</v>
      </c>
      <c r="CX558" s="1">
        <v>0.0</v>
      </c>
      <c r="CY558" s="1">
        <v>0.0</v>
      </c>
      <c r="CZ558" s="1">
        <v>0.0</v>
      </c>
      <c r="DA558" s="1">
        <v>0.0</v>
      </c>
      <c r="DB558" s="1">
        <v>0.0</v>
      </c>
      <c r="DC558" s="1">
        <v>0.0</v>
      </c>
      <c r="DD558" s="1" t="s">
        <v>2678</v>
      </c>
      <c r="DE558" s="1">
        <v>9.70590853455921E-4</v>
      </c>
      <c r="DF558" s="2" t="s">
        <v>2679</v>
      </c>
    </row>
    <row r="559" ht="15.75" customHeight="1">
      <c r="A559" s="1" t="s">
        <v>2680</v>
      </c>
      <c r="B559" s="1">
        <v>29.0</v>
      </c>
      <c r="C559" s="2" t="s">
        <v>2039</v>
      </c>
      <c r="D559" s="2" t="s">
        <v>2681</v>
      </c>
      <c r="E559" s="1">
        <v>5.667</v>
      </c>
      <c r="F559" s="1">
        <v>29095.0</v>
      </c>
      <c r="G559" s="1">
        <v>2.9095011401E10</v>
      </c>
      <c r="H559" s="1" t="s">
        <v>112</v>
      </c>
      <c r="I559" s="1" t="s">
        <v>113</v>
      </c>
      <c r="J559" s="1" t="s">
        <v>2041</v>
      </c>
      <c r="K559" s="1" t="s">
        <v>2682</v>
      </c>
      <c r="L559" s="1">
        <v>8418.0</v>
      </c>
      <c r="M559" s="1">
        <v>8249.0</v>
      </c>
      <c r="N559" s="1">
        <v>695.0</v>
      </c>
      <c r="O559" s="1">
        <v>3839.0</v>
      </c>
      <c r="P559" s="1">
        <v>3684.0</v>
      </c>
      <c r="Q559" s="1">
        <v>101.0</v>
      </c>
      <c r="R559" s="1">
        <v>3554.0</v>
      </c>
      <c r="S559" s="1">
        <v>804.0</v>
      </c>
      <c r="T559" s="1">
        <v>245.0</v>
      </c>
      <c r="U559" s="1">
        <v>381.0</v>
      </c>
      <c r="V559" s="1">
        <v>307.0</v>
      </c>
      <c r="W559" s="1">
        <v>24756.0</v>
      </c>
      <c r="X559" s="1">
        <v>2446.0</v>
      </c>
      <c r="Y559" s="1">
        <v>956.0</v>
      </c>
      <c r="Z559" s="1">
        <v>280.0</v>
      </c>
      <c r="AA559" s="1">
        <v>1433.0</v>
      </c>
      <c r="AB559" s="1">
        <v>1928.0</v>
      </c>
      <c r="AC559" s="1">
        <v>459.0</v>
      </c>
      <c r="AD559" s="1">
        <v>1349.0</v>
      </c>
      <c r="AE559" s="1">
        <v>77.0</v>
      </c>
      <c r="AF559" s="1">
        <v>432.0</v>
      </c>
      <c r="AG559" s="1">
        <v>500.0</v>
      </c>
      <c r="AH559" s="1">
        <v>135.0</v>
      </c>
      <c r="AI559" s="1">
        <v>120.0</v>
      </c>
      <c r="AJ559" s="1">
        <v>79.0</v>
      </c>
      <c r="AK559" s="1">
        <v>100.0</v>
      </c>
      <c r="AL559" s="1">
        <v>134.0</v>
      </c>
      <c r="AM559" s="1">
        <v>228.0</v>
      </c>
      <c r="AN559" s="1">
        <v>88.0</v>
      </c>
      <c r="AO559" s="1">
        <v>106.0</v>
      </c>
      <c r="AP559" s="1">
        <v>0.100012</v>
      </c>
      <c r="AQ559" s="1">
        <v>0.029238</v>
      </c>
      <c r="AR559" s="1">
        <v>0.088358</v>
      </c>
      <c r="AS559" s="1">
        <v>0.070612</v>
      </c>
      <c r="AT559" s="1">
        <v>24756.0</v>
      </c>
      <c r="AU559" s="1">
        <v>2446.0</v>
      </c>
      <c r="AV559" s="1">
        <v>0.161732</v>
      </c>
      <c r="AW559" s="1">
        <v>0.046139</v>
      </c>
      <c r="AX559" s="1">
        <v>0.17023</v>
      </c>
      <c r="AY559" s="1">
        <v>0.229033</v>
      </c>
      <c r="AZ559" s="1">
        <v>0.12915025</v>
      </c>
      <c r="BA559" s="1">
        <v>0.160251</v>
      </c>
      <c r="BB559" s="1">
        <v>0.009817</v>
      </c>
      <c r="BC559" s="1">
        <v>0.055075</v>
      </c>
      <c r="BD559" s="1">
        <v>0.135722</v>
      </c>
      <c r="BE559" s="1">
        <v>0.036455</v>
      </c>
      <c r="BF559" s="1">
        <v>0.032573</v>
      </c>
      <c r="BG559" s="1">
        <v>0.021425</v>
      </c>
      <c r="BH559" s="1">
        <v>0.029985</v>
      </c>
      <c r="BI559" s="1">
        <v>0.040152</v>
      </c>
      <c r="BJ559" s="1">
        <v>0.068365</v>
      </c>
      <c r="BK559" s="1">
        <v>0.026169</v>
      </c>
      <c r="BL559" s="1">
        <v>0.012592</v>
      </c>
      <c r="BM559" s="1">
        <v>0.37</v>
      </c>
      <c r="BN559" s="1">
        <v>0.671</v>
      </c>
      <c r="BO559" s="1">
        <v>0.3588</v>
      </c>
      <c r="BP559" s="1">
        <v>0.618</v>
      </c>
      <c r="BQ559" s="1">
        <v>2.0178</v>
      </c>
      <c r="BR559" s="1">
        <v>0.5032</v>
      </c>
      <c r="BS559" s="1">
        <v>0.738</v>
      </c>
      <c r="BT559" s="1">
        <v>0.374</v>
      </c>
      <c r="BU559" s="1">
        <v>0.711</v>
      </c>
      <c r="BV559" s="1">
        <v>1.823</v>
      </c>
      <c r="BW559" s="1">
        <v>0.741</v>
      </c>
      <c r="BX559" s="1">
        <v>0.649</v>
      </c>
      <c r="BY559" s="1">
        <v>0.716</v>
      </c>
      <c r="BZ559" s="1">
        <v>1.365</v>
      </c>
      <c r="CA559" s="1">
        <v>0.747</v>
      </c>
      <c r="CB559" s="1">
        <v>0.82</v>
      </c>
      <c r="CC559" s="1">
        <v>0.557</v>
      </c>
      <c r="CD559" s="1">
        <v>0.804</v>
      </c>
      <c r="CE559" s="1">
        <v>0.615</v>
      </c>
      <c r="CF559" s="1">
        <v>0.613</v>
      </c>
      <c r="CG559" s="1">
        <v>3.409</v>
      </c>
      <c r="CH559" s="1">
        <v>0.919</v>
      </c>
      <c r="CI559" s="1">
        <v>8.6148</v>
      </c>
      <c r="CJ559" s="1">
        <v>0.8043</v>
      </c>
      <c r="CK559" s="1">
        <v>0.0</v>
      </c>
      <c r="CL559" s="1">
        <v>0.0</v>
      </c>
      <c r="CM559" s="1">
        <v>0.0</v>
      </c>
      <c r="CN559" s="1">
        <v>0.0</v>
      </c>
      <c r="CO559" s="1">
        <v>0.0</v>
      </c>
      <c r="CP559" s="1">
        <v>0.0</v>
      </c>
      <c r="CQ559" s="1">
        <v>0.0</v>
      </c>
      <c r="CR559" s="1">
        <v>0.0</v>
      </c>
      <c r="CS559" s="1">
        <v>0.0</v>
      </c>
      <c r="CT559" s="1">
        <v>0.0</v>
      </c>
      <c r="CU559" s="1">
        <v>0.0</v>
      </c>
      <c r="CV559" s="1">
        <v>0.0</v>
      </c>
      <c r="CW559" s="1">
        <v>0.0</v>
      </c>
      <c r="CX559" s="1">
        <v>0.0</v>
      </c>
      <c r="CY559" s="1">
        <v>0.0</v>
      </c>
      <c r="CZ559" s="1">
        <v>0.0</v>
      </c>
      <c r="DA559" s="1">
        <v>0.0</v>
      </c>
      <c r="DB559" s="1">
        <v>0.0</v>
      </c>
      <c r="DC559" s="1">
        <v>0.0</v>
      </c>
      <c r="DD559" s="1" t="s">
        <v>2683</v>
      </c>
      <c r="DE559" s="1">
        <v>0.00152995835039571</v>
      </c>
      <c r="DF559" s="2" t="s">
        <v>2684</v>
      </c>
    </row>
    <row r="560" ht="15.75" customHeight="1">
      <c r="A560" s="1" t="s">
        <v>2685</v>
      </c>
      <c r="B560" s="1">
        <v>29.0</v>
      </c>
      <c r="C560" s="2" t="s">
        <v>2039</v>
      </c>
      <c r="D560" s="2" t="s">
        <v>2686</v>
      </c>
      <c r="E560" s="1">
        <v>0.686</v>
      </c>
      <c r="F560" s="1">
        <v>29095.0</v>
      </c>
      <c r="G560" s="1">
        <v>2.9095011405E10</v>
      </c>
      <c r="H560" s="1" t="s">
        <v>112</v>
      </c>
      <c r="I560" s="1" t="s">
        <v>113</v>
      </c>
      <c r="J560" s="1" t="s">
        <v>2041</v>
      </c>
      <c r="K560" s="1" t="s">
        <v>2687</v>
      </c>
      <c r="L560" s="1">
        <v>3348.0</v>
      </c>
      <c r="M560" s="1">
        <v>3463.0</v>
      </c>
      <c r="N560" s="1">
        <v>324.0</v>
      </c>
      <c r="O560" s="1">
        <v>1412.0</v>
      </c>
      <c r="P560" s="1">
        <v>1390.0</v>
      </c>
      <c r="Q560" s="1">
        <v>38.0</v>
      </c>
      <c r="R560" s="1">
        <v>1297.0</v>
      </c>
      <c r="S560" s="1">
        <v>1711.0</v>
      </c>
      <c r="T560" s="1">
        <v>434.0</v>
      </c>
      <c r="U560" s="1">
        <v>334.0</v>
      </c>
      <c r="V560" s="1">
        <v>381.0</v>
      </c>
      <c r="W560" s="1">
        <v>11459.0</v>
      </c>
      <c r="X560" s="1">
        <v>1646.0</v>
      </c>
      <c r="Y560" s="1">
        <v>312.0</v>
      </c>
      <c r="Z560" s="1">
        <v>342.0</v>
      </c>
      <c r="AA560" s="1">
        <v>300.0</v>
      </c>
      <c r="AB560" s="1">
        <v>1259.0</v>
      </c>
      <c r="AC560" s="1">
        <v>477.0</v>
      </c>
      <c r="AD560" s="1">
        <v>1045.0</v>
      </c>
      <c r="AE560" s="1">
        <v>49.0</v>
      </c>
      <c r="AF560" s="1">
        <v>414.0</v>
      </c>
      <c r="AG560" s="1">
        <v>197.0</v>
      </c>
      <c r="AH560" s="1">
        <v>92.0</v>
      </c>
      <c r="AI560" s="1">
        <v>0.0</v>
      </c>
      <c r="AJ560" s="1">
        <v>114.0</v>
      </c>
      <c r="AK560" s="1">
        <v>33.0</v>
      </c>
      <c r="AL560" s="1">
        <v>118.0</v>
      </c>
      <c r="AM560" s="1">
        <v>206.0</v>
      </c>
      <c r="AN560" s="1">
        <v>81.0</v>
      </c>
      <c r="AO560" s="1">
        <v>0.0</v>
      </c>
      <c r="AP560" s="1">
        <v>0.49695</v>
      </c>
      <c r="AQ560" s="1">
        <v>0.117399</v>
      </c>
      <c r="AR560" s="1">
        <v>0.240287</v>
      </c>
      <c r="AS560" s="1">
        <v>0.269347</v>
      </c>
      <c r="AT560" s="1">
        <v>11459.0</v>
      </c>
      <c r="AU560" s="1">
        <v>1646.0</v>
      </c>
      <c r="AV560" s="1">
        <v>0.197094</v>
      </c>
      <c r="AW560" s="1">
        <v>0.214561</v>
      </c>
      <c r="AX560" s="1">
        <v>0.089605</v>
      </c>
      <c r="AY560" s="1">
        <v>0.376045</v>
      </c>
      <c r="AZ560" s="1">
        <v>0.36777178</v>
      </c>
      <c r="BA560" s="1">
        <v>0.312126</v>
      </c>
      <c r="BB560" s="1">
        <v>0.01689</v>
      </c>
      <c r="BC560" s="1">
        <v>0.142697</v>
      </c>
      <c r="BD560" s="1">
        <v>0.141726</v>
      </c>
      <c r="BE560" s="1">
        <v>0.066073</v>
      </c>
      <c r="BF560" s="1">
        <v>0.0</v>
      </c>
      <c r="BG560" s="1">
        <v>0.082014</v>
      </c>
      <c r="BH560" s="1">
        <v>0.026982</v>
      </c>
      <c r="BI560" s="1">
        <v>0.096464</v>
      </c>
      <c r="BJ560" s="1">
        <v>0.168438</v>
      </c>
      <c r="BK560" s="1">
        <v>0.065112</v>
      </c>
      <c r="BL560" s="1">
        <v>0.0</v>
      </c>
      <c r="BM560" s="1">
        <v>0.987</v>
      </c>
      <c r="BN560" s="1">
        <v>0.973</v>
      </c>
      <c r="BO560" s="1">
        <v>0.9682</v>
      </c>
      <c r="BP560" s="1">
        <v>0.743</v>
      </c>
      <c r="BQ560" s="1">
        <v>3.6712</v>
      </c>
      <c r="BR560" s="1">
        <v>0.9523</v>
      </c>
      <c r="BS560" s="1">
        <v>0.156</v>
      </c>
      <c r="BT560" s="1">
        <v>0.993</v>
      </c>
      <c r="BU560" s="1">
        <v>0.993</v>
      </c>
      <c r="BV560" s="1">
        <v>2.142</v>
      </c>
      <c r="BW560" s="1">
        <v>0.943</v>
      </c>
      <c r="BX560" s="1">
        <v>0.796</v>
      </c>
      <c r="BY560" s="1">
        <v>0.836</v>
      </c>
      <c r="BZ560" s="1">
        <v>1.632</v>
      </c>
      <c r="CA560" s="1">
        <v>0.884</v>
      </c>
      <c r="CB560" s="1">
        <v>0.829</v>
      </c>
      <c r="CC560" s="1">
        <v>0.0</v>
      </c>
      <c r="CD560" s="1">
        <v>0.779</v>
      </c>
      <c r="CE560" s="1">
        <v>0.879</v>
      </c>
      <c r="CF560" s="1">
        <v>0.0</v>
      </c>
      <c r="CG560" s="1">
        <v>2.487</v>
      </c>
      <c r="CH560" s="1">
        <v>0.556</v>
      </c>
      <c r="CI560" s="1">
        <v>9.9322</v>
      </c>
      <c r="CJ560" s="1">
        <v>0.9444</v>
      </c>
      <c r="CK560" s="1">
        <v>1.0</v>
      </c>
      <c r="CL560" s="1">
        <v>1.0</v>
      </c>
      <c r="CM560" s="1">
        <v>1.0</v>
      </c>
      <c r="CN560" s="1">
        <v>0.0</v>
      </c>
      <c r="CO560" s="1">
        <v>3.0</v>
      </c>
      <c r="CP560" s="1">
        <v>0.0</v>
      </c>
      <c r="CQ560" s="1">
        <v>1.0</v>
      </c>
      <c r="CR560" s="1">
        <v>1.0</v>
      </c>
      <c r="CS560" s="1">
        <v>2.0</v>
      </c>
      <c r="CT560" s="1">
        <v>0.0</v>
      </c>
      <c r="CU560" s="1">
        <v>0.0</v>
      </c>
      <c r="CV560" s="1">
        <v>0.0</v>
      </c>
      <c r="CW560" s="1">
        <v>0.0</v>
      </c>
      <c r="CX560" s="1">
        <v>0.0</v>
      </c>
      <c r="CY560" s="1">
        <v>0.0</v>
      </c>
      <c r="CZ560" s="1">
        <v>0.0</v>
      </c>
      <c r="DA560" s="1">
        <v>0.0</v>
      </c>
      <c r="DB560" s="1">
        <v>0.0</v>
      </c>
      <c r="DC560" s="1">
        <v>5.0</v>
      </c>
      <c r="DD560" s="1" t="s">
        <v>2688</v>
      </c>
      <c r="DE560" s="1">
        <v>1.83654822430914E-4</v>
      </c>
      <c r="DF560" s="1">
        <v>0.0718178670602135</v>
      </c>
    </row>
    <row r="561" ht="15.75" customHeight="1">
      <c r="A561" s="1" t="s">
        <v>2689</v>
      </c>
      <c r="B561" s="1">
        <v>29.0</v>
      </c>
      <c r="C561" s="2" t="s">
        <v>2039</v>
      </c>
      <c r="D561" s="2" t="s">
        <v>2690</v>
      </c>
      <c r="E561" s="1">
        <v>1.433</v>
      </c>
      <c r="F561" s="1">
        <v>29095.0</v>
      </c>
      <c r="G561" s="1">
        <v>2.9095011406E10</v>
      </c>
      <c r="H561" s="1" t="s">
        <v>112</v>
      </c>
      <c r="I561" s="1" t="s">
        <v>113</v>
      </c>
      <c r="J561" s="1" t="s">
        <v>2041</v>
      </c>
      <c r="K561" s="1" t="s">
        <v>2691</v>
      </c>
      <c r="L561" s="1">
        <v>5655.0</v>
      </c>
      <c r="M561" s="1">
        <v>5725.0</v>
      </c>
      <c r="N561" s="1">
        <v>518.0</v>
      </c>
      <c r="O561" s="1">
        <v>2095.0</v>
      </c>
      <c r="P561" s="1">
        <v>2076.0</v>
      </c>
      <c r="Q561" s="1">
        <v>32.0</v>
      </c>
      <c r="R561" s="1">
        <v>1977.0</v>
      </c>
      <c r="S561" s="1">
        <v>345.0</v>
      </c>
      <c r="T561" s="1">
        <v>132.0</v>
      </c>
      <c r="U561" s="1">
        <v>462.0</v>
      </c>
      <c r="V561" s="1">
        <v>344.0</v>
      </c>
      <c r="W561" s="1">
        <v>19910.0</v>
      </c>
      <c r="X561" s="1">
        <v>1682.0</v>
      </c>
      <c r="Y561" s="1">
        <v>492.0</v>
      </c>
      <c r="Z561" s="1">
        <v>312.0</v>
      </c>
      <c r="AA561" s="1">
        <v>609.0</v>
      </c>
      <c r="AB561" s="1">
        <v>1637.0</v>
      </c>
      <c r="AC561" s="1">
        <v>319.0</v>
      </c>
      <c r="AD561" s="1">
        <v>861.0</v>
      </c>
      <c r="AE561" s="1">
        <v>12.0</v>
      </c>
      <c r="AF561" s="1">
        <v>442.0</v>
      </c>
      <c r="AG561" s="1">
        <v>0.0</v>
      </c>
      <c r="AH561" s="1">
        <v>197.0</v>
      </c>
      <c r="AI561" s="1">
        <v>17.0</v>
      </c>
      <c r="AJ561" s="1">
        <v>29.0</v>
      </c>
      <c r="AK561" s="1">
        <v>36.0</v>
      </c>
      <c r="AL561" s="1">
        <v>118.0</v>
      </c>
      <c r="AM561" s="1">
        <v>21.0</v>
      </c>
      <c r="AN561" s="1">
        <v>117.0</v>
      </c>
      <c r="AO561" s="1">
        <v>0.0</v>
      </c>
      <c r="AP561" s="1">
        <v>0.06075</v>
      </c>
      <c r="AQ561" s="1">
        <v>0.02257</v>
      </c>
      <c r="AR561" s="1">
        <v>0.163424</v>
      </c>
      <c r="AS561" s="1">
        <v>0.120269</v>
      </c>
      <c r="AT561" s="1">
        <v>19910.0</v>
      </c>
      <c r="AU561" s="1">
        <v>1682.0</v>
      </c>
      <c r="AV561" s="1">
        <v>0.137815</v>
      </c>
      <c r="AW561" s="1">
        <v>0.086881</v>
      </c>
      <c r="AX561" s="1">
        <v>0.107692</v>
      </c>
      <c r="AY561" s="1">
        <v>0.289478</v>
      </c>
      <c r="AZ561" s="1">
        <v>0.16135558</v>
      </c>
      <c r="BA561" s="1">
        <v>0.152254</v>
      </c>
      <c r="BB561" s="1">
        <v>0.002302</v>
      </c>
      <c r="BC561" s="1">
        <v>0.084804</v>
      </c>
      <c r="BD561" s="1">
        <v>0.0</v>
      </c>
      <c r="BE561" s="1">
        <v>0.094894</v>
      </c>
      <c r="BF561" s="1">
        <v>0.008188</v>
      </c>
      <c r="BG561" s="1">
        <v>0.013968</v>
      </c>
      <c r="BH561" s="1">
        <v>0.018246</v>
      </c>
      <c r="BI561" s="1">
        <v>0.0598</v>
      </c>
      <c r="BJ561" s="1">
        <v>0.010643</v>
      </c>
      <c r="BK561" s="1">
        <v>0.059298</v>
      </c>
      <c r="BL561" s="1">
        <v>0.0</v>
      </c>
      <c r="BM561" s="1">
        <v>0.207</v>
      </c>
      <c r="BN561" s="1">
        <v>0.915</v>
      </c>
      <c r="BO561" s="1">
        <v>0.6195</v>
      </c>
      <c r="BP561" s="1">
        <v>0.512</v>
      </c>
      <c r="BQ561" s="1">
        <v>2.2535</v>
      </c>
      <c r="BR561" s="1">
        <v>0.5856</v>
      </c>
      <c r="BS561" s="1">
        <v>0.256</v>
      </c>
      <c r="BT561" s="1">
        <v>0.887</v>
      </c>
      <c r="BU561" s="1">
        <v>0.823</v>
      </c>
      <c r="BV561" s="1">
        <v>1.966</v>
      </c>
      <c r="BW561" s="1">
        <v>0.843</v>
      </c>
      <c r="BX561" s="1">
        <v>0.631</v>
      </c>
      <c r="BY561" s="1">
        <v>0.397</v>
      </c>
      <c r="BZ561" s="1">
        <v>1.028</v>
      </c>
      <c r="CA561" s="1">
        <v>0.571</v>
      </c>
      <c r="CB561" s="1">
        <v>0.0</v>
      </c>
      <c r="CC561" s="1">
        <v>0.44</v>
      </c>
      <c r="CD561" s="1">
        <v>0.648</v>
      </c>
      <c r="CE561" s="1">
        <v>0.097</v>
      </c>
      <c r="CF561" s="1">
        <v>0.0</v>
      </c>
      <c r="CG561" s="1">
        <v>1.185</v>
      </c>
      <c r="CH561" s="1">
        <v>0.107</v>
      </c>
      <c r="CI561" s="1">
        <v>6.4325</v>
      </c>
      <c r="CJ561" s="1">
        <v>0.4491</v>
      </c>
      <c r="CK561" s="1">
        <v>0.0</v>
      </c>
      <c r="CL561" s="1">
        <v>1.0</v>
      </c>
      <c r="CM561" s="1">
        <v>0.0</v>
      </c>
      <c r="CN561" s="1">
        <v>0.0</v>
      </c>
      <c r="CO561" s="1">
        <v>1.0</v>
      </c>
      <c r="CP561" s="1">
        <v>0.0</v>
      </c>
      <c r="CQ561" s="1">
        <v>0.0</v>
      </c>
      <c r="CR561" s="1">
        <v>0.0</v>
      </c>
      <c r="CS561" s="1">
        <v>0.0</v>
      </c>
      <c r="CT561" s="1">
        <v>0.0</v>
      </c>
      <c r="CU561" s="1">
        <v>0.0</v>
      </c>
      <c r="CV561" s="1">
        <v>0.0</v>
      </c>
      <c r="CW561" s="1">
        <v>0.0</v>
      </c>
      <c r="CX561" s="1">
        <v>0.0</v>
      </c>
      <c r="CY561" s="1">
        <v>0.0</v>
      </c>
      <c r="CZ561" s="1">
        <v>0.0</v>
      </c>
      <c r="DA561" s="1">
        <v>0.0</v>
      </c>
      <c r="DB561" s="1">
        <v>0.0</v>
      </c>
      <c r="DC561" s="1">
        <v>1.0</v>
      </c>
      <c r="DD561" s="1" t="s">
        <v>2692</v>
      </c>
      <c r="DE561" s="1">
        <v>3.85345418007434E-4</v>
      </c>
      <c r="DF561" s="1">
        <v>0.098652011318607</v>
      </c>
    </row>
    <row r="562" ht="15.75" customHeight="1">
      <c r="A562" s="1" t="s">
        <v>2693</v>
      </c>
      <c r="B562" s="1">
        <v>29.0</v>
      </c>
      <c r="C562" s="2" t="s">
        <v>2039</v>
      </c>
      <c r="D562" s="2" t="s">
        <v>2694</v>
      </c>
      <c r="E562" s="1">
        <v>1.705</v>
      </c>
      <c r="F562" s="1">
        <v>29095.0</v>
      </c>
      <c r="G562" s="1">
        <v>2.90950115E10</v>
      </c>
      <c r="H562" s="1" t="s">
        <v>112</v>
      </c>
      <c r="I562" s="1" t="s">
        <v>113</v>
      </c>
      <c r="J562" s="1" t="s">
        <v>2041</v>
      </c>
      <c r="K562" s="1" t="s">
        <v>2695</v>
      </c>
      <c r="L562" s="1">
        <v>5859.0</v>
      </c>
      <c r="M562" s="1">
        <v>6420.0</v>
      </c>
      <c r="N562" s="1">
        <v>629.0</v>
      </c>
      <c r="O562" s="1">
        <v>2660.0</v>
      </c>
      <c r="P562" s="1">
        <v>2648.0</v>
      </c>
      <c r="Q562" s="1">
        <v>69.0</v>
      </c>
      <c r="R562" s="1">
        <v>2296.0</v>
      </c>
      <c r="S562" s="1">
        <v>1461.0</v>
      </c>
      <c r="T562" s="1">
        <v>557.0</v>
      </c>
      <c r="U562" s="1">
        <v>196.0</v>
      </c>
      <c r="V562" s="1">
        <v>408.0</v>
      </c>
      <c r="W562" s="1">
        <v>15163.0</v>
      </c>
      <c r="X562" s="1">
        <v>1556.0</v>
      </c>
      <c r="Y562" s="1">
        <v>581.0</v>
      </c>
      <c r="Z562" s="1">
        <v>277.0</v>
      </c>
      <c r="AA562" s="1">
        <v>708.0</v>
      </c>
      <c r="AB562" s="1">
        <v>1569.0</v>
      </c>
      <c r="AC562" s="1">
        <v>419.0</v>
      </c>
      <c r="AD562" s="1">
        <v>1211.0</v>
      </c>
      <c r="AE562" s="1">
        <v>60.0</v>
      </c>
      <c r="AF562" s="1">
        <v>430.0</v>
      </c>
      <c r="AG562" s="1">
        <v>85.0</v>
      </c>
      <c r="AH562" s="1">
        <v>132.0</v>
      </c>
      <c r="AI562" s="1">
        <v>35.0</v>
      </c>
      <c r="AJ562" s="1">
        <v>54.0</v>
      </c>
      <c r="AK562" s="1">
        <v>100.0</v>
      </c>
      <c r="AL562" s="1">
        <v>141.0</v>
      </c>
      <c r="AM562" s="1">
        <v>193.0</v>
      </c>
      <c r="AN562" s="1">
        <v>86.0</v>
      </c>
      <c r="AO562" s="1">
        <v>164.0</v>
      </c>
      <c r="AP562" s="1">
        <v>0.22896</v>
      </c>
      <c r="AQ562" s="1">
        <v>0.084464</v>
      </c>
      <c r="AR562" s="1">
        <v>0.073463</v>
      </c>
      <c r="AS562" s="1">
        <v>0.152496</v>
      </c>
      <c r="AT562" s="1">
        <v>15163.0</v>
      </c>
      <c r="AU562" s="1">
        <v>1556.0</v>
      </c>
      <c r="AV562" s="1">
        <v>0.152134</v>
      </c>
      <c r="AW562" s="1">
        <v>0.071163</v>
      </c>
      <c r="AX562" s="1">
        <v>0.120839</v>
      </c>
      <c r="AY562" s="1">
        <v>0.267793</v>
      </c>
      <c r="AZ562" s="1">
        <v>0.18249128</v>
      </c>
      <c r="BA562" s="1">
        <v>0.20669</v>
      </c>
      <c r="BB562" s="1">
        <v>0.01055</v>
      </c>
      <c r="BC562" s="1">
        <v>0.075605</v>
      </c>
      <c r="BD562" s="1">
        <v>0.032099</v>
      </c>
      <c r="BE562" s="1">
        <v>0.049841</v>
      </c>
      <c r="BF562" s="1">
        <v>0.013217</v>
      </c>
      <c r="BG562" s="1">
        <v>0.020389</v>
      </c>
      <c r="BH562" s="1">
        <v>0.041981</v>
      </c>
      <c r="BI562" s="1">
        <v>0.059125</v>
      </c>
      <c r="BJ562" s="1">
        <v>0.081024</v>
      </c>
      <c r="BK562" s="1">
        <v>0.035681</v>
      </c>
      <c r="BL562" s="1">
        <v>0.027991</v>
      </c>
      <c r="BM562" s="1">
        <v>0.788</v>
      </c>
      <c r="BN562" s="1">
        <v>0.543</v>
      </c>
      <c r="BO562" s="1">
        <v>0.8679</v>
      </c>
      <c r="BP562" s="1">
        <v>0.575</v>
      </c>
      <c r="BQ562" s="1">
        <v>2.7739</v>
      </c>
      <c r="BR562" s="1">
        <v>0.7408</v>
      </c>
      <c r="BS562" s="1">
        <v>0.351</v>
      </c>
      <c r="BT562" s="1">
        <v>0.774</v>
      </c>
      <c r="BU562" s="1">
        <v>0.87</v>
      </c>
      <c r="BV562" s="1">
        <v>1.995</v>
      </c>
      <c r="BW562" s="1">
        <v>0.855</v>
      </c>
      <c r="BX562" s="1">
        <v>0.717</v>
      </c>
      <c r="BY562" s="1">
        <v>0.734</v>
      </c>
      <c r="BZ562" s="1">
        <v>1.451</v>
      </c>
      <c r="CA562" s="1">
        <v>0.793</v>
      </c>
      <c r="CB562" s="1">
        <v>0.56</v>
      </c>
      <c r="CC562" s="1">
        <v>0.479</v>
      </c>
      <c r="CD562" s="1">
        <v>0.904</v>
      </c>
      <c r="CE562" s="1">
        <v>0.679</v>
      </c>
      <c r="CF562" s="1">
        <v>0.795</v>
      </c>
      <c r="CG562" s="1">
        <v>3.417</v>
      </c>
      <c r="CH562" s="1">
        <v>0.921</v>
      </c>
      <c r="CI562" s="1">
        <v>9.6369</v>
      </c>
      <c r="CJ562" s="1">
        <v>0.9199</v>
      </c>
      <c r="CK562" s="1">
        <v>0.0</v>
      </c>
      <c r="CL562" s="1">
        <v>0.0</v>
      </c>
      <c r="CM562" s="1">
        <v>0.0</v>
      </c>
      <c r="CN562" s="1">
        <v>0.0</v>
      </c>
      <c r="CO562" s="1">
        <v>0.0</v>
      </c>
      <c r="CP562" s="1">
        <v>0.0</v>
      </c>
      <c r="CQ562" s="1">
        <v>0.0</v>
      </c>
      <c r="CR562" s="1">
        <v>0.0</v>
      </c>
      <c r="CS562" s="1">
        <v>0.0</v>
      </c>
      <c r="CT562" s="1">
        <v>0.0</v>
      </c>
      <c r="CU562" s="1">
        <v>0.0</v>
      </c>
      <c r="CV562" s="1">
        <v>0.0</v>
      </c>
      <c r="CW562" s="1">
        <v>0.0</v>
      </c>
      <c r="CX562" s="1">
        <v>0.0</v>
      </c>
      <c r="CY562" s="1">
        <v>1.0</v>
      </c>
      <c r="CZ562" s="1">
        <v>0.0</v>
      </c>
      <c r="DA562" s="1">
        <v>0.0</v>
      </c>
      <c r="DB562" s="1">
        <v>1.0</v>
      </c>
      <c r="DC562" s="1">
        <v>1.0</v>
      </c>
      <c r="DD562" s="1" t="s">
        <v>2696</v>
      </c>
      <c r="DE562" s="1">
        <v>4.58727887337874E-4</v>
      </c>
      <c r="DF562" s="2" t="s">
        <v>2697</v>
      </c>
    </row>
    <row r="563" ht="15.75" customHeight="1">
      <c r="A563" s="1" t="s">
        <v>2698</v>
      </c>
      <c r="B563" s="1">
        <v>29.0</v>
      </c>
      <c r="C563" s="2" t="s">
        <v>2039</v>
      </c>
      <c r="D563" s="2" t="s">
        <v>2699</v>
      </c>
      <c r="E563" s="1">
        <v>1.266</v>
      </c>
      <c r="F563" s="1">
        <v>29095.0</v>
      </c>
      <c r="G563" s="1">
        <v>2.90950119E10</v>
      </c>
      <c r="H563" s="1" t="s">
        <v>112</v>
      </c>
      <c r="I563" s="1" t="s">
        <v>113</v>
      </c>
      <c r="J563" s="1" t="s">
        <v>2041</v>
      </c>
      <c r="K563" s="1" t="s">
        <v>2700</v>
      </c>
      <c r="L563" s="1">
        <v>3423.0</v>
      </c>
      <c r="M563" s="1">
        <v>3212.0</v>
      </c>
      <c r="N563" s="1">
        <v>393.0</v>
      </c>
      <c r="O563" s="1">
        <v>1661.0</v>
      </c>
      <c r="P563" s="1">
        <v>1645.0</v>
      </c>
      <c r="Q563" s="1">
        <v>59.0</v>
      </c>
      <c r="R563" s="1">
        <v>1509.0</v>
      </c>
      <c r="S563" s="1">
        <v>424.0</v>
      </c>
      <c r="T563" s="1">
        <v>172.0</v>
      </c>
      <c r="U563" s="1">
        <v>156.0</v>
      </c>
      <c r="V563" s="1">
        <v>403.0</v>
      </c>
      <c r="W563" s="1">
        <v>21645.0</v>
      </c>
      <c r="X563" s="1">
        <v>2404.0</v>
      </c>
      <c r="Y563" s="1">
        <v>426.0</v>
      </c>
      <c r="Z563" s="1">
        <v>235.0</v>
      </c>
      <c r="AA563" s="1">
        <v>597.0</v>
      </c>
      <c r="AB563" s="1">
        <v>723.0</v>
      </c>
      <c r="AC563" s="1">
        <v>145.0</v>
      </c>
      <c r="AD563" s="1">
        <v>768.0</v>
      </c>
      <c r="AE563" s="1">
        <v>137.0</v>
      </c>
      <c r="AF563" s="1">
        <v>433.0</v>
      </c>
      <c r="AG563" s="1">
        <v>31.0</v>
      </c>
      <c r="AH563" s="1">
        <v>169.0</v>
      </c>
      <c r="AI563" s="1">
        <v>0.0</v>
      </c>
      <c r="AJ563" s="1">
        <v>114.0</v>
      </c>
      <c r="AK563" s="1">
        <v>13.0</v>
      </c>
      <c r="AL563" s="1">
        <v>115.0</v>
      </c>
      <c r="AM563" s="1">
        <v>38.0</v>
      </c>
      <c r="AN563" s="1">
        <v>33.0</v>
      </c>
      <c r="AO563" s="1">
        <v>0.0</v>
      </c>
      <c r="AP563" s="1">
        <v>0.132004</v>
      </c>
      <c r="AQ563" s="1">
        <v>0.051055</v>
      </c>
      <c r="AR563" s="1">
        <v>0.102631</v>
      </c>
      <c r="AS563" s="1">
        <v>0.264549</v>
      </c>
      <c r="AT563" s="1">
        <v>21645.0</v>
      </c>
      <c r="AU563" s="1">
        <v>2404.0</v>
      </c>
      <c r="AV563" s="1">
        <v>0.179822</v>
      </c>
      <c r="AW563" s="1">
        <v>0.097921</v>
      </c>
      <c r="AX563" s="1">
        <v>0.174408</v>
      </c>
      <c r="AY563" s="1">
        <v>0.211218</v>
      </c>
      <c r="AZ563" s="1">
        <v>0.09609012</v>
      </c>
      <c r="BA563" s="1">
        <v>0.224364</v>
      </c>
      <c r="BB563" s="1">
        <v>0.044552</v>
      </c>
      <c r="BC563" s="1">
        <v>0.140722</v>
      </c>
      <c r="BD563" s="1">
        <v>0.018844</v>
      </c>
      <c r="BE563" s="1">
        <v>0.102733</v>
      </c>
      <c r="BF563" s="1">
        <v>0.0</v>
      </c>
      <c r="BG563" s="1">
        <v>0.0693</v>
      </c>
      <c r="BH563" s="1">
        <v>0.008603</v>
      </c>
      <c r="BI563" s="1">
        <v>0.076106</v>
      </c>
      <c r="BJ563" s="1">
        <v>0.025148</v>
      </c>
      <c r="BK563" s="1">
        <v>0.021786</v>
      </c>
      <c r="BL563" s="1">
        <v>0.0</v>
      </c>
      <c r="BM563" s="1">
        <v>0.507</v>
      </c>
      <c r="BN563" s="1">
        <v>0.747</v>
      </c>
      <c r="BO563" s="1">
        <v>0.5126</v>
      </c>
      <c r="BP563" s="1">
        <v>0.689</v>
      </c>
      <c r="BQ563" s="1">
        <v>2.4556</v>
      </c>
      <c r="BR563" s="1">
        <v>0.6498</v>
      </c>
      <c r="BS563" s="1">
        <v>0.76</v>
      </c>
      <c r="BT563" s="1">
        <v>0.241</v>
      </c>
      <c r="BU563" s="1">
        <v>0.458</v>
      </c>
      <c r="BV563" s="1">
        <v>1.459</v>
      </c>
      <c r="BW563" s="1">
        <v>0.444</v>
      </c>
      <c r="BX563" s="1">
        <v>0.737</v>
      </c>
      <c r="BY563" s="1">
        <v>0.951</v>
      </c>
      <c r="BZ563" s="1">
        <v>1.688</v>
      </c>
      <c r="CA563" s="1">
        <v>0.915</v>
      </c>
      <c r="CB563" s="1">
        <v>0.456</v>
      </c>
      <c r="CC563" s="1">
        <v>0.0</v>
      </c>
      <c r="CD563" s="1">
        <v>0.448</v>
      </c>
      <c r="CE563" s="1">
        <v>0.24</v>
      </c>
      <c r="CF563" s="1">
        <v>0.0</v>
      </c>
      <c r="CG563" s="1">
        <v>1.144</v>
      </c>
      <c r="CH563" s="1">
        <v>0.1</v>
      </c>
      <c r="CI563" s="1">
        <v>6.7466</v>
      </c>
      <c r="CJ563" s="1">
        <v>0.5018</v>
      </c>
      <c r="CK563" s="1">
        <v>0.0</v>
      </c>
      <c r="CL563" s="1">
        <v>0.0</v>
      </c>
      <c r="CM563" s="1">
        <v>0.0</v>
      </c>
      <c r="CN563" s="1">
        <v>0.0</v>
      </c>
      <c r="CO563" s="1">
        <v>0.0</v>
      </c>
      <c r="CP563" s="1">
        <v>0.0</v>
      </c>
      <c r="CQ563" s="1">
        <v>0.0</v>
      </c>
      <c r="CR563" s="1">
        <v>0.0</v>
      </c>
      <c r="CS563" s="1">
        <v>0.0</v>
      </c>
      <c r="CT563" s="1">
        <v>0.0</v>
      </c>
      <c r="CU563" s="1">
        <v>1.0</v>
      </c>
      <c r="CV563" s="1">
        <v>1.0</v>
      </c>
      <c r="CW563" s="1">
        <v>0.0</v>
      </c>
      <c r="CX563" s="1">
        <v>0.0</v>
      </c>
      <c r="CY563" s="1">
        <v>0.0</v>
      </c>
      <c r="CZ563" s="1">
        <v>0.0</v>
      </c>
      <c r="DA563" s="1">
        <v>0.0</v>
      </c>
      <c r="DB563" s="1">
        <v>0.0</v>
      </c>
      <c r="DC563" s="1">
        <v>1.0</v>
      </c>
      <c r="DD563" s="1" t="s">
        <v>2701</v>
      </c>
      <c r="DE563" s="1">
        <v>3.40189686628901E-4</v>
      </c>
      <c r="DF563" s="1">
        <v>0.0755173030864087</v>
      </c>
    </row>
    <row r="564" ht="15.75" customHeight="1">
      <c r="A564" s="1" t="s">
        <v>2702</v>
      </c>
      <c r="B564" s="1">
        <v>29.0</v>
      </c>
      <c r="C564" s="2" t="s">
        <v>2039</v>
      </c>
      <c r="D564" s="2" t="s">
        <v>2703</v>
      </c>
      <c r="E564" s="1">
        <v>1.242</v>
      </c>
      <c r="F564" s="1">
        <v>29095.0</v>
      </c>
      <c r="G564" s="1">
        <v>2.9095012E10</v>
      </c>
      <c r="H564" s="1" t="s">
        <v>112</v>
      </c>
      <c r="I564" s="1" t="s">
        <v>113</v>
      </c>
      <c r="J564" s="1" t="s">
        <v>2041</v>
      </c>
      <c r="K564" s="1" t="s">
        <v>2704</v>
      </c>
      <c r="L564" s="1">
        <v>3279.0</v>
      </c>
      <c r="M564" s="1">
        <v>2677.0</v>
      </c>
      <c r="N564" s="1">
        <v>307.0</v>
      </c>
      <c r="O564" s="1">
        <v>1662.0</v>
      </c>
      <c r="P564" s="1">
        <v>1669.0</v>
      </c>
      <c r="Q564" s="1">
        <v>79.0</v>
      </c>
      <c r="R564" s="1">
        <v>1523.0</v>
      </c>
      <c r="S564" s="1">
        <v>267.0</v>
      </c>
      <c r="T564" s="1">
        <v>178.0</v>
      </c>
      <c r="U564" s="1">
        <v>161.0</v>
      </c>
      <c r="V564" s="1">
        <v>435.0</v>
      </c>
      <c r="W564" s="1">
        <v>27522.0</v>
      </c>
      <c r="X564" s="1">
        <v>3220.0</v>
      </c>
      <c r="Y564" s="1">
        <v>390.0</v>
      </c>
      <c r="Z564" s="1">
        <v>264.0</v>
      </c>
      <c r="AA564" s="1">
        <v>618.0</v>
      </c>
      <c r="AB564" s="1">
        <v>621.0</v>
      </c>
      <c r="AC564" s="1">
        <v>132.0</v>
      </c>
      <c r="AD564" s="1">
        <v>760.0</v>
      </c>
      <c r="AE564" s="1">
        <v>86.0</v>
      </c>
      <c r="AF564" s="1">
        <v>451.0</v>
      </c>
      <c r="AG564" s="1">
        <v>108.0</v>
      </c>
      <c r="AH564" s="1">
        <v>72.0</v>
      </c>
      <c r="AI564" s="1">
        <v>10.0</v>
      </c>
      <c r="AJ564" s="1">
        <v>17.0</v>
      </c>
      <c r="AK564" s="1">
        <v>0.0</v>
      </c>
      <c r="AL564" s="1">
        <v>161.0</v>
      </c>
      <c r="AM564" s="1">
        <v>43.0</v>
      </c>
      <c r="AN564" s="1">
        <v>33.0</v>
      </c>
      <c r="AO564" s="1">
        <v>28.0</v>
      </c>
      <c r="AP564" s="1">
        <v>0.099738</v>
      </c>
      <c r="AQ564" s="1">
        <v>0.065501</v>
      </c>
      <c r="AR564" s="1">
        <v>0.116329</v>
      </c>
      <c r="AS564" s="1">
        <v>0.313449</v>
      </c>
      <c r="AT564" s="1">
        <v>27522.0</v>
      </c>
      <c r="AU564" s="1">
        <v>3220.0</v>
      </c>
      <c r="AV564" s="1">
        <v>0.177272</v>
      </c>
      <c r="AW564" s="1">
        <v>0.118185</v>
      </c>
      <c r="AX564" s="1">
        <v>0.188472</v>
      </c>
      <c r="AY564" s="1">
        <v>0.189387</v>
      </c>
      <c r="AZ564" s="1">
        <v>0.08667104</v>
      </c>
      <c r="BA564" s="1">
        <v>0.231777</v>
      </c>
      <c r="BB564" s="1">
        <v>0.03451</v>
      </c>
      <c r="BC564" s="1">
        <v>0.180931</v>
      </c>
      <c r="BD564" s="1">
        <v>0.064709</v>
      </c>
      <c r="BE564" s="1">
        <v>0.04303</v>
      </c>
      <c r="BF564" s="1">
        <v>0.005991</v>
      </c>
      <c r="BG564" s="1">
        <v>0.010181</v>
      </c>
      <c r="BH564" s="1">
        <v>0.0</v>
      </c>
      <c r="BI564" s="1">
        <v>0.113141</v>
      </c>
      <c r="BJ564" s="1">
        <v>0.030217</v>
      </c>
      <c r="BK564" s="1">
        <v>0.023004</v>
      </c>
      <c r="BL564" s="1">
        <v>0.008539</v>
      </c>
      <c r="BM564" s="1">
        <v>0.369</v>
      </c>
      <c r="BN564" s="1">
        <v>0.809</v>
      </c>
      <c r="BO564" s="1">
        <v>0.2664</v>
      </c>
      <c r="BP564" s="1">
        <v>0.677</v>
      </c>
      <c r="BQ564" s="1">
        <v>2.1214</v>
      </c>
      <c r="BR564" s="1">
        <v>0.535</v>
      </c>
      <c r="BS564" s="1">
        <v>0.832</v>
      </c>
      <c r="BT564" s="1">
        <v>0.149</v>
      </c>
      <c r="BU564" s="1">
        <v>0.373</v>
      </c>
      <c r="BV564" s="1">
        <v>1.354</v>
      </c>
      <c r="BW564" s="1">
        <v>0.348</v>
      </c>
      <c r="BX564" s="1">
        <v>0.746</v>
      </c>
      <c r="BY564" s="1">
        <v>0.933</v>
      </c>
      <c r="BZ564" s="1">
        <v>1.679</v>
      </c>
      <c r="CA564" s="1">
        <v>0.91</v>
      </c>
      <c r="CB564" s="1">
        <v>0.702</v>
      </c>
      <c r="CC564" s="1">
        <v>0.41</v>
      </c>
      <c r="CD564" s="1">
        <v>0.0</v>
      </c>
      <c r="CE564" s="1">
        <v>0.287</v>
      </c>
      <c r="CF564" s="1">
        <v>0.557</v>
      </c>
      <c r="CG564" s="1">
        <v>1.956</v>
      </c>
      <c r="CH564" s="1">
        <v>0.328</v>
      </c>
      <c r="CI564" s="1">
        <v>7.1104</v>
      </c>
      <c r="CJ564" s="1">
        <v>0.5718</v>
      </c>
      <c r="CK564" s="1">
        <v>0.0</v>
      </c>
      <c r="CL564" s="1">
        <v>0.0</v>
      </c>
      <c r="CM564" s="1">
        <v>0.0</v>
      </c>
      <c r="CN564" s="1">
        <v>0.0</v>
      </c>
      <c r="CO564" s="1">
        <v>0.0</v>
      </c>
      <c r="CP564" s="1">
        <v>0.0</v>
      </c>
      <c r="CQ564" s="1">
        <v>0.0</v>
      </c>
      <c r="CR564" s="1">
        <v>0.0</v>
      </c>
      <c r="CS564" s="1">
        <v>0.0</v>
      </c>
      <c r="CT564" s="1">
        <v>0.0</v>
      </c>
      <c r="CU564" s="1">
        <v>1.0</v>
      </c>
      <c r="CV564" s="1">
        <v>1.0</v>
      </c>
      <c r="CW564" s="1">
        <v>0.0</v>
      </c>
      <c r="CX564" s="1">
        <v>0.0</v>
      </c>
      <c r="CY564" s="1">
        <v>0.0</v>
      </c>
      <c r="CZ564" s="1">
        <v>0.0</v>
      </c>
      <c r="DA564" s="1">
        <v>0.0</v>
      </c>
      <c r="DB564" s="1">
        <v>0.0</v>
      </c>
      <c r="DC564" s="1">
        <v>1.0</v>
      </c>
      <c r="DD564" s="1" t="s">
        <v>2705</v>
      </c>
      <c r="DE564" s="1">
        <v>3.34614660823824E-4</v>
      </c>
      <c r="DF564" s="1">
        <v>0.0831298281875145</v>
      </c>
    </row>
    <row r="565" ht="15.75" customHeight="1">
      <c r="A565" s="1" t="s">
        <v>2706</v>
      </c>
      <c r="B565" s="1">
        <v>29.0</v>
      </c>
      <c r="C565" s="2" t="s">
        <v>2039</v>
      </c>
      <c r="D565" s="2" t="s">
        <v>2707</v>
      </c>
      <c r="E565" s="1">
        <v>1.692</v>
      </c>
      <c r="F565" s="1">
        <v>29095.0</v>
      </c>
      <c r="G565" s="1">
        <v>2.90950121E10</v>
      </c>
      <c r="H565" s="1" t="s">
        <v>112</v>
      </c>
      <c r="I565" s="1" t="s">
        <v>113</v>
      </c>
      <c r="J565" s="1" t="s">
        <v>2041</v>
      </c>
      <c r="K565" s="1" t="s">
        <v>2708</v>
      </c>
      <c r="L565" s="1">
        <v>5480.0</v>
      </c>
      <c r="M565" s="1">
        <v>4968.0</v>
      </c>
      <c r="N565" s="1">
        <v>646.0</v>
      </c>
      <c r="O565" s="1">
        <v>2569.0</v>
      </c>
      <c r="P565" s="1">
        <v>2521.0</v>
      </c>
      <c r="Q565" s="1">
        <v>86.0</v>
      </c>
      <c r="R565" s="1">
        <v>2335.0</v>
      </c>
      <c r="S565" s="1">
        <v>921.0</v>
      </c>
      <c r="T565" s="1">
        <v>483.0</v>
      </c>
      <c r="U565" s="1">
        <v>353.0</v>
      </c>
      <c r="V565" s="1">
        <v>396.0</v>
      </c>
      <c r="W565" s="1">
        <v>21038.0</v>
      </c>
      <c r="X565" s="1">
        <v>3268.0</v>
      </c>
      <c r="Y565" s="1">
        <v>473.0</v>
      </c>
      <c r="Z565" s="1">
        <v>249.0</v>
      </c>
      <c r="AA565" s="1">
        <v>874.0</v>
      </c>
      <c r="AB565" s="1">
        <v>1215.0</v>
      </c>
      <c r="AC565" s="1">
        <v>280.0</v>
      </c>
      <c r="AD565" s="1">
        <v>1311.0</v>
      </c>
      <c r="AE565" s="1">
        <v>38.0</v>
      </c>
      <c r="AF565" s="1">
        <v>413.0</v>
      </c>
      <c r="AG565" s="1">
        <v>81.0</v>
      </c>
      <c r="AH565" s="1">
        <v>139.0</v>
      </c>
      <c r="AI565" s="1">
        <v>0.0</v>
      </c>
      <c r="AJ565" s="1">
        <v>114.0</v>
      </c>
      <c r="AK565" s="1">
        <v>11.0</v>
      </c>
      <c r="AL565" s="1">
        <v>116.0</v>
      </c>
      <c r="AM565" s="1">
        <v>50.0</v>
      </c>
      <c r="AN565" s="1">
        <v>42.0</v>
      </c>
      <c r="AO565" s="1">
        <v>0.0</v>
      </c>
      <c r="AP565" s="1">
        <v>0.187271</v>
      </c>
      <c r="AQ565" s="1">
        <v>0.09499</v>
      </c>
      <c r="AR565" s="1">
        <v>0.136662</v>
      </c>
      <c r="AS565" s="1">
        <v>0.151499</v>
      </c>
      <c r="AT565" s="1">
        <v>21038.0</v>
      </c>
      <c r="AU565" s="1">
        <v>3268.0</v>
      </c>
      <c r="AV565" s="1">
        <v>0.127665</v>
      </c>
      <c r="AW565" s="1">
        <v>0.065925</v>
      </c>
      <c r="AX565" s="1">
        <v>0.159489</v>
      </c>
      <c r="AY565" s="1">
        <v>0.221715</v>
      </c>
      <c r="AZ565" s="1">
        <v>0.11991434</v>
      </c>
      <c r="BA565" s="1">
        <v>0.239233</v>
      </c>
      <c r="BB565" s="1">
        <v>0.008052</v>
      </c>
      <c r="BC565" s="1">
        <v>0.087512</v>
      </c>
      <c r="BD565" s="1">
        <v>0.03213</v>
      </c>
      <c r="BE565" s="1">
        <v>0.055125</v>
      </c>
      <c r="BF565" s="1">
        <v>0.0</v>
      </c>
      <c r="BG565" s="1">
        <v>0.04522</v>
      </c>
      <c r="BH565" s="1">
        <v>0.00508</v>
      </c>
      <c r="BI565" s="1">
        <v>0.053578</v>
      </c>
      <c r="BJ565" s="1">
        <v>0.023094</v>
      </c>
      <c r="BK565" s="1">
        <v>0.01931</v>
      </c>
      <c r="BL565" s="1">
        <v>0.0</v>
      </c>
      <c r="BM565" s="1">
        <v>0.694</v>
      </c>
      <c r="BN565" s="1">
        <v>0.872</v>
      </c>
      <c r="BO565" s="1">
        <v>0.5487</v>
      </c>
      <c r="BP565" s="1">
        <v>0.461</v>
      </c>
      <c r="BQ565" s="1">
        <v>2.5757</v>
      </c>
      <c r="BR565" s="1">
        <v>0.6931</v>
      </c>
      <c r="BS565" s="1">
        <v>0.658</v>
      </c>
      <c r="BT565" s="1">
        <v>0.312</v>
      </c>
      <c r="BU565" s="1">
        <v>0.671</v>
      </c>
      <c r="BV565" s="1">
        <v>1.641</v>
      </c>
      <c r="BW565" s="1">
        <v>0.596</v>
      </c>
      <c r="BX565" s="1">
        <v>0.752</v>
      </c>
      <c r="BY565" s="1">
        <v>0.669</v>
      </c>
      <c r="BZ565" s="1">
        <v>1.421</v>
      </c>
      <c r="CA565" s="1">
        <v>0.774</v>
      </c>
      <c r="CB565" s="1">
        <v>0.562</v>
      </c>
      <c r="CC565" s="1">
        <v>0.0</v>
      </c>
      <c r="CD565" s="1">
        <v>0.336</v>
      </c>
      <c r="CE565" s="1">
        <v>0.215</v>
      </c>
      <c r="CF565" s="1">
        <v>0.0</v>
      </c>
      <c r="CG565" s="1">
        <v>1.113</v>
      </c>
      <c r="CH565" s="1">
        <v>0.095</v>
      </c>
      <c r="CI565" s="1">
        <v>6.7507</v>
      </c>
      <c r="CJ565" s="1">
        <v>0.5025</v>
      </c>
      <c r="CK565" s="1">
        <v>0.0</v>
      </c>
      <c r="CL565" s="1">
        <v>0.0</v>
      </c>
      <c r="CM565" s="1">
        <v>0.0</v>
      </c>
      <c r="CN565" s="1">
        <v>0.0</v>
      </c>
      <c r="CO565" s="1">
        <v>0.0</v>
      </c>
      <c r="CP565" s="1">
        <v>0.0</v>
      </c>
      <c r="CQ565" s="1">
        <v>0.0</v>
      </c>
      <c r="CR565" s="1">
        <v>0.0</v>
      </c>
      <c r="CS565" s="1">
        <v>0.0</v>
      </c>
      <c r="CT565" s="1">
        <v>0.0</v>
      </c>
      <c r="CU565" s="1">
        <v>0.0</v>
      </c>
      <c r="CV565" s="1">
        <v>0.0</v>
      </c>
      <c r="CW565" s="1">
        <v>0.0</v>
      </c>
      <c r="CX565" s="1">
        <v>0.0</v>
      </c>
      <c r="CY565" s="1">
        <v>0.0</v>
      </c>
      <c r="CZ565" s="1">
        <v>0.0</v>
      </c>
      <c r="DA565" s="1">
        <v>0.0</v>
      </c>
      <c r="DB565" s="1">
        <v>0.0</v>
      </c>
      <c r="DC565" s="1">
        <v>0.0</v>
      </c>
      <c r="DD565" s="1" t="s">
        <v>2709</v>
      </c>
      <c r="DE565" s="1">
        <v>4.56356133990923E-4</v>
      </c>
      <c r="DF565" s="1">
        <v>0.0927819718260934</v>
      </c>
    </row>
    <row r="566" ht="15.75" customHeight="1">
      <c r="A566" s="1" t="s">
        <v>2710</v>
      </c>
      <c r="B566" s="1">
        <v>29.0</v>
      </c>
      <c r="C566" s="2" t="s">
        <v>2039</v>
      </c>
      <c r="D566" s="2" t="s">
        <v>2711</v>
      </c>
      <c r="E566" s="1">
        <v>1.64</v>
      </c>
      <c r="F566" s="1">
        <v>29095.0</v>
      </c>
      <c r="G566" s="1">
        <v>2.90950123E10</v>
      </c>
      <c r="H566" s="1" t="s">
        <v>112</v>
      </c>
      <c r="I566" s="1" t="s">
        <v>113</v>
      </c>
      <c r="J566" s="1" t="s">
        <v>2041</v>
      </c>
      <c r="K566" s="1" t="s">
        <v>2712</v>
      </c>
      <c r="L566" s="1">
        <v>3378.0</v>
      </c>
      <c r="M566" s="1">
        <v>3640.0</v>
      </c>
      <c r="N566" s="1">
        <v>359.0</v>
      </c>
      <c r="O566" s="1">
        <v>1593.0</v>
      </c>
      <c r="P566" s="1">
        <v>1576.0</v>
      </c>
      <c r="Q566" s="1">
        <v>56.0</v>
      </c>
      <c r="R566" s="1">
        <v>1453.0</v>
      </c>
      <c r="S566" s="1">
        <v>255.0</v>
      </c>
      <c r="T566" s="1">
        <v>181.0</v>
      </c>
      <c r="U566" s="1">
        <v>77.0</v>
      </c>
      <c r="V566" s="1">
        <v>445.0</v>
      </c>
      <c r="W566" s="1">
        <v>26795.0</v>
      </c>
      <c r="X566" s="1">
        <v>2715.0</v>
      </c>
      <c r="Y566" s="1">
        <v>394.0</v>
      </c>
      <c r="Z566" s="1">
        <v>257.0</v>
      </c>
      <c r="AA566" s="1">
        <v>741.0</v>
      </c>
      <c r="AB566" s="1">
        <v>687.0</v>
      </c>
      <c r="AC566" s="1">
        <v>139.0</v>
      </c>
      <c r="AD566" s="1">
        <v>337.0</v>
      </c>
      <c r="AE566" s="1">
        <v>0.0</v>
      </c>
      <c r="AF566" s="1">
        <v>456.0</v>
      </c>
      <c r="AG566" s="1">
        <v>14.0</v>
      </c>
      <c r="AH566" s="1">
        <v>163.0</v>
      </c>
      <c r="AI566" s="1">
        <v>0.0</v>
      </c>
      <c r="AJ566" s="1">
        <v>114.0</v>
      </c>
      <c r="AK566" s="1">
        <v>5.0</v>
      </c>
      <c r="AL566" s="1">
        <v>115.0</v>
      </c>
      <c r="AM566" s="1">
        <v>46.0</v>
      </c>
      <c r="AN566" s="1">
        <v>46.0</v>
      </c>
      <c r="AO566" s="1">
        <v>123.0</v>
      </c>
      <c r="AP566" s="1">
        <v>0.075265</v>
      </c>
      <c r="AQ566" s="1">
        <v>0.052945</v>
      </c>
      <c r="AR566" s="1">
        <v>0.051574</v>
      </c>
      <c r="AS566" s="1">
        <v>0.297951</v>
      </c>
      <c r="AT566" s="1">
        <v>26795.0</v>
      </c>
      <c r="AU566" s="1">
        <v>2715.0</v>
      </c>
      <c r="AV566" s="1">
        <v>0.139124</v>
      </c>
      <c r="AW566" s="1">
        <v>0.089333</v>
      </c>
      <c r="AX566" s="1">
        <v>0.21936</v>
      </c>
      <c r="AY566" s="1">
        <v>0.203374</v>
      </c>
      <c r="AZ566" s="1">
        <v>0.09566414</v>
      </c>
      <c r="BA566" s="1">
        <v>0.099763</v>
      </c>
      <c r="BB566" s="1">
        <v>0.0</v>
      </c>
      <c r="BC566" s="1">
        <v>0.131223</v>
      </c>
      <c r="BD566" s="1">
        <v>0.008883</v>
      </c>
      <c r="BE566" s="1">
        <v>0.103425</v>
      </c>
      <c r="BF566" s="1">
        <v>0.0</v>
      </c>
      <c r="BG566" s="1">
        <v>0.072335</v>
      </c>
      <c r="BH566" s="1">
        <v>0.003597</v>
      </c>
      <c r="BI566" s="1">
        <v>0.082733</v>
      </c>
      <c r="BJ566" s="1">
        <v>0.033093</v>
      </c>
      <c r="BK566" s="1">
        <v>0.032998</v>
      </c>
      <c r="BL566" s="1">
        <v>0.036412</v>
      </c>
      <c r="BM566" s="1">
        <v>0.269</v>
      </c>
      <c r="BN566" s="1">
        <v>0.312</v>
      </c>
      <c r="BO566" s="1">
        <v>0.291</v>
      </c>
      <c r="BP566" s="1">
        <v>0.52</v>
      </c>
      <c r="BQ566" s="1">
        <v>1.392</v>
      </c>
      <c r="BR566" s="1">
        <v>0.3076</v>
      </c>
      <c r="BS566" s="1">
        <v>0.93</v>
      </c>
      <c r="BT566" s="1">
        <v>0.205</v>
      </c>
      <c r="BU566" s="1">
        <v>0.453</v>
      </c>
      <c r="BV566" s="1">
        <v>1.588</v>
      </c>
      <c r="BW566" s="1">
        <v>0.559</v>
      </c>
      <c r="BX566" s="1">
        <v>0.468</v>
      </c>
      <c r="BY566" s="1">
        <v>0.0</v>
      </c>
      <c r="BZ566" s="1">
        <v>0.468</v>
      </c>
      <c r="CA566" s="1">
        <v>0.193</v>
      </c>
      <c r="CB566" s="1">
        <v>0.373</v>
      </c>
      <c r="CC566" s="1">
        <v>0.0</v>
      </c>
      <c r="CD566" s="1">
        <v>0.302</v>
      </c>
      <c r="CE566" s="1">
        <v>0.317</v>
      </c>
      <c r="CF566" s="1">
        <v>0.851</v>
      </c>
      <c r="CG566" s="1">
        <v>1.843</v>
      </c>
      <c r="CH566" s="1">
        <v>0.283</v>
      </c>
      <c r="CI566" s="1">
        <v>5.291</v>
      </c>
      <c r="CJ566" s="1">
        <v>0.2426</v>
      </c>
      <c r="CK566" s="1">
        <v>0.0</v>
      </c>
      <c r="CL566" s="1">
        <v>0.0</v>
      </c>
      <c r="CM566" s="1">
        <v>0.0</v>
      </c>
      <c r="CN566" s="1">
        <v>0.0</v>
      </c>
      <c r="CO566" s="1">
        <v>0.0</v>
      </c>
      <c r="CP566" s="1">
        <v>1.0</v>
      </c>
      <c r="CQ566" s="1">
        <v>0.0</v>
      </c>
      <c r="CR566" s="1">
        <v>0.0</v>
      </c>
      <c r="CS566" s="1">
        <v>1.0</v>
      </c>
      <c r="CT566" s="1">
        <v>0.0</v>
      </c>
      <c r="CU566" s="1">
        <v>0.0</v>
      </c>
      <c r="CV566" s="1">
        <v>0.0</v>
      </c>
      <c r="CW566" s="1">
        <v>0.0</v>
      </c>
      <c r="CX566" s="1">
        <v>0.0</v>
      </c>
      <c r="CY566" s="1">
        <v>0.0</v>
      </c>
      <c r="CZ566" s="1">
        <v>0.0</v>
      </c>
      <c r="DA566" s="1">
        <v>0.0</v>
      </c>
      <c r="DB566" s="1">
        <v>0.0</v>
      </c>
      <c r="DC566" s="1">
        <v>1.0</v>
      </c>
      <c r="DD566" s="1" t="s">
        <v>2713</v>
      </c>
      <c r="DE566" s="1">
        <v>4.45417386718559E-4</v>
      </c>
      <c r="DF566" s="1">
        <v>0.0924680595680593</v>
      </c>
    </row>
    <row r="567" ht="15.75" customHeight="1">
      <c r="A567" s="1" t="s">
        <v>2714</v>
      </c>
      <c r="B567" s="1">
        <v>29.0</v>
      </c>
      <c r="C567" s="2" t="s">
        <v>2039</v>
      </c>
      <c r="D567" s="2" t="s">
        <v>2715</v>
      </c>
      <c r="E567" s="1">
        <v>1.311</v>
      </c>
      <c r="F567" s="1">
        <v>29095.0</v>
      </c>
      <c r="G567" s="1">
        <v>2.90950124E10</v>
      </c>
      <c r="H567" s="1" t="s">
        <v>112</v>
      </c>
      <c r="I567" s="1" t="s">
        <v>113</v>
      </c>
      <c r="J567" s="1" t="s">
        <v>2041</v>
      </c>
      <c r="K567" s="1" t="s">
        <v>2716</v>
      </c>
      <c r="L567" s="1">
        <v>3927.0</v>
      </c>
      <c r="M567" s="1">
        <v>3958.0</v>
      </c>
      <c r="N567" s="1">
        <v>339.0</v>
      </c>
      <c r="O567" s="1">
        <v>1926.0</v>
      </c>
      <c r="P567" s="1">
        <v>1894.0</v>
      </c>
      <c r="Q567" s="1">
        <v>79.0</v>
      </c>
      <c r="R567" s="1">
        <v>1748.0</v>
      </c>
      <c r="S567" s="1">
        <v>324.0</v>
      </c>
      <c r="T567" s="1">
        <v>165.0</v>
      </c>
      <c r="U567" s="1">
        <v>112.0</v>
      </c>
      <c r="V567" s="1">
        <v>383.0</v>
      </c>
      <c r="W567" s="1">
        <v>23444.0</v>
      </c>
      <c r="X567" s="1">
        <v>1905.0</v>
      </c>
      <c r="Y567" s="1">
        <v>322.0</v>
      </c>
      <c r="Z567" s="1">
        <v>250.0</v>
      </c>
      <c r="AA567" s="1">
        <v>748.0</v>
      </c>
      <c r="AB567" s="1">
        <v>769.0</v>
      </c>
      <c r="AC567" s="1">
        <v>184.0</v>
      </c>
      <c r="AD567" s="1">
        <v>824.0</v>
      </c>
      <c r="AE567" s="1">
        <v>125.0</v>
      </c>
      <c r="AF567" s="1">
        <v>437.0</v>
      </c>
      <c r="AG567" s="1">
        <v>165.0</v>
      </c>
      <c r="AH567" s="1">
        <v>85.0</v>
      </c>
      <c r="AI567" s="1">
        <v>80.0</v>
      </c>
      <c r="AJ567" s="1">
        <v>55.0</v>
      </c>
      <c r="AK567" s="1">
        <v>40.0</v>
      </c>
      <c r="AL567" s="1">
        <v>118.0</v>
      </c>
      <c r="AM567" s="1">
        <v>121.0</v>
      </c>
      <c r="AN567" s="1">
        <v>54.0</v>
      </c>
      <c r="AO567" s="1">
        <v>0.0</v>
      </c>
      <c r="AP567" s="1">
        <v>0.081859</v>
      </c>
      <c r="AQ567" s="1">
        <v>0.041093</v>
      </c>
      <c r="AR567" s="1">
        <v>0.051541</v>
      </c>
      <c r="AS567" s="1">
        <v>0.176068</v>
      </c>
      <c r="AT567" s="1">
        <v>23444.0</v>
      </c>
      <c r="AU567" s="1">
        <v>1905.0</v>
      </c>
      <c r="AV567" s="1">
        <v>0.120508</v>
      </c>
      <c r="AW567" s="1">
        <v>0.092605</v>
      </c>
      <c r="AX567" s="1">
        <v>0.190476</v>
      </c>
      <c r="AY567" s="1">
        <v>0.195823</v>
      </c>
      <c r="AZ567" s="1">
        <v>0.10526315</v>
      </c>
      <c r="BA567" s="1">
        <v>0.209829</v>
      </c>
      <c r="BB567" s="1">
        <v>0.034069</v>
      </c>
      <c r="BC567" s="1">
        <v>0.119071</v>
      </c>
      <c r="BD567" s="1">
        <v>0.087117</v>
      </c>
      <c r="BE567" s="1">
        <v>0.044731</v>
      </c>
      <c r="BF567" s="1">
        <v>0.042238</v>
      </c>
      <c r="BG567" s="1">
        <v>0.028985</v>
      </c>
      <c r="BH567" s="1">
        <v>0.022535</v>
      </c>
      <c r="BI567" s="1">
        <v>0.06646</v>
      </c>
      <c r="BJ567" s="1">
        <v>0.068169</v>
      </c>
      <c r="BK567" s="1">
        <v>0.030059</v>
      </c>
      <c r="BL567" s="1">
        <v>0.0</v>
      </c>
      <c r="BM567" s="1">
        <v>0.297</v>
      </c>
      <c r="BN567" s="1">
        <v>0.31</v>
      </c>
      <c r="BO567" s="1">
        <v>0.4267</v>
      </c>
      <c r="BP567" s="1">
        <v>0.43</v>
      </c>
      <c r="BQ567" s="1">
        <v>1.4637</v>
      </c>
      <c r="BR567" s="1">
        <v>0.3314</v>
      </c>
      <c r="BS567" s="1">
        <v>0.839</v>
      </c>
      <c r="BT567" s="1">
        <v>0.172</v>
      </c>
      <c r="BU567" s="1">
        <v>0.543</v>
      </c>
      <c r="BV567" s="1">
        <v>1.554</v>
      </c>
      <c r="BW567" s="1">
        <v>0.524</v>
      </c>
      <c r="BX567" s="1">
        <v>0.721</v>
      </c>
      <c r="BY567" s="1">
        <v>0.93</v>
      </c>
      <c r="BZ567" s="1">
        <v>1.651</v>
      </c>
      <c r="CA567" s="1">
        <v>0.897</v>
      </c>
      <c r="CB567" s="1">
        <v>0.744</v>
      </c>
      <c r="CC567" s="1">
        <v>0.584</v>
      </c>
      <c r="CD567" s="1">
        <v>0.717</v>
      </c>
      <c r="CE567" s="1">
        <v>0.613</v>
      </c>
      <c r="CF567" s="1">
        <v>0.0</v>
      </c>
      <c r="CG567" s="1">
        <v>2.658</v>
      </c>
      <c r="CH567" s="1">
        <v>0.629</v>
      </c>
      <c r="CI567" s="1">
        <v>7.3267</v>
      </c>
      <c r="CJ567" s="1">
        <v>0.6137</v>
      </c>
      <c r="CK567" s="1">
        <v>0.0</v>
      </c>
      <c r="CL567" s="1">
        <v>0.0</v>
      </c>
      <c r="CM567" s="1">
        <v>0.0</v>
      </c>
      <c r="CN567" s="1">
        <v>0.0</v>
      </c>
      <c r="CO567" s="1">
        <v>0.0</v>
      </c>
      <c r="CP567" s="1">
        <v>0.0</v>
      </c>
      <c r="CQ567" s="1">
        <v>0.0</v>
      </c>
      <c r="CR567" s="1">
        <v>0.0</v>
      </c>
      <c r="CS567" s="1">
        <v>0.0</v>
      </c>
      <c r="CT567" s="1">
        <v>0.0</v>
      </c>
      <c r="CU567" s="1">
        <v>1.0</v>
      </c>
      <c r="CV567" s="1">
        <v>1.0</v>
      </c>
      <c r="CW567" s="1">
        <v>0.0</v>
      </c>
      <c r="CX567" s="1">
        <v>0.0</v>
      </c>
      <c r="CY567" s="1">
        <v>0.0</v>
      </c>
      <c r="CZ567" s="1">
        <v>0.0</v>
      </c>
      <c r="DA567" s="1">
        <v>0.0</v>
      </c>
      <c r="DB567" s="1">
        <v>0.0</v>
      </c>
      <c r="DC567" s="1">
        <v>1.0</v>
      </c>
      <c r="DD567" s="1" t="s">
        <v>2717</v>
      </c>
      <c r="DE567" s="1">
        <v>3.52772982039061E-4</v>
      </c>
      <c r="DF567" s="2" t="s">
        <v>2718</v>
      </c>
    </row>
    <row r="568" ht="15.75" customHeight="1">
      <c r="A568" s="1" t="s">
        <v>2719</v>
      </c>
      <c r="B568" s="1">
        <v>29.0</v>
      </c>
      <c r="C568" s="2" t="s">
        <v>2039</v>
      </c>
      <c r="D568" s="2" t="s">
        <v>2720</v>
      </c>
      <c r="E568" s="1">
        <v>1.315</v>
      </c>
      <c r="F568" s="1">
        <v>29095.0</v>
      </c>
      <c r="G568" s="1">
        <v>2.9095012501E10</v>
      </c>
      <c r="H568" s="1" t="s">
        <v>112</v>
      </c>
      <c r="I568" s="1" t="s">
        <v>113</v>
      </c>
      <c r="J568" s="1" t="s">
        <v>2041</v>
      </c>
      <c r="K568" s="1" t="s">
        <v>2721</v>
      </c>
      <c r="L568" s="1">
        <v>3491.0</v>
      </c>
      <c r="M568" s="1">
        <v>3649.0</v>
      </c>
      <c r="N568" s="1">
        <v>290.0</v>
      </c>
      <c r="O568" s="1">
        <v>1488.0</v>
      </c>
      <c r="P568" s="1">
        <v>1732.0</v>
      </c>
      <c r="Q568" s="1">
        <v>80.0</v>
      </c>
      <c r="R568" s="1">
        <v>1359.0</v>
      </c>
      <c r="S568" s="1">
        <v>466.0</v>
      </c>
      <c r="T568" s="1">
        <v>231.0</v>
      </c>
      <c r="U568" s="1">
        <v>211.0</v>
      </c>
      <c r="V568" s="1">
        <v>376.0</v>
      </c>
      <c r="W568" s="1">
        <v>20964.0</v>
      </c>
      <c r="X568" s="1">
        <v>1984.0</v>
      </c>
      <c r="Y568" s="1">
        <v>367.0</v>
      </c>
      <c r="Z568" s="1">
        <v>252.0</v>
      </c>
      <c r="AA568" s="1">
        <v>488.0</v>
      </c>
      <c r="AB568" s="1">
        <v>834.0</v>
      </c>
      <c r="AC568" s="1">
        <v>227.0</v>
      </c>
      <c r="AD568" s="1">
        <v>1252.0</v>
      </c>
      <c r="AE568" s="1">
        <v>43.0</v>
      </c>
      <c r="AF568" s="1">
        <v>446.0</v>
      </c>
      <c r="AG568" s="1">
        <v>224.0</v>
      </c>
      <c r="AH568" s="1">
        <v>134.0</v>
      </c>
      <c r="AI568" s="1">
        <v>0.0</v>
      </c>
      <c r="AJ568" s="1">
        <v>114.0</v>
      </c>
      <c r="AK568" s="1">
        <v>0.0</v>
      </c>
      <c r="AL568" s="1">
        <v>161.0</v>
      </c>
      <c r="AM568" s="1">
        <v>143.0</v>
      </c>
      <c r="AN568" s="1">
        <v>53.0</v>
      </c>
      <c r="AO568" s="1">
        <v>133.0</v>
      </c>
      <c r="AP568" s="1">
        <v>0.127986</v>
      </c>
      <c r="AQ568" s="1">
        <v>0.062625</v>
      </c>
      <c r="AR568" s="1">
        <v>0.120022</v>
      </c>
      <c r="AS568" s="1">
        <v>0.213261</v>
      </c>
      <c r="AT568" s="1">
        <v>20964.0</v>
      </c>
      <c r="AU568" s="1">
        <v>1984.0</v>
      </c>
      <c r="AV568" s="1">
        <v>0.150533</v>
      </c>
      <c r="AW568" s="1">
        <v>0.102723</v>
      </c>
      <c r="AX568" s="1">
        <v>0.139788</v>
      </c>
      <c r="AY568" s="1">
        <v>0.2389</v>
      </c>
      <c r="AZ568" s="1">
        <v>0.16703458</v>
      </c>
      <c r="BA568" s="1">
        <v>0.358636</v>
      </c>
      <c r="BB568" s="1">
        <v>0.012492</v>
      </c>
      <c r="BC568" s="1">
        <v>0.129572</v>
      </c>
      <c r="BD568" s="1">
        <v>0.12933</v>
      </c>
      <c r="BE568" s="1">
        <v>0.077136</v>
      </c>
      <c r="BF568" s="1">
        <v>0.0</v>
      </c>
      <c r="BG568" s="1">
        <v>0.065819</v>
      </c>
      <c r="BH568" s="1">
        <v>0.0</v>
      </c>
      <c r="BI568" s="1">
        <v>0.10516</v>
      </c>
      <c r="BJ568" s="1">
        <v>0.093403</v>
      </c>
      <c r="BK568" s="1">
        <v>0.03402</v>
      </c>
      <c r="BL568" s="1">
        <v>0.038097</v>
      </c>
      <c r="BM568" s="1">
        <v>0.488</v>
      </c>
      <c r="BN568" s="1">
        <v>0.823</v>
      </c>
      <c r="BO568" s="1">
        <v>0.556</v>
      </c>
      <c r="BP568" s="1">
        <v>0.57</v>
      </c>
      <c r="BQ568" s="1">
        <v>2.437</v>
      </c>
      <c r="BR568" s="1">
        <v>0.6433</v>
      </c>
      <c r="BS568" s="1">
        <v>0.497</v>
      </c>
      <c r="BT568" s="1">
        <v>0.485</v>
      </c>
      <c r="BU568" s="1">
        <v>0.839</v>
      </c>
      <c r="BV568" s="1">
        <v>1.821</v>
      </c>
      <c r="BW568" s="1">
        <v>0.738</v>
      </c>
      <c r="BX568" s="1">
        <v>0.823</v>
      </c>
      <c r="BY568" s="1">
        <v>0.78</v>
      </c>
      <c r="BZ568" s="1">
        <v>1.603</v>
      </c>
      <c r="CA568" s="1">
        <v>0.873</v>
      </c>
      <c r="CB568" s="1">
        <v>0.812</v>
      </c>
      <c r="CC568" s="1">
        <v>0.0</v>
      </c>
      <c r="CD568" s="1">
        <v>0.0</v>
      </c>
      <c r="CE568" s="1">
        <v>0.733</v>
      </c>
      <c r="CF568" s="1">
        <v>0.858</v>
      </c>
      <c r="CG568" s="1">
        <v>2.403</v>
      </c>
      <c r="CH568" s="1">
        <v>0.519</v>
      </c>
      <c r="CI568" s="1">
        <v>8.264</v>
      </c>
      <c r="CJ568" s="1">
        <v>0.7545</v>
      </c>
      <c r="CK568" s="1">
        <v>0.0</v>
      </c>
      <c r="CL568" s="1">
        <v>0.0</v>
      </c>
      <c r="CM568" s="1">
        <v>0.0</v>
      </c>
      <c r="CN568" s="1">
        <v>0.0</v>
      </c>
      <c r="CO568" s="1">
        <v>0.0</v>
      </c>
      <c r="CP568" s="1">
        <v>0.0</v>
      </c>
      <c r="CQ568" s="1">
        <v>0.0</v>
      </c>
      <c r="CR568" s="1">
        <v>0.0</v>
      </c>
      <c r="CS568" s="1">
        <v>0.0</v>
      </c>
      <c r="CT568" s="1">
        <v>0.0</v>
      </c>
      <c r="CU568" s="1">
        <v>0.0</v>
      </c>
      <c r="CV568" s="1">
        <v>0.0</v>
      </c>
      <c r="CW568" s="1">
        <v>0.0</v>
      </c>
      <c r="CX568" s="1">
        <v>0.0</v>
      </c>
      <c r="CY568" s="1">
        <v>0.0</v>
      </c>
      <c r="CZ568" s="1">
        <v>0.0</v>
      </c>
      <c r="DA568" s="1">
        <v>0.0</v>
      </c>
      <c r="DB568" s="1">
        <v>0.0</v>
      </c>
      <c r="DC568" s="1">
        <v>0.0</v>
      </c>
      <c r="DD568" s="1" t="s">
        <v>2722</v>
      </c>
      <c r="DE568" s="1">
        <v>3.57371606164846E-4</v>
      </c>
      <c r="DF568" s="2" t="s">
        <v>2723</v>
      </c>
    </row>
    <row r="569" ht="15.75" customHeight="1">
      <c r="A569" s="1" t="s">
        <v>2724</v>
      </c>
      <c r="B569" s="1">
        <v>29.0</v>
      </c>
      <c r="C569" s="2" t="s">
        <v>2039</v>
      </c>
      <c r="D569" s="2" t="s">
        <v>2725</v>
      </c>
      <c r="E569" s="1">
        <v>0.943</v>
      </c>
      <c r="F569" s="1">
        <v>29095.0</v>
      </c>
      <c r="G569" s="1">
        <v>2.9095012502E10</v>
      </c>
      <c r="H569" s="1" t="s">
        <v>112</v>
      </c>
      <c r="I569" s="1" t="s">
        <v>113</v>
      </c>
      <c r="J569" s="1" t="s">
        <v>2041</v>
      </c>
      <c r="K569" s="1" t="s">
        <v>2726</v>
      </c>
      <c r="L569" s="1">
        <v>2913.0</v>
      </c>
      <c r="M569" s="1">
        <v>2712.0</v>
      </c>
      <c r="N569" s="1">
        <v>267.0</v>
      </c>
      <c r="O569" s="1">
        <v>1307.0</v>
      </c>
      <c r="P569" s="1">
        <v>1262.0</v>
      </c>
      <c r="Q569" s="1">
        <v>58.0</v>
      </c>
      <c r="R569" s="1">
        <v>1188.0</v>
      </c>
      <c r="S569" s="1">
        <v>195.0</v>
      </c>
      <c r="T569" s="1">
        <v>162.0</v>
      </c>
      <c r="U569" s="1">
        <v>96.0</v>
      </c>
      <c r="V569" s="1">
        <v>447.0</v>
      </c>
      <c r="W569" s="1">
        <v>24826.0</v>
      </c>
      <c r="X569" s="1">
        <v>3062.0</v>
      </c>
      <c r="Y569" s="1">
        <v>101.0</v>
      </c>
      <c r="Z569" s="1">
        <v>307.0</v>
      </c>
      <c r="AA569" s="1">
        <v>632.0</v>
      </c>
      <c r="AB569" s="1">
        <v>613.0</v>
      </c>
      <c r="AC569" s="1">
        <v>141.0</v>
      </c>
      <c r="AD569" s="1">
        <v>789.0</v>
      </c>
      <c r="AE569" s="1">
        <v>34.0</v>
      </c>
      <c r="AF569" s="1">
        <v>412.0</v>
      </c>
      <c r="AG569" s="1">
        <v>29.0</v>
      </c>
      <c r="AH569" s="1">
        <v>164.0</v>
      </c>
      <c r="AI569" s="1">
        <v>0.0</v>
      </c>
      <c r="AJ569" s="1">
        <v>114.0</v>
      </c>
      <c r="AK569" s="1">
        <v>0.0</v>
      </c>
      <c r="AL569" s="1">
        <v>161.0</v>
      </c>
      <c r="AM569" s="1">
        <v>119.0</v>
      </c>
      <c r="AN569" s="1">
        <v>65.0</v>
      </c>
      <c r="AO569" s="1">
        <v>134.0</v>
      </c>
      <c r="AP569" s="1">
        <v>0.075231</v>
      </c>
      <c r="AQ569" s="1">
        <v>0.062087</v>
      </c>
      <c r="AR569" s="1">
        <v>0.076372</v>
      </c>
      <c r="AS569" s="1">
        <v>0.355368</v>
      </c>
      <c r="AT569" s="1">
        <v>24826.0</v>
      </c>
      <c r="AU569" s="1">
        <v>3062.0</v>
      </c>
      <c r="AV569" s="1">
        <v>0.05498</v>
      </c>
      <c r="AW569" s="1">
        <v>0.166986</v>
      </c>
      <c r="AX569" s="1">
        <v>0.216958</v>
      </c>
      <c r="AY569" s="1">
        <v>0.210435</v>
      </c>
      <c r="AZ569" s="1">
        <v>0.11868686</v>
      </c>
      <c r="BA569" s="1">
        <v>0.270854</v>
      </c>
      <c r="BB569" s="1">
        <v>0.013245</v>
      </c>
      <c r="BC569" s="1">
        <v>0.160493</v>
      </c>
      <c r="BD569" s="1">
        <v>0.022979</v>
      </c>
      <c r="BE569" s="1">
        <v>0.129948</v>
      </c>
      <c r="BF569" s="1">
        <v>0.0</v>
      </c>
      <c r="BG569" s="1">
        <v>0.090332</v>
      </c>
      <c r="BH569" s="1">
        <v>0.0</v>
      </c>
      <c r="BI569" s="1">
        <v>0.137021</v>
      </c>
      <c r="BJ569" s="1">
        <v>0.101276</v>
      </c>
      <c r="BK569" s="1">
        <v>0.054696</v>
      </c>
      <c r="BL569" s="1">
        <v>0.046</v>
      </c>
      <c r="BM569" s="1">
        <v>0.268</v>
      </c>
      <c r="BN569" s="1">
        <v>0.573</v>
      </c>
      <c r="BO569" s="1">
        <v>0.3552</v>
      </c>
      <c r="BP569" s="1">
        <v>0.147</v>
      </c>
      <c r="BQ569" s="1">
        <v>1.3432</v>
      </c>
      <c r="BR569" s="1">
        <v>0.2924</v>
      </c>
      <c r="BS569" s="1">
        <v>0.925</v>
      </c>
      <c r="BT569" s="1">
        <v>0.238</v>
      </c>
      <c r="BU569" s="1">
        <v>0.661</v>
      </c>
      <c r="BV569" s="1">
        <v>1.824</v>
      </c>
      <c r="BW569" s="1">
        <v>0.744</v>
      </c>
      <c r="BX569" s="1">
        <v>0.774</v>
      </c>
      <c r="BY569" s="1">
        <v>0.789</v>
      </c>
      <c r="BZ569" s="1">
        <v>1.563</v>
      </c>
      <c r="CA569" s="1">
        <v>0.858</v>
      </c>
      <c r="CB569" s="1">
        <v>0.5</v>
      </c>
      <c r="CC569" s="1">
        <v>0.0</v>
      </c>
      <c r="CD569" s="1">
        <v>0.0</v>
      </c>
      <c r="CE569" s="1">
        <v>0.756</v>
      </c>
      <c r="CF569" s="1">
        <v>0.883</v>
      </c>
      <c r="CG569" s="1">
        <v>2.139</v>
      </c>
      <c r="CH569" s="1">
        <v>0.395</v>
      </c>
      <c r="CI569" s="1">
        <v>6.8692</v>
      </c>
      <c r="CJ569" s="1">
        <v>0.5242</v>
      </c>
      <c r="CK569" s="1">
        <v>0.0</v>
      </c>
      <c r="CL569" s="1">
        <v>0.0</v>
      </c>
      <c r="CM569" s="1">
        <v>0.0</v>
      </c>
      <c r="CN569" s="1">
        <v>0.0</v>
      </c>
      <c r="CO569" s="1">
        <v>0.0</v>
      </c>
      <c r="CP569" s="1">
        <v>1.0</v>
      </c>
      <c r="CQ569" s="1">
        <v>0.0</v>
      </c>
      <c r="CR569" s="1">
        <v>0.0</v>
      </c>
      <c r="CS569" s="1">
        <v>1.0</v>
      </c>
      <c r="CT569" s="1">
        <v>0.0</v>
      </c>
      <c r="CU569" s="1">
        <v>0.0</v>
      </c>
      <c r="CV569" s="1">
        <v>0.0</v>
      </c>
      <c r="CW569" s="1">
        <v>0.0</v>
      </c>
      <c r="CX569" s="1">
        <v>0.0</v>
      </c>
      <c r="CY569" s="1">
        <v>0.0</v>
      </c>
      <c r="CZ569" s="1">
        <v>0.0</v>
      </c>
      <c r="DA569" s="1">
        <v>0.0</v>
      </c>
      <c r="DB569" s="1">
        <v>0.0</v>
      </c>
      <c r="DC569" s="1">
        <v>1.0</v>
      </c>
      <c r="DD569" s="1" t="s">
        <v>2727</v>
      </c>
      <c r="DE569" s="1">
        <v>2.54350972356933E-4</v>
      </c>
      <c r="DF569" s="1">
        <v>0.0822250281346076</v>
      </c>
    </row>
    <row r="570" ht="15.75" customHeight="1">
      <c r="A570" s="1" t="s">
        <v>2728</v>
      </c>
      <c r="B570" s="1">
        <v>29.0</v>
      </c>
      <c r="C570" s="2" t="s">
        <v>2039</v>
      </c>
      <c r="D570" s="2" t="s">
        <v>2729</v>
      </c>
      <c r="E570" s="1">
        <v>1.588</v>
      </c>
      <c r="F570" s="1">
        <v>29095.0</v>
      </c>
      <c r="G570" s="1">
        <v>2.90950126E10</v>
      </c>
      <c r="H570" s="1" t="s">
        <v>112</v>
      </c>
      <c r="I570" s="1" t="s">
        <v>113</v>
      </c>
      <c r="J570" s="1" t="s">
        <v>2041</v>
      </c>
      <c r="K570" s="1" t="s">
        <v>2730</v>
      </c>
      <c r="L570" s="1">
        <v>4587.0</v>
      </c>
      <c r="M570" s="1">
        <v>4856.0</v>
      </c>
      <c r="N570" s="1">
        <v>430.0</v>
      </c>
      <c r="O570" s="1">
        <v>2384.0</v>
      </c>
      <c r="P570" s="1">
        <v>2307.0</v>
      </c>
      <c r="Q570" s="1">
        <v>105.0</v>
      </c>
      <c r="R570" s="1">
        <v>2045.0</v>
      </c>
      <c r="S570" s="1">
        <v>527.0</v>
      </c>
      <c r="T570" s="1">
        <v>275.0</v>
      </c>
      <c r="U570" s="1">
        <v>96.0</v>
      </c>
      <c r="V570" s="1">
        <v>448.0</v>
      </c>
      <c r="W570" s="1">
        <v>21536.0</v>
      </c>
      <c r="X570" s="1">
        <v>1978.0</v>
      </c>
      <c r="Y570" s="1">
        <v>434.0</v>
      </c>
      <c r="Z570" s="1">
        <v>307.0</v>
      </c>
      <c r="AA570" s="1">
        <v>704.0</v>
      </c>
      <c r="AB570" s="1">
        <v>1026.0</v>
      </c>
      <c r="AC570" s="1">
        <v>290.0</v>
      </c>
      <c r="AD570" s="1">
        <v>1498.0</v>
      </c>
      <c r="AE570" s="1">
        <v>97.0</v>
      </c>
      <c r="AF570" s="1">
        <v>404.0</v>
      </c>
      <c r="AG570" s="1">
        <v>388.0</v>
      </c>
      <c r="AH570" s="1">
        <v>149.0</v>
      </c>
      <c r="AI570" s="1">
        <v>0.0</v>
      </c>
      <c r="AJ570" s="1">
        <v>114.0</v>
      </c>
      <c r="AK570" s="1">
        <v>31.0</v>
      </c>
      <c r="AL570" s="1">
        <v>118.0</v>
      </c>
      <c r="AM570" s="1">
        <v>239.0</v>
      </c>
      <c r="AN570" s="1">
        <v>125.0</v>
      </c>
      <c r="AO570" s="1">
        <v>84.0</v>
      </c>
      <c r="AP570" s="1">
        <v>0.109495</v>
      </c>
      <c r="AQ570" s="1">
        <v>0.056359</v>
      </c>
      <c r="AR570" s="1">
        <v>0.036363</v>
      </c>
      <c r="AS570" s="1">
        <v>0.169622</v>
      </c>
      <c r="AT570" s="1">
        <v>21536.0</v>
      </c>
      <c r="AU570" s="1">
        <v>1978.0</v>
      </c>
      <c r="AV570" s="1">
        <v>0.12333</v>
      </c>
      <c r="AW570" s="1">
        <v>0.086638</v>
      </c>
      <c r="AX570" s="1">
        <v>0.153477</v>
      </c>
      <c r="AY570" s="1">
        <v>0.223675</v>
      </c>
      <c r="AZ570" s="1">
        <v>0.14180929</v>
      </c>
      <c r="BA570" s="1">
        <v>0.326575</v>
      </c>
      <c r="BB570" s="1">
        <v>0.022355</v>
      </c>
      <c r="BC570" s="1">
        <v>0.093092</v>
      </c>
      <c r="BD570" s="1">
        <v>0.168183</v>
      </c>
      <c r="BE570" s="1">
        <v>0.06413</v>
      </c>
      <c r="BF570" s="1">
        <v>0.0</v>
      </c>
      <c r="BG570" s="1">
        <v>0.049414</v>
      </c>
      <c r="BH570" s="1">
        <v>0.014768</v>
      </c>
      <c r="BI570" s="1">
        <v>0.056209</v>
      </c>
      <c r="BJ570" s="1">
        <v>0.113863</v>
      </c>
      <c r="BK570" s="1">
        <v>0.059139</v>
      </c>
      <c r="BL570" s="1">
        <v>0.018312</v>
      </c>
      <c r="BM570" s="1">
        <v>0.41</v>
      </c>
      <c r="BN570" s="1">
        <v>0.15</v>
      </c>
      <c r="BO570" s="1">
        <v>0.517</v>
      </c>
      <c r="BP570" s="1">
        <v>0.443</v>
      </c>
      <c r="BQ570" s="1">
        <v>1.52</v>
      </c>
      <c r="BR570" s="1">
        <v>0.3444</v>
      </c>
      <c r="BS570" s="1">
        <v>0.607</v>
      </c>
      <c r="BT570" s="1">
        <v>0.332</v>
      </c>
      <c r="BU570" s="1">
        <v>0.769</v>
      </c>
      <c r="BV570" s="1">
        <v>1.708</v>
      </c>
      <c r="BW570" s="1">
        <v>0.646</v>
      </c>
      <c r="BX570" s="1">
        <v>0.805</v>
      </c>
      <c r="BY570" s="1">
        <v>0.871</v>
      </c>
      <c r="BZ570" s="1">
        <v>1.676</v>
      </c>
      <c r="CA570" s="1">
        <v>0.909</v>
      </c>
      <c r="CB570" s="1">
        <v>0.865</v>
      </c>
      <c r="CC570" s="1">
        <v>0.0</v>
      </c>
      <c r="CD570" s="1">
        <v>0.589</v>
      </c>
      <c r="CE570" s="1">
        <v>0.793</v>
      </c>
      <c r="CF570" s="1">
        <v>0.689</v>
      </c>
      <c r="CG570" s="1">
        <v>2.936</v>
      </c>
      <c r="CH570" s="1">
        <v>0.745</v>
      </c>
      <c r="CI570" s="1">
        <v>7.84</v>
      </c>
      <c r="CJ570" s="1">
        <v>0.6866</v>
      </c>
      <c r="CK570" s="1">
        <v>0.0</v>
      </c>
      <c r="CL570" s="1">
        <v>0.0</v>
      </c>
      <c r="CM570" s="1">
        <v>0.0</v>
      </c>
      <c r="CN570" s="1">
        <v>0.0</v>
      </c>
      <c r="CO570" s="1">
        <v>0.0</v>
      </c>
      <c r="CP570" s="1">
        <v>0.0</v>
      </c>
      <c r="CQ570" s="1">
        <v>0.0</v>
      </c>
      <c r="CR570" s="1">
        <v>0.0</v>
      </c>
      <c r="CS570" s="1">
        <v>0.0</v>
      </c>
      <c r="CT570" s="1">
        <v>0.0</v>
      </c>
      <c r="CU570" s="1">
        <v>0.0</v>
      </c>
      <c r="CV570" s="1">
        <v>0.0</v>
      </c>
      <c r="CW570" s="1">
        <v>0.0</v>
      </c>
      <c r="CX570" s="1">
        <v>0.0</v>
      </c>
      <c r="CY570" s="1">
        <v>0.0</v>
      </c>
      <c r="CZ570" s="1">
        <v>0.0</v>
      </c>
      <c r="DA570" s="1">
        <v>0.0</v>
      </c>
      <c r="DB570" s="1">
        <v>0.0</v>
      </c>
      <c r="DC570" s="1">
        <v>0.0</v>
      </c>
      <c r="DD570" s="1" t="s">
        <v>2731</v>
      </c>
      <c r="DE570" s="1">
        <v>4.27473313045845E-4</v>
      </c>
      <c r="DF570" s="1">
        <v>0.091665897774529</v>
      </c>
    </row>
    <row r="571" ht="15.75" customHeight="1">
      <c r="A571" s="1" t="s">
        <v>2732</v>
      </c>
      <c r="B571" s="1">
        <v>29.0</v>
      </c>
      <c r="C571" s="2" t="s">
        <v>2039</v>
      </c>
      <c r="D571" s="2" t="s">
        <v>2733</v>
      </c>
      <c r="E571" s="1">
        <v>1.875</v>
      </c>
      <c r="F571" s="1">
        <v>29095.0</v>
      </c>
      <c r="G571" s="1">
        <v>2.9095012802E10</v>
      </c>
      <c r="H571" s="1" t="s">
        <v>112</v>
      </c>
      <c r="I571" s="1" t="s">
        <v>113</v>
      </c>
      <c r="J571" s="1" t="s">
        <v>2041</v>
      </c>
      <c r="K571" s="1" t="s">
        <v>2734</v>
      </c>
      <c r="L571" s="1">
        <v>3690.0</v>
      </c>
      <c r="M571" s="1">
        <v>3723.0</v>
      </c>
      <c r="N571" s="1">
        <v>464.0</v>
      </c>
      <c r="O571" s="1">
        <v>1683.0</v>
      </c>
      <c r="P571" s="1">
        <v>1651.0</v>
      </c>
      <c r="Q571" s="1">
        <v>58.0</v>
      </c>
      <c r="R571" s="1">
        <v>1559.0</v>
      </c>
      <c r="S571" s="1">
        <v>446.0</v>
      </c>
      <c r="T571" s="1">
        <v>270.0</v>
      </c>
      <c r="U571" s="1">
        <v>123.0</v>
      </c>
      <c r="V571" s="1">
        <v>433.0</v>
      </c>
      <c r="W571" s="1">
        <v>29522.0</v>
      </c>
      <c r="X571" s="1">
        <v>3346.0</v>
      </c>
      <c r="Y571" s="1">
        <v>235.0</v>
      </c>
      <c r="Z571" s="1">
        <v>331.0</v>
      </c>
      <c r="AA571" s="1">
        <v>694.0</v>
      </c>
      <c r="AB571" s="1">
        <v>772.0</v>
      </c>
      <c r="AC571" s="1">
        <v>182.0</v>
      </c>
      <c r="AD571" s="1">
        <v>1343.0</v>
      </c>
      <c r="AE571" s="1">
        <v>43.0</v>
      </c>
      <c r="AF571" s="1">
        <v>429.0</v>
      </c>
      <c r="AG571" s="1">
        <v>65.0</v>
      </c>
      <c r="AH571" s="1">
        <v>119.0</v>
      </c>
      <c r="AI571" s="1">
        <v>0.0</v>
      </c>
      <c r="AJ571" s="1">
        <v>114.0</v>
      </c>
      <c r="AK571" s="1">
        <v>67.0</v>
      </c>
      <c r="AL571" s="1">
        <v>130.0</v>
      </c>
      <c r="AM571" s="1">
        <v>54.0</v>
      </c>
      <c r="AN571" s="1">
        <v>38.0</v>
      </c>
      <c r="AO571" s="1">
        <v>18.0</v>
      </c>
      <c r="AP571" s="1">
        <v>0.121592</v>
      </c>
      <c r="AQ571" s="1">
        <v>0.072136</v>
      </c>
      <c r="AR571" s="1">
        <v>0.066558</v>
      </c>
      <c r="AS571" s="1">
        <v>0.234114</v>
      </c>
      <c r="AT571" s="1">
        <v>29522.0</v>
      </c>
      <c r="AU571" s="1">
        <v>3346.0</v>
      </c>
      <c r="AV571" s="1">
        <v>0.085392</v>
      </c>
      <c r="AW571" s="1">
        <v>0.119883</v>
      </c>
      <c r="AX571" s="1">
        <v>0.188075</v>
      </c>
      <c r="AY571" s="1">
        <v>0.209214</v>
      </c>
      <c r="AZ571" s="1">
        <v>0.1167415</v>
      </c>
      <c r="BA571" s="1">
        <v>0.363956</v>
      </c>
      <c r="BB571" s="1">
        <v>0.012226</v>
      </c>
      <c r="BC571" s="1">
        <v>0.121969</v>
      </c>
      <c r="BD571" s="1">
        <v>0.03937</v>
      </c>
      <c r="BE571" s="1">
        <v>0.072064</v>
      </c>
      <c r="BF571" s="1">
        <v>0.0</v>
      </c>
      <c r="BG571" s="1">
        <v>0.069049</v>
      </c>
      <c r="BH571" s="1">
        <v>0.044846</v>
      </c>
      <c r="BI571" s="1">
        <v>0.08695</v>
      </c>
      <c r="BJ571" s="1">
        <v>0.036144</v>
      </c>
      <c r="BK571" s="1">
        <v>0.025292</v>
      </c>
      <c r="BL571" s="1">
        <v>0.004878</v>
      </c>
      <c r="BM571" s="1">
        <v>0.46</v>
      </c>
      <c r="BN571" s="1">
        <v>0.483</v>
      </c>
      <c r="BO571" s="1">
        <v>0.2072</v>
      </c>
      <c r="BP571" s="1">
        <v>0.271</v>
      </c>
      <c r="BQ571" s="1">
        <v>1.4212</v>
      </c>
      <c r="BR571" s="1">
        <v>0.3191</v>
      </c>
      <c r="BS571" s="1">
        <v>0.828</v>
      </c>
      <c r="BT571" s="1">
        <v>0.233</v>
      </c>
      <c r="BU571" s="1">
        <v>0.648</v>
      </c>
      <c r="BV571" s="1">
        <v>1.709</v>
      </c>
      <c r="BW571" s="1">
        <v>0.646</v>
      </c>
      <c r="BX571" s="1">
        <v>0.823</v>
      </c>
      <c r="BY571" s="1">
        <v>0.774</v>
      </c>
      <c r="BZ571" s="1">
        <v>1.597</v>
      </c>
      <c r="CA571" s="1">
        <v>0.87</v>
      </c>
      <c r="CB571" s="1">
        <v>0.608</v>
      </c>
      <c r="CC571" s="1">
        <v>0.0</v>
      </c>
      <c r="CD571" s="1">
        <v>0.914</v>
      </c>
      <c r="CE571" s="1">
        <v>0.343</v>
      </c>
      <c r="CF571" s="1">
        <v>0.507</v>
      </c>
      <c r="CG571" s="1">
        <v>2.372</v>
      </c>
      <c r="CH571" s="1">
        <v>0.497</v>
      </c>
      <c r="CI571" s="1">
        <v>7.0992</v>
      </c>
      <c r="CJ571" s="1">
        <v>0.5697</v>
      </c>
      <c r="CK571" s="1">
        <v>0.0</v>
      </c>
      <c r="CL571" s="1">
        <v>0.0</v>
      </c>
      <c r="CM571" s="1">
        <v>0.0</v>
      </c>
      <c r="CN571" s="1">
        <v>0.0</v>
      </c>
      <c r="CO571" s="1">
        <v>0.0</v>
      </c>
      <c r="CP571" s="1">
        <v>0.0</v>
      </c>
      <c r="CQ571" s="1">
        <v>0.0</v>
      </c>
      <c r="CR571" s="1">
        <v>0.0</v>
      </c>
      <c r="CS571" s="1">
        <v>0.0</v>
      </c>
      <c r="CT571" s="1">
        <v>0.0</v>
      </c>
      <c r="CU571" s="1">
        <v>0.0</v>
      </c>
      <c r="CV571" s="1">
        <v>0.0</v>
      </c>
      <c r="CW571" s="1">
        <v>0.0</v>
      </c>
      <c r="CX571" s="1">
        <v>0.0</v>
      </c>
      <c r="CY571" s="1">
        <v>1.0</v>
      </c>
      <c r="CZ571" s="1">
        <v>0.0</v>
      </c>
      <c r="DA571" s="1">
        <v>0.0</v>
      </c>
      <c r="DB571" s="1">
        <v>1.0</v>
      </c>
      <c r="DC571" s="1">
        <v>1.0</v>
      </c>
      <c r="DD571" s="1" t="s">
        <v>2735</v>
      </c>
      <c r="DE571" s="1">
        <v>5.03291641308256E-4</v>
      </c>
      <c r="DF571" s="2" t="s">
        <v>2736</v>
      </c>
    </row>
    <row r="572" ht="15.75" customHeight="1">
      <c r="A572" s="1" t="s">
        <v>2737</v>
      </c>
      <c r="B572" s="1">
        <v>29.0</v>
      </c>
      <c r="C572" s="2" t="s">
        <v>2039</v>
      </c>
      <c r="D572" s="2" t="s">
        <v>2738</v>
      </c>
      <c r="E572" s="1">
        <v>0.995</v>
      </c>
      <c r="F572" s="1">
        <v>29095.0</v>
      </c>
      <c r="G572" s="1">
        <v>2.9095012803E10</v>
      </c>
      <c r="H572" s="1" t="s">
        <v>112</v>
      </c>
      <c r="I572" s="1" t="s">
        <v>113</v>
      </c>
      <c r="J572" s="1" t="s">
        <v>2041</v>
      </c>
      <c r="K572" s="1" t="s">
        <v>2739</v>
      </c>
      <c r="L572" s="1">
        <v>2086.0</v>
      </c>
      <c r="M572" s="1">
        <v>1778.0</v>
      </c>
      <c r="N572" s="1">
        <v>172.0</v>
      </c>
      <c r="O572" s="1">
        <v>1039.0</v>
      </c>
      <c r="P572" s="1">
        <v>1001.0</v>
      </c>
      <c r="Q572" s="1">
        <v>62.0</v>
      </c>
      <c r="R572" s="1">
        <v>929.0</v>
      </c>
      <c r="S572" s="1">
        <v>156.0</v>
      </c>
      <c r="T572" s="1">
        <v>106.0</v>
      </c>
      <c r="U572" s="1">
        <v>43.0</v>
      </c>
      <c r="V572" s="1">
        <v>472.0</v>
      </c>
      <c r="W572" s="1">
        <v>25796.0</v>
      </c>
      <c r="X572" s="1">
        <v>3570.0</v>
      </c>
      <c r="Y572" s="1">
        <v>67.0</v>
      </c>
      <c r="Z572" s="1">
        <v>398.0</v>
      </c>
      <c r="AA572" s="1">
        <v>347.0</v>
      </c>
      <c r="AB572" s="1">
        <v>473.0</v>
      </c>
      <c r="AC572" s="1">
        <v>137.0</v>
      </c>
      <c r="AD572" s="1">
        <v>589.0</v>
      </c>
      <c r="AE572" s="1">
        <v>9.0</v>
      </c>
      <c r="AF572" s="1">
        <v>442.0</v>
      </c>
      <c r="AG572" s="1">
        <v>127.0</v>
      </c>
      <c r="AH572" s="1">
        <v>147.0</v>
      </c>
      <c r="AI572" s="1">
        <v>0.0</v>
      </c>
      <c r="AJ572" s="1">
        <v>114.0</v>
      </c>
      <c r="AK572" s="1">
        <v>0.0</v>
      </c>
      <c r="AL572" s="1">
        <v>161.0</v>
      </c>
      <c r="AM572" s="1">
        <v>59.0</v>
      </c>
      <c r="AN572" s="1">
        <v>53.0</v>
      </c>
      <c r="AO572" s="1">
        <v>0.0</v>
      </c>
      <c r="AP572" s="1">
        <v>0.087739</v>
      </c>
      <c r="AQ572" s="1">
        <v>0.05901</v>
      </c>
      <c r="AR572" s="1">
        <v>0.047356</v>
      </c>
      <c r="AS572" s="1">
        <v>0.519633</v>
      </c>
      <c r="AT572" s="1">
        <v>25796.0</v>
      </c>
      <c r="AU572" s="1">
        <v>3570.0</v>
      </c>
      <c r="AV572" s="1">
        <v>0.053945</v>
      </c>
      <c r="AW572" s="1">
        <v>0.320389</v>
      </c>
      <c r="AX572" s="1">
        <v>0.166347</v>
      </c>
      <c r="AY572" s="1">
        <v>0.226749</v>
      </c>
      <c r="AZ572" s="1">
        <v>0.14747039</v>
      </c>
      <c r="BA572" s="1">
        <v>0.282358</v>
      </c>
      <c r="BB572" s="1">
        <v>0.005334</v>
      </c>
      <c r="BC572" s="1">
        <v>0.262002</v>
      </c>
      <c r="BD572" s="1">
        <v>0.126873</v>
      </c>
      <c r="BE572" s="1">
        <v>0.146642</v>
      </c>
      <c r="BF572" s="1">
        <v>0.0</v>
      </c>
      <c r="BG572" s="1">
        <v>0.113886</v>
      </c>
      <c r="BH572" s="1">
        <v>0.0</v>
      </c>
      <c r="BI572" s="1">
        <v>0.198275</v>
      </c>
      <c r="BJ572" s="1">
        <v>0.07266</v>
      </c>
      <c r="BK572" s="1">
        <v>0.064654</v>
      </c>
      <c r="BL572" s="1">
        <v>0.0</v>
      </c>
      <c r="BM572" s="1">
        <v>0.326</v>
      </c>
      <c r="BN572" s="1">
        <v>0.268</v>
      </c>
      <c r="BO572" s="1">
        <v>0.3177</v>
      </c>
      <c r="BP572" s="1">
        <v>0.143</v>
      </c>
      <c r="BQ572" s="1">
        <v>1.0547</v>
      </c>
      <c r="BR572" s="1">
        <v>0.2166</v>
      </c>
      <c r="BS572" s="1">
        <v>0.71</v>
      </c>
      <c r="BT572" s="1">
        <v>0.356</v>
      </c>
      <c r="BU572" s="1">
        <v>0.784</v>
      </c>
      <c r="BV572" s="1">
        <v>1.85</v>
      </c>
      <c r="BW572" s="1">
        <v>0.769</v>
      </c>
      <c r="BX572" s="1">
        <v>0.779</v>
      </c>
      <c r="BY572" s="1">
        <v>0.574</v>
      </c>
      <c r="BZ572" s="1">
        <v>1.353</v>
      </c>
      <c r="CA572" s="1">
        <v>0.74</v>
      </c>
      <c r="CB572" s="1">
        <v>0.809</v>
      </c>
      <c r="CC572" s="1">
        <v>0.0</v>
      </c>
      <c r="CD572" s="1">
        <v>0.0</v>
      </c>
      <c r="CE572" s="1">
        <v>0.638</v>
      </c>
      <c r="CF572" s="1">
        <v>0.0</v>
      </c>
      <c r="CG572" s="1">
        <v>1.447</v>
      </c>
      <c r="CH572" s="1">
        <v>0.158</v>
      </c>
      <c r="CI572" s="1">
        <v>5.7047</v>
      </c>
      <c r="CJ572" s="1">
        <v>0.322</v>
      </c>
      <c r="CK572" s="1">
        <v>0.0</v>
      </c>
      <c r="CL572" s="1">
        <v>0.0</v>
      </c>
      <c r="CM572" s="1">
        <v>0.0</v>
      </c>
      <c r="CN572" s="1">
        <v>0.0</v>
      </c>
      <c r="CO572" s="1">
        <v>0.0</v>
      </c>
      <c r="CP572" s="1">
        <v>0.0</v>
      </c>
      <c r="CQ572" s="1">
        <v>0.0</v>
      </c>
      <c r="CR572" s="1">
        <v>0.0</v>
      </c>
      <c r="CS572" s="1">
        <v>0.0</v>
      </c>
      <c r="CT572" s="1">
        <v>0.0</v>
      </c>
      <c r="CU572" s="1">
        <v>0.0</v>
      </c>
      <c r="CV572" s="1">
        <v>0.0</v>
      </c>
      <c r="CW572" s="1">
        <v>0.0</v>
      </c>
      <c r="CX572" s="1">
        <v>0.0</v>
      </c>
      <c r="CY572" s="1">
        <v>0.0</v>
      </c>
      <c r="CZ572" s="1">
        <v>0.0</v>
      </c>
      <c r="DA572" s="1">
        <v>0.0</v>
      </c>
      <c r="DB572" s="1">
        <v>0.0</v>
      </c>
      <c r="DC572" s="1">
        <v>0.0</v>
      </c>
      <c r="DD572" s="1" t="s">
        <v>2740</v>
      </c>
      <c r="DE572" s="1">
        <v>2.66696381282039E-4</v>
      </c>
      <c r="DF572" s="1">
        <v>0.0757542654047234</v>
      </c>
    </row>
    <row r="573" ht="15.75" customHeight="1">
      <c r="A573" s="1" t="s">
        <v>2741</v>
      </c>
      <c r="B573" s="1">
        <v>29.0</v>
      </c>
      <c r="C573" s="2" t="s">
        <v>2039</v>
      </c>
      <c r="D573" s="2" t="s">
        <v>2742</v>
      </c>
      <c r="E573" s="1">
        <v>1.487</v>
      </c>
      <c r="F573" s="1">
        <v>29095.0</v>
      </c>
      <c r="G573" s="1">
        <v>2.9095012804E10</v>
      </c>
      <c r="H573" s="1" t="s">
        <v>112</v>
      </c>
      <c r="I573" s="1" t="s">
        <v>113</v>
      </c>
      <c r="J573" s="1" t="s">
        <v>2041</v>
      </c>
      <c r="K573" s="1" t="s">
        <v>2743</v>
      </c>
      <c r="L573" s="1">
        <v>6098.0</v>
      </c>
      <c r="M573" s="1">
        <v>6049.0</v>
      </c>
      <c r="N573" s="1">
        <v>637.0</v>
      </c>
      <c r="O573" s="1">
        <v>2544.0</v>
      </c>
      <c r="P573" s="1">
        <v>2429.0</v>
      </c>
      <c r="Q573" s="1">
        <v>107.0</v>
      </c>
      <c r="R573" s="1">
        <v>2367.0</v>
      </c>
      <c r="S573" s="1">
        <v>878.0</v>
      </c>
      <c r="T573" s="1">
        <v>527.0</v>
      </c>
      <c r="U573" s="1">
        <v>339.0</v>
      </c>
      <c r="V573" s="1">
        <v>374.0</v>
      </c>
      <c r="W573" s="1">
        <v>21256.0</v>
      </c>
      <c r="X573" s="1">
        <v>2643.0</v>
      </c>
      <c r="Y573" s="1">
        <v>271.0</v>
      </c>
      <c r="Z573" s="1">
        <v>347.0</v>
      </c>
      <c r="AA573" s="1">
        <v>795.0</v>
      </c>
      <c r="AB573" s="1">
        <v>1574.0</v>
      </c>
      <c r="AC573" s="1">
        <v>383.0</v>
      </c>
      <c r="AD573" s="1">
        <v>2652.0</v>
      </c>
      <c r="AE573" s="1">
        <v>0.0</v>
      </c>
      <c r="AF573" s="1">
        <v>456.0</v>
      </c>
      <c r="AG573" s="1">
        <v>129.0</v>
      </c>
      <c r="AH573" s="1">
        <v>74.0</v>
      </c>
      <c r="AI573" s="1">
        <v>0.0</v>
      </c>
      <c r="AJ573" s="1">
        <v>114.0</v>
      </c>
      <c r="AK573" s="1">
        <v>34.0</v>
      </c>
      <c r="AL573" s="1">
        <v>127.0</v>
      </c>
      <c r="AM573" s="1">
        <v>72.0</v>
      </c>
      <c r="AN573" s="1">
        <v>65.0</v>
      </c>
      <c r="AO573" s="1">
        <v>0.0</v>
      </c>
      <c r="AP573" s="1">
        <v>0.145147</v>
      </c>
      <c r="AQ573" s="1">
        <v>0.08577</v>
      </c>
      <c r="AR573" s="1">
        <v>0.103669</v>
      </c>
      <c r="AS573" s="1">
        <v>0.113572</v>
      </c>
      <c r="AT573" s="1">
        <v>21256.0</v>
      </c>
      <c r="AU573" s="1">
        <v>2643.0</v>
      </c>
      <c r="AV573" s="1">
        <v>0.072401</v>
      </c>
      <c r="AW573" s="1">
        <v>0.09253</v>
      </c>
      <c r="AX573" s="1">
        <v>0.13037</v>
      </c>
      <c r="AY573" s="1">
        <v>0.258117</v>
      </c>
      <c r="AZ573" s="1">
        <v>0.16180819</v>
      </c>
      <c r="BA573" s="1">
        <v>0.434896</v>
      </c>
      <c r="BB573" s="1">
        <v>0.0</v>
      </c>
      <c r="BC573" s="1">
        <v>0.081326</v>
      </c>
      <c r="BD573" s="1">
        <v>0.053108</v>
      </c>
      <c r="BE573" s="1">
        <v>0.030375</v>
      </c>
      <c r="BF573" s="1">
        <v>0.0</v>
      </c>
      <c r="BG573" s="1">
        <v>0.046932</v>
      </c>
      <c r="BH573" s="1">
        <v>0.015077</v>
      </c>
      <c r="BI573" s="1">
        <v>0.056312</v>
      </c>
      <c r="BJ573" s="1">
        <v>0.031929</v>
      </c>
      <c r="BK573" s="1">
        <v>0.028761</v>
      </c>
      <c r="BL573" s="1">
        <v>0.0</v>
      </c>
      <c r="BM573" s="1">
        <v>0.565</v>
      </c>
      <c r="BN573" s="1">
        <v>0.752</v>
      </c>
      <c r="BO573" s="1">
        <v>0.5372</v>
      </c>
      <c r="BP573" s="1">
        <v>0.211</v>
      </c>
      <c r="BQ573" s="1">
        <v>2.0652</v>
      </c>
      <c r="BR573" s="1">
        <v>0.5206</v>
      </c>
      <c r="BS573" s="1">
        <v>0.421</v>
      </c>
      <c r="BT573" s="1">
        <v>0.687</v>
      </c>
      <c r="BU573" s="1">
        <v>0.824</v>
      </c>
      <c r="BV573" s="1">
        <v>1.932</v>
      </c>
      <c r="BW573" s="1">
        <v>0.822</v>
      </c>
      <c r="BX573" s="1">
        <v>0.851</v>
      </c>
      <c r="BY573" s="1">
        <v>0.0</v>
      </c>
      <c r="BZ573" s="1">
        <v>0.851</v>
      </c>
      <c r="CA573" s="1">
        <v>0.434</v>
      </c>
      <c r="CB573" s="1">
        <v>0.665</v>
      </c>
      <c r="CC573" s="1">
        <v>0.0</v>
      </c>
      <c r="CD573" s="1">
        <v>0.6</v>
      </c>
      <c r="CE573" s="1">
        <v>0.302</v>
      </c>
      <c r="CF573" s="1">
        <v>0.0</v>
      </c>
      <c r="CG573" s="1">
        <v>1.567</v>
      </c>
      <c r="CH573" s="1">
        <v>0.189</v>
      </c>
      <c r="CI573" s="1">
        <v>6.4152</v>
      </c>
      <c r="CJ573" s="1">
        <v>0.4462</v>
      </c>
      <c r="CK573" s="1">
        <v>0.0</v>
      </c>
      <c r="CL573" s="1">
        <v>0.0</v>
      </c>
      <c r="CM573" s="1">
        <v>0.0</v>
      </c>
      <c r="CN573" s="1">
        <v>0.0</v>
      </c>
      <c r="CO573" s="1">
        <v>0.0</v>
      </c>
      <c r="CP573" s="1">
        <v>0.0</v>
      </c>
      <c r="CQ573" s="1">
        <v>0.0</v>
      </c>
      <c r="CR573" s="1">
        <v>0.0</v>
      </c>
      <c r="CS573" s="1">
        <v>0.0</v>
      </c>
      <c r="CT573" s="1">
        <v>0.0</v>
      </c>
      <c r="CU573" s="1">
        <v>0.0</v>
      </c>
      <c r="CV573" s="1">
        <v>0.0</v>
      </c>
      <c r="CW573" s="1">
        <v>0.0</v>
      </c>
      <c r="CX573" s="1">
        <v>0.0</v>
      </c>
      <c r="CY573" s="1">
        <v>0.0</v>
      </c>
      <c r="CZ573" s="1">
        <v>0.0</v>
      </c>
      <c r="DA573" s="1">
        <v>0.0</v>
      </c>
      <c r="DB573" s="1">
        <v>0.0</v>
      </c>
      <c r="DC573" s="1">
        <v>0.0</v>
      </c>
      <c r="DD573" s="1" t="s">
        <v>2744</v>
      </c>
      <c r="DE573" s="1">
        <v>3.99799268186631E-4</v>
      </c>
      <c r="DF573" s="1">
        <v>0.0887415853097133</v>
      </c>
    </row>
    <row r="574" ht="15.75" customHeight="1">
      <c r="A574" s="1" t="s">
        <v>2745</v>
      </c>
      <c r="B574" s="1">
        <v>29.0</v>
      </c>
      <c r="C574" s="2" t="s">
        <v>2039</v>
      </c>
      <c r="D574" s="2" t="s">
        <v>2746</v>
      </c>
      <c r="E574" s="1">
        <v>0.818</v>
      </c>
      <c r="F574" s="1">
        <v>29095.0</v>
      </c>
      <c r="G574" s="1">
        <v>2.9095012903E10</v>
      </c>
      <c r="H574" s="1" t="s">
        <v>112</v>
      </c>
      <c r="I574" s="1" t="s">
        <v>113</v>
      </c>
      <c r="J574" s="1" t="s">
        <v>2041</v>
      </c>
      <c r="K574" s="1" t="s">
        <v>2747</v>
      </c>
      <c r="L574" s="1">
        <v>3639.0</v>
      </c>
      <c r="M574" s="1">
        <v>4194.0</v>
      </c>
      <c r="N574" s="1">
        <v>436.0</v>
      </c>
      <c r="O574" s="1">
        <v>1466.0</v>
      </c>
      <c r="P574" s="1">
        <v>1553.0</v>
      </c>
      <c r="Q574" s="1">
        <v>29.0</v>
      </c>
      <c r="R574" s="1">
        <v>1358.0</v>
      </c>
      <c r="S574" s="1">
        <v>707.0</v>
      </c>
      <c r="T574" s="1">
        <v>291.0</v>
      </c>
      <c r="U574" s="1">
        <v>281.0</v>
      </c>
      <c r="V574" s="1">
        <v>419.0</v>
      </c>
      <c r="W574" s="1">
        <v>18582.0</v>
      </c>
      <c r="X574" s="1">
        <v>2370.0</v>
      </c>
      <c r="Y574" s="1">
        <v>272.0</v>
      </c>
      <c r="Z574" s="1">
        <v>322.0</v>
      </c>
      <c r="AA574" s="1">
        <v>468.0</v>
      </c>
      <c r="AB574" s="1">
        <v>1003.0</v>
      </c>
      <c r="AC574" s="1">
        <v>281.0</v>
      </c>
      <c r="AD574" s="1">
        <v>2516.0</v>
      </c>
      <c r="AE574" s="1">
        <v>79.0</v>
      </c>
      <c r="AF574" s="1">
        <v>433.0</v>
      </c>
      <c r="AG574" s="1">
        <v>10.0</v>
      </c>
      <c r="AH574" s="1">
        <v>162.0</v>
      </c>
      <c r="AI574" s="1">
        <v>0.0</v>
      </c>
      <c r="AJ574" s="1">
        <v>114.0</v>
      </c>
      <c r="AK574" s="1">
        <v>44.0</v>
      </c>
      <c r="AL574" s="1">
        <v>118.0</v>
      </c>
      <c r="AM574" s="1">
        <v>103.0</v>
      </c>
      <c r="AN574" s="1">
        <v>76.0</v>
      </c>
      <c r="AO574" s="1">
        <v>81.0</v>
      </c>
      <c r="AP574" s="1">
        <v>0.172649</v>
      </c>
      <c r="AQ574" s="1">
        <v>0.068699</v>
      </c>
      <c r="AR574" s="1">
        <v>0.127901</v>
      </c>
      <c r="AS574" s="1">
        <v>0.189767</v>
      </c>
      <c r="AT574" s="1">
        <v>18582.0</v>
      </c>
      <c r="AU574" s="1">
        <v>2370.0</v>
      </c>
      <c r="AV574" s="1">
        <v>0.104454</v>
      </c>
      <c r="AW574" s="1">
        <v>0.123351</v>
      </c>
      <c r="AX574" s="1">
        <v>0.128606</v>
      </c>
      <c r="AY574" s="1">
        <v>0.275625</v>
      </c>
      <c r="AZ574" s="1">
        <v>0.20692194</v>
      </c>
      <c r="BA574" s="1">
        <v>0.691398</v>
      </c>
      <c r="BB574" s="1">
        <v>0.020204</v>
      </c>
      <c r="BC574" s="1">
        <v>0.110723</v>
      </c>
      <c r="BD574" s="1">
        <v>0.006439</v>
      </c>
      <c r="BE574" s="1">
        <v>0.104314</v>
      </c>
      <c r="BF574" s="1">
        <v>0.0</v>
      </c>
      <c r="BG574" s="1">
        <v>0.073406</v>
      </c>
      <c r="BH574" s="1">
        <v>0.02983</v>
      </c>
      <c r="BI574" s="1">
        <v>0.079985</v>
      </c>
      <c r="BJ574" s="1">
        <v>0.06983</v>
      </c>
      <c r="BK574" s="1">
        <v>0.051402</v>
      </c>
      <c r="BL574" s="1">
        <v>0.022258</v>
      </c>
      <c r="BM574" s="1">
        <v>0.656</v>
      </c>
      <c r="BN574" s="1">
        <v>0.848</v>
      </c>
      <c r="BO574" s="1">
        <v>0.7025</v>
      </c>
      <c r="BP574" s="1">
        <v>0.359</v>
      </c>
      <c r="BQ574" s="1">
        <v>2.5655</v>
      </c>
      <c r="BR574" s="1">
        <v>0.6874</v>
      </c>
      <c r="BS574" s="1">
        <v>0.406</v>
      </c>
      <c r="BT574" s="1">
        <v>0.827</v>
      </c>
      <c r="BU574" s="1">
        <v>0.903</v>
      </c>
      <c r="BV574" s="1">
        <v>2.136</v>
      </c>
      <c r="BW574" s="1">
        <v>0.941</v>
      </c>
      <c r="BX574" s="1">
        <v>0.897</v>
      </c>
      <c r="BY574" s="1">
        <v>0.858</v>
      </c>
      <c r="BZ574" s="1">
        <v>1.755</v>
      </c>
      <c r="CA574" s="1">
        <v>0.945</v>
      </c>
      <c r="CB574" s="1">
        <v>0.344</v>
      </c>
      <c r="CC574" s="1">
        <v>0.0</v>
      </c>
      <c r="CD574" s="1">
        <v>0.802</v>
      </c>
      <c r="CE574" s="1">
        <v>0.624</v>
      </c>
      <c r="CF574" s="1">
        <v>0.739</v>
      </c>
      <c r="CG574" s="1">
        <v>2.509</v>
      </c>
      <c r="CH574" s="1">
        <v>0.566</v>
      </c>
      <c r="CI574" s="1">
        <v>8.9655</v>
      </c>
      <c r="CJ574" s="1">
        <v>0.8469</v>
      </c>
      <c r="CK574" s="1">
        <v>0.0</v>
      </c>
      <c r="CL574" s="1">
        <v>0.0</v>
      </c>
      <c r="CM574" s="1">
        <v>0.0</v>
      </c>
      <c r="CN574" s="1">
        <v>0.0</v>
      </c>
      <c r="CO574" s="1">
        <v>0.0</v>
      </c>
      <c r="CP574" s="1">
        <v>0.0</v>
      </c>
      <c r="CQ574" s="1">
        <v>0.0</v>
      </c>
      <c r="CR574" s="1">
        <v>1.0</v>
      </c>
      <c r="CS574" s="1">
        <v>1.0</v>
      </c>
      <c r="CT574" s="1">
        <v>0.0</v>
      </c>
      <c r="CU574" s="1">
        <v>0.0</v>
      </c>
      <c r="CV574" s="1">
        <v>0.0</v>
      </c>
      <c r="CW574" s="1">
        <v>0.0</v>
      </c>
      <c r="CX574" s="1">
        <v>0.0</v>
      </c>
      <c r="CY574" s="1">
        <v>0.0</v>
      </c>
      <c r="CZ574" s="1">
        <v>0.0</v>
      </c>
      <c r="DA574" s="1">
        <v>0.0</v>
      </c>
      <c r="DB574" s="1">
        <v>0.0</v>
      </c>
      <c r="DC574" s="1">
        <v>1.0</v>
      </c>
      <c r="DD574" s="1" t="s">
        <v>2748</v>
      </c>
      <c r="DE574" s="1">
        <v>2.19951461586494E-4</v>
      </c>
      <c r="DF574" s="1">
        <v>0.0739374104744919</v>
      </c>
    </row>
    <row r="575" ht="15.75" customHeight="1">
      <c r="A575" s="1" t="s">
        <v>2749</v>
      </c>
      <c r="B575" s="1">
        <v>29.0</v>
      </c>
      <c r="C575" s="2" t="s">
        <v>2039</v>
      </c>
      <c r="D575" s="2" t="s">
        <v>2750</v>
      </c>
      <c r="E575" s="1">
        <v>3.195</v>
      </c>
      <c r="F575" s="1">
        <v>29095.0</v>
      </c>
      <c r="G575" s="1">
        <v>2.9095012906E10</v>
      </c>
      <c r="H575" s="1" t="s">
        <v>112</v>
      </c>
      <c r="I575" s="1" t="s">
        <v>113</v>
      </c>
      <c r="J575" s="1" t="s">
        <v>2041</v>
      </c>
      <c r="K575" s="1" t="s">
        <v>2751</v>
      </c>
      <c r="L575" s="1">
        <v>4646.0</v>
      </c>
      <c r="M575" s="1">
        <v>4574.0</v>
      </c>
      <c r="N575" s="1">
        <v>438.0</v>
      </c>
      <c r="O575" s="1">
        <v>1824.0</v>
      </c>
      <c r="P575" s="1">
        <v>1866.0</v>
      </c>
      <c r="Q575" s="1">
        <v>67.0</v>
      </c>
      <c r="R575" s="1">
        <v>1662.0</v>
      </c>
      <c r="S575" s="1">
        <v>518.0</v>
      </c>
      <c r="T575" s="1">
        <v>228.0</v>
      </c>
      <c r="U575" s="1">
        <v>273.0</v>
      </c>
      <c r="V575" s="1">
        <v>338.0</v>
      </c>
      <c r="W575" s="1">
        <v>19169.0</v>
      </c>
      <c r="X575" s="1">
        <v>1562.0</v>
      </c>
      <c r="Y575" s="1">
        <v>225.0</v>
      </c>
      <c r="Z575" s="1">
        <v>316.0</v>
      </c>
      <c r="AA575" s="1">
        <v>539.0</v>
      </c>
      <c r="AB575" s="1">
        <v>1333.0</v>
      </c>
      <c r="AC575" s="1">
        <v>334.0</v>
      </c>
      <c r="AD575" s="1">
        <v>3115.0</v>
      </c>
      <c r="AE575" s="1">
        <v>45.0</v>
      </c>
      <c r="AF575" s="1">
        <v>413.0</v>
      </c>
      <c r="AG575" s="1">
        <v>0.0</v>
      </c>
      <c r="AH575" s="1">
        <v>197.0</v>
      </c>
      <c r="AI575" s="1">
        <v>7.0</v>
      </c>
      <c r="AJ575" s="1">
        <v>12.0</v>
      </c>
      <c r="AK575" s="1">
        <v>50.0</v>
      </c>
      <c r="AL575" s="1">
        <v>120.0</v>
      </c>
      <c r="AM575" s="1">
        <v>40.0</v>
      </c>
      <c r="AN575" s="1">
        <v>39.0</v>
      </c>
      <c r="AO575" s="1">
        <v>31.0</v>
      </c>
      <c r="AP575" s="1">
        <v>0.113621</v>
      </c>
      <c r="AQ575" s="1">
        <v>0.048832</v>
      </c>
      <c r="AR575" s="1">
        <v>0.123473</v>
      </c>
      <c r="AS575" s="1">
        <v>0.151926</v>
      </c>
      <c r="AT575" s="1">
        <v>19169.0</v>
      </c>
      <c r="AU575" s="1">
        <v>1562.0</v>
      </c>
      <c r="AV575" s="1">
        <v>0.079843</v>
      </c>
      <c r="AW575" s="1">
        <v>0.111915</v>
      </c>
      <c r="AX575" s="1">
        <v>0.116013</v>
      </c>
      <c r="AY575" s="1">
        <v>0.286913</v>
      </c>
      <c r="AZ575" s="1">
        <v>0.20096269</v>
      </c>
      <c r="BA575" s="1">
        <v>0.670469</v>
      </c>
      <c r="BB575" s="1">
        <v>0.010861</v>
      </c>
      <c r="BC575" s="1">
        <v>0.09968</v>
      </c>
      <c r="BD575" s="1">
        <v>0.0</v>
      </c>
      <c r="BE575" s="1">
        <v>0.105573</v>
      </c>
      <c r="BF575" s="1">
        <v>0.003751</v>
      </c>
      <c r="BG575" s="1">
        <v>0.006429</v>
      </c>
      <c r="BH575" s="1">
        <v>0.031505</v>
      </c>
      <c r="BI575" s="1">
        <v>0.075565</v>
      </c>
      <c r="BJ575" s="1">
        <v>0.025204</v>
      </c>
      <c r="BK575" s="1">
        <v>0.024478</v>
      </c>
      <c r="BL575" s="1">
        <v>0.006672</v>
      </c>
      <c r="BM575" s="1">
        <v>0.428</v>
      </c>
      <c r="BN575" s="1">
        <v>0.834</v>
      </c>
      <c r="BO575" s="1">
        <v>0.6585</v>
      </c>
      <c r="BP575" s="1">
        <v>0.248</v>
      </c>
      <c r="BQ575" s="1">
        <v>2.1685</v>
      </c>
      <c r="BR575" s="1">
        <v>0.5523</v>
      </c>
      <c r="BS575" s="1">
        <v>0.315</v>
      </c>
      <c r="BT575" s="1">
        <v>0.877</v>
      </c>
      <c r="BU575" s="1">
        <v>0.897</v>
      </c>
      <c r="BV575" s="1">
        <v>2.089</v>
      </c>
      <c r="BW575" s="1">
        <v>0.912</v>
      </c>
      <c r="BX575" s="1">
        <v>0.894</v>
      </c>
      <c r="BY575" s="1">
        <v>0.743</v>
      </c>
      <c r="BZ575" s="1">
        <v>1.637</v>
      </c>
      <c r="CA575" s="1">
        <v>0.887</v>
      </c>
      <c r="CB575" s="1">
        <v>0.0</v>
      </c>
      <c r="CC575" s="1">
        <v>0.376</v>
      </c>
      <c r="CD575" s="1">
        <v>0.824</v>
      </c>
      <c r="CE575" s="1">
        <v>0.241</v>
      </c>
      <c r="CF575" s="1">
        <v>0.536</v>
      </c>
      <c r="CG575" s="1">
        <v>1.977</v>
      </c>
      <c r="CH575" s="1">
        <v>0.338</v>
      </c>
      <c r="CI575" s="1">
        <v>7.8715</v>
      </c>
      <c r="CJ575" s="1">
        <v>0.6917</v>
      </c>
      <c r="CK575" s="1">
        <v>0.0</v>
      </c>
      <c r="CL575" s="1">
        <v>0.0</v>
      </c>
      <c r="CM575" s="1">
        <v>0.0</v>
      </c>
      <c r="CN575" s="1">
        <v>0.0</v>
      </c>
      <c r="CO575" s="1">
        <v>0.0</v>
      </c>
      <c r="CP575" s="1">
        <v>0.0</v>
      </c>
      <c r="CQ575" s="1">
        <v>0.0</v>
      </c>
      <c r="CR575" s="1">
        <v>0.0</v>
      </c>
      <c r="CS575" s="1">
        <v>0.0</v>
      </c>
      <c r="CT575" s="1">
        <v>0.0</v>
      </c>
      <c r="CU575" s="1">
        <v>0.0</v>
      </c>
      <c r="CV575" s="1">
        <v>0.0</v>
      </c>
      <c r="CW575" s="1">
        <v>0.0</v>
      </c>
      <c r="CX575" s="1">
        <v>0.0</v>
      </c>
      <c r="CY575" s="1">
        <v>0.0</v>
      </c>
      <c r="CZ575" s="1">
        <v>0.0</v>
      </c>
      <c r="DA575" s="1">
        <v>0.0</v>
      </c>
      <c r="DB575" s="1">
        <v>0.0</v>
      </c>
      <c r="DC575" s="1">
        <v>0.0</v>
      </c>
      <c r="DD575" s="1" t="s">
        <v>2752</v>
      </c>
      <c r="DE575" s="1">
        <v>8.64414225106104E-4</v>
      </c>
      <c r="DF575" s="2" t="s">
        <v>2753</v>
      </c>
    </row>
    <row r="576" ht="15.75" customHeight="1">
      <c r="A576" s="1" t="s">
        <v>2754</v>
      </c>
      <c r="B576" s="1">
        <v>29.0</v>
      </c>
      <c r="C576" s="2" t="s">
        <v>2039</v>
      </c>
      <c r="D576" s="2" t="s">
        <v>2755</v>
      </c>
      <c r="E576" s="1">
        <v>1.722</v>
      </c>
      <c r="F576" s="1">
        <v>29095.0</v>
      </c>
      <c r="G576" s="1">
        <v>2.9095013003E10</v>
      </c>
      <c r="H576" s="1" t="s">
        <v>112</v>
      </c>
      <c r="I576" s="1" t="s">
        <v>113</v>
      </c>
      <c r="J576" s="1" t="s">
        <v>2041</v>
      </c>
      <c r="K576" s="1" t="s">
        <v>2756</v>
      </c>
      <c r="L576" s="1">
        <v>4932.0</v>
      </c>
      <c r="M576" s="1">
        <v>5538.0</v>
      </c>
      <c r="N576" s="1">
        <v>798.0</v>
      </c>
      <c r="O576" s="1">
        <v>2220.0</v>
      </c>
      <c r="P576" s="1">
        <v>2414.0</v>
      </c>
      <c r="Q576" s="1">
        <v>50.0</v>
      </c>
      <c r="R576" s="1">
        <v>1984.0</v>
      </c>
      <c r="S576" s="1">
        <v>1094.0</v>
      </c>
      <c r="T576" s="1">
        <v>537.0</v>
      </c>
      <c r="U576" s="1">
        <v>321.0</v>
      </c>
      <c r="V576" s="1">
        <v>396.0</v>
      </c>
      <c r="W576" s="1">
        <v>17462.0</v>
      </c>
      <c r="X576" s="1">
        <v>2613.0</v>
      </c>
      <c r="Y576" s="1">
        <v>435.0</v>
      </c>
      <c r="Z576" s="1">
        <v>325.0</v>
      </c>
      <c r="AA576" s="1">
        <v>441.0</v>
      </c>
      <c r="AB576" s="1">
        <v>1314.0</v>
      </c>
      <c r="AC576" s="1">
        <v>440.0</v>
      </c>
      <c r="AD576" s="1">
        <v>3754.0</v>
      </c>
      <c r="AE576" s="1">
        <v>14.0</v>
      </c>
      <c r="AF576" s="1">
        <v>442.0</v>
      </c>
      <c r="AG576" s="1">
        <v>348.0</v>
      </c>
      <c r="AH576" s="1">
        <v>199.0</v>
      </c>
      <c r="AI576" s="1">
        <v>0.0</v>
      </c>
      <c r="AJ576" s="1">
        <v>114.0</v>
      </c>
      <c r="AK576" s="1">
        <v>25.0</v>
      </c>
      <c r="AL576" s="1">
        <v>118.0</v>
      </c>
      <c r="AM576" s="1">
        <v>163.0</v>
      </c>
      <c r="AN576" s="1">
        <v>100.0</v>
      </c>
      <c r="AO576" s="1">
        <v>5.0</v>
      </c>
      <c r="AP576" s="1">
        <v>0.199562</v>
      </c>
      <c r="AQ576" s="1">
        <v>0.093662</v>
      </c>
      <c r="AR576" s="1">
        <v>0.122285</v>
      </c>
      <c r="AS576" s="1">
        <v>0.149373</v>
      </c>
      <c r="AT576" s="1">
        <v>17462.0</v>
      </c>
      <c r="AU576" s="1">
        <v>2613.0</v>
      </c>
      <c r="AV576" s="1">
        <v>0.135683</v>
      </c>
      <c r="AW576" s="1">
        <v>0.10037</v>
      </c>
      <c r="AX576" s="1">
        <v>0.089416</v>
      </c>
      <c r="AY576" s="1">
        <v>0.266423</v>
      </c>
      <c r="AZ576" s="1">
        <v>0.22177419</v>
      </c>
      <c r="BA576" s="1">
        <v>0.761151</v>
      </c>
      <c r="BB576" s="1">
        <v>0.002712</v>
      </c>
      <c r="BC576" s="1">
        <v>0.085624</v>
      </c>
      <c r="BD576" s="1">
        <v>0.144159</v>
      </c>
      <c r="BE576" s="1">
        <v>0.082381</v>
      </c>
      <c r="BF576" s="1">
        <v>0.0</v>
      </c>
      <c r="BG576" s="1">
        <v>0.047224</v>
      </c>
      <c r="BH576" s="1">
        <v>0.011682</v>
      </c>
      <c r="BI576" s="1">
        <v>0.055134</v>
      </c>
      <c r="BJ576" s="1">
        <v>0.076168</v>
      </c>
      <c r="BK576" s="1">
        <v>0.046439</v>
      </c>
      <c r="BL576" s="1">
        <v>0.001013</v>
      </c>
      <c r="BM576" s="1">
        <v>0.729</v>
      </c>
      <c r="BN576" s="1">
        <v>0.83</v>
      </c>
      <c r="BO576" s="1">
        <v>0.756</v>
      </c>
      <c r="BP576" s="1">
        <v>0.502</v>
      </c>
      <c r="BQ576" s="1">
        <v>2.817</v>
      </c>
      <c r="BR576" s="1">
        <v>0.7538</v>
      </c>
      <c r="BS576" s="1">
        <v>0.153</v>
      </c>
      <c r="BT576" s="1">
        <v>0.764</v>
      </c>
      <c r="BU576" s="1">
        <v>0.918</v>
      </c>
      <c r="BV576" s="1">
        <v>1.835</v>
      </c>
      <c r="BW576" s="1">
        <v>0.759</v>
      </c>
      <c r="BX576" s="1">
        <v>0.916</v>
      </c>
      <c r="BY576" s="1">
        <v>0.428</v>
      </c>
      <c r="BZ576" s="1">
        <v>1.344</v>
      </c>
      <c r="CA576" s="1">
        <v>0.734</v>
      </c>
      <c r="CB576" s="1">
        <v>0.832</v>
      </c>
      <c r="CC576" s="1">
        <v>0.0</v>
      </c>
      <c r="CD576" s="1">
        <v>0.519</v>
      </c>
      <c r="CE576" s="1">
        <v>0.654</v>
      </c>
      <c r="CF576" s="1">
        <v>0.399</v>
      </c>
      <c r="CG576" s="1">
        <v>2.404</v>
      </c>
      <c r="CH576" s="1">
        <v>0.52</v>
      </c>
      <c r="CI576" s="1">
        <v>8.4</v>
      </c>
      <c r="CJ576" s="1">
        <v>0.7733</v>
      </c>
      <c r="CK576" s="1">
        <v>0.0</v>
      </c>
      <c r="CL576" s="1">
        <v>0.0</v>
      </c>
      <c r="CM576" s="1">
        <v>0.0</v>
      </c>
      <c r="CN576" s="1">
        <v>0.0</v>
      </c>
      <c r="CO576" s="1">
        <v>0.0</v>
      </c>
      <c r="CP576" s="1">
        <v>0.0</v>
      </c>
      <c r="CQ576" s="1">
        <v>0.0</v>
      </c>
      <c r="CR576" s="1">
        <v>1.0</v>
      </c>
      <c r="CS576" s="1">
        <v>1.0</v>
      </c>
      <c r="CT576" s="1">
        <v>1.0</v>
      </c>
      <c r="CU576" s="1">
        <v>0.0</v>
      </c>
      <c r="CV576" s="1">
        <v>1.0</v>
      </c>
      <c r="CW576" s="1">
        <v>0.0</v>
      </c>
      <c r="CX576" s="1">
        <v>0.0</v>
      </c>
      <c r="CY576" s="1">
        <v>0.0</v>
      </c>
      <c r="CZ576" s="1">
        <v>0.0</v>
      </c>
      <c r="DA576" s="1">
        <v>0.0</v>
      </c>
      <c r="DB576" s="1">
        <v>0.0</v>
      </c>
      <c r="DC576" s="1">
        <v>2.0</v>
      </c>
      <c r="DD576" s="1" t="s">
        <v>2757</v>
      </c>
      <c r="DE576" s="1">
        <v>4.62252862320863E-4</v>
      </c>
      <c r="DF576" s="1">
        <v>0.0830028322461024</v>
      </c>
    </row>
    <row r="577" ht="15.75" customHeight="1">
      <c r="A577" s="1" t="s">
        <v>2758</v>
      </c>
      <c r="B577" s="1">
        <v>29.0</v>
      </c>
      <c r="C577" s="2" t="s">
        <v>2039</v>
      </c>
      <c r="D577" s="2" t="s">
        <v>2759</v>
      </c>
      <c r="E577" s="1">
        <v>1.536</v>
      </c>
      <c r="F577" s="1">
        <v>29095.0</v>
      </c>
      <c r="G577" s="1">
        <v>2.90950131E10</v>
      </c>
      <c r="H577" s="1" t="s">
        <v>112</v>
      </c>
      <c r="I577" s="1" t="s">
        <v>113</v>
      </c>
      <c r="J577" s="1" t="s">
        <v>2041</v>
      </c>
      <c r="K577" s="1" t="s">
        <v>2760</v>
      </c>
      <c r="L577" s="1">
        <v>2889.0</v>
      </c>
      <c r="M577" s="1">
        <v>2629.0</v>
      </c>
      <c r="N577" s="1">
        <v>453.0</v>
      </c>
      <c r="O577" s="1">
        <v>1325.0</v>
      </c>
      <c r="P577" s="1">
        <v>1329.0</v>
      </c>
      <c r="Q577" s="1">
        <v>66.0</v>
      </c>
      <c r="R577" s="1">
        <v>1168.0</v>
      </c>
      <c r="S577" s="1">
        <v>631.0</v>
      </c>
      <c r="T577" s="1">
        <v>321.0</v>
      </c>
      <c r="U577" s="1">
        <v>195.0</v>
      </c>
      <c r="V577" s="1">
        <v>406.0</v>
      </c>
      <c r="W577" s="1">
        <v>20768.0</v>
      </c>
      <c r="X577" s="1">
        <v>4346.0</v>
      </c>
      <c r="Y577" s="1">
        <v>301.0</v>
      </c>
      <c r="Z577" s="1">
        <v>302.0</v>
      </c>
      <c r="AA577" s="1">
        <v>359.0</v>
      </c>
      <c r="AB577" s="1">
        <v>755.0</v>
      </c>
      <c r="AC577" s="1">
        <v>205.0</v>
      </c>
      <c r="AD577" s="1">
        <v>1895.0</v>
      </c>
      <c r="AE577" s="1">
        <v>62.0</v>
      </c>
      <c r="AF577" s="1">
        <v>399.0</v>
      </c>
      <c r="AG577" s="1">
        <v>0.0</v>
      </c>
      <c r="AH577" s="1">
        <v>197.0</v>
      </c>
      <c r="AI577" s="1">
        <v>0.0</v>
      </c>
      <c r="AJ577" s="1">
        <v>114.0</v>
      </c>
      <c r="AK577" s="1">
        <v>36.0</v>
      </c>
      <c r="AL577" s="1">
        <v>120.0</v>
      </c>
      <c r="AM577" s="1">
        <v>67.0</v>
      </c>
      <c r="AN577" s="1">
        <v>57.0</v>
      </c>
      <c r="AO577" s="1">
        <v>10.0</v>
      </c>
      <c r="AP577" s="1">
        <v>0.240015</v>
      </c>
      <c r="AQ577" s="1">
        <v>0.114882</v>
      </c>
      <c r="AR577" s="1">
        <v>0.141099</v>
      </c>
      <c r="AS577" s="1">
        <v>0.292281</v>
      </c>
      <c r="AT577" s="1">
        <v>20768.0</v>
      </c>
      <c r="AU577" s="1">
        <v>4346.0</v>
      </c>
      <c r="AV577" s="1">
        <v>0.176023</v>
      </c>
      <c r="AW577" s="1">
        <v>0.174568</v>
      </c>
      <c r="AX577" s="1">
        <v>0.124264</v>
      </c>
      <c r="AY577" s="1">
        <v>0.261336</v>
      </c>
      <c r="AZ577" s="1">
        <v>0.17551369</v>
      </c>
      <c r="BA577" s="1">
        <v>0.655936</v>
      </c>
      <c r="BB577" s="1">
        <v>0.024438</v>
      </c>
      <c r="BC577" s="1">
        <v>0.157213</v>
      </c>
      <c r="BD577" s="1">
        <v>0.0</v>
      </c>
      <c r="BE577" s="1">
        <v>0.148231</v>
      </c>
      <c r="BF577" s="1">
        <v>0.0</v>
      </c>
      <c r="BG577" s="1">
        <v>0.085778</v>
      </c>
      <c r="BH577" s="1">
        <v>0.032403</v>
      </c>
      <c r="BI577" s="1">
        <v>0.107942</v>
      </c>
      <c r="BJ577" s="1">
        <v>0.060306</v>
      </c>
      <c r="BK577" s="1">
        <v>0.050802</v>
      </c>
      <c r="BL577" s="1">
        <v>0.003461</v>
      </c>
      <c r="BM577" s="1">
        <v>0.81</v>
      </c>
      <c r="BN577" s="1">
        <v>0.876</v>
      </c>
      <c r="BO577" s="1">
        <v>0.5661</v>
      </c>
      <c r="BP577" s="1">
        <v>0.674</v>
      </c>
      <c r="BQ577" s="1">
        <v>2.9261</v>
      </c>
      <c r="BR577" s="1">
        <v>0.7856</v>
      </c>
      <c r="BS577" s="1">
        <v>0.374</v>
      </c>
      <c r="BT577" s="1">
        <v>0.712</v>
      </c>
      <c r="BU577" s="1">
        <v>0.856</v>
      </c>
      <c r="BV577" s="1">
        <v>1.942</v>
      </c>
      <c r="BW577" s="1">
        <v>0.828</v>
      </c>
      <c r="BX577" s="1">
        <v>0.892</v>
      </c>
      <c r="BY577" s="1">
        <v>0.887</v>
      </c>
      <c r="BZ577" s="1">
        <v>1.779</v>
      </c>
      <c r="CA577" s="1">
        <v>0.956</v>
      </c>
      <c r="CB577" s="1">
        <v>0.0</v>
      </c>
      <c r="CC577" s="1">
        <v>0.0</v>
      </c>
      <c r="CD577" s="1">
        <v>0.835</v>
      </c>
      <c r="CE577" s="1">
        <v>0.569</v>
      </c>
      <c r="CF577" s="1">
        <v>0.486</v>
      </c>
      <c r="CG577" s="1">
        <v>1.89</v>
      </c>
      <c r="CH577" s="1">
        <v>0.301</v>
      </c>
      <c r="CI577" s="1">
        <v>8.5371</v>
      </c>
      <c r="CJ577" s="1">
        <v>0.7906</v>
      </c>
      <c r="CK577" s="1">
        <v>0.0</v>
      </c>
      <c r="CL577" s="1">
        <v>0.0</v>
      </c>
      <c r="CM577" s="1">
        <v>0.0</v>
      </c>
      <c r="CN577" s="1">
        <v>0.0</v>
      </c>
      <c r="CO577" s="1">
        <v>0.0</v>
      </c>
      <c r="CP577" s="1">
        <v>0.0</v>
      </c>
      <c r="CQ577" s="1">
        <v>0.0</v>
      </c>
      <c r="CR577" s="1">
        <v>0.0</v>
      </c>
      <c r="CS577" s="1">
        <v>0.0</v>
      </c>
      <c r="CT577" s="1">
        <v>0.0</v>
      </c>
      <c r="CU577" s="1">
        <v>0.0</v>
      </c>
      <c r="CV577" s="1">
        <v>0.0</v>
      </c>
      <c r="CW577" s="1">
        <v>0.0</v>
      </c>
      <c r="CX577" s="1">
        <v>0.0</v>
      </c>
      <c r="CY577" s="1">
        <v>0.0</v>
      </c>
      <c r="CZ577" s="1">
        <v>0.0</v>
      </c>
      <c r="DA577" s="1">
        <v>0.0</v>
      </c>
      <c r="DB577" s="1">
        <v>0.0</v>
      </c>
      <c r="DC577" s="1">
        <v>0.0</v>
      </c>
      <c r="DD577" s="1" t="s">
        <v>2761</v>
      </c>
      <c r="DE577" s="1">
        <v>4.10472261059351E-4</v>
      </c>
      <c r="DF577" s="1">
        <v>0.0862187134388974</v>
      </c>
    </row>
    <row r="578" ht="15.75" customHeight="1">
      <c r="A578" s="1" t="s">
        <v>2762</v>
      </c>
      <c r="B578" s="1">
        <v>29.0</v>
      </c>
      <c r="C578" s="2" t="s">
        <v>2039</v>
      </c>
      <c r="D578" s="2" t="s">
        <v>2763</v>
      </c>
      <c r="E578" s="1">
        <v>0.803</v>
      </c>
      <c r="F578" s="1">
        <v>29095.0</v>
      </c>
      <c r="G578" s="1">
        <v>2.9095013203E10</v>
      </c>
      <c r="H578" s="1" t="s">
        <v>112</v>
      </c>
      <c r="I578" s="1" t="s">
        <v>113</v>
      </c>
      <c r="J578" s="1" t="s">
        <v>2041</v>
      </c>
      <c r="K578" s="1" t="s">
        <v>2764</v>
      </c>
      <c r="L578" s="1">
        <v>3985.0</v>
      </c>
      <c r="M578" s="1">
        <v>3878.0</v>
      </c>
      <c r="N578" s="1">
        <v>561.0</v>
      </c>
      <c r="O578" s="1">
        <v>1596.0</v>
      </c>
      <c r="P578" s="1">
        <v>1651.0</v>
      </c>
      <c r="Q578" s="1">
        <v>32.0</v>
      </c>
      <c r="R578" s="1">
        <v>1294.0</v>
      </c>
      <c r="S578" s="1">
        <v>996.0</v>
      </c>
      <c r="T578" s="1">
        <v>473.0</v>
      </c>
      <c r="U578" s="1">
        <v>249.0</v>
      </c>
      <c r="V578" s="1">
        <v>381.0</v>
      </c>
      <c r="W578" s="1">
        <v>13898.0</v>
      </c>
      <c r="X578" s="1">
        <v>1950.0</v>
      </c>
      <c r="Y578" s="1">
        <v>371.0</v>
      </c>
      <c r="Z578" s="1">
        <v>267.0</v>
      </c>
      <c r="AA578" s="1">
        <v>253.0</v>
      </c>
      <c r="AB578" s="1">
        <v>1509.0</v>
      </c>
      <c r="AC578" s="1">
        <v>470.0</v>
      </c>
      <c r="AD578" s="1">
        <v>3013.0</v>
      </c>
      <c r="AE578" s="1">
        <v>22.0</v>
      </c>
      <c r="AF578" s="1">
        <v>428.0</v>
      </c>
      <c r="AG578" s="1">
        <v>0.0</v>
      </c>
      <c r="AH578" s="1">
        <v>197.0</v>
      </c>
      <c r="AI578" s="1">
        <v>22.0</v>
      </c>
      <c r="AJ578" s="1">
        <v>26.0</v>
      </c>
      <c r="AK578" s="1">
        <v>24.0</v>
      </c>
      <c r="AL578" s="1">
        <v>117.0</v>
      </c>
      <c r="AM578" s="1">
        <v>105.0</v>
      </c>
      <c r="AN578" s="1">
        <v>63.0</v>
      </c>
      <c r="AO578" s="1">
        <v>0.0</v>
      </c>
      <c r="AP578" s="1">
        <v>0.256833</v>
      </c>
      <c r="AQ578" s="1">
        <v>0.116173</v>
      </c>
      <c r="AR578" s="1">
        <v>0.145699</v>
      </c>
      <c r="AS578" s="1">
        <v>0.221445</v>
      </c>
      <c r="AT578" s="1">
        <v>13898.0</v>
      </c>
      <c r="AU578" s="1">
        <v>1950.0</v>
      </c>
      <c r="AV578" s="1">
        <v>0.192128</v>
      </c>
      <c r="AW578" s="1">
        <v>0.136446</v>
      </c>
      <c r="AX578" s="1">
        <v>0.063488</v>
      </c>
      <c r="AY578" s="1">
        <v>0.37867</v>
      </c>
      <c r="AZ578" s="1">
        <v>0.36321483</v>
      </c>
      <c r="BA578" s="1">
        <v>0.756085</v>
      </c>
      <c r="BB578" s="1">
        <v>0.006356</v>
      </c>
      <c r="BC578" s="1">
        <v>0.12366</v>
      </c>
      <c r="BD578" s="1">
        <v>0.0</v>
      </c>
      <c r="BE578" s="1">
        <v>0.119321</v>
      </c>
      <c r="BF578" s="1">
        <v>0.013325</v>
      </c>
      <c r="BG578" s="1">
        <v>0.015745</v>
      </c>
      <c r="BH578" s="1">
        <v>0.018604</v>
      </c>
      <c r="BI578" s="1">
        <v>0.090675</v>
      </c>
      <c r="BJ578" s="1">
        <v>0.081395</v>
      </c>
      <c r="BK578" s="1">
        <v>0.048054</v>
      </c>
      <c r="BL578" s="1">
        <v>0.0</v>
      </c>
      <c r="BM578" s="1">
        <v>0.838</v>
      </c>
      <c r="BN578" s="1">
        <v>0.891</v>
      </c>
      <c r="BO578" s="1">
        <v>0.9148</v>
      </c>
      <c r="BP578" s="1">
        <v>0.73</v>
      </c>
      <c r="BQ578" s="1">
        <v>3.3738</v>
      </c>
      <c r="BR578" s="1">
        <v>0.8917</v>
      </c>
      <c r="BS578" s="1">
        <v>0.06</v>
      </c>
      <c r="BT578" s="1">
        <v>0.994</v>
      </c>
      <c r="BU578" s="1">
        <v>0.992</v>
      </c>
      <c r="BV578" s="1">
        <v>2.046</v>
      </c>
      <c r="BW578" s="1">
        <v>0.889</v>
      </c>
      <c r="BX578" s="1">
        <v>0.915</v>
      </c>
      <c r="BY578" s="1">
        <v>0.613</v>
      </c>
      <c r="BZ578" s="1">
        <v>1.528</v>
      </c>
      <c r="CA578" s="1">
        <v>0.844</v>
      </c>
      <c r="CB578" s="1">
        <v>0.0</v>
      </c>
      <c r="CC578" s="1">
        <v>0.481</v>
      </c>
      <c r="CD578" s="1">
        <v>0.654</v>
      </c>
      <c r="CE578" s="1">
        <v>0.683</v>
      </c>
      <c r="CF578" s="1">
        <v>0.0</v>
      </c>
      <c r="CG578" s="1">
        <v>1.818</v>
      </c>
      <c r="CH578" s="1">
        <v>0.271</v>
      </c>
      <c r="CI578" s="1">
        <v>8.7658</v>
      </c>
      <c r="CJ578" s="1">
        <v>0.8209</v>
      </c>
      <c r="CK578" s="1">
        <v>0.0</v>
      </c>
      <c r="CL578" s="1">
        <v>0.0</v>
      </c>
      <c r="CM578" s="1">
        <v>1.0</v>
      </c>
      <c r="CN578" s="1">
        <v>0.0</v>
      </c>
      <c r="CO578" s="1">
        <v>1.0</v>
      </c>
      <c r="CP578" s="1">
        <v>0.0</v>
      </c>
      <c r="CQ578" s="1">
        <v>1.0</v>
      </c>
      <c r="CR578" s="1">
        <v>1.0</v>
      </c>
      <c r="CS578" s="1">
        <v>2.0</v>
      </c>
      <c r="CT578" s="1">
        <v>1.0</v>
      </c>
      <c r="CU578" s="1">
        <v>0.0</v>
      </c>
      <c r="CV578" s="1">
        <v>1.0</v>
      </c>
      <c r="CW578" s="1">
        <v>0.0</v>
      </c>
      <c r="CX578" s="1">
        <v>0.0</v>
      </c>
      <c r="CY578" s="1">
        <v>0.0</v>
      </c>
      <c r="CZ578" s="1">
        <v>0.0</v>
      </c>
      <c r="DA578" s="1">
        <v>0.0</v>
      </c>
      <c r="DB578" s="1">
        <v>0.0</v>
      </c>
      <c r="DC578" s="1">
        <v>4.0</v>
      </c>
      <c r="DD578" s="1" t="s">
        <v>2765</v>
      </c>
      <c r="DE578" s="1">
        <v>2.1768418523819E-4</v>
      </c>
      <c r="DF578" s="1">
        <v>0.0640717596835271</v>
      </c>
    </row>
    <row r="579" ht="15.75" customHeight="1">
      <c r="A579" s="1" t="s">
        <v>2766</v>
      </c>
      <c r="B579" s="1">
        <v>29.0</v>
      </c>
      <c r="C579" s="2" t="s">
        <v>2039</v>
      </c>
      <c r="D579" s="2" t="s">
        <v>2767</v>
      </c>
      <c r="E579" s="1">
        <v>1.671</v>
      </c>
      <c r="F579" s="1">
        <v>29095.0</v>
      </c>
      <c r="G579" s="1">
        <v>2.9095011E10</v>
      </c>
      <c r="H579" s="1" t="s">
        <v>112</v>
      </c>
      <c r="I579" s="1" t="s">
        <v>113</v>
      </c>
      <c r="J579" s="1" t="s">
        <v>2041</v>
      </c>
      <c r="K579" s="1" t="s">
        <v>2768</v>
      </c>
      <c r="L579" s="1">
        <v>4783.0</v>
      </c>
      <c r="M579" s="1">
        <v>4711.0</v>
      </c>
      <c r="N579" s="1">
        <v>555.0</v>
      </c>
      <c r="O579" s="1">
        <v>2404.0</v>
      </c>
      <c r="P579" s="1">
        <v>2467.0</v>
      </c>
      <c r="Q579" s="1">
        <v>90.0</v>
      </c>
      <c r="R579" s="1">
        <v>2008.0</v>
      </c>
      <c r="S579" s="1">
        <v>1193.0</v>
      </c>
      <c r="T579" s="1">
        <v>474.0</v>
      </c>
      <c r="U579" s="1">
        <v>261.0</v>
      </c>
      <c r="V579" s="1">
        <v>399.0</v>
      </c>
      <c r="W579" s="1">
        <v>15666.0</v>
      </c>
      <c r="X579" s="1">
        <v>1893.0</v>
      </c>
      <c r="Y579" s="1">
        <v>733.0</v>
      </c>
      <c r="Z579" s="1">
        <v>335.0</v>
      </c>
      <c r="AA579" s="1">
        <v>608.0</v>
      </c>
      <c r="AB579" s="1">
        <v>1056.0</v>
      </c>
      <c r="AC579" s="1">
        <v>286.0</v>
      </c>
      <c r="AD579" s="1">
        <v>911.0</v>
      </c>
      <c r="AE579" s="1">
        <v>39.0</v>
      </c>
      <c r="AF579" s="1">
        <v>446.0</v>
      </c>
      <c r="AG579" s="1">
        <v>331.0</v>
      </c>
      <c r="AH579" s="1">
        <v>169.0</v>
      </c>
      <c r="AI579" s="1">
        <v>0.0</v>
      </c>
      <c r="AJ579" s="1">
        <v>114.0</v>
      </c>
      <c r="AK579" s="1">
        <v>53.0</v>
      </c>
      <c r="AL579" s="1">
        <v>132.0</v>
      </c>
      <c r="AM579" s="1">
        <v>211.0</v>
      </c>
      <c r="AN579" s="1">
        <v>111.0</v>
      </c>
      <c r="AO579" s="1">
        <v>49.0</v>
      </c>
      <c r="AP579" s="1">
        <v>0.257222</v>
      </c>
      <c r="AQ579" s="1">
        <v>0.098143</v>
      </c>
      <c r="AR579" s="1">
        <v>0.103694</v>
      </c>
      <c r="AS579" s="1">
        <v>0.157709</v>
      </c>
      <c r="AT579" s="1">
        <v>15666.0</v>
      </c>
      <c r="AU579" s="1">
        <v>1893.0</v>
      </c>
      <c r="AV579" s="1">
        <v>0.23329</v>
      </c>
      <c r="AW579" s="1">
        <v>0.103624</v>
      </c>
      <c r="AX579" s="1">
        <v>0.127116</v>
      </c>
      <c r="AY579" s="1">
        <v>0.220781</v>
      </c>
      <c r="AZ579" s="1">
        <v>0.14243027</v>
      </c>
      <c r="BA579" s="1">
        <v>0.190466</v>
      </c>
      <c r="BB579" s="1">
        <v>0.009052</v>
      </c>
      <c r="BC579" s="1">
        <v>0.103522</v>
      </c>
      <c r="BD579" s="1">
        <v>0.134171</v>
      </c>
      <c r="BE579" s="1">
        <v>0.068329</v>
      </c>
      <c r="BF579" s="1">
        <v>0.0</v>
      </c>
      <c r="BG579" s="1">
        <v>0.046209</v>
      </c>
      <c r="BH579" s="1">
        <v>0.027589</v>
      </c>
      <c r="BI579" s="1">
        <v>0.068678</v>
      </c>
      <c r="BJ579" s="1">
        <v>0.109838</v>
      </c>
      <c r="BK579" s="1">
        <v>0.057098</v>
      </c>
      <c r="BL579" s="1">
        <v>0.010244</v>
      </c>
      <c r="BM579" s="1">
        <v>0.84</v>
      </c>
      <c r="BN579" s="1">
        <v>0.753</v>
      </c>
      <c r="BO579" s="1">
        <v>0.8513</v>
      </c>
      <c r="BP579" s="1">
        <v>0.832</v>
      </c>
      <c r="BQ579" s="1">
        <v>3.2763</v>
      </c>
      <c r="BR579" s="1">
        <v>0.8729</v>
      </c>
      <c r="BS579" s="1">
        <v>0.396</v>
      </c>
      <c r="BT579" s="1">
        <v>0.304</v>
      </c>
      <c r="BU579" s="1">
        <v>0.77</v>
      </c>
      <c r="BV579" s="1">
        <v>1.47</v>
      </c>
      <c r="BW579" s="1">
        <v>0.453</v>
      </c>
      <c r="BX579" s="1">
        <v>0.695</v>
      </c>
      <c r="BY579" s="1">
        <v>0.698</v>
      </c>
      <c r="BZ579" s="1">
        <v>1.393</v>
      </c>
      <c r="CA579" s="1">
        <v>0.762</v>
      </c>
      <c r="CB579" s="1">
        <v>0.817</v>
      </c>
      <c r="CC579" s="1">
        <v>0.0</v>
      </c>
      <c r="CD579" s="1">
        <v>0.785</v>
      </c>
      <c r="CE579" s="1">
        <v>0.779</v>
      </c>
      <c r="CF579" s="1">
        <v>0.584</v>
      </c>
      <c r="CG579" s="1">
        <v>2.965</v>
      </c>
      <c r="CH579" s="1">
        <v>0.759</v>
      </c>
      <c r="CI579" s="1">
        <v>9.1043</v>
      </c>
      <c r="CJ579" s="1">
        <v>0.865</v>
      </c>
      <c r="CK579" s="1">
        <v>0.0</v>
      </c>
      <c r="CL579" s="1">
        <v>0.0</v>
      </c>
      <c r="CM579" s="1">
        <v>0.0</v>
      </c>
      <c r="CN579" s="1">
        <v>0.0</v>
      </c>
      <c r="CO579" s="1">
        <v>0.0</v>
      </c>
      <c r="CP579" s="1">
        <v>0.0</v>
      </c>
      <c r="CQ579" s="1">
        <v>0.0</v>
      </c>
      <c r="CR579" s="1">
        <v>0.0</v>
      </c>
      <c r="CS579" s="1">
        <v>0.0</v>
      </c>
      <c r="CT579" s="1">
        <v>0.0</v>
      </c>
      <c r="CU579" s="1">
        <v>0.0</v>
      </c>
      <c r="CV579" s="1">
        <v>0.0</v>
      </c>
      <c r="CW579" s="1">
        <v>0.0</v>
      </c>
      <c r="CX579" s="1">
        <v>0.0</v>
      </c>
      <c r="CY579" s="1">
        <v>0.0</v>
      </c>
      <c r="CZ579" s="1">
        <v>0.0</v>
      </c>
      <c r="DA579" s="1">
        <v>0.0</v>
      </c>
      <c r="DB579" s="1">
        <v>0.0</v>
      </c>
      <c r="DC579" s="1">
        <v>0.0</v>
      </c>
      <c r="DD579" s="1" t="s">
        <v>2769</v>
      </c>
      <c r="DE579" s="1">
        <v>4.6013542096979E-4</v>
      </c>
      <c r="DF579" s="2" t="s">
        <v>2770</v>
      </c>
    </row>
    <row r="580" ht="15.75" customHeight="1">
      <c r="A580" s="1" t="s">
        <v>2771</v>
      </c>
      <c r="B580" s="1">
        <v>29.0</v>
      </c>
      <c r="C580" s="2" t="s">
        <v>2039</v>
      </c>
      <c r="D580" s="2" t="s">
        <v>2772</v>
      </c>
      <c r="E580" s="1">
        <v>0.913</v>
      </c>
      <c r="F580" s="1">
        <v>29095.0</v>
      </c>
      <c r="G580" s="1">
        <v>2.9095013208E10</v>
      </c>
      <c r="H580" s="1" t="s">
        <v>112</v>
      </c>
      <c r="I580" s="1" t="s">
        <v>113</v>
      </c>
      <c r="J580" s="1" t="s">
        <v>2041</v>
      </c>
      <c r="K580" s="1" t="s">
        <v>2773</v>
      </c>
      <c r="L580" s="1">
        <v>3002.0</v>
      </c>
      <c r="M580" s="1">
        <v>2875.0</v>
      </c>
      <c r="N580" s="1">
        <v>431.0</v>
      </c>
      <c r="O580" s="1">
        <v>1293.0</v>
      </c>
      <c r="P580" s="1">
        <v>1382.0</v>
      </c>
      <c r="Q580" s="1">
        <v>39.0</v>
      </c>
      <c r="R580" s="1">
        <v>1166.0</v>
      </c>
      <c r="S580" s="1">
        <v>857.0</v>
      </c>
      <c r="T580" s="1">
        <v>342.0</v>
      </c>
      <c r="U580" s="1">
        <v>219.0</v>
      </c>
      <c r="V580" s="1">
        <v>393.0</v>
      </c>
      <c r="W580" s="1">
        <v>17625.0</v>
      </c>
      <c r="X580" s="1">
        <v>3054.0</v>
      </c>
      <c r="Y580" s="1">
        <v>329.0</v>
      </c>
      <c r="Z580" s="1">
        <v>256.0</v>
      </c>
      <c r="AA580" s="1">
        <v>322.0</v>
      </c>
      <c r="AB580" s="1">
        <v>920.0</v>
      </c>
      <c r="AC580" s="1">
        <v>277.0</v>
      </c>
      <c r="AD580" s="1">
        <v>2493.0</v>
      </c>
      <c r="AE580" s="1">
        <v>71.0</v>
      </c>
      <c r="AF580" s="1">
        <v>437.0</v>
      </c>
      <c r="AG580" s="1">
        <v>232.0</v>
      </c>
      <c r="AH580" s="1">
        <v>99.0</v>
      </c>
      <c r="AI580" s="1">
        <v>0.0</v>
      </c>
      <c r="AJ580" s="1">
        <v>114.0</v>
      </c>
      <c r="AK580" s="1">
        <v>37.0</v>
      </c>
      <c r="AL580" s="1">
        <v>120.0</v>
      </c>
      <c r="AM580" s="1">
        <v>240.0</v>
      </c>
      <c r="AN580" s="1">
        <v>146.0</v>
      </c>
      <c r="AO580" s="1">
        <v>1.0</v>
      </c>
      <c r="AP580" s="1">
        <v>0.301548</v>
      </c>
      <c r="AQ580" s="1">
        <v>0.111046</v>
      </c>
      <c r="AR580" s="1">
        <v>0.164167</v>
      </c>
      <c r="AS580" s="1">
        <v>0.291598</v>
      </c>
      <c r="AT580" s="1">
        <v>17625.0</v>
      </c>
      <c r="AU580" s="1">
        <v>3054.0</v>
      </c>
      <c r="AV580" s="1">
        <v>0.165243</v>
      </c>
      <c r="AW580" s="1">
        <v>0.126242</v>
      </c>
      <c r="AX580" s="1">
        <v>0.107261</v>
      </c>
      <c r="AY580" s="1">
        <v>0.306462</v>
      </c>
      <c r="AZ580" s="1">
        <v>0.23756432</v>
      </c>
      <c r="BA580" s="1">
        <v>0.830446</v>
      </c>
      <c r="BB580" s="1">
        <v>0.026286</v>
      </c>
      <c r="BC580" s="1">
        <v>0.161742</v>
      </c>
      <c r="BD580" s="1">
        <v>0.167872</v>
      </c>
      <c r="BE580" s="1">
        <v>0.071478</v>
      </c>
      <c r="BF580" s="1">
        <v>0.0</v>
      </c>
      <c r="BG580" s="1">
        <v>0.082489</v>
      </c>
      <c r="BH580" s="1">
        <v>0.032714</v>
      </c>
      <c r="BI580" s="1">
        <v>0.106041</v>
      </c>
      <c r="BJ580" s="1">
        <v>0.212201</v>
      </c>
      <c r="BK580" s="1">
        <v>0.127009</v>
      </c>
      <c r="BL580" s="1">
        <v>3.33E-4</v>
      </c>
      <c r="BM580" s="1">
        <v>0.887</v>
      </c>
      <c r="BN580" s="1">
        <v>0.915</v>
      </c>
      <c r="BO580" s="1">
        <v>0.7516</v>
      </c>
      <c r="BP580" s="1">
        <v>0.635</v>
      </c>
      <c r="BQ580" s="1">
        <v>3.1886</v>
      </c>
      <c r="BR580" s="1">
        <v>0.8513</v>
      </c>
      <c r="BS580" s="1">
        <v>0.253</v>
      </c>
      <c r="BT580" s="1">
        <v>0.938</v>
      </c>
      <c r="BU580" s="1">
        <v>0.933</v>
      </c>
      <c r="BV580" s="1">
        <v>2.124</v>
      </c>
      <c r="BW580" s="1">
        <v>0.932</v>
      </c>
      <c r="BX580" s="1">
        <v>0.928</v>
      </c>
      <c r="BY580" s="1">
        <v>0.898</v>
      </c>
      <c r="BZ580" s="1">
        <v>1.826</v>
      </c>
      <c r="CA580" s="1">
        <v>0.971</v>
      </c>
      <c r="CB580" s="1">
        <v>0.864</v>
      </c>
      <c r="CC580" s="1">
        <v>0.0</v>
      </c>
      <c r="CD580" s="1">
        <v>0.84</v>
      </c>
      <c r="CE580" s="1">
        <v>0.916</v>
      </c>
      <c r="CF580" s="1">
        <v>0.353</v>
      </c>
      <c r="CG580" s="1">
        <v>2.973</v>
      </c>
      <c r="CH580" s="1">
        <v>0.763</v>
      </c>
      <c r="CI580" s="1">
        <v>10.1116</v>
      </c>
      <c r="CJ580" s="1">
        <v>0.9574</v>
      </c>
      <c r="CK580" s="1">
        <v>0.0</v>
      </c>
      <c r="CL580" s="1">
        <v>1.0</v>
      </c>
      <c r="CM580" s="1">
        <v>0.0</v>
      </c>
      <c r="CN580" s="1">
        <v>0.0</v>
      </c>
      <c r="CO580" s="1">
        <v>1.0</v>
      </c>
      <c r="CP580" s="1">
        <v>0.0</v>
      </c>
      <c r="CQ580" s="1">
        <v>1.0</v>
      </c>
      <c r="CR580" s="1">
        <v>1.0</v>
      </c>
      <c r="CS580" s="1">
        <v>2.0</v>
      </c>
      <c r="CT580" s="1">
        <v>1.0</v>
      </c>
      <c r="CU580" s="1">
        <v>0.0</v>
      </c>
      <c r="CV580" s="1">
        <v>1.0</v>
      </c>
      <c r="CW580" s="1">
        <v>0.0</v>
      </c>
      <c r="CX580" s="1">
        <v>0.0</v>
      </c>
      <c r="CY580" s="1">
        <v>0.0</v>
      </c>
      <c r="CZ580" s="1">
        <v>1.0</v>
      </c>
      <c r="DA580" s="1">
        <v>0.0</v>
      </c>
      <c r="DB580" s="1">
        <v>1.0</v>
      </c>
      <c r="DC580" s="1">
        <v>5.0</v>
      </c>
      <c r="DD580" s="1" t="s">
        <v>2774</v>
      </c>
      <c r="DE580" s="1">
        <v>2.43872518363738E-4</v>
      </c>
      <c r="DF580" s="1">
        <v>0.0893019486247479</v>
      </c>
    </row>
    <row r="581" ht="15.75" customHeight="1">
      <c r="A581" s="1" t="s">
        <v>2775</v>
      </c>
      <c r="B581" s="1">
        <v>29.0</v>
      </c>
      <c r="C581" s="2" t="s">
        <v>2039</v>
      </c>
      <c r="D581" s="2" t="s">
        <v>2776</v>
      </c>
      <c r="E581" s="1">
        <v>2.069</v>
      </c>
      <c r="F581" s="1">
        <v>29095.0</v>
      </c>
      <c r="G581" s="1">
        <v>2.9095013301E10</v>
      </c>
      <c r="H581" s="1" t="s">
        <v>112</v>
      </c>
      <c r="I581" s="1" t="s">
        <v>113</v>
      </c>
      <c r="J581" s="1" t="s">
        <v>2041</v>
      </c>
      <c r="K581" s="1" t="s">
        <v>2777</v>
      </c>
      <c r="L581" s="1">
        <v>4031.0</v>
      </c>
      <c r="M581" s="1">
        <v>3796.0</v>
      </c>
      <c r="N581" s="1">
        <v>299.0</v>
      </c>
      <c r="O581" s="1">
        <v>2052.0</v>
      </c>
      <c r="P581" s="1">
        <v>1899.0</v>
      </c>
      <c r="Q581" s="1">
        <v>109.0</v>
      </c>
      <c r="R581" s="1">
        <v>1842.0</v>
      </c>
      <c r="S581" s="1">
        <v>588.0</v>
      </c>
      <c r="T581" s="1">
        <v>301.0</v>
      </c>
      <c r="U581" s="1">
        <v>117.0</v>
      </c>
      <c r="V581" s="1">
        <v>417.0</v>
      </c>
      <c r="W581" s="1">
        <v>20525.0</v>
      </c>
      <c r="X581" s="1">
        <v>1776.0</v>
      </c>
      <c r="Y581" s="1">
        <v>396.0</v>
      </c>
      <c r="Z581" s="1">
        <v>268.0</v>
      </c>
      <c r="AA581" s="1">
        <v>627.0</v>
      </c>
      <c r="AB581" s="1">
        <v>891.0</v>
      </c>
      <c r="AC581" s="1">
        <v>215.0</v>
      </c>
      <c r="AD581" s="1">
        <v>1276.0</v>
      </c>
      <c r="AE581" s="1">
        <v>0.0</v>
      </c>
      <c r="AF581" s="1">
        <v>456.0</v>
      </c>
      <c r="AG581" s="1">
        <v>357.0</v>
      </c>
      <c r="AH581" s="1">
        <v>98.0</v>
      </c>
      <c r="AI581" s="1">
        <v>0.0</v>
      </c>
      <c r="AJ581" s="1">
        <v>114.0</v>
      </c>
      <c r="AK581" s="1">
        <v>0.0</v>
      </c>
      <c r="AL581" s="1">
        <v>161.0</v>
      </c>
      <c r="AM581" s="1">
        <v>197.0</v>
      </c>
      <c r="AN581" s="1">
        <v>94.0</v>
      </c>
      <c r="AO581" s="1">
        <v>0.0</v>
      </c>
      <c r="AP581" s="1">
        <v>0.154899</v>
      </c>
      <c r="AQ581" s="1">
        <v>0.078349</v>
      </c>
      <c r="AR581" s="1">
        <v>0.058853</v>
      </c>
      <c r="AS581" s="1">
        <v>0.209591</v>
      </c>
      <c r="AT581" s="1">
        <v>20525.0</v>
      </c>
      <c r="AU581" s="1">
        <v>1776.0</v>
      </c>
      <c r="AV581" s="1">
        <v>0.147102</v>
      </c>
      <c r="AW581" s="1">
        <v>0.098928</v>
      </c>
      <c r="AX581" s="1">
        <v>0.155544</v>
      </c>
      <c r="AY581" s="1">
        <v>0.221036</v>
      </c>
      <c r="AZ581" s="1">
        <v>0.11672095</v>
      </c>
      <c r="BA581" s="1">
        <v>0.316546</v>
      </c>
      <c r="BB581" s="1">
        <v>0.0</v>
      </c>
      <c r="BC581" s="1">
        <v>0.129692</v>
      </c>
      <c r="BD581" s="1">
        <v>0.187993</v>
      </c>
      <c r="BE581" s="1">
        <v>0.050465</v>
      </c>
      <c r="BF581" s="1">
        <v>0.0</v>
      </c>
      <c r="BG581" s="1">
        <v>0.060031</v>
      </c>
      <c r="BH581" s="1">
        <v>0.0</v>
      </c>
      <c r="BI581" s="1">
        <v>0.089893</v>
      </c>
      <c r="BJ581" s="1">
        <v>0.109994</v>
      </c>
      <c r="BK581" s="1">
        <v>0.05204</v>
      </c>
      <c r="BL581" s="1">
        <v>0.0</v>
      </c>
      <c r="BM581" s="1">
        <v>0.595</v>
      </c>
      <c r="BN581" s="1">
        <v>0.403</v>
      </c>
      <c r="BO581" s="1">
        <v>0.5812</v>
      </c>
      <c r="BP581" s="1">
        <v>0.556</v>
      </c>
      <c r="BQ581" s="1">
        <v>2.1352</v>
      </c>
      <c r="BR581" s="1">
        <v>0.5401</v>
      </c>
      <c r="BS581" s="1">
        <v>0.625</v>
      </c>
      <c r="BT581" s="1">
        <v>0.308</v>
      </c>
      <c r="BU581" s="1">
        <v>0.648</v>
      </c>
      <c r="BV581" s="1">
        <v>1.581</v>
      </c>
      <c r="BW581" s="1">
        <v>0.552</v>
      </c>
      <c r="BX581" s="1">
        <v>0.8</v>
      </c>
      <c r="BY581" s="1">
        <v>0.0</v>
      </c>
      <c r="BZ581" s="1">
        <v>0.8</v>
      </c>
      <c r="CA581" s="1">
        <v>0.4</v>
      </c>
      <c r="CB581" s="1">
        <v>0.887</v>
      </c>
      <c r="CC581" s="1">
        <v>0.0</v>
      </c>
      <c r="CD581" s="1">
        <v>0.0</v>
      </c>
      <c r="CE581" s="1">
        <v>0.78</v>
      </c>
      <c r="CF581" s="1">
        <v>0.0</v>
      </c>
      <c r="CG581" s="1">
        <v>1.667</v>
      </c>
      <c r="CH581" s="1">
        <v>0.222</v>
      </c>
      <c r="CI581" s="1">
        <v>6.1832</v>
      </c>
      <c r="CJ581" s="1">
        <v>0.4029</v>
      </c>
      <c r="CK581" s="1">
        <v>0.0</v>
      </c>
      <c r="CL581" s="1">
        <v>0.0</v>
      </c>
      <c r="CM581" s="1">
        <v>0.0</v>
      </c>
      <c r="CN581" s="1">
        <v>0.0</v>
      </c>
      <c r="CO581" s="1">
        <v>0.0</v>
      </c>
      <c r="CP581" s="1">
        <v>0.0</v>
      </c>
      <c r="CQ581" s="1">
        <v>0.0</v>
      </c>
      <c r="CR581" s="1">
        <v>0.0</v>
      </c>
      <c r="CS581" s="1">
        <v>0.0</v>
      </c>
      <c r="CT581" s="1">
        <v>0.0</v>
      </c>
      <c r="CU581" s="1">
        <v>0.0</v>
      </c>
      <c r="CV581" s="1">
        <v>0.0</v>
      </c>
      <c r="CW581" s="1">
        <v>0.0</v>
      </c>
      <c r="CX581" s="1">
        <v>0.0</v>
      </c>
      <c r="CY581" s="1">
        <v>0.0</v>
      </c>
      <c r="CZ581" s="1">
        <v>0.0</v>
      </c>
      <c r="DA581" s="1">
        <v>0.0</v>
      </c>
      <c r="DB581" s="1">
        <v>0.0</v>
      </c>
      <c r="DC581" s="1">
        <v>0.0</v>
      </c>
      <c r="DD581" s="1" t="s">
        <v>2778</v>
      </c>
      <c r="DE581" s="1">
        <v>5.56864760765087E-4</v>
      </c>
      <c r="DF581" s="2" t="s">
        <v>2779</v>
      </c>
    </row>
    <row r="582" ht="15.75" customHeight="1">
      <c r="A582" s="1" t="s">
        <v>2780</v>
      </c>
      <c r="B582" s="1">
        <v>29.0</v>
      </c>
      <c r="C582" s="2" t="s">
        <v>2039</v>
      </c>
      <c r="D582" s="2" t="s">
        <v>2781</v>
      </c>
      <c r="E582" s="1">
        <v>1.19</v>
      </c>
      <c r="F582" s="1">
        <v>29095.0</v>
      </c>
      <c r="G582" s="1">
        <v>2.9095013307E10</v>
      </c>
      <c r="H582" s="1" t="s">
        <v>112</v>
      </c>
      <c r="I582" s="1" t="s">
        <v>113</v>
      </c>
      <c r="J582" s="1" t="s">
        <v>2041</v>
      </c>
      <c r="K582" s="1" t="s">
        <v>2782</v>
      </c>
      <c r="L582" s="1">
        <v>2704.0</v>
      </c>
      <c r="M582" s="1">
        <v>2948.0</v>
      </c>
      <c r="N582" s="1">
        <v>490.0</v>
      </c>
      <c r="O582" s="1">
        <v>1207.0</v>
      </c>
      <c r="P582" s="1">
        <v>1148.0</v>
      </c>
      <c r="Q582" s="1">
        <v>86.0</v>
      </c>
      <c r="R582" s="1">
        <v>1094.0</v>
      </c>
      <c r="S582" s="1">
        <v>666.0</v>
      </c>
      <c r="T582" s="1">
        <v>334.0</v>
      </c>
      <c r="U582" s="1">
        <v>119.0</v>
      </c>
      <c r="V582" s="1">
        <v>433.0</v>
      </c>
      <c r="W582" s="1">
        <v>14318.0</v>
      </c>
      <c r="X582" s="1">
        <v>2380.0</v>
      </c>
      <c r="Y582" s="1">
        <v>311.0</v>
      </c>
      <c r="Z582" s="1">
        <v>339.0</v>
      </c>
      <c r="AA582" s="1">
        <v>244.0</v>
      </c>
      <c r="AB582" s="1">
        <v>732.0</v>
      </c>
      <c r="AC582" s="1">
        <v>236.0</v>
      </c>
      <c r="AD582" s="1">
        <v>2118.0</v>
      </c>
      <c r="AE582" s="1">
        <v>225.0</v>
      </c>
      <c r="AF582" s="1">
        <v>488.0</v>
      </c>
      <c r="AG582" s="1">
        <v>206.0</v>
      </c>
      <c r="AH582" s="1">
        <v>87.0</v>
      </c>
      <c r="AI582" s="1">
        <v>23.0</v>
      </c>
      <c r="AJ582" s="1">
        <v>28.0</v>
      </c>
      <c r="AK582" s="1">
        <v>23.0</v>
      </c>
      <c r="AL582" s="1">
        <v>116.0</v>
      </c>
      <c r="AM582" s="1">
        <v>101.0</v>
      </c>
      <c r="AN582" s="1">
        <v>77.0</v>
      </c>
      <c r="AO582" s="1">
        <v>0.0</v>
      </c>
      <c r="AP582" s="1">
        <v>0.225915</v>
      </c>
      <c r="AQ582" s="1">
        <v>0.106893</v>
      </c>
      <c r="AR582" s="1">
        <v>0.079651</v>
      </c>
      <c r="AS582" s="1">
        <v>0.289086</v>
      </c>
      <c r="AT582" s="1">
        <v>14318.0</v>
      </c>
      <c r="AU582" s="1">
        <v>2380.0</v>
      </c>
      <c r="AV582" s="1">
        <v>0.188142</v>
      </c>
      <c r="AW582" s="1">
        <v>0.202766</v>
      </c>
      <c r="AX582" s="1">
        <v>0.090236</v>
      </c>
      <c r="AY582" s="1">
        <v>0.27071</v>
      </c>
      <c r="AZ582" s="1">
        <v>0.21572212</v>
      </c>
      <c r="BA582" s="1">
        <v>0.783284</v>
      </c>
      <c r="BB582" s="1">
        <v>0.08269</v>
      </c>
      <c r="BC582" s="1">
        <v>0.178816</v>
      </c>
      <c r="BD582" s="1">
        <v>0.179442</v>
      </c>
      <c r="BE582" s="1">
        <v>0.074582</v>
      </c>
      <c r="BF582" s="1">
        <v>0.020034</v>
      </c>
      <c r="BG582" s="1">
        <v>0.024344</v>
      </c>
      <c r="BH582" s="1">
        <v>0.021904</v>
      </c>
      <c r="BI582" s="1">
        <v>0.110449</v>
      </c>
      <c r="BJ582" s="1">
        <v>0.09619</v>
      </c>
      <c r="BK582" s="1">
        <v>0.072545</v>
      </c>
      <c r="BL582" s="1">
        <v>0.0</v>
      </c>
      <c r="BM582" s="1">
        <v>0.783</v>
      </c>
      <c r="BN582" s="1">
        <v>0.608</v>
      </c>
      <c r="BO582" s="1">
        <v>0.8996</v>
      </c>
      <c r="BP582" s="1">
        <v>0.719</v>
      </c>
      <c r="BQ582" s="1">
        <v>3.0096</v>
      </c>
      <c r="BR582" s="1">
        <v>0.8043</v>
      </c>
      <c r="BS582" s="1">
        <v>0.161</v>
      </c>
      <c r="BT582" s="1">
        <v>0.798</v>
      </c>
      <c r="BU582" s="1">
        <v>0.913</v>
      </c>
      <c r="BV582" s="1">
        <v>1.872</v>
      </c>
      <c r="BW582" s="1">
        <v>0.783</v>
      </c>
      <c r="BX582" s="1">
        <v>0.921</v>
      </c>
      <c r="BY582" s="1">
        <v>0.98</v>
      </c>
      <c r="BZ582" s="1">
        <v>1.901</v>
      </c>
      <c r="CA582" s="1">
        <v>0.992</v>
      </c>
      <c r="CB582" s="1">
        <v>0.88</v>
      </c>
      <c r="CC582" s="1">
        <v>0.51</v>
      </c>
      <c r="CD582" s="1">
        <v>0.707</v>
      </c>
      <c r="CE582" s="1">
        <v>0.742</v>
      </c>
      <c r="CF582" s="1">
        <v>0.0</v>
      </c>
      <c r="CG582" s="1">
        <v>2.839</v>
      </c>
      <c r="CH582" s="1">
        <v>0.705</v>
      </c>
      <c r="CI582" s="1">
        <v>9.6216</v>
      </c>
      <c r="CJ582" s="1">
        <v>0.9184</v>
      </c>
      <c r="CK582" s="1">
        <v>0.0</v>
      </c>
      <c r="CL582" s="1">
        <v>0.0</v>
      </c>
      <c r="CM582" s="1">
        <v>0.0</v>
      </c>
      <c r="CN582" s="1">
        <v>0.0</v>
      </c>
      <c r="CO582" s="1">
        <v>0.0</v>
      </c>
      <c r="CP582" s="1">
        <v>0.0</v>
      </c>
      <c r="CQ582" s="1">
        <v>0.0</v>
      </c>
      <c r="CR582" s="1">
        <v>1.0</v>
      </c>
      <c r="CS582" s="1">
        <v>1.0</v>
      </c>
      <c r="CT582" s="1">
        <v>1.0</v>
      </c>
      <c r="CU582" s="1">
        <v>1.0</v>
      </c>
      <c r="CV582" s="1">
        <v>2.0</v>
      </c>
      <c r="CW582" s="1">
        <v>0.0</v>
      </c>
      <c r="CX582" s="1">
        <v>0.0</v>
      </c>
      <c r="CY582" s="1">
        <v>0.0</v>
      </c>
      <c r="CZ582" s="1">
        <v>0.0</v>
      </c>
      <c r="DA582" s="1">
        <v>0.0</v>
      </c>
      <c r="DB582" s="1">
        <v>0.0</v>
      </c>
      <c r="DC582" s="1">
        <v>3.0</v>
      </c>
      <c r="DD582" s="1" t="s">
        <v>2783</v>
      </c>
      <c r="DE582" s="1">
        <v>3.204704429811E-4</v>
      </c>
      <c r="DF582" s="1">
        <v>0.0915074257253956</v>
      </c>
    </row>
    <row r="583" ht="15.75" customHeight="1">
      <c r="A583" s="1" t="s">
        <v>2784</v>
      </c>
      <c r="B583" s="1">
        <v>29.0</v>
      </c>
      <c r="C583" s="2" t="s">
        <v>2039</v>
      </c>
      <c r="D583" s="2" t="s">
        <v>2785</v>
      </c>
      <c r="E583" s="1">
        <v>1.659</v>
      </c>
      <c r="F583" s="1">
        <v>29095.0</v>
      </c>
      <c r="G583" s="1">
        <v>2.9095013309E10</v>
      </c>
      <c r="H583" s="1" t="s">
        <v>112</v>
      </c>
      <c r="I583" s="1" t="s">
        <v>113</v>
      </c>
      <c r="J583" s="1" t="s">
        <v>2041</v>
      </c>
      <c r="K583" s="1" t="s">
        <v>2786</v>
      </c>
      <c r="L583" s="1">
        <v>4827.0</v>
      </c>
      <c r="M583" s="1">
        <v>4569.0</v>
      </c>
      <c r="N583" s="1">
        <v>519.0</v>
      </c>
      <c r="O583" s="1">
        <v>1980.0</v>
      </c>
      <c r="P583" s="1">
        <v>1891.0</v>
      </c>
      <c r="Q583" s="1">
        <v>108.0</v>
      </c>
      <c r="R583" s="1">
        <v>1801.0</v>
      </c>
      <c r="S583" s="1">
        <v>165.0</v>
      </c>
      <c r="T583" s="1">
        <v>124.0</v>
      </c>
      <c r="U583" s="1">
        <v>130.0</v>
      </c>
      <c r="V583" s="1">
        <v>453.0</v>
      </c>
      <c r="W583" s="1">
        <v>22377.0</v>
      </c>
      <c r="X583" s="1">
        <v>3035.0</v>
      </c>
      <c r="Y583" s="1">
        <v>240.0</v>
      </c>
      <c r="Z583" s="1">
        <v>339.0</v>
      </c>
      <c r="AA583" s="1">
        <v>679.0</v>
      </c>
      <c r="AB583" s="1">
        <v>1390.0</v>
      </c>
      <c r="AC583" s="1">
        <v>406.0</v>
      </c>
      <c r="AD583" s="1">
        <v>3324.0</v>
      </c>
      <c r="AE583" s="1">
        <v>0.0</v>
      </c>
      <c r="AF583" s="1">
        <v>456.0</v>
      </c>
      <c r="AG583" s="1">
        <v>222.0</v>
      </c>
      <c r="AH583" s="1">
        <v>144.0</v>
      </c>
      <c r="AI583" s="1">
        <v>0.0</v>
      </c>
      <c r="AJ583" s="1">
        <v>114.0</v>
      </c>
      <c r="AK583" s="1">
        <v>40.0</v>
      </c>
      <c r="AL583" s="1">
        <v>125.0</v>
      </c>
      <c r="AM583" s="1">
        <v>118.0</v>
      </c>
      <c r="AN583" s="1">
        <v>84.0</v>
      </c>
      <c r="AO583" s="1">
        <v>102.0</v>
      </c>
      <c r="AP583" s="1">
        <v>0.037145</v>
      </c>
      <c r="AQ583" s="1">
        <v>0.027573</v>
      </c>
      <c r="AR583" s="1">
        <v>0.057017</v>
      </c>
      <c r="AS583" s="1">
        <v>0.198445</v>
      </c>
      <c r="AT583" s="1">
        <v>22377.0</v>
      </c>
      <c r="AU583" s="1">
        <v>3035.0</v>
      </c>
      <c r="AV583" s="1">
        <v>0.083652</v>
      </c>
      <c r="AW583" s="1">
        <v>0.117824</v>
      </c>
      <c r="AX583" s="1">
        <v>0.140667</v>
      </c>
      <c r="AY583" s="1">
        <v>0.287963</v>
      </c>
      <c r="AZ583" s="1">
        <v>0.22543031</v>
      </c>
      <c r="BA583" s="1">
        <v>0.688626</v>
      </c>
      <c r="BB583" s="1">
        <v>0.0</v>
      </c>
      <c r="BC583" s="1">
        <v>0.108159</v>
      </c>
      <c r="BD583" s="1">
        <v>0.117398</v>
      </c>
      <c r="BE583" s="1">
        <v>0.075854</v>
      </c>
      <c r="BF583" s="1">
        <v>0.0</v>
      </c>
      <c r="BG583" s="1">
        <v>0.060285</v>
      </c>
      <c r="BH583" s="1">
        <v>0.02335</v>
      </c>
      <c r="BI583" s="1">
        <v>0.072946</v>
      </c>
      <c r="BJ583" s="1">
        <v>0.068884</v>
      </c>
      <c r="BK583" s="1">
        <v>0.048707</v>
      </c>
      <c r="BL583" s="1">
        <v>0.021131</v>
      </c>
      <c r="BM583" s="1">
        <v>0.112</v>
      </c>
      <c r="BN583" s="1">
        <v>0.381</v>
      </c>
      <c r="BO583" s="1">
        <v>0.4751</v>
      </c>
      <c r="BP583" s="1">
        <v>0.261</v>
      </c>
      <c r="BQ583" s="1">
        <v>1.2291</v>
      </c>
      <c r="BR583" s="1">
        <v>0.2621</v>
      </c>
      <c r="BS583" s="1">
        <v>0.502</v>
      </c>
      <c r="BT583" s="1">
        <v>0.881</v>
      </c>
      <c r="BU583" s="1">
        <v>0.922</v>
      </c>
      <c r="BV583" s="1">
        <v>2.305</v>
      </c>
      <c r="BW583" s="1">
        <v>0.982</v>
      </c>
      <c r="BX583" s="1">
        <v>0.897</v>
      </c>
      <c r="BY583" s="1">
        <v>0.0</v>
      </c>
      <c r="BZ583" s="1">
        <v>0.897</v>
      </c>
      <c r="CA583" s="1">
        <v>0.465</v>
      </c>
      <c r="CB583" s="1">
        <v>0.798</v>
      </c>
      <c r="CC583" s="1">
        <v>0.0</v>
      </c>
      <c r="CD583" s="1">
        <v>0.735</v>
      </c>
      <c r="CE583" s="1">
        <v>0.619</v>
      </c>
      <c r="CF583" s="1">
        <v>0.722</v>
      </c>
      <c r="CG583" s="1">
        <v>2.874</v>
      </c>
      <c r="CH583" s="1">
        <v>0.723</v>
      </c>
      <c r="CI583" s="1">
        <v>7.3051</v>
      </c>
      <c r="CJ583" s="1">
        <v>0.6079</v>
      </c>
      <c r="CK583" s="1">
        <v>0.0</v>
      </c>
      <c r="CL583" s="1">
        <v>0.0</v>
      </c>
      <c r="CM583" s="1">
        <v>0.0</v>
      </c>
      <c r="CN583" s="1">
        <v>0.0</v>
      </c>
      <c r="CO583" s="1">
        <v>0.0</v>
      </c>
      <c r="CP583" s="1">
        <v>0.0</v>
      </c>
      <c r="CQ583" s="1">
        <v>0.0</v>
      </c>
      <c r="CR583" s="1">
        <v>1.0</v>
      </c>
      <c r="CS583" s="1">
        <v>1.0</v>
      </c>
      <c r="CT583" s="1">
        <v>0.0</v>
      </c>
      <c r="CU583" s="1">
        <v>0.0</v>
      </c>
      <c r="CV583" s="1">
        <v>0.0</v>
      </c>
      <c r="CW583" s="1">
        <v>0.0</v>
      </c>
      <c r="CX583" s="1">
        <v>0.0</v>
      </c>
      <c r="CY583" s="1">
        <v>0.0</v>
      </c>
      <c r="CZ583" s="1">
        <v>0.0</v>
      </c>
      <c r="DA583" s="1">
        <v>0.0</v>
      </c>
      <c r="DB583" s="1">
        <v>0.0</v>
      </c>
      <c r="DC583" s="1">
        <v>1.0</v>
      </c>
      <c r="DD583" s="1" t="s">
        <v>2787</v>
      </c>
      <c r="DE583" s="1">
        <v>4.50404493942367E-4</v>
      </c>
      <c r="DF583" s="2" t="s">
        <v>2788</v>
      </c>
    </row>
    <row r="584" ht="15.75" customHeight="1">
      <c r="A584" s="1" t="s">
        <v>2789</v>
      </c>
      <c r="B584" s="1">
        <v>29.0</v>
      </c>
      <c r="C584" s="2" t="s">
        <v>2039</v>
      </c>
      <c r="D584" s="2" t="s">
        <v>2790</v>
      </c>
      <c r="E584" s="1">
        <v>1.918</v>
      </c>
      <c r="F584" s="1">
        <v>29095.0</v>
      </c>
      <c r="G584" s="1">
        <v>2.9095013313E10</v>
      </c>
      <c r="H584" s="1" t="s">
        <v>112</v>
      </c>
      <c r="I584" s="1" t="s">
        <v>113</v>
      </c>
      <c r="J584" s="1" t="s">
        <v>2041</v>
      </c>
      <c r="K584" s="1" t="s">
        <v>2791</v>
      </c>
      <c r="L584" s="1">
        <v>4830.0</v>
      </c>
      <c r="M584" s="1">
        <v>4971.0</v>
      </c>
      <c r="N584" s="1">
        <v>376.0</v>
      </c>
      <c r="O584" s="1">
        <v>2017.0</v>
      </c>
      <c r="P584" s="1">
        <v>1872.0</v>
      </c>
      <c r="Q584" s="1">
        <v>118.0</v>
      </c>
      <c r="R584" s="1">
        <v>1772.0</v>
      </c>
      <c r="S584" s="1">
        <v>466.0</v>
      </c>
      <c r="T584" s="1">
        <v>242.0</v>
      </c>
      <c r="U584" s="1">
        <v>186.0</v>
      </c>
      <c r="V584" s="1">
        <v>404.0</v>
      </c>
      <c r="W584" s="1">
        <v>24104.0</v>
      </c>
      <c r="X584" s="1">
        <v>2959.0</v>
      </c>
      <c r="Y584" s="1">
        <v>242.0</v>
      </c>
      <c r="Z584" s="1">
        <v>247.0</v>
      </c>
      <c r="AA584" s="1">
        <v>590.0</v>
      </c>
      <c r="AB584" s="1">
        <v>1274.0</v>
      </c>
      <c r="AC584" s="1">
        <v>238.0</v>
      </c>
      <c r="AD584" s="1">
        <v>2335.0</v>
      </c>
      <c r="AE584" s="1">
        <v>77.0</v>
      </c>
      <c r="AF584" s="1">
        <v>382.0</v>
      </c>
      <c r="AG584" s="1">
        <v>10.0</v>
      </c>
      <c r="AH584" s="1">
        <v>162.0</v>
      </c>
      <c r="AI584" s="1">
        <v>10.0</v>
      </c>
      <c r="AJ584" s="1">
        <v>17.0</v>
      </c>
      <c r="AK584" s="1">
        <v>47.0</v>
      </c>
      <c r="AL584" s="1">
        <v>126.0</v>
      </c>
      <c r="AM584" s="1">
        <v>63.0</v>
      </c>
      <c r="AN584" s="1">
        <v>50.0</v>
      </c>
      <c r="AO584" s="1">
        <v>19.0</v>
      </c>
      <c r="AP584" s="1">
        <v>0.093743</v>
      </c>
      <c r="AQ584" s="1">
        <v>0.048163</v>
      </c>
      <c r="AR584" s="1">
        <v>0.07598</v>
      </c>
      <c r="AS584" s="1">
        <v>0.164806</v>
      </c>
      <c r="AT584" s="1">
        <v>24104.0</v>
      </c>
      <c r="AU584" s="1">
        <v>2959.0</v>
      </c>
      <c r="AV584" s="1">
        <v>0.075672</v>
      </c>
      <c r="AW584" s="1">
        <v>0.07708</v>
      </c>
      <c r="AX584" s="1">
        <v>0.122153</v>
      </c>
      <c r="AY584" s="1">
        <v>0.263768</v>
      </c>
      <c r="AZ584" s="1">
        <v>0.13431151</v>
      </c>
      <c r="BA584" s="1">
        <v>0.483436</v>
      </c>
      <c r="BB584" s="1">
        <v>0.016491</v>
      </c>
      <c r="BC584" s="1">
        <v>0.081806</v>
      </c>
      <c r="BD584" s="1">
        <v>0.005341</v>
      </c>
      <c r="BE584" s="1">
        <v>0.086537</v>
      </c>
      <c r="BF584" s="1">
        <v>0.005341</v>
      </c>
      <c r="BG584" s="1">
        <v>0.009074</v>
      </c>
      <c r="BH584" s="1">
        <v>0.026434</v>
      </c>
      <c r="BI584" s="1">
        <v>0.070841</v>
      </c>
      <c r="BJ584" s="1">
        <v>0.035433</v>
      </c>
      <c r="BK584" s="1">
        <v>0.02801</v>
      </c>
      <c r="BL584" s="1">
        <v>0.003933</v>
      </c>
      <c r="BM584" s="1">
        <v>0.353</v>
      </c>
      <c r="BN584" s="1">
        <v>0.57</v>
      </c>
      <c r="BO584" s="1">
        <v>0.3928</v>
      </c>
      <c r="BP584" s="1">
        <v>0.225</v>
      </c>
      <c r="BQ584" s="1">
        <v>1.5408</v>
      </c>
      <c r="BR584" s="1">
        <v>0.356</v>
      </c>
      <c r="BS584" s="1">
        <v>0.358</v>
      </c>
      <c r="BT584" s="1">
        <v>0.737</v>
      </c>
      <c r="BU584" s="1">
        <v>0.735</v>
      </c>
      <c r="BV584" s="1">
        <v>1.83</v>
      </c>
      <c r="BW584" s="1">
        <v>0.751</v>
      </c>
      <c r="BX584" s="1">
        <v>0.862</v>
      </c>
      <c r="BY584" s="1">
        <v>0.829</v>
      </c>
      <c r="BZ584" s="1">
        <v>1.691</v>
      </c>
      <c r="CA584" s="1">
        <v>0.917</v>
      </c>
      <c r="CB584" s="1">
        <v>0.325</v>
      </c>
      <c r="CC584" s="1">
        <v>0.403</v>
      </c>
      <c r="CD584" s="1">
        <v>0.775</v>
      </c>
      <c r="CE584" s="1">
        <v>0.339</v>
      </c>
      <c r="CF584" s="1">
        <v>0.495</v>
      </c>
      <c r="CG584" s="1">
        <v>2.337</v>
      </c>
      <c r="CH584" s="1">
        <v>0.478</v>
      </c>
      <c r="CI584" s="1">
        <v>7.3988</v>
      </c>
      <c r="CJ584" s="1">
        <v>0.6253</v>
      </c>
      <c r="CK584" s="1">
        <v>0.0</v>
      </c>
      <c r="CL584" s="1">
        <v>0.0</v>
      </c>
      <c r="CM584" s="1">
        <v>0.0</v>
      </c>
      <c r="CN584" s="1">
        <v>0.0</v>
      </c>
      <c r="CO584" s="1">
        <v>0.0</v>
      </c>
      <c r="CP584" s="1">
        <v>0.0</v>
      </c>
      <c r="CQ584" s="1">
        <v>0.0</v>
      </c>
      <c r="CR584" s="1">
        <v>0.0</v>
      </c>
      <c r="CS584" s="1">
        <v>0.0</v>
      </c>
      <c r="CT584" s="1">
        <v>0.0</v>
      </c>
      <c r="CU584" s="1">
        <v>0.0</v>
      </c>
      <c r="CV584" s="1">
        <v>0.0</v>
      </c>
      <c r="CW584" s="1">
        <v>0.0</v>
      </c>
      <c r="CX584" s="1">
        <v>0.0</v>
      </c>
      <c r="CY584" s="1">
        <v>0.0</v>
      </c>
      <c r="CZ584" s="1">
        <v>0.0</v>
      </c>
      <c r="DA584" s="1">
        <v>0.0</v>
      </c>
      <c r="DB584" s="1">
        <v>0.0</v>
      </c>
      <c r="DC584" s="1">
        <v>0.0</v>
      </c>
      <c r="DD584" s="1" t="s">
        <v>2792</v>
      </c>
      <c r="DE584" s="1">
        <v>5.16110059649057E-4</v>
      </c>
      <c r="DF584" s="2" t="s">
        <v>2793</v>
      </c>
    </row>
    <row r="585" ht="15.75" customHeight="1">
      <c r="A585" s="1" t="s">
        <v>2794</v>
      </c>
      <c r="B585" s="1">
        <v>29.0</v>
      </c>
      <c r="C585" s="2" t="s">
        <v>2039</v>
      </c>
      <c r="D585" s="2" t="s">
        <v>2795</v>
      </c>
      <c r="E585" s="1">
        <v>3.89</v>
      </c>
      <c r="F585" s="1">
        <v>29095.0</v>
      </c>
      <c r="G585" s="1">
        <v>2.9095013401E10</v>
      </c>
      <c r="H585" s="1" t="s">
        <v>112</v>
      </c>
      <c r="I585" s="1" t="s">
        <v>113</v>
      </c>
      <c r="J585" s="1" t="s">
        <v>2041</v>
      </c>
      <c r="K585" s="1" t="s">
        <v>2796</v>
      </c>
      <c r="L585" s="1">
        <v>2542.0</v>
      </c>
      <c r="M585" s="1">
        <v>2541.0</v>
      </c>
      <c r="N585" s="1">
        <v>378.0</v>
      </c>
      <c r="O585" s="1">
        <v>1363.0</v>
      </c>
      <c r="P585" s="1">
        <v>1315.0</v>
      </c>
      <c r="Q585" s="1">
        <v>77.0</v>
      </c>
      <c r="R585" s="1">
        <v>928.0</v>
      </c>
      <c r="S585" s="1">
        <v>499.0</v>
      </c>
      <c r="T585" s="1">
        <v>248.0</v>
      </c>
      <c r="U585" s="1">
        <v>240.0</v>
      </c>
      <c r="V585" s="1">
        <v>418.0</v>
      </c>
      <c r="W585" s="1">
        <v>17187.0</v>
      </c>
      <c r="X585" s="1">
        <v>3066.0</v>
      </c>
      <c r="Y585" s="1">
        <v>315.0</v>
      </c>
      <c r="Z585" s="1">
        <v>230.0</v>
      </c>
      <c r="AA585" s="1">
        <v>212.0</v>
      </c>
      <c r="AB585" s="1">
        <v>688.0</v>
      </c>
      <c r="AC585" s="1">
        <v>180.0</v>
      </c>
      <c r="AD585" s="1">
        <v>1645.0</v>
      </c>
      <c r="AE585" s="1">
        <v>371.0</v>
      </c>
      <c r="AF585" s="1">
        <v>455.0</v>
      </c>
      <c r="AG585" s="1">
        <v>516.0</v>
      </c>
      <c r="AH585" s="1">
        <v>107.0</v>
      </c>
      <c r="AI585" s="1">
        <v>0.0</v>
      </c>
      <c r="AJ585" s="1">
        <v>114.0</v>
      </c>
      <c r="AK585" s="1">
        <v>31.0</v>
      </c>
      <c r="AL585" s="1">
        <v>121.0</v>
      </c>
      <c r="AM585" s="1">
        <v>115.0</v>
      </c>
      <c r="AN585" s="1">
        <v>138.0</v>
      </c>
      <c r="AO585" s="1">
        <v>18.0</v>
      </c>
      <c r="AP585" s="1">
        <v>0.196379</v>
      </c>
      <c r="AQ585" s="1">
        <v>0.093124</v>
      </c>
      <c r="AR585" s="1">
        <v>0.163376</v>
      </c>
      <c r="AS585" s="1">
        <v>0.282423</v>
      </c>
      <c r="AT585" s="1">
        <v>17187.0</v>
      </c>
      <c r="AU585" s="1">
        <v>3066.0</v>
      </c>
      <c r="AV585" s="1">
        <v>0.208333</v>
      </c>
      <c r="AW585" s="1">
        <v>0.149444</v>
      </c>
      <c r="AX585" s="1">
        <v>0.083398</v>
      </c>
      <c r="AY585" s="1">
        <v>0.270653</v>
      </c>
      <c r="AZ585" s="1">
        <v>0.19396551</v>
      </c>
      <c r="BA585" s="1">
        <v>0.647128</v>
      </c>
      <c r="BB585" s="1">
        <v>0.157203</v>
      </c>
      <c r="BC585" s="1">
        <v>0.191414</v>
      </c>
      <c r="BD585" s="1">
        <v>0.392395</v>
      </c>
      <c r="BE585" s="1">
        <v>0.078057</v>
      </c>
      <c r="BF585" s="1">
        <v>0.0</v>
      </c>
      <c r="BG585" s="1">
        <v>0.086692</v>
      </c>
      <c r="BH585" s="1">
        <v>0.032224</v>
      </c>
      <c r="BI585" s="1">
        <v>0.125727</v>
      </c>
      <c r="BJ585" s="1">
        <v>0.119542</v>
      </c>
      <c r="BK585" s="1">
        <v>0.142821</v>
      </c>
      <c r="BL585" s="1">
        <v>0.007081</v>
      </c>
      <c r="BM585" s="1">
        <v>0.72</v>
      </c>
      <c r="BN585" s="1">
        <v>0.914</v>
      </c>
      <c r="BO585" s="1">
        <v>0.7762</v>
      </c>
      <c r="BP585" s="1">
        <v>0.776</v>
      </c>
      <c r="BQ585" s="1">
        <v>3.1862</v>
      </c>
      <c r="BR585" s="1">
        <v>0.8491</v>
      </c>
      <c r="BS585" s="1">
        <v>0.129</v>
      </c>
      <c r="BT585" s="1">
        <v>0.797</v>
      </c>
      <c r="BU585" s="1">
        <v>0.891</v>
      </c>
      <c r="BV585" s="1">
        <v>1.817</v>
      </c>
      <c r="BW585" s="1">
        <v>0.733</v>
      </c>
      <c r="BX585" s="1">
        <v>0.89</v>
      </c>
      <c r="BY585" s="1">
        <v>0.99</v>
      </c>
      <c r="BZ585" s="1">
        <v>1.88</v>
      </c>
      <c r="CA585" s="1">
        <v>0.984</v>
      </c>
      <c r="CB585" s="1">
        <v>0.966</v>
      </c>
      <c r="CC585" s="1">
        <v>0.0</v>
      </c>
      <c r="CD585" s="1">
        <v>0.833</v>
      </c>
      <c r="CE585" s="1">
        <v>0.806</v>
      </c>
      <c r="CF585" s="1">
        <v>0.538</v>
      </c>
      <c r="CG585" s="1">
        <v>3.143</v>
      </c>
      <c r="CH585" s="1">
        <v>0.83</v>
      </c>
      <c r="CI585" s="1">
        <v>10.0262</v>
      </c>
      <c r="CJ585" s="1">
        <v>0.948</v>
      </c>
      <c r="CK585" s="1">
        <v>0.0</v>
      </c>
      <c r="CL585" s="1">
        <v>1.0</v>
      </c>
      <c r="CM585" s="1">
        <v>0.0</v>
      </c>
      <c r="CN585" s="1">
        <v>0.0</v>
      </c>
      <c r="CO585" s="1">
        <v>1.0</v>
      </c>
      <c r="CP585" s="1">
        <v>0.0</v>
      </c>
      <c r="CQ585" s="1">
        <v>0.0</v>
      </c>
      <c r="CR585" s="1">
        <v>0.0</v>
      </c>
      <c r="CS585" s="1">
        <v>0.0</v>
      </c>
      <c r="CT585" s="1">
        <v>0.0</v>
      </c>
      <c r="CU585" s="1">
        <v>1.0</v>
      </c>
      <c r="CV585" s="1">
        <v>1.0</v>
      </c>
      <c r="CW585" s="1">
        <v>1.0</v>
      </c>
      <c r="CX585" s="1">
        <v>0.0</v>
      </c>
      <c r="CY585" s="1">
        <v>0.0</v>
      </c>
      <c r="CZ585" s="1">
        <v>0.0</v>
      </c>
      <c r="DA585" s="1">
        <v>0.0</v>
      </c>
      <c r="DB585" s="1">
        <v>1.0</v>
      </c>
      <c r="DC585" s="1">
        <v>3.0</v>
      </c>
      <c r="DD585" s="1" t="s">
        <v>2797</v>
      </c>
      <c r="DE585" s="1">
        <v>0.00105649529148426</v>
      </c>
      <c r="DF585" s="2" t="s">
        <v>2798</v>
      </c>
    </row>
    <row r="586" ht="15.75" customHeight="1">
      <c r="A586" s="1" t="s">
        <v>2799</v>
      </c>
      <c r="B586" s="1">
        <v>29.0</v>
      </c>
      <c r="C586" s="2" t="s">
        <v>2039</v>
      </c>
      <c r="D586" s="2" t="s">
        <v>2800</v>
      </c>
      <c r="E586" s="1">
        <v>10.43</v>
      </c>
      <c r="F586" s="1">
        <v>29095.0</v>
      </c>
      <c r="G586" s="1">
        <v>2.9095013405E10</v>
      </c>
      <c r="H586" s="1" t="s">
        <v>112</v>
      </c>
      <c r="I586" s="1" t="s">
        <v>113</v>
      </c>
      <c r="J586" s="1" t="s">
        <v>2041</v>
      </c>
      <c r="K586" s="1" t="s">
        <v>2801</v>
      </c>
      <c r="L586" s="1">
        <v>2089.0</v>
      </c>
      <c r="M586" s="1">
        <v>3187.0</v>
      </c>
      <c r="N586" s="1">
        <v>896.0</v>
      </c>
      <c r="O586" s="1">
        <v>951.0</v>
      </c>
      <c r="P586" s="1">
        <v>949.0</v>
      </c>
      <c r="Q586" s="1">
        <v>47.0</v>
      </c>
      <c r="R586" s="1">
        <v>861.0</v>
      </c>
      <c r="S586" s="1">
        <v>930.0</v>
      </c>
      <c r="T586" s="1">
        <v>345.0</v>
      </c>
      <c r="U586" s="1">
        <v>225.0</v>
      </c>
      <c r="V586" s="1">
        <v>458.0</v>
      </c>
      <c r="W586" s="1">
        <v>16272.0</v>
      </c>
      <c r="X586" s="1">
        <v>5482.0</v>
      </c>
      <c r="Y586" s="1">
        <v>153.0</v>
      </c>
      <c r="Z586" s="1">
        <v>331.0</v>
      </c>
      <c r="AA586" s="1">
        <v>326.0</v>
      </c>
      <c r="AB586" s="1">
        <v>681.0</v>
      </c>
      <c r="AC586" s="1">
        <v>232.0</v>
      </c>
      <c r="AD586" s="1">
        <v>863.0</v>
      </c>
      <c r="AE586" s="1">
        <v>50.0</v>
      </c>
      <c r="AF586" s="1">
        <v>446.0</v>
      </c>
      <c r="AG586" s="1">
        <v>246.0</v>
      </c>
      <c r="AH586" s="1">
        <v>147.0</v>
      </c>
      <c r="AI586" s="1">
        <v>0.0</v>
      </c>
      <c r="AJ586" s="1">
        <v>114.0</v>
      </c>
      <c r="AK586" s="1">
        <v>22.0</v>
      </c>
      <c r="AL586" s="1">
        <v>120.0</v>
      </c>
      <c r="AM586" s="1">
        <v>145.0</v>
      </c>
      <c r="AN586" s="1">
        <v>88.0</v>
      </c>
      <c r="AO586" s="1">
        <v>74.0</v>
      </c>
      <c r="AP586" s="1">
        <v>0.417414</v>
      </c>
      <c r="AQ586" s="1">
        <v>0.144359</v>
      </c>
      <c r="AR586" s="1">
        <v>0.22613</v>
      </c>
      <c r="AS586" s="1">
        <v>0.456522</v>
      </c>
      <c r="AT586" s="1">
        <v>16272.0</v>
      </c>
      <c r="AU586" s="1">
        <v>5482.0</v>
      </c>
      <c r="AV586" s="1">
        <v>0.122694</v>
      </c>
      <c r="AW586" s="1">
        <v>0.265138</v>
      </c>
      <c r="AX586" s="1">
        <v>0.156055</v>
      </c>
      <c r="AY586" s="1">
        <v>0.325993</v>
      </c>
      <c r="AZ586" s="1">
        <v>0.26945412</v>
      </c>
      <c r="BA586" s="1">
        <v>0.413116</v>
      </c>
      <c r="BB586" s="1">
        <v>0.017642</v>
      </c>
      <c r="BC586" s="1">
        <v>0.157278</v>
      </c>
      <c r="BD586" s="1">
        <v>0.25922</v>
      </c>
      <c r="BE586" s="1">
        <v>0.154366</v>
      </c>
      <c r="BF586" s="1">
        <v>0.0</v>
      </c>
      <c r="BG586" s="1">
        <v>0.120126</v>
      </c>
      <c r="BH586" s="1">
        <v>0.025462</v>
      </c>
      <c r="BI586" s="1">
        <v>0.138872</v>
      </c>
      <c r="BJ586" s="1">
        <v>0.167824</v>
      </c>
      <c r="BK586" s="1">
        <v>0.100887</v>
      </c>
      <c r="BL586" s="1">
        <v>0.035423</v>
      </c>
      <c r="BM586" s="1">
        <v>0.966</v>
      </c>
      <c r="BN586" s="1">
        <v>0.968</v>
      </c>
      <c r="BO586" s="1">
        <v>0.826</v>
      </c>
      <c r="BP586" s="1">
        <v>0.44</v>
      </c>
      <c r="BQ586" s="1">
        <v>3.2</v>
      </c>
      <c r="BR586" s="1">
        <v>0.852</v>
      </c>
      <c r="BS586" s="1">
        <v>0.634</v>
      </c>
      <c r="BT586" s="1">
        <v>0.969</v>
      </c>
      <c r="BU586" s="1">
        <v>0.963</v>
      </c>
      <c r="BV586" s="1">
        <v>2.566</v>
      </c>
      <c r="BW586" s="1">
        <v>0.998</v>
      </c>
      <c r="BX586" s="1">
        <v>0.846</v>
      </c>
      <c r="BY586" s="1">
        <v>0.843</v>
      </c>
      <c r="BZ586" s="1">
        <v>1.689</v>
      </c>
      <c r="CA586" s="1">
        <v>0.915</v>
      </c>
      <c r="CB586" s="1">
        <v>0.925</v>
      </c>
      <c r="CC586" s="1">
        <v>0.0</v>
      </c>
      <c r="CD586" s="1">
        <v>0.764</v>
      </c>
      <c r="CE586" s="1">
        <v>0.878</v>
      </c>
      <c r="CF586" s="1">
        <v>0.841</v>
      </c>
      <c r="CG586" s="1">
        <v>3.408</v>
      </c>
      <c r="CH586" s="1">
        <v>0.918</v>
      </c>
      <c r="CI586" s="1">
        <v>10.863</v>
      </c>
      <c r="CJ586" s="1">
        <v>0.987</v>
      </c>
      <c r="CK586" s="1">
        <v>1.0</v>
      </c>
      <c r="CL586" s="1">
        <v>1.0</v>
      </c>
      <c r="CM586" s="1">
        <v>0.0</v>
      </c>
      <c r="CN586" s="1">
        <v>0.0</v>
      </c>
      <c r="CO586" s="1">
        <v>2.0</v>
      </c>
      <c r="CP586" s="1">
        <v>0.0</v>
      </c>
      <c r="CQ586" s="1">
        <v>1.0</v>
      </c>
      <c r="CR586" s="1">
        <v>1.0</v>
      </c>
      <c r="CS586" s="1">
        <v>2.0</v>
      </c>
      <c r="CT586" s="1">
        <v>0.0</v>
      </c>
      <c r="CU586" s="1">
        <v>0.0</v>
      </c>
      <c r="CV586" s="1">
        <v>0.0</v>
      </c>
      <c r="CW586" s="1">
        <v>1.0</v>
      </c>
      <c r="CX586" s="1">
        <v>0.0</v>
      </c>
      <c r="CY586" s="1">
        <v>0.0</v>
      </c>
      <c r="CZ586" s="1">
        <v>0.0</v>
      </c>
      <c r="DA586" s="1">
        <v>0.0</v>
      </c>
      <c r="DB586" s="1">
        <v>1.0</v>
      </c>
      <c r="DC586" s="1">
        <v>5.0</v>
      </c>
      <c r="DD586" s="1" t="s">
        <v>2802</v>
      </c>
      <c r="DE586" s="1">
        <v>0.00282277103023271</v>
      </c>
      <c r="DF586" s="2" t="s">
        <v>2803</v>
      </c>
    </row>
    <row r="587" ht="15.75" customHeight="1">
      <c r="A587" s="1" t="s">
        <v>2804</v>
      </c>
      <c r="B587" s="1">
        <v>29.0</v>
      </c>
      <c r="C587" s="2" t="s">
        <v>2039</v>
      </c>
      <c r="D587" s="2" t="s">
        <v>2805</v>
      </c>
      <c r="E587" s="1">
        <v>3.15</v>
      </c>
      <c r="F587" s="1">
        <v>29095.0</v>
      </c>
      <c r="G587" s="1">
        <v>2.9095013408E10</v>
      </c>
      <c r="H587" s="1" t="s">
        <v>112</v>
      </c>
      <c r="I587" s="1" t="s">
        <v>113</v>
      </c>
      <c r="J587" s="1" t="s">
        <v>2041</v>
      </c>
      <c r="K587" s="1" t="s">
        <v>2806</v>
      </c>
      <c r="L587" s="1">
        <v>5592.0</v>
      </c>
      <c r="M587" s="1">
        <v>5132.0</v>
      </c>
      <c r="N587" s="1">
        <v>520.0</v>
      </c>
      <c r="O587" s="1">
        <v>2547.0</v>
      </c>
      <c r="P587" s="1">
        <v>2472.0</v>
      </c>
      <c r="Q587" s="1">
        <v>108.0</v>
      </c>
      <c r="R587" s="1">
        <v>2354.0</v>
      </c>
      <c r="S587" s="1">
        <v>325.0</v>
      </c>
      <c r="T587" s="1">
        <v>217.0</v>
      </c>
      <c r="U587" s="1">
        <v>307.0</v>
      </c>
      <c r="V587" s="1">
        <v>413.0</v>
      </c>
      <c r="W587" s="1">
        <v>30174.0</v>
      </c>
      <c r="X587" s="1">
        <v>3212.0</v>
      </c>
      <c r="Y587" s="1">
        <v>255.0</v>
      </c>
      <c r="Z587" s="1">
        <v>302.0</v>
      </c>
      <c r="AA587" s="1">
        <v>1054.0</v>
      </c>
      <c r="AB587" s="1">
        <v>916.0</v>
      </c>
      <c r="AC587" s="1">
        <v>180.0</v>
      </c>
      <c r="AD587" s="1">
        <v>1779.0</v>
      </c>
      <c r="AE587" s="1">
        <v>25.0</v>
      </c>
      <c r="AF587" s="1">
        <v>427.0</v>
      </c>
      <c r="AG587" s="1">
        <v>30.0</v>
      </c>
      <c r="AH587" s="1">
        <v>119.0</v>
      </c>
      <c r="AI587" s="1">
        <v>16.0</v>
      </c>
      <c r="AJ587" s="1">
        <v>26.0</v>
      </c>
      <c r="AK587" s="1">
        <v>0.0</v>
      </c>
      <c r="AL587" s="1">
        <v>161.0</v>
      </c>
      <c r="AM587" s="1">
        <v>72.0</v>
      </c>
      <c r="AN587" s="1">
        <v>55.0</v>
      </c>
      <c r="AO587" s="1">
        <v>611.0</v>
      </c>
      <c r="AP587" s="1">
        <v>0.073779</v>
      </c>
      <c r="AQ587" s="1">
        <v>0.048666</v>
      </c>
      <c r="AR587" s="1">
        <v>0.112125</v>
      </c>
      <c r="AS587" s="1">
        <v>0.149947</v>
      </c>
      <c r="AT587" s="1">
        <v>30174.0</v>
      </c>
      <c r="AU587" s="1">
        <v>3212.0</v>
      </c>
      <c r="AV587" s="1">
        <v>0.070735</v>
      </c>
      <c r="AW587" s="1">
        <v>0.083398</v>
      </c>
      <c r="AX587" s="1">
        <v>0.188483</v>
      </c>
      <c r="AY587" s="1">
        <v>0.163805</v>
      </c>
      <c r="AZ587" s="1">
        <v>0.07646559</v>
      </c>
      <c r="BA587" s="1">
        <v>0.318133</v>
      </c>
      <c r="BB587" s="1">
        <v>0.005061</v>
      </c>
      <c r="BC587" s="1">
        <v>0.086453</v>
      </c>
      <c r="BD587" s="1">
        <v>0.012135</v>
      </c>
      <c r="BE587" s="1">
        <v>0.048136</v>
      </c>
      <c r="BF587" s="1">
        <v>0.006472</v>
      </c>
      <c r="BG587" s="1">
        <v>0.010513</v>
      </c>
      <c r="BH587" s="1">
        <v>0.0</v>
      </c>
      <c r="BI587" s="1">
        <v>0.069336</v>
      </c>
      <c r="BJ587" s="1">
        <v>0.031007</v>
      </c>
      <c r="BK587" s="1">
        <v>0.023583</v>
      </c>
      <c r="BL587" s="1">
        <v>0.109263</v>
      </c>
      <c r="BM587" s="1">
        <v>0.262</v>
      </c>
      <c r="BN587" s="1">
        <v>0.794</v>
      </c>
      <c r="BO587" s="1">
        <v>0.1942</v>
      </c>
      <c r="BP587" s="1">
        <v>0.204</v>
      </c>
      <c r="BQ587" s="1">
        <v>1.4542</v>
      </c>
      <c r="BR587" s="1">
        <v>0.3285</v>
      </c>
      <c r="BS587" s="1">
        <v>0.833</v>
      </c>
      <c r="BT587" s="1">
        <v>0.089</v>
      </c>
      <c r="BU587" s="1">
        <v>0.268</v>
      </c>
      <c r="BV587" s="1">
        <v>1.19</v>
      </c>
      <c r="BW587" s="1">
        <v>0.223</v>
      </c>
      <c r="BX587" s="1">
        <v>0.801</v>
      </c>
      <c r="BY587" s="1">
        <v>0.563</v>
      </c>
      <c r="BZ587" s="1">
        <v>1.364</v>
      </c>
      <c r="CA587" s="1">
        <v>0.746</v>
      </c>
      <c r="CB587" s="1">
        <v>0.401</v>
      </c>
      <c r="CC587" s="1">
        <v>0.419</v>
      </c>
      <c r="CD587" s="1">
        <v>0.0</v>
      </c>
      <c r="CE587" s="1">
        <v>0.291</v>
      </c>
      <c r="CF587" s="1">
        <v>0.946</v>
      </c>
      <c r="CG587" s="1">
        <v>2.057</v>
      </c>
      <c r="CH587" s="1">
        <v>0.366</v>
      </c>
      <c r="CI587" s="1">
        <v>6.0652</v>
      </c>
      <c r="CJ587" s="1">
        <v>0.3827</v>
      </c>
      <c r="CK587" s="1">
        <v>0.0</v>
      </c>
      <c r="CL587" s="1">
        <v>0.0</v>
      </c>
      <c r="CM587" s="1">
        <v>0.0</v>
      </c>
      <c r="CN587" s="1">
        <v>0.0</v>
      </c>
      <c r="CO587" s="1">
        <v>0.0</v>
      </c>
      <c r="CP587" s="1">
        <v>0.0</v>
      </c>
      <c r="CQ587" s="1">
        <v>0.0</v>
      </c>
      <c r="CR587" s="1">
        <v>0.0</v>
      </c>
      <c r="CS587" s="1">
        <v>0.0</v>
      </c>
      <c r="CT587" s="1">
        <v>0.0</v>
      </c>
      <c r="CU587" s="1">
        <v>0.0</v>
      </c>
      <c r="CV587" s="1">
        <v>0.0</v>
      </c>
      <c r="CW587" s="1">
        <v>0.0</v>
      </c>
      <c r="CX587" s="1">
        <v>0.0</v>
      </c>
      <c r="CY587" s="1">
        <v>0.0</v>
      </c>
      <c r="CZ587" s="1">
        <v>0.0</v>
      </c>
      <c r="DA587" s="1">
        <v>1.0</v>
      </c>
      <c r="DB587" s="1">
        <v>1.0</v>
      </c>
      <c r="DC587" s="1">
        <v>1.0</v>
      </c>
      <c r="DD587" s="1" t="s">
        <v>2807</v>
      </c>
      <c r="DE587" s="1">
        <v>8.48758134367982E-4</v>
      </c>
      <c r="DF587" s="2" t="s">
        <v>2808</v>
      </c>
    </row>
    <row r="588" ht="15.75" customHeight="1">
      <c r="A588" s="1" t="s">
        <v>2809</v>
      </c>
      <c r="B588" s="1">
        <v>29.0</v>
      </c>
      <c r="C588" s="2" t="s">
        <v>2039</v>
      </c>
      <c r="D588" s="2" t="s">
        <v>2810</v>
      </c>
      <c r="E588" s="1">
        <v>1.967</v>
      </c>
      <c r="F588" s="1">
        <v>29095.0</v>
      </c>
      <c r="G588" s="1">
        <v>2.9095013416E10</v>
      </c>
      <c r="H588" s="1" t="s">
        <v>112</v>
      </c>
      <c r="I588" s="1" t="s">
        <v>113</v>
      </c>
      <c r="J588" s="1" t="s">
        <v>2041</v>
      </c>
      <c r="K588" s="1" t="s">
        <v>2811</v>
      </c>
      <c r="L588" s="1">
        <v>2103.0</v>
      </c>
      <c r="M588" s="1">
        <v>2580.0</v>
      </c>
      <c r="N588" s="1">
        <v>302.0</v>
      </c>
      <c r="O588" s="1">
        <v>822.0</v>
      </c>
      <c r="P588" s="1">
        <v>771.0</v>
      </c>
      <c r="Q588" s="1">
        <v>67.0</v>
      </c>
      <c r="R588" s="1">
        <v>772.0</v>
      </c>
      <c r="S588" s="1">
        <v>131.0</v>
      </c>
      <c r="T588" s="1">
        <v>98.0</v>
      </c>
      <c r="U588" s="1">
        <v>189.0</v>
      </c>
      <c r="V588" s="1">
        <v>392.0</v>
      </c>
      <c r="W588" s="1">
        <v>19625.0</v>
      </c>
      <c r="X588" s="1">
        <v>2956.0</v>
      </c>
      <c r="Y588" s="1">
        <v>99.0</v>
      </c>
      <c r="Z588" s="1">
        <v>422.0</v>
      </c>
      <c r="AA588" s="1">
        <v>172.0</v>
      </c>
      <c r="AB588" s="1">
        <v>531.0</v>
      </c>
      <c r="AC588" s="1">
        <v>126.0</v>
      </c>
      <c r="AD588" s="1">
        <v>1502.0</v>
      </c>
      <c r="AE588" s="1">
        <v>0.0</v>
      </c>
      <c r="AF588" s="1">
        <v>456.0</v>
      </c>
      <c r="AG588" s="1">
        <v>0.0</v>
      </c>
      <c r="AH588" s="1">
        <v>197.0</v>
      </c>
      <c r="AI588" s="1">
        <v>0.0</v>
      </c>
      <c r="AJ588" s="1">
        <v>114.0</v>
      </c>
      <c r="AK588" s="1">
        <v>17.0</v>
      </c>
      <c r="AL588" s="1">
        <v>119.0</v>
      </c>
      <c r="AM588" s="1">
        <v>0.0</v>
      </c>
      <c r="AN588" s="1">
        <v>161.0</v>
      </c>
      <c r="AO588" s="1">
        <v>0.0</v>
      </c>
      <c r="AP588" s="1">
        <v>0.052004</v>
      </c>
      <c r="AQ588" s="1">
        <v>0.038487</v>
      </c>
      <c r="AR588" s="1">
        <v>0.126845</v>
      </c>
      <c r="AS588" s="1">
        <v>0.261404</v>
      </c>
      <c r="AT588" s="1">
        <v>19625.0</v>
      </c>
      <c r="AU588" s="1">
        <v>2956.0</v>
      </c>
      <c r="AV588" s="1">
        <v>0.074046</v>
      </c>
      <c r="AW588" s="1">
        <v>0.315479</v>
      </c>
      <c r="AX588" s="1">
        <v>0.081787</v>
      </c>
      <c r="AY588" s="1">
        <v>0.252496</v>
      </c>
      <c r="AZ588" s="1">
        <v>0.16321243</v>
      </c>
      <c r="BA588" s="1">
        <v>0.714217</v>
      </c>
      <c r="BB588" s="1">
        <v>0.0</v>
      </c>
      <c r="BC588" s="1">
        <v>0.185365</v>
      </c>
      <c r="BD588" s="1">
        <v>0.0</v>
      </c>
      <c r="BE588" s="1">
        <v>0.255512</v>
      </c>
      <c r="BF588" s="1">
        <v>0.0</v>
      </c>
      <c r="BG588" s="1">
        <v>0.147859</v>
      </c>
      <c r="BH588" s="1">
        <v>0.022397</v>
      </c>
      <c r="BI588" s="1">
        <v>0.156771</v>
      </c>
      <c r="BJ588" s="1">
        <v>0.0</v>
      </c>
      <c r="BK588" s="1">
        <v>0.212121</v>
      </c>
      <c r="BL588" s="1">
        <v>0.0</v>
      </c>
      <c r="BM588" s="1">
        <v>0.175</v>
      </c>
      <c r="BN588" s="1">
        <v>0.844</v>
      </c>
      <c r="BO588" s="1">
        <v>0.6375</v>
      </c>
      <c r="BP588" s="1">
        <v>0.219</v>
      </c>
      <c r="BQ588" s="1">
        <v>1.8755</v>
      </c>
      <c r="BR588" s="1">
        <v>0.4549</v>
      </c>
      <c r="BS588" s="1">
        <v>0.123</v>
      </c>
      <c r="BT588" s="1">
        <v>0.632</v>
      </c>
      <c r="BU588" s="1">
        <v>0.83</v>
      </c>
      <c r="BV588" s="1">
        <v>1.585</v>
      </c>
      <c r="BW588" s="1">
        <v>0.556</v>
      </c>
      <c r="BX588" s="1">
        <v>0.902</v>
      </c>
      <c r="BY588" s="1">
        <v>0.0</v>
      </c>
      <c r="BZ588" s="1">
        <v>0.902</v>
      </c>
      <c r="CA588" s="1">
        <v>0.469</v>
      </c>
      <c r="CB588" s="1">
        <v>0.0</v>
      </c>
      <c r="CC588" s="1">
        <v>0.0</v>
      </c>
      <c r="CD588" s="1">
        <v>0.716</v>
      </c>
      <c r="CE588" s="1">
        <v>0.0</v>
      </c>
      <c r="CF588" s="1">
        <v>0.0</v>
      </c>
      <c r="CG588" s="1">
        <v>0.716</v>
      </c>
      <c r="CH588" s="1">
        <v>0.048</v>
      </c>
      <c r="CI588" s="1">
        <v>5.0785</v>
      </c>
      <c r="CJ588" s="1">
        <v>0.2137</v>
      </c>
      <c r="CK588" s="1">
        <v>0.0</v>
      </c>
      <c r="CL588" s="1">
        <v>0.0</v>
      </c>
      <c r="CM588" s="1">
        <v>0.0</v>
      </c>
      <c r="CN588" s="1">
        <v>0.0</v>
      </c>
      <c r="CO588" s="1">
        <v>0.0</v>
      </c>
      <c r="CP588" s="1">
        <v>0.0</v>
      </c>
      <c r="CQ588" s="1">
        <v>0.0</v>
      </c>
      <c r="CR588" s="1">
        <v>0.0</v>
      </c>
      <c r="CS588" s="1">
        <v>0.0</v>
      </c>
      <c r="CT588" s="1">
        <v>1.0</v>
      </c>
      <c r="CU588" s="1">
        <v>0.0</v>
      </c>
      <c r="CV588" s="1">
        <v>1.0</v>
      </c>
      <c r="CW588" s="1">
        <v>0.0</v>
      </c>
      <c r="CX588" s="1">
        <v>0.0</v>
      </c>
      <c r="CY588" s="1">
        <v>0.0</v>
      </c>
      <c r="CZ588" s="1">
        <v>0.0</v>
      </c>
      <c r="DA588" s="1">
        <v>0.0</v>
      </c>
      <c r="DB588" s="1">
        <v>0.0</v>
      </c>
      <c r="DC588" s="1">
        <v>1.0</v>
      </c>
      <c r="DD588" s="1" t="s">
        <v>2812</v>
      </c>
      <c r="DE588" s="1">
        <v>5.30627870079342E-4</v>
      </c>
      <c r="DF588" s="2" t="s">
        <v>2813</v>
      </c>
    </row>
    <row r="589" ht="15.75" customHeight="1">
      <c r="A589" s="1" t="s">
        <v>2814</v>
      </c>
      <c r="B589" s="1">
        <v>29.0</v>
      </c>
      <c r="C589" s="2" t="s">
        <v>2039</v>
      </c>
      <c r="D589" s="2" t="s">
        <v>2815</v>
      </c>
      <c r="E589" s="1">
        <v>7.937</v>
      </c>
      <c r="F589" s="1">
        <v>29095.0</v>
      </c>
      <c r="G589" s="1">
        <v>2.9095013502E10</v>
      </c>
      <c r="H589" s="1" t="s">
        <v>112</v>
      </c>
      <c r="I589" s="1" t="s">
        <v>113</v>
      </c>
      <c r="J589" s="1" t="s">
        <v>2041</v>
      </c>
      <c r="K589" s="1" t="s">
        <v>2816</v>
      </c>
      <c r="L589" s="1">
        <v>5584.0</v>
      </c>
      <c r="M589" s="1">
        <v>5418.0</v>
      </c>
      <c r="N589" s="1">
        <v>211.0</v>
      </c>
      <c r="O589" s="1">
        <v>1970.0</v>
      </c>
      <c r="P589" s="1">
        <v>1863.0</v>
      </c>
      <c r="Q589" s="1">
        <v>99.0</v>
      </c>
      <c r="R589" s="1">
        <v>1898.0</v>
      </c>
      <c r="S589" s="1">
        <v>190.0</v>
      </c>
      <c r="T589" s="1">
        <v>109.0</v>
      </c>
      <c r="U589" s="1">
        <v>203.0</v>
      </c>
      <c r="V589" s="1">
        <v>331.0</v>
      </c>
      <c r="W589" s="1">
        <v>27466.0</v>
      </c>
      <c r="X589" s="1">
        <v>2508.0</v>
      </c>
      <c r="Y589" s="1">
        <v>169.0</v>
      </c>
      <c r="Z589" s="1">
        <v>330.0</v>
      </c>
      <c r="AA589" s="1">
        <v>386.0</v>
      </c>
      <c r="AB589" s="1">
        <v>1788.0</v>
      </c>
      <c r="AC589" s="1">
        <v>177.0</v>
      </c>
      <c r="AD589" s="1">
        <v>570.0</v>
      </c>
      <c r="AE589" s="1">
        <v>9.0</v>
      </c>
      <c r="AF589" s="1">
        <v>442.0</v>
      </c>
      <c r="AG589" s="1">
        <v>0.0</v>
      </c>
      <c r="AH589" s="1">
        <v>197.0</v>
      </c>
      <c r="AI589" s="1">
        <v>22.0</v>
      </c>
      <c r="AJ589" s="1">
        <v>19.0</v>
      </c>
      <c r="AK589" s="1">
        <v>10.0</v>
      </c>
      <c r="AL589" s="1">
        <v>115.0</v>
      </c>
      <c r="AM589" s="1">
        <v>44.0</v>
      </c>
      <c r="AN589" s="1">
        <v>119.0</v>
      </c>
      <c r="AO589" s="1">
        <v>9.0</v>
      </c>
      <c r="AP589" s="1">
        <v>0.035068</v>
      </c>
      <c r="AQ589" s="1">
        <v>0.020071</v>
      </c>
      <c r="AR589" s="1">
        <v>0.070266</v>
      </c>
      <c r="AS589" s="1">
        <v>0.114401</v>
      </c>
      <c r="AT589" s="1">
        <v>27466.0</v>
      </c>
      <c r="AU589" s="1">
        <v>2508.0</v>
      </c>
      <c r="AV589" s="1">
        <v>0.051367</v>
      </c>
      <c r="AW589" s="1">
        <v>0.100273</v>
      </c>
      <c r="AX589" s="1">
        <v>0.069126</v>
      </c>
      <c r="AY589" s="1">
        <v>0.3202</v>
      </c>
      <c r="AZ589" s="1">
        <v>0.09325605</v>
      </c>
      <c r="BA589" s="1">
        <v>0.102077</v>
      </c>
      <c r="BB589" s="1">
        <v>0.001827</v>
      </c>
      <c r="BC589" s="1">
        <v>0.089764</v>
      </c>
      <c r="BD589" s="1">
        <v>0.0</v>
      </c>
      <c r="BE589" s="1">
        <v>0.105743</v>
      </c>
      <c r="BF589" s="1">
        <v>0.011808</v>
      </c>
      <c r="BG589" s="1">
        <v>0.010179</v>
      </c>
      <c r="BH589" s="1">
        <v>0.005467</v>
      </c>
      <c r="BI589" s="1">
        <v>0.062875</v>
      </c>
      <c r="BJ589" s="1">
        <v>0.024056</v>
      </c>
      <c r="BK589" s="1">
        <v>0.065052</v>
      </c>
      <c r="BL589" s="1">
        <v>0.001611</v>
      </c>
      <c r="BM589" s="1">
        <v>0.103</v>
      </c>
      <c r="BN589" s="1">
        <v>0.517</v>
      </c>
      <c r="BO589" s="1">
        <v>0.2708</v>
      </c>
      <c r="BP589" s="1">
        <v>0.133</v>
      </c>
      <c r="BQ589" s="1">
        <v>1.0238</v>
      </c>
      <c r="BR589" s="1">
        <v>0.2065</v>
      </c>
      <c r="BS589" s="1">
        <v>0.082</v>
      </c>
      <c r="BT589" s="1">
        <v>0.961</v>
      </c>
      <c r="BU589" s="1">
        <v>0.431</v>
      </c>
      <c r="BV589" s="1">
        <v>1.474</v>
      </c>
      <c r="BW589" s="1">
        <v>0.46</v>
      </c>
      <c r="BX589" s="1">
        <v>0.476</v>
      </c>
      <c r="BY589" s="1">
        <v>0.374</v>
      </c>
      <c r="BZ589" s="1">
        <v>0.85</v>
      </c>
      <c r="CA589" s="1">
        <v>0.432</v>
      </c>
      <c r="CB589" s="1">
        <v>0.0</v>
      </c>
      <c r="CC589" s="1">
        <v>0.471</v>
      </c>
      <c r="CD589" s="1">
        <v>0.346</v>
      </c>
      <c r="CE589" s="1">
        <v>0.229</v>
      </c>
      <c r="CF589" s="1">
        <v>0.43</v>
      </c>
      <c r="CG589" s="1">
        <v>1.476</v>
      </c>
      <c r="CH589" s="1">
        <v>0.168</v>
      </c>
      <c r="CI589" s="1">
        <v>4.8238</v>
      </c>
      <c r="CJ589" s="1">
        <v>0.1812</v>
      </c>
      <c r="CK589" s="1">
        <v>0.0</v>
      </c>
      <c r="CL589" s="1">
        <v>0.0</v>
      </c>
      <c r="CM589" s="1">
        <v>0.0</v>
      </c>
      <c r="CN589" s="1">
        <v>0.0</v>
      </c>
      <c r="CO589" s="1">
        <v>0.0</v>
      </c>
      <c r="CP589" s="1">
        <v>0.0</v>
      </c>
      <c r="CQ589" s="1">
        <v>1.0</v>
      </c>
      <c r="CR589" s="1">
        <v>0.0</v>
      </c>
      <c r="CS589" s="1">
        <v>1.0</v>
      </c>
      <c r="CT589" s="1">
        <v>0.0</v>
      </c>
      <c r="CU589" s="1">
        <v>0.0</v>
      </c>
      <c r="CV589" s="1">
        <v>0.0</v>
      </c>
      <c r="CW589" s="1">
        <v>0.0</v>
      </c>
      <c r="CX589" s="1">
        <v>0.0</v>
      </c>
      <c r="CY589" s="1">
        <v>0.0</v>
      </c>
      <c r="CZ589" s="1">
        <v>0.0</v>
      </c>
      <c r="DA589" s="1">
        <v>0.0</v>
      </c>
      <c r="DB589" s="1">
        <v>0.0</v>
      </c>
      <c r="DC589" s="1">
        <v>1.0</v>
      </c>
      <c r="DD589" s="1" t="s">
        <v>2817</v>
      </c>
      <c r="DE589" s="1">
        <v>0.00214352901504769</v>
      </c>
      <c r="DF589" s="2" t="s">
        <v>2818</v>
      </c>
    </row>
    <row r="590" ht="15.75" customHeight="1">
      <c r="A590" s="1" t="s">
        <v>2819</v>
      </c>
      <c r="B590" s="1">
        <v>29.0</v>
      </c>
      <c r="C590" s="2" t="s">
        <v>2039</v>
      </c>
      <c r="D590" s="2" t="s">
        <v>2820</v>
      </c>
      <c r="E590" s="1">
        <v>10.826</v>
      </c>
      <c r="F590" s="1">
        <v>29095.0</v>
      </c>
      <c r="G590" s="1">
        <v>2.9095013504E10</v>
      </c>
      <c r="H590" s="1" t="s">
        <v>112</v>
      </c>
      <c r="I590" s="1" t="s">
        <v>113</v>
      </c>
      <c r="J590" s="1" t="s">
        <v>2041</v>
      </c>
      <c r="K590" s="1" t="s">
        <v>2821</v>
      </c>
      <c r="L590" s="1">
        <v>2981.0</v>
      </c>
      <c r="M590" s="1">
        <v>2560.0</v>
      </c>
      <c r="N590" s="1">
        <v>267.0</v>
      </c>
      <c r="O590" s="1">
        <v>1180.0</v>
      </c>
      <c r="P590" s="1">
        <v>1136.0</v>
      </c>
      <c r="Q590" s="1">
        <v>48.0</v>
      </c>
      <c r="R590" s="1">
        <v>1126.0</v>
      </c>
      <c r="S590" s="1">
        <v>11.0</v>
      </c>
      <c r="T590" s="1">
        <v>116.0</v>
      </c>
      <c r="U590" s="1">
        <v>72.0</v>
      </c>
      <c r="V590" s="1">
        <v>429.0</v>
      </c>
      <c r="W590" s="1">
        <v>32640.0</v>
      </c>
      <c r="X590" s="1">
        <v>3670.0</v>
      </c>
      <c r="Y590" s="1">
        <v>81.0</v>
      </c>
      <c r="Z590" s="1">
        <v>398.0</v>
      </c>
      <c r="AA590" s="1">
        <v>187.0</v>
      </c>
      <c r="AB590" s="1">
        <v>880.0</v>
      </c>
      <c r="AC590" s="1">
        <v>94.0</v>
      </c>
      <c r="AD590" s="1">
        <v>530.0</v>
      </c>
      <c r="AE590" s="1">
        <v>0.0</v>
      </c>
      <c r="AF590" s="1">
        <v>456.0</v>
      </c>
      <c r="AG590" s="1">
        <v>56.0</v>
      </c>
      <c r="AH590" s="1">
        <v>121.0</v>
      </c>
      <c r="AI590" s="1">
        <v>0.0</v>
      </c>
      <c r="AJ590" s="1">
        <v>114.0</v>
      </c>
      <c r="AK590" s="1">
        <v>47.0</v>
      </c>
      <c r="AL590" s="1">
        <v>123.0</v>
      </c>
      <c r="AM590" s="1">
        <v>27.0</v>
      </c>
      <c r="AN590" s="1">
        <v>117.0</v>
      </c>
      <c r="AO590" s="1">
        <v>0.0</v>
      </c>
      <c r="AP590" s="1">
        <v>0.004313</v>
      </c>
      <c r="AQ590" s="1">
        <v>0.045487</v>
      </c>
      <c r="AR590" s="1">
        <v>0.047182</v>
      </c>
      <c r="AS590" s="1">
        <v>0.281034</v>
      </c>
      <c r="AT590" s="1">
        <v>32640.0</v>
      </c>
      <c r="AU590" s="1">
        <v>3670.0</v>
      </c>
      <c r="AV590" s="1">
        <v>0.048561</v>
      </c>
      <c r="AW590" s="1">
        <v>0.238564</v>
      </c>
      <c r="AX590" s="1">
        <v>0.06273</v>
      </c>
      <c r="AY590" s="1">
        <v>0.295202</v>
      </c>
      <c r="AZ590" s="1">
        <v>0.08348134</v>
      </c>
      <c r="BA590" s="1">
        <v>0.177792</v>
      </c>
      <c r="BB590" s="1">
        <v>0.0</v>
      </c>
      <c r="BC590" s="1">
        <v>0.192161</v>
      </c>
      <c r="BD590" s="1">
        <v>0.049295</v>
      </c>
      <c r="BE590" s="1">
        <v>0.106493</v>
      </c>
      <c r="BF590" s="1">
        <v>0.0</v>
      </c>
      <c r="BG590" s="1">
        <v>0.100352</v>
      </c>
      <c r="BH590" s="1">
        <v>0.049266</v>
      </c>
      <c r="BI590" s="1">
        <v>0.128854</v>
      </c>
      <c r="BJ590" s="1">
        <v>0.028301</v>
      </c>
      <c r="BK590" s="1">
        <v>0.122614</v>
      </c>
      <c r="BL590" s="1">
        <v>0.0</v>
      </c>
      <c r="BM590" s="1">
        <v>0.01</v>
      </c>
      <c r="BN590" s="1">
        <v>0.266</v>
      </c>
      <c r="BO590" s="1">
        <v>0.1458</v>
      </c>
      <c r="BP590" s="1">
        <v>0.125</v>
      </c>
      <c r="BQ590" s="1">
        <v>0.5468</v>
      </c>
      <c r="BR590" s="1">
        <v>0.0801</v>
      </c>
      <c r="BS590" s="1">
        <v>0.054</v>
      </c>
      <c r="BT590" s="1">
        <v>0.905</v>
      </c>
      <c r="BU590" s="1">
        <v>0.346</v>
      </c>
      <c r="BV590" s="1">
        <v>1.305</v>
      </c>
      <c r="BW590" s="1">
        <v>0.308</v>
      </c>
      <c r="BX590" s="1">
        <v>0.674</v>
      </c>
      <c r="BY590" s="1">
        <v>0.0</v>
      </c>
      <c r="BZ590" s="1">
        <v>0.674</v>
      </c>
      <c r="CA590" s="1">
        <v>0.321</v>
      </c>
      <c r="CB590" s="1">
        <v>0.654</v>
      </c>
      <c r="CC590" s="1">
        <v>0.0</v>
      </c>
      <c r="CD590" s="1">
        <v>0.934</v>
      </c>
      <c r="CE590" s="1">
        <v>0.271</v>
      </c>
      <c r="CF590" s="1">
        <v>0.0</v>
      </c>
      <c r="CG590" s="1">
        <v>1.859</v>
      </c>
      <c r="CH590" s="1">
        <v>0.287</v>
      </c>
      <c r="CI590" s="1">
        <v>4.3848</v>
      </c>
      <c r="CJ590" s="1">
        <v>0.1227</v>
      </c>
      <c r="CK590" s="1">
        <v>0.0</v>
      </c>
      <c r="CL590" s="1">
        <v>0.0</v>
      </c>
      <c r="CM590" s="1">
        <v>0.0</v>
      </c>
      <c r="CN590" s="1">
        <v>0.0</v>
      </c>
      <c r="CO590" s="1">
        <v>0.0</v>
      </c>
      <c r="CP590" s="1">
        <v>0.0</v>
      </c>
      <c r="CQ590" s="1">
        <v>1.0</v>
      </c>
      <c r="CR590" s="1">
        <v>0.0</v>
      </c>
      <c r="CS590" s="1">
        <v>1.0</v>
      </c>
      <c r="CT590" s="1">
        <v>0.0</v>
      </c>
      <c r="CU590" s="1">
        <v>0.0</v>
      </c>
      <c r="CV590" s="1">
        <v>0.0</v>
      </c>
      <c r="CW590" s="1">
        <v>0.0</v>
      </c>
      <c r="CX590" s="1">
        <v>0.0</v>
      </c>
      <c r="CY590" s="1">
        <v>1.0</v>
      </c>
      <c r="CZ590" s="1">
        <v>0.0</v>
      </c>
      <c r="DA590" s="1">
        <v>0.0</v>
      </c>
      <c r="DB590" s="1">
        <v>1.0</v>
      </c>
      <c r="DC590" s="1">
        <v>2.0</v>
      </c>
      <c r="DD590" s="1" t="s">
        <v>2822</v>
      </c>
      <c r="DE590" s="1">
        <v>0.00291564371087493</v>
      </c>
      <c r="DF590" s="2" t="s">
        <v>2823</v>
      </c>
    </row>
    <row r="591" ht="15.75" customHeight="1">
      <c r="A591" s="1" t="s">
        <v>2824</v>
      </c>
      <c r="B591" s="1">
        <v>29.0</v>
      </c>
      <c r="C591" s="2" t="s">
        <v>2039</v>
      </c>
      <c r="D591" s="2" t="s">
        <v>2825</v>
      </c>
      <c r="E591" s="1">
        <v>2.714</v>
      </c>
      <c r="F591" s="1">
        <v>29095.0</v>
      </c>
      <c r="G591" s="1">
        <v>2.9095013608E10</v>
      </c>
      <c r="H591" s="1" t="s">
        <v>112</v>
      </c>
      <c r="I591" s="1" t="s">
        <v>113</v>
      </c>
      <c r="J591" s="1" t="s">
        <v>2041</v>
      </c>
      <c r="K591" s="1" t="s">
        <v>2826</v>
      </c>
      <c r="L591" s="1">
        <v>5550.0</v>
      </c>
      <c r="M591" s="1">
        <v>5443.0</v>
      </c>
      <c r="N591" s="1">
        <v>292.0</v>
      </c>
      <c r="O591" s="1">
        <v>3227.0</v>
      </c>
      <c r="P591" s="1">
        <v>3138.0</v>
      </c>
      <c r="Q591" s="1">
        <v>127.0</v>
      </c>
      <c r="R591" s="1">
        <v>2676.0</v>
      </c>
      <c r="S591" s="1">
        <v>365.0</v>
      </c>
      <c r="T591" s="1">
        <v>169.0</v>
      </c>
      <c r="U591" s="1">
        <v>25.0</v>
      </c>
      <c r="V591" s="1">
        <v>485.0</v>
      </c>
      <c r="W591" s="1">
        <v>32643.0</v>
      </c>
      <c r="X591" s="1">
        <v>3043.0</v>
      </c>
      <c r="Y591" s="1">
        <v>244.0</v>
      </c>
      <c r="Z591" s="1">
        <v>248.0</v>
      </c>
      <c r="AA591" s="1">
        <v>2151.0</v>
      </c>
      <c r="AB591" s="1">
        <v>1031.0</v>
      </c>
      <c r="AC591" s="1">
        <v>135.0</v>
      </c>
      <c r="AD591" s="1">
        <v>729.0</v>
      </c>
      <c r="AE591" s="1">
        <v>0.0</v>
      </c>
      <c r="AF591" s="1">
        <v>456.0</v>
      </c>
      <c r="AG591" s="1">
        <v>1057.0</v>
      </c>
      <c r="AH591" s="1">
        <v>195.0</v>
      </c>
      <c r="AI591" s="1">
        <v>0.0</v>
      </c>
      <c r="AJ591" s="1">
        <v>114.0</v>
      </c>
      <c r="AK591" s="1">
        <v>22.0</v>
      </c>
      <c r="AL591" s="1">
        <v>118.0</v>
      </c>
      <c r="AM591" s="1">
        <v>707.0</v>
      </c>
      <c r="AN591" s="1">
        <v>145.0</v>
      </c>
      <c r="AO591" s="1">
        <v>276.0</v>
      </c>
      <c r="AP591" s="1">
        <v>0.068198</v>
      </c>
      <c r="AQ591" s="1">
        <v>0.031388</v>
      </c>
      <c r="AR591" s="1">
        <v>0.012531</v>
      </c>
      <c r="AS591" s="1">
        <v>0.243098</v>
      </c>
      <c r="AT591" s="1">
        <v>32643.0</v>
      </c>
      <c r="AU591" s="1">
        <v>3043.0</v>
      </c>
      <c r="AV591" s="1">
        <v>0.056546</v>
      </c>
      <c r="AW591" s="1">
        <v>0.057381</v>
      </c>
      <c r="AX591" s="1">
        <v>0.387567</v>
      </c>
      <c r="AY591" s="1">
        <v>0.185765</v>
      </c>
      <c r="AZ591" s="1">
        <v>0.05044843</v>
      </c>
      <c r="BA591" s="1">
        <v>0.131351</v>
      </c>
      <c r="BB591" s="1">
        <v>0.0</v>
      </c>
      <c r="BC591" s="1">
        <v>0.086791</v>
      </c>
      <c r="BD591" s="1">
        <v>0.336838</v>
      </c>
      <c r="BE591" s="1">
        <v>0.060627</v>
      </c>
      <c r="BF591" s="1">
        <v>0.0</v>
      </c>
      <c r="BG591" s="1">
        <v>0.036328</v>
      </c>
      <c r="BH591" s="1">
        <v>0.007773</v>
      </c>
      <c r="BI591" s="1">
        <v>0.041693</v>
      </c>
      <c r="BJ591" s="1">
        <v>0.249823</v>
      </c>
      <c r="BK591" s="1">
        <v>0.049174</v>
      </c>
      <c r="BL591" s="1">
        <v>0.049729</v>
      </c>
      <c r="BM591" s="1">
        <v>0.24</v>
      </c>
      <c r="BN591" s="1">
        <v>0.011</v>
      </c>
      <c r="BO591" s="1">
        <v>0.1451</v>
      </c>
      <c r="BP591" s="1">
        <v>0.154</v>
      </c>
      <c r="BQ591" s="1">
        <v>0.5501</v>
      </c>
      <c r="BR591" s="1">
        <v>0.0809</v>
      </c>
      <c r="BS591" s="1">
        <v>0.999</v>
      </c>
      <c r="BT591" s="1">
        <v>0.135</v>
      </c>
      <c r="BU591" s="1">
        <v>0.074</v>
      </c>
      <c r="BV591" s="1">
        <v>1.208</v>
      </c>
      <c r="BW591" s="1">
        <v>0.237</v>
      </c>
      <c r="BX591" s="1">
        <v>0.564</v>
      </c>
      <c r="BY591" s="1">
        <v>0.0</v>
      </c>
      <c r="BZ591" s="1">
        <v>0.564</v>
      </c>
      <c r="CA591" s="1">
        <v>0.246</v>
      </c>
      <c r="CB591" s="1">
        <v>0.954</v>
      </c>
      <c r="CC591" s="1">
        <v>0.0</v>
      </c>
      <c r="CD591" s="1">
        <v>0.428</v>
      </c>
      <c r="CE591" s="1">
        <v>0.941</v>
      </c>
      <c r="CF591" s="1">
        <v>0.894</v>
      </c>
      <c r="CG591" s="1">
        <v>3.217</v>
      </c>
      <c r="CH591" s="1">
        <v>0.848</v>
      </c>
      <c r="CI591" s="1">
        <v>5.5391</v>
      </c>
      <c r="CJ591" s="1">
        <v>0.2888</v>
      </c>
      <c r="CK591" s="1">
        <v>0.0</v>
      </c>
      <c r="CL591" s="1">
        <v>0.0</v>
      </c>
      <c r="CM591" s="1">
        <v>0.0</v>
      </c>
      <c r="CN591" s="1">
        <v>0.0</v>
      </c>
      <c r="CO591" s="1">
        <v>0.0</v>
      </c>
      <c r="CP591" s="1">
        <v>1.0</v>
      </c>
      <c r="CQ591" s="1">
        <v>0.0</v>
      </c>
      <c r="CR591" s="1">
        <v>0.0</v>
      </c>
      <c r="CS591" s="1">
        <v>1.0</v>
      </c>
      <c r="CT591" s="1">
        <v>0.0</v>
      </c>
      <c r="CU591" s="1">
        <v>0.0</v>
      </c>
      <c r="CV591" s="1">
        <v>0.0</v>
      </c>
      <c r="CW591" s="1">
        <v>1.0</v>
      </c>
      <c r="CX591" s="1">
        <v>0.0</v>
      </c>
      <c r="CY591" s="1">
        <v>0.0</v>
      </c>
      <c r="CZ591" s="1">
        <v>1.0</v>
      </c>
      <c r="DA591" s="1">
        <v>0.0</v>
      </c>
      <c r="DB591" s="1">
        <v>2.0</v>
      </c>
      <c r="DC591" s="1">
        <v>3.0</v>
      </c>
      <c r="DD591" s="1" t="s">
        <v>2827</v>
      </c>
      <c r="DE591" s="1">
        <v>7.34166756265151E-4</v>
      </c>
      <c r="DF591" s="2" t="s">
        <v>2828</v>
      </c>
    </row>
    <row r="592" ht="15.75" customHeight="1">
      <c r="A592" s="1" t="s">
        <v>2829</v>
      </c>
      <c r="B592" s="1">
        <v>29.0</v>
      </c>
      <c r="C592" s="2" t="s">
        <v>2039</v>
      </c>
      <c r="D592" s="2" t="s">
        <v>2830</v>
      </c>
      <c r="E592" s="1">
        <v>7.962</v>
      </c>
      <c r="F592" s="1">
        <v>29095.0</v>
      </c>
      <c r="G592" s="1">
        <v>2.9095013902E10</v>
      </c>
      <c r="H592" s="1" t="s">
        <v>112</v>
      </c>
      <c r="I592" s="1" t="s">
        <v>113</v>
      </c>
      <c r="J592" s="1" t="s">
        <v>2041</v>
      </c>
      <c r="K592" s="1" t="s">
        <v>2831</v>
      </c>
      <c r="L592" s="1">
        <v>1282.0</v>
      </c>
      <c r="M592" s="1">
        <v>1122.0</v>
      </c>
      <c r="N592" s="1">
        <v>171.0</v>
      </c>
      <c r="O592" s="1">
        <v>501.0</v>
      </c>
      <c r="P592" s="1">
        <v>457.0</v>
      </c>
      <c r="Q592" s="1">
        <v>70.0</v>
      </c>
      <c r="R592" s="1">
        <v>469.0</v>
      </c>
      <c r="S592" s="1">
        <v>22.0</v>
      </c>
      <c r="T592" s="1">
        <v>19.0</v>
      </c>
      <c r="U592" s="1">
        <v>22.0</v>
      </c>
      <c r="V592" s="1">
        <v>442.0</v>
      </c>
      <c r="W592" s="1">
        <v>28783.0</v>
      </c>
      <c r="X592" s="1">
        <v>3426.0</v>
      </c>
      <c r="Y592" s="1">
        <v>93.0</v>
      </c>
      <c r="Z592" s="1">
        <v>401.0</v>
      </c>
      <c r="AA592" s="1">
        <v>109.0</v>
      </c>
      <c r="AB592" s="1">
        <v>345.0</v>
      </c>
      <c r="AC592" s="1">
        <v>54.0</v>
      </c>
      <c r="AD592" s="1">
        <v>71.0</v>
      </c>
      <c r="AE592" s="1">
        <v>0.0</v>
      </c>
      <c r="AF592" s="1">
        <v>456.0</v>
      </c>
      <c r="AG592" s="1">
        <v>0.0</v>
      </c>
      <c r="AH592" s="1">
        <v>197.0</v>
      </c>
      <c r="AI592" s="1">
        <v>13.0</v>
      </c>
      <c r="AJ592" s="1">
        <v>14.0</v>
      </c>
      <c r="AK592" s="1">
        <v>3.0</v>
      </c>
      <c r="AL592" s="1">
        <v>114.0</v>
      </c>
      <c r="AM592" s="1">
        <v>0.0</v>
      </c>
      <c r="AN592" s="1">
        <v>161.0</v>
      </c>
      <c r="AO592" s="1">
        <v>7.0</v>
      </c>
      <c r="AP592" s="1">
        <v>0.019607</v>
      </c>
      <c r="AQ592" s="1">
        <v>0.016668</v>
      </c>
      <c r="AR592" s="1">
        <v>0.032544</v>
      </c>
      <c r="AS592" s="1">
        <v>0.653756</v>
      </c>
      <c r="AT592" s="1">
        <v>28783.0</v>
      </c>
      <c r="AU592" s="1">
        <v>3426.0</v>
      </c>
      <c r="AV592" s="1">
        <v>0.130801</v>
      </c>
      <c r="AW592" s="1">
        <v>0.563569</v>
      </c>
      <c r="AX592" s="1">
        <v>0.085023</v>
      </c>
      <c r="AY592" s="1">
        <v>0.26911</v>
      </c>
      <c r="AZ592" s="1">
        <v>0.11513859</v>
      </c>
      <c r="BA592" s="1">
        <v>0.055382</v>
      </c>
      <c r="BB592" s="1">
        <v>0.0</v>
      </c>
      <c r="BC592" s="1">
        <v>0.439306</v>
      </c>
      <c r="BD592" s="1">
        <v>0.0</v>
      </c>
      <c r="BE592" s="1">
        <v>0.431072</v>
      </c>
      <c r="BF592" s="1">
        <v>0.028446</v>
      </c>
      <c r="BG592" s="1">
        <v>0.030323</v>
      </c>
      <c r="BH592" s="1">
        <v>0.007712</v>
      </c>
      <c r="BI592" s="1">
        <v>0.293057</v>
      </c>
      <c r="BJ592" s="1">
        <v>0.0</v>
      </c>
      <c r="BK592" s="1">
        <v>0.413881</v>
      </c>
      <c r="BL592" s="1">
        <v>0.00546</v>
      </c>
      <c r="BM592" s="1">
        <v>0.051</v>
      </c>
      <c r="BN592" s="1">
        <v>0.107</v>
      </c>
      <c r="BO592" s="1">
        <v>0.2253</v>
      </c>
      <c r="BP592" s="1">
        <v>0.471</v>
      </c>
      <c r="BQ592" s="1">
        <v>0.8543</v>
      </c>
      <c r="BR592" s="1">
        <v>0.1711</v>
      </c>
      <c r="BS592" s="1">
        <v>0.138</v>
      </c>
      <c r="BT592" s="1">
        <v>0.784</v>
      </c>
      <c r="BU592" s="1">
        <v>0.632</v>
      </c>
      <c r="BV592" s="1">
        <v>1.554</v>
      </c>
      <c r="BW592" s="1">
        <v>0.525</v>
      </c>
      <c r="BX592" s="1">
        <v>0.287</v>
      </c>
      <c r="BY592" s="1">
        <v>0.0</v>
      </c>
      <c r="BZ592" s="1">
        <v>0.287</v>
      </c>
      <c r="CA592" s="1">
        <v>0.122</v>
      </c>
      <c r="CB592" s="1">
        <v>0.0</v>
      </c>
      <c r="CC592" s="1">
        <v>0.544</v>
      </c>
      <c r="CD592" s="1">
        <v>0.424</v>
      </c>
      <c r="CE592" s="1">
        <v>0.0</v>
      </c>
      <c r="CF592" s="1">
        <v>0.521</v>
      </c>
      <c r="CG592" s="1">
        <v>1.489</v>
      </c>
      <c r="CH592" s="1">
        <v>0.172</v>
      </c>
      <c r="CI592" s="1">
        <v>4.1843</v>
      </c>
      <c r="CJ592" s="1">
        <v>0.1025</v>
      </c>
      <c r="CK592" s="1">
        <v>0.0</v>
      </c>
      <c r="CL592" s="1">
        <v>0.0</v>
      </c>
      <c r="CM592" s="1">
        <v>0.0</v>
      </c>
      <c r="CN592" s="1">
        <v>0.0</v>
      </c>
      <c r="CO592" s="1">
        <v>0.0</v>
      </c>
      <c r="CP592" s="1">
        <v>0.0</v>
      </c>
      <c r="CQ592" s="1">
        <v>0.0</v>
      </c>
      <c r="CR592" s="1">
        <v>0.0</v>
      </c>
      <c r="CS592" s="1">
        <v>0.0</v>
      </c>
      <c r="CT592" s="1">
        <v>0.0</v>
      </c>
      <c r="CU592" s="1">
        <v>0.0</v>
      </c>
      <c r="CV592" s="1">
        <v>0.0</v>
      </c>
      <c r="CW592" s="1">
        <v>0.0</v>
      </c>
      <c r="CX592" s="1">
        <v>0.0</v>
      </c>
      <c r="CY592" s="1">
        <v>0.0</v>
      </c>
      <c r="CZ592" s="1">
        <v>0.0</v>
      </c>
      <c r="DA592" s="1">
        <v>0.0</v>
      </c>
      <c r="DB592" s="1">
        <v>0.0</v>
      </c>
      <c r="DC592" s="1">
        <v>0.0</v>
      </c>
      <c r="DD592" s="1" t="s">
        <v>2832</v>
      </c>
      <c r="DE592" s="1">
        <v>0.00214563482247851</v>
      </c>
      <c r="DF592" s="2" t="s">
        <v>2833</v>
      </c>
    </row>
    <row r="593" ht="15.75" customHeight="1">
      <c r="A593" s="1" t="s">
        <v>2834</v>
      </c>
      <c r="B593" s="1">
        <v>29.0</v>
      </c>
      <c r="C593" s="2" t="s">
        <v>2039</v>
      </c>
      <c r="D593" s="2" t="s">
        <v>2835</v>
      </c>
      <c r="E593" s="1">
        <v>3.341</v>
      </c>
      <c r="F593" s="1">
        <v>29095.0</v>
      </c>
      <c r="G593" s="1">
        <v>2.9095013916E10</v>
      </c>
      <c r="H593" s="1" t="s">
        <v>112</v>
      </c>
      <c r="I593" s="1" t="s">
        <v>113</v>
      </c>
      <c r="J593" s="1" t="s">
        <v>2041</v>
      </c>
      <c r="K593" s="1" t="s">
        <v>2836</v>
      </c>
      <c r="L593" s="1">
        <v>5331.0</v>
      </c>
      <c r="M593" s="1">
        <v>4942.0</v>
      </c>
      <c r="N593" s="1">
        <v>376.0</v>
      </c>
      <c r="O593" s="1">
        <v>1892.0</v>
      </c>
      <c r="P593" s="1">
        <v>1747.0</v>
      </c>
      <c r="Q593" s="1">
        <v>72.0</v>
      </c>
      <c r="R593" s="1">
        <v>1793.0</v>
      </c>
      <c r="S593" s="1">
        <v>107.0</v>
      </c>
      <c r="T593" s="1">
        <v>105.0</v>
      </c>
      <c r="U593" s="1">
        <v>119.0</v>
      </c>
      <c r="V593" s="1">
        <v>419.0</v>
      </c>
      <c r="W593" s="1">
        <v>32943.0</v>
      </c>
      <c r="X593" s="1">
        <v>3530.0</v>
      </c>
      <c r="Y593" s="1">
        <v>173.0</v>
      </c>
      <c r="Z593" s="1">
        <v>394.0</v>
      </c>
      <c r="AA593" s="1">
        <v>293.0</v>
      </c>
      <c r="AB593" s="1">
        <v>1764.0</v>
      </c>
      <c r="AC593" s="1">
        <v>213.0</v>
      </c>
      <c r="AD593" s="1">
        <v>782.0</v>
      </c>
      <c r="AE593" s="1">
        <v>91.0</v>
      </c>
      <c r="AF593" s="1">
        <v>439.0</v>
      </c>
      <c r="AG593" s="1">
        <v>12.0</v>
      </c>
      <c r="AH593" s="1">
        <v>162.0</v>
      </c>
      <c r="AI593" s="1">
        <v>0.0</v>
      </c>
      <c r="AJ593" s="1">
        <v>114.0</v>
      </c>
      <c r="AK593" s="1">
        <v>0.0</v>
      </c>
      <c r="AL593" s="1">
        <v>161.0</v>
      </c>
      <c r="AM593" s="1">
        <v>62.0</v>
      </c>
      <c r="AN593" s="1">
        <v>129.0</v>
      </c>
      <c r="AO593" s="1">
        <v>8.0</v>
      </c>
      <c r="AP593" s="1">
        <v>0.021712</v>
      </c>
      <c r="AQ593" s="1">
        <v>0.021242</v>
      </c>
      <c r="AR593" s="1">
        <v>0.040683</v>
      </c>
      <c r="AS593" s="1">
        <v>0.14317</v>
      </c>
      <c r="AT593" s="1">
        <v>32943.0</v>
      </c>
      <c r="AU593" s="1">
        <v>3530.0</v>
      </c>
      <c r="AV593" s="1">
        <v>0.058763</v>
      </c>
      <c r="AW593" s="1">
        <v>0.133754</v>
      </c>
      <c r="AX593" s="1">
        <v>0.054961</v>
      </c>
      <c r="AY593" s="1">
        <v>0.330894</v>
      </c>
      <c r="AZ593" s="1">
        <v>0.11879531</v>
      </c>
      <c r="BA593" s="1">
        <v>0.146689</v>
      </c>
      <c r="BB593" s="1">
        <v>0.019986</v>
      </c>
      <c r="BC593" s="1">
        <v>0.096407</v>
      </c>
      <c r="BD593" s="1">
        <v>0.006868</v>
      </c>
      <c r="BE593" s="1">
        <v>0.092729</v>
      </c>
      <c r="BF593" s="1">
        <v>0.0</v>
      </c>
      <c r="BG593" s="1">
        <v>0.065254</v>
      </c>
      <c r="BH593" s="1">
        <v>0.0</v>
      </c>
      <c r="BI593" s="1">
        <v>0.097457</v>
      </c>
      <c r="BJ593" s="1">
        <v>0.03753</v>
      </c>
      <c r="BK593" s="1">
        <v>0.078052</v>
      </c>
      <c r="BL593" s="1">
        <v>0.0015</v>
      </c>
      <c r="BM593" s="1">
        <v>0.062</v>
      </c>
      <c r="BN593" s="1">
        <v>0.187</v>
      </c>
      <c r="BO593" s="1">
        <v>0.1422</v>
      </c>
      <c r="BP593" s="1">
        <v>0.162</v>
      </c>
      <c r="BQ593" s="1">
        <v>0.5532</v>
      </c>
      <c r="BR593" s="1">
        <v>0.083</v>
      </c>
      <c r="BS593" s="1">
        <v>0.033</v>
      </c>
      <c r="BT593" s="1">
        <v>0.973</v>
      </c>
      <c r="BU593" s="1">
        <v>0.663</v>
      </c>
      <c r="BV593" s="1">
        <v>1.669</v>
      </c>
      <c r="BW593" s="1">
        <v>0.615</v>
      </c>
      <c r="BX593" s="1">
        <v>0.615</v>
      </c>
      <c r="BY593" s="1">
        <v>0.856</v>
      </c>
      <c r="BZ593" s="1">
        <v>1.471</v>
      </c>
      <c r="CA593" s="1">
        <v>0.805</v>
      </c>
      <c r="CB593" s="1">
        <v>0.35</v>
      </c>
      <c r="CC593" s="1">
        <v>0.0</v>
      </c>
      <c r="CD593" s="1">
        <v>0.0</v>
      </c>
      <c r="CE593" s="1">
        <v>0.367</v>
      </c>
      <c r="CF593" s="1">
        <v>0.423</v>
      </c>
      <c r="CG593" s="1">
        <v>1.14</v>
      </c>
      <c r="CH593" s="1">
        <v>0.099</v>
      </c>
      <c r="CI593" s="1">
        <v>4.8332</v>
      </c>
      <c r="CJ593" s="1">
        <v>0.1834</v>
      </c>
      <c r="CK593" s="1">
        <v>0.0</v>
      </c>
      <c r="CL593" s="1">
        <v>0.0</v>
      </c>
      <c r="CM593" s="1">
        <v>0.0</v>
      </c>
      <c r="CN593" s="1">
        <v>0.0</v>
      </c>
      <c r="CO593" s="1">
        <v>0.0</v>
      </c>
      <c r="CP593" s="1">
        <v>0.0</v>
      </c>
      <c r="CQ593" s="1">
        <v>1.0</v>
      </c>
      <c r="CR593" s="1">
        <v>0.0</v>
      </c>
      <c r="CS593" s="1">
        <v>1.0</v>
      </c>
      <c r="CT593" s="1">
        <v>0.0</v>
      </c>
      <c r="CU593" s="1">
        <v>0.0</v>
      </c>
      <c r="CV593" s="1">
        <v>0.0</v>
      </c>
      <c r="CW593" s="1">
        <v>0.0</v>
      </c>
      <c r="CX593" s="1">
        <v>0.0</v>
      </c>
      <c r="CY593" s="1">
        <v>0.0</v>
      </c>
      <c r="CZ593" s="1">
        <v>0.0</v>
      </c>
      <c r="DA593" s="1">
        <v>0.0</v>
      </c>
      <c r="DB593" s="1">
        <v>0.0</v>
      </c>
      <c r="DC593" s="1">
        <v>1.0</v>
      </c>
      <c r="DD593" s="1" t="s">
        <v>2837</v>
      </c>
      <c r="DE593" s="1">
        <v>9.00946392598628E-4</v>
      </c>
      <c r="DF593" s="2" t="s">
        <v>2838</v>
      </c>
    </row>
    <row r="594" ht="15.75" customHeight="1">
      <c r="A594" s="1" t="s">
        <v>2839</v>
      </c>
      <c r="B594" s="1">
        <v>29.0</v>
      </c>
      <c r="C594" s="2" t="s">
        <v>2039</v>
      </c>
      <c r="D594" s="2" t="s">
        <v>2840</v>
      </c>
      <c r="E594" s="1">
        <v>18.698</v>
      </c>
      <c r="F594" s="1">
        <v>29095.0</v>
      </c>
      <c r="G594" s="1">
        <v>2.9095014002E10</v>
      </c>
      <c r="H594" s="1" t="s">
        <v>112</v>
      </c>
      <c r="I594" s="1" t="s">
        <v>113</v>
      </c>
      <c r="J594" s="1" t="s">
        <v>2041</v>
      </c>
      <c r="K594" s="1" t="s">
        <v>2841</v>
      </c>
      <c r="L594" s="1">
        <v>1683.0</v>
      </c>
      <c r="M594" s="1">
        <v>1563.0</v>
      </c>
      <c r="N594" s="1">
        <v>209.0</v>
      </c>
      <c r="O594" s="1">
        <v>711.0</v>
      </c>
      <c r="P594" s="1">
        <v>627.0</v>
      </c>
      <c r="Q594" s="1">
        <v>51.0</v>
      </c>
      <c r="R594" s="1">
        <v>651.0</v>
      </c>
      <c r="S594" s="1">
        <v>22.0</v>
      </c>
      <c r="T594" s="1">
        <v>118.0</v>
      </c>
      <c r="U594" s="1">
        <v>77.0</v>
      </c>
      <c r="V594" s="1">
        <v>444.0</v>
      </c>
      <c r="W594" s="1">
        <v>30559.0</v>
      </c>
      <c r="X594" s="1">
        <v>3858.0</v>
      </c>
      <c r="Y594" s="1">
        <v>83.0</v>
      </c>
      <c r="Z594" s="1">
        <v>382.0</v>
      </c>
      <c r="AA594" s="1">
        <v>270.0</v>
      </c>
      <c r="AB594" s="1">
        <v>346.0</v>
      </c>
      <c r="AC594" s="1">
        <v>34.0</v>
      </c>
      <c r="AD594" s="1">
        <v>81.0</v>
      </c>
      <c r="AE594" s="1">
        <v>0.0</v>
      </c>
      <c r="AF594" s="1">
        <v>456.0</v>
      </c>
      <c r="AG594" s="1">
        <v>0.0</v>
      </c>
      <c r="AH594" s="1">
        <v>197.0</v>
      </c>
      <c r="AI594" s="1">
        <v>62.0</v>
      </c>
      <c r="AJ594" s="1">
        <v>39.0</v>
      </c>
      <c r="AK594" s="1">
        <v>0.0</v>
      </c>
      <c r="AL594" s="1">
        <v>161.0</v>
      </c>
      <c r="AM594" s="1">
        <v>8.0</v>
      </c>
      <c r="AN594" s="1">
        <v>115.0</v>
      </c>
      <c r="AO594" s="1">
        <v>0.0</v>
      </c>
      <c r="AP594" s="1">
        <v>0.014075</v>
      </c>
      <c r="AQ594" s="1">
        <v>0.075472</v>
      </c>
      <c r="AR594" s="1">
        <v>0.092326</v>
      </c>
      <c r="AS594" s="1">
        <v>0.531841</v>
      </c>
      <c r="AT594" s="1">
        <v>30559.0</v>
      </c>
      <c r="AU594" s="1">
        <v>3858.0</v>
      </c>
      <c r="AV594" s="1">
        <v>0.069456</v>
      </c>
      <c r="AW594" s="1">
        <v>0.319587</v>
      </c>
      <c r="AX594" s="1">
        <v>0.160427</v>
      </c>
      <c r="AY594" s="1">
        <v>0.205585</v>
      </c>
      <c r="AZ594" s="1">
        <v>0.05222734</v>
      </c>
      <c r="BA594" s="1">
        <v>0.048128</v>
      </c>
      <c r="BB594" s="1">
        <v>0.0</v>
      </c>
      <c r="BC594" s="1">
        <v>0.307484</v>
      </c>
      <c r="BD594" s="1">
        <v>0.0</v>
      </c>
      <c r="BE594" s="1">
        <v>0.314194</v>
      </c>
      <c r="BF594" s="1">
        <v>0.098883</v>
      </c>
      <c r="BG594" s="1">
        <v>0.061678</v>
      </c>
      <c r="BH594" s="1">
        <v>0.0</v>
      </c>
      <c r="BI594" s="1">
        <v>0.266115</v>
      </c>
      <c r="BJ594" s="1">
        <v>0.013223</v>
      </c>
      <c r="BK594" s="1">
        <v>0.190078</v>
      </c>
      <c r="BL594" s="1">
        <v>0.0</v>
      </c>
      <c r="BM594" s="1">
        <v>0.033</v>
      </c>
      <c r="BN594" s="1">
        <v>0.692</v>
      </c>
      <c r="BO594" s="1">
        <v>0.1848</v>
      </c>
      <c r="BP594" s="1">
        <v>0.199</v>
      </c>
      <c r="BQ594" s="1">
        <v>1.1088</v>
      </c>
      <c r="BR594" s="1">
        <v>0.2296</v>
      </c>
      <c r="BS594" s="1">
        <v>0.668</v>
      </c>
      <c r="BT594" s="1">
        <v>0.215</v>
      </c>
      <c r="BU594" s="1">
        <v>0.086</v>
      </c>
      <c r="BV594" s="1">
        <v>0.969</v>
      </c>
      <c r="BW594" s="1">
        <v>0.103</v>
      </c>
      <c r="BX594" s="1">
        <v>0.234</v>
      </c>
      <c r="BY594" s="1">
        <v>0.0</v>
      </c>
      <c r="BZ594" s="1">
        <v>0.234</v>
      </c>
      <c r="CA594" s="1">
        <v>0.102</v>
      </c>
      <c r="CB594" s="1">
        <v>0.0</v>
      </c>
      <c r="CC594" s="1">
        <v>0.714</v>
      </c>
      <c r="CD594" s="1">
        <v>0.0</v>
      </c>
      <c r="CE594" s="1">
        <v>0.115</v>
      </c>
      <c r="CF594" s="1">
        <v>0.0</v>
      </c>
      <c r="CG594" s="1">
        <v>0.829</v>
      </c>
      <c r="CH594" s="1">
        <v>0.058</v>
      </c>
      <c r="CI594" s="1">
        <v>3.1408</v>
      </c>
      <c r="CJ594" s="1">
        <v>0.0253</v>
      </c>
      <c r="CK594" s="1">
        <v>0.0</v>
      </c>
      <c r="CL594" s="1">
        <v>0.0</v>
      </c>
      <c r="CM594" s="1">
        <v>0.0</v>
      </c>
      <c r="CN594" s="1">
        <v>0.0</v>
      </c>
      <c r="CO594" s="1">
        <v>0.0</v>
      </c>
      <c r="CP594" s="1">
        <v>0.0</v>
      </c>
      <c r="CQ594" s="1">
        <v>0.0</v>
      </c>
      <c r="CR594" s="1">
        <v>0.0</v>
      </c>
      <c r="CS594" s="1">
        <v>0.0</v>
      </c>
      <c r="CT594" s="1">
        <v>0.0</v>
      </c>
      <c r="CU594" s="1">
        <v>0.0</v>
      </c>
      <c r="CV594" s="1">
        <v>0.0</v>
      </c>
      <c r="CW594" s="1">
        <v>0.0</v>
      </c>
      <c r="CX594" s="1">
        <v>0.0</v>
      </c>
      <c r="CY594" s="1">
        <v>0.0</v>
      </c>
      <c r="CZ594" s="1">
        <v>0.0</v>
      </c>
      <c r="DA594" s="1">
        <v>0.0</v>
      </c>
      <c r="DB594" s="1">
        <v>0.0</v>
      </c>
      <c r="DC594" s="1">
        <v>0.0</v>
      </c>
      <c r="DD594" s="1" t="s">
        <v>2842</v>
      </c>
      <c r="DE594" s="1">
        <v>0.00505894025667232</v>
      </c>
      <c r="DF594" s="2" t="s">
        <v>2843</v>
      </c>
    </row>
    <row r="595" ht="15.75" customHeight="1">
      <c r="A595" s="1" t="s">
        <v>2844</v>
      </c>
      <c r="B595" s="1">
        <v>29.0</v>
      </c>
      <c r="C595" s="2" t="s">
        <v>2039</v>
      </c>
      <c r="D595" s="2" t="s">
        <v>2845</v>
      </c>
      <c r="E595" s="1">
        <v>3.187</v>
      </c>
      <c r="F595" s="1">
        <v>29095.0</v>
      </c>
      <c r="G595" s="1">
        <v>2.9095014004E10</v>
      </c>
      <c r="H595" s="1" t="s">
        <v>112</v>
      </c>
      <c r="I595" s="1" t="s">
        <v>113</v>
      </c>
      <c r="J595" s="1" t="s">
        <v>2041</v>
      </c>
      <c r="K595" s="1" t="s">
        <v>2846</v>
      </c>
      <c r="L595" s="1">
        <v>2871.0</v>
      </c>
      <c r="M595" s="1">
        <v>2485.0</v>
      </c>
      <c r="N595" s="1">
        <v>308.0</v>
      </c>
      <c r="O595" s="1">
        <v>1184.0</v>
      </c>
      <c r="P595" s="1">
        <v>1077.0</v>
      </c>
      <c r="Q595" s="1">
        <v>89.0</v>
      </c>
      <c r="R595" s="1">
        <v>1092.0</v>
      </c>
      <c r="S595" s="1">
        <v>480.0</v>
      </c>
      <c r="T595" s="1">
        <v>349.0</v>
      </c>
      <c r="U595" s="1">
        <v>117.0</v>
      </c>
      <c r="V595" s="1">
        <v>466.0</v>
      </c>
      <c r="W595" s="1">
        <v>17850.0</v>
      </c>
      <c r="X595" s="1">
        <v>3842.0</v>
      </c>
      <c r="Y595" s="1">
        <v>189.0</v>
      </c>
      <c r="Z595" s="1">
        <v>294.0</v>
      </c>
      <c r="AA595" s="1">
        <v>361.0</v>
      </c>
      <c r="AB595" s="1">
        <v>890.0</v>
      </c>
      <c r="AC595" s="1">
        <v>196.0</v>
      </c>
      <c r="AD595" s="1">
        <v>276.0</v>
      </c>
      <c r="AE595" s="1">
        <v>10.0</v>
      </c>
      <c r="AF595" s="1">
        <v>442.0</v>
      </c>
      <c r="AG595" s="1">
        <v>18.0</v>
      </c>
      <c r="AH595" s="1">
        <v>164.0</v>
      </c>
      <c r="AI595" s="1">
        <v>43.0</v>
      </c>
      <c r="AJ595" s="1">
        <v>41.0</v>
      </c>
      <c r="AK595" s="1">
        <v>31.0</v>
      </c>
      <c r="AL595" s="1">
        <v>118.0</v>
      </c>
      <c r="AM595" s="1">
        <v>116.0</v>
      </c>
      <c r="AN595" s="1">
        <v>75.0</v>
      </c>
      <c r="AO595" s="1">
        <v>11.0</v>
      </c>
      <c r="AP595" s="1">
        <v>0.193158</v>
      </c>
      <c r="AQ595" s="1">
        <v>0.138387</v>
      </c>
      <c r="AR595" s="1">
        <v>0.112934</v>
      </c>
      <c r="AS595" s="1">
        <v>0.448799</v>
      </c>
      <c r="AT595" s="1">
        <v>17850.0</v>
      </c>
      <c r="AU595" s="1">
        <v>3842.0</v>
      </c>
      <c r="AV595" s="1">
        <v>0.129807</v>
      </c>
      <c r="AW595" s="1">
        <v>0.201379</v>
      </c>
      <c r="AX595" s="1">
        <v>0.12574</v>
      </c>
      <c r="AY595" s="1">
        <v>0.309996</v>
      </c>
      <c r="AZ595" s="1">
        <v>0.17948717</v>
      </c>
      <c r="BA595" s="1">
        <v>0.096133</v>
      </c>
      <c r="BB595" s="1">
        <v>0.004486</v>
      </c>
      <c r="BC595" s="1">
        <v>0.198294</v>
      </c>
      <c r="BD595" s="1">
        <v>0.016713</v>
      </c>
      <c r="BE595" s="1">
        <v>0.152268</v>
      </c>
      <c r="BF595" s="1">
        <v>0.039925</v>
      </c>
      <c r="BG595" s="1">
        <v>0.037925</v>
      </c>
      <c r="BH595" s="1">
        <v>0.031218</v>
      </c>
      <c r="BI595" s="1">
        <v>0.118796</v>
      </c>
      <c r="BJ595" s="1">
        <v>0.116817</v>
      </c>
      <c r="BK595" s="1">
        <v>0.074749</v>
      </c>
      <c r="BL595" s="1">
        <v>0.003831</v>
      </c>
      <c r="BM595" s="1">
        <v>0.711</v>
      </c>
      <c r="BN595" s="1">
        <v>0.795</v>
      </c>
      <c r="BO595" s="1">
        <v>0.7365</v>
      </c>
      <c r="BP595" s="1">
        <v>0.469</v>
      </c>
      <c r="BQ595" s="1">
        <v>2.7115</v>
      </c>
      <c r="BR595" s="1">
        <v>0.7271</v>
      </c>
      <c r="BS595" s="1">
        <v>0.386</v>
      </c>
      <c r="BT595" s="1">
        <v>0.947</v>
      </c>
      <c r="BU595" s="1">
        <v>0.865</v>
      </c>
      <c r="BV595" s="1">
        <v>2.198</v>
      </c>
      <c r="BW595" s="1">
        <v>0.962</v>
      </c>
      <c r="BX595" s="1">
        <v>0.456</v>
      </c>
      <c r="BY595" s="1">
        <v>0.535</v>
      </c>
      <c r="BZ595" s="1">
        <v>0.991</v>
      </c>
      <c r="CA595" s="1">
        <v>0.553</v>
      </c>
      <c r="CB595" s="1">
        <v>0.438</v>
      </c>
      <c r="CC595" s="1">
        <v>0.578</v>
      </c>
      <c r="CD595" s="1">
        <v>0.823</v>
      </c>
      <c r="CE595" s="1">
        <v>0.798</v>
      </c>
      <c r="CF595" s="1">
        <v>0.491</v>
      </c>
      <c r="CG595" s="1">
        <v>3.128</v>
      </c>
      <c r="CH595" s="1">
        <v>0.824</v>
      </c>
      <c r="CI595" s="1">
        <v>9.0285</v>
      </c>
      <c r="CJ595" s="1">
        <v>0.8563</v>
      </c>
      <c r="CK595" s="1">
        <v>0.0</v>
      </c>
      <c r="CL595" s="1">
        <v>0.0</v>
      </c>
      <c r="CM595" s="1">
        <v>0.0</v>
      </c>
      <c r="CN595" s="1">
        <v>0.0</v>
      </c>
      <c r="CO595" s="1">
        <v>0.0</v>
      </c>
      <c r="CP595" s="1">
        <v>0.0</v>
      </c>
      <c r="CQ595" s="1">
        <v>1.0</v>
      </c>
      <c r="CR595" s="1">
        <v>0.0</v>
      </c>
      <c r="CS595" s="1">
        <v>1.0</v>
      </c>
      <c r="CT595" s="1">
        <v>0.0</v>
      </c>
      <c r="CU595" s="1">
        <v>0.0</v>
      </c>
      <c r="CV595" s="1">
        <v>0.0</v>
      </c>
      <c r="CW595" s="1">
        <v>0.0</v>
      </c>
      <c r="CX595" s="1">
        <v>0.0</v>
      </c>
      <c r="CY595" s="1">
        <v>0.0</v>
      </c>
      <c r="CZ595" s="1">
        <v>0.0</v>
      </c>
      <c r="DA595" s="1">
        <v>0.0</v>
      </c>
      <c r="DB595" s="1">
        <v>0.0</v>
      </c>
      <c r="DC595" s="1">
        <v>1.0</v>
      </c>
      <c r="DD595" s="1" t="s">
        <v>2847</v>
      </c>
      <c r="DE595" s="1">
        <v>8.59545961576342E-4</v>
      </c>
      <c r="DF595" s="2" t="s">
        <v>2848</v>
      </c>
    </row>
    <row r="596" ht="15.75" customHeight="1">
      <c r="A596" s="1" t="s">
        <v>2849</v>
      </c>
      <c r="B596" s="1">
        <v>29.0</v>
      </c>
      <c r="C596" s="2" t="s">
        <v>2039</v>
      </c>
      <c r="D596" s="2" t="s">
        <v>2850</v>
      </c>
      <c r="E596" s="1">
        <v>6.197</v>
      </c>
      <c r="F596" s="1">
        <v>29095.0</v>
      </c>
      <c r="G596" s="1">
        <v>2.9095014005E10</v>
      </c>
      <c r="H596" s="1" t="s">
        <v>112</v>
      </c>
      <c r="I596" s="1" t="s">
        <v>113</v>
      </c>
      <c r="J596" s="1" t="s">
        <v>2041</v>
      </c>
      <c r="K596" s="1" t="s">
        <v>2851</v>
      </c>
      <c r="L596" s="1">
        <v>5278.0</v>
      </c>
      <c r="M596" s="1">
        <v>5208.0</v>
      </c>
      <c r="N596" s="1">
        <v>308.0</v>
      </c>
      <c r="O596" s="1">
        <v>1943.0</v>
      </c>
      <c r="P596" s="1">
        <v>1855.0</v>
      </c>
      <c r="Q596" s="1">
        <v>135.0</v>
      </c>
      <c r="R596" s="1">
        <v>1827.0</v>
      </c>
      <c r="S596" s="1">
        <v>428.0</v>
      </c>
      <c r="T596" s="1">
        <v>231.0</v>
      </c>
      <c r="U596" s="1">
        <v>192.0</v>
      </c>
      <c r="V596" s="1">
        <v>438.0</v>
      </c>
      <c r="W596" s="1">
        <v>22856.0</v>
      </c>
      <c r="X596" s="1">
        <v>2080.0</v>
      </c>
      <c r="Y596" s="1">
        <v>504.0</v>
      </c>
      <c r="Z596" s="1">
        <v>306.0</v>
      </c>
      <c r="AA596" s="1">
        <v>616.0</v>
      </c>
      <c r="AB596" s="1">
        <v>1560.0</v>
      </c>
      <c r="AC596" s="1">
        <v>275.0</v>
      </c>
      <c r="AD596" s="1">
        <v>331.0</v>
      </c>
      <c r="AE596" s="1">
        <v>0.0</v>
      </c>
      <c r="AF596" s="1">
        <v>456.0</v>
      </c>
      <c r="AG596" s="1">
        <v>41.0</v>
      </c>
      <c r="AH596" s="1">
        <v>165.0</v>
      </c>
      <c r="AI596" s="1">
        <v>29.0</v>
      </c>
      <c r="AJ596" s="1">
        <v>48.0</v>
      </c>
      <c r="AK596" s="1">
        <v>0.0</v>
      </c>
      <c r="AL596" s="1">
        <v>161.0</v>
      </c>
      <c r="AM596" s="1">
        <v>26.0</v>
      </c>
      <c r="AN596" s="1">
        <v>30.0</v>
      </c>
      <c r="AO596" s="1">
        <v>86.0</v>
      </c>
      <c r="AP596" s="1">
        <v>0.082181</v>
      </c>
      <c r="AQ596" s="1">
        <v>0.044087</v>
      </c>
      <c r="AR596" s="1">
        <v>0.075353</v>
      </c>
      <c r="AS596" s="1">
        <v>0.171608</v>
      </c>
      <c r="AT596" s="1">
        <v>22856.0</v>
      </c>
      <c r="AU596" s="1">
        <v>2080.0</v>
      </c>
      <c r="AV596" s="1">
        <v>0.159695</v>
      </c>
      <c r="AW596" s="1">
        <v>0.096269</v>
      </c>
      <c r="AX596" s="1">
        <v>0.11671</v>
      </c>
      <c r="AY596" s="1">
        <v>0.295566</v>
      </c>
      <c r="AZ596" s="1">
        <v>0.15051997</v>
      </c>
      <c r="BA596" s="1">
        <v>0.062713</v>
      </c>
      <c r="BB596" s="1">
        <v>0.0</v>
      </c>
      <c r="BC596" s="1">
        <v>0.092682</v>
      </c>
      <c r="BD596" s="1">
        <v>0.022102</v>
      </c>
      <c r="BE596" s="1">
        <v>0.088934</v>
      </c>
      <c r="BF596" s="1">
        <v>0.015633</v>
      </c>
      <c r="BG596" s="1">
        <v>0.02585</v>
      </c>
      <c r="BH596" s="1">
        <v>0.0</v>
      </c>
      <c r="BI596" s="1">
        <v>0.095833</v>
      </c>
      <c r="BJ596" s="1">
        <v>0.015476</v>
      </c>
      <c r="BK596" s="1">
        <v>0.017823</v>
      </c>
      <c r="BL596" s="1">
        <v>0.016294</v>
      </c>
      <c r="BM596" s="1">
        <v>0.299</v>
      </c>
      <c r="BN596" s="1">
        <v>0.564</v>
      </c>
      <c r="BO596" s="1">
        <v>0.4527</v>
      </c>
      <c r="BP596" s="1">
        <v>0.611</v>
      </c>
      <c r="BQ596" s="1">
        <v>1.9267</v>
      </c>
      <c r="BR596" s="1">
        <v>0.47</v>
      </c>
      <c r="BS596" s="1">
        <v>0.32</v>
      </c>
      <c r="BT596" s="1">
        <v>0.907</v>
      </c>
      <c r="BU596" s="1">
        <v>0.797</v>
      </c>
      <c r="BV596" s="1">
        <v>2.024</v>
      </c>
      <c r="BW596" s="1">
        <v>0.873</v>
      </c>
      <c r="BX596" s="1">
        <v>0.327</v>
      </c>
      <c r="BY596" s="1">
        <v>0.0</v>
      </c>
      <c r="BZ596" s="1">
        <v>0.327</v>
      </c>
      <c r="CA596" s="1">
        <v>0.141</v>
      </c>
      <c r="CB596" s="1">
        <v>0.493</v>
      </c>
      <c r="CC596" s="1">
        <v>0.492</v>
      </c>
      <c r="CD596" s="1">
        <v>0.0</v>
      </c>
      <c r="CE596" s="1">
        <v>0.141</v>
      </c>
      <c r="CF596" s="1">
        <v>0.663</v>
      </c>
      <c r="CG596" s="1">
        <v>1.789</v>
      </c>
      <c r="CH596" s="1">
        <v>0.264</v>
      </c>
      <c r="CI596" s="1">
        <v>6.0667</v>
      </c>
      <c r="CJ596" s="1">
        <v>0.3841</v>
      </c>
      <c r="CK596" s="1">
        <v>0.0</v>
      </c>
      <c r="CL596" s="1">
        <v>0.0</v>
      </c>
      <c r="CM596" s="1">
        <v>0.0</v>
      </c>
      <c r="CN596" s="1">
        <v>0.0</v>
      </c>
      <c r="CO596" s="1">
        <v>0.0</v>
      </c>
      <c r="CP596" s="1">
        <v>0.0</v>
      </c>
      <c r="CQ596" s="1">
        <v>1.0</v>
      </c>
      <c r="CR596" s="1">
        <v>0.0</v>
      </c>
      <c r="CS596" s="1">
        <v>1.0</v>
      </c>
      <c r="CT596" s="1">
        <v>0.0</v>
      </c>
      <c r="CU596" s="1">
        <v>0.0</v>
      </c>
      <c r="CV596" s="1">
        <v>0.0</v>
      </c>
      <c r="CW596" s="1">
        <v>0.0</v>
      </c>
      <c r="CX596" s="1">
        <v>0.0</v>
      </c>
      <c r="CY596" s="1">
        <v>0.0</v>
      </c>
      <c r="CZ596" s="1">
        <v>0.0</v>
      </c>
      <c r="DA596" s="1">
        <v>0.0</v>
      </c>
      <c r="DB596" s="1">
        <v>0.0</v>
      </c>
      <c r="DC596" s="1">
        <v>1.0</v>
      </c>
      <c r="DD596" s="1" t="s">
        <v>2852</v>
      </c>
      <c r="DE596" s="1">
        <v>0.00167005259376396</v>
      </c>
      <c r="DF596" s="2" t="s">
        <v>2853</v>
      </c>
    </row>
    <row r="597" ht="15.75" customHeight="1">
      <c r="A597" s="1" t="s">
        <v>2854</v>
      </c>
      <c r="B597" s="1">
        <v>29.0</v>
      </c>
      <c r="C597" s="2" t="s">
        <v>2039</v>
      </c>
      <c r="D597" s="2" t="s">
        <v>2855</v>
      </c>
      <c r="E597" s="1">
        <v>3.466</v>
      </c>
      <c r="F597" s="1">
        <v>29095.0</v>
      </c>
      <c r="G597" s="1">
        <v>2.9095014007E10</v>
      </c>
      <c r="H597" s="1" t="s">
        <v>112</v>
      </c>
      <c r="I597" s="1" t="s">
        <v>113</v>
      </c>
      <c r="J597" s="1" t="s">
        <v>2041</v>
      </c>
      <c r="K597" s="1" t="s">
        <v>2856</v>
      </c>
      <c r="L597" s="1">
        <v>5636.0</v>
      </c>
      <c r="M597" s="1">
        <v>4194.0</v>
      </c>
      <c r="N597" s="1">
        <v>380.0</v>
      </c>
      <c r="O597" s="1">
        <v>2274.0</v>
      </c>
      <c r="P597" s="1">
        <v>1869.0</v>
      </c>
      <c r="Q597" s="1">
        <v>137.0</v>
      </c>
      <c r="R597" s="1">
        <v>2068.0</v>
      </c>
      <c r="S597" s="1">
        <v>355.0</v>
      </c>
      <c r="T597" s="1">
        <v>230.0</v>
      </c>
      <c r="U597" s="1">
        <v>92.0</v>
      </c>
      <c r="V597" s="1">
        <v>446.0</v>
      </c>
      <c r="W597" s="1">
        <v>24232.0</v>
      </c>
      <c r="X597" s="1">
        <v>2599.0</v>
      </c>
      <c r="Y597" s="1">
        <v>216.0</v>
      </c>
      <c r="Z597" s="1">
        <v>322.0</v>
      </c>
      <c r="AA597" s="1">
        <v>384.0</v>
      </c>
      <c r="AB597" s="1">
        <v>1757.0</v>
      </c>
      <c r="AC597" s="1">
        <v>366.0</v>
      </c>
      <c r="AD597" s="1">
        <v>646.0</v>
      </c>
      <c r="AE597" s="1">
        <v>0.0</v>
      </c>
      <c r="AF597" s="1">
        <v>456.0</v>
      </c>
      <c r="AG597" s="1">
        <v>15.0</v>
      </c>
      <c r="AH597" s="1">
        <v>163.0</v>
      </c>
      <c r="AI597" s="1">
        <v>17.0</v>
      </c>
      <c r="AJ597" s="1">
        <v>27.0</v>
      </c>
      <c r="AK597" s="1">
        <v>49.0</v>
      </c>
      <c r="AL597" s="1">
        <v>125.0</v>
      </c>
      <c r="AM597" s="1">
        <v>0.0</v>
      </c>
      <c r="AN597" s="1">
        <v>161.0</v>
      </c>
      <c r="AO597" s="1">
        <v>18.0</v>
      </c>
      <c r="AP597" s="1">
        <v>0.08548</v>
      </c>
      <c r="AQ597" s="1">
        <v>0.054855</v>
      </c>
      <c r="AR597" s="1">
        <v>0.04295</v>
      </c>
      <c r="AS597" s="1">
        <v>0.208128</v>
      </c>
      <c r="AT597" s="1">
        <v>24232.0</v>
      </c>
      <c r="AU597" s="1">
        <v>2599.0</v>
      </c>
      <c r="AV597" s="1">
        <v>0.084606</v>
      </c>
      <c r="AW597" s="1">
        <v>0.125789</v>
      </c>
      <c r="AX597" s="1">
        <v>0.068133</v>
      </c>
      <c r="AY597" s="1">
        <v>0.311745</v>
      </c>
      <c r="AZ597" s="1">
        <v>0.17698259</v>
      </c>
      <c r="BA597" s="1">
        <v>0.11462</v>
      </c>
      <c r="BB597" s="1">
        <v>0.0</v>
      </c>
      <c r="BC597" s="1">
        <v>0.124488</v>
      </c>
      <c r="BD597" s="1">
        <v>0.008025</v>
      </c>
      <c r="BE597" s="1">
        <v>0.08721</v>
      </c>
      <c r="BF597" s="1">
        <v>0.009095</v>
      </c>
      <c r="BG597" s="1">
        <v>0.01443</v>
      </c>
      <c r="BH597" s="1">
        <v>0.029253</v>
      </c>
      <c r="BI597" s="1">
        <v>0.074589</v>
      </c>
      <c r="BJ597" s="1">
        <v>0.0</v>
      </c>
      <c r="BK597" s="1">
        <v>0.096119</v>
      </c>
      <c r="BL597" s="1">
        <v>0.003193</v>
      </c>
      <c r="BM597" s="1">
        <v>0.317</v>
      </c>
      <c r="BN597" s="1">
        <v>0.22</v>
      </c>
      <c r="BO597" s="1">
        <v>0.3841</v>
      </c>
      <c r="BP597" s="1">
        <v>0.267</v>
      </c>
      <c r="BQ597" s="1">
        <v>1.1881</v>
      </c>
      <c r="BR597" s="1">
        <v>0.252</v>
      </c>
      <c r="BS597" s="1">
        <v>0.079</v>
      </c>
      <c r="BT597" s="1">
        <v>0.952</v>
      </c>
      <c r="BU597" s="1">
        <v>0.86</v>
      </c>
      <c r="BV597" s="1">
        <v>1.891</v>
      </c>
      <c r="BW597" s="1">
        <v>0.797</v>
      </c>
      <c r="BX597" s="1">
        <v>0.52</v>
      </c>
      <c r="BY597" s="1">
        <v>0.0</v>
      </c>
      <c r="BZ597" s="1">
        <v>0.52</v>
      </c>
      <c r="CA597" s="1">
        <v>0.221</v>
      </c>
      <c r="CB597" s="1">
        <v>0.362</v>
      </c>
      <c r="CC597" s="1">
        <v>0.454</v>
      </c>
      <c r="CD597" s="1">
        <v>0.796</v>
      </c>
      <c r="CE597" s="1">
        <v>0.0</v>
      </c>
      <c r="CF597" s="1">
        <v>0.48</v>
      </c>
      <c r="CG597" s="1">
        <v>2.092</v>
      </c>
      <c r="CH597" s="1">
        <v>0.379</v>
      </c>
      <c r="CI597" s="1">
        <v>5.6911</v>
      </c>
      <c r="CJ597" s="1">
        <v>0.3184</v>
      </c>
      <c r="CK597" s="1">
        <v>0.0</v>
      </c>
      <c r="CL597" s="1">
        <v>0.0</v>
      </c>
      <c r="CM597" s="1">
        <v>0.0</v>
      </c>
      <c r="CN597" s="1">
        <v>0.0</v>
      </c>
      <c r="CO597" s="1">
        <v>0.0</v>
      </c>
      <c r="CP597" s="1">
        <v>0.0</v>
      </c>
      <c r="CQ597" s="1">
        <v>1.0</v>
      </c>
      <c r="CR597" s="1">
        <v>0.0</v>
      </c>
      <c r="CS597" s="1">
        <v>1.0</v>
      </c>
      <c r="CT597" s="1">
        <v>0.0</v>
      </c>
      <c r="CU597" s="1">
        <v>0.0</v>
      </c>
      <c r="CV597" s="1">
        <v>0.0</v>
      </c>
      <c r="CW597" s="1">
        <v>0.0</v>
      </c>
      <c r="CX597" s="1">
        <v>0.0</v>
      </c>
      <c r="CY597" s="1">
        <v>0.0</v>
      </c>
      <c r="CZ597" s="1">
        <v>0.0</v>
      </c>
      <c r="DA597" s="1">
        <v>0.0</v>
      </c>
      <c r="DB597" s="1">
        <v>0.0</v>
      </c>
      <c r="DC597" s="1">
        <v>1.0</v>
      </c>
      <c r="DD597" s="1" t="s">
        <v>2857</v>
      </c>
      <c r="DE597" s="1">
        <v>9.38050327755318E-4</v>
      </c>
      <c r="DF597" s="2" t="s">
        <v>2858</v>
      </c>
    </row>
    <row r="598" ht="15.75" customHeight="1">
      <c r="A598" s="1" t="s">
        <v>2859</v>
      </c>
      <c r="B598" s="1">
        <v>29.0</v>
      </c>
      <c r="C598" s="2" t="s">
        <v>2039</v>
      </c>
      <c r="D598" s="2" t="s">
        <v>2860</v>
      </c>
      <c r="E598" s="1">
        <v>2.316</v>
      </c>
      <c r="F598" s="1">
        <v>29095.0</v>
      </c>
      <c r="G598" s="1">
        <v>2.9095014114E10</v>
      </c>
      <c r="H598" s="1" t="s">
        <v>112</v>
      </c>
      <c r="I598" s="1" t="s">
        <v>113</v>
      </c>
      <c r="J598" s="1" t="s">
        <v>2041</v>
      </c>
      <c r="K598" s="1" t="s">
        <v>2861</v>
      </c>
      <c r="L598" s="1">
        <v>7219.0</v>
      </c>
      <c r="M598" s="1">
        <v>7085.0</v>
      </c>
      <c r="N598" s="1">
        <v>339.0</v>
      </c>
      <c r="O598" s="1">
        <v>2790.0</v>
      </c>
      <c r="P598" s="1">
        <v>2778.0</v>
      </c>
      <c r="Q598" s="1">
        <v>76.0</v>
      </c>
      <c r="R598" s="1">
        <v>2638.0</v>
      </c>
      <c r="S598" s="1">
        <v>587.0</v>
      </c>
      <c r="T598" s="1">
        <v>309.0</v>
      </c>
      <c r="U598" s="1">
        <v>48.0</v>
      </c>
      <c r="V598" s="1">
        <v>486.0</v>
      </c>
      <c r="W598" s="1">
        <v>30913.0</v>
      </c>
      <c r="X598" s="1">
        <v>2608.0</v>
      </c>
      <c r="Y598" s="1">
        <v>239.0</v>
      </c>
      <c r="Z598" s="1">
        <v>299.0</v>
      </c>
      <c r="AA598" s="1">
        <v>717.0</v>
      </c>
      <c r="AB598" s="1">
        <v>1968.0</v>
      </c>
      <c r="AC598" s="1">
        <v>312.0</v>
      </c>
      <c r="AD598" s="1">
        <v>954.0</v>
      </c>
      <c r="AE598" s="1">
        <v>0.0</v>
      </c>
      <c r="AF598" s="1">
        <v>456.0</v>
      </c>
      <c r="AG598" s="1">
        <v>80.0</v>
      </c>
      <c r="AH598" s="1">
        <v>179.0</v>
      </c>
      <c r="AI598" s="1">
        <v>0.0</v>
      </c>
      <c r="AJ598" s="1">
        <v>114.0</v>
      </c>
      <c r="AK598" s="1">
        <v>37.0</v>
      </c>
      <c r="AL598" s="1">
        <v>121.0</v>
      </c>
      <c r="AM598" s="1">
        <v>39.0</v>
      </c>
      <c r="AN598" s="1">
        <v>37.0</v>
      </c>
      <c r="AO598" s="1">
        <v>0.0</v>
      </c>
      <c r="AP598" s="1">
        <v>0.082851</v>
      </c>
      <c r="AQ598" s="1">
        <v>0.043432</v>
      </c>
      <c r="AR598" s="1">
        <v>0.012164</v>
      </c>
      <c r="AS598" s="1">
        <v>0.123155</v>
      </c>
      <c r="AT598" s="1">
        <v>30913.0</v>
      </c>
      <c r="AU598" s="1">
        <v>2608.0</v>
      </c>
      <c r="AV598" s="1">
        <v>0.051309</v>
      </c>
      <c r="AW598" s="1">
        <v>0.064144</v>
      </c>
      <c r="AX598" s="1">
        <v>0.099321</v>
      </c>
      <c r="AY598" s="1">
        <v>0.272613</v>
      </c>
      <c r="AZ598" s="1">
        <v>0.11827141</v>
      </c>
      <c r="BA598" s="1">
        <v>0.132151</v>
      </c>
      <c r="BB598" s="1">
        <v>0.0</v>
      </c>
      <c r="BC598" s="1">
        <v>0.068304</v>
      </c>
      <c r="BD598" s="1">
        <v>0.028797</v>
      </c>
      <c r="BE598" s="1">
        <v>0.06443</v>
      </c>
      <c r="BF598" s="1">
        <v>0.0</v>
      </c>
      <c r="BG598" s="1">
        <v>0.041036</v>
      </c>
      <c r="BH598" s="1">
        <v>0.013935</v>
      </c>
      <c r="BI598" s="1">
        <v>0.04557</v>
      </c>
      <c r="BJ598" s="1">
        <v>0.014689</v>
      </c>
      <c r="BK598" s="1">
        <v>0.013921</v>
      </c>
      <c r="BL598" s="1">
        <v>0.0</v>
      </c>
      <c r="BM598" s="1">
        <v>0.304</v>
      </c>
      <c r="BN598" s="1">
        <v>0.01</v>
      </c>
      <c r="BO598" s="1">
        <v>0.1776</v>
      </c>
      <c r="BP598" s="1">
        <v>0.13</v>
      </c>
      <c r="BQ598" s="1">
        <v>0.6216</v>
      </c>
      <c r="BR598" s="1">
        <v>0.1032</v>
      </c>
      <c r="BS598" s="1">
        <v>0.208</v>
      </c>
      <c r="BT598" s="1">
        <v>0.808</v>
      </c>
      <c r="BU598" s="1">
        <v>0.658</v>
      </c>
      <c r="BV598" s="1">
        <v>1.674</v>
      </c>
      <c r="BW598" s="1">
        <v>0.621</v>
      </c>
      <c r="BX598" s="1">
        <v>0.567</v>
      </c>
      <c r="BY598" s="1">
        <v>0.0</v>
      </c>
      <c r="BZ598" s="1">
        <v>0.567</v>
      </c>
      <c r="CA598" s="1">
        <v>0.251</v>
      </c>
      <c r="CB598" s="1">
        <v>0.543</v>
      </c>
      <c r="CC598" s="1">
        <v>0.0</v>
      </c>
      <c r="CD598" s="1">
        <v>0.567</v>
      </c>
      <c r="CE598" s="1">
        <v>0.129</v>
      </c>
      <c r="CF598" s="1">
        <v>0.0</v>
      </c>
      <c r="CG598" s="1">
        <v>1.239</v>
      </c>
      <c r="CH598" s="1">
        <v>0.117</v>
      </c>
      <c r="CI598" s="1">
        <v>4.1016</v>
      </c>
      <c r="CJ598" s="1">
        <v>0.0946</v>
      </c>
      <c r="CK598" s="1">
        <v>0.0</v>
      </c>
      <c r="CL598" s="1">
        <v>0.0</v>
      </c>
      <c r="CM598" s="1">
        <v>0.0</v>
      </c>
      <c r="CN598" s="1">
        <v>0.0</v>
      </c>
      <c r="CO598" s="1">
        <v>0.0</v>
      </c>
      <c r="CP598" s="1">
        <v>0.0</v>
      </c>
      <c r="CQ598" s="1">
        <v>0.0</v>
      </c>
      <c r="CR598" s="1">
        <v>0.0</v>
      </c>
      <c r="CS598" s="1">
        <v>0.0</v>
      </c>
      <c r="CT598" s="1">
        <v>0.0</v>
      </c>
      <c r="CU598" s="1">
        <v>0.0</v>
      </c>
      <c r="CV598" s="1">
        <v>0.0</v>
      </c>
      <c r="CW598" s="1">
        <v>0.0</v>
      </c>
      <c r="CX598" s="1">
        <v>0.0</v>
      </c>
      <c r="CY598" s="1">
        <v>0.0</v>
      </c>
      <c r="CZ598" s="1">
        <v>0.0</v>
      </c>
      <c r="DA598" s="1">
        <v>0.0</v>
      </c>
      <c r="DB598" s="1">
        <v>0.0</v>
      </c>
      <c r="DC598" s="1">
        <v>0.0</v>
      </c>
      <c r="DD598" s="1" t="s">
        <v>2862</v>
      </c>
      <c r="DE598" s="1">
        <v>6.24555867074143E-4</v>
      </c>
      <c r="DF598" s="2" t="s">
        <v>2863</v>
      </c>
    </row>
    <row r="599" ht="15.75" customHeight="1">
      <c r="A599" s="1" t="s">
        <v>2864</v>
      </c>
      <c r="B599" s="1">
        <v>29.0</v>
      </c>
      <c r="C599" s="2" t="s">
        <v>2039</v>
      </c>
      <c r="D599" s="2" t="s">
        <v>2865</v>
      </c>
      <c r="E599" s="1">
        <v>4.327</v>
      </c>
      <c r="F599" s="1">
        <v>29095.0</v>
      </c>
      <c r="G599" s="1">
        <v>2.909501412E10</v>
      </c>
      <c r="H599" s="1" t="s">
        <v>112</v>
      </c>
      <c r="I599" s="1" t="s">
        <v>113</v>
      </c>
      <c r="J599" s="1" t="s">
        <v>2041</v>
      </c>
      <c r="K599" s="1" t="s">
        <v>2866</v>
      </c>
      <c r="L599" s="1">
        <v>2771.0</v>
      </c>
      <c r="M599" s="1">
        <v>2672.0</v>
      </c>
      <c r="N599" s="1">
        <v>199.0</v>
      </c>
      <c r="O599" s="1">
        <v>1048.0</v>
      </c>
      <c r="P599" s="1">
        <v>1027.0</v>
      </c>
      <c r="Q599" s="1">
        <v>29.0</v>
      </c>
      <c r="R599" s="1">
        <v>1010.0</v>
      </c>
      <c r="S599" s="1">
        <v>89.0</v>
      </c>
      <c r="T599" s="1">
        <v>119.0</v>
      </c>
      <c r="U599" s="1">
        <v>75.0</v>
      </c>
      <c r="V599" s="1">
        <v>461.0</v>
      </c>
      <c r="W599" s="1">
        <v>40920.0</v>
      </c>
      <c r="X599" s="1">
        <v>9952.0</v>
      </c>
      <c r="Y599" s="1">
        <v>105.0</v>
      </c>
      <c r="Z599" s="1">
        <v>387.0</v>
      </c>
      <c r="AA599" s="1">
        <v>259.0</v>
      </c>
      <c r="AB599" s="1">
        <v>742.0</v>
      </c>
      <c r="AC599" s="1">
        <v>104.0</v>
      </c>
      <c r="AD599" s="1">
        <v>373.0</v>
      </c>
      <c r="AE599" s="1">
        <v>0.0</v>
      </c>
      <c r="AF599" s="1">
        <v>456.0</v>
      </c>
      <c r="AG599" s="1">
        <v>0.0</v>
      </c>
      <c r="AH599" s="1">
        <v>197.0</v>
      </c>
      <c r="AI599" s="1">
        <v>0.0</v>
      </c>
      <c r="AJ599" s="1">
        <v>114.0</v>
      </c>
      <c r="AK599" s="1">
        <v>5.0</v>
      </c>
      <c r="AL599" s="1">
        <v>115.0</v>
      </c>
      <c r="AM599" s="1">
        <v>13.0</v>
      </c>
      <c r="AN599" s="1">
        <v>116.0</v>
      </c>
      <c r="AO599" s="1">
        <v>7.0</v>
      </c>
      <c r="AP599" s="1">
        <v>0.033308</v>
      </c>
      <c r="AQ599" s="1">
        <v>0.044466</v>
      </c>
      <c r="AR599" s="1">
        <v>0.052011</v>
      </c>
      <c r="AS599" s="1">
        <v>0.319555</v>
      </c>
      <c r="AT599" s="1">
        <v>40920.0</v>
      </c>
      <c r="AU599" s="1">
        <v>9952.0</v>
      </c>
      <c r="AV599" s="1">
        <v>0.059965</v>
      </c>
      <c r="AW599" s="1">
        <v>0.220968</v>
      </c>
      <c r="AX599" s="1">
        <v>0.093468</v>
      </c>
      <c r="AY599" s="1">
        <v>0.267773</v>
      </c>
      <c r="AZ599" s="1">
        <v>0.10297029</v>
      </c>
      <c r="BA599" s="1">
        <v>0.134608</v>
      </c>
      <c r="BB599" s="1">
        <v>0.0</v>
      </c>
      <c r="BC599" s="1">
        <v>0.176744</v>
      </c>
      <c r="BD599" s="1">
        <v>0.0</v>
      </c>
      <c r="BE599" s="1">
        <v>0.19182</v>
      </c>
      <c r="BF599" s="1">
        <v>0.0</v>
      </c>
      <c r="BG599" s="1">
        <v>0.111002</v>
      </c>
      <c r="BH599" s="1">
        <v>0.005091</v>
      </c>
      <c r="BI599" s="1">
        <v>0.117107</v>
      </c>
      <c r="BJ599" s="1">
        <v>0.013238</v>
      </c>
      <c r="BK599" s="1">
        <v>0.118124</v>
      </c>
      <c r="BL599" s="1">
        <v>0.002526</v>
      </c>
      <c r="BM599" s="1">
        <v>0.098</v>
      </c>
      <c r="BN599" s="1">
        <v>0.317</v>
      </c>
      <c r="BO599" s="1">
        <v>0.0585</v>
      </c>
      <c r="BP599" s="1">
        <v>0.169</v>
      </c>
      <c r="BQ599" s="1">
        <v>0.6425</v>
      </c>
      <c r="BR599" s="1">
        <v>0.1083</v>
      </c>
      <c r="BS599" s="1">
        <v>0.177</v>
      </c>
      <c r="BT599" s="1">
        <v>0.774</v>
      </c>
      <c r="BU599" s="1">
        <v>0.52</v>
      </c>
      <c r="BV599" s="1">
        <v>1.471</v>
      </c>
      <c r="BW599" s="1">
        <v>0.454</v>
      </c>
      <c r="BX599" s="1">
        <v>0.574</v>
      </c>
      <c r="BY599" s="1">
        <v>0.0</v>
      </c>
      <c r="BZ599" s="1">
        <v>0.574</v>
      </c>
      <c r="CA599" s="1">
        <v>0.256</v>
      </c>
      <c r="CB599" s="1">
        <v>0.0</v>
      </c>
      <c r="CC599" s="1">
        <v>0.0</v>
      </c>
      <c r="CD599" s="1">
        <v>0.337</v>
      </c>
      <c r="CE599" s="1">
        <v>0.117</v>
      </c>
      <c r="CF599" s="1">
        <v>0.461</v>
      </c>
      <c r="CG599" s="1">
        <v>0.915</v>
      </c>
      <c r="CH599" s="1">
        <v>0.068</v>
      </c>
      <c r="CI599" s="1">
        <v>3.6025</v>
      </c>
      <c r="CJ599" s="1">
        <v>0.0484</v>
      </c>
      <c r="CK599" s="1">
        <v>0.0</v>
      </c>
      <c r="CL599" s="1">
        <v>0.0</v>
      </c>
      <c r="CM599" s="1">
        <v>0.0</v>
      </c>
      <c r="CN599" s="1">
        <v>0.0</v>
      </c>
      <c r="CO599" s="1">
        <v>0.0</v>
      </c>
      <c r="CP599" s="1">
        <v>0.0</v>
      </c>
      <c r="CQ599" s="1">
        <v>0.0</v>
      </c>
      <c r="CR599" s="1">
        <v>0.0</v>
      </c>
      <c r="CS599" s="1">
        <v>0.0</v>
      </c>
      <c r="CT599" s="1">
        <v>0.0</v>
      </c>
      <c r="CU599" s="1">
        <v>0.0</v>
      </c>
      <c r="CV599" s="1">
        <v>0.0</v>
      </c>
      <c r="CW599" s="1">
        <v>0.0</v>
      </c>
      <c r="CX599" s="1">
        <v>0.0</v>
      </c>
      <c r="CY599" s="1">
        <v>0.0</v>
      </c>
      <c r="CZ599" s="1">
        <v>0.0</v>
      </c>
      <c r="DA599" s="1">
        <v>0.0</v>
      </c>
      <c r="DB599" s="1">
        <v>0.0</v>
      </c>
      <c r="DC599" s="1">
        <v>0.0</v>
      </c>
      <c r="DD599" s="1" t="s">
        <v>2867</v>
      </c>
      <c r="DE599" s="1">
        <v>0.00116059140089584</v>
      </c>
      <c r="DF599" s="2" t="s">
        <v>2868</v>
      </c>
    </row>
    <row r="600" ht="15.75" customHeight="1">
      <c r="A600" s="1" t="s">
        <v>2869</v>
      </c>
      <c r="B600" s="1">
        <v>29.0</v>
      </c>
      <c r="C600" s="2" t="s">
        <v>2039</v>
      </c>
      <c r="D600" s="2" t="s">
        <v>2870</v>
      </c>
      <c r="E600" s="1">
        <v>2.577</v>
      </c>
      <c r="F600" s="1">
        <v>29095.0</v>
      </c>
      <c r="G600" s="1">
        <v>2.9095014203E10</v>
      </c>
      <c r="H600" s="1" t="s">
        <v>112</v>
      </c>
      <c r="I600" s="1" t="s">
        <v>113</v>
      </c>
      <c r="J600" s="1" t="s">
        <v>2041</v>
      </c>
      <c r="K600" s="1" t="s">
        <v>2871</v>
      </c>
      <c r="L600" s="1">
        <v>4085.0</v>
      </c>
      <c r="M600" s="1">
        <v>4094.0</v>
      </c>
      <c r="N600" s="1">
        <v>310.0</v>
      </c>
      <c r="O600" s="1">
        <v>1562.0</v>
      </c>
      <c r="P600" s="1">
        <v>1563.0</v>
      </c>
      <c r="Q600" s="1">
        <v>56.0</v>
      </c>
      <c r="R600" s="1">
        <v>1509.0</v>
      </c>
      <c r="S600" s="1">
        <v>141.0</v>
      </c>
      <c r="T600" s="1">
        <v>91.0</v>
      </c>
      <c r="U600" s="1">
        <v>32.0</v>
      </c>
      <c r="V600" s="1">
        <v>471.0</v>
      </c>
      <c r="W600" s="1">
        <v>44278.0</v>
      </c>
      <c r="X600" s="1">
        <v>4636.0</v>
      </c>
      <c r="Y600" s="1">
        <v>82.0</v>
      </c>
      <c r="Z600" s="1">
        <v>364.0</v>
      </c>
      <c r="AA600" s="1">
        <v>263.0</v>
      </c>
      <c r="AB600" s="1">
        <v>1300.0</v>
      </c>
      <c r="AC600" s="1">
        <v>127.0</v>
      </c>
      <c r="AD600" s="1">
        <v>598.0</v>
      </c>
      <c r="AE600" s="1">
        <v>15.0</v>
      </c>
      <c r="AF600" s="1">
        <v>442.0</v>
      </c>
      <c r="AG600" s="1">
        <v>0.0</v>
      </c>
      <c r="AH600" s="1">
        <v>197.0</v>
      </c>
      <c r="AI600" s="1">
        <v>0.0</v>
      </c>
      <c r="AJ600" s="1">
        <v>114.0</v>
      </c>
      <c r="AK600" s="1">
        <v>0.0</v>
      </c>
      <c r="AL600" s="1">
        <v>161.0</v>
      </c>
      <c r="AM600" s="1">
        <v>0.0</v>
      </c>
      <c r="AN600" s="1">
        <v>161.0</v>
      </c>
      <c r="AO600" s="1">
        <v>0.0</v>
      </c>
      <c r="AP600" s="1">
        <v>0.03444</v>
      </c>
      <c r="AQ600" s="1">
        <v>0.022074</v>
      </c>
      <c r="AR600" s="1">
        <v>0.015245</v>
      </c>
      <c r="AS600" s="1">
        <v>0.224383</v>
      </c>
      <c r="AT600" s="1">
        <v>44278.0</v>
      </c>
      <c r="AU600" s="1">
        <v>4636.0</v>
      </c>
      <c r="AV600" s="1">
        <v>0.031931</v>
      </c>
      <c r="AW600" s="1">
        <v>0.141729</v>
      </c>
      <c r="AX600" s="1">
        <v>0.064381</v>
      </c>
      <c r="AY600" s="1">
        <v>0.318237</v>
      </c>
      <c r="AZ600" s="1">
        <v>0.08416169</v>
      </c>
      <c r="BA600" s="1">
        <v>0.146389</v>
      </c>
      <c r="BB600" s="1">
        <v>0.004035</v>
      </c>
      <c r="BC600" s="1">
        <v>0.118912</v>
      </c>
      <c r="BD600" s="1">
        <v>0.0</v>
      </c>
      <c r="BE600" s="1">
        <v>0.126039</v>
      </c>
      <c r="BF600" s="1">
        <v>0.0</v>
      </c>
      <c r="BG600" s="1">
        <v>0.072936</v>
      </c>
      <c r="BH600" s="1">
        <v>0.0</v>
      </c>
      <c r="BI600" s="1">
        <v>0.111495</v>
      </c>
      <c r="BJ600" s="1">
        <v>0.0</v>
      </c>
      <c r="BK600" s="1">
        <v>0.111495</v>
      </c>
      <c r="BL600" s="1">
        <v>0.0</v>
      </c>
      <c r="BM600" s="1">
        <v>0.102</v>
      </c>
      <c r="BN600" s="1">
        <v>0.017</v>
      </c>
      <c r="BO600" s="1">
        <v>0.0419</v>
      </c>
      <c r="BP600" s="1">
        <v>0.067</v>
      </c>
      <c r="BQ600" s="1">
        <v>0.2279</v>
      </c>
      <c r="BR600" s="1">
        <v>0.0087</v>
      </c>
      <c r="BS600" s="1">
        <v>0.061</v>
      </c>
      <c r="BT600" s="1">
        <v>0.958</v>
      </c>
      <c r="BU600" s="1">
        <v>0.351</v>
      </c>
      <c r="BV600" s="1">
        <v>1.37</v>
      </c>
      <c r="BW600" s="1">
        <v>0.366</v>
      </c>
      <c r="BX600" s="1">
        <v>0.612</v>
      </c>
      <c r="BY600" s="1">
        <v>0.517</v>
      </c>
      <c r="BZ600" s="1">
        <v>1.129</v>
      </c>
      <c r="CA600" s="1">
        <v>0.625</v>
      </c>
      <c r="CB600" s="1">
        <v>0.0</v>
      </c>
      <c r="CC600" s="1">
        <v>0.0</v>
      </c>
      <c r="CD600" s="1">
        <v>0.0</v>
      </c>
      <c r="CE600" s="1">
        <v>0.0</v>
      </c>
      <c r="CF600" s="1">
        <v>0.0</v>
      </c>
      <c r="CG600" s="1">
        <v>0.0</v>
      </c>
      <c r="CH600" s="1">
        <v>0.0</v>
      </c>
      <c r="CI600" s="1">
        <v>2.7269</v>
      </c>
      <c r="CJ600" s="1">
        <v>0.0116</v>
      </c>
      <c r="CK600" s="1">
        <v>0.0</v>
      </c>
      <c r="CL600" s="1">
        <v>0.0</v>
      </c>
      <c r="CM600" s="1">
        <v>0.0</v>
      </c>
      <c r="CN600" s="1">
        <v>0.0</v>
      </c>
      <c r="CO600" s="1">
        <v>0.0</v>
      </c>
      <c r="CP600" s="1">
        <v>0.0</v>
      </c>
      <c r="CQ600" s="1">
        <v>1.0</v>
      </c>
      <c r="CR600" s="1">
        <v>0.0</v>
      </c>
      <c r="CS600" s="1">
        <v>1.0</v>
      </c>
      <c r="CT600" s="1">
        <v>0.0</v>
      </c>
      <c r="CU600" s="1">
        <v>0.0</v>
      </c>
      <c r="CV600" s="1">
        <v>0.0</v>
      </c>
      <c r="CW600" s="1">
        <v>0.0</v>
      </c>
      <c r="CX600" s="1">
        <v>0.0</v>
      </c>
      <c r="CY600" s="1">
        <v>0.0</v>
      </c>
      <c r="CZ600" s="1">
        <v>0.0</v>
      </c>
      <c r="DA600" s="1">
        <v>0.0</v>
      </c>
      <c r="DB600" s="1">
        <v>0.0</v>
      </c>
      <c r="DC600" s="1">
        <v>1.0</v>
      </c>
      <c r="DD600" s="1" t="s">
        <v>2872</v>
      </c>
      <c r="DE600" s="1">
        <v>6.9602833744137E-4</v>
      </c>
      <c r="DF600" s="2" t="s">
        <v>2873</v>
      </c>
    </row>
    <row r="601" ht="15.75" customHeight="1">
      <c r="A601" s="1" t="s">
        <v>2874</v>
      </c>
      <c r="B601" s="1">
        <v>29.0</v>
      </c>
      <c r="C601" s="2" t="s">
        <v>2039</v>
      </c>
      <c r="D601" s="2" t="s">
        <v>2875</v>
      </c>
      <c r="E601" s="1">
        <v>4.622</v>
      </c>
      <c r="F601" s="1">
        <v>29095.0</v>
      </c>
      <c r="G601" s="1">
        <v>2.90950144E10</v>
      </c>
      <c r="H601" s="1" t="s">
        <v>112</v>
      </c>
      <c r="I601" s="1" t="s">
        <v>113</v>
      </c>
      <c r="J601" s="1" t="s">
        <v>2041</v>
      </c>
      <c r="K601" s="1" t="s">
        <v>2876</v>
      </c>
      <c r="L601" s="1">
        <v>2241.0</v>
      </c>
      <c r="M601" s="1">
        <v>2230.0</v>
      </c>
      <c r="N601" s="1">
        <v>259.0</v>
      </c>
      <c r="O601" s="1">
        <v>997.0</v>
      </c>
      <c r="P601" s="1">
        <v>1027.0</v>
      </c>
      <c r="Q601" s="1">
        <v>25.0</v>
      </c>
      <c r="R601" s="1">
        <v>898.0</v>
      </c>
      <c r="S601" s="1">
        <v>73.0</v>
      </c>
      <c r="T601" s="1">
        <v>61.0</v>
      </c>
      <c r="U601" s="1">
        <v>53.0</v>
      </c>
      <c r="V601" s="1">
        <v>428.0</v>
      </c>
      <c r="W601" s="1">
        <v>34393.0</v>
      </c>
      <c r="X601" s="1">
        <v>3967.0</v>
      </c>
      <c r="Y601" s="1">
        <v>53.0</v>
      </c>
      <c r="Z601" s="1">
        <v>380.0</v>
      </c>
      <c r="AA601" s="1">
        <v>263.0</v>
      </c>
      <c r="AB601" s="1">
        <v>509.0</v>
      </c>
      <c r="AC601" s="1">
        <v>98.0</v>
      </c>
      <c r="AD601" s="1">
        <v>993.0</v>
      </c>
      <c r="AE601" s="1">
        <v>32.0</v>
      </c>
      <c r="AF601" s="1">
        <v>445.0</v>
      </c>
      <c r="AG601" s="1">
        <v>63.0</v>
      </c>
      <c r="AH601" s="1">
        <v>166.0</v>
      </c>
      <c r="AI601" s="1">
        <v>0.0</v>
      </c>
      <c r="AJ601" s="1">
        <v>114.0</v>
      </c>
      <c r="AK601" s="1">
        <v>0.0</v>
      </c>
      <c r="AL601" s="1">
        <v>161.0</v>
      </c>
      <c r="AM601" s="1">
        <v>8.0</v>
      </c>
      <c r="AN601" s="1">
        <v>115.0</v>
      </c>
      <c r="AO601" s="1">
        <v>0.0</v>
      </c>
      <c r="AP601" s="1">
        <v>0.032735</v>
      </c>
      <c r="AQ601" s="1">
        <v>0.027088</v>
      </c>
      <c r="AR601" s="1">
        <v>0.041149</v>
      </c>
      <c r="AS601" s="1">
        <v>0.332194</v>
      </c>
      <c r="AT601" s="1">
        <v>34393.0</v>
      </c>
      <c r="AU601" s="1">
        <v>3967.0</v>
      </c>
      <c r="AV601" s="1">
        <v>0.035762</v>
      </c>
      <c r="AW601" s="1">
        <v>0.256391</v>
      </c>
      <c r="AX601" s="1">
        <v>0.117358</v>
      </c>
      <c r="AY601" s="1">
        <v>0.22713</v>
      </c>
      <c r="AZ601" s="1">
        <v>0.1091314</v>
      </c>
      <c r="BA601" s="1">
        <v>0.443105</v>
      </c>
      <c r="BB601" s="1">
        <v>0.015073</v>
      </c>
      <c r="BC601" s="1">
        <v>0.209599</v>
      </c>
      <c r="BD601" s="1">
        <v>0.061343</v>
      </c>
      <c r="BE601" s="1">
        <v>0.161628</v>
      </c>
      <c r="BF601" s="1">
        <v>0.0</v>
      </c>
      <c r="BG601" s="1">
        <v>0.111002</v>
      </c>
      <c r="BH601" s="1">
        <v>0.0</v>
      </c>
      <c r="BI601" s="1">
        <v>0.179687</v>
      </c>
      <c r="BJ601" s="1">
        <v>0.008928</v>
      </c>
      <c r="BK601" s="1">
        <v>0.128345</v>
      </c>
      <c r="BL601" s="1">
        <v>0.0</v>
      </c>
      <c r="BM601" s="1">
        <v>0.096</v>
      </c>
      <c r="BN601" s="1">
        <v>0.194</v>
      </c>
      <c r="BO601" s="1">
        <v>0.1213</v>
      </c>
      <c r="BP601" s="1">
        <v>0.082</v>
      </c>
      <c r="BQ601" s="1">
        <v>0.4933</v>
      </c>
      <c r="BR601" s="1">
        <v>0.0657</v>
      </c>
      <c r="BS601" s="1">
        <v>0.324</v>
      </c>
      <c r="BT601" s="1">
        <v>0.361</v>
      </c>
      <c r="BU601" s="1">
        <v>0.578</v>
      </c>
      <c r="BV601" s="1">
        <v>1.263</v>
      </c>
      <c r="BW601" s="1">
        <v>0.274</v>
      </c>
      <c r="BX601" s="1">
        <v>0.853</v>
      </c>
      <c r="BY601" s="1">
        <v>0.812</v>
      </c>
      <c r="BZ601" s="1">
        <v>1.665</v>
      </c>
      <c r="CA601" s="1">
        <v>0.904</v>
      </c>
      <c r="CB601" s="1">
        <v>0.688</v>
      </c>
      <c r="CC601" s="1">
        <v>0.0</v>
      </c>
      <c r="CD601" s="1">
        <v>0.0</v>
      </c>
      <c r="CE601" s="1">
        <v>0.074</v>
      </c>
      <c r="CF601" s="1">
        <v>0.0</v>
      </c>
      <c r="CG601" s="1">
        <v>0.762</v>
      </c>
      <c r="CH601" s="1">
        <v>0.053</v>
      </c>
      <c r="CI601" s="1">
        <v>4.1833</v>
      </c>
      <c r="CJ601" s="1">
        <v>0.1018</v>
      </c>
      <c r="CK601" s="1">
        <v>0.0</v>
      </c>
      <c r="CL601" s="1">
        <v>0.0</v>
      </c>
      <c r="CM601" s="1">
        <v>0.0</v>
      </c>
      <c r="CN601" s="1">
        <v>0.0</v>
      </c>
      <c r="CO601" s="1">
        <v>0.0</v>
      </c>
      <c r="CP601" s="1">
        <v>0.0</v>
      </c>
      <c r="CQ601" s="1">
        <v>0.0</v>
      </c>
      <c r="CR601" s="1">
        <v>0.0</v>
      </c>
      <c r="CS601" s="1">
        <v>0.0</v>
      </c>
      <c r="CT601" s="1">
        <v>0.0</v>
      </c>
      <c r="CU601" s="1">
        <v>0.0</v>
      </c>
      <c r="CV601" s="1">
        <v>0.0</v>
      </c>
      <c r="CW601" s="1">
        <v>0.0</v>
      </c>
      <c r="CX601" s="1">
        <v>0.0</v>
      </c>
      <c r="CY601" s="1">
        <v>0.0</v>
      </c>
      <c r="CZ601" s="1">
        <v>0.0</v>
      </c>
      <c r="DA601" s="1">
        <v>0.0</v>
      </c>
      <c r="DB601" s="1">
        <v>0.0</v>
      </c>
      <c r="DC601" s="1">
        <v>0.0</v>
      </c>
      <c r="DD601" s="1" t="s">
        <v>2877</v>
      </c>
      <c r="DE601" s="1">
        <v>0.00126809064182568</v>
      </c>
      <c r="DF601" s="2" t="s">
        <v>2878</v>
      </c>
    </row>
    <row r="602" ht="15.75" customHeight="1">
      <c r="A602" s="1" t="s">
        <v>2879</v>
      </c>
      <c r="B602" s="1">
        <v>29.0</v>
      </c>
      <c r="C602" s="2" t="s">
        <v>2039</v>
      </c>
      <c r="D602" s="2" t="s">
        <v>2880</v>
      </c>
      <c r="E602" s="1">
        <v>0.93</v>
      </c>
      <c r="F602" s="1">
        <v>29095.0</v>
      </c>
      <c r="G602" s="1">
        <v>2.9095014603E10</v>
      </c>
      <c r="H602" s="1" t="s">
        <v>112</v>
      </c>
      <c r="I602" s="1" t="s">
        <v>113</v>
      </c>
      <c r="J602" s="1" t="s">
        <v>2041</v>
      </c>
      <c r="K602" s="1" t="s">
        <v>2881</v>
      </c>
      <c r="L602" s="1">
        <v>3656.0</v>
      </c>
      <c r="M602" s="1">
        <v>3398.0</v>
      </c>
      <c r="N602" s="1">
        <v>312.0</v>
      </c>
      <c r="O602" s="1">
        <v>1483.0</v>
      </c>
      <c r="P602" s="1">
        <v>1483.0</v>
      </c>
      <c r="Q602" s="1">
        <v>30.0</v>
      </c>
      <c r="R602" s="1">
        <v>1447.0</v>
      </c>
      <c r="S602" s="1">
        <v>371.0</v>
      </c>
      <c r="T602" s="1">
        <v>240.0</v>
      </c>
      <c r="U602" s="1">
        <v>91.0</v>
      </c>
      <c r="V602" s="1">
        <v>415.0</v>
      </c>
      <c r="W602" s="1">
        <v>27037.0</v>
      </c>
      <c r="X602" s="1">
        <v>2714.0</v>
      </c>
      <c r="Y602" s="1">
        <v>213.0</v>
      </c>
      <c r="Z602" s="1">
        <v>291.0</v>
      </c>
      <c r="AA602" s="1">
        <v>673.0</v>
      </c>
      <c r="AB602" s="1">
        <v>839.0</v>
      </c>
      <c r="AC602" s="1">
        <v>139.0</v>
      </c>
      <c r="AD602" s="1">
        <v>561.0</v>
      </c>
      <c r="AE602" s="1">
        <v>0.0</v>
      </c>
      <c r="AF602" s="1">
        <v>456.0</v>
      </c>
      <c r="AG602" s="1">
        <v>11.0</v>
      </c>
      <c r="AH602" s="1">
        <v>162.0</v>
      </c>
      <c r="AI602" s="1">
        <v>35.0</v>
      </c>
      <c r="AJ602" s="1">
        <v>44.0</v>
      </c>
      <c r="AK602" s="1">
        <v>0.0</v>
      </c>
      <c r="AL602" s="1">
        <v>161.0</v>
      </c>
      <c r="AM602" s="1">
        <v>22.0</v>
      </c>
      <c r="AN602" s="1">
        <v>116.0</v>
      </c>
      <c r="AO602" s="1">
        <v>0.0</v>
      </c>
      <c r="AP602" s="1">
        <v>0.109991</v>
      </c>
      <c r="AQ602" s="1">
        <v>0.07044</v>
      </c>
      <c r="AR602" s="1">
        <v>0.056207</v>
      </c>
      <c r="AS602" s="1">
        <v>0.256151</v>
      </c>
      <c r="AT602" s="1">
        <v>27037.0</v>
      </c>
      <c r="AU602" s="1">
        <v>2714.0</v>
      </c>
      <c r="AV602" s="1">
        <v>0.088308</v>
      </c>
      <c r="AW602" s="1">
        <v>0.120441</v>
      </c>
      <c r="AX602" s="1">
        <v>0.18408</v>
      </c>
      <c r="AY602" s="1">
        <v>0.229485</v>
      </c>
      <c r="AZ602" s="1">
        <v>0.09606081</v>
      </c>
      <c r="BA602" s="1">
        <v>0.153446</v>
      </c>
      <c r="BB602" s="1">
        <v>0.0</v>
      </c>
      <c r="BC602" s="1">
        <v>0.146153</v>
      </c>
      <c r="BD602" s="1">
        <v>0.007417</v>
      </c>
      <c r="BE602" s="1">
        <v>0.109237</v>
      </c>
      <c r="BF602" s="1">
        <v>0.0236</v>
      </c>
      <c r="BG602" s="1">
        <v>0.029665</v>
      </c>
      <c r="BH602" s="1">
        <v>0.0</v>
      </c>
      <c r="BI602" s="1">
        <v>0.117176</v>
      </c>
      <c r="BJ602" s="1">
        <v>0.016011</v>
      </c>
      <c r="BK602" s="1">
        <v>0.08442</v>
      </c>
      <c r="BL602" s="1">
        <v>0.0</v>
      </c>
      <c r="BM602" s="1">
        <v>0.417</v>
      </c>
      <c r="BN602" s="1">
        <v>0.371</v>
      </c>
      <c r="BO602" s="1">
        <v>0.2809</v>
      </c>
      <c r="BP602" s="1">
        <v>0.284</v>
      </c>
      <c r="BQ602" s="1">
        <v>1.3529</v>
      </c>
      <c r="BR602" s="1">
        <v>0.296</v>
      </c>
      <c r="BS602" s="1">
        <v>0.814</v>
      </c>
      <c r="BT602" s="1">
        <v>0.379</v>
      </c>
      <c r="BU602" s="1">
        <v>0.457</v>
      </c>
      <c r="BV602" s="1">
        <v>1.65</v>
      </c>
      <c r="BW602" s="1">
        <v>0.602</v>
      </c>
      <c r="BX602" s="1">
        <v>0.635</v>
      </c>
      <c r="BY602" s="1">
        <v>0.0</v>
      </c>
      <c r="BZ602" s="1">
        <v>0.635</v>
      </c>
      <c r="CA602" s="1">
        <v>0.294</v>
      </c>
      <c r="CB602" s="1">
        <v>0.357</v>
      </c>
      <c r="CC602" s="1">
        <v>0.53</v>
      </c>
      <c r="CD602" s="1">
        <v>0.0</v>
      </c>
      <c r="CE602" s="1">
        <v>0.142</v>
      </c>
      <c r="CF602" s="1">
        <v>0.0</v>
      </c>
      <c r="CG602" s="1">
        <v>1.029</v>
      </c>
      <c r="CH602" s="1">
        <v>0.08</v>
      </c>
      <c r="CI602" s="1">
        <v>4.6669</v>
      </c>
      <c r="CJ602" s="1">
        <v>0.1523</v>
      </c>
      <c r="CK602" s="1">
        <v>0.0</v>
      </c>
      <c r="CL602" s="1">
        <v>0.0</v>
      </c>
      <c r="CM602" s="1">
        <v>0.0</v>
      </c>
      <c r="CN602" s="1">
        <v>0.0</v>
      </c>
      <c r="CO602" s="1">
        <v>0.0</v>
      </c>
      <c r="CP602" s="1">
        <v>0.0</v>
      </c>
      <c r="CQ602" s="1">
        <v>0.0</v>
      </c>
      <c r="CR602" s="1">
        <v>0.0</v>
      </c>
      <c r="CS602" s="1">
        <v>0.0</v>
      </c>
      <c r="CT602" s="1">
        <v>0.0</v>
      </c>
      <c r="CU602" s="1">
        <v>0.0</v>
      </c>
      <c r="CV602" s="1">
        <v>0.0</v>
      </c>
      <c r="CW602" s="1">
        <v>0.0</v>
      </c>
      <c r="CX602" s="1">
        <v>0.0</v>
      </c>
      <c r="CY602" s="1">
        <v>0.0</v>
      </c>
      <c r="CZ602" s="1">
        <v>0.0</v>
      </c>
      <c r="DA602" s="1">
        <v>0.0</v>
      </c>
      <c r="DB602" s="1">
        <v>0.0</v>
      </c>
      <c r="DC602" s="1">
        <v>0.0</v>
      </c>
      <c r="DD602" s="1" t="s">
        <v>2882</v>
      </c>
      <c r="DE602" s="1">
        <v>2.53326260979765E-4</v>
      </c>
      <c r="DF602" s="1">
        <v>0.0908127141466961</v>
      </c>
    </row>
    <row r="603" ht="15.75" customHeight="1">
      <c r="A603" s="1" t="s">
        <v>2883</v>
      </c>
      <c r="B603" s="1">
        <v>29.0</v>
      </c>
      <c r="C603" s="2" t="s">
        <v>2039</v>
      </c>
      <c r="D603" s="2" t="s">
        <v>2884</v>
      </c>
      <c r="E603" s="1">
        <v>1.439</v>
      </c>
      <c r="F603" s="1">
        <v>29095.0</v>
      </c>
      <c r="G603" s="1">
        <v>2.9095014604E10</v>
      </c>
      <c r="H603" s="1" t="s">
        <v>112</v>
      </c>
      <c r="I603" s="1" t="s">
        <v>113</v>
      </c>
      <c r="J603" s="1" t="s">
        <v>2041</v>
      </c>
      <c r="K603" s="1" t="s">
        <v>2885</v>
      </c>
      <c r="L603" s="1">
        <v>4737.0</v>
      </c>
      <c r="M603" s="1">
        <v>4924.0</v>
      </c>
      <c r="N603" s="1">
        <v>384.0</v>
      </c>
      <c r="O603" s="1">
        <v>2601.0</v>
      </c>
      <c r="P603" s="1">
        <v>2700.0</v>
      </c>
      <c r="Q603" s="1">
        <v>49.0</v>
      </c>
      <c r="R603" s="1">
        <v>2350.0</v>
      </c>
      <c r="S603" s="1">
        <v>584.0</v>
      </c>
      <c r="T603" s="1">
        <v>269.0</v>
      </c>
      <c r="U603" s="1">
        <v>203.0</v>
      </c>
      <c r="V603" s="1">
        <v>412.0</v>
      </c>
      <c r="W603" s="1">
        <v>22399.0</v>
      </c>
      <c r="X603" s="1">
        <v>1938.0</v>
      </c>
      <c r="Y603" s="1">
        <v>236.0</v>
      </c>
      <c r="Z603" s="1">
        <v>378.0</v>
      </c>
      <c r="AA603" s="1">
        <v>783.0</v>
      </c>
      <c r="AB603" s="1">
        <v>896.0</v>
      </c>
      <c r="AC603" s="1">
        <v>253.0</v>
      </c>
      <c r="AD603" s="1">
        <v>992.0</v>
      </c>
      <c r="AE603" s="1">
        <v>21.0</v>
      </c>
      <c r="AF603" s="1">
        <v>427.0</v>
      </c>
      <c r="AG603" s="1">
        <v>1188.0</v>
      </c>
      <c r="AH603" s="1">
        <v>237.0</v>
      </c>
      <c r="AI603" s="1">
        <v>0.0</v>
      </c>
      <c r="AJ603" s="1">
        <v>114.0</v>
      </c>
      <c r="AK603" s="1">
        <v>46.0</v>
      </c>
      <c r="AL603" s="1">
        <v>127.0</v>
      </c>
      <c r="AM603" s="1">
        <v>90.0</v>
      </c>
      <c r="AN603" s="1">
        <v>122.0</v>
      </c>
      <c r="AO603" s="1">
        <v>0.0</v>
      </c>
      <c r="AP603" s="1">
        <v>0.119893</v>
      </c>
      <c r="AQ603" s="1">
        <v>0.054414</v>
      </c>
      <c r="AR603" s="1">
        <v>0.07363</v>
      </c>
      <c r="AS603" s="1">
        <v>0.149126</v>
      </c>
      <c r="AT603" s="1">
        <v>22399.0</v>
      </c>
      <c r="AU603" s="1">
        <v>1938.0</v>
      </c>
      <c r="AV603" s="1">
        <v>0.070701</v>
      </c>
      <c r="AW603" s="1">
        <v>0.113094</v>
      </c>
      <c r="AX603" s="1">
        <v>0.165294</v>
      </c>
      <c r="AY603" s="1">
        <v>0.189149</v>
      </c>
      <c r="AZ603" s="1">
        <v>0.10765957</v>
      </c>
      <c r="BA603" s="1">
        <v>0.209415</v>
      </c>
      <c r="BB603" s="1">
        <v>0.004492</v>
      </c>
      <c r="BC603" s="1">
        <v>0.091355</v>
      </c>
      <c r="BD603" s="1">
        <v>0.44</v>
      </c>
      <c r="BE603" s="1">
        <v>0.087413</v>
      </c>
      <c r="BF603" s="1">
        <v>0.0</v>
      </c>
      <c r="BG603" s="1">
        <v>0.042222</v>
      </c>
      <c r="BH603" s="1">
        <v>0.01923</v>
      </c>
      <c r="BI603" s="1">
        <v>0.053083</v>
      </c>
      <c r="BJ603" s="1">
        <v>0.037625</v>
      </c>
      <c r="BK603" s="1">
        <v>0.050963</v>
      </c>
      <c r="BL603" s="1">
        <v>0.0</v>
      </c>
      <c r="BM603" s="1">
        <v>0.453</v>
      </c>
      <c r="BN603" s="1">
        <v>0.544</v>
      </c>
      <c r="BO603" s="1">
        <v>0.4744</v>
      </c>
      <c r="BP603" s="1">
        <v>0.203</v>
      </c>
      <c r="BQ603" s="1">
        <v>1.6744</v>
      </c>
      <c r="BR603" s="1">
        <v>0.3957</v>
      </c>
      <c r="BS603" s="1">
        <v>0.705</v>
      </c>
      <c r="BT603" s="1">
        <v>0.148</v>
      </c>
      <c r="BU603" s="1">
        <v>0.565</v>
      </c>
      <c r="BV603" s="1">
        <v>1.418</v>
      </c>
      <c r="BW603" s="1">
        <v>0.406</v>
      </c>
      <c r="BX603" s="1">
        <v>0.72</v>
      </c>
      <c r="BY603" s="1">
        <v>0.536</v>
      </c>
      <c r="BZ603" s="1">
        <v>1.256</v>
      </c>
      <c r="CA603" s="1">
        <v>0.687</v>
      </c>
      <c r="CB603" s="1">
        <v>0.973</v>
      </c>
      <c r="CC603" s="1">
        <v>0.0</v>
      </c>
      <c r="CD603" s="1">
        <v>0.666</v>
      </c>
      <c r="CE603" s="1">
        <v>0.368</v>
      </c>
      <c r="CF603" s="1">
        <v>0.0</v>
      </c>
      <c r="CG603" s="1">
        <v>2.007</v>
      </c>
      <c r="CH603" s="1">
        <v>0.351</v>
      </c>
      <c r="CI603" s="1">
        <v>6.3554</v>
      </c>
      <c r="CJ603" s="1">
        <v>0.4375</v>
      </c>
      <c r="CK603" s="1">
        <v>0.0</v>
      </c>
      <c r="CL603" s="1">
        <v>0.0</v>
      </c>
      <c r="CM603" s="1">
        <v>0.0</v>
      </c>
      <c r="CN603" s="1">
        <v>0.0</v>
      </c>
      <c r="CO603" s="1">
        <v>0.0</v>
      </c>
      <c r="CP603" s="1">
        <v>0.0</v>
      </c>
      <c r="CQ603" s="1">
        <v>0.0</v>
      </c>
      <c r="CR603" s="1">
        <v>0.0</v>
      </c>
      <c r="CS603" s="1">
        <v>0.0</v>
      </c>
      <c r="CT603" s="1">
        <v>0.0</v>
      </c>
      <c r="CU603" s="1">
        <v>0.0</v>
      </c>
      <c r="CV603" s="1">
        <v>0.0</v>
      </c>
      <c r="CW603" s="1">
        <v>1.0</v>
      </c>
      <c r="CX603" s="1">
        <v>0.0</v>
      </c>
      <c r="CY603" s="1">
        <v>0.0</v>
      </c>
      <c r="CZ603" s="1">
        <v>0.0</v>
      </c>
      <c r="DA603" s="1">
        <v>0.0</v>
      </c>
      <c r="DB603" s="1">
        <v>1.0</v>
      </c>
      <c r="DC603" s="1">
        <v>1.0</v>
      </c>
      <c r="DD603" s="1" t="s">
        <v>2886</v>
      </c>
      <c r="DE603" s="1">
        <v>3.84580209926972E-4</v>
      </c>
      <c r="DF603" s="2" t="s">
        <v>2887</v>
      </c>
    </row>
    <row r="604" ht="15.75" customHeight="1">
      <c r="A604" s="1" t="s">
        <v>2888</v>
      </c>
      <c r="B604" s="1">
        <v>29.0</v>
      </c>
      <c r="C604" s="2" t="s">
        <v>2039</v>
      </c>
      <c r="D604" s="2" t="s">
        <v>2889</v>
      </c>
      <c r="E604" s="1">
        <v>2.32</v>
      </c>
      <c r="F604" s="1">
        <v>29095.0</v>
      </c>
      <c r="G604" s="1">
        <v>2.9095014701E10</v>
      </c>
      <c r="H604" s="1" t="s">
        <v>112</v>
      </c>
      <c r="I604" s="1" t="s">
        <v>113</v>
      </c>
      <c r="J604" s="1" t="s">
        <v>2041</v>
      </c>
      <c r="K604" s="1" t="s">
        <v>2890</v>
      </c>
      <c r="L604" s="1">
        <v>3709.0</v>
      </c>
      <c r="M604" s="1">
        <v>3320.0</v>
      </c>
      <c r="N604" s="1">
        <v>292.0</v>
      </c>
      <c r="O604" s="1">
        <v>1798.0</v>
      </c>
      <c r="P604" s="1">
        <v>1761.0</v>
      </c>
      <c r="Q604" s="1">
        <v>53.0</v>
      </c>
      <c r="R604" s="1">
        <v>1653.0</v>
      </c>
      <c r="S604" s="1">
        <v>374.0</v>
      </c>
      <c r="T604" s="1">
        <v>187.0</v>
      </c>
      <c r="U604" s="1">
        <v>188.0</v>
      </c>
      <c r="V604" s="1">
        <v>421.0</v>
      </c>
      <c r="W604" s="1">
        <v>32568.0</v>
      </c>
      <c r="X604" s="1">
        <v>6242.0</v>
      </c>
      <c r="Y604" s="1">
        <v>138.0</v>
      </c>
      <c r="Z604" s="1">
        <v>366.0</v>
      </c>
      <c r="AA604" s="1">
        <v>445.0</v>
      </c>
      <c r="AB604" s="1">
        <v>691.0</v>
      </c>
      <c r="AC604" s="1">
        <v>146.0</v>
      </c>
      <c r="AD604" s="1">
        <v>712.0</v>
      </c>
      <c r="AE604" s="1">
        <v>60.0</v>
      </c>
      <c r="AF604" s="1">
        <v>381.0</v>
      </c>
      <c r="AG604" s="1">
        <v>828.0</v>
      </c>
      <c r="AH604" s="1">
        <v>172.0</v>
      </c>
      <c r="AI604" s="1">
        <v>0.0</v>
      </c>
      <c r="AJ604" s="1">
        <v>114.0</v>
      </c>
      <c r="AK604" s="1">
        <v>39.0</v>
      </c>
      <c r="AL604" s="1">
        <v>121.0</v>
      </c>
      <c r="AM604" s="1">
        <v>50.0</v>
      </c>
      <c r="AN604" s="1">
        <v>41.0</v>
      </c>
      <c r="AO604" s="1">
        <v>198.0</v>
      </c>
      <c r="AP604" s="1">
        <v>0.114233</v>
      </c>
      <c r="AQ604" s="1">
        <v>0.056194</v>
      </c>
      <c r="AR604" s="1">
        <v>0.088804</v>
      </c>
      <c r="AS604" s="1">
        <v>0.198451</v>
      </c>
      <c r="AT604" s="1">
        <v>32568.0</v>
      </c>
      <c r="AU604" s="1">
        <v>6242.0</v>
      </c>
      <c r="AV604" s="1">
        <v>0.065808</v>
      </c>
      <c r="AW604" s="1">
        <v>0.174438</v>
      </c>
      <c r="AX604" s="1">
        <v>0.119978</v>
      </c>
      <c r="AY604" s="1">
        <v>0.186303</v>
      </c>
      <c r="AZ604" s="1">
        <v>0.08832425</v>
      </c>
      <c r="BA604" s="1">
        <v>0.191965</v>
      </c>
      <c r="BB604" s="1">
        <v>0.019005</v>
      </c>
      <c r="BC604" s="1">
        <v>0.120673</v>
      </c>
      <c r="BD604" s="1">
        <v>0.470187</v>
      </c>
      <c r="BE604" s="1">
        <v>0.096641</v>
      </c>
      <c r="BF604" s="1">
        <v>0.0</v>
      </c>
      <c r="BG604" s="1">
        <v>0.064735</v>
      </c>
      <c r="BH604" s="1">
        <v>0.02508</v>
      </c>
      <c r="BI604" s="1">
        <v>0.077793</v>
      </c>
      <c r="BJ604" s="1">
        <v>0.032154</v>
      </c>
      <c r="BK604" s="1">
        <v>0.02627</v>
      </c>
      <c r="BL604" s="1">
        <v>0.053383</v>
      </c>
      <c r="BM604" s="1">
        <v>0.43</v>
      </c>
      <c r="BN604" s="1">
        <v>0.674</v>
      </c>
      <c r="BO604" s="1">
        <v>0.1466</v>
      </c>
      <c r="BP604" s="1">
        <v>0.186</v>
      </c>
      <c r="BQ604" s="1">
        <v>1.4366</v>
      </c>
      <c r="BR604" s="1">
        <v>0.3256</v>
      </c>
      <c r="BS604" s="1">
        <v>0.346</v>
      </c>
      <c r="BT604" s="1">
        <v>0.137</v>
      </c>
      <c r="BU604" s="1">
        <v>0.389</v>
      </c>
      <c r="BV604" s="1">
        <v>0.872</v>
      </c>
      <c r="BW604" s="1">
        <v>0.085</v>
      </c>
      <c r="BX604" s="1">
        <v>0.702</v>
      </c>
      <c r="BY604" s="1">
        <v>0.851</v>
      </c>
      <c r="BZ604" s="1">
        <v>1.553</v>
      </c>
      <c r="CA604" s="1">
        <v>0.853</v>
      </c>
      <c r="CB604" s="1">
        <v>0.977</v>
      </c>
      <c r="CC604" s="1">
        <v>0.0</v>
      </c>
      <c r="CD604" s="1">
        <v>0.758</v>
      </c>
      <c r="CE604" s="1">
        <v>0.303</v>
      </c>
      <c r="CF604" s="1">
        <v>0.9</v>
      </c>
      <c r="CG604" s="1">
        <v>2.938</v>
      </c>
      <c r="CH604" s="1">
        <v>0.748</v>
      </c>
      <c r="CI604" s="1">
        <v>6.7996</v>
      </c>
      <c r="CJ604" s="1">
        <v>0.5112</v>
      </c>
      <c r="CK604" s="1">
        <v>0.0</v>
      </c>
      <c r="CL604" s="1">
        <v>0.0</v>
      </c>
      <c r="CM604" s="1">
        <v>0.0</v>
      </c>
      <c r="CN604" s="1">
        <v>0.0</v>
      </c>
      <c r="CO604" s="1">
        <v>0.0</v>
      </c>
      <c r="CP604" s="1">
        <v>0.0</v>
      </c>
      <c r="CQ604" s="1">
        <v>0.0</v>
      </c>
      <c r="CR604" s="1">
        <v>0.0</v>
      </c>
      <c r="CS604" s="1">
        <v>0.0</v>
      </c>
      <c r="CT604" s="1">
        <v>0.0</v>
      </c>
      <c r="CU604" s="1">
        <v>0.0</v>
      </c>
      <c r="CV604" s="1">
        <v>0.0</v>
      </c>
      <c r="CW604" s="1">
        <v>1.0</v>
      </c>
      <c r="CX604" s="1">
        <v>0.0</v>
      </c>
      <c r="CY604" s="1">
        <v>0.0</v>
      </c>
      <c r="CZ604" s="1">
        <v>0.0</v>
      </c>
      <c r="DA604" s="1">
        <v>1.0</v>
      </c>
      <c r="DB604" s="1">
        <v>2.0</v>
      </c>
      <c r="DC604" s="1">
        <v>2.0</v>
      </c>
      <c r="DD604" s="1" t="s">
        <v>2891</v>
      </c>
      <c r="DE604" s="1">
        <v>6.23648936862058E-4</v>
      </c>
      <c r="DF604" s="2" t="s">
        <v>2892</v>
      </c>
    </row>
    <row r="605" ht="15.75" customHeight="1">
      <c r="A605" s="1" t="s">
        <v>2893</v>
      </c>
      <c r="B605" s="1">
        <v>29.0</v>
      </c>
      <c r="C605" s="2" t="s">
        <v>2039</v>
      </c>
      <c r="D605" s="2" t="s">
        <v>2894</v>
      </c>
      <c r="E605" s="1">
        <v>4.372</v>
      </c>
      <c r="F605" s="1">
        <v>29095.0</v>
      </c>
      <c r="G605" s="1">
        <v>2.9095014702E10</v>
      </c>
      <c r="H605" s="1" t="s">
        <v>112</v>
      </c>
      <c r="I605" s="1" t="s">
        <v>113</v>
      </c>
      <c r="J605" s="1" t="s">
        <v>2041</v>
      </c>
      <c r="K605" s="1" t="s">
        <v>2895</v>
      </c>
      <c r="L605" s="1">
        <v>5042.0</v>
      </c>
      <c r="M605" s="1">
        <v>5088.0</v>
      </c>
      <c r="N605" s="1">
        <v>368.0</v>
      </c>
      <c r="O605" s="1">
        <v>2018.0</v>
      </c>
      <c r="P605" s="1">
        <v>1972.0</v>
      </c>
      <c r="Q605" s="1">
        <v>81.0</v>
      </c>
      <c r="R605" s="1">
        <v>1948.0</v>
      </c>
      <c r="S605" s="1">
        <v>190.0</v>
      </c>
      <c r="T605" s="1">
        <v>202.0</v>
      </c>
      <c r="U605" s="1">
        <v>128.0</v>
      </c>
      <c r="V605" s="1">
        <v>402.0</v>
      </c>
      <c r="W605" s="1">
        <v>34293.0</v>
      </c>
      <c r="X605" s="1">
        <v>2935.0</v>
      </c>
      <c r="Y605" s="1">
        <v>336.0</v>
      </c>
      <c r="Z605" s="1">
        <v>237.0</v>
      </c>
      <c r="AA605" s="1">
        <v>955.0</v>
      </c>
      <c r="AB605" s="1">
        <v>994.0</v>
      </c>
      <c r="AC605" s="1">
        <v>118.0</v>
      </c>
      <c r="AD605" s="1">
        <v>541.0</v>
      </c>
      <c r="AE605" s="1">
        <v>40.0</v>
      </c>
      <c r="AF605" s="1">
        <v>413.0</v>
      </c>
      <c r="AG605" s="1">
        <v>0.0</v>
      </c>
      <c r="AH605" s="1">
        <v>197.0</v>
      </c>
      <c r="AI605" s="1">
        <v>0.0</v>
      </c>
      <c r="AJ605" s="1">
        <v>114.0</v>
      </c>
      <c r="AK605" s="1">
        <v>0.0</v>
      </c>
      <c r="AL605" s="1">
        <v>161.0</v>
      </c>
      <c r="AM605" s="1">
        <v>43.0</v>
      </c>
      <c r="AN605" s="1">
        <v>120.0</v>
      </c>
      <c r="AO605" s="1">
        <v>83.0</v>
      </c>
      <c r="AP605" s="1">
        <v>0.038563</v>
      </c>
      <c r="AQ605" s="1">
        <v>0.040899</v>
      </c>
      <c r="AR605" s="1">
        <v>0.046817</v>
      </c>
      <c r="AS605" s="1">
        <v>0.146952</v>
      </c>
      <c r="AT605" s="1">
        <v>34293.0</v>
      </c>
      <c r="AU605" s="1">
        <v>2935.0</v>
      </c>
      <c r="AV605" s="1">
        <v>0.092689</v>
      </c>
      <c r="AW605" s="1">
        <v>0.064997</v>
      </c>
      <c r="AX605" s="1">
        <v>0.189408</v>
      </c>
      <c r="AY605" s="1">
        <v>0.197143</v>
      </c>
      <c r="AZ605" s="1">
        <v>0.06057494</v>
      </c>
      <c r="BA605" s="1">
        <v>0.107298</v>
      </c>
      <c r="BB605" s="1">
        <v>0.008276</v>
      </c>
      <c r="BC605" s="1">
        <v>0.085451</v>
      </c>
      <c r="BD605" s="1">
        <v>0.0</v>
      </c>
      <c r="BE605" s="1">
        <v>0.099898</v>
      </c>
      <c r="BF605" s="1">
        <v>0.0</v>
      </c>
      <c r="BG605" s="1">
        <v>0.057809</v>
      </c>
      <c r="BH605" s="1">
        <v>0.0</v>
      </c>
      <c r="BI605" s="1">
        <v>0.086188</v>
      </c>
      <c r="BJ605" s="1">
        <v>0.023019</v>
      </c>
      <c r="BK605" s="1">
        <v>0.064228</v>
      </c>
      <c r="BL605" s="1">
        <v>0.016461</v>
      </c>
      <c r="BM605" s="1">
        <v>0.117</v>
      </c>
      <c r="BN605" s="1">
        <v>0.259</v>
      </c>
      <c r="BO605" s="1">
        <v>0.1235</v>
      </c>
      <c r="BP605" s="1">
        <v>0.305</v>
      </c>
      <c r="BQ605" s="1">
        <v>0.8045</v>
      </c>
      <c r="BR605" s="1">
        <v>0.1581</v>
      </c>
      <c r="BS605" s="1">
        <v>0.835</v>
      </c>
      <c r="BT605" s="1">
        <v>0.179</v>
      </c>
      <c r="BU605" s="1">
        <v>0.136</v>
      </c>
      <c r="BV605" s="1">
        <v>1.15</v>
      </c>
      <c r="BW605" s="1">
        <v>0.198</v>
      </c>
      <c r="BX605" s="1">
        <v>0.499</v>
      </c>
      <c r="BY605" s="1">
        <v>0.676</v>
      </c>
      <c r="BZ605" s="1">
        <v>1.175</v>
      </c>
      <c r="CA605" s="1">
        <v>0.648</v>
      </c>
      <c r="CB605" s="1">
        <v>0.0</v>
      </c>
      <c r="CC605" s="1">
        <v>0.0</v>
      </c>
      <c r="CD605" s="1">
        <v>0.0</v>
      </c>
      <c r="CE605" s="1">
        <v>0.215</v>
      </c>
      <c r="CF605" s="1">
        <v>0.665</v>
      </c>
      <c r="CG605" s="1">
        <v>0.88</v>
      </c>
      <c r="CH605" s="1">
        <v>0.062</v>
      </c>
      <c r="CI605" s="1">
        <v>4.0095</v>
      </c>
      <c r="CJ605" s="1">
        <v>0.0866</v>
      </c>
      <c r="CK605" s="1">
        <v>0.0</v>
      </c>
      <c r="CL605" s="1">
        <v>0.0</v>
      </c>
      <c r="CM605" s="1">
        <v>0.0</v>
      </c>
      <c r="CN605" s="1">
        <v>0.0</v>
      </c>
      <c r="CO605" s="1">
        <v>0.0</v>
      </c>
      <c r="CP605" s="1">
        <v>0.0</v>
      </c>
      <c r="CQ605" s="1">
        <v>0.0</v>
      </c>
      <c r="CR605" s="1">
        <v>0.0</v>
      </c>
      <c r="CS605" s="1">
        <v>0.0</v>
      </c>
      <c r="CT605" s="1">
        <v>0.0</v>
      </c>
      <c r="CU605" s="1">
        <v>0.0</v>
      </c>
      <c r="CV605" s="1">
        <v>0.0</v>
      </c>
      <c r="CW605" s="1">
        <v>0.0</v>
      </c>
      <c r="CX605" s="1">
        <v>0.0</v>
      </c>
      <c r="CY605" s="1">
        <v>0.0</v>
      </c>
      <c r="CZ605" s="1">
        <v>0.0</v>
      </c>
      <c r="DA605" s="1">
        <v>0.0</v>
      </c>
      <c r="DB605" s="1">
        <v>0.0</v>
      </c>
      <c r="DC605" s="1">
        <v>0.0</v>
      </c>
      <c r="DD605" s="1" t="s">
        <v>2896</v>
      </c>
      <c r="DE605" s="1">
        <v>0.00118004122789849</v>
      </c>
      <c r="DF605" s="2" t="s">
        <v>2897</v>
      </c>
    </row>
    <row r="606" ht="15.75" customHeight="1">
      <c r="A606" s="1" t="s">
        <v>2898</v>
      </c>
      <c r="B606" s="1">
        <v>29.0</v>
      </c>
      <c r="C606" s="2" t="s">
        <v>2039</v>
      </c>
      <c r="D606" s="2" t="s">
        <v>2899</v>
      </c>
      <c r="E606" s="1">
        <v>8.773</v>
      </c>
      <c r="F606" s="1">
        <v>29095.0</v>
      </c>
      <c r="G606" s="1">
        <v>2.9095014804E10</v>
      </c>
      <c r="H606" s="1" t="s">
        <v>112</v>
      </c>
      <c r="I606" s="1" t="s">
        <v>113</v>
      </c>
      <c r="J606" s="1" t="s">
        <v>2041</v>
      </c>
      <c r="K606" s="1" t="s">
        <v>2900</v>
      </c>
      <c r="L606" s="1">
        <v>2665.0</v>
      </c>
      <c r="M606" s="1">
        <v>2528.0</v>
      </c>
      <c r="N606" s="1">
        <v>227.0</v>
      </c>
      <c r="O606" s="1">
        <v>993.0</v>
      </c>
      <c r="P606" s="1">
        <v>923.0</v>
      </c>
      <c r="Q606" s="1">
        <v>58.0</v>
      </c>
      <c r="R606" s="1">
        <v>954.0</v>
      </c>
      <c r="S606" s="1">
        <v>79.0</v>
      </c>
      <c r="T606" s="1">
        <v>72.0</v>
      </c>
      <c r="U606" s="1">
        <v>86.0</v>
      </c>
      <c r="V606" s="1">
        <v>429.0</v>
      </c>
      <c r="W606" s="1">
        <v>39941.0</v>
      </c>
      <c r="X606" s="1">
        <v>3421.0</v>
      </c>
      <c r="Y606" s="1">
        <v>46.0</v>
      </c>
      <c r="Z606" s="1">
        <v>396.0</v>
      </c>
      <c r="AA606" s="1">
        <v>378.0</v>
      </c>
      <c r="AB606" s="1">
        <v>673.0</v>
      </c>
      <c r="AC606" s="1">
        <v>53.0</v>
      </c>
      <c r="AD606" s="1">
        <v>191.0</v>
      </c>
      <c r="AE606" s="1">
        <v>14.0</v>
      </c>
      <c r="AF606" s="1">
        <v>427.0</v>
      </c>
      <c r="AG606" s="1">
        <v>0.0</v>
      </c>
      <c r="AH606" s="1">
        <v>197.0</v>
      </c>
      <c r="AI606" s="1">
        <v>0.0</v>
      </c>
      <c r="AJ606" s="1">
        <v>114.0</v>
      </c>
      <c r="AK606" s="1">
        <v>10.0</v>
      </c>
      <c r="AL606" s="1">
        <v>115.0</v>
      </c>
      <c r="AM606" s="1">
        <v>0.0</v>
      </c>
      <c r="AN606" s="1">
        <v>161.0</v>
      </c>
      <c r="AO606" s="1">
        <v>0.0</v>
      </c>
      <c r="AP606" s="1">
        <v>0.03125</v>
      </c>
      <c r="AQ606" s="1">
        <v>0.028342</v>
      </c>
      <c r="AR606" s="1">
        <v>0.067082</v>
      </c>
      <c r="AS606" s="1">
        <v>0.334373</v>
      </c>
      <c r="AT606" s="1">
        <v>39941.0</v>
      </c>
      <c r="AU606" s="1">
        <v>3421.0</v>
      </c>
      <c r="AV606" s="1">
        <v>0.027544</v>
      </c>
      <c r="AW606" s="1">
        <v>0.237117</v>
      </c>
      <c r="AX606" s="1">
        <v>0.141838</v>
      </c>
      <c r="AY606" s="1">
        <v>0.252532</v>
      </c>
      <c r="AZ606" s="1">
        <v>0.05555555</v>
      </c>
      <c r="BA606" s="1">
        <v>0.071669</v>
      </c>
      <c r="BB606" s="1">
        <v>0.006</v>
      </c>
      <c r="BC606" s="1">
        <v>0.183025</v>
      </c>
      <c r="BD606" s="1">
        <v>0.0</v>
      </c>
      <c r="BE606" s="1">
        <v>0.213434</v>
      </c>
      <c r="BF606" s="1">
        <v>0.0</v>
      </c>
      <c r="BG606" s="1">
        <v>0.12351</v>
      </c>
      <c r="BH606" s="1">
        <v>0.011574</v>
      </c>
      <c r="BI606" s="1">
        <v>0.133099</v>
      </c>
      <c r="BJ606" s="1">
        <v>0.0</v>
      </c>
      <c r="BK606" s="1">
        <v>0.186342</v>
      </c>
      <c r="BL606" s="1">
        <v>0.0</v>
      </c>
      <c r="BM606" s="1">
        <v>0.092</v>
      </c>
      <c r="BN606" s="1">
        <v>0.489</v>
      </c>
      <c r="BO606" s="1">
        <v>0.0657</v>
      </c>
      <c r="BP606" s="1">
        <v>0.051</v>
      </c>
      <c r="BQ606" s="1">
        <v>0.6977</v>
      </c>
      <c r="BR606" s="1">
        <v>0.1213</v>
      </c>
      <c r="BS606" s="1">
        <v>0.514</v>
      </c>
      <c r="BT606" s="1">
        <v>0.633</v>
      </c>
      <c r="BU606" s="1">
        <v>0.107</v>
      </c>
      <c r="BV606" s="1">
        <v>1.254</v>
      </c>
      <c r="BW606" s="1">
        <v>0.27</v>
      </c>
      <c r="BX606" s="1">
        <v>0.369</v>
      </c>
      <c r="BY606" s="1">
        <v>0.599</v>
      </c>
      <c r="BZ606" s="1">
        <v>0.968</v>
      </c>
      <c r="CA606" s="1">
        <v>0.524</v>
      </c>
      <c r="CB606" s="1">
        <v>0.0</v>
      </c>
      <c r="CC606" s="1">
        <v>0.0</v>
      </c>
      <c r="CD606" s="1">
        <v>0.515</v>
      </c>
      <c r="CE606" s="1">
        <v>0.0</v>
      </c>
      <c r="CF606" s="1">
        <v>0.0</v>
      </c>
      <c r="CG606" s="1">
        <v>0.515</v>
      </c>
      <c r="CH606" s="1">
        <v>0.032</v>
      </c>
      <c r="CI606" s="1">
        <v>3.4347</v>
      </c>
      <c r="CJ606" s="1">
        <v>0.0412</v>
      </c>
      <c r="CK606" s="1">
        <v>0.0</v>
      </c>
      <c r="CL606" s="1">
        <v>0.0</v>
      </c>
      <c r="CM606" s="1">
        <v>0.0</v>
      </c>
      <c r="CN606" s="1">
        <v>0.0</v>
      </c>
      <c r="CO606" s="1">
        <v>0.0</v>
      </c>
      <c r="CP606" s="1">
        <v>0.0</v>
      </c>
      <c r="CQ606" s="1">
        <v>0.0</v>
      </c>
      <c r="CR606" s="1">
        <v>0.0</v>
      </c>
      <c r="CS606" s="1">
        <v>0.0</v>
      </c>
      <c r="CT606" s="1">
        <v>0.0</v>
      </c>
      <c r="CU606" s="1">
        <v>0.0</v>
      </c>
      <c r="CV606" s="1">
        <v>0.0</v>
      </c>
      <c r="CW606" s="1">
        <v>0.0</v>
      </c>
      <c r="CX606" s="1">
        <v>0.0</v>
      </c>
      <c r="CY606" s="1">
        <v>0.0</v>
      </c>
      <c r="CZ606" s="1">
        <v>0.0</v>
      </c>
      <c r="DA606" s="1">
        <v>0.0</v>
      </c>
      <c r="DB606" s="1">
        <v>0.0</v>
      </c>
      <c r="DC606" s="1">
        <v>0.0</v>
      </c>
      <c r="DD606" s="1" t="s">
        <v>2901</v>
      </c>
      <c r="DE606" s="1">
        <v>0.00238768302673845</v>
      </c>
      <c r="DF606" s="2" t="s">
        <v>2902</v>
      </c>
    </row>
    <row r="607" ht="15.75" customHeight="1">
      <c r="A607" s="1" t="s">
        <v>2903</v>
      </c>
      <c r="B607" s="1">
        <v>29.0</v>
      </c>
      <c r="C607" s="2" t="s">
        <v>2039</v>
      </c>
      <c r="D607" s="2" t="s">
        <v>2904</v>
      </c>
      <c r="E607" s="1">
        <v>2.035</v>
      </c>
      <c r="F607" s="1">
        <v>29095.0</v>
      </c>
      <c r="G607" s="1">
        <v>2.9095014902E10</v>
      </c>
      <c r="H607" s="1" t="s">
        <v>112</v>
      </c>
      <c r="I607" s="1" t="s">
        <v>113</v>
      </c>
      <c r="J607" s="1" t="s">
        <v>2041</v>
      </c>
      <c r="K607" s="1" t="s">
        <v>2905</v>
      </c>
      <c r="L607" s="1">
        <v>2039.0</v>
      </c>
      <c r="M607" s="1">
        <v>1950.0</v>
      </c>
      <c r="N607" s="1">
        <v>139.0</v>
      </c>
      <c r="O607" s="1">
        <v>822.0</v>
      </c>
      <c r="P607" s="1">
        <v>807.0</v>
      </c>
      <c r="Q607" s="1">
        <v>59.0</v>
      </c>
      <c r="R607" s="1">
        <v>755.0</v>
      </c>
      <c r="S607" s="1">
        <v>204.0</v>
      </c>
      <c r="T607" s="1">
        <v>157.0</v>
      </c>
      <c r="U607" s="1">
        <v>64.0</v>
      </c>
      <c r="V607" s="1">
        <v>428.0</v>
      </c>
      <c r="W607" s="1">
        <v>25957.0</v>
      </c>
      <c r="X607" s="1">
        <v>5997.0</v>
      </c>
      <c r="Y607" s="1">
        <v>157.0</v>
      </c>
      <c r="Z607" s="1">
        <v>308.0</v>
      </c>
      <c r="AA607" s="1">
        <v>190.0</v>
      </c>
      <c r="AB607" s="1">
        <v>602.0</v>
      </c>
      <c r="AC607" s="1">
        <v>114.0</v>
      </c>
      <c r="AD607" s="1">
        <v>116.0</v>
      </c>
      <c r="AE607" s="1">
        <v>0.0</v>
      </c>
      <c r="AF607" s="1">
        <v>456.0</v>
      </c>
      <c r="AG607" s="1">
        <v>0.0</v>
      </c>
      <c r="AH607" s="1">
        <v>197.0</v>
      </c>
      <c r="AI607" s="1">
        <v>65.0</v>
      </c>
      <c r="AJ607" s="1">
        <v>36.0</v>
      </c>
      <c r="AK607" s="1">
        <v>25.0</v>
      </c>
      <c r="AL607" s="1">
        <v>118.0</v>
      </c>
      <c r="AM607" s="1">
        <v>30.0</v>
      </c>
      <c r="AN607" s="1">
        <v>25.0</v>
      </c>
      <c r="AO607" s="1">
        <v>0.0</v>
      </c>
      <c r="AP607" s="1">
        <v>0.104615</v>
      </c>
      <c r="AQ607" s="1">
        <v>0.080166</v>
      </c>
      <c r="AR607" s="1">
        <v>0.061479</v>
      </c>
      <c r="AS607" s="1">
        <v>0.411004</v>
      </c>
      <c r="AT607" s="1">
        <v>25957.0</v>
      </c>
      <c r="AU607" s="1">
        <v>5997.0</v>
      </c>
      <c r="AV607" s="1">
        <v>0.121517</v>
      </c>
      <c r="AW607" s="1">
        <v>0.238196</v>
      </c>
      <c r="AX607" s="1">
        <v>0.093182</v>
      </c>
      <c r="AY607" s="1">
        <v>0.295242</v>
      </c>
      <c r="AZ607" s="1">
        <v>0.15099337</v>
      </c>
      <c r="BA607" s="1">
        <v>0.05689</v>
      </c>
      <c r="BB607" s="1">
        <v>0.0</v>
      </c>
      <c r="BC607" s="1">
        <v>0.254606</v>
      </c>
      <c r="BD607" s="1">
        <v>0.0</v>
      </c>
      <c r="BE607" s="1">
        <v>0.244114</v>
      </c>
      <c r="BF607" s="1">
        <v>0.080545</v>
      </c>
      <c r="BG607" s="1">
        <v>0.044219</v>
      </c>
      <c r="BH607" s="1">
        <v>0.033921</v>
      </c>
      <c r="BI607" s="1">
        <v>0.160082</v>
      </c>
      <c r="BJ607" s="1">
        <v>0.040705</v>
      </c>
      <c r="BK607" s="1">
        <v>0.033742</v>
      </c>
      <c r="BL607" s="1">
        <v>0.0</v>
      </c>
      <c r="BM607" s="1">
        <v>0.389</v>
      </c>
      <c r="BN607" s="1">
        <v>0.431</v>
      </c>
      <c r="BO607" s="1">
        <v>0.3134</v>
      </c>
      <c r="BP607" s="1">
        <v>0.433</v>
      </c>
      <c r="BQ607" s="1">
        <v>1.5664</v>
      </c>
      <c r="BR607" s="1">
        <v>0.3617</v>
      </c>
      <c r="BS607" s="1">
        <v>0.176</v>
      </c>
      <c r="BT607" s="1">
        <v>0.906</v>
      </c>
      <c r="BU607" s="1">
        <v>0.799</v>
      </c>
      <c r="BV607" s="1">
        <v>1.881</v>
      </c>
      <c r="BW607" s="1">
        <v>0.787</v>
      </c>
      <c r="BX607" s="1">
        <v>0.297</v>
      </c>
      <c r="BY607" s="1">
        <v>0.0</v>
      </c>
      <c r="BZ607" s="1">
        <v>0.297</v>
      </c>
      <c r="CA607" s="1">
        <v>0.128</v>
      </c>
      <c r="CB607" s="1">
        <v>0.0</v>
      </c>
      <c r="CC607" s="1">
        <v>0.676</v>
      </c>
      <c r="CD607" s="1">
        <v>0.851</v>
      </c>
      <c r="CE607" s="1">
        <v>0.395</v>
      </c>
      <c r="CF607" s="1">
        <v>0.0</v>
      </c>
      <c r="CG607" s="1">
        <v>1.922</v>
      </c>
      <c r="CH607" s="1">
        <v>0.313</v>
      </c>
      <c r="CI607" s="1">
        <v>5.6664</v>
      </c>
      <c r="CJ607" s="1">
        <v>0.3141</v>
      </c>
      <c r="CK607" s="1">
        <v>0.0</v>
      </c>
      <c r="CL607" s="1">
        <v>0.0</v>
      </c>
      <c r="CM607" s="1">
        <v>0.0</v>
      </c>
      <c r="CN607" s="1">
        <v>0.0</v>
      </c>
      <c r="CO607" s="1">
        <v>0.0</v>
      </c>
      <c r="CP607" s="1">
        <v>0.0</v>
      </c>
      <c r="CQ607" s="1">
        <v>1.0</v>
      </c>
      <c r="CR607" s="1">
        <v>0.0</v>
      </c>
      <c r="CS607" s="1">
        <v>1.0</v>
      </c>
      <c r="CT607" s="1">
        <v>0.0</v>
      </c>
      <c r="CU607" s="1">
        <v>0.0</v>
      </c>
      <c r="CV607" s="1">
        <v>0.0</v>
      </c>
      <c r="CW607" s="1">
        <v>0.0</v>
      </c>
      <c r="CX607" s="1">
        <v>0.0</v>
      </c>
      <c r="CY607" s="1">
        <v>0.0</v>
      </c>
      <c r="CZ607" s="1">
        <v>0.0</v>
      </c>
      <c r="DA607" s="1">
        <v>0.0</v>
      </c>
      <c r="DB607" s="1">
        <v>0.0</v>
      </c>
      <c r="DC607" s="1">
        <v>1.0</v>
      </c>
      <c r="DD607" s="1" t="s">
        <v>2906</v>
      </c>
      <c r="DE607" s="1">
        <v>5.49687978306615E-4</v>
      </c>
      <c r="DF607" s="2" t="s">
        <v>2907</v>
      </c>
    </row>
    <row r="608" ht="15.75" customHeight="1">
      <c r="A608" s="1" t="s">
        <v>2908</v>
      </c>
      <c r="B608" s="1">
        <v>29.0</v>
      </c>
      <c r="C608" s="2" t="s">
        <v>2039</v>
      </c>
      <c r="D608" s="2" t="s">
        <v>2909</v>
      </c>
      <c r="E608" s="1">
        <v>47.67</v>
      </c>
      <c r="F608" s="1">
        <v>29095.0</v>
      </c>
      <c r="G608" s="1">
        <v>2.9095014903E10</v>
      </c>
      <c r="H608" s="1" t="s">
        <v>112</v>
      </c>
      <c r="I608" s="1" t="s">
        <v>113</v>
      </c>
      <c r="J608" s="1" t="s">
        <v>2041</v>
      </c>
      <c r="K608" s="1" t="s">
        <v>2910</v>
      </c>
      <c r="L608" s="1">
        <v>4626.0</v>
      </c>
      <c r="M608" s="1">
        <v>4442.0</v>
      </c>
      <c r="N608" s="1">
        <v>252.0</v>
      </c>
      <c r="O608" s="1">
        <v>1718.0</v>
      </c>
      <c r="P608" s="1">
        <v>1599.0</v>
      </c>
      <c r="Q608" s="1">
        <v>87.0</v>
      </c>
      <c r="R608" s="1">
        <v>1618.0</v>
      </c>
      <c r="S608" s="1">
        <v>169.0</v>
      </c>
      <c r="T608" s="1">
        <v>120.0</v>
      </c>
      <c r="U608" s="1">
        <v>88.0</v>
      </c>
      <c r="V608" s="1">
        <v>398.0</v>
      </c>
      <c r="W608" s="1">
        <v>32755.0</v>
      </c>
      <c r="X608" s="1">
        <v>3489.0</v>
      </c>
      <c r="Y608" s="1">
        <v>131.0</v>
      </c>
      <c r="Z608" s="1">
        <v>367.0</v>
      </c>
      <c r="AA608" s="1">
        <v>551.0</v>
      </c>
      <c r="AB608" s="1">
        <v>1204.0</v>
      </c>
      <c r="AC608" s="1">
        <v>65.0</v>
      </c>
      <c r="AD608" s="1">
        <v>272.0</v>
      </c>
      <c r="AE608" s="1">
        <v>0.0</v>
      </c>
      <c r="AF608" s="1">
        <v>456.0</v>
      </c>
      <c r="AG608" s="1">
        <v>9.0</v>
      </c>
      <c r="AH608" s="1">
        <v>162.0</v>
      </c>
      <c r="AI608" s="1">
        <v>68.0</v>
      </c>
      <c r="AJ608" s="1">
        <v>57.0</v>
      </c>
      <c r="AK608" s="1">
        <v>31.0</v>
      </c>
      <c r="AL608" s="1">
        <v>123.0</v>
      </c>
      <c r="AM608" s="1">
        <v>0.0</v>
      </c>
      <c r="AN608" s="1">
        <v>161.0</v>
      </c>
      <c r="AO608" s="1">
        <v>0.0</v>
      </c>
      <c r="AP608" s="1">
        <v>0.03814</v>
      </c>
      <c r="AQ608" s="1">
        <v>0.026994</v>
      </c>
      <c r="AR608" s="1">
        <v>0.036912</v>
      </c>
      <c r="AS608" s="1">
        <v>0.166903</v>
      </c>
      <c r="AT608" s="1">
        <v>32755.0</v>
      </c>
      <c r="AU608" s="1">
        <v>3489.0</v>
      </c>
      <c r="AV608" s="1">
        <v>0.043652</v>
      </c>
      <c r="AW608" s="1">
        <v>0.122262</v>
      </c>
      <c r="AX608" s="1">
        <v>0.119109</v>
      </c>
      <c r="AY608" s="1">
        <v>0.260268</v>
      </c>
      <c r="AZ608" s="1">
        <v>0.04017305</v>
      </c>
      <c r="BA608" s="1">
        <v>0.058798</v>
      </c>
      <c r="BB608" s="1">
        <v>0.0</v>
      </c>
      <c r="BC608" s="1">
        <v>0.110841</v>
      </c>
      <c r="BD608" s="1">
        <v>0.005628</v>
      </c>
      <c r="BE608" s="1">
        <v>0.101312</v>
      </c>
      <c r="BF608" s="1">
        <v>0.042526</v>
      </c>
      <c r="BG608" s="1">
        <v>0.035572</v>
      </c>
      <c r="BH608" s="1">
        <v>0.019745</v>
      </c>
      <c r="BI608" s="1">
        <v>0.078337</v>
      </c>
      <c r="BJ608" s="1">
        <v>0.0</v>
      </c>
      <c r="BK608" s="1">
        <v>0.102547</v>
      </c>
      <c r="BL608" s="1">
        <v>0.0</v>
      </c>
      <c r="BM608" s="1">
        <v>0.116</v>
      </c>
      <c r="BN608" s="1">
        <v>0.154</v>
      </c>
      <c r="BO608" s="1">
        <v>0.143</v>
      </c>
      <c r="BP608" s="1">
        <v>0.107</v>
      </c>
      <c r="BQ608" s="1">
        <v>0.52</v>
      </c>
      <c r="BR608" s="1">
        <v>0.0729</v>
      </c>
      <c r="BS608" s="1">
        <v>0.337</v>
      </c>
      <c r="BT608" s="1">
        <v>0.705</v>
      </c>
      <c r="BU608" s="1">
        <v>0.038</v>
      </c>
      <c r="BV608" s="1">
        <v>1.08</v>
      </c>
      <c r="BW608" s="1">
        <v>0.155</v>
      </c>
      <c r="BX608" s="1">
        <v>0.307</v>
      </c>
      <c r="BY608" s="1">
        <v>0.0</v>
      </c>
      <c r="BZ608" s="1">
        <v>0.307</v>
      </c>
      <c r="CA608" s="1">
        <v>0.131</v>
      </c>
      <c r="CB608" s="1">
        <v>0.327</v>
      </c>
      <c r="CC608" s="1">
        <v>0.585</v>
      </c>
      <c r="CD608" s="1">
        <v>0.678</v>
      </c>
      <c r="CE608" s="1">
        <v>0.0</v>
      </c>
      <c r="CF608" s="1">
        <v>0.0</v>
      </c>
      <c r="CG608" s="1">
        <v>1.59</v>
      </c>
      <c r="CH608" s="1">
        <v>0.194</v>
      </c>
      <c r="CI608" s="1">
        <v>3.497</v>
      </c>
      <c r="CJ608" s="1">
        <v>0.044</v>
      </c>
      <c r="CK608" s="1">
        <v>0.0</v>
      </c>
      <c r="CL608" s="1">
        <v>0.0</v>
      </c>
      <c r="CM608" s="1">
        <v>0.0</v>
      </c>
      <c r="CN608" s="1">
        <v>0.0</v>
      </c>
      <c r="CO608" s="1">
        <v>0.0</v>
      </c>
      <c r="CP608" s="1">
        <v>0.0</v>
      </c>
      <c r="CQ608" s="1">
        <v>0.0</v>
      </c>
      <c r="CR608" s="1">
        <v>0.0</v>
      </c>
      <c r="CS608" s="1">
        <v>0.0</v>
      </c>
      <c r="CT608" s="1">
        <v>0.0</v>
      </c>
      <c r="CU608" s="1">
        <v>0.0</v>
      </c>
      <c r="CV608" s="1">
        <v>0.0</v>
      </c>
      <c r="CW608" s="1">
        <v>0.0</v>
      </c>
      <c r="CX608" s="1">
        <v>0.0</v>
      </c>
      <c r="CY608" s="1">
        <v>0.0</v>
      </c>
      <c r="CZ608" s="1">
        <v>0.0</v>
      </c>
      <c r="DA608" s="1">
        <v>0.0</v>
      </c>
      <c r="DB608" s="1">
        <v>0.0</v>
      </c>
      <c r="DC608" s="1">
        <v>0.0</v>
      </c>
      <c r="DD608" s="1" t="s">
        <v>2911</v>
      </c>
      <c r="DE608" s="2" t="s">
        <v>2912</v>
      </c>
      <c r="DF608" s="2" t="s">
        <v>2913</v>
      </c>
    </row>
    <row r="609" ht="15.75" customHeight="1">
      <c r="A609" s="1" t="s">
        <v>2914</v>
      </c>
      <c r="B609" s="1">
        <v>29.0</v>
      </c>
      <c r="C609" s="2" t="s">
        <v>2039</v>
      </c>
      <c r="D609" s="2" t="s">
        <v>2915</v>
      </c>
      <c r="E609" s="1">
        <v>2.428</v>
      </c>
      <c r="F609" s="1">
        <v>29095.0</v>
      </c>
      <c r="G609" s="1">
        <v>2.9095014904E10</v>
      </c>
      <c r="H609" s="1" t="s">
        <v>112</v>
      </c>
      <c r="I609" s="1" t="s">
        <v>113</v>
      </c>
      <c r="J609" s="1" t="s">
        <v>2041</v>
      </c>
      <c r="K609" s="1" t="s">
        <v>2916</v>
      </c>
      <c r="L609" s="1">
        <v>6253.0</v>
      </c>
      <c r="M609" s="1">
        <v>6418.0</v>
      </c>
      <c r="N609" s="1">
        <v>450.0</v>
      </c>
      <c r="O609" s="1">
        <v>2402.0</v>
      </c>
      <c r="P609" s="1">
        <v>2476.0</v>
      </c>
      <c r="Q609" s="1">
        <v>56.0</v>
      </c>
      <c r="R609" s="1">
        <v>2293.0</v>
      </c>
      <c r="S609" s="1">
        <v>560.0</v>
      </c>
      <c r="T609" s="1">
        <v>425.0</v>
      </c>
      <c r="U609" s="1">
        <v>213.0</v>
      </c>
      <c r="V609" s="1">
        <v>373.0</v>
      </c>
      <c r="W609" s="1">
        <v>27902.0</v>
      </c>
      <c r="X609" s="1">
        <v>2889.0</v>
      </c>
      <c r="Y609" s="1">
        <v>181.0</v>
      </c>
      <c r="Z609" s="1">
        <v>353.0</v>
      </c>
      <c r="AA609" s="1">
        <v>680.0</v>
      </c>
      <c r="AB609" s="1">
        <v>1745.0</v>
      </c>
      <c r="AC609" s="1">
        <v>275.0</v>
      </c>
      <c r="AD609" s="1">
        <v>910.0</v>
      </c>
      <c r="AE609" s="1">
        <v>10.0</v>
      </c>
      <c r="AF609" s="1">
        <v>442.0</v>
      </c>
      <c r="AG609" s="1">
        <v>14.0</v>
      </c>
      <c r="AH609" s="1">
        <v>163.0</v>
      </c>
      <c r="AI609" s="1">
        <v>0.0</v>
      </c>
      <c r="AJ609" s="1">
        <v>114.0</v>
      </c>
      <c r="AK609" s="1">
        <v>0.0</v>
      </c>
      <c r="AL609" s="1">
        <v>161.0</v>
      </c>
      <c r="AM609" s="1">
        <v>40.0</v>
      </c>
      <c r="AN609" s="1">
        <v>37.0</v>
      </c>
      <c r="AO609" s="1">
        <v>5.0</v>
      </c>
      <c r="AP609" s="1">
        <v>0.087254</v>
      </c>
      <c r="AQ609" s="1">
        <v>0.065936</v>
      </c>
      <c r="AR609" s="1">
        <v>0.063185</v>
      </c>
      <c r="AS609" s="1">
        <v>0.110436</v>
      </c>
      <c r="AT609" s="1">
        <v>27902.0</v>
      </c>
      <c r="AU609" s="1">
        <v>2889.0</v>
      </c>
      <c r="AV609" s="1">
        <v>0.044351</v>
      </c>
      <c r="AW609" s="1">
        <v>0.086463</v>
      </c>
      <c r="AX609" s="1">
        <v>0.108747</v>
      </c>
      <c r="AY609" s="1">
        <v>0.279066</v>
      </c>
      <c r="AZ609" s="1">
        <v>0.11993022</v>
      </c>
      <c r="BA609" s="1">
        <v>0.14553</v>
      </c>
      <c r="BB609" s="1">
        <v>0.001672</v>
      </c>
      <c r="BC609" s="1">
        <v>0.073925</v>
      </c>
      <c r="BD609" s="1">
        <v>0.005654</v>
      </c>
      <c r="BE609" s="1">
        <v>0.065831</v>
      </c>
      <c r="BF609" s="1">
        <v>0.0</v>
      </c>
      <c r="BG609" s="1">
        <v>0.046042</v>
      </c>
      <c r="BH609" s="1">
        <v>0.0</v>
      </c>
      <c r="BI609" s="1">
        <v>0.070614</v>
      </c>
      <c r="BJ609" s="1">
        <v>0.017543</v>
      </c>
      <c r="BK609" s="1">
        <v>0.016206</v>
      </c>
      <c r="BL609" s="1">
        <v>7.99E-4</v>
      </c>
      <c r="BM609" s="1">
        <v>0.323</v>
      </c>
      <c r="BN609" s="1">
        <v>0.452</v>
      </c>
      <c r="BO609" s="1">
        <v>0.252</v>
      </c>
      <c r="BP609" s="1">
        <v>0.11</v>
      </c>
      <c r="BQ609" s="1">
        <v>1.137</v>
      </c>
      <c r="BR609" s="1">
        <v>0.2354</v>
      </c>
      <c r="BS609" s="1">
        <v>0.263</v>
      </c>
      <c r="BT609" s="1">
        <v>0.844</v>
      </c>
      <c r="BU609" s="1">
        <v>0.671</v>
      </c>
      <c r="BV609" s="1">
        <v>1.778</v>
      </c>
      <c r="BW609" s="1">
        <v>0.704</v>
      </c>
      <c r="BX609" s="1">
        <v>0.61</v>
      </c>
      <c r="BY609" s="1">
        <v>0.366</v>
      </c>
      <c r="BZ609" s="1">
        <v>0.976</v>
      </c>
      <c r="CA609" s="1">
        <v>0.533</v>
      </c>
      <c r="CB609" s="1">
        <v>0.328</v>
      </c>
      <c r="CC609" s="1">
        <v>0.0</v>
      </c>
      <c r="CD609" s="1">
        <v>0.0</v>
      </c>
      <c r="CE609" s="1">
        <v>0.158</v>
      </c>
      <c r="CF609" s="1">
        <v>0.383</v>
      </c>
      <c r="CG609" s="1">
        <v>0.869</v>
      </c>
      <c r="CH609" s="1">
        <v>0.06</v>
      </c>
      <c r="CI609" s="1">
        <v>4.76</v>
      </c>
      <c r="CJ609" s="1">
        <v>0.1697</v>
      </c>
      <c r="CK609" s="1">
        <v>0.0</v>
      </c>
      <c r="CL609" s="1">
        <v>0.0</v>
      </c>
      <c r="CM609" s="1">
        <v>0.0</v>
      </c>
      <c r="CN609" s="1">
        <v>0.0</v>
      </c>
      <c r="CO609" s="1">
        <v>0.0</v>
      </c>
      <c r="CP609" s="1">
        <v>0.0</v>
      </c>
      <c r="CQ609" s="1">
        <v>0.0</v>
      </c>
      <c r="CR609" s="1">
        <v>0.0</v>
      </c>
      <c r="CS609" s="1">
        <v>0.0</v>
      </c>
      <c r="CT609" s="1">
        <v>0.0</v>
      </c>
      <c r="CU609" s="1">
        <v>0.0</v>
      </c>
      <c r="CV609" s="1">
        <v>0.0</v>
      </c>
      <c r="CW609" s="1">
        <v>0.0</v>
      </c>
      <c r="CX609" s="1">
        <v>0.0</v>
      </c>
      <c r="CY609" s="1">
        <v>0.0</v>
      </c>
      <c r="CZ609" s="1">
        <v>0.0</v>
      </c>
      <c r="DA609" s="1">
        <v>0.0</v>
      </c>
      <c r="DB609" s="1">
        <v>0.0</v>
      </c>
      <c r="DC609" s="1">
        <v>0.0</v>
      </c>
      <c r="DD609" s="1" t="s">
        <v>2917</v>
      </c>
      <c r="DE609" s="1">
        <v>6.5466900591621E-4</v>
      </c>
      <c r="DF609" s="2" t="s">
        <v>2918</v>
      </c>
    </row>
    <row r="610" ht="15.75" customHeight="1">
      <c r="A610" s="1" t="s">
        <v>2919</v>
      </c>
      <c r="B610" s="1">
        <v>29.0</v>
      </c>
      <c r="C610" s="2" t="s">
        <v>2039</v>
      </c>
      <c r="D610" s="2" t="s">
        <v>2920</v>
      </c>
      <c r="E610" s="1">
        <v>3.393</v>
      </c>
      <c r="F610" s="1">
        <v>29095.0</v>
      </c>
      <c r="G610" s="1">
        <v>2.9095014905E10</v>
      </c>
      <c r="H610" s="1" t="s">
        <v>112</v>
      </c>
      <c r="I610" s="1" t="s">
        <v>113</v>
      </c>
      <c r="J610" s="1" t="s">
        <v>2041</v>
      </c>
      <c r="K610" s="1" t="s">
        <v>2921</v>
      </c>
      <c r="L610" s="1">
        <v>4844.0</v>
      </c>
      <c r="M610" s="1">
        <v>4515.0</v>
      </c>
      <c r="N610" s="1">
        <v>226.0</v>
      </c>
      <c r="O610" s="1">
        <v>1679.0</v>
      </c>
      <c r="P610" s="1">
        <v>1666.0</v>
      </c>
      <c r="Q610" s="1">
        <v>42.0</v>
      </c>
      <c r="R610" s="1">
        <v>1633.0</v>
      </c>
      <c r="S610" s="1">
        <v>190.0</v>
      </c>
      <c r="T610" s="1">
        <v>132.0</v>
      </c>
      <c r="U610" s="1">
        <v>111.0</v>
      </c>
      <c r="V610" s="1">
        <v>382.0</v>
      </c>
      <c r="W610" s="1">
        <v>39609.0</v>
      </c>
      <c r="X610" s="1">
        <v>4868.0</v>
      </c>
      <c r="Y610" s="1">
        <v>53.0</v>
      </c>
      <c r="Z610" s="1">
        <v>380.0</v>
      </c>
      <c r="AA610" s="1">
        <v>461.0</v>
      </c>
      <c r="AB610" s="1">
        <v>1311.0</v>
      </c>
      <c r="AC610" s="1">
        <v>116.0</v>
      </c>
      <c r="AD610" s="1">
        <v>466.0</v>
      </c>
      <c r="AE610" s="1">
        <v>32.0</v>
      </c>
      <c r="AF610" s="1">
        <v>428.0</v>
      </c>
      <c r="AG610" s="1">
        <v>0.0</v>
      </c>
      <c r="AH610" s="1">
        <v>197.0</v>
      </c>
      <c r="AI610" s="1">
        <v>0.0</v>
      </c>
      <c r="AJ610" s="1">
        <v>114.0</v>
      </c>
      <c r="AK610" s="1">
        <v>9.0</v>
      </c>
      <c r="AL610" s="1">
        <v>115.0</v>
      </c>
      <c r="AM610" s="1">
        <v>23.0</v>
      </c>
      <c r="AN610" s="1">
        <v>117.0</v>
      </c>
      <c r="AO610" s="1">
        <v>81.0</v>
      </c>
      <c r="AP610" s="1">
        <v>0.042081</v>
      </c>
      <c r="AQ610" s="1">
        <v>0.029159</v>
      </c>
      <c r="AR610" s="1">
        <v>0.041697</v>
      </c>
      <c r="AS610" s="1">
        <v>0.143446</v>
      </c>
      <c r="AT610" s="1">
        <v>39609.0</v>
      </c>
      <c r="AU610" s="1">
        <v>4868.0</v>
      </c>
      <c r="AV610" s="1">
        <v>0.01708</v>
      </c>
      <c r="AW610" s="1">
        <v>0.12246</v>
      </c>
      <c r="AX610" s="1">
        <v>0.095169</v>
      </c>
      <c r="AY610" s="1">
        <v>0.270644</v>
      </c>
      <c r="AZ610" s="1">
        <v>0.0710349</v>
      </c>
      <c r="BA610" s="1">
        <v>0.096201</v>
      </c>
      <c r="BB610" s="1">
        <v>0.007513</v>
      </c>
      <c r="BC610" s="1">
        <v>0.100492</v>
      </c>
      <c r="BD610" s="1">
        <v>0.0</v>
      </c>
      <c r="BE610" s="1">
        <v>0.118247</v>
      </c>
      <c r="BF610" s="1">
        <v>0.0</v>
      </c>
      <c r="BG610" s="1">
        <v>0.068427</v>
      </c>
      <c r="BH610" s="1">
        <v>0.005402</v>
      </c>
      <c r="BI610" s="1">
        <v>0.069027</v>
      </c>
      <c r="BJ610" s="1">
        <v>0.013805</v>
      </c>
      <c r="BK610" s="1">
        <v>0.070227</v>
      </c>
      <c r="BL610" s="1">
        <v>0.016721</v>
      </c>
      <c r="BM610" s="1">
        <v>0.129</v>
      </c>
      <c r="BN610" s="1">
        <v>0.202</v>
      </c>
      <c r="BO610" s="1">
        <v>0.0679</v>
      </c>
      <c r="BP610" s="1">
        <v>0.03</v>
      </c>
      <c r="BQ610" s="1">
        <v>0.4289</v>
      </c>
      <c r="BR610" s="1">
        <v>0.0455</v>
      </c>
      <c r="BS610" s="1">
        <v>0.182</v>
      </c>
      <c r="BT610" s="1">
        <v>0.796</v>
      </c>
      <c r="BU610" s="1">
        <v>0.224</v>
      </c>
      <c r="BV610" s="1">
        <v>1.202</v>
      </c>
      <c r="BW610" s="1">
        <v>0.23</v>
      </c>
      <c r="BX610" s="1">
        <v>0.456</v>
      </c>
      <c r="BY610" s="1">
        <v>0.651</v>
      </c>
      <c r="BZ610" s="1">
        <v>1.107</v>
      </c>
      <c r="CA610" s="1">
        <v>0.619</v>
      </c>
      <c r="CB610" s="1">
        <v>0.0</v>
      </c>
      <c r="CC610" s="1">
        <v>0.0</v>
      </c>
      <c r="CD610" s="1">
        <v>0.343</v>
      </c>
      <c r="CE610" s="1">
        <v>0.125</v>
      </c>
      <c r="CF610" s="1">
        <v>0.671</v>
      </c>
      <c r="CG610" s="1">
        <v>1.139</v>
      </c>
      <c r="CH610" s="1">
        <v>0.098</v>
      </c>
      <c r="CI610" s="1">
        <v>3.8769</v>
      </c>
      <c r="CJ610" s="1">
        <v>0.0751</v>
      </c>
      <c r="CK610" s="1">
        <v>0.0</v>
      </c>
      <c r="CL610" s="1">
        <v>0.0</v>
      </c>
      <c r="CM610" s="1">
        <v>0.0</v>
      </c>
      <c r="CN610" s="1">
        <v>0.0</v>
      </c>
      <c r="CO610" s="1">
        <v>0.0</v>
      </c>
      <c r="CP610" s="1">
        <v>0.0</v>
      </c>
      <c r="CQ610" s="1">
        <v>0.0</v>
      </c>
      <c r="CR610" s="1">
        <v>0.0</v>
      </c>
      <c r="CS610" s="1">
        <v>0.0</v>
      </c>
      <c r="CT610" s="1">
        <v>0.0</v>
      </c>
      <c r="CU610" s="1">
        <v>0.0</v>
      </c>
      <c r="CV610" s="1">
        <v>0.0</v>
      </c>
      <c r="CW610" s="1">
        <v>0.0</v>
      </c>
      <c r="CX610" s="1">
        <v>0.0</v>
      </c>
      <c r="CY610" s="1">
        <v>0.0</v>
      </c>
      <c r="CZ610" s="1">
        <v>0.0</v>
      </c>
      <c r="DA610" s="1">
        <v>0.0</v>
      </c>
      <c r="DB610" s="1">
        <v>0.0</v>
      </c>
      <c r="DC610" s="1">
        <v>0.0</v>
      </c>
      <c r="DD610" s="1" t="s">
        <v>2922</v>
      </c>
      <c r="DE610" s="1">
        <v>9.15206242240049E-4</v>
      </c>
      <c r="DF610" s="2" t="s">
        <v>2923</v>
      </c>
    </row>
    <row r="611" ht="15.75" customHeight="1">
      <c r="A611" s="1" t="s">
        <v>2924</v>
      </c>
      <c r="B611" s="1">
        <v>29.0</v>
      </c>
      <c r="C611" s="2" t="s">
        <v>2039</v>
      </c>
      <c r="D611" s="1">
        <v>980802.0</v>
      </c>
      <c r="E611" s="1">
        <v>1.017</v>
      </c>
      <c r="F611" s="1">
        <v>29095.0</v>
      </c>
      <c r="G611" s="1">
        <v>2.9095980802E10</v>
      </c>
      <c r="H611" s="1" t="s">
        <v>112</v>
      </c>
      <c r="I611" s="1" t="s">
        <v>113</v>
      </c>
      <c r="J611" s="1" t="s">
        <v>2041</v>
      </c>
      <c r="K611" s="1">
        <v>-999.0</v>
      </c>
      <c r="L611" s="1">
        <v>0.0</v>
      </c>
      <c r="M611" s="1">
        <v>-999.0</v>
      </c>
      <c r="N611" s="1">
        <v>-999.0</v>
      </c>
      <c r="O611" s="1">
        <v>-999.0</v>
      </c>
      <c r="P611" s="1">
        <v>-999.0</v>
      </c>
      <c r="Q611" s="1">
        <v>-999.0</v>
      </c>
      <c r="R611" s="1">
        <v>-999.0</v>
      </c>
      <c r="S611" s="1">
        <v>-999.0</v>
      </c>
      <c r="T611" s="1">
        <v>-999.0</v>
      </c>
      <c r="U611" s="1">
        <v>-999.0</v>
      </c>
      <c r="V611" s="1">
        <v>-999.0</v>
      </c>
      <c r="W611" s="1">
        <v>-999.0</v>
      </c>
      <c r="X611" s="1">
        <v>-999.0</v>
      </c>
      <c r="Y611" s="1">
        <v>-999.0</v>
      </c>
      <c r="Z611" s="1">
        <v>-999.0</v>
      </c>
      <c r="AA611" s="1">
        <v>-999.0</v>
      </c>
      <c r="AB611" s="1">
        <v>-999.0</v>
      </c>
      <c r="AC611" s="1">
        <v>-999.0</v>
      </c>
      <c r="AD611" s="1">
        <v>-999.0</v>
      </c>
      <c r="AE611" s="1">
        <v>-999.0</v>
      </c>
      <c r="AF611" s="1">
        <v>-999.0</v>
      </c>
      <c r="AG611" s="1">
        <v>-999.0</v>
      </c>
      <c r="AH611" s="1">
        <v>-999.0</v>
      </c>
      <c r="AI611" s="1">
        <v>-999.0</v>
      </c>
      <c r="AJ611" s="1">
        <v>-999.0</v>
      </c>
      <c r="AK611" s="1">
        <v>-999.0</v>
      </c>
      <c r="AL611" s="1">
        <v>-999.0</v>
      </c>
      <c r="AM611" s="1">
        <v>-999.0</v>
      </c>
      <c r="AN611" s="1">
        <v>-999.0</v>
      </c>
      <c r="AO611" s="1">
        <v>-999.0</v>
      </c>
      <c r="AP611" s="1">
        <v>-999.0</v>
      </c>
      <c r="AQ611" s="1">
        <v>-999.0</v>
      </c>
      <c r="AR611" s="1">
        <v>-999.0</v>
      </c>
      <c r="AS611" s="1">
        <v>-999.0</v>
      </c>
      <c r="AT611" s="1">
        <v>-999.0</v>
      </c>
      <c r="AU611" s="1">
        <v>-999.0</v>
      </c>
      <c r="AV611" s="1">
        <v>-999.0</v>
      </c>
      <c r="AW611" s="1">
        <v>-999.0</v>
      </c>
      <c r="AX611" s="1">
        <v>-999.0</v>
      </c>
      <c r="AY611" s="1">
        <v>-999.0</v>
      </c>
      <c r="AZ611" s="1">
        <v>-999.0</v>
      </c>
      <c r="BA611" s="1">
        <v>-999.0</v>
      </c>
      <c r="BB611" s="1">
        <v>-999.0</v>
      </c>
      <c r="BC611" s="1">
        <v>-999.0</v>
      </c>
      <c r="BD611" s="1">
        <v>-999.0</v>
      </c>
      <c r="BE611" s="1">
        <v>-999.0</v>
      </c>
      <c r="BF611" s="1">
        <v>-999.0</v>
      </c>
      <c r="BG611" s="1">
        <v>-999.0</v>
      </c>
      <c r="BH611" s="1">
        <v>-999.0</v>
      </c>
      <c r="BI611" s="1">
        <v>-999.0</v>
      </c>
      <c r="BJ611" s="1">
        <v>-999.0</v>
      </c>
      <c r="BK611" s="1">
        <v>-999.0</v>
      </c>
      <c r="BL611" s="1">
        <v>-999.0</v>
      </c>
      <c r="BM611" s="1">
        <v>-999.0</v>
      </c>
      <c r="BN611" s="1">
        <v>-999.0</v>
      </c>
      <c r="BO611" s="1">
        <v>-999.0</v>
      </c>
      <c r="BP611" s="1">
        <v>-999.0</v>
      </c>
      <c r="BQ611" s="1">
        <v>-999.0</v>
      </c>
      <c r="BR611" s="1">
        <v>-999.0</v>
      </c>
      <c r="BS611" s="1">
        <v>-999.0</v>
      </c>
      <c r="BT611" s="1">
        <v>-999.0</v>
      </c>
      <c r="BU611" s="1">
        <v>-999.0</v>
      </c>
      <c r="BV611" s="1">
        <v>-999.0</v>
      </c>
      <c r="BW611" s="1">
        <v>-999.0</v>
      </c>
      <c r="BX611" s="1">
        <v>-999.0</v>
      </c>
      <c r="BY611" s="1">
        <v>-999.0</v>
      </c>
      <c r="BZ611" s="1">
        <v>-999.0</v>
      </c>
      <c r="CA611" s="1">
        <v>-999.0</v>
      </c>
      <c r="CB611" s="1">
        <v>-999.0</v>
      </c>
      <c r="CC611" s="1">
        <v>-999.0</v>
      </c>
      <c r="CD611" s="1">
        <v>-999.0</v>
      </c>
      <c r="CE611" s="1">
        <v>-999.0</v>
      </c>
      <c r="CF611" s="1">
        <v>-999.0</v>
      </c>
      <c r="CG611" s="1">
        <v>-999.0</v>
      </c>
      <c r="CH611" s="1">
        <v>-999.0</v>
      </c>
      <c r="CI611" s="1">
        <v>-999.0</v>
      </c>
      <c r="CJ611" s="1">
        <v>-999.0</v>
      </c>
      <c r="CK611" s="1">
        <v>-999.0</v>
      </c>
      <c r="CL611" s="1">
        <v>-999.0</v>
      </c>
      <c r="CM611" s="1">
        <v>-999.0</v>
      </c>
      <c r="CN611" s="1">
        <v>-999.0</v>
      </c>
      <c r="CO611" s="1">
        <v>-999.0</v>
      </c>
      <c r="CP611" s="1">
        <v>-999.0</v>
      </c>
      <c r="CQ611" s="1">
        <v>-999.0</v>
      </c>
      <c r="CR611" s="1">
        <v>-999.0</v>
      </c>
      <c r="CS611" s="1">
        <v>-999.0</v>
      </c>
      <c r="CT611" s="1">
        <v>-999.0</v>
      </c>
      <c r="CU611" s="1">
        <v>-999.0</v>
      </c>
      <c r="CV611" s="1">
        <v>-999.0</v>
      </c>
      <c r="CW611" s="1">
        <v>-999.0</v>
      </c>
      <c r="CX611" s="1">
        <v>-999.0</v>
      </c>
      <c r="CY611" s="1">
        <v>-999.0</v>
      </c>
      <c r="CZ611" s="1">
        <v>-999.0</v>
      </c>
      <c r="DA611" s="1">
        <v>-999.0</v>
      </c>
      <c r="DB611" s="1">
        <v>-999.0</v>
      </c>
      <c r="DC611" s="1">
        <v>-999.0</v>
      </c>
      <c r="DD611" s="1" t="s">
        <v>2925</v>
      </c>
      <c r="DE611" s="1">
        <v>2.74555792184432E-4</v>
      </c>
      <c r="DF611" s="1">
        <v>0.0718828006439901</v>
      </c>
    </row>
    <row r="612" ht="15.75" customHeight="1">
      <c r="A612" s="1" t="s">
        <v>2926</v>
      </c>
      <c r="B612" s="1">
        <v>29.0</v>
      </c>
      <c r="C612" s="2" t="s">
        <v>2039</v>
      </c>
      <c r="D612" s="1">
        <v>989200.0</v>
      </c>
      <c r="E612" s="1">
        <v>1.661</v>
      </c>
      <c r="F612" s="1">
        <v>29095.0</v>
      </c>
      <c r="G612" s="1">
        <v>2.90959892E10</v>
      </c>
      <c r="H612" s="1" t="s">
        <v>112</v>
      </c>
      <c r="I612" s="1" t="s">
        <v>113</v>
      </c>
      <c r="J612" s="1" t="s">
        <v>2041</v>
      </c>
      <c r="K612" s="1">
        <v>-999.0</v>
      </c>
      <c r="L612" s="1">
        <v>0.0</v>
      </c>
      <c r="M612" s="1">
        <v>-999.0</v>
      </c>
      <c r="N612" s="1">
        <v>-999.0</v>
      </c>
      <c r="O612" s="1">
        <v>-999.0</v>
      </c>
      <c r="P612" s="1">
        <v>-999.0</v>
      </c>
      <c r="Q612" s="1">
        <v>-999.0</v>
      </c>
      <c r="R612" s="1">
        <v>-999.0</v>
      </c>
      <c r="S612" s="1">
        <v>-999.0</v>
      </c>
      <c r="T612" s="1">
        <v>-999.0</v>
      </c>
      <c r="U612" s="1">
        <v>-999.0</v>
      </c>
      <c r="V612" s="1">
        <v>-999.0</v>
      </c>
      <c r="W612" s="1">
        <v>-999.0</v>
      </c>
      <c r="X612" s="1">
        <v>-999.0</v>
      </c>
      <c r="Y612" s="1">
        <v>-999.0</v>
      </c>
      <c r="Z612" s="1">
        <v>-999.0</v>
      </c>
      <c r="AA612" s="1">
        <v>-999.0</v>
      </c>
      <c r="AB612" s="1">
        <v>-999.0</v>
      </c>
      <c r="AC612" s="1">
        <v>-999.0</v>
      </c>
      <c r="AD612" s="1">
        <v>-999.0</v>
      </c>
      <c r="AE612" s="1">
        <v>-999.0</v>
      </c>
      <c r="AF612" s="1">
        <v>-999.0</v>
      </c>
      <c r="AG612" s="1">
        <v>-999.0</v>
      </c>
      <c r="AH612" s="1">
        <v>-999.0</v>
      </c>
      <c r="AI612" s="1">
        <v>-999.0</v>
      </c>
      <c r="AJ612" s="1">
        <v>-999.0</v>
      </c>
      <c r="AK612" s="1">
        <v>-999.0</v>
      </c>
      <c r="AL612" s="1">
        <v>-999.0</v>
      </c>
      <c r="AM612" s="1">
        <v>-999.0</v>
      </c>
      <c r="AN612" s="1">
        <v>-999.0</v>
      </c>
      <c r="AO612" s="1">
        <v>-999.0</v>
      </c>
      <c r="AP612" s="1">
        <v>-999.0</v>
      </c>
      <c r="AQ612" s="1">
        <v>-999.0</v>
      </c>
      <c r="AR612" s="1">
        <v>-999.0</v>
      </c>
      <c r="AS612" s="1">
        <v>-999.0</v>
      </c>
      <c r="AT612" s="1">
        <v>-999.0</v>
      </c>
      <c r="AU612" s="1">
        <v>-999.0</v>
      </c>
      <c r="AV612" s="1">
        <v>-999.0</v>
      </c>
      <c r="AW612" s="1">
        <v>-999.0</v>
      </c>
      <c r="AX612" s="1">
        <v>-999.0</v>
      </c>
      <c r="AY612" s="1">
        <v>-999.0</v>
      </c>
      <c r="AZ612" s="1">
        <v>-999.0</v>
      </c>
      <c r="BA612" s="1">
        <v>-999.0</v>
      </c>
      <c r="BB612" s="1">
        <v>-999.0</v>
      </c>
      <c r="BC612" s="1">
        <v>-999.0</v>
      </c>
      <c r="BD612" s="1">
        <v>-999.0</v>
      </c>
      <c r="BE612" s="1">
        <v>-999.0</v>
      </c>
      <c r="BF612" s="1">
        <v>-999.0</v>
      </c>
      <c r="BG612" s="1">
        <v>-999.0</v>
      </c>
      <c r="BH612" s="1">
        <v>-999.0</v>
      </c>
      <c r="BI612" s="1">
        <v>-999.0</v>
      </c>
      <c r="BJ612" s="1">
        <v>-999.0</v>
      </c>
      <c r="BK612" s="1">
        <v>-999.0</v>
      </c>
      <c r="BL612" s="1">
        <v>-999.0</v>
      </c>
      <c r="BM612" s="1">
        <v>-999.0</v>
      </c>
      <c r="BN612" s="1">
        <v>-999.0</v>
      </c>
      <c r="BO612" s="1">
        <v>-999.0</v>
      </c>
      <c r="BP612" s="1">
        <v>-999.0</v>
      </c>
      <c r="BQ612" s="1">
        <v>-999.0</v>
      </c>
      <c r="BR612" s="1">
        <v>-999.0</v>
      </c>
      <c r="BS612" s="1">
        <v>-999.0</v>
      </c>
      <c r="BT612" s="1">
        <v>-999.0</v>
      </c>
      <c r="BU612" s="1">
        <v>-999.0</v>
      </c>
      <c r="BV612" s="1">
        <v>-999.0</v>
      </c>
      <c r="BW612" s="1">
        <v>-999.0</v>
      </c>
      <c r="BX612" s="1">
        <v>-999.0</v>
      </c>
      <c r="BY612" s="1">
        <v>-999.0</v>
      </c>
      <c r="BZ612" s="1">
        <v>-999.0</v>
      </c>
      <c r="CA612" s="1">
        <v>-999.0</v>
      </c>
      <c r="CB612" s="1">
        <v>-999.0</v>
      </c>
      <c r="CC612" s="1">
        <v>-999.0</v>
      </c>
      <c r="CD612" s="1">
        <v>-999.0</v>
      </c>
      <c r="CE612" s="1">
        <v>-999.0</v>
      </c>
      <c r="CF612" s="1">
        <v>-999.0</v>
      </c>
      <c r="CG612" s="1">
        <v>-999.0</v>
      </c>
      <c r="CH612" s="1">
        <v>-999.0</v>
      </c>
      <c r="CI612" s="1">
        <v>-999.0</v>
      </c>
      <c r="CJ612" s="1">
        <v>-999.0</v>
      </c>
      <c r="CK612" s="1">
        <v>-999.0</v>
      </c>
      <c r="CL612" s="1">
        <v>-999.0</v>
      </c>
      <c r="CM612" s="1">
        <v>-999.0</v>
      </c>
      <c r="CN612" s="1">
        <v>-999.0</v>
      </c>
      <c r="CO612" s="1">
        <v>-999.0</v>
      </c>
      <c r="CP612" s="1">
        <v>-999.0</v>
      </c>
      <c r="CQ612" s="1">
        <v>-999.0</v>
      </c>
      <c r="CR612" s="1">
        <v>-999.0</v>
      </c>
      <c r="CS612" s="1">
        <v>-999.0</v>
      </c>
      <c r="CT612" s="1">
        <v>-999.0</v>
      </c>
      <c r="CU612" s="1">
        <v>-999.0</v>
      </c>
      <c r="CV612" s="1">
        <v>-999.0</v>
      </c>
      <c r="CW612" s="1">
        <v>-999.0</v>
      </c>
      <c r="CX612" s="1">
        <v>-999.0</v>
      </c>
      <c r="CY612" s="1">
        <v>-999.0</v>
      </c>
      <c r="CZ612" s="1">
        <v>-999.0</v>
      </c>
      <c r="DA612" s="1">
        <v>-999.0</v>
      </c>
      <c r="DB612" s="1">
        <v>-999.0</v>
      </c>
      <c r="DC612" s="1">
        <v>-999.0</v>
      </c>
      <c r="DD612" s="1" t="s">
        <v>2927</v>
      </c>
      <c r="DE612" s="1">
        <v>4.4862851024944E-4</v>
      </c>
      <c r="DF612" s="2" t="s">
        <v>2928</v>
      </c>
    </row>
    <row r="613" ht="15.75" customHeight="1">
      <c r="A613" s="1" t="s">
        <v>2929</v>
      </c>
      <c r="B613" s="1">
        <v>29.0</v>
      </c>
      <c r="C613" s="2" t="s">
        <v>2930</v>
      </c>
      <c r="D613" s="2" t="s">
        <v>1261</v>
      </c>
      <c r="E613" s="1">
        <v>1.834</v>
      </c>
      <c r="F613" s="1">
        <v>29097.0</v>
      </c>
      <c r="G613" s="1">
        <v>2.90970105E10</v>
      </c>
      <c r="H613" s="1" t="s">
        <v>112</v>
      </c>
      <c r="I613" s="1" t="s">
        <v>113</v>
      </c>
      <c r="J613" s="1" t="s">
        <v>2931</v>
      </c>
      <c r="K613" s="1" t="s">
        <v>2932</v>
      </c>
      <c r="L613" s="1">
        <v>5205.0</v>
      </c>
      <c r="M613" s="1">
        <v>5520.0</v>
      </c>
      <c r="N613" s="1">
        <v>487.0</v>
      </c>
      <c r="O613" s="1">
        <v>2494.0</v>
      </c>
      <c r="P613" s="1">
        <v>2559.0</v>
      </c>
      <c r="Q613" s="1">
        <v>117.0</v>
      </c>
      <c r="R613" s="1">
        <v>2334.0</v>
      </c>
      <c r="S613" s="1">
        <v>729.0</v>
      </c>
      <c r="T613" s="1">
        <v>294.0</v>
      </c>
      <c r="U613" s="1">
        <v>199.0</v>
      </c>
      <c r="V613" s="1">
        <v>440.0</v>
      </c>
      <c r="W613" s="1">
        <v>21771.0</v>
      </c>
      <c r="X613" s="1">
        <v>2471.0</v>
      </c>
      <c r="Y613" s="1">
        <v>429.0</v>
      </c>
      <c r="Z613" s="1">
        <v>346.0</v>
      </c>
      <c r="AA613" s="1">
        <v>928.0</v>
      </c>
      <c r="AB613" s="1">
        <v>1124.0</v>
      </c>
      <c r="AC613" s="1">
        <v>254.0</v>
      </c>
      <c r="AD613" s="1">
        <v>757.0</v>
      </c>
      <c r="AE613" s="1">
        <v>14.0</v>
      </c>
      <c r="AF613" s="1">
        <v>442.0</v>
      </c>
      <c r="AG613" s="1">
        <v>97.0</v>
      </c>
      <c r="AH613" s="1">
        <v>128.0</v>
      </c>
      <c r="AI613" s="1">
        <v>6.0</v>
      </c>
      <c r="AJ613" s="1">
        <v>11.0</v>
      </c>
      <c r="AK613" s="1">
        <v>53.0</v>
      </c>
      <c r="AL613" s="1">
        <v>127.0</v>
      </c>
      <c r="AM613" s="1">
        <v>112.0</v>
      </c>
      <c r="AN613" s="1">
        <v>85.0</v>
      </c>
      <c r="AO613" s="1">
        <v>0.0</v>
      </c>
      <c r="AP613" s="1">
        <v>0.133614</v>
      </c>
      <c r="AQ613" s="1">
        <v>0.052571</v>
      </c>
      <c r="AR613" s="1">
        <v>0.067297</v>
      </c>
      <c r="AS613" s="1">
        <v>0.148553</v>
      </c>
      <c r="AT613" s="1">
        <v>21771.0</v>
      </c>
      <c r="AU613" s="1">
        <v>2471.0</v>
      </c>
      <c r="AV613" s="1">
        <v>0.117469</v>
      </c>
      <c r="AW613" s="1">
        <v>0.094346</v>
      </c>
      <c r="AX613" s="1">
        <v>0.17829</v>
      </c>
      <c r="AY613" s="1">
        <v>0.215946</v>
      </c>
      <c r="AZ613" s="1">
        <v>0.10882604</v>
      </c>
      <c r="BA613" s="1">
        <v>0.145437</v>
      </c>
      <c r="BB613" s="1">
        <v>0.002766</v>
      </c>
      <c r="BC613" s="1">
        <v>0.087351</v>
      </c>
      <c r="BD613" s="1">
        <v>0.037905</v>
      </c>
      <c r="BE613" s="1">
        <v>0.049989</v>
      </c>
      <c r="BF613" s="1">
        <v>0.002344</v>
      </c>
      <c r="BG613" s="1">
        <v>0.004297</v>
      </c>
      <c r="BH613" s="1">
        <v>0.021712</v>
      </c>
      <c r="BI613" s="1">
        <v>0.052015</v>
      </c>
      <c r="BJ613" s="1">
        <v>0.045882</v>
      </c>
      <c r="BK613" s="1">
        <v>0.034742</v>
      </c>
      <c r="BL613" s="1">
        <v>0.0</v>
      </c>
      <c r="BM613" s="1">
        <v>0.511</v>
      </c>
      <c r="BN613" s="1">
        <v>0.492</v>
      </c>
      <c r="BO613" s="1">
        <v>0.5061</v>
      </c>
      <c r="BP613" s="1">
        <v>0.416</v>
      </c>
      <c r="BQ613" s="1">
        <v>1.9251</v>
      </c>
      <c r="BR613" s="1">
        <v>0.4686</v>
      </c>
      <c r="BS613" s="1">
        <v>0.776</v>
      </c>
      <c r="BT613" s="1">
        <v>0.276</v>
      </c>
      <c r="BU613" s="1">
        <v>0.574</v>
      </c>
      <c r="BV613" s="1">
        <v>1.626</v>
      </c>
      <c r="BW613" s="1">
        <v>0.584</v>
      </c>
      <c r="BX613" s="1">
        <v>0.607</v>
      </c>
      <c r="BY613" s="1">
        <v>0.433</v>
      </c>
      <c r="BZ613" s="1">
        <v>1.04</v>
      </c>
      <c r="CA613" s="1">
        <v>0.574</v>
      </c>
      <c r="CB613" s="1">
        <v>0.6</v>
      </c>
      <c r="CC613" s="1">
        <v>0.369</v>
      </c>
      <c r="CD613" s="1">
        <v>0.705</v>
      </c>
      <c r="CE613" s="1">
        <v>0.45</v>
      </c>
      <c r="CF613" s="1">
        <v>0.0</v>
      </c>
      <c r="CG613" s="1">
        <v>2.124</v>
      </c>
      <c r="CH613" s="1">
        <v>0.391</v>
      </c>
      <c r="CI613" s="1">
        <v>6.7151</v>
      </c>
      <c r="CJ613" s="1">
        <v>0.4939</v>
      </c>
      <c r="CK613" s="1">
        <v>0.0</v>
      </c>
      <c r="CL613" s="1">
        <v>0.0</v>
      </c>
      <c r="CM613" s="1">
        <v>0.0</v>
      </c>
      <c r="CN613" s="1">
        <v>0.0</v>
      </c>
      <c r="CO613" s="1">
        <v>0.0</v>
      </c>
      <c r="CP613" s="1">
        <v>0.0</v>
      </c>
      <c r="CQ613" s="1">
        <v>0.0</v>
      </c>
      <c r="CR613" s="1">
        <v>0.0</v>
      </c>
      <c r="CS613" s="1">
        <v>0.0</v>
      </c>
      <c r="CT613" s="1">
        <v>0.0</v>
      </c>
      <c r="CU613" s="1">
        <v>0.0</v>
      </c>
      <c r="CV613" s="1">
        <v>0.0</v>
      </c>
      <c r="CW613" s="1">
        <v>0.0</v>
      </c>
      <c r="CX613" s="1">
        <v>0.0</v>
      </c>
      <c r="CY613" s="1">
        <v>0.0</v>
      </c>
      <c r="CZ613" s="1">
        <v>0.0</v>
      </c>
      <c r="DA613" s="1">
        <v>0.0</v>
      </c>
      <c r="DB613" s="1">
        <v>0.0</v>
      </c>
      <c r="DC613" s="1">
        <v>0.0</v>
      </c>
      <c r="DD613" s="1" t="s">
        <v>2933</v>
      </c>
      <c r="DE613" s="1">
        <v>4.80898259708695E-4</v>
      </c>
      <c r="DF613" s="1">
        <v>0.0916561656964325</v>
      </c>
    </row>
    <row r="614" ht="15.75" customHeight="1">
      <c r="A614" s="1" t="s">
        <v>2934</v>
      </c>
      <c r="B614" s="1">
        <v>29.0</v>
      </c>
      <c r="C614" s="2" t="s">
        <v>2930</v>
      </c>
      <c r="D614" s="2" t="s">
        <v>1294</v>
      </c>
      <c r="E614" s="1">
        <v>0.983</v>
      </c>
      <c r="F614" s="1">
        <v>29097.0</v>
      </c>
      <c r="G614" s="1">
        <v>2.90970108E10</v>
      </c>
      <c r="H614" s="1" t="s">
        <v>112</v>
      </c>
      <c r="I614" s="1" t="s">
        <v>113</v>
      </c>
      <c r="J614" s="1" t="s">
        <v>2931</v>
      </c>
      <c r="K614" s="1" t="s">
        <v>2935</v>
      </c>
      <c r="L614" s="1">
        <v>4444.0</v>
      </c>
      <c r="M614" s="1">
        <v>4217.0</v>
      </c>
      <c r="N614" s="1">
        <v>392.0</v>
      </c>
      <c r="O614" s="1">
        <v>2147.0</v>
      </c>
      <c r="P614" s="1">
        <v>2122.0</v>
      </c>
      <c r="Q614" s="1">
        <v>107.0</v>
      </c>
      <c r="R614" s="1">
        <v>1838.0</v>
      </c>
      <c r="S614" s="1">
        <v>1342.0</v>
      </c>
      <c r="T614" s="1">
        <v>400.0</v>
      </c>
      <c r="U614" s="1">
        <v>161.0</v>
      </c>
      <c r="V614" s="1">
        <v>402.0</v>
      </c>
      <c r="W614" s="1">
        <v>13715.0</v>
      </c>
      <c r="X614" s="1">
        <v>1428.0</v>
      </c>
      <c r="Y614" s="1">
        <v>698.0</v>
      </c>
      <c r="Z614" s="1">
        <v>232.0</v>
      </c>
      <c r="AA614" s="1">
        <v>494.0</v>
      </c>
      <c r="AB614" s="1">
        <v>1037.0</v>
      </c>
      <c r="AC614" s="1">
        <v>275.0</v>
      </c>
      <c r="AD614" s="1">
        <v>657.0</v>
      </c>
      <c r="AE614" s="1">
        <v>17.0</v>
      </c>
      <c r="AF614" s="1">
        <v>427.0</v>
      </c>
      <c r="AG614" s="1">
        <v>0.0</v>
      </c>
      <c r="AH614" s="1">
        <v>197.0</v>
      </c>
      <c r="AI614" s="1">
        <v>32.0</v>
      </c>
      <c r="AJ614" s="1">
        <v>50.0</v>
      </c>
      <c r="AK614" s="1">
        <v>46.0</v>
      </c>
      <c r="AL614" s="1">
        <v>122.0</v>
      </c>
      <c r="AM614" s="1">
        <v>243.0</v>
      </c>
      <c r="AN614" s="1">
        <v>97.0</v>
      </c>
      <c r="AO614" s="1">
        <v>124.0</v>
      </c>
      <c r="AP614" s="1">
        <v>0.326282</v>
      </c>
      <c r="AQ614" s="1">
        <v>0.092742</v>
      </c>
      <c r="AR614" s="1">
        <v>0.078345</v>
      </c>
      <c r="AS614" s="1">
        <v>0.19532</v>
      </c>
      <c r="AT614" s="1">
        <v>13715.0</v>
      </c>
      <c r="AU614" s="1">
        <v>1428.0</v>
      </c>
      <c r="AV614" s="1">
        <v>0.253633</v>
      </c>
      <c r="AW614" s="1">
        <v>0.079009</v>
      </c>
      <c r="AX614" s="1">
        <v>0.111161</v>
      </c>
      <c r="AY614" s="1">
        <v>0.233348</v>
      </c>
      <c r="AZ614" s="1">
        <v>0.14961915</v>
      </c>
      <c r="BA614" s="1">
        <v>0.147839</v>
      </c>
      <c r="BB614" s="1">
        <v>0.004521</v>
      </c>
      <c r="BC614" s="1">
        <v>0.113563</v>
      </c>
      <c r="BD614" s="1">
        <v>0.0</v>
      </c>
      <c r="BE614" s="1">
        <v>0.092836</v>
      </c>
      <c r="BF614" s="1">
        <v>0.01508</v>
      </c>
      <c r="BG614" s="1">
        <v>0.02355</v>
      </c>
      <c r="BH614" s="1">
        <v>0.026195</v>
      </c>
      <c r="BI614" s="1">
        <v>0.069435</v>
      </c>
      <c r="BJ614" s="1">
        <v>0.138382</v>
      </c>
      <c r="BK614" s="1">
        <v>0.05378</v>
      </c>
      <c r="BL614" s="1">
        <v>0.027902</v>
      </c>
      <c r="BM614" s="1">
        <v>0.909</v>
      </c>
      <c r="BN614" s="1">
        <v>0.596</v>
      </c>
      <c r="BO614" s="1">
        <v>0.9184</v>
      </c>
      <c r="BP614" s="1">
        <v>0.877</v>
      </c>
      <c r="BQ614" s="1">
        <v>3.3004</v>
      </c>
      <c r="BR614" s="1">
        <v>0.8787</v>
      </c>
      <c r="BS614" s="1">
        <v>0.281</v>
      </c>
      <c r="BT614" s="1">
        <v>0.421</v>
      </c>
      <c r="BU614" s="1">
        <v>0.792</v>
      </c>
      <c r="BV614" s="1">
        <v>1.494</v>
      </c>
      <c r="BW614" s="1">
        <v>0.481</v>
      </c>
      <c r="BX614" s="1">
        <v>0.619</v>
      </c>
      <c r="BY614" s="1">
        <v>0.539</v>
      </c>
      <c r="BZ614" s="1">
        <v>1.158</v>
      </c>
      <c r="CA614" s="1">
        <v>0.639</v>
      </c>
      <c r="CB614" s="1">
        <v>0.0</v>
      </c>
      <c r="CC614" s="1">
        <v>0.489</v>
      </c>
      <c r="CD614" s="1">
        <v>0.772</v>
      </c>
      <c r="CE614" s="1">
        <v>0.843</v>
      </c>
      <c r="CF614" s="1">
        <v>0.794</v>
      </c>
      <c r="CG614" s="1">
        <v>2.898</v>
      </c>
      <c r="CH614" s="1">
        <v>0.732</v>
      </c>
      <c r="CI614" s="1">
        <v>8.8504</v>
      </c>
      <c r="CJ614" s="1">
        <v>0.8339</v>
      </c>
      <c r="CK614" s="1">
        <v>1.0</v>
      </c>
      <c r="CL614" s="1">
        <v>0.0</v>
      </c>
      <c r="CM614" s="1">
        <v>1.0</v>
      </c>
      <c r="CN614" s="1">
        <v>0.0</v>
      </c>
      <c r="CO614" s="1">
        <v>2.0</v>
      </c>
      <c r="CP614" s="1">
        <v>0.0</v>
      </c>
      <c r="CQ614" s="1">
        <v>0.0</v>
      </c>
      <c r="CR614" s="1">
        <v>0.0</v>
      </c>
      <c r="CS614" s="1">
        <v>0.0</v>
      </c>
      <c r="CT614" s="1">
        <v>0.0</v>
      </c>
      <c r="CU614" s="1">
        <v>0.0</v>
      </c>
      <c r="CV614" s="1">
        <v>0.0</v>
      </c>
      <c r="CW614" s="1">
        <v>0.0</v>
      </c>
      <c r="CX614" s="1">
        <v>0.0</v>
      </c>
      <c r="CY614" s="1">
        <v>0.0</v>
      </c>
      <c r="CZ614" s="1">
        <v>0.0</v>
      </c>
      <c r="DA614" s="1">
        <v>0.0</v>
      </c>
      <c r="DB614" s="1">
        <v>0.0</v>
      </c>
      <c r="DC614" s="1">
        <v>2.0</v>
      </c>
      <c r="DD614" s="1" t="s">
        <v>2936</v>
      </c>
      <c r="DE614" s="1">
        <v>2.56922440404525E-4</v>
      </c>
      <c r="DF614" s="1">
        <v>0.0649894391783793</v>
      </c>
    </row>
    <row r="615" ht="15.75" customHeight="1">
      <c r="A615" s="1" t="s">
        <v>2937</v>
      </c>
      <c r="B615" s="1">
        <v>29.0</v>
      </c>
      <c r="C615" s="2" t="s">
        <v>2930</v>
      </c>
      <c r="D615" s="2" t="s">
        <v>2601</v>
      </c>
      <c r="E615" s="1">
        <v>9.076</v>
      </c>
      <c r="F615" s="1">
        <v>29097.0</v>
      </c>
      <c r="G615" s="1">
        <v>2.90970116E10</v>
      </c>
      <c r="H615" s="1" t="s">
        <v>112</v>
      </c>
      <c r="I615" s="1" t="s">
        <v>113</v>
      </c>
      <c r="J615" s="1" t="s">
        <v>2931</v>
      </c>
      <c r="K615" s="1" t="s">
        <v>2938</v>
      </c>
      <c r="L615" s="1">
        <v>5232.0</v>
      </c>
      <c r="M615" s="1">
        <v>5737.0</v>
      </c>
      <c r="N615" s="1">
        <v>553.0</v>
      </c>
      <c r="O615" s="1">
        <v>1935.0</v>
      </c>
      <c r="P615" s="1">
        <v>2174.0</v>
      </c>
      <c r="Q615" s="1">
        <v>127.0</v>
      </c>
      <c r="R615" s="1">
        <v>1654.0</v>
      </c>
      <c r="S615" s="1">
        <v>1965.0</v>
      </c>
      <c r="T615" s="1">
        <v>728.0</v>
      </c>
      <c r="U615" s="1">
        <v>214.0</v>
      </c>
      <c r="V615" s="1">
        <v>393.0</v>
      </c>
      <c r="W615" s="1">
        <v>14298.0</v>
      </c>
      <c r="X615" s="1">
        <v>2297.0</v>
      </c>
      <c r="Y615" s="1">
        <v>1406.0</v>
      </c>
      <c r="Z615" s="1">
        <v>273.0</v>
      </c>
      <c r="AA615" s="1">
        <v>474.0</v>
      </c>
      <c r="AB615" s="1">
        <v>1573.0</v>
      </c>
      <c r="AC615" s="1">
        <v>289.0</v>
      </c>
      <c r="AD615" s="1">
        <v>2337.0</v>
      </c>
      <c r="AE615" s="1">
        <v>1200.0</v>
      </c>
      <c r="AF615" s="1">
        <v>566.0</v>
      </c>
      <c r="AG615" s="1">
        <v>42.0</v>
      </c>
      <c r="AH615" s="1">
        <v>118.0</v>
      </c>
      <c r="AI615" s="1">
        <v>329.0</v>
      </c>
      <c r="AJ615" s="1">
        <v>153.0</v>
      </c>
      <c r="AK615" s="1">
        <v>200.0</v>
      </c>
      <c r="AL615" s="1">
        <v>165.0</v>
      </c>
      <c r="AM615" s="1">
        <v>204.0</v>
      </c>
      <c r="AN615" s="1">
        <v>93.0</v>
      </c>
      <c r="AO615" s="1">
        <v>228.0</v>
      </c>
      <c r="AP615" s="1">
        <v>0.355978</v>
      </c>
      <c r="AQ615" s="1">
        <v>0.127308</v>
      </c>
      <c r="AR615" s="1">
        <v>0.088686</v>
      </c>
      <c r="AS615" s="1">
        <v>0.162356</v>
      </c>
      <c r="AT615" s="1">
        <v>14298.0</v>
      </c>
      <c r="AU615" s="1">
        <v>2297.0</v>
      </c>
      <c r="AV615" s="1">
        <v>0.419826</v>
      </c>
      <c r="AW615" s="1">
        <v>0.075146</v>
      </c>
      <c r="AX615" s="1">
        <v>0.090596</v>
      </c>
      <c r="AY615" s="1">
        <v>0.300649</v>
      </c>
      <c r="AZ615" s="1">
        <v>0.17472793</v>
      </c>
      <c r="BA615" s="1">
        <v>0.446674</v>
      </c>
      <c r="BB615" s="1">
        <v>0.239808</v>
      </c>
      <c r="BC615" s="1">
        <v>0.110911</v>
      </c>
      <c r="BD615" s="1">
        <v>0.019319</v>
      </c>
      <c r="BE615" s="1">
        <v>0.054266</v>
      </c>
      <c r="BF615" s="1">
        <v>0.151333</v>
      </c>
      <c r="BG615" s="1">
        <v>0.069819</v>
      </c>
      <c r="BH615" s="1">
        <v>0.104712</v>
      </c>
      <c r="BI615" s="1">
        <v>0.08604</v>
      </c>
      <c r="BJ615" s="1">
        <v>0.106806</v>
      </c>
      <c r="BK615" s="1">
        <v>0.048048</v>
      </c>
      <c r="BL615" s="1">
        <v>0.043577</v>
      </c>
      <c r="BM615" s="1">
        <v>0.927</v>
      </c>
      <c r="BN615" s="1">
        <v>0.672</v>
      </c>
      <c r="BO615" s="1">
        <v>0.9004</v>
      </c>
      <c r="BP615" s="1">
        <v>0.993</v>
      </c>
      <c r="BQ615" s="1">
        <v>3.4924</v>
      </c>
      <c r="BR615" s="1">
        <v>0.9206</v>
      </c>
      <c r="BS615" s="1">
        <v>0.163</v>
      </c>
      <c r="BT615" s="1">
        <v>0.923</v>
      </c>
      <c r="BU615" s="1">
        <v>0.853</v>
      </c>
      <c r="BV615" s="1">
        <v>1.939</v>
      </c>
      <c r="BW615" s="1">
        <v>0.828</v>
      </c>
      <c r="BX615" s="1">
        <v>0.855</v>
      </c>
      <c r="BY615" s="1">
        <v>0.997</v>
      </c>
      <c r="BZ615" s="1">
        <v>1.852</v>
      </c>
      <c r="CA615" s="1">
        <v>0.979</v>
      </c>
      <c r="CB615" s="1">
        <v>0.457</v>
      </c>
      <c r="CC615" s="1">
        <v>0.821</v>
      </c>
      <c r="CD615" s="1">
        <v>0.996</v>
      </c>
      <c r="CE615" s="1">
        <v>0.77</v>
      </c>
      <c r="CF615" s="1">
        <v>0.876</v>
      </c>
      <c r="CG615" s="1">
        <v>3.92</v>
      </c>
      <c r="CH615" s="1">
        <v>0.994</v>
      </c>
      <c r="CI615" s="1">
        <v>11.2034</v>
      </c>
      <c r="CJ615" s="1">
        <v>0.9978</v>
      </c>
      <c r="CK615" s="1">
        <v>1.0</v>
      </c>
      <c r="CL615" s="1">
        <v>0.0</v>
      </c>
      <c r="CM615" s="1">
        <v>1.0</v>
      </c>
      <c r="CN615" s="1">
        <v>1.0</v>
      </c>
      <c r="CO615" s="1">
        <v>3.0</v>
      </c>
      <c r="CP615" s="1">
        <v>0.0</v>
      </c>
      <c r="CQ615" s="1">
        <v>1.0</v>
      </c>
      <c r="CR615" s="1">
        <v>0.0</v>
      </c>
      <c r="CS615" s="1">
        <v>1.0</v>
      </c>
      <c r="CT615" s="1">
        <v>0.0</v>
      </c>
      <c r="CU615" s="1">
        <v>1.0</v>
      </c>
      <c r="CV615" s="1">
        <v>1.0</v>
      </c>
      <c r="CW615" s="1">
        <v>0.0</v>
      </c>
      <c r="CX615" s="1">
        <v>0.0</v>
      </c>
      <c r="CY615" s="1">
        <v>1.0</v>
      </c>
      <c r="CZ615" s="1">
        <v>0.0</v>
      </c>
      <c r="DA615" s="1">
        <v>0.0</v>
      </c>
      <c r="DB615" s="1">
        <v>1.0</v>
      </c>
      <c r="DC615" s="1">
        <v>6.0</v>
      </c>
      <c r="DD615" s="1" t="s">
        <v>2939</v>
      </c>
      <c r="DE615" s="1">
        <v>0.0024201659949008</v>
      </c>
      <c r="DF615" s="2" t="s">
        <v>2940</v>
      </c>
    </row>
    <row r="616" ht="15.75" customHeight="1">
      <c r="A616" s="1" t="s">
        <v>2941</v>
      </c>
      <c r="B616" s="1">
        <v>29.0</v>
      </c>
      <c r="C616" s="2" t="s">
        <v>2930</v>
      </c>
      <c r="D616" s="2" t="s">
        <v>1299</v>
      </c>
      <c r="E616" s="1">
        <v>9.43</v>
      </c>
      <c r="F616" s="1">
        <v>29097.0</v>
      </c>
      <c r="G616" s="1">
        <v>2.90970109E10</v>
      </c>
      <c r="H616" s="1" t="s">
        <v>112</v>
      </c>
      <c r="I616" s="1" t="s">
        <v>113</v>
      </c>
      <c r="J616" s="1" t="s">
        <v>2931</v>
      </c>
      <c r="K616" s="1" t="s">
        <v>2942</v>
      </c>
      <c r="L616" s="1">
        <v>6531.0</v>
      </c>
      <c r="M616" s="1">
        <v>6709.0</v>
      </c>
      <c r="N616" s="1">
        <v>606.0</v>
      </c>
      <c r="O616" s="1">
        <v>2865.0</v>
      </c>
      <c r="P616" s="1">
        <v>2823.0</v>
      </c>
      <c r="Q616" s="1">
        <v>116.0</v>
      </c>
      <c r="R616" s="1">
        <v>2643.0</v>
      </c>
      <c r="S616" s="1">
        <v>875.0</v>
      </c>
      <c r="T616" s="1">
        <v>384.0</v>
      </c>
      <c r="U616" s="1">
        <v>242.0</v>
      </c>
      <c r="V616" s="1">
        <v>389.0</v>
      </c>
      <c r="W616" s="1">
        <v>23854.0</v>
      </c>
      <c r="X616" s="1">
        <v>3149.0</v>
      </c>
      <c r="Y616" s="1">
        <v>996.0</v>
      </c>
      <c r="Z616" s="1">
        <v>374.0</v>
      </c>
      <c r="AA616" s="1">
        <v>925.0</v>
      </c>
      <c r="AB616" s="1">
        <v>1684.0</v>
      </c>
      <c r="AC616" s="1">
        <v>295.0</v>
      </c>
      <c r="AD616" s="1">
        <v>773.0</v>
      </c>
      <c r="AE616" s="1">
        <v>0.0</v>
      </c>
      <c r="AF616" s="1">
        <v>456.0</v>
      </c>
      <c r="AG616" s="1">
        <v>57.0</v>
      </c>
      <c r="AH616" s="1">
        <v>175.0</v>
      </c>
      <c r="AI616" s="1">
        <v>72.0</v>
      </c>
      <c r="AJ616" s="1">
        <v>69.0</v>
      </c>
      <c r="AK616" s="1">
        <v>18.0</v>
      </c>
      <c r="AL616" s="1">
        <v>115.0</v>
      </c>
      <c r="AM616" s="1">
        <v>142.0</v>
      </c>
      <c r="AN616" s="1">
        <v>77.0</v>
      </c>
      <c r="AO616" s="1">
        <v>142.0</v>
      </c>
      <c r="AP616" s="1">
        <v>0.134781</v>
      </c>
      <c r="AQ616" s="1">
        <v>0.057845</v>
      </c>
      <c r="AR616" s="1">
        <v>0.075131</v>
      </c>
      <c r="AS616" s="1">
        <v>0.120325</v>
      </c>
      <c r="AT616" s="1">
        <v>23854.0</v>
      </c>
      <c r="AU616" s="1">
        <v>3149.0</v>
      </c>
      <c r="AV616" s="1">
        <v>0.227865</v>
      </c>
      <c r="AW616" s="1">
        <v>0.083595</v>
      </c>
      <c r="AX616" s="1">
        <v>0.141632</v>
      </c>
      <c r="AY616" s="1">
        <v>0.257847</v>
      </c>
      <c r="AZ616" s="1">
        <v>0.11161558</v>
      </c>
      <c r="BA616" s="1">
        <v>0.118358</v>
      </c>
      <c r="BB616" s="1">
        <v>0.0</v>
      </c>
      <c r="BC616" s="1">
        <v>0.073041</v>
      </c>
      <c r="BD616" s="1">
        <v>0.020191</v>
      </c>
      <c r="BE616" s="1">
        <v>0.061985</v>
      </c>
      <c r="BF616" s="1">
        <v>0.025504</v>
      </c>
      <c r="BG616" s="1">
        <v>0.024419</v>
      </c>
      <c r="BH616" s="1">
        <v>0.006925</v>
      </c>
      <c r="BI616" s="1">
        <v>0.044245</v>
      </c>
      <c r="BJ616" s="1">
        <v>0.054636</v>
      </c>
      <c r="BK616" s="1">
        <v>0.029402</v>
      </c>
      <c r="BL616" s="1">
        <v>0.021742</v>
      </c>
      <c r="BM616" s="1">
        <v>0.516</v>
      </c>
      <c r="BN616" s="1">
        <v>0.561</v>
      </c>
      <c r="BO616" s="1">
        <v>0.4014</v>
      </c>
      <c r="BP616" s="1">
        <v>0.823</v>
      </c>
      <c r="BQ616" s="1">
        <v>2.3014</v>
      </c>
      <c r="BR616" s="1">
        <v>0.6043</v>
      </c>
      <c r="BS616" s="1">
        <v>0.51</v>
      </c>
      <c r="BT616" s="1">
        <v>0.684</v>
      </c>
      <c r="BU616" s="1">
        <v>0.599</v>
      </c>
      <c r="BV616" s="1">
        <v>1.793</v>
      </c>
      <c r="BW616" s="1">
        <v>0.712</v>
      </c>
      <c r="BX616" s="1">
        <v>0.533</v>
      </c>
      <c r="BY616" s="1">
        <v>0.0</v>
      </c>
      <c r="BZ616" s="1">
        <v>0.533</v>
      </c>
      <c r="CA616" s="1">
        <v>0.23</v>
      </c>
      <c r="CB616" s="1">
        <v>0.464</v>
      </c>
      <c r="CC616" s="1">
        <v>0.533</v>
      </c>
      <c r="CD616" s="1">
        <v>0.39</v>
      </c>
      <c r="CE616" s="1">
        <v>0.526</v>
      </c>
      <c r="CF616" s="1">
        <v>0.733</v>
      </c>
      <c r="CG616" s="1">
        <v>2.646</v>
      </c>
      <c r="CH616" s="1">
        <v>0.62</v>
      </c>
      <c r="CI616" s="1">
        <v>7.2734</v>
      </c>
      <c r="CJ616" s="1">
        <v>0.6029</v>
      </c>
      <c r="CK616" s="1">
        <v>0.0</v>
      </c>
      <c r="CL616" s="1">
        <v>0.0</v>
      </c>
      <c r="CM616" s="1">
        <v>0.0</v>
      </c>
      <c r="CN616" s="1">
        <v>0.0</v>
      </c>
      <c r="CO616" s="1">
        <v>0.0</v>
      </c>
      <c r="CP616" s="1">
        <v>0.0</v>
      </c>
      <c r="CQ616" s="1">
        <v>0.0</v>
      </c>
      <c r="CR616" s="1">
        <v>0.0</v>
      </c>
      <c r="CS616" s="1">
        <v>0.0</v>
      </c>
      <c r="CT616" s="1">
        <v>0.0</v>
      </c>
      <c r="CU616" s="1">
        <v>0.0</v>
      </c>
      <c r="CV616" s="1">
        <v>0.0</v>
      </c>
      <c r="CW616" s="1">
        <v>0.0</v>
      </c>
      <c r="CX616" s="1">
        <v>0.0</v>
      </c>
      <c r="CY616" s="1">
        <v>0.0</v>
      </c>
      <c r="CZ616" s="1">
        <v>0.0</v>
      </c>
      <c r="DA616" s="1">
        <v>0.0</v>
      </c>
      <c r="DB616" s="1">
        <v>0.0</v>
      </c>
      <c r="DC616" s="1">
        <v>0.0</v>
      </c>
      <c r="DD616" s="1" t="s">
        <v>2943</v>
      </c>
      <c r="DE616" s="1">
        <v>0.00247928709292714</v>
      </c>
      <c r="DF616" s="2" t="s">
        <v>2944</v>
      </c>
    </row>
    <row r="617" ht="15.75" customHeight="1">
      <c r="A617" s="1" t="s">
        <v>2945</v>
      </c>
      <c r="B617" s="1">
        <v>29.0</v>
      </c>
      <c r="C617" s="2" t="s">
        <v>2930</v>
      </c>
      <c r="D617" s="2" t="s">
        <v>2767</v>
      </c>
      <c r="E617" s="1">
        <v>1.163</v>
      </c>
      <c r="F617" s="1">
        <v>29097.0</v>
      </c>
      <c r="G617" s="1">
        <v>2.9097011E10</v>
      </c>
      <c r="H617" s="1" t="s">
        <v>112</v>
      </c>
      <c r="I617" s="1" t="s">
        <v>113</v>
      </c>
      <c r="J617" s="1" t="s">
        <v>2931</v>
      </c>
      <c r="K617" s="1" t="s">
        <v>2946</v>
      </c>
      <c r="L617" s="1">
        <v>3979.0</v>
      </c>
      <c r="M617" s="1">
        <v>3996.0</v>
      </c>
      <c r="N617" s="1">
        <v>559.0</v>
      </c>
      <c r="O617" s="1">
        <v>2220.0</v>
      </c>
      <c r="P617" s="1">
        <v>2314.0</v>
      </c>
      <c r="Q617" s="1">
        <v>88.0</v>
      </c>
      <c r="R617" s="1">
        <v>1726.0</v>
      </c>
      <c r="S617" s="1">
        <v>1585.0</v>
      </c>
      <c r="T617" s="1">
        <v>501.0</v>
      </c>
      <c r="U617" s="1">
        <v>428.0</v>
      </c>
      <c r="V617" s="1">
        <v>355.0</v>
      </c>
      <c r="W617" s="1">
        <v>14860.0</v>
      </c>
      <c r="X617" s="1">
        <v>2938.0</v>
      </c>
      <c r="Y617" s="1">
        <v>612.0</v>
      </c>
      <c r="Z617" s="1">
        <v>252.0</v>
      </c>
      <c r="AA617" s="1">
        <v>370.0</v>
      </c>
      <c r="AB617" s="1">
        <v>894.0</v>
      </c>
      <c r="AC617" s="1">
        <v>211.0</v>
      </c>
      <c r="AD617" s="1">
        <v>620.0</v>
      </c>
      <c r="AE617" s="1">
        <v>47.0</v>
      </c>
      <c r="AF617" s="1">
        <v>413.0</v>
      </c>
      <c r="AG617" s="1">
        <v>294.0</v>
      </c>
      <c r="AH617" s="1">
        <v>99.0</v>
      </c>
      <c r="AI617" s="1">
        <v>56.0</v>
      </c>
      <c r="AJ617" s="1">
        <v>53.0</v>
      </c>
      <c r="AK617" s="1">
        <v>140.0</v>
      </c>
      <c r="AL617" s="1">
        <v>150.0</v>
      </c>
      <c r="AM617" s="1">
        <v>467.0</v>
      </c>
      <c r="AN617" s="1">
        <v>123.0</v>
      </c>
      <c r="AO617" s="1">
        <v>52.0</v>
      </c>
      <c r="AP617" s="1">
        <v>0.408189</v>
      </c>
      <c r="AQ617" s="1">
        <v>0.116273</v>
      </c>
      <c r="AR617" s="1">
        <v>0.209188</v>
      </c>
      <c r="AS617" s="1">
        <v>0.170095</v>
      </c>
      <c r="AT617" s="1">
        <v>14860.0</v>
      </c>
      <c r="AU617" s="1">
        <v>2938.0</v>
      </c>
      <c r="AV617" s="1">
        <v>0.241229</v>
      </c>
      <c r="AW617" s="1">
        <v>0.095642</v>
      </c>
      <c r="AX617" s="1">
        <v>0.092988</v>
      </c>
      <c r="AY617" s="1">
        <v>0.224679</v>
      </c>
      <c r="AZ617" s="1">
        <v>0.12224797</v>
      </c>
      <c r="BA617" s="1">
        <v>0.155818</v>
      </c>
      <c r="BB617" s="1">
        <v>0.013165</v>
      </c>
      <c r="BC617" s="1">
        <v>0.115675</v>
      </c>
      <c r="BD617" s="1">
        <v>0.127052</v>
      </c>
      <c r="BE617" s="1">
        <v>0.042509</v>
      </c>
      <c r="BF617" s="1">
        <v>0.0242</v>
      </c>
      <c r="BG617" s="1">
        <v>0.022885</v>
      </c>
      <c r="BH617" s="1">
        <v>0.079275</v>
      </c>
      <c r="BI617" s="1">
        <v>0.084618</v>
      </c>
      <c r="BJ617" s="1">
        <v>0.264439</v>
      </c>
      <c r="BK617" s="1">
        <v>0.065176</v>
      </c>
      <c r="BL617" s="1">
        <v>0.013068</v>
      </c>
      <c r="BM617" s="1">
        <v>0.957</v>
      </c>
      <c r="BN617" s="1">
        <v>0.958</v>
      </c>
      <c r="BO617" s="1">
        <v>0.8816</v>
      </c>
      <c r="BP617" s="1">
        <v>0.85</v>
      </c>
      <c r="BQ617" s="1">
        <v>3.6466</v>
      </c>
      <c r="BR617" s="1">
        <v>0.948</v>
      </c>
      <c r="BS617" s="1">
        <v>0.174</v>
      </c>
      <c r="BT617" s="1">
        <v>0.338</v>
      </c>
      <c r="BU617" s="1">
        <v>0.68</v>
      </c>
      <c r="BV617" s="1">
        <v>1.192</v>
      </c>
      <c r="BW617" s="1">
        <v>0.223</v>
      </c>
      <c r="BX617" s="1">
        <v>0.642</v>
      </c>
      <c r="BY617" s="1">
        <v>0.787</v>
      </c>
      <c r="BZ617" s="1">
        <v>1.429</v>
      </c>
      <c r="CA617" s="1">
        <v>0.779</v>
      </c>
      <c r="CB617" s="1">
        <v>0.81</v>
      </c>
      <c r="CC617" s="1">
        <v>0.53</v>
      </c>
      <c r="CD617" s="1">
        <v>0.987</v>
      </c>
      <c r="CE617" s="1">
        <v>0.951</v>
      </c>
      <c r="CF617" s="1">
        <v>0.622</v>
      </c>
      <c r="CG617" s="1">
        <v>3.9</v>
      </c>
      <c r="CH617" s="1">
        <v>0.993</v>
      </c>
      <c r="CI617" s="1">
        <v>10.1676</v>
      </c>
      <c r="CJ617" s="1">
        <v>0.9581</v>
      </c>
      <c r="CK617" s="1">
        <v>1.0</v>
      </c>
      <c r="CL617" s="1">
        <v>1.0</v>
      </c>
      <c r="CM617" s="1">
        <v>0.0</v>
      </c>
      <c r="CN617" s="1">
        <v>0.0</v>
      </c>
      <c r="CO617" s="1">
        <v>2.0</v>
      </c>
      <c r="CP617" s="1">
        <v>0.0</v>
      </c>
      <c r="CQ617" s="1">
        <v>0.0</v>
      </c>
      <c r="CR617" s="1">
        <v>0.0</v>
      </c>
      <c r="CS617" s="1">
        <v>0.0</v>
      </c>
      <c r="CT617" s="1">
        <v>0.0</v>
      </c>
      <c r="CU617" s="1">
        <v>0.0</v>
      </c>
      <c r="CV617" s="1">
        <v>0.0</v>
      </c>
      <c r="CW617" s="1">
        <v>0.0</v>
      </c>
      <c r="CX617" s="1">
        <v>0.0</v>
      </c>
      <c r="CY617" s="1">
        <v>1.0</v>
      </c>
      <c r="CZ617" s="1">
        <v>1.0</v>
      </c>
      <c r="DA617" s="1">
        <v>0.0</v>
      </c>
      <c r="DB617" s="1">
        <v>2.0</v>
      </c>
      <c r="DC617" s="1">
        <v>4.0</v>
      </c>
      <c r="DD617" s="1" t="s">
        <v>2947</v>
      </c>
      <c r="DE617" s="1">
        <v>3.05133988845979E-4</v>
      </c>
      <c r="DF617" s="1">
        <v>0.0708716470537263</v>
      </c>
    </row>
    <row r="618" ht="15.75" customHeight="1">
      <c r="A618" s="1" t="s">
        <v>2948</v>
      </c>
      <c r="B618" s="1">
        <v>29.0</v>
      </c>
      <c r="C618" s="2" t="s">
        <v>2930</v>
      </c>
      <c r="D618" s="2" t="s">
        <v>2671</v>
      </c>
      <c r="E618" s="1">
        <v>2.152</v>
      </c>
      <c r="F618" s="1">
        <v>29097.0</v>
      </c>
      <c r="G618" s="1">
        <v>2.90970111E10</v>
      </c>
      <c r="H618" s="1" t="s">
        <v>112</v>
      </c>
      <c r="I618" s="1" t="s">
        <v>113</v>
      </c>
      <c r="J618" s="1" t="s">
        <v>2931</v>
      </c>
      <c r="K618" s="1" t="s">
        <v>2949</v>
      </c>
      <c r="L618" s="1">
        <v>1760.0</v>
      </c>
      <c r="M618" s="1">
        <v>2165.0</v>
      </c>
      <c r="N618" s="1">
        <v>285.0</v>
      </c>
      <c r="O618" s="1">
        <v>786.0</v>
      </c>
      <c r="P618" s="1">
        <v>811.0</v>
      </c>
      <c r="Q618" s="1">
        <v>43.0</v>
      </c>
      <c r="R618" s="1">
        <v>697.0</v>
      </c>
      <c r="S618" s="1">
        <v>119.0</v>
      </c>
      <c r="T618" s="1">
        <v>99.0</v>
      </c>
      <c r="U618" s="1">
        <v>49.0</v>
      </c>
      <c r="V618" s="1">
        <v>428.0</v>
      </c>
      <c r="W618" s="1">
        <v>39668.0</v>
      </c>
      <c r="X618" s="1">
        <v>14900.0</v>
      </c>
      <c r="Y618" s="1">
        <v>65.0</v>
      </c>
      <c r="Z618" s="1">
        <v>381.0</v>
      </c>
      <c r="AA618" s="1">
        <v>216.0</v>
      </c>
      <c r="AB618" s="1">
        <v>466.0</v>
      </c>
      <c r="AC618" s="1">
        <v>84.0</v>
      </c>
      <c r="AD618" s="1">
        <v>140.0</v>
      </c>
      <c r="AE618" s="1">
        <v>15.0</v>
      </c>
      <c r="AF618" s="1">
        <v>442.0</v>
      </c>
      <c r="AG618" s="1">
        <v>0.0</v>
      </c>
      <c r="AH618" s="1">
        <v>197.0</v>
      </c>
      <c r="AI618" s="1">
        <v>9.0</v>
      </c>
      <c r="AJ618" s="1">
        <v>18.0</v>
      </c>
      <c r="AK618" s="1">
        <v>5.0</v>
      </c>
      <c r="AL618" s="1">
        <v>115.0</v>
      </c>
      <c r="AM618" s="1">
        <v>27.0</v>
      </c>
      <c r="AN618" s="1">
        <v>119.0</v>
      </c>
      <c r="AO618" s="1">
        <v>0.0</v>
      </c>
      <c r="AP618" s="1">
        <v>0.055894</v>
      </c>
      <c r="AQ618" s="1">
        <v>0.046012</v>
      </c>
      <c r="AR618" s="1">
        <v>0.047388</v>
      </c>
      <c r="AS618" s="1">
        <v>0.413771</v>
      </c>
      <c r="AT618" s="1">
        <v>39668.0</v>
      </c>
      <c r="AU618" s="1">
        <v>14900.0</v>
      </c>
      <c r="AV618" s="1">
        <v>0.049242</v>
      </c>
      <c r="AW618" s="1">
        <v>0.288583</v>
      </c>
      <c r="AX618" s="1">
        <v>0.122727</v>
      </c>
      <c r="AY618" s="1">
        <v>0.264772</v>
      </c>
      <c r="AZ618" s="1">
        <v>0.12051649</v>
      </c>
      <c r="BA618" s="1">
        <v>0.079545</v>
      </c>
      <c r="BB618" s="1">
        <v>0.007739</v>
      </c>
      <c r="BC618" s="1">
        <v>0.228068</v>
      </c>
      <c r="BD618" s="1">
        <v>0.0</v>
      </c>
      <c r="BE618" s="1">
        <v>0.242909</v>
      </c>
      <c r="BF618" s="1">
        <v>0.011097</v>
      </c>
      <c r="BG618" s="1">
        <v>0.022187</v>
      </c>
      <c r="BH618" s="1">
        <v>0.006459</v>
      </c>
      <c r="BI618" s="1">
        <v>0.148577</v>
      </c>
      <c r="BJ618" s="1">
        <v>0.034883</v>
      </c>
      <c r="BK618" s="1">
        <v>0.153718</v>
      </c>
      <c r="BL618" s="1">
        <v>0.0</v>
      </c>
      <c r="BM618" s="1">
        <v>0.193</v>
      </c>
      <c r="BN618" s="1">
        <v>0.269</v>
      </c>
      <c r="BO618" s="1">
        <v>0.0671</v>
      </c>
      <c r="BP618" s="1">
        <v>0.127</v>
      </c>
      <c r="BQ618" s="1">
        <v>0.6561</v>
      </c>
      <c r="BR618" s="1">
        <v>0.1141</v>
      </c>
      <c r="BS618" s="1">
        <v>0.361</v>
      </c>
      <c r="BT618" s="1">
        <v>0.75</v>
      </c>
      <c r="BU618" s="1">
        <v>0.674</v>
      </c>
      <c r="BV618" s="1">
        <v>1.785</v>
      </c>
      <c r="BW618" s="1">
        <v>0.71</v>
      </c>
      <c r="BX618" s="1">
        <v>0.399</v>
      </c>
      <c r="BY618" s="1">
        <v>0.658</v>
      </c>
      <c r="BZ618" s="1">
        <v>1.057</v>
      </c>
      <c r="CA618" s="1">
        <v>0.588</v>
      </c>
      <c r="CB618" s="1">
        <v>0.0</v>
      </c>
      <c r="CC618" s="1">
        <v>0.465</v>
      </c>
      <c r="CD618" s="1">
        <v>0.373</v>
      </c>
      <c r="CE618" s="1">
        <v>0.333</v>
      </c>
      <c r="CF618" s="1">
        <v>0.0</v>
      </c>
      <c r="CG618" s="1">
        <v>1.171</v>
      </c>
      <c r="CH618" s="1">
        <v>0.104</v>
      </c>
      <c r="CI618" s="1">
        <v>4.6691</v>
      </c>
      <c r="CJ618" s="1">
        <v>0.1538</v>
      </c>
      <c r="CK618" s="1">
        <v>0.0</v>
      </c>
      <c r="CL618" s="1">
        <v>0.0</v>
      </c>
      <c r="CM618" s="1">
        <v>0.0</v>
      </c>
      <c r="CN618" s="1">
        <v>0.0</v>
      </c>
      <c r="CO618" s="1">
        <v>0.0</v>
      </c>
      <c r="CP618" s="1">
        <v>0.0</v>
      </c>
      <c r="CQ618" s="1">
        <v>0.0</v>
      </c>
      <c r="CR618" s="1">
        <v>0.0</v>
      </c>
      <c r="CS618" s="1">
        <v>0.0</v>
      </c>
      <c r="CT618" s="1">
        <v>0.0</v>
      </c>
      <c r="CU618" s="1">
        <v>0.0</v>
      </c>
      <c r="CV618" s="1">
        <v>0.0</v>
      </c>
      <c r="CW618" s="1">
        <v>0.0</v>
      </c>
      <c r="CX618" s="1">
        <v>0.0</v>
      </c>
      <c r="CY618" s="1">
        <v>0.0</v>
      </c>
      <c r="CZ618" s="1">
        <v>0.0</v>
      </c>
      <c r="DA618" s="1">
        <v>0.0</v>
      </c>
      <c r="DB618" s="1">
        <v>0.0</v>
      </c>
      <c r="DC618" s="1">
        <v>0.0</v>
      </c>
      <c r="DD618" s="1" t="s">
        <v>2950</v>
      </c>
      <c r="DE618" s="1">
        <v>5.64257011459873E-4</v>
      </c>
      <c r="DF618" s="2" t="s">
        <v>2951</v>
      </c>
    </row>
    <row r="619" ht="15.75" customHeight="1">
      <c r="A619" s="1" t="s">
        <v>2952</v>
      </c>
      <c r="B619" s="1">
        <v>29.0</v>
      </c>
      <c r="C619" s="2" t="s">
        <v>2930</v>
      </c>
      <c r="D619" s="2" t="s">
        <v>2224</v>
      </c>
      <c r="E619" s="1">
        <v>24.199</v>
      </c>
      <c r="F619" s="1">
        <v>29097.0</v>
      </c>
      <c r="G619" s="1">
        <v>2.90970112E10</v>
      </c>
      <c r="H619" s="1" t="s">
        <v>112</v>
      </c>
      <c r="I619" s="1" t="s">
        <v>113</v>
      </c>
      <c r="J619" s="1" t="s">
        <v>2931</v>
      </c>
      <c r="K619" s="1" t="s">
        <v>2953</v>
      </c>
      <c r="L619" s="1">
        <v>6642.0</v>
      </c>
      <c r="M619" s="1">
        <v>6187.0</v>
      </c>
      <c r="N619" s="1">
        <v>516.0</v>
      </c>
      <c r="O619" s="1">
        <v>2776.0</v>
      </c>
      <c r="P619" s="1">
        <v>2902.0</v>
      </c>
      <c r="Q619" s="1">
        <v>137.0</v>
      </c>
      <c r="R619" s="1">
        <v>2533.0</v>
      </c>
      <c r="S619" s="1">
        <v>992.0</v>
      </c>
      <c r="T619" s="1">
        <v>406.0</v>
      </c>
      <c r="U619" s="1">
        <v>542.0</v>
      </c>
      <c r="V619" s="1">
        <v>447.0</v>
      </c>
      <c r="W619" s="1">
        <v>20483.0</v>
      </c>
      <c r="X619" s="1">
        <v>2088.0</v>
      </c>
      <c r="Y619" s="1">
        <v>724.0</v>
      </c>
      <c r="Z619" s="1">
        <v>292.0</v>
      </c>
      <c r="AA619" s="1">
        <v>765.0</v>
      </c>
      <c r="AB619" s="1">
        <v>1712.0</v>
      </c>
      <c r="AC619" s="1">
        <v>277.0</v>
      </c>
      <c r="AD619" s="1">
        <v>683.0</v>
      </c>
      <c r="AE619" s="1">
        <v>6.0</v>
      </c>
      <c r="AF619" s="1">
        <v>442.0</v>
      </c>
      <c r="AG619" s="1">
        <v>36.0</v>
      </c>
      <c r="AH619" s="1">
        <v>119.0</v>
      </c>
      <c r="AI619" s="1">
        <v>603.0</v>
      </c>
      <c r="AJ619" s="1">
        <v>175.0</v>
      </c>
      <c r="AK619" s="1">
        <v>54.0</v>
      </c>
      <c r="AL619" s="1">
        <v>121.0</v>
      </c>
      <c r="AM619" s="1">
        <v>54.0</v>
      </c>
      <c r="AN619" s="1">
        <v>44.0</v>
      </c>
      <c r="AO619" s="1">
        <v>0.0</v>
      </c>
      <c r="AP619" s="1">
        <v>0.163023</v>
      </c>
      <c r="AQ619" s="1">
        <v>0.065422</v>
      </c>
      <c r="AR619" s="1">
        <v>0.159599</v>
      </c>
      <c r="AS619" s="1">
        <v>0.130309</v>
      </c>
      <c r="AT619" s="1">
        <v>20483.0</v>
      </c>
      <c r="AU619" s="1">
        <v>2088.0</v>
      </c>
      <c r="AV619" s="1">
        <v>0.168215</v>
      </c>
      <c r="AW619" s="1">
        <v>0.06689</v>
      </c>
      <c r="AX619" s="1">
        <v>0.115176</v>
      </c>
      <c r="AY619" s="1">
        <v>0.257753</v>
      </c>
      <c r="AZ619" s="1">
        <v>0.10935649</v>
      </c>
      <c r="BA619" s="1">
        <v>0.10283</v>
      </c>
      <c r="BB619" s="1">
        <v>0.001034</v>
      </c>
      <c r="BC619" s="1">
        <v>0.076206</v>
      </c>
      <c r="BD619" s="1">
        <v>0.012405</v>
      </c>
      <c r="BE619" s="1">
        <v>0.041002</v>
      </c>
      <c r="BF619" s="1">
        <v>0.207787</v>
      </c>
      <c r="BG619" s="1">
        <v>0.0595</v>
      </c>
      <c r="BH619" s="1">
        <v>0.021617</v>
      </c>
      <c r="BI619" s="1">
        <v>0.048418</v>
      </c>
      <c r="BJ619" s="1">
        <v>0.021617</v>
      </c>
      <c r="BK619" s="1">
        <v>0.017559</v>
      </c>
      <c r="BL619" s="1">
        <v>0.0</v>
      </c>
      <c r="BM619" s="1">
        <v>0.619</v>
      </c>
      <c r="BN619" s="1">
        <v>0.911</v>
      </c>
      <c r="BO619" s="1">
        <v>0.5827</v>
      </c>
      <c r="BP619" s="1">
        <v>0.648</v>
      </c>
      <c r="BQ619" s="1">
        <v>2.7607</v>
      </c>
      <c r="BR619" s="1">
        <v>0.7379</v>
      </c>
      <c r="BS619" s="1">
        <v>0.31</v>
      </c>
      <c r="BT619" s="1">
        <v>0.682</v>
      </c>
      <c r="BU619" s="1">
        <v>0.582</v>
      </c>
      <c r="BV619" s="1">
        <v>1.574</v>
      </c>
      <c r="BW619" s="1">
        <v>0.543</v>
      </c>
      <c r="BX619" s="1">
        <v>0.481</v>
      </c>
      <c r="BY619" s="1">
        <v>0.333</v>
      </c>
      <c r="BZ619" s="1">
        <v>0.814</v>
      </c>
      <c r="CA619" s="1">
        <v>0.407</v>
      </c>
      <c r="CB619" s="1">
        <v>0.404</v>
      </c>
      <c r="CC619" s="1">
        <v>0.907</v>
      </c>
      <c r="CD619" s="1">
        <v>0.703</v>
      </c>
      <c r="CE619" s="1">
        <v>0.198</v>
      </c>
      <c r="CF619" s="1">
        <v>0.0</v>
      </c>
      <c r="CG619" s="1">
        <v>2.212</v>
      </c>
      <c r="CH619" s="1">
        <v>0.421</v>
      </c>
      <c r="CI619" s="1">
        <v>7.3607</v>
      </c>
      <c r="CJ619" s="1">
        <v>0.6202</v>
      </c>
      <c r="CK619" s="1">
        <v>0.0</v>
      </c>
      <c r="CL619" s="1">
        <v>1.0</v>
      </c>
      <c r="CM619" s="1">
        <v>0.0</v>
      </c>
      <c r="CN619" s="1">
        <v>0.0</v>
      </c>
      <c r="CO619" s="1">
        <v>1.0</v>
      </c>
      <c r="CP619" s="1">
        <v>0.0</v>
      </c>
      <c r="CQ619" s="1">
        <v>0.0</v>
      </c>
      <c r="CR619" s="1">
        <v>0.0</v>
      </c>
      <c r="CS619" s="1">
        <v>0.0</v>
      </c>
      <c r="CT619" s="1">
        <v>0.0</v>
      </c>
      <c r="CU619" s="1">
        <v>0.0</v>
      </c>
      <c r="CV619" s="1">
        <v>0.0</v>
      </c>
      <c r="CW619" s="1">
        <v>0.0</v>
      </c>
      <c r="CX619" s="1">
        <v>1.0</v>
      </c>
      <c r="CY619" s="1">
        <v>0.0</v>
      </c>
      <c r="CZ619" s="1">
        <v>0.0</v>
      </c>
      <c r="DA619" s="1">
        <v>0.0</v>
      </c>
      <c r="DB619" s="1">
        <v>1.0</v>
      </c>
      <c r="DC619" s="1">
        <v>2.0</v>
      </c>
      <c r="DD619" s="1" t="s">
        <v>2954</v>
      </c>
      <c r="DE619" s="1">
        <v>0.00637441659465911</v>
      </c>
      <c r="DF619" s="2" t="s">
        <v>2955</v>
      </c>
    </row>
    <row r="620" ht="15.75" customHeight="1">
      <c r="A620" s="1" t="s">
        <v>2956</v>
      </c>
      <c r="B620" s="1">
        <v>29.0</v>
      </c>
      <c r="C620" s="2" t="s">
        <v>2930</v>
      </c>
      <c r="D620" s="2" t="s">
        <v>2676</v>
      </c>
      <c r="E620" s="1">
        <v>17.795</v>
      </c>
      <c r="F620" s="1">
        <v>29097.0</v>
      </c>
      <c r="G620" s="1">
        <v>2.90970113E10</v>
      </c>
      <c r="H620" s="1" t="s">
        <v>112</v>
      </c>
      <c r="I620" s="1" t="s">
        <v>113</v>
      </c>
      <c r="J620" s="1" t="s">
        <v>2931</v>
      </c>
      <c r="K620" s="1" t="s">
        <v>2957</v>
      </c>
      <c r="L620" s="1">
        <v>8557.0</v>
      </c>
      <c r="M620" s="1">
        <v>8329.0</v>
      </c>
      <c r="N620" s="1">
        <v>483.0</v>
      </c>
      <c r="O620" s="1">
        <v>3216.0</v>
      </c>
      <c r="P620" s="1">
        <v>3205.0</v>
      </c>
      <c r="Q620" s="1">
        <v>225.0</v>
      </c>
      <c r="R620" s="1">
        <v>3023.0</v>
      </c>
      <c r="S620" s="1">
        <v>1057.0</v>
      </c>
      <c r="T620" s="1">
        <v>431.0</v>
      </c>
      <c r="U620" s="1">
        <v>253.0</v>
      </c>
      <c r="V620" s="1">
        <v>341.0</v>
      </c>
      <c r="W620" s="1">
        <v>25263.0</v>
      </c>
      <c r="X620" s="1">
        <v>5569.0</v>
      </c>
      <c r="Y620" s="1">
        <v>470.0</v>
      </c>
      <c r="Z620" s="1">
        <v>348.0</v>
      </c>
      <c r="AA620" s="1">
        <v>981.0</v>
      </c>
      <c r="AB620" s="1">
        <v>2656.0</v>
      </c>
      <c r="AC620" s="1">
        <v>361.0</v>
      </c>
      <c r="AD620" s="1">
        <v>736.0</v>
      </c>
      <c r="AE620" s="1">
        <v>28.0</v>
      </c>
      <c r="AF620" s="1">
        <v>428.0</v>
      </c>
      <c r="AG620" s="1">
        <v>0.0</v>
      </c>
      <c r="AH620" s="1">
        <v>197.0</v>
      </c>
      <c r="AI620" s="1">
        <v>98.0</v>
      </c>
      <c r="AJ620" s="1">
        <v>73.0</v>
      </c>
      <c r="AK620" s="1">
        <v>31.0</v>
      </c>
      <c r="AL620" s="1">
        <v>118.0</v>
      </c>
      <c r="AM620" s="1">
        <v>80.0</v>
      </c>
      <c r="AN620" s="1">
        <v>85.0</v>
      </c>
      <c r="AO620" s="1">
        <v>28.0</v>
      </c>
      <c r="AP620" s="1">
        <v>0.12826100000000001</v>
      </c>
      <c r="AQ620" s="1">
        <v>0.051724</v>
      </c>
      <c r="AR620" s="1">
        <v>0.063424</v>
      </c>
      <c r="AS620" s="1">
        <v>0.085249</v>
      </c>
      <c r="AT620" s="1">
        <v>25263.0</v>
      </c>
      <c r="AU620" s="1">
        <v>5569.0</v>
      </c>
      <c r="AV620" s="1">
        <v>0.092885</v>
      </c>
      <c r="AW620" s="1">
        <v>0.068475</v>
      </c>
      <c r="AX620" s="1">
        <v>0.114642</v>
      </c>
      <c r="AY620" s="1">
        <v>0.310389</v>
      </c>
      <c r="AZ620" s="1">
        <v>0.11941779</v>
      </c>
      <c r="BA620" s="1">
        <v>0.086011</v>
      </c>
      <c r="BB620" s="1">
        <v>0.003666</v>
      </c>
      <c r="BC620" s="1">
        <v>0.056049</v>
      </c>
      <c r="BD620" s="1">
        <v>0.0</v>
      </c>
      <c r="BE620" s="1">
        <v>0.061466</v>
      </c>
      <c r="BF620" s="1">
        <v>0.030577</v>
      </c>
      <c r="BG620" s="1">
        <v>0.022675</v>
      </c>
      <c r="BH620" s="1">
        <v>0.010316</v>
      </c>
      <c r="BI620" s="1">
        <v>0.039259</v>
      </c>
      <c r="BJ620" s="1">
        <v>0.026622</v>
      </c>
      <c r="BK620" s="1">
        <v>0.02821</v>
      </c>
      <c r="BL620" s="1">
        <v>0.003272</v>
      </c>
      <c r="BM620" s="1">
        <v>0.489</v>
      </c>
      <c r="BN620" s="1">
        <v>0.456</v>
      </c>
      <c r="BO620" s="1">
        <v>0.335</v>
      </c>
      <c r="BP620" s="1">
        <v>0.307</v>
      </c>
      <c r="BQ620" s="1">
        <v>1.587</v>
      </c>
      <c r="BR620" s="1">
        <v>0.369</v>
      </c>
      <c r="BS620" s="1">
        <v>0.308</v>
      </c>
      <c r="BT620" s="1">
        <v>0.948</v>
      </c>
      <c r="BU620" s="1">
        <v>0.666</v>
      </c>
      <c r="BV620" s="1">
        <v>1.922</v>
      </c>
      <c r="BW620" s="1">
        <v>0.815</v>
      </c>
      <c r="BX620" s="1">
        <v>0.416</v>
      </c>
      <c r="BY620" s="1">
        <v>0.497</v>
      </c>
      <c r="BZ620" s="1">
        <v>0.913</v>
      </c>
      <c r="CA620" s="1">
        <v>0.476</v>
      </c>
      <c r="CB620" s="1">
        <v>0.0</v>
      </c>
      <c r="CC620" s="1">
        <v>0.551</v>
      </c>
      <c r="CD620" s="1">
        <v>0.484</v>
      </c>
      <c r="CE620" s="1">
        <v>0.255</v>
      </c>
      <c r="CF620" s="1">
        <v>0.483</v>
      </c>
      <c r="CG620" s="1">
        <v>1.773</v>
      </c>
      <c r="CH620" s="1">
        <v>0.26</v>
      </c>
      <c r="CI620" s="1">
        <v>6.195</v>
      </c>
      <c r="CJ620" s="1">
        <v>0.4072</v>
      </c>
      <c r="CK620" s="1">
        <v>0.0</v>
      </c>
      <c r="CL620" s="1">
        <v>0.0</v>
      </c>
      <c r="CM620" s="1">
        <v>0.0</v>
      </c>
      <c r="CN620" s="1">
        <v>0.0</v>
      </c>
      <c r="CO620" s="1">
        <v>0.0</v>
      </c>
      <c r="CP620" s="1">
        <v>0.0</v>
      </c>
      <c r="CQ620" s="1">
        <v>1.0</v>
      </c>
      <c r="CR620" s="1">
        <v>0.0</v>
      </c>
      <c r="CS620" s="1">
        <v>1.0</v>
      </c>
      <c r="CT620" s="1">
        <v>0.0</v>
      </c>
      <c r="CU620" s="1">
        <v>0.0</v>
      </c>
      <c r="CV620" s="1">
        <v>0.0</v>
      </c>
      <c r="CW620" s="1">
        <v>0.0</v>
      </c>
      <c r="CX620" s="1">
        <v>0.0</v>
      </c>
      <c r="CY620" s="1">
        <v>0.0</v>
      </c>
      <c r="CZ620" s="1">
        <v>0.0</v>
      </c>
      <c r="DA620" s="1">
        <v>0.0</v>
      </c>
      <c r="DB620" s="1">
        <v>0.0</v>
      </c>
      <c r="DC620" s="1">
        <v>1.0</v>
      </c>
      <c r="DD620" s="1" t="s">
        <v>2958</v>
      </c>
      <c r="DE620" s="1">
        <v>0.0047158987013361</v>
      </c>
      <c r="DF620" s="1">
        <v>0.351889270677594</v>
      </c>
    </row>
    <row r="621" ht="15.75" customHeight="1">
      <c r="A621" s="1" t="s">
        <v>2959</v>
      </c>
      <c r="B621" s="1">
        <v>29.0</v>
      </c>
      <c r="C621" s="2" t="s">
        <v>2930</v>
      </c>
      <c r="D621" s="2" t="s">
        <v>2960</v>
      </c>
      <c r="E621" s="1">
        <v>6.132</v>
      </c>
      <c r="F621" s="1">
        <v>29097.0</v>
      </c>
      <c r="G621" s="1">
        <v>2.90970114E10</v>
      </c>
      <c r="H621" s="1" t="s">
        <v>112</v>
      </c>
      <c r="I621" s="1" t="s">
        <v>113</v>
      </c>
      <c r="J621" s="1" t="s">
        <v>2931</v>
      </c>
      <c r="K621" s="1" t="s">
        <v>2961</v>
      </c>
      <c r="L621" s="1">
        <v>5701.0</v>
      </c>
      <c r="M621" s="1">
        <v>5716.0</v>
      </c>
      <c r="N621" s="1">
        <v>427.0</v>
      </c>
      <c r="O621" s="1">
        <v>2417.0</v>
      </c>
      <c r="P621" s="1">
        <v>2591.0</v>
      </c>
      <c r="Q621" s="1">
        <v>160.0</v>
      </c>
      <c r="R621" s="1">
        <v>2155.0</v>
      </c>
      <c r="S621" s="1">
        <v>987.0</v>
      </c>
      <c r="T621" s="1">
        <v>371.0</v>
      </c>
      <c r="U621" s="1">
        <v>167.0</v>
      </c>
      <c r="V621" s="1">
        <v>440.0</v>
      </c>
      <c r="W621" s="1">
        <v>16651.0</v>
      </c>
      <c r="X621" s="1">
        <v>2089.0</v>
      </c>
      <c r="Y621" s="1">
        <v>509.0</v>
      </c>
      <c r="Z621" s="1">
        <v>288.0</v>
      </c>
      <c r="AA621" s="1">
        <v>684.0</v>
      </c>
      <c r="AB621" s="1">
        <v>1568.0</v>
      </c>
      <c r="AC621" s="1">
        <v>274.0</v>
      </c>
      <c r="AD621" s="1">
        <v>548.0</v>
      </c>
      <c r="AE621" s="1">
        <v>18.0</v>
      </c>
      <c r="AF621" s="1">
        <v>442.0</v>
      </c>
      <c r="AG621" s="1">
        <v>15.0</v>
      </c>
      <c r="AH621" s="1">
        <v>163.0</v>
      </c>
      <c r="AI621" s="1">
        <v>29.0</v>
      </c>
      <c r="AJ621" s="1">
        <v>34.0</v>
      </c>
      <c r="AK621" s="1">
        <v>0.0</v>
      </c>
      <c r="AL621" s="1">
        <v>161.0</v>
      </c>
      <c r="AM621" s="1">
        <v>280.0</v>
      </c>
      <c r="AN621" s="1">
        <v>137.0</v>
      </c>
      <c r="AO621" s="1">
        <v>115.0</v>
      </c>
      <c r="AP621" s="1">
        <v>0.184382</v>
      </c>
      <c r="AQ621" s="1">
        <v>0.067951</v>
      </c>
      <c r="AR621" s="1">
        <v>0.065851</v>
      </c>
      <c r="AS621" s="1">
        <v>0.173287</v>
      </c>
      <c r="AT621" s="1">
        <v>16651.0</v>
      </c>
      <c r="AU621" s="1">
        <v>2089.0</v>
      </c>
      <c r="AV621" s="1">
        <v>0.137122</v>
      </c>
      <c r="AW621" s="1">
        <v>0.076795</v>
      </c>
      <c r="AX621" s="1">
        <v>0.119978</v>
      </c>
      <c r="AY621" s="1">
        <v>0.275039</v>
      </c>
      <c r="AZ621" s="1">
        <v>0.12714617</v>
      </c>
      <c r="BA621" s="1">
        <v>0.096123</v>
      </c>
      <c r="BB621" s="1">
        <v>0.003329</v>
      </c>
      <c r="BC621" s="1">
        <v>0.08176</v>
      </c>
      <c r="BD621" s="1">
        <v>0.005789</v>
      </c>
      <c r="BE621" s="1">
        <v>0.062909</v>
      </c>
      <c r="BF621" s="1">
        <v>0.011192</v>
      </c>
      <c r="BG621" s="1">
        <v>0.013104</v>
      </c>
      <c r="BH621" s="1">
        <v>0.0</v>
      </c>
      <c r="BI621" s="1">
        <v>0.067505</v>
      </c>
      <c r="BJ621" s="1">
        <v>0.1174</v>
      </c>
      <c r="BK621" s="1">
        <v>0.056865</v>
      </c>
      <c r="BL621" s="1">
        <v>0.020171</v>
      </c>
      <c r="BM621" s="1">
        <v>0.685</v>
      </c>
      <c r="BN621" s="1">
        <v>0.477</v>
      </c>
      <c r="BO621" s="1">
        <v>0.8043</v>
      </c>
      <c r="BP621" s="1">
        <v>0.508</v>
      </c>
      <c r="BQ621" s="1">
        <v>2.4743</v>
      </c>
      <c r="BR621" s="1">
        <v>0.6585</v>
      </c>
      <c r="BS621" s="1">
        <v>0.346</v>
      </c>
      <c r="BT621" s="1">
        <v>0.82</v>
      </c>
      <c r="BU621" s="1">
        <v>0.705</v>
      </c>
      <c r="BV621" s="1">
        <v>1.871</v>
      </c>
      <c r="BW621" s="1">
        <v>0.782</v>
      </c>
      <c r="BX621" s="1">
        <v>0.455</v>
      </c>
      <c r="BY621" s="1">
        <v>0.471</v>
      </c>
      <c r="BZ621" s="1">
        <v>0.926</v>
      </c>
      <c r="CA621" s="1">
        <v>0.489</v>
      </c>
      <c r="CB621" s="1">
        <v>0.332</v>
      </c>
      <c r="CC621" s="1">
        <v>0.467</v>
      </c>
      <c r="CD621" s="1">
        <v>0.0</v>
      </c>
      <c r="CE621" s="1">
        <v>0.8</v>
      </c>
      <c r="CF621" s="1">
        <v>0.713</v>
      </c>
      <c r="CG621" s="1">
        <v>2.312</v>
      </c>
      <c r="CH621" s="1">
        <v>0.459</v>
      </c>
      <c r="CI621" s="1">
        <v>7.5833</v>
      </c>
      <c r="CJ621" s="1">
        <v>0.6498</v>
      </c>
      <c r="CK621" s="1">
        <v>0.0</v>
      </c>
      <c r="CL621" s="1">
        <v>0.0</v>
      </c>
      <c r="CM621" s="1">
        <v>0.0</v>
      </c>
      <c r="CN621" s="1">
        <v>0.0</v>
      </c>
      <c r="CO621" s="1">
        <v>0.0</v>
      </c>
      <c r="CP621" s="1">
        <v>0.0</v>
      </c>
      <c r="CQ621" s="1">
        <v>0.0</v>
      </c>
      <c r="CR621" s="1">
        <v>0.0</v>
      </c>
      <c r="CS621" s="1">
        <v>0.0</v>
      </c>
      <c r="CT621" s="1">
        <v>0.0</v>
      </c>
      <c r="CU621" s="1">
        <v>0.0</v>
      </c>
      <c r="CV621" s="1">
        <v>0.0</v>
      </c>
      <c r="CW621" s="1">
        <v>0.0</v>
      </c>
      <c r="CX621" s="1">
        <v>0.0</v>
      </c>
      <c r="CY621" s="1">
        <v>0.0</v>
      </c>
      <c r="CZ621" s="1">
        <v>0.0</v>
      </c>
      <c r="DA621" s="1">
        <v>0.0</v>
      </c>
      <c r="DB621" s="1">
        <v>0.0</v>
      </c>
      <c r="DC621" s="1">
        <v>0.0</v>
      </c>
      <c r="DD621" s="1" t="s">
        <v>2962</v>
      </c>
      <c r="DE621" s="1">
        <v>0.00160957034529859</v>
      </c>
      <c r="DF621" s="2" t="s">
        <v>2963</v>
      </c>
    </row>
    <row r="622" ht="15.75" customHeight="1">
      <c r="A622" s="1" t="s">
        <v>2964</v>
      </c>
      <c r="B622" s="1">
        <v>29.0</v>
      </c>
      <c r="C622" s="2" t="s">
        <v>2930</v>
      </c>
      <c r="D622" s="2" t="s">
        <v>2694</v>
      </c>
      <c r="E622" s="1">
        <v>26.932</v>
      </c>
      <c r="F622" s="1">
        <v>29097.0</v>
      </c>
      <c r="G622" s="1">
        <v>2.90970115E10</v>
      </c>
      <c r="H622" s="1" t="s">
        <v>112</v>
      </c>
      <c r="I622" s="1" t="s">
        <v>113</v>
      </c>
      <c r="J622" s="1" t="s">
        <v>2931</v>
      </c>
      <c r="K622" s="1" t="s">
        <v>2965</v>
      </c>
      <c r="L622" s="1">
        <v>9723.0</v>
      </c>
      <c r="M622" s="1">
        <v>9342.0</v>
      </c>
      <c r="N622" s="1">
        <v>528.0</v>
      </c>
      <c r="O622" s="1">
        <v>3784.0</v>
      </c>
      <c r="P622" s="1">
        <v>3697.0</v>
      </c>
      <c r="Q622" s="1">
        <v>181.0</v>
      </c>
      <c r="R622" s="1">
        <v>3464.0</v>
      </c>
      <c r="S622" s="1">
        <v>1069.0</v>
      </c>
      <c r="T622" s="1">
        <v>272.0</v>
      </c>
      <c r="U622" s="1">
        <v>373.0</v>
      </c>
      <c r="V622" s="1">
        <v>282.0</v>
      </c>
      <c r="W622" s="1">
        <v>20529.0</v>
      </c>
      <c r="X622" s="1">
        <v>1897.0</v>
      </c>
      <c r="Y622" s="1">
        <v>996.0</v>
      </c>
      <c r="Z622" s="1">
        <v>209.0</v>
      </c>
      <c r="AA622" s="1">
        <v>974.0</v>
      </c>
      <c r="AB622" s="1">
        <v>2911.0</v>
      </c>
      <c r="AC622" s="1">
        <v>379.0</v>
      </c>
      <c r="AD622" s="1">
        <v>774.0</v>
      </c>
      <c r="AE622" s="1">
        <v>41.0</v>
      </c>
      <c r="AF622" s="1">
        <v>397.0</v>
      </c>
      <c r="AG622" s="1">
        <v>124.0</v>
      </c>
      <c r="AH622" s="1">
        <v>131.0</v>
      </c>
      <c r="AI622" s="1">
        <v>470.0</v>
      </c>
      <c r="AJ622" s="1">
        <v>132.0</v>
      </c>
      <c r="AK622" s="1">
        <v>25.0</v>
      </c>
      <c r="AL622" s="1">
        <v>115.0</v>
      </c>
      <c r="AM622" s="1">
        <v>84.0</v>
      </c>
      <c r="AN622" s="1">
        <v>49.0</v>
      </c>
      <c r="AO622" s="1">
        <v>4.0</v>
      </c>
      <c r="AP622" s="1">
        <v>0.114748</v>
      </c>
      <c r="AQ622" s="1">
        <v>0.028463</v>
      </c>
      <c r="AR622" s="1">
        <v>0.080509</v>
      </c>
      <c r="AS622" s="1">
        <v>0.060598</v>
      </c>
      <c r="AT622" s="1">
        <v>20529.0</v>
      </c>
      <c r="AU622" s="1">
        <v>1897.0</v>
      </c>
      <c r="AV622" s="1">
        <v>0.169014</v>
      </c>
      <c r="AW622" s="1">
        <v>0.033947</v>
      </c>
      <c r="AX622" s="1">
        <v>0.100174</v>
      </c>
      <c r="AY622" s="1">
        <v>0.299393</v>
      </c>
      <c r="AZ622" s="1">
        <v>0.10941108</v>
      </c>
      <c r="BA622" s="1">
        <v>0.079605</v>
      </c>
      <c r="BB622" s="1">
        <v>0.004758</v>
      </c>
      <c r="BC622" s="1">
        <v>0.04607</v>
      </c>
      <c r="BD622" s="1">
        <v>0.03354</v>
      </c>
      <c r="BE622" s="1">
        <v>0.035396</v>
      </c>
      <c r="BF622" s="1">
        <v>0.12713</v>
      </c>
      <c r="BG622" s="1">
        <v>0.035157</v>
      </c>
      <c r="BH622" s="1">
        <v>0.007628</v>
      </c>
      <c r="BI622" s="1">
        <v>0.03509</v>
      </c>
      <c r="BJ622" s="1">
        <v>0.025633</v>
      </c>
      <c r="BK622" s="1">
        <v>0.014876</v>
      </c>
      <c r="BL622" s="1">
        <v>4.11E-4</v>
      </c>
      <c r="BM622" s="1">
        <v>0.433</v>
      </c>
      <c r="BN622" s="1">
        <v>0.616</v>
      </c>
      <c r="BO622" s="1">
        <v>0.5798</v>
      </c>
      <c r="BP622" s="1">
        <v>0.652</v>
      </c>
      <c r="BQ622" s="1">
        <v>2.2808</v>
      </c>
      <c r="BR622" s="1">
        <v>0.5957</v>
      </c>
      <c r="BS622" s="1">
        <v>0.211</v>
      </c>
      <c r="BT622" s="1">
        <v>0.92</v>
      </c>
      <c r="BU622" s="1">
        <v>0.582</v>
      </c>
      <c r="BV622" s="1">
        <v>1.713</v>
      </c>
      <c r="BW622" s="1">
        <v>0.648</v>
      </c>
      <c r="BX622" s="1">
        <v>0.4</v>
      </c>
      <c r="BY622" s="1">
        <v>0.551</v>
      </c>
      <c r="BZ622" s="1">
        <v>0.951</v>
      </c>
      <c r="CA622" s="1">
        <v>0.51</v>
      </c>
      <c r="CB622" s="1">
        <v>0.569</v>
      </c>
      <c r="CC622" s="1">
        <v>0.771</v>
      </c>
      <c r="CD622" s="1">
        <v>0.417</v>
      </c>
      <c r="CE622" s="1">
        <v>0.247</v>
      </c>
      <c r="CF622" s="1">
        <v>0.361</v>
      </c>
      <c r="CG622" s="1">
        <v>2.365</v>
      </c>
      <c r="CH622" s="1">
        <v>0.492</v>
      </c>
      <c r="CI622" s="1">
        <v>7.3098</v>
      </c>
      <c r="CJ622" s="1">
        <v>0.6087</v>
      </c>
      <c r="CK622" s="1">
        <v>0.0</v>
      </c>
      <c r="CL622" s="1">
        <v>0.0</v>
      </c>
      <c r="CM622" s="1">
        <v>0.0</v>
      </c>
      <c r="CN622" s="1">
        <v>0.0</v>
      </c>
      <c r="CO622" s="1">
        <v>0.0</v>
      </c>
      <c r="CP622" s="1">
        <v>0.0</v>
      </c>
      <c r="CQ622" s="1">
        <v>1.0</v>
      </c>
      <c r="CR622" s="1">
        <v>0.0</v>
      </c>
      <c r="CS622" s="1">
        <v>1.0</v>
      </c>
      <c r="CT622" s="1">
        <v>0.0</v>
      </c>
      <c r="CU622" s="1">
        <v>0.0</v>
      </c>
      <c r="CV622" s="1">
        <v>0.0</v>
      </c>
      <c r="CW622" s="1">
        <v>0.0</v>
      </c>
      <c r="CX622" s="1">
        <v>0.0</v>
      </c>
      <c r="CY622" s="1">
        <v>0.0</v>
      </c>
      <c r="CZ622" s="1">
        <v>0.0</v>
      </c>
      <c r="DA622" s="1">
        <v>0.0</v>
      </c>
      <c r="DB622" s="1">
        <v>0.0</v>
      </c>
      <c r="DC622" s="1">
        <v>1.0</v>
      </c>
      <c r="DD622" s="1" t="s">
        <v>2966</v>
      </c>
      <c r="DE622" s="1">
        <v>0.00708528563481704</v>
      </c>
      <c r="DF622" s="2" t="s">
        <v>2967</v>
      </c>
    </row>
    <row r="623" ht="15.75" customHeight="1">
      <c r="A623" s="1" t="s">
        <v>2968</v>
      </c>
      <c r="B623" s="1">
        <v>29.0</v>
      </c>
      <c r="C623" s="2" t="s">
        <v>2930</v>
      </c>
      <c r="D623" s="2" t="s">
        <v>2228</v>
      </c>
      <c r="E623" s="1">
        <v>5.159</v>
      </c>
      <c r="F623" s="1">
        <v>29097.0</v>
      </c>
      <c r="G623" s="1">
        <v>2.90970117E10</v>
      </c>
      <c r="H623" s="1" t="s">
        <v>112</v>
      </c>
      <c r="I623" s="1" t="s">
        <v>113</v>
      </c>
      <c r="J623" s="1" t="s">
        <v>2931</v>
      </c>
      <c r="K623" s="1" t="s">
        <v>2969</v>
      </c>
      <c r="L623" s="1">
        <v>6467.0</v>
      </c>
      <c r="M623" s="1">
        <v>6575.0</v>
      </c>
      <c r="N623" s="1">
        <v>572.0</v>
      </c>
      <c r="O623" s="1">
        <v>2670.0</v>
      </c>
      <c r="P623" s="1">
        <v>2628.0</v>
      </c>
      <c r="Q623" s="1">
        <v>171.0</v>
      </c>
      <c r="R623" s="1">
        <v>2462.0</v>
      </c>
      <c r="S623" s="1">
        <v>1896.0</v>
      </c>
      <c r="T623" s="1">
        <v>619.0</v>
      </c>
      <c r="U623" s="1">
        <v>488.0</v>
      </c>
      <c r="V623" s="1">
        <v>394.0</v>
      </c>
      <c r="W623" s="1">
        <v>17233.0</v>
      </c>
      <c r="X623" s="1">
        <v>2446.0</v>
      </c>
      <c r="Y623" s="1">
        <v>1098.0</v>
      </c>
      <c r="Z623" s="1">
        <v>272.0</v>
      </c>
      <c r="AA623" s="1">
        <v>1276.0</v>
      </c>
      <c r="AB623" s="1">
        <v>1623.0</v>
      </c>
      <c r="AC623" s="1">
        <v>285.0</v>
      </c>
      <c r="AD623" s="1">
        <v>1372.0</v>
      </c>
      <c r="AE623" s="1">
        <v>342.0</v>
      </c>
      <c r="AF623" s="1">
        <v>419.0</v>
      </c>
      <c r="AG623" s="1">
        <v>96.0</v>
      </c>
      <c r="AH623" s="1">
        <v>141.0</v>
      </c>
      <c r="AI623" s="1">
        <v>101.0</v>
      </c>
      <c r="AJ623" s="1">
        <v>84.0</v>
      </c>
      <c r="AK623" s="1">
        <v>152.0</v>
      </c>
      <c r="AL623" s="1">
        <v>124.0</v>
      </c>
      <c r="AM623" s="1">
        <v>211.0</v>
      </c>
      <c r="AN623" s="1">
        <v>141.0</v>
      </c>
      <c r="AO623" s="1">
        <v>264.0</v>
      </c>
      <c r="AP623" s="1">
        <v>0.297271</v>
      </c>
      <c r="AQ623" s="1">
        <v>0.093592</v>
      </c>
      <c r="AR623" s="1">
        <v>0.174535</v>
      </c>
      <c r="AS623" s="1">
        <v>0.138999</v>
      </c>
      <c r="AT623" s="1">
        <v>17233.0</v>
      </c>
      <c r="AU623" s="1">
        <v>2446.0</v>
      </c>
      <c r="AV623" s="1">
        <v>0.255705</v>
      </c>
      <c r="AW623" s="1">
        <v>0.058767</v>
      </c>
      <c r="AX623" s="1">
        <v>0.197309</v>
      </c>
      <c r="AY623" s="1">
        <v>0.250966</v>
      </c>
      <c r="AZ623" s="1">
        <v>0.11575954</v>
      </c>
      <c r="BA623" s="1">
        <v>0.212154</v>
      </c>
      <c r="BB623" s="1">
        <v>0.056185</v>
      </c>
      <c r="BC623" s="1">
        <v>0.068641</v>
      </c>
      <c r="BD623" s="1">
        <v>0.036529</v>
      </c>
      <c r="BE623" s="1">
        <v>0.0536</v>
      </c>
      <c r="BF623" s="1">
        <v>0.038432</v>
      </c>
      <c r="BG623" s="1">
        <v>0.031865</v>
      </c>
      <c r="BH623" s="1">
        <v>0.066144</v>
      </c>
      <c r="BI623" s="1">
        <v>0.053687</v>
      </c>
      <c r="BJ623" s="1">
        <v>0.091818</v>
      </c>
      <c r="BK623" s="1">
        <v>0.060896</v>
      </c>
      <c r="BL623" s="1">
        <v>0.040822</v>
      </c>
      <c r="BM623" s="1">
        <v>0.883</v>
      </c>
      <c r="BN623" s="1">
        <v>0.93</v>
      </c>
      <c r="BO623" s="1">
        <v>0.7718</v>
      </c>
      <c r="BP623" s="1">
        <v>0.88</v>
      </c>
      <c r="BQ623" s="1">
        <v>3.4648</v>
      </c>
      <c r="BR623" s="1">
        <v>0.9162</v>
      </c>
      <c r="BS623" s="1">
        <v>0.861</v>
      </c>
      <c r="BT623" s="1">
        <v>0.611</v>
      </c>
      <c r="BU623" s="1">
        <v>0.64</v>
      </c>
      <c r="BV623" s="1">
        <v>2.112</v>
      </c>
      <c r="BW623" s="1">
        <v>0.923</v>
      </c>
      <c r="BX623" s="1">
        <v>0.723</v>
      </c>
      <c r="BY623" s="1">
        <v>0.966</v>
      </c>
      <c r="BZ623" s="1">
        <v>1.689</v>
      </c>
      <c r="CA623" s="1">
        <v>0.915</v>
      </c>
      <c r="CB623" s="1">
        <v>0.589</v>
      </c>
      <c r="CC623" s="1">
        <v>0.573</v>
      </c>
      <c r="CD623" s="1">
        <v>0.972</v>
      </c>
      <c r="CE623" s="1">
        <v>0.725</v>
      </c>
      <c r="CF623" s="1">
        <v>0.871</v>
      </c>
      <c r="CG623" s="1">
        <v>3.73</v>
      </c>
      <c r="CH623" s="1">
        <v>0.98</v>
      </c>
      <c r="CI623" s="1">
        <v>10.9958</v>
      </c>
      <c r="CJ623" s="1">
        <v>0.9906</v>
      </c>
      <c r="CK623" s="1">
        <v>0.0</v>
      </c>
      <c r="CL623" s="1">
        <v>1.0</v>
      </c>
      <c r="CM623" s="1">
        <v>0.0</v>
      </c>
      <c r="CN623" s="1">
        <v>0.0</v>
      </c>
      <c r="CO623" s="1">
        <v>1.0</v>
      </c>
      <c r="CP623" s="1">
        <v>0.0</v>
      </c>
      <c r="CQ623" s="1">
        <v>0.0</v>
      </c>
      <c r="CR623" s="1">
        <v>0.0</v>
      </c>
      <c r="CS623" s="1">
        <v>0.0</v>
      </c>
      <c r="CT623" s="1">
        <v>0.0</v>
      </c>
      <c r="CU623" s="1">
        <v>1.0</v>
      </c>
      <c r="CV623" s="1">
        <v>1.0</v>
      </c>
      <c r="CW623" s="1">
        <v>0.0</v>
      </c>
      <c r="CX623" s="1">
        <v>0.0</v>
      </c>
      <c r="CY623" s="1">
        <v>1.0</v>
      </c>
      <c r="CZ623" s="1">
        <v>0.0</v>
      </c>
      <c r="DA623" s="1">
        <v>0.0</v>
      </c>
      <c r="DB623" s="1">
        <v>1.0</v>
      </c>
      <c r="DC623" s="1">
        <v>3.0</v>
      </c>
      <c r="DD623" s="1" t="s">
        <v>2970</v>
      </c>
      <c r="DE623" s="1">
        <v>0.00135507278314766</v>
      </c>
      <c r="DF623" s="2" t="s">
        <v>2971</v>
      </c>
    </row>
    <row r="624" ht="15.75" customHeight="1">
      <c r="A624" s="1" t="s">
        <v>2972</v>
      </c>
      <c r="B624" s="1">
        <v>29.0</v>
      </c>
      <c r="C624" s="2" t="s">
        <v>2930</v>
      </c>
      <c r="D624" s="2" t="s">
        <v>2606</v>
      </c>
      <c r="E624" s="1">
        <v>5.636</v>
      </c>
      <c r="F624" s="1">
        <v>29097.0</v>
      </c>
      <c r="G624" s="1">
        <v>2.90970118E10</v>
      </c>
      <c r="H624" s="1" t="s">
        <v>112</v>
      </c>
      <c r="I624" s="1" t="s">
        <v>113</v>
      </c>
      <c r="J624" s="1" t="s">
        <v>2931</v>
      </c>
      <c r="K624" s="1" t="s">
        <v>2973</v>
      </c>
      <c r="L624" s="1">
        <v>4756.0</v>
      </c>
      <c r="M624" s="1">
        <v>4229.0</v>
      </c>
      <c r="N624" s="1">
        <v>427.0</v>
      </c>
      <c r="O624" s="1">
        <v>1972.0</v>
      </c>
      <c r="P624" s="1">
        <v>1967.0</v>
      </c>
      <c r="Q624" s="1">
        <v>150.0</v>
      </c>
      <c r="R624" s="1">
        <v>1806.0</v>
      </c>
      <c r="S624" s="1">
        <v>788.0</v>
      </c>
      <c r="T624" s="1">
        <v>331.0</v>
      </c>
      <c r="U624" s="1">
        <v>241.0</v>
      </c>
      <c r="V624" s="1">
        <v>443.0</v>
      </c>
      <c r="W624" s="1">
        <v>17633.0</v>
      </c>
      <c r="X624" s="1">
        <v>2189.0</v>
      </c>
      <c r="Y624" s="1">
        <v>644.0</v>
      </c>
      <c r="Z624" s="1">
        <v>227.0</v>
      </c>
      <c r="AA624" s="1">
        <v>596.0</v>
      </c>
      <c r="AB624" s="1">
        <v>1416.0</v>
      </c>
      <c r="AC624" s="1">
        <v>278.0</v>
      </c>
      <c r="AD624" s="1">
        <v>1159.0</v>
      </c>
      <c r="AE624" s="1">
        <v>53.0</v>
      </c>
      <c r="AF624" s="1">
        <v>448.0</v>
      </c>
      <c r="AG624" s="1">
        <v>70.0</v>
      </c>
      <c r="AH624" s="1">
        <v>129.0</v>
      </c>
      <c r="AI624" s="1">
        <v>79.0</v>
      </c>
      <c r="AJ624" s="1">
        <v>46.0</v>
      </c>
      <c r="AK624" s="1">
        <v>59.0</v>
      </c>
      <c r="AL624" s="1">
        <v>122.0</v>
      </c>
      <c r="AM624" s="1">
        <v>195.0</v>
      </c>
      <c r="AN624" s="1">
        <v>105.0</v>
      </c>
      <c r="AO624" s="1">
        <v>0.0</v>
      </c>
      <c r="AP624" s="1">
        <v>0.187306</v>
      </c>
      <c r="AQ624" s="1">
        <v>0.076302</v>
      </c>
      <c r="AR624" s="1">
        <v>0.122771</v>
      </c>
      <c r="AS624" s="1">
        <v>0.225028</v>
      </c>
      <c r="AT624" s="1">
        <v>17633.0</v>
      </c>
      <c r="AU624" s="1">
        <v>2189.0</v>
      </c>
      <c r="AV624" s="1">
        <v>0.235036</v>
      </c>
      <c r="AW624" s="1">
        <v>0.078832</v>
      </c>
      <c r="AX624" s="1">
        <v>0.125315</v>
      </c>
      <c r="AY624" s="1">
        <v>0.297729</v>
      </c>
      <c r="AZ624" s="1">
        <v>0.15393133</v>
      </c>
      <c r="BA624" s="1">
        <v>0.243692</v>
      </c>
      <c r="BB624" s="1">
        <v>0.013666</v>
      </c>
      <c r="BC624" s="1">
        <v>0.115515</v>
      </c>
      <c r="BD624" s="1">
        <v>0.035587</v>
      </c>
      <c r="BE624" s="1">
        <v>0.065525</v>
      </c>
      <c r="BF624" s="1">
        <v>0.040162</v>
      </c>
      <c r="BG624" s="1">
        <v>0.023184</v>
      </c>
      <c r="BH624" s="1">
        <v>0.033849</v>
      </c>
      <c r="BI624" s="1">
        <v>0.069921</v>
      </c>
      <c r="BJ624" s="1">
        <v>0.111876</v>
      </c>
      <c r="BK624" s="1">
        <v>0.059314</v>
      </c>
      <c r="BL624" s="1">
        <v>0.0</v>
      </c>
      <c r="BM624" s="1">
        <v>0.695</v>
      </c>
      <c r="BN624" s="1">
        <v>0.832</v>
      </c>
      <c r="BO624" s="1">
        <v>0.7509</v>
      </c>
      <c r="BP624" s="1">
        <v>0.836</v>
      </c>
      <c r="BQ624" s="1">
        <v>3.1139</v>
      </c>
      <c r="BR624" s="1">
        <v>0.8274</v>
      </c>
      <c r="BS624" s="1">
        <v>0.382</v>
      </c>
      <c r="BT624" s="1">
        <v>0.913</v>
      </c>
      <c r="BU624" s="1">
        <v>0.806</v>
      </c>
      <c r="BV624" s="1">
        <v>2.101</v>
      </c>
      <c r="BW624" s="1">
        <v>0.917</v>
      </c>
      <c r="BX624" s="1">
        <v>0.757</v>
      </c>
      <c r="BY624" s="1">
        <v>0.793</v>
      </c>
      <c r="BZ624" s="1">
        <v>1.55</v>
      </c>
      <c r="CA624" s="1">
        <v>0.853</v>
      </c>
      <c r="CB624" s="1">
        <v>0.584</v>
      </c>
      <c r="CC624" s="1">
        <v>0.579</v>
      </c>
      <c r="CD624" s="1">
        <v>0.849</v>
      </c>
      <c r="CE624" s="1">
        <v>0.785</v>
      </c>
      <c r="CF624" s="1">
        <v>0.0</v>
      </c>
      <c r="CG624" s="1">
        <v>2.797</v>
      </c>
      <c r="CH624" s="1">
        <v>0.687</v>
      </c>
      <c r="CI624" s="1">
        <v>9.5619</v>
      </c>
      <c r="CJ624" s="1">
        <v>0.9126</v>
      </c>
      <c r="CK624" s="1">
        <v>0.0</v>
      </c>
      <c r="CL624" s="1">
        <v>0.0</v>
      </c>
      <c r="CM624" s="1">
        <v>0.0</v>
      </c>
      <c r="CN624" s="1">
        <v>0.0</v>
      </c>
      <c r="CO624" s="1">
        <v>0.0</v>
      </c>
      <c r="CP624" s="1">
        <v>0.0</v>
      </c>
      <c r="CQ624" s="1">
        <v>1.0</v>
      </c>
      <c r="CR624" s="1">
        <v>0.0</v>
      </c>
      <c r="CS624" s="1">
        <v>1.0</v>
      </c>
      <c r="CT624" s="1">
        <v>0.0</v>
      </c>
      <c r="CU624" s="1">
        <v>0.0</v>
      </c>
      <c r="CV624" s="1">
        <v>0.0</v>
      </c>
      <c r="CW624" s="1">
        <v>0.0</v>
      </c>
      <c r="CX624" s="1">
        <v>0.0</v>
      </c>
      <c r="CY624" s="1">
        <v>0.0</v>
      </c>
      <c r="CZ624" s="1">
        <v>0.0</v>
      </c>
      <c r="DA624" s="1">
        <v>0.0</v>
      </c>
      <c r="DB624" s="1">
        <v>0.0</v>
      </c>
      <c r="DC624" s="1">
        <v>1.0</v>
      </c>
      <c r="DD624" s="1" t="s">
        <v>2974</v>
      </c>
      <c r="DE624" s="1">
        <v>0.0014852385821961</v>
      </c>
      <c r="DF624" s="2" t="s">
        <v>2975</v>
      </c>
    </row>
    <row r="625" ht="15.75" customHeight="1">
      <c r="A625" s="1" t="s">
        <v>2976</v>
      </c>
      <c r="B625" s="1">
        <v>29.0</v>
      </c>
      <c r="C625" s="2" t="s">
        <v>2930</v>
      </c>
      <c r="D625" s="2" t="s">
        <v>2699</v>
      </c>
      <c r="E625" s="1">
        <v>40.123</v>
      </c>
      <c r="F625" s="1">
        <v>29097.0</v>
      </c>
      <c r="G625" s="1">
        <v>2.90970119E10</v>
      </c>
      <c r="H625" s="1" t="s">
        <v>112</v>
      </c>
      <c r="I625" s="1" t="s">
        <v>113</v>
      </c>
      <c r="J625" s="1" t="s">
        <v>2931</v>
      </c>
      <c r="K625" s="1" t="s">
        <v>2977</v>
      </c>
      <c r="L625" s="1">
        <v>3991.0</v>
      </c>
      <c r="M625" s="1">
        <v>3845.0</v>
      </c>
      <c r="N625" s="1">
        <v>396.0</v>
      </c>
      <c r="O625" s="1">
        <v>1739.0</v>
      </c>
      <c r="P625" s="1">
        <v>1630.0</v>
      </c>
      <c r="Q625" s="1">
        <v>123.0</v>
      </c>
      <c r="R625" s="1">
        <v>1603.0</v>
      </c>
      <c r="S625" s="1">
        <v>740.0</v>
      </c>
      <c r="T625" s="1">
        <v>273.0</v>
      </c>
      <c r="U625" s="1">
        <v>128.0</v>
      </c>
      <c r="V625" s="1">
        <v>401.0</v>
      </c>
      <c r="W625" s="1">
        <v>18934.0</v>
      </c>
      <c r="X625" s="1">
        <v>2076.0</v>
      </c>
      <c r="Y625" s="1">
        <v>532.0</v>
      </c>
      <c r="Z625" s="1">
        <v>287.0</v>
      </c>
      <c r="AA625" s="1">
        <v>502.0</v>
      </c>
      <c r="AB625" s="1">
        <v>1029.0</v>
      </c>
      <c r="AC625" s="1">
        <v>219.0</v>
      </c>
      <c r="AD625" s="1">
        <v>439.0</v>
      </c>
      <c r="AE625" s="1">
        <v>0.0</v>
      </c>
      <c r="AF625" s="1">
        <v>456.0</v>
      </c>
      <c r="AG625" s="1">
        <v>137.0</v>
      </c>
      <c r="AH625" s="1">
        <v>136.0</v>
      </c>
      <c r="AI625" s="1">
        <v>194.0</v>
      </c>
      <c r="AJ625" s="1">
        <v>83.0</v>
      </c>
      <c r="AK625" s="1">
        <v>40.0</v>
      </c>
      <c r="AL625" s="1">
        <v>117.0</v>
      </c>
      <c r="AM625" s="1">
        <v>107.0</v>
      </c>
      <c r="AN625" s="1">
        <v>53.0</v>
      </c>
      <c r="AO625" s="1">
        <v>0.0</v>
      </c>
      <c r="AP625" s="1">
        <v>0.192457</v>
      </c>
      <c r="AQ625" s="1">
        <v>0.068178</v>
      </c>
      <c r="AR625" s="1">
        <v>0.073605</v>
      </c>
      <c r="AS625" s="1">
        <v>0.230424</v>
      </c>
      <c r="AT625" s="1">
        <v>18934.0</v>
      </c>
      <c r="AU625" s="1">
        <v>2076.0</v>
      </c>
      <c r="AV625" s="1">
        <v>0.222036</v>
      </c>
      <c r="AW625" s="1">
        <v>0.117769</v>
      </c>
      <c r="AX625" s="1">
        <v>0.125783</v>
      </c>
      <c r="AY625" s="1">
        <v>0.25783</v>
      </c>
      <c r="AZ625" s="1">
        <v>0.13661883</v>
      </c>
      <c r="BA625" s="1">
        <v>0.109997</v>
      </c>
      <c r="BB625" s="1">
        <v>0.0</v>
      </c>
      <c r="BC625" s="1">
        <v>0.126737</v>
      </c>
      <c r="BD625" s="1">
        <v>0.084049</v>
      </c>
      <c r="BE625" s="1">
        <v>0.083194</v>
      </c>
      <c r="BF625" s="1">
        <v>0.119018</v>
      </c>
      <c r="BG625" s="1">
        <v>0.050121</v>
      </c>
      <c r="BH625" s="1">
        <v>0.027229</v>
      </c>
      <c r="BI625" s="1">
        <v>0.079606</v>
      </c>
      <c r="BJ625" s="1">
        <v>0.072838</v>
      </c>
      <c r="BK625" s="1">
        <v>0.035443</v>
      </c>
      <c r="BL625" s="1">
        <v>0.0</v>
      </c>
      <c r="BM625" s="1">
        <v>0.709</v>
      </c>
      <c r="BN625" s="1">
        <v>0.543</v>
      </c>
      <c r="BO625" s="1">
        <v>0.6758</v>
      </c>
      <c r="BP625" s="1">
        <v>0.807</v>
      </c>
      <c r="BQ625" s="1">
        <v>2.7348</v>
      </c>
      <c r="BR625" s="1">
        <v>0.7336</v>
      </c>
      <c r="BS625" s="1">
        <v>0.387</v>
      </c>
      <c r="BT625" s="1">
        <v>0.683</v>
      </c>
      <c r="BU625" s="1">
        <v>0.747</v>
      </c>
      <c r="BV625" s="1">
        <v>1.817</v>
      </c>
      <c r="BW625" s="1">
        <v>0.733</v>
      </c>
      <c r="BX625" s="1">
        <v>0.504</v>
      </c>
      <c r="BY625" s="1">
        <v>0.0</v>
      </c>
      <c r="BZ625" s="1">
        <v>0.504</v>
      </c>
      <c r="CA625" s="1">
        <v>0.21</v>
      </c>
      <c r="CB625" s="1">
        <v>0.738</v>
      </c>
      <c r="CC625" s="1">
        <v>0.758</v>
      </c>
      <c r="CD625" s="1">
        <v>0.782</v>
      </c>
      <c r="CE625" s="1">
        <v>0.638</v>
      </c>
      <c r="CF625" s="1">
        <v>0.0</v>
      </c>
      <c r="CG625" s="1">
        <v>2.916</v>
      </c>
      <c r="CH625" s="1">
        <v>0.738</v>
      </c>
      <c r="CI625" s="1">
        <v>7.9718</v>
      </c>
      <c r="CJ625" s="1">
        <v>0.7097</v>
      </c>
      <c r="CK625" s="1">
        <v>0.0</v>
      </c>
      <c r="CL625" s="1">
        <v>0.0</v>
      </c>
      <c r="CM625" s="1">
        <v>0.0</v>
      </c>
      <c r="CN625" s="1">
        <v>0.0</v>
      </c>
      <c r="CO625" s="1">
        <v>0.0</v>
      </c>
      <c r="CP625" s="1">
        <v>0.0</v>
      </c>
      <c r="CQ625" s="1">
        <v>0.0</v>
      </c>
      <c r="CR625" s="1">
        <v>0.0</v>
      </c>
      <c r="CS625" s="1">
        <v>0.0</v>
      </c>
      <c r="CT625" s="1">
        <v>0.0</v>
      </c>
      <c r="CU625" s="1">
        <v>0.0</v>
      </c>
      <c r="CV625" s="1">
        <v>0.0</v>
      </c>
      <c r="CW625" s="1">
        <v>0.0</v>
      </c>
      <c r="CX625" s="1">
        <v>0.0</v>
      </c>
      <c r="CY625" s="1">
        <v>0.0</v>
      </c>
      <c r="CZ625" s="1">
        <v>0.0</v>
      </c>
      <c r="DA625" s="1">
        <v>0.0</v>
      </c>
      <c r="DB625" s="1">
        <v>0.0</v>
      </c>
      <c r="DC625" s="1">
        <v>0.0</v>
      </c>
      <c r="DD625" s="1" t="s">
        <v>2978</v>
      </c>
      <c r="DE625" s="2" t="s">
        <v>2979</v>
      </c>
      <c r="DF625" s="2" t="s">
        <v>2980</v>
      </c>
    </row>
    <row r="626" ht="15.75" customHeight="1">
      <c r="A626" s="1" t="s">
        <v>2981</v>
      </c>
      <c r="B626" s="1">
        <v>29.0</v>
      </c>
      <c r="C626" s="2" t="s">
        <v>2930</v>
      </c>
      <c r="D626" s="2" t="s">
        <v>2703</v>
      </c>
      <c r="E626" s="1">
        <v>91.035</v>
      </c>
      <c r="F626" s="1">
        <v>29097.0</v>
      </c>
      <c r="G626" s="1">
        <v>2.9097012E10</v>
      </c>
      <c r="H626" s="1" t="s">
        <v>112</v>
      </c>
      <c r="I626" s="1" t="s">
        <v>113</v>
      </c>
      <c r="J626" s="1" t="s">
        <v>2931</v>
      </c>
      <c r="K626" s="1" t="s">
        <v>2982</v>
      </c>
      <c r="L626" s="1">
        <v>5417.0</v>
      </c>
      <c r="M626" s="1">
        <v>4767.0</v>
      </c>
      <c r="N626" s="1">
        <v>478.0</v>
      </c>
      <c r="O626" s="1">
        <v>2281.0</v>
      </c>
      <c r="P626" s="1">
        <v>2151.0</v>
      </c>
      <c r="Q626" s="1">
        <v>138.0</v>
      </c>
      <c r="R626" s="1">
        <v>2035.0</v>
      </c>
      <c r="S626" s="1">
        <v>590.0</v>
      </c>
      <c r="T626" s="1">
        <v>232.0</v>
      </c>
      <c r="U626" s="1">
        <v>162.0</v>
      </c>
      <c r="V626" s="1">
        <v>331.0</v>
      </c>
      <c r="W626" s="1">
        <v>22028.0</v>
      </c>
      <c r="X626" s="1">
        <v>2928.0</v>
      </c>
      <c r="Y626" s="1">
        <v>577.0</v>
      </c>
      <c r="Z626" s="1">
        <v>247.0</v>
      </c>
      <c r="AA626" s="1">
        <v>805.0</v>
      </c>
      <c r="AB626" s="1">
        <v>1466.0</v>
      </c>
      <c r="AC626" s="1">
        <v>196.0</v>
      </c>
      <c r="AD626" s="1">
        <v>422.0</v>
      </c>
      <c r="AE626" s="1">
        <v>0.0</v>
      </c>
      <c r="AF626" s="1">
        <v>456.0</v>
      </c>
      <c r="AG626" s="1">
        <v>0.0</v>
      </c>
      <c r="AH626" s="1">
        <v>197.0</v>
      </c>
      <c r="AI626" s="1">
        <v>522.0</v>
      </c>
      <c r="AJ626" s="1">
        <v>137.0</v>
      </c>
      <c r="AK626" s="1">
        <v>31.0</v>
      </c>
      <c r="AL626" s="1">
        <v>116.0</v>
      </c>
      <c r="AM626" s="1">
        <v>50.0</v>
      </c>
      <c r="AN626" s="1">
        <v>29.0</v>
      </c>
      <c r="AO626" s="1">
        <v>26.0</v>
      </c>
      <c r="AP626" s="1">
        <v>0.123767</v>
      </c>
      <c r="AQ626" s="1">
        <v>0.047058</v>
      </c>
      <c r="AR626" s="1">
        <v>0.076595</v>
      </c>
      <c r="AS626" s="1">
        <v>0.156197</v>
      </c>
      <c r="AT626" s="1">
        <v>22028.0</v>
      </c>
      <c r="AU626" s="1">
        <v>2928.0</v>
      </c>
      <c r="AV626" s="1">
        <v>0.176021</v>
      </c>
      <c r="AW626" s="1">
        <v>0.073994</v>
      </c>
      <c r="AX626" s="1">
        <v>0.148606</v>
      </c>
      <c r="AY626" s="1">
        <v>0.270629</v>
      </c>
      <c r="AZ626" s="1">
        <v>0.09631449</v>
      </c>
      <c r="BA626" s="1">
        <v>0.077902</v>
      </c>
      <c r="BB626" s="1">
        <v>0.0</v>
      </c>
      <c r="BC626" s="1">
        <v>0.099934</v>
      </c>
      <c r="BD626" s="1">
        <v>0.0</v>
      </c>
      <c r="BE626" s="1">
        <v>0.091585</v>
      </c>
      <c r="BF626" s="1">
        <v>0.242677</v>
      </c>
      <c r="BG626" s="1">
        <v>0.061759</v>
      </c>
      <c r="BH626" s="1">
        <v>0.016324</v>
      </c>
      <c r="BI626" s="1">
        <v>0.061072</v>
      </c>
      <c r="BJ626" s="1">
        <v>0.026329</v>
      </c>
      <c r="BK626" s="1">
        <v>0.015141</v>
      </c>
      <c r="BL626" s="1">
        <v>0.004799</v>
      </c>
      <c r="BM626" s="1">
        <v>0.467</v>
      </c>
      <c r="BN626" s="1">
        <v>0.574</v>
      </c>
      <c r="BO626" s="1">
        <v>0.491</v>
      </c>
      <c r="BP626" s="1">
        <v>0.673</v>
      </c>
      <c r="BQ626" s="1">
        <v>2.205</v>
      </c>
      <c r="BR626" s="1">
        <v>0.5697</v>
      </c>
      <c r="BS626" s="1">
        <v>0.566</v>
      </c>
      <c r="BT626" s="1">
        <v>0.795</v>
      </c>
      <c r="BU626" s="1">
        <v>0.461</v>
      </c>
      <c r="BV626" s="1">
        <v>1.822</v>
      </c>
      <c r="BW626" s="1">
        <v>0.739</v>
      </c>
      <c r="BX626" s="1">
        <v>0.388</v>
      </c>
      <c r="BY626" s="1">
        <v>0.0</v>
      </c>
      <c r="BZ626" s="1">
        <v>0.388</v>
      </c>
      <c r="CA626" s="1">
        <v>0.158</v>
      </c>
      <c r="CB626" s="1">
        <v>0.0</v>
      </c>
      <c r="CC626" s="1">
        <v>0.943</v>
      </c>
      <c r="CD626" s="1">
        <v>0.618</v>
      </c>
      <c r="CE626" s="1">
        <v>0.252</v>
      </c>
      <c r="CF626" s="1">
        <v>0.504</v>
      </c>
      <c r="CG626" s="1">
        <v>2.317</v>
      </c>
      <c r="CH626" s="1">
        <v>0.463</v>
      </c>
      <c r="CI626" s="1">
        <v>6.732</v>
      </c>
      <c r="CJ626" s="1">
        <v>0.4968</v>
      </c>
      <c r="CK626" s="1">
        <v>0.0</v>
      </c>
      <c r="CL626" s="1">
        <v>0.0</v>
      </c>
      <c r="CM626" s="1">
        <v>0.0</v>
      </c>
      <c r="CN626" s="1">
        <v>0.0</v>
      </c>
      <c r="CO626" s="1">
        <v>0.0</v>
      </c>
      <c r="CP626" s="1">
        <v>0.0</v>
      </c>
      <c r="CQ626" s="1">
        <v>0.0</v>
      </c>
      <c r="CR626" s="1">
        <v>0.0</v>
      </c>
      <c r="CS626" s="1">
        <v>0.0</v>
      </c>
      <c r="CT626" s="1">
        <v>0.0</v>
      </c>
      <c r="CU626" s="1">
        <v>0.0</v>
      </c>
      <c r="CV626" s="1">
        <v>0.0</v>
      </c>
      <c r="CW626" s="1">
        <v>0.0</v>
      </c>
      <c r="CX626" s="1">
        <v>1.0</v>
      </c>
      <c r="CY626" s="1">
        <v>0.0</v>
      </c>
      <c r="CZ626" s="1">
        <v>0.0</v>
      </c>
      <c r="DA626" s="1">
        <v>0.0</v>
      </c>
      <c r="DB626" s="1">
        <v>1.0</v>
      </c>
      <c r="DC626" s="1">
        <v>1.0</v>
      </c>
      <c r="DD626" s="1" t="s">
        <v>2983</v>
      </c>
      <c r="DE626" s="2" t="s">
        <v>2984</v>
      </c>
      <c r="DF626" s="2" t="s">
        <v>2985</v>
      </c>
    </row>
    <row r="627" ht="15.75" customHeight="1">
      <c r="A627" s="1" t="s">
        <v>2986</v>
      </c>
      <c r="B627" s="1">
        <v>29.0</v>
      </c>
      <c r="C627" s="2" t="s">
        <v>2930</v>
      </c>
      <c r="D627" s="2" t="s">
        <v>2707</v>
      </c>
      <c r="E627" s="1">
        <v>180.381</v>
      </c>
      <c r="F627" s="1">
        <v>29097.0</v>
      </c>
      <c r="G627" s="1">
        <v>2.90970121E10</v>
      </c>
      <c r="H627" s="1" t="s">
        <v>112</v>
      </c>
      <c r="I627" s="1" t="s">
        <v>113</v>
      </c>
      <c r="J627" s="1" t="s">
        <v>2931</v>
      </c>
      <c r="K627" s="1" t="s">
        <v>2987</v>
      </c>
      <c r="L627" s="1">
        <v>3791.0</v>
      </c>
      <c r="M627" s="1">
        <v>3957.0</v>
      </c>
      <c r="N627" s="1">
        <v>340.0</v>
      </c>
      <c r="O627" s="1">
        <v>1555.0</v>
      </c>
      <c r="P627" s="1">
        <v>1478.0</v>
      </c>
      <c r="Q627" s="1">
        <v>101.0</v>
      </c>
      <c r="R627" s="1">
        <v>1382.0</v>
      </c>
      <c r="S627" s="1">
        <v>431.0</v>
      </c>
      <c r="T627" s="1">
        <v>181.0</v>
      </c>
      <c r="U627" s="1">
        <v>119.0</v>
      </c>
      <c r="V627" s="1">
        <v>433.0</v>
      </c>
      <c r="W627" s="1">
        <v>19663.0</v>
      </c>
      <c r="X627" s="1">
        <v>1586.0</v>
      </c>
      <c r="Y627" s="1">
        <v>540.0</v>
      </c>
      <c r="Z627" s="1">
        <v>215.0</v>
      </c>
      <c r="AA627" s="1">
        <v>558.0</v>
      </c>
      <c r="AB627" s="1">
        <v>1012.0</v>
      </c>
      <c r="AC627" s="1">
        <v>87.0</v>
      </c>
      <c r="AD627" s="1">
        <v>303.0</v>
      </c>
      <c r="AE627" s="1">
        <v>41.0</v>
      </c>
      <c r="AF627" s="1">
        <v>380.0</v>
      </c>
      <c r="AG627" s="1">
        <v>0.0</v>
      </c>
      <c r="AH627" s="1">
        <v>197.0</v>
      </c>
      <c r="AI627" s="1">
        <v>138.0</v>
      </c>
      <c r="AJ627" s="1">
        <v>50.0</v>
      </c>
      <c r="AK627" s="1">
        <v>18.0</v>
      </c>
      <c r="AL627" s="1">
        <v>115.0</v>
      </c>
      <c r="AM627" s="1">
        <v>10.0</v>
      </c>
      <c r="AN627" s="1">
        <v>115.0</v>
      </c>
      <c r="AO627" s="1">
        <v>0.0</v>
      </c>
      <c r="AP627" s="1">
        <v>0.109697</v>
      </c>
      <c r="AQ627" s="1">
        <v>0.04509</v>
      </c>
      <c r="AR627" s="1">
        <v>0.063772</v>
      </c>
      <c r="AS627" s="1">
        <v>0.231941</v>
      </c>
      <c r="AT627" s="1">
        <v>19663.0</v>
      </c>
      <c r="AU627" s="1">
        <v>1586.0</v>
      </c>
      <c r="AV627" s="1">
        <v>0.206579</v>
      </c>
      <c r="AW627" s="1">
        <v>0.080356</v>
      </c>
      <c r="AX627" s="1">
        <v>0.14719</v>
      </c>
      <c r="AY627" s="1">
        <v>0.266948</v>
      </c>
      <c r="AZ627" s="1">
        <v>0.06295224</v>
      </c>
      <c r="BA627" s="1">
        <v>0.079926</v>
      </c>
      <c r="BB627" s="1">
        <v>0.010971</v>
      </c>
      <c r="BC627" s="1">
        <v>0.101681</v>
      </c>
      <c r="BD627" s="1">
        <v>0.0</v>
      </c>
      <c r="BE627" s="1">
        <v>0.133288</v>
      </c>
      <c r="BF627" s="1">
        <v>0.093369</v>
      </c>
      <c r="BG627" s="1">
        <v>0.033222</v>
      </c>
      <c r="BH627" s="1">
        <v>0.013462</v>
      </c>
      <c r="BI627" s="1">
        <v>0.086007</v>
      </c>
      <c r="BJ627" s="1">
        <v>0.007479</v>
      </c>
      <c r="BK627" s="1">
        <v>0.086011</v>
      </c>
      <c r="BL627" s="1">
        <v>0.0</v>
      </c>
      <c r="BM627" s="1">
        <v>0.412</v>
      </c>
      <c r="BN627" s="1">
        <v>0.461</v>
      </c>
      <c r="BO627" s="1">
        <v>0.6347</v>
      </c>
      <c r="BP627" s="1">
        <v>0.769</v>
      </c>
      <c r="BQ627" s="1">
        <v>2.2767</v>
      </c>
      <c r="BR627" s="1">
        <v>0.5949</v>
      </c>
      <c r="BS627" s="1">
        <v>0.557</v>
      </c>
      <c r="BT627" s="1">
        <v>0.769</v>
      </c>
      <c r="BU627" s="1">
        <v>0.158</v>
      </c>
      <c r="BV627" s="1">
        <v>1.484</v>
      </c>
      <c r="BW627" s="1">
        <v>0.471</v>
      </c>
      <c r="BX627" s="1">
        <v>0.4</v>
      </c>
      <c r="BY627" s="1">
        <v>0.745</v>
      </c>
      <c r="BZ627" s="1">
        <v>1.145</v>
      </c>
      <c r="CA627" s="1">
        <v>0.63</v>
      </c>
      <c r="CB627" s="1">
        <v>0.0</v>
      </c>
      <c r="CC627" s="1">
        <v>0.704</v>
      </c>
      <c r="CD627" s="1">
        <v>0.563</v>
      </c>
      <c r="CE627" s="1">
        <v>0.064</v>
      </c>
      <c r="CF627" s="1">
        <v>0.0</v>
      </c>
      <c r="CG627" s="1">
        <v>1.331</v>
      </c>
      <c r="CH627" s="1">
        <v>0.136</v>
      </c>
      <c r="CI627" s="1">
        <v>6.2367</v>
      </c>
      <c r="CJ627" s="1">
        <v>0.4166</v>
      </c>
      <c r="CK627" s="1">
        <v>0.0</v>
      </c>
      <c r="CL627" s="1">
        <v>0.0</v>
      </c>
      <c r="CM627" s="1">
        <v>0.0</v>
      </c>
      <c r="CN627" s="1">
        <v>0.0</v>
      </c>
      <c r="CO627" s="1">
        <v>0.0</v>
      </c>
      <c r="CP627" s="1">
        <v>0.0</v>
      </c>
      <c r="CQ627" s="1">
        <v>0.0</v>
      </c>
      <c r="CR627" s="1">
        <v>0.0</v>
      </c>
      <c r="CS627" s="1">
        <v>0.0</v>
      </c>
      <c r="CT627" s="1">
        <v>0.0</v>
      </c>
      <c r="CU627" s="1">
        <v>0.0</v>
      </c>
      <c r="CV627" s="1">
        <v>0.0</v>
      </c>
      <c r="CW627" s="1">
        <v>0.0</v>
      </c>
      <c r="CX627" s="1">
        <v>0.0</v>
      </c>
      <c r="CY627" s="1">
        <v>0.0</v>
      </c>
      <c r="CZ627" s="1">
        <v>0.0</v>
      </c>
      <c r="DA627" s="1">
        <v>0.0</v>
      </c>
      <c r="DB627" s="1">
        <v>0.0</v>
      </c>
      <c r="DC627" s="1">
        <v>0.0</v>
      </c>
      <c r="DD627" s="1" t="s">
        <v>2988</v>
      </c>
      <c r="DE627" s="1">
        <v>0.0476783617494901</v>
      </c>
      <c r="DF627" s="2" t="s">
        <v>2989</v>
      </c>
    </row>
    <row r="628" ht="15.75" customHeight="1">
      <c r="A628" s="1" t="s">
        <v>2990</v>
      </c>
      <c r="B628" s="1">
        <v>29.0</v>
      </c>
      <c r="C628" s="2" t="s">
        <v>2930</v>
      </c>
      <c r="D628" s="2" t="s">
        <v>2232</v>
      </c>
      <c r="E628" s="1">
        <v>193.701</v>
      </c>
      <c r="F628" s="1">
        <v>29097.0</v>
      </c>
      <c r="G628" s="1">
        <v>2.90970122E10</v>
      </c>
      <c r="H628" s="1" t="s">
        <v>112</v>
      </c>
      <c r="I628" s="1" t="s">
        <v>113</v>
      </c>
      <c r="J628" s="1" t="s">
        <v>2931</v>
      </c>
      <c r="K628" s="1" t="s">
        <v>2991</v>
      </c>
      <c r="L628" s="1">
        <v>6853.0</v>
      </c>
      <c r="M628" s="1">
        <v>6332.0</v>
      </c>
      <c r="N628" s="1">
        <v>493.0</v>
      </c>
      <c r="O628" s="1">
        <v>2892.0</v>
      </c>
      <c r="P628" s="1">
        <v>2620.0</v>
      </c>
      <c r="Q628" s="1">
        <v>156.0</v>
      </c>
      <c r="R628" s="1">
        <v>2569.0</v>
      </c>
      <c r="S628" s="1">
        <v>795.0</v>
      </c>
      <c r="T628" s="1">
        <v>238.0</v>
      </c>
      <c r="U628" s="1">
        <v>157.0</v>
      </c>
      <c r="V628" s="1">
        <v>285.0</v>
      </c>
      <c r="W628" s="1">
        <v>20454.0</v>
      </c>
      <c r="X628" s="1">
        <v>1611.0</v>
      </c>
      <c r="Y628" s="1">
        <v>743.0</v>
      </c>
      <c r="Z628" s="1">
        <v>289.0</v>
      </c>
      <c r="AA628" s="1">
        <v>864.0</v>
      </c>
      <c r="AB628" s="1">
        <v>1825.0</v>
      </c>
      <c r="AC628" s="1">
        <v>206.0</v>
      </c>
      <c r="AD628" s="1">
        <v>417.0</v>
      </c>
      <c r="AE628" s="1">
        <v>0.0</v>
      </c>
      <c r="AF628" s="1">
        <v>456.0</v>
      </c>
      <c r="AG628" s="1">
        <v>3.0</v>
      </c>
      <c r="AH628" s="1">
        <v>161.0</v>
      </c>
      <c r="AI628" s="1">
        <v>347.0</v>
      </c>
      <c r="AJ628" s="1">
        <v>87.0</v>
      </c>
      <c r="AK628" s="1">
        <v>20.0</v>
      </c>
      <c r="AL628" s="1">
        <v>116.0</v>
      </c>
      <c r="AM628" s="1">
        <v>65.0</v>
      </c>
      <c r="AN628" s="1">
        <v>59.0</v>
      </c>
      <c r="AO628" s="1">
        <v>0.0</v>
      </c>
      <c r="AP628" s="1">
        <v>0.126471</v>
      </c>
      <c r="AQ628" s="1">
        <v>0.036545</v>
      </c>
      <c r="AR628" s="1">
        <v>0.05351</v>
      </c>
      <c r="AS628" s="1">
        <v>0.097013</v>
      </c>
      <c r="AT628" s="1">
        <v>20454.0</v>
      </c>
      <c r="AU628" s="1">
        <v>1611.0</v>
      </c>
      <c r="AV628" s="1">
        <v>0.175442</v>
      </c>
      <c r="AW628" s="1">
        <v>0.067182</v>
      </c>
      <c r="AX628" s="1">
        <v>0.126076</v>
      </c>
      <c r="AY628" s="1">
        <v>0.266306</v>
      </c>
      <c r="AZ628" s="1">
        <v>0.08018684</v>
      </c>
      <c r="BA628" s="1">
        <v>0.060849</v>
      </c>
      <c r="BB628" s="1">
        <v>0.0</v>
      </c>
      <c r="BC628" s="1">
        <v>0.077656</v>
      </c>
      <c r="BD628" s="1">
        <v>0.001145</v>
      </c>
      <c r="BE628" s="1">
        <v>0.06145</v>
      </c>
      <c r="BF628" s="1">
        <v>0.132442</v>
      </c>
      <c r="BG628" s="1">
        <v>0.032256</v>
      </c>
      <c r="BH628" s="1">
        <v>0.008557</v>
      </c>
      <c r="BI628" s="1">
        <v>0.049633</v>
      </c>
      <c r="BJ628" s="1">
        <v>0.027813</v>
      </c>
      <c r="BK628" s="1">
        <v>0.025181</v>
      </c>
      <c r="BL628" s="1">
        <v>0.0</v>
      </c>
      <c r="BM628" s="1">
        <v>0.48</v>
      </c>
      <c r="BN628" s="1">
        <v>0.333</v>
      </c>
      <c r="BO628" s="1">
        <v>0.5848</v>
      </c>
      <c r="BP628" s="1">
        <v>0.67</v>
      </c>
      <c r="BQ628" s="1">
        <v>2.0678</v>
      </c>
      <c r="BR628" s="1">
        <v>0.5213</v>
      </c>
      <c r="BS628" s="1">
        <v>0.39</v>
      </c>
      <c r="BT628" s="1">
        <v>0.761</v>
      </c>
      <c r="BU628" s="1">
        <v>0.305</v>
      </c>
      <c r="BV628" s="1">
        <v>1.456</v>
      </c>
      <c r="BW628" s="1">
        <v>0.441</v>
      </c>
      <c r="BX628" s="1">
        <v>0.316</v>
      </c>
      <c r="BY628" s="1">
        <v>0.0</v>
      </c>
      <c r="BZ628" s="1">
        <v>0.316</v>
      </c>
      <c r="CA628" s="1">
        <v>0.135</v>
      </c>
      <c r="CB628" s="1">
        <v>0.26</v>
      </c>
      <c r="CC628" s="1">
        <v>0.782</v>
      </c>
      <c r="CD628" s="1">
        <v>0.447</v>
      </c>
      <c r="CE628" s="1">
        <v>0.266</v>
      </c>
      <c r="CF628" s="1">
        <v>0.0</v>
      </c>
      <c r="CG628" s="1">
        <v>1.755</v>
      </c>
      <c r="CH628" s="1">
        <v>0.251</v>
      </c>
      <c r="CI628" s="1">
        <v>5.5948</v>
      </c>
      <c r="CJ628" s="1">
        <v>0.3004</v>
      </c>
      <c r="CK628" s="1">
        <v>0.0</v>
      </c>
      <c r="CL628" s="1">
        <v>0.0</v>
      </c>
      <c r="CM628" s="1">
        <v>0.0</v>
      </c>
      <c r="CN628" s="1">
        <v>0.0</v>
      </c>
      <c r="CO628" s="1">
        <v>0.0</v>
      </c>
      <c r="CP628" s="1">
        <v>0.0</v>
      </c>
      <c r="CQ628" s="1">
        <v>0.0</v>
      </c>
      <c r="CR628" s="1">
        <v>0.0</v>
      </c>
      <c r="CS628" s="1">
        <v>0.0</v>
      </c>
      <c r="CT628" s="1">
        <v>0.0</v>
      </c>
      <c r="CU628" s="1">
        <v>0.0</v>
      </c>
      <c r="CV628" s="1">
        <v>0.0</v>
      </c>
      <c r="CW628" s="1">
        <v>0.0</v>
      </c>
      <c r="CX628" s="1">
        <v>0.0</v>
      </c>
      <c r="CY628" s="1">
        <v>0.0</v>
      </c>
      <c r="CZ628" s="1">
        <v>0.0</v>
      </c>
      <c r="DA628" s="1">
        <v>0.0</v>
      </c>
      <c r="DB628" s="1">
        <v>0.0</v>
      </c>
      <c r="DC628" s="1">
        <v>0.0</v>
      </c>
      <c r="DD628" s="1" t="s">
        <v>2992</v>
      </c>
      <c r="DE628" s="1">
        <v>0.0512971003020791</v>
      </c>
      <c r="DF628" s="2" t="s">
        <v>2993</v>
      </c>
    </row>
    <row r="629" ht="15.75" customHeight="1">
      <c r="A629" s="1" t="s">
        <v>2994</v>
      </c>
      <c r="B629" s="1">
        <v>29.0</v>
      </c>
      <c r="C629" s="2" t="s">
        <v>2930</v>
      </c>
      <c r="D629" s="2" t="s">
        <v>150</v>
      </c>
      <c r="E629" s="1">
        <v>3.645</v>
      </c>
      <c r="F629" s="1">
        <v>29097.0</v>
      </c>
      <c r="G629" s="1">
        <v>2.90970102E10</v>
      </c>
      <c r="H629" s="1" t="s">
        <v>112</v>
      </c>
      <c r="I629" s="1" t="s">
        <v>113</v>
      </c>
      <c r="J629" s="1" t="s">
        <v>2931</v>
      </c>
      <c r="K629" s="1" t="s">
        <v>2995</v>
      </c>
      <c r="L629" s="1">
        <v>4444.0</v>
      </c>
      <c r="M629" s="1">
        <v>3834.0</v>
      </c>
      <c r="N629" s="1">
        <v>350.0</v>
      </c>
      <c r="O629" s="1">
        <v>2003.0</v>
      </c>
      <c r="P629" s="1">
        <v>1862.0</v>
      </c>
      <c r="Q629" s="1">
        <v>111.0</v>
      </c>
      <c r="R629" s="1">
        <v>1847.0</v>
      </c>
      <c r="S629" s="1">
        <v>550.0</v>
      </c>
      <c r="T629" s="1">
        <v>188.0</v>
      </c>
      <c r="U629" s="1">
        <v>72.0</v>
      </c>
      <c r="V629" s="1">
        <v>458.0</v>
      </c>
      <c r="W629" s="1">
        <v>23677.0</v>
      </c>
      <c r="X629" s="1">
        <v>2215.0</v>
      </c>
      <c r="Y629" s="1">
        <v>371.0</v>
      </c>
      <c r="Z629" s="1">
        <v>253.0</v>
      </c>
      <c r="AA629" s="1">
        <v>694.0</v>
      </c>
      <c r="AB629" s="1">
        <v>982.0</v>
      </c>
      <c r="AC629" s="1">
        <v>176.0</v>
      </c>
      <c r="AD629" s="1">
        <v>531.0</v>
      </c>
      <c r="AE629" s="1">
        <v>17.0</v>
      </c>
      <c r="AF629" s="1">
        <v>442.0</v>
      </c>
      <c r="AG629" s="1">
        <v>0.0</v>
      </c>
      <c r="AH629" s="1">
        <v>197.0</v>
      </c>
      <c r="AI629" s="1">
        <v>72.0</v>
      </c>
      <c r="AJ629" s="1">
        <v>32.0</v>
      </c>
      <c r="AK629" s="1">
        <v>0.0</v>
      </c>
      <c r="AL629" s="1">
        <v>161.0</v>
      </c>
      <c r="AM629" s="1">
        <v>33.0</v>
      </c>
      <c r="AN629" s="1">
        <v>29.0</v>
      </c>
      <c r="AO629" s="1">
        <v>37.0</v>
      </c>
      <c r="AP629" s="1">
        <v>0.145118</v>
      </c>
      <c r="AQ629" s="1">
        <v>0.047967</v>
      </c>
      <c r="AR629" s="1">
        <v>0.036753</v>
      </c>
      <c r="AS629" s="1">
        <v>0.233749</v>
      </c>
      <c r="AT629" s="1">
        <v>23677.0</v>
      </c>
      <c r="AU629" s="1">
        <v>2215.0</v>
      </c>
      <c r="AV629" s="1">
        <v>0.137713</v>
      </c>
      <c r="AW629" s="1">
        <v>0.093179</v>
      </c>
      <c r="AX629" s="1">
        <v>0.156165</v>
      </c>
      <c r="AY629" s="1">
        <v>0.220972</v>
      </c>
      <c r="AZ629" s="1">
        <v>0.09528965</v>
      </c>
      <c r="BA629" s="1">
        <v>0.119486</v>
      </c>
      <c r="BB629" s="1">
        <v>0.004702</v>
      </c>
      <c r="BC629" s="1">
        <v>0.122267</v>
      </c>
      <c r="BD629" s="1">
        <v>0.0</v>
      </c>
      <c r="BE629" s="1">
        <v>0.1058</v>
      </c>
      <c r="BF629" s="1">
        <v>0.038668</v>
      </c>
      <c r="BG629" s="1">
        <v>0.01703</v>
      </c>
      <c r="BH629" s="1">
        <v>0.0</v>
      </c>
      <c r="BI629" s="1">
        <v>0.10113</v>
      </c>
      <c r="BJ629" s="1">
        <v>0.020728</v>
      </c>
      <c r="BK629" s="1">
        <v>0.018131</v>
      </c>
      <c r="BL629" s="1">
        <v>0.008325</v>
      </c>
      <c r="BM629" s="1">
        <v>0.564</v>
      </c>
      <c r="BN629" s="1">
        <v>0.153</v>
      </c>
      <c r="BO629" s="1">
        <v>0.4123</v>
      </c>
      <c r="BP629" s="1">
        <v>0.511</v>
      </c>
      <c r="BQ629" s="1">
        <v>1.6403</v>
      </c>
      <c r="BR629" s="1">
        <v>0.3848</v>
      </c>
      <c r="BS629" s="1">
        <v>0.636</v>
      </c>
      <c r="BT629" s="1">
        <v>0.307</v>
      </c>
      <c r="BU629" s="1">
        <v>0.451</v>
      </c>
      <c r="BV629" s="1">
        <v>1.394</v>
      </c>
      <c r="BW629" s="1">
        <v>0.385</v>
      </c>
      <c r="BX629" s="1">
        <v>0.535</v>
      </c>
      <c r="BY629" s="1">
        <v>0.546</v>
      </c>
      <c r="BZ629" s="1">
        <v>1.081</v>
      </c>
      <c r="CA629" s="1">
        <v>0.602</v>
      </c>
      <c r="CB629" s="1">
        <v>0.0</v>
      </c>
      <c r="CC629" s="1">
        <v>0.574</v>
      </c>
      <c r="CD629" s="1">
        <v>0.0</v>
      </c>
      <c r="CE629" s="1">
        <v>0.189</v>
      </c>
      <c r="CF629" s="1">
        <v>0.554</v>
      </c>
      <c r="CG629" s="1">
        <v>1.317</v>
      </c>
      <c r="CH629" s="1">
        <v>0.13</v>
      </c>
      <c r="CI629" s="1">
        <v>5.4323</v>
      </c>
      <c r="CJ629" s="1">
        <v>0.2708</v>
      </c>
      <c r="CK629" s="1">
        <v>0.0</v>
      </c>
      <c r="CL629" s="1">
        <v>0.0</v>
      </c>
      <c r="CM629" s="1">
        <v>0.0</v>
      </c>
      <c r="CN629" s="1">
        <v>0.0</v>
      </c>
      <c r="CO629" s="1">
        <v>0.0</v>
      </c>
      <c r="CP629" s="1">
        <v>0.0</v>
      </c>
      <c r="CQ629" s="1">
        <v>0.0</v>
      </c>
      <c r="CR629" s="1">
        <v>0.0</v>
      </c>
      <c r="CS629" s="1">
        <v>0.0</v>
      </c>
      <c r="CT629" s="1">
        <v>0.0</v>
      </c>
      <c r="CU629" s="1">
        <v>0.0</v>
      </c>
      <c r="CV629" s="1">
        <v>0.0</v>
      </c>
      <c r="CW629" s="1">
        <v>0.0</v>
      </c>
      <c r="CX629" s="1">
        <v>0.0</v>
      </c>
      <c r="CY629" s="1">
        <v>0.0</v>
      </c>
      <c r="CZ629" s="1">
        <v>0.0</v>
      </c>
      <c r="DA629" s="1">
        <v>0.0</v>
      </c>
      <c r="DB629" s="1">
        <v>0.0</v>
      </c>
      <c r="DC629" s="1">
        <v>0.0</v>
      </c>
      <c r="DD629" s="1" t="s">
        <v>2996</v>
      </c>
      <c r="DE629" s="1">
        <v>9.61747157198914E-4</v>
      </c>
      <c r="DF629" s="2" t="s">
        <v>2997</v>
      </c>
    </row>
    <row r="630" ht="15.75" customHeight="1">
      <c r="A630" s="1" t="s">
        <v>2998</v>
      </c>
      <c r="B630" s="1">
        <v>29.0</v>
      </c>
      <c r="C630" s="2" t="s">
        <v>2930</v>
      </c>
      <c r="D630" s="2" t="s">
        <v>143</v>
      </c>
      <c r="E630" s="1">
        <v>2.632</v>
      </c>
      <c r="F630" s="1">
        <v>29097.0</v>
      </c>
      <c r="G630" s="1">
        <v>2.90970101E10</v>
      </c>
      <c r="H630" s="1" t="s">
        <v>112</v>
      </c>
      <c r="I630" s="1" t="s">
        <v>113</v>
      </c>
      <c r="J630" s="1" t="s">
        <v>2931</v>
      </c>
      <c r="K630" s="1" t="s">
        <v>2999</v>
      </c>
      <c r="L630" s="1">
        <v>3437.0</v>
      </c>
      <c r="M630" s="1">
        <v>3433.0</v>
      </c>
      <c r="N630" s="1">
        <v>404.0</v>
      </c>
      <c r="O630" s="1">
        <v>1617.0</v>
      </c>
      <c r="P630" s="1">
        <v>1535.0</v>
      </c>
      <c r="Q630" s="1">
        <v>85.0</v>
      </c>
      <c r="R630" s="1">
        <v>1400.0</v>
      </c>
      <c r="S630" s="1">
        <v>673.0</v>
      </c>
      <c r="T630" s="1">
        <v>217.0</v>
      </c>
      <c r="U630" s="1">
        <v>179.0</v>
      </c>
      <c r="V630" s="1">
        <v>353.0</v>
      </c>
      <c r="W630" s="1">
        <v>17114.0</v>
      </c>
      <c r="X630" s="1">
        <v>5338.0</v>
      </c>
      <c r="Y630" s="1">
        <v>537.0</v>
      </c>
      <c r="Z630" s="1">
        <v>216.0</v>
      </c>
      <c r="AA630" s="1">
        <v>437.0</v>
      </c>
      <c r="AB630" s="1">
        <v>624.0</v>
      </c>
      <c r="AC630" s="1">
        <v>184.0</v>
      </c>
      <c r="AD630" s="1">
        <v>685.0</v>
      </c>
      <c r="AE630" s="1">
        <v>0.0</v>
      </c>
      <c r="AF630" s="1">
        <v>456.0</v>
      </c>
      <c r="AG630" s="1">
        <v>208.0</v>
      </c>
      <c r="AH630" s="1">
        <v>129.0</v>
      </c>
      <c r="AI630" s="1">
        <v>0.0</v>
      </c>
      <c r="AJ630" s="1">
        <v>114.0</v>
      </c>
      <c r="AK630" s="1">
        <v>9.0</v>
      </c>
      <c r="AL630" s="1">
        <v>115.0</v>
      </c>
      <c r="AM630" s="1">
        <v>229.0</v>
      </c>
      <c r="AN630" s="1">
        <v>76.0</v>
      </c>
      <c r="AO630" s="1">
        <v>483.0</v>
      </c>
      <c r="AP630" s="1">
        <v>0.253102</v>
      </c>
      <c r="AQ630" s="1">
        <v>0.0772</v>
      </c>
      <c r="AR630" s="1">
        <v>0.11063</v>
      </c>
      <c r="AS630" s="1">
        <v>0.216957</v>
      </c>
      <c r="AT630" s="1">
        <v>17114.0</v>
      </c>
      <c r="AU630" s="1">
        <v>5338.0</v>
      </c>
      <c r="AV630" s="1">
        <v>0.263106</v>
      </c>
      <c r="AW630" s="1">
        <v>0.102031</v>
      </c>
      <c r="AX630" s="1">
        <v>0.127145</v>
      </c>
      <c r="AY630" s="1">
        <v>0.181553</v>
      </c>
      <c r="AZ630" s="1">
        <v>0.13142857</v>
      </c>
      <c r="BA630" s="1">
        <v>0.199301</v>
      </c>
      <c r="BB630" s="1">
        <v>0.0</v>
      </c>
      <c r="BC630" s="1">
        <v>0.136772</v>
      </c>
      <c r="BD630" s="1">
        <v>0.135504</v>
      </c>
      <c r="BE630" s="1">
        <v>0.083703</v>
      </c>
      <c r="BF630" s="1">
        <v>0.0</v>
      </c>
      <c r="BG630" s="1">
        <v>0.074267</v>
      </c>
      <c r="BH630" s="1">
        <v>0.006818</v>
      </c>
      <c r="BI630" s="1">
        <v>0.087119</v>
      </c>
      <c r="BJ630" s="1">
        <v>0.173484</v>
      </c>
      <c r="BK630" s="1">
        <v>0.055373</v>
      </c>
      <c r="BL630" s="1">
        <v>0.140529</v>
      </c>
      <c r="BM630" s="1">
        <v>0.83</v>
      </c>
      <c r="BN630" s="1">
        <v>0.79</v>
      </c>
      <c r="BO630" s="1">
        <v>0.7791</v>
      </c>
      <c r="BP630" s="1">
        <v>0.894</v>
      </c>
      <c r="BQ630" s="1">
        <v>3.2931</v>
      </c>
      <c r="BR630" s="1">
        <v>0.8773</v>
      </c>
      <c r="BS630" s="1">
        <v>0.397</v>
      </c>
      <c r="BT630" s="1">
        <v>0.124</v>
      </c>
      <c r="BU630" s="1">
        <v>0.722</v>
      </c>
      <c r="BV630" s="1">
        <v>1.243</v>
      </c>
      <c r="BW630" s="1">
        <v>0.261</v>
      </c>
      <c r="BX630" s="1">
        <v>0.71</v>
      </c>
      <c r="BY630" s="1">
        <v>0.0</v>
      </c>
      <c r="BZ630" s="1">
        <v>0.71</v>
      </c>
      <c r="CA630" s="1">
        <v>0.342</v>
      </c>
      <c r="CB630" s="1">
        <v>0.819</v>
      </c>
      <c r="CC630" s="1">
        <v>0.0</v>
      </c>
      <c r="CD630" s="1">
        <v>0.385</v>
      </c>
      <c r="CE630" s="1">
        <v>0.882</v>
      </c>
      <c r="CF630" s="1">
        <v>0.954</v>
      </c>
      <c r="CG630" s="1">
        <v>3.04</v>
      </c>
      <c r="CH630" s="1">
        <v>0.792</v>
      </c>
      <c r="CI630" s="1">
        <v>8.2861</v>
      </c>
      <c r="CJ630" s="1">
        <v>0.7588</v>
      </c>
      <c r="CK630" s="1">
        <v>0.0</v>
      </c>
      <c r="CL630" s="1">
        <v>0.0</v>
      </c>
      <c r="CM630" s="1">
        <v>0.0</v>
      </c>
      <c r="CN630" s="1">
        <v>0.0</v>
      </c>
      <c r="CO630" s="1">
        <v>0.0</v>
      </c>
      <c r="CP630" s="1">
        <v>0.0</v>
      </c>
      <c r="CQ630" s="1">
        <v>0.0</v>
      </c>
      <c r="CR630" s="1">
        <v>0.0</v>
      </c>
      <c r="CS630" s="1">
        <v>0.0</v>
      </c>
      <c r="CT630" s="1">
        <v>0.0</v>
      </c>
      <c r="CU630" s="1">
        <v>0.0</v>
      </c>
      <c r="CV630" s="1">
        <v>0.0</v>
      </c>
      <c r="CW630" s="1">
        <v>0.0</v>
      </c>
      <c r="CX630" s="1">
        <v>0.0</v>
      </c>
      <c r="CY630" s="1">
        <v>0.0</v>
      </c>
      <c r="CZ630" s="1">
        <v>0.0</v>
      </c>
      <c r="DA630" s="1">
        <v>1.0</v>
      </c>
      <c r="DB630" s="1">
        <v>1.0</v>
      </c>
      <c r="DC630" s="1">
        <v>1.0</v>
      </c>
      <c r="DD630" s="1" t="s">
        <v>3000</v>
      </c>
      <c r="DE630" s="1">
        <v>6.88389531661685E-4</v>
      </c>
      <c r="DF630" s="2" t="s">
        <v>3001</v>
      </c>
    </row>
    <row r="631" ht="15.75" customHeight="1">
      <c r="A631" s="1" t="s">
        <v>3002</v>
      </c>
      <c r="B631" s="1">
        <v>29.0</v>
      </c>
      <c r="C631" s="2" t="s">
        <v>2930</v>
      </c>
      <c r="D631" s="2" t="s">
        <v>156</v>
      </c>
      <c r="E631" s="1">
        <v>6.973</v>
      </c>
      <c r="F631" s="1">
        <v>29097.0</v>
      </c>
      <c r="G631" s="1">
        <v>2.90970103E10</v>
      </c>
      <c r="H631" s="1" t="s">
        <v>112</v>
      </c>
      <c r="I631" s="1" t="s">
        <v>113</v>
      </c>
      <c r="J631" s="1" t="s">
        <v>2931</v>
      </c>
      <c r="K631" s="1" t="s">
        <v>3003</v>
      </c>
      <c r="L631" s="1">
        <v>6746.0</v>
      </c>
      <c r="M631" s="1">
        <v>6803.0</v>
      </c>
      <c r="N631" s="1">
        <v>562.0</v>
      </c>
      <c r="O631" s="1">
        <v>2761.0</v>
      </c>
      <c r="P631" s="1">
        <v>2803.0</v>
      </c>
      <c r="Q631" s="1">
        <v>145.0</v>
      </c>
      <c r="R631" s="1">
        <v>2537.0</v>
      </c>
      <c r="S631" s="1">
        <v>1532.0</v>
      </c>
      <c r="T631" s="1">
        <v>587.0</v>
      </c>
      <c r="U631" s="1">
        <v>406.0</v>
      </c>
      <c r="V631" s="1">
        <v>324.0</v>
      </c>
      <c r="W631" s="1">
        <v>16716.0</v>
      </c>
      <c r="X631" s="1">
        <v>2022.0</v>
      </c>
      <c r="Y631" s="1">
        <v>432.0</v>
      </c>
      <c r="Z631" s="1">
        <v>268.0</v>
      </c>
      <c r="AA631" s="1">
        <v>830.0</v>
      </c>
      <c r="AB631" s="1">
        <v>1593.0</v>
      </c>
      <c r="AC631" s="1">
        <v>393.0</v>
      </c>
      <c r="AD631" s="1">
        <v>1081.0</v>
      </c>
      <c r="AE631" s="1">
        <v>94.0</v>
      </c>
      <c r="AF631" s="1">
        <v>432.0</v>
      </c>
      <c r="AG631" s="1">
        <v>467.0</v>
      </c>
      <c r="AH631" s="1">
        <v>177.0</v>
      </c>
      <c r="AI631" s="1">
        <v>202.0</v>
      </c>
      <c r="AJ631" s="1">
        <v>83.0</v>
      </c>
      <c r="AK631" s="1">
        <v>64.0</v>
      </c>
      <c r="AL631" s="1">
        <v>128.0</v>
      </c>
      <c r="AM631" s="1">
        <v>185.0</v>
      </c>
      <c r="AN631" s="1">
        <v>158.0</v>
      </c>
      <c r="AO631" s="1">
        <v>658.0</v>
      </c>
      <c r="AP631" s="1">
        <v>0.24858</v>
      </c>
      <c r="AQ631" s="1">
        <v>0.092469</v>
      </c>
      <c r="AR631" s="1">
        <v>0.118852</v>
      </c>
      <c r="AS631" s="1">
        <v>0.093677</v>
      </c>
      <c r="AT631" s="1">
        <v>16716.0</v>
      </c>
      <c r="AU631" s="1">
        <v>2022.0</v>
      </c>
      <c r="AV631" s="1">
        <v>0.119205</v>
      </c>
      <c r="AW631" s="1">
        <v>0.073404</v>
      </c>
      <c r="AX631" s="1">
        <v>0.123035</v>
      </c>
      <c r="AY631" s="1">
        <v>0.236139</v>
      </c>
      <c r="AZ631" s="1">
        <v>0.15490737</v>
      </c>
      <c r="BA631" s="1">
        <v>0.160243</v>
      </c>
      <c r="BB631" s="1">
        <v>0.015078</v>
      </c>
      <c r="BC631" s="1">
        <v>0.069285</v>
      </c>
      <c r="BD631" s="1">
        <v>0.166607</v>
      </c>
      <c r="BE631" s="1">
        <v>0.062555</v>
      </c>
      <c r="BF631" s="1">
        <v>0.072065</v>
      </c>
      <c r="BG631" s="1">
        <v>0.029375</v>
      </c>
      <c r="BH631" s="1">
        <v>0.025487</v>
      </c>
      <c r="BI631" s="1">
        <v>0.050945</v>
      </c>
      <c r="BJ631" s="1">
        <v>0.073675</v>
      </c>
      <c r="BK631" s="1">
        <v>0.062718</v>
      </c>
      <c r="BL631" s="1">
        <v>0.097539</v>
      </c>
      <c r="BM631" s="1">
        <v>0.825</v>
      </c>
      <c r="BN631" s="1">
        <v>0.819</v>
      </c>
      <c r="BO631" s="1">
        <v>0.8014</v>
      </c>
      <c r="BP631" s="1">
        <v>0.425</v>
      </c>
      <c r="BQ631" s="1">
        <v>2.8704</v>
      </c>
      <c r="BR631" s="1">
        <v>0.7726</v>
      </c>
      <c r="BS631" s="1">
        <v>0.363</v>
      </c>
      <c r="BT631" s="1">
        <v>0.452</v>
      </c>
      <c r="BU631" s="1">
        <v>0.81</v>
      </c>
      <c r="BV631" s="1">
        <v>1.625</v>
      </c>
      <c r="BW631" s="1">
        <v>0.584</v>
      </c>
      <c r="BX631" s="1">
        <v>0.648</v>
      </c>
      <c r="BY631" s="1">
        <v>0.812</v>
      </c>
      <c r="BZ631" s="1">
        <v>1.46</v>
      </c>
      <c r="CA631" s="1">
        <v>0.798</v>
      </c>
      <c r="CB631" s="1">
        <v>0.861</v>
      </c>
      <c r="CC631" s="1">
        <v>0.655</v>
      </c>
      <c r="CD631" s="1">
        <v>0.765</v>
      </c>
      <c r="CE631" s="1">
        <v>0.643</v>
      </c>
      <c r="CF631" s="1">
        <v>0.941</v>
      </c>
      <c r="CG631" s="1">
        <v>3.865</v>
      </c>
      <c r="CH631" s="1">
        <v>0.991</v>
      </c>
      <c r="CI631" s="1">
        <v>9.8204</v>
      </c>
      <c r="CJ631" s="1">
        <v>0.9365</v>
      </c>
      <c r="CK631" s="1">
        <v>0.0</v>
      </c>
      <c r="CL631" s="1">
        <v>0.0</v>
      </c>
      <c r="CM631" s="1">
        <v>0.0</v>
      </c>
      <c r="CN631" s="1">
        <v>0.0</v>
      </c>
      <c r="CO631" s="1">
        <v>0.0</v>
      </c>
      <c r="CP631" s="1">
        <v>0.0</v>
      </c>
      <c r="CQ631" s="1">
        <v>0.0</v>
      </c>
      <c r="CR631" s="1">
        <v>0.0</v>
      </c>
      <c r="CS631" s="1">
        <v>0.0</v>
      </c>
      <c r="CT631" s="1">
        <v>0.0</v>
      </c>
      <c r="CU631" s="1">
        <v>0.0</v>
      </c>
      <c r="CV631" s="1">
        <v>0.0</v>
      </c>
      <c r="CW631" s="1">
        <v>0.0</v>
      </c>
      <c r="CX631" s="1">
        <v>0.0</v>
      </c>
      <c r="CY631" s="1">
        <v>0.0</v>
      </c>
      <c r="CZ631" s="1">
        <v>0.0</v>
      </c>
      <c r="DA631" s="1">
        <v>1.0</v>
      </c>
      <c r="DB631" s="1">
        <v>1.0</v>
      </c>
      <c r="DC631" s="1">
        <v>1.0</v>
      </c>
      <c r="DD631" s="1" t="s">
        <v>3004</v>
      </c>
      <c r="DE631" s="1">
        <v>0.00183087624733472</v>
      </c>
      <c r="DF631" s="2" t="s">
        <v>3005</v>
      </c>
    </row>
    <row r="632" ht="15.75" customHeight="1">
      <c r="A632" s="1" t="s">
        <v>3006</v>
      </c>
      <c r="B632" s="1">
        <v>29.0</v>
      </c>
      <c r="C632" s="2" t="s">
        <v>2930</v>
      </c>
      <c r="D632" s="2" t="s">
        <v>161</v>
      </c>
      <c r="E632" s="1">
        <v>6.811</v>
      </c>
      <c r="F632" s="1">
        <v>29097.0</v>
      </c>
      <c r="G632" s="1">
        <v>2.90970104E10</v>
      </c>
      <c r="H632" s="1" t="s">
        <v>112</v>
      </c>
      <c r="I632" s="1" t="s">
        <v>113</v>
      </c>
      <c r="J632" s="1" t="s">
        <v>2931</v>
      </c>
      <c r="K632" s="1" t="s">
        <v>3007</v>
      </c>
      <c r="L632" s="1">
        <v>4913.0</v>
      </c>
      <c r="M632" s="1">
        <v>4481.0</v>
      </c>
      <c r="N632" s="1">
        <v>335.0</v>
      </c>
      <c r="O632" s="1">
        <v>2362.0</v>
      </c>
      <c r="P632" s="1">
        <v>2165.0</v>
      </c>
      <c r="Q632" s="1">
        <v>113.0</v>
      </c>
      <c r="R632" s="1">
        <v>2167.0</v>
      </c>
      <c r="S632" s="1">
        <v>481.0</v>
      </c>
      <c r="T632" s="1">
        <v>194.0</v>
      </c>
      <c r="U632" s="1">
        <v>110.0</v>
      </c>
      <c r="V632" s="1">
        <v>327.0</v>
      </c>
      <c r="W632" s="1">
        <v>23359.0</v>
      </c>
      <c r="X632" s="1">
        <v>2816.0</v>
      </c>
      <c r="Y632" s="1">
        <v>366.0</v>
      </c>
      <c r="Z632" s="1">
        <v>253.0</v>
      </c>
      <c r="AA632" s="1">
        <v>1037.0</v>
      </c>
      <c r="AB632" s="1">
        <v>946.0</v>
      </c>
      <c r="AC632" s="1">
        <v>192.0</v>
      </c>
      <c r="AD632" s="1">
        <v>623.0</v>
      </c>
      <c r="AE632" s="1">
        <v>0.0</v>
      </c>
      <c r="AF632" s="1">
        <v>456.0</v>
      </c>
      <c r="AG632" s="1">
        <v>111.0</v>
      </c>
      <c r="AH632" s="1">
        <v>78.0</v>
      </c>
      <c r="AI632" s="1">
        <v>242.0</v>
      </c>
      <c r="AJ632" s="1">
        <v>78.0</v>
      </c>
      <c r="AK632" s="1">
        <v>3.0</v>
      </c>
      <c r="AL632" s="1">
        <v>114.0</v>
      </c>
      <c r="AM632" s="1">
        <v>131.0</v>
      </c>
      <c r="AN632" s="1">
        <v>77.0</v>
      </c>
      <c r="AO632" s="1">
        <v>160.0</v>
      </c>
      <c r="AP632" s="1">
        <v>0.107342</v>
      </c>
      <c r="AQ632" s="1">
        <v>0.042543</v>
      </c>
      <c r="AR632" s="1">
        <v>0.048954</v>
      </c>
      <c r="AS632" s="1">
        <v>0.145421</v>
      </c>
      <c r="AT632" s="1">
        <v>23359.0</v>
      </c>
      <c r="AU632" s="1">
        <v>2816.0</v>
      </c>
      <c r="AV632" s="1">
        <v>0.117458</v>
      </c>
      <c r="AW632" s="1">
        <v>0.080717</v>
      </c>
      <c r="AX632" s="1">
        <v>0.211072</v>
      </c>
      <c r="AY632" s="1">
        <v>0.19255</v>
      </c>
      <c r="AZ632" s="1">
        <v>0.08860175</v>
      </c>
      <c r="BA632" s="1">
        <v>0.126806</v>
      </c>
      <c r="BB632" s="1">
        <v>0.0</v>
      </c>
      <c r="BC632" s="1">
        <v>0.109457</v>
      </c>
      <c r="BD632" s="1">
        <v>0.05127</v>
      </c>
      <c r="BE632" s="1">
        <v>0.035928</v>
      </c>
      <c r="BF632" s="1">
        <v>0.111778</v>
      </c>
      <c r="BG632" s="1">
        <v>0.035552</v>
      </c>
      <c r="BH632" s="1">
        <v>0.00152</v>
      </c>
      <c r="BI632" s="1">
        <v>0.057779</v>
      </c>
      <c r="BJ632" s="1">
        <v>0.066396</v>
      </c>
      <c r="BK632" s="1">
        <v>0.038745</v>
      </c>
      <c r="BL632" s="1">
        <v>0.032566</v>
      </c>
      <c r="BM632" s="1">
        <v>0.403</v>
      </c>
      <c r="BN632" s="1">
        <v>0.284</v>
      </c>
      <c r="BO632" s="1">
        <v>0.4296</v>
      </c>
      <c r="BP632" s="1">
        <v>0.415</v>
      </c>
      <c r="BQ632" s="1">
        <v>1.5316</v>
      </c>
      <c r="BR632" s="1">
        <v>0.3502</v>
      </c>
      <c r="BS632" s="1">
        <v>0.911</v>
      </c>
      <c r="BT632" s="1">
        <v>0.161</v>
      </c>
      <c r="BU632" s="1">
        <v>0.391</v>
      </c>
      <c r="BV632" s="1">
        <v>1.463</v>
      </c>
      <c r="BW632" s="1">
        <v>0.448</v>
      </c>
      <c r="BX632" s="1">
        <v>0.554</v>
      </c>
      <c r="BY632" s="1">
        <v>0.0</v>
      </c>
      <c r="BZ632" s="1">
        <v>0.554</v>
      </c>
      <c r="CA632" s="1">
        <v>0.243</v>
      </c>
      <c r="CB632" s="1">
        <v>0.66</v>
      </c>
      <c r="CC632" s="1">
        <v>0.743</v>
      </c>
      <c r="CD632" s="1">
        <v>0.277</v>
      </c>
      <c r="CE632" s="1">
        <v>0.605</v>
      </c>
      <c r="CF632" s="1">
        <v>0.82</v>
      </c>
      <c r="CG632" s="1">
        <v>3.105</v>
      </c>
      <c r="CH632" s="1">
        <v>0.818</v>
      </c>
      <c r="CI632" s="1">
        <v>6.6536</v>
      </c>
      <c r="CJ632" s="1">
        <v>0.4845</v>
      </c>
      <c r="CK632" s="1">
        <v>0.0</v>
      </c>
      <c r="CL632" s="1">
        <v>0.0</v>
      </c>
      <c r="CM632" s="1">
        <v>0.0</v>
      </c>
      <c r="CN632" s="1">
        <v>0.0</v>
      </c>
      <c r="CO632" s="1">
        <v>0.0</v>
      </c>
      <c r="CP632" s="1">
        <v>1.0</v>
      </c>
      <c r="CQ632" s="1">
        <v>0.0</v>
      </c>
      <c r="CR632" s="1">
        <v>0.0</v>
      </c>
      <c r="CS632" s="1">
        <v>1.0</v>
      </c>
      <c r="CT632" s="1">
        <v>0.0</v>
      </c>
      <c r="CU632" s="1">
        <v>0.0</v>
      </c>
      <c r="CV632" s="1">
        <v>0.0</v>
      </c>
      <c r="CW632" s="1">
        <v>0.0</v>
      </c>
      <c r="CX632" s="1">
        <v>0.0</v>
      </c>
      <c r="CY632" s="1">
        <v>0.0</v>
      </c>
      <c r="CZ632" s="1">
        <v>0.0</v>
      </c>
      <c r="DA632" s="1">
        <v>0.0</v>
      </c>
      <c r="DB632" s="1">
        <v>0.0</v>
      </c>
      <c r="DC632" s="1">
        <v>1.0</v>
      </c>
      <c r="DD632" s="1" t="s">
        <v>3008</v>
      </c>
      <c r="DE632" s="1">
        <v>0.00179410055067255</v>
      </c>
      <c r="DF632" s="2" t="s">
        <v>3009</v>
      </c>
    </row>
    <row r="633" ht="15.75" customHeight="1">
      <c r="A633" s="1" t="s">
        <v>3010</v>
      </c>
      <c r="B633" s="1">
        <v>29.0</v>
      </c>
      <c r="C633" s="2" t="s">
        <v>2930</v>
      </c>
      <c r="D633" s="2" t="s">
        <v>1251</v>
      </c>
      <c r="E633" s="1">
        <v>1.678</v>
      </c>
      <c r="F633" s="1">
        <v>29097.0</v>
      </c>
      <c r="G633" s="1">
        <v>2.90970106E10</v>
      </c>
      <c r="H633" s="1" t="s">
        <v>112</v>
      </c>
      <c r="I633" s="1" t="s">
        <v>113</v>
      </c>
      <c r="J633" s="1" t="s">
        <v>2931</v>
      </c>
      <c r="K633" s="1" t="s">
        <v>3011</v>
      </c>
      <c r="L633" s="1">
        <v>5990.0</v>
      </c>
      <c r="M633" s="1">
        <v>5845.0</v>
      </c>
      <c r="N633" s="1">
        <v>656.0</v>
      </c>
      <c r="O633" s="1">
        <v>2860.0</v>
      </c>
      <c r="P633" s="1">
        <v>2872.0</v>
      </c>
      <c r="Q633" s="1">
        <v>142.0</v>
      </c>
      <c r="R633" s="1">
        <v>2542.0</v>
      </c>
      <c r="S633" s="1">
        <v>1663.0</v>
      </c>
      <c r="T633" s="1">
        <v>431.0</v>
      </c>
      <c r="U633" s="1">
        <v>319.0</v>
      </c>
      <c r="V633" s="1">
        <v>410.0</v>
      </c>
      <c r="W633" s="1">
        <v>16315.0</v>
      </c>
      <c r="X633" s="1">
        <v>1817.0</v>
      </c>
      <c r="Y633" s="1">
        <v>601.0</v>
      </c>
      <c r="Z633" s="1">
        <v>313.0</v>
      </c>
      <c r="AA633" s="1">
        <v>642.0</v>
      </c>
      <c r="AB633" s="1">
        <v>1565.0</v>
      </c>
      <c r="AC633" s="1">
        <v>477.0</v>
      </c>
      <c r="AD633" s="1">
        <v>1027.0</v>
      </c>
      <c r="AE633" s="1">
        <v>42.0</v>
      </c>
      <c r="AF633" s="1">
        <v>428.0</v>
      </c>
      <c r="AG633" s="1">
        <v>202.0</v>
      </c>
      <c r="AH633" s="1">
        <v>130.0</v>
      </c>
      <c r="AI633" s="1">
        <v>0.0</v>
      </c>
      <c r="AJ633" s="1">
        <v>114.0</v>
      </c>
      <c r="AK633" s="1">
        <v>99.0</v>
      </c>
      <c r="AL633" s="1">
        <v>132.0</v>
      </c>
      <c r="AM633" s="1">
        <v>271.0</v>
      </c>
      <c r="AN633" s="1">
        <v>113.0</v>
      </c>
      <c r="AO633" s="1">
        <v>57.0</v>
      </c>
      <c r="AP633" s="1">
        <v>0.287915</v>
      </c>
      <c r="AQ633" s="1">
        <v>0.067072</v>
      </c>
      <c r="AR633" s="1">
        <v>0.102572</v>
      </c>
      <c r="AS633" s="1">
        <v>0.130933</v>
      </c>
      <c r="AT633" s="1">
        <v>16315.0</v>
      </c>
      <c r="AU633" s="1">
        <v>1817.0</v>
      </c>
      <c r="AV633" s="1">
        <v>0.186994</v>
      </c>
      <c r="AW633" s="1">
        <v>0.096033</v>
      </c>
      <c r="AX633" s="1">
        <v>0.107178</v>
      </c>
      <c r="AY633" s="1">
        <v>0.261268</v>
      </c>
      <c r="AZ633" s="1">
        <v>0.18764752</v>
      </c>
      <c r="BA633" s="1">
        <v>0.171452</v>
      </c>
      <c r="BB633" s="1">
        <v>0.008261</v>
      </c>
      <c r="BC633" s="1">
        <v>0.084179</v>
      </c>
      <c r="BD633" s="1">
        <v>0.070334</v>
      </c>
      <c r="BE633" s="1">
        <v>0.04513</v>
      </c>
      <c r="BF633" s="1">
        <v>0.0</v>
      </c>
      <c r="BG633" s="1">
        <v>0.039693</v>
      </c>
      <c r="BH633" s="1">
        <v>0.041422</v>
      </c>
      <c r="BI633" s="1">
        <v>0.055136</v>
      </c>
      <c r="BJ633" s="1">
        <v>0.113389</v>
      </c>
      <c r="BK633" s="1">
        <v>0.046458</v>
      </c>
      <c r="BL633" s="1">
        <v>0.009515</v>
      </c>
      <c r="BM633" s="1">
        <v>0.872</v>
      </c>
      <c r="BN633" s="1">
        <v>0.746</v>
      </c>
      <c r="BO633" s="1">
        <v>0.8224</v>
      </c>
      <c r="BP633" s="1">
        <v>0.715</v>
      </c>
      <c r="BQ633" s="1">
        <v>3.1554</v>
      </c>
      <c r="BR633" s="1">
        <v>0.8404</v>
      </c>
      <c r="BS633" s="1">
        <v>0.252</v>
      </c>
      <c r="BT633" s="1">
        <v>0.711</v>
      </c>
      <c r="BU633" s="1">
        <v>0.879</v>
      </c>
      <c r="BV633" s="1">
        <v>1.842</v>
      </c>
      <c r="BW633" s="1">
        <v>0.763</v>
      </c>
      <c r="BX633" s="1">
        <v>0.667</v>
      </c>
      <c r="BY633" s="1">
        <v>0.674</v>
      </c>
      <c r="BZ633" s="1">
        <v>1.341</v>
      </c>
      <c r="CA633" s="1">
        <v>0.731</v>
      </c>
      <c r="CB633" s="1">
        <v>0.715</v>
      </c>
      <c r="CC633" s="1">
        <v>0.0</v>
      </c>
      <c r="CD633" s="1">
        <v>0.898</v>
      </c>
      <c r="CE633" s="1">
        <v>0.791</v>
      </c>
      <c r="CF633" s="1">
        <v>0.568</v>
      </c>
      <c r="CG633" s="1">
        <v>2.972</v>
      </c>
      <c r="CH633" s="1">
        <v>0.762</v>
      </c>
      <c r="CI633" s="1">
        <v>9.3104</v>
      </c>
      <c r="CJ633" s="1">
        <v>0.8874</v>
      </c>
      <c r="CK633" s="1">
        <v>0.0</v>
      </c>
      <c r="CL633" s="1">
        <v>0.0</v>
      </c>
      <c r="CM633" s="1">
        <v>0.0</v>
      </c>
      <c r="CN633" s="1">
        <v>0.0</v>
      </c>
      <c r="CO633" s="1">
        <v>0.0</v>
      </c>
      <c r="CP633" s="1">
        <v>0.0</v>
      </c>
      <c r="CQ633" s="1">
        <v>0.0</v>
      </c>
      <c r="CR633" s="1">
        <v>0.0</v>
      </c>
      <c r="CS633" s="1">
        <v>0.0</v>
      </c>
      <c r="CT633" s="1">
        <v>0.0</v>
      </c>
      <c r="CU633" s="1">
        <v>0.0</v>
      </c>
      <c r="CV633" s="1">
        <v>0.0</v>
      </c>
      <c r="CW633" s="1">
        <v>0.0</v>
      </c>
      <c r="CX633" s="1">
        <v>0.0</v>
      </c>
      <c r="CY633" s="1">
        <v>0.0</v>
      </c>
      <c r="CZ633" s="1">
        <v>0.0</v>
      </c>
      <c r="DA633" s="1">
        <v>0.0</v>
      </c>
      <c r="DB633" s="1">
        <v>0.0</v>
      </c>
      <c r="DC633" s="1">
        <v>0.0</v>
      </c>
      <c r="DD633" s="1" t="s">
        <v>3012</v>
      </c>
      <c r="DE633" s="1">
        <v>4.40589230390046E-4</v>
      </c>
      <c r="DF633" s="1">
        <v>0.0882094289597715</v>
      </c>
    </row>
    <row r="634" ht="15.75" customHeight="1">
      <c r="A634" s="1" t="s">
        <v>3013</v>
      </c>
      <c r="B634" s="1">
        <v>29.0</v>
      </c>
      <c r="C634" s="2" t="s">
        <v>2930</v>
      </c>
      <c r="D634" s="2" t="s">
        <v>3014</v>
      </c>
      <c r="E634" s="1">
        <v>1.018</v>
      </c>
      <c r="F634" s="1">
        <v>29097.0</v>
      </c>
      <c r="G634" s="1">
        <v>2.90970107E10</v>
      </c>
      <c r="H634" s="1" t="s">
        <v>112</v>
      </c>
      <c r="I634" s="1" t="s">
        <v>113</v>
      </c>
      <c r="J634" s="1" t="s">
        <v>2931</v>
      </c>
      <c r="K634" s="1" t="s">
        <v>3015</v>
      </c>
      <c r="L634" s="1">
        <v>2825.0</v>
      </c>
      <c r="M634" s="1">
        <v>3010.0</v>
      </c>
      <c r="N634" s="1">
        <v>425.0</v>
      </c>
      <c r="O634" s="1">
        <v>1316.0</v>
      </c>
      <c r="P634" s="1">
        <v>1350.0</v>
      </c>
      <c r="Q634" s="1">
        <v>57.0</v>
      </c>
      <c r="R634" s="1">
        <v>1222.0</v>
      </c>
      <c r="S634" s="1">
        <v>265.0</v>
      </c>
      <c r="T634" s="1">
        <v>185.0</v>
      </c>
      <c r="U634" s="1">
        <v>39.0</v>
      </c>
      <c r="V634" s="1">
        <v>486.0</v>
      </c>
      <c r="W634" s="1">
        <v>21002.0</v>
      </c>
      <c r="X634" s="1">
        <v>2293.0</v>
      </c>
      <c r="Y634" s="1">
        <v>355.0</v>
      </c>
      <c r="Z634" s="1">
        <v>371.0</v>
      </c>
      <c r="AA634" s="1">
        <v>662.0</v>
      </c>
      <c r="AB634" s="1">
        <v>573.0</v>
      </c>
      <c r="AC634" s="1">
        <v>114.0</v>
      </c>
      <c r="AD634" s="1">
        <v>301.0</v>
      </c>
      <c r="AE634" s="1">
        <v>0.0</v>
      </c>
      <c r="AF634" s="1">
        <v>456.0</v>
      </c>
      <c r="AG634" s="1">
        <v>67.0</v>
      </c>
      <c r="AH634" s="1">
        <v>125.0</v>
      </c>
      <c r="AI634" s="1">
        <v>22.0</v>
      </c>
      <c r="AJ634" s="1">
        <v>37.0</v>
      </c>
      <c r="AK634" s="1">
        <v>58.0</v>
      </c>
      <c r="AL634" s="1">
        <v>130.0</v>
      </c>
      <c r="AM634" s="1">
        <v>22.0</v>
      </c>
      <c r="AN634" s="1">
        <v>24.0</v>
      </c>
      <c r="AO634" s="1">
        <v>100.0</v>
      </c>
      <c r="AP634" s="1">
        <v>0.096609</v>
      </c>
      <c r="AQ634" s="1">
        <v>0.06709</v>
      </c>
      <c r="AR634" s="1">
        <v>0.027008</v>
      </c>
      <c r="AS634" s="1">
        <v>0.336538</v>
      </c>
      <c r="AT634" s="1">
        <v>21002.0</v>
      </c>
      <c r="AU634" s="1">
        <v>2293.0</v>
      </c>
      <c r="AV634" s="1">
        <v>0.158978</v>
      </c>
      <c r="AW634" s="1">
        <v>0.163508</v>
      </c>
      <c r="AX634" s="1">
        <v>0.234336</v>
      </c>
      <c r="AY634" s="1">
        <v>0.202831</v>
      </c>
      <c r="AZ634" s="1">
        <v>0.09328968</v>
      </c>
      <c r="BA634" s="1">
        <v>0.106548</v>
      </c>
      <c r="BB634" s="1">
        <v>0.0</v>
      </c>
      <c r="BC634" s="1">
        <v>0.155525</v>
      </c>
      <c r="BD634" s="1">
        <v>0.049629</v>
      </c>
      <c r="BE634" s="1">
        <v>0.092568</v>
      </c>
      <c r="BF634" s="1">
        <v>0.016296</v>
      </c>
      <c r="BG634" s="1">
        <v>0.027398</v>
      </c>
      <c r="BH634" s="1">
        <v>0.047346</v>
      </c>
      <c r="BI634" s="1">
        <v>0.106057</v>
      </c>
      <c r="BJ634" s="1">
        <v>0.017959</v>
      </c>
      <c r="BK634" s="1">
        <v>0.019541</v>
      </c>
      <c r="BL634" s="1">
        <v>0.035398</v>
      </c>
      <c r="BM634" s="1">
        <v>0.359</v>
      </c>
      <c r="BN634" s="1">
        <v>0.063</v>
      </c>
      <c r="BO634" s="1">
        <v>0.5531</v>
      </c>
      <c r="BP634" s="1">
        <v>0.605</v>
      </c>
      <c r="BQ634" s="1">
        <v>1.5801</v>
      </c>
      <c r="BR634" s="1">
        <v>0.3653</v>
      </c>
      <c r="BS634" s="1">
        <v>0.955</v>
      </c>
      <c r="BT634" s="1">
        <v>0.197</v>
      </c>
      <c r="BU634" s="1">
        <v>0.432</v>
      </c>
      <c r="BV634" s="1">
        <v>1.584</v>
      </c>
      <c r="BW634" s="1">
        <v>0.556</v>
      </c>
      <c r="BX634" s="1">
        <v>0.495</v>
      </c>
      <c r="BY634" s="1">
        <v>0.0</v>
      </c>
      <c r="BZ634" s="1">
        <v>0.495</v>
      </c>
      <c r="CA634" s="1">
        <v>0.207</v>
      </c>
      <c r="CB634" s="1">
        <v>0.656</v>
      </c>
      <c r="CC634" s="1">
        <v>0.494</v>
      </c>
      <c r="CD634" s="1">
        <v>0.925</v>
      </c>
      <c r="CE634" s="1">
        <v>0.163</v>
      </c>
      <c r="CF634" s="1">
        <v>0.84</v>
      </c>
      <c r="CG634" s="1">
        <v>3.078</v>
      </c>
      <c r="CH634" s="1">
        <v>0.807</v>
      </c>
      <c r="CI634" s="1">
        <v>6.7371</v>
      </c>
      <c r="CJ634" s="1">
        <v>0.4982</v>
      </c>
      <c r="CK634" s="1">
        <v>0.0</v>
      </c>
      <c r="CL634" s="1">
        <v>0.0</v>
      </c>
      <c r="CM634" s="1">
        <v>0.0</v>
      </c>
      <c r="CN634" s="1">
        <v>0.0</v>
      </c>
      <c r="CO634" s="1">
        <v>0.0</v>
      </c>
      <c r="CP634" s="1">
        <v>1.0</v>
      </c>
      <c r="CQ634" s="1">
        <v>0.0</v>
      </c>
      <c r="CR634" s="1">
        <v>0.0</v>
      </c>
      <c r="CS634" s="1">
        <v>1.0</v>
      </c>
      <c r="CT634" s="1">
        <v>0.0</v>
      </c>
      <c r="CU634" s="1">
        <v>0.0</v>
      </c>
      <c r="CV634" s="1">
        <v>0.0</v>
      </c>
      <c r="CW634" s="1">
        <v>0.0</v>
      </c>
      <c r="CX634" s="1">
        <v>0.0</v>
      </c>
      <c r="CY634" s="1">
        <v>1.0</v>
      </c>
      <c r="CZ634" s="1">
        <v>0.0</v>
      </c>
      <c r="DA634" s="1">
        <v>0.0</v>
      </c>
      <c r="DB634" s="1">
        <v>1.0</v>
      </c>
      <c r="DC634" s="1">
        <v>2.0</v>
      </c>
      <c r="DD634" s="1" t="s">
        <v>3016</v>
      </c>
      <c r="DE634" s="1">
        <v>2.67409524106234E-4</v>
      </c>
      <c r="DF634" s="1">
        <v>0.0904468195238251</v>
      </c>
    </row>
    <row r="635" ht="15.75" customHeight="1">
      <c r="A635" s="1" t="s">
        <v>3017</v>
      </c>
      <c r="B635" s="1">
        <v>29.0</v>
      </c>
      <c r="C635" s="2" t="s">
        <v>3018</v>
      </c>
      <c r="D635" s="1">
        <v>700110.0</v>
      </c>
      <c r="E635" s="1">
        <v>3.573</v>
      </c>
      <c r="F635" s="1">
        <v>29099.0</v>
      </c>
      <c r="G635" s="1">
        <v>2.909970011E10</v>
      </c>
      <c r="H635" s="1" t="s">
        <v>112</v>
      </c>
      <c r="I635" s="1" t="s">
        <v>113</v>
      </c>
      <c r="J635" s="1" t="s">
        <v>3019</v>
      </c>
      <c r="K635" s="1" t="s">
        <v>3020</v>
      </c>
      <c r="L635" s="1">
        <v>8013.0</v>
      </c>
      <c r="M635" s="1">
        <v>7833.0</v>
      </c>
      <c r="N635" s="1">
        <v>393.0</v>
      </c>
      <c r="O635" s="1">
        <v>3148.0</v>
      </c>
      <c r="P635" s="1">
        <v>3171.0</v>
      </c>
      <c r="Q635" s="1">
        <v>146.0</v>
      </c>
      <c r="R635" s="1">
        <v>2997.0</v>
      </c>
      <c r="S635" s="1">
        <v>307.0</v>
      </c>
      <c r="T635" s="1">
        <v>166.0</v>
      </c>
      <c r="U635" s="1">
        <v>228.0</v>
      </c>
      <c r="V635" s="1">
        <v>432.0</v>
      </c>
      <c r="W635" s="1">
        <v>28319.0</v>
      </c>
      <c r="X635" s="1">
        <v>1846.0</v>
      </c>
      <c r="Y635" s="1">
        <v>401.0</v>
      </c>
      <c r="Z635" s="1">
        <v>281.0</v>
      </c>
      <c r="AA635" s="1">
        <v>1035.0</v>
      </c>
      <c r="AB635" s="1">
        <v>2015.0</v>
      </c>
      <c r="AC635" s="1">
        <v>306.0</v>
      </c>
      <c r="AD635" s="1">
        <v>417.0</v>
      </c>
      <c r="AE635" s="1">
        <v>0.0</v>
      </c>
      <c r="AF635" s="1">
        <v>456.0</v>
      </c>
      <c r="AG635" s="1">
        <v>216.0</v>
      </c>
      <c r="AH635" s="1">
        <v>90.0</v>
      </c>
      <c r="AI635" s="1">
        <v>46.0</v>
      </c>
      <c r="AJ635" s="1">
        <v>56.0</v>
      </c>
      <c r="AK635" s="1">
        <v>0.0</v>
      </c>
      <c r="AL635" s="1">
        <v>161.0</v>
      </c>
      <c r="AM635" s="1">
        <v>11.0</v>
      </c>
      <c r="AN635" s="1">
        <v>115.0</v>
      </c>
      <c r="AO635" s="1">
        <v>3.0</v>
      </c>
      <c r="AP635" s="1">
        <v>0.039193</v>
      </c>
      <c r="AQ635" s="1">
        <v>0.0211</v>
      </c>
      <c r="AR635" s="1">
        <v>0.052789</v>
      </c>
      <c r="AS635" s="1">
        <v>0.099898</v>
      </c>
      <c r="AT635" s="1">
        <v>28319.0</v>
      </c>
      <c r="AU635" s="1">
        <v>1846.0</v>
      </c>
      <c r="AV635" s="1">
        <v>0.075009</v>
      </c>
      <c r="AW635" s="1">
        <v>0.052407</v>
      </c>
      <c r="AX635" s="1">
        <v>0.129165</v>
      </c>
      <c r="AY635" s="1">
        <v>0.251466</v>
      </c>
      <c r="AZ635" s="1">
        <v>0.1021021</v>
      </c>
      <c r="BA635" s="1">
        <v>0.05204</v>
      </c>
      <c r="BB635" s="1">
        <v>0.0</v>
      </c>
      <c r="BC635" s="1">
        <v>0.062491</v>
      </c>
      <c r="BD635" s="1">
        <v>0.068117</v>
      </c>
      <c r="BE635" s="1">
        <v>0.028208</v>
      </c>
      <c r="BF635" s="1">
        <v>0.014506</v>
      </c>
      <c r="BG635" s="1">
        <v>0.017647</v>
      </c>
      <c r="BH635" s="1">
        <v>0.0</v>
      </c>
      <c r="BI635" s="1">
        <v>0.055193</v>
      </c>
      <c r="BJ635" s="1">
        <v>0.00377</v>
      </c>
      <c r="BK635" s="1">
        <v>0.039423</v>
      </c>
      <c r="BL635" s="1">
        <v>3.74E-4</v>
      </c>
      <c r="BM635" s="1">
        <v>0.119</v>
      </c>
      <c r="BN635" s="1">
        <v>0.322</v>
      </c>
      <c r="BO635" s="1">
        <v>0.239</v>
      </c>
      <c r="BP635" s="1">
        <v>0.222</v>
      </c>
      <c r="BQ635" s="1">
        <v>0.902</v>
      </c>
      <c r="BR635" s="1">
        <v>0.1805</v>
      </c>
      <c r="BS635" s="1">
        <v>0.412</v>
      </c>
      <c r="BT635" s="1">
        <v>0.617</v>
      </c>
      <c r="BU635" s="1">
        <v>0.509</v>
      </c>
      <c r="BV635" s="1">
        <v>1.538</v>
      </c>
      <c r="BW635" s="1">
        <v>0.515</v>
      </c>
      <c r="BX635" s="1">
        <v>0.264</v>
      </c>
      <c r="BY635" s="1">
        <v>0.0</v>
      </c>
      <c r="BZ635" s="1">
        <v>0.264</v>
      </c>
      <c r="CA635" s="1">
        <v>0.115</v>
      </c>
      <c r="CB635" s="1">
        <v>0.711</v>
      </c>
      <c r="CC635" s="1">
        <v>0.487</v>
      </c>
      <c r="CD635" s="1">
        <v>0.0</v>
      </c>
      <c r="CE635" s="1">
        <v>0.04</v>
      </c>
      <c r="CF635" s="1">
        <v>0.358</v>
      </c>
      <c r="CG635" s="1">
        <v>1.596</v>
      </c>
      <c r="CH635" s="1">
        <v>0.196</v>
      </c>
      <c r="CI635" s="1">
        <v>4.3</v>
      </c>
      <c r="CJ635" s="1">
        <v>0.117</v>
      </c>
      <c r="CK635" s="1">
        <v>0.0</v>
      </c>
      <c r="CL635" s="1">
        <v>0.0</v>
      </c>
      <c r="CM635" s="1">
        <v>0.0</v>
      </c>
      <c r="CN635" s="1">
        <v>0.0</v>
      </c>
      <c r="CO635" s="1">
        <v>0.0</v>
      </c>
      <c r="CP635" s="1">
        <v>0.0</v>
      </c>
      <c r="CQ635" s="1">
        <v>0.0</v>
      </c>
      <c r="CR635" s="1">
        <v>0.0</v>
      </c>
      <c r="CS635" s="1">
        <v>0.0</v>
      </c>
      <c r="CT635" s="1">
        <v>0.0</v>
      </c>
      <c r="CU635" s="1">
        <v>0.0</v>
      </c>
      <c r="CV635" s="1">
        <v>0.0</v>
      </c>
      <c r="CW635" s="1">
        <v>0.0</v>
      </c>
      <c r="CX635" s="1">
        <v>0.0</v>
      </c>
      <c r="CY635" s="1">
        <v>0.0</v>
      </c>
      <c r="CZ635" s="1">
        <v>0.0</v>
      </c>
      <c r="DA635" s="1">
        <v>0.0</v>
      </c>
      <c r="DB635" s="1">
        <v>0.0</v>
      </c>
      <c r="DC635" s="1">
        <v>0.0</v>
      </c>
      <c r="DD635" s="1" t="s">
        <v>3021</v>
      </c>
      <c r="DE635" s="1">
        <v>9.6119055761912E-4</v>
      </c>
      <c r="DF635" s="2" t="s">
        <v>3022</v>
      </c>
    </row>
    <row r="636" ht="15.75" customHeight="1">
      <c r="A636" s="1" t="s">
        <v>3023</v>
      </c>
      <c r="B636" s="1">
        <v>29.0</v>
      </c>
      <c r="C636" s="2" t="s">
        <v>3018</v>
      </c>
      <c r="D636" s="1">
        <v>700116.0</v>
      </c>
      <c r="E636" s="1">
        <v>0.793</v>
      </c>
      <c r="F636" s="1">
        <v>29099.0</v>
      </c>
      <c r="G636" s="1">
        <v>2.9099700116E10</v>
      </c>
      <c r="H636" s="1" t="s">
        <v>112</v>
      </c>
      <c r="I636" s="1" t="s">
        <v>113</v>
      </c>
      <c r="J636" s="1" t="s">
        <v>3019</v>
      </c>
      <c r="K636" s="1" t="s">
        <v>3024</v>
      </c>
      <c r="L636" s="1">
        <v>3125.0</v>
      </c>
      <c r="M636" s="1">
        <v>3433.0</v>
      </c>
      <c r="N636" s="1">
        <v>320.0</v>
      </c>
      <c r="O636" s="1">
        <v>1147.0</v>
      </c>
      <c r="P636" s="1">
        <v>1152.0</v>
      </c>
      <c r="Q636" s="1">
        <v>39.0</v>
      </c>
      <c r="R636" s="1">
        <v>1101.0</v>
      </c>
      <c r="S636" s="1">
        <v>262.0</v>
      </c>
      <c r="T636" s="1">
        <v>263.0</v>
      </c>
      <c r="U636" s="1">
        <v>151.0</v>
      </c>
      <c r="V636" s="1">
        <v>435.0</v>
      </c>
      <c r="W636" s="1">
        <v>21534.0</v>
      </c>
      <c r="X636" s="1">
        <v>3541.0</v>
      </c>
      <c r="Y636" s="1">
        <v>307.0</v>
      </c>
      <c r="Z636" s="1">
        <v>280.0</v>
      </c>
      <c r="AA636" s="1">
        <v>224.0</v>
      </c>
      <c r="AB636" s="1">
        <v>910.0</v>
      </c>
      <c r="AC636" s="1">
        <v>152.0</v>
      </c>
      <c r="AD636" s="1">
        <v>137.0</v>
      </c>
      <c r="AE636" s="1">
        <v>63.0</v>
      </c>
      <c r="AF636" s="1">
        <v>415.0</v>
      </c>
      <c r="AG636" s="1">
        <v>0.0</v>
      </c>
      <c r="AH636" s="1">
        <v>197.0</v>
      </c>
      <c r="AI636" s="1">
        <v>161.0</v>
      </c>
      <c r="AJ636" s="1">
        <v>91.0</v>
      </c>
      <c r="AK636" s="1">
        <v>0.0</v>
      </c>
      <c r="AL636" s="1">
        <v>161.0</v>
      </c>
      <c r="AM636" s="1">
        <v>0.0</v>
      </c>
      <c r="AN636" s="1">
        <v>161.0</v>
      </c>
      <c r="AO636" s="1">
        <v>0.0</v>
      </c>
      <c r="AP636" s="1">
        <v>0.07672</v>
      </c>
      <c r="AQ636" s="1">
        <v>0.076674</v>
      </c>
      <c r="AR636" s="1">
        <v>0.083702</v>
      </c>
      <c r="AS636" s="1">
        <v>0.240681</v>
      </c>
      <c r="AT636" s="1">
        <v>21534.0</v>
      </c>
      <c r="AU636" s="1">
        <v>3541.0</v>
      </c>
      <c r="AV636" s="1">
        <v>0.153423</v>
      </c>
      <c r="AW636" s="1">
        <v>0.139546</v>
      </c>
      <c r="AX636" s="1">
        <v>0.07168</v>
      </c>
      <c r="AY636" s="1">
        <v>0.2912</v>
      </c>
      <c r="AZ636" s="1">
        <v>0.13805631</v>
      </c>
      <c r="BA636" s="1">
        <v>0.04384</v>
      </c>
      <c r="BB636" s="1">
        <v>0.020329</v>
      </c>
      <c r="BC636" s="1">
        <v>0.133902</v>
      </c>
      <c r="BD636" s="1">
        <v>0.0</v>
      </c>
      <c r="BE636" s="1">
        <v>0.171006</v>
      </c>
      <c r="BF636" s="1">
        <v>0.139756</v>
      </c>
      <c r="BG636" s="1">
        <v>0.078851</v>
      </c>
      <c r="BH636" s="1">
        <v>0.0</v>
      </c>
      <c r="BI636" s="1">
        <v>0.144784</v>
      </c>
      <c r="BJ636" s="1">
        <v>0.0</v>
      </c>
      <c r="BK636" s="1">
        <v>0.144784</v>
      </c>
      <c r="BL636" s="1">
        <v>0.0</v>
      </c>
      <c r="BM636" s="1">
        <v>0.277</v>
      </c>
      <c r="BN636" s="1">
        <v>0.643</v>
      </c>
      <c r="BO636" s="1">
        <v>0.5184</v>
      </c>
      <c r="BP636" s="1">
        <v>0.579</v>
      </c>
      <c r="BQ636" s="1">
        <v>2.0174</v>
      </c>
      <c r="BR636" s="1">
        <v>0.5018</v>
      </c>
      <c r="BS636" s="1">
        <v>0.089</v>
      </c>
      <c r="BT636" s="1">
        <v>0.891</v>
      </c>
      <c r="BU636" s="1">
        <v>0.753</v>
      </c>
      <c r="BV636" s="1">
        <v>1.733</v>
      </c>
      <c r="BW636" s="1">
        <v>0.667</v>
      </c>
      <c r="BX636" s="1">
        <v>0.204</v>
      </c>
      <c r="BY636" s="1">
        <v>0.861</v>
      </c>
      <c r="BZ636" s="1">
        <v>1.065</v>
      </c>
      <c r="CA636" s="1">
        <v>0.594</v>
      </c>
      <c r="CB636" s="1">
        <v>0.0</v>
      </c>
      <c r="CC636" s="1">
        <v>0.8</v>
      </c>
      <c r="CD636" s="1">
        <v>0.0</v>
      </c>
      <c r="CE636" s="1">
        <v>0.0</v>
      </c>
      <c r="CF636" s="1">
        <v>0.0</v>
      </c>
      <c r="CG636" s="1">
        <v>0.8</v>
      </c>
      <c r="CH636" s="1">
        <v>0.054</v>
      </c>
      <c r="CI636" s="1">
        <v>5.6154</v>
      </c>
      <c r="CJ636" s="1">
        <v>0.3061</v>
      </c>
      <c r="CK636" s="1">
        <v>0.0</v>
      </c>
      <c r="CL636" s="1">
        <v>0.0</v>
      </c>
      <c r="CM636" s="1">
        <v>0.0</v>
      </c>
      <c r="CN636" s="1">
        <v>0.0</v>
      </c>
      <c r="CO636" s="1">
        <v>0.0</v>
      </c>
      <c r="CP636" s="1">
        <v>0.0</v>
      </c>
      <c r="CQ636" s="1">
        <v>0.0</v>
      </c>
      <c r="CR636" s="1">
        <v>0.0</v>
      </c>
      <c r="CS636" s="1">
        <v>0.0</v>
      </c>
      <c r="CT636" s="1">
        <v>0.0</v>
      </c>
      <c r="CU636" s="1">
        <v>0.0</v>
      </c>
      <c r="CV636" s="1">
        <v>0.0</v>
      </c>
      <c r="CW636" s="1">
        <v>0.0</v>
      </c>
      <c r="CX636" s="1">
        <v>0.0</v>
      </c>
      <c r="CY636" s="1">
        <v>0.0</v>
      </c>
      <c r="CZ636" s="1">
        <v>0.0</v>
      </c>
      <c r="DA636" s="1">
        <v>0.0</v>
      </c>
      <c r="DB636" s="1">
        <v>0.0</v>
      </c>
      <c r="DC636" s="1">
        <v>0.0</v>
      </c>
      <c r="DD636" s="1" t="s">
        <v>3025</v>
      </c>
      <c r="DE636" s="1">
        <v>2.1258219548645E-4</v>
      </c>
      <c r="DF636" s="1">
        <v>0.0626578335174667</v>
      </c>
    </row>
    <row r="637" ht="15.75" customHeight="1">
      <c r="A637" s="1" t="s">
        <v>3026</v>
      </c>
      <c r="B637" s="1">
        <v>29.0</v>
      </c>
      <c r="C637" s="2" t="s">
        <v>3018</v>
      </c>
      <c r="D637" s="1">
        <v>700203.0</v>
      </c>
      <c r="E637" s="1">
        <v>3.488</v>
      </c>
      <c r="F637" s="1">
        <v>29099.0</v>
      </c>
      <c r="G637" s="1">
        <v>2.9099700203E10</v>
      </c>
      <c r="H637" s="1" t="s">
        <v>112</v>
      </c>
      <c r="I637" s="1" t="s">
        <v>113</v>
      </c>
      <c r="J637" s="1" t="s">
        <v>3019</v>
      </c>
      <c r="K637" s="1" t="s">
        <v>3027</v>
      </c>
      <c r="L637" s="1">
        <v>6005.0</v>
      </c>
      <c r="M637" s="1">
        <v>5975.0</v>
      </c>
      <c r="N637" s="1">
        <v>508.0</v>
      </c>
      <c r="O637" s="1">
        <v>2446.0</v>
      </c>
      <c r="P637" s="1">
        <v>2406.0</v>
      </c>
      <c r="Q637" s="1">
        <v>139.0</v>
      </c>
      <c r="R637" s="1">
        <v>2232.0</v>
      </c>
      <c r="S637" s="1">
        <v>712.0</v>
      </c>
      <c r="T637" s="1">
        <v>381.0</v>
      </c>
      <c r="U637" s="1">
        <v>292.0</v>
      </c>
      <c r="V637" s="1">
        <v>398.0</v>
      </c>
      <c r="W637" s="1">
        <v>31418.0</v>
      </c>
      <c r="X637" s="1">
        <v>5182.0</v>
      </c>
      <c r="Y637" s="1">
        <v>413.0</v>
      </c>
      <c r="Z637" s="1">
        <v>273.0</v>
      </c>
      <c r="AA637" s="1">
        <v>406.0</v>
      </c>
      <c r="AB637" s="1">
        <v>1726.0</v>
      </c>
      <c r="AC637" s="1">
        <v>281.0</v>
      </c>
      <c r="AD637" s="1">
        <v>453.0</v>
      </c>
      <c r="AE637" s="1">
        <v>71.0</v>
      </c>
      <c r="AF637" s="1">
        <v>434.0</v>
      </c>
      <c r="AG637" s="1">
        <v>159.0</v>
      </c>
      <c r="AH637" s="1">
        <v>146.0</v>
      </c>
      <c r="AI637" s="1">
        <v>164.0</v>
      </c>
      <c r="AJ637" s="1">
        <v>87.0</v>
      </c>
      <c r="AK637" s="1">
        <v>69.0</v>
      </c>
      <c r="AL637" s="1">
        <v>128.0</v>
      </c>
      <c r="AM637" s="1">
        <v>131.0</v>
      </c>
      <c r="AN637" s="1">
        <v>137.0</v>
      </c>
      <c r="AO637" s="1">
        <v>118.0</v>
      </c>
      <c r="AP637" s="1">
        <v>0.120903</v>
      </c>
      <c r="AQ637" s="1">
        <v>0.063922</v>
      </c>
      <c r="AR637" s="1">
        <v>0.087925</v>
      </c>
      <c r="AS637" s="1">
        <v>0.119411</v>
      </c>
      <c r="AT637" s="1">
        <v>31418.0</v>
      </c>
      <c r="AU637" s="1">
        <v>5182.0</v>
      </c>
      <c r="AV637" s="1">
        <v>0.10369</v>
      </c>
      <c r="AW637" s="1">
        <v>0.068132</v>
      </c>
      <c r="AX637" s="1">
        <v>0.06761</v>
      </c>
      <c r="AY637" s="1">
        <v>0.287427</v>
      </c>
      <c r="AZ637" s="1">
        <v>0.12589605</v>
      </c>
      <c r="BA637" s="1">
        <v>0.075437</v>
      </c>
      <c r="BB637" s="1">
        <v>0.012815</v>
      </c>
      <c r="BC637" s="1">
        <v>0.078332</v>
      </c>
      <c r="BD637" s="1">
        <v>0.066084</v>
      </c>
      <c r="BE637" s="1">
        <v>0.060561</v>
      </c>
      <c r="BF637" s="1">
        <v>0.068162</v>
      </c>
      <c r="BG637" s="1">
        <v>0.035944</v>
      </c>
      <c r="BH637" s="1">
        <v>0.030571</v>
      </c>
      <c r="BI637" s="1">
        <v>0.056674</v>
      </c>
      <c r="BJ637" s="1">
        <v>0.058041</v>
      </c>
      <c r="BK637" s="1">
        <v>0.060572</v>
      </c>
      <c r="BL637" s="1">
        <v>0.01965</v>
      </c>
      <c r="BM637" s="1">
        <v>0.457</v>
      </c>
      <c r="BN637" s="1">
        <v>0.665</v>
      </c>
      <c r="BO637" s="1">
        <v>0.1682</v>
      </c>
      <c r="BP637" s="1">
        <v>0.353</v>
      </c>
      <c r="BQ637" s="1">
        <v>1.6432</v>
      </c>
      <c r="BR637" s="1">
        <v>0.387</v>
      </c>
      <c r="BS637" s="1">
        <v>0.075</v>
      </c>
      <c r="BT637" s="1">
        <v>0.878</v>
      </c>
      <c r="BU637" s="1">
        <v>0.701</v>
      </c>
      <c r="BV637" s="1">
        <v>1.654</v>
      </c>
      <c r="BW637" s="1">
        <v>0.605</v>
      </c>
      <c r="BX637" s="1">
        <v>0.379</v>
      </c>
      <c r="BY637" s="1">
        <v>0.783</v>
      </c>
      <c r="BZ637" s="1">
        <v>1.162</v>
      </c>
      <c r="CA637" s="1">
        <v>0.642</v>
      </c>
      <c r="CB637" s="1">
        <v>0.708</v>
      </c>
      <c r="CC637" s="1">
        <v>0.647</v>
      </c>
      <c r="CD637" s="1">
        <v>0.815</v>
      </c>
      <c r="CE637" s="1">
        <v>0.554</v>
      </c>
      <c r="CF637" s="1">
        <v>0.705</v>
      </c>
      <c r="CG637" s="1">
        <v>3.429</v>
      </c>
      <c r="CH637" s="1">
        <v>0.923</v>
      </c>
      <c r="CI637" s="1">
        <v>7.8882</v>
      </c>
      <c r="CJ637" s="1">
        <v>0.6946</v>
      </c>
      <c r="CK637" s="1">
        <v>0.0</v>
      </c>
      <c r="CL637" s="1">
        <v>0.0</v>
      </c>
      <c r="CM637" s="1">
        <v>0.0</v>
      </c>
      <c r="CN637" s="1">
        <v>0.0</v>
      </c>
      <c r="CO637" s="1">
        <v>0.0</v>
      </c>
      <c r="CP637" s="1">
        <v>0.0</v>
      </c>
      <c r="CQ637" s="1">
        <v>0.0</v>
      </c>
      <c r="CR637" s="1">
        <v>0.0</v>
      </c>
      <c r="CS637" s="1">
        <v>0.0</v>
      </c>
      <c r="CT637" s="1">
        <v>0.0</v>
      </c>
      <c r="CU637" s="1">
        <v>0.0</v>
      </c>
      <c r="CV637" s="1">
        <v>0.0</v>
      </c>
      <c r="CW637" s="1">
        <v>0.0</v>
      </c>
      <c r="CX637" s="1">
        <v>0.0</v>
      </c>
      <c r="CY637" s="1">
        <v>0.0</v>
      </c>
      <c r="CZ637" s="1">
        <v>0.0</v>
      </c>
      <c r="DA637" s="1">
        <v>0.0</v>
      </c>
      <c r="DB637" s="1">
        <v>0.0</v>
      </c>
      <c r="DC637" s="1">
        <v>0.0</v>
      </c>
      <c r="DD637" s="1" t="s">
        <v>3028</v>
      </c>
      <c r="DE637" s="1">
        <v>0.00100676658698041</v>
      </c>
      <c r="DF637" s="2" t="s">
        <v>3029</v>
      </c>
    </row>
    <row r="638" ht="15.75" customHeight="1">
      <c r="A638" s="1" t="s">
        <v>3030</v>
      </c>
      <c r="B638" s="1">
        <v>29.0</v>
      </c>
      <c r="C638" s="2" t="s">
        <v>3018</v>
      </c>
      <c r="D638" s="1">
        <v>700303.0</v>
      </c>
      <c r="E638" s="1">
        <v>2.073</v>
      </c>
      <c r="F638" s="1">
        <v>29099.0</v>
      </c>
      <c r="G638" s="1">
        <v>2.9099700303E10</v>
      </c>
      <c r="H638" s="1" t="s">
        <v>112</v>
      </c>
      <c r="I638" s="1" t="s">
        <v>113</v>
      </c>
      <c r="J638" s="1" t="s">
        <v>3019</v>
      </c>
      <c r="K638" s="1" t="s">
        <v>3031</v>
      </c>
      <c r="L638" s="1">
        <v>4806.0</v>
      </c>
      <c r="M638" s="1">
        <v>4968.0</v>
      </c>
      <c r="N638" s="1">
        <v>247.0</v>
      </c>
      <c r="O638" s="1">
        <v>1950.0</v>
      </c>
      <c r="P638" s="1">
        <v>1953.0</v>
      </c>
      <c r="Q638" s="1">
        <v>49.0</v>
      </c>
      <c r="R638" s="1">
        <v>1840.0</v>
      </c>
      <c r="S638" s="1">
        <v>378.0</v>
      </c>
      <c r="T638" s="1">
        <v>158.0</v>
      </c>
      <c r="U638" s="1">
        <v>166.0</v>
      </c>
      <c r="V638" s="1">
        <v>369.0</v>
      </c>
      <c r="W638" s="1">
        <v>25200.0</v>
      </c>
      <c r="X638" s="1">
        <v>1983.0</v>
      </c>
      <c r="Y638" s="1">
        <v>422.0</v>
      </c>
      <c r="Z638" s="1">
        <v>258.0</v>
      </c>
      <c r="AA638" s="1">
        <v>538.0</v>
      </c>
      <c r="AB638" s="1">
        <v>1104.0</v>
      </c>
      <c r="AC638" s="1">
        <v>172.0</v>
      </c>
      <c r="AD638" s="1">
        <v>223.0</v>
      </c>
      <c r="AE638" s="1">
        <v>0.0</v>
      </c>
      <c r="AF638" s="1">
        <v>456.0</v>
      </c>
      <c r="AG638" s="1">
        <v>0.0</v>
      </c>
      <c r="AH638" s="1">
        <v>197.0</v>
      </c>
      <c r="AI638" s="1">
        <v>240.0</v>
      </c>
      <c r="AJ638" s="1">
        <v>68.0</v>
      </c>
      <c r="AK638" s="1">
        <v>0.0</v>
      </c>
      <c r="AL638" s="1">
        <v>161.0</v>
      </c>
      <c r="AM638" s="1">
        <v>30.0</v>
      </c>
      <c r="AN638" s="1">
        <v>119.0</v>
      </c>
      <c r="AO638" s="1">
        <v>0.0</v>
      </c>
      <c r="AP638" s="1">
        <v>0.076271</v>
      </c>
      <c r="AQ638" s="1">
        <v>0.031658</v>
      </c>
      <c r="AR638" s="1">
        <v>0.060561</v>
      </c>
      <c r="AS638" s="1">
        <v>0.134481</v>
      </c>
      <c r="AT638" s="1">
        <v>25200.0</v>
      </c>
      <c r="AU638" s="1">
        <v>1983.0</v>
      </c>
      <c r="AV638" s="1">
        <v>0.126158</v>
      </c>
      <c r="AW638" s="1">
        <v>0.076827</v>
      </c>
      <c r="AX638" s="1">
        <v>0.111943</v>
      </c>
      <c r="AY638" s="1">
        <v>0.229712</v>
      </c>
      <c r="AZ638" s="1">
        <v>0.09347826</v>
      </c>
      <c r="BA638" s="1">
        <v>0.0464</v>
      </c>
      <c r="BB638" s="1">
        <v>0.0</v>
      </c>
      <c r="BC638" s="1">
        <v>0.098936</v>
      </c>
      <c r="BD638" s="1">
        <v>0.0</v>
      </c>
      <c r="BE638" s="1">
        <v>0.10087</v>
      </c>
      <c r="BF638" s="1">
        <v>0.122887</v>
      </c>
      <c r="BG638" s="1">
        <v>0.034681</v>
      </c>
      <c r="BH638" s="1">
        <v>0.0</v>
      </c>
      <c r="BI638" s="1">
        <v>0.086839</v>
      </c>
      <c r="BJ638" s="1">
        <v>0.016181</v>
      </c>
      <c r="BK638" s="1">
        <v>0.064182</v>
      </c>
      <c r="BL638" s="1">
        <v>0.0</v>
      </c>
      <c r="BM638" s="1">
        <v>0.274</v>
      </c>
      <c r="BN638" s="1">
        <v>0.423</v>
      </c>
      <c r="BO638" s="1">
        <v>0.3379</v>
      </c>
      <c r="BP638" s="1">
        <v>0.454</v>
      </c>
      <c r="BQ638" s="1">
        <v>1.4889</v>
      </c>
      <c r="BR638" s="1">
        <v>0.3372</v>
      </c>
      <c r="BS638" s="1">
        <v>0.287</v>
      </c>
      <c r="BT638" s="1">
        <v>0.382</v>
      </c>
      <c r="BU638" s="1">
        <v>0.434</v>
      </c>
      <c r="BV638" s="1">
        <v>1.103</v>
      </c>
      <c r="BW638" s="1">
        <v>0.168</v>
      </c>
      <c r="BX638" s="1">
        <v>0.225</v>
      </c>
      <c r="BY638" s="1">
        <v>0.0</v>
      </c>
      <c r="BZ638" s="1">
        <v>0.225</v>
      </c>
      <c r="CA638" s="1">
        <v>0.098</v>
      </c>
      <c r="CB638" s="1">
        <v>0.0</v>
      </c>
      <c r="CC638" s="1">
        <v>0.765</v>
      </c>
      <c r="CD638" s="1">
        <v>0.0</v>
      </c>
      <c r="CE638" s="1">
        <v>0.143</v>
      </c>
      <c r="CF638" s="1">
        <v>0.0</v>
      </c>
      <c r="CG638" s="1">
        <v>0.908</v>
      </c>
      <c r="CH638" s="1">
        <v>0.067</v>
      </c>
      <c r="CI638" s="1">
        <v>3.7249</v>
      </c>
      <c r="CJ638" s="1">
        <v>0.0606</v>
      </c>
      <c r="CK638" s="1">
        <v>0.0</v>
      </c>
      <c r="CL638" s="1">
        <v>0.0</v>
      </c>
      <c r="CM638" s="1">
        <v>0.0</v>
      </c>
      <c r="CN638" s="1">
        <v>0.0</v>
      </c>
      <c r="CO638" s="1">
        <v>0.0</v>
      </c>
      <c r="CP638" s="1">
        <v>0.0</v>
      </c>
      <c r="CQ638" s="1">
        <v>0.0</v>
      </c>
      <c r="CR638" s="1">
        <v>0.0</v>
      </c>
      <c r="CS638" s="1">
        <v>0.0</v>
      </c>
      <c r="CT638" s="1">
        <v>0.0</v>
      </c>
      <c r="CU638" s="1">
        <v>0.0</v>
      </c>
      <c r="CV638" s="1">
        <v>0.0</v>
      </c>
      <c r="CW638" s="1">
        <v>0.0</v>
      </c>
      <c r="CX638" s="1">
        <v>0.0</v>
      </c>
      <c r="CY638" s="1">
        <v>0.0</v>
      </c>
      <c r="CZ638" s="1">
        <v>0.0</v>
      </c>
      <c r="DA638" s="1">
        <v>0.0</v>
      </c>
      <c r="DB638" s="1">
        <v>0.0</v>
      </c>
      <c r="DC638" s="1">
        <v>0.0</v>
      </c>
      <c r="DD638" s="1" t="s">
        <v>3032</v>
      </c>
      <c r="DE638" s="1">
        <v>5.54054995811983E-4</v>
      </c>
      <c r="DF638" s="2" t="s">
        <v>3033</v>
      </c>
    </row>
    <row r="639" ht="15.75" customHeight="1">
      <c r="A639" s="1" t="s">
        <v>3034</v>
      </c>
      <c r="B639" s="1">
        <v>29.0</v>
      </c>
      <c r="C639" s="2" t="s">
        <v>3018</v>
      </c>
      <c r="D639" s="1">
        <v>700801.0</v>
      </c>
      <c r="E639" s="1">
        <v>2.005</v>
      </c>
      <c r="F639" s="1">
        <v>29099.0</v>
      </c>
      <c r="G639" s="1">
        <v>2.9099700801E10</v>
      </c>
      <c r="H639" s="1" t="s">
        <v>112</v>
      </c>
      <c r="I639" s="1" t="s">
        <v>113</v>
      </c>
      <c r="J639" s="1" t="s">
        <v>3019</v>
      </c>
      <c r="K639" s="1" t="s">
        <v>3035</v>
      </c>
      <c r="L639" s="1">
        <v>5504.0</v>
      </c>
      <c r="M639" s="1">
        <v>5557.0</v>
      </c>
      <c r="N639" s="1">
        <v>341.0</v>
      </c>
      <c r="O639" s="1">
        <v>2387.0</v>
      </c>
      <c r="P639" s="1">
        <v>2263.0</v>
      </c>
      <c r="Q639" s="1">
        <v>157.0</v>
      </c>
      <c r="R639" s="1">
        <v>2222.0</v>
      </c>
      <c r="S639" s="1">
        <v>492.0</v>
      </c>
      <c r="T639" s="1">
        <v>235.0</v>
      </c>
      <c r="U639" s="1">
        <v>211.0</v>
      </c>
      <c r="V639" s="1">
        <v>375.0</v>
      </c>
      <c r="W639" s="1">
        <v>26441.0</v>
      </c>
      <c r="X639" s="1">
        <v>4044.0</v>
      </c>
      <c r="Y639" s="1">
        <v>352.0</v>
      </c>
      <c r="Z639" s="1">
        <v>265.0</v>
      </c>
      <c r="AA639" s="1">
        <v>767.0</v>
      </c>
      <c r="AB639" s="1">
        <v>1399.0</v>
      </c>
      <c r="AC639" s="1">
        <v>247.0</v>
      </c>
      <c r="AD639" s="1">
        <v>324.0</v>
      </c>
      <c r="AE639" s="1">
        <v>0.0</v>
      </c>
      <c r="AF639" s="1">
        <v>456.0</v>
      </c>
      <c r="AG639" s="1">
        <v>110.0</v>
      </c>
      <c r="AH639" s="1">
        <v>183.0</v>
      </c>
      <c r="AI639" s="1">
        <v>0.0</v>
      </c>
      <c r="AJ639" s="1">
        <v>114.0</v>
      </c>
      <c r="AK639" s="1">
        <v>0.0</v>
      </c>
      <c r="AL639" s="1">
        <v>161.0</v>
      </c>
      <c r="AM639" s="1">
        <v>150.0</v>
      </c>
      <c r="AN639" s="1">
        <v>76.0</v>
      </c>
      <c r="AO639" s="1">
        <v>15.0</v>
      </c>
      <c r="AP639" s="1">
        <v>0.089292</v>
      </c>
      <c r="AQ639" s="1">
        <v>0.042304</v>
      </c>
      <c r="AR639" s="1">
        <v>0.076118</v>
      </c>
      <c r="AS639" s="1">
        <v>0.134999</v>
      </c>
      <c r="AT639" s="1">
        <v>26441.0</v>
      </c>
      <c r="AU639" s="1">
        <v>4044.0</v>
      </c>
      <c r="AV639" s="1">
        <v>0.097723</v>
      </c>
      <c r="AW639" s="1">
        <v>0.073316</v>
      </c>
      <c r="AX639" s="1">
        <v>0.139353</v>
      </c>
      <c r="AY639" s="1">
        <v>0.254178</v>
      </c>
      <c r="AZ639" s="1">
        <v>0.11116111</v>
      </c>
      <c r="BA639" s="1">
        <v>0.058866</v>
      </c>
      <c r="BB639" s="1">
        <v>0.0</v>
      </c>
      <c r="BC639" s="1">
        <v>0.091108</v>
      </c>
      <c r="BD639" s="1">
        <v>0.048608</v>
      </c>
      <c r="BE639" s="1">
        <v>0.080795</v>
      </c>
      <c r="BF639" s="1">
        <v>0.0</v>
      </c>
      <c r="BG639" s="1">
        <v>0.050375</v>
      </c>
      <c r="BH639" s="1">
        <v>0.0</v>
      </c>
      <c r="BI639" s="1">
        <v>0.072489</v>
      </c>
      <c r="BJ639" s="1">
        <v>0.067537</v>
      </c>
      <c r="BK639" s="1">
        <v>0.033909</v>
      </c>
      <c r="BL639" s="1">
        <v>0.002725</v>
      </c>
      <c r="BM639" s="1">
        <v>0.333</v>
      </c>
      <c r="BN639" s="1">
        <v>0.571</v>
      </c>
      <c r="BO639" s="1">
        <v>0.2989</v>
      </c>
      <c r="BP639" s="1">
        <v>0.326</v>
      </c>
      <c r="BQ639" s="1">
        <v>1.5289</v>
      </c>
      <c r="BR639" s="1">
        <v>0.3495</v>
      </c>
      <c r="BS639" s="1">
        <v>0.491</v>
      </c>
      <c r="BT639" s="1">
        <v>0.649</v>
      </c>
      <c r="BU639" s="1">
        <v>0.594</v>
      </c>
      <c r="BV639" s="1">
        <v>1.734</v>
      </c>
      <c r="BW639" s="1">
        <v>0.669</v>
      </c>
      <c r="BX639" s="1">
        <v>0.308</v>
      </c>
      <c r="BY639" s="1">
        <v>0.0</v>
      </c>
      <c r="BZ639" s="1">
        <v>0.308</v>
      </c>
      <c r="CA639" s="1">
        <v>0.133</v>
      </c>
      <c r="CB639" s="1">
        <v>0.653</v>
      </c>
      <c r="CC639" s="1">
        <v>0.0</v>
      </c>
      <c r="CD639" s="1">
        <v>0.0</v>
      </c>
      <c r="CE639" s="1">
        <v>0.61</v>
      </c>
      <c r="CF639" s="1">
        <v>0.468</v>
      </c>
      <c r="CG639" s="1">
        <v>1.731</v>
      </c>
      <c r="CH639" s="1">
        <v>0.243</v>
      </c>
      <c r="CI639" s="1">
        <v>5.3019</v>
      </c>
      <c r="CJ639" s="1">
        <v>0.2477</v>
      </c>
      <c r="CK639" s="1">
        <v>0.0</v>
      </c>
      <c r="CL639" s="1">
        <v>0.0</v>
      </c>
      <c r="CM639" s="1">
        <v>0.0</v>
      </c>
      <c r="CN639" s="1">
        <v>0.0</v>
      </c>
      <c r="CO639" s="1">
        <v>0.0</v>
      </c>
      <c r="CP639" s="1">
        <v>0.0</v>
      </c>
      <c r="CQ639" s="1">
        <v>0.0</v>
      </c>
      <c r="CR639" s="1">
        <v>0.0</v>
      </c>
      <c r="CS639" s="1">
        <v>0.0</v>
      </c>
      <c r="CT639" s="1">
        <v>0.0</v>
      </c>
      <c r="CU639" s="1">
        <v>0.0</v>
      </c>
      <c r="CV639" s="1">
        <v>0.0</v>
      </c>
      <c r="CW639" s="1">
        <v>0.0</v>
      </c>
      <c r="CX639" s="1">
        <v>0.0</v>
      </c>
      <c r="CY639" s="1">
        <v>0.0</v>
      </c>
      <c r="CZ639" s="1">
        <v>0.0</v>
      </c>
      <c r="DA639" s="1">
        <v>0.0</v>
      </c>
      <c r="DB639" s="1">
        <v>0.0</v>
      </c>
      <c r="DC639" s="1">
        <v>0.0</v>
      </c>
      <c r="DD639" s="1" t="s">
        <v>3036</v>
      </c>
      <c r="DE639" s="1">
        <v>5.34393894204535E-4</v>
      </c>
      <c r="DF639" s="2" t="s">
        <v>3037</v>
      </c>
    </row>
    <row r="640" ht="15.75" customHeight="1">
      <c r="A640" s="1" t="s">
        <v>3038</v>
      </c>
      <c r="B640" s="1">
        <v>29.0</v>
      </c>
      <c r="C640" s="2" t="s">
        <v>3018</v>
      </c>
      <c r="D640" s="1">
        <v>701300.0</v>
      </c>
      <c r="E640" s="1">
        <v>12.571</v>
      </c>
      <c r="F640" s="1">
        <v>29099.0</v>
      </c>
      <c r="G640" s="1">
        <v>2.90997013E10</v>
      </c>
      <c r="H640" s="1" t="s">
        <v>112</v>
      </c>
      <c r="I640" s="1" t="s">
        <v>113</v>
      </c>
      <c r="J640" s="1" t="s">
        <v>3019</v>
      </c>
      <c r="K640" s="1" t="s">
        <v>3039</v>
      </c>
      <c r="L640" s="1">
        <v>3588.0</v>
      </c>
      <c r="M640" s="1">
        <v>3420.0</v>
      </c>
      <c r="N640" s="1">
        <v>388.0</v>
      </c>
      <c r="O640" s="1">
        <v>1484.0</v>
      </c>
      <c r="P640" s="1">
        <v>1489.0</v>
      </c>
      <c r="Q640" s="1">
        <v>50.0</v>
      </c>
      <c r="R640" s="1">
        <v>1357.0</v>
      </c>
      <c r="S640" s="1">
        <v>725.0</v>
      </c>
      <c r="T640" s="1">
        <v>428.0</v>
      </c>
      <c r="U640" s="1">
        <v>221.0</v>
      </c>
      <c r="V640" s="1">
        <v>352.0</v>
      </c>
      <c r="W640" s="1">
        <v>17678.0</v>
      </c>
      <c r="X640" s="1">
        <v>2398.0</v>
      </c>
      <c r="Y640" s="1">
        <v>559.0</v>
      </c>
      <c r="Z640" s="1">
        <v>237.0</v>
      </c>
      <c r="AA640" s="1">
        <v>455.0</v>
      </c>
      <c r="AB640" s="1">
        <v>901.0</v>
      </c>
      <c r="AC640" s="1">
        <v>167.0</v>
      </c>
      <c r="AD640" s="1">
        <v>194.0</v>
      </c>
      <c r="AE640" s="1">
        <v>0.0</v>
      </c>
      <c r="AF640" s="1">
        <v>456.0</v>
      </c>
      <c r="AG640" s="1">
        <v>27.0</v>
      </c>
      <c r="AH640" s="1">
        <v>166.0</v>
      </c>
      <c r="AI640" s="1">
        <v>114.0</v>
      </c>
      <c r="AJ640" s="1">
        <v>65.0</v>
      </c>
      <c r="AK640" s="1">
        <v>81.0</v>
      </c>
      <c r="AL640" s="1">
        <v>132.0</v>
      </c>
      <c r="AM640" s="1">
        <v>75.0</v>
      </c>
      <c r="AN640" s="1">
        <v>48.0</v>
      </c>
      <c r="AO640" s="1">
        <v>41.0</v>
      </c>
      <c r="AP640" s="1">
        <v>0.213423</v>
      </c>
      <c r="AQ640" s="1">
        <v>0.12355</v>
      </c>
      <c r="AR640" s="1">
        <v>0.140139</v>
      </c>
      <c r="AS640" s="1">
        <v>0.222381</v>
      </c>
      <c r="AT640" s="1">
        <v>17678.0</v>
      </c>
      <c r="AU640" s="1">
        <v>2398.0</v>
      </c>
      <c r="AV640" s="1">
        <v>0.254553</v>
      </c>
      <c r="AW640" s="1">
        <v>0.105529</v>
      </c>
      <c r="AX640" s="1">
        <v>0.126811</v>
      </c>
      <c r="AY640" s="1">
        <v>0.251114</v>
      </c>
      <c r="AZ640" s="1">
        <v>0.12306558</v>
      </c>
      <c r="BA640" s="1">
        <v>0.054069</v>
      </c>
      <c r="BB640" s="1">
        <v>0.0</v>
      </c>
      <c r="BC640" s="1">
        <v>0.144715</v>
      </c>
      <c r="BD640" s="1">
        <v>0.018132</v>
      </c>
      <c r="BE640" s="1">
        <v>0.111482</v>
      </c>
      <c r="BF640" s="1">
        <v>0.076561</v>
      </c>
      <c r="BG640" s="1">
        <v>0.043577</v>
      </c>
      <c r="BH640" s="1">
        <v>0.058189</v>
      </c>
      <c r="BI640" s="1">
        <v>0.094742</v>
      </c>
      <c r="BJ640" s="1">
        <v>0.053879</v>
      </c>
      <c r="BK640" s="1">
        <v>0.034281</v>
      </c>
      <c r="BL640" s="1">
        <v>0.011426</v>
      </c>
      <c r="BM640" s="1">
        <v>0.761</v>
      </c>
      <c r="BN640" s="1">
        <v>0.875</v>
      </c>
      <c r="BO640" s="1">
        <v>0.7473</v>
      </c>
      <c r="BP640" s="1">
        <v>0.878</v>
      </c>
      <c r="BQ640" s="1">
        <v>3.2613</v>
      </c>
      <c r="BR640" s="1">
        <v>0.8708</v>
      </c>
      <c r="BS640" s="1">
        <v>0.394</v>
      </c>
      <c r="BT640" s="1">
        <v>0.612</v>
      </c>
      <c r="BU640" s="1">
        <v>0.685</v>
      </c>
      <c r="BV640" s="1">
        <v>1.691</v>
      </c>
      <c r="BW640" s="1">
        <v>0.634</v>
      </c>
      <c r="BX640" s="1">
        <v>0.278</v>
      </c>
      <c r="BY640" s="1">
        <v>0.0</v>
      </c>
      <c r="BZ640" s="1">
        <v>0.278</v>
      </c>
      <c r="CA640" s="1">
        <v>0.118</v>
      </c>
      <c r="CB640" s="1">
        <v>0.448</v>
      </c>
      <c r="CC640" s="1">
        <v>0.671</v>
      </c>
      <c r="CD640" s="1">
        <v>0.959</v>
      </c>
      <c r="CE640" s="1">
        <v>0.52</v>
      </c>
      <c r="CF640" s="1">
        <v>0.6</v>
      </c>
      <c r="CG640" s="1">
        <v>3.198</v>
      </c>
      <c r="CH640" s="1">
        <v>0.842</v>
      </c>
      <c r="CI640" s="1">
        <v>8.4283</v>
      </c>
      <c r="CJ640" s="1">
        <v>0.7747</v>
      </c>
      <c r="CK640" s="1">
        <v>0.0</v>
      </c>
      <c r="CL640" s="1">
        <v>0.0</v>
      </c>
      <c r="CM640" s="1">
        <v>0.0</v>
      </c>
      <c r="CN640" s="1">
        <v>0.0</v>
      </c>
      <c r="CO640" s="1">
        <v>0.0</v>
      </c>
      <c r="CP640" s="1">
        <v>0.0</v>
      </c>
      <c r="CQ640" s="1">
        <v>0.0</v>
      </c>
      <c r="CR640" s="1">
        <v>0.0</v>
      </c>
      <c r="CS640" s="1">
        <v>0.0</v>
      </c>
      <c r="CT640" s="1">
        <v>0.0</v>
      </c>
      <c r="CU640" s="1">
        <v>0.0</v>
      </c>
      <c r="CV640" s="1">
        <v>0.0</v>
      </c>
      <c r="CW640" s="1">
        <v>0.0</v>
      </c>
      <c r="CX640" s="1">
        <v>0.0</v>
      </c>
      <c r="CY640" s="1">
        <v>1.0</v>
      </c>
      <c r="CZ640" s="1">
        <v>0.0</v>
      </c>
      <c r="DA640" s="1">
        <v>0.0</v>
      </c>
      <c r="DB640" s="1">
        <v>1.0</v>
      </c>
      <c r="DC640" s="1">
        <v>1.0</v>
      </c>
      <c r="DD640" s="1" t="s">
        <v>3040</v>
      </c>
      <c r="DE640" s="1">
        <v>0.00334567392281579</v>
      </c>
      <c r="DF640" s="2" t="s">
        <v>3041</v>
      </c>
    </row>
    <row r="641" ht="15.75" customHeight="1">
      <c r="A641" s="1" t="s">
        <v>3042</v>
      </c>
      <c r="B641" s="1">
        <v>29.0</v>
      </c>
      <c r="C641" s="2" t="s">
        <v>3018</v>
      </c>
      <c r="D641" s="1">
        <v>700208.0</v>
      </c>
      <c r="E641" s="1">
        <v>3.17</v>
      </c>
      <c r="F641" s="1">
        <v>29099.0</v>
      </c>
      <c r="G641" s="1">
        <v>2.9099700208E10</v>
      </c>
      <c r="H641" s="1" t="s">
        <v>112</v>
      </c>
      <c r="I641" s="1" t="s">
        <v>113</v>
      </c>
      <c r="J641" s="1" t="s">
        <v>3019</v>
      </c>
      <c r="K641" s="1" t="s">
        <v>3043</v>
      </c>
      <c r="L641" s="1">
        <v>5818.0</v>
      </c>
      <c r="M641" s="1">
        <v>5735.0</v>
      </c>
      <c r="N641" s="1">
        <v>477.0</v>
      </c>
      <c r="O641" s="1">
        <v>2559.0</v>
      </c>
      <c r="P641" s="1">
        <v>2447.0</v>
      </c>
      <c r="Q641" s="1">
        <v>127.0</v>
      </c>
      <c r="R641" s="1">
        <v>2393.0</v>
      </c>
      <c r="S641" s="1">
        <v>1110.0</v>
      </c>
      <c r="T641" s="1">
        <v>434.0</v>
      </c>
      <c r="U641" s="1">
        <v>266.0</v>
      </c>
      <c r="V641" s="1">
        <v>401.0</v>
      </c>
      <c r="W641" s="1">
        <v>21515.0</v>
      </c>
      <c r="X641" s="1">
        <v>2124.0</v>
      </c>
      <c r="Y641" s="1">
        <v>690.0</v>
      </c>
      <c r="Z641" s="1">
        <v>272.0</v>
      </c>
      <c r="AA641" s="1">
        <v>565.0</v>
      </c>
      <c r="AB641" s="1">
        <v>1369.0</v>
      </c>
      <c r="AC641" s="1">
        <v>323.0</v>
      </c>
      <c r="AD641" s="1">
        <v>304.0</v>
      </c>
      <c r="AE641" s="1">
        <v>129.0</v>
      </c>
      <c r="AF641" s="1">
        <v>450.0</v>
      </c>
      <c r="AG641" s="1">
        <v>112.0</v>
      </c>
      <c r="AH641" s="1">
        <v>130.0</v>
      </c>
      <c r="AI641" s="1">
        <v>1010.0</v>
      </c>
      <c r="AJ641" s="1">
        <v>161.0</v>
      </c>
      <c r="AK641" s="1">
        <v>81.0</v>
      </c>
      <c r="AL641" s="1">
        <v>129.0</v>
      </c>
      <c r="AM641" s="1">
        <v>55.0</v>
      </c>
      <c r="AN641" s="1">
        <v>42.0</v>
      </c>
      <c r="AO641" s="1">
        <v>97.0</v>
      </c>
      <c r="AP641" s="1">
        <v>0.201708</v>
      </c>
      <c r="AQ641" s="1">
        <v>0.076878</v>
      </c>
      <c r="AR641" s="1">
        <v>0.087615</v>
      </c>
      <c r="AS641" s="1">
        <v>0.131578</v>
      </c>
      <c r="AT641" s="1">
        <v>21515.0</v>
      </c>
      <c r="AU641" s="1">
        <v>2124.0</v>
      </c>
      <c r="AV641" s="1">
        <v>0.172932</v>
      </c>
      <c r="AW641" s="1">
        <v>0.066762</v>
      </c>
      <c r="AX641" s="1">
        <v>0.097112</v>
      </c>
      <c r="AY641" s="1">
        <v>0.235304</v>
      </c>
      <c r="AZ641" s="1">
        <v>0.13497701</v>
      </c>
      <c r="BA641" s="1">
        <v>0.052251</v>
      </c>
      <c r="BB641" s="1">
        <v>0.024506</v>
      </c>
      <c r="BC641" s="1">
        <v>0.08546</v>
      </c>
      <c r="BD641" s="1">
        <v>0.04577</v>
      </c>
      <c r="BE641" s="1">
        <v>0.053073</v>
      </c>
      <c r="BF641" s="1">
        <v>0.41275</v>
      </c>
      <c r="BG641" s="1">
        <v>0.062209</v>
      </c>
      <c r="BH641" s="1">
        <v>0.035064</v>
      </c>
      <c r="BI641" s="1">
        <v>0.055807</v>
      </c>
      <c r="BJ641" s="1">
        <v>0.023809</v>
      </c>
      <c r="BK641" s="1">
        <v>0.01813</v>
      </c>
      <c r="BL641" s="1">
        <v>0.016672</v>
      </c>
      <c r="BM641" s="1">
        <v>0.735</v>
      </c>
      <c r="BN641" s="1">
        <v>0.662</v>
      </c>
      <c r="BO641" s="1">
        <v>0.5191</v>
      </c>
      <c r="BP641" s="1">
        <v>0.661</v>
      </c>
      <c r="BQ641" s="1">
        <v>2.5771</v>
      </c>
      <c r="BR641" s="1">
        <v>0.6939</v>
      </c>
      <c r="BS641" s="1">
        <v>0.192</v>
      </c>
      <c r="BT641" s="1">
        <v>0.442</v>
      </c>
      <c r="BU641" s="1">
        <v>0.739</v>
      </c>
      <c r="BV641" s="1">
        <v>1.373</v>
      </c>
      <c r="BW641" s="1">
        <v>0.369</v>
      </c>
      <c r="BX641" s="1">
        <v>0.266</v>
      </c>
      <c r="BY641" s="1">
        <v>0.888</v>
      </c>
      <c r="BZ641" s="1">
        <v>1.154</v>
      </c>
      <c r="CA641" s="1">
        <v>0.636</v>
      </c>
      <c r="CB641" s="1">
        <v>0.638</v>
      </c>
      <c r="CC641" s="1">
        <v>0.996</v>
      </c>
      <c r="CD641" s="1">
        <v>0.862</v>
      </c>
      <c r="CE641" s="1">
        <v>0.227</v>
      </c>
      <c r="CF641" s="1">
        <v>0.669</v>
      </c>
      <c r="CG641" s="1">
        <v>3.392</v>
      </c>
      <c r="CH641" s="1">
        <v>0.909</v>
      </c>
      <c r="CI641" s="1">
        <v>8.4961</v>
      </c>
      <c r="CJ641" s="1">
        <v>0.7856</v>
      </c>
      <c r="CK641" s="1">
        <v>0.0</v>
      </c>
      <c r="CL641" s="1">
        <v>0.0</v>
      </c>
      <c r="CM641" s="1">
        <v>0.0</v>
      </c>
      <c r="CN641" s="1">
        <v>0.0</v>
      </c>
      <c r="CO641" s="1">
        <v>0.0</v>
      </c>
      <c r="CP641" s="1">
        <v>0.0</v>
      </c>
      <c r="CQ641" s="1">
        <v>0.0</v>
      </c>
      <c r="CR641" s="1">
        <v>0.0</v>
      </c>
      <c r="CS641" s="1">
        <v>0.0</v>
      </c>
      <c r="CT641" s="1">
        <v>0.0</v>
      </c>
      <c r="CU641" s="1">
        <v>0.0</v>
      </c>
      <c r="CV641" s="1">
        <v>0.0</v>
      </c>
      <c r="CW641" s="1">
        <v>0.0</v>
      </c>
      <c r="CX641" s="1">
        <v>1.0</v>
      </c>
      <c r="CY641" s="1">
        <v>0.0</v>
      </c>
      <c r="CZ641" s="1">
        <v>0.0</v>
      </c>
      <c r="DA641" s="1">
        <v>0.0</v>
      </c>
      <c r="DB641" s="1">
        <v>1.0</v>
      </c>
      <c r="DC641" s="1">
        <v>1.0</v>
      </c>
      <c r="DD641" s="1" t="s">
        <v>3044</v>
      </c>
      <c r="DE641" s="1">
        <v>8.49026031898871E-4</v>
      </c>
      <c r="DF641" s="2" t="s">
        <v>3045</v>
      </c>
    </row>
    <row r="642" ht="15.75" customHeight="1">
      <c r="A642" s="1" t="s">
        <v>3046</v>
      </c>
      <c r="B642" s="1">
        <v>29.0</v>
      </c>
      <c r="C642" s="2" t="s">
        <v>3018</v>
      </c>
      <c r="D642" s="1">
        <v>700209.0</v>
      </c>
      <c r="E642" s="1">
        <v>4.256</v>
      </c>
      <c r="F642" s="1">
        <v>29099.0</v>
      </c>
      <c r="G642" s="1">
        <v>2.9099700209E10</v>
      </c>
      <c r="H642" s="1" t="s">
        <v>112</v>
      </c>
      <c r="I642" s="1" t="s">
        <v>113</v>
      </c>
      <c r="J642" s="1" t="s">
        <v>3019</v>
      </c>
      <c r="K642" s="1" t="s">
        <v>3047</v>
      </c>
      <c r="L642" s="1">
        <v>3479.0</v>
      </c>
      <c r="M642" s="1">
        <v>3321.0</v>
      </c>
      <c r="N642" s="1">
        <v>236.0</v>
      </c>
      <c r="O642" s="1">
        <v>1269.0</v>
      </c>
      <c r="P642" s="1">
        <v>1204.0</v>
      </c>
      <c r="Q642" s="1">
        <v>78.0</v>
      </c>
      <c r="R642" s="1">
        <v>1224.0</v>
      </c>
      <c r="S642" s="1">
        <v>442.0</v>
      </c>
      <c r="T642" s="1">
        <v>230.0</v>
      </c>
      <c r="U642" s="1">
        <v>190.0</v>
      </c>
      <c r="V642" s="1">
        <v>419.0</v>
      </c>
      <c r="W642" s="1">
        <v>27799.0</v>
      </c>
      <c r="X642" s="1">
        <v>3275.0</v>
      </c>
      <c r="Y642" s="1">
        <v>185.0</v>
      </c>
      <c r="Z642" s="1">
        <v>352.0</v>
      </c>
      <c r="AA642" s="1">
        <v>299.0</v>
      </c>
      <c r="AB642" s="1">
        <v>956.0</v>
      </c>
      <c r="AC642" s="1">
        <v>116.0</v>
      </c>
      <c r="AD642" s="1">
        <v>223.0</v>
      </c>
      <c r="AE642" s="1">
        <v>0.0</v>
      </c>
      <c r="AF642" s="1">
        <v>456.0</v>
      </c>
      <c r="AG642" s="1">
        <v>18.0</v>
      </c>
      <c r="AH642" s="1">
        <v>164.0</v>
      </c>
      <c r="AI642" s="1">
        <v>185.0</v>
      </c>
      <c r="AJ642" s="1">
        <v>73.0</v>
      </c>
      <c r="AK642" s="1">
        <v>14.0</v>
      </c>
      <c r="AL642" s="1">
        <v>117.0</v>
      </c>
      <c r="AM642" s="1">
        <v>11.0</v>
      </c>
      <c r="AN642" s="1">
        <v>115.0</v>
      </c>
      <c r="AO642" s="1">
        <v>23.0</v>
      </c>
      <c r="AP642" s="1">
        <v>0.133655</v>
      </c>
      <c r="AQ642" s="1">
        <v>0.068925</v>
      </c>
      <c r="AR642" s="1">
        <v>0.10474</v>
      </c>
      <c r="AS642" s="1">
        <v>0.230572</v>
      </c>
      <c r="AT642" s="1">
        <v>27799.0</v>
      </c>
      <c r="AU642" s="1">
        <v>3275.0</v>
      </c>
      <c r="AV642" s="1">
        <v>0.086691</v>
      </c>
      <c r="AW642" s="1">
        <v>0.164805</v>
      </c>
      <c r="AX642" s="1">
        <v>0.085944</v>
      </c>
      <c r="AY642" s="1">
        <v>0.274791</v>
      </c>
      <c r="AZ642" s="1">
        <v>0.09477124</v>
      </c>
      <c r="BA642" s="1">
        <v>0.064098</v>
      </c>
      <c r="BB642" s="1">
        <v>0.0</v>
      </c>
      <c r="BC642" s="1">
        <v>0.153846</v>
      </c>
      <c r="BD642" s="1">
        <v>0.01495</v>
      </c>
      <c r="BE642" s="1">
        <v>0.136209</v>
      </c>
      <c r="BF642" s="1">
        <v>0.153654</v>
      </c>
      <c r="BG642" s="1">
        <v>0.059808</v>
      </c>
      <c r="BH642" s="1">
        <v>0.011774</v>
      </c>
      <c r="BI642" s="1">
        <v>0.098398</v>
      </c>
      <c r="BJ642" s="1">
        <v>0.009251</v>
      </c>
      <c r="BK642" s="1">
        <v>0.096717</v>
      </c>
      <c r="BL642" s="1">
        <v>0.006611</v>
      </c>
      <c r="BM642" s="1">
        <v>0.512</v>
      </c>
      <c r="BN642" s="1">
        <v>0.759</v>
      </c>
      <c r="BO642" s="1">
        <v>0.2585</v>
      </c>
      <c r="BP642" s="1">
        <v>0.279</v>
      </c>
      <c r="BQ642" s="1">
        <v>1.8085</v>
      </c>
      <c r="BR642" s="1">
        <v>0.4339</v>
      </c>
      <c r="BS642" s="1">
        <v>0.144</v>
      </c>
      <c r="BT642" s="1">
        <v>0.819</v>
      </c>
      <c r="BU642" s="1">
        <v>0.448</v>
      </c>
      <c r="BV642" s="1">
        <v>1.411</v>
      </c>
      <c r="BW642" s="1">
        <v>0.4</v>
      </c>
      <c r="BX642" s="1">
        <v>0.336</v>
      </c>
      <c r="BY642" s="1">
        <v>0.0</v>
      </c>
      <c r="BZ642" s="1">
        <v>0.336</v>
      </c>
      <c r="CA642" s="1">
        <v>0.144</v>
      </c>
      <c r="CB642" s="1">
        <v>0.425</v>
      </c>
      <c r="CC642" s="1">
        <v>0.824</v>
      </c>
      <c r="CD642" s="1">
        <v>0.521</v>
      </c>
      <c r="CE642" s="1">
        <v>0.079</v>
      </c>
      <c r="CF642" s="1">
        <v>0.535</v>
      </c>
      <c r="CG642" s="1">
        <v>2.384</v>
      </c>
      <c r="CH642" s="1">
        <v>0.507</v>
      </c>
      <c r="CI642" s="1">
        <v>5.9395</v>
      </c>
      <c r="CJ642" s="1">
        <v>0.3603</v>
      </c>
      <c r="CK642" s="1">
        <v>0.0</v>
      </c>
      <c r="CL642" s="1">
        <v>0.0</v>
      </c>
      <c r="CM642" s="1">
        <v>0.0</v>
      </c>
      <c r="CN642" s="1">
        <v>0.0</v>
      </c>
      <c r="CO642" s="1">
        <v>0.0</v>
      </c>
      <c r="CP642" s="1">
        <v>0.0</v>
      </c>
      <c r="CQ642" s="1">
        <v>0.0</v>
      </c>
      <c r="CR642" s="1">
        <v>0.0</v>
      </c>
      <c r="CS642" s="1">
        <v>0.0</v>
      </c>
      <c r="CT642" s="1">
        <v>0.0</v>
      </c>
      <c r="CU642" s="1">
        <v>0.0</v>
      </c>
      <c r="CV642" s="1">
        <v>0.0</v>
      </c>
      <c r="CW642" s="1">
        <v>0.0</v>
      </c>
      <c r="CX642" s="1">
        <v>0.0</v>
      </c>
      <c r="CY642" s="1">
        <v>0.0</v>
      </c>
      <c r="CZ642" s="1">
        <v>0.0</v>
      </c>
      <c r="DA642" s="1">
        <v>0.0</v>
      </c>
      <c r="DB642" s="1">
        <v>0.0</v>
      </c>
      <c r="DC642" s="1">
        <v>0.0</v>
      </c>
      <c r="DD642" s="1" t="s">
        <v>3048</v>
      </c>
      <c r="DE642" s="1">
        <v>0.00114385865294754</v>
      </c>
      <c r="DF642" s="2" t="s">
        <v>3049</v>
      </c>
    </row>
    <row r="643" ht="15.75" customHeight="1">
      <c r="A643" s="1" t="s">
        <v>3050</v>
      </c>
      <c r="B643" s="1">
        <v>29.0</v>
      </c>
      <c r="C643" s="2" t="s">
        <v>3018</v>
      </c>
      <c r="D643" s="1">
        <v>700210.0</v>
      </c>
      <c r="E643" s="1">
        <v>2.42</v>
      </c>
      <c r="F643" s="1">
        <v>29099.0</v>
      </c>
      <c r="G643" s="1">
        <v>2.909970021E10</v>
      </c>
      <c r="H643" s="1" t="s">
        <v>112</v>
      </c>
      <c r="I643" s="1" t="s">
        <v>113</v>
      </c>
      <c r="J643" s="1" t="s">
        <v>3019</v>
      </c>
      <c r="K643" s="1" t="s">
        <v>3051</v>
      </c>
      <c r="L643" s="1">
        <v>3923.0</v>
      </c>
      <c r="M643" s="1">
        <v>3860.0</v>
      </c>
      <c r="N643" s="1">
        <v>446.0</v>
      </c>
      <c r="O643" s="1">
        <v>1792.0</v>
      </c>
      <c r="P643" s="1">
        <v>1850.0</v>
      </c>
      <c r="Q643" s="1">
        <v>123.0</v>
      </c>
      <c r="R643" s="1">
        <v>1705.0</v>
      </c>
      <c r="S643" s="1">
        <v>403.0</v>
      </c>
      <c r="T643" s="1">
        <v>237.0</v>
      </c>
      <c r="U643" s="1">
        <v>229.0</v>
      </c>
      <c r="V643" s="1">
        <v>442.0</v>
      </c>
      <c r="W643" s="1">
        <v>25438.0</v>
      </c>
      <c r="X643" s="1">
        <v>2744.0</v>
      </c>
      <c r="Y643" s="1">
        <v>432.0</v>
      </c>
      <c r="Z643" s="1">
        <v>266.0</v>
      </c>
      <c r="AA643" s="1">
        <v>503.0</v>
      </c>
      <c r="AB643" s="1">
        <v>797.0</v>
      </c>
      <c r="AC643" s="1">
        <v>198.0</v>
      </c>
      <c r="AD643" s="1">
        <v>221.0</v>
      </c>
      <c r="AE643" s="1">
        <v>0.0</v>
      </c>
      <c r="AF643" s="1">
        <v>456.0</v>
      </c>
      <c r="AG643" s="1">
        <v>173.0</v>
      </c>
      <c r="AH643" s="1">
        <v>168.0</v>
      </c>
      <c r="AI643" s="1">
        <v>690.0</v>
      </c>
      <c r="AJ643" s="1">
        <v>120.0</v>
      </c>
      <c r="AK643" s="1">
        <v>0.0</v>
      </c>
      <c r="AL643" s="1">
        <v>161.0</v>
      </c>
      <c r="AM643" s="1">
        <v>119.0</v>
      </c>
      <c r="AN643" s="1">
        <v>66.0</v>
      </c>
      <c r="AO643" s="1">
        <v>0.0</v>
      </c>
      <c r="AP643" s="1">
        <v>0.104404</v>
      </c>
      <c r="AQ643" s="1">
        <v>0.060202</v>
      </c>
      <c r="AR643" s="1">
        <v>0.100306</v>
      </c>
      <c r="AS643" s="1">
        <v>0.193193</v>
      </c>
      <c r="AT643" s="1">
        <v>25438.0</v>
      </c>
      <c r="AU643" s="1">
        <v>2744.0</v>
      </c>
      <c r="AV643" s="1">
        <v>0.156408</v>
      </c>
      <c r="AW643" s="1">
        <v>0.095157</v>
      </c>
      <c r="AX643" s="1">
        <v>0.128218</v>
      </c>
      <c r="AY643" s="1">
        <v>0.20316</v>
      </c>
      <c r="AZ643" s="1">
        <v>0.11612903</v>
      </c>
      <c r="BA643" s="1">
        <v>0.056334</v>
      </c>
      <c r="BB643" s="1">
        <v>0.0</v>
      </c>
      <c r="BC643" s="1">
        <v>0.123812</v>
      </c>
      <c r="BD643" s="1">
        <v>0.093513</v>
      </c>
      <c r="BE643" s="1">
        <v>0.090597</v>
      </c>
      <c r="BF643" s="1">
        <v>0.372972</v>
      </c>
      <c r="BG643" s="1">
        <v>0.059937</v>
      </c>
      <c r="BH643" s="1">
        <v>0.0</v>
      </c>
      <c r="BI643" s="1">
        <v>0.092581</v>
      </c>
      <c r="BJ643" s="1">
        <v>0.06843</v>
      </c>
      <c r="BK643" s="1">
        <v>0.037453</v>
      </c>
      <c r="BL643" s="1">
        <v>0.0</v>
      </c>
      <c r="BM643" s="1">
        <v>0.388</v>
      </c>
      <c r="BN643" s="1">
        <v>0.733</v>
      </c>
      <c r="BO643" s="1">
        <v>0.3285</v>
      </c>
      <c r="BP643" s="1">
        <v>0.593</v>
      </c>
      <c r="BQ643" s="1">
        <v>2.0425</v>
      </c>
      <c r="BR643" s="1">
        <v>0.5141</v>
      </c>
      <c r="BS643" s="1">
        <v>0.402</v>
      </c>
      <c r="BT643" s="1">
        <v>0.202</v>
      </c>
      <c r="BU643" s="1">
        <v>0.643</v>
      </c>
      <c r="BV643" s="1">
        <v>1.247</v>
      </c>
      <c r="BW643" s="1">
        <v>0.264</v>
      </c>
      <c r="BX643" s="1">
        <v>0.294</v>
      </c>
      <c r="BY643" s="1">
        <v>0.0</v>
      </c>
      <c r="BZ643" s="1">
        <v>0.294</v>
      </c>
      <c r="CA643" s="1">
        <v>0.126</v>
      </c>
      <c r="CB643" s="1">
        <v>0.756</v>
      </c>
      <c r="CC643" s="1">
        <v>0.991</v>
      </c>
      <c r="CD643" s="1">
        <v>0.0</v>
      </c>
      <c r="CE643" s="1">
        <v>0.617</v>
      </c>
      <c r="CF643" s="1">
        <v>0.0</v>
      </c>
      <c r="CG643" s="1">
        <v>2.364</v>
      </c>
      <c r="CH643" s="1">
        <v>0.491</v>
      </c>
      <c r="CI643" s="1">
        <v>5.9475</v>
      </c>
      <c r="CJ643" s="1">
        <v>0.3632</v>
      </c>
      <c r="CK643" s="1">
        <v>0.0</v>
      </c>
      <c r="CL643" s="1">
        <v>0.0</v>
      </c>
      <c r="CM643" s="1">
        <v>0.0</v>
      </c>
      <c r="CN643" s="1">
        <v>0.0</v>
      </c>
      <c r="CO643" s="1">
        <v>0.0</v>
      </c>
      <c r="CP643" s="1">
        <v>0.0</v>
      </c>
      <c r="CQ643" s="1">
        <v>0.0</v>
      </c>
      <c r="CR643" s="1">
        <v>0.0</v>
      </c>
      <c r="CS643" s="1">
        <v>0.0</v>
      </c>
      <c r="CT643" s="1">
        <v>0.0</v>
      </c>
      <c r="CU643" s="1">
        <v>0.0</v>
      </c>
      <c r="CV643" s="1">
        <v>0.0</v>
      </c>
      <c r="CW643" s="1">
        <v>0.0</v>
      </c>
      <c r="CX643" s="1">
        <v>1.0</v>
      </c>
      <c r="CY643" s="1">
        <v>0.0</v>
      </c>
      <c r="CZ643" s="1">
        <v>0.0</v>
      </c>
      <c r="DA643" s="1">
        <v>0.0</v>
      </c>
      <c r="DB643" s="1">
        <v>1.0</v>
      </c>
      <c r="DC643" s="1">
        <v>1.0</v>
      </c>
      <c r="DD643" s="1" t="s">
        <v>3052</v>
      </c>
      <c r="DE643" s="1">
        <v>6.62167166757837E-4</v>
      </c>
      <c r="DF643" s="2" t="s">
        <v>3053</v>
      </c>
    </row>
    <row r="644" ht="15.75" customHeight="1">
      <c r="A644" s="1" t="s">
        <v>3054</v>
      </c>
      <c r="B644" s="1">
        <v>29.0</v>
      </c>
      <c r="C644" s="2" t="s">
        <v>3018</v>
      </c>
      <c r="D644" s="1">
        <v>700211.0</v>
      </c>
      <c r="E644" s="1">
        <v>7.039</v>
      </c>
      <c r="F644" s="1">
        <v>29099.0</v>
      </c>
      <c r="G644" s="1">
        <v>2.9099700211E10</v>
      </c>
      <c r="H644" s="1" t="s">
        <v>112</v>
      </c>
      <c r="I644" s="1" t="s">
        <v>113</v>
      </c>
      <c r="J644" s="1" t="s">
        <v>3019</v>
      </c>
      <c r="K644" s="1" t="s">
        <v>3055</v>
      </c>
      <c r="L644" s="1">
        <v>5259.0</v>
      </c>
      <c r="M644" s="1">
        <v>5263.0</v>
      </c>
      <c r="N644" s="1">
        <v>547.0</v>
      </c>
      <c r="O644" s="1">
        <v>2087.0</v>
      </c>
      <c r="P644" s="1">
        <v>2083.0</v>
      </c>
      <c r="Q644" s="1">
        <v>86.0</v>
      </c>
      <c r="R644" s="1">
        <v>1969.0</v>
      </c>
      <c r="S644" s="1">
        <v>517.0</v>
      </c>
      <c r="T644" s="1">
        <v>278.0</v>
      </c>
      <c r="U644" s="1">
        <v>271.0</v>
      </c>
      <c r="V644" s="1">
        <v>376.0</v>
      </c>
      <c r="W644" s="1">
        <v>26051.0</v>
      </c>
      <c r="X644" s="1">
        <v>2250.0</v>
      </c>
      <c r="Y644" s="1">
        <v>349.0</v>
      </c>
      <c r="Z644" s="1">
        <v>284.0</v>
      </c>
      <c r="AA644" s="1">
        <v>483.0</v>
      </c>
      <c r="AB644" s="1">
        <v>1324.0</v>
      </c>
      <c r="AC644" s="1">
        <v>241.0</v>
      </c>
      <c r="AD644" s="1">
        <v>283.0</v>
      </c>
      <c r="AE644" s="1">
        <v>15.0</v>
      </c>
      <c r="AF644" s="1">
        <v>442.0</v>
      </c>
      <c r="AG644" s="1">
        <v>162.0</v>
      </c>
      <c r="AH644" s="1">
        <v>96.0</v>
      </c>
      <c r="AI644" s="1">
        <v>223.0</v>
      </c>
      <c r="AJ644" s="1">
        <v>113.0</v>
      </c>
      <c r="AK644" s="1">
        <v>12.0</v>
      </c>
      <c r="AL644" s="1">
        <v>116.0</v>
      </c>
      <c r="AM644" s="1">
        <v>38.0</v>
      </c>
      <c r="AN644" s="1">
        <v>35.0</v>
      </c>
      <c r="AO644" s="1">
        <v>28.0</v>
      </c>
      <c r="AP644" s="1">
        <v>0.098777</v>
      </c>
      <c r="AQ644" s="1">
        <v>0.052116</v>
      </c>
      <c r="AR644" s="1">
        <v>0.088707</v>
      </c>
      <c r="AS644" s="1">
        <v>0.122684</v>
      </c>
      <c r="AT644" s="1">
        <v>26051.0</v>
      </c>
      <c r="AU644" s="1">
        <v>2250.0</v>
      </c>
      <c r="AV644" s="1">
        <v>0.102798</v>
      </c>
      <c r="AW644" s="1">
        <v>0.082931</v>
      </c>
      <c r="AX644" s="1">
        <v>0.091842</v>
      </c>
      <c r="AY644" s="1">
        <v>0.251758</v>
      </c>
      <c r="AZ644" s="1">
        <v>0.12239715</v>
      </c>
      <c r="BA644" s="1">
        <v>0.053812</v>
      </c>
      <c r="BB644" s="1">
        <v>0.003001</v>
      </c>
      <c r="BC644" s="1">
        <v>0.088452</v>
      </c>
      <c r="BD644" s="1">
        <v>0.077772</v>
      </c>
      <c r="BE644" s="1">
        <v>0.045975</v>
      </c>
      <c r="BF644" s="1">
        <v>0.107057</v>
      </c>
      <c r="BG644" s="1">
        <v>0.054068</v>
      </c>
      <c r="BH644" s="1">
        <v>0.006575</v>
      </c>
      <c r="BI644" s="1">
        <v>0.063559</v>
      </c>
      <c r="BJ644" s="1">
        <v>0.020821</v>
      </c>
      <c r="BK644" s="1">
        <v>0.019115</v>
      </c>
      <c r="BL644" s="1">
        <v>0.005324</v>
      </c>
      <c r="BM644" s="1">
        <v>0.366</v>
      </c>
      <c r="BN644" s="1">
        <v>0.673</v>
      </c>
      <c r="BO644" s="1">
        <v>0.3097</v>
      </c>
      <c r="BP644" s="1">
        <v>0.348</v>
      </c>
      <c r="BQ644" s="1">
        <v>1.6967</v>
      </c>
      <c r="BR644" s="1">
        <v>0.4007</v>
      </c>
      <c r="BS644" s="1">
        <v>0.169</v>
      </c>
      <c r="BT644" s="1">
        <v>0.622</v>
      </c>
      <c r="BU644" s="1">
        <v>0.682</v>
      </c>
      <c r="BV644" s="1">
        <v>1.473</v>
      </c>
      <c r="BW644" s="1">
        <v>0.458</v>
      </c>
      <c r="BX644" s="1">
        <v>0.277</v>
      </c>
      <c r="BY644" s="1">
        <v>0.45</v>
      </c>
      <c r="BZ644" s="1">
        <v>0.727</v>
      </c>
      <c r="CA644" s="1">
        <v>0.351</v>
      </c>
      <c r="CB644" s="1">
        <v>0.728</v>
      </c>
      <c r="CC644" s="1">
        <v>0.732</v>
      </c>
      <c r="CD644" s="1">
        <v>0.376</v>
      </c>
      <c r="CE644" s="1">
        <v>0.191</v>
      </c>
      <c r="CF644" s="1">
        <v>0.517</v>
      </c>
      <c r="CG644" s="1">
        <v>2.544</v>
      </c>
      <c r="CH644" s="1">
        <v>0.578</v>
      </c>
      <c r="CI644" s="1">
        <v>6.4407</v>
      </c>
      <c r="CJ644" s="1">
        <v>0.4498</v>
      </c>
      <c r="CK644" s="1">
        <v>0.0</v>
      </c>
      <c r="CL644" s="1">
        <v>0.0</v>
      </c>
      <c r="CM644" s="1">
        <v>0.0</v>
      </c>
      <c r="CN644" s="1">
        <v>0.0</v>
      </c>
      <c r="CO644" s="1">
        <v>0.0</v>
      </c>
      <c r="CP644" s="1">
        <v>0.0</v>
      </c>
      <c r="CQ644" s="1">
        <v>0.0</v>
      </c>
      <c r="CR644" s="1">
        <v>0.0</v>
      </c>
      <c r="CS644" s="1">
        <v>0.0</v>
      </c>
      <c r="CT644" s="1">
        <v>0.0</v>
      </c>
      <c r="CU644" s="1">
        <v>0.0</v>
      </c>
      <c r="CV644" s="1">
        <v>0.0</v>
      </c>
      <c r="CW644" s="1">
        <v>0.0</v>
      </c>
      <c r="CX644" s="1">
        <v>0.0</v>
      </c>
      <c r="CY644" s="1">
        <v>0.0</v>
      </c>
      <c r="CZ644" s="1">
        <v>0.0</v>
      </c>
      <c r="DA644" s="1">
        <v>0.0</v>
      </c>
      <c r="DB644" s="1">
        <v>0.0</v>
      </c>
      <c r="DC644" s="1">
        <v>0.0</v>
      </c>
      <c r="DD644" s="1" t="s">
        <v>3056</v>
      </c>
      <c r="DE644" s="1">
        <v>0.00188109849496052</v>
      </c>
      <c r="DF644" s="2" t="s">
        <v>3057</v>
      </c>
    </row>
    <row r="645" ht="15.75" customHeight="1">
      <c r="A645" s="1" t="s">
        <v>3058</v>
      </c>
      <c r="B645" s="1">
        <v>29.0</v>
      </c>
      <c r="C645" s="2" t="s">
        <v>3018</v>
      </c>
      <c r="D645" s="1">
        <v>700107.0</v>
      </c>
      <c r="E645" s="1">
        <v>10.482</v>
      </c>
      <c r="F645" s="1">
        <v>29099.0</v>
      </c>
      <c r="G645" s="1">
        <v>2.9099700107E10</v>
      </c>
      <c r="H645" s="1" t="s">
        <v>112</v>
      </c>
      <c r="I645" s="1" t="s">
        <v>113</v>
      </c>
      <c r="J645" s="1" t="s">
        <v>3019</v>
      </c>
      <c r="K645" s="1" t="s">
        <v>3059</v>
      </c>
      <c r="L645" s="1">
        <v>2836.0</v>
      </c>
      <c r="M645" s="1">
        <v>2801.0</v>
      </c>
      <c r="N645" s="1">
        <v>175.0</v>
      </c>
      <c r="O645" s="1">
        <v>1147.0</v>
      </c>
      <c r="P645" s="1">
        <v>1139.0</v>
      </c>
      <c r="Q645" s="1">
        <v>89.0</v>
      </c>
      <c r="R645" s="1">
        <v>1081.0</v>
      </c>
      <c r="S645" s="1">
        <v>94.0</v>
      </c>
      <c r="T645" s="1">
        <v>60.0</v>
      </c>
      <c r="U645" s="1">
        <v>128.0</v>
      </c>
      <c r="V645" s="1">
        <v>462.0</v>
      </c>
      <c r="W645" s="1">
        <v>25054.0</v>
      </c>
      <c r="X645" s="1">
        <v>2747.0</v>
      </c>
      <c r="Y645" s="1">
        <v>288.0</v>
      </c>
      <c r="Z645" s="1">
        <v>314.0</v>
      </c>
      <c r="AA645" s="1">
        <v>318.0</v>
      </c>
      <c r="AB645" s="1">
        <v>680.0</v>
      </c>
      <c r="AC645" s="1">
        <v>121.0</v>
      </c>
      <c r="AD645" s="1">
        <v>94.0</v>
      </c>
      <c r="AE645" s="1">
        <v>0.0</v>
      </c>
      <c r="AF645" s="1">
        <v>456.0</v>
      </c>
      <c r="AG645" s="1">
        <v>52.0</v>
      </c>
      <c r="AH645" s="1">
        <v>119.0</v>
      </c>
      <c r="AI645" s="1">
        <v>83.0</v>
      </c>
      <c r="AJ645" s="1">
        <v>62.0</v>
      </c>
      <c r="AK645" s="1">
        <v>0.0</v>
      </c>
      <c r="AL645" s="1">
        <v>161.0</v>
      </c>
      <c r="AM645" s="1">
        <v>20.0</v>
      </c>
      <c r="AN645" s="1">
        <v>23.0</v>
      </c>
      <c r="AO645" s="1">
        <v>0.0</v>
      </c>
      <c r="AP645" s="1">
        <v>0.033559</v>
      </c>
      <c r="AQ645" s="1">
        <v>0.021318</v>
      </c>
      <c r="AR645" s="1">
        <v>0.086195</v>
      </c>
      <c r="AS645" s="1">
        <v>0.310686</v>
      </c>
      <c r="AT645" s="1">
        <v>25054.0</v>
      </c>
      <c r="AU645" s="1">
        <v>2747.0</v>
      </c>
      <c r="AV645" s="1">
        <v>0.1493</v>
      </c>
      <c r="AW645" s="1">
        <v>0.162447</v>
      </c>
      <c r="AX645" s="1">
        <v>0.112129</v>
      </c>
      <c r="AY645" s="1">
        <v>0.239774</v>
      </c>
      <c r="AZ645" s="1">
        <v>0.11193339</v>
      </c>
      <c r="BA645" s="1">
        <v>0.033145</v>
      </c>
      <c r="BB645" s="1">
        <v>0.0</v>
      </c>
      <c r="BC645" s="1">
        <v>0.175587</v>
      </c>
      <c r="BD645" s="1">
        <v>0.045654</v>
      </c>
      <c r="BE645" s="1">
        <v>0.104416</v>
      </c>
      <c r="BF645" s="1">
        <v>0.07287</v>
      </c>
      <c r="BG645" s="1">
        <v>0.054135</v>
      </c>
      <c r="BH645" s="1">
        <v>0.0</v>
      </c>
      <c r="BI645" s="1">
        <v>0.145569</v>
      </c>
      <c r="BJ645" s="1">
        <v>0.018083</v>
      </c>
      <c r="BK645" s="1">
        <v>0.020741</v>
      </c>
      <c r="BL645" s="1">
        <v>0.0</v>
      </c>
      <c r="BM645" s="1">
        <v>0.1</v>
      </c>
      <c r="BN645" s="1">
        <v>0.656</v>
      </c>
      <c r="BO645" s="1">
        <v>0.3458</v>
      </c>
      <c r="BP645" s="1">
        <v>0.564</v>
      </c>
      <c r="BQ645" s="1">
        <v>1.6658</v>
      </c>
      <c r="BR645" s="1">
        <v>0.3921</v>
      </c>
      <c r="BS645" s="1">
        <v>0.288</v>
      </c>
      <c r="BT645" s="1">
        <v>0.496</v>
      </c>
      <c r="BU645" s="1">
        <v>0.602</v>
      </c>
      <c r="BV645" s="1">
        <v>1.386</v>
      </c>
      <c r="BW645" s="1">
        <v>0.377</v>
      </c>
      <c r="BX645" s="1">
        <v>0.104</v>
      </c>
      <c r="BY645" s="1">
        <v>0.0</v>
      </c>
      <c r="BZ645" s="1">
        <v>0.104</v>
      </c>
      <c r="CA645" s="1">
        <v>0.05</v>
      </c>
      <c r="CB645" s="1">
        <v>0.636</v>
      </c>
      <c r="CC645" s="1">
        <v>0.658</v>
      </c>
      <c r="CD645" s="1">
        <v>0.0</v>
      </c>
      <c r="CE645" s="1">
        <v>0.164</v>
      </c>
      <c r="CF645" s="1">
        <v>0.0</v>
      </c>
      <c r="CG645" s="1">
        <v>1.458</v>
      </c>
      <c r="CH645" s="1">
        <v>0.161</v>
      </c>
      <c r="CI645" s="1">
        <v>4.6138</v>
      </c>
      <c r="CJ645" s="1">
        <v>0.1444</v>
      </c>
      <c r="CK645" s="1">
        <v>0.0</v>
      </c>
      <c r="CL645" s="1">
        <v>0.0</v>
      </c>
      <c r="CM645" s="1">
        <v>0.0</v>
      </c>
      <c r="CN645" s="1">
        <v>0.0</v>
      </c>
      <c r="CO645" s="1">
        <v>0.0</v>
      </c>
      <c r="CP645" s="1">
        <v>0.0</v>
      </c>
      <c r="CQ645" s="1">
        <v>0.0</v>
      </c>
      <c r="CR645" s="1">
        <v>0.0</v>
      </c>
      <c r="CS645" s="1">
        <v>0.0</v>
      </c>
      <c r="CT645" s="1">
        <v>0.0</v>
      </c>
      <c r="CU645" s="1">
        <v>0.0</v>
      </c>
      <c r="CV645" s="1">
        <v>0.0</v>
      </c>
      <c r="CW645" s="1">
        <v>0.0</v>
      </c>
      <c r="CX645" s="1">
        <v>0.0</v>
      </c>
      <c r="CY645" s="1">
        <v>0.0</v>
      </c>
      <c r="CZ645" s="1">
        <v>0.0</v>
      </c>
      <c r="DA645" s="1">
        <v>0.0</v>
      </c>
      <c r="DB645" s="1">
        <v>0.0</v>
      </c>
      <c r="DC645" s="1">
        <v>0.0</v>
      </c>
      <c r="DD645" s="1" t="s">
        <v>3060</v>
      </c>
      <c r="DE645" s="1">
        <v>0.00280633540318951</v>
      </c>
      <c r="DF645" s="1">
        <v>0.244392052232458</v>
      </c>
    </row>
    <row r="646" ht="15.75" customHeight="1">
      <c r="A646" s="1" t="s">
        <v>3061</v>
      </c>
      <c r="B646" s="1">
        <v>29.0</v>
      </c>
      <c r="C646" s="2" t="s">
        <v>3018</v>
      </c>
      <c r="D646" s="1">
        <v>700118.0</v>
      </c>
      <c r="E646" s="1">
        <v>3.074</v>
      </c>
      <c r="F646" s="1">
        <v>29099.0</v>
      </c>
      <c r="G646" s="1">
        <v>2.9099700118E10</v>
      </c>
      <c r="H646" s="1" t="s">
        <v>112</v>
      </c>
      <c r="I646" s="1" t="s">
        <v>113</v>
      </c>
      <c r="J646" s="1" t="s">
        <v>3019</v>
      </c>
      <c r="K646" s="1" t="s">
        <v>3062</v>
      </c>
      <c r="L646" s="1">
        <v>6246.0</v>
      </c>
      <c r="M646" s="1">
        <v>6472.0</v>
      </c>
      <c r="N646" s="1">
        <v>384.0</v>
      </c>
      <c r="O646" s="1">
        <v>2652.0</v>
      </c>
      <c r="P646" s="1">
        <v>2847.0</v>
      </c>
      <c r="Q646" s="1">
        <v>140.0</v>
      </c>
      <c r="R646" s="1">
        <v>2487.0</v>
      </c>
      <c r="S646" s="1">
        <v>270.0</v>
      </c>
      <c r="T646" s="1">
        <v>197.0</v>
      </c>
      <c r="U646" s="1">
        <v>97.0</v>
      </c>
      <c r="V646" s="1">
        <v>460.0</v>
      </c>
      <c r="W646" s="1">
        <v>28007.0</v>
      </c>
      <c r="X646" s="1">
        <v>2009.0</v>
      </c>
      <c r="Y646" s="1">
        <v>578.0</v>
      </c>
      <c r="Z646" s="1">
        <v>289.0</v>
      </c>
      <c r="AA646" s="1">
        <v>1007.0</v>
      </c>
      <c r="AB646" s="1">
        <v>1342.0</v>
      </c>
      <c r="AC646" s="1">
        <v>283.0</v>
      </c>
      <c r="AD646" s="1">
        <v>310.0</v>
      </c>
      <c r="AE646" s="1">
        <v>22.0</v>
      </c>
      <c r="AF646" s="1">
        <v>443.0</v>
      </c>
      <c r="AG646" s="1">
        <v>138.0</v>
      </c>
      <c r="AH646" s="1">
        <v>100.0</v>
      </c>
      <c r="AI646" s="1">
        <v>291.0</v>
      </c>
      <c r="AJ646" s="1">
        <v>110.0</v>
      </c>
      <c r="AK646" s="1">
        <v>0.0</v>
      </c>
      <c r="AL646" s="1">
        <v>161.0</v>
      </c>
      <c r="AM646" s="1">
        <v>194.0</v>
      </c>
      <c r="AN646" s="1">
        <v>106.0</v>
      </c>
      <c r="AO646" s="1">
        <v>145.0</v>
      </c>
      <c r="AP646" s="1">
        <v>0.042286</v>
      </c>
      <c r="AQ646" s="1">
        <v>0.030737</v>
      </c>
      <c r="AR646" s="1">
        <v>0.027019</v>
      </c>
      <c r="AS646" s="1">
        <v>0.1281</v>
      </c>
      <c r="AT646" s="1">
        <v>28007.0</v>
      </c>
      <c r="AU646" s="1">
        <v>2009.0</v>
      </c>
      <c r="AV646" s="1">
        <v>0.126671</v>
      </c>
      <c r="AW646" s="1">
        <v>0.062796</v>
      </c>
      <c r="AX646" s="1">
        <v>0.161223</v>
      </c>
      <c r="AY646" s="1">
        <v>0.214857</v>
      </c>
      <c r="AZ646" s="1">
        <v>0.11379171</v>
      </c>
      <c r="BA646" s="1">
        <v>0.049631</v>
      </c>
      <c r="BB646" s="1">
        <v>0.003627</v>
      </c>
      <c r="BC646" s="1">
        <v>0.073053</v>
      </c>
      <c r="BD646" s="1">
        <v>0.048472</v>
      </c>
      <c r="BE646" s="1">
        <v>0.035043</v>
      </c>
      <c r="BF646" s="1">
        <v>0.102212</v>
      </c>
      <c r="BG646" s="1">
        <v>0.038308</v>
      </c>
      <c r="BH646" s="1">
        <v>0.0</v>
      </c>
      <c r="BI646" s="1">
        <v>0.062694</v>
      </c>
      <c r="BJ646" s="1">
        <v>0.075545</v>
      </c>
      <c r="BK646" s="1">
        <v>0.040905</v>
      </c>
      <c r="BL646" s="1">
        <v>0.023214</v>
      </c>
      <c r="BM646" s="1">
        <v>0.133</v>
      </c>
      <c r="BN646" s="1">
        <v>0.064</v>
      </c>
      <c r="BO646" s="1">
        <v>0.2484</v>
      </c>
      <c r="BP646" s="1">
        <v>0.456</v>
      </c>
      <c r="BQ646" s="1">
        <v>0.9014</v>
      </c>
      <c r="BR646" s="1">
        <v>0.1798</v>
      </c>
      <c r="BS646" s="1">
        <v>0.676</v>
      </c>
      <c r="BT646" s="1">
        <v>0.265</v>
      </c>
      <c r="BU646" s="1">
        <v>0.617</v>
      </c>
      <c r="BV646" s="1">
        <v>1.558</v>
      </c>
      <c r="BW646" s="1">
        <v>0.53</v>
      </c>
      <c r="BX646" s="1">
        <v>0.243</v>
      </c>
      <c r="BY646" s="1">
        <v>0.493</v>
      </c>
      <c r="BZ646" s="1">
        <v>0.736</v>
      </c>
      <c r="CA646" s="1">
        <v>0.356</v>
      </c>
      <c r="CB646" s="1">
        <v>0.652</v>
      </c>
      <c r="CC646" s="1">
        <v>0.721</v>
      </c>
      <c r="CD646" s="1">
        <v>0.0</v>
      </c>
      <c r="CE646" s="1">
        <v>0.651</v>
      </c>
      <c r="CF646" s="1">
        <v>0.749</v>
      </c>
      <c r="CG646" s="1">
        <v>2.773</v>
      </c>
      <c r="CH646" s="1">
        <v>0.676</v>
      </c>
      <c r="CI646" s="1">
        <v>5.9684</v>
      </c>
      <c r="CJ646" s="1">
        <v>0.3675</v>
      </c>
      <c r="CK646" s="1">
        <v>0.0</v>
      </c>
      <c r="CL646" s="1">
        <v>0.0</v>
      </c>
      <c r="CM646" s="1">
        <v>0.0</v>
      </c>
      <c r="CN646" s="1">
        <v>0.0</v>
      </c>
      <c r="CO646" s="1">
        <v>0.0</v>
      </c>
      <c r="CP646" s="1">
        <v>0.0</v>
      </c>
      <c r="CQ646" s="1">
        <v>0.0</v>
      </c>
      <c r="CR646" s="1">
        <v>0.0</v>
      </c>
      <c r="CS646" s="1">
        <v>0.0</v>
      </c>
      <c r="CT646" s="1">
        <v>0.0</v>
      </c>
      <c r="CU646" s="1">
        <v>0.0</v>
      </c>
      <c r="CV646" s="1">
        <v>0.0</v>
      </c>
      <c r="CW646" s="1">
        <v>0.0</v>
      </c>
      <c r="CX646" s="1">
        <v>0.0</v>
      </c>
      <c r="CY646" s="1">
        <v>0.0</v>
      </c>
      <c r="CZ646" s="1">
        <v>0.0</v>
      </c>
      <c r="DA646" s="1">
        <v>0.0</v>
      </c>
      <c r="DB646" s="1">
        <v>0.0</v>
      </c>
      <c r="DC646" s="1">
        <v>0.0</v>
      </c>
      <c r="DD646" s="1" t="s">
        <v>3063</v>
      </c>
      <c r="DE646" s="1">
        <v>8.41946402393152E-4</v>
      </c>
      <c r="DF646" s="2" t="s">
        <v>3064</v>
      </c>
    </row>
    <row r="647" ht="15.75" customHeight="1">
      <c r="A647" s="1" t="s">
        <v>3065</v>
      </c>
      <c r="B647" s="1">
        <v>29.0</v>
      </c>
      <c r="C647" s="2" t="s">
        <v>3018</v>
      </c>
      <c r="D647" s="1">
        <v>700119.0</v>
      </c>
      <c r="E647" s="1">
        <v>2.419</v>
      </c>
      <c r="F647" s="1">
        <v>29099.0</v>
      </c>
      <c r="G647" s="1">
        <v>2.9099700119E10</v>
      </c>
      <c r="H647" s="1" t="s">
        <v>112</v>
      </c>
      <c r="I647" s="1" t="s">
        <v>113</v>
      </c>
      <c r="J647" s="1" t="s">
        <v>3019</v>
      </c>
      <c r="K647" s="1" t="s">
        <v>3066</v>
      </c>
      <c r="L647" s="1">
        <v>2145.0</v>
      </c>
      <c r="M647" s="1">
        <v>2210.0</v>
      </c>
      <c r="N647" s="1">
        <v>128.0</v>
      </c>
      <c r="O647" s="1">
        <v>859.0</v>
      </c>
      <c r="P647" s="1">
        <v>847.0</v>
      </c>
      <c r="Q647" s="1">
        <v>57.0</v>
      </c>
      <c r="R647" s="1">
        <v>813.0</v>
      </c>
      <c r="S647" s="1">
        <v>179.0</v>
      </c>
      <c r="T647" s="1">
        <v>160.0</v>
      </c>
      <c r="U647" s="1">
        <v>43.0</v>
      </c>
      <c r="V647" s="1">
        <v>472.0</v>
      </c>
      <c r="W647" s="1">
        <v>23715.0</v>
      </c>
      <c r="X647" s="1">
        <v>2166.0</v>
      </c>
      <c r="Y647" s="1">
        <v>205.0</v>
      </c>
      <c r="Z647" s="1">
        <v>333.0</v>
      </c>
      <c r="AA647" s="1">
        <v>276.0</v>
      </c>
      <c r="AB647" s="1">
        <v>502.0</v>
      </c>
      <c r="AC647" s="1">
        <v>76.0</v>
      </c>
      <c r="AD647" s="1">
        <v>92.0</v>
      </c>
      <c r="AE647" s="1">
        <v>0.0</v>
      </c>
      <c r="AF647" s="1">
        <v>456.0</v>
      </c>
      <c r="AG647" s="1">
        <v>0.0</v>
      </c>
      <c r="AH647" s="1">
        <v>197.0</v>
      </c>
      <c r="AI647" s="1">
        <v>75.0</v>
      </c>
      <c r="AJ647" s="1">
        <v>44.0</v>
      </c>
      <c r="AK647" s="1">
        <v>0.0</v>
      </c>
      <c r="AL647" s="1">
        <v>161.0</v>
      </c>
      <c r="AM647" s="1">
        <v>22.0</v>
      </c>
      <c r="AN647" s="1">
        <v>119.0</v>
      </c>
      <c r="AO647" s="1">
        <v>0.0</v>
      </c>
      <c r="AP647" s="1">
        <v>0.083723</v>
      </c>
      <c r="AQ647" s="1">
        <v>0.074611</v>
      </c>
      <c r="AR647" s="1">
        <v>0.035953</v>
      </c>
      <c r="AS647" s="1">
        <v>0.39456</v>
      </c>
      <c r="AT647" s="1">
        <v>23715.0</v>
      </c>
      <c r="AU647" s="1">
        <v>2166.0</v>
      </c>
      <c r="AV647" s="1">
        <v>0.140796</v>
      </c>
      <c r="AW647" s="1">
        <v>0.228414</v>
      </c>
      <c r="AX647" s="1">
        <v>0.128671</v>
      </c>
      <c r="AY647" s="1">
        <v>0.234032</v>
      </c>
      <c r="AZ647" s="1">
        <v>0.09348093</v>
      </c>
      <c r="BA647" s="1">
        <v>0.04289</v>
      </c>
      <c r="BB647" s="1">
        <v>0.0</v>
      </c>
      <c r="BC647" s="1">
        <v>0.212587</v>
      </c>
      <c r="BD647" s="1">
        <v>0.0</v>
      </c>
      <c r="BE647" s="1">
        <v>0.232585</v>
      </c>
      <c r="BF647" s="1">
        <v>0.088547</v>
      </c>
      <c r="BG647" s="1">
        <v>0.051605</v>
      </c>
      <c r="BH647" s="1">
        <v>0.0</v>
      </c>
      <c r="BI647" s="1">
        <v>0.190082</v>
      </c>
      <c r="BJ647" s="1">
        <v>0.025974</v>
      </c>
      <c r="BK647" s="1">
        <v>0.140484</v>
      </c>
      <c r="BL647" s="1">
        <v>0.0</v>
      </c>
      <c r="BM647" s="1">
        <v>0.309</v>
      </c>
      <c r="BN647" s="1">
        <v>0.146</v>
      </c>
      <c r="BO647" s="1">
        <v>0.4101</v>
      </c>
      <c r="BP647" s="1">
        <v>0.525</v>
      </c>
      <c r="BQ647" s="1">
        <v>1.3901</v>
      </c>
      <c r="BR647" s="1">
        <v>0.3069</v>
      </c>
      <c r="BS647" s="1">
        <v>0.407</v>
      </c>
      <c r="BT647" s="1">
        <v>0.43</v>
      </c>
      <c r="BU647" s="1">
        <v>0.435</v>
      </c>
      <c r="BV647" s="1">
        <v>1.272</v>
      </c>
      <c r="BW647" s="1">
        <v>0.283</v>
      </c>
      <c r="BX647" s="1">
        <v>0.195</v>
      </c>
      <c r="BY647" s="1">
        <v>0.0</v>
      </c>
      <c r="BZ647" s="1">
        <v>0.195</v>
      </c>
      <c r="CA647" s="1">
        <v>0.089</v>
      </c>
      <c r="CB647" s="1">
        <v>0.0</v>
      </c>
      <c r="CC647" s="1">
        <v>0.699</v>
      </c>
      <c r="CD647" s="1">
        <v>0.0</v>
      </c>
      <c r="CE647" s="1">
        <v>0.25</v>
      </c>
      <c r="CF647" s="1">
        <v>0.0</v>
      </c>
      <c r="CG647" s="1">
        <v>0.949</v>
      </c>
      <c r="CH647" s="1">
        <v>0.073</v>
      </c>
      <c r="CI647" s="1">
        <v>3.8061</v>
      </c>
      <c r="CJ647" s="1">
        <v>0.0679</v>
      </c>
      <c r="CK647" s="1">
        <v>0.0</v>
      </c>
      <c r="CL647" s="1">
        <v>0.0</v>
      </c>
      <c r="CM647" s="1">
        <v>0.0</v>
      </c>
      <c r="CN647" s="1">
        <v>0.0</v>
      </c>
      <c r="CO647" s="1">
        <v>0.0</v>
      </c>
      <c r="CP647" s="1">
        <v>0.0</v>
      </c>
      <c r="CQ647" s="1">
        <v>0.0</v>
      </c>
      <c r="CR647" s="1">
        <v>0.0</v>
      </c>
      <c r="CS647" s="1">
        <v>0.0</v>
      </c>
      <c r="CT647" s="1">
        <v>0.0</v>
      </c>
      <c r="CU647" s="1">
        <v>0.0</v>
      </c>
      <c r="CV647" s="1">
        <v>0.0</v>
      </c>
      <c r="CW647" s="1">
        <v>0.0</v>
      </c>
      <c r="CX647" s="1">
        <v>0.0</v>
      </c>
      <c r="CY647" s="1">
        <v>0.0</v>
      </c>
      <c r="CZ647" s="1">
        <v>0.0</v>
      </c>
      <c r="DA647" s="1">
        <v>0.0</v>
      </c>
      <c r="DB647" s="1">
        <v>0.0</v>
      </c>
      <c r="DC647" s="1">
        <v>0.0</v>
      </c>
      <c r="DD647" s="1" t="s">
        <v>3067</v>
      </c>
      <c r="DE647" s="1">
        <v>6.54082232274968E-4</v>
      </c>
      <c r="DF647" s="2" t="s">
        <v>3068</v>
      </c>
    </row>
    <row r="648" ht="15.75" customHeight="1">
      <c r="A648" s="1" t="s">
        <v>3069</v>
      </c>
      <c r="B648" s="1">
        <v>29.0</v>
      </c>
      <c r="C648" s="2" t="s">
        <v>3018</v>
      </c>
      <c r="D648" s="1">
        <v>700401.0</v>
      </c>
      <c r="E648" s="1">
        <v>27.326</v>
      </c>
      <c r="F648" s="1">
        <v>29099.0</v>
      </c>
      <c r="G648" s="1">
        <v>2.9099700401E10</v>
      </c>
      <c r="H648" s="1" t="s">
        <v>112</v>
      </c>
      <c r="I648" s="1" t="s">
        <v>113</v>
      </c>
      <c r="J648" s="1" t="s">
        <v>3019</v>
      </c>
      <c r="K648" s="1" t="s">
        <v>3070</v>
      </c>
      <c r="L648" s="1">
        <v>4746.0</v>
      </c>
      <c r="M648" s="1">
        <v>4906.0</v>
      </c>
      <c r="N648" s="1">
        <v>506.0</v>
      </c>
      <c r="O648" s="1">
        <v>1873.0</v>
      </c>
      <c r="P648" s="1">
        <v>1720.0</v>
      </c>
      <c r="Q648" s="1">
        <v>124.0</v>
      </c>
      <c r="R648" s="1">
        <v>1719.0</v>
      </c>
      <c r="S648" s="1">
        <v>471.0</v>
      </c>
      <c r="T648" s="1">
        <v>259.0</v>
      </c>
      <c r="U648" s="1">
        <v>150.0</v>
      </c>
      <c r="V648" s="1">
        <v>422.0</v>
      </c>
      <c r="W648" s="1">
        <v>24946.0</v>
      </c>
      <c r="X648" s="1">
        <v>3184.0</v>
      </c>
      <c r="Y648" s="1">
        <v>490.0</v>
      </c>
      <c r="Z648" s="1">
        <v>320.0</v>
      </c>
      <c r="AA648" s="1">
        <v>585.0</v>
      </c>
      <c r="AB648" s="1">
        <v>1119.0</v>
      </c>
      <c r="AC648" s="1">
        <v>167.0</v>
      </c>
      <c r="AD648" s="1">
        <v>182.0</v>
      </c>
      <c r="AE648" s="1">
        <v>61.0</v>
      </c>
      <c r="AF648" s="1">
        <v>416.0</v>
      </c>
      <c r="AG648" s="1">
        <v>0.0</v>
      </c>
      <c r="AH648" s="1">
        <v>197.0</v>
      </c>
      <c r="AI648" s="1">
        <v>296.0</v>
      </c>
      <c r="AJ648" s="1">
        <v>106.0</v>
      </c>
      <c r="AK648" s="1">
        <v>10.0</v>
      </c>
      <c r="AL648" s="1">
        <v>115.0</v>
      </c>
      <c r="AM648" s="1">
        <v>0.0</v>
      </c>
      <c r="AN648" s="1">
        <v>161.0</v>
      </c>
      <c r="AO648" s="1">
        <v>135.0</v>
      </c>
      <c r="AP648" s="1">
        <v>0.098165</v>
      </c>
      <c r="AQ648" s="1">
        <v>0.053002</v>
      </c>
      <c r="AR648" s="1">
        <v>0.060975</v>
      </c>
      <c r="AS648" s="1">
        <v>0.171322</v>
      </c>
      <c r="AT648" s="1">
        <v>24946.0</v>
      </c>
      <c r="AU648" s="1">
        <v>3184.0</v>
      </c>
      <c r="AV648" s="1">
        <v>0.15472</v>
      </c>
      <c r="AW648" s="1">
        <v>0.100105</v>
      </c>
      <c r="AX648" s="1">
        <v>0.123261</v>
      </c>
      <c r="AY648" s="1">
        <v>0.235777</v>
      </c>
      <c r="AZ648" s="1">
        <v>0.0971495</v>
      </c>
      <c r="BA648" s="1">
        <v>0.038348</v>
      </c>
      <c r="BB648" s="1">
        <v>0.013327</v>
      </c>
      <c r="BC648" s="1">
        <v>0.09088</v>
      </c>
      <c r="BD648" s="1">
        <v>0.0</v>
      </c>
      <c r="BE648" s="1">
        <v>0.114534</v>
      </c>
      <c r="BF648" s="1">
        <v>0.172093</v>
      </c>
      <c r="BG648" s="1">
        <v>0.060366</v>
      </c>
      <c r="BH648" s="1">
        <v>0.006038</v>
      </c>
      <c r="BI648" s="1">
        <v>0.069442</v>
      </c>
      <c r="BJ648" s="1">
        <v>0.0</v>
      </c>
      <c r="BK648" s="1">
        <v>0.097222</v>
      </c>
      <c r="BL648" s="1">
        <v>0.028445</v>
      </c>
      <c r="BM648" s="1">
        <v>0.363</v>
      </c>
      <c r="BN648" s="1">
        <v>0.425</v>
      </c>
      <c r="BO648" s="1">
        <v>0.3523</v>
      </c>
      <c r="BP648" s="1">
        <v>0.587</v>
      </c>
      <c r="BQ648" s="1">
        <v>1.7273</v>
      </c>
      <c r="BR648" s="1">
        <v>0.4108</v>
      </c>
      <c r="BS648" s="1">
        <v>0.364</v>
      </c>
      <c r="BT648" s="1">
        <v>0.446</v>
      </c>
      <c r="BU648" s="1">
        <v>0.467</v>
      </c>
      <c r="BV648" s="1">
        <v>1.277</v>
      </c>
      <c r="BW648" s="1">
        <v>0.287</v>
      </c>
      <c r="BX648" s="1">
        <v>0.151</v>
      </c>
      <c r="BY648" s="1">
        <v>0.789</v>
      </c>
      <c r="BZ648" s="1">
        <v>0.94</v>
      </c>
      <c r="CA648" s="1">
        <v>0.501</v>
      </c>
      <c r="CB648" s="1">
        <v>0.0</v>
      </c>
      <c r="CC648" s="1">
        <v>0.856</v>
      </c>
      <c r="CD648" s="1">
        <v>0.358</v>
      </c>
      <c r="CE648" s="1">
        <v>0.0</v>
      </c>
      <c r="CF648" s="1">
        <v>0.797</v>
      </c>
      <c r="CG648" s="1">
        <v>2.011</v>
      </c>
      <c r="CH648" s="1">
        <v>0.353</v>
      </c>
      <c r="CI648" s="1">
        <v>5.9553</v>
      </c>
      <c r="CJ648" s="1">
        <v>0.3646</v>
      </c>
      <c r="CK648" s="1">
        <v>0.0</v>
      </c>
      <c r="CL648" s="1">
        <v>0.0</v>
      </c>
      <c r="CM648" s="1">
        <v>0.0</v>
      </c>
      <c r="CN648" s="1">
        <v>0.0</v>
      </c>
      <c r="CO648" s="1">
        <v>0.0</v>
      </c>
      <c r="CP648" s="1">
        <v>0.0</v>
      </c>
      <c r="CQ648" s="1">
        <v>0.0</v>
      </c>
      <c r="CR648" s="1">
        <v>0.0</v>
      </c>
      <c r="CS648" s="1">
        <v>0.0</v>
      </c>
      <c r="CT648" s="1">
        <v>0.0</v>
      </c>
      <c r="CU648" s="1">
        <v>0.0</v>
      </c>
      <c r="CV648" s="1">
        <v>0.0</v>
      </c>
      <c r="CW648" s="1">
        <v>0.0</v>
      </c>
      <c r="CX648" s="1">
        <v>0.0</v>
      </c>
      <c r="CY648" s="1">
        <v>0.0</v>
      </c>
      <c r="CZ648" s="1">
        <v>0.0</v>
      </c>
      <c r="DA648" s="1">
        <v>0.0</v>
      </c>
      <c r="DB648" s="1">
        <v>0.0</v>
      </c>
      <c r="DC648" s="1">
        <v>0.0</v>
      </c>
      <c r="DD648" s="1" t="s">
        <v>3071</v>
      </c>
      <c r="DE648" s="1">
        <v>0.00731228887288751</v>
      </c>
      <c r="DF648" s="2" t="s">
        <v>3072</v>
      </c>
    </row>
    <row r="649" ht="15.75" customHeight="1">
      <c r="A649" s="1" t="s">
        <v>3073</v>
      </c>
      <c r="B649" s="1">
        <v>29.0</v>
      </c>
      <c r="C649" s="2" t="s">
        <v>3018</v>
      </c>
      <c r="D649" s="1">
        <v>700503.0</v>
      </c>
      <c r="E649" s="1">
        <v>19.8</v>
      </c>
      <c r="F649" s="1">
        <v>29099.0</v>
      </c>
      <c r="G649" s="1">
        <v>2.9099700503E10</v>
      </c>
      <c r="H649" s="1" t="s">
        <v>112</v>
      </c>
      <c r="I649" s="1" t="s">
        <v>113</v>
      </c>
      <c r="J649" s="1" t="s">
        <v>3019</v>
      </c>
      <c r="K649" s="1" t="s">
        <v>3074</v>
      </c>
      <c r="L649" s="1">
        <v>3416.0</v>
      </c>
      <c r="M649" s="1">
        <v>3585.0</v>
      </c>
      <c r="N649" s="1">
        <v>224.0</v>
      </c>
      <c r="O649" s="1">
        <v>1401.0</v>
      </c>
      <c r="P649" s="1">
        <v>1422.0</v>
      </c>
      <c r="Q649" s="1">
        <v>83.0</v>
      </c>
      <c r="R649" s="1">
        <v>1314.0</v>
      </c>
      <c r="S649" s="1">
        <v>313.0</v>
      </c>
      <c r="T649" s="1">
        <v>202.0</v>
      </c>
      <c r="U649" s="1">
        <v>129.0</v>
      </c>
      <c r="V649" s="1">
        <v>433.0</v>
      </c>
      <c r="W649" s="1">
        <v>24359.0</v>
      </c>
      <c r="X649" s="1">
        <v>2431.0</v>
      </c>
      <c r="Y649" s="1">
        <v>521.0</v>
      </c>
      <c r="Z649" s="1">
        <v>245.0</v>
      </c>
      <c r="AA649" s="1">
        <v>362.0</v>
      </c>
      <c r="AB649" s="1">
        <v>786.0</v>
      </c>
      <c r="AC649" s="1">
        <v>144.0</v>
      </c>
      <c r="AD649" s="1">
        <v>98.0</v>
      </c>
      <c r="AE649" s="1">
        <v>0.0</v>
      </c>
      <c r="AF649" s="1">
        <v>456.0</v>
      </c>
      <c r="AG649" s="1">
        <v>49.0</v>
      </c>
      <c r="AH649" s="1">
        <v>123.0</v>
      </c>
      <c r="AI649" s="1">
        <v>345.0</v>
      </c>
      <c r="AJ649" s="1">
        <v>127.0</v>
      </c>
      <c r="AK649" s="1">
        <v>32.0</v>
      </c>
      <c r="AL649" s="1">
        <v>120.0</v>
      </c>
      <c r="AM649" s="1">
        <v>85.0</v>
      </c>
      <c r="AN649" s="1">
        <v>59.0</v>
      </c>
      <c r="AO649" s="1">
        <v>0.0</v>
      </c>
      <c r="AP649" s="1">
        <v>0.087308</v>
      </c>
      <c r="AQ649" s="1">
        <v>0.056081</v>
      </c>
      <c r="AR649" s="1">
        <v>0.064467</v>
      </c>
      <c r="AS649" s="1">
        <v>0.216227</v>
      </c>
      <c r="AT649" s="1">
        <v>24359.0</v>
      </c>
      <c r="AU649" s="1">
        <v>2431.0</v>
      </c>
      <c r="AV649" s="1">
        <v>0.207321</v>
      </c>
      <c r="AW649" s="1">
        <v>0.096128</v>
      </c>
      <c r="AX649" s="1">
        <v>0.105971</v>
      </c>
      <c r="AY649" s="1">
        <v>0.230093</v>
      </c>
      <c r="AZ649" s="1">
        <v>0.10958904</v>
      </c>
      <c r="BA649" s="1">
        <v>0.028688</v>
      </c>
      <c r="BB649" s="1">
        <v>0.0</v>
      </c>
      <c r="BC649" s="1">
        <v>0.132712</v>
      </c>
      <c r="BD649" s="1">
        <v>0.034458</v>
      </c>
      <c r="BE649" s="1">
        <v>0.086474</v>
      </c>
      <c r="BF649" s="1">
        <v>0.242616</v>
      </c>
      <c r="BG649" s="1">
        <v>0.08818</v>
      </c>
      <c r="BH649" s="1">
        <v>0.024297</v>
      </c>
      <c r="BI649" s="1">
        <v>0.091095</v>
      </c>
      <c r="BJ649" s="1">
        <v>0.06454</v>
      </c>
      <c r="BK649" s="1">
        <v>0.044507</v>
      </c>
      <c r="BL649" s="1">
        <v>0.0</v>
      </c>
      <c r="BM649" s="1">
        <v>0.325</v>
      </c>
      <c r="BN649" s="1">
        <v>0.464</v>
      </c>
      <c r="BO649" s="1">
        <v>0.3762</v>
      </c>
      <c r="BP649" s="1">
        <v>0.774</v>
      </c>
      <c r="BQ649" s="1">
        <v>1.9392</v>
      </c>
      <c r="BR649" s="1">
        <v>0.4751</v>
      </c>
      <c r="BS649" s="1">
        <v>0.245</v>
      </c>
      <c r="BT649" s="1">
        <v>0.387</v>
      </c>
      <c r="BU649" s="1">
        <v>0.584</v>
      </c>
      <c r="BV649" s="1">
        <v>1.216</v>
      </c>
      <c r="BW649" s="1">
        <v>0.244</v>
      </c>
      <c r="BX649" s="1">
        <v>0.07</v>
      </c>
      <c r="BY649" s="1">
        <v>0.0</v>
      </c>
      <c r="BZ649" s="1">
        <v>0.07</v>
      </c>
      <c r="CA649" s="1">
        <v>0.034</v>
      </c>
      <c r="CB649" s="1">
        <v>0.576</v>
      </c>
      <c r="CC649" s="1">
        <v>0.943</v>
      </c>
      <c r="CD649" s="1">
        <v>0.748</v>
      </c>
      <c r="CE649" s="1">
        <v>0.594</v>
      </c>
      <c r="CF649" s="1">
        <v>0.0</v>
      </c>
      <c r="CG649" s="1">
        <v>2.861</v>
      </c>
      <c r="CH649" s="1">
        <v>0.715</v>
      </c>
      <c r="CI649" s="1">
        <v>6.0862</v>
      </c>
      <c r="CJ649" s="1">
        <v>0.387</v>
      </c>
      <c r="CK649" s="1">
        <v>0.0</v>
      </c>
      <c r="CL649" s="1">
        <v>0.0</v>
      </c>
      <c r="CM649" s="1">
        <v>0.0</v>
      </c>
      <c r="CN649" s="1">
        <v>0.0</v>
      </c>
      <c r="CO649" s="1">
        <v>0.0</v>
      </c>
      <c r="CP649" s="1">
        <v>0.0</v>
      </c>
      <c r="CQ649" s="1">
        <v>0.0</v>
      </c>
      <c r="CR649" s="1">
        <v>0.0</v>
      </c>
      <c r="CS649" s="1">
        <v>0.0</v>
      </c>
      <c r="CT649" s="1">
        <v>0.0</v>
      </c>
      <c r="CU649" s="1">
        <v>0.0</v>
      </c>
      <c r="CV649" s="1">
        <v>0.0</v>
      </c>
      <c r="CW649" s="1">
        <v>0.0</v>
      </c>
      <c r="CX649" s="1">
        <v>1.0</v>
      </c>
      <c r="CY649" s="1">
        <v>0.0</v>
      </c>
      <c r="CZ649" s="1">
        <v>0.0</v>
      </c>
      <c r="DA649" s="1">
        <v>0.0</v>
      </c>
      <c r="DB649" s="1">
        <v>1.0</v>
      </c>
      <c r="DC649" s="1">
        <v>1.0</v>
      </c>
      <c r="DD649" s="1" t="s">
        <v>3075</v>
      </c>
      <c r="DE649" s="1">
        <v>0.00529498974035864</v>
      </c>
      <c r="DF649" s="2" t="s">
        <v>3076</v>
      </c>
    </row>
    <row r="650" ht="15.75" customHeight="1">
      <c r="A650" s="1" t="s">
        <v>3077</v>
      </c>
      <c r="B650" s="1">
        <v>29.0</v>
      </c>
      <c r="C650" s="2" t="s">
        <v>3018</v>
      </c>
      <c r="D650" s="1">
        <v>700402.0</v>
      </c>
      <c r="E650" s="1">
        <v>40.969</v>
      </c>
      <c r="F650" s="1">
        <v>29099.0</v>
      </c>
      <c r="G650" s="1">
        <v>2.9099700402E10</v>
      </c>
      <c r="H650" s="1" t="s">
        <v>112</v>
      </c>
      <c r="I650" s="1" t="s">
        <v>113</v>
      </c>
      <c r="J650" s="1" t="s">
        <v>3019</v>
      </c>
      <c r="K650" s="1" t="s">
        <v>3078</v>
      </c>
      <c r="L650" s="1">
        <v>5548.0</v>
      </c>
      <c r="M650" s="1">
        <v>5211.0</v>
      </c>
      <c r="N650" s="1">
        <v>456.0</v>
      </c>
      <c r="O650" s="1">
        <v>2217.0</v>
      </c>
      <c r="P650" s="1">
        <v>1988.0</v>
      </c>
      <c r="Q650" s="1">
        <v>112.0</v>
      </c>
      <c r="R650" s="1">
        <v>2061.0</v>
      </c>
      <c r="S650" s="1">
        <v>64.0</v>
      </c>
      <c r="T650" s="1">
        <v>49.0</v>
      </c>
      <c r="U650" s="1">
        <v>130.0</v>
      </c>
      <c r="V650" s="1">
        <v>432.0</v>
      </c>
      <c r="W650" s="1">
        <v>31493.0</v>
      </c>
      <c r="X650" s="1">
        <v>3480.0</v>
      </c>
      <c r="Y650" s="1">
        <v>379.0</v>
      </c>
      <c r="Z650" s="1">
        <v>268.0</v>
      </c>
      <c r="AA650" s="1">
        <v>586.0</v>
      </c>
      <c r="AB650" s="1">
        <v>1300.0</v>
      </c>
      <c r="AC650" s="1">
        <v>116.0</v>
      </c>
      <c r="AD650" s="1">
        <v>219.0</v>
      </c>
      <c r="AE650" s="1">
        <v>0.0</v>
      </c>
      <c r="AF650" s="1">
        <v>456.0</v>
      </c>
      <c r="AG650" s="1">
        <v>0.0</v>
      </c>
      <c r="AH650" s="1">
        <v>197.0</v>
      </c>
      <c r="AI650" s="1">
        <v>57.0</v>
      </c>
      <c r="AJ650" s="1">
        <v>45.0</v>
      </c>
      <c r="AK650" s="1">
        <v>0.0</v>
      </c>
      <c r="AL650" s="1">
        <v>161.0</v>
      </c>
      <c r="AM650" s="1">
        <v>18.0</v>
      </c>
      <c r="AN650" s="1">
        <v>117.0</v>
      </c>
      <c r="AO650" s="1">
        <v>6.0</v>
      </c>
      <c r="AP650" s="1">
        <v>0.012393</v>
      </c>
      <c r="AQ650" s="1">
        <v>0.009429</v>
      </c>
      <c r="AR650" s="1">
        <v>0.047864</v>
      </c>
      <c r="AS650" s="1">
        <v>0.158954</v>
      </c>
      <c r="AT650" s="1">
        <v>31493.0</v>
      </c>
      <c r="AU650" s="1">
        <v>3480.0</v>
      </c>
      <c r="AV650" s="1">
        <v>0.104178</v>
      </c>
      <c r="AW650" s="1">
        <v>0.073194</v>
      </c>
      <c r="AX650" s="1">
        <v>0.105623</v>
      </c>
      <c r="AY650" s="1">
        <v>0.234318</v>
      </c>
      <c r="AZ650" s="1">
        <v>0.05628335</v>
      </c>
      <c r="BA650" s="1">
        <v>0.039473</v>
      </c>
      <c r="BB650" s="1">
        <v>0.0</v>
      </c>
      <c r="BC650" s="1">
        <v>0.096651</v>
      </c>
      <c r="BD650" s="1">
        <v>0.0</v>
      </c>
      <c r="BE650" s="1">
        <v>0.099094</v>
      </c>
      <c r="BF650" s="1">
        <v>0.028672</v>
      </c>
      <c r="BG650" s="1">
        <v>0.022578</v>
      </c>
      <c r="BH650" s="1">
        <v>0.0</v>
      </c>
      <c r="BI650" s="1">
        <v>0.087121</v>
      </c>
      <c r="BJ650" s="1">
        <v>0.00974</v>
      </c>
      <c r="BK650" s="1">
        <v>0.063308</v>
      </c>
      <c r="BL650" s="1">
        <v>0.001081</v>
      </c>
      <c r="BM650" s="1">
        <v>0.029</v>
      </c>
      <c r="BN650" s="1">
        <v>0.271</v>
      </c>
      <c r="BO650" s="1">
        <v>0.1661</v>
      </c>
      <c r="BP650" s="1">
        <v>0.357</v>
      </c>
      <c r="BQ650" s="1">
        <v>0.8231</v>
      </c>
      <c r="BR650" s="1">
        <v>0.1639</v>
      </c>
      <c r="BS650" s="1">
        <v>0.242</v>
      </c>
      <c r="BT650" s="1">
        <v>0.433</v>
      </c>
      <c r="BU650" s="1">
        <v>0.111</v>
      </c>
      <c r="BV650" s="1">
        <v>0.786</v>
      </c>
      <c r="BW650" s="1">
        <v>0.075</v>
      </c>
      <c r="BX650" s="1">
        <v>0.158</v>
      </c>
      <c r="BY650" s="1">
        <v>0.0</v>
      </c>
      <c r="BZ650" s="1">
        <v>0.158</v>
      </c>
      <c r="CA650" s="1">
        <v>0.075</v>
      </c>
      <c r="CB650" s="1">
        <v>0.0</v>
      </c>
      <c r="CC650" s="1">
        <v>0.545</v>
      </c>
      <c r="CD650" s="1">
        <v>0.0</v>
      </c>
      <c r="CE650" s="1">
        <v>0.083</v>
      </c>
      <c r="CF650" s="1">
        <v>0.403</v>
      </c>
      <c r="CG650" s="1">
        <v>1.031</v>
      </c>
      <c r="CH650" s="1">
        <v>0.081</v>
      </c>
      <c r="CI650" s="1">
        <v>2.7981</v>
      </c>
      <c r="CJ650" s="1">
        <v>0.013</v>
      </c>
      <c r="CK650" s="1">
        <v>0.0</v>
      </c>
      <c r="CL650" s="1">
        <v>0.0</v>
      </c>
      <c r="CM650" s="1">
        <v>0.0</v>
      </c>
      <c r="CN650" s="1">
        <v>0.0</v>
      </c>
      <c r="CO650" s="1">
        <v>0.0</v>
      </c>
      <c r="CP650" s="1">
        <v>0.0</v>
      </c>
      <c r="CQ650" s="1">
        <v>0.0</v>
      </c>
      <c r="CR650" s="1">
        <v>0.0</v>
      </c>
      <c r="CS650" s="1">
        <v>0.0</v>
      </c>
      <c r="CT650" s="1">
        <v>0.0</v>
      </c>
      <c r="CU650" s="1">
        <v>0.0</v>
      </c>
      <c r="CV650" s="1">
        <v>0.0</v>
      </c>
      <c r="CW650" s="1">
        <v>0.0</v>
      </c>
      <c r="CX650" s="1">
        <v>0.0</v>
      </c>
      <c r="CY650" s="1">
        <v>0.0</v>
      </c>
      <c r="CZ650" s="1">
        <v>0.0</v>
      </c>
      <c r="DA650" s="1">
        <v>0.0</v>
      </c>
      <c r="DB650" s="1">
        <v>0.0</v>
      </c>
      <c r="DC650" s="1">
        <v>0.0</v>
      </c>
      <c r="DD650" s="1" t="s">
        <v>3079</v>
      </c>
      <c r="DE650" s="2" t="s">
        <v>3080</v>
      </c>
      <c r="DF650" s="2" t="s">
        <v>3081</v>
      </c>
    </row>
    <row r="651" ht="15.75" customHeight="1">
      <c r="A651" s="1" t="s">
        <v>3082</v>
      </c>
      <c r="B651" s="1">
        <v>29.0</v>
      </c>
      <c r="C651" s="2" t="s">
        <v>3018</v>
      </c>
      <c r="D651" s="1">
        <v>700502.0</v>
      </c>
      <c r="E651" s="1">
        <v>31.982</v>
      </c>
      <c r="F651" s="1">
        <v>29099.0</v>
      </c>
      <c r="G651" s="1">
        <v>2.9099700502E10</v>
      </c>
      <c r="H651" s="1" t="s">
        <v>112</v>
      </c>
      <c r="I651" s="1" t="s">
        <v>113</v>
      </c>
      <c r="J651" s="1" t="s">
        <v>3019</v>
      </c>
      <c r="K651" s="1" t="s">
        <v>3083</v>
      </c>
      <c r="L651" s="1">
        <v>5812.0</v>
      </c>
      <c r="M651" s="1">
        <v>5405.0</v>
      </c>
      <c r="N651" s="1">
        <v>329.0</v>
      </c>
      <c r="O651" s="1">
        <v>2238.0</v>
      </c>
      <c r="P651" s="1">
        <v>2108.0</v>
      </c>
      <c r="Q651" s="1">
        <v>137.0</v>
      </c>
      <c r="R651" s="1">
        <v>1997.0</v>
      </c>
      <c r="S651" s="1">
        <v>573.0</v>
      </c>
      <c r="T651" s="1">
        <v>386.0</v>
      </c>
      <c r="U651" s="1">
        <v>306.0</v>
      </c>
      <c r="V651" s="1">
        <v>339.0</v>
      </c>
      <c r="W651" s="1">
        <v>26257.0</v>
      </c>
      <c r="X651" s="1">
        <v>2184.0</v>
      </c>
      <c r="Y651" s="1">
        <v>504.0</v>
      </c>
      <c r="Z651" s="1">
        <v>243.0</v>
      </c>
      <c r="AA651" s="1">
        <v>710.0</v>
      </c>
      <c r="AB651" s="1">
        <v>1312.0</v>
      </c>
      <c r="AC651" s="1">
        <v>160.0</v>
      </c>
      <c r="AD651" s="1">
        <v>211.0</v>
      </c>
      <c r="AE651" s="1">
        <v>0.0</v>
      </c>
      <c r="AF651" s="1">
        <v>456.0</v>
      </c>
      <c r="AG651" s="1">
        <v>4.0</v>
      </c>
      <c r="AH651" s="1">
        <v>161.0</v>
      </c>
      <c r="AI651" s="1">
        <v>103.0</v>
      </c>
      <c r="AJ651" s="1">
        <v>87.0</v>
      </c>
      <c r="AK651" s="1">
        <v>0.0</v>
      </c>
      <c r="AL651" s="1">
        <v>161.0</v>
      </c>
      <c r="AM651" s="1">
        <v>27.0</v>
      </c>
      <c r="AN651" s="1">
        <v>116.0</v>
      </c>
      <c r="AO651" s="1">
        <v>481.0</v>
      </c>
      <c r="AP651" s="1">
        <v>0.10933</v>
      </c>
      <c r="AQ651" s="1">
        <v>0.073237</v>
      </c>
      <c r="AR651" s="1">
        <v>0.116482</v>
      </c>
      <c r="AS651" s="1">
        <v>0.128384</v>
      </c>
      <c r="AT651" s="1">
        <v>26257.0</v>
      </c>
      <c r="AU651" s="1">
        <v>2184.0</v>
      </c>
      <c r="AV651" s="1">
        <v>0.134759</v>
      </c>
      <c r="AW651" s="1">
        <v>0.06437</v>
      </c>
      <c r="AX651" s="1">
        <v>0.122161</v>
      </c>
      <c r="AY651" s="1">
        <v>0.225739</v>
      </c>
      <c r="AZ651" s="1">
        <v>0.08012018</v>
      </c>
      <c r="BA651" s="1">
        <v>0.036304</v>
      </c>
      <c r="BB651" s="1">
        <v>0.0</v>
      </c>
      <c r="BC651" s="1">
        <v>0.087122</v>
      </c>
      <c r="BD651" s="1">
        <v>0.001897</v>
      </c>
      <c r="BE651" s="1">
        <v>0.076375</v>
      </c>
      <c r="BF651" s="1">
        <v>0.048861</v>
      </c>
      <c r="BG651" s="1">
        <v>0.041148</v>
      </c>
      <c r="BH651" s="1">
        <v>0.0</v>
      </c>
      <c r="BI651" s="1">
        <v>0.083075</v>
      </c>
      <c r="BJ651" s="1">
        <v>0.013931</v>
      </c>
      <c r="BK651" s="1">
        <v>0.059847</v>
      </c>
      <c r="BL651" s="1">
        <v>0.082759</v>
      </c>
      <c r="BM651" s="1">
        <v>0.41</v>
      </c>
      <c r="BN651" s="1">
        <v>0.812</v>
      </c>
      <c r="BO651" s="1">
        <v>0.3032</v>
      </c>
      <c r="BP651" s="1">
        <v>0.498</v>
      </c>
      <c r="BQ651" s="1">
        <v>2.0232</v>
      </c>
      <c r="BR651" s="1">
        <v>0.5054</v>
      </c>
      <c r="BS651" s="1">
        <v>0.358</v>
      </c>
      <c r="BT651" s="1">
        <v>0.346</v>
      </c>
      <c r="BU651" s="1">
        <v>0.304</v>
      </c>
      <c r="BV651" s="1">
        <v>1.008</v>
      </c>
      <c r="BW651" s="1">
        <v>0.119</v>
      </c>
      <c r="BX651" s="1">
        <v>0.128</v>
      </c>
      <c r="BY651" s="1">
        <v>0.0</v>
      </c>
      <c r="BZ651" s="1">
        <v>0.128</v>
      </c>
      <c r="CA651" s="1">
        <v>0.062</v>
      </c>
      <c r="CB651" s="1">
        <v>0.27</v>
      </c>
      <c r="CC651" s="1">
        <v>0.6</v>
      </c>
      <c r="CD651" s="1">
        <v>0.0</v>
      </c>
      <c r="CE651" s="1">
        <v>0.127</v>
      </c>
      <c r="CF651" s="1">
        <v>0.934</v>
      </c>
      <c r="CG651" s="1">
        <v>1.931</v>
      </c>
      <c r="CH651" s="1">
        <v>0.317</v>
      </c>
      <c r="CI651" s="1">
        <v>5.0902</v>
      </c>
      <c r="CJ651" s="1">
        <v>0.2152</v>
      </c>
      <c r="CK651" s="1">
        <v>0.0</v>
      </c>
      <c r="CL651" s="1">
        <v>0.0</v>
      </c>
      <c r="CM651" s="1">
        <v>0.0</v>
      </c>
      <c r="CN651" s="1">
        <v>0.0</v>
      </c>
      <c r="CO651" s="1">
        <v>0.0</v>
      </c>
      <c r="CP651" s="1">
        <v>0.0</v>
      </c>
      <c r="CQ651" s="1">
        <v>0.0</v>
      </c>
      <c r="CR651" s="1">
        <v>0.0</v>
      </c>
      <c r="CS651" s="1">
        <v>0.0</v>
      </c>
      <c r="CT651" s="1">
        <v>0.0</v>
      </c>
      <c r="CU651" s="1">
        <v>0.0</v>
      </c>
      <c r="CV651" s="1">
        <v>0.0</v>
      </c>
      <c r="CW651" s="1">
        <v>0.0</v>
      </c>
      <c r="CX651" s="1">
        <v>0.0</v>
      </c>
      <c r="CY651" s="1">
        <v>0.0</v>
      </c>
      <c r="CZ651" s="1">
        <v>0.0</v>
      </c>
      <c r="DA651" s="1">
        <v>1.0</v>
      </c>
      <c r="DB651" s="1">
        <v>1.0</v>
      </c>
      <c r="DC651" s="1">
        <v>1.0</v>
      </c>
      <c r="DD651" s="1" t="s">
        <v>3084</v>
      </c>
      <c r="DE651" s="1">
        <v>0.00861608040697984</v>
      </c>
      <c r="DF651" s="2" t="s">
        <v>3085</v>
      </c>
    </row>
    <row r="652" ht="15.75" customHeight="1">
      <c r="A652" s="1" t="s">
        <v>3086</v>
      </c>
      <c r="B652" s="1">
        <v>29.0</v>
      </c>
      <c r="C652" s="2" t="s">
        <v>3018</v>
      </c>
      <c r="D652" s="1">
        <v>700504.0</v>
      </c>
      <c r="E652" s="1">
        <v>10.962</v>
      </c>
      <c r="F652" s="1">
        <v>29099.0</v>
      </c>
      <c r="G652" s="1">
        <v>2.9099700504E10</v>
      </c>
      <c r="H652" s="1" t="s">
        <v>112</v>
      </c>
      <c r="I652" s="1" t="s">
        <v>113</v>
      </c>
      <c r="J652" s="1" t="s">
        <v>3019</v>
      </c>
      <c r="K652" s="1" t="s">
        <v>3087</v>
      </c>
      <c r="L652" s="1">
        <v>4393.0</v>
      </c>
      <c r="M652" s="1">
        <v>4699.0</v>
      </c>
      <c r="N652" s="1">
        <v>311.0</v>
      </c>
      <c r="O652" s="1">
        <v>1734.0</v>
      </c>
      <c r="P652" s="1">
        <v>1759.0</v>
      </c>
      <c r="Q652" s="1">
        <v>67.0</v>
      </c>
      <c r="R652" s="1">
        <v>1627.0</v>
      </c>
      <c r="S652" s="1">
        <v>426.0</v>
      </c>
      <c r="T652" s="1">
        <v>199.0</v>
      </c>
      <c r="U652" s="1">
        <v>159.0</v>
      </c>
      <c r="V652" s="1">
        <v>404.0</v>
      </c>
      <c r="W652" s="1">
        <v>22517.0</v>
      </c>
      <c r="X652" s="1">
        <v>2488.0</v>
      </c>
      <c r="Y652" s="1">
        <v>431.0</v>
      </c>
      <c r="Z652" s="1">
        <v>311.0</v>
      </c>
      <c r="AA652" s="1">
        <v>482.0</v>
      </c>
      <c r="AB652" s="1">
        <v>1067.0</v>
      </c>
      <c r="AC652" s="1">
        <v>154.0</v>
      </c>
      <c r="AD652" s="1">
        <v>143.0</v>
      </c>
      <c r="AE652" s="1">
        <v>17.0</v>
      </c>
      <c r="AF652" s="1">
        <v>442.0</v>
      </c>
      <c r="AG652" s="1">
        <v>0.0</v>
      </c>
      <c r="AH652" s="1">
        <v>197.0</v>
      </c>
      <c r="AI652" s="1">
        <v>250.0</v>
      </c>
      <c r="AJ652" s="1">
        <v>87.0</v>
      </c>
      <c r="AK652" s="1">
        <v>18.0</v>
      </c>
      <c r="AL652" s="1">
        <v>117.0</v>
      </c>
      <c r="AM652" s="1">
        <v>0.0</v>
      </c>
      <c r="AN652" s="1">
        <v>161.0</v>
      </c>
      <c r="AO652" s="1">
        <v>0.0</v>
      </c>
      <c r="AP652" s="1">
        <v>0.091201</v>
      </c>
      <c r="AQ652" s="1">
        <v>0.042201</v>
      </c>
      <c r="AR652" s="1">
        <v>0.062549</v>
      </c>
      <c r="AS652" s="1">
        <v>0.158782</v>
      </c>
      <c r="AT652" s="1">
        <v>22517.0</v>
      </c>
      <c r="AU652" s="1">
        <v>2488.0</v>
      </c>
      <c r="AV652" s="1">
        <v>0.138674</v>
      </c>
      <c r="AW652" s="1">
        <v>0.099715</v>
      </c>
      <c r="AX652" s="1">
        <v>0.10972</v>
      </c>
      <c r="AY652" s="1">
        <v>0.242886</v>
      </c>
      <c r="AZ652" s="1">
        <v>0.09465273</v>
      </c>
      <c r="BA652" s="1">
        <v>0.032551</v>
      </c>
      <c r="BB652" s="1">
        <v>0.003861</v>
      </c>
      <c r="BC652" s="1">
        <v>0.100385</v>
      </c>
      <c r="BD652" s="1">
        <v>0.0</v>
      </c>
      <c r="BE652" s="1">
        <v>0.111995</v>
      </c>
      <c r="BF652" s="1">
        <v>0.142126</v>
      </c>
      <c r="BG652" s="1">
        <v>0.049162</v>
      </c>
      <c r="BH652" s="1">
        <v>0.010733</v>
      </c>
      <c r="BI652" s="1">
        <v>0.069765</v>
      </c>
      <c r="BJ652" s="1">
        <v>0.0</v>
      </c>
      <c r="BK652" s="1">
        <v>0.096004</v>
      </c>
      <c r="BL652" s="1">
        <v>0.0</v>
      </c>
      <c r="BM652" s="1">
        <v>0.343</v>
      </c>
      <c r="BN652" s="1">
        <v>0.443</v>
      </c>
      <c r="BO652" s="1">
        <v>0.4671</v>
      </c>
      <c r="BP652" s="1">
        <v>0.516</v>
      </c>
      <c r="BQ652" s="1">
        <v>1.7691</v>
      </c>
      <c r="BR652" s="1">
        <v>0.4224</v>
      </c>
      <c r="BS652" s="1">
        <v>0.27</v>
      </c>
      <c r="BT652" s="1">
        <v>0.524</v>
      </c>
      <c r="BU652" s="1">
        <v>0.446</v>
      </c>
      <c r="BV652" s="1">
        <v>1.24</v>
      </c>
      <c r="BW652" s="1">
        <v>0.258</v>
      </c>
      <c r="BX652" s="1">
        <v>0.1</v>
      </c>
      <c r="BY652" s="1">
        <v>0.507</v>
      </c>
      <c r="BZ652" s="1">
        <v>0.607</v>
      </c>
      <c r="CA652" s="1">
        <v>0.275</v>
      </c>
      <c r="CB652" s="1">
        <v>0.0</v>
      </c>
      <c r="CC652" s="1">
        <v>0.802</v>
      </c>
      <c r="CD652" s="1">
        <v>0.494</v>
      </c>
      <c r="CE652" s="1">
        <v>0.0</v>
      </c>
      <c r="CF652" s="1">
        <v>0.0</v>
      </c>
      <c r="CG652" s="1">
        <v>1.296</v>
      </c>
      <c r="CH652" s="1">
        <v>0.125</v>
      </c>
      <c r="CI652" s="1">
        <v>4.9121</v>
      </c>
      <c r="CJ652" s="1">
        <v>0.1899</v>
      </c>
      <c r="CK652" s="1">
        <v>0.0</v>
      </c>
      <c r="CL652" s="1">
        <v>0.0</v>
      </c>
      <c r="CM652" s="1">
        <v>0.0</v>
      </c>
      <c r="CN652" s="1">
        <v>0.0</v>
      </c>
      <c r="CO652" s="1">
        <v>0.0</v>
      </c>
      <c r="CP652" s="1">
        <v>0.0</v>
      </c>
      <c r="CQ652" s="1">
        <v>0.0</v>
      </c>
      <c r="CR652" s="1">
        <v>0.0</v>
      </c>
      <c r="CS652" s="1">
        <v>0.0</v>
      </c>
      <c r="CT652" s="1">
        <v>0.0</v>
      </c>
      <c r="CU652" s="1">
        <v>0.0</v>
      </c>
      <c r="CV652" s="1">
        <v>0.0</v>
      </c>
      <c r="CW652" s="1">
        <v>0.0</v>
      </c>
      <c r="CX652" s="1">
        <v>0.0</v>
      </c>
      <c r="CY652" s="1">
        <v>0.0</v>
      </c>
      <c r="CZ652" s="1">
        <v>0.0</v>
      </c>
      <c r="DA652" s="1">
        <v>0.0</v>
      </c>
      <c r="DB652" s="1">
        <v>0.0</v>
      </c>
      <c r="DC652" s="1">
        <v>0.0</v>
      </c>
      <c r="DD652" s="1" t="s">
        <v>3088</v>
      </c>
      <c r="DE652" s="1">
        <v>0.00294906628552413</v>
      </c>
      <c r="DF652" s="2" t="s">
        <v>3089</v>
      </c>
    </row>
    <row r="653" ht="15.75" customHeight="1">
      <c r="A653" s="1" t="s">
        <v>3090</v>
      </c>
      <c r="B653" s="1">
        <v>29.0</v>
      </c>
      <c r="C653" s="2" t="s">
        <v>3018</v>
      </c>
      <c r="D653" s="1">
        <v>700601.0</v>
      </c>
      <c r="E653" s="1">
        <v>8.293</v>
      </c>
      <c r="F653" s="1">
        <v>29099.0</v>
      </c>
      <c r="G653" s="1">
        <v>2.9099700601E10</v>
      </c>
      <c r="H653" s="1" t="s">
        <v>112</v>
      </c>
      <c r="I653" s="1" t="s">
        <v>113</v>
      </c>
      <c r="J653" s="1" t="s">
        <v>3019</v>
      </c>
      <c r="K653" s="1" t="s">
        <v>3091</v>
      </c>
      <c r="L653" s="1">
        <v>5510.0</v>
      </c>
      <c r="M653" s="1">
        <v>6107.0</v>
      </c>
      <c r="N653" s="1">
        <v>319.0</v>
      </c>
      <c r="O653" s="1">
        <v>2379.0</v>
      </c>
      <c r="P653" s="1">
        <v>2779.0</v>
      </c>
      <c r="Q653" s="1">
        <v>192.0</v>
      </c>
      <c r="R653" s="1">
        <v>2172.0</v>
      </c>
      <c r="S653" s="1">
        <v>1366.0</v>
      </c>
      <c r="T653" s="1">
        <v>397.0</v>
      </c>
      <c r="U653" s="1">
        <v>285.0</v>
      </c>
      <c r="V653" s="1">
        <v>358.0</v>
      </c>
      <c r="W653" s="1">
        <v>22225.0</v>
      </c>
      <c r="X653" s="1">
        <v>3569.0</v>
      </c>
      <c r="Y653" s="1">
        <v>1123.0</v>
      </c>
      <c r="Z653" s="1">
        <v>316.0</v>
      </c>
      <c r="AA653" s="1">
        <v>671.0</v>
      </c>
      <c r="AB653" s="1">
        <v>1382.0</v>
      </c>
      <c r="AC653" s="1">
        <v>328.0</v>
      </c>
      <c r="AD653" s="1">
        <v>280.0</v>
      </c>
      <c r="AE653" s="1">
        <v>53.0</v>
      </c>
      <c r="AF653" s="1">
        <v>414.0</v>
      </c>
      <c r="AG653" s="1">
        <v>244.0</v>
      </c>
      <c r="AH653" s="1">
        <v>159.0</v>
      </c>
      <c r="AI653" s="1">
        <v>483.0</v>
      </c>
      <c r="AJ653" s="1">
        <v>141.0</v>
      </c>
      <c r="AK653" s="1">
        <v>44.0</v>
      </c>
      <c r="AL653" s="1">
        <v>121.0</v>
      </c>
      <c r="AM653" s="1">
        <v>208.0</v>
      </c>
      <c r="AN653" s="1">
        <v>86.0</v>
      </c>
      <c r="AO653" s="1">
        <v>10.0</v>
      </c>
      <c r="AP653" s="1">
        <v>0.223677</v>
      </c>
      <c r="AQ653" s="1">
        <v>0.063948</v>
      </c>
      <c r="AR653" s="1">
        <v>0.106821</v>
      </c>
      <c r="AS653" s="1">
        <v>0.133592</v>
      </c>
      <c r="AT653" s="1">
        <v>22225.0</v>
      </c>
      <c r="AU653" s="1">
        <v>3569.0</v>
      </c>
      <c r="AV653" s="1">
        <v>0.276805</v>
      </c>
      <c r="AW653" s="1">
        <v>0.075794</v>
      </c>
      <c r="AX653" s="1">
        <v>0.121778</v>
      </c>
      <c r="AY653" s="1">
        <v>0.250816</v>
      </c>
      <c r="AZ653" s="1">
        <v>0.15101289</v>
      </c>
      <c r="BA653" s="1">
        <v>0.050816</v>
      </c>
      <c r="BB653" s="1">
        <v>0.009357</v>
      </c>
      <c r="BC653" s="1">
        <v>0.073091</v>
      </c>
      <c r="BD653" s="1">
        <v>0.087801</v>
      </c>
      <c r="BE653" s="1">
        <v>0.056892</v>
      </c>
      <c r="BF653" s="1">
        <v>0.173803</v>
      </c>
      <c r="BG653" s="1">
        <v>0.049296</v>
      </c>
      <c r="BH653" s="1">
        <v>0.017614</v>
      </c>
      <c r="BI653" s="1">
        <v>0.048423</v>
      </c>
      <c r="BJ653" s="1">
        <v>0.083266</v>
      </c>
      <c r="BK653" s="1">
        <v>0.033935</v>
      </c>
      <c r="BL653" s="1">
        <v>0.001814</v>
      </c>
      <c r="BM653" s="1">
        <v>0.779</v>
      </c>
      <c r="BN653" s="1">
        <v>0.771</v>
      </c>
      <c r="BO653" s="1">
        <v>0.483</v>
      </c>
      <c r="BP653" s="1">
        <v>0.917</v>
      </c>
      <c r="BQ653" s="1">
        <v>2.95</v>
      </c>
      <c r="BR653" s="1">
        <v>0.7949</v>
      </c>
      <c r="BS653" s="1">
        <v>0.356</v>
      </c>
      <c r="BT653" s="1">
        <v>0.607</v>
      </c>
      <c r="BU653" s="1">
        <v>0.8</v>
      </c>
      <c r="BV653" s="1">
        <v>1.763</v>
      </c>
      <c r="BW653" s="1">
        <v>0.694</v>
      </c>
      <c r="BX653" s="1">
        <v>0.25</v>
      </c>
      <c r="BY653" s="1">
        <v>0.704</v>
      </c>
      <c r="BZ653" s="1">
        <v>0.954</v>
      </c>
      <c r="CA653" s="1">
        <v>0.513</v>
      </c>
      <c r="CB653" s="1">
        <v>0.746</v>
      </c>
      <c r="CC653" s="1">
        <v>0.858</v>
      </c>
      <c r="CD653" s="1">
        <v>0.641</v>
      </c>
      <c r="CE653" s="1">
        <v>0.695</v>
      </c>
      <c r="CF653" s="1">
        <v>0.436</v>
      </c>
      <c r="CG653" s="1">
        <v>3.376</v>
      </c>
      <c r="CH653" s="1">
        <v>0.904</v>
      </c>
      <c r="CI653" s="1">
        <v>9.043</v>
      </c>
      <c r="CJ653" s="1">
        <v>0.857</v>
      </c>
      <c r="CK653" s="1">
        <v>0.0</v>
      </c>
      <c r="CL653" s="1">
        <v>0.0</v>
      </c>
      <c r="CM653" s="1">
        <v>0.0</v>
      </c>
      <c r="CN653" s="1">
        <v>1.0</v>
      </c>
      <c r="CO653" s="1">
        <v>1.0</v>
      </c>
      <c r="CP653" s="1">
        <v>0.0</v>
      </c>
      <c r="CQ653" s="1">
        <v>0.0</v>
      </c>
      <c r="CR653" s="1">
        <v>0.0</v>
      </c>
      <c r="CS653" s="1">
        <v>0.0</v>
      </c>
      <c r="CT653" s="1">
        <v>0.0</v>
      </c>
      <c r="CU653" s="1">
        <v>0.0</v>
      </c>
      <c r="CV653" s="1">
        <v>0.0</v>
      </c>
      <c r="CW653" s="1">
        <v>0.0</v>
      </c>
      <c r="CX653" s="1">
        <v>0.0</v>
      </c>
      <c r="CY653" s="1">
        <v>0.0</v>
      </c>
      <c r="CZ653" s="1">
        <v>0.0</v>
      </c>
      <c r="DA653" s="1">
        <v>0.0</v>
      </c>
      <c r="DB653" s="1">
        <v>0.0</v>
      </c>
      <c r="DC653" s="1">
        <v>1.0</v>
      </c>
      <c r="DD653" s="1" t="s">
        <v>3092</v>
      </c>
      <c r="DE653" s="1">
        <v>0.00243422363481865</v>
      </c>
      <c r="DF653" s="2" t="s">
        <v>3093</v>
      </c>
    </row>
    <row r="654" ht="15.75" customHeight="1">
      <c r="A654" s="1" t="s">
        <v>3094</v>
      </c>
      <c r="B654" s="1">
        <v>29.0</v>
      </c>
      <c r="C654" s="2" t="s">
        <v>3018</v>
      </c>
      <c r="D654" s="1">
        <v>700603.0</v>
      </c>
      <c r="E654" s="1">
        <v>8.07</v>
      </c>
      <c r="F654" s="1">
        <v>29099.0</v>
      </c>
      <c r="G654" s="1">
        <v>2.9099700603E10</v>
      </c>
      <c r="H654" s="1" t="s">
        <v>112</v>
      </c>
      <c r="I654" s="1" t="s">
        <v>113</v>
      </c>
      <c r="J654" s="1" t="s">
        <v>3019</v>
      </c>
      <c r="K654" s="1" t="s">
        <v>3095</v>
      </c>
      <c r="L654" s="1">
        <v>6060.0</v>
      </c>
      <c r="M654" s="1">
        <v>6068.0</v>
      </c>
      <c r="N654" s="1">
        <v>308.0</v>
      </c>
      <c r="O654" s="1">
        <v>2146.0</v>
      </c>
      <c r="P654" s="1">
        <v>2145.0</v>
      </c>
      <c r="Q654" s="1">
        <v>78.0</v>
      </c>
      <c r="R654" s="1">
        <v>2054.0</v>
      </c>
      <c r="S654" s="1">
        <v>292.0</v>
      </c>
      <c r="T654" s="1">
        <v>207.0</v>
      </c>
      <c r="U654" s="1">
        <v>355.0</v>
      </c>
      <c r="V654" s="1">
        <v>381.0</v>
      </c>
      <c r="W654" s="1">
        <v>29244.0</v>
      </c>
      <c r="X654" s="1">
        <v>3181.0</v>
      </c>
      <c r="Y654" s="1">
        <v>378.0</v>
      </c>
      <c r="Z654" s="1">
        <v>277.0</v>
      </c>
      <c r="AA654" s="1">
        <v>415.0</v>
      </c>
      <c r="AB654" s="1">
        <v>1662.0</v>
      </c>
      <c r="AC654" s="1">
        <v>223.0</v>
      </c>
      <c r="AD654" s="1">
        <v>226.0</v>
      </c>
      <c r="AE654" s="1">
        <v>43.0</v>
      </c>
      <c r="AF654" s="1">
        <v>428.0</v>
      </c>
      <c r="AG654" s="1">
        <v>14.0</v>
      </c>
      <c r="AH654" s="1">
        <v>163.0</v>
      </c>
      <c r="AI654" s="1">
        <v>29.0</v>
      </c>
      <c r="AJ654" s="1">
        <v>46.0</v>
      </c>
      <c r="AK654" s="1">
        <v>27.0</v>
      </c>
      <c r="AL654" s="1">
        <v>118.0</v>
      </c>
      <c r="AM654" s="1">
        <v>13.0</v>
      </c>
      <c r="AN654" s="1">
        <v>116.0</v>
      </c>
      <c r="AO654" s="1">
        <v>56.0</v>
      </c>
      <c r="AP654" s="1">
        <v>0.048304</v>
      </c>
      <c r="AQ654" s="1">
        <v>0.034155</v>
      </c>
      <c r="AR654" s="1">
        <v>0.097985</v>
      </c>
      <c r="AS654" s="1">
        <v>0.1048</v>
      </c>
      <c r="AT654" s="1">
        <v>29244.0</v>
      </c>
      <c r="AU654" s="1">
        <v>3181.0</v>
      </c>
      <c r="AV654" s="1">
        <v>0.101996</v>
      </c>
      <c r="AW654" s="1">
        <v>0.074562</v>
      </c>
      <c r="AX654" s="1">
        <v>0.068481</v>
      </c>
      <c r="AY654" s="1">
        <v>0.274257</v>
      </c>
      <c r="AZ654" s="1">
        <v>0.10856864</v>
      </c>
      <c r="BA654" s="1">
        <v>0.037293</v>
      </c>
      <c r="BB654" s="1">
        <v>0.007489</v>
      </c>
      <c r="BC654" s="1">
        <v>0.07455</v>
      </c>
      <c r="BD654" s="1">
        <v>0.006526</v>
      </c>
      <c r="BE654" s="1">
        <v>0.07599</v>
      </c>
      <c r="BF654" s="1">
        <v>0.013519</v>
      </c>
      <c r="BG654" s="1">
        <v>0.021439</v>
      </c>
      <c r="BH654" s="1">
        <v>0.013615</v>
      </c>
      <c r="BI654" s="1">
        <v>0.059502</v>
      </c>
      <c r="BJ654" s="1">
        <v>0.006555</v>
      </c>
      <c r="BK654" s="1">
        <v>0.058496</v>
      </c>
      <c r="BL654" s="1">
        <v>0.00924</v>
      </c>
      <c r="BM654" s="1">
        <v>0.159</v>
      </c>
      <c r="BN654" s="1">
        <v>0.721</v>
      </c>
      <c r="BO654" s="1">
        <v>0.2137</v>
      </c>
      <c r="BP654" s="1">
        <v>0.347</v>
      </c>
      <c r="BQ654" s="1">
        <v>1.4407</v>
      </c>
      <c r="BR654" s="1">
        <v>0.3271</v>
      </c>
      <c r="BS654" s="1">
        <v>0.079</v>
      </c>
      <c r="BT654" s="1">
        <v>0.815</v>
      </c>
      <c r="BU654" s="1">
        <v>0.569</v>
      </c>
      <c r="BV654" s="1">
        <v>1.463</v>
      </c>
      <c r="BW654" s="1">
        <v>0.448</v>
      </c>
      <c r="BX654" s="1">
        <v>0.14</v>
      </c>
      <c r="BY654" s="1">
        <v>0.649</v>
      </c>
      <c r="BZ654" s="1">
        <v>0.789</v>
      </c>
      <c r="CA654" s="1">
        <v>0.39</v>
      </c>
      <c r="CB654" s="1">
        <v>0.345</v>
      </c>
      <c r="CC654" s="1">
        <v>0.482</v>
      </c>
      <c r="CD654" s="1">
        <v>0.566</v>
      </c>
      <c r="CE654" s="1">
        <v>0.058</v>
      </c>
      <c r="CF654" s="1">
        <v>0.562</v>
      </c>
      <c r="CG654" s="1">
        <v>2.013</v>
      </c>
      <c r="CH654" s="1">
        <v>0.354</v>
      </c>
      <c r="CI654" s="1">
        <v>5.7057</v>
      </c>
      <c r="CJ654" s="1">
        <v>0.3227</v>
      </c>
      <c r="CK654" s="1">
        <v>0.0</v>
      </c>
      <c r="CL654" s="1">
        <v>0.0</v>
      </c>
      <c r="CM654" s="1">
        <v>0.0</v>
      </c>
      <c r="CN654" s="1">
        <v>0.0</v>
      </c>
      <c r="CO654" s="1">
        <v>0.0</v>
      </c>
      <c r="CP654" s="1">
        <v>0.0</v>
      </c>
      <c r="CQ654" s="1">
        <v>0.0</v>
      </c>
      <c r="CR654" s="1">
        <v>0.0</v>
      </c>
      <c r="CS654" s="1">
        <v>0.0</v>
      </c>
      <c r="CT654" s="1">
        <v>0.0</v>
      </c>
      <c r="CU654" s="1">
        <v>0.0</v>
      </c>
      <c r="CV654" s="1">
        <v>0.0</v>
      </c>
      <c r="CW654" s="1">
        <v>0.0</v>
      </c>
      <c r="CX654" s="1">
        <v>0.0</v>
      </c>
      <c r="CY654" s="1">
        <v>0.0</v>
      </c>
      <c r="CZ654" s="1">
        <v>0.0</v>
      </c>
      <c r="DA654" s="1">
        <v>0.0</v>
      </c>
      <c r="DB654" s="1">
        <v>0.0</v>
      </c>
      <c r="DC654" s="1">
        <v>0.0</v>
      </c>
      <c r="DD654" s="1" t="s">
        <v>3096</v>
      </c>
      <c r="DE654" s="1">
        <v>0.00215620726382669</v>
      </c>
      <c r="DF654" s="2" t="s">
        <v>3097</v>
      </c>
    </row>
    <row r="655" ht="15.75" customHeight="1">
      <c r="A655" s="1" t="s">
        <v>3098</v>
      </c>
      <c r="B655" s="1">
        <v>29.0</v>
      </c>
      <c r="C655" s="2" t="s">
        <v>3018</v>
      </c>
      <c r="D655" s="1">
        <v>700802.0</v>
      </c>
      <c r="E655" s="1">
        <v>4.741</v>
      </c>
      <c r="F655" s="1">
        <v>29099.0</v>
      </c>
      <c r="G655" s="1">
        <v>2.9099700802E10</v>
      </c>
      <c r="H655" s="1" t="s">
        <v>112</v>
      </c>
      <c r="I655" s="1" t="s">
        <v>113</v>
      </c>
      <c r="J655" s="1" t="s">
        <v>3019</v>
      </c>
      <c r="K655" s="1" t="s">
        <v>3099</v>
      </c>
      <c r="L655" s="1">
        <v>4371.0</v>
      </c>
      <c r="M655" s="1">
        <v>4013.0</v>
      </c>
      <c r="N655" s="1">
        <v>247.0</v>
      </c>
      <c r="O655" s="1">
        <v>1743.0</v>
      </c>
      <c r="P655" s="1">
        <v>1624.0</v>
      </c>
      <c r="Q655" s="1">
        <v>153.0</v>
      </c>
      <c r="R655" s="1">
        <v>1629.0</v>
      </c>
      <c r="S655" s="1">
        <v>519.0</v>
      </c>
      <c r="T655" s="1">
        <v>306.0</v>
      </c>
      <c r="U655" s="1">
        <v>107.0</v>
      </c>
      <c r="V655" s="1">
        <v>400.0</v>
      </c>
      <c r="W655" s="1">
        <v>26096.0</v>
      </c>
      <c r="X655" s="1">
        <v>3012.0</v>
      </c>
      <c r="Y655" s="1">
        <v>421.0</v>
      </c>
      <c r="Z655" s="1">
        <v>208.0</v>
      </c>
      <c r="AA655" s="1">
        <v>608.0</v>
      </c>
      <c r="AB655" s="1">
        <v>1147.0</v>
      </c>
      <c r="AC655" s="1">
        <v>183.0</v>
      </c>
      <c r="AD655" s="1">
        <v>241.0</v>
      </c>
      <c r="AE655" s="1">
        <v>17.0</v>
      </c>
      <c r="AF655" s="1">
        <v>442.0</v>
      </c>
      <c r="AG655" s="1">
        <v>171.0</v>
      </c>
      <c r="AH655" s="1">
        <v>144.0</v>
      </c>
      <c r="AI655" s="1">
        <v>33.0</v>
      </c>
      <c r="AJ655" s="1">
        <v>36.0</v>
      </c>
      <c r="AK655" s="1">
        <v>0.0</v>
      </c>
      <c r="AL655" s="1">
        <v>161.0</v>
      </c>
      <c r="AM655" s="1">
        <v>188.0</v>
      </c>
      <c r="AN655" s="1">
        <v>90.0</v>
      </c>
      <c r="AO655" s="1">
        <v>152.0</v>
      </c>
      <c r="AP655" s="1">
        <v>0.13001</v>
      </c>
      <c r="AQ655" s="1">
        <v>0.076233</v>
      </c>
      <c r="AR655" s="1">
        <v>0.055126</v>
      </c>
      <c r="AS655" s="1">
        <v>0.20591</v>
      </c>
      <c r="AT655" s="1">
        <v>26096.0</v>
      </c>
      <c r="AU655" s="1">
        <v>3012.0</v>
      </c>
      <c r="AV655" s="1">
        <v>0.157796</v>
      </c>
      <c r="AW655" s="1">
        <v>0.076936</v>
      </c>
      <c r="AX655" s="1">
        <v>0.139098</v>
      </c>
      <c r="AY655" s="1">
        <v>0.262411</v>
      </c>
      <c r="AZ655" s="1">
        <v>0.11233885</v>
      </c>
      <c r="BA655" s="1">
        <v>0.055136</v>
      </c>
      <c r="BB655" s="1">
        <v>0.004435</v>
      </c>
      <c r="BC655" s="1">
        <v>0.115313</v>
      </c>
      <c r="BD655" s="1">
        <v>0.105295</v>
      </c>
      <c r="BE655" s="1">
        <v>0.088113</v>
      </c>
      <c r="BF655" s="1">
        <v>0.02032</v>
      </c>
      <c r="BG655" s="1">
        <v>0.022084</v>
      </c>
      <c r="BH655" s="1">
        <v>0.0</v>
      </c>
      <c r="BI655" s="1">
        <v>0.104409</v>
      </c>
      <c r="BJ655" s="1">
        <v>0.121919</v>
      </c>
      <c r="BK655" s="1">
        <v>0.057064</v>
      </c>
      <c r="BL655" s="1">
        <v>0.034774</v>
      </c>
      <c r="BM655" s="1">
        <v>0.498</v>
      </c>
      <c r="BN655" s="1">
        <v>0.346</v>
      </c>
      <c r="BO655" s="1">
        <v>0.309</v>
      </c>
      <c r="BP655" s="1">
        <v>0.601</v>
      </c>
      <c r="BQ655" s="1">
        <v>1.754</v>
      </c>
      <c r="BR655" s="1">
        <v>0.4166</v>
      </c>
      <c r="BS655" s="1">
        <v>0.488</v>
      </c>
      <c r="BT655" s="1">
        <v>0.725</v>
      </c>
      <c r="BU655" s="1">
        <v>0.606</v>
      </c>
      <c r="BV655" s="1">
        <v>1.819</v>
      </c>
      <c r="BW655" s="1">
        <v>0.735</v>
      </c>
      <c r="BX655" s="1">
        <v>0.284</v>
      </c>
      <c r="BY655" s="1">
        <v>0.534</v>
      </c>
      <c r="BZ655" s="1">
        <v>0.818</v>
      </c>
      <c r="CA655" s="1">
        <v>0.413</v>
      </c>
      <c r="CB655" s="1">
        <v>0.78</v>
      </c>
      <c r="CC655" s="1">
        <v>0.512</v>
      </c>
      <c r="CD655" s="1">
        <v>0.0</v>
      </c>
      <c r="CE655" s="1">
        <v>0.813</v>
      </c>
      <c r="CF655" s="1">
        <v>0.838</v>
      </c>
      <c r="CG655" s="1">
        <v>2.943</v>
      </c>
      <c r="CH655" s="1">
        <v>0.751</v>
      </c>
      <c r="CI655" s="1">
        <v>7.334</v>
      </c>
      <c r="CJ655" s="1">
        <v>0.6152</v>
      </c>
      <c r="CK655" s="1">
        <v>0.0</v>
      </c>
      <c r="CL655" s="1">
        <v>0.0</v>
      </c>
      <c r="CM655" s="1">
        <v>0.0</v>
      </c>
      <c r="CN655" s="1">
        <v>0.0</v>
      </c>
      <c r="CO655" s="1">
        <v>0.0</v>
      </c>
      <c r="CP655" s="1">
        <v>0.0</v>
      </c>
      <c r="CQ655" s="1">
        <v>0.0</v>
      </c>
      <c r="CR655" s="1">
        <v>0.0</v>
      </c>
      <c r="CS655" s="1">
        <v>0.0</v>
      </c>
      <c r="CT655" s="1">
        <v>0.0</v>
      </c>
      <c r="CU655" s="1">
        <v>0.0</v>
      </c>
      <c r="CV655" s="1">
        <v>0.0</v>
      </c>
      <c r="CW655" s="1">
        <v>0.0</v>
      </c>
      <c r="CX655" s="1">
        <v>0.0</v>
      </c>
      <c r="CY655" s="1">
        <v>0.0</v>
      </c>
      <c r="CZ655" s="1">
        <v>0.0</v>
      </c>
      <c r="DA655" s="1">
        <v>0.0</v>
      </c>
      <c r="DB655" s="1">
        <v>0.0</v>
      </c>
      <c r="DC655" s="1">
        <v>0.0</v>
      </c>
      <c r="DD655" s="1" t="s">
        <v>3100</v>
      </c>
      <c r="DE655" s="1">
        <v>0.00126807162407168</v>
      </c>
      <c r="DF655" s="2" t="s">
        <v>3101</v>
      </c>
    </row>
    <row r="656" ht="15.75" customHeight="1">
      <c r="A656" s="1" t="s">
        <v>3102</v>
      </c>
      <c r="B656" s="1">
        <v>29.0</v>
      </c>
      <c r="C656" s="2" t="s">
        <v>3018</v>
      </c>
      <c r="D656" s="1">
        <v>700604.0</v>
      </c>
      <c r="E656" s="1">
        <v>25.767</v>
      </c>
      <c r="F656" s="1">
        <v>29099.0</v>
      </c>
      <c r="G656" s="1">
        <v>2.9099700604E10</v>
      </c>
      <c r="H656" s="1" t="s">
        <v>112</v>
      </c>
      <c r="I656" s="1" t="s">
        <v>113</v>
      </c>
      <c r="J656" s="1" t="s">
        <v>3019</v>
      </c>
      <c r="K656" s="1" t="s">
        <v>3103</v>
      </c>
      <c r="L656" s="1">
        <v>5964.0</v>
      </c>
      <c r="M656" s="1">
        <v>5586.0</v>
      </c>
      <c r="N656" s="1">
        <v>322.0</v>
      </c>
      <c r="O656" s="1">
        <v>2224.0</v>
      </c>
      <c r="P656" s="1">
        <v>2161.0</v>
      </c>
      <c r="Q656" s="1">
        <v>93.0</v>
      </c>
      <c r="R656" s="1">
        <v>2103.0</v>
      </c>
      <c r="S656" s="1">
        <v>343.0</v>
      </c>
      <c r="T656" s="1">
        <v>132.0</v>
      </c>
      <c r="U656" s="1">
        <v>209.0</v>
      </c>
      <c r="V656" s="1">
        <v>333.0</v>
      </c>
      <c r="W656" s="1">
        <v>28310.0</v>
      </c>
      <c r="X656" s="1">
        <v>2408.0</v>
      </c>
      <c r="Y656" s="1">
        <v>533.0</v>
      </c>
      <c r="Z656" s="1">
        <v>258.0</v>
      </c>
      <c r="AA656" s="1">
        <v>617.0</v>
      </c>
      <c r="AB656" s="1">
        <v>1500.0</v>
      </c>
      <c r="AC656" s="1">
        <v>189.0</v>
      </c>
      <c r="AD656" s="1">
        <v>167.0</v>
      </c>
      <c r="AE656" s="1">
        <v>31.0</v>
      </c>
      <c r="AF656" s="1">
        <v>444.0</v>
      </c>
      <c r="AG656" s="1">
        <v>0.0</v>
      </c>
      <c r="AH656" s="1">
        <v>197.0</v>
      </c>
      <c r="AI656" s="1">
        <v>136.0</v>
      </c>
      <c r="AJ656" s="1">
        <v>56.0</v>
      </c>
      <c r="AK656" s="1">
        <v>32.0</v>
      </c>
      <c r="AL656" s="1">
        <v>124.0</v>
      </c>
      <c r="AM656" s="1">
        <v>39.0</v>
      </c>
      <c r="AN656" s="1">
        <v>117.0</v>
      </c>
      <c r="AO656" s="1">
        <v>46.0</v>
      </c>
      <c r="AP656" s="1">
        <v>0.061735</v>
      </c>
      <c r="AQ656" s="1">
        <v>0.02349</v>
      </c>
      <c r="AR656" s="1">
        <v>0.071209</v>
      </c>
      <c r="AS656" s="1">
        <v>0.113326</v>
      </c>
      <c r="AT656" s="1">
        <v>28310.0</v>
      </c>
      <c r="AU656" s="1">
        <v>2408.0</v>
      </c>
      <c r="AV656" s="1">
        <v>0.14041</v>
      </c>
      <c r="AW656" s="1">
        <v>0.067574</v>
      </c>
      <c r="AX656" s="1">
        <v>0.103454</v>
      </c>
      <c r="AY656" s="1">
        <v>0.251509</v>
      </c>
      <c r="AZ656" s="1">
        <v>0.08987161</v>
      </c>
      <c r="BA656" s="1">
        <v>0.028001</v>
      </c>
      <c r="BB656" s="1">
        <v>0.005795</v>
      </c>
      <c r="BC656" s="1">
        <v>0.083005</v>
      </c>
      <c r="BD656" s="1">
        <v>0.0</v>
      </c>
      <c r="BE656" s="1">
        <v>0.091161</v>
      </c>
      <c r="BF656" s="1">
        <v>0.062933</v>
      </c>
      <c r="BG656" s="1">
        <v>0.025772</v>
      </c>
      <c r="BH656" s="1">
        <v>0.015873</v>
      </c>
      <c r="BI656" s="1">
        <v>0.061502</v>
      </c>
      <c r="BJ656" s="1">
        <v>0.019345</v>
      </c>
      <c r="BK656" s="1">
        <v>0.058027</v>
      </c>
      <c r="BL656" s="1">
        <v>0.007712</v>
      </c>
      <c r="BM656" s="1">
        <v>0.212</v>
      </c>
      <c r="BN656" s="1">
        <v>0.525</v>
      </c>
      <c r="BO656" s="1">
        <v>0.2397</v>
      </c>
      <c r="BP656" s="1">
        <v>0.524</v>
      </c>
      <c r="BQ656" s="1">
        <v>1.5007</v>
      </c>
      <c r="BR656" s="1">
        <v>0.3408</v>
      </c>
      <c r="BS656" s="1">
        <v>0.233</v>
      </c>
      <c r="BT656" s="1">
        <v>0.619</v>
      </c>
      <c r="BU656" s="1">
        <v>0.397</v>
      </c>
      <c r="BV656" s="1">
        <v>1.249</v>
      </c>
      <c r="BW656" s="1">
        <v>0.266</v>
      </c>
      <c r="BX656" s="1">
        <v>0.066</v>
      </c>
      <c r="BY656" s="1">
        <v>0.587</v>
      </c>
      <c r="BZ656" s="1">
        <v>0.653</v>
      </c>
      <c r="CA656" s="1">
        <v>0.304</v>
      </c>
      <c r="CB656" s="1">
        <v>0.0</v>
      </c>
      <c r="CC656" s="1">
        <v>0.632</v>
      </c>
      <c r="CD656" s="1">
        <v>0.613</v>
      </c>
      <c r="CE656" s="1">
        <v>0.176</v>
      </c>
      <c r="CF656" s="1">
        <v>0.548</v>
      </c>
      <c r="CG656" s="1">
        <v>1.969</v>
      </c>
      <c r="CH656" s="1">
        <v>0.335</v>
      </c>
      <c r="CI656" s="1">
        <v>5.3717</v>
      </c>
      <c r="CJ656" s="1">
        <v>0.2599</v>
      </c>
      <c r="CK656" s="1">
        <v>0.0</v>
      </c>
      <c r="CL656" s="1">
        <v>0.0</v>
      </c>
      <c r="CM656" s="1">
        <v>0.0</v>
      </c>
      <c r="CN656" s="1">
        <v>0.0</v>
      </c>
      <c r="CO656" s="1">
        <v>0.0</v>
      </c>
      <c r="CP656" s="1">
        <v>0.0</v>
      </c>
      <c r="CQ656" s="1">
        <v>0.0</v>
      </c>
      <c r="CR656" s="1">
        <v>0.0</v>
      </c>
      <c r="CS656" s="1">
        <v>0.0</v>
      </c>
      <c r="CT656" s="1">
        <v>0.0</v>
      </c>
      <c r="CU656" s="1">
        <v>0.0</v>
      </c>
      <c r="CV656" s="1">
        <v>0.0</v>
      </c>
      <c r="CW656" s="1">
        <v>0.0</v>
      </c>
      <c r="CX656" s="1">
        <v>0.0</v>
      </c>
      <c r="CY656" s="1">
        <v>0.0</v>
      </c>
      <c r="CZ656" s="1">
        <v>0.0</v>
      </c>
      <c r="DA656" s="1">
        <v>0.0</v>
      </c>
      <c r="DB656" s="1">
        <v>0.0</v>
      </c>
      <c r="DC656" s="1">
        <v>0.0</v>
      </c>
      <c r="DD656" s="1" t="s">
        <v>3104</v>
      </c>
      <c r="DE656" s="1">
        <v>0.00689261075683927</v>
      </c>
      <c r="DF656" s="2" t="s">
        <v>3105</v>
      </c>
    </row>
    <row r="657" ht="15.75" customHeight="1">
      <c r="A657" s="1" t="s">
        <v>3106</v>
      </c>
      <c r="B657" s="1">
        <v>29.0</v>
      </c>
      <c r="C657" s="2" t="s">
        <v>3018</v>
      </c>
      <c r="D657" s="1">
        <v>700605.0</v>
      </c>
      <c r="E657" s="1">
        <v>20.946</v>
      </c>
      <c r="F657" s="1">
        <v>29099.0</v>
      </c>
      <c r="G657" s="1">
        <v>2.9099700605E10</v>
      </c>
      <c r="H657" s="1" t="s">
        <v>112</v>
      </c>
      <c r="I657" s="1" t="s">
        <v>113</v>
      </c>
      <c r="J657" s="1" t="s">
        <v>3019</v>
      </c>
      <c r="K657" s="1" t="s">
        <v>3107</v>
      </c>
      <c r="L657" s="1">
        <v>6149.0</v>
      </c>
      <c r="M657" s="1">
        <v>6007.0</v>
      </c>
      <c r="N657" s="1">
        <v>410.0</v>
      </c>
      <c r="O657" s="1">
        <v>2437.0</v>
      </c>
      <c r="P657" s="1">
        <v>2355.0</v>
      </c>
      <c r="Q657" s="1">
        <v>119.0</v>
      </c>
      <c r="R657" s="1">
        <v>2261.0</v>
      </c>
      <c r="S657" s="1">
        <v>838.0</v>
      </c>
      <c r="T657" s="1">
        <v>272.0</v>
      </c>
      <c r="U657" s="1">
        <v>262.0</v>
      </c>
      <c r="V657" s="1">
        <v>379.0</v>
      </c>
      <c r="W657" s="1">
        <v>21407.0</v>
      </c>
      <c r="X657" s="1">
        <v>2255.0</v>
      </c>
      <c r="Y657" s="1">
        <v>763.0</v>
      </c>
      <c r="Z657" s="1">
        <v>318.0</v>
      </c>
      <c r="AA657" s="1">
        <v>641.0</v>
      </c>
      <c r="AB657" s="1">
        <v>1755.0</v>
      </c>
      <c r="AC657" s="1">
        <v>308.0</v>
      </c>
      <c r="AD657" s="1">
        <v>251.0</v>
      </c>
      <c r="AE657" s="1">
        <v>6.0</v>
      </c>
      <c r="AF657" s="1">
        <v>442.0</v>
      </c>
      <c r="AG657" s="1">
        <v>81.0</v>
      </c>
      <c r="AH657" s="1">
        <v>124.0</v>
      </c>
      <c r="AI657" s="1">
        <v>668.0</v>
      </c>
      <c r="AJ657" s="1">
        <v>154.0</v>
      </c>
      <c r="AK657" s="1">
        <v>82.0</v>
      </c>
      <c r="AL657" s="1">
        <v>123.0</v>
      </c>
      <c r="AM657" s="1">
        <v>47.0</v>
      </c>
      <c r="AN657" s="1">
        <v>34.0</v>
      </c>
      <c r="AO657" s="1">
        <v>5.0</v>
      </c>
      <c r="AP657" s="1">
        <v>0.139969</v>
      </c>
      <c r="AQ657" s="1">
        <v>0.044404</v>
      </c>
      <c r="AR657" s="1">
        <v>0.088964</v>
      </c>
      <c r="AS657" s="1">
        <v>0.128324</v>
      </c>
      <c r="AT657" s="1">
        <v>21407.0</v>
      </c>
      <c r="AU657" s="1">
        <v>2255.0</v>
      </c>
      <c r="AV657" s="1">
        <v>0.204502</v>
      </c>
      <c r="AW657" s="1">
        <v>0.084277</v>
      </c>
      <c r="AX657" s="1">
        <v>0.104244</v>
      </c>
      <c r="AY657" s="1">
        <v>0.285412</v>
      </c>
      <c r="AZ657" s="1">
        <v>0.13622291</v>
      </c>
      <c r="BA657" s="1">
        <v>0.040819</v>
      </c>
      <c r="BB657" s="1">
        <v>0.001072</v>
      </c>
      <c r="BC657" s="1">
        <v>0.078999</v>
      </c>
      <c r="BD657" s="1">
        <v>0.034394</v>
      </c>
      <c r="BE657" s="1">
        <v>0.052625</v>
      </c>
      <c r="BF657" s="1">
        <v>0.283651</v>
      </c>
      <c r="BG657" s="1">
        <v>0.063802</v>
      </c>
      <c r="BH657" s="1">
        <v>0.038389</v>
      </c>
      <c r="BI657" s="1">
        <v>0.05755</v>
      </c>
      <c r="BJ657" s="1">
        <v>0.022003</v>
      </c>
      <c r="BK657" s="1">
        <v>0.015877</v>
      </c>
      <c r="BL657" s="1">
        <v>8.13E-4</v>
      </c>
      <c r="BM657" s="1">
        <v>0.544</v>
      </c>
      <c r="BN657" s="1">
        <v>0.676</v>
      </c>
      <c r="BO657" s="1">
        <v>0.5292</v>
      </c>
      <c r="BP657" s="1">
        <v>0.763</v>
      </c>
      <c r="BQ657" s="1">
        <v>2.5122</v>
      </c>
      <c r="BR657" s="1">
        <v>0.6679</v>
      </c>
      <c r="BS657" s="1">
        <v>0.238</v>
      </c>
      <c r="BT657" s="1">
        <v>0.871</v>
      </c>
      <c r="BU657" s="1">
        <v>0.745</v>
      </c>
      <c r="BV657" s="1">
        <v>1.854</v>
      </c>
      <c r="BW657" s="1">
        <v>0.771</v>
      </c>
      <c r="BX657" s="1">
        <v>0.169</v>
      </c>
      <c r="BY657" s="1">
        <v>0.335</v>
      </c>
      <c r="BZ657" s="1">
        <v>0.504</v>
      </c>
      <c r="CA657" s="1">
        <v>0.21</v>
      </c>
      <c r="CB657" s="1">
        <v>0.576</v>
      </c>
      <c r="CC657" s="1">
        <v>0.977</v>
      </c>
      <c r="CD657" s="1">
        <v>0.883</v>
      </c>
      <c r="CE657" s="1">
        <v>0.202</v>
      </c>
      <c r="CF657" s="1">
        <v>0.385</v>
      </c>
      <c r="CG657" s="1">
        <v>3.023</v>
      </c>
      <c r="CH657" s="1">
        <v>0.786</v>
      </c>
      <c r="CI657" s="1">
        <v>7.8932</v>
      </c>
      <c r="CJ657" s="1">
        <v>0.696</v>
      </c>
      <c r="CK657" s="1">
        <v>0.0</v>
      </c>
      <c r="CL657" s="1">
        <v>0.0</v>
      </c>
      <c r="CM657" s="1">
        <v>0.0</v>
      </c>
      <c r="CN657" s="1">
        <v>0.0</v>
      </c>
      <c r="CO657" s="1">
        <v>0.0</v>
      </c>
      <c r="CP657" s="1">
        <v>0.0</v>
      </c>
      <c r="CQ657" s="1">
        <v>0.0</v>
      </c>
      <c r="CR657" s="1">
        <v>0.0</v>
      </c>
      <c r="CS657" s="1">
        <v>0.0</v>
      </c>
      <c r="CT657" s="1">
        <v>0.0</v>
      </c>
      <c r="CU657" s="1">
        <v>0.0</v>
      </c>
      <c r="CV657" s="1">
        <v>0.0</v>
      </c>
      <c r="CW657" s="1">
        <v>0.0</v>
      </c>
      <c r="CX657" s="1">
        <v>1.0</v>
      </c>
      <c r="CY657" s="1">
        <v>0.0</v>
      </c>
      <c r="CZ657" s="1">
        <v>0.0</v>
      </c>
      <c r="DA657" s="1">
        <v>0.0</v>
      </c>
      <c r="DB657" s="1">
        <v>1.0</v>
      </c>
      <c r="DC657" s="1">
        <v>1.0</v>
      </c>
      <c r="DD657" s="1" t="s">
        <v>3108</v>
      </c>
      <c r="DE657" s="1">
        <v>0.00560299221276312</v>
      </c>
      <c r="DF657" s="2" t="s">
        <v>3109</v>
      </c>
    </row>
    <row r="658" ht="15.75" customHeight="1">
      <c r="A658" s="1" t="s">
        <v>3110</v>
      </c>
      <c r="B658" s="1">
        <v>29.0</v>
      </c>
      <c r="C658" s="2" t="s">
        <v>3018</v>
      </c>
      <c r="D658" s="1">
        <v>700700.0</v>
      </c>
      <c r="E658" s="1">
        <v>5.593</v>
      </c>
      <c r="F658" s="1">
        <v>29099.0</v>
      </c>
      <c r="G658" s="1">
        <v>2.90997007E10</v>
      </c>
      <c r="H658" s="1" t="s">
        <v>112</v>
      </c>
      <c r="I658" s="1" t="s">
        <v>113</v>
      </c>
      <c r="J658" s="1" t="s">
        <v>3019</v>
      </c>
      <c r="K658" s="1" t="s">
        <v>3111</v>
      </c>
      <c r="L658" s="1">
        <v>4736.0</v>
      </c>
      <c r="M658" s="1">
        <v>4732.0</v>
      </c>
      <c r="N658" s="1">
        <v>198.0</v>
      </c>
      <c r="O658" s="1">
        <v>2087.0</v>
      </c>
      <c r="P658" s="1">
        <v>2124.0</v>
      </c>
      <c r="Q658" s="1">
        <v>210.0</v>
      </c>
      <c r="R658" s="1">
        <v>1899.0</v>
      </c>
      <c r="S658" s="1">
        <v>450.0</v>
      </c>
      <c r="T658" s="1">
        <v>210.0</v>
      </c>
      <c r="U658" s="1">
        <v>136.0</v>
      </c>
      <c r="V658" s="1">
        <v>384.0</v>
      </c>
      <c r="W658" s="1">
        <v>26173.0</v>
      </c>
      <c r="X658" s="1">
        <v>2957.0</v>
      </c>
      <c r="Y658" s="1">
        <v>579.0</v>
      </c>
      <c r="Z658" s="1">
        <v>258.0</v>
      </c>
      <c r="AA658" s="1">
        <v>774.0</v>
      </c>
      <c r="AB658" s="1">
        <v>1225.0</v>
      </c>
      <c r="AC658" s="1">
        <v>246.0</v>
      </c>
      <c r="AD658" s="1">
        <v>367.0</v>
      </c>
      <c r="AE658" s="1">
        <v>0.0</v>
      </c>
      <c r="AF658" s="1">
        <v>456.0</v>
      </c>
      <c r="AG658" s="1">
        <v>80.0</v>
      </c>
      <c r="AH658" s="1">
        <v>128.0</v>
      </c>
      <c r="AI658" s="1">
        <v>137.0</v>
      </c>
      <c r="AJ658" s="1">
        <v>53.0</v>
      </c>
      <c r="AK658" s="1">
        <v>24.0</v>
      </c>
      <c r="AL658" s="1">
        <v>117.0</v>
      </c>
      <c r="AM658" s="1">
        <v>211.0</v>
      </c>
      <c r="AN658" s="1">
        <v>114.0</v>
      </c>
      <c r="AO658" s="1">
        <v>79.0</v>
      </c>
      <c r="AP658" s="1">
        <v>0.096401</v>
      </c>
      <c r="AQ658" s="1">
        <v>0.04474</v>
      </c>
      <c r="AR658" s="1">
        <v>0.053882</v>
      </c>
      <c r="AS658" s="1">
        <v>0.151998</v>
      </c>
      <c r="AT658" s="1">
        <v>26173.0</v>
      </c>
      <c r="AU658" s="1">
        <v>2957.0</v>
      </c>
      <c r="AV658" s="1">
        <v>0.177989</v>
      </c>
      <c r="AW658" s="1">
        <v>0.078132</v>
      </c>
      <c r="AX658" s="1">
        <v>0.163429</v>
      </c>
      <c r="AY658" s="1">
        <v>0.258657</v>
      </c>
      <c r="AZ658" s="1">
        <v>0.12954186</v>
      </c>
      <c r="BA658" s="1">
        <v>0.077491</v>
      </c>
      <c r="BB658" s="1">
        <v>0.0</v>
      </c>
      <c r="BC658" s="1">
        <v>0.100684</v>
      </c>
      <c r="BD658" s="1">
        <v>0.037664</v>
      </c>
      <c r="BE658" s="1">
        <v>0.060148</v>
      </c>
      <c r="BF658" s="1">
        <v>0.0645</v>
      </c>
      <c r="BG658" s="1">
        <v>0.024124</v>
      </c>
      <c r="BH658" s="1">
        <v>0.012054</v>
      </c>
      <c r="BI658" s="1">
        <v>0.058753</v>
      </c>
      <c r="BJ658" s="1">
        <v>0.105976</v>
      </c>
      <c r="BK658" s="1">
        <v>0.056366</v>
      </c>
      <c r="BL658" s="1">
        <v>0.01668</v>
      </c>
      <c r="BM658" s="1">
        <v>0.358</v>
      </c>
      <c r="BN658" s="1">
        <v>0.337</v>
      </c>
      <c r="BO658" s="1">
        <v>0.3061</v>
      </c>
      <c r="BP658" s="1">
        <v>0.679</v>
      </c>
      <c r="BQ658" s="1">
        <v>1.6801</v>
      </c>
      <c r="BR658" s="1">
        <v>0.3971</v>
      </c>
      <c r="BS658" s="1">
        <v>0.694</v>
      </c>
      <c r="BT658" s="1">
        <v>0.692</v>
      </c>
      <c r="BU658" s="1">
        <v>0.712</v>
      </c>
      <c r="BV658" s="1">
        <v>2.098</v>
      </c>
      <c r="BW658" s="1">
        <v>0.915</v>
      </c>
      <c r="BX658" s="1">
        <v>0.387</v>
      </c>
      <c r="BY658" s="1">
        <v>0.0</v>
      </c>
      <c r="BZ658" s="1">
        <v>0.387</v>
      </c>
      <c r="CA658" s="1">
        <v>0.158</v>
      </c>
      <c r="CB658" s="1">
        <v>0.597</v>
      </c>
      <c r="CC658" s="1">
        <v>0.637</v>
      </c>
      <c r="CD658" s="1">
        <v>0.53</v>
      </c>
      <c r="CE658" s="1">
        <v>0.767</v>
      </c>
      <c r="CF658" s="1">
        <v>0.67</v>
      </c>
      <c r="CG658" s="1">
        <v>3.201</v>
      </c>
      <c r="CH658" s="1">
        <v>0.843</v>
      </c>
      <c r="CI658" s="1">
        <v>7.3661</v>
      </c>
      <c r="CJ658" s="1">
        <v>0.6209</v>
      </c>
      <c r="CK658" s="1">
        <v>0.0</v>
      </c>
      <c r="CL658" s="1">
        <v>0.0</v>
      </c>
      <c r="CM658" s="1">
        <v>0.0</v>
      </c>
      <c r="CN658" s="1">
        <v>0.0</v>
      </c>
      <c r="CO658" s="1">
        <v>0.0</v>
      </c>
      <c r="CP658" s="1">
        <v>0.0</v>
      </c>
      <c r="CQ658" s="1">
        <v>0.0</v>
      </c>
      <c r="CR658" s="1">
        <v>0.0</v>
      </c>
      <c r="CS658" s="1">
        <v>0.0</v>
      </c>
      <c r="CT658" s="1">
        <v>0.0</v>
      </c>
      <c r="CU658" s="1">
        <v>0.0</v>
      </c>
      <c r="CV658" s="1">
        <v>0.0</v>
      </c>
      <c r="CW658" s="1">
        <v>0.0</v>
      </c>
      <c r="CX658" s="1">
        <v>0.0</v>
      </c>
      <c r="CY658" s="1">
        <v>0.0</v>
      </c>
      <c r="CZ658" s="1">
        <v>0.0</v>
      </c>
      <c r="DA658" s="1">
        <v>0.0</v>
      </c>
      <c r="DB658" s="1">
        <v>0.0</v>
      </c>
      <c r="DC658" s="1">
        <v>0.0</v>
      </c>
      <c r="DD658" s="1" t="s">
        <v>3112</v>
      </c>
      <c r="DE658" s="1">
        <v>0.00165797060492451</v>
      </c>
      <c r="DF658" s="2" t="s">
        <v>3113</v>
      </c>
    </row>
    <row r="659" ht="15.75" customHeight="1">
      <c r="A659" s="1" t="s">
        <v>3114</v>
      </c>
      <c r="B659" s="1">
        <v>29.0</v>
      </c>
      <c r="C659" s="2" t="s">
        <v>3018</v>
      </c>
      <c r="D659" s="1">
        <v>700900.0</v>
      </c>
      <c r="E659" s="1">
        <v>8.747</v>
      </c>
      <c r="F659" s="1">
        <v>29099.0</v>
      </c>
      <c r="G659" s="1">
        <v>2.90997009E10</v>
      </c>
      <c r="H659" s="1" t="s">
        <v>112</v>
      </c>
      <c r="I659" s="1" t="s">
        <v>113</v>
      </c>
      <c r="J659" s="1" t="s">
        <v>3019</v>
      </c>
      <c r="K659" s="1" t="s">
        <v>3115</v>
      </c>
      <c r="L659" s="1">
        <v>5340.0</v>
      </c>
      <c r="M659" s="1">
        <v>4994.0</v>
      </c>
      <c r="N659" s="1">
        <v>387.0</v>
      </c>
      <c r="O659" s="1">
        <v>2317.0</v>
      </c>
      <c r="P659" s="1">
        <v>2075.0</v>
      </c>
      <c r="Q659" s="1">
        <v>129.0</v>
      </c>
      <c r="R659" s="1">
        <v>2162.0</v>
      </c>
      <c r="S659" s="1">
        <v>803.0</v>
      </c>
      <c r="T659" s="1">
        <v>320.0</v>
      </c>
      <c r="U659" s="1">
        <v>138.0</v>
      </c>
      <c r="V659" s="1">
        <v>419.0</v>
      </c>
      <c r="W659" s="1">
        <v>19977.0</v>
      </c>
      <c r="X659" s="1">
        <v>1944.0</v>
      </c>
      <c r="Y659" s="1">
        <v>369.0</v>
      </c>
      <c r="Z659" s="1">
        <v>332.0</v>
      </c>
      <c r="AA659" s="1">
        <v>810.0</v>
      </c>
      <c r="AB659" s="1">
        <v>1319.0</v>
      </c>
      <c r="AC659" s="1">
        <v>304.0</v>
      </c>
      <c r="AD659" s="1">
        <v>452.0</v>
      </c>
      <c r="AE659" s="1">
        <v>0.0</v>
      </c>
      <c r="AF659" s="1">
        <v>456.0</v>
      </c>
      <c r="AG659" s="1">
        <v>94.0</v>
      </c>
      <c r="AH659" s="1">
        <v>136.0</v>
      </c>
      <c r="AI659" s="1">
        <v>136.0</v>
      </c>
      <c r="AJ659" s="1">
        <v>82.0</v>
      </c>
      <c r="AK659" s="1">
        <v>31.0</v>
      </c>
      <c r="AL659" s="1">
        <v>119.0</v>
      </c>
      <c r="AM659" s="1">
        <v>185.0</v>
      </c>
      <c r="AN659" s="1">
        <v>74.0</v>
      </c>
      <c r="AO659" s="1">
        <v>121.0</v>
      </c>
      <c r="AP659" s="1">
        <v>0.166149</v>
      </c>
      <c r="AQ659" s="1">
        <v>0.064775</v>
      </c>
      <c r="AR659" s="1">
        <v>0.0591</v>
      </c>
      <c r="AS659" s="1">
        <v>0.179264</v>
      </c>
      <c r="AT659" s="1">
        <v>19977.0</v>
      </c>
      <c r="AU659" s="1">
        <v>1944.0</v>
      </c>
      <c r="AV659" s="1">
        <v>0.114667</v>
      </c>
      <c r="AW659" s="1">
        <v>0.102784</v>
      </c>
      <c r="AX659" s="1">
        <v>0.151685</v>
      </c>
      <c r="AY659" s="1">
        <v>0.247003</v>
      </c>
      <c r="AZ659" s="1">
        <v>0.14061054</v>
      </c>
      <c r="BA659" s="1">
        <v>0.084644</v>
      </c>
      <c r="BB659" s="1">
        <v>0.0</v>
      </c>
      <c r="BC659" s="1">
        <v>0.101198</v>
      </c>
      <c r="BD659" s="1">
        <v>0.045301</v>
      </c>
      <c r="BE659" s="1">
        <v>0.065481</v>
      </c>
      <c r="BF659" s="1">
        <v>0.065542</v>
      </c>
      <c r="BG659" s="1">
        <v>0.039307</v>
      </c>
      <c r="BH659" s="1">
        <v>0.01557</v>
      </c>
      <c r="BI659" s="1">
        <v>0.059757</v>
      </c>
      <c r="BJ659" s="1">
        <v>0.092918</v>
      </c>
      <c r="BK659" s="1">
        <v>0.036519</v>
      </c>
      <c r="BL659" s="1">
        <v>0.022659</v>
      </c>
      <c r="BM659" s="1">
        <v>0.629</v>
      </c>
      <c r="BN659" s="1">
        <v>0.406</v>
      </c>
      <c r="BO659" s="1">
        <v>0.6173</v>
      </c>
      <c r="BP659" s="1">
        <v>0.406</v>
      </c>
      <c r="BQ659" s="1">
        <v>2.0583</v>
      </c>
      <c r="BR659" s="1">
        <v>0.5177</v>
      </c>
      <c r="BS659" s="1">
        <v>0.594</v>
      </c>
      <c r="BT659" s="1">
        <v>0.566</v>
      </c>
      <c r="BU659" s="1">
        <v>0.759</v>
      </c>
      <c r="BV659" s="1">
        <v>1.919</v>
      </c>
      <c r="BW659" s="1">
        <v>0.813</v>
      </c>
      <c r="BX659" s="1">
        <v>0.41</v>
      </c>
      <c r="BY659" s="1">
        <v>0.0</v>
      </c>
      <c r="BZ659" s="1">
        <v>0.41</v>
      </c>
      <c r="CA659" s="1">
        <v>0.168</v>
      </c>
      <c r="CB659" s="1">
        <v>0.633</v>
      </c>
      <c r="CC659" s="1">
        <v>0.64</v>
      </c>
      <c r="CD659" s="1">
        <v>0.607</v>
      </c>
      <c r="CE659" s="1">
        <v>0.73</v>
      </c>
      <c r="CF659" s="1">
        <v>0.744</v>
      </c>
      <c r="CG659" s="1">
        <v>3.354</v>
      </c>
      <c r="CH659" s="1">
        <v>0.894</v>
      </c>
      <c r="CI659" s="1">
        <v>7.7413</v>
      </c>
      <c r="CJ659" s="1">
        <v>0.6765</v>
      </c>
      <c r="CK659" s="1">
        <v>0.0</v>
      </c>
      <c r="CL659" s="1">
        <v>0.0</v>
      </c>
      <c r="CM659" s="1">
        <v>0.0</v>
      </c>
      <c r="CN659" s="1">
        <v>0.0</v>
      </c>
      <c r="CO659" s="1">
        <v>0.0</v>
      </c>
      <c r="CP659" s="1">
        <v>0.0</v>
      </c>
      <c r="CQ659" s="1">
        <v>0.0</v>
      </c>
      <c r="CR659" s="1">
        <v>0.0</v>
      </c>
      <c r="CS659" s="1">
        <v>0.0</v>
      </c>
      <c r="CT659" s="1">
        <v>0.0</v>
      </c>
      <c r="CU659" s="1">
        <v>0.0</v>
      </c>
      <c r="CV659" s="1">
        <v>0.0</v>
      </c>
      <c r="CW659" s="1">
        <v>0.0</v>
      </c>
      <c r="CX659" s="1">
        <v>0.0</v>
      </c>
      <c r="CY659" s="1">
        <v>0.0</v>
      </c>
      <c r="CZ659" s="1">
        <v>0.0</v>
      </c>
      <c r="DA659" s="1">
        <v>0.0</v>
      </c>
      <c r="DB659" s="1">
        <v>0.0</v>
      </c>
      <c r="DC659" s="1">
        <v>0.0</v>
      </c>
      <c r="DD659" s="1" t="s">
        <v>3116</v>
      </c>
      <c r="DE659" s="1">
        <v>0.00232935940238253</v>
      </c>
      <c r="DF659" s="2" t="s">
        <v>3117</v>
      </c>
    </row>
    <row r="660" ht="15.75" customHeight="1">
      <c r="A660" s="1" t="s">
        <v>3118</v>
      </c>
      <c r="B660" s="1">
        <v>29.0</v>
      </c>
      <c r="C660" s="2" t="s">
        <v>3018</v>
      </c>
      <c r="D660" s="1">
        <v>701200.0</v>
      </c>
      <c r="E660" s="1">
        <v>8.814</v>
      </c>
      <c r="F660" s="1">
        <v>29099.0</v>
      </c>
      <c r="G660" s="1">
        <v>2.90997012E10</v>
      </c>
      <c r="H660" s="1" t="s">
        <v>112</v>
      </c>
      <c r="I660" s="1" t="s">
        <v>113</v>
      </c>
      <c r="J660" s="1" t="s">
        <v>3019</v>
      </c>
      <c r="K660" s="1" t="s">
        <v>3119</v>
      </c>
      <c r="L660" s="1">
        <v>5856.0</v>
      </c>
      <c r="M660" s="1">
        <v>5890.0</v>
      </c>
      <c r="N660" s="1">
        <v>269.0</v>
      </c>
      <c r="O660" s="1">
        <v>2632.0</v>
      </c>
      <c r="P660" s="1">
        <v>2511.0</v>
      </c>
      <c r="Q660" s="1">
        <v>207.0</v>
      </c>
      <c r="R660" s="1">
        <v>2381.0</v>
      </c>
      <c r="S660" s="1">
        <v>1227.0</v>
      </c>
      <c r="T660" s="1">
        <v>459.0</v>
      </c>
      <c r="U660" s="1">
        <v>230.0</v>
      </c>
      <c r="V660" s="1">
        <v>430.0</v>
      </c>
      <c r="W660" s="1">
        <v>17582.0</v>
      </c>
      <c r="X660" s="1">
        <v>1928.0</v>
      </c>
      <c r="Y660" s="1">
        <v>740.0</v>
      </c>
      <c r="Z660" s="1">
        <v>316.0</v>
      </c>
      <c r="AA660" s="1">
        <v>960.0</v>
      </c>
      <c r="AB660" s="1">
        <v>1439.0</v>
      </c>
      <c r="AC660" s="1">
        <v>345.0</v>
      </c>
      <c r="AD660" s="1">
        <v>227.0</v>
      </c>
      <c r="AE660" s="1">
        <v>21.0</v>
      </c>
      <c r="AF660" s="1">
        <v>443.0</v>
      </c>
      <c r="AG660" s="1">
        <v>95.0</v>
      </c>
      <c r="AH660" s="1">
        <v>60.0</v>
      </c>
      <c r="AI660" s="1">
        <v>77.0</v>
      </c>
      <c r="AJ660" s="1">
        <v>93.0</v>
      </c>
      <c r="AK660" s="1">
        <v>77.0</v>
      </c>
      <c r="AL660" s="1">
        <v>142.0</v>
      </c>
      <c r="AM660" s="1">
        <v>234.0</v>
      </c>
      <c r="AN660" s="1">
        <v>114.0</v>
      </c>
      <c r="AO660" s="1">
        <v>143.0</v>
      </c>
      <c r="AP660" s="1">
        <v>0.210679</v>
      </c>
      <c r="AQ660" s="1">
        <v>0.078124</v>
      </c>
      <c r="AR660" s="1">
        <v>0.084589</v>
      </c>
      <c r="AS660" s="1">
        <v>0.157621</v>
      </c>
      <c r="AT660" s="1">
        <v>17582.0</v>
      </c>
      <c r="AU660" s="1">
        <v>1928.0</v>
      </c>
      <c r="AV660" s="1">
        <v>0.185231</v>
      </c>
      <c r="AW660" s="1">
        <v>0.077703</v>
      </c>
      <c r="AX660" s="1">
        <v>0.163934</v>
      </c>
      <c r="AY660" s="1">
        <v>0.24573</v>
      </c>
      <c r="AZ660" s="1">
        <v>0.1448971</v>
      </c>
      <c r="BA660" s="1">
        <v>0.038763</v>
      </c>
      <c r="BB660" s="1">
        <v>0.003831</v>
      </c>
      <c r="BC660" s="1">
        <v>0.080824</v>
      </c>
      <c r="BD660" s="1">
        <v>0.037833</v>
      </c>
      <c r="BE660" s="1">
        <v>0.02369</v>
      </c>
      <c r="BF660" s="1">
        <v>0.030665</v>
      </c>
      <c r="BG660" s="1">
        <v>0.03695</v>
      </c>
      <c r="BH660" s="1">
        <v>0.033347</v>
      </c>
      <c r="BI660" s="1">
        <v>0.061442</v>
      </c>
      <c r="BJ660" s="1">
        <v>0.101342</v>
      </c>
      <c r="BK660" s="1">
        <v>0.048721</v>
      </c>
      <c r="BL660" s="1">
        <v>0.024419</v>
      </c>
      <c r="BM660" s="1">
        <v>0.752</v>
      </c>
      <c r="BN660" s="1">
        <v>0.646</v>
      </c>
      <c r="BO660" s="1">
        <v>0.7531</v>
      </c>
      <c r="BP660" s="1">
        <v>0.706</v>
      </c>
      <c r="BQ660" s="1">
        <v>2.8571</v>
      </c>
      <c r="BR660" s="1">
        <v>0.7661</v>
      </c>
      <c r="BS660" s="1">
        <v>0.698</v>
      </c>
      <c r="BT660" s="1">
        <v>0.554</v>
      </c>
      <c r="BU660" s="1">
        <v>0.779</v>
      </c>
      <c r="BV660" s="1">
        <v>2.031</v>
      </c>
      <c r="BW660" s="1">
        <v>0.877</v>
      </c>
      <c r="BX660" s="1">
        <v>0.154</v>
      </c>
      <c r="BY660" s="1">
        <v>0.502</v>
      </c>
      <c r="BZ660" s="1">
        <v>0.656</v>
      </c>
      <c r="CA660" s="1">
        <v>0.307</v>
      </c>
      <c r="CB660" s="1">
        <v>0.6</v>
      </c>
      <c r="CC660" s="1">
        <v>0.553</v>
      </c>
      <c r="CD660" s="1">
        <v>0.846</v>
      </c>
      <c r="CE660" s="1">
        <v>0.757</v>
      </c>
      <c r="CF660" s="1">
        <v>0.763</v>
      </c>
      <c r="CG660" s="1">
        <v>3.519</v>
      </c>
      <c r="CH660" s="1">
        <v>0.938</v>
      </c>
      <c r="CI660" s="1">
        <v>9.0631</v>
      </c>
      <c r="CJ660" s="1">
        <v>0.8614</v>
      </c>
      <c r="CK660" s="1">
        <v>0.0</v>
      </c>
      <c r="CL660" s="1">
        <v>0.0</v>
      </c>
      <c r="CM660" s="1">
        <v>0.0</v>
      </c>
      <c r="CN660" s="1">
        <v>0.0</v>
      </c>
      <c r="CO660" s="1">
        <v>0.0</v>
      </c>
      <c r="CP660" s="1">
        <v>0.0</v>
      </c>
      <c r="CQ660" s="1">
        <v>0.0</v>
      </c>
      <c r="CR660" s="1">
        <v>0.0</v>
      </c>
      <c r="CS660" s="1">
        <v>0.0</v>
      </c>
      <c r="CT660" s="1">
        <v>0.0</v>
      </c>
      <c r="CU660" s="1">
        <v>0.0</v>
      </c>
      <c r="CV660" s="1">
        <v>0.0</v>
      </c>
      <c r="CW660" s="1">
        <v>0.0</v>
      </c>
      <c r="CX660" s="1">
        <v>0.0</v>
      </c>
      <c r="CY660" s="1">
        <v>0.0</v>
      </c>
      <c r="CZ660" s="1">
        <v>0.0</v>
      </c>
      <c r="DA660" s="1">
        <v>0.0</v>
      </c>
      <c r="DB660" s="1">
        <v>0.0</v>
      </c>
      <c r="DC660" s="1">
        <v>0.0</v>
      </c>
      <c r="DD660" s="1" t="s">
        <v>3120</v>
      </c>
      <c r="DE660" s="1">
        <v>0.00235362678863683</v>
      </c>
      <c r="DF660" s="2" t="s">
        <v>3121</v>
      </c>
    </row>
    <row r="661" ht="15.75" customHeight="1">
      <c r="A661" s="1" t="s">
        <v>3122</v>
      </c>
      <c r="B661" s="1">
        <v>29.0</v>
      </c>
      <c r="C661" s="2" t="s">
        <v>3018</v>
      </c>
      <c r="D661" s="1">
        <v>701000.0</v>
      </c>
      <c r="E661" s="1">
        <v>41.641</v>
      </c>
      <c r="F661" s="1">
        <v>29099.0</v>
      </c>
      <c r="G661" s="1">
        <v>2.9099701E10</v>
      </c>
      <c r="H661" s="1" t="s">
        <v>112</v>
      </c>
      <c r="I661" s="1" t="s">
        <v>113</v>
      </c>
      <c r="J661" s="1" t="s">
        <v>3019</v>
      </c>
      <c r="K661" s="1" t="s">
        <v>3123</v>
      </c>
      <c r="L661" s="1">
        <v>8574.0</v>
      </c>
      <c r="M661" s="1">
        <v>8312.0</v>
      </c>
      <c r="N661" s="1">
        <v>676.0</v>
      </c>
      <c r="O661" s="1">
        <v>3390.0</v>
      </c>
      <c r="P661" s="1">
        <v>3370.0</v>
      </c>
      <c r="Q661" s="1">
        <v>138.0</v>
      </c>
      <c r="R661" s="1">
        <v>3138.0</v>
      </c>
      <c r="S661" s="1">
        <v>704.0</v>
      </c>
      <c r="T661" s="1">
        <v>300.0</v>
      </c>
      <c r="U661" s="1">
        <v>462.0</v>
      </c>
      <c r="V661" s="1">
        <v>285.0</v>
      </c>
      <c r="W661" s="1">
        <v>23676.0</v>
      </c>
      <c r="X661" s="1">
        <v>1742.0</v>
      </c>
      <c r="Y661" s="1">
        <v>928.0</v>
      </c>
      <c r="Z661" s="1">
        <v>256.0</v>
      </c>
      <c r="AA661" s="1">
        <v>982.0</v>
      </c>
      <c r="AB661" s="1">
        <v>2191.0</v>
      </c>
      <c r="AC661" s="1">
        <v>330.0</v>
      </c>
      <c r="AD661" s="1">
        <v>300.0</v>
      </c>
      <c r="AE661" s="1">
        <v>37.0</v>
      </c>
      <c r="AF661" s="1">
        <v>429.0</v>
      </c>
      <c r="AG661" s="1">
        <v>84.0</v>
      </c>
      <c r="AH661" s="1">
        <v>40.0</v>
      </c>
      <c r="AI661" s="1">
        <v>633.0</v>
      </c>
      <c r="AJ661" s="1">
        <v>153.0</v>
      </c>
      <c r="AK661" s="1">
        <v>93.0</v>
      </c>
      <c r="AL661" s="1">
        <v>133.0</v>
      </c>
      <c r="AM661" s="1">
        <v>79.0</v>
      </c>
      <c r="AN661" s="1">
        <v>43.0</v>
      </c>
      <c r="AO661" s="1">
        <v>0.0</v>
      </c>
      <c r="AP661" s="1">
        <v>0.084839</v>
      </c>
      <c r="AQ661" s="1">
        <v>0.035494</v>
      </c>
      <c r="AR661" s="1">
        <v>0.102895</v>
      </c>
      <c r="AS661" s="1">
        <v>0.062743</v>
      </c>
      <c r="AT661" s="1">
        <v>23676.0</v>
      </c>
      <c r="AU661" s="1">
        <v>1742.0</v>
      </c>
      <c r="AV661" s="1">
        <v>0.168421</v>
      </c>
      <c r="AW661" s="1">
        <v>0.045311</v>
      </c>
      <c r="AX661" s="1">
        <v>0.114532</v>
      </c>
      <c r="AY661" s="1">
        <v>0.25554</v>
      </c>
      <c r="AZ661" s="1">
        <v>0.10516252</v>
      </c>
      <c r="BA661" s="1">
        <v>0.034989</v>
      </c>
      <c r="BB661" s="1">
        <v>0.004576</v>
      </c>
      <c r="BC661" s="1">
        <v>0.053059</v>
      </c>
      <c r="BD661" s="1">
        <v>0.024925</v>
      </c>
      <c r="BE661" s="1">
        <v>0.011825</v>
      </c>
      <c r="BF661" s="1">
        <v>0.187833</v>
      </c>
      <c r="BG661" s="1">
        <v>0.044744</v>
      </c>
      <c r="BH661" s="1">
        <v>0.029855</v>
      </c>
      <c r="BI661" s="1">
        <v>0.042664</v>
      </c>
      <c r="BJ661" s="1">
        <v>0.025361</v>
      </c>
      <c r="BK661" s="1">
        <v>0.013731</v>
      </c>
      <c r="BL661" s="1">
        <v>0.0</v>
      </c>
      <c r="BM661" s="1">
        <v>0.313</v>
      </c>
      <c r="BN661" s="1">
        <v>0.75</v>
      </c>
      <c r="BO661" s="1">
        <v>0.413</v>
      </c>
      <c r="BP661" s="1">
        <v>0.65</v>
      </c>
      <c r="BQ661" s="1">
        <v>2.126</v>
      </c>
      <c r="BR661" s="1">
        <v>0.5379</v>
      </c>
      <c r="BS661" s="1">
        <v>0.307</v>
      </c>
      <c r="BT661" s="1">
        <v>0.658</v>
      </c>
      <c r="BU661" s="1">
        <v>0.54</v>
      </c>
      <c r="BV661" s="1">
        <v>1.505</v>
      </c>
      <c r="BW661" s="1">
        <v>0.489</v>
      </c>
      <c r="BX661" s="1">
        <v>0.119</v>
      </c>
      <c r="BY661" s="1">
        <v>0.541</v>
      </c>
      <c r="BZ661" s="1">
        <v>0.66</v>
      </c>
      <c r="CA661" s="1">
        <v>0.31</v>
      </c>
      <c r="CB661" s="1">
        <v>0.515</v>
      </c>
      <c r="CC661" s="1">
        <v>0.874</v>
      </c>
      <c r="CD661" s="1">
        <v>0.802</v>
      </c>
      <c r="CE661" s="1">
        <v>0.243</v>
      </c>
      <c r="CF661" s="1">
        <v>0.0</v>
      </c>
      <c r="CG661" s="1">
        <v>2.434</v>
      </c>
      <c r="CH661" s="1">
        <v>0.535</v>
      </c>
      <c r="CI661" s="1">
        <v>6.725</v>
      </c>
      <c r="CJ661" s="1">
        <v>0.4946</v>
      </c>
      <c r="CK661" s="1">
        <v>0.0</v>
      </c>
      <c r="CL661" s="1">
        <v>0.0</v>
      </c>
      <c r="CM661" s="1">
        <v>0.0</v>
      </c>
      <c r="CN661" s="1">
        <v>0.0</v>
      </c>
      <c r="CO661" s="1">
        <v>0.0</v>
      </c>
      <c r="CP661" s="1">
        <v>0.0</v>
      </c>
      <c r="CQ661" s="1">
        <v>0.0</v>
      </c>
      <c r="CR661" s="1">
        <v>0.0</v>
      </c>
      <c r="CS661" s="1">
        <v>0.0</v>
      </c>
      <c r="CT661" s="1">
        <v>0.0</v>
      </c>
      <c r="CU661" s="1">
        <v>0.0</v>
      </c>
      <c r="CV661" s="1">
        <v>0.0</v>
      </c>
      <c r="CW661" s="1">
        <v>0.0</v>
      </c>
      <c r="CX661" s="1">
        <v>0.0</v>
      </c>
      <c r="CY661" s="1">
        <v>0.0</v>
      </c>
      <c r="CZ661" s="1">
        <v>0.0</v>
      </c>
      <c r="DA661" s="1">
        <v>0.0</v>
      </c>
      <c r="DB661" s="1">
        <v>0.0</v>
      </c>
      <c r="DC661" s="1">
        <v>0.0</v>
      </c>
      <c r="DD661" s="1" t="s">
        <v>3124</v>
      </c>
      <c r="DE661" s="2" t="s">
        <v>3125</v>
      </c>
      <c r="DF661" s="2" t="s">
        <v>3126</v>
      </c>
    </row>
    <row r="662" ht="15.75" customHeight="1">
      <c r="A662" s="1" t="s">
        <v>3127</v>
      </c>
      <c r="B662" s="1">
        <v>29.0</v>
      </c>
      <c r="C662" s="2" t="s">
        <v>3018</v>
      </c>
      <c r="D662" s="1">
        <v>701101.0</v>
      </c>
      <c r="E662" s="1">
        <v>52.585</v>
      </c>
      <c r="F662" s="1">
        <v>29099.0</v>
      </c>
      <c r="G662" s="1">
        <v>2.9099701101E10</v>
      </c>
      <c r="H662" s="1" t="s">
        <v>112</v>
      </c>
      <c r="I662" s="1" t="s">
        <v>113</v>
      </c>
      <c r="J662" s="1" t="s">
        <v>3019</v>
      </c>
      <c r="K662" s="1" t="s">
        <v>3128</v>
      </c>
      <c r="L662" s="1">
        <v>4116.0</v>
      </c>
      <c r="M662" s="1">
        <v>3896.0</v>
      </c>
      <c r="N662" s="1">
        <v>254.0</v>
      </c>
      <c r="O662" s="1">
        <v>1600.0</v>
      </c>
      <c r="P662" s="1">
        <v>1483.0</v>
      </c>
      <c r="Q662" s="1">
        <v>97.0</v>
      </c>
      <c r="R662" s="1">
        <v>1508.0</v>
      </c>
      <c r="S662" s="1">
        <v>110.0</v>
      </c>
      <c r="T662" s="1">
        <v>105.0</v>
      </c>
      <c r="U662" s="1">
        <v>168.0</v>
      </c>
      <c r="V662" s="1">
        <v>387.0</v>
      </c>
      <c r="W662" s="1">
        <v>22161.0</v>
      </c>
      <c r="X662" s="1">
        <v>2073.0</v>
      </c>
      <c r="Y662" s="1">
        <v>536.0</v>
      </c>
      <c r="Z662" s="1">
        <v>290.0</v>
      </c>
      <c r="AA662" s="1">
        <v>538.0</v>
      </c>
      <c r="AB662" s="1">
        <v>979.0</v>
      </c>
      <c r="AC662" s="1">
        <v>148.0</v>
      </c>
      <c r="AD662" s="1">
        <v>125.0</v>
      </c>
      <c r="AE662" s="1">
        <v>4.0</v>
      </c>
      <c r="AF662" s="1">
        <v>442.0</v>
      </c>
      <c r="AG662" s="1">
        <v>0.0</v>
      </c>
      <c r="AH662" s="1">
        <v>197.0</v>
      </c>
      <c r="AI662" s="1">
        <v>207.0</v>
      </c>
      <c r="AJ662" s="1">
        <v>112.0</v>
      </c>
      <c r="AK662" s="1">
        <v>22.0</v>
      </c>
      <c r="AL662" s="1">
        <v>117.0</v>
      </c>
      <c r="AM662" s="1">
        <v>30.0</v>
      </c>
      <c r="AN662" s="1">
        <v>119.0</v>
      </c>
      <c r="AO662" s="1">
        <v>0.0</v>
      </c>
      <c r="AP662" s="1">
        <v>0.028306</v>
      </c>
      <c r="AQ662" s="1">
        <v>0.026956</v>
      </c>
      <c r="AR662" s="1">
        <v>0.090032</v>
      </c>
      <c r="AS662" s="1">
        <v>0.207138</v>
      </c>
      <c r="AT662" s="1">
        <v>22161.0</v>
      </c>
      <c r="AU662" s="1">
        <v>2073.0</v>
      </c>
      <c r="AV662" s="1">
        <v>0.203802</v>
      </c>
      <c r="AW662" s="1">
        <v>0.109467</v>
      </c>
      <c r="AX662" s="1">
        <v>0.130709</v>
      </c>
      <c r="AY662" s="1">
        <v>0.237852</v>
      </c>
      <c r="AZ662" s="1">
        <v>0.09814323</v>
      </c>
      <c r="BA662" s="1">
        <v>0.030369</v>
      </c>
      <c r="BB662" s="1">
        <v>0.001078</v>
      </c>
      <c r="BC662" s="1">
        <v>0.119201</v>
      </c>
      <c r="BD662" s="1">
        <v>0.0</v>
      </c>
      <c r="BE662" s="1">
        <v>0.132838</v>
      </c>
      <c r="BF662" s="1">
        <v>0.139581</v>
      </c>
      <c r="BG662" s="1">
        <v>0.074968</v>
      </c>
      <c r="BH662" s="1">
        <v>0.016034</v>
      </c>
      <c r="BI662" s="1">
        <v>0.085269</v>
      </c>
      <c r="BJ662" s="1">
        <v>0.021865</v>
      </c>
      <c r="BK662" s="1">
        <v>0.08672</v>
      </c>
      <c r="BL662" s="1">
        <v>0.0</v>
      </c>
      <c r="BM662" s="1">
        <v>0.083</v>
      </c>
      <c r="BN662" s="1">
        <v>0.683</v>
      </c>
      <c r="BO662" s="1">
        <v>0.4874</v>
      </c>
      <c r="BP662" s="1">
        <v>0.76</v>
      </c>
      <c r="BQ662" s="1">
        <v>2.0134</v>
      </c>
      <c r="BR662" s="1">
        <v>0.4989</v>
      </c>
      <c r="BS662" s="1">
        <v>0.425</v>
      </c>
      <c r="BT662" s="1">
        <v>0.473</v>
      </c>
      <c r="BU662" s="1">
        <v>0.476</v>
      </c>
      <c r="BV662" s="1">
        <v>1.374</v>
      </c>
      <c r="BW662" s="1">
        <v>0.37</v>
      </c>
      <c r="BX662" s="1">
        <v>0.08</v>
      </c>
      <c r="BY662" s="1">
        <v>0.335</v>
      </c>
      <c r="BZ662" s="1">
        <v>0.415</v>
      </c>
      <c r="CA662" s="1">
        <v>0.172</v>
      </c>
      <c r="CB662" s="1">
        <v>0.0</v>
      </c>
      <c r="CC662" s="1">
        <v>0.8</v>
      </c>
      <c r="CD662" s="1">
        <v>0.615</v>
      </c>
      <c r="CE662" s="1">
        <v>0.201</v>
      </c>
      <c r="CF662" s="1">
        <v>0.0</v>
      </c>
      <c r="CG662" s="1">
        <v>1.616</v>
      </c>
      <c r="CH662" s="1">
        <v>0.206</v>
      </c>
      <c r="CI662" s="1">
        <v>5.4184</v>
      </c>
      <c r="CJ662" s="1">
        <v>0.2671</v>
      </c>
      <c r="CK662" s="1">
        <v>0.0</v>
      </c>
      <c r="CL662" s="1">
        <v>0.0</v>
      </c>
      <c r="CM662" s="1">
        <v>0.0</v>
      </c>
      <c r="CN662" s="1">
        <v>0.0</v>
      </c>
      <c r="CO662" s="1">
        <v>0.0</v>
      </c>
      <c r="CP662" s="1">
        <v>0.0</v>
      </c>
      <c r="CQ662" s="1">
        <v>0.0</v>
      </c>
      <c r="CR662" s="1">
        <v>0.0</v>
      </c>
      <c r="CS662" s="1">
        <v>0.0</v>
      </c>
      <c r="CT662" s="1">
        <v>0.0</v>
      </c>
      <c r="CU662" s="1">
        <v>0.0</v>
      </c>
      <c r="CV662" s="1">
        <v>0.0</v>
      </c>
      <c r="CW662" s="1">
        <v>0.0</v>
      </c>
      <c r="CX662" s="1">
        <v>0.0</v>
      </c>
      <c r="CY662" s="1">
        <v>0.0</v>
      </c>
      <c r="CZ662" s="1">
        <v>0.0</v>
      </c>
      <c r="DA662" s="1">
        <v>0.0</v>
      </c>
      <c r="DB662" s="1">
        <v>0.0</v>
      </c>
      <c r="DC662" s="1">
        <v>0.0</v>
      </c>
      <c r="DD662" s="1" t="s">
        <v>3129</v>
      </c>
      <c r="DE662" s="2" t="s">
        <v>3130</v>
      </c>
      <c r="DF662" s="2" t="s">
        <v>3131</v>
      </c>
    </row>
    <row r="663" ht="15.75" customHeight="1">
      <c r="A663" s="1" t="s">
        <v>3132</v>
      </c>
      <c r="B663" s="1">
        <v>29.0</v>
      </c>
      <c r="C663" s="2" t="s">
        <v>3018</v>
      </c>
      <c r="D663" s="1">
        <v>701102.0</v>
      </c>
      <c r="E663" s="1">
        <v>77.104</v>
      </c>
      <c r="F663" s="1">
        <v>29099.0</v>
      </c>
      <c r="G663" s="1">
        <v>2.9099701102E10</v>
      </c>
      <c r="H663" s="1" t="s">
        <v>112</v>
      </c>
      <c r="I663" s="1" t="s">
        <v>113</v>
      </c>
      <c r="J663" s="1" t="s">
        <v>3019</v>
      </c>
      <c r="K663" s="1" t="s">
        <v>3133</v>
      </c>
      <c r="L663" s="1">
        <v>5792.0</v>
      </c>
      <c r="M663" s="1">
        <v>5979.0</v>
      </c>
      <c r="N663" s="1">
        <v>537.0</v>
      </c>
      <c r="O663" s="1">
        <v>2558.0</v>
      </c>
      <c r="P663" s="1">
        <v>2509.0</v>
      </c>
      <c r="Q663" s="1">
        <v>101.0</v>
      </c>
      <c r="R663" s="1">
        <v>2211.0</v>
      </c>
      <c r="S663" s="1">
        <v>548.0</v>
      </c>
      <c r="T663" s="1">
        <v>250.0</v>
      </c>
      <c r="U663" s="1">
        <v>360.0</v>
      </c>
      <c r="V663" s="1">
        <v>388.0</v>
      </c>
      <c r="W663" s="1">
        <v>22440.0</v>
      </c>
      <c r="X663" s="1">
        <v>2629.0</v>
      </c>
      <c r="Y663" s="1">
        <v>596.0</v>
      </c>
      <c r="Z663" s="1">
        <v>223.0</v>
      </c>
      <c r="AA663" s="1">
        <v>649.0</v>
      </c>
      <c r="AB663" s="1">
        <v>1312.0</v>
      </c>
      <c r="AC663" s="1">
        <v>199.0</v>
      </c>
      <c r="AD663" s="1">
        <v>154.0</v>
      </c>
      <c r="AE663" s="1">
        <v>33.0</v>
      </c>
      <c r="AF663" s="1">
        <v>445.0</v>
      </c>
      <c r="AG663" s="1">
        <v>0.0</v>
      </c>
      <c r="AH663" s="1">
        <v>197.0</v>
      </c>
      <c r="AI663" s="1">
        <v>517.0</v>
      </c>
      <c r="AJ663" s="1">
        <v>154.0</v>
      </c>
      <c r="AK663" s="1">
        <v>21.0</v>
      </c>
      <c r="AL663" s="1">
        <v>117.0</v>
      </c>
      <c r="AM663" s="1">
        <v>117.0</v>
      </c>
      <c r="AN663" s="1">
        <v>92.0</v>
      </c>
      <c r="AO663" s="1">
        <v>0.0</v>
      </c>
      <c r="AP663" s="1">
        <v>0.092255</v>
      </c>
      <c r="AQ663" s="1">
        <v>0.041259</v>
      </c>
      <c r="AR663" s="1">
        <v>0.111386</v>
      </c>
      <c r="AS663" s="1">
        <v>0.119413</v>
      </c>
      <c r="AT663" s="1">
        <v>22440.0</v>
      </c>
      <c r="AU663" s="1">
        <v>2629.0</v>
      </c>
      <c r="AV663" s="1">
        <v>0.150353</v>
      </c>
      <c r="AW663" s="1">
        <v>0.054897</v>
      </c>
      <c r="AX663" s="1">
        <v>0.112051</v>
      </c>
      <c r="AY663" s="1">
        <v>0.226519</v>
      </c>
      <c r="AZ663" s="1">
        <v>0.09000452</v>
      </c>
      <c r="BA663" s="1">
        <v>0.026588</v>
      </c>
      <c r="BB663" s="1">
        <v>0.005863</v>
      </c>
      <c r="BC663" s="1">
        <v>0.079067</v>
      </c>
      <c r="BD663" s="1">
        <v>0.0</v>
      </c>
      <c r="BE663" s="1">
        <v>0.078517</v>
      </c>
      <c r="BF663" s="1">
        <v>0.206058</v>
      </c>
      <c r="BG663" s="1">
        <v>0.060815</v>
      </c>
      <c r="BH663" s="1">
        <v>0.010009</v>
      </c>
      <c r="BI663" s="1">
        <v>0.055761</v>
      </c>
      <c r="BJ663" s="1">
        <v>0.055767</v>
      </c>
      <c r="BK663" s="1">
        <v>0.043609</v>
      </c>
      <c r="BL663" s="1">
        <v>0.0</v>
      </c>
      <c r="BM663" s="1">
        <v>0.348</v>
      </c>
      <c r="BN663" s="1">
        <v>0.792</v>
      </c>
      <c r="BO663" s="1">
        <v>0.4715</v>
      </c>
      <c r="BP663" s="1">
        <v>0.569</v>
      </c>
      <c r="BQ663" s="1">
        <v>2.1805</v>
      </c>
      <c r="BR663" s="1">
        <v>0.5581</v>
      </c>
      <c r="BS663" s="1">
        <v>0.287</v>
      </c>
      <c r="BT663" s="1">
        <v>0.353</v>
      </c>
      <c r="BU663" s="1">
        <v>0.4</v>
      </c>
      <c r="BV663" s="1">
        <v>1.04</v>
      </c>
      <c r="BW663" s="1">
        <v>0.129</v>
      </c>
      <c r="BX663" s="1">
        <v>0.055</v>
      </c>
      <c r="BY663" s="1">
        <v>0.592</v>
      </c>
      <c r="BZ663" s="1">
        <v>0.647</v>
      </c>
      <c r="CA663" s="1">
        <v>0.3</v>
      </c>
      <c r="CB663" s="1">
        <v>0.0</v>
      </c>
      <c r="CC663" s="1">
        <v>0.905</v>
      </c>
      <c r="CD663" s="1">
        <v>0.474</v>
      </c>
      <c r="CE663" s="1">
        <v>0.539</v>
      </c>
      <c r="CF663" s="1">
        <v>0.0</v>
      </c>
      <c r="CG663" s="1">
        <v>1.918</v>
      </c>
      <c r="CH663" s="1">
        <v>0.31</v>
      </c>
      <c r="CI663" s="1">
        <v>5.7855</v>
      </c>
      <c r="CJ663" s="1">
        <v>0.3365</v>
      </c>
      <c r="CK663" s="1">
        <v>0.0</v>
      </c>
      <c r="CL663" s="1">
        <v>0.0</v>
      </c>
      <c r="CM663" s="1">
        <v>0.0</v>
      </c>
      <c r="CN663" s="1">
        <v>0.0</v>
      </c>
      <c r="CO663" s="1">
        <v>0.0</v>
      </c>
      <c r="CP663" s="1">
        <v>0.0</v>
      </c>
      <c r="CQ663" s="1">
        <v>0.0</v>
      </c>
      <c r="CR663" s="1">
        <v>0.0</v>
      </c>
      <c r="CS663" s="1">
        <v>0.0</v>
      </c>
      <c r="CT663" s="1">
        <v>0.0</v>
      </c>
      <c r="CU663" s="1">
        <v>0.0</v>
      </c>
      <c r="CV663" s="1">
        <v>0.0</v>
      </c>
      <c r="CW663" s="1">
        <v>0.0</v>
      </c>
      <c r="CX663" s="1">
        <v>1.0</v>
      </c>
      <c r="CY663" s="1">
        <v>0.0</v>
      </c>
      <c r="CZ663" s="1">
        <v>0.0</v>
      </c>
      <c r="DA663" s="1">
        <v>0.0</v>
      </c>
      <c r="DB663" s="1">
        <v>1.0</v>
      </c>
      <c r="DC663" s="1">
        <v>1.0</v>
      </c>
      <c r="DD663" s="1" t="s">
        <v>3134</v>
      </c>
      <c r="DE663" s="1">
        <v>0.0206035304172636</v>
      </c>
      <c r="DF663" s="1">
        <v>0.770412031969526</v>
      </c>
    </row>
    <row r="664" ht="15.75" customHeight="1">
      <c r="A664" s="1" t="s">
        <v>3135</v>
      </c>
      <c r="B664" s="1">
        <v>29.0</v>
      </c>
      <c r="C664" s="2" t="s">
        <v>3018</v>
      </c>
      <c r="D664" s="1">
        <v>701401.0</v>
      </c>
      <c r="E664" s="1">
        <v>43.602</v>
      </c>
      <c r="F664" s="1">
        <v>29099.0</v>
      </c>
      <c r="G664" s="1">
        <v>2.9099701401E10</v>
      </c>
      <c r="H664" s="1" t="s">
        <v>112</v>
      </c>
      <c r="I664" s="1" t="s">
        <v>113</v>
      </c>
      <c r="J664" s="1" t="s">
        <v>3019</v>
      </c>
      <c r="K664" s="1" t="s">
        <v>3136</v>
      </c>
      <c r="L664" s="1">
        <v>3918.0</v>
      </c>
      <c r="M664" s="1">
        <v>4096.0</v>
      </c>
      <c r="N664" s="1">
        <v>369.0</v>
      </c>
      <c r="O664" s="1">
        <v>1686.0</v>
      </c>
      <c r="P664" s="1">
        <v>1604.0</v>
      </c>
      <c r="Q664" s="1">
        <v>71.0</v>
      </c>
      <c r="R664" s="1">
        <v>1468.0</v>
      </c>
      <c r="S664" s="1">
        <v>344.0</v>
      </c>
      <c r="T664" s="1">
        <v>196.0</v>
      </c>
      <c r="U664" s="1">
        <v>168.0</v>
      </c>
      <c r="V664" s="1">
        <v>406.0</v>
      </c>
      <c r="W664" s="1">
        <v>21001.0</v>
      </c>
      <c r="X664" s="1">
        <v>2286.0</v>
      </c>
      <c r="Y664" s="1">
        <v>462.0</v>
      </c>
      <c r="Z664" s="1">
        <v>241.0</v>
      </c>
      <c r="AA664" s="1">
        <v>570.0</v>
      </c>
      <c r="AB664" s="1">
        <v>903.0</v>
      </c>
      <c r="AC664" s="1">
        <v>114.0</v>
      </c>
      <c r="AD664" s="1">
        <v>95.0</v>
      </c>
      <c r="AE664" s="1">
        <v>9.0</v>
      </c>
      <c r="AF664" s="1">
        <v>442.0</v>
      </c>
      <c r="AG664" s="1">
        <v>0.0</v>
      </c>
      <c r="AH664" s="1">
        <v>197.0</v>
      </c>
      <c r="AI664" s="1">
        <v>83.0</v>
      </c>
      <c r="AJ664" s="1">
        <v>48.0</v>
      </c>
      <c r="AK664" s="1">
        <v>23.0</v>
      </c>
      <c r="AL664" s="1">
        <v>119.0</v>
      </c>
      <c r="AM664" s="1">
        <v>0.0</v>
      </c>
      <c r="AN664" s="1">
        <v>161.0</v>
      </c>
      <c r="AO664" s="1">
        <v>67.0</v>
      </c>
      <c r="AP664" s="1">
        <v>0.0845</v>
      </c>
      <c r="AQ664" s="1">
        <v>0.047542</v>
      </c>
      <c r="AR664" s="1">
        <v>0.094594</v>
      </c>
      <c r="AS664" s="1">
        <v>0.228144</v>
      </c>
      <c r="AT664" s="1">
        <v>21001.0</v>
      </c>
      <c r="AU664" s="1">
        <v>2286.0</v>
      </c>
      <c r="AV664" s="1">
        <v>0.172195</v>
      </c>
      <c r="AW664" s="1">
        <v>0.089036</v>
      </c>
      <c r="AX664" s="1">
        <v>0.145482</v>
      </c>
      <c r="AY664" s="1">
        <v>0.230474</v>
      </c>
      <c r="AZ664" s="1">
        <v>0.07765667</v>
      </c>
      <c r="BA664" s="1">
        <v>0.024247</v>
      </c>
      <c r="BB664" s="1">
        <v>0.002398</v>
      </c>
      <c r="BC664" s="1">
        <v>0.117772</v>
      </c>
      <c r="BD664" s="1">
        <v>0.0</v>
      </c>
      <c r="BE664" s="1">
        <v>0.122817</v>
      </c>
      <c r="BF664" s="1">
        <v>0.051745</v>
      </c>
      <c r="BG664" s="1">
        <v>0.029837</v>
      </c>
      <c r="BH664" s="1">
        <v>0.016393</v>
      </c>
      <c r="BI664" s="1">
        <v>0.08481</v>
      </c>
      <c r="BJ664" s="1">
        <v>0.0</v>
      </c>
      <c r="BK664" s="1">
        <v>0.114754</v>
      </c>
      <c r="BL664" s="1">
        <v>0.0171</v>
      </c>
      <c r="BM664" s="1">
        <v>0.312</v>
      </c>
      <c r="BN664" s="1">
        <v>0.703</v>
      </c>
      <c r="BO664" s="1">
        <v>0.5538</v>
      </c>
      <c r="BP664" s="1">
        <v>0.657</v>
      </c>
      <c r="BQ664" s="1">
        <v>2.2258</v>
      </c>
      <c r="BR664" s="1">
        <v>0.5762</v>
      </c>
      <c r="BS664" s="1">
        <v>0.545</v>
      </c>
      <c r="BT664" s="1">
        <v>0.389</v>
      </c>
      <c r="BU664" s="1">
        <v>0.279</v>
      </c>
      <c r="BV664" s="1">
        <v>1.213</v>
      </c>
      <c r="BW664" s="1">
        <v>0.242</v>
      </c>
      <c r="BX664" s="1">
        <v>0.04</v>
      </c>
      <c r="BY664" s="1">
        <v>0.405</v>
      </c>
      <c r="BZ664" s="1">
        <v>0.445</v>
      </c>
      <c r="CA664" s="1">
        <v>0.187</v>
      </c>
      <c r="CB664" s="1">
        <v>0.0</v>
      </c>
      <c r="CC664" s="1">
        <v>0.611</v>
      </c>
      <c r="CD664" s="1">
        <v>0.62</v>
      </c>
      <c r="CE664" s="1">
        <v>0.0</v>
      </c>
      <c r="CF664" s="1">
        <v>0.673</v>
      </c>
      <c r="CG664" s="1">
        <v>1.904</v>
      </c>
      <c r="CH664" s="1">
        <v>0.306</v>
      </c>
      <c r="CI664" s="1">
        <v>5.7878</v>
      </c>
      <c r="CJ664" s="1">
        <v>0.3372</v>
      </c>
      <c r="CK664" s="1">
        <v>0.0</v>
      </c>
      <c r="CL664" s="1">
        <v>0.0</v>
      </c>
      <c r="CM664" s="1">
        <v>0.0</v>
      </c>
      <c r="CN664" s="1">
        <v>0.0</v>
      </c>
      <c r="CO664" s="1">
        <v>0.0</v>
      </c>
      <c r="CP664" s="1">
        <v>0.0</v>
      </c>
      <c r="CQ664" s="1">
        <v>0.0</v>
      </c>
      <c r="CR664" s="1">
        <v>0.0</v>
      </c>
      <c r="CS664" s="1">
        <v>0.0</v>
      </c>
      <c r="CT664" s="1">
        <v>0.0</v>
      </c>
      <c r="CU664" s="1">
        <v>0.0</v>
      </c>
      <c r="CV664" s="1">
        <v>0.0</v>
      </c>
      <c r="CW664" s="1">
        <v>0.0</v>
      </c>
      <c r="CX664" s="1">
        <v>0.0</v>
      </c>
      <c r="CY664" s="1">
        <v>0.0</v>
      </c>
      <c r="CZ664" s="1">
        <v>0.0</v>
      </c>
      <c r="DA664" s="1">
        <v>0.0</v>
      </c>
      <c r="DB664" s="1">
        <v>0.0</v>
      </c>
      <c r="DC664" s="1">
        <v>0.0</v>
      </c>
      <c r="DD664" s="1" t="s">
        <v>3137</v>
      </c>
      <c r="DE664" s="2" t="s">
        <v>3138</v>
      </c>
      <c r="DF664" s="1">
        <v>0.556918815030291</v>
      </c>
    </row>
    <row r="665" ht="15.75" customHeight="1">
      <c r="A665" s="1" t="s">
        <v>3139</v>
      </c>
      <c r="B665" s="1">
        <v>29.0</v>
      </c>
      <c r="C665" s="2" t="s">
        <v>3018</v>
      </c>
      <c r="D665" s="1">
        <v>700109.0</v>
      </c>
      <c r="E665" s="1">
        <v>11.902</v>
      </c>
      <c r="F665" s="1">
        <v>29099.0</v>
      </c>
      <c r="G665" s="1">
        <v>2.9099700109E10</v>
      </c>
      <c r="H665" s="1" t="s">
        <v>112</v>
      </c>
      <c r="I665" s="1" t="s">
        <v>113</v>
      </c>
      <c r="J665" s="1" t="s">
        <v>3019</v>
      </c>
      <c r="K665" s="1" t="s">
        <v>3140</v>
      </c>
      <c r="L665" s="1">
        <v>12720.0</v>
      </c>
      <c r="M665" s="1">
        <v>11993.0</v>
      </c>
      <c r="N665" s="1">
        <v>509.0</v>
      </c>
      <c r="O665" s="1">
        <v>4374.0</v>
      </c>
      <c r="P665" s="1">
        <v>4339.0</v>
      </c>
      <c r="Q665" s="1">
        <v>116.0</v>
      </c>
      <c r="R665" s="1">
        <v>4222.0</v>
      </c>
      <c r="S665" s="1">
        <v>519.0</v>
      </c>
      <c r="T665" s="1">
        <v>253.0</v>
      </c>
      <c r="U665" s="1">
        <v>240.0</v>
      </c>
      <c r="V665" s="1">
        <v>388.0</v>
      </c>
      <c r="W665" s="1">
        <v>26960.0</v>
      </c>
      <c r="X665" s="1">
        <v>1174.0</v>
      </c>
      <c r="Y665" s="1">
        <v>639.0</v>
      </c>
      <c r="Z665" s="1">
        <v>277.0</v>
      </c>
      <c r="AA665" s="1">
        <v>823.0</v>
      </c>
      <c r="AB665" s="1">
        <v>3839.0</v>
      </c>
      <c r="AC665" s="1">
        <v>447.0</v>
      </c>
      <c r="AD665" s="1">
        <v>573.0</v>
      </c>
      <c r="AE665" s="1">
        <v>42.0</v>
      </c>
      <c r="AF665" s="1">
        <v>396.0</v>
      </c>
      <c r="AG665" s="1">
        <v>415.0</v>
      </c>
      <c r="AH665" s="1">
        <v>162.0</v>
      </c>
      <c r="AI665" s="1">
        <v>145.0</v>
      </c>
      <c r="AJ665" s="1">
        <v>100.0</v>
      </c>
      <c r="AK665" s="1">
        <v>31.0</v>
      </c>
      <c r="AL665" s="1">
        <v>120.0</v>
      </c>
      <c r="AM665" s="1">
        <v>73.0</v>
      </c>
      <c r="AN665" s="1">
        <v>55.0</v>
      </c>
      <c r="AO665" s="1">
        <v>2.0</v>
      </c>
      <c r="AP665" s="1">
        <v>0.043296</v>
      </c>
      <c r="AQ665" s="1">
        <v>0.021025</v>
      </c>
      <c r="AR665" s="1">
        <v>0.035751</v>
      </c>
      <c r="AS665" s="1">
        <v>0.05775</v>
      </c>
      <c r="AT665" s="1">
        <v>26960.0</v>
      </c>
      <c r="AU665" s="1">
        <v>1174.0</v>
      </c>
      <c r="AV665" s="1">
        <v>0.087534</v>
      </c>
      <c r="AW665" s="1">
        <v>0.037759</v>
      </c>
      <c r="AX665" s="1">
        <v>0.064701</v>
      </c>
      <c r="AY665" s="1">
        <v>0.301808</v>
      </c>
      <c r="AZ665" s="1">
        <v>0.10587399</v>
      </c>
      <c r="BA665" s="1">
        <v>0.045047</v>
      </c>
      <c r="BB665" s="1">
        <v>0.003795</v>
      </c>
      <c r="BC665" s="1">
        <v>0.035781</v>
      </c>
      <c r="BD665" s="1">
        <v>0.095644</v>
      </c>
      <c r="BE665" s="1">
        <v>0.037248</v>
      </c>
      <c r="BF665" s="1">
        <v>0.033417</v>
      </c>
      <c r="BG665" s="1">
        <v>0.023029</v>
      </c>
      <c r="BH665" s="1">
        <v>0.007734</v>
      </c>
      <c r="BI665" s="1">
        <v>0.029938</v>
      </c>
      <c r="BJ665" s="1">
        <v>0.018213</v>
      </c>
      <c r="BK665" s="1">
        <v>0.013703</v>
      </c>
      <c r="BL665" s="1">
        <v>1.57E-4</v>
      </c>
      <c r="BM665" s="1">
        <v>0.138</v>
      </c>
      <c r="BN665" s="1">
        <v>0.143</v>
      </c>
      <c r="BO665" s="1">
        <v>0.2859</v>
      </c>
      <c r="BP665" s="1">
        <v>0.282</v>
      </c>
      <c r="BQ665" s="1">
        <v>0.8489</v>
      </c>
      <c r="BR665" s="1">
        <v>0.1704</v>
      </c>
      <c r="BS665" s="1">
        <v>0.064</v>
      </c>
      <c r="BT665" s="1">
        <v>0.927</v>
      </c>
      <c r="BU665" s="1">
        <v>0.548</v>
      </c>
      <c r="BV665" s="1">
        <v>1.539</v>
      </c>
      <c r="BW665" s="1">
        <v>0.517</v>
      </c>
      <c r="BX665" s="1">
        <v>0.214</v>
      </c>
      <c r="BY665" s="1">
        <v>0.501</v>
      </c>
      <c r="BZ665" s="1">
        <v>0.715</v>
      </c>
      <c r="CA665" s="1">
        <v>0.346</v>
      </c>
      <c r="CB665" s="1">
        <v>0.764</v>
      </c>
      <c r="CC665" s="1">
        <v>0.558</v>
      </c>
      <c r="CD665" s="1">
        <v>0.425</v>
      </c>
      <c r="CE665" s="1">
        <v>0.166</v>
      </c>
      <c r="CF665" s="1">
        <v>0.344</v>
      </c>
      <c r="CG665" s="1">
        <v>2.257</v>
      </c>
      <c r="CH665" s="1">
        <v>0.441</v>
      </c>
      <c r="CI665" s="1">
        <v>5.3599</v>
      </c>
      <c r="CJ665" s="1">
        <v>0.257</v>
      </c>
      <c r="CK665" s="1">
        <v>0.0</v>
      </c>
      <c r="CL665" s="1">
        <v>0.0</v>
      </c>
      <c r="CM665" s="1">
        <v>0.0</v>
      </c>
      <c r="CN665" s="1">
        <v>0.0</v>
      </c>
      <c r="CO665" s="1">
        <v>0.0</v>
      </c>
      <c r="CP665" s="1">
        <v>0.0</v>
      </c>
      <c r="CQ665" s="1">
        <v>1.0</v>
      </c>
      <c r="CR665" s="1">
        <v>0.0</v>
      </c>
      <c r="CS665" s="1">
        <v>1.0</v>
      </c>
      <c r="CT665" s="1">
        <v>0.0</v>
      </c>
      <c r="CU665" s="1">
        <v>0.0</v>
      </c>
      <c r="CV665" s="1">
        <v>0.0</v>
      </c>
      <c r="CW665" s="1">
        <v>0.0</v>
      </c>
      <c r="CX665" s="1">
        <v>0.0</v>
      </c>
      <c r="CY665" s="1">
        <v>0.0</v>
      </c>
      <c r="CZ665" s="1">
        <v>0.0</v>
      </c>
      <c r="DA665" s="1">
        <v>0.0</v>
      </c>
      <c r="DB665" s="1">
        <v>0.0</v>
      </c>
      <c r="DC665" s="1">
        <v>1.0</v>
      </c>
      <c r="DD665" s="1" t="s">
        <v>3141</v>
      </c>
      <c r="DE665" s="1">
        <v>0.00317415024540291</v>
      </c>
      <c r="DF665" s="2" t="s">
        <v>3142</v>
      </c>
    </row>
    <row r="666" ht="15.75" customHeight="1">
      <c r="A666" s="1" t="s">
        <v>3143</v>
      </c>
      <c r="B666" s="1">
        <v>29.0</v>
      </c>
      <c r="C666" s="2" t="s">
        <v>3018</v>
      </c>
      <c r="D666" s="1">
        <v>700111.0</v>
      </c>
      <c r="E666" s="1">
        <v>2.84</v>
      </c>
      <c r="F666" s="1">
        <v>29099.0</v>
      </c>
      <c r="G666" s="1">
        <v>2.9099700111E10</v>
      </c>
      <c r="H666" s="1" t="s">
        <v>112</v>
      </c>
      <c r="I666" s="1" t="s">
        <v>113</v>
      </c>
      <c r="J666" s="1" t="s">
        <v>3019</v>
      </c>
      <c r="K666" s="1" t="s">
        <v>3144</v>
      </c>
      <c r="L666" s="1">
        <v>3938.0</v>
      </c>
      <c r="M666" s="1">
        <v>4016.0</v>
      </c>
      <c r="N666" s="1">
        <v>307.0</v>
      </c>
      <c r="O666" s="1">
        <v>1745.0</v>
      </c>
      <c r="P666" s="1">
        <v>1834.0</v>
      </c>
      <c r="Q666" s="1">
        <v>93.0</v>
      </c>
      <c r="R666" s="1">
        <v>1641.0</v>
      </c>
      <c r="S666" s="1">
        <v>316.0</v>
      </c>
      <c r="T666" s="1">
        <v>129.0</v>
      </c>
      <c r="U666" s="1">
        <v>146.0</v>
      </c>
      <c r="V666" s="1">
        <v>435.0</v>
      </c>
      <c r="W666" s="1">
        <v>21262.0</v>
      </c>
      <c r="X666" s="1">
        <v>2568.0</v>
      </c>
      <c r="Y666" s="1">
        <v>492.0</v>
      </c>
      <c r="Z666" s="1">
        <v>208.0</v>
      </c>
      <c r="AA666" s="1">
        <v>643.0</v>
      </c>
      <c r="AB666" s="1">
        <v>845.0</v>
      </c>
      <c r="AC666" s="1">
        <v>218.0</v>
      </c>
      <c r="AD666" s="1">
        <v>209.0</v>
      </c>
      <c r="AE666" s="1">
        <v>0.0</v>
      </c>
      <c r="AF666" s="1">
        <v>456.0</v>
      </c>
      <c r="AG666" s="1">
        <v>9.0</v>
      </c>
      <c r="AH666" s="1">
        <v>162.0</v>
      </c>
      <c r="AI666" s="1">
        <v>540.0</v>
      </c>
      <c r="AJ666" s="1">
        <v>109.0</v>
      </c>
      <c r="AK666" s="1">
        <v>9.0</v>
      </c>
      <c r="AL666" s="1">
        <v>115.0</v>
      </c>
      <c r="AM666" s="1">
        <v>112.0</v>
      </c>
      <c r="AN666" s="1">
        <v>59.0</v>
      </c>
      <c r="AO666" s="1">
        <v>0.0</v>
      </c>
      <c r="AP666" s="1">
        <v>0.078685</v>
      </c>
      <c r="AQ666" s="1">
        <v>0.031553</v>
      </c>
      <c r="AR666" s="1">
        <v>0.072456</v>
      </c>
      <c r="AS666" s="1">
        <v>0.215607</v>
      </c>
      <c r="AT666" s="1">
        <v>21262.0</v>
      </c>
      <c r="AU666" s="1">
        <v>2568.0</v>
      </c>
      <c r="AV666" s="1">
        <v>0.179496</v>
      </c>
      <c r="AW666" s="1">
        <v>0.074388</v>
      </c>
      <c r="AX666" s="1">
        <v>0.16328</v>
      </c>
      <c r="AY666" s="1">
        <v>0.214575</v>
      </c>
      <c r="AZ666" s="1">
        <v>0.13284582</v>
      </c>
      <c r="BA666" s="1">
        <v>0.053072</v>
      </c>
      <c r="BB666" s="1">
        <v>0.0</v>
      </c>
      <c r="BC666" s="1">
        <v>0.123476</v>
      </c>
      <c r="BD666" s="1">
        <v>0.004907</v>
      </c>
      <c r="BE666" s="1">
        <v>0.088331</v>
      </c>
      <c r="BF666" s="1">
        <v>0.294438</v>
      </c>
      <c r="BG666" s="1">
        <v>0.057526</v>
      </c>
      <c r="BH666" s="1">
        <v>0.00525</v>
      </c>
      <c r="BI666" s="1">
        <v>0.067093</v>
      </c>
      <c r="BJ666" s="1">
        <v>0.065344</v>
      </c>
      <c r="BK666" s="1">
        <v>0.034161</v>
      </c>
      <c r="BL666" s="1">
        <v>0.0</v>
      </c>
      <c r="BM666" s="1">
        <v>0.289</v>
      </c>
      <c r="BN666" s="1">
        <v>0.532</v>
      </c>
      <c r="BO666" s="1">
        <v>0.5365</v>
      </c>
      <c r="BP666" s="1">
        <v>0.687</v>
      </c>
      <c r="BQ666" s="1">
        <v>2.0445</v>
      </c>
      <c r="BR666" s="1">
        <v>0.5162</v>
      </c>
      <c r="BS666" s="1">
        <v>0.69</v>
      </c>
      <c r="BT666" s="1">
        <v>0.264</v>
      </c>
      <c r="BU666" s="1">
        <v>0.728</v>
      </c>
      <c r="BV666" s="1">
        <v>1.682</v>
      </c>
      <c r="BW666" s="1">
        <v>0.628</v>
      </c>
      <c r="BX666" s="1">
        <v>0.271</v>
      </c>
      <c r="BY666" s="1">
        <v>0.0</v>
      </c>
      <c r="BZ666" s="1">
        <v>0.271</v>
      </c>
      <c r="CA666" s="1">
        <v>0.117</v>
      </c>
      <c r="CB666" s="1">
        <v>0.313</v>
      </c>
      <c r="CC666" s="1">
        <v>0.979</v>
      </c>
      <c r="CD666" s="1">
        <v>0.34</v>
      </c>
      <c r="CE666" s="1">
        <v>0.6</v>
      </c>
      <c r="CF666" s="1">
        <v>0.0</v>
      </c>
      <c r="CG666" s="1">
        <v>2.232</v>
      </c>
      <c r="CH666" s="1">
        <v>0.43</v>
      </c>
      <c r="CI666" s="1">
        <v>6.2295</v>
      </c>
      <c r="CJ666" s="1">
        <v>0.4137</v>
      </c>
      <c r="CK666" s="1">
        <v>0.0</v>
      </c>
      <c r="CL666" s="1">
        <v>0.0</v>
      </c>
      <c r="CM666" s="1">
        <v>0.0</v>
      </c>
      <c r="CN666" s="1">
        <v>0.0</v>
      </c>
      <c r="CO666" s="1">
        <v>0.0</v>
      </c>
      <c r="CP666" s="1">
        <v>0.0</v>
      </c>
      <c r="CQ666" s="1">
        <v>0.0</v>
      </c>
      <c r="CR666" s="1">
        <v>0.0</v>
      </c>
      <c r="CS666" s="1">
        <v>0.0</v>
      </c>
      <c r="CT666" s="1">
        <v>0.0</v>
      </c>
      <c r="CU666" s="1">
        <v>0.0</v>
      </c>
      <c r="CV666" s="1">
        <v>0.0</v>
      </c>
      <c r="CW666" s="1">
        <v>0.0</v>
      </c>
      <c r="CX666" s="1">
        <v>1.0</v>
      </c>
      <c r="CY666" s="1">
        <v>0.0</v>
      </c>
      <c r="CZ666" s="1">
        <v>0.0</v>
      </c>
      <c r="DA666" s="1">
        <v>0.0</v>
      </c>
      <c r="DB666" s="1">
        <v>1.0</v>
      </c>
      <c r="DC666" s="1">
        <v>1.0</v>
      </c>
      <c r="DD666" s="1" t="s">
        <v>3145</v>
      </c>
      <c r="DE666" s="1">
        <v>7.9286444819369E-4</v>
      </c>
      <c r="DF666" s="2" t="s">
        <v>3146</v>
      </c>
    </row>
    <row r="667" ht="15.75" customHeight="1">
      <c r="A667" s="1" t="s">
        <v>3147</v>
      </c>
      <c r="B667" s="1">
        <v>29.0</v>
      </c>
      <c r="C667" s="2" t="s">
        <v>3018</v>
      </c>
      <c r="D667" s="1">
        <v>700113.0</v>
      </c>
      <c r="E667" s="1">
        <v>4.641</v>
      </c>
      <c r="F667" s="1">
        <v>29099.0</v>
      </c>
      <c r="G667" s="1">
        <v>2.9099700113E10</v>
      </c>
      <c r="H667" s="1" t="s">
        <v>112</v>
      </c>
      <c r="I667" s="1" t="s">
        <v>113</v>
      </c>
      <c r="J667" s="1" t="s">
        <v>3019</v>
      </c>
      <c r="K667" s="1" t="s">
        <v>3148</v>
      </c>
      <c r="L667" s="1">
        <v>3579.0</v>
      </c>
      <c r="M667" s="1">
        <v>3294.0</v>
      </c>
      <c r="N667" s="1">
        <v>258.0</v>
      </c>
      <c r="O667" s="1">
        <v>1362.0</v>
      </c>
      <c r="P667" s="1">
        <v>1282.0</v>
      </c>
      <c r="Q667" s="1">
        <v>86.0</v>
      </c>
      <c r="R667" s="1">
        <v>1301.0</v>
      </c>
      <c r="S667" s="1">
        <v>246.0</v>
      </c>
      <c r="T667" s="1">
        <v>155.0</v>
      </c>
      <c r="U667" s="1">
        <v>136.0</v>
      </c>
      <c r="V667" s="1">
        <v>383.0</v>
      </c>
      <c r="W667" s="1">
        <v>27665.0</v>
      </c>
      <c r="X667" s="1">
        <v>2874.0</v>
      </c>
      <c r="Y667" s="1">
        <v>314.0</v>
      </c>
      <c r="Z667" s="1">
        <v>298.0</v>
      </c>
      <c r="AA667" s="1">
        <v>383.0</v>
      </c>
      <c r="AB667" s="1">
        <v>895.0</v>
      </c>
      <c r="AC667" s="1">
        <v>120.0</v>
      </c>
      <c r="AD667" s="1">
        <v>142.0</v>
      </c>
      <c r="AE667" s="1">
        <v>12.0</v>
      </c>
      <c r="AF667" s="1">
        <v>442.0</v>
      </c>
      <c r="AG667" s="1">
        <v>0.0</v>
      </c>
      <c r="AH667" s="1">
        <v>197.0</v>
      </c>
      <c r="AI667" s="1">
        <v>226.0</v>
      </c>
      <c r="AJ667" s="1">
        <v>82.0</v>
      </c>
      <c r="AK667" s="1">
        <v>11.0</v>
      </c>
      <c r="AL667" s="1">
        <v>115.0</v>
      </c>
      <c r="AM667" s="1">
        <v>26.0</v>
      </c>
      <c r="AN667" s="1">
        <v>116.0</v>
      </c>
      <c r="AO667" s="1">
        <v>20.0</v>
      </c>
      <c r="AP667" s="1">
        <v>0.074954</v>
      </c>
      <c r="AQ667" s="1">
        <v>0.046875</v>
      </c>
      <c r="AR667" s="1">
        <v>0.08173</v>
      </c>
      <c r="AS667" s="1">
        <v>0.229925</v>
      </c>
      <c r="AT667" s="1">
        <v>27665.0</v>
      </c>
      <c r="AU667" s="1">
        <v>2874.0</v>
      </c>
      <c r="AV667" s="1">
        <v>0.142597</v>
      </c>
      <c r="AW667" s="1">
        <v>0.135023</v>
      </c>
      <c r="AX667" s="1">
        <v>0.107013</v>
      </c>
      <c r="AY667" s="1">
        <v>0.250069</v>
      </c>
      <c r="AZ667" s="1">
        <v>0.09223674</v>
      </c>
      <c r="BA667" s="1">
        <v>0.039675</v>
      </c>
      <c r="BB667" s="1">
        <v>0.003862</v>
      </c>
      <c r="BC667" s="1">
        <v>0.142259</v>
      </c>
      <c r="BD667" s="1">
        <v>0.0</v>
      </c>
      <c r="BE667" s="1">
        <v>0.153666</v>
      </c>
      <c r="BF667" s="1">
        <v>0.176287</v>
      </c>
      <c r="BG667" s="1">
        <v>0.062859</v>
      </c>
      <c r="BH667" s="1">
        <v>0.009369</v>
      </c>
      <c r="BI667" s="1">
        <v>0.097953</v>
      </c>
      <c r="BJ667" s="1">
        <v>0.022146</v>
      </c>
      <c r="BK667" s="1">
        <v>0.098793</v>
      </c>
      <c r="BL667" s="1">
        <v>0.005588</v>
      </c>
      <c r="BM667" s="1">
        <v>0.267</v>
      </c>
      <c r="BN667" s="1">
        <v>0.625</v>
      </c>
      <c r="BO667" s="1">
        <v>0.2628</v>
      </c>
      <c r="BP667" s="1">
        <v>0.538</v>
      </c>
      <c r="BQ667" s="1">
        <v>1.6928</v>
      </c>
      <c r="BR667" s="1">
        <v>0.4</v>
      </c>
      <c r="BS667" s="1">
        <v>0.249</v>
      </c>
      <c r="BT667" s="1">
        <v>0.596</v>
      </c>
      <c r="BU667" s="1">
        <v>0.421</v>
      </c>
      <c r="BV667" s="1">
        <v>1.266</v>
      </c>
      <c r="BW667" s="1">
        <v>0.279</v>
      </c>
      <c r="BX667" s="1">
        <v>0.161</v>
      </c>
      <c r="BY667" s="1">
        <v>0.508</v>
      </c>
      <c r="BZ667" s="1">
        <v>0.669</v>
      </c>
      <c r="CA667" s="1">
        <v>0.317</v>
      </c>
      <c r="CB667" s="1">
        <v>0.0</v>
      </c>
      <c r="CC667" s="1">
        <v>0.861</v>
      </c>
      <c r="CD667" s="1">
        <v>0.465</v>
      </c>
      <c r="CE667" s="1">
        <v>0.204</v>
      </c>
      <c r="CF667" s="1">
        <v>0.525</v>
      </c>
      <c r="CG667" s="1">
        <v>2.055</v>
      </c>
      <c r="CH667" s="1">
        <v>0.364</v>
      </c>
      <c r="CI667" s="1">
        <v>5.6828</v>
      </c>
      <c r="CJ667" s="1">
        <v>0.3177</v>
      </c>
      <c r="CK667" s="1">
        <v>0.0</v>
      </c>
      <c r="CL667" s="1">
        <v>0.0</v>
      </c>
      <c r="CM667" s="1">
        <v>0.0</v>
      </c>
      <c r="CN667" s="1">
        <v>0.0</v>
      </c>
      <c r="CO667" s="1">
        <v>0.0</v>
      </c>
      <c r="CP667" s="1">
        <v>0.0</v>
      </c>
      <c r="CQ667" s="1">
        <v>0.0</v>
      </c>
      <c r="CR667" s="1">
        <v>0.0</v>
      </c>
      <c r="CS667" s="1">
        <v>0.0</v>
      </c>
      <c r="CT667" s="1">
        <v>0.0</v>
      </c>
      <c r="CU667" s="1">
        <v>0.0</v>
      </c>
      <c r="CV667" s="1">
        <v>0.0</v>
      </c>
      <c r="CW667" s="1">
        <v>0.0</v>
      </c>
      <c r="CX667" s="1">
        <v>0.0</v>
      </c>
      <c r="CY667" s="1">
        <v>0.0</v>
      </c>
      <c r="CZ667" s="1">
        <v>0.0</v>
      </c>
      <c r="DA667" s="1">
        <v>0.0</v>
      </c>
      <c r="DB667" s="1">
        <v>0.0</v>
      </c>
      <c r="DC667" s="1">
        <v>0.0</v>
      </c>
      <c r="DD667" s="1" t="s">
        <v>3149</v>
      </c>
      <c r="DE667" s="1">
        <v>0.00123835424403509</v>
      </c>
      <c r="DF667" s="2" t="s">
        <v>3150</v>
      </c>
    </row>
    <row r="668" ht="15.75" customHeight="1">
      <c r="A668" s="1" t="s">
        <v>3151</v>
      </c>
      <c r="B668" s="1">
        <v>29.0</v>
      </c>
      <c r="C668" s="2" t="s">
        <v>3018</v>
      </c>
      <c r="D668" s="1">
        <v>700114.0</v>
      </c>
      <c r="E668" s="1">
        <v>4.646</v>
      </c>
      <c r="F668" s="1">
        <v>29099.0</v>
      </c>
      <c r="G668" s="1">
        <v>2.9099700114E10</v>
      </c>
      <c r="H668" s="1" t="s">
        <v>112</v>
      </c>
      <c r="I668" s="1" t="s">
        <v>113</v>
      </c>
      <c r="J668" s="1" t="s">
        <v>3019</v>
      </c>
      <c r="K668" s="1" t="s">
        <v>3152</v>
      </c>
      <c r="L668" s="1">
        <v>4485.0</v>
      </c>
      <c r="M668" s="1">
        <v>4672.0</v>
      </c>
      <c r="N668" s="1">
        <v>361.0</v>
      </c>
      <c r="O668" s="1">
        <v>1799.0</v>
      </c>
      <c r="P668" s="1">
        <v>1784.0</v>
      </c>
      <c r="Q668" s="1">
        <v>75.0</v>
      </c>
      <c r="R668" s="1">
        <v>1691.0</v>
      </c>
      <c r="S668" s="1">
        <v>613.0</v>
      </c>
      <c r="T668" s="1">
        <v>360.0</v>
      </c>
      <c r="U668" s="1">
        <v>134.0</v>
      </c>
      <c r="V668" s="1">
        <v>437.0</v>
      </c>
      <c r="W668" s="1">
        <v>21263.0</v>
      </c>
      <c r="X668" s="1">
        <v>2209.0</v>
      </c>
      <c r="Y668" s="1">
        <v>340.0</v>
      </c>
      <c r="Z668" s="1">
        <v>345.0</v>
      </c>
      <c r="AA668" s="1">
        <v>497.0</v>
      </c>
      <c r="AB668" s="1">
        <v>1142.0</v>
      </c>
      <c r="AC668" s="1">
        <v>190.0</v>
      </c>
      <c r="AD668" s="1">
        <v>193.0</v>
      </c>
      <c r="AE668" s="1">
        <v>103.0</v>
      </c>
      <c r="AF668" s="1">
        <v>427.0</v>
      </c>
      <c r="AG668" s="1">
        <v>0.0</v>
      </c>
      <c r="AH668" s="1">
        <v>197.0</v>
      </c>
      <c r="AI668" s="1">
        <v>289.0</v>
      </c>
      <c r="AJ668" s="1">
        <v>96.0</v>
      </c>
      <c r="AK668" s="1">
        <v>53.0</v>
      </c>
      <c r="AL668" s="1">
        <v>120.0</v>
      </c>
      <c r="AM668" s="1">
        <v>84.0</v>
      </c>
      <c r="AN668" s="1">
        <v>67.0</v>
      </c>
      <c r="AO668" s="1">
        <v>7.0</v>
      </c>
      <c r="AP668" s="1">
        <v>0.131207</v>
      </c>
      <c r="AQ668" s="1">
        <v>0.076384</v>
      </c>
      <c r="AR668" s="1">
        <v>0.059423</v>
      </c>
      <c r="AS668" s="1">
        <v>0.193652</v>
      </c>
      <c r="AT668" s="1">
        <v>21263.0</v>
      </c>
      <c r="AU668" s="1">
        <v>2209.0</v>
      </c>
      <c r="AV668" s="1">
        <v>0.11417</v>
      </c>
      <c r="AW668" s="1">
        <v>0.11548</v>
      </c>
      <c r="AX668" s="1">
        <v>0.110813</v>
      </c>
      <c r="AY668" s="1">
        <v>0.254626</v>
      </c>
      <c r="AZ668" s="1">
        <v>0.11235955</v>
      </c>
      <c r="BA668" s="1">
        <v>0.043032</v>
      </c>
      <c r="BB668" s="1">
        <v>0.024116</v>
      </c>
      <c r="BC668" s="1">
        <v>0.099962</v>
      </c>
      <c r="BD668" s="1">
        <v>0.0</v>
      </c>
      <c r="BE668" s="1">
        <v>0.110426</v>
      </c>
      <c r="BF668" s="1">
        <v>0.161995</v>
      </c>
      <c r="BG668" s="1">
        <v>0.053378</v>
      </c>
      <c r="BH668" s="1">
        <v>0.032595</v>
      </c>
      <c r="BI668" s="1">
        <v>0.073771</v>
      </c>
      <c r="BJ668" s="1">
        <v>0.05166</v>
      </c>
      <c r="BK668" s="1">
        <v>0.041072</v>
      </c>
      <c r="BL668" s="1">
        <v>0.00156</v>
      </c>
      <c r="BM668" s="1">
        <v>0.502</v>
      </c>
      <c r="BN668" s="1">
        <v>0.41</v>
      </c>
      <c r="BO668" s="1">
        <v>0.5357</v>
      </c>
      <c r="BP668" s="1">
        <v>0.401</v>
      </c>
      <c r="BQ668" s="1">
        <v>1.8487</v>
      </c>
      <c r="BR668" s="1">
        <v>0.4469</v>
      </c>
      <c r="BS668" s="1">
        <v>0.278</v>
      </c>
      <c r="BT668" s="1">
        <v>0.652</v>
      </c>
      <c r="BU668" s="1">
        <v>0.607</v>
      </c>
      <c r="BV668" s="1">
        <v>1.537</v>
      </c>
      <c r="BW668" s="1">
        <v>0.512</v>
      </c>
      <c r="BX668" s="1">
        <v>0.197</v>
      </c>
      <c r="BY668" s="1">
        <v>0.882</v>
      </c>
      <c r="BZ668" s="1">
        <v>1.079</v>
      </c>
      <c r="CA668" s="1">
        <v>0.6</v>
      </c>
      <c r="CB668" s="1">
        <v>0.0</v>
      </c>
      <c r="CC668" s="1">
        <v>0.842</v>
      </c>
      <c r="CD668" s="1">
        <v>0.838</v>
      </c>
      <c r="CE668" s="1">
        <v>0.497</v>
      </c>
      <c r="CF668" s="1">
        <v>0.425</v>
      </c>
      <c r="CG668" s="1">
        <v>2.602</v>
      </c>
      <c r="CH668" s="1">
        <v>0.605</v>
      </c>
      <c r="CI668" s="1">
        <v>7.0667</v>
      </c>
      <c r="CJ668" s="1">
        <v>0.5632</v>
      </c>
      <c r="CK668" s="1">
        <v>0.0</v>
      </c>
      <c r="CL668" s="1">
        <v>0.0</v>
      </c>
      <c r="CM668" s="1">
        <v>0.0</v>
      </c>
      <c r="CN668" s="1">
        <v>0.0</v>
      </c>
      <c r="CO668" s="1">
        <v>0.0</v>
      </c>
      <c r="CP668" s="1">
        <v>0.0</v>
      </c>
      <c r="CQ668" s="1">
        <v>0.0</v>
      </c>
      <c r="CR668" s="1">
        <v>0.0</v>
      </c>
      <c r="CS668" s="1">
        <v>0.0</v>
      </c>
      <c r="CT668" s="1">
        <v>0.0</v>
      </c>
      <c r="CU668" s="1">
        <v>0.0</v>
      </c>
      <c r="CV668" s="1">
        <v>0.0</v>
      </c>
      <c r="CW668" s="1">
        <v>0.0</v>
      </c>
      <c r="CX668" s="1">
        <v>0.0</v>
      </c>
      <c r="CY668" s="1">
        <v>0.0</v>
      </c>
      <c r="CZ668" s="1">
        <v>0.0</v>
      </c>
      <c r="DA668" s="1">
        <v>0.0</v>
      </c>
      <c r="DB668" s="1">
        <v>0.0</v>
      </c>
      <c r="DC668" s="1">
        <v>0.0</v>
      </c>
      <c r="DD668" s="1" t="s">
        <v>3153</v>
      </c>
      <c r="DE668" s="1">
        <v>0.0013641659634738</v>
      </c>
      <c r="DF668" s="1">
        <v>0.232318198473997</v>
      </c>
    </row>
    <row r="669" ht="15.75" customHeight="1">
      <c r="A669" s="1" t="s">
        <v>3154</v>
      </c>
      <c r="B669" s="1">
        <v>29.0</v>
      </c>
      <c r="C669" s="2" t="s">
        <v>3018</v>
      </c>
      <c r="D669" s="1">
        <v>700115.0</v>
      </c>
      <c r="E669" s="1">
        <v>3.477</v>
      </c>
      <c r="F669" s="1">
        <v>29099.0</v>
      </c>
      <c r="G669" s="1">
        <v>2.9099700115E10</v>
      </c>
      <c r="H669" s="1" t="s">
        <v>112</v>
      </c>
      <c r="I669" s="1" t="s">
        <v>113</v>
      </c>
      <c r="J669" s="1" t="s">
        <v>3019</v>
      </c>
      <c r="K669" s="1" t="s">
        <v>3155</v>
      </c>
      <c r="L669" s="1">
        <v>4333.0</v>
      </c>
      <c r="M669" s="1">
        <v>3982.0</v>
      </c>
      <c r="N669" s="1">
        <v>427.0</v>
      </c>
      <c r="O669" s="1">
        <v>1679.0</v>
      </c>
      <c r="P669" s="1">
        <v>1650.0</v>
      </c>
      <c r="Q669" s="1">
        <v>120.0</v>
      </c>
      <c r="R669" s="1">
        <v>1609.0</v>
      </c>
      <c r="S669" s="1">
        <v>231.0</v>
      </c>
      <c r="T669" s="1">
        <v>164.0</v>
      </c>
      <c r="U669" s="1">
        <v>207.0</v>
      </c>
      <c r="V669" s="1">
        <v>436.0</v>
      </c>
      <c r="W669" s="1">
        <v>26537.0</v>
      </c>
      <c r="X669" s="1">
        <v>2549.0</v>
      </c>
      <c r="Y669" s="1">
        <v>501.0</v>
      </c>
      <c r="Z669" s="1">
        <v>336.0</v>
      </c>
      <c r="AA669" s="1">
        <v>451.0</v>
      </c>
      <c r="AB669" s="1">
        <v>1080.0</v>
      </c>
      <c r="AC669" s="1">
        <v>166.0</v>
      </c>
      <c r="AD669" s="1">
        <v>174.0</v>
      </c>
      <c r="AE669" s="1">
        <v>71.0</v>
      </c>
      <c r="AF669" s="1">
        <v>417.0</v>
      </c>
      <c r="AG669" s="1">
        <v>45.0</v>
      </c>
      <c r="AH669" s="1">
        <v>165.0</v>
      </c>
      <c r="AI669" s="1">
        <v>0.0</v>
      </c>
      <c r="AJ669" s="1">
        <v>114.0</v>
      </c>
      <c r="AK669" s="1">
        <v>14.0</v>
      </c>
      <c r="AL669" s="1">
        <v>116.0</v>
      </c>
      <c r="AM669" s="1">
        <v>68.0</v>
      </c>
      <c r="AN669" s="1">
        <v>63.0</v>
      </c>
      <c r="AO669" s="1">
        <v>0.0</v>
      </c>
      <c r="AP669" s="1">
        <v>0.058011</v>
      </c>
      <c r="AQ669" s="1">
        <v>0.040712</v>
      </c>
      <c r="AR669" s="1">
        <v>0.089843</v>
      </c>
      <c r="AS669" s="1">
        <v>0.188847</v>
      </c>
      <c r="AT669" s="1">
        <v>26537.0</v>
      </c>
      <c r="AU669" s="1">
        <v>2549.0</v>
      </c>
      <c r="AV669" s="1">
        <v>0.185899</v>
      </c>
      <c r="AW669" s="1">
        <v>0.123457</v>
      </c>
      <c r="AX669" s="1">
        <v>0.104084</v>
      </c>
      <c r="AY669" s="1">
        <v>0.249249</v>
      </c>
      <c r="AZ669" s="1">
        <v>0.10316967</v>
      </c>
      <c r="BA669" s="1">
        <v>0.040156</v>
      </c>
      <c r="BB669" s="1">
        <v>0.019147</v>
      </c>
      <c r="BC669" s="1">
        <v>0.11244</v>
      </c>
      <c r="BD669" s="1">
        <v>0.027272</v>
      </c>
      <c r="BE669" s="1">
        <v>0.09998</v>
      </c>
      <c r="BF669" s="1">
        <v>0.0</v>
      </c>
      <c r="BG669" s="1">
        <v>0.06909</v>
      </c>
      <c r="BH669" s="1">
        <v>0.00953</v>
      </c>
      <c r="BI669" s="1">
        <v>0.078957</v>
      </c>
      <c r="BJ669" s="1">
        <v>0.046289</v>
      </c>
      <c r="BK669" s="1">
        <v>0.042558</v>
      </c>
      <c r="BL669" s="1">
        <v>0.0</v>
      </c>
      <c r="BM669" s="1">
        <v>0.196</v>
      </c>
      <c r="BN669" s="1">
        <v>0.681</v>
      </c>
      <c r="BO669" s="1">
        <v>0.2968</v>
      </c>
      <c r="BP669" s="1">
        <v>0.708</v>
      </c>
      <c r="BQ669" s="1">
        <v>1.8818</v>
      </c>
      <c r="BR669" s="1">
        <v>0.457</v>
      </c>
      <c r="BS669" s="1">
        <v>0.237</v>
      </c>
      <c r="BT669" s="1">
        <v>0.589</v>
      </c>
      <c r="BU669" s="1">
        <v>0.523</v>
      </c>
      <c r="BV669" s="1">
        <v>1.349</v>
      </c>
      <c r="BW669" s="1">
        <v>0.342</v>
      </c>
      <c r="BX669" s="1">
        <v>0.164</v>
      </c>
      <c r="BY669" s="1">
        <v>0.853</v>
      </c>
      <c r="BZ669" s="1">
        <v>1.017</v>
      </c>
      <c r="CA669" s="1">
        <v>0.569</v>
      </c>
      <c r="CB669" s="1">
        <v>0.526</v>
      </c>
      <c r="CC669" s="1">
        <v>0.0</v>
      </c>
      <c r="CD669" s="1">
        <v>0.467</v>
      </c>
      <c r="CE669" s="1">
        <v>0.455</v>
      </c>
      <c r="CF669" s="1">
        <v>0.0</v>
      </c>
      <c r="CG669" s="1">
        <v>1.448</v>
      </c>
      <c r="CH669" s="1">
        <v>0.159</v>
      </c>
      <c r="CI669" s="1">
        <v>5.6958</v>
      </c>
      <c r="CJ669" s="1">
        <v>0.3191</v>
      </c>
      <c r="CK669" s="1">
        <v>0.0</v>
      </c>
      <c r="CL669" s="1">
        <v>0.0</v>
      </c>
      <c r="CM669" s="1">
        <v>0.0</v>
      </c>
      <c r="CN669" s="1">
        <v>0.0</v>
      </c>
      <c r="CO669" s="1">
        <v>0.0</v>
      </c>
      <c r="CP669" s="1">
        <v>0.0</v>
      </c>
      <c r="CQ669" s="1">
        <v>0.0</v>
      </c>
      <c r="CR669" s="1">
        <v>0.0</v>
      </c>
      <c r="CS669" s="1">
        <v>0.0</v>
      </c>
      <c r="CT669" s="1">
        <v>0.0</v>
      </c>
      <c r="CU669" s="1">
        <v>0.0</v>
      </c>
      <c r="CV669" s="1">
        <v>0.0</v>
      </c>
      <c r="CW669" s="1">
        <v>0.0</v>
      </c>
      <c r="CX669" s="1">
        <v>0.0</v>
      </c>
      <c r="CY669" s="1">
        <v>0.0</v>
      </c>
      <c r="CZ669" s="1">
        <v>0.0</v>
      </c>
      <c r="DA669" s="1">
        <v>0.0</v>
      </c>
      <c r="DB669" s="1">
        <v>0.0</v>
      </c>
      <c r="DC669" s="1">
        <v>0.0</v>
      </c>
      <c r="DD669" s="1" t="s">
        <v>3156</v>
      </c>
      <c r="DE669" s="1">
        <v>0.00106043774233865</v>
      </c>
      <c r="DF669" s="2" t="s">
        <v>3157</v>
      </c>
    </row>
    <row r="670" ht="15.75" customHeight="1">
      <c r="A670" s="1" t="s">
        <v>3158</v>
      </c>
      <c r="B670" s="1">
        <v>29.0</v>
      </c>
      <c r="C670" s="2" t="s">
        <v>3018</v>
      </c>
      <c r="D670" s="1">
        <v>700117.0</v>
      </c>
      <c r="E670" s="1">
        <v>1.731</v>
      </c>
      <c r="F670" s="1">
        <v>29099.0</v>
      </c>
      <c r="G670" s="1">
        <v>2.9099700117E10</v>
      </c>
      <c r="H670" s="1" t="s">
        <v>112</v>
      </c>
      <c r="I670" s="1" t="s">
        <v>113</v>
      </c>
      <c r="J670" s="1" t="s">
        <v>3019</v>
      </c>
      <c r="K670" s="1" t="s">
        <v>3159</v>
      </c>
      <c r="L670" s="1">
        <v>7172.0</v>
      </c>
      <c r="M670" s="1">
        <v>6670.0</v>
      </c>
      <c r="N670" s="1">
        <v>376.0</v>
      </c>
      <c r="O670" s="1">
        <v>2719.0</v>
      </c>
      <c r="P670" s="1">
        <v>2710.0</v>
      </c>
      <c r="Q670" s="1">
        <v>67.0</v>
      </c>
      <c r="R670" s="1">
        <v>2600.0</v>
      </c>
      <c r="S670" s="1">
        <v>333.0</v>
      </c>
      <c r="T670" s="1">
        <v>183.0</v>
      </c>
      <c r="U670" s="1">
        <v>201.0</v>
      </c>
      <c r="V670" s="1">
        <v>352.0</v>
      </c>
      <c r="W670" s="1">
        <v>25700.0</v>
      </c>
      <c r="X670" s="1">
        <v>1856.0</v>
      </c>
      <c r="Y670" s="1">
        <v>435.0</v>
      </c>
      <c r="Z670" s="1">
        <v>274.0</v>
      </c>
      <c r="AA670" s="1">
        <v>632.0</v>
      </c>
      <c r="AB670" s="1">
        <v>1897.0</v>
      </c>
      <c r="AC670" s="1">
        <v>284.0</v>
      </c>
      <c r="AD670" s="1">
        <v>348.0</v>
      </c>
      <c r="AE670" s="1">
        <v>110.0</v>
      </c>
      <c r="AF670" s="1">
        <v>467.0</v>
      </c>
      <c r="AG670" s="1">
        <v>113.0</v>
      </c>
      <c r="AH670" s="1">
        <v>176.0</v>
      </c>
      <c r="AI670" s="1">
        <v>12.0</v>
      </c>
      <c r="AJ670" s="1">
        <v>19.0</v>
      </c>
      <c r="AK670" s="1">
        <v>13.0</v>
      </c>
      <c r="AL670" s="1">
        <v>116.0</v>
      </c>
      <c r="AM670" s="1">
        <v>164.0</v>
      </c>
      <c r="AN670" s="1">
        <v>103.0</v>
      </c>
      <c r="AO670" s="1">
        <v>0.0</v>
      </c>
      <c r="AP670" s="1">
        <v>0.049925</v>
      </c>
      <c r="AQ670" s="1">
        <v>0.027291</v>
      </c>
      <c r="AR670" s="1">
        <v>0.054903</v>
      </c>
      <c r="AS670" s="1">
        <v>0.096024</v>
      </c>
      <c r="AT670" s="1">
        <v>25700.0</v>
      </c>
      <c r="AU670" s="1">
        <v>1856.0</v>
      </c>
      <c r="AV670" s="1">
        <v>0.099633</v>
      </c>
      <c r="AW670" s="1">
        <v>0.062535</v>
      </c>
      <c r="AX670" s="1">
        <v>0.08812</v>
      </c>
      <c r="AY670" s="1">
        <v>0.2645</v>
      </c>
      <c r="AZ670" s="1">
        <v>0.10923076</v>
      </c>
      <c r="BA670" s="1">
        <v>0.048522</v>
      </c>
      <c r="BB670" s="1">
        <v>0.018035</v>
      </c>
      <c r="BC670" s="1">
        <v>0.076563</v>
      </c>
      <c r="BD670" s="1">
        <v>0.041697</v>
      </c>
      <c r="BE670" s="1">
        <v>0.064936</v>
      </c>
      <c r="BF670" s="1">
        <v>0.004428</v>
      </c>
      <c r="BG670" s="1">
        <v>0.00701</v>
      </c>
      <c r="BH670" s="1">
        <v>0.0052</v>
      </c>
      <c r="BI670" s="1">
        <v>0.046399</v>
      </c>
      <c r="BJ670" s="1">
        <v>0.0656</v>
      </c>
      <c r="BK670" s="1">
        <v>0.041062</v>
      </c>
      <c r="BL670" s="1">
        <v>0.0</v>
      </c>
      <c r="BM670" s="1">
        <v>0.163</v>
      </c>
      <c r="BN670" s="1">
        <v>0.343</v>
      </c>
      <c r="BO670" s="1">
        <v>0.3199</v>
      </c>
      <c r="BP670" s="1">
        <v>0.337</v>
      </c>
      <c r="BQ670" s="1">
        <v>1.1629</v>
      </c>
      <c r="BR670" s="1">
        <v>0.2433</v>
      </c>
      <c r="BS670" s="1">
        <v>0.149</v>
      </c>
      <c r="BT670" s="1">
        <v>0.745</v>
      </c>
      <c r="BU670" s="1">
        <v>0.581</v>
      </c>
      <c r="BV670" s="1">
        <v>1.475</v>
      </c>
      <c r="BW670" s="1">
        <v>0.461</v>
      </c>
      <c r="BX670" s="1">
        <v>0.238</v>
      </c>
      <c r="BY670" s="1">
        <v>0.845</v>
      </c>
      <c r="BZ670" s="1">
        <v>1.083</v>
      </c>
      <c r="CA670" s="1">
        <v>0.602</v>
      </c>
      <c r="CB670" s="1">
        <v>0.619</v>
      </c>
      <c r="CC670" s="1">
        <v>0.384</v>
      </c>
      <c r="CD670" s="1">
        <v>0.339</v>
      </c>
      <c r="CE670" s="1">
        <v>0.602</v>
      </c>
      <c r="CF670" s="1">
        <v>0.0</v>
      </c>
      <c r="CG670" s="1">
        <v>1.944</v>
      </c>
      <c r="CH670" s="1">
        <v>0.322</v>
      </c>
      <c r="CI670" s="1">
        <v>5.6649</v>
      </c>
      <c r="CJ670" s="1">
        <v>0.3134</v>
      </c>
      <c r="CK670" s="1">
        <v>0.0</v>
      </c>
      <c r="CL670" s="1">
        <v>0.0</v>
      </c>
      <c r="CM670" s="1">
        <v>0.0</v>
      </c>
      <c r="CN670" s="1">
        <v>0.0</v>
      </c>
      <c r="CO670" s="1">
        <v>0.0</v>
      </c>
      <c r="CP670" s="1">
        <v>0.0</v>
      </c>
      <c r="CQ670" s="1">
        <v>0.0</v>
      </c>
      <c r="CR670" s="1">
        <v>0.0</v>
      </c>
      <c r="CS670" s="1">
        <v>0.0</v>
      </c>
      <c r="CT670" s="1">
        <v>0.0</v>
      </c>
      <c r="CU670" s="1">
        <v>0.0</v>
      </c>
      <c r="CV670" s="1">
        <v>0.0</v>
      </c>
      <c r="CW670" s="1">
        <v>0.0</v>
      </c>
      <c r="CX670" s="1">
        <v>0.0</v>
      </c>
      <c r="CY670" s="1">
        <v>0.0</v>
      </c>
      <c r="CZ670" s="1">
        <v>0.0</v>
      </c>
      <c r="DA670" s="1">
        <v>0.0</v>
      </c>
      <c r="DB670" s="1">
        <v>0.0</v>
      </c>
      <c r="DC670" s="1">
        <v>0.0</v>
      </c>
      <c r="DD670" s="1" t="s">
        <v>3160</v>
      </c>
      <c r="DE670" s="1">
        <v>4.62249118832818E-4</v>
      </c>
      <c r="DF670" s="1">
        <v>0.0979352809804388</v>
      </c>
    </row>
    <row r="671" ht="15.75" customHeight="1">
      <c r="A671" s="1" t="s">
        <v>3161</v>
      </c>
      <c r="B671" s="1">
        <v>29.0</v>
      </c>
      <c r="C671" s="2" t="s">
        <v>3018</v>
      </c>
      <c r="D671" s="1">
        <v>700206.0</v>
      </c>
      <c r="E671" s="1">
        <v>9.494</v>
      </c>
      <c r="F671" s="1">
        <v>29099.0</v>
      </c>
      <c r="G671" s="1">
        <v>2.9099700206E10</v>
      </c>
      <c r="H671" s="1" t="s">
        <v>112</v>
      </c>
      <c r="I671" s="1" t="s">
        <v>113</v>
      </c>
      <c r="J671" s="1" t="s">
        <v>3019</v>
      </c>
      <c r="K671" s="1" t="s">
        <v>3162</v>
      </c>
      <c r="L671" s="1">
        <v>5312.0</v>
      </c>
      <c r="M671" s="1">
        <v>5619.0</v>
      </c>
      <c r="N671" s="1">
        <v>447.0</v>
      </c>
      <c r="O671" s="1">
        <v>2000.0</v>
      </c>
      <c r="P671" s="1">
        <v>2107.0</v>
      </c>
      <c r="Q671" s="1">
        <v>108.0</v>
      </c>
      <c r="R671" s="1">
        <v>1852.0</v>
      </c>
      <c r="S671" s="1">
        <v>802.0</v>
      </c>
      <c r="T671" s="1">
        <v>322.0</v>
      </c>
      <c r="U671" s="1">
        <v>144.0</v>
      </c>
      <c r="V671" s="1">
        <v>419.0</v>
      </c>
      <c r="W671" s="1">
        <v>19195.0</v>
      </c>
      <c r="X671" s="1">
        <v>1972.0</v>
      </c>
      <c r="Y671" s="1">
        <v>541.0</v>
      </c>
      <c r="Z671" s="1">
        <v>285.0</v>
      </c>
      <c r="AA671" s="1">
        <v>357.0</v>
      </c>
      <c r="AB671" s="1">
        <v>1506.0</v>
      </c>
      <c r="AC671" s="1">
        <v>300.0</v>
      </c>
      <c r="AD671" s="1">
        <v>292.0</v>
      </c>
      <c r="AE671" s="1">
        <v>120.0</v>
      </c>
      <c r="AF671" s="1">
        <v>434.0</v>
      </c>
      <c r="AG671" s="1">
        <v>33.0</v>
      </c>
      <c r="AH671" s="1">
        <v>164.0</v>
      </c>
      <c r="AI671" s="1">
        <v>789.0</v>
      </c>
      <c r="AJ671" s="1">
        <v>151.0</v>
      </c>
      <c r="AK671" s="1">
        <v>12.0</v>
      </c>
      <c r="AL671" s="1">
        <v>116.0</v>
      </c>
      <c r="AM671" s="1">
        <v>70.0</v>
      </c>
      <c r="AN671" s="1">
        <v>52.0</v>
      </c>
      <c r="AO671" s="1">
        <v>1.0</v>
      </c>
      <c r="AP671" s="1">
        <v>0.14273</v>
      </c>
      <c r="AQ671" s="1">
        <v>0.056169</v>
      </c>
      <c r="AR671" s="1">
        <v>0.051948</v>
      </c>
      <c r="AS671" s="1">
        <v>0.151001</v>
      </c>
      <c r="AT671" s="1">
        <v>19195.0</v>
      </c>
      <c r="AU671" s="1">
        <v>1972.0</v>
      </c>
      <c r="AV671" s="1">
        <v>0.157679</v>
      </c>
      <c r="AW671" s="1">
        <v>0.081556</v>
      </c>
      <c r="AX671" s="1">
        <v>0.067206</v>
      </c>
      <c r="AY671" s="1">
        <v>0.283509</v>
      </c>
      <c r="AZ671" s="1">
        <v>0.16198704</v>
      </c>
      <c r="BA671" s="1">
        <v>0.054969</v>
      </c>
      <c r="BB671" s="1">
        <v>0.023414</v>
      </c>
      <c r="BC671" s="1">
        <v>0.084661</v>
      </c>
      <c r="BD671" s="1">
        <v>0.015662</v>
      </c>
      <c r="BE671" s="1">
        <v>0.077831</v>
      </c>
      <c r="BF671" s="1">
        <v>0.374466</v>
      </c>
      <c r="BG671" s="1">
        <v>0.069047</v>
      </c>
      <c r="BH671" s="1">
        <v>0.006272</v>
      </c>
      <c r="BI671" s="1">
        <v>0.060636</v>
      </c>
      <c r="BJ671" s="1">
        <v>0.036591</v>
      </c>
      <c r="BK671" s="1">
        <v>0.027082</v>
      </c>
      <c r="BL671" s="1">
        <v>1.88E-4</v>
      </c>
      <c r="BM671" s="1">
        <v>0.555</v>
      </c>
      <c r="BN671" s="1">
        <v>0.317</v>
      </c>
      <c r="BO671" s="1">
        <v>0.6578</v>
      </c>
      <c r="BP671" s="1">
        <v>0.6</v>
      </c>
      <c r="BQ671" s="1">
        <v>2.1298</v>
      </c>
      <c r="BR671" s="1">
        <v>0.5394</v>
      </c>
      <c r="BS671" s="1">
        <v>0.071</v>
      </c>
      <c r="BT671" s="1">
        <v>0.865</v>
      </c>
      <c r="BU671" s="1">
        <v>0.825</v>
      </c>
      <c r="BV671" s="1">
        <v>1.761</v>
      </c>
      <c r="BW671" s="1">
        <v>0.692</v>
      </c>
      <c r="BX671" s="1">
        <v>0.282</v>
      </c>
      <c r="BY671" s="1">
        <v>0.878</v>
      </c>
      <c r="BZ671" s="1">
        <v>1.16</v>
      </c>
      <c r="CA671" s="1">
        <v>0.64</v>
      </c>
      <c r="CB671" s="1">
        <v>0.432</v>
      </c>
      <c r="CC671" s="1">
        <v>0.992</v>
      </c>
      <c r="CD671" s="1">
        <v>0.369</v>
      </c>
      <c r="CE671" s="1">
        <v>0.349</v>
      </c>
      <c r="CF671" s="1">
        <v>0.346</v>
      </c>
      <c r="CG671" s="1">
        <v>2.488</v>
      </c>
      <c r="CH671" s="1">
        <v>0.556</v>
      </c>
      <c r="CI671" s="1">
        <v>7.5388</v>
      </c>
      <c r="CJ671" s="1">
        <v>0.6412</v>
      </c>
      <c r="CK671" s="1">
        <v>0.0</v>
      </c>
      <c r="CL671" s="1">
        <v>0.0</v>
      </c>
      <c r="CM671" s="1">
        <v>0.0</v>
      </c>
      <c r="CN671" s="1">
        <v>0.0</v>
      </c>
      <c r="CO671" s="1">
        <v>0.0</v>
      </c>
      <c r="CP671" s="1">
        <v>0.0</v>
      </c>
      <c r="CQ671" s="1">
        <v>0.0</v>
      </c>
      <c r="CR671" s="1">
        <v>0.0</v>
      </c>
      <c r="CS671" s="1">
        <v>0.0</v>
      </c>
      <c r="CT671" s="1">
        <v>0.0</v>
      </c>
      <c r="CU671" s="1">
        <v>0.0</v>
      </c>
      <c r="CV671" s="1">
        <v>0.0</v>
      </c>
      <c r="CW671" s="1">
        <v>0.0</v>
      </c>
      <c r="CX671" s="1">
        <v>1.0</v>
      </c>
      <c r="CY671" s="1">
        <v>0.0</v>
      </c>
      <c r="CZ671" s="1">
        <v>0.0</v>
      </c>
      <c r="DA671" s="1">
        <v>0.0</v>
      </c>
      <c r="DB671" s="1">
        <v>1.0</v>
      </c>
      <c r="DC671" s="1">
        <v>1.0</v>
      </c>
      <c r="DD671" s="1" t="s">
        <v>3163</v>
      </c>
      <c r="DE671" s="1">
        <v>0.00252917707041947</v>
      </c>
      <c r="DF671" s="2" t="s">
        <v>3164</v>
      </c>
    </row>
    <row r="672" ht="15.75" customHeight="1">
      <c r="A672" s="1" t="s">
        <v>3165</v>
      </c>
      <c r="B672" s="1">
        <v>29.0</v>
      </c>
      <c r="C672" s="2" t="s">
        <v>3018</v>
      </c>
      <c r="D672" s="1">
        <v>700207.0</v>
      </c>
      <c r="E672" s="1">
        <v>6.21</v>
      </c>
      <c r="F672" s="1">
        <v>29099.0</v>
      </c>
      <c r="G672" s="1">
        <v>2.9099700207E10</v>
      </c>
      <c r="H672" s="1" t="s">
        <v>112</v>
      </c>
      <c r="I672" s="1" t="s">
        <v>113</v>
      </c>
      <c r="J672" s="1" t="s">
        <v>3019</v>
      </c>
      <c r="K672" s="1" t="s">
        <v>3166</v>
      </c>
      <c r="L672" s="1">
        <v>3659.0</v>
      </c>
      <c r="M672" s="1">
        <v>3378.0</v>
      </c>
      <c r="N672" s="1">
        <v>382.0</v>
      </c>
      <c r="O672" s="1">
        <v>1406.0</v>
      </c>
      <c r="P672" s="1">
        <v>1363.0</v>
      </c>
      <c r="Q672" s="1">
        <v>98.0</v>
      </c>
      <c r="R672" s="1">
        <v>1321.0</v>
      </c>
      <c r="S672" s="1">
        <v>302.0</v>
      </c>
      <c r="T672" s="1">
        <v>198.0</v>
      </c>
      <c r="U672" s="1">
        <v>178.0</v>
      </c>
      <c r="V672" s="1">
        <v>422.0</v>
      </c>
      <c r="W672" s="1">
        <v>21888.0</v>
      </c>
      <c r="X672" s="1">
        <v>3356.0</v>
      </c>
      <c r="Y672" s="1">
        <v>296.0</v>
      </c>
      <c r="Z672" s="1">
        <v>310.0</v>
      </c>
      <c r="AA672" s="1">
        <v>374.0</v>
      </c>
      <c r="AB672" s="1">
        <v>899.0</v>
      </c>
      <c r="AC672" s="1">
        <v>150.0</v>
      </c>
      <c r="AD672" s="1">
        <v>145.0</v>
      </c>
      <c r="AE672" s="1">
        <v>0.0</v>
      </c>
      <c r="AF672" s="1">
        <v>456.0</v>
      </c>
      <c r="AG672" s="1">
        <v>0.0</v>
      </c>
      <c r="AH672" s="1">
        <v>197.0</v>
      </c>
      <c r="AI672" s="1">
        <v>245.0</v>
      </c>
      <c r="AJ672" s="1">
        <v>107.0</v>
      </c>
      <c r="AK672" s="1">
        <v>12.0</v>
      </c>
      <c r="AL672" s="1">
        <v>115.0</v>
      </c>
      <c r="AM672" s="1">
        <v>40.0</v>
      </c>
      <c r="AN672" s="1">
        <v>128.0</v>
      </c>
      <c r="AO672" s="1">
        <v>0.0</v>
      </c>
      <c r="AP672" s="1">
        <v>0.089402</v>
      </c>
      <c r="AQ672" s="1">
        <v>0.057736</v>
      </c>
      <c r="AR672" s="1">
        <v>0.101309</v>
      </c>
      <c r="AS672" s="1">
        <v>0.239566</v>
      </c>
      <c r="AT672" s="1">
        <v>21888.0</v>
      </c>
      <c r="AU672" s="1">
        <v>3356.0</v>
      </c>
      <c r="AV672" s="1">
        <v>0.133393</v>
      </c>
      <c r="AW672" s="1">
        <v>0.139168</v>
      </c>
      <c r="AX672" s="1">
        <v>0.102213</v>
      </c>
      <c r="AY672" s="1">
        <v>0.245695</v>
      </c>
      <c r="AZ672" s="1">
        <v>0.11355034</v>
      </c>
      <c r="BA672" s="1">
        <v>0.039628</v>
      </c>
      <c r="BB672" s="1">
        <v>0.0</v>
      </c>
      <c r="BC672" s="1">
        <v>0.146954</v>
      </c>
      <c r="BD672" s="1">
        <v>0.0</v>
      </c>
      <c r="BE672" s="1">
        <v>0.144534</v>
      </c>
      <c r="BF672" s="1">
        <v>0.17975</v>
      </c>
      <c r="BG672" s="1">
        <v>0.077432</v>
      </c>
      <c r="BH672" s="1">
        <v>0.0099</v>
      </c>
      <c r="BI672" s="1">
        <v>0.09488</v>
      </c>
      <c r="BJ672" s="1">
        <v>0.033003</v>
      </c>
      <c r="BK672" s="1">
        <v>0.105567</v>
      </c>
      <c r="BL672" s="1">
        <v>0.0</v>
      </c>
      <c r="BM672" s="1">
        <v>0.334</v>
      </c>
      <c r="BN672" s="1">
        <v>0.741</v>
      </c>
      <c r="BO672" s="1">
        <v>0.5011</v>
      </c>
      <c r="BP672" s="1">
        <v>0.487</v>
      </c>
      <c r="BQ672" s="1">
        <v>2.0631</v>
      </c>
      <c r="BR672" s="1">
        <v>0.5199</v>
      </c>
      <c r="BS672" s="1">
        <v>0.225</v>
      </c>
      <c r="BT672" s="1">
        <v>0.553</v>
      </c>
      <c r="BU672" s="1">
        <v>0.615</v>
      </c>
      <c r="BV672" s="1">
        <v>1.393</v>
      </c>
      <c r="BW672" s="1">
        <v>0.384</v>
      </c>
      <c r="BX672" s="1">
        <v>0.161</v>
      </c>
      <c r="BY672" s="1">
        <v>0.0</v>
      </c>
      <c r="BZ672" s="1">
        <v>0.161</v>
      </c>
      <c r="CA672" s="1">
        <v>0.077</v>
      </c>
      <c r="CB672" s="1">
        <v>0.0</v>
      </c>
      <c r="CC672" s="1">
        <v>0.868</v>
      </c>
      <c r="CD672" s="1">
        <v>0.472</v>
      </c>
      <c r="CE672" s="1">
        <v>0.315</v>
      </c>
      <c r="CF672" s="1">
        <v>0.0</v>
      </c>
      <c r="CG672" s="1">
        <v>1.655</v>
      </c>
      <c r="CH672" s="1">
        <v>0.217</v>
      </c>
      <c r="CI672" s="1">
        <v>5.2721</v>
      </c>
      <c r="CJ672" s="1">
        <v>0.2404</v>
      </c>
      <c r="CK672" s="1">
        <v>0.0</v>
      </c>
      <c r="CL672" s="1">
        <v>0.0</v>
      </c>
      <c r="CM672" s="1">
        <v>0.0</v>
      </c>
      <c r="CN672" s="1">
        <v>0.0</v>
      </c>
      <c r="CO672" s="1">
        <v>0.0</v>
      </c>
      <c r="CP672" s="1">
        <v>0.0</v>
      </c>
      <c r="CQ672" s="1">
        <v>0.0</v>
      </c>
      <c r="CR672" s="1">
        <v>0.0</v>
      </c>
      <c r="CS672" s="1">
        <v>0.0</v>
      </c>
      <c r="CT672" s="1">
        <v>0.0</v>
      </c>
      <c r="CU672" s="1">
        <v>0.0</v>
      </c>
      <c r="CV672" s="1">
        <v>0.0</v>
      </c>
      <c r="CW672" s="1">
        <v>0.0</v>
      </c>
      <c r="CX672" s="1">
        <v>0.0</v>
      </c>
      <c r="CY672" s="1">
        <v>0.0</v>
      </c>
      <c r="CZ672" s="1">
        <v>0.0</v>
      </c>
      <c r="DA672" s="1">
        <v>0.0</v>
      </c>
      <c r="DB672" s="1">
        <v>0.0</v>
      </c>
      <c r="DC672" s="1">
        <v>0.0</v>
      </c>
      <c r="DD672" s="1" t="s">
        <v>3167</v>
      </c>
      <c r="DE672" s="1">
        <v>0.00166542826197579</v>
      </c>
      <c r="DF672" s="2" t="s">
        <v>3168</v>
      </c>
    </row>
    <row r="673" ht="15.75" customHeight="1">
      <c r="A673" s="1" t="s">
        <v>3169</v>
      </c>
      <c r="B673" s="1">
        <v>29.0</v>
      </c>
      <c r="C673" s="2" t="s">
        <v>3018</v>
      </c>
      <c r="D673" s="1">
        <v>700302.0</v>
      </c>
      <c r="E673" s="1">
        <v>10.41</v>
      </c>
      <c r="F673" s="1">
        <v>29099.0</v>
      </c>
      <c r="G673" s="1">
        <v>2.9099700302E10</v>
      </c>
      <c r="H673" s="1" t="s">
        <v>112</v>
      </c>
      <c r="I673" s="1" t="s">
        <v>113</v>
      </c>
      <c r="J673" s="1" t="s">
        <v>3019</v>
      </c>
      <c r="K673" s="1" t="s">
        <v>3170</v>
      </c>
      <c r="L673" s="1">
        <v>5469.0</v>
      </c>
      <c r="M673" s="1">
        <v>5264.0</v>
      </c>
      <c r="N673" s="1">
        <v>279.0</v>
      </c>
      <c r="O673" s="1">
        <v>2161.0</v>
      </c>
      <c r="P673" s="1">
        <v>2220.0</v>
      </c>
      <c r="Q673" s="1">
        <v>153.0</v>
      </c>
      <c r="R673" s="1">
        <v>1993.0</v>
      </c>
      <c r="S673" s="1">
        <v>403.0</v>
      </c>
      <c r="T673" s="1">
        <v>233.0</v>
      </c>
      <c r="U673" s="1">
        <v>174.0</v>
      </c>
      <c r="V673" s="1">
        <v>368.0</v>
      </c>
      <c r="W673" s="1">
        <v>24447.0</v>
      </c>
      <c r="X673" s="1">
        <v>1526.0</v>
      </c>
      <c r="Y673" s="1">
        <v>401.0</v>
      </c>
      <c r="Z673" s="1">
        <v>252.0</v>
      </c>
      <c r="AA673" s="1">
        <v>447.0</v>
      </c>
      <c r="AB673" s="1">
        <v>1444.0</v>
      </c>
      <c r="AC673" s="1">
        <v>210.0</v>
      </c>
      <c r="AD673" s="1">
        <v>252.0</v>
      </c>
      <c r="AE673" s="1">
        <v>0.0</v>
      </c>
      <c r="AF673" s="1">
        <v>456.0</v>
      </c>
      <c r="AG673" s="1">
        <v>61.0</v>
      </c>
      <c r="AH673" s="1">
        <v>169.0</v>
      </c>
      <c r="AI673" s="1">
        <v>671.0</v>
      </c>
      <c r="AJ673" s="1">
        <v>160.0</v>
      </c>
      <c r="AK673" s="1">
        <v>40.0</v>
      </c>
      <c r="AL673" s="1">
        <v>117.0</v>
      </c>
      <c r="AM673" s="1">
        <v>71.0</v>
      </c>
      <c r="AN673" s="1">
        <v>48.0</v>
      </c>
      <c r="AO673" s="1">
        <v>0.0</v>
      </c>
      <c r="AP673" s="1">
        <v>0.077158</v>
      </c>
      <c r="AQ673" s="1">
        <v>0.044414</v>
      </c>
      <c r="AR673" s="1">
        <v>0.060103</v>
      </c>
      <c r="AS673" s="1">
        <v>0.126995</v>
      </c>
      <c r="AT673" s="1">
        <v>24447.0</v>
      </c>
      <c r="AU673" s="1">
        <v>1526.0</v>
      </c>
      <c r="AV673" s="1">
        <v>0.120203</v>
      </c>
      <c r="AW673" s="1">
        <v>0.07526</v>
      </c>
      <c r="AX673" s="1">
        <v>0.081733</v>
      </c>
      <c r="AY673" s="1">
        <v>0.264033</v>
      </c>
      <c r="AZ673" s="1">
        <v>0.10536879</v>
      </c>
      <c r="BA673" s="1">
        <v>0.046077</v>
      </c>
      <c r="BB673" s="1">
        <v>0.0</v>
      </c>
      <c r="BC673" s="1">
        <v>0.093442</v>
      </c>
      <c r="BD673" s="1">
        <v>0.027477</v>
      </c>
      <c r="BE673" s="1">
        <v>0.076102</v>
      </c>
      <c r="BF673" s="1">
        <v>0.302252</v>
      </c>
      <c r="BG673" s="1">
        <v>0.068996</v>
      </c>
      <c r="BH673" s="1">
        <v>0.020376</v>
      </c>
      <c r="BI673" s="1">
        <v>0.059586</v>
      </c>
      <c r="BJ673" s="1">
        <v>0.036169</v>
      </c>
      <c r="BK673" s="1">
        <v>0.024329</v>
      </c>
      <c r="BL673" s="1">
        <v>0.0</v>
      </c>
      <c r="BM673" s="1">
        <v>0.28</v>
      </c>
      <c r="BN673" s="1">
        <v>0.416</v>
      </c>
      <c r="BO673" s="1">
        <v>0.3726</v>
      </c>
      <c r="BP673" s="1">
        <v>0.43</v>
      </c>
      <c r="BQ673" s="1">
        <v>1.4986</v>
      </c>
      <c r="BR673" s="1">
        <v>0.3401</v>
      </c>
      <c r="BS673" s="1">
        <v>0.123</v>
      </c>
      <c r="BT673" s="1">
        <v>0.739</v>
      </c>
      <c r="BU673" s="1">
        <v>0.546</v>
      </c>
      <c r="BV673" s="1">
        <v>1.408</v>
      </c>
      <c r="BW673" s="1">
        <v>0.397</v>
      </c>
      <c r="BX673" s="1">
        <v>0.22</v>
      </c>
      <c r="BY673" s="1">
        <v>0.0</v>
      </c>
      <c r="BZ673" s="1">
        <v>0.22</v>
      </c>
      <c r="CA673" s="1">
        <v>0.095</v>
      </c>
      <c r="CB673" s="1">
        <v>0.528</v>
      </c>
      <c r="CC673" s="1">
        <v>0.982</v>
      </c>
      <c r="CD673" s="1">
        <v>0.687</v>
      </c>
      <c r="CE673" s="1">
        <v>0.344</v>
      </c>
      <c r="CF673" s="1">
        <v>0.0</v>
      </c>
      <c r="CG673" s="1">
        <v>2.541</v>
      </c>
      <c r="CH673" s="1">
        <v>0.576</v>
      </c>
      <c r="CI673" s="1">
        <v>5.6676</v>
      </c>
      <c r="CJ673" s="1">
        <v>0.3148</v>
      </c>
      <c r="CK673" s="1">
        <v>0.0</v>
      </c>
      <c r="CL673" s="1">
        <v>0.0</v>
      </c>
      <c r="CM673" s="1">
        <v>0.0</v>
      </c>
      <c r="CN673" s="1">
        <v>0.0</v>
      </c>
      <c r="CO673" s="1">
        <v>0.0</v>
      </c>
      <c r="CP673" s="1">
        <v>0.0</v>
      </c>
      <c r="CQ673" s="1">
        <v>0.0</v>
      </c>
      <c r="CR673" s="1">
        <v>0.0</v>
      </c>
      <c r="CS673" s="1">
        <v>0.0</v>
      </c>
      <c r="CT673" s="1">
        <v>0.0</v>
      </c>
      <c r="CU673" s="1">
        <v>0.0</v>
      </c>
      <c r="CV673" s="1">
        <v>0.0</v>
      </c>
      <c r="CW673" s="1">
        <v>0.0</v>
      </c>
      <c r="CX673" s="1">
        <v>1.0</v>
      </c>
      <c r="CY673" s="1">
        <v>0.0</v>
      </c>
      <c r="CZ673" s="1">
        <v>0.0</v>
      </c>
      <c r="DA673" s="1">
        <v>0.0</v>
      </c>
      <c r="DB673" s="1">
        <v>1.0</v>
      </c>
      <c r="DC673" s="1">
        <v>1.0</v>
      </c>
      <c r="DD673" s="1" t="s">
        <v>3171</v>
      </c>
      <c r="DE673" s="1">
        <v>0.0028790111847547</v>
      </c>
      <c r="DF673" s="2" t="s">
        <v>3172</v>
      </c>
    </row>
    <row r="674" ht="15.75" customHeight="1">
      <c r="A674" s="1" t="s">
        <v>3173</v>
      </c>
      <c r="B674" s="1">
        <v>29.0</v>
      </c>
      <c r="C674" s="2" t="s">
        <v>3018</v>
      </c>
      <c r="D674" s="1">
        <v>700304.0</v>
      </c>
      <c r="E674" s="1">
        <v>12.845</v>
      </c>
      <c r="F674" s="1">
        <v>29099.0</v>
      </c>
      <c r="G674" s="1">
        <v>2.9099700304E10</v>
      </c>
      <c r="H674" s="1" t="s">
        <v>112</v>
      </c>
      <c r="I674" s="1" t="s">
        <v>113</v>
      </c>
      <c r="J674" s="1" t="s">
        <v>3019</v>
      </c>
      <c r="K674" s="1" t="s">
        <v>3174</v>
      </c>
      <c r="L674" s="1">
        <v>7149.0</v>
      </c>
      <c r="M674" s="1">
        <v>7255.0</v>
      </c>
      <c r="N674" s="1">
        <v>514.0</v>
      </c>
      <c r="O674" s="1">
        <v>2962.0</v>
      </c>
      <c r="P674" s="1">
        <v>2844.0</v>
      </c>
      <c r="Q674" s="1">
        <v>100.0</v>
      </c>
      <c r="R674" s="1">
        <v>2769.0</v>
      </c>
      <c r="S674" s="1">
        <v>378.0</v>
      </c>
      <c r="T674" s="1">
        <v>189.0</v>
      </c>
      <c r="U674" s="1">
        <v>313.0</v>
      </c>
      <c r="V674" s="1">
        <v>327.0</v>
      </c>
      <c r="W674" s="1">
        <v>23944.0</v>
      </c>
      <c r="X674" s="1">
        <v>2157.0</v>
      </c>
      <c r="Y674" s="1">
        <v>641.0</v>
      </c>
      <c r="Z674" s="1">
        <v>308.0</v>
      </c>
      <c r="AA674" s="1">
        <v>723.0</v>
      </c>
      <c r="AB674" s="1">
        <v>1660.0</v>
      </c>
      <c r="AC674" s="1">
        <v>258.0</v>
      </c>
      <c r="AD674" s="1">
        <v>299.0</v>
      </c>
      <c r="AE674" s="1">
        <v>4.0</v>
      </c>
      <c r="AF674" s="1">
        <v>442.0</v>
      </c>
      <c r="AG674" s="1">
        <v>40.0</v>
      </c>
      <c r="AH674" s="1">
        <v>168.0</v>
      </c>
      <c r="AI674" s="1">
        <v>150.0</v>
      </c>
      <c r="AJ674" s="1">
        <v>68.0</v>
      </c>
      <c r="AK674" s="1">
        <v>18.0</v>
      </c>
      <c r="AL674" s="1">
        <v>117.0</v>
      </c>
      <c r="AM674" s="1">
        <v>67.0</v>
      </c>
      <c r="AN674" s="1">
        <v>62.0</v>
      </c>
      <c r="AO674" s="1">
        <v>35.0</v>
      </c>
      <c r="AP674" s="1">
        <v>0.052195</v>
      </c>
      <c r="AQ674" s="1">
        <v>0.025835</v>
      </c>
      <c r="AR674" s="1">
        <v>0.076229</v>
      </c>
      <c r="AS674" s="1">
        <v>0.079316</v>
      </c>
      <c r="AT674" s="1">
        <v>23944.0</v>
      </c>
      <c r="AU674" s="1">
        <v>2157.0</v>
      </c>
      <c r="AV674" s="1">
        <v>0.13592</v>
      </c>
      <c r="AW674" s="1">
        <v>0.064868</v>
      </c>
      <c r="AX674" s="1">
        <v>0.101133</v>
      </c>
      <c r="AY674" s="1">
        <v>0.2322</v>
      </c>
      <c r="AZ674" s="1">
        <v>0.09317443</v>
      </c>
      <c r="BA674" s="1">
        <v>0.041824</v>
      </c>
      <c r="BB674" s="1">
        <v>5.94E-4</v>
      </c>
      <c r="BC674" s="1">
        <v>0.065685</v>
      </c>
      <c r="BD674" s="1">
        <v>0.014064</v>
      </c>
      <c r="BE674" s="1">
        <v>0.059069</v>
      </c>
      <c r="BF674" s="1">
        <v>0.052742</v>
      </c>
      <c r="BG674" s="1">
        <v>0.023837</v>
      </c>
      <c r="BH674" s="1">
        <v>0.006646</v>
      </c>
      <c r="BI674" s="1">
        <v>0.043204</v>
      </c>
      <c r="BJ674" s="1">
        <v>0.024741</v>
      </c>
      <c r="BK674" s="1">
        <v>0.022867</v>
      </c>
      <c r="BL674" s="1">
        <v>0.004895</v>
      </c>
      <c r="BM674" s="1">
        <v>0.176</v>
      </c>
      <c r="BN674" s="1">
        <v>0.571</v>
      </c>
      <c r="BO674" s="1">
        <v>0.3993</v>
      </c>
      <c r="BP674" s="1">
        <v>0.503</v>
      </c>
      <c r="BQ674" s="1">
        <v>1.6493</v>
      </c>
      <c r="BR674" s="1">
        <v>0.3884</v>
      </c>
      <c r="BS674" s="1">
        <v>0.216</v>
      </c>
      <c r="BT674" s="1">
        <v>0.41</v>
      </c>
      <c r="BU674" s="1">
        <v>0.43</v>
      </c>
      <c r="BV674" s="1">
        <v>1.056</v>
      </c>
      <c r="BW674" s="1">
        <v>0.138</v>
      </c>
      <c r="BX674" s="1">
        <v>0.179</v>
      </c>
      <c r="BY674" s="1">
        <v>0.322</v>
      </c>
      <c r="BZ674" s="1">
        <v>0.501</v>
      </c>
      <c r="CA674" s="1">
        <v>0.208</v>
      </c>
      <c r="CB674" s="1">
        <v>0.42</v>
      </c>
      <c r="CC674" s="1">
        <v>0.614</v>
      </c>
      <c r="CD674" s="1">
        <v>0.379</v>
      </c>
      <c r="CE674" s="1">
        <v>0.235</v>
      </c>
      <c r="CF674" s="1">
        <v>0.507</v>
      </c>
      <c r="CG674" s="1">
        <v>2.155</v>
      </c>
      <c r="CH674" s="1">
        <v>0.4</v>
      </c>
      <c r="CI674" s="1">
        <v>5.3613</v>
      </c>
      <c r="CJ674" s="1">
        <v>0.2578</v>
      </c>
      <c r="CK674" s="1">
        <v>0.0</v>
      </c>
      <c r="CL674" s="1">
        <v>0.0</v>
      </c>
      <c r="CM674" s="1">
        <v>0.0</v>
      </c>
      <c r="CN674" s="1">
        <v>0.0</v>
      </c>
      <c r="CO674" s="1">
        <v>0.0</v>
      </c>
      <c r="CP674" s="1">
        <v>0.0</v>
      </c>
      <c r="CQ674" s="1">
        <v>0.0</v>
      </c>
      <c r="CR674" s="1">
        <v>0.0</v>
      </c>
      <c r="CS674" s="1">
        <v>0.0</v>
      </c>
      <c r="CT674" s="1">
        <v>0.0</v>
      </c>
      <c r="CU674" s="1">
        <v>0.0</v>
      </c>
      <c r="CV674" s="1">
        <v>0.0</v>
      </c>
      <c r="CW674" s="1">
        <v>0.0</v>
      </c>
      <c r="CX674" s="1">
        <v>0.0</v>
      </c>
      <c r="CY674" s="1">
        <v>0.0</v>
      </c>
      <c r="CZ674" s="1">
        <v>0.0</v>
      </c>
      <c r="DA674" s="1">
        <v>0.0</v>
      </c>
      <c r="DB674" s="1">
        <v>0.0</v>
      </c>
      <c r="DC674" s="1">
        <v>0.0</v>
      </c>
      <c r="DD674" s="1" t="s">
        <v>3175</v>
      </c>
      <c r="DE674" s="1">
        <v>0.00345943927336448</v>
      </c>
      <c r="DF674" s="2" t="s">
        <v>3176</v>
      </c>
    </row>
    <row r="675" ht="15.75" customHeight="1">
      <c r="A675" s="1" t="s">
        <v>3177</v>
      </c>
      <c r="B675" s="1">
        <v>29.0</v>
      </c>
      <c r="C675" s="2" t="s">
        <v>3018</v>
      </c>
      <c r="D675" s="1">
        <v>701403.0</v>
      </c>
      <c r="E675" s="1">
        <v>45.39</v>
      </c>
      <c r="F675" s="1">
        <v>29099.0</v>
      </c>
      <c r="G675" s="1">
        <v>2.9099701403E10</v>
      </c>
      <c r="H675" s="1" t="s">
        <v>112</v>
      </c>
      <c r="I675" s="1" t="s">
        <v>113</v>
      </c>
      <c r="J675" s="1" t="s">
        <v>3019</v>
      </c>
      <c r="K675" s="1" t="s">
        <v>3178</v>
      </c>
      <c r="L675" s="1">
        <v>3920.0</v>
      </c>
      <c r="M675" s="1">
        <v>3618.0</v>
      </c>
      <c r="N675" s="1">
        <v>284.0</v>
      </c>
      <c r="O675" s="1">
        <v>1516.0</v>
      </c>
      <c r="P675" s="1">
        <v>1446.0</v>
      </c>
      <c r="Q675" s="1">
        <v>82.0</v>
      </c>
      <c r="R675" s="1">
        <v>1413.0</v>
      </c>
      <c r="S675" s="1">
        <v>453.0</v>
      </c>
      <c r="T675" s="1">
        <v>292.0</v>
      </c>
      <c r="U675" s="1">
        <v>185.0</v>
      </c>
      <c r="V675" s="1">
        <v>388.0</v>
      </c>
      <c r="W675" s="1">
        <v>22442.0</v>
      </c>
      <c r="X675" s="1">
        <v>2528.0</v>
      </c>
      <c r="Y675" s="1">
        <v>573.0</v>
      </c>
      <c r="Z675" s="1">
        <v>266.0</v>
      </c>
      <c r="AA675" s="1">
        <v>381.0</v>
      </c>
      <c r="AB675" s="1">
        <v>983.0</v>
      </c>
      <c r="AC675" s="1">
        <v>140.0</v>
      </c>
      <c r="AD675" s="1">
        <v>135.0</v>
      </c>
      <c r="AE675" s="1">
        <v>0.0</v>
      </c>
      <c r="AF675" s="1">
        <v>456.0</v>
      </c>
      <c r="AG675" s="1">
        <v>0.0</v>
      </c>
      <c r="AH675" s="1">
        <v>197.0</v>
      </c>
      <c r="AI675" s="1">
        <v>383.0</v>
      </c>
      <c r="AJ675" s="1">
        <v>120.0</v>
      </c>
      <c r="AK675" s="1">
        <v>27.0</v>
      </c>
      <c r="AL675" s="1">
        <v>119.0</v>
      </c>
      <c r="AM675" s="1">
        <v>81.0</v>
      </c>
      <c r="AN675" s="1">
        <v>65.0</v>
      </c>
      <c r="AO675" s="1">
        <v>0.0</v>
      </c>
      <c r="AP675" s="1">
        <v>0.125207</v>
      </c>
      <c r="AQ675" s="1">
        <v>0.080106</v>
      </c>
      <c r="AR675" s="1">
        <v>0.106874</v>
      </c>
      <c r="AS675" s="1">
        <v>0.223503</v>
      </c>
      <c r="AT675" s="1">
        <v>22442.0</v>
      </c>
      <c r="AU675" s="1">
        <v>2528.0</v>
      </c>
      <c r="AV675" s="1">
        <v>0.241161</v>
      </c>
      <c r="AW675" s="1">
        <v>0.109156</v>
      </c>
      <c r="AX675" s="1">
        <v>0.097193</v>
      </c>
      <c r="AY675" s="1">
        <v>0.250765</v>
      </c>
      <c r="AZ675" s="1">
        <v>0.09907997</v>
      </c>
      <c r="BA675" s="1">
        <v>0.034438</v>
      </c>
      <c r="BB675" s="1">
        <v>0.0</v>
      </c>
      <c r="BC675" s="1">
        <v>0.141483</v>
      </c>
      <c r="BD675" s="1">
        <v>0.0</v>
      </c>
      <c r="BE675" s="1">
        <v>0.136237</v>
      </c>
      <c r="BF675" s="1">
        <v>0.264868</v>
      </c>
      <c r="BG675" s="1">
        <v>0.081616</v>
      </c>
      <c r="BH675" s="1">
        <v>0.019794</v>
      </c>
      <c r="BI675" s="1">
        <v>0.087232</v>
      </c>
      <c r="BJ675" s="1">
        <v>0.059384</v>
      </c>
      <c r="BK675" s="1">
        <v>0.04747</v>
      </c>
      <c r="BL675" s="1">
        <v>0.0</v>
      </c>
      <c r="BM675" s="1">
        <v>0.476</v>
      </c>
      <c r="BN675" s="1">
        <v>0.771</v>
      </c>
      <c r="BO675" s="1">
        <v>0.4708</v>
      </c>
      <c r="BP675" s="1">
        <v>0.849</v>
      </c>
      <c r="BQ675" s="1">
        <v>2.5668</v>
      </c>
      <c r="BR675" s="1">
        <v>0.6888</v>
      </c>
      <c r="BS675" s="1">
        <v>0.193</v>
      </c>
      <c r="BT675" s="1">
        <v>0.606</v>
      </c>
      <c r="BU675" s="1">
        <v>0.483</v>
      </c>
      <c r="BV675" s="1">
        <v>1.282</v>
      </c>
      <c r="BW675" s="1">
        <v>0.289</v>
      </c>
      <c r="BX675" s="1">
        <v>0.114</v>
      </c>
      <c r="BY675" s="1">
        <v>0.0</v>
      </c>
      <c r="BZ675" s="1">
        <v>0.114</v>
      </c>
      <c r="CA675" s="1">
        <v>0.055</v>
      </c>
      <c r="CB675" s="1">
        <v>0.0</v>
      </c>
      <c r="CC675" s="1">
        <v>0.966</v>
      </c>
      <c r="CD675" s="1">
        <v>0.681</v>
      </c>
      <c r="CE675" s="1">
        <v>0.566</v>
      </c>
      <c r="CF675" s="1">
        <v>0.0</v>
      </c>
      <c r="CG675" s="1">
        <v>2.213</v>
      </c>
      <c r="CH675" s="1">
        <v>0.422</v>
      </c>
      <c r="CI675" s="1">
        <v>6.1758</v>
      </c>
      <c r="CJ675" s="1">
        <v>0.4</v>
      </c>
      <c r="CK675" s="1">
        <v>0.0</v>
      </c>
      <c r="CL675" s="1">
        <v>0.0</v>
      </c>
      <c r="CM675" s="1">
        <v>0.0</v>
      </c>
      <c r="CN675" s="1">
        <v>0.0</v>
      </c>
      <c r="CO675" s="1">
        <v>0.0</v>
      </c>
      <c r="CP675" s="1">
        <v>0.0</v>
      </c>
      <c r="CQ675" s="1">
        <v>0.0</v>
      </c>
      <c r="CR675" s="1">
        <v>0.0</v>
      </c>
      <c r="CS675" s="1">
        <v>0.0</v>
      </c>
      <c r="CT675" s="1">
        <v>0.0</v>
      </c>
      <c r="CU675" s="1">
        <v>0.0</v>
      </c>
      <c r="CV675" s="1">
        <v>0.0</v>
      </c>
      <c r="CW675" s="1">
        <v>0.0</v>
      </c>
      <c r="CX675" s="1">
        <v>1.0</v>
      </c>
      <c r="CY675" s="1">
        <v>0.0</v>
      </c>
      <c r="CZ675" s="1">
        <v>0.0</v>
      </c>
      <c r="DA675" s="1">
        <v>0.0</v>
      </c>
      <c r="DB675" s="1">
        <v>1.0</v>
      </c>
      <c r="DC675" s="1">
        <v>1.0</v>
      </c>
      <c r="DD675" s="1" t="s">
        <v>3179</v>
      </c>
      <c r="DE675" s="2" t="s">
        <v>3180</v>
      </c>
      <c r="DF675" s="2" t="s">
        <v>3181</v>
      </c>
    </row>
    <row r="676" ht="15.75" customHeight="1">
      <c r="A676" s="1" t="s">
        <v>3182</v>
      </c>
      <c r="B676" s="1">
        <v>29.0</v>
      </c>
      <c r="C676" s="2" t="s">
        <v>3018</v>
      </c>
      <c r="D676" s="1">
        <v>701404.0</v>
      </c>
      <c r="E676" s="1">
        <v>48.738</v>
      </c>
      <c r="F676" s="1">
        <v>29099.0</v>
      </c>
      <c r="G676" s="1">
        <v>2.9099701404E10</v>
      </c>
      <c r="H676" s="1" t="s">
        <v>112</v>
      </c>
      <c r="I676" s="1" t="s">
        <v>113</v>
      </c>
      <c r="J676" s="1" t="s">
        <v>3019</v>
      </c>
      <c r="K676" s="1" t="s">
        <v>3183</v>
      </c>
      <c r="L676" s="1">
        <v>5949.0</v>
      </c>
      <c r="M676" s="1">
        <v>6167.0</v>
      </c>
      <c r="N676" s="1">
        <v>576.0</v>
      </c>
      <c r="O676" s="1">
        <v>2314.0</v>
      </c>
      <c r="P676" s="1">
        <v>2372.0</v>
      </c>
      <c r="Q676" s="1">
        <v>116.0</v>
      </c>
      <c r="R676" s="1">
        <v>2163.0</v>
      </c>
      <c r="S676" s="1">
        <v>513.0</v>
      </c>
      <c r="T676" s="1">
        <v>197.0</v>
      </c>
      <c r="U676" s="1">
        <v>237.0</v>
      </c>
      <c r="V676" s="1">
        <v>376.0</v>
      </c>
      <c r="W676" s="1">
        <v>23972.0</v>
      </c>
      <c r="X676" s="1">
        <v>1868.0</v>
      </c>
      <c r="Y676" s="1">
        <v>573.0</v>
      </c>
      <c r="Z676" s="1">
        <v>263.0</v>
      </c>
      <c r="AA676" s="1">
        <v>847.0</v>
      </c>
      <c r="AB676" s="1">
        <v>1375.0</v>
      </c>
      <c r="AC676" s="1">
        <v>191.0</v>
      </c>
      <c r="AD676" s="1">
        <v>216.0</v>
      </c>
      <c r="AE676" s="1">
        <v>30.0</v>
      </c>
      <c r="AF676" s="1">
        <v>428.0</v>
      </c>
      <c r="AG676" s="1">
        <v>0.0</v>
      </c>
      <c r="AH676" s="1">
        <v>197.0</v>
      </c>
      <c r="AI676" s="1">
        <v>523.0</v>
      </c>
      <c r="AJ676" s="1">
        <v>147.0</v>
      </c>
      <c r="AK676" s="1">
        <v>89.0</v>
      </c>
      <c r="AL676" s="1">
        <v>133.0</v>
      </c>
      <c r="AM676" s="1">
        <v>69.0</v>
      </c>
      <c r="AN676" s="1">
        <v>51.0</v>
      </c>
      <c r="AO676" s="1">
        <v>147.0</v>
      </c>
      <c r="AP676" s="1">
        <v>0.087289</v>
      </c>
      <c r="AQ676" s="1">
        <v>0.03246</v>
      </c>
      <c r="AR676" s="1">
        <v>0.076823</v>
      </c>
      <c r="AS676" s="1">
        <v>0.121549</v>
      </c>
      <c r="AT676" s="1">
        <v>23972.0</v>
      </c>
      <c r="AU676" s="1">
        <v>1868.0</v>
      </c>
      <c r="AV676" s="1">
        <v>0.134728</v>
      </c>
      <c r="AW676" s="1">
        <v>0.060195</v>
      </c>
      <c r="AX676" s="1">
        <v>0.142376</v>
      </c>
      <c r="AY676" s="1">
        <v>0.231131</v>
      </c>
      <c r="AZ676" s="1">
        <v>0.08830328</v>
      </c>
      <c r="BA676" s="1">
        <v>0.036308</v>
      </c>
      <c r="BB676" s="1">
        <v>0.005107</v>
      </c>
      <c r="BC676" s="1">
        <v>0.072862</v>
      </c>
      <c r="BD676" s="1">
        <v>0.0</v>
      </c>
      <c r="BE676" s="1">
        <v>0.083052</v>
      </c>
      <c r="BF676" s="1">
        <v>0.220489</v>
      </c>
      <c r="BG676" s="1">
        <v>0.061027</v>
      </c>
      <c r="BH676" s="1">
        <v>0.040362</v>
      </c>
      <c r="BI676" s="1">
        <v>0.060263</v>
      </c>
      <c r="BJ676" s="1">
        <v>0.031292</v>
      </c>
      <c r="BK676" s="1">
        <v>0.023044</v>
      </c>
      <c r="BL676" s="1">
        <v>0.02471</v>
      </c>
      <c r="BM676" s="1">
        <v>0.324</v>
      </c>
      <c r="BN676" s="1">
        <v>0.576</v>
      </c>
      <c r="BO676" s="1">
        <v>0.3964</v>
      </c>
      <c r="BP676" s="1">
        <v>0.497</v>
      </c>
      <c r="BQ676" s="1">
        <v>1.7934</v>
      </c>
      <c r="BR676" s="1">
        <v>0.4274</v>
      </c>
      <c r="BS676" s="1">
        <v>0.521</v>
      </c>
      <c r="BT676" s="1">
        <v>0.399</v>
      </c>
      <c r="BU676" s="1">
        <v>0.389</v>
      </c>
      <c r="BV676" s="1">
        <v>1.309</v>
      </c>
      <c r="BW676" s="1">
        <v>0.312</v>
      </c>
      <c r="BX676" s="1">
        <v>0.128</v>
      </c>
      <c r="BY676" s="1">
        <v>0.567</v>
      </c>
      <c r="BZ676" s="1">
        <v>0.695</v>
      </c>
      <c r="CA676" s="1">
        <v>0.332</v>
      </c>
      <c r="CB676" s="1">
        <v>0.0</v>
      </c>
      <c r="CC676" s="1">
        <v>0.922</v>
      </c>
      <c r="CD676" s="1">
        <v>0.895</v>
      </c>
      <c r="CE676" s="1">
        <v>0.294</v>
      </c>
      <c r="CF676" s="1">
        <v>0.766</v>
      </c>
      <c r="CG676" s="1">
        <v>2.877</v>
      </c>
      <c r="CH676" s="1">
        <v>0.723</v>
      </c>
      <c r="CI676" s="1">
        <v>6.6744</v>
      </c>
      <c r="CJ676" s="1">
        <v>0.4866</v>
      </c>
      <c r="CK676" s="1">
        <v>0.0</v>
      </c>
      <c r="CL676" s="1">
        <v>0.0</v>
      </c>
      <c r="CM676" s="1">
        <v>0.0</v>
      </c>
      <c r="CN676" s="1">
        <v>0.0</v>
      </c>
      <c r="CO676" s="1">
        <v>0.0</v>
      </c>
      <c r="CP676" s="1">
        <v>0.0</v>
      </c>
      <c r="CQ676" s="1">
        <v>0.0</v>
      </c>
      <c r="CR676" s="1">
        <v>0.0</v>
      </c>
      <c r="CS676" s="1">
        <v>0.0</v>
      </c>
      <c r="CT676" s="1">
        <v>0.0</v>
      </c>
      <c r="CU676" s="1">
        <v>0.0</v>
      </c>
      <c r="CV676" s="1">
        <v>0.0</v>
      </c>
      <c r="CW676" s="1">
        <v>0.0</v>
      </c>
      <c r="CX676" s="1">
        <v>1.0</v>
      </c>
      <c r="CY676" s="1">
        <v>0.0</v>
      </c>
      <c r="CZ676" s="1">
        <v>0.0</v>
      </c>
      <c r="DA676" s="1">
        <v>0.0</v>
      </c>
      <c r="DB676" s="1">
        <v>1.0</v>
      </c>
      <c r="DC676" s="1">
        <v>1.0</v>
      </c>
      <c r="DD676" s="1" t="s">
        <v>3184</v>
      </c>
      <c r="DE676" s="2" t="s">
        <v>3185</v>
      </c>
      <c r="DF676" s="2" t="s">
        <v>3186</v>
      </c>
    </row>
    <row r="677" ht="15.75" customHeight="1">
      <c r="A677" s="1" t="s">
        <v>3187</v>
      </c>
      <c r="B677" s="1">
        <v>29.0</v>
      </c>
      <c r="C677" s="1">
        <v>101.0</v>
      </c>
      <c r="D677" s="1">
        <v>960300.0</v>
      </c>
      <c r="E677" s="1">
        <v>151.088</v>
      </c>
      <c r="F677" s="1">
        <v>29101.0</v>
      </c>
      <c r="G677" s="1">
        <v>2.91019603E10</v>
      </c>
      <c r="H677" s="1" t="s">
        <v>112</v>
      </c>
      <c r="I677" s="1" t="s">
        <v>113</v>
      </c>
      <c r="J677" s="1" t="s">
        <v>3188</v>
      </c>
      <c r="K677" s="1" t="s">
        <v>3189</v>
      </c>
      <c r="L677" s="1">
        <v>8910.0</v>
      </c>
      <c r="M677" s="1">
        <v>7743.0</v>
      </c>
      <c r="N677" s="1">
        <v>646.0</v>
      </c>
      <c r="O677" s="1">
        <v>3639.0</v>
      </c>
      <c r="P677" s="1">
        <v>3401.0</v>
      </c>
      <c r="Q677" s="1">
        <v>166.0</v>
      </c>
      <c r="R677" s="1">
        <v>3268.0</v>
      </c>
      <c r="S677" s="1">
        <v>621.0</v>
      </c>
      <c r="T677" s="1">
        <v>271.0</v>
      </c>
      <c r="U677" s="1">
        <v>183.0</v>
      </c>
      <c r="V677" s="1">
        <v>421.0</v>
      </c>
      <c r="W677" s="1">
        <v>23741.0</v>
      </c>
      <c r="X677" s="1">
        <v>2220.0</v>
      </c>
      <c r="Y677" s="1">
        <v>295.0</v>
      </c>
      <c r="Z677" s="1">
        <v>282.0</v>
      </c>
      <c r="AA677" s="1">
        <v>1114.0</v>
      </c>
      <c r="AB677" s="1">
        <v>2331.0</v>
      </c>
      <c r="AC677" s="1">
        <v>318.0</v>
      </c>
      <c r="AD677" s="1">
        <v>815.0</v>
      </c>
      <c r="AE677" s="1">
        <v>7.0</v>
      </c>
      <c r="AF677" s="1">
        <v>442.0</v>
      </c>
      <c r="AG677" s="1">
        <v>0.0</v>
      </c>
      <c r="AH677" s="1">
        <v>197.0</v>
      </c>
      <c r="AI677" s="1">
        <v>449.0</v>
      </c>
      <c r="AJ677" s="1">
        <v>145.0</v>
      </c>
      <c r="AK677" s="1">
        <v>34.0</v>
      </c>
      <c r="AL677" s="1">
        <v>117.0</v>
      </c>
      <c r="AM677" s="1">
        <v>65.0</v>
      </c>
      <c r="AN677" s="1">
        <v>48.0</v>
      </c>
      <c r="AO677" s="1">
        <v>217.0</v>
      </c>
      <c r="AP677" s="1">
        <v>0.080346</v>
      </c>
      <c r="AQ677" s="1">
        <v>0.034417</v>
      </c>
      <c r="AR677" s="1">
        <v>0.052616</v>
      </c>
      <c r="AS677" s="1">
        <v>0.120932</v>
      </c>
      <c r="AT677" s="1">
        <v>23741.0</v>
      </c>
      <c r="AU677" s="1">
        <v>2220.0</v>
      </c>
      <c r="AV677" s="1">
        <v>0.056254</v>
      </c>
      <c r="AW677" s="1">
        <v>0.053609</v>
      </c>
      <c r="AX677" s="1">
        <v>0.125028</v>
      </c>
      <c r="AY677" s="1">
        <v>0.261616</v>
      </c>
      <c r="AZ677" s="1">
        <v>0.09730722</v>
      </c>
      <c r="BA677" s="1">
        <v>0.09147</v>
      </c>
      <c r="BB677" s="1">
        <v>9.6E-4</v>
      </c>
      <c r="BC677" s="1">
        <v>0.060622</v>
      </c>
      <c r="BD677" s="1">
        <v>0.0</v>
      </c>
      <c r="BE677" s="1">
        <v>0.057924</v>
      </c>
      <c r="BF677" s="1">
        <v>0.132019</v>
      </c>
      <c r="BG677" s="1">
        <v>0.042144</v>
      </c>
      <c r="BH677" s="1">
        <v>0.011254</v>
      </c>
      <c r="BI677" s="1">
        <v>0.038722</v>
      </c>
      <c r="BJ677" s="1">
        <v>0.021516</v>
      </c>
      <c r="BK677" s="1">
        <v>0.015832</v>
      </c>
      <c r="BL677" s="1">
        <v>0.024354</v>
      </c>
      <c r="BM677" s="1">
        <v>0.294</v>
      </c>
      <c r="BN677" s="1">
        <v>0.321</v>
      </c>
      <c r="BO677" s="1">
        <v>0.4087</v>
      </c>
      <c r="BP677" s="1">
        <v>0.152</v>
      </c>
      <c r="BQ677" s="1">
        <v>1.1757</v>
      </c>
      <c r="BR677" s="1">
        <v>0.2484</v>
      </c>
      <c r="BS677" s="1">
        <v>0.381</v>
      </c>
      <c r="BT677" s="1">
        <v>0.715</v>
      </c>
      <c r="BU677" s="1">
        <v>0.469</v>
      </c>
      <c r="BV677" s="1">
        <v>1.565</v>
      </c>
      <c r="BW677" s="1">
        <v>0.535</v>
      </c>
      <c r="BX677" s="1">
        <v>0.434</v>
      </c>
      <c r="BY677" s="1">
        <v>0.331</v>
      </c>
      <c r="BZ677" s="1">
        <v>0.765</v>
      </c>
      <c r="CA677" s="1">
        <v>0.373</v>
      </c>
      <c r="CB677" s="1">
        <v>0.0</v>
      </c>
      <c r="CC677" s="1">
        <v>0.779</v>
      </c>
      <c r="CD677" s="1">
        <v>0.505</v>
      </c>
      <c r="CE677" s="1">
        <v>0.197</v>
      </c>
      <c r="CF677" s="1">
        <v>0.761</v>
      </c>
      <c r="CG677" s="1">
        <v>2.242</v>
      </c>
      <c r="CH677" s="1">
        <v>0.433</v>
      </c>
      <c r="CI677" s="1">
        <v>5.7477</v>
      </c>
      <c r="CJ677" s="1">
        <v>0.3285</v>
      </c>
      <c r="CK677" s="1">
        <v>0.0</v>
      </c>
      <c r="CL677" s="1">
        <v>0.0</v>
      </c>
      <c r="CM677" s="1">
        <v>0.0</v>
      </c>
      <c r="CN677" s="1">
        <v>0.0</v>
      </c>
      <c r="CO677" s="1">
        <v>0.0</v>
      </c>
      <c r="CP677" s="1">
        <v>0.0</v>
      </c>
      <c r="CQ677" s="1">
        <v>0.0</v>
      </c>
      <c r="CR677" s="1">
        <v>0.0</v>
      </c>
      <c r="CS677" s="1">
        <v>0.0</v>
      </c>
      <c r="CT677" s="1">
        <v>0.0</v>
      </c>
      <c r="CU677" s="1">
        <v>0.0</v>
      </c>
      <c r="CV677" s="1">
        <v>0.0</v>
      </c>
      <c r="CW677" s="1">
        <v>0.0</v>
      </c>
      <c r="CX677" s="1">
        <v>0.0</v>
      </c>
      <c r="CY677" s="1">
        <v>0.0</v>
      </c>
      <c r="CZ677" s="1">
        <v>0.0</v>
      </c>
      <c r="DA677" s="1">
        <v>0.0</v>
      </c>
      <c r="DB677" s="1">
        <v>0.0</v>
      </c>
      <c r="DC677" s="1">
        <v>0.0</v>
      </c>
      <c r="DD677" s="1" t="s">
        <v>3190</v>
      </c>
      <c r="DE677" s="1">
        <v>0.0406819923374418</v>
      </c>
      <c r="DF677" s="2" t="s">
        <v>3191</v>
      </c>
    </row>
    <row r="678" ht="15.75" customHeight="1">
      <c r="A678" s="1" t="s">
        <v>3192</v>
      </c>
      <c r="B678" s="1">
        <v>29.0</v>
      </c>
      <c r="C678" s="1">
        <v>101.0</v>
      </c>
      <c r="D678" s="1">
        <v>960400.0</v>
      </c>
      <c r="E678" s="1">
        <v>2.777</v>
      </c>
      <c r="F678" s="1">
        <v>29101.0</v>
      </c>
      <c r="G678" s="1">
        <v>2.91019604E10</v>
      </c>
      <c r="H678" s="1" t="s">
        <v>112</v>
      </c>
      <c r="I678" s="1" t="s">
        <v>113</v>
      </c>
      <c r="J678" s="1" t="s">
        <v>3188</v>
      </c>
      <c r="K678" s="1" t="s">
        <v>3193</v>
      </c>
      <c r="L678" s="1">
        <v>6551.0</v>
      </c>
      <c r="M678" s="1">
        <v>6474.0</v>
      </c>
      <c r="N678" s="1">
        <v>570.0</v>
      </c>
      <c r="O678" s="1">
        <v>2037.0</v>
      </c>
      <c r="P678" s="1">
        <v>2021.0</v>
      </c>
      <c r="Q678" s="1">
        <v>161.0</v>
      </c>
      <c r="R678" s="1">
        <v>1877.0</v>
      </c>
      <c r="S678" s="1">
        <v>1753.0</v>
      </c>
      <c r="T678" s="1">
        <v>472.0</v>
      </c>
      <c r="U678" s="1">
        <v>351.0</v>
      </c>
      <c r="V678" s="1">
        <v>411.0</v>
      </c>
      <c r="W678" s="1">
        <v>12638.0</v>
      </c>
      <c r="X678" s="1">
        <v>2346.0</v>
      </c>
      <c r="Y678" s="1">
        <v>164.0</v>
      </c>
      <c r="Z678" s="1">
        <v>336.0</v>
      </c>
      <c r="AA678" s="1">
        <v>251.0</v>
      </c>
      <c r="AB678" s="1">
        <v>529.0</v>
      </c>
      <c r="AC678" s="1">
        <v>160.0</v>
      </c>
      <c r="AD678" s="1">
        <v>1272.0</v>
      </c>
      <c r="AE678" s="1">
        <v>14.0</v>
      </c>
      <c r="AF678" s="1">
        <v>442.0</v>
      </c>
      <c r="AG678" s="1">
        <v>425.0</v>
      </c>
      <c r="AH678" s="1">
        <v>143.0</v>
      </c>
      <c r="AI678" s="1">
        <v>105.0</v>
      </c>
      <c r="AJ678" s="1">
        <v>51.0</v>
      </c>
      <c r="AK678" s="1">
        <v>14.0</v>
      </c>
      <c r="AL678" s="1">
        <v>116.0</v>
      </c>
      <c r="AM678" s="1">
        <v>196.0</v>
      </c>
      <c r="AN678" s="1">
        <v>103.0</v>
      </c>
      <c r="AO678" s="1">
        <v>2494.0</v>
      </c>
      <c r="AP678" s="1">
        <v>0.454145</v>
      </c>
      <c r="AQ678" s="1">
        <v>0.108882</v>
      </c>
      <c r="AR678" s="1">
        <v>0.104744</v>
      </c>
      <c r="AS678" s="1">
        <v>0.121755</v>
      </c>
      <c r="AT678" s="1">
        <v>12638.0</v>
      </c>
      <c r="AU678" s="1">
        <v>2346.0</v>
      </c>
      <c r="AV678" s="1">
        <v>0.100737</v>
      </c>
      <c r="AW678" s="1">
        <v>0.205568</v>
      </c>
      <c r="AX678" s="1">
        <v>0.038314</v>
      </c>
      <c r="AY678" s="1">
        <v>0.080751</v>
      </c>
      <c r="AZ678" s="1">
        <v>0.0852424</v>
      </c>
      <c r="BA678" s="1">
        <v>0.194168</v>
      </c>
      <c r="BB678" s="1">
        <v>0.00222</v>
      </c>
      <c r="BC678" s="1">
        <v>0.070091</v>
      </c>
      <c r="BD678" s="1">
        <v>0.210291</v>
      </c>
      <c r="BE678" s="1">
        <v>0.068745</v>
      </c>
      <c r="BF678" s="1">
        <v>0.051954</v>
      </c>
      <c r="BG678" s="1">
        <v>0.024893</v>
      </c>
      <c r="BH678" s="1">
        <v>0.007637</v>
      </c>
      <c r="BI678" s="1">
        <v>0.063278</v>
      </c>
      <c r="BJ678" s="1">
        <v>0.106928</v>
      </c>
      <c r="BK678" s="1">
        <v>0.054967</v>
      </c>
      <c r="BL678" s="1">
        <v>0.380705</v>
      </c>
      <c r="BM678" s="1">
        <v>0.979</v>
      </c>
      <c r="BN678" s="1">
        <v>0.76</v>
      </c>
      <c r="BO678" s="1">
        <v>0.943</v>
      </c>
      <c r="BP678" s="1">
        <v>0.343</v>
      </c>
      <c r="BQ678" s="1">
        <v>3.025</v>
      </c>
      <c r="BR678" s="1">
        <v>0.8087</v>
      </c>
      <c r="BS678" s="1">
        <v>0.016</v>
      </c>
      <c r="BT678" s="1">
        <v>0.018</v>
      </c>
      <c r="BU678" s="1">
        <v>0.358</v>
      </c>
      <c r="BV678" s="1">
        <v>0.392</v>
      </c>
      <c r="BW678" s="1">
        <v>0.028</v>
      </c>
      <c r="BX678" s="1">
        <v>0.704</v>
      </c>
      <c r="BY678" s="1">
        <v>0.392</v>
      </c>
      <c r="BZ678" s="1">
        <v>1.096</v>
      </c>
      <c r="CA678" s="1">
        <v>0.613</v>
      </c>
      <c r="CB678" s="1">
        <v>0.9</v>
      </c>
      <c r="CC678" s="1">
        <v>0.612</v>
      </c>
      <c r="CD678" s="1">
        <v>0.417</v>
      </c>
      <c r="CE678" s="1">
        <v>0.771</v>
      </c>
      <c r="CF678" s="1">
        <v>0.987</v>
      </c>
      <c r="CG678" s="1">
        <v>3.687</v>
      </c>
      <c r="CH678" s="1">
        <v>0.974</v>
      </c>
      <c r="CI678" s="1">
        <v>8.2</v>
      </c>
      <c r="CJ678" s="1">
        <v>0.743</v>
      </c>
      <c r="CK678" s="1">
        <v>1.0</v>
      </c>
      <c r="CL678" s="1">
        <v>0.0</v>
      </c>
      <c r="CM678" s="1">
        <v>1.0</v>
      </c>
      <c r="CN678" s="1">
        <v>0.0</v>
      </c>
      <c r="CO678" s="1">
        <v>2.0</v>
      </c>
      <c r="CP678" s="1">
        <v>0.0</v>
      </c>
      <c r="CQ678" s="1">
        <v>0.0</v>
      </c>
      <c r="CR678" s="1">
        <v>0.0</v>
      </c>
      <c r="CS678" s="1">
        <v>0.0</v>
      </c>
      <c r="CT678" s="1">
        <v>0.0</v>
      </c>
      <c r="CU678" s="1">
        <v>0.0</v>
      </c>
      <c r="CV678" s="1">
        <v>0.0</v>
      </c>
      <c r="CW678" s="1">
        <v>1.0</v>
      </c>
      <c r="CX678" s="1">
        <v>0.0</v>
      </c>
      <c r="CY678" s="1">
        <v>0.0</v>
      </c>
      <c r="CZ678" s="1">
        <v>0.0</v>
      </c>
      <c r="DA678" s="1">
        <v>1.0</v>
      </c>
      <c r="DB678" s="1">
        <v>2.0</v>
      </c>
      <c r="DC678" s="1">
        <v>4.0</v>
      </c>
      <c r="DD678" s="1" t="s">
        <v>3194</v>
      </c>
      <c r="DE678" s="1">
        <v>7.61459163130222E-4</v>
      </c>
      <c r="DF678" s="2" t="s">
        <v>3195</v>
      </c>
    </row>
    <row r="679" ht="15.75" customHeight="1">
      <c r="A679" s="1" t="s">
        <v>3196</v>
      </c>
      <c r="B679" s="1">
        <v>29.0</v>
      </c>
      <c r="C679" s="1">
        <v>101.0</v>
      </c>
      <c r="D679" s="1">
        <v>960200.0</v>
      </c>
      <c r="E679" s="1">
        <v>91.496</v>
      </c>
      <c r="F679" s="1">
        <v>29101.0</v>
      </c>
      <c r="G679" s="1">
        <v>2.91019602E10</v>
      </c>
      <c r="H679" s="1" t="s">
        <v>112</v>
      </c>
      <c r="I679" s="1" t="s">
        <v>113</v>
      </c>
      <c r="J679" s="1" t="s">
        <v>3188</v>
      </c>
      <c r="K679" s="1" t="s">
        <v>3197</v>
      </c>
      <c r="L679" s="1">
        <v>5193.0</v>
      </c>
      <c r="M679" s="1">
        <v>5443.0</v>
      </c>
      <c r="N679" s="1">
        <v>403.0</v>
      </c>
      <c r="O679" s="1">
        <v>2265.0</v>
      </c>
      <c r="P679" s="1">
        <v>2281.0</v>
      </c>
      <c r="Q679" s="1">
        <v>134.0</v>
      </c>
      <c r="R679" s="1">
        <v>2003.0</v>
      </c>
      <c r="S679" s="1">
        <v>703.0</v>
      </c>
      <c r="T679" s="1">
        <v>244.0</v>
      </c>
      <c r="U679" s="1">
        <v>238.0</v>
      </c>
      <c r="V679" s="1">
        <v>289.0</v>
      </c>
      <c r="W679" s="1">
        <v>20809.0</v>
      </c>
      <c r="X679" s="1">
        <v>1572.0</v>
      </c>
      <c r="Y679" s="1">
        <v>496.0</v>
      </c>
      <c r="Z679" s="1">
        <v>191.0</v>
      </c>
      <c r="AA679" s="1">
        <v>735.0</v>
      </c>
      <c r="AB679" s="1">
        <v>1222.0</v>
      </c>
      <c r="AC679" s="1">
        <v>220.0</v>
      </c>
      <c r="AD679" s="1">
        <v>303.0</v>
      </c>
      <c r="AE679" s="1">
        <v>20.0</v>
      </c>
      <c r="AF679" s="1">
        <v>442.0</v>
      </c>
      <c r="AG679" s="1">
        <v>13.0</v>
      </c>
      <c r="AH679" s="1">
        <v>162.0</v>
      </c>
      <c r="AI679" s="1">
        <v>272.0</v>
      </c>
      <c r="AJ679" s="1">
        <v>78.0</v>
      </c>
      <c r="AK679" s="1">
        <v>40.0</v>
      </c>
      <c r="AL679" s="1">
        <v>36.0</v>
      </c>
      <c r="AM679" s="1">
        <v>76.0</v>
      </c>
      <c r="AN679" s="1">
        <v>39.0</v>
      </c>
      <c r="AO679" s="1">
        <v>125.0</v>
      </c>
      <c r="AP679" s="1">
        <v>0.129728</v>
      </c>
      <c r="AQ679" s="1">
        <v>0.043965</v>
      </c>
      <c r="AR679" s="1">
        <v>0.08818</v>
      </c>
      <c r="AS679" s="1">
        <v>0.106828</v>
      </c>
      <c r="AT679" s="1">
        <v>20809.0</v>
      </c>
      <c r="AU679" s="1">
        <v>1572.0</v>
      </c>
      <c r="AV679" s="1">
        <v>0.132443</v>
      </c>
      <c r="AW679" s="1">
        <v>0.050331</v>
      </c>
      <c r="AX679" s="1">
        <v>0.141536</v>
      </c>
      <c r="AY679" s="1">
        <v>0.235316</v>
      </c>
      <c r="AZ679" s="1">
        <v>0.10983524</v>
      </c>
      <c r="BA679" s="1">
        <v>0.058347</v>
      </c>
      <c r="BB679" s="1">
        <v>0.003987</v>
      </c>
      <c r="BC679" s="1">
        <v>0.088117</v>
      </c>
      <c r="BD679" s="1">
        <v>0.005699</v>
      </c>
      <c r="BE679" s="1">
        <v>0.07102</v>
      </c>
      <c r="BF679" s="1">
        <v>0.119245</v>
      </c>
      <c r="BG679" s="1">
        <v>0.03347</v>
      </c>
      <c r="BH679" s="1">
        <v>0.018975</v>
      </c>
      <c r="BI679" s="1">
        <v>0.017036</v>
      </c>
      <c r="BJ679" s="1">
        <v>0.036053</v>
      </c>
      <c r="BK679" s="1">
        <v>0.018362</v>
      </c>
      <c r="BL679" s="1">
        <v>0.02407</v>
      </c>
      <c r="BM679" s="1">
        <v>0.497</v>
      </c>
      <c r="BN679" s="1">
        <v>0.669</v>
      </c>
      <c r="BO679" s="1">
        <v>0.5639</v>
      </c>
      <c r="BP679" s="1">
        <v>0.481</v>
      </c>
      <c r="BQ679" s="1">
        <v>2.2109</v>
      </c>
      <c r="BR679" s="1">
        <v>0.5718</v>
      </c>
      <c r="BS679" s="1">
        <v>0.509</v>
      </c>
      <c r="BT679" s="1">
        <v>0.443</v>
      </c>
      <c r="BU679" s="1">
        <v>0.585</v>
      </c>
      <c r="BV679" s="1">
        <v>1.537</v>
      </c>
      <c r="BW679" s="1">
        <v>0.512</v>
      </c>
      <c r="BX679" s="1">
        <v>0.305</v>
      </c>
      <c r="BY679" s="1">
        <v>0.515</v>
      </c>
      <c r="BZ679" s="1">
        <v>0.82</v>
      </c>
      <c r="CA679" s="1">
        <v>0.414</v>
      </c>
      <c r="CB679" s="1">
        <v>0.33</v>
      </c>
      <c r="CC679" s="1">
        <v>0.759</v>
      </c>
      <c r="CD679" s="1">
        <v>0.663</v>
      </c>
      <c r="CE679" s="1">
        <v>0.343</v>
      </c>
      <c r="CF679" s="1">
        <v>0.759</v>
      </c>
      <c r="CG679" s="1">
        <v>2.854</v>
      </c>
      <c r="CH679" s="1">
        <v>0.711</v>
      </c>
      <c r="CI679" s="1">
        <v>7.4219</v>
      </c>
      <c r="CJ679" s="1">
        <v>0.6274</v>
      </c>
      <c r="CK679" s="1">
        <v>0.0</v>
      </c>
      <c r="CL679" s="1">
        <v>0.0</v>
      </c>
      <c r="CM679" s="1">
        <v>0.0</v>
      </c>
      <c r="CN679" s="1">
        <v>0.0</v>
      </c>
      <c r="CO679" s="1">
        <v>0.0</v>
      </c>
      <c r="CP679" s="1">
        <v>0.0</v>
      </c>
      <c r="CQ679" s="1">
        <v>0.0</v>
      </c>
      <c r="CR679" s="1">
        <v>0.0</v>
      </c>
      <c r="CS679" s="1">
        <v>0.0</v>
      </c>
      <c r="CT679" s="1">
        <v>0.0</v>
      </c>
      <c r="CU679" s="1">
        <v>0.0</v>
      </c>
      <c r="CV679" s="1">
        <v>0.0</v>
      </c>
      <c r="CW679" s="1">
        <v>0.0</v>
      </c>
      <c r="CX679" s="1">
        <v>0.0</v>
      </c>
      <c r="CY679" s="1">
        <v>0.0</v>
      </c>
      <c r="CZ679" s="1">
        <v>0.0</v>
      </c>
      <c r="DA679" s="1">
        <v>0.0</v>
      </c>
      <c r="DB679" s="1">
        <v>0.0</v>
      </c>
      <c r="DC679" s="1">
        <v>0.0</v>
      </c>
      <c r="DD679" s="1" t="s">
        <v>3198</v>
      </c>
      <c r="DE679" s="2" t="s">
        <v>3199</v>
      </c>
      <c r="DF679" s="2" t="s">
        <v>3200</v>
      </c>
    </row>
    <row r="680" ht="15.75" customHeight="1">
      <c r="A680" s="1" t="s">
        <v>3201</v>
      </c>
      <c r="B680" s="1">
        <v>29.0</v>
      </c>
      <c r="C680" s="1">
        <v>101.0</v>
      </c>
      <c r="D680" s="1">
        <v>960100.0</v>
      </c>
      <c r="E680" s="1">
        <v>253.167</v>
      </c>
      <c r="F680" s="1">
        <v>29101.0</v>
      </c>
      <c r="G680" s="1">
        <v>2.91019601E10</v>
      </c>
      <c r="H680" s="1" t="s">
        <v>112</v>
      </c>
      <c r="I680" s="1" t="s">
        <v>113</v>
      </c>
      <c r="J680" s="1" t="s">
        <v>3188</v>
      </c>
      <c r="K680" s="1" t="s">
        <v>3202</v>
      </c>
      <c r="L680" s="1">
        <v>8677.0</v>
      </c>
      <c r="M680" s="1">
        <v>8170.0</v>
      </c>
      <c r="N680" s="1">
        <v>498.0</v>
      </c>
      <c r="O680" s="1">
        <v>3483.0</v>
      </c>
      <c r="P680" s="1">
        <v>3337.0</v>
      </c>
      <c r="Q680" s="1">
        <v>164.0</v>
      </c>
      <c r="R680" s="1">
        <v>3240.0</v>
      </c>
      <c r="S680" s="1">
        <v>875.0</v>
      </c>
      <c r="T680" s="1">
        <v>402.0</v>
      </c>
      <c r="U680" s="1">
        <v>162.0</v>
      </c>
      <c r="V680" s="1">
        <v>418.0</v>
      </c>
      <c r="W680" s="1">
        <v>23772.0</v>
      </c>
      <c r="X680" s="1">
        <v>1949.0</v>
      </c>
      <c r="Y680" s="1">
        <v>531.0</v>
      </c>
      <c r="Z680" s="1">
        <v>310.0</v>
      </c>
      <c r="AA680" s="1">
        <v>1144.0</v>
      </c>
      <c r="AB680" s="1">
        <v>2073.0</v>
      </c>
      <c r="AC680" s="1">
        <v>175.0</v>
      </c>
      <c r="AD680" s="1">
        <v>395.0</v>
      </c>
      <c r="AE680" s="1">
        <v>35.0</v>
      </c>
      <c r="AF680" s="1">
        <v>443.0</v>
      </c>
      <c r="AG680" s="1">
        <v>0.0</v>
      </c>
      <c r="AH680" s="1">
        <v>197.0</v>
      </c>
      <c r="AI680" s="1">
        <v>655.0</v>
      </c>
      <c r="AJ680" s="1">
        <v>175.0</v>
      </c>
      <c r="AK680" s="1">
        <v>77.0</v>
      </c>
      <c r="AL680" s="1">
        <v>124.0</v>
      </c>
      <c r="AM680" s="1">
        <v>30.0</v>
      </c>
      <c r="AN680" s="1">
        <v>118.0</v>
      </c>
      <c r="AO680" s="1">
        <v>0.0</v>
      </c>
      <c r="AP680" s="1">
        <v>0.107441</v>
      </c>
      <c r="AQ680" s="1">
        <v>0.048934</v>
      </c>
      <c r="AR680" s="1">
        <v>0.039774</v>
      </c>
      <c r="AS680" s="1">
        <v>0.102568</v>
      </c>
      <c r="AT680" s="1">
        <v>23772.0</v>
      </c>
      <c r="AU680" s="1">
        <v>1949.0</v>
      </c>
      <c r="AV680" s="1">
        <v>0.095297</v>
      </c>
      <c r="AW680" s="1">
        <v>0.05541</v>
      </c>
      <c r="AX680" s="1">
        <v>0.131842</v>
      </c>
      <c r="AY680" s="1">
        <v>0.238907</v>
      </c>
      <c r="AZ680" s="1">
        <v>0.05401234</v>
      </c>
      <c r="BA680" s="1">
        <v>0.045522</v>
      </c>
      <c r="BB680" s="1">
        <v>0.004507</v>
      </c>
      <c r="BC680" s="1">
        <v>0.05705</v>
      </c>
      <c r="BD680" s="1">
        <v>0.0</v>
      </c>
      <c r="BE680" s="1">
        <v>0.059035</v>
      </c>
      <c r="BF680" s="1">
        <v>0.196284</v>
      </c>
      <c r="BG680" s="1">
        <v>0.051547</v>
      </c>
      <c r="BH680" s="1">
        <v>0.025718</v>
      </c>
      <c r="BI680" s="1">
        <v>0.041392</v>
      </c>
      <c r="BJ680" s="1">
        <v>0.01002</v>
      </c>
      <c r="BK680" s="1">
        <v>0.039408</v>
      </c>
      <c r="BL680" s="1">
        <v>0.0</v>
      </c>
      <c r="BM680" s="1">
        <v>0.404</v>
      </c>
      <c r="BN680" s="1">
        <v>0.179</v>
      </c>
      <c r="BO680" s="1">
        <v>0.4065</v>
      </c>
      <c r="BP680" s="1">
        <v>0.315</v>
      </c>
      <c r="BQ680" s="1">
        <v>1.3045</v>
      </c>
      <c r="BR680" s="1">
        <v>0.2809</v>
      </c>
      <c r="BS680" s="1">
        <v>0.433</v>
      </c>
      <c r="BT680" s="1">
        <v>0.486</v>
      </c>
      <c r="BU680" s="1">
        <v>0.098</v>
      </c>
      <c r="BV680" s="1">
        <v>1.017</v>
      </c>
      <c r="BW680" s="1">
        <v>0.121</v>
      </c>
      <c r="BX680" s="1">
        <v>0.217</v>
      </c>
      <c r="BY680" s="1">
        <v>0.538</v>
      </c>
      <c r="BZ680" s="1">
        <v>0.755</v>
      </c>
      <c r="CA680" s="1">
        <v>0.363</v>
      </c>
      <c r="CB680" s="1">
        <v>0.0</v>
      </c>
      <c r="CC680" s="1">
        <v>0.894</v>
      </c>
      <c r="CD680" s="1">
        <v>0.768</v>
      </c>
      <c r="CE680" s="1">
        <v>0.085</v>
      </c>
      <c r="CF680" s="1">
        <v>0.0</v>
      </c>
      <c r="CG680" s="1">
        <v>1.747</v>
      </c>
      <c r="CH680" s="1">
        <v>0.248</v>
      </c>
      <c r="CI680" s="1">
        <v>4.8235</v>
      </c>
      <c r="CJ680" s="1">
        <v>0.1805</v>
      </c>
      <c r="CK680" s="1">
        <v>0.0</v>
      </c>
      <c r="CL680" s="1">
        <v>0.0</v>
      </c>
      <c r="CM680" s="1">
        <v>0.0</v>
      </c>
      <c r="CN680" s="1">
        <v>0.0</v>
      </c>
      <c r="CO680" s="1">
        <v>0.0</v>
      </c>
      <c r="CP680" s="1">
        <v>0.0</v>
      </c>
      <c r="CQ680" s="1">
        <v>0.0</v>
      </c>
      <c r="CR680" s="1">
        <v>0.0</v>
      </c>
      <c r="CS680" s="1">
        <v>0.0</v>
      </c>
      <c r="CT680" s="1">
        <v>0.0</v>
      </c>
      <c r="CU680" s="1">
        <v>0.0</v>
      </c>
      <c r="CV680" s="1">
        <v>0.0</v>
      </c>
      <c r="CW680" s="1">
        <v>0.0</v>
      </c>
      <c r="CX680" s="1">
        <v>0.0</v>
      </c>
      <c r="CY680" s="1">
        <v>0.0</v>
      </c>
      <c r="CZ680" s="1">
        <v>0.0</v>
      </c>
      <c r="DA680" s="1">
        <v>0.0</v>
      </c>
      <c r="DB680" s="1">
        <v>0.0</v>
      </c>
      <c r="DC680" s="1">
        <v>0.0</v>
      </c>
      <c r="DD680" s="1" t="s">
        <v>3203</v>
      </c>
      <c r="DE680" s="1">
        <v>0.0683815584748537</v>
      </c>
      <c r="DF680" s="2" t="s">
        <v>3204</v>
      </c>
    </row>
    <row r="681" ht="15.75" customHeight="1">
      <c r="A681" s="1" t="s">
        <v>3205</v>
      </c>
      <c r="B681" s="1">
        <v>29.0</v>
      </c>
      <c r="C681" s="1">
        <v>101.0</v>
      </c>
      <c r="D681" s="1">
        <v>960500.0</v>
      </c>
      <c r="E681" s="1">
        <v>5.508</v>
      </c>
      <c r="F681" s="1">
        <v>29101.0</v>
      </c>
      <c r="G681" s="1">
        <v>2.91019605E10</v>
      </c>
      <c r="H681" s="1" t="s">
        <v>112</v>
      </c>
      <c r="I681" s="1" t="s">
        <v>113</v>
      </c>
      <c r="J681" s="1" t="s">
        <v>3188</v>
      </c>
      <c r="K681" s="1" t="s">
        <v>3206</v>
      </c>
      <c r="L681" s="1">
        <v>7447.0</v>
      </c>
      <c r="M681" s="1">
        <v>7561.0</v>
      </c>
      <c r="N681" s="1">
        <v>619.0</v>
      </c>
      <c r="O681" s="1">
        <v>3186.0</v>
      </c>
      <c r="P681" s="1">
        <v>3326.0</v>
      </c>
      <c r="Q681" s="1">
        <v>218.0</v>
      </c>
      <c r="R681" s="1">
        <v>2964.0</v>
      </c>
      <c r="S681" s="1">
        <v>1349.0</v>
      </c>
      <c r="T681" s="1">
        <v>479.0</v>
      </c>
      <c r="U681" s="1">
        <v>233.0</v>
      </c>
      <c r="V681" s="1">
        <v>445.0</v>
      </c>
      <c r="W681" s="1">
        <v>23639.0</v>
      </c>
      <c r="X681" s="1">
        <v>2612.0</v>
      </c>
      <c r="Y681" s="1">
        <v>321.0</v>
      </c>
      <c r="Z681" s="1">
        <v>298.0</v>
      </c>
      <c r="AA681" s="1">
        <v>937.0</v>
      </c>
      <c r="AB681" s="1">
        <v>1760.0</v>
      </c>
      <c r="AC681" s="1">
        <v>305.0</v>
      </c>
      <c r="AD681" s="1">
        <v>1142.0</v>
      </c>
      <c r="AE681" s="1">
        <v>52.0</v>
      </c>
      <c r="AF681" s="1">
        <v>431.0</v>
      </c>
      <c r="AG681" s="1">
        <v>187.0</v>
      </c>
      <c r="AH681" s="1">
        <v>149.0</v>
      </c>
      <c r="AI681" s="1">
        <v>0.0</v>
      </c>
      <c r="AJ681" s="1">
        <v>114.0</v>
      </c>
      <c r="AK681" s="1">
        <v>28.0</v>
      </c>
      <c r="AL681" s="1">
        <v>118.0</v>
      </c>
      <c r="AM681" s="1">
        <v>133.0</v>
      </c>
      <c r="AN681" s="1">
        <v>84.0</v>
      </c>
      <c r="AO681" s="1">
        <v>229.0</v>
      </c>
      <c r="AP681" s="1">
        <v>0.183238</v>
      </c>
      <c r="AQ681" s="1">
        <v>0.06317</v>
      </c>
      <c r="AR681" s="1">
        <v>0.06785</v>
      </c>
      <c r="AS681" s="1">
        <v>0.129331</v>
      </c>
      <c r="AT681" s="1">
        <v>23639.0</v>
      </c>
      <c r="AU681" s="1">
        <v>2612.0</v>
      </c>
      <c r="AV681" s="1">
        <v>0.072805</v>
      </c>
      <c r="AW681" s="1">
        <v>0.06734</v>
      </c>
      <c r="AX681" s="1">
        <v>0.125822</v>
      </c>
      <c r="AY681" s="1">
        <v>0.236336</v>
      </c>
      <c r="AZ681" s="1">
        <v>0.10290148</v>
      </c>
      <c r="BA681" s="1">
        <v>0.15335</v>
      </c>
      <c r="BB681" s="1">
        <v>0.007582</v>
      </c>
      <c r="BC681" s="1">
        <v>0.062842</v>
      </c>
      <c r="BD681" s="1">
        <v>0.056223</v>
      </c>
      <c r="BE681" s="1">
        <v>0.044646</v>
      </c>
      <c r="BF681" s="1">
        <v>0.0</v>
      </c>
      <c r="BG681" s="1">
        <v>0.034275</v>
      </c>
      <c r="BH681" s="1">
        <v>0.009153</v>
      </c>
      <c r="BI681" s="1">
        <v>0.038567</v>
      </c>
      <c r="BJ681" s="1">
        <v>0.043478</v>
      </c>
      <c r="BK681" s="1">
        <v>0.027238</v>
      </c>
      <c r="BL681" s="1">
        <v>0.03075</v>
      </c>
      <c r="BM681" s="1">
        <v>0.682</v>
      </c>
      <c r="BN681" s="1">
        <v>0.494</v>
      </c>
      <c r="BO681" s="1">
        <v>0.4188</v>
      </c>
      <c r="BP681" s="1">
        <v>0.212</v>
      </c>
      <c r="BQ681" s="1">
        <v>1.8068</v>
      </c>
      <c r="BR681" s="1">
        <v>0.4332</v>
      </c>
      <c r="BS681" s="1">
        <v>0.387</v>
      </c>
      <c r="BT681" s="1">
        <v>0.454</v>
      </c>
      <c r="BU681" s="1">
        <v>0.518</v>
      </c>
      <c r="BV681" s="1">
        <v>1.359</v>
      </c>
      <c r="BW681" s="1">
        <v>0.356</v>
      </c>
      <c r="BX681" s="1">
        <v>0.634</v>
      </c>
      <c r="BY681" s="1">
        <v>0.653</v>
      </c>
      <c r="BZ681" s="1">
        <v>1.287</v>
      </c>
      <c r="CA681" s="1">
        <v>0.706</v>
      </c>
      <c r="CB681" s="1">
        <v>0.673</v>
      </c>
      <c r="CC681" s="1">
        <v>0.0</v>
      </c>
      <c r="CD681" s="1">
        <v>0.459</v>
      </c>
      <c r="CE681" s="1">
        <v>0.428</v>
      </c>
      <c r="CF681" s="1">
        <v>0.812</v>
      </c>
      <c r="CG681" s="1">
        <v>2.372</v>
      </c>
      <c r="CH681" s="1">
        <v>0.497</v>
      </c>
      <c r="CI681" s="1">
        <v>6.8248</v>
      </c>
      <c r="CJ681" s="1">
        <v>0.517</v>
      </c>
      <c r="CK681" s="1">
        <v>0.0</v>
      </c>
      <c r="CL681" s="1">
        <v>0.0</v>
      </c>
      <c r="CM681" s="1">
        <v>0.0</v>
      </c>
      <c r="CN681" s="1">
        <v>0.0</v>
      </c>
      <c r="CO681" s="1">
        <v>0.0</v>
      </c>
      <c r="CP681" s="1">
        <v>0.0</v>
      </c>
      <c r="CQ681" s="1">
        <v>0.0</v>
      </c>
      <c r="CR681" s="1">
        <v>0.0</v>
      </c>
      <c r="CS681" s="1">
        <v>0.0</v>
      </c>
      <c r="CT681" s="1">
        <v>0.0</v>
      </c>
      <c r="CU681" s="1">
        <v>0.0</v>
      </c>
      <c r="CV681" s="1">
        <v>0.0</v>
      </c>
      <c r="CW681" s="1">
        <v>0.0</v>
      </c>
      <c r="CX681" s="1">
        <v>0.0</v>
      </c>
      <c r="CY681" s="1">
        <v>0.0</v>
      </c>
      <c r="CZ681" s="1">
        <v>0.0</v>
      </c>
      <c r="DA681" s="1">
        <v>0.0</v>
      </c>
      <c r="DB681" s="1">
        <v>0.0</v>
      </c>
      <c r="DC681" s="1">
        <v>0.0</v>
      </c>
      <c r="DD681" s="1" t="s">
        <v>3207</v>
      </c>
      <c r="DE681" s="1">
        <v>0.00148058383695713</v>
      </c>
      <c r="DF681" s="2" t="s">
        <v>3208</v>
      </c>
    </row>
    <row r="682" ht="15.75" customHeight="1">
      <c r="A682" s="1" t="s">
        <v>3209</v>
      </c>
      <c r="B682" s="1">
        <v>29.0</v>
      </c>
      <c r="C682" s="1">
        <v>101.0</v>
      </c>
      <c r="D682" s="1">
        <v>960600.0</v>
      </c>
      <c r="E682" s="1">
        <v>2.373</v>
      </c>
      <c r="F682" s="1">
        <v>29101.0</v>
      </c>
      <c r="G682" s="1">
        <v>2.91019606E10</v>
      </c>
      <c r="H682" s="1" t="s">
        <v>112</v>
      </c>
      <c r="I682" s="1" t="s">
        <v>113</v>
      </c>
      <c r="J682" s="1" t="s">
        <v>3188</v>
      </c>
      <c r="K682" s="1" t="s">
        <v>3210</v>
      </c>
      <c r="L682" s="1">
        <v>3560.0</v>
      </c>
      <c r="M682" s="1">
        <v>3682.0</v>
      </c>
      <c r="N682" s="1">
        <v>408.0</v>
      </c>
      <c r="O682" s="1">
        <v>1775.0</v>
      </c>
      <c r="P682" s="1">
        <v>1879.0</v>
      </c>
      <c r="Q682" s="1">
        <v>147.0</v>
      </c>
      <c r="R682" s="1">
        <v>1553.0</v>
      </c>
      <c r="S682" s="1">
        <v>1074.0</v>
      </c>
      <c r="T682" s="1">
        <v>313.0</v>
      </c>
      <c r="U682" s="1">
        <v>217.0</v>
      </c>
      <c r="V682" s="1">
        <v>395.0</v>
      </c>
      <c r="W682" s="1">
        <v>17251.0</v>
      </c>
      <c r="X682" s="1">
        <v>1950.0</v>
      </c>
      <c r="Y682" s="1">
        <v>236.0</v>
      </c>
      <c r="Z682" s="1">
        <v>303.0</v>
      </c>
      <c r="AA682" s="1">
        <v>341.0</v>
      </c>
      <c r="AB682" s="1">
        <v>708.0</v>
      </c>
      <c r="AC682" s="1">
        <v>159.0</v>
      </c>
      <c r="AD682" s="1">
        <v>528.0</v>
      </c>
      <c r="AE682" s="1">
        <v>11.0</v>
      </c>
      <c r="AF682" s="1">
        <v>442.0</v>
      </c>
      <c r="AG682" s="1">
        <v>114.0</v>
      </c>
      <c r="AH682" s="1">
        <v>78.0</v>
      </c>
      <c r="AI682" s="1">
        <v>54.0</v>
      </c>
      <c r="AJ682" s="1">
        <v>26.0</v>
      </c>
      <c r="AK682" s="1">
        <v>1.0</v>
      </c>
      <c r="AL682" s="1">
        <v>114.0</v>
      </c>
      <c r="AM682" s="1">
        <v>222.0</v>
      </c>
      <c r="AN682" s="1">
        <v>75.0</v>
      </c>
      <c r="AO682" s="1">
        <v>145.0</v>
      </c>
      <c r="AP682" s="1">
        <v>0.291689</v>
      </c>
      <c r="AQ682" s="1">
        <v>0.078623</v>
      </c>
      <c r="AR682" s="1">
        <v>0.115425</v>
      </c>
      <c r="AS682" s="1">
        <v>0.209281</v>
      </c>
      <c r="AT682" s="1">
        <v>17251.0</v>
      </c>
      <c r="AU682" s="1">
        <v>1950.0</v>
      </c>
      <c r="AV682" s="1">
        <v>0.114618</v>
      </c>
      <c r="AW682" s="1">
        <v>0.146182</v>
      </c>
      <c r="AX682" s="1">
        <v>0.095786</v>
      </c>
      <c r="AY682" s="1">
        <v>0.198876</v>
      </c>
      <c r="AZ682" s="1">
        <v>0.10238248</v>
      </c>
      <c r="BA682" s="1">
        <v>0.148314</v>
      </c>
      <c r="BB682" s="1">
        <v>0.00313</v>
      </c>
      <c r="BC682" s="1">
        <v>0.125782</v>
      </c>
      <c r="BD682" s="1">
        <v>0.06067</v>
      </c>
      <c r="BE682" s="1">
        <v>0.041239</v>
      </c>
      <c r="BF682" s="1">
        <v>0.028738</v>
      </c>
      <c r="BG682" s="1">
        <v>0.013653</v>
      </c>
      <c r="BH682" s="1">
        <v>5.97E-4</v>
      </c>
      <c r="BI682" s="1">
        <v>0.0681</v>
      </c>
      <c r="BJ682" s="1">
        <v>0.132616</v>
      </c>
      <c r="BK682" s="1">
        <v>0.042198</v>
      </c>
      <c r="BL682" s="1">
        <v>0.04073</v>
      </c>
      <c r="BM682" s="1">
        <v>0.877</v>
      </c>
      <c r="BN682" s="1">
        <v>0.805</v>
      </c>
      <c r="BO682" s="1">
        <v>0.7682</v>
      </c>
      <c r="BP682" s="1">
        <v>0.405</v>
      </c>
      <c r="BQ682" s="1">
        <v>2.8552</v>
      </c>
      <c r="BR682" s="1">
        <v>0.7653</v>
      </c>
      <c r="BS682" s="1">
        <v>0.186</v>
      </c>
      <c r="BT682" s="1">
        <v>0.183</v>
      </c>
      <c r="BU682" s="1">
        <v>0.514</v>
      </c>
      <c r="BV682" s="1">
        <v>0.883</v>
      </c>
      <c r="BW682" s="1">
        <v>0.089</v>
      </c>
      <c r="BX682" s="1">
        <v>0.621</v>
      </c>
      <c r="BY682" s="1">
        <v>0.456</v>
      </c>
      <c r="BZ682" s="1">
        <v>1.077</v>
      </c>
      <c r="CA682" s="1">
        <v>0.597</v>
      </c>
      <c r="CB682" s="1">
        <v>0.687</v>
      </c>
      <c r="CC682" s="1">
        <v>0.546</v>
      </c>
      <c r="CD682" s="1">
        <v>0.275</v>
      </c>
      <c r="CE682" s="1">
        <v>0.835</v>
      </c>
      <c r="CF682" s="1">
        <v>0.869</v>
      </c>
      <c r="CG682" s="1">
        <v>3.212</v>
      </c>
      <c r="CH682" s="1">
        <v>0.845</v>
      </c>
      <c r="CI682" s="1">
        <v>8.0272</v>
      </c>
      <c r="CJ682" s="1">
        <v>0.7191</v>
      </c>
      <c r="CK682" s="1">
        <v>0.0</v>
      </c>
      <c r="CL682" s="1">
        <v>0.0</v>
      </c>
      <c r="CM682" s="1">
        <v>0.0</v>
      </c>
      <c r="CN682" s="1">
        <v>0.0</v>
      </c>
      <c r="CO682" s="1">
        <v>0.0</v>
      </c>
      <c r="CP682" s="1">
        <v>0.0</v>
      </c>
      <c r="CQ682" s="1">
        <v>0.0</v>
      </c>
      <c r="CR682" s="1">
        <v>0.0</v>
      </c>
      <c r="CS682" s="1">
        <v>0.0</v>
      </c>
      <c r="CT682" s="1">
        <v>0.0</v>
      </c>
      <c r="CU682" s="1">
        <v>0.0</v>
      </c>
      <c r="CV682" s="1">
        <v>0.0</v>
      </c>
      <c r="CW682" s="1">
        <v>0.0</v>
      </c>
      <c r="CX682" s="1">
        <v>0.0</v>
      </c>
      <c r="CY682" s="1">
        <v>0.0</v>
      </c>
      <c r="CZ682" s="1">
        <v>0.0</v>
      </c>
      <c r="DA682" s="1">
        <v>0.0</v>
      </c>
      <c r="DB682" s="1">
        <v>0.0</v>
      </c>
      <c r="DC682" s="1">
        <v>0.0</v>
      </c>
      <c r="DD682" s="1" t="s">
        <v>3211</v>
      </c>
      <c r="DE682" s="1">
        <v>6.43598726532013E-4</v>
      </c>
      <c r="DF682" s="2" t="s">
        <v>3212</v>
      </c>
    </row>
    <row r="683" ht="15.75" customHeight="1">
      <c r="A683" s="1" t="s">
        <v>3213</v>
      </c>
      <c r="B683" s="1">
        <v>29.0</v>
      </c>
      <c r="C683" s="1">
        <v>101.0</v>
      </c>
      <c r="D683" s="1">
        <v>980000.0</v>
      </c>
      <c r="E683" s="1">
        <v>6.841</v>
      </c>
      <c r="F683" s="1">
        <v>29101.0</v>
      </c>
      <c r="G683" s="1">
        <v>2.910198E10</v>
      </c>
      <c r="H683" s="1" t="s">
        <v>112</v>
      </c>
      <c r="I683" s="1" t="s">
        <v>113</v>
      </c>
      <c r="J683" s="1" t="s">
        <v>3188</v>
      </c>
      <c r="K683" s="1" t="s">
        <v>3214</v>
      </c>
      <c r="L683" s="1">
        <v>1410.0</v>
      </c>
      <c r="M683" s="1">
        <v>2700.0</v>
      </c>
      <c r="N683" s="1">
        <v>447.0</v>
      </c>
      <c r="O683" s="1">
        <v>469.0</v>
      </c>
      <c r="P683" s="1">
        <v>605.0</v>
      </c>
      <c r="Q683" s="1">
        <v>109.0</v>
      </c>
      <c r="R683" s="1">
        <v>309.0</v>
      </c>
      <c r="S683" s="1">
        <v>76.0</v>
      </c>
      <c r="T683" s="1">
        <v>151.0</v>
      </c>
      <c r="U683" s="1">
        <v>100.0</v>
      </c>
      <c r="V683" s="1">
        <v>465.0</v>
      </c>
      <c r="W683" s="1">
        <v>15311.0</v>
      </c>
      <c r="X683" s="1">
        <v>1616.0</v>
      </c>
      <c r="Y683" s="1">
        <v>0.0</v>
      </c>
      <c r="Z683" s="1">
        <v>456.0</v>
      </c>
      <c r="AA683" s="1">
        <v>2.0</v>
      </c>
      <c r="AB683" s="1">
        <v>370.0</v>
      </c>
      <c r="AC683" s="1">
        <v>37.0</v>
      </c>
      <c r="AD683" s="1">
        <v>343.0</v>
      </c>
      <c r="AE683" s="1">
        <v>0.0</v>
      </c>
      <c r="AF683" s="1">
        <v>456.0</v>
      </c>
      <c r="AG683" s="1">
        <v>0.0</v>
      </c>
      <c r="AH683" s="1">
        <v>197.0</v>
      </c>
      <c r="AI683" s="1">
        <v>10.0</v>
      </c>
      <c r="AJ683" s="1">
        <v>13.0</v>
      </c>
      <c r="AK683" s="1">
        <v>0.0</v>
      </c>
      <c r="AL683" s="1">
        <v>161.0</v>
      </c>
      <c r="AM683" s="1">
        <v>0.0</v>
      </c>
      <c r="AN683" s="1">
        <v>161.0</v>
      </c>
      <c r="AO683" s="1">
        <v>461.0</v>
      </c>
      <c r="AP683" s="1">
        <v>0.043703</v>
      </c>
      <c r="AQ683" s="1">
        <v>0.08646</v>
      </c>
      <c r="AR683" s="1">
        <v>0.214132</v>
      </c>
      <c r="AS683" s="1">
        <v>0.985319</v>
      </c>
      <c r="AT683" s="1">
        <v>15311.0</v>
      </c>
      <c r="AU683" s="1">
        <v>1616.0</v>
      </c>
      <c r="AV683" s="1">
        <v>0.0</v>
      </c>
      <c r="AW683" s="1">
        <v>0.748768</v>
      </c>
      <c r="AX683" s="1">
        <v>0.001418</v>
      </c>
      <c r="AY683" s="1">
        <v>0.262411</v>
      </c>
      <c r="AZ683" s="1">
        <v>0.1197411</v>
      </c>
      <c r="BA683" s="1">
        <v>0.243262</v>
      </c>
      <c r="BB683" s="1">
        <v>0.0</v>
      </c>
      <c r="BC683" s="1">
        <v>0.190317</v>
      </c>
      <c r="BD683" s="1">
        <v>0.0</v>
      </c>
      <c r="BE683" s="1">
        <v>0.325619</v>
      </c>
      <c r="BF683" s="1">
        <v>0.016528</v>
      </c>
      <c r="BG683" s="1">
        <v>0.02128</v>
      </c>
      <c r="BH683" s="1">
        <v>0.0</v>
      </c>
      <c r="BI683" s="1">
        <v>0.297047</v>
      </c>
      <c r="BJ683" s="1">
        <v>0.0</v>
      </c>
      <c r="BK683" s="1">
        <v>0.297047</v>
      </c>
      <c r="BL683" s="1">
        <v>0.32695</v>
      </c>
      <c r="BM683" s="1">
        <v>0.139</v>
      </c>
      <c r="BN683" s="1">
        <v>0.96</v>
      </c>
      <c r="BO683" s="1">
        <v>0.865</v>
      </c>
      <c r="BP683" s="1">
        <v>0.0</v>
      </c>
      <c r="BQ683" s="1">
        <v>1.964</v>
      </c>
      <c r="BR683" s="1">
        <v>0.4816</v>
      </c>
      <c r="BS683" s="1">
        <v>0.002</v>
      </c>
      <c r="BT683" s="1">
        <v>0.725</v>
      </c>
      <c r="BU683" s="1">
        <v>0.669</v>
      </c>
      <c r="BV683" s="1">
        <v>1.396</v>
      </c>
      <c r="BW683" s="1">
        <v>0.387</v>
      </c>
      <c r="BX683" s="1">
        <v>0.756</v>
      </c>
      <c r="BY683" s="1">
        <v>0.0</v>
      </c>
      <c r="BZ683" s="1">
        <v>0.756</v>
      </c>
      <c r="CA683" s="1">
        <v>0.364</v>
      </c>
      <c r="CB683" s="1">
        <v>0.0</v>
      </c>
      <c r="CC683" s="1">
        <v>0.494</v>
      </c>
      <c r="CD683" s="1">
        <v>0.0</v>
      </c>
      <c r="CE683" s="1">
        <v>0.0</v>
      </c>
      <c r="CF683" s="1">
        <v>0.984</v>
      </c>
      <c r="CG683" s="1">
        <v>1.478</v>
      </c>
      <c r="CH683" s="1">
        <v>0.169</v>
      </c>
      <c r="CI683" s="1">
        <v>5.594</v>
      </c>
      <c r="CJ683" s="1">
        <v>0.2996</v>
      </c>
      <c r="CK683" s="1">
        <v>0.0</v>
      </c>
      <c r="CL683" s="1">
        <v>1.0</v>
      </c>
      <c r="CM683" s="1">
        <v>0.0</v>
      </c>
      <c r="CN683" s="1">
        <v>0.0</v>
      </c>
      <c r="CO683" s="1">
        <v>1.0</v>
      </c>
      <c r="CP683" s="1">
        <v>0.0</v>
      </c>
      <c r="CQ683" s="1">
        <v>0.0</v>
      </c>
      <c r="CR683" s="1">
        <v>0.0</v>
      </c>
      <c r="CS683" s="1">
        <v>0.0</v>
      </c>
      <c r="CT683" s="1">
        <v>0.0</v>
      </c>
      <c r="CU683" s="1">
        <v>0.0</v>
      </c>
      <c r="CV683" s="1">
        <v>0.0</v>
      </c>
      <c r="CW683" s="1">
        <v>0.0</v>
      </c>
      <c r="CX683" s="1">
        <v>0.0</v>
      </c>
      <c r="CY683" s="1">
        <v>0.0</v>
      </c>
      <c r="CZ683" s="1">
        <v>0.0</v>
      </c>
      <c r="DA683" s="1">
        <v>1.0</v>
      </c>
      <c r="DB683" s="1">
        <v>1.0</v>
      </c>
      <c r="DC683" s="1">
        <v>2.0</v>
      </c>
      <c r="DD683" s="1" t="s">
        <v>3215</v>
      </c>
      <c r="DE683" s="1">
        <v>0.00184049386007143</v>
      </c>
      <c r="DF683" s="2" t="s">
        <v>3216</v>
      </c>
    </row>
    <row r="684" ht="15.75" customHeight="1">
      <c r="A684" s="1" t="s">
        <v>3217</v>
      </c>
      <c r="B684" s="1">
        <v>29.0</v>
      </c>
      <c r="C684" s="1">
        <v>101.0</v>
      </c>
      <c r="D684" s="1">
        <v>960700.0</v>
      </c>
      <c r="E684" s="1">
        <v>43.731</v>
      </c>
      <c r="F684" s="1">
        <v>29101.0</v>
      </c>
      <c r="G684" s="1">
        <v>2.91019607E10</v>
      </c>
      <c r="H684" s="1" t="s">
        <v>112</v>
      </c>
      <c r="I684" s="1" t="s">
        <v>113</v>
      </c>
      <c r="J684" s="1" t="s">
        <v>3188</v>
      </c>
      <c r="K684" s="1" t="s">
        <v>3218</v>
      </c>
      <c r="L684" s="1">
        <v>5908.0</v>
      </c>
      <c r="M684" s="1">
        <v>5116.0</v>
      </c>
      <c r="N684" s="1">
        <v>451.0</v>
      </c>
      <c r="O684" s="1">
        <v>2531.0</v>
      </c>
      <c r="P684" s="1">
        <v>2251.0</v>
      </c>
      <c r="Q684" s="1">
        <v>239.0</v>
      </c>
      <c r="R684" s="1">
        <v>2222.0</v>
      </c>
      <c r="S684" s="1">
        <v>663.0</v>
      </c>
      <c r="T684" s="1">
        <v>296.0</v>
      </c>
      <c r="U684" s="1">
        <v>193.0</v>
      </c>
      <c r="V684" s="1">
        <v>358.0</v>
      </c>
      <c r="W684" s="1">
        <v>18277.0</v>
      </c>
      <c r="X684" s="1">
        <v>1621.0</v>
      </c>
      <c r="Y684" s="1">
        <v>253.0</v>
      </c>
      <c r="Z684" s="1">
        <v>273.0</v>
      </c>
      <c r="AA684" s="1">
        <v>402.0</v>
      </c>
      <c r="AB684" s="1">
        <v>1783.0</v>
      </c>
      <c r="AC684" s="1">
        <v>249.0</v>
      </c>
      <c r="AD684" s="1">
        <v>1209.0</v>
      </c>
      <c r="AE684" s="1">
        <v>17.0</v>
      </c>
      <c r="AF684" s="1">
        <v>442.0</v>
      </c>
      <c r="AG684" s="1">
        <v>47.0</v>
      </c>
      <c r="AH684" s="1">
        <v>127.0</v>
      </c>
      <c r="AI684" s="1">
        <v>353.0</v>
      </c>
      <c r="AJ684" s="1">
        <v>137.0</v>
      </c>
      <c r="AK684" s="1">
        <v>74.0</v>
      </c>
      <c r="AL684" s="1">
        <v>125.0</v>
      </c>
      <c r="AM684" s="1">
        <v>87.0</v>
      </c>
      <c r="AN684" s="1">
        <v>55.0</v>
      </c>
      <c r="AO684" s="1">
        <v>0.0</v>
      </c>
      <c r="AP684" s="1">
        <v>0.12972</v>
      </c>
      <c r="AQ684" s="1">
        <v>0.056771</v>
      </c>
      <c r="AR684" s="1">
        <v>0.103374</v>
      </c>
      <c r="AS684" s="1">
        <v>0.191073</v>
      </c>
      <c r="AT684" s="1">
        <v>18277.0</v>
      </c>
      <c r="AU684" s="1">
        <v>1621.0</v>
      </c>
      <c r="AV684" s="1">
        <v>0.091899</v>
      </c>
      <c r="AW684" s="1">
        <v>0.098481</v>
      </c>
      <c r="AX684" s="1">
        <v>0.068043</v>
      </c>
      <c r="AY684" s="1">
        <v>0.301794</v>
      </c>
      <c r="AZ684" s="1">
        <v>0.1120612</v>
      </c>
      <c r="BA684" s="1">
        <v>0.204637</v>
      </c>
      <c r="BB684" s="1">
        <v>0.003713</v>
      </c>
      <c r="BC684" s="1">
        <v>0.096548</v>
      </c>
      <c r="BD684" s="1">
        <v>0.020879</v>
      </c>
      <c r="BE684" s="1">
        <v>0.056375</v>
      </c>
      <c r="BF684" s="1">
        <v>0.156819</v>
      </c>
      <c r="BG684" s="1">
        <v>0.058539</v>
      </c>
      <c r="BH684" s="1">
        <v>0.037506</v>
      </c>
      <c r="BI684" s="1">
        <v>0.063217</v>
      </c>
      <c r="BJ684" s="1">
        <v>0.044095</v>
      </c>
      <c r="BK684" s="1">
        <v>0.027439</v>
      </c>
      <c r="BL684" s="1">
        <v>0.0</v>
      </c>
      <c r="BM684" s="1">
        <v>0.496</v>
      </c>
      <c r="BN684" s="1">
        <v>0.751</v>
      </c>
      <c r="BO684" s="1">
        <v>0.717</v>
      </c>
      <c r="BP684" s="1">
        <v>0.302</v>
      </c>
      <c r="BQ684" s="1">
        <v>2.266</v>
      </c>
      <c r="BR684" s="1">
        <v>0.5884</v>
      </c>
      <c r="BS684" s="1">
        <v>0.078</v>
      </c>
      <c r="BT684" s="1">
        <v>0.926</v>
      </c>
      <c r="BU684" s="1">
        <v>0.603</v>
      </c>
      <c r="BV684" s="1">
        <v>1.607</v>
      </c>
      <c r="BW684" s="1">
        <v>0.572</v>
      </c>
      <c r="BX684" s="1">
        <v>0.715</v>
      </c>
      <c r="BY684" s="1">
        <v>0.5</v>
      </c>
      <c r="BZ684" s="1">
        <v>1.215</v>
      </c>
      <c r="CA684" s="1">
        <v>0.668</v>
      </c>
      <c r="CB684" s="1">
        <v>0.472</v>
      </c>
      <c r="CC684" s="1">
        <v>0.832</v>
      </c>
      <c r="CD684" s="1">
        <v>0.877</v>
      </c>
      <c r="CE684" s="1">
        <v>0.434</v>
      </c>
      <c r="CF684" s="1">
        <v>0.0</v>
      </c>
      <c r="CG684" s="1">
        <v>2.615</v>
      </c>
      <c r="CH684" s="1">
        <v>0.61</v>
      </c>
      <c r="CI684" s="1">
        <v>7.703</v>
      </c>
      <c r="CJ684" s="1">
        <v>0.6715</v>
      </c>
      <c r="CK684" s="1">
        <v>0.0</v>
      </c>
      <c r="CL684" s="1">
        <v>0.0</v>
      </c>
      <c r="CM684" s="1">
        <v>0.0</v>
      </c>
      <c r="CN684" s="1">
        <v>0.0</v>
      </c>
      <c r="CO684" s="1">
        <v>0.0</v>
      </c>
      <c r="CP684" s="1">
        <v>0.0</v>
      </c>
      <c r="CQ684" s="1">
        <v>1.0</v>
      </c>
      <c r="CR684" s="1">
        <v>0.0</v>
      </c>
      <c r="CS684" s="1">
        <v>1.0</v>
      </c>
      <c r="CT684" s="1">
        <v>0.0</v>
      </c>
      <c r="CU684" s="1">
        <v>0.0</v>
      </c>
      <c r="CV684" s="1">
        <v>0.0</v>
      </c>
      <c r="CW684" s="1">
        <v>0.0</v>
      </c>
      <c r="CX684" s="1">
        <v>0.0</v>
      </c>
      <c r="CY684" s="1">
        <v>0.0</v>
      </c>
      <c r="CZ684" s="1">
        <v>0.0</v>
      </c>
      <c r="DA684" s="1">
        <v>0.0</v>
      </c>
      <c r="DB684" s="1">
        <v>0.0</v>
      </c>
      <c r="DC684" s="1">
        <v>1.0</v>
      </c>
      <c r="DD684" s="1" t="s">
        <v>3219</v>
      </c>
      <c r="DE684" s="2" t="s">
        <v>3220</v>
      </c>
      <c r="DF684" s="2" t="s">
        <v>3221</v>
      </c>
    </row>
    <row r="685" ht="15.75" customHeight="1">
      <c r="A685" s="1" t="s">
        <v>3222</v>
      </c>
      <c r="B685" s="1">
        <v>29.0</v>
      </c>
      <c r="C685" s="1">
        <v>101.0</v>
      </c>
      <c r="D685" s="1">
        <v>960900.0</v>
      </c>
      <c r="E685" s="1">
        <v>272.301</v>
      </c>
      <c r="F685" s="1">
        <v>29101.0</v>
      </c>
      <c r="G685" s="1">
        <v>2.91019609E10</v>
      </c>
      <c r="H685" s="1" t="s">
        <v>112</v>
      </c>
      <c r="I685" s="1" t="s">
        <v>113</v>
      </c>
      <c r="J685" s="1" t="s">
        <v>3188</v>
      </c>
      <c r="K685" s="1" t="s">
        <v>3223</v>
      </c>
      <c r="L685" s="1">
        <v>4939.0</v>
      </c>
      <c r="M685" s="1">
        <v>5152.0</v>
      </c>
      <c r="N685" s="1">
        <v>325.0</v>
      </c>
      <c r="O685" s="1">
        <v>2143.0</v>
      </c>
      <c r="P685" s="1">
        <v>2125.0</v>
      </c>
      <c r="Q685" s="1">
        <v>93.0</v>
      </c>
      <c r="R685" s="1">
        <v>1875.0</v>
      </c>
      <c r="S685" s="1">
        <v>605.0</v>
      </c>
      <c r="T685" s="1">
        <v>156.0</v>
      </c>
      <c r="U685" s="1">
        <v>167.0</v>
      </c>
      <c r="V685" s="1">
        <v>329.0</v>
      </c>
      <c r="W685" s="1">
        <v>21673.0</v>
      </c>
      <c r="X685" s="1">
        <v>1824.0</v>
      </c>
      <c r="Y685" s="1">
        <v>458.0</v>
      </c>
      <c r="Z685" s="1">
        <v>83.0</v>
      </c>
      <c r="AA685" s="1">
        <v>718.0</v>
      </c>
      <c r="AB685" s="1">
        <v>1267.0</v>
      </c>
      <c r="AC685" s="1">
        <v>156.0</v>
      </c>
      <c r="AD685" s="1">
        <v>221.0</v>
      </c>
      <c r="AE685" s="1">
        <v>3.0</v>
      </c>
      <c r="AF685" s="1">
        <v>442.0</v>
      </c>
      <c r="AG685" s="1">
        <v>12.0</v>
      </c>
      <c r="AH685" s="1">
        <v>115.0</v>
      </c>
      <c r="AI685" s="1">
        <v>385.0</v>
      </c>
      <c r="AJ685" s="1">
        <v>86.0</v>
      </c>
      <c r="AK685" s="1">
        <v>46.0</v>
      </c>
      <c r="AL685" s="1">
        <v>26.0</v>
      </c>
      <c r="AM685" s="1">
        <v>55.0</v>
      </c>
      <c r="AN685" s="1">
        <v>25.0</v>
      </c>
      <c r="AO685" s="1">
        <v>0.0</v>
      </c>
      <c r="AP685" s="1">
        <v>0.118325</v>
      </c>
      <c r="AQ685" s="1">
        <v>0.029592</v>
      </c>
      <c r="AR685" s="1">
        <v>0.071184</v>
      </c>
      <c r="AS685" s="1">
        <v>0.140112</v>
      </c>
      <c r="AT685" s="1">
        <v>21673.0</v>
      </c>
      <c r="AU685" s="1">
        <v>1824.0</v>
      </c>
      <c r="AV685" s="1">
        <v>0.131344</v>
      </c>
      <c r="AW685" s="1">
        <v>0.022604</v>
      </c>
      <c r="AX685" s="1">
        <v>0.145373</v>
      </c>
      <c r="AY685" s="1">
        <v>0.256529</v>
      </c>
      <c r="AZ685" s="1">
        <v>0.0832</v>
      </c>
      <c r="BA685" s="1">
        <v>0.044745</v>
      </c>
      <c r="BB685" s="1">
        <v>6.21E-4</v>
      </c>
      <c r="BC685" s="1">
        <v>0.091606</v>
      </c>
      <c r="BD685" s="1">
        <v>0.005647</v>
      </c>
      <c r="BE685" s="1">
        <v>0.054117</v>
      </c>
      <c r="BF685" s="1">
        <v>0.181176</v>
      </c>
      <c r="BG685" s="1">
        <v>0.039686</v>
      </c>
      <c r="BH685" s="1">
        <v>0.023232</v>
      </c>
      <c r="BI685" s="1">
        <v>0.013071</v>
      </c>
      <c r="BJ685" s="1">
        <v>0.027777</v>
      </c>
      <c r="BK685" s="1">
        <v>0.012536</v>
      </c>
      <c r="BL685" s="1">
        <v>0.0</v>
      </c>
      <c r="BM685" s="1">
        <v>0.448</v>
      </c>
      <c r="BN685" s="1">
        <v>0.524</v>
      </c>
      <c r="BO685" s="1">
        <v>0.5112</v>
      </c>
      <c r="BP685" s="1">
        <v>0.474</v>
      </c>
      <c r="BQ685" s="1">
        <v>1.9572</v>
      </c>
      <c r="BR685" s="1">
        <v>0.478</v>
      </c>
      <c r="BS685" s="1">
        <v>0.543</v>
      </c>
      <c r="BT685" s="1">
        <v>0.669</v>
      </c>
      <c r="BU685" s="1">
        <v>0.34</v>
      </c>
      <c r="BV685" s="1">
        <v>1.552</v>
      </c>
      <c r="BW685" s="1">
        <v>0.523</v>
      </c>
      <c r="BX685" s="1">
        <v>0.21</v>
      </c>
      <c r="BY685" s="1">
        <v>0.324</v>
      </c>
      <c r="BZ685" s="1">
        <v>0.534</v>
      </c>
      <c r="CA685" s="1">
        <v>0.231</v>
      </c>
      <c r="CB685" s="1">
        <v>0.328</v>
      </c>
      <c r="CC685" s="1">
        <v>0.869</v>
      </c>
      <c r="CD685" s="1">
        <v>0.73</v>
      </c>
      <c r="CE685" s="1">
        <v>0.265</v>
      </c>
      <c r="CF685" s="1">
        <v>0.0</v>
      </c>
      <c r="CG685" s="1">
        <v>2.192</v>
      </c>
      <c r="CH685" s="1">
        <v>0.416</v>
      </c>
      <c r="CI685" s="1">
        <v>6.2352</v>
      </c>
      <c r="CJ685" s="1">
        <v>0.4159</v>
      </c>
      <c r="CK685" s="1">
        <v>0.0</v>
      </c>
      <c r="CL685" s="1">
        <v>0.0</v>
      </c>
      <c r="CM685" s="1">
        <v>0.0</v>
      </c>
      <c r="CN685" s="1">
        <v>0.0</v>
      </c>
      <c r="CO685" s="1">
        <v>0.0</v>
      </c>
      <c r="CP685" s="1">
        <v>0.0</v>
      </c>
      <c r="CQ685" s="1">
        <v>0.0</v>
      </c>
      <c r="CR685" s="1">
        <v>0.0</v>
      </c>
      <c r="CS685" s="1">
        <v>0.0</v>
      </c>
      <c r="CT685" s="1">
        <v>0.0</v>
      </c>
      <c r="CU685" s="1">
        <v>0.0</v>
      </c>
      <c r="CV685" s="1">
        <v>0.0</v>
      </c>
      <c r="CW685" s="1">
        <v>0.0</v>
      </c>
      <c r="CX685" s="1">
        <v>0.0</v>
      </c>
      <c r="CY685" s="1">
        <v>0.0</v>
      </c>
      <c r="CZ685" s="1">
        <v>0.0</v>
      </c>
      <c r="DA685" s="1">
        <v>0.0</v>
      </c>
      <c r="DB685" s="1">
        <v>0.0</v>
      </c>
      <c r="DC685" s="1">
        <v>0.0</v>
      </c>
      <c r="DD685" s="1" t="s">
        <v>3224</v>
      </c>
      <c r="DE685" s="1">
        <v>0.0732977502685829</v>
      </c>
      <c r="DF685" s="2" t="s">
        <v>3225</v>
      </c>
    </row>
    <row r="686" ht="15.75" customHeight="1">
      <c r="A686" s="1" t="s">
        <v>3226</v>
      </c>
      <c r="B686" s="1">
        <v>29.0</v>
      </c>
      <c r="C686" s="1">
        <v>103.0</v>
      </c>
      <c r="D686" s="1">
        <v>960200.0</v>
      </c>
      <c r="E686" s="1">
        <v>118.544</v>
      </c>
      <c r="F686" s="1">
        <v>29103.0</v>
      </c>
      <c r="G686" s="1">
        <v>2.91039602E10</v>
      </c>
      <c r="H686" s="1" t="s">
        <v>112</v>
      </c>
      <c r="I686" s="1" t="s">
        <v>113</v>
      </c>
      <c r="J686" s="1" t="s">
        <v>3227</v>
      </c>
      <c r="K686" s="1" t="s">
        <v>3228</v>
      </c>
      <c r="L686" s="1">
        <v>2107.0</v>
      </c>
      <c r="M686" s="1">
        <v>2194.0</v>
      </c>
      <c r="N686" s="1">
        <v>230.0</v>
      </c>
      <c r="O686" s="1">
        <v>1224.0</v>
      </c>
      <c r="P686" s="1">
        <v>1274.0</v>
      </c>
      <c r="Q686" s="1">
        <v>68.0</v>
      </c>
      <c r="R686" s="1">
        <v>920.0</v>
      </c>
      <c r="S686" s="1">
        <v>450.0</v>
      </c>
      <c r="T686" s="1">
        <v>131.0</v>
      </c>
      <c r="U686" s="1">
        <v>55.0</v>
      </c>
      <c r="V686" s="1">
        <v>396.0</v>
      </c>
      <c r="W686" s="1">
        <v>19993.0</v>
      </c>
      <c r="X686" s="1">
        <v>3610.0</v>
      </c>
      <c r="Y686" s="1">
        <v>128.0</v>
      </c>
      <c r="Z686" s="1">
        <v>282.0</v>
      </c>
      <c r="AA686" s="1">
        <v>440.0</v>
      </c>
      <c r="AB686" s="1">
        <v>504.0</v>
      </c>
      <c r="AC686" s="1">
        <v>85.0</v>
      </c>
      <c r="AD686" s="1">
        <v>41.0</v>
      </c>
      <c r="AE686" s="1">
        <v>8.0</v>
      </c>
      <c r="AF686" s="1">
        <v>427.0</v>
      </c>
      <c r="AG686" s="1">
        <v>2.0</v>
      </c>
      <c r="AH686" s="1">
        <v>161.0</v>
      </c>
      <c r="AI686" s="1">
        <v>138.0</v>
      </c>
      <c r="AJ686" s="1">
        <v>49.0</v>
      </c>
      <c r="AK686" s="1">
        <v>14.0</v>
      </c>
      <c r="AL686" s="1">
        <v>115.0</v>
      </c>
      <c r="AM686" s="1">
        <v>49.0</v>
      </c>
      <c r="AN686" s="1">
        <v>23.0</v>
      </c>
      <c r="AO686" s="1">
        <v>32.0</v>
      </c>
      <c r="AP686" s="1">
        <v>0.205104</v>
      </c>
      <c r="AQ686" s="1">
        <v>0.055702</v>
      </c>
      <c r="AR686" s="1">
        <v>0.052182</v>
      </c>
      <c r="AS686" s="1">
        <v>0.375661</v>
      </c>
      <c r="AT686" s="1">
        <v>19993.0</v>
      </c>
      <c r="AU686" s="1">
        <v>3610.0</v>
      </c>
      <c r="AV686" s="1">
        <v>0.089012</v>
      </c>
      <c r="AW686" s="1">
        <v>0.195876</v>
      </c>
      <c r="AX686" s="1">
        <v>0.208827</v>
      </c>
      <c r="AY686" s="1">
        <v>0.239202</v>
      </c>
      <c r="AZ686" s="1">
        <v>0.0923913</v>
      </c>
      <c r="BA686" s="1">
        <v>0.019458</v>
      </c>
      <c r="BB686" s="1">
        <v>0.003833</v>
      </c>
      <c r="BC686" s="1">
        <v>0.204599</v>
      </c>
      <c r="BD686" s="1">
        <v>0.001569</v>
      </c>
      <c r="BE686" s="1">
        <v>0.126373</v>
      </c>
      <c r="BF686" s="1">
        <v>0.10832</v>
      </c>
      <c r="BG686" s="1">
        <v>0.038024</v>
      </c>
      <c r="BH686" s="1">
        <v>0.014271</v>
      </c>
      <c r="BI686" s="1">
        <v>0.11722</v>
      </c>
      <c r="BJ686" s="1">
        <v>0.049949</v>
      </c>
      <c r="BK686" s="1">
        <v>0.022993</v>
      </c>
      <c r="BL686" s="1">
        <v>0.015187</v>
      </c>
      <c r="BM686" s="1">
        <v>0.743</v>
      </c>
      <c r="BN686" s="1">
        <v>0.319</v>
      </c>
      <c r="BO686" s="1">
        <v>0.6144</v>
      </c>
      <c r="BP686" s="1">
        <v>0.289</v>
      </c>
      <c r="BQ686" s="1">
        <v>1.9654</v>
      </c>
      <c r="BR686" s="1">
        <v>0.4823</v>
      </c>
      <c r="BS686" s="1">
        <v>0.905</v>
      </c>
      <c r="BT686" s="1">
        <v>0.488</v>
      </c>
      <c r="BU686" s="1">
        <v>0.423</v>
      </c>
      <c r="BV686" s="1">
        <v>1.816</v>
      </c>
      <c r="BW686" s="1">
        <v>0.732</v>
      </c>
      <c r="BX686" s="1">
        <v>0.015</v>
      </c>
      <c r="BY686" s="1">
        <v>0.503</v>
      </c>
      <c r="BZ686" s="1">
        <v>0.518</v>
      </c>
      <c r="CA686" s="1">
        <v>0.217</v>
      </c>
      <c r="CB686" s="1">
        <v>0.264</v>
      </c>
      <c r="CC686" s="1">
        <v>0.735</v>
      </c>
      <c r="CD686" s="1">
        <v>0.576</v>
      </c>
      <c r="CE686" s="1">
        <v>0.485</v>
      </c>
      <c r="CF686" s="1">
        <v>0.648</v>
      </c>
      <c r="CG686" s="1">
        <v>2.708</v>
      </c>
      <c r="CH686" s="1">
        <v>0.647</v>
      </c>
      <c r="CI686" s="1">
        <v>7.0074</v>
      </c>
      <c r="CJ686" s="1">
        <v>0.5473</v>
      </c>
      <c r="CK686" s="1">
        <v>0.0</v>
      </c>
      <c r="CL686" s="1">
        <v>0.0</v>
      </c>
      <c r="CM686" s="1">
        <v>0.0</v>
      </c>
      <c r="CN686" s="1">
        <v>0.0</v>
      </c>
      <c r="CO686" s="1">
        <v>0.0</v>
      </c>
      <c r="CP686" s="1">
        <v>1.0</v>
      </c>
      <c r="CQ686" s="1">
        <v>0.0</v>
      </c>
      <c r="CR686" s="1">
        <v>0.0</v>
      </c>
      <c r="CS686" s="1">
        <v>1.0</v>
      </c>
      <c r="CT686" s="1">
        <v>0.0</v>
      </c>
      <c r="CU686" s="1">
        <v>0.0</v>
      </c>
      <c r="CV686" s="1">
        <v>0.0</v>
      </c>
      <c r="CW686" s="1">
        <v>0.0</v>
      </c>
      <c r="CX686" s="1">
        <v>0.0</v>
      </c>
      <c r="CY686" s="1">
        <v>0.0</v>
      </c>
      <c r="CZ686" s="1">
        <v>0.0</v>
      </c>
      <c r="DA686" s="1">
        <v>0.0</v>
      </c>
      <c r="DB686" s="1">
        <v>0.0</v>
      </c>
      <c r="DC686" s="1">
        <v>1.0</v>
      </c>
      <c r="DD686" s="1" t="s">
        <v>3229</v>
      </c>
      <c r="DE686" s="2" t="s">
        <v>3230</v>
      </c>
      <c r="DF686" s="2" t="s">
        <v>3231</v>
      </c>
    </row>
    <row r="687" ht="15.75" customHeight="1">
      <c r="A687" s="1" t="s">
        <v>3232</v>
      </c>
      <c r="B687" s="1">
        <v>29.0</v>
      </c>
      <c r="C687" s="1">
        <v>103.0</v>
      </c>
      <c r="D687" s="1">
        <v>960100.0</v>
      </c>
      <c r="E687" s="1">
        <v>385.466</v>
      </c>
      <c r="F687" s="1">
        <v>29103.0</v>
      </c>
      <c r="G687" s="1">
        <v>2.91039601E10</v>
      </c>
      <c r="H687" s="1" t="s">
        <v>112</v>
      </c>
      <c r="I687" s="1" t="s">
        <v>113</v>
      </c>
      <c r="J687" s="1" t="s">
        <v>3227</v>
      </c>
      <c r="K687" s="1" t="s">
        <v>3233</v>
      </c>
      <c r="L687" s="1">
        <v>2024.0</v>
      </c>
      <c r="M687" s="1">
        <v>1940.0</v>
      </c>
      <c r="N687" s="1">
        <v>230.0</v>
      </c>
      <c r="O687" s="1">
        <v>1065.0</v>
      </c>
      <c r="P687" s="1">
        <v>1035.0</v>
      </c>
      <c r="Q687" s="1">
        <v>48.0</v>
      </c>
      <c r="R687" s="1">
        <v>788.0</v>
      </c>
      <c r="S687" s="1">
        <v>366.0</v>
      </c>
      <c r="T687" s="1">
        <v>152.0</v>
      </c>
      <c r="U687" s="1">
        <v>30.0</v>
      </c>
      <c r="V687" s="1">
        <v>442.0</v>
      </c>
      <c r="W687" s="1">
        <v>16772.0</v>
      </c>
      <c r="X687" s="1">
        <v>2847.0</v>
      </c>
      <c r="Y687" s="1">
        <v>258.0</v>
      </c>
      <c r="Z687" s="1">
        <v>214.0</v>
      </c>
      <c r="AA687" s="1">
        <v>388.0</v>
      </c>
      <c r="AB687" s="1">
        <v>528.0</v>
      </c>
      <c r="AC687" s="1">
        <v>48.0</v>
      </c>
      <c r="AD687" s="1">
        <v>63.0</v>
      </c>
      <c r="AE687" s="1">
        <v>2.0</v>
      </c>
      <c r="AF687" s="1">
        <v>442.0</v>
      </c>
      <c r="AG687" s="1">
        <v>1.0</v>
      </c>
      <c r="AH687" s="1">
        <v>161.0</v>
      </c>
      <c r="AI687" s="1">
        <v>103.0</v>
      </c>
      <c r="AJ687" s="1">
        <v>52.0</v>
      </c>
      <c r="AK687" s="1">
        <v>50.0</v>
      </c>
      <c r="AL687" s="1">
        <v>124.0</v>
      </c>
      <c r="AM687" s="1">
        <v>32.0</v>
      </c>
      <c r="AN687" s="1">
        <v>31.0</v>
      </c>
      <c r="AO687" s="1">
        <v>55.0</v>
      </c>
      <c r="AP687" s="1">
        <v>0.204469</v>
      </c>
      <c r="AQ687" s="1">
        <v>0.081688</v>
      </c>
      <c r="AR687" s="1">
        <v>0.035885</v>
      </c>
      <c r="AS687" s="1">
        <v>0.528684</v>
      </c>
      <c r="AT687" s="1">
        <v>16772.0</v>
      </c>
      <c r="AU687" s="1">
        <v>2847.0</v>
      </c>
      <c r="AV687" s="1">
        <v>0.186416</v>
      </c>
      <c r="AW687" s="1">
        <v>0.153133</v>
      </c>
      <c r="AX687" s="1">
        <v>0.191699</v>
      </c>
      <c r="AY687" s="1">
        <v>0.260869</v>
      </c>
      <c r="AZ687" s="1">
        <v>0.0609137</v>
      </c>
      <c r="BA687" s="1">
        <v>0.031126</v>
      </c>
      <c r="BB687" s="1">
        <v>0.001111</v>
      </c>
      <c r="BC687" s="1">
        <v>0.245555</v>
      </c>
      <c r="BD687" s="1">
        <v>9.66E-4</v>
      </c>
      <c r="BE687" s="1">
        <v>0.155555</v>
      </c>
      <c r="BF687" s="1">
        <v>0.099516</v>
      </c>
      <c r="BG687" s="1">
        <v>0.050029</v>
      </c>
      <c r="BH687" s="1">
        <v>0.065359</v>
      </c>
      <c r="BI687" s="1">
        <v>0.161936</v>
      </c>
      <c r="BJ687" s="1">
        <v>0.04183</v>
      </c>
      <c r="BK687" s="1">
        <v>0.040267</v>
      </c>
      <c r="BL687" s="1">
        <v>0.027173</v>
      </c>
      <c r="BM687" s="1">
        <v>0.741</v>
      </c>
      <c r="BN687" s="1">
        <v>0.143</v>
      </c>
      <c r="BO687" s="1">
        <v>0.7993</v>
      </c>
      <c r="BP687" s="1">
        <v>0.711</v>
      </c>
      <c r="BQ687" s="1">
        <v>2.3943</v>
      </c>
      <c r="BR687" s="1">
        <v>0.6289</v>
      </c>
      <c r="BS687" s="1">
        <v>0.848</v>
      </c>
      <c r="BT687" s="1">
        <v>0.707</v>
      </c>
      <c r="BU687" s="1">
        <v>0.138</v>
      </c>
      <c r="BV687" s="1">
        <v>1.693</v>
      </c>
      <c r="BW687" s="1">
        <v>0.637</v>
      </c>
      <c r="BX687" s="1">
        <v>0.089</v>
      </c>
      <c r="BY687" s="1">
        <v>0.338</v>
      </c>
      <c r="BZ687" s="1">
        <v>0.427</v>
      </c>
      <c r="CA687" s="1">
        <v>0.177</v>
      </c>
      <c r="CB687" s="1">
        <v>0.254</v>
      </c>
      <c r="CC687" s="1">
        <v>0.715</v>
      </c>
      <c r="CD687" s="1">
        <v>0.971</v>
      </c>
      <c r="CE687" s="1">
        <v>0.409</v>
      </c>
      <c r="CF687" s="1">
        <v>0.788</v>
      </c>
      <c r="CG687" s="1">
        <v>3.137</v>
      </c>
      <c r="CH687" s="1">
        <v>0.826</v>
      </c>
      <c r="CI687" s="1">
        <v>7.6513</v>
      </c>
      <c r="CJ687" s="1">
        <v>0.6578</v>
      </c>
      <c r="CK687" s="1">
        <v>0.0</v>
      </c>
      <c r="CL687" s="1">
        <v>0.0</v>
      </c>
      <c r="CM687" s="1">
        <v>0.0</v>
      </c>
      <c r="CN687" s="1">
        <v>0.0</v>
      </c>
      <c r="CO687" s="1">
        <v>0.0</v>
      </c>
      <c r="CP687" s="1">
        <v>0.0</v>
      </c>
      <c r="CQ687" s="1">
        <v>0.0</v>
      </c>
      <c r="CR687" s="1">
        <v>0.0</v>
      </c>
      <c r="CS687" s="1">
        <v>0.0</v>
      </c>
      <c r="CT687" s="1">
        <v>0.0</v>
      </c>
      <c r="CU687" s="1">
        <v>0.0</v>
      </c>
      <c r="CV687" s="1">
        <v>0.0</v>
      </c>
      <c r="CW687" s="1">
        <v>0.0</v>
      </c>
      <c r="CX687" s="1">
        <v>0.0</v>
      </c>
      <c r="CY687" s="1">
        <v>1.0</v>
      </c>
      <c r="CZ687" s="1">
        <v>0.0</v>
      </c>
      <c r="DA687" s="1">
        <v>0.0</v>
      </c>
      <c r="DB687" s="1">
        <v>1.0</v>
      </c>
      <c r="DC687" s="1">
        <v>1.0</v>
      </c>
      <c r="DD687" s="1" t="s">
        <v>3234</v>
      </c>
      <c r="DE687" s="2" t="s">
        <v>3235</v>
      </c>
      <c r="DF687" s="2" t="s">
        <v>3236</v>
      </c>
    </row>
    <row r="688" ht="15.75" customHeight="1">
      <c r="A688" s="1" t="s">
        <v>3237</v>
      </c>
      <c r="B688" s="1">
        <v>29.0</v>
      </c>
      <c r="C688" s="1">
        <v>105.0</v>
      </c>
      <c r="D688" s="1">
        <v>960400.0</v>
      </c>
      <c r="E688" s="1">
        <v>3.595</v>
      </c>
      <c r="F688" s="1">
        <v>29105.0</v>
      </c>
      <c r="G688" s="1">
        <v>2.91059604E10</v>
      </c>
      <c r="H688" s="1" t="s">
        <v>112</v>
      </c>
      <c r="I688" s="1" t="s">
        <v>113</v>
      </c>
      <c r="J688" s="1" t="s">
        <v>3238</v>
      </c>
      <c r="K688" s="1" t="s">
        <v>3239</v>
      </c>
      <c r="L688" s="1">
        <v>3853.0</v>
      </c>
      <c r="M688" s="1">
        <v>4269.0</v>
      </c>
      <c r="N688" s="1">
        <v>330.0</v>
      </c>
      <c r="O688" s="1">
        <v>1892.0</v>
      </c>
      <c r="P688" s="1">
        <v>1787.0</v>
      </c>
      <c r="Q688" s="1">
        <v>119.0</v>
      </c>
      <c r="R688" s="1">
        <v>1681.0</v>
      </c>
      <c r="S688" s="1">
        <v>906.0</v>
      </c>
      <c r="T688" s="1">
        <v>311.0</v>
      </c>
      <c r="U688" s="1">
        <v>176.0</v>
      </c>
      <c r="V688" s="1">
        <v>368.0</v>
      </c>
      <c r="W688" s="1">
        <v>17427.0</v>
      </c>
      <c r="X688" s="1">
        <v>2053.0</v>
      </c>
      <c r="Y688" s="1">
        <v>641.0</v>
      </c>
      <c r="Z688" s="1">
        <v>227.0</v>
      </c>
      <c r="AA688" s="1">
        <v>656.0</v>
      </c>
      <c r="AB688" s="1">
        <v>913.0</v>
      </c>
      <c r="AC688" s="1">
        <v>213.0</v>
      </c>
      <c r="AD688" s="1">
        <v>263.0</v>
      </c>
      <c r="AE688" s="1">
        <v>0.0</v>
      </c>
      <c r="AF688" s="1">
        <v>456.0</v>
      </c>
      <c r="AG688" s="1">
        <v>179.0</v>
      </c>
      <c r="AH688" s="1">
        <v>78.0</v>
      </c>
      <c r="AI688" s="1">
        <v>26.0</v>
      </c>
      <c r="AJ688" s="1">
        <v>43.0</v>
      </c>
      <c r="AK688" s="1">
        <v>63.0</v>
      </c>
      <c r="AL688" s="1">
        <v>126.0</v>
      </c>
      <c r="AM688" s="1">
        <v>162.0</v>
      </c>
      <c r="AN688" s="1">
        <v>68.0</v>
      </c>
      <c r="AO688" s="1">
        <v>105.0</v>
      </c>
      <c r="AP688" s="1">
        <v>0.22633</v>
      </c>
      <c r="AQ688" s="1">
        <v>0.075609</v>
      </c>
      <c r="AR688" s="1">
        <v>0.102803</v>
      </c>
      <c r="AS688" s="1">
        <v>0.214497</v>
      </c>
      <c r="AT688" s="1">
        <v>17427.0</v>
      </c>
      <c r="AU688" s="1">
        <v>2053.0</v>
      </c>
      <c r="AV688" s="1">
        <v>0.240525</v>
      </c>
      <c r="AW688" s="1">
        <v>0.083104</v>
      </c>
      <c r="AX688" s="1">
        <v>0.170256</v>
      </c>
      <c r="AY688" s="1">
        <v>0.236958</v>
      </c>
      <c r="AZ688" s="1">
        <v>0.12671029</v>
      </c>
      <c r="BA688" s="1">
        <v>0.068258</v>
      </c>
      <c r="BB688" s="1">
        <v>0.0</v>
      </c>
      <c r="BC688" s="1">
        <v>0.118349</v>
      </c>
      <c r="BD688" s="1">
        <v>0.100167</v>
      </c>
      <c r="BE688" s="1">
        <v>0.043135</v>
      </c>
      <c r="BF688" s="1">
        <v>0.014549</v>
      </c>
      <c r="BG688" s="1">
        <v>0.024043</v>
      </c>
      <c r="BH688" s="1">
        <v>0.039572</v>
      </c>
      <c r="BI688" s="1">
        <v>0.079083</v>
      </c>
      <c r="BJ688" s="1">
        <v>0.101758</v>
      </c>
      <c r="BK688" s="1">
        <v>0.041947</v>
      </c>
      <c r="BL688" s="1">
        <v>0.027251</v>
      </c>
      <c r="BM688" s="1">
        <v>0.784</v>
      </c>
      <c r="BN688" s="1">
        <v>0.748</v>
      </c>
      <c r="BO688" s="1">
        <v>0.7596</v>
      </c>
      <c r="BP688" s="1">
        <v>0.847</v>
      </c>
      <c r="BQ688" s="1">
        <v>3.1386</v>
      </c>
      <c r="BR688" s="1">
        <v>0.8368</v>
      </c>
      <c r="BS688" s="1">
        <v>0.738</v>
      </c>
      <c r="BT688" s="1">
        <v>0.463</v>
      </c>
      <c r="BU688" s="1">
        <v>0.702</v>
      </c>
      <c r="BV688" s="1">
        <v>1.903</v>
      </c>
      <c r="BW688" s="1">
        <v>0.803</v>
      </c>
      <c r="BX688" s="1">
        <v>0.355</v>
      </c>
      <c r="BY688" s="1">
        <v>0.0</v>
      </c>
      <c r="BZ688" s="1">
        <v>0.355</v>
      </c>
      <c r="CA688" s="1">
        <v>0.148</v>
      </c>
      <c r="CB688" s="1">
        <v>0.774</v>
      </c>
      <c r="CC688" s="1">
        <v>0.487</v>
      </c>
      <c r="CD688" s="1">
        <v>0.892</v>
      </c>
      <c r="CE688" s="1">
        <v>0.76</v>
      </c>
      <c r="CF688" s="1">
        <v>0.79</v>
      </c>
      <c r="CG688" s="1">
        <v>3.703</v>
      </c>
      <c r="CH688" s="1">
        <v>0.977</v>
      </c>
      <c r="CI688" s="1">
        <v>9.0996</v>
      </c>
      <c r="CJ688" s="1">
        <v>0.8643</v>
      </c>
      <c r="CK688" s="1">
        <v>0.0</v>
      </c>
      <c r="CL688" s="1">
        <v>0.0</v>
      </c>
      <c r="CM688" s="1">
        <v>0.0</v>
      </c>
      <c r="CN688" s="1">
        <v>0.0</v>
      </c>
      <c r="CO688" s="1">
        <v>0.0</v>
      </c>
      <c r="CP688" s="1">
        <v>0.0</v>
      </c>
      <c r="CQ688" s="1">
        <v>0.0</v>
      </c>
      <c r="CR688" s="1">
        <v>0.0</v>
      </c>
      <c r="CS688" s="1">
        <v>0.0</v>
      </c>
      <c r="CT688" s="1">
        <v>0.0</v>
      </c>
      <c r="CU688" s="1">
        <v>0.0</v>
      </c>
      <c r="CV688" s="1">
        <v>0.0</v>
      </c>
      <c r="CW688" s="1">
        <v>0.0</v>
      </c>
      <c r="CX688" s="1">
        <v>0.0</v>
      </c>
      <c r="CY688" s="1">
        <v>0.0</v>
      </c>
      <c r="CZ688" s="1">
        <v>0.0</v>
      </c>
      <c r="DA688" s="1">
        <v>0.0</v>
      </c>
      <c r="DB688" s="1">
        <v>0.0</v>
      </c>
      <c r="DC688" s="1">
        <v>0.0</v>
      </c>
      <c r="DD688" s="1" t="s">
        <v>3240</v>
      </c>
      <c r="DE688" s="1">
        <v>9.55372399004229E-4</v>
      </c>
      <c r="DF688" s="2" t="s">
        <v>3241</v>
      </c>
    </row>
    <row r="689" ht="15.75" customHeight="1">
      <c r="A689" s="1" t="s">
        <v>3242</v>
      </c>
      <c r="B689" s="1">
        <v>29.0</v>
      </c>
      <c r="C689" s="1">
        <v>105.0</v>
      </c>
      <c r="D689" s="1">
        <v>960500.0</v>
      </c>
      <c r="E689" s="1">
        <v>7.484</v>
      </c>
      <c r="F689" s="1">
        <v>29105.0</v>
      </c>
      <c r="G689" s="1">
        <v>2.91059605E10</v>
      </c>
      <c r="H689" s="1" t="s">
        <v>112</v>
      </c>
      <c r="I689" s="1" t="s">
        <v>113</v>
      </c>
      <c r="J689" s="1" t="s">
        <v>3238</v>
      </c>
      <c r="K689" s="1" t="s">
        <v>3243</v>
      </c>
      <c r="L689" s="1">
        <v>5394.0</v>
      </c>
      <c r="M689" s="1">
        <v>5131.0</v>
      </c>
      <c r="N689" s="1">
        <v>389.0</v>
      </c>
      <c r="O689" s="1">
        <v>2533.0</v>
      </c>
      <c r="P689" s="1">
        <v>2480.0</v>
      </c>
      <c r="Q689" s="1">
        <v>144.0</v>
      </c>
      <c r="R689" s="1">
        <v>2294.0</v>
      </c>
      <c r="S689" s="1">
        <v>920.0</v>
      </c>
      <c r="T689" s="1">
        <v>339.0</v>
      </c>
      <c r="U689" s="1">
        <v>169.0</v>
      </c>
      <c r="V689" s="1">
        <v>409.0</v>
      </c>
      <c r="W689" s="1">
        <v>18209.0</v>
      </c>
      <c r="X689" s="1">
        <v>2050.0</v>
      </c>
      <c r="Y689" s="1">
        <v>783.0</v>
      </c>
      <c r="Z689" s="1">
        <v>239.0</v>
      </c>
      <c r="AA689" s="1">
        <v>995.0</v>
      </c>
      <c r="AB689" s="1">
        <v>1307.0</v>
      </c>
      <c r="AC689" s="1">
        <v>284.0</v>
      </c>
      <c r="AD689" s="1">
        <v>341.0</v>
      </c>
      <c r="AE689" s="1">
        <v>0.0</v>
      </c>
      <c r="AF689" s="1">
        <v>456.0</v>
      </c>
      <c r="AG689" s="1">
        <v>57.0</v>
      </c>
      <c r="AH689" s="1">
        <v>126.0</v>
      </c>
      <c r="AI689" s="1">
        <v>74.0</v>
      </c>
      <c r="AJ689" s="1">
        <v>48.0</v>
      </c>
      <c r="AK689" s="1">
        <v>9.0</v>
      </c>
      <c r="AL689" s="1">
        <v>115.0</v>
      </c>
      <c r="AM689" s="1">
        <v>239.0</v>
      </c>
      <c r="AN689" s="1">
        <v>122.0</v>
      </c>
      <c r="AO689" s="1">
        <v>76.0</v>
      </c>
      <c r="AP689" s="1">
        <v>0.18128</v>
      </c>
      <c r="AQ689" s="1">
        <v>0.065404</v>
      </c>
      <c r="AR689" s="1">
        <v>0.078861</v>
      </c>
      <c r="AS689" s="1">
        <v>0.190503</v>
      </c>
      <c r="AT689" s="1">
        <v>18209.0</v>
      </c>
      <c r="AU689" s="1">
        <v>2050.0</v>
      </c>
      <c r="AV689" s="1">
        <v>0.213934</v>
      </c>
      <c r="AW689" s="1">
        <v>0.063451</v>
      </c>
      <c r="AX689" s="1">
        <v>0.184464</v>
      </c>
      <c r="AY689" s="1">
        <v>0.242306</v>
      </c>
      <c r="AZ689" s="1">
        <v>0.12380122</v>
      </c>
      <c r="BA689" s="1">
        <v>0.063218</v>
      </c>
      <c r="BB689" s="1">
        <v>0.0</v>
      </c>
      <c r="BC689" s="1">
        <v>0.093885</v>
      </c>
      <c r="BD689" s="1">
        <v>0.022983</v>
      </c>
      <c r="BE689" s="1">
        <v>0.050788</v>
      </c>
      <c r="BF689" s="1">
        <v>0.029838</v>
      </c>
      <c r="BG689" s="1">
        <v>0.019277</v>
      </c>
      <c r="BH689" s="1">
        <v>0.003719</v>
      </c>
      <c r="BI689" s="1">
        <v>0.04752</v>
      </c>
      <c r="BJ689" s="1">
        <v>0.09876</v>
      </c>
      <c r="BK689" s="1">
        <v>0.050055</v>
      </c>
      <c r="BL689" s="1">
        <v>0.014089</v>
      </c>
      <c r="BM689" s="1">
        <v>0.679</v>
      </c>
      <c r="BN689" s="1">
        <v>0.601</v>
      </c>
      <c r="BO689" s="1">
        <v>0.7199</v>
      </c>
      <c r="BP689" s="1">
        <v>0.789</v>
      </c>
      <c r="BQ689" s="1">
        <v>2.7889</v>
      </c>
      <c r="BR689" s="1">
        <v>0.7466</v>
      </c>
      <c r="BS689" s="1">
        <v>0.815</v>
      </c>
      <c r="BT689" s="1">
        <v>0.517</v>
      </c>
      <c r="BU689" s="1">
        <v>0.691</v>
      </c>
      <c r="BV689" s="1">
        <v>2.023</v>
      </c>
      <c r="BW689" s="1">
        <v>0.871</v>
      </c>
      <c r="BX689" s="1">
        <v>0.33</v>
      </c>
      <c r="BY689" s="1">
        <v>0.0</v>
      </c>
      <c r="BZ689" s="1">
        <v>0.33</v>
      </c>
      <c r="CA689" s="1">
        <v>0.142</v>
      </c>
      <c r="CB689" s="1">
        <v>0.5</v>
      </c>
      <c r="CC689" s="1">
        <v>0.548</v>
      </c>
      <c r="CD689" s="1">
        <v>0.305</v>
      </c>
      <c r="CE689" s="1">
        <v>0.75</v>
      </c>
      <c r="CF689" s="1">
        <v>0.636</v>
      </c>
      <c r="CG689" s="1">
        <v>2.739</v>
      </c>
      <c r="CH689" s="1">
        <v>0.661</v>
      </c>
      <c r="CI689" s="1">
        <v>7.8809</v>
      </c>
      <c r="CJ689" s="1">
        <v>0.6931</v>
      </c>
      <c r="CK689" s="1">
        <v>0.0</v>
      </c>
      <c r="CL689" s="1">
        <v>0.0</v>
      </c>
      <c r="CM689" s="1">
        <v>0.0</v>
      </c>
      <c r="CN689" s="1">
        <v>0.0</v>
      </c>
      <c r="CO689" s="1">
        <v>0.0</v>
      </c>
      <c r="CP689" s="1">
        <v>0.0</v>
      </c>
      <c r="CQ689" s="1">
        <v>0.0</v>
      </c>
      <c r="CR689" s="1">
        <v>0.0</v>
      </c>
      <c r="CS689" s="1">
        <v>0.0</v>
      </c>
      <c r="CT689" s="1">
        <v>0.0</v>
      </c>
      <c r="CU689" s="1">
        <v>0.0</v>
      </c>
      <c r="CV689" s="1">
        <v>0.0</v>
      </c>
      <c r="CW689" s="1">
        <v>0.0</v>
      </c>
      <c r="CX689" s="1">
        <v>0.0</v>
      </c>
      <c r="CY689" s="1">
        <v>0.0</v>
      </c>
      <c r="CZ689" s="1">
        <v>0.0</v>
      </c>
      <c r="DA689" s="1">
        <v>0.0</v>
      </c>
      <c r="DB689" s="1">
        <v>0.0</v>
      </c>
      <c r="DC689" s="1">
        <v>0.0</v>
      </c>
      <c r="DD689" s="1" t="s">
        <v>3244</v>
      </c>
      <c r="DE689" s="1">
        <v>0.0019865215806719</v>
      </c>
      <c r="DF689" s="2" t="s">
        <v>3245</v>
      </c>
    </row>
    <row r="690" ht="15.75" customHeight="1">
      <c r="A690" s="1" t="s">
        <v>3246</v>
      </c>
      <c r="B690" s="1">
        <v>29.0</v>
      </c>
      <c r="C690" s="1">
        <v>105.0</v>
      </c>
      <c r="D690" s="1">
        <v>960600.0</v>
      </c>
      <c r="E690" s="1">
        <v>6.056</v>
      </c>
      <c r="F690" s="1">
        <v>29105.0</v>
      </c>
      <c r="G690" s="1">
        <v>2.91059606E10</v>
      </c>
      <c r="H690" s="1" t="s">
        <v>112</v>
      </c>
      <c r="I690" s="1" t="s">
        <v>113</v>
      </c>
      <c r="J690" s="1" t="s">
        <v>3238</v>
      </c>
      <c r="K690" s="1" t="s">
        <v>3247</v>
      </c>
      <c r="L690" s="1">
        <v>4761.0</v>
      </c>
      <c r="M690" s="1">
        <v>4244.0</v>
      </c>
      <c r="N690" s="1">
        <v>395.0</v>
      </c>
      <c r="O690" s="1">
        <v>2155.0</v>
      </c>
      <c r="P690" s="1">
        <v>1992.0</v>
      </c>
      <c r="Q690" s="1">
        <v>136.0</v>
      </c>
      <c r="R690" s="1">
        <v>1858.0</v>
      </c>
      <c r="S690" s="1">
        <v>1012.0</v>
      </c>
      <c r="T690" s="1">
        <v>370.0</v>
      </c>
      <c r="U690" s="1">
        <v>190.0</v>
      </c>
      <c r="V690" s="1">
        <v>439.0</v>
      </c>
      <c r="W690" s="1">
        <v>15589.0</v>
      </c>
      <c r="X690" s="1">
        <v>1776.0</v>
      </c>
      <c r="Y690" s="1">
        <v>629.0</v>
      </c>
      <c r="Z690" s="1">
        <v>309.0</v>
      </c>
      <c r="AA690" s="1">
        <v>468.0</v>
      </c>
      <c r="AB690" s="1">
        <v>1438.0</v>
      </c>
      <c r="AC690" s="1">
        <v>321.0</v>
      </c>
      <c r="AD690" s="1">
        <v>415.0</v>
      </c>
      <c r="AE690" s="1">
        <v>0.0</v>
      </c>
      <c r="AF690" s="1">
        <v>456.0</v>
      </c>
      <c r="AG690" s="1">
        <v>199.0</v>
      </c>
      <c r="AH690" s="1">
        <v>93.0</v>
      </c>
      <c r="AI690" s="1">
        <v>134.0</v>
      </c>
      <c r="AJ690" s="1">
        <v>95.0</v>
      </c>
      <c r="AK690" s="1">
        <v>28.0</v>
      </c>
      <c r="AL690" s="1">
        <v>119.0</v>
      </c>
      <c r="AM690" s="1">
        <v>203.0</v>
      </c>
      <c r="AN690" s="1">
        <v>77.0</v>
      </c>
      <c r="AO690" s="1">
        <v>9.0</v>
      </c>
      <c r="AP690" s="1">
        <v>0.239073</v>
      </c>
      <c r="AQ690" s="1">
        <v>0.084513</v>
      </c>
      <c r="AR690" s="1">
        <v>0.090433</v>
      </c>
      <c r="AS690" s="1">
        <v>0.208622</v>
      </c>
      <c r="AT690" s="1">
        <v>15589.0</v>
      </c>
      <c r="AU690" s="1">
        <v>1776.0</v>
      </c>
      <c r="AV690" s="1">
        <v>0.236555</v>
      </c>
      <c r="AW690" s="1">
        <v>0.114313</v>
      </c>
      <c r="AX690" s="1">
        <v>0.098298</v>
      </c>
      <c r="AY690" s="1">
        <v>0.302037</v>
      </c>
      <c r="AZ690" s="1">
        <v>0.17276641</v>
      </c>
      <c r="BA690" s="1">
        <v>0.087166</v>
      </c>
      <c r="BB690" s="1">
        <v>0.0</v>
      </c>
      <c r="BC690" s="1">
        <v>0.118688</v>
      </c>
      <c r="BD690" s="1">
        <v>0.099899</v>
      </c>
      <c r="BE690" s="1">
        <v>0.046185</v>
      </c>
      <c r="BF690" s="1">
        <v>0.067269</v>
      </c>
      <c r="BG690" s="1">
        <v>0.047469</v>
      </c>
      <c r="BH690" s="1">
        <v>0.015102</v>
      </c>
      <c r="BI690" s="1">
        <v>0.064174</v>
      </c>
      <c r="BJ690" s="1">
        <v>0.109492</v>
      </c>
      <c r="BK690" s="1">
        <v>0.040626</v>
      </c>
      <c r="BL690" s="1">
        <v>0.00189</v>
      </c>
      <c r="BM690" s="1">
        <v>0.806</v>
      </c>
      <c r="BN690" s="1">
        <v>0.684</v>
      </c>
      <c r="BO690" s="1">
        <v>0.8549</v>
      </c>
      <c r="BP690" s="1">
        <v>0.838</v>
      </c>
      <c r="BQ690" s="1">
        <v>3.1829</v>
      </c>
      <c r="BR690" s="1">
        <v>0.8484</v>
      </c>
      <c r="BS690" s="1">
        <v>0.203</v>
      </c>
      <c r="BT690" s="1">
        <v>0.928</v>
      </c>
      <c r="BU690" s="1">
        <v>0.848</v>
      </c>
      <c r="BV690" s="1">
        <v>1.979</v>
      </c>
      <c r="BW690" s="1">
        <v>0.846</v>
      </c>
      <c r="BX690" s="1">
        <v>0.42</v>
      </c>
      <c r="BY690" s="1">
        <v>0.0</v>
      </c>
      <c r="BZ690" s="1">
        <v>0.42</v>
      </c>
      <c r="CA690" s="1">
        <v>0.174</v>
      </c>
      <c r="CB690" s="1">
        <v>0.771</v>
      </c>
      <c r="CC690" s="1">
        <v>0.643</v>
      </c>
      <c r="CD690" s="1">
        <v>0.6</v>
      </c>
      <c r="CE690" s="1">
        <v>0.778</v>
      </c>
      <c r="CF690" s="1">
        <v>0.439</v>
      </c>
      <c r="CG690" s="1">
        <v>3.231</v>
      </c>
      <c r="CH690" s="1">
        <v>0.852</v>
      </c>
      <c r="CI690" s="1">
        <v>8.8129</v>
      </c>
      <c r="CJ690" s="1">
        <v>0.8289</v>
      </c>
      <c r="CK690" s="1">
        <v>0.0</v>
      </c>
      <c r="CL690" s="1">
        <v>0.0</v>
      </c>
      <c r="CM690" s="1">
        <v>0.0</v>
      </c>
      <c r="CN690" s="1">
        <v>0.0</v>
      </c>
      <c r="CO690" s="1">
        <v>0.0</v>
      </c>
      <c r="CP690" s="1">
        <v>0.0</v>
      </c>
      <c r="CQ690" s="1">
        <v>1.0</v>
      </c>
      <c r="CR690" s="1">
        <v>0.0</v>
      </c>
      <c r="CS690" s="1">
        <v>1.0</v>
      </c>
      <c r="CT690" s="1">
        <v>0.0</v>
      </c>
      <c r="CU690" s="1">
        <v>0.0</v>
      </c>
      <c r="CV690" s="1">
        <v>0.0</v>
      </c>
      <c r="CW690" s="1">
        <v>0.0</v>
      </c>
      <c r="CX690" s="1">
        <v>0.0</v>
      </c>
      <c r="CY690" s="1">
        <v>0.0</v>
      </c>
      <c r="CZ690" s="1">
        <v>0.0</v>
      </c>
      <c r="DA690" s="1">
        <v>0.0</v>
      </c>
      <c r="DB690" s="1">
        <v>0.0</v>
      </c>
      <c r="DC690" s="1">
        <v>1.0</v>
      </c>
      <c r="DD690" s="1" t="s">
        <v>3248</v>
      </c>
      <c r="DE690" s="1">
        <v>0.00161789879716298</v>
      </c>
      <c r="DF690" s="2" t="s">
        <v>3249</v>
      </c>
    </row>
    <row r="691" ht="15.75" customHeight="1">
      <c r="A691" s="1" t="s">
        <v>3250</v>
      </c>
      <c r="B691" s="1">
        <v>29.0</v>
      </c>
      <c r="C691" s="1">
        <v>105.0</v>
      </c>
      <c r="D691" s="1">
        <v>960100.0</v>
      </c>
      <c r="E691" s="1">
        <v>272.902</v>
      </c>
      <c r="F691" s="1">
        <v>29105.0</v>
      </c>
      <c r="G691" s="1">
        <v>2.91059601E10</v>
      </c>
      <c r="H691" s="1" t="s">
        <v>112</v>
      </c>
      <c r="I691" s="1" t="s">
        <v>113</v>
      </c>
      <c r="J691" s="1" t="s">
        <v>3238</v>
      </c>
      <c r="K691" s="1" t="s">
        <v>3251</v>
      </c>
      <c r="L691" s="1">
        <v>8360.0</v>
      </c>
      <c r="M691" s="1">
        <v>8369.0</v>
      </c>
      <c r="N691" s="1">
        <v>542.0</v>
      </c>
      <c r="O691" s="1">
        <v>3686.0</v>
      </c>
      <c r="P691" s="1">
        <v>3827.0</v>
      </c>
      <c r="Q691" s="1">
        <v>181.0</v>
      </c>
      <c r="R691" s="1">
        <v>3209.0</v>
      </c>
      <c r="S691" s="1">
        <v>1193.0</v>
      </c>
      <c r="T691" s="1">
        <v>400.0</v>
      </c>
      <c r="U691" s="1">
        <v>208.0</v>
      </c>
      <c r="V691" s="1">
        <v>356.0</v>
      </c>
      <c r="W691" s="1">
        <v>19132.0</v>
      </c>
      <c r="X691" s="1">
        <v>1733.0</v>
      </c>
      <c r="Y691" s="1">
        <v>1146.0</v>
      </c>
      <c r="Z691" s="1">
        <v>274.0</v>
      </c>
      <c r="AA691" s="1">
        <v>1223.0</v>
      </c>
      <c r="AB691" s="1">
        <v>2072.0</v>
      </c>
      <c r="AC691" s="1">
        <v>305.0</v>
      </c>
      <c r="AD691" s="1">
        <v>356.0</v>
      </c>
      <c r="AE691" s="1">
        <v>211.0</v>
      </c>
      <c r="AF691" s="1">
        <v>426.0</v>
      </c>
      <c r="AG691" s="1">
        <v>84.0</v>
      </c>
      <c r="AH691" s="1">
        <v>137.0</v>
      </c>
      <c r="AI691" s="1">
        <v>1591.0</v>
      </c>
      <c r="AJ691" s="1">
        <v>244.0</v>
      </c>
      <c r="AK691" s="1">
        <v>185.0</v>
      </c>
      <c r="AL691" s="1">
        <v>152.0</v>
      </c>
      <c r="AM691" s="1">
        <v>109.0</v>
      </c>
      <c r="AN691" s="1">
        <v>74.0</v>
      </c>
      <c r="AO691" s="1">
        <v>0.0</v>
      </c>
      <c r="AP691" s="1">
        <v>0.143389</v>
      </c>
      <c r="AQ691" s="1">
        <v>0.047197</v>
      </c>
      <c r="AR691" s="1">
        <v>0.051612</v>
      </c>
      <c r="AS691" s="1">
        <v>0.088209</v>
      </c>
      <c r="AT691" s="1">
        <v>19132.0</v>
      </c>
      <c r="AU691" s="1">
        <v>1733.0</v>
      </c>
      <c r="AV691" s="1">
        <v>0.2007</v>
      </c>
      <c r="AW691" s="1">
        <v>0.046951</v>
      </c>
      <c r="AX691" s="1">
        <v>0.146291</v>
      </c>
      <c r="AY691" s="1">
        <v>0.247846</v>
      </c>
      <c r="AZ691" s="1">
        <v>0.09504518</v>
      </c>
      <c r="BA691" s="1">
        <v>0.042583</v>
      </c>
      <c r="BB691" s="1">
        <v>0.026305</v>
      </c>
      <c r="BC691" s="1">
        <v>0.053085</v>
      </c>
      <c r="BD691" s="1">
        <v>0.021949</v>
      </c>
      <c r="BE691" s="1">
        <v>0.035783</v>
      </c>
      <c r="BF691" s="1">
        <v>0.41573</v>
      </c>
      <c r="BG691" s="1">
        <v>0.060649</v>
      </c>
      <c r="BH691" s="1">
        <v>0.056009</v>
      </c>
      <c r="BI691" s="1">
        <v>0.045904</v>
      </c>
      <c r="BJ691" s="1">
        <v>0.033</v>
      </c>
      <c r="BK691" s="1">
        <v>0.022322</v>
      </c>
      <c r="BL691" s="1">
        <v>0.0</v>
      </c>
      <c r="BM691" s="1">
        <v>0.558</v>
      </c>
      <c r="BN691" s="1">
        <v>0.312</v>
      </c>
      <c r="BO691" s="1">
        <v>0.6614</v>
      </c>
      <c r="BP691" s="1">
        <v>0.753</v>
      </c>
      <c r="BQ691" s="1">
        <v>2.2844</v>
      </c>
      <c r="BR691" s="1">
        <v>0.5964</v>
      </c>
      <c r="BS691" s="1">
        <v>0.548</v>
      </c>
      <c r="BT691" s="1">
        <v>0.573</v>
      </c>
      <c r="BU691" s="1">
        <v>0.45</v>
      </c>
      <c r="BV691" s="1">
        <v>1.571</v>
      </c>
      <c r="BW691" s="1">
        <v>0.541</v>
      </c>
      <c r="BX691" s="1">
        <v>0.192</v>
      </c>
      <c r="BY691" s="1">
        <v>0.899</v>
      </c>
      <c r="BZ691" s="1">
        <v>1.091</v>
      </c>
      <c r="CA691" s="1">
        <v>0.608</v>
      </c>
      <c r="CB691" s="1">
        <v>0.489</v>
      </c>
      <c r="CC691" s="1">
        <v>0.997</v>
      </c>
      <c r="CD691" s="1">
        <v>0.954</v>
      </c>
      <c r="CE691" s="1">
        <v>0.314</v>
      </c>
      <c r="CF691" s="1">
        <v>0.0</v>
      </c>
      <c r="CG691" s="1">
        <v>2.754</v>
      </c>
      <c r="CH691" s="1">
        <v>0.666</v>
      </c>
      <c r="CI691" s="1">
        <v>7.7004</v>
      </c>
      <c r="CJ691" s="1">
        <v>0.6708</v>
      </c>
      <c r="CK691" s="1">
        <v>0.0</v>
      </c>
      <c r="CL691" s="1">
        <v>0.0</v>
      </c>
      <c r="CM691" s="1">
        <v>0.0</v>
      </c>
      <c r="CN691" s="1">
        <v>0.0</v>
      </c>
      <c r="CO691" s="1">
        <v>0.0</v>
      </c>
      <c r="CP691" s="1">
        <v>0.0</v>
      </c>
      <c r="CQ691" s="1">
        <v>0.0</v>
      </c>
      <c r="CR691" s="1">
        <v>0.0</v>
      </c>
      <c r="CS691" s="1">
        <v>0.0</v>
      </c>
      <c r="CT691" s="1">
        <v>0.0</v>
      </c>
      <c r="CU691" s="1">
        <v>0.0</v>
      </c>
      <c r="CV691" s="1">
        <v>0.0</v>
      </c>
      <c r="CW691" s="1">
        <v>0.0</v>
      </c>
      <c r="CX691" s="1">
        <v>1.0</v>
      </c>
      <c r="CY691" s="1">
        <v>1.0</v>
      </c>
      <c r="CZ691" s="1">
        <v>0.0</v>
      </c>
      <c r="DA691" s="1">
        <v>0.0</v>
      </c>
      <c r="DB691" s="1">
        <v>2.0</v>
      </c>
      <c r="DC691" s="1">
        <v>2.0</v>
      </c>
      <c r="DD691" s="1" t="s">
        <v>3252</v>
      </c>
      <c r="DE691" s="1">
        <v>0.0724046326971946</v>
      </c>
      <c r="DF691" s="2" t="s">
        <v>3253</v>
      </c>
    </row>
    <row r="692" ht="15.75" customHeight="1">
      <c r="A692" s="1" t="s">
        <v>3254</v>
      </c>
      <c r="B692" s="1">
        <v>29.0</v>
      </c>
      <c r="C692" s="1">
        <v>105.0</v>
      </c>
      <c r="D692" s="1">
        <v>960298.0</v>
      </c>
      <c r="E692" s="1">
        <v>396.622</v>
      </c>
      <c r="F692" s="1">
        <v>29105.0</v>
      </c>
      <c r="G692" s="1">
        <v>2.9105960298E10</v>
      </c>
      <c r="H692" s="1" t="s">
        <v>112</v>
      </c>
      <c r="I692" s="1" t="s">
        <v>113</v>
      </c>
      <c r="J692" s="1" t="s">
        <v>3238</v>
      </c>
      <c r="K692" s="1" t="s">
        <v>3255</v>
      </c>
      <c r="L692" s="1">
        <v>6053.0</v>
      </c>
      <c r="M692" s="1">
        <v>6183.0</v>
      </c>
      <c r="N692" s="1">
        <v>392.0</v>
      </c>
      <c r="O692" s="1">
        <v>2599.0</v>
      </c>
      <c r="P692" s="1">
        <v>2770.0</v>
      </c>
      <c r="Q692" s="1">
        <v>165.0</v>
      </c>
      <c r="R692" s="1">
        <v>2328.0</v>
      </c>
      <c r="S692" s="1">
        <v>828.0</v>
      </c>
      <c r="T692" s="1">
        <v>268.0</v>
      </c>
      <c r="U692" s="1">
        <v>119.0</v>
      </c>
      <c r="V692" s="1">
        <v>382.0</v>
      </c>
      <c r="W692" s="1">
        <v>24133.0</v>
      </c>
      <c r="X692" s="1">
        <v>8544.0</v>
      </c>
      <c r="Y692" s="1">
        <v>549.0</v>
      </c>
      <c r="Z692" s="1">
        <v>171.0</v>
      </c>
      <c r="AA692" s="1">
        <v>925.0</v>
      </c>
      <c r="AB692" s="1">
        <v>1478.0</v>
      </c>
      <c r="AC692" s="1">
        <v>161.0</v>
      </c>
      <c r="AD692" s="1">
        <v>268.0</v>
      </c>
      <c r="AE692" s="1">
        <v>20.0</v>
      </c>
      <c r="AF692" s="1">
        <v>443.0</v>
      </c>
      <c r="AG692" s="1">
        <v>0.0</v>
      </c>
      <c r="AH692" s="1">
        <v>197.0</v>
      </c>
      <c r="AI692" s="1">
        <v>952.0</v>
      </c>
      <c r="AJ692" s="1">
        <v>207.0</v>
      </c>
      <c r="AK692" s="1">
        <v>78.0</v>
      </c>
      <c r="AL692" s="1">
        <v>148.0</v>
      </c>
      <c r="AM692" s="1">
        <v>97.0</v>
      </c>
      <c r="AN692" s="1">
        <v>92.0</v>
      </c>
      <c r="AO692" s="1">
        <v>0.0</v>
      </c>
      <c r="AP692" s="1">
        <v>0.136543</v>
      </c>
      <c r="AQ692" s="1">
        <v>0.043191</v>
      </c>
      <c r="AR692" s="1">
        <v>0.042545</v>
      </c>
      <c r="AS692" s="1">
        <v>0.136497</v>
      </c>
      <c r="AT692" s="1">
        <v>24133.0</v>
      </c>
      <c r="AU692" s="1">
        <v>8544.0</v>
      </c>
      <c r="AV692" s="1">
        <v>0.136907</v>
      </c>
      <c r="AW692" s="1">
        <v>0.041933</v>
      </c>
      <c r="AX692" s="1">
        <v>0.152816</v>
      </c>
      <c r="AY692" s="1">
        <v>0.244176</v>
      </c>
      <c r="AZ692" s="1">
        <v>0.06915807</v>
      </c>
      <c r="BA692" s="1">
        <v>0.044275</v>
      </c>
      <c r="BB692" s="1">
        <v>0.003557</v>
      </c>
      <c r="BC692" s="1">
        <v>0.078797</v>
      </c>
      <c r="BD692" s="1">
        <v>0.0</v>
      </c>
      <c r="BE692" s="1">
        <v>0.071119</v>
      </c>
      <c r="BF692" s="1">
        <v>0.343682</v>
      </c>
      <c r="BG692" s="1">
        <v>0.07187</v>
      </c>
      <c r="BH692" s="1">
        <v>0.033064</v>
      </c>
      <c r="BI692" s="1">
        <v>0.062699</v>
      </c>
      <c r="BJ692" s="1">
        <v>0.041119</v>
      </c>
      <c r="BK692" s="1">
        <v>0.038903</v>
      </c>
      <c r="BL692" s="1">
        <v>0.0</v>
      </c>
      <c r="BM692" s="1">
        <v>0.528</v>
      </c>
      <c r="BN692" s="1">
        <v>0.216</v>
      </c>
      <c r="BO692" s="1">
        <v>0.3899</v>
      </c>
      <c r="BP692" s="1">
        <v>0.506</v>
      </c>
      <c r="BQ692" s="1">
        <v>1.6399</v>
      </c>
      <c r="BR692" s="1">
        <v>0.3841</v>
      </c>
      <c r="BS692" s="1">
        <v>0.603</v>
      </c>
      <c r="BT692" s="1">
        <v>0.536</v>
      </c>
      <c r="BU692" s="1">
        <v>0.208</v>
      </c>
      <c r="BV692" s="1">
        <v>1.347</v>
      </c>
      <c r="BW692" s="1">
        <v>0.341</v>
      </c>
      <c r="BX692" s="1">
        <v>0.209</v>
      </c>
      <c r="BY692" s="1">
        <v>0.486</v>
      </c>
      <c r="BZ692" s="1">
        <v>0.695</v>
      </c>
      <c r="CA692" s="1">
        <v>0.332</v>
      </c>
      <c r="CB692" s="1">
        <v>0.0</v>
      </c>
      <c r="CC692" s="1">
        <v>0.988</v>
      </c>
      <c r="CD692" s="1">
        <v>0.843</v>
      </c>
      <c r="CE692" s="1">
        <v>0.401</v>
      </c>
      <c r="CF692" s="1">
        <v>0.0</v>
      </c>
      <c r="CG692" s="1">
        <v>2.232</v>
      </c>
      <c r="CH692" s="1">
        <v>0.43</v>
      </c>
      <c r="CI692" s="1">
        <v>5.9139</v>
      </c>
      <c r="CJ692" s="1">
        <v>0.3567</v>
      </c>
      <c r="CK692" s="1">
        <v>0.0</v>
      </c>
      <c r="CL692" s="1">
        <v>0.0</v>
      </c>
      <c r="CM692" s="1">
        <v>0.0</v>
      </c>
      <c r="CN692" s="1">
        <v>0.0</v>
      </c>
      <c r="CO692" s="1">
        <v>0.0</v>
      </c>
      <c r="CP692" s="1">
        <v>0.0</v>
      </c>
      <c r="CQ692" s="1">
        <v>0.0</v>
      </c>
      <c r="CR692" s="1">
        <v>0.0</v>
      </c>
      <c r="CS692" s="1">
        <v>0.0</v>
      </c>
      <c r="CT692" s="1">
        <v>0.0</v>
      </c>
      <c r="CU692" s="1">
        <v>0.0</v>
      </c>
      <c r="CV692" s="1">
        <v>0.0</v>
      </c>
      <c r="CW692" s="1">
        <v>0.0</v>
      </c>
      <c r="CX692" s="1">
        <v>1.0</v>
      </c>
      <c r="CY692" s="1">
        <v>0.0</v>
      </c>
      <c r="CZ692" s="1">
        <v>0.0</v>
      </c>
      <c r="DA692" s="1">
        <v>0.0</v>
      </c>
      <c r="DB692" s="1">
        <v>1.0</v>
      </c>
      <c r="DC692" s="1">
        <v>1.0</v>
      </c>
      <c r="DD692" s="1" t="s">
        <v>3256</v>
      </c>
      <c r="DE692" s="2" t="s">
        <v>3257</v>
      </c>
      <c r="DF692" s="2" t="s">
        <v>3258</v>
      </c>
    </row>
    <row r="693" ht="15.75" customHeight="1">
      <c r="A693" s="1" t="s">
        <v>3259</v>
      </c>
      <c r="B693" s="1">
        <v>29.0</v>
      </c>
      <c r="C693" s="1">
        <v>105.0</v>
      </c>
      <c r="D693" s="1">
        <v>960300.0</v>
      </c>
      <c r="E693" s="1">
        <v>78.058</v>
      </c>
      <c r="F693" s="1">
        <v>29105.0</v>
      </c>
      <c r="G693" s="1">
        <v>2.91059603E10</v>
      </c>
      <c r="H693" s="1" t="s">
        <v>112</v>
      </c>
      <c r="I693" s="1" t="s">
        <v>113</v>
      </c>
      <c r="J693" s="1" t="s">
        <v>3238</v>
      </c>
      <c r="K693" s="1" t="s">
        <v>3260</v>
      </c>
      <c r="L693" s="1">
        <v>7150.0</v>
      </c>
      <c r="M693" s="1">
        <v>7161.0</v>
      </c>
      <c r="N693" s="1">
        <v>510.0</v>
      </c>
      <c r="O693" s="1">
        <v>2913.0</v>
      </c>
      <c r="P693" s="1">
        <v>2824.0</v>
      </c>
      <c r="Q693" s="1">
        <v>149.0</v>
      </c>
      <c r="R693" s="1">
        <v>2711.0</v>
      </c>
      <c r="S693" s="1">
        <v>707.0</v>
      </c>
      <c r="T693" s="1">
        <v>313.0</v>
      </c>
      <c r="U693" s="1">
        <v>259.0</v>
      </c>
      <c r="V693" s="1">
        <v>360.0</v>
      </c>
      <c r="W693" s="1">
        <v>22176.0</v>
      </c>
      <c r="X693" s="1">
        <v>2645.0</v>
      </c>
      <c r="Y693" s="1">
        <v>682.0</v>
      </c>
      <c r="Z693" s="1">
        <v>270.0</v>
      </c>
      <c r="AA693" s="1">
        <v>1289.0</v>
      </c>
      <c r="AB693" s="1">
        <v>1699.0</v>
      </c>
      <c r="AC693" s="1">
        <v>202.0</v>
      </c>
      <c r="AD693" s="1">
        <v>332.0</v>
      </c>
      <c r="AE693" s="1">
        <v>0.0</v>
      </c>
      <c r="AF693" s="1">
        <v>456.0</v>
      </c>
      <c r="AG693" s="1">
        <v>93.0</v>
      </c>
      <c r="AH693" s="1">
        <v>169.0</v>
      </c>
      <c r="AI693" s="1">
        <v>667.0</v>
      </c>
      <c r="AJ693" s="1">
        <v>179.0</v>
      </c>
      <c r="AK693" s="1">
        <v>55.0</v>
      </c>
      <c r="AL693" s="1">
        <v>122.0</v>
      </c>
      <c r="AM693" s="1">
        <v>203.0</v>
      </c>
      <c r="AN693" s="1">
        <v>91.0</v>
      </c>
      <c r="AO693" s="1">
        <v>155.0</v>
      </c>
      <c r="AP693" s="1">
        <v>0.10064</v>
      </c>
      <c r="AQ693" s="1">
        <v>0.043952</v>
      </c>
      <c r="AR693" s="1">
        <v>0.081729</v>
      </c>
      <c r="AS693" s="1">
        <v>0.113255</v>
      </c>
      <c r="AT693" s="1">
        <v>22176.0</v>
      </c>
      <c r="AU693" s="1">
        <v>2645.0</v>
      </c>
      <c r="AV693" s="1">
        <v>0.142231</v>
      </c>
      <c r="AW693" s="1">
        <v>0.055701</v>
      </c>
      <c r="AX693" s="1">
        <v>0.180279</v>
      </c>
      <c r="AY693" s="1">
        <v>0.237622</v>
      </c>
      <c r="AZ693" s="1">
        <v>0.07451125</v>
      </c>
      <c r="BA693" s="1">
        <v>0.046433</v>
      </c>
      <c r="BB693" s="1">
        <v>0.0</v>
      </c>
      <c r="BC693" s="1">
        <v>0.067525</v>
      </c>
      <c r="BD693" s="1">
        <v>0.032932</v>
      </c>
      <c r="BE693" s="1">
        <v>0.059818</v>
      </c>
      <c r="BF693" s="1">
        <v>0.236189</v>
      </c>
      <c r="BG693" s="1">
        <v>0.062148</v>
      </c>
      <c r="BH693" s="1">
        <v>0.019475</v>
      </c>
      <c r="BI693" s="1">
        <v>0.043188</v>
      </c>
      <c r="BJ693" s="1">
        <v>0.071883</v>
      </c>
      <c r="BK693" s="1">
        <v>0.031999</v>
      </c>
      <c r="BL693" s="1">
        <v>0.021678</v>
      </c>
      <c r="BM693" s="1">
        <v>0.373</v>
      </c>
      <c r="BN693" s="1">
        <v>0.624</v>
      </c>
      <c r="BO693" s="1">
        <v>0.4866</v>
      </c>
      <c r="BP693" s="1">
        <v>0.535</v>
      </c>
      <c r="BQ693" s="1">
        <v>2.0186</v>
      </c>
      <c r="BR693" s="1">
        <v>0.5047</v>
      </c>
      <c r="BS693" s="1">
        <v>0.79</v>
      </c>
      <c r="BT693" s="1">
        <v>0.469</v>
      </c>
      <c r="BU693" s="1">
        <v>0.253</v>
      </c>
      <c r="BV693" s="1">
        <v>1.512</v>
      </c>
      <c r="BW693" s="1">
        <v>0.494</v>
      </c>
      <c r="BX693" s="1">
        <v>0.226</v>
      </c>
      <c r="BY693" s="1">
        <v>0.0</v>
      </c>
      <c r="BZ693" s="1">
        <v>0.226</v>
      </c>
      <c r="CA693" s="1">
        <v>0.1</v>
      </c>
      <c r="CB693" s="1">
        <v>0.565</v>
      </c>
      <c r="CC693" s="1">
        <v>0.938</v>
      </c>
      <c r="CD693" s="1">
        <v>0.673</v>
      </c>
      <c r="CE693" s="1">
        <v>0.635</v>
      </c>
      <c r="CF693" s="1">
        <v>0.731</v>
      </c>
      <c r="CG693" s="1">
        <v>3.542</v>
      </c>
      <c r="CH693" s="1">
        <v>0.946</v>
      </c>
      <c r="CI693" s="1">
        <v>7.2986</v>
      </c>
      <c r="CJ693" s="1">
        <v>0.6065</v>
      </c>
      <c r="CK693" s="1">
        <v>0.0</v>
      </c>
      <c r="CL693" s="1">
        <v>0.0</v>
      </c>
      <c r="CM693" s="1">
        <v>0.0</v>
      </c>
      <c r="CN693" s="1">
        <v>0.0</v>
      </c>
      <c r="CO693" s="1">
        <v>0.0</v>
      </c>
      <c r="CP693" s="1">
        <v>0.0</v>
      </c>
      <c r="CQ693" s="1">
        <v>0.0</v>
      </c>
      <c r="CR693" s="1">
        <v>0.0</v>
      </c>
      <c r="CS693" s="1">
        <v>0.0</v>
      </c>
      <c r="CT693" s="1">
        <v>0.0</v>
      </c>
      <c r="CU693" s="1">
        <v>0.0</v>
      </c>
      <c r="CV693" s="1">
        <v>0.0</v>
      </c>
      <c r="CW693" s="1">
        <v>0.0</v>
      </c>
      <c r="CX693" s="1">
        <v>1.0</v>
      </c>
      <c r="CY693" s="1">
        <v>0.0</v>
      </c>
      <c r="CZ693" s="1">
        <v>0.0</v>
      </c>
      <c r="DA693" s="1">
        <v>0.0</v>
      </c>
      <c r="DB693" s="1">
        <v>1.0</v>
      </c>
      <c r="DC693" s="1">
        <v>1.0</v>
      </c>
      <c r="DD693" s="1" t="s">
        <v>3261</v>
      </c>
      <c r="DE693" s="2" t="s">
        <v>3262</v>
      </c>
      <c r="DF693" s="2" t="s">
        <v>3263</v>
      </c>
    </row>
    <row r="694" ht="15.75" customHeight="1">
      <c r="A694" s="1" t="s">
        <v>3264</v>
      </c>
      <c r="B694" s="1">
        <v>29.0</v>
      </c>
      <c r="C694" s="1">
        <v>107.0</v>
      </c>
      <c r="D694" s="2" t="s">
        <v>3265</v>
      </c>
      <c r="E694" s="1">
        <v>23.423</v>
      </c>
      <c r="F694" s="1">
        <v>29107.0</v>
      </c>
      <c r="G694" s="1">
        <v>2.9107090601E10</v>
      </c>
      <c r="H694" s="1" t="s">
        <v>112</v>
      </c>
      <c r="I694" s="1" t="s">
        <v>113</v>
      </c>
      <c r="J694" s="1" t="s">
        <v>3266</v>
      </c>
      <c r="K694" s="1" t="s">
        <v>3267</v>
      </c>
      <c r="L694" s="1">
        <v>6233.0</v>
      </c>
      <c r="M694" s="1">
        <v>6136.0</v>
      </c>
      <c r="N694" s="1">
        <v>282.0</v>
      </c>
      <c r="O694" s="1">
        <v>2626.0</v>
      </c>
      <c r="P694" s="1">
        <v>2541.0</v>
      </c>
      <c r="Q694" s="1">
        <v>181.0</v>
      </c>
      <c r="R694" s="1">
        <v>2401.0</v>
      </c>
      <c r="S694" s="1">
        <v>367.0</v>
      </c>
      <c r="T694" s="1">
        <v>183.0</v>
      </c>
      <c r="U694" s="1">
        <v>76.0</v>
      </c>
      <c r="V694" s="1">
        <v>430.0</v>
      </c>
      <c r="W694" s="1">
        <v>22237.0</v>
      </c>
      <c r="X694" s="1">
        <v>1746.0</v>
      </c>
      <c r="Y694" s="1">
        <v>457.0</v>
      </c>
      <c r="Z694" s="1">
        <v>315.0</v>
      </c>
      <c r="AA694" s="1">
        <v>924.0</v>
      </c>
      <c r="AB694" s="1">
        <v>1671.0</v>
      </c>
      <c r="AC694" s="1">
        <v>325.0</v>
      </c>
      <c r="AD694" s="1">
        <v>393.0</v>
      </c>
      <c r="AE694" s="1">
        <v>8.0</v>
      </c>
      <c r="AF694" s="1">
        <v>442.0</v>
      </c>
      <c r="AG694" s="1">
        <v>0.0</v>
      </c>
      <c r="AH694" s="1">
        <v>197.0</v>
      </c>
      <c r="AI694" s="1">
        <v>192.0</v>
      </c>
      <c r="AJ694" s="1">
        <v>83.0</v>
      </c>
      <c r="AK694" s="1">
        <v>43.0</v>
      </c>
      <c r="AL694" s="1">
        <v>126.0</v>
      </c>
      <c r="AM694" s="1">
        <v>129.0</v>
      </c>
      <c r="AN694" s="1">
        <v>72.0</v>
      </c>
      <c r="AO694" s="1">
        <v>62.0</v>
      </c>
      <c r="AP694" s="1">
        <v>0.061125</v>
      </c>
      <c r="AQ694" s="1">
        <v>0.030313</v>
      </c>
      <c r="AR694" s="1">
        <v>0.024771</v>
      </c>
      <c r="AS694" s="1">
        <v>0.14013</v>
      </c>
      <c r="AT694" s="1">
        <v>22237.0</v>
      </c>
      <c r="AU694" s="1">
        <v>1746.0</v>
      </c>
      <c r="AV694" s="1">
        <v>0.118393</v>
      </c>
      <c r="AW694" s="1">
        <v>0.081221</v>
      </c>
      <c r="AX694" s="1">
        <v>0.148243</v>
      </c>
      <c r="AY694" s="1">
        <v>0.268089</v>
      </c>
      <c r="AZ694" s="1">
        <v>0.13536026</v>
      </c>
      <c r="BA694" s="1">
        <v>0.063051</v>
      </c>
      <c r="BB694" s="1">
        <v>0.001404</v>
      </c>
      <c r="BC694" s="1">
        <v>0.077625</v>
      </c>
      <c r="BD694" s="1">
        <v>0.0</v>
      </c>
      <c r="BE694" s="1">
        <v>0.077528</v>
      </c>
      <c r="BF694" s="1">
        <v>0.07556</v>
      </c>
      <c r="BG694" s="1">
        <v>0.032217</v>
      </c>
      <c r="BH694" s="1">
        <v>0.017622</v>
      </c>
      <c r="BI694" s="1">
        <v>0.051625</v>
      </c>
      <c r="BJ694" s="1">
        <v>0.052868</v>
      </c>
      <c r="BK694" s="1">
        <v>0.029288</v>
      </c>
      <c r="BL694" s="1">
        <v>0.009947</v>
      </c>
      <c r="BM694" s="1">
        <v>0.21</v>
      </c>
      <c r="BN694" s="1">
        <v>0.049</v>
      </c>
      <c r="BO694" s="1">
        <v>0.4809</v>
      </c>
      <c r="BP694" s="1">
        <v>0.42</v>
      </c>
      <c r="BQ694" s="1">
        <v>1.1599</v>
      </c>
      <c r="BR694" s="1">
        <v>0.2426</v>
      </c>
      <c r="BS694" s="1">
        <v>0.563</v>
      </c>
      <c r="BT694" s="1">
        <v>0.777</v>
      </c>
      <c r="BU694" s="1">
        <v>0.741</v>
      </c>
      <c r="BV694" s="1">
        <v>2.081</v>
      </c>
      <c r="BW694" s="1">
        <v>0.91</v>
      </c>
      <c r="BX694" s="1">
        <v>0.328</v>
      </c>
      <c r="BY694" s="1">
        <v>0.351</v>
      </c>
      <c r="BZ694" s="1">
        <v>0.679</v>
      </c>
      <c r="CA694" s="1">
        <v>0.324</v>
      </c>
      <c r="CB694" s="1">
        <v>0.0</v>
      </c>
      <c r="CC694" s="1">
        <v>0.665</v>
      </c>
      <c r="CD694" s="1">
        <v>0.642</v>
      </c>
      <c r="CE694" s="1">
        <v>0.51</v>
      </c>
      <c r="CF694" s="1">
        <v>0.576</v>
      </c>
      <c r="CG694" s="1">
        <v>2.393</v>
      </c>
      <c r="CH694" s="1">
        <v>0.51</v>
      </c>
      <c r="CI694" s="1">
        <v>6.3129</v>
      </c>
      <c r="CJ694" s="1">
        <v>0.4318</v>
      </c>
      <c r="CK694" s="1">
        <v>0.0</v>
      </c>
      <c r="CL694" s="1">
        <v>0.0</v>
      </c>
      <c r="CM694" s="1">
        <v>0.0</v>
      </c>
      <c r="CN694" s="1">
        <v>0.0</v>
      </c>
      <c r="CO694" s="1">
        <v>0.0</v>
      </c>
      <c r="CP694" s="1">
        <v>0.0</v>
      </c>
      <c r="CQ694" s="1">
        <v>0.0</v>
      </c>
      <c r="CR694" s="1">
        <v>0.0</v>
      </c>
      <c r="CS694" s="1">
        <v>0.0</v>
      </c>
      <c r="CT694" s="1">
        <v>0.0</v>
      </c>
      <c r="CU694" s="1">
        <v>0.0</v>
      </c>
      <c r="CV694" s="1">
        <v>0.0</v>
      </c>
      <c r="CW694" s="1">
        <v>0.0</v>
      </c>
      <c r="CX694" s="1">
        <v>0.0</v>
      </c>
      <c r="CY694" s="1">
        <v>0.0</v>
      </c>
      <c r="CZ694" s="1">
        <v>0.0</v>
      </c>
      <c r="DA694" s="1">
        <v>0.0</v>
      </c>
      <c r="DB694" s="1">
        <v>0.0</v>
      </c>
      <c r="DC694" s="1">
        <v>0.0</v>
      </c>
      <c r="DD694" s="1" t="s">
        <v>3268</v>
      </c>
      <c r="DE694" s="1">
        <v>0.0063958701821819</v>
      </c>
      <c r="DF694" s="1">
        <v>0.359052501590833</v>
      </c>
    </row>
    <row r="695" ht="15.75" customHeight="1">
      <c r="A695" s="1" t="s">
        <v>3269</v>
      </c>
      <c r="B695" s="1">
        <v>29.0</v>
      </c>
      <c r="C695" s="1">
        <v>107.0</v>
      </c>
      <c r="D695" s="2" t="s">
        <v>2016</v>
      </c>
      <c r="E695" s="1">
        <v>142.692</v>
      </c>
      <c r="F695" s="1">
        <v>29107.0</v>
      </c>
      <c r="G695" s="1">
        <v>2.91070904E10</v>
      </c>
      <c r="H695" s="1" t="s">
        <v>112</v>
      </c>
      <c r="I695" s="1" t="s">
        <v>113</v>
      </c>
      <c r="J695" s="1" t="s">
        <v>3266</v>
      </c>
      <c r="K695" s="1" t="s">
        <v>3270</v>
      </c>
      <c r="L695" s="1">
        <v>6794.0</v>
      </c>
      <c r="M695" s="1">
        <v>6628.0</v>
      </c>
      <c r="N695" s="1">
        <v>427.0</v>
      </c>
      <c r="O695" s="1">
        <v>3138.0</v>
      </c>
      <c r="P695" s="1">
        <v>3211.0</v>
      </c>
      <c r="Q695" s="1">
        <v>188.0</v>
      </c>
      <c r="R695" s="1">
        <v>2795.0</v>
      </c>
      <c r="S695" s="1">
        <v>541.0</v>
      </c>
      <c r="T695" s="1">
        <v>199.0</v>
      </c>
      <c r="U695" s="1">
        <v>93.0</v>
      </c>
      <c r="V695" s="1">
        <v>364.0</v>
      </c>
      <c r="W695" s="1">
        <v>23490.0</v>
      </c>
      <c r="X695" s="1">
        <v>1773.0</v>
      </c>
      <c r="Y695" s="1">
        <v>713.0</v>
      </c>
      <c r="Z695" s="1">
        <v>237.0</v>
      </c>
      <c r="AA695" s="1">
        <v>1270.0</v>
      </c>
      <c r="AB695" s="1">
        <v>1578.0</v>
      </c>
      <c r="AC695" s="1">
        <v>285.0</v>
      </c>
      <c r="AD695" s="1">
        <v>460.0</v>
      </c>
      <c r="AE695" s="1">
        <v>19.0</v>
      </c>
      <c r="AF695" s="1">
        <v>412.0</v>
      </c>
      <c r="AG695" s="1">
        <v>226.0</v>
      </c>
      <c r="AH695" s="1">
        <v>118.0</v>
      </c>
      <c r="AI695" s="1">
        <v>169.0</v>
      </c>
      <c r="AJ695" s="1">
        <v>74.0</v>
      </c>
      <c r="AK695" s="1">
        <v>63.0</v>
      </c>
      <c r="AL695" s="1">
        <v>124.0</v>
      </c>
      <c r="AM695" s="1">
        <v>144.0</v>
      </c>
      <c r="AN695" s="1">
        <v>83.0</v>
      </c>
      <c r="AO695" s="1">
        <v>135.0</v>
      </c>
      <c r="AP695" s="1">
        <v>0.082069</v>
      </c>
      <c r="AQ695" s="1">
        <v>0.029716</v>
      </c>
      <c r="AR695" s="1">
        <v>0.027969</v>
      </c>
      <c r="AS695" s="1">
        <v>0.109438</v>
      </c>
      <c r="AT695" s="1">
        <v>23490.0</v>
      </c>
      <c r="AU695" s="1">
        <v>1773.0</v>
      </c>
      <c r="AV695" s="1">
        <v>0.159543</v>
      </c>
      <c r="AW695" s="1">
        <v>0.052067</v>
      </c>
      <c r="AX695" s="1">
        <v>0.186929</v>
      </c>
      <c r="AY695" s="1">
        <v>0.232263</v>
      </c>
      <c r="AZ695" s="1">
        <v>0.10196779</v>
      </c>
      <c r="BA695" s="1">
        <v>0.067706</v>
      </c>
      <c r="BB695" s="1">
        <v>0.002986</v>
      </c>
      <c r="BC695" s="1">
        <v>0.064759</v>
      </c>
      <c r="BD695" s="1">
        <v>0.070383</v>
      </c>
      <c r="BE695" s="1">
        <v>0.036516</v>
      </c>
      <c r="BF695" s="1">
        <v>0.052631</v>
      </c>
      <c r="BG695" s="1">
        <v>0.022838</v>
      </c>
      <c r="BH695" s="1">
        <v>0.020812</v>
      </c>
      <c r="BI695" s="1">
        <v>0.040938</v>
      </c>
      <c r="BJ695" s="1">
        <v>0.047571</v>
      </c>
      <c r="BK695" s="1">
        <v>0.027218</v>
      </c>
      <c r="BL695" s="1">
        <v>0.01987</v>
      </c>
      <c r="BM695" s="1">
        <v>0.298</v>
      </c>
      <c r="BN695" s="1">
        <v>0.071</v>
      </c>
      <c r="BO695" s="1">
        <v>0.4253</v>
      </c>
      <c r="BP695" s="1">
        <v>0.61</v>
      </c>
      <c r="BQ695" s="1">
        <v>1.4043</v>
      </c>
      <c r="BR695" s="1">
        <v>0.3126</v>
      </c>
      <c r="BS695" s="1">
        <v>0.823</v>
      </c>
      <c r="BT695" s="1">
        <v>0.411</v>
      </c>
      <c r="BU695" s="1">
        <v>0.508</v>
      </c>
      <c r="BV695" s="1">
        <v>1.742</v>
      </c>
      <c r="BW695" s="1">
        <v>0.675</v>
      </c>
      <c r="BX695" s="1">
        <v>0.352</v>
      </c>
      <c r="BY695" s="1">
        <v>0.448</v>
      </c>
      <c r="BZ695" s="1">
        <v>0.8</v>
      </c>
      <c r="CA695" s="1">
        <v>0.4</v>
      </c>
      <c r="CB695" s="1">
        <v>0.716</v>
      </c>
      <c r="CC695" s="1">
        <v>0.613</v>
      </c>
      <c r="CD695" s="1">
        <v>0.692</v>
      </c>
      <c r="CE695" s="1">
        <v>0.468</v>
      </c>
      <c r="CF695" s="1">
        <v>0.707</v>
      </c>
      <c r="CG695" s="1">
        <v>3.196</v>
      </c>
      <c r="CH695" s="1">
        <v>0.841</v>
      </c>
      <c r="CI695" s="1">
        <v>7.1423</v>
      </c>
      <c r="CJ695" s="1">
        <v>0.5783</v>
      </c>
      <c r="CK695" s="1">
        <v>0.0</v>
      </c>
      <c r="CL695" s="1">
        <v>0.0</v>
      </c>
      <c r="CM695" s="1">
        <v>0.0</v>
      </c>
      <c r="CN695" s="1">
        <v>0.0</v>
      </c>
      <c r="CO695" s="1">
        <v>0.0</v>
      </c>
      <c r="CP695" s="1">
        <v>0.0</v>
      </c>
      <c r="CQ695" s="1">
        <v>0.0</v>
      </c>
      <c r="CR695" s="1">
        <v>0.0</v>
      </c>
      <c r="CS695" s="1">
        <v>0.0</v>
      </c>
      <c r="CT695" s="1">
        <v>0.0</v>
      </c>
      <c r="CU695" s="1">
        <v>0.0</v>
      </c>
      <c r="CV695" s="1">
        <v>0.0</v>
      </c>
      <c r="CW695" s="1">
        <v>0.0</v>
      </c>
      <c r="CX695" s="1">
        <v>0.0</v>
      </c>
      <c r="CY695" s="1">
        <v>0.0</v>
      </c>
      <c r="CZ695" s="1">
        <v>0.0</v>
      </c>
      <c r="DA695" s="1">
        <v>0.0</v>
      </c>
      <c r="DB695" s="1">
        <v>0.0</v>
      </c>
      <c r="DC695" s="1">
        <v>0.0</v>
      </c>
      <c r="DD695" s="1" t="s">
        <v>3271</v>
      </c>
      <c r="DE695" s="1">
        <v>0.038748991803658</v>
      </c>
      <c r="DF695" s="2" t="s">
        <v>3272</v>
      </c>
    </row>
    <row r="696" ht="15.75" customHeight="1">
      <c r="A696" s="1" t="s">
        <v>3273</v>
      </c>
      <c r="B696" s="1">
        <v>29.0</v>
      </c>
      <c r="C696" s="1">
        <v>107.0</v>
      </c>
      <c r="D696" s="2" t="s">
        <v>3274</v>
      </c>
      <c r="E696" s="1">
        <v>55.527</v>
      </c>
      <c r="F696" s="1">
        <v>29107.0</v>
      </c>
      <c r="G696" s="1">
        <v>2.9107090602E10</v>
      </c>
      <c r="H696" s="1" t="s">
        <v>112</v>
      </c>
      <c r="I696" s="1" t="s">
        <v>113</v>
      </c>
      <c r="J696" s="1" t="s">
        <v>3266</v>
      </c>
      <c r="K696" s="1" t="s">
        <v>3275</v>
      </c>
      <c r="L696" s="1">
        <v>3873.0</v>
      </c>
      <c r="M696" s="1">
        <v>4065.0</v>
      </c>
      <c r="N696" s="1">
        <v>415.0</v>
      </c>
      <c r="O696" s="1">
        <v>1554.0</v>
      </c>
      <c r="P696" s="1">
        <v>1658.0</v>
      </c>
      <c r="Q696" s="1">
        <v>113.0</v>
      </c>
      <c r="R696" s="1">
        <v>1396.0</v>
      </c>
      <c r="S696" s="1">
        <v>288.0</v>
      </c>
      <c r="T696" s="1">
        <v>125.0</v>
      </c>
      <c r="U696" s="1">
        <v>115.0</v>
      </c>
      <c r="V696" s="1">
        <v>383.0</v>
      </c>
      <c r="W696" s="1">
        <v>25474.0</v>
      </c>
      <c r="X696" s="1">
        <v>3033.0</v>
      </c>
      <c r="Y696" s="1">
        <v>267.0</v>
      </c>
      <c r="Z696" s="1">
        <v>270.0</v>
      </c>
      <c r="AA696" s="1">
        <v>504.0</v>
      </c>
      <c r="AB696" s="1">
        <v>979.0</v>
      </c>
      <c r="AC696" s="1">
        <v>109.0</v>
      </c>
      <c r="AD696" s="1">
        <v>171.0</v>
      </c>
      <c r="AE696" s="1">
        <v>1.0</v>
      </c>
      <c r="AF696" s="1">
        <v>442.0</v>
      </c>
      <c r="AG696" s="1">
        <v>0.0</v>
      </c>
      <c r="AH696" s="1">
        <v>197.0</v>
      </c>
      <c r="AI696" s="1">
        <v>423.0</v>
      </c>
      <c r="AJ696" s="1">
        <v>132.0</v>
      </c>
      <c r="AK696" s="1">
        <v>49.0</v>
      </c>
      <c r="AL696" s="1">
        <v>119.0</v>
      </c>
      <c r="AM696" s="1">
        <v>29.0</v>
      </c>
      <c r="AN696" s="1">
        <v>117.0</v>
      </c>
      <c r="AO696" s="1">
        <v>0.0</v>
      </c>
      <c r="AP696" s="1">
        <v>0.071606</v>
      </c>
      <c r="AQ696" s="1">
        <v>0.030239</v>
      </c>
      <c r="AR696" s="1">
        <v>0.056818</v>
      </c>
      <c r="AS696" s="1">
        <v>0.189099</v>
      </c>
      <c r="AT696" s="1">
        <v>25474.0</v>
      </c>
      <c r="AU696" s="1">
        <v>3033.0</v>
      </c>
      <c r="AV696" s="1">
        <v>0.097126</v>
      </c>
      <c r="AW696" s="1">
        <v>0.097766</v>
      </c>
      <c r="AX696" s="1">
        <v>0.130131</v>
      </c>
      <c r="AY696" s="1">
        <v>0.252775</v>
      </c>
      <c r="AZ696" s="1">
        <v>0.07808022</v>
      </c>
      <c r="BA696" s="1">
        <v>0.044151</v>
      </c>
      <c r="BB696" s="1">
        <v>2.62E-4</v>
      </c>
      <c r="BC696" s="1">
        <v>0.115858</v>
      </c>
      <c r="BD696" s="1">
        <v>0.0</v>
      </c>
      <c r="BE696" s="1">
        <v>0.118817</v>
      </c>
      <c r="BF696" s="1">
        <v>0.255126</v>
      </c>
      <c r="BG696" s="1">
        <v>0.077691</v>
      </c>
      <c r="BH696" s="1">
        <v>0.032666</v>
      </c>
      <c r="BI696" s="1">
        <v>0.07927</v>
      </c>
      <c r="BJ696" s="1">
        <v>0.019333</v>
      </c>
      <c r="BK696" s="1">
        <v>0.077977</v>
      </c>
      <c r="BL696" s="1">
        <v>0.0</v>
      </c>
      <c r="BM696" s="1">
        <v>0.255</v>
      </c>
      <c r="BN696" s="1">
        <v>0.379</v>
      </c>
      <c r="BO696" s="1">
        <v>0.3271</v>
      </c>
      <c r="BP696" s="1">
        <v>0.325</v>
      </c>
      <c r="BQ696" s="1">
        <v>1.2861</v>
      </c>
      <c r="BR696" s="1">
        <v>0.278</v>
      </c>
      <c r="BS696" s="1">
        <v>0.42</v>
      </c>
      <c r="BT696" s="1">
        <v>0.637</v>
      </c>
      <c r="BU696" s="1">
        <v>0.284</v>
      </c>
      <c r="BV696" s="1">
        <v>1.341</v>
      </c>
      <c r="BW696" s="1">
        <v>0.337</v>
      </c>
      <c r="BX696" s="1">
        <v>0.207</v>
      </c>
      <c r="BY696" s="1">
        <v>0.315</v>
      </c>
      <c r="BZ696" s="1">
        <v>0.522</v>
      </c>
      <c r="CA696" s="1">
        <v>0.223</v>
      </c>
      <c r="CB696" s="1">
        <v>0.0</v>
      </c>
      <c r="CC696" s="1">
        <v>0.956</v>
      </c>
      <c r="CD696" s="1">
        <v>0.839</v>
      </c>
      <c r="CE696" s="1">
        <v>0.176</v>
      </c>
      <c r="CF696" s="1">
        <v>0.0</v>
      </c>
      <c r="CG696" s="1">
        <v>1.971</v>
      </c>
      <c r="CH696" s="1">
        <v>0.336</v>
      </c>
      <c r="CI696" s="1">
        <v>5.1201</v>
      </c>
      <c r="CJ696" s="1">
        <v>0.2202</v>
      </c>
      <c r="CK696" s="1">
        <v>0.0</v>
      </c>
      <c r="CL696" s="1">
        <v>0.0</v>
      </c>
      <c r="CM696" s="1">
        <v>0.0</v>
      </c>
      <c r="CN696" s="1">
        <v>0.0</v>
      </c>
      <c r="CO696" s="1">
        <v>0.0</v>
      </c>
      <c r="CP696" s="1">
        <v>0.0</v>
      </c>
      <c r="CQ696" s="1">
        <v>0.0</v>
      </c>
      <c r="CR696" s="1">
        <v>0.0</v>
      </c>
      <c r="CS696" s="1">
        <v>0.0</v>
      </c>
      <c r="CT696" s="1">
        <v>0.0</v>
      </c>
      <c r="CU696" s="1">
        <v>0.0</v>
      </c>
      <c r="CV696" s="1">
        <v>0.0</v>
      </c>
      <c r="CW696" s="1">
        <v>0.0</v>
      </c>
      <c r="CX696" s="1">
        <v>1.0</v>
      </c>
      <c r="CY696" s="1">
        <v>0.0</v>
      </c>
      <c r="CZ696" s="1">
        <v>0.0</v>
      </c>
      <c r="DA696" s="1">
        <v>0.0</v>
      </c>
      <c r="DB696" s="1">
        <v>1.0</v>
      </c>
      <c r="DC696" s="1">
        <v>1.0</v>
      </c>
      <c r="DD696" s="1" t="s">
        <v>3276</v>
      </c>
      <c r="DE696" s="2" t="s">
        <v>3277</v>
      </c>
      <c r="DF696" s="1">
        <v>0.659119671596188</v>
      </c>
    </row>
    <row r="697" ht="15.75" customHeight="1">
      <c r="A697" s="1" t="s">
        <v>3278</v>
      </c>
      <c r="B697" s="1">
        <v>29.0</v>
      </c>
      <c r="C697" s="1">
        <v>107.0</v>
      </c>
      <c r="D697" s="2" t="s">
        <v>1981</v>
      </c>
      <c r="E697" s="1">
        <v>127.201</v>
      </c>
      <c r="F697" s="1">
        <v>29107.0</v>
      </c>
      <c r="G697" s="1">
        <v>2.91070901E10</v>
      </c>
      <c r="H697" s="1" t="s">
        <v>112</v>
      </c>
      <c r="I697" s="1" t="s">
        <v>113</v>
      </c>
      <c r="J697" s="1" t="s">
        <v>3266</v>
      </c>
      <c r="K697" s="1" t="s">
        <v>3279</v>
      </c>
      <c r="L697" s="1">
        <v>5286.0</v>
      </c>
      <c r="M697" s="1">
        <v>5408.0</v>
      </c>
      <c r="N697" s="1">
        <v>524.0</v>
      </c>
      <c r="O697" s="1">
        <v>2426.0</v>
      </c>
      <c r="P697" s="1">
        <v>2311.0</v>
      </c>
      <c r="Q697" s="1">
        <v>133.0</v>
      </c>
      <c r="R697" s="1">
        <v>2026.0</v>
      </c>
      <c r="S697" s="1">
        <v>594.0</v>
      </c>
      <c r="T697" s="1">
        <v>269.0</v>
      </c>
      <c r="U697" s="1">
        <v>102.0</v>
      </c>
      <c r="V697" s="1">
        <v>365.0</v>
      </c>
      <c r="W697" s="1">
        <v>24266.0</v>
      </c>
      <c r="X697" s="1">
        <v>4241.0</v>
      </c>
      <c r="Y697" s="1">
        <v>606.0</v>
      </c>
      <c r="Z697" s="1">
        <v>246.0</v>
      </c>
      <c r="AA697" s="1">
        <v>837.0</v>
      </c>
      <c r="AB697" s="1">
        <v>1174.0</v>
      </c>
      <c r="AC697" s="1">
        <v>174.0</v>
      </c>
      <c r="AD697" s="1">
        <v>403.0</v>
      </c>
      <c r="AE697" s="1">
        <v>0.0</v>
      </c>
      <c r="AF697" s="1">
        <v>456.0</v>
      </c>
      <c r="AG697" s="1">
        <v>0.0</v>
      </c>
      <c r="AH697" s="1">
        <v>197.0</v>
      </c>
      <c r="AI697" s="1">
        <v>282.0</v>
      </c>
      <c r="AJ697" s="1">
        <v>98.0</v>
      </c>
      <c r="AK697" s="1">
        <v>28.0</v>
      </c>
      <c r="AL697" s="1">
        <v>119.0</v>
      </c>
      <c r="AM697" s="1">
        <v>30.0</v>
      </c>
      <c r="AN697" s="1">
        <v>29.0</v>
      </c>
      <c r="AO697" s="1">
        <v>207.0</v>
      </c>
      <c r="AP697" s="1">
        <v>0.122676</v>
      </c>
      <c r="AQ697" s="1">
        <v>0.054805</v>
      </c>
      <c r="AR697" s="1">
        <v>0.045192</v>
      </c>
      <c r="AS697" s="1">
        <v>0.16164</v>
      </c>
      <c r="AT697" s="1">
        <v>24266.0</v>
      </c>
      <c r="AU697" s="1">
        <v>4241.0</v>
      </c>
      <c r="AV697" s="1">
        <v>0.163783</v>
      </c>
      <c r="AW697" s="1">
        <v>0.064335</v>
      </c>
      <c r="AX697" s="1">
        <v>0.158342</v>
      </c>
      <c r="AY697" s="1">
        <v>0.222096</v>
      </c>
      <c r="AZ697" s="1">
        <v>0.08588351</v>
      </c>
      <c r="BA697" s="1">
        <v>0.076239</v>
      </c>
      <c r="BB697" s="1">
        <v>0.0</v>
      </c>
      <c r="BC697" s="1">
        <v>0.090909</v>
      </c>
      <c r="BD697" s="1">
        <v>0.0</v>
      </c>
      <c r="BE697" s="1">
        <v>0.085244</v>
      </c>
      <c r="BF697" s="1">
        <v>0.122025</v>
      </c>
      <c r="BG697" s="1">
        <v>0.04182</v>
      </c>
      <c r="BH697" s="1">
        <v>0.013806</v>
      </c>
      <c r="BI697" s="1">
        <v>0.058666</v>
      </c>
      <c r="BJ697" s="1">
        <v>0.014792</v>
      </c>
      <c r="BK697" s="1">
        <v>0.014242</v>
      </c>
      <c r="BL697" s="1">
        <v>0.03916</v>
      </c>
      <c r="BM697" s="1">
        <v>0.462</v>
      </c>
      <c r="BN697" s="1">
        <v>0.242</v>
      </c>
      <c r="BO697" s="1">
        <v>0.3827</v>
      </c>
      <c r="BP697" s="1">
        <v>0.628</v>
      </c>
      <c r="BQ697" s="1">
        <v>1.7147</v>
      </c>
      <c r="BR697" s="1">
        <v>0.4065</v>
      </c>
      <c r="BS697" s="1">
        <v>0.653</v>
      </c>
      <c r="BT697" s="1">
        <v>0.317</v>
      </c>
      <c r="BU697" s="1">
        <v>0.364</v>
      </c>
      <c r="BV697" s="1">
        <v>1.334</v>
      </c>
      <c r="BW697" s="1">
        <v>0.33</v>
      </c>
      <c r="BX697" s="1">
        <v>0.383</v>
      </c>
      <c r="BY697" s="1">
        <v>0.0</v>
      </c>
      <c r="BZ697" s="1">
        <v>0.383</v>
      </c>
      <c r="CA697" s="1">
        <v>0.156</v>
      </c>
      <c r="CB697" s="1">
        <v>0.0</v>
      </c>
      <c r="CC697" s="1">
        <v>0.764</v>
      </c>
      <c r="CD697" s="1">
        <v>0.566</v>
      </c>
      <c r="CE697" s="1">
        <v>0.13</v>
      </c>
      <c r="CF697" s="1">
        <v>0.865</v>
      </c>
      <c r="CG697" s="1">
        <v>2.325</v>
      </c>
      <c r="CH697" s="1">
        <v>0.469</v>
      </c>
      <c r="CI697" s="1">
        <v>5.7567</v>
      </c>
      <c r="CJ697" s="1">
        <v>0.3314</v>
      </c>
      <c r="CK697" s="1">
        <v>0.0</v>
      </c>
      <c r="CL697" s="1">
        <v>0.0</v>
      </c>
      <c r="CM697" s="1">
        <v>0.0</v>
      </c>
      <c r="CN697" s="1">
        <v>0.0</v>
      </c>
      <c r="CO697" s="1">
        <v>0.0</v>
      </c>
      <c r="CP697" s="1">
        <v>0.0</v>
      </c>
      <c r="CQ697" s="1">
        <v>0.0</v>
      </c>
      <c r="CR697" s="1">
        <v>0.0</v>
      </c>
      <c r="CS697" s="1">
        <v>0.0</v>
      </c>
      <c r="CT697" s="1">
        <v>0.0</v>
      </c>
      <c r="CU697" s="1">
        <v>0.0</v>
      </c>
      <c r="CV697" s="1">
        <v>0.0</v>
      </c>
      <c r="CW697" s="1">
        <v>0.0</v>
      </c>
      <c r="CX697" s="1">
        <v>0.0</v>
      </c>
      <c r="CY697" s="1">
        <v>0.0</v>
      </c>
      <c r="CZ697" s="1">
        <v>0.0</v>
      </c>
      <c r="DA697" s="1">
        <v>0.0</v>
      </c>
      <c r="DB697" s="1">
        <v>0.0</v>
      </c>
      <c r="DC697" s="1">
        <v>0.0</v>
      </c>
      <c r="DD697" s="1" t="s">
        <v>3280</v>
      </c>
      <c r="DE697" s="2" t="s">
        <v>3281</v>
      </c>
      <c r="DF697" s="2" t="s">
        <v>3282</v>
      </c>
    </row>
    <row r="698" ht="15.75" customHeight="1">
      <c r="A698" s="1" t="s">
        <v>3283</v>
      </c>
      <c r="B698" s="1">
        <v>29.0</v>
      </c>
      <c r="C698" s="1">
        <v>107.0</v>
      </c>
      <c r="D698" s="2" t="s">
        <v>2007</v>
      </c>
      <c r="E698" s="1">
        <v>92.836</v>
      </c>
      <c r="F698" s="1">
        <v>29107.0</v>
      </c>
      <c r="G698" s="1">
        <v>2.91070902E10</v>
      </c>
      <c r="H698" s="1" t="s">
        <v>112</v>
      </c>
      <c r="I698" s="1" t="s">
        <v>113</v>
      </c>
      <c r="J698" s="1" t="s">
        <v>3266</v>
      </c>
      <c r="K698" s="1" t="s">
        <v>3284</v>
      </c>
      <c r="L698" s="1">
        <v>5829.0</v>
      </c>
      <c r="M698" s="1">
        <v>5695.0</v>
      </c>
      <c r="N698" s="1">
        <v>545.0</v>
      </c>
      <c r="O698" s="1">
        <v>2606.0</v>
      </c>
      <c r="P698" s="1">
        <v>2567.0</v>
      </c>
      <c r="Q698" s="1">
        <v>245.0</v>
      </c>
      <c r="R698" s="1">
        <v>2295.0</v>
      </c>
      <c r="S698" s="1">
        <v>959.0</v>
      </c>
      <c r="T698" s="1">
        <v>333.0</v>
      </c>
      <c r="U698" s="1">
        <v>152.0</v>
      </c>
      <c r="V698" s="1">
        <v>371.0</v>
      </c>
      <c r="W698" s="1">
        <v>21588.0</v>
      </c>
      <c r="X698" s="1">
        <v>1925.0</v>
      </c>
      <c r="Y698" s="1">
        <v>771.0</v>
      </c>
      <c r="Z698" s="1">
        <v>243.0</v>
      </c>
      <c r="AA698" s="1">
        <v>913.0</v>
      </c>
      <c r="AB698" s="1">
        <v>1472.0</v>
      </c>
      <c r="AC698" s="1">
        <v>320.0</v>
      </c>
      <c r="AD698" s="1">
        <v>672.0</v>
      </c>
      <c r="AE698" s="1">
        <v>8.0</v>
      </c>
      <c r="AF698" s="1">
        <v>442.0</v>
      </c>
      <c r="AG698" s="1">
        <v>74.0</v>
      </c>
      <c r="AH698" s="1">
        <v>168.0</v>
      </c>
      <c r="AI698" s="1">
        <v>303.0</v>
      </c>
      <c r="AJ698" s="1">
        <v>125.0</v>
      </c>
      <c r="AK698" s="1">
        <v>18.0</v>
      </c>
      <c r="AL698" s="1">
        <v>117.0</v>
      </c>
      <c r="AM698" s="1">
        <v>131.0</v>
      </c>
      <c r="AN698" s="1">
        <v>87.0</v>
      </c>
      <c r="AO698" s="1">
        <v>166.0</v>
      </c>
      <c r="AP698" s="1">
        <v>0.168393</v>
      </c>
      <c r="AQ698" s="1">
        <v>0.056207</v>
      </c>
      <c r="AR698" s="1">
        <v>0.056026</v>
      </c>
      <c r="AS698" s="1">
        <v>0.136567</v>
      </c>
      <c r="AT698" s="1">
        <v>21588.0</v>
      </c>
      <c r="AU698" s="1">
        <v>1925.0</v>
      </c>
      <c r="AV698" s="1">
        <v>0.194011</v>
      </c>
      <c r="AW698" s="1">
        <v>0.057624</v>
      </c>
      <c r="AX698" s="1">
        <v>0.15663</v>
      </c>
      <c r="AY698" s="1">
        <v>0.25253</v>
      </c>
      <c r="AZ698" s="1">
        <v>0.13943355</v>
      </c>
      <c r="BA698" s="1">
        <v>0.115285</v>
      </c>
      <c r="BB698" s="1">
        <v>0.001535</v>
      </c>
      <c r="BC698" s="1">
        <v>0.08482</v>
      </c>
      <c r="BD698" s="1">
        <v>0.028827</v>
      </c>
      <c r="BE698" s="1">
        <v>0.065388</v>
      </c>
      <c r="BF698" s="1">
        <v>0.118036</v>
      </c>
      <c r="BG698" s="1">
        <v>0.047373</v>
      </c>
      <c r="BH698" s="1">
        <v>0.007656</v>
      </c>
      <c r="BI698" s="1">
        <v>0.049759</v>
      </c>
      <c r="BJ698" s="1">
        <v>0.05572</v>
      </c>
      <c r="BK698" s="1">
        <v>0.036512</v>
      </c>
      <c r="BL698" s="1">
        <v>0.028478</v>
      </c>
      <c r="BM698" s="1">
        <v>0.635</v>
      </c>
      <c r="BN698" s="1">
        <v>0.366</v>
      </c>
      <c r="BO698" s="1">
        <v>0.5148</v>
      </c>
      <c r="BP698" s="1">
        <v>0.736</v>
      </c>
      <c r="BQ698" s="1">
        <v>2.2518</v>
      </c>
      <c r="BR698" s="1">
        <v>0.5848</v>
      </c>
      <c r="BS698" s="1">
        <v>0.641</v>
      </c>
      <c r="BT698" s="1">
        <v>0.633</v>
      </c>
      <c r="BU698" s="1">
        <v>0.755</v>
      </c>
      <c r="BV698" s="1">
        <v>2.029</v>
      </c>
      <c r="BW698" s="1">
        <v>0.876</v>
      </c>
      <c r="BX698" s="1">
        <v>0.525</v>
      </c>
      <c r="BY698" s="1">
        <v>0.356</v>
      </c>
      <c r="BZ698" s="1">
        <v>0.881</v>
      </c>
      <c r="CA698" s="1">
        <v>0.453</v>
      </c>
      <c r="CB698" s="1">
        <v>0.543</v>
      </c>
      <c r="CC698" s="1">
        <v>0.756</v>
      </c>
      <c r="CD698" s="1">
        <v>0.419</v>
      </c>
      <c r="CE698" s="1">
        <v>0.538</v>
      </c>
      <c r="CF698" s="1">
        <v>0.798</v>
      </c>
      <c r="CG698" s="1">
        <v>3.054</v>
      </c>
      <c r="CH698" s="1">
        <v>0.796</v>
      </c>
      <c r="CI698" s="1">
        <v>8.2158</v>
      </c>
      <c r="CJ698" s="1">
        <v>0.7451</v>
      </c>
      <c r="CK698" s="1">
        <v>0.0</v>
      </c>
      <c r="CL698" s="1">
        <v>0.0</v>
      </c>
      <c r="CM698" s="1">
        <v>0.0</v>
      </c>
      <c r="CN698" s="1">
        <v>0.0</v>
      </c>
      <c r="CO698" s="1">
        <v>0.0</v>
      </c>
      <c r="CP698" s="1">
        <v>0.0</v>
      </c>
      <c r="CQ698" s="1">
        <v>0.0</v>
      </c>
      <c r="CR698" s="1">
        <v>0.0</v>
      </c>
      <c r="CS698" s="1">
        <v>0.0</v>
      </c>
      <c r="CT698" s="1">
        <v>0.0</v>
      </c>
      <c r="CU698" s="1">
        <v>0.0</v>
      </c>
      <c r="CV698" s="1">
        <v>0.0</v>
      </c>
      <c r="CW698" s="1">
        <v>0.0</v>
      </c>
      <c r="CX698" s="1">
        <v>0.0</v>
      </c>
      <c r="CY698" s="1">
        <v>0.0</v>
      </c>
      <c r="CZ698" s="1">
        <v>0.0</v>
      </c>
      <c r="DA698" s="1">
        <v>0.0</v>
      </c>
      <c r="DB698" s="1">
        <v>0.0</v>
      </c>
      <c r="DC698" s="1">
        <v>0.0</v>
      </c>
      <c r="DD698" s="1" t="s">
        <v>3285</v>
      </c>
      <c r="DE698" s="2" t="s">
        <v>3286</v>
      </c>
      <c r="DF698" s="2" t="s">
        <v>3287</v>
      </c>
    </row>
    <row r="699" ht="15.75" customHeight="1">
      <c r="A699" s="1" t="s">
        <v>3288</v>
      </c>
      <c r="B699" s="1">
        <v>29.0</v>
      </c>
      <c r="C699" s="1">
        <v>107.0</v>
      </c>
      <c r="D699" s="2" t="s">
        <v>2011</v>
      </c>
      <c r="E699" s="1">
        <v>91.532</v>
      </c>
      <c r="F699" s="1">
        <v>29107.0</v>
      </c>
      <c r="G699" s="1">
        <v>2.91070903E10</v>
      </c>
      <c r="H699" s="1" t="s">
        <v>112</v>
      </c>
      <c r="I699" s="1" t="s">
        <v>113</v>
      </c>
      <c r="J699" s="1" t="s">
        <v>3266</v>
      </c>
      <c r="K699" s="1" t="s">
        <v>3289</v>
      </c>
      <c r="L699" s="1">
        <v>1517.0</v>
      </c>
      <c r="M699" s="1">
        <v>1519.0</v>
      </c>
      <c r="N699" s="1">
        <v>192.0</v>
      </c>
      <c r="O699" s="1">
        <v>662.0</v>
      </c>
      <c r="P699" s="1">
        <v>660.0</v>
      </c>
      <c r="Q699" s="1">
        <v>61.0</v>
      </c>
      <c r="R699" s="1">
        <v>576.0</v>
      </c>
      <c r="S699" s="1">
        <v>252.0</v>
      </c>
      <c r="T699" s="1">
        <v>116.0</v>
      </c>
      <c r="U699" s="1">
        <v>7.0</v>
      </c>
      <c r="V699" s="1">
        <v>497.0</v>
      </c>
      <c r="W699" s="1">
        <v>19829.0</v>
      </c>
      <c r="X699" s="1">
        <v>2914.0</v>
      </c>
      <c r="Y699" s="1">
        <v>210.0</v>
      </c>
      <c r="Z699" s="1">
        <v>131.0</v>
      </c>
      <c r="AA699" s="1">
        <v>271.0</v>
      </c>
      <c r="AB699" s="1">
        <v>392.0</v>
      </c>
      <c r="AC699" s="1">
        <v>39.0</v>
      </c>
      <c r="AD699" s="1">
        <v>120.0</v>
      </c>
      <c r="AE699" s="1">
        <v>35.0</v>
      </c>
      <c r="AF699" s="1">
        <v>427.0</v>
      </c>
      <c r="AG699" s="1">
        <v>0.0</v>
      </c>
      <c r="AH699" s="1">
        <v>197.0</v>
      </c>
      <c r="AI699" s="1">
        <v>59.0</v>
      </c>
      <c r="AJ699" s="1">
        <v>40.0</v>
      </c>
      <c r="AK699" s="1">
        <v>18.0</v>
      </c>
      <c r="AL699" s="1">
        <v>115.0</v>
      </c>
      <c r="AM699" s="1">
        <v>25.0</v>
      </c>
      <c r="AN699" s="1">
        <v>21.0</v>
      </c>
      <c r="AO699" s="1">
        <v>79.0</v>
      </c>
      <c r="AP699" s="1">
        <v>0.174273</v>
      </c>
      <c r="AQ699" s="1">
        <v>0.077986</v>
      </c>
      <c r="AR699" s="1">
        <v>0.010638</v>
      </c>
      <c r="AS699" s="1">
        <v>0.755317</v>
      </c>
      <c r="AT699" s="1">
        <v>19829.0</v>
      </c>
      <c r="AU699" s="1">
        <v>2914.0</v>
      </c>
      <c r="AV699" s="1">
        <v>0.20019</v>
      </c>
      <c r="AW699" s="1">
        <v>0.121555</v>
      </c>
      <c r="AX699" s="1">
        <v>0.178642</v>
      </c>
      <c r="AY699" s="1">
        <v>0.258404</v>
      </c>
      <c r="AZ699" s="1">
        <v>0.06770833</v>
      </c>
      <c r="BA699" s="1">
        <v>0.079103</v>
      </c>
      <c r="BB699" s="1">
        <v>0.023761</v>
      </c>
      <c r="BC699" s="1">
        <v>0.289868</v>
      </c>
      <c r="BD699" s="1">
        <v>0.0</v>
      </c>
      <c r="BE699" s="1">
        <v>0.298484</v>
      </c>
      <c r="BF699" s="1">
        <v>0.089393</v>
      </c>
      <c r="BG699" s="1">
        <v>0.06004</v>
      </c>
      <c r="BH699" s="1">
        <v>0.030252</v>
      </c>
      <c r="BI699" s="1">
        <v>0.19325</v>
      </c>
      <c r="BJ699" s="1">
        <v>0.042016</v>
      </c>
      <c r="BK699" s="1">
        <v>0.035012</v>
      </c>
      <c r="BL699" s="1">
        <v>0.052076</v>
      </c>
      <c r="BM699" s="1">
        <v>0.66</v>
      </c>
      <c r="BN699" s="1">
        <v>0.008</v>
      </c>
      <c r="BO699" s="1">
        <v>0.6245</v>
      </c>
      <c r="BP699" s="1">
        <v>0.751</v>
      </c>
      <c r="BQ699" s="1">
        <v>2.0435</v>
      </c>
      <c r="BR699" s="1">
        <v>0.5148</v>
      </c>
      <c r="BS699" s="1">
        <v>0.779</v>
      </c>
      <c r="BT699" s="1">
        <v>0.689</v>
      </c>
      <c r="BU699" s="1">
        <v>0.196</v>
      </c>
      <c r="BV699" s="1">
        <v>1.664</v>
      </c>
      <c r="BW699" s="1">
        <v>0.611</v>
      </c>
      <c r="BX699" s="1">
        <v>0.397</v>
      </c>
      <c r="BY699" s="1">
        <v>0.881</v>
      </c>
      <c r="BZ699" s="1">
        <v>1.278</v>
      </c>
      <c r="CA699" s="1">
        <v>0.702</v>
      </c>
      <c r="CB699" s="1">
        <v>0.0</v>
      </c>
      <c r="CC699" s="1">
        <v>0.7</v>
      </c>
      <c r="CD699" s="1">
        <v>0.812</v>
      </c>
      <c r="CE699" s="1">
        <v>0.412</v>
      </c>
      <c r="CF699" s="1">
        <v>0.899</v>
      </c>
      <c r="CG699" s="1">
        <v>2.823</v>
      </c>
      <c r="CH699" s="1">
        <v>0.699</v>
      </c>
      <c r="CI699" s="1">
        <v>7.8085</v>
      </c>
      <c r="CJ699" s="1">
        <v>0.6823</v>
      </c>
      <c r="CK699" s="1">
        <v>0.0</v>
      </c>
      <c r="CL699" s="1">
        <v>0.0</v>
      </c>
      <c r="CM699" s="1">
        <v>0.0</v>
      </c>
      <c r="CN699" s="1">
        <v>0.0</v>
      </c>
      <c r="CO699" s="1">
        <v>0.0</v>
      </c>
      <c r="CP699" s="1">
        <v>0.0</v>
      </c>
      <c r="CQ699" s="1">
        <v>0.0</v>
      </c>
      <c r="CR699" s="1">
        <v>0.0</v>
      </c>
      <c r="CS699" s="1">
        <v>0.0</v>
      </c>
      <c r="CT699" s="1">
        <v>0.0</v>
      </c>
      <c r="CU699" s="1">
        <v>0.0</v>
      </c>
      <c r="CV699" s="1">
        <v>0.0</v>
      </c>
      <c r="CW699" s="1">
        <v>0.0</v>
      </c>
      <c r="CX699" s="1">
        <v>0.0</v>
      </c>
      <c r="CY699" s="1">
        <v>0.0</v>
      </c>
      <c r="CZ699" s="1">
        <v>0.0</v>
      </c>
      <c r="DA699" s="1">
        <v>0.0</v>
      </c>
      <c r="DB699" s="1">
        <v>0.0</v>
      </c>
      <c r="DC699" s="1">
        <v>0.0</v>
      </c>
      <c r="DD699" s="1" t="s">
        <v>3290</v>
      </c>
      <c r="DE699" s="1">
        <v>0.0253565314825001</v>
      </c>
      <c r="DF699" s="2" t="s">
        <v>3291</v>
      </c>
    </row>
    <row r="700" ht="15.75" customHeight="1">
      <c r="A700" s="1" t="s">
        <v>3292</v>
      </c>
      <c r="B700" s="1">
        <v>29.0</v>
      </c>
      <c r="C700" s="1">
        <v>107.0</v>
      </c>
      <c r="D700" s="2" t="s">
        <v>1987</v>
      </c>
      <c r="E700" s="1">
        <v>95.22</v>
      </c>
      <c r="F700" s="1">
        <v>29107.0</v>
      </c>
      <c r="G700" s="1">
        <v>2.91070905E10</v>
      </c>
      <c r="H700" s="1" t="s">
        <v>112</v>
      </c>
      <c r="I700" s="1" t="s">
        <v>113</v>
      </c>
      <c r="J700" s="1" t="s">
        <v>3266</v>
      </c>
      <c r="K700" s="1" t="s">
        <v>3293</v>
      </c>
      <c r="L700" s="1">
        <v>3849.0</v>
      </c>
      <c r="M700" s="1">
        <v>3862.0</v>
      </c>
      <c r="N700" s="1">
        <v>376.0</v>
      </c>
      <c r="O700" s="1">
        <v>1706.0</v>
      </c>
      <c r="P700" s="1">
        <v>1697.0</v>
      </c>
      <c r="Q700" s="1">
        <v>99.0</v>
      </c>
      <c r="R700" s="1">
        <v>1533.0</v>
      </c>
      <c r="S700" s="1">
        <v>425.0</v>
      </c>
      <c r="T700" s="1">
        <v>255.0</v>
      </c>
      <c r="U700" s="1">
        <v>115.0</v>
      </c>
      <c r="V700" s="1">
        <v>416.0</v>
      </c>
      <c r="W700" s="1">
        <v>22698.0</v>
      </c>
      <c r="X700" s="1">
        <v>2136.0</v>
      </c>
      <c r="Y700" s="1">
        <v>354.0</v>
      </c>
      <c r="Z700" s="1">
        <v>244.0</v>
      </c>
      <c r="AA700" s="1">
        <v>776.0</v>
      </c>
      <c r="AB700" s="1">
        <v>921.0</v>
      </c>
      <c r="AC700" s="1">
        <v>120.0</v>
      </c>
      <c r="AD700" s="1">
        <v>160.0</v>
      </c>
      <c r="AE700" s="1">
        <v>0.0</v>
      </c>
      <c r="AF700" s="1">
        <v>456.0</v>
      </c>
      <c r="AG700" s="1">
        <v>36.0</v>
      </c>
      <c r="AH700" s="1">
        <v>121.0</v>
      </c>
      <c r="AI700" s="1">
        <v>52.0</v>
      </c>
      <c r="AJ700" s="1">
        <v>50.0</v>
      </c>
      <c r="AK700" s="1">
        <v>6.0</v>
      </c>
      <c r="AL700" s="1">
        <v>115.0</v>
      </c>
      <c r="AM700" s="1">
        <v>53.0</v>
      </c>
      <c r="AN700" s="1">
        <v>29.0</v>
      </c>
      <c r="AO700" s="1">
        <v>75.0</v>
      </c>
      <c r="AP700" s="1">
        <v>0.11679</v>
      </c>
      <c r="AQ700" s="1">
        <v>0.069098</v>
      </c>
      <c r="AR700" s="1">
        <v>0.060943</v>
      </c>
      <c r="AS700" s="1">
        <v>0.220318</v>
      </c>
      <c r="AT700" s="1">
        <v>22698.0</v>
      </c>
      <c r="AU700" s="1">
        <v>2136.0</v>
      </c>
      <c r="AV700" s="1">
        <v>0.131991</v>
      </c>
      <c r="AW700" s="1">
        <v>0.090238</v>
      </c>
      <c r="AX700" s="1">
        <v>0.20161</v>
      </c>
      <c r="AY700" s="1">
        <v>0.239282</v>
      </c>
      <c r="AZ700" s="1">
        <v>0.07827788</v>
      </c>
      <c r="BA700" s="1">
        <v>0.041569</v>
      </c>
      <c r="BB700" s="1">
        <v>0.0</v>
      </c>
      <c r="BC700" s="1">
        <v>0.124183</v>
      </c>
      <c r="BD700" s="1">
        <v>0.021213</v>
      </c>
      <c r="BE700" s="1">
        <v>0.071291</v>
      </c>
      <c r="BF700" s="1">
        <v>0.030642</v>
      </c>
      <c r="BG700" s="1">
        <v>0.029409</v>
      </c>
      <c r="BH700" s="1">
        <v>0.004129</v>
      </c>
      <c r="BI700" s="1">
        <v>0.079145</v>
      </c>
      <c r="BJ700" s="1">
        <v>0.036476</v>
      </c>
      <c r="BK700" s="1">
        <v>0.01973</v>
      </c>
      <c r="BL700" s="1">
        <v>0.019485</v>
      </c>
      <c r="BM700" s="1">
        <v>0.439</v>
      </c>
      <c r="BN700" s="1">
        <v>0.424</v>
      </c>
      <c r="BO700" s="1">
        <v>0.4606</v>
      </c>
      <c r="BP700" s="1">
        <v>0.479</v>
      </c>
      <c r="BQ700" s="1">
        <v>1.8026</v>
      </c>
      <c r="BR700" s="1">
        <v>0.4318</v>
      </c>
      <c r="BS700" s="1">
        <v>0.877</v>
      </c>
      <c r="BT700" s="1">
        <v>0.489</v>
      </c>
      <c r="BU700" s="1">
        <v>0.288</v>
      </c>
      <c r="BV700" s="1">
        <v>1.654</v>
      </c>
      <c r="BW700" s="1">
        <v>0.606</v>
      </c>
      <c r="BX700" s="1">
        <v>0.176</v>
      </c>
      <c r="BY700" s="1">
        <v>0.0</v>
      </c>
      <c r="BZ700" s="1">
        <v>0.176</v>
      </c>
      <c r="CA700" s="1">
        <v>0.083</v>
      </c>
      <c r="CB700" s="1">
        <v>0.476</v>
      </c>
      <c r="CC700" s="1">
        <v>0.552</v>
      </c>
      <c r="CD700" s="1">
        <v>0.31</v>
      </c>
      <c r="CE700" s="1">
        <v>0.346</v>
      </c>
      <c r="CF700" s="1">
        <v>0.704</v>
      </c>
      <c r="CG700" s="1">
        <v>2.388</v>
      </c>
      <c r="CH700" s="1">
        <v>0.507</v>
      </c>
      <c r="CI700" s="1">
        <v>6.0206</v>
      </c>
      <c r="CJ700" s="1">
        <v>0.3747</v>
      </c>
      <c r="CK700" s="1">
        <v>0.0</v>
      </c>
      <c r="CL700" s="1">
        <v>0.0</v>
      </c>
      <c r="CM700" s="1">
        <v>0.0</v>
      </c>
      <c r="CN700" s="1">
        <v>0.0</v>
      </c>
      <c r="CO700" s="1">
        <v>0.0</v>
      </c>
      <c r="CP700" s="1">
        <v>0.0</v>
      </c>
      <c r="CQ700" s="1">
        <v>0.0</v>
      </c>
      <c r="CR700" s="1">
        <v>0.0</v>
      </c>
      <c r="CS700" s="1">
        <v>0.0</v>
      </c>
      <c r="CT700" s="1">
        <v>0.0</v>
      </c>
      <c r="CU700" s="1">
        <v>0.0</v>
      </c>
      <c r="CV700" s="1">
        <v>0.0</v>
      </c>
      <c r="CW700" s="1">
        <v>0.0</v>
      </c>
      <c r="CX700" s="1">
        <v>0.0</v>
      </c>
      <c r="CY700" s="1">
        <v>0.0</v>
      </c>
      <c r="CZ700" s="1">
        <v>0.0</v>
      </c>
      <c r="DA700" s="1">
        <v>0.0</v>
      </c>
      <c r="DB700" s="1">
        <v>0.0</v>
      </c>
      <c r="DC700" s="1">
        <v>0.0</v>
      </c>
      <c r="DD700" s="1" t="s">
        <v>3294</v>
      </c>
      <c r="DE700" s="1">
        <v>0.0258861486163868</v>
      </c>
      <c r="DF700" s="2" t="s">
        <v>3295</v>
      </c>
    </row>
    <row r="701" ht="15.75" customHeight="1">
      <c r="A701" s="1" t="s">
        <v>3296</v>
      </c>
      <c r="B701" s="1">
        <v>29.0</v>
      </c>
      <c r="C701" s="1">
        <v>109.0</v>
      </c>
      <c r="D701" s="1">
        <v>470601.0</v>
      </c>
      <c r="E701" s="1">
        <v>4.696</v>
      </c>
      <c r="F701" s="1">
        <v>29109.0</v>
      </c>
      <c r="G701" s="1">
        <v>2.9109470601E10</v>
      </c>
      <c r="H701" s="1" t="s">
        <v>112</v>
      </c>
      <c r="I701" s="1" t="s">
        <v>113</v>
      </c>
      <c r="J701" s="1" t="s">
        <v>3297</v>
      </c>
      <c r="K701" s="1" t="s">
        <v>3298</v>
      </c>
      <c r="L701" s="1">
        <v>4945.0</v>
      </c>
      <c r="M701" s="1">
        <v>4838.0</v>
      </c>
      <c r="N701" s="1">
        <v>309.0</v>
      </c>
      <c r="O701" s="1">
        <v>2297.0</v>
      </c>
      <c r="P701" s="1">
        <v>2215.0</v>
      </c>
      <c r="Q701" s="1">
        <v>177.0</v>
      </c>
      <c r="R701" s="1">
        <v>1987.0</v>
      </c>
      <c r="S701" s="1">
        <v>880.0</v>
      </c>
      <c r="T701" s="1">
        <v>375.0</v>
      </c>
      <c r="U701" s="1">
        <v>273.0</v>
      </c>
      <c r="V701" s="1">
        <v>445.0</v>
      </c>
      <c r="W701" s="1">
        <v>15494.0</v>
      </c>
      <c r="X701" s="1">
        <v>1471.0</v>
      </c>
      <c r="Y701" s="1">
        <v>611.0</v>
      </c>
      <c r="Z701" s="1">
        <v>304.0</v>
      </c>
      <c r="AA701" s="1">
        <v>716.0</v>
      </c>
      <c r="AB701" s="1">
        <v>1362.0</v>
      </c>
      <c r="AC701" s="1">
        <v>250.0</v>
      </c>
      <c r="AD701" s="1">
        <v>549.0</v>
      </c>
      <c r="AE701" s="1">
        <v>0.0</v>
      </c>
      <c r="AF701" s="1">
        <v>456.0</v>
      </c>
      <c r="AG701" s="1">
        <v>76.0</v>
      </c>
      <c r="AH701" s="1">
        <v>130.0</v>
      </c>
      <c r="AI701" s="1">
        <v>41.0</v>
      </c>
      <c r="AJ701" s="1">
        <v>32.0</v>
      </c>
      <c r="AK701" s="1">
        <v>65.0</v>
      </c>
      <c r="AL701" s="1">
        <v>133.0</v>
      </c>
      <c r="AM701" s="1">
        <v>151.0</v>
      </c>
      <c r="AN701" s="1">
        <v>102.0</v>
      </c>
      <c r="AO701" s="1">
        <v>0.0</v>
      </c>
      <c r="AP701" s="1">
        <v>0.182914</v>
      </c>
      <c r="AQ701" s="1">
        <v>0.077061</v>
      </c>
      <c r="AR701" s="1">
        <v>0.12847</v>
      </c>
      <c r="AS701" s="1">
        <v>0.20856</v>
      </c>
      <c r="AT701" s="1">
        <v>15494.0</v>
      </c>
      <c r="AU701" s="1">
        <v>1471.0</v>
      </c>
      <c r="AV701" s="1">
        <v>0.192138</v>
      </c>
      <c r="AW701" s="1">
        <v>0.094861</v>
      </c>
      <c r="AX701" s="1">
        <v>0.144792</v>
      </c>
      <c r="AY701" s="1">
        <v>0.275429</v>
      </c>
      <c r="AZ701" s="1">
        <v>0.12581781</v>
      </c>
      <c r="BA701" s="1">
        <v>0.111021</v>
      </c>
      <c r="BB701" s="1">
        <v>0.0</v>
      </c>
      <c r="BC701" s="1">
        <v>0.104755</v>
      </c>
      <c r="BD701" s="1">
        <v>0.034311</v>
      </c>
      <c r="BE701" s="1">
        <v>0.058626</v>
      </c>
      <c r="BF701" s="1">
        <v>0.01851</v>
      </c>
      <c r="BG701" s="1">
        <v>0.014371</v>
      </c>
      <c r="BH701" s="1">
        <v>0.032663</v>
      </c>
      <c r="BI701" s="1">
        <v>0.066781</v>
      </c>
      <c r="BJ701" s="1">
        <v>0.075879</v>
      </c>
      <c r="BK701" s="1">
        <v>0.050887</v>
      </c>
      <c r="BL701" s="1">
        <v>0.0</v>
      </c>
      <c r="BM701" s="1">
        <v>0.682</v>
      </c>
      <c r="BN701" s="1">
        <v>0.851</v>
      </c>
      <c r="BO701" s="1">
        <v>0.8578</v>
      </c>
      <c r="BP701" s="1">
        <v>0.73</v>
      </c>
      <c r="BQ701" s="1">
        <v>3.1208</v>
      </c>
      <c r="BR701" s="1">
        <v>0.8303</v>
      </c>
      <c r="BS701" s="1">
        <v>0.537</v>
      </c>
      <c r="BT701" s="1">
        <v>0.825</v>
      </c>
      <c r="BU701" s="1">
        <v>0.7</v>
      </c>
      <c r="BV701" s="1">
        <v>2.062</v>
      </c>
      <c r="BW701" s="1">
        <v>0.898</v>
      </c>
      <c r="BX701" s="1">
        <v>0.507</v>
      </c>
      <c r="BY701" s="1">
        <v>0.0</v>
      </c>
      <c r="BZ701" s="1">
        <v>0.507</v>
      </c>
      <c r="CA701" s="1">
        <v>0.212</v>
      </c>
      <c r="CB701" s="1">
        <v>0.574</v>
      </c>
      <c r="CC701" s="1">
        <v>0.505</v>
      </c>
      <c r="CD701" s="1">
        <v>0.838</v>
      </c>
      <c r="CE701" s="1">
        <v>0.652</v>
      </c>
      <c r="CF701" s="1">
        <v>0.0</v>
      </c>
      <c r="CG701" s="1">
        <v>2.569</v>
      </c>
      <c r="CH701" s="1">
        <v>0.592</v>
      </c>
      <c r="CI701" s="1">
        <v>8.2588</v>
      </c>
      <c r="CJ701" s="1">
        <v>0.7531</v>
      </c>
      <c r="CK701" s="1">
        <v>0.0</v>
      </c>
      <c r="CL701" s="1">
        <v>0.0</v>
      </c>
      <c r="CM701" s="1">
        <v>0.0</v>
      </c>
      <c r="CN701" s="1">
        <v>0.0</v>
      </c>
      <c r="CO701" s="1">
        <v>0.0</v>
      </c>
      <c r="CP701" s="1">
        <v>0.0</v>
      </c>
      <c r="CQ701" s="1">
        <v>0.0</v>
      </c>
      <c r="CR701" s="1">
        <v>0.0</v>
      </c>
      <c r="CS701" s="1">
        <v>0.0</v>
      </c>
      <c r="CT701" s="1">
        <v>0.0</v>
      </c>
      <c r="CU701" s="1">
        <v>0.0</v>
      </c>
      <c r="CV701" s="1">
        <v>0.0</v>
      </c>
      <c r="CW701" s="1">
        <v>0.0</v>
      </c>
      <c r="CX701" s="1">
        <v>0.0</v>
      </c>
      <c r="CY701" s="1">
        <v>0.0</v>
      </c>
      <c r="CZ701" s="1">
        <v>0.0</v>
      </c>
      <c r="DA701" s="1">
        <v>0.0</v>
      </c>
      <c r="DB701" s="1">
        <v>0.0</v>
      </c>
      <c r="DC701" s="1">
        <v>0.0</v>
      </c>
      <c r="DD701" s="1" t="s">
        <v>3299</v>
      </c>
      <c r="DE701" s="1">
        <v>0.00123815540755374</v>
      </c>
      <c r="DF701" s="2" t="s">
        <v>3300</v>
      </c>
    </row>
    <row r="702" ht="15.75" customHeight="1">
      <c r="A702" s="1" t="s">
        <v>3301</v>
      </c>
      <c r="B702" s="1">
        <v>29.0</v>
      </c>
      <c r="C702" s="1">
        <v>109.0</v>
      </c>
      <c r="D702" s="1">
        <v>470400.0</v>
      </c>
      <c r="E702" s="1">
        <v>42.782</v>
      </c>
      <c r="F702" s="1">
        <v>29109.0</v>
      </c>
      <c r="G702" s="1">
        <v>2.91094704E10</v>
      </c>
      <c r="H702" s="1" t="s">
        <v>112</v>
      </c>
      <c r="I702" s="1" t="s">
        <v>113</v>
      </c>
      <c r="J702" s="1" t="s">
        <v>3297</v>
      </c>
      <c r="K702" s="1" t="s">
        <v>3302</v>
      </c>
      <c r="L702" s="1">
        <v>6665.0</v>
      </c>
      <c r="M702" s="1">
        <v>7314.0</v>
      </c>
      <c r="N702" s="1">
        <v>435.0</v>
      </c>
      <c r="O702" s="1">
        <v>2774.0</v>
      </c>
      <c r="P702" s="1">
        <v>2908.0</v>
      </c>
      <c r="Q702" s="1">
        <v>176.0</v>
      </c>
      <c r="R702" s="1">
        <v>2536.0</v>
      </c>
      <c r="S702" s="1">
        <v>1425.0</v>
      </c>
      <c r="T702" s="1">
        <v>448.0</v>
      </c>
      <c r="U702" s="1">
        <v>254.0</v>
      </c>
      <c r="V702" s="1">
        <v>363.0</v>
      </c>
      <c r="W702" s="1">
        <v>18043.0</v>
      </c>
      <c r="X702" s="1">
        <v>1913.0</v>
      </c>
      <c r="Y702" s="1">
        <v>1079.0</v>
      </c>
      <c r="Z702" s="1">
        <v>298.0</v>
      </c>
      <c r="AA702" s="1">
        <v>974.0</v>
      </c>
      <c r="AB702" s="1">
        <v>1834.0</v>
      </c>
      <c r="AC702" s="1">
        <v>287.0</v>
      </c>
      <c r="AD702" s="1">
        <v>1064.0</v>
      </c>
      <c r="AE702" s="1">
        <v>272.0</v>
      </c>
      <c r="AF702" s="1">
        <v>410.0</v>
      </c>
      <c r="AG702" s="1">
        <v>91.0</v>
      </c>
      <c r="AH702" s="1">
        <v>185.0</v>
      </c>
      <c r="AI702" s="1">
        <v>287.0</v>
      </c>
      <c r="AJ702" s="1">
        <v>82.0</v>
      </c>
      <c r="AK702" s="1">
        <v>110.0</v>
      </c>
      <c r="AL702" s="1">
        <v>143.0</v>
      </c>
      <c r="AM702" s="1">
        <v>103.0</v>
      </c>
      <c r="AN702" s="1">
        <v>50.0</v>
      </c>
      <c r="AO702" s="1">
        <v>6.0</v>
      </c>
      <c r="AP702" s="1">
        <v>0.195098</v>
      </c>
      <c r="AQ702" s="1">
        <v>0.060225</v>
      </c>
      <c r="AR702" s="1">
        <v>0.070555</v>
      </c>
      <c r="AS702" s="1">
        <v>0.100594</v>
      </c>
      <c r="AT702" s="1">
        <v>18043.0</v>
      </c>
      <c r="AU702" s="1">
        <v>1913.0</v>
      </c>
      <c r="AV702" s="1">
        <v>0.234769</v>
      </c>
      <c r="AW702" s="1">
        <v>0.063287</v>
      </c>
      <c r="AX702" s="1">
        <v>0.146136</v>
      </c>
      <c r="AY702" s="1">
        <v>0.275168</v>
      </c>
      <c r="AZ702" s="1">
        <v>0.11317034</v>
      </c>
      <c r="BA702" s="1">
        <v>0.159639</v>
      </c>
      <c r="BB702" s="1">
        <v>0.040011</v>
      </c>
      <c r="BC702" s="1">
        <v>0.060263</v>
      </c>
      <c r="BD702" s="1">
        <v>0.031292</v>
      </c>
      <c r="BE702" s="1">
        <v>0.063589</v>
      </c>
      <c r="BF702" s="1">
        <v>0.098693</v>
      </c>
      <c r="BG702" s="1">
        <v>0.027558</v>
      </c>
      <c r="BH702" s="1">
        <v>0.039299</v>
      </c>
      <c r="BI702" s="1">
        <v>0.051025</v>
      </c>
      <c r="BJ702" s="1">
        <v>0.036798</v>
      </c>
      <c r="BK702" s="1">
        <v>0.0177</v>
      </c>
      <c r="BL702" s="1">
        <v>9.0E-4</v>
      </c>
      <c r="BM702" s="1">
        <v>0.716</v>
      </c>
      <c r="BN702" s="1">
        <v>0.521</v>
      </c>
      <c r="BO702" s="1">
        <v>0.73</v>
      </c>
      <c r="BP702" s="1">
        <v>0.835</v>
      </c>
      <c r="BQ702" s="1">
        <v>2.802</v>
      </c>
      <c r="BR702" s="1">
        <v>0.7487</v>
      </c>
      <c r="BS702" s="1">
        <v>0.548</v>
      </c>
      <c r="BT702" s="1">
        <v>0.823</v>
      </c>
      <c r="BU702" s="1">
        <v>0.614</v>
      </c>
      <c r="BV702" s="1">
        <v>1.985</v>
      </c>
      <c r="BW702" s="1">
        <v>0.85</v>
      </c>
      <c r="BX702" s="1">
        <v>0.648</v>
      </c>
      <c r="BY702" s="1">
        <v>0.946</v>
      </c>
      <c r="BZ702" s="1">
        <v>1.594</v>
      </c>
      <c r="CA702" s="1">
        <v>0.869</v>
      </c>
      <c r="CB702" s="1">
        <v>0.555</v>
      </c>
      <c r="CC702" s="1">
        <v>0.713</v>
      </c>
      <c r="CD702" s="1">
        <v>0.889</v>
      </c>
      <c r="CE702" s="1">
        <v>0.356</v>
      </c>
      <c r="CF702" s="1">
        <v>0.391</v>
      </c>
      <c r="CG702" s="1">
        <v>2.904</v>
      </c>
      <c r="CH702" s="1">
        <v>0.733</v>
      </c>
      <c r="CI702" s="1">
        <v>9.285</v>
      </c>
      <c r="CJ702" s="1">
        <v>0.8852</v>
      </c>
      <c r="CK702" s="1">
        <v>0.0</v>
      </c>
      <c r="CL702" s="1">
        <v>0.0</v>
      </c>
      <c r="CM702" s="1">
        <v>0.0</v>
      </c>
      <c r="CN702" s="1">
        <v>0.0</v>
      </c>
      <c r="CO702" s="1">
        <v>0.0</v>
      </c>
      <c r="CP702" s="1">
        <v>0.0</v>
      </c>
      <c r="CQ702" s="1">
        <v>0.0</v>
      </c>
      <c r="CR702" s="1">
        <v>0.0</v>
      </c>
      <c r="CS702" s="1">
        <v>0.0</v>
      </c>
      <c r="CT702" s="1">
        <v>0.0</v>
      </c>
      <c r="CU702" s="1">
        <v>1.0</v>
      </c>
      <c r="CV702" s="1">
        <v>1.0</v>
      </c>
      <c r="CW702" s="1">
        <v>0.0</v>
      </c>
      <c r="CX702" s="1">
        <v>0.0</v>
      </c>
      <c r="CY702" s="1">
        <v>0.0</v>
      </c>
      <c r="CZ702" s="1">
        <v>0.0</v>
      </c>
      <c r="DA702" s="1">
        <v>0.0</v>
      </c>
      <c r="DB702" s="1">
        <v>0.0</v>
      </c>
      <c r="DC702" s="1">
        <v>1.0</v>
      </c>
      <c r="DD702" s="1" t="s">
        <v>3303</v>
      </c>
      <c r="DE702" s="2" t="s">
        <v>3304</v>
      </c>
      <c r="DF702" s="2" t="s">
        <v>3305</v>
      </c>
    </row>
    <row r="703" ht="15.75" customHeight="1">
      <c r="A703" s="1" t="s">
        <v>3306</v>
      </c>
      <c r="B703" s="1">
        <v>29.0</v>
      </c>
      <c r="C703" s="1">
        <v>109.0</v>
      </c>
      <c r="D703" s="1">
        <v>470500.0</v>
      </c>
      <c r="E703" s="1">
        <v>102.859</v>
      </c>
      <c r="F703" s="1">
        <v>29109.0</v>
      </c>
      <c r="G703" s="1">
        <v>2.91094705E10</v>
      </c>
      <c r="H703" s="1" t="s">
        <v>112</v>
      </c>
      <c r="I703" s="1" t="s">
        <v>113</v>
      </c>
      <c r="J703" s="1" t="s">
        <v>3297</v>
      </c>
      <c r="K703" s="1" t="s">
        <v>3307</v>
      </c>
      <c r="L703" s="1">
        <v>6742.0</v>
      </c>
      <c r="M703" s="1">
        <v>5861.0</v>
      </c>
      <c r="N703" s="1">
        <v>544.0</v>
      </c>
      <c r="O703" s="1">
        <v>2970.0</v>
      </c>
      <c r="P703" s="1">
        <v>2830.0</v>
      </c>
      <c r="Q703" s="1">
        <v>196.0</v>
      </c>
      <c r="R703" s="1">
        <v>2671.0</v>
      </c>
      <c r="S703" s="1">
        <v>765.0</v>
      </c>
      <c r="T703" s="1">
        <v>242.0</v>
      </c>
      <c r="U703" s="1">
        <v>234.0</v>
      </c>
      <c r="V703" s="1">
        <v>394.0</v>
      </c>
      <c r="W703" s="1">
        <v>21505.0</v>
      </c>
      <c r="X703" s="1">
        <v>4757.0</v>
      </c>
      <c r="Y703" s="1">
        <v>905.0</v>
      </c>
      <c r="Z703" s="1">
        <v>288.0</v>
      </c>
      <c r="AA703" s="1">
        <v>1251.0</v>
      </c>
      <c r="AB703" s="1">
        <v>1633.0</v>
      </c>
      <c r="AC703" s="1">
        <v>242.0</v>
      </c>
      <c r="AD703" s="1">
        <v>283.0</v>
      </c>
      <c r="AE703" s="1">
        <v>0.0</v>
      </c>
      <c r="AF703" s="1">
        <v>456.0</v>
      </c>
      <c r="AG703" s="1">
        <v>8.0</v>
      </c>
      <c r="AH703" s="1">
        <v>162.0</v>
      </c>
      <c r="AI703" s="1">
        <v>539.0</v>
      </c>
      <c r="AJ703" s="1">
        <v>161.0</v>
      </c>
      <c r="AK703" s="1">
        <v>9.0</v>
      </c>
      <c r="AL703" s="1">
        <v>115.0</v>
      </c>
      <c r="AM703" s="1">
        <v>81.0</v>
      </c>
      <c r="AN703" s="1">
        <v>43.0</v>
      </c>
      <c r="AO703" s="1">
        <v>76.0</v>
      </c>
      <c r="AP703" s="1">
        <v>0.140444</v>
      </c>
      <c r="AQ703" s="1">
        <v>0.042844</v>
      </c>
      <c r="AR703" s="1">
        <v>0.088069</v>
      </c>
      <c r="AS703" s="1">
        <v>0.147902</v>
      </c>
      <c r="AT703" s="1">
        <v>21505.0</v>
      </c>
      <c r="AU703" s="1">
        <v>4757.0</v>
      </c>
      <c r="AV703" s="1">
        <v>0.196781</v>
      </c>
      <c r="AW703" s="1">
        <v>0.059113</v>
      </c>
      <c r="AX703" s="1">
        <v>0.185553</v>
      </c>
      <c r="AY703" s="1">
        <v>0.242212</v>
      </c>
      <c r="AZ703" s="1">
        <v>0.09060277</v>
      </c>
      <c r="BA703" s="1">
        <v>0.041975</v>
      </c>
      <c r="BB703" s="1">
        <v>0.0</v>
      </c>
      <c r="BC703" s="1">
        <v>0.081297</v>
      </c>
      <c r="BD703" s="1">
        <v>0.002826</v>
      </c>
      <c r="BE703" s="1">
        <v>0.057243</v>
      </c>
      <c r="BF703" s="1">
        <v>0.190459</v>
      </c>
      <c r="BG703" s="1">
        <v>0.05534</v>
      </c>
      <c r="BH703" s="1">
        <v>0.003629</v>
      </c>
      <c r="BI703" s="1">
        <v>0.046369</v>
      </c>
      <c r="BJ703" s="1">
        <v>0.032661</v>
      </c>
      <c r="BK703" s="1">
        <v>0.017116</v>
      </c>
      <c r="BL703" s="1">
        <v>0.011272</v>
      </c>
      <c r="BM703" s="1">
        <v>0.546</v>
      </c>
      <c r="BN703" s="1">
        <v>0.668</v>
      </c>
      <c r="BO703" s="1">
        <v>0.5213</v>
      </c>
      <c r="BP703" s="1">
        <v>0.742</v>
      </c>
      <c r="BQ703" s="1">
        <v>2.4773</v>
      </c>
      <c r="BR703" s="1">
        <v>0.6592</v>
      </c>
      <c r="BS703" s="1">
        <v>0.818</v>
      </c>
      <c r="BT703" s="1">
        <v>0.516</v>
      </c>
      <c r="BU703" s="1">
        <v>0.408</v>
      </c>
      <c r="BV703" s="1">
        <v>1.742</v>
      </c>
      <c r="BW703" s="1">
        <v>0.675</v>
      </c>
      <c r="BX703" s="1">
        <v>0.184</v>
      </c>
      <c r="BY703" s="1">
        <v>0.0</v>
      </c>
      <c r="BZ703" s="1">
        <v>0.184</v>
      </c>
      <c r="CA703" s="1">
        <v>0.087</v>
      </c>
      <c r="CB703" s="1">
        <v>0.284</v>
      </c>
      <c r="CC703" s="1">
        <v>0.882</v>
      </c>
      <c r="CD703" s="1">
        <v>0.305</v>
      </c>
      <c r="CE703" s="1">
        <v>0.308</v>
      </c>
      <c r="CF703" s="1">
        <v>0.596</v>
      </c>
      <c r="CG703" s="1">
        <v>2.375</v>
      </c>
      <c r="CH703" s="1">
        <v>0.5</v>
      </c>
      <c r="CI703" s="1">
        <v>6.7783</v>
      </c>
      <c r="CJ703" s="1">
        <v>0.5069</v>
      </c>
      <c r="CK703" s="1">
        <v>0.0</v>
      </c>
      <c r="CL703" s="1">
        <v>0.0</v>
      </c>
      <c r="CM703" s="1">
        <v>0.0</v>
      </c>
      <c r="CN703" s="1">
        <v>0.0</v>
      </c>
      <c r="CO703" s="1">
        <v>0.0</v>
      </c>
      <c r="CP703" s="1">
        <v>0.0</v>
      </c>
      <c r="CQ703" s="1">
        <v>0.0</v>
      </c>
      <c r="CR703" s="1">
        <v>0.0</v>
      </c>
      <c r="CS703" s="1">
        <v>0.0</v>
      </c>
      <c r="CT703" s="1">
        <v>0.0</v>
      </c>
      <c r="CU703" s="1">
        <v>0.0</v>
      </c>
      <c r="CV703" s="1">
        <v>0.0</v>
      </c>
      <c r="CW703" s="1">
        <v>0.0</v>
      </c>
      <c r="CX703" s="1">
        <v>0.0</v>
      </c>
      <c r="CY703" s="1">
        <v>0.0</v>
      </c>
      <c r="CZ703" s="1">
        <v>0.0</v>
      </c>
      <c r="DA703" s="1">
        <v>0.0</v>
      </c>
      <c r="DB703" s="1">
        <v>0.0</v>
      </c>
      <c r="DC703" s="1">
        <v>0.0</v>
      </c>
      <c r="DD703" s="1" t="s">
        <v>3308</v>
      </c>
      <c r="DE703" s="2" t="s">
        <v>3309</v>
      </c>
      <c r="DF703" s="2" t="s">
        <v>3310</v>
      </c>
    </row>
    <row r="704" ht="15.75" customHeight="1">
      <c r="A704" s="1" t="s">
        <v>3311</v>
      </c>
      <c r="B704" s="1">
        <v>29.0</v>
      </c>
      <c r="C704" s="1">
        <v>109.0</v>
      </c>
      <c r="D704" s="1">
        <v>470602.0</v>
      </c>
      <c r="E704" s="1">
        <v>5.019</v>
      </c>
      <c r="F704" s="1">
        <v>29109.0</v>
      </c>
      <c r="G704" s="1">
        <v>2.9109470602E10</v>
      </c>
      <c r="H704" s="1" t="s">
        <v>112</v>
      </c>
      <c r="I704" s="1" t="s">
        <v>113</v>
      </c>
      <c r="J704" s="1" t="s">
        <v>3297</v>
      </c>
      <c r="K704" s="1" t="s">
        <v>3312</v>
      </c>
      <c r="L704" s="1">
        <v>2892.0</v>
      </c>
      <c r="M704" s="1">
        <v>2815.0</v>
      </c>
      <c r="N704" s="1">
        <v>315.0</v>
      </c>
      <c r="O704" s="1">
        <v>1268.0</v>
      </c>
      <c r="P704" s="1">
        <v>1144.0</v>
      </c>
      <c r="Q704" s="1">
        <v>110.0</v>
      </c>
      <c r="R704" s="1">
        <v>1113.0</v>
      </c>
      <c r="S704" s="1">
        <v>787.0</v>
      </c>
      <c r="T704" s="1">
        <v>369.0</v>
      </c>
      <c r="U704" s="1">
        <v>130.0</v>
      </c>
      <c r="V704" s="1">
        <v>436.0</v>
      </c>
      <c r="W704" s="1">
        <v>19047.0</v>
      </c>
      <c r="X704" s="1">
        <v>5198.0</v>
      </c>
      <c r="Y704" s="1">
        <v>541.0</v>
      </c>
      <c r="Z704" s="1">
        <v>226.0</v>
      </c>
      <c r="AA704" s="1">
        <v>553.0</v>
      </c>
      <c r="AB704" s="1">
        <v>762.0</v>
      </c>
      <c r="AC704" s="1">
        <v>157.0</v>
      </c>
      <c r="AD704" s="1">
        <v>235.0</v>
      </c>
      <c r="AE704" s="1">
        <v>78.0</v>
      </c>
      <c r="AF704" s="1">
        <v>437.0</v>
      </c>
      <c r="AG704" s="1">
        <v>0.0</v>
      </c>
      <c r="AH704" s="1">
        <v>197.0</v>
      </c>
      <c r="AI704" s="1">
        <v>73.0</v>
      </c>
      <c r="AJ704" s="1">
        <v>54.0</v>
      </c>
      <c r="AK704" s="1">
        <v>22.0</v>
      </c>
      <c r="AL704" s="1">
        <v>118.0</v>
      </c>
      <c r="AM704" s="1">
        <v>37.0</v>
      </c>
      <c r="AN704" s="1">
        <v>43.0</v>
      </c>
      <c r="AO704" s="1">
        <v>73.0</v>
      </c>
      <c r="AP704" s="1">
        <v>0.296421</v>
      </c>
      <c r="AQ704" s="1">
        <v>0.134633</v>
      </c>
      <c r="AR704" s="1">
        <v>0.105519</v>
      </c>
      <c r="AS704" s="1">
        <v>0.353139</v>
      </c>
      <c r="AT704" s="1">
        <v>19047.0</v>
      </c>
      <c r="AU704" s="1">
        <v>5198.0</v>
      </c>
      <c r="AV704" s="1">
        <v>0.300221</v>
      </c>
      <c r="AW704" s="1">
        <v>0.121736</v>
      </c>
      <c r="AX704" s="1">
        <v>0.191217</v>
      </c>
      <c r="AY704" s="1">
        <v>0.263485</v>
      </c>
      <c r="AZ704" s="1">
        <v>0.14106019</v>
      </c>
      <c r="BA704" s="1">
        <v>0.081258</v>
      </c>
      <c r="BB704" s="1">
        <v>0.029635</v>
      </c>
      <c r="BC704" s="1">
        <v>0.165999</v>
      </c>
      <c r="BD704" s="1">
        <v>0.0</v>
      </c>
      <c r="BE704" s="1">
        <v>0.172202</v>
      </c>
      <c r="BF704" s="1">
        <v>0.063811</v>
      </c>
      <c r="BG704" s="1">
        <v>0.046802</v>
      </c>
      <c r="BH704" s="1">
        <v>0.020128</v>
      </c>
      <c r="BI704" s="1">
        <v>0.10794</v>
      </c>
      <c r="BJ704" s="1">
        <v>0.033851</v>
      </c>
      <c r="BK704" s="1">
        <v>0.039193</v>
      </c>
      <c r="BL704" s="1">
        <v>0.025242</v>
      </c>
      <c r="BM704" s="1">
        <v>0.881</v>
      </c>
      <c r="BN704" s="1">
        <v>0.764</v>
      </c>
      <c r="BO704" s="1">
        <v>0.6664</v>
      </c>
      <c r="BP704" s="1">
        <v>0.946</v>
      </c>
      <c r="BQ704" s="1">
        <v>3.2574</v>
      </c>
      <c r="BR704" s="1">
        <v>0.87</v>
      </c>
      <c r="BS704" s="1">
        <v>0.843</v>
      </c>
      <c r="BT704" s="1">
        <v>0.734</v>
      </c>
      <c r="BU704" s="1">
        <v>0.764</v>
      </c>
      <c r="BV704" s="1">
        <v>2.341</v>
      </c>
      <c r="BW704" s="1">
        <v>0.985</v>
      </c>
      <c r="BX704" s="1">
        <v>0.402</v>
      </c>
      <c r="BY704" s="1">
        <v>0.911</v>
      </c>
      <c r="BZ704" s="1">
        <v>1.313</v>
      </c>
      <c r="CA704" s="1">
        <v>0.719</v>
      </c>
      <c r="CB704" s="1">
        <v>0.0</v>
      </c>
      <c r="CC704" s="1">
        <v>0.634</v>
      </c>
      <c r="CD704" s="1">
        <v>0.687</v>
      </c>
      <c r="CE704" s="1">
        <v>0.325</v>
      </c>
      <c r="CF704" s="1">
        <v>0.774</v>
      </c>
      <c r="CG704" s="1">
        <v>2.42</v>
      </c>
      <c r="CH704" s="1">
        <v>0.525</v>
      </c>
      <c r="CI704" s="1">
        <v>9.3314</v>
      </c>
      <c r="CJ704" s="1">
        <v>0.8917</v>
      </c>
      <c r="CK704" s="1">
        <v>0.0</v>
      </c>
      <c r="CL704" s="1">
        <v>0.0</v>
      </c>
      <c r="CM704" s="1">
        <v>0.0</v>
      </c>
      <c r="CN704" s="1">
        <v>1.0</v>
      </c>
      <c r="CO704" s="1">
        <v>1.0</v>
      </c>
      <c r="CP704" s="1">
        <v>0.0</v>
      </c>
      <c r="CQ704" s="1">
        <v>0.0</v>
      </c>
      <c r="CR704" s="1">
        <v>0.0</v>
      </c>
      <c r="CS704" s="1">
        <v>0.0</v>
      </c>
      <c r="CT704" s="1">
        <v>0.0</v>
      </c>
      <c r="CU704" s="1">
        <v>1.0</v>
      </c>
      <c r="CV704" s="1">
        <v>1.0</v>
      </c>
      <c r="CW704" s="1">
        <v>0.0</v>
      </c>
      <c r="CX704" s="1">
        <v>0.0</v>
      </c>
      <c r="CY704" s="1">
        <v>0.0</v>
      </c>
      <c r="CZ704" s="1">
        <v>0.0</v>
      </c>
      <c r="DA704" s="1">
        <v>0.0</v>
      </c>
      <c r="DB704" s="1">
        <v>0.0</v>
      </c>
      <c r="DC704" s="1">
        <v>2.0</v>
      </c>
      <c r="DD704" s="1" t="s">
        <v>3313</v>
      </c>
      <c r="DE704" s="1">
        <v>0.00133508228622625</v>
      </c>
      <c r="DF704" s="2" t="s">
        <v>3314</v>
      </c>
    </row>
    <row r="705" ht="15.75" customHeight="1">
      <c r="A705" s="1" t="s">
        <v>3315</v>
      </c>
      <c r="B705" s="1">
        <v>29.0</v>
      </c>
      <c r="C705" s="1">
        <v>109.0</v>
      </c>
      <c r="D705" s="1">
        <v>470100.0</v>
      </c>
      <c r="E705" s="1">
        <v>191.285</v>
      </c>
      <c r="F705" s="1">
        <v>29109.0</v>
      </c>
      <c r="G705" s="1">
        <v>2.91094701E10</v>
      </c>
      <c r="H705" s="1" t="s">
        <v>112</v>
      </c>
      <c r="I705" s="1" t="s">
        <v>113</v>
      </c>
      <c r="J705" s="1" t="s">
        <v>3297</v>
      </c>
      <c r="K705" s="1" t="s">
        <v>3316</v>
      </c>
      <c r="L705" s="1">
        <v>4162.0</v>
      </c>
      <c r="M705" s="1">
        <v>4176.0</v>
      </c>
      <c r="N705" s="1">
        <v>460.0</v>
      </c>
      <c r="O705" s="1">
        <v>1879.0</v>
      </c>
      <c r="P705" s="1">
        <v>1799.0</v>
      </c>
      <c r="Q705" s="1">
        <v>124.0</v>
      </c>
      <c r="R705" s="1">
        <v>1618.0</v>
      </c>
      <c r="S705" s="1">
        <v>357.0</v>
      </c>
      <c r="T705" s="1">
        <v>150.0</v>
      </c>
      <c r="U705" s="1">
        <v>102.0</v>
      </c>
      <c r="V705" s="1">
        <v>305.0</v>
      </c>
      <c r="W705" s="1">
        <v>20171.0</v>
      </c>
      <c r="X705" s="1">
        <v>2190.0</v>
      </c>
      <c r="Y705" s="1">
        <v>397.0</v>
      </c>
      <c r="Z705" s="1">
        <v>249.0</v>
      </c>
      <c r="AA705" s="1">
        <v>623.0</v>
      </c>
      <c r="AB705" s="1">
        <v>1079.0</v>
      </c>
      <c r="AC705" s="1">
        <v>130.0</v>
      </c>
      <c r="AD705" s="1">
        <v>138.0</v>
      </c>
      <c r="AE705" s="1">
        <v>23.0</v>
      </c>
      <c r="AF705" s="1">
        <v>412.0</v>
      </c>
      <c r="AG705" s="1">
        <v>0.0</v>
      </c>
      <c r="AH705" s="1">
        <v>197.0</v>
      </c>
      <c r="AI705" s="1">
        <v>333.0</v>
      </c>
      <c r="AJ705" s="1">
        <v>87.0</v>
      </c>
      <c r="AK705" s="1">
        <v>37.0</v>
      </c>
      <c r="AL705" s="1">
        <v>118.0</v>
      </c>
      <c r="AM705" s="1">
        <v>32.0</v>
      </c>
      <c r="AN705" s="1">
        <v>24.0</v>
      </c>
      <c r="AO705" s="1">
        <v>0.0</v>
      </c>
      <c r="AP705" s="1">
        <v>0.085673</v>
      </c>
      <c r="AQ705" s="1">
        <v>0.034749</v>
      </c>
      <c r="AR705" s="1">
        <v>0.056353</v>
      </c>
      <c r="AS705" s="1">
        <v>0.168357</v>
      </c>
      <c r="AT705" s="1">
        <v>20171.0</v>
      </c>
      <c r="AU705" s="1">
        <v>2190.0</v>
      </c>
      <c r="AV705" s="1">
        <v>0.142242</v>
      </c>
      <c r="AW705" s="1">
        <v>0.088372</v>
      </c>
      <c r="AX705" s="1">
        <v>0.149687</v>
      </c>
      <c r="AY705" s="1">
        <v>0.25925</v>
      </c>
      <c r="AZ705" s="1">
        <v>0.0803461</v>
      </c>
      <c r="BA705" s="1">
        <v>0.033157</v>
      </c>
      <c r="BB705" s="1">
        <v>0.005888</v>
      </c>
      <c r="BC705" s="1">
        <v>0.105476</v>
      </c>
      <c r="BD705" s="1">
        <v>0.0</v>
      </c>
      <c r="BE705" s="1">
        <v>0.109505</v>
      </c>
      <c r="BF705" s="1">
        <v>0.185102</v>
      </c>
      <c r="BG705" s="1">
        <v>0.046646</v>
      </c>
      <c r="BH705" s="1">
        <v>0.022713</v>
      </c>
      <c r="BI705" s="1">
        <v>0.072416</v>
      </c>
      <c r="BJ705" s="1">
        <v>0.019643</v>
      </c>
      <c r="BK705" s="1">
        <v>0.014658</v>
      </c>
      <c r="BL705" s="1">
        <v>0.0</v>
      </c>
      <c r="BM705" s="1">
        <v>0.32</v>
      </c>
      <c r="BN705" s="1">
        <v>0.373</v>
      </c>
      <c r="BO705" s="1">
        <v>0.6022</v>
      </c>
      <c r="BP705" s="1">
        <v>0.536</v>
      </c>
      <c r="BQ705" s="1">
        <v>1.8312</v>
      </c>
      <c r="BR705" s="1">
        <v>0.4412</v>
      </c>
      <c r="BS705" s="1">
        <v>0.576</v>
      </c>
      <c r="BT705" s="1">
        <v>0.698</v>
      </c>
      <c r="BU705" s="1">
        <v>0.307</v>
      </c>
      <c r="BV705" s="1">
        <v>1.581</v>
      </c>
      <c r="BW705" s="1">
        <v>0.552</v>
      </c>
      <c r="BX705" s="1">
        <v>0.105</v>
      </c>
      <c r="BY705" s="1">
        <v>0.594</v>
      </c>
      <c r="BZ705" s="1">
        <v>0.699</v>
      </c>
      <c r="CA705" s="1">
        <v>0.335</v>
      </c>
      <c r="CB705" s="1">
        <v>0.0</v>
      </c>
      <c r="CC705" s="1">
        <v>0.871</v>
      </c>
      <c r="CD705" s="1">
        <v>0.719</v>
      </c>
      <c r="CE705" s="1">
        <v>0.179</v>
      </c>
      <c r="CF705" s="1">
        <v>0.0</v>
      </c>
      <c r="CG705" s="1">
        <v>1.769</v>
      </c>
      <c r="CH705" s="1">
        <v>0.257</v>
      </c>
      <c r="CI705" s="1">
        <v>5.8802</v>
      </c>
      <c r="CJ705" s="1">
        <v>0.3523</v>
      </c>
      <c r="CK705" s="1">
        <v>0.0</v>
      </c>
      <c r="CL705" s="1">
        <v>0.0</v>
      </c>
      <c r="CM705" s="1">
        <v>0.0</v>
      </c>
      <c r="CN705" s="1">
        <v>0.0</v>
      </c>
      <c r="CO705" s="1">
        <v>0.0</v>
      </c>
      <c r="CP705" s="1">
        <v>0.0</v>
      </c>
      <c r="CQ705" s="1">
        <v>0.0</v>
      </c>
      <c r="CR705" s="1">
        <v>0.0</v>
      </c>
      <c r="CS705" s="1">
        <v>0.0</v>
      </c>
      <c r="CT705" s="1">
        <v>0.0</v>
      </c>
      <c r="CU705" s="1">
        <v>0.0</v>
      </c>
      <c r="CV705" s="1">
        <v>0.0</v>
      </c>
      <c r="CW705" s="1">
        <v>0.0</v>
      </c>
      <c r="CX705" s="1">
        <v>0.0</v>
      </c>
      <c r="CY705" s="1">
        <v>0.0</v>
      </c>
      <c r="CZ705" s="1">
        <v>0.0</v>
      </c>
      <c r="DA705" s="1">
        <v>0.0</v>
      </c>
      <c r="DB705" s="1">
        <v>0.0</v>
      </c>
      <c r="DC705" s="1">
        <v>0.0</v>
      </c>
      <c r="DD705" s="1" t="s">
        <v>3317</v>
      </c>
      <c r="DE705" s="1">
        <v>0.0504812029719857</v>
      </c>
      <c r="DF705" s="2" t="s">
        <v>3318</v>
      </c>
    </row>
    <row r="706" ht="15.75" customHeight="1">
      <c r="A706" s="1" t="s">
        <v>3319</v>
      </c>
      <c r="B706" s="1">
        <v>29.0</v>
      </c>
      <c r="C706" s="1">
        <v>109.0</v>
      </c>
      <c r="D706" s="1">
        <v>470200.0</v>
      </c>
      <c r="E706" s="1">
        <v>90.299</v>
      </c>
      <c r="F706" s="1">
        <v>29109.0</v>
      </c>
      <c r="G706" s="1">
        <v>2.91094702E10</v>
      </c>
      <c r="H706" s="1" t="s">
        <v>112</v>
      </c>
      <c r="I706" s="1" t="s">
        <v>113</v>
      </c>
      <c r="J706" s="1" t="s">
        <v>3297</v>
      </c>
      <c r="K706" s="1" t="s">
        <v>3320</v>
      </c>
      <c r="L706" s="1">
        <v>7783.0</v>
      </c>
      <c r="M706" s="1">
        <v>8177.0</v>
      </c>
      <c r="N706" s="1">
        <v>545.0</v>
      </c>
      <c r="O706" s="1">
        <v>3317.0</v>
      </c>
      <c r="P706" s="1">
        <v>3367.0</v>
      </c>
      <c r="Q706" s="1">
        <v>237.0</v>
      </c>
      <c r="R706" s="1">
        <v>3019.0</v>
      </c>
      <c r="S706" s="1">
        <v>1420.0</v>
      </c>
      <c r="T706" s="1">
        <v>551.0</v>
      </c>
      <c r="U706" s="1">
        <v>288.0</v>
      </c>
      <c r="V706" s="1">
        <v>415.0</v>
      </c>
      <c r="W706" s="1">
        <v>18680.0</v>
      </c>
      <c r="X706" s="1">
        <v>2265.0</v>
      </c>
      <c r="Y706" s="1">
        <v>523.0</v>
      </c>
      <c r="Z706" s="1">
        <v>248.0</v>
      </c>
      <c r="AA706" s="1">
        <v>1491.0</v>
      </c>
      <c r="AB706" s="1">
        <v>1883.0</v>
      </c>
      <c r="AC706" s="1">
        <v>284.0</v>
      </c>
      <c r="AD706" s="1">
        <v>418.0</v>
      </c>
      <c r="AE706" s="1">
        <v>74.0</v>
      </c>
      <c r="AF706" s="1">
        <v>400.0</v>
      </c>
      <c r="AG706" s="1">
        <v>58.0</v>
      </c>
      <c r="AH706" s="1">
        <v>122.0</v>
      </c>
      <c r="AI706" s="1">
        <v>181.0</v>
      </c>
      <c r="AJ706" s="1">
        <v>86.0</v>
      </c>
      <c r="AK706" s="1">
        <v>73.0</v>
      </c>
      <c r="AL706" s="1">
        <v>134.0</v>
      </c>
      <c r="AM706" s="1">
        <v>181.0</v>
      </c>
      <c r="AN706" s="1">
        <v>91.0</v>
      </c>
      <c r="AO706" s="1">
        <v>395.0</v>
      </c>
      <c r="AP706" s="1">
        <v>0.177855</v>
      </c>
      <c r="AQ706" s="1">
        <v>0.067892</v>
      </c>
      <c r="AR706" s="1">
        <v>0.080312</v>
      </c>
      <c r="AS706" s="1">
        <v>0.115411</v>
      </c>
      <c r="AT706" s="1">
        <v>18680.0</v>
      </c>
      <c r="AU706" s="1">
        <v>2265.0</v>
      </c>
      <c r="AV706" s="1">
        <v>0.103955</v>
      </c>
      <c r="AW706" s="1">
        <v>0.048931</v>
      </c>
      <c r="AX706" s="1">
        <v>0.191571</v>
      </c>
      <c r="AY706" s="1">
        <v>0.241937</v>
      </c>
      <c r="AZ706" s="1">
        <v>0.09407088</v>
      </c>
      <c r="BA706" s="1">
        <v>0.053706</v>
      </c>
      <c r="BB706" s="1">
        <v>0.009754</v>
      </c>
      <c r="BC706" s="1">
        <v>0.052724</v>
      </c>
      <c r="BD706" s="1">
        <v>0.017226</v>
      </c>
      <c r="BE706" s="1">
        <v>0.036213</v>
      </c>
      <c r="BF706" s="1">
        <v>0.053757</v>
      </c>
      <c r="BG706" s="1">
        <v>0.02526</v>
      </c>
      <c r="BH706" s="1">
        <v>0.023072</v>
      </c>
      <c r="BI706" s="1">
        <v>0.042315</v>
      </c>
      <c r="BJ706" s="1">
        <v>0.057206</v>
      </c>
      <c r="BK706" s="1">
        <v>0.028431</v>
      </c>
      <c r="BL706" s="1">
        <v>0.050751</v>
      </c>
      <c r="BM706" s="1">
        <v>0.671</v>
      </c>
      <c r="BN706" s="1">
        <v>0.614</v>
      </c>
      <c r="BO706" s="1">
        <v>0.6924</v>
      </c>
      <c r="BP706" s="1">
        <v>0.356</v>
      </c>
      <c r="BQ706" s="1">
        <v>2.3334</v>
      </c>
      <c r="BR706" s="1">
        <v>0.6094</v>
      </c>
      <c r="BS706" s="1">
        <v>0.846</v>
      </c>
      <c r="BT706" s="1">
        <v>0.513</v>
      </c>
      <c r="BU706" s="1">
        <v>0.441</v>
      </c>
      <c r="BV706" s="1">
        <v>1.8</v>
      </c>
      <c r="BW706" s="1">
        <v>0.72</v>
      </c>
      <c r="BX706" s="1">
        <v>0.275</v>
      </c>
      <c r="BY706" s="1">
        <v>0.715</v>
      </c>
      <c r="BZ706" s="1">
        <v>0.99</v>
      </c>
      <c r="CA706" s="1">
        <v>0.551</v>
      </c>
      <c r="CB706" s="1">
        <v>0.443</v>
      </c>
      <c r="CC706" s="1">
        <v>0.615</v>
      </c>
      <c r="CD706" s="1">
        <v>0.728</v>
      </c>
      <c r="CE706" s="1">
        <v>0.549</v>
      </c>
      <c r="CF706" s="1">
        <v>0.896</v>
      </c>
      <c r="CG706" s="1">
        <v>3.231</v>
      </c>
      <c r="CH706" s="1">
        <v>0.851</v>
      </c>
      <c r="CI706" s="1">
        <v>8.3544</v>
      </c>
      <c r="CJ706" s="1">
        <v>0.7675</v>
      </c>
      <c r="CK706" s="1">
        <v>0.0</v>
      </c>
      <c r="CL706" s="1">
        <v>0.0</v>
      </c>
      <c r="CM706" s="1">
        <v>0.0</v>
      </c>
      <c r="CN706" s="1">
        <v>0.0</v>
      </c>
      <c r="CO706" s="1">
        <v>0.0</v>
      </c>
      <c r="CP706" s="1">
        <v>0.0</v>
      </c>
      <c r="CQ706" s="1">
        <v>0.0</v>
      </c>
      <c r="CR706" s="1">
        <v>0.0</v>
      </c>
      <c r="CS706" s="1">
        <v>0.0</v>
      </c>
      <c r="CT706" s="1">
        <v>0.0</v>
      </c>
      <c r="CU706" s="1">
        <v>0.0</v>
      </c>
      <c r="CV706" s="1">
        <v>0.0</v>
      </c>
      <c r="CW706" s="1">
        <v>0.0</v>
      </c>
      <c r="CX706" s="1">
        <v>0.0</v>
      </c>
      <c r="CY706" s="1">
        <v>0.0</v>
      </c>
      <c r="CZ706" s="1">
        <v>0.0</v>
      </c>
      <c r="DA706" s="1">
        <v>0.0</v>
      </c>
      <c r="DB706" s="1">
        <v>0.0</v>
      </c>
      <c r="DC706" s="1">
        <v>0.0</v>
      </c>
      <c r="DD706" s="1" t="s">
        <v>3321</v>
      </c>
      <c r="DE706" s="2" t="s">
        <v>3322</v>
      </c>
      <c r="DF706" s="2" t="s">
        <v>3323</v>
      </c>
    </row>
    <row r="707" ht="15.75" customHeight="1">
      <c r="A707" s="1" t="s">
        <v>3324</v>
      </c>
      <c r="B707" s="1">
        <v>29.0</v>
      </c>
      <c r="C707" s="1">
        <v>109.0</v>
      </c>
      <c r="D707" s="1">
        <v>470300.0</v>
      </c>
      <c r="E707" s="1">
        <v>174.796</v>
      </c>
      <c r="F707" s="1">
        <v>29109.0</v>
      </c>
      <c r="G707" s="1">
        <v>2.91094703E10</v>
      </c>
      <c r="H707" s="1" t="s">
        <v>112</v>
      </c>
      <c r="I707" s="1" t="s">
        <v>113</v>
      </c>
      <c r="J707" s="1" t="s">
        <v>3297</v>
      </c>
      <c r="K707" s="1" t="s">
        <v>3325</v>
      </c>
      <c r="L707" s="1">
        <v>5445.0</v>
      </c>
      <c r="M707" s="1">
        <v>5192.0</v>
      </c>
      <c r="N707" s="1">
        <v>415.0</v>
      </c>
      <c r="O707" s="1">
        <v>2144.0</v>
      </c>
      <c r="P707" s="1">
        <v>2188.0</v>
      </c>
      <c r="Q707" s="1">
        <v>136.0</v>
      </c>
      <c r="R707" s="1">
        <v>1925.0</v>
      </c>
      <c r="S707" s="1">
        <v>871.0</v>
      </c>
      <c r="T707" s="1">
        <v>388.0</v>
      </c>
      <c r="U707" s="1">
        <v>119.0</v>
      </c>
      <c r="V707" s="1">
        <v>383.0</v>
      </c>
      <c r="W707" s="1">
        <v>18674.0</v>
      </c>
      <c r="X707" s="1">
        <v>2407.0</v>
      </c>
      <c r="Y707" s="1">
        <v>896.0</v>
      </c>
      <c r="Z707" s="1">
        <v>186.0</v>
      </c>
      <c r="AA707" s="1">
        <v>692.0</v>
      </c>
      <c r="AB707" s="1">
        <v>1622.0</v>
      </c>
      <c r="AC707" s="1">
        <v>151.0</v>
      </c>
      <c r="AD707" s="1">
        <v>807.0</v>
      </c>
      <c r="AE707" s="1">
        <v>169.0</v>
      </c>
      <c r="AF707" s="1">
        <v>384.0</v>
      </c>
      <c r="AG707" s="1">
        <v>0.0</v>
      </c>
      <c r="AH707" s="1">
        <v>197.0</v>
      </c>
      <c r="AI707" s="1">
        <v>294.0</v>
      </c>
      <c r="AJ707" s="1">
        <v>84.0</v>
      </c>
      <c r="AK707" s="1">
        <v>81.0</v>
      </c>
      <c r="AL707" s="1">
        <v>47.0</v>
      </c>
      <c r="AM707" s="1">
        <v>118.0</v>
      </c>
      <c r="AN707" s="1">
        <v>52.0</v>
      </c>
      <c r="AO707" s="1">
        <v>9.0</v>
      </c>
      <c r="AP707" s="1">
        <v>0.168471</v>
      </c>
      <c r="AQ707" s="1">
        <v>0.073819</v>
      </c>
      <c r="AR707" s="1">
        <v>0.051051</v>
      </c>
      <c r="AS707" s="1">
        <v>0.164223</v>
      </c>
      <c r="AT707" s="1">
        <v>18674.0</v>
      </c>
      <c r="AU707" s="1">
        <v>2407.0</v>
      </c>
      <c r="AV707" s="1">
        <v>0.26501</v>
      </c>
      <c r="AW707" s="1">
        <v>0.051099</v>
      </c>
      <c r="AX707" s="1">
        <v>0.127089</v>
      </c>
      <c r="AY707" s="1">
        <v>0.297887</v>
      </c>
      <c r="AZ707" s="1">
        <v>0.07844155</v>
      </c>
      <c r="BA707" s="1">
        <v>0.148209</v>
      </c>
      <c r="BB707" s="1">
        <v>0.035157</v>
      </c>
      <c r="BC707" s="1">
        <v>0.079836</v>
      </c>
      <c r="BD707" s="1">
        <v>0.0</v>
      </c>
      <c r="BE707" s="1">
        <v>0.090036</v>
      </c>
      <c r="BF707" s="1">
        <v>0.134369</v>
      </c>
      <c r="BG707" s="1">
        <v>0.037471</v>
      </c>
      <c r="BH707" s="1">
        <v>0.042902</v>
      </c>
      <c r="BI707" s="1">
        <v>0.02464</v>
      </c>
      <c r="BJ707" s="1">
        <v>0.0625</v>
      </c>
      <c r="BK707" s="1">
        <v>0.027053</v>
      </c>
      <c r="BL707" s="1">
        <v>0.001652</v>
      </c>
      <c r="BM707" s="1">
        <v>0.637</v>
      </c>
      <c r="BN707" s="1">
        <v>0.305</v>
      </c>
      <c r="BO707" s="1">
        <v>0.6946</v>
      </c>
      <c r="BP707" s="1">
        <v>0.899</v>
      </c>
      <c r="BQ707" s="1">
        <v>2.5356</v>
      </c>
      <c r="BR707" s="1">
        <v>0.6773</v>
      </c>
      <c r="BS707" s="1">
        <v>0.395</v>
      </c>
      <c r="BT707" s="1">
        <v>0.915</v>
      </c>
      <c r="BU707" s="1">
        <v>0.289</v>
      </c>
      <c r="BV707" s="1">
        <v>1.599</v>
      </c>
      <c r="BW707" s="1">
        <v>0.565</v>
      </c>
      <c r="BX707" s="1">
        <v>0.62</v>
      </c>
      <c r="BY707" s="1">
        <v>0.935</v>
      </c>
      <c r="BZ707" s="1">
        <v>1.555</v>
      </c>
      <c r="CA707" s="1">
        <v>0.855</v>
      </c>
      <c r="CB707" s="1">
        <v>0.0</v>
      </c>
      <c r="CC707" s="1">
        <v>0.784</v>
      </c>
      <c r="CD707" s="1">
        <v>0.905</v>
      </c>
      <c r="CE707" s="1">
        <v>0.58</v>
      </c>
      <c r="CF707" s="1">
        <v>0.431</v>
      </c>
      <c r="CG707" s="1">
        <v>2.7</v>
      </c>
      <c r="CH707" s="1">
        <v>0.643</v>
      </c>
      <c r="CI707" s="1">
        <v>8.3896</v>
      </c>
      <c r="CJ707" s="1">
        <v>0.7711</v>
      </c>
      <c r="CK707" s="1">
        <v>0.0</v>
      </c>
      <c r="CL707" s="1">
        <v>0.0</v>
      </c>
      <c r="CM707" s="1">
        <v>0.0</v>
      </c>
      <c r="CN707" s="1">
        <v>0.0</v>
      </c>
      <c r="CO707" s="1">
        <v>0.0</v>
      </c>
      <c r="CP707" s="1">
        <v>0.0</v>
      </c>
      <c r="CQ707" s="1">
        <v>1.0</v>
      </c>
      <c r="CR707" s="1">
        <v>0.0</v>
      </c>
      <c r="CS707" s="1">
        <v>1.0</v>
      </c>
      <c r="CT707" s="1">
        <v>0.0</v>
      </c>
      <c r="CU707" s="1">
        <v>1.0</v>
      </c>
      <c r="CV707" s="1">
        <v>1.0</v>
      </c>
      <c r="CW707" s="1">
        <v>0.0</v>
      </c>
      <c r="CX707" s="1">
        <v>0.0</v>
      </c>
      <c r="CY707" s="1">
        <v>1.0</v>
      </c>
      <c r="CZ707" s="1">
        <v>0.0</v>
      </c>
      <c r="DA707" s="1">
        <v>0.0</v>
      </c>
      <c r="DB707" s="1">
        <v>1.0</v>
      </c>
      <c r="DC707" s="1">
        <v>3.0</v>
      </c>
      <c r="DD707" s="1" t="s">
        <v>3326</v>
      </c>
      <c r="DE707" s="1">
        <v>0.0459840389147908</v>
      </c>
      <c r="DF707" s="2" t="s">
        <v>3327</v>
      </c>
    </row>
    <row r="708" ht="15.75" customHeight="1">
      <c r="A708" s="1" t="s">
        <v>3328</v>
      </c>
      <c r="B708" s="1">
        <v>29.0</v>
      </c>
      <c r="C708" s="1">
        <v>111.0</v>
      </c>
      <c r="D708" s="1">
        <v>970100.0</v>
      </c>
      <c r="E708" s="1">
        <v>51.303</v>
      </c>
      <c r="F708" s="1">
        <v>29111.0</v>
      </c>
      <c r="G708" s="1">
        <v>2.91119701E10</v>
      </c>
      <c r="H708" s="1" t="s">
        <v>112</v>
      </c>
      <c r="I708" s="1" t="s">
        <v>113</v>
      </c>
      <c r="J708" s="1" t="s">
        <v>3329</v>
      </c>
      <c r="K708" s="1" t="s">
        <v>3330</v>
      </c>
      <c r="L708" s="1">
        <v>3410.0</v>
      </c>
      <c r="M708" s="1">
        <v>3820.0</v>
      </c>
      <c r="N708" s="1">
        <v>292.0</v>
      </c>
      <c r="O708" s="1">
        <v>1344.0</v>
      </c>
      <c r="P708" s="1">
        <v>1355.0</v>
      </c>
      <c r="Q708" s="1">
        <v>80.0</v>
      </c>
      <c r="R708" s="1">
        <v>1176.0</v>
      </c>
      <c r="S708" s="1">
        <v>415.0</v>
      </c>
      <c r="T708" s="1">
        <v>182.0</v>
      </c>
      <c r="U708" s="1">
        <v>98.0</v>
      </c>
      <c r="V708" s="1">
        <v>382.0</v>
      </c>
      <c r="W708" s="1">
        <v>18479.0</v>
      </c>
      <c r="X708" s="1">
        <v>3181.0</v>
      </c>
      <c r="Y708" s="1">
        <v>236.0</v>
      </c>
      <c r="Z708" s="1">
        <v>240.0</v>
      </c>
      <c r="AA708" s="1">
        <v>533.0</v>
      </c>
      <c r="AB708" s="1">
        <v>728.0</v>
      </c>
      <c r="AC708" s="1">
        <v>114.0</v>
      </c>
      <c r="AD708" s="1">
        <v>250.0</v>
      </c>
      <c r="AE708" s="1">
        <v>35.0</v>
      </c>
      <c r="AF708" s="1">
        <v>412.0</v>
      </c>
      <c r="AG708" s="1">
        <v>15.0</v>
      </c>
      <c r="AH708" s="1">
        <v>115.0</v>
      </c>
      <c r="AI708" s="1">
        <v>92.0</v>
      </c>
      <c r="AJ708" s="1">
        <v>51.0</v>
      </c>
      <c r="AK708" s="1">
        <v>34.0</v>
      </c>
      <c r="AL708" s="1">
        <v>31.0</v>
      </c>
      <c r="AM708" s="1">
        <v>144.0</v>
      </c>
      <c r="AN708" s="1">
        <v>55.0</v>
      </c>
      <c r="AO708" s="1">
        <v>584.0</v>
      </c>
      <c r="AP708" s="1">
        <v>0.137965</v>
      </c>
      <c r="AQ708" s="1">
        <v>0.059382</v>
      </c>
      <c r="AR708" s="1">
        <v>0.055968</v>
      </c>
      <c r="AS708" s="1">
        <v>0.218058</v>
      </c>
      <c r="AT708" s="1">
        <v>18479.0</v>
      </c>
      <c r="AU708" s="1">
        <v>3181.0</v>
      </c>
      <c r="AV708" s="1">
        <v>0.112167</v>
      </c>
      <c r="AW708" s="1">
        <v>0.11372</v>
      </c>
      <c r="AX708" s="1">
        <v>0.156304</v>
      </c>
      <c r="AY708" s="1">
        <v>0.213489</v>
      </c>
      <c r="AZ708" s="1">
        <v>0.09693877</v>
      </c>
      <c r="BA708" s="1">
        <v>0.073313</v>
      </c>
      <c r="BB708" s="1">
        <v>0.0099</v>
      </c>
      <c r="BC708" s="1">
        <v>0.116545</v>
      </c>
      <c r="BD708" s="1">
        <v>0.01107</v>
      </c>
      <c r="BE708" s="1">
        <v>0.084868</v>
      </c>
      <c r="BF708" s="1">
        <v>0.067896</v>
      </c>
      <c r="BG708" s="1">
        <v>0.037424</v>
      </c>
      <c r="BH708" s="1">
        <v>0.028262</v>
      </c>
      <c r="BI708" s="1">
        <v>0.025682</v>
      </c>
      <c r="BJ708" s="1">
        <v>0.1197</v>
      </c>
      <c r="BK708" s="1">
        <v>0.044833</v>
      </c>
      <c r="BL708" s="1">
        <v>0.171261</v>
      </c>
      <c r="BM708" s="1">
        <v>0.533</v>
      </c>
      <c r="BN708" s="1">
        <v>0.364</v>
      </c>
      <c r="BO708" s="1">
        <v>0.7097</v>
      </c>
      <c r="BP708" s="1">
        <v>0.39</v>
      </c>
      <c r="BQ708" s="1">
        <v>1.9967</v>
      </c>
      <c r="BR708" s="1">
        <v>0.4924</v>
      </c>
      <c r="BS708" s="1">
        <v>0.638</v>
      </c>
      <c r="BT708" s="1">
        <v>0.253</v>
      </c>
      <c r="BU708" s="1">
        <v>0.464</v>
      </c>
      <c r="BV708" s="1">
        <v>1.355</v>
      </c>
      <c r="BW708" s="1">
        <v>0.351</v>
      </c>
      <c r="BX708" s="1">
        <v>0.372</v>
      </c>
      <c r="BY708" s="1">
        <v>0.72</v>
      </c>
      <c r="BZ708" s="1">
        <v>1.092</v>
      </c>
      <c r="CA708" s="1">
        <v>0.609</v>
      </c>
      <c r="CB708" s="1">
        <v>0.392</v>
      </c>
      <c r="CC708" s="1">
        <v>0.646</v>
      </c>
      <c r="CD708" s="1">
        <v>0.789</v>
      </c>
      <c r="CE708" s="1">
        <v>0.807</v>
      </c>
      <c r="CF708" s="1">
        <v>0.961</v>
      </c>
      <c r="CG708" s="1">
        <v>3.595</v>
      </c>
      <c r="CH708" s="1">
        <v>0.955</v>
      </c>
      <c r="CI708" s="1">
        <v>8.0387</v>
      </c>
      <c r="CJ708" s="1">
        <v>0.722</v>
      </c>
      <c r="CK708" s="1">
        <v>0.0</v>
      </c>
      <c r="CL708" s="1">
        <v>0.0</v>
      </c>
      <c r="CM708" s="1">
        <v>0.0</v>
      </c>
      <c r="CN708" s="1">
        <v>0.0</v>
      </c>
      <c r="CO708" s="1">
        <v>0.0</v>
      </c>
      <c r="CP708" s="1">
        <v>0.0</v>
      </c>
      <c r="CQ708" s="1">
        <v>0.0</v>
      </c>
      <c r="CR708" s="1">
        <v>0.0</v>
      </c>
      <c r="CS708" s="1">
        <v>0.0</v>
      </c>
      <c r="CT708" s="1">
        <v>0.0</v>
      </c>
      <c r="CU708" s="1">
        <v>0.0</v>
      </c>
      <c r="CV708" s="1">
        <v>0.0</v>
      </c>
      <c r="CW708" s="1">
        <v>0.0</v>
      </c>
      <c r="CX708" s="1">
        <v>0.0</v>
      </c>
      <c r="CY708" s="1">
        <v>0.0</v>
      </c>
      <c r="CZ708" s="1">
        <v>0.0</v>
      </c>
      <c r="DA708" s="1">
        <v>1.0</v>
      </c>
      <c r="DB708" s="1">
        <v>1.0</v>
      </c>
      <c r="DC708" s="1">
        <v>1.0</v>
      </c>
      <c r="DD708" s="1" t="s">
        <v>3331</v>
      </c>
      <c r="DE708" s="2" t="s">
        <v>3332</v>
      </c>
      <c r="DF708" s="2" t="s">
        <v>3333</v>
      </c>
    </row>
    <row r="709" ht="15.75" customHeight="1">
      <c r="A709" s="1" t="s">
        <v>3334</v>
      </c>
      <c r="B709" s="1">
        <v>29.0</v>
      </c>
      <c r="C709" s="1">
        <v>111.0</v>
      </c>
      <c r="D709" s="1">
        <v>970200.0</v>
      </c>
      <c r="E709" s="1">
        <v>194.992</v>
      </c>
      <c r="F709" s="1">
        <v>29111.0</v>
      </c>
      <c r="G709" s="1">
        <v>2.91119702E10</v>
      </c>
      <c r="H709" s="1" t="s">
        <v>112</v>
      </c>
      <c r="I709" s="1" t="s">
        <v>113</v>
      </c>
      <c r="J709" s="1" t="s">
        <v>3329</v>
      </c>
      <c r="K709" s="1" t="s">
        <v>3335</v>
      </c>
      <c r="L709" s="1">
        <v>2306.0</v>
      </c>
      <c r="M709" s="1">
        <v>2583.0</v>
      </c>
      <c r="N709" s="1">
        <v>321.0</v>
      </c>
      <c r="O709" s="1">
        <v>1177.0</v>
      </c>
      <c r="P709" s="1">
        <v>1174.0</v>
      </c>
      <c r="Q709" s="1">
        <v>61.0</v>
      </c>
      <c r="R709" s="1">
        <v>917.0</v>
      </c>
      <c r="S709" s="1">
        <v>737.0</v>
      </c>
      <c r="T709" s="1">
        <v>425.0</v>
      </c>
      <c r="U709" s="1">
        <v>61.0</v>
      </c>
      <c r="V709" s="1">
        <v>429.0</v>
      </c>
      <c r="W709" s="1">
        <v>15579.0</v>
      </c>
      <c r="X709" s="1">
        <v>2870.0</v>
      </c>
      <c r="Y709" s="1">
        <v>334.0</v>
      </c>
      <c r="Z709" s="1">
        <v>272.0</v>
      </c>
      <c r="AA709" s="1">
        <v>402.0</v>
      </c>
      <c r="AB709" s="1">
        <v>652.0</v>
      </c>
      <c r="AC709" s="1">
        <v>85.0</v>
      </c>
      <c r="AD709" s="1">
        <v>115.0</v>
      </c>
      <c r="AE709" s="1">
        <v>17.0</v>
      </c>
      <c r="AF709" s="1">
        <v>442.0</v>
      </c>
      <c r="AG709" s="1">
        <v>10.0</v>
      </c>
      <c r="AH709" s="1">
        <v>162.0</v>
      </c>
      <c r="AI709" s="1">
        <v>150.0</v>
      </c>
      <c r="AJ709" s="1">
        <v>54.0</v>
      </c>
      <c r="AK709" s="1">
        <v>47.0</v>
      </c>
      <c r="AL709" s="1">
        <v>40.0</v>
      </c>
      <c r="AM709" s="1">
        <v>125.0</v>
      </c>
      <c r="AN709" s="1">
        <v>52.0</v>
      </c>
      <c r="AO709" s="1">
        <v>46.0</v>
      </c>
      <c r="AP709" s="1">
        <v>0.285327</v>
      </c>
      <c r="AQ709" s="1">
        <v>0.160671</v>
      </c>
      <c r="AR709" s="1">
        <v>0.060336</v>
      </c>
      <c r="AS709" s="1">
        <v>0.424199</v>
      </c>
      <c r="AT709" s="1">
        <v>15579.0</v>
      </c>
      <c r="AU709" s="1">
        <v>2870.0</v>
      </c>
      <c r="AV709" s="1">
        <v>0.218586</v>
      </c>
      <c r="AW709" s="1">
        <v>0.177166</v>
      </c>
      <c r="AX709" s="1">
        <v>0.174327</v>
      </c>
      <c r="AY709" s="1">
        <v>0.28274</v>
      </c>
      <c r="AZ709" s="1">
        <v>0.09269356</v>
      </c>
      <c r="BA709" s="1">
        <v>0.049869</v>
      </c>
      <c r="BB709" s="1">
        <v>0.007089</v>
      </c>
      <c r="BC709" s="1">
        <v>0.184318</v>
      </c>
      <c r="BD709" s="1">
        <v>0.008517</v>
      </c>
      <c r="BE709" s="1">
        <v>0.137989</v>
      </c>
      <c r="BF709" s="1">
        <v>0.127768</v>
      </c>
      <c r="BG709" s="1">
        <v>0.045514</v>
      </c>
      <c r="BH709" s="1">
        <v>0.052338</v>
      </c>
      <c r="BI709" s="1">
        <v>0.044292</v>
      </c>
      <c r="BJ709" s="1">
        <v>0.139198</v>
      </c>
      <c r="BK709" s="1">
        <v>0.056528</v>
      </c>
      <c r="BL709" s="1">
        <v>0.019947</v>
      </c>
      <c r="BM709" s="1">
        <v>0.869</v>
      </c>
      <c r="BN709" s="1">
        <v>0.421</v>
      </c>
      <c r="BO709" s="1">
        <v>0.8556</v>
      </c>
      <c r="BP709" s="1">
        <v>0.8</v>
      </c>
      <c r="BQ709" s="1">
        <v>2.9456</v>
      </c>
      <c r="BR709" s="1">
        <v>0.7928</v>
      </c>
      <c r="BS709" s="1">
        <v>0.759</v>
      </c>
      <c r="BT709" s="1">
        <v>0.86</v>
      </c>
      <c r="BU709" s="1">
        <v>0.426</v>
      </c>
      <c r="BV709" s="1">
        <v>2.045</v>
      </c>
      <c r="BW709" s="1">
        <v>0.888</v>
      </c>
      <c r="BX709" s="1">
        <v>0.246</v>
      </c>
      <c r="BY709" s="1">
        <v>0.635</v>
      </c>
      <c r="BZ709" s="1">
        <v>0.881</v>
      </c>
      <c r="CA709" s="1">
        <v>0.453</v>
      </c>
      <c r="CB709" s="1">
        <v>0.368</v>
      </c>
      <c r="CC709" s="1">
        <v>0.774</v>
      </c>
      <c r="CD709" s="1">
        <v>0.944</v>
      </c>
      <c r="CE709" s="1">
        <v>0.846</v>
      </c>
      <c r="CF709" s="1">
        <v>0.71</v>
      </c>
      <c r="CG709" s="1">
        <v>3.642</v>
      </c>
      <c r="CH709" s="1">
        <v>0.966</v>
      </c>
      <c r="CI709" s="1">
        <v>9.5136</v>
      </c>
      <c r="CJ709" s="1">
        <v>0.9069</v>
      </c>
      <c r="CK709" s="1">
        <v>0.0</v>
      </c>
      <c r="CL709" s="1">
        <v>0.0</v>
      </c>
      <c r="CM709" s="1">
        <v>0.0</v>
      </c>
      <c r="CN709" s="1">
        <v>0.0</v>
      </c>
      <c r="CO709" s="1">
        <v>0.0</v>
      </c>
      <c r="CP709" s="1">
        <v>0.0</v>
      </c>
      <c r="CQ709" s="1">
        <v>0.0</v>
      </c>
      <c r="CR709" s="1">
        <v>0.0</v>
      </c>
      <c r="CS709" s="1">
        <v>0.0</v>
      </c>
      <c r="CT709" s="1">
        <v>0.0</v>
      </c>
      <c r="CU709" s="1">
        <v>0.0</v>
      </c>
      <c r="CV709" s="1">
        <v>0.0</v>
      </c>
      <c r="CW709" s="1">
        <v>0.0</v>
      </c>
      <c r="CX709" s="1">
        <v>0.0</v>
      </c>
      <c r="CY709" s="1">
        <v>1.0</v>
      </c>
      <c r="CZ709" s="1">
        <v>0.0</v>
      </c>
      <c r="DA709" s="1">
        <v>0.0</v>
      </c>
      <c r="DB709" s="1">
        <v>1.0</v>
      </c>
      <c r="DC709" s="1">
        <v>1.0</v>
      </c>
      <c r="DD709" s="1" t="s">
        <v>3336</v>
      </c>
      <c r="DE709" s="2" t="s">
        <v>3337</v>
      </c>
      <c r="DF709" s="2" t="s">
        <v>3338</v>
      </c>
    </row>
    <row r="710" ht="15.75" customHeight="1">
      <c r="A710" s="1" t="s">
        <v>3339</v>
      </c>
      <c r="B710" s="1">
        <v>29.0</v>
      </c>
      <c r="C710" s="1">
        <v>111.0</v>
      </c>
      <c r="D710" s="1">
        <v>970300.0</v>
      </c>
      <c r="E710" s="1">
        <v>188.286</v>
      </c>
      <c r="F710" s="1">
        <v>29111.0</v>
      </c>
      <c r="G710" s="1">
        <v>2.91119703E10</v>
      </c>
      <c r="H710" s="1" t="s">
        <v>112</v>
      </c>
      <c r="I710" s="1" t="s">
        <v>113</v>
      </c>
      <c r="J710" s="1" t="s">
        <v>3329</v>
      </c>
      <c r="K710" s="1" t="s">
        <v>3340</v>
      </c>
      <c r="L710" s="1">
        <v>2659.0</v>
      </c>
      <c r="M710" s="1">
        <v>2105.0</v>
      </c>
      <c r="N710" s="1">
        <v>206.0</v>
      </c>
      <c r="O710" s="1">
        <v>1139.0</v>
      </c>
      <c r="P710" s="1">
        <v>1184.0</v>
      </c>
      <c r="Q710" s="1">
        <v>66.0</v>
      </c>
      <c r="R710" s="1">
        <v>1007.0</v>
      </c>
      <c r="S710" s="1">
        <v>131.0</v>
      </c>
      <c r="T710" s="1">
        <v>75.0</v>
      </c>
      <c r="U710" s="1">
        <v>91.0</v>
      </c>
      <c r="V710" s="1">
        <v>345.0</v>
      </c>
      <c r="W710" s="1">
        <v>22738.0</v>
      </c>
      <c r="X710" s="1">
        <v>1936.0</v>
      </c>
      <c r="Y710" s="1">
        <v>217.0</v>
      </c>
      <c r="Z710" s="1">
        <v>290.0</v>
      </c>
      <c r="AA710" s="1">
        <v>422.0</v>
      </c>
      <c r="AB710" s="1">
        <v>597.0</v>
      </c>
      <c r="AC710" s="1">
        <v>73.0</v>
      </c>
      <c r="AD710" s="1">
        <v>144.0</v>
      </c>
      <c r="AE710" s="1">
        <v>2.0</v>
      </c>
      <c r="AF710" s="1">
        <v>442.0</v>
      </c>
      <c r="AG710" s="1">
        <v>4.0</v>
      </c>
      <c r="AH710" s="1">
        <v>161.0</v>
      </c>
      <c r="AI710" s="1">
        <v>332.0</v>
      </c>
      <c r="AJ710" s="1">
        <v>80.0</v>
      </c>
      <c r="AK710" s="1">
        <v>0.0</v>
      </c>
      <c r="AL710" s="1">
        <v>161.0</v>
      </c>
      <c r="AM710" s="1">
        <v>17.0</v>
      </c>
      <c r="AN710" s="1">
        <v>19.0</v>
      </c>
      <c r="AO710" s="1">
        <v>152.0</v>
      </c>
      <c r="AP710" s="1">
        <v>0.062232</v>
      </c>
      <c r="AQ710" s="1">
        <v>0.035105</v>
      </c>
      <c r="AR710" s="1">
        <v>0.079615</v>
      </c>
      <c r="AS710" s="1">
        <v>0.301556</v>
      </c>
      <c r="AT710" s="1">
        <v>22738.0</v>
      </c>
      <c r="AU710" s="1">
        <v>1936.0</v>
      </c>
      <c r="AV710" s="1">
        <v>0.135286</v>
      </c>
      <c r="AW710" s="1">
        <v>0.180533</v>
      </c>
      <c r="AX710" s="1">
        <v>0.158706</v>
      </c>
      <c r="AY710" s="1">
        <v>0.22452</v>
      </c>
      <c r="AZ710" s="1">
        <v>0.07249255</v>
      </c>
      <c r="BA710" s="1">
        <v>0.054155</v>
      </c>
      <c r="BB710" s="1">
        <v>9.76E-4</v>
      </c>
      <c r="BC710" s="1">
        <v>0.21582</v>
      </c>
      <c r="BD710" s="1">
        <v>0.003378</v>
      </c>
      <c r="BE710" s="1">
        <v>0.135979</v>
      </c>
      <c r="BF710" s="1">
        <v>0.280405</v>
      </c>
      <c r="BG710" s="1">
        <v>0.065734</v>
      </c>
      <c r="BH710" s="1">
        <v>0.0</v>
      </c>
      <c r="BI710" s="1">
        <v>0.171458</v>
      </c>
      <c r="BJ710" s="1">
        <v>0.018104</v>
      </c>
      <c r="BK710" s="1">
        <v>0.020172</v>
      </c>
      <c r="BL710" s="1">
        <v>0.057164</v>
      </c>
      <c r="BM710" s="1">
        <v>0.215</v>
      </c>
      <c r="BN710" s="1">
        <v>0.607</v>
      </c>
      <c r="BO710" s="1">
        <v>0.4585</v>
      </c>
      <c r="BP710" s="1">
        <v>0.502</v>
      </c>
      <c r="BQ710" s="1">
        <v>1.7825</v>
      </c>
      <c r="BR710" s="1">
        <v>0.4253</v>
      </c>
      <c r="BS710" s="1">
        <v>0.655</v>
      </c>
      <c r="BT710" s="1">
        <v>0.335</v>
      </c>
      <c r="BU710" s="1">
        <v>0.236</v>
      </c>
      <c r="BV710" s="1">
        <v>1.226</v>
      </c>
      <c r="BW710" s="1">
        <v>0.251</v>
      </c>
      <c r="BX710" s="1">
        <v>0.279</v>
      </c>
      <c r="BY710" s="1">
        <v>0.332</v>
      </c>
      <c r="BZ710" s="1">
        <v>0.611</v>
      </c>
      <c r="CA710" s="1">
        <v>0.279</v>
      </c>
      <c r="CB710" s="1">
        <v>0.291</v>
      </c>
      <c r="CC710" s="1">
        <v>0.974</v>
      </c>
      <c r="CD710" s="1">
        <v>0.0</v>
      </c>
      <c r="CE710" s="1">
        <v>0.164</v>
      </c>
      <c r="CF710" s="1">
        <v>0.907</v>
      </c>
      <c r="CG710" s="1">
        <v>2.336</v>
      </c>
      <c r="CH710" s="1">
        <v>0.476</v>
      </c>
      <c r="CI710" s="1">
        <v>5.9555</v>
      </c>
      <c r="CJ710" s="1">
        <v>0.3653</v>
      </c>
      <c r="CK710" s="1">
        <v>0.0</v>
      </c>
      <c r="CL710" s="1">
        <v>0.0</v>
      </c>
      <c r="CM710" s="1">
        <v>0.0</v>
      </c>
      <c r="CN710" s="1">
        <v>0.0</v>
      </c>
      <c r="CO710" s="1">
        <v>0.0</v>
      </c>
      <c r="CP710" s="1">
        <v>0.0</v>
      </c>
      <c r="CQ710" s="1">
        <v>0.0</v>
      </c>
      <c r="CR710" s="1">
        <v>0.0</v>
      </c>
      <c r="CS710" s="1">
        <v>0.0</v>
      </c>
      <c r="CT710" s="1">
        <v>0.0</v>
      </c>
      <c r="CU710" s="1">
        <v>0.0</v>
      </c>
      <c r="CV710" s="1">
        <v>0.0</v>
      </c>
      <c r="CW710" s="1">
        <v>0.0</v>
      </c>
      <c r="CX710" s="1">
        <v>1.0</v>
      </c>
      <c r="CY710" s="1">
        <v>0.0</v>
      </c>
      <c r="CZ710" s="1">
        <v>0.0</v>
      </c>
      <c r="DA710" s="1">
        <v>1.0</v>
      </c>
      <c r="DB710" s="1">
        <v>2.0</v>
      </c>
      <c r="DC710" s="1">
        <v>2.0</v>
      </c>
      <c r="DD710" s="1" t="s">
        <v>3341</v>
      </c>
      <c r="DE710" s="2" t="s">
        <v>3342</v>
      </c>
      <c r="DF710" s="2" t="s">
        <v>3343</v>
      </c>
    </row>
    <row r="711" ht="15.75" customHeight="1">
      <c r="A711" s="1" t="s">
        <v>3344</v>
      </c>
      <c r="B711" s="1">
        <v>29.0</v>
      </c>
      <c r="C711" s="1">
        <v>111.0</v>
      </c>
      <c r="D711" s="1">
        <v>970400.0</v>
      </c>
      <c r="E711" s="1">
        <v>70.462</v>
      </c>
      <c r="F711" s="1">
        <v>29111.0</v>
      </c>
      <c r="G711" s="1">
        <v>2.91119704E10</v>
      </c>
      <c r="H711" s="1" t="s">
        <v>112</v>
      </c>
      <c r="I711" s="1" t="s">
        <v>113</v>
      </c>
      <c r="J711" s="1" t="s">
        <v>3329</v>
      </c>
      <c r="K711" s="1" t="s">
        <v>3345</v>
      </c>
      <c r="L711" s="1">
        <v>1836.0</v>
      </c>
      <c r="M711" s="1">
        <v>1727.0</v>
      </c>
      <c r="N711" s="1">
        <v>202.0</v>
      </c>
      <c r="O711" s="1">
        <v>875.0</v>
      </c>
      <c r="P711" s="1">
        <v>871.0</v>
      </c>
      <c r="Q711" s="1">
        <v>61.0</v>
      </c>
      <c r="R711" s="1">
        <v>774.0</v>
      </c>
      <c r="S711" s="1">
        <v>256.0</v>
      </c>
      <c r="T711" s="1">
        <v>118.0</v>
      </c>
      <c r="U711" s="1">
        <v>29.0</v>
      </c>
      <c r="V711" s="1">
        <v>396.0</v>
      </c>
      <c r="W711" s="1">
        <v>20550.0</v>
      </c>
      <c r="X711" s="1">
        <v>2750.0</v>
      </c>
      <c r="Y711" s="1">
        <v>234.0</v>
      </c>
      <c r="Z711" s="1">
        <v>136.0</v>
      </c>
      <c r="AA711" s="1">
        <v>307.0</v>
      </c>
      <c r="AB711" s="1">
        <v>418.0</v>
      </c>
      <c r="AC711" s="1">
        <v>65.0</v>
      </c>
      <c r="AD711" s="1">
        <v>156.0</v>
      </c>
      <c r="AE711" s="1">
        <v>0.0</v>
      </c>
      <c r="AF711" s="1">
        <v>456.0</v>
      </c>
      <c r="AG711" s="1">
        <v>0.0</v>
      </c>
      <c r="AH711" s="1">
        <v>197.0</v>
      </c>
      <c r="AI711" s="1">
        <v>219.0</v>
      </c>
      <c r="AJ711" s="1">
        <v>48.0</v>
      </c>
      <c r="AK711" s="1">
        <v>9.0</v>
      </c>
      <c r="AL711" s="1">
        <v>115.0</v>
      </c>
      <c r="AM711" s="1">
        <v>54.0</v>
      </c>
      <c r="AN711" s="1">
        <v>28.0</v>
      </c>
      <c r="AO711" s="1">
        <v>0.0</v>
      </c>
      <c r="AP711" s="1">
        <v>0.14875</v>
      </c>
      <c r="AQ711" s="1">
        <v>0.066349</v>
      </c>
      <c r="AR711" s="1">
        <v>0.035194</v>
      </c>
      <c r="AS711" s="1">
        <v>0.48053</v>
      </c>
      <c r="AT711" s="1">
        <v>20550.0</v>
      </c>
      <c r="AU711" s="1">
        <v>2750.0</v>
      </c>
      <c r="AV711" s="1">
        <v>0.178082</v>
      </c>
      <c r="AW711" s="1">
        <v>0.102127</v>
      </c>
      <c r="AX711" s="1">
        <v>0.167211</v>
      </c>
      <c r="AY711" s="1">
        <v>0.227668</v>
      </c>
      <c r="AZ711" s="1">
        <v>0.08397932</v>
      </c>
      <c r="BA711" s="1">
        <v>0.084967</v>
      </c>
      <c r="BB711" s="1">
        <v>0.0</v>
      </c>
      <c r="BC711" s="1">
        <v>0.282703</v>
      </c>
      <c r="BD711" s="1">
        <v>0.0</v>
      </c>
      <c r="BE711" s="1">
        <v>0.226176</v>
      </c>
      <c r="BF711" s="1">
        <v>0.251435</v>
      </c>
      <c r="BG711" s="1">
        <v>0.05222</v>
      </c>
      <c r="BH711" s="1">
        <v>0.01243</v>
      </c>
      <c r="BI711" s="1">
        <v>0.158835</v>
      </c>
      <c r="BJ711" s="1">
        <v>0.074585</v>
      </c>
      <c r="BK711" s="1">
        <v>0.038071</v>
      </c>
      <c r="BL711" s="1">
        <v>0.0</v>
      </c>
      <c r="BM711" s="1">
        <v>0.575</v>
      </c>
      <c r="BN711" s="1">
        <v>0.135</v>
      </c>
      <c r="BO711" s="1">
        <v>0.5783</v>
      </c>
      <c r="BP711" s="1">
        <v>0.68</v>
      </c>
      <c r="BQ711" s="1">
        <v>1.9683</v>
      </c>
      <c r="BR711" s="1">
        <v>0.4838</v>
      </c>
      <c r="BS711" s="1">
        <v>0.715</v>
      </c>
      <c r="BT711" s="1">
        <v>0.365</v>
      </c>
      <c r="BU711" s="1">
        <v>0.349</v>
      </c>
      <c r="BV711" s="1">
        <v>1.429</v>
      </c>
      <c r="BW711" s="1">
        <v>0.415</v>
      </c>
      <c r="BX711" s="1">
        <v>0.411</v>
      </c>
      <c r="BY711" s="1">
        <v>0.0</v>
      </c>
      <c r="BZ711" s="1">
        <v>0.411</v>
      </c>
      <c r="CA711" s="1">
        <v>0.169</v>
      </c>
      <c r="CB711" s="1">
        <v>0.0</v>
      </c>
      <c r="CC711" s="1">
        <v>0.951</v>
      </c>
      <c r="CD711" s="1">
        <v>0.538</v>
      </c>
      <c r="CE711" s="1">
        <v>0.646</v>
      </c>
      <c r="CF711" s="1">
        <v>0.0</v>
      </c>
      <c r="CG711" s="1">
        <v>2.135</v>
      </c>
      <c r="CH711" s="1">
        <v>0.394</v>
      </c>
      <c r="CI711" s="1">
        <v>5.9433</v>
      </c>
      <c r="CJ711" s="1">
        <v>0.3617</v>
      </c>
      <c r="CK711" s="1">
        <v>0.0</v>
      </c>
      <c r="CL711" s="1">
        <v>0.0</v>
      </c>
      <c r="CM711" s="1">
        <v>0.0</v>
      </c>
      <c r="CN711" s="1">
        <v>0.0</v>
      </c>
      <c r="CO711" s="1">
        <v>0.0</v>
      </c>
      <c r="CP711" s="1">
        <v>0.0</v>
      </c>
      <c r="CQ711" s="1">
        <v>0.0</v>
      </c>
      <c r="CR711" s="1">
        <v>0.0</v>
      </c>
      <c r="CS711" s="1">
        <v>0.0</v>
      </c>
      <c r="CT711" s="1">
        <v>0.0</v>
      </c>
      <c r="CU711" s="1">
        <v>0.0</v>
      </c>
      <c r="CV711" s="1">
        <v>0.0</v>
      </c>
      <c r="CW711" s="1">
        <v>0.0</v>
      </c>
      <c r="CX711" s="1">
        <v>1.0</v>
      </c>
      <c r="CY711" s="1">
        <v>0.0</v>
      </c>
      <c r="CZ711" s="1">
        <v>0.0</v>
      </c>
      <c r="DA711" s="1">
        <v>0.0</v>
      </c>
      <c r="DB711" s="1">
        <v>1.0</v>
      </c>
      <c r="DC711" s="1">
        <v>1.0</v>
      </c>
      <c r="DD711" s="1" t="s">
        <v>3346</v>
      </c>
      <c r="DE711" s="2" t="s">
        <v>3347</v>
      </c>
      <c r="DF711" s="2" t="s">
        <v>3348</v>
      </c>
    </row>
    <row r="712" ht="15.75" customHeight="1">
      <c r="A712" s="1" t="s">
        <v>3349</v>
      </c>
      <c r="B712" s="1">
        <v>29.0</v>
      </c>
      <c r="C712" s="1">
        <v>113.0</v>
      </c>
      <c r="D712" s="1">
        <v>810301.0</v>
      </c>
      <c r="E712" s="1">
        <v>24.139</v>
      </c>
      <c r="F712" s="1">
        <v>29113.0</v>
      </c>
      <c r="G712" s="1">
        <v>2.9113810301E10</v>
      </c>
      <c r="H712" s="1" t="s">
        <v>112</v>
      </c>
      <c r="I712" s="1" t="s">
        <v>113</v>
      </c>
      <c r="J712" s="1" t="s">
        <v>3350</v>
      </c>
      <c r="K712" s="1" t="s">
        <v>3351</v>
      </c>
      <c r="L712" s="1">
        <v>9138.0</v>
      </c>
      <c r="M712" s="1">
        <v>8747.0</v>
      </c>
      <c r="N712" s="1">
        <v>469.0</v>
      </c>
      <c r="O712" s="1">
        <v>3753.0</v>
      </c>
      <c r="P712" s="1">
        <v>3478.0</v>
      </c>
      <c r="Q712" s="1">
        <v>234.0</v>
      </c>
      <c r="R712" s="1">
        <v>3418.0</v>
      </c>
      <c r="S712" s="1">
        <v>1004.0</v>
      </c>
      <c r="T712" s="1">
        <v>450.0</v>
      </c>
      <c r="U712" s="1">
        <v>352.0</v>
      </c>
      <c r="V712" s="1">
        <v>369.0</v>
      </c>
      <c r="W712" s="1">
        <v>21543.0</v>
      </c>
      <c r="X712" s="1">
        <v>1836.0</v>
      </c>
      <c r="Y712" s="1">
        <v>953.0</v>
      </c>
      <c r="Z712" s="1">
        <v>299.0</v>
      </c>
      <c r="AA712" s="1">
        <v>1192.0</v>
      </c>
      <c r="AB712" s="1">
        <v>2613.0</v>
      </c>
      <c r="AC712" s="1">
        <v>546.0</v>
      </c>
      <c r="AD712" s="1">
        <v>900.0</v>
      </c>
      <c r="AE712" s="1">
        <v>5.0</v>
      </c>
      <c r="AF712" s="1">
        <v>442.0</v>
      </c>
      <c r="AG712" s="1">
        <v>102.0</v>
      </c>
      <c r="AH712" s="1">
        <v>149.0</v>
      </c>
      <c r="AI712" s="1">
        <v>235.0</v>
      </c>
      <c r="AJ712" s="1">
        <v>91.0</v>
      </c>
      <c r="AK712" s="1">
        <v>66.0</v>
      </c>
      <c r="AL712" s="1">
        <v>133.0</v>
      </c>
      <c r="AM712" s="1">
        <v>227.0</v>
      </c>
      <c r="AN712" s="1">
        <v>124.0</v>
      </c>
      <c r="AO712" s="1">
        <v>282.0</v>
      </c>
      <c r="AP712" s="1">
        <v>0.119594</v>
      </c>
      <c r="AQ712" s="1">
        <v>0.053187</v>
      </c>
      <c r="AR712" s="1">
        <v>0.088732</v>
      </c>
      <c r="AS712" s="1">
        <v>0.092632</v>
      </c>
      <c r="AT712" s="1">
        <v>21543.0</v>
      </c>
      <c r="AU712" s="1">
        <v>1836.0</v>
      </c>
      <c r="AV712" s="1">
        <v>0.172145</v>
      </c>
      <c r="AW712" s="1">
        <v>0.052876</v>
      </c>
      <c r="AX712" s="1">
        <v>0.130444</v>
      </c>
      <c r="AY712" s="1">
        <v>0.285948</v>
      </c>
      <c r="AZ712" s="1">
        <v>0.15974253</v>
      </c>
      <c r="BA712" s="1">
        <v>0.098489</v>
      </c>
      <c r="BB712" s="1">
        <v>6.15E-4</v>
      </c>
      <c r="BC712" s="1">
        <v>0.05444</v>
      </c>
      <c r="BD712" s="1">
        <v>0.029327</v>
      </c>
      <c r="BE712" s="1">
        <v>0.042795</v>
      </c>
      <c r="BF712" s="1">
        <v>0.067567</v>
      </c>
      <c r="BG712" s="1">
        <v>0.025766</v>
      </c>
      <c r="BH712" s="1">
        <v>0.019474</v>
      </c>
      <c r="BI712" s="1">
        <v>0.039218</v>
      </c>
      <c r="BJ712" s="1">
        <v>0.066981</v>
      </c>
      <c r="BK712" s="1">
        <v>0.036261</v>
      </c>
      <c r="BL712" s="1">
        <v>0.03086</v>
      </c>
      <c r="BM712" s="1">
        <v>0.453</v>
      </c>
      <c r="BN712" s="1">
        <v>0.674</v>
      </c>
      <c r="BO712" s="1">
        <v>0.5162</v>
      </c>
      <c r="BP712" s="1">
        <v>0.656</v>
      </c>
      <c r="BQ712" s="1">
        <v>2.2992</v>
      </c>
      <c r="BR712" s="1">
        <v>0.6029</v>
      </c>
      <c r="BS712" s="1">
        <v>0.422</v>
      </c>
      <c r="BT712" s="1">
        <v>0.872</v>
      </c>
      <c r="BU712" s="1">
        <v>0.82</v>
      </c>
      <c r="BV712" s="1">
        <v>2.114</v>
      </c>
      <c r="BW712" s="1">
        <v>0.924</v>
      </c>
      <c r="BX712" s="1">
        <v>0.464</v>
      </c>
      <c r="BY712" s="1">
        <v>0.323</v>
      </c>
      <c r="BZ712" s="1">
        <v>0.787</v>
      </c>
      <c r="CA712" s="1">
        <v>0.389</v>
      </c>
      <c r="CB712" s="1">
        <v>0.546</v>
      </c>
      <c r="CC712" s="1">
        <v>0.644</v>
      </c>
      <c r="CD712" s="1">
        <v>0.672</v>
      </c>
      <c r="CE712" s="1">
        <v>0.607</v>
      </c>
      <c r="CF712" s="1">
        <v>0.812</v>
      </c>
      <c r="CG712" s="1">
        <v>3.281</v>
      </c>
      <c r="CH712" s="1">
        <v>0.866</v>
      </c>
      <c r="CI712" s="1">
        <v>8.4812</v>
      </c>
      <c r="CJ712" s="1">
        <v>0.7827</v>
      </c>
      <c r="CK712" s="1">
        <v>0.0</v>
      </c>
      <c r="CL712" s="1">
        <v>0.0</v>
      </c>
      <c r="CM712" s="1">
        <v>0.0</v>
      </c>
      <c r="CN712" s="1">
        <v>0.0</v>
      </c>
      <c r="CO712" s="1">
        <v>0.0</v>
      </c>
      <c r="CP712" s="1">
        <v>0.0</v>
      </c>
      <c r="CQ712" s="1">
        <v>0.0</v>
      </c>
      <c r="CR712" s="1">
        <v>0.0</v>
      </c>
      <c r="CS712" s="1">
        <v>0.0</v>
      </c>
      <c r="CT712" s="1">
        <v>0.0</v>
      </c>
      <c r="CU712" s="1">
        <v>0.0</v>
      </c>
      <c r="CV712" s="1">
        <v>0.0</v>
      </c>
      <c r="CW712" s="1">
        <v>0.0</v>
      </c>
      <c r="CX712" s="1">
        <v>0.0</v>
      </c>
      <c r="CY712" s="1">
        <v>0.0</v>
      </c>
      <c r="CZ712" s="1">
        <v>0.0</v>
      </c>
      <c r="DA712" s="1">
        <v>0.0</v>
      </c>
      <c r="DB712" s="1">
        <v>0.0</v>
      </c>
      <c r="DC712" s="1">
        <v>0.0</v>
      </c>
      <c r="DD712" s="1" t="s">
        <v>3352</v>
      </c>
      <c r="DE712" s="1">
        <v>0.00660262878533316</v>
      </c>
      <c r="DF712" s="1">
        <v>0.450871635586505</v>
      </c>
    </row>
    <row r="713" ht="15.75" customHeight="1">
      <c r="A713" s="1" t="s">
        <v>3353</v>
      </c>
      <c r="B713" s="1">
        <v>29.0</v>
      </c>
      <c r="C713" s="1">
        <v>113.0</v>
      </c>
      <c r="D713" s="1">
        <v>810100.0</v>
      </c>
      <c r="E713" s="1">
        <v>100.424</v>
      </c>
      <c r="F713" s="1">
        <v>29113.0</v>
      </c>
      <c r="G713" s="1">
        <v>2.91138101E10</v>
      </c>
      <c r="H713" s="1" t="s">
        <v>112</v>
      </c>
      <c r="I713" s="1" t="s">
        <v>113</v>
      </c>
      <c r="J713" s="1" t="s">
        <v>3350</v>
      </c>
      <c r="K713" s="1" t="s">
        <v>3354</v>
      </c>
      <c r="L713" s="1">
        <v>4269.0</v>
      </c>
      <c r="M713" s="1">
        <v>3969.0</v>
      </c>
      <c r="N713" s="1">
        <v>389.0</v>
      </c>
      <c r="O713" s="1">
        <v>2009.0</v>
      </c>
      <c r="P713" s="1">
        <v>2014.0</v>
      </c>
      <c r="Q713" s="1">
        <v>119.0</v>
      </c>
      <c r="R713" s="1">
        <v>1633.0</v>
      </c>
      <c r="S713" s="1">
        <v>756.0</v>
      </c>
      <c r="T713" s="1">
        <v>232.0</v>
      </c>
      <c r="U713" s="1">
        <v>272.0</v>
      </c>
      <c r="V713" s="1">
        <v>295.0</v>
      </c>
      <c r="W713" s="1">
        <v>18577.0</v>
      </c>
      <c r="X713" s="1">
        <v>1804.0</v>
      </c>
      <c r="Y713" s="1">
        <v>593.0</v>
      </c>
      <c r="Z713" s="1">
        <v>234.0</v>
      </c>
      <c r="AA713" s="1">
        <v>634.0</v>
      </c>
      <c r="AB713" s="1">
        <v>1045.0</v>
      </c>
      <c r="AC713" s="1">
        <v>189.0</v>
      </c>
      <c r="AD713" s="1">
        <v>310.0</v>
      </c>
      <c r="AE713" s="1">
        <v>39.0</v>
      </c>
      <c r="AF713" s="1">
        <v>414.0</v>
      </c>
      <c r="AG713" s="1">
        <v>32.0</v>
      </c>
      <c r="AH713" s="1">
        <v>117.0</v>
      </c>
      <c r="AI713" s="1">
        <v>237.0</v>
      </c>
      <c r="AJ713" s="1">
        <v>103.0</v>
      </c>
      <c r="AK713" s="1">
        <v>10.0</v>
      </c>
      <c r="AL713" s="1">
        <v>114.0</v>
      </c>
      <c r="AM713" s="1">
        <v>173.0</v>
      </c>
      <c r="AN713" s="1">
        <v>87.0</v>
      </c>
      <c r="AO713" s="1">
        <v>106.0</v>
      </c>
      <c r="AP713" s="1">
        <v>0.193995</v>
      </c>
      <c r="AQ713" s="1">
        <v>0.056295</v>
      </c>
      <c r="AR713" s="1">
        <v>0.14422</v>
      </c>
      <c r="AS713" s="1">
        <v>0.155541</v>
      </c>
      <c r="AT713" s="1">
        <v>18577.0</v>
      </c>
      <c r="AU713" s="1">
        <v>1804.0</v>
      </c>
      <c r="AV713" s="1">
        <v>0.226768</v>
      </c>
      <c r="AW713" s="1">
        <v>0.087445</v>
      </c>
      <c r="AX713" s="1">
        <v>0.148512</v>
      </c>
      <c r="AY713" s="1">
        <v>0.244788</v>
      </c>
      <c r="AZ713" s="1">
        <v>0.1157379</v>
      </c>
      <c r="BA713" s="1">
        <v>0.072616</v>
      </c>
      <c r="BB713" s="1">
        <v>0.010534</v>
      </c>
      <c r="BC713" s="1">
        <v>0.111827</v>
      </c>
      <c r="BD713" s="1">
        <v>0.015888</v>
      </c>
      <c r="BE713" s="1">
        <v>0.058085</v>
      </c>
      <c r="BF713" s="1">
        <v>0.117676</v>
      </c>
      <c r="BG713" s="1">
        <v>0.050667</v>
      </c>
      <c r="BH713" s="1">
        <v>0.006523</v>
      </c>
      <c r="BI713" s="1">
        <v>0.074361</v>
      </c>
      <c r="BJ713" s="1">
        <v>0.11285</v>
      </c>
      <c r="BK713" s="1">
        <v>0.0559</v>
      </c>
      <c r="BL713" s="1">
        <v>0.02483</v>
      </c>
      <c r="BM713" s="1">
        <v>0.713</v>
      </c>
      <c r="BN713" s="1">
        <v>0.886</v>
      </c>
      <c r="BO713" s="1">
        <v>0.7032</v>
      </c>
      <c r="BP713" s="1">
        <v>0.819</v>
      </c>
      <c r="BQ713" s="1">
        <v>3.1212</v>
      </c>
      <c r="BR713" s="1">
        <v>0.8318</v>
      </c>
      <c r="BS713" s="1">
        <v>0.564</v>
      </c>
      <c r="BT713" s="1">
        <v>0.545</v>
      </c>
      <c r="BU713" s="1">
        <v>0.638</v>
      </c>
      <c r="BV713" s="1">
        <v>1.747</v>
      </c>
      <c r="BW713" s="1">
        <v>0.678</v>
      </c>
      <c r="BX713" s="1">
        <v>0.371</v>
      </c>
      <c r="BY713" s="1">
        <v>0.733</v>
      </c>
      <c r="BZ713" s="1">
        <v>1.104</v>
      </c>
      <c r="CA713" s="1">
        <v>0.616</v>
      </c>
      <c r="CB713" s="1">
        <v>0.434</v>
      </c>
      <c r="CC713" s="1">
        <v>0.754</v>
      </c>
      <c r="CD713" s="1">
        <v>0.375</v>
      </c>
      <c r="CE713" s="1">
        <v>0.789</v>
      </c>
      <c r="CF713" s="1">
        <v>0.768</v>
      </c>
      <c r="CG713" s="1">
        <v>3.12</v>
      </c>
      <c r="CH713" s="1">
        <v>0.82</v>
      </c>
      <c r="CI713" s="1">
        <v>9.0922</v>
      </c>
      <c r="CJ713" s="1">
        <v>0.8635</v>
      </c>
      <c r="CK713" s="1">
        <v>0.0</v>
      </c>
      <c r="CL713" s="1">
        <v>0.0</v>
      </c>
      <c r="CM713" s="1">
        <v>0.0</v>
      </c>
      <c r="CN713" s="1">
        <v>0.0</v>
      </c>
      <c r="CO713" s="1">
        <v>0.0</v>
      </c>
      <c r="CP713" s="1">
        <v>0.0</v>
      </c>
      <c r="CQ713" s="1">
        <v>0.0</v>
      </c>
      <c r="CR713" s="1">
        <v>0.0</v>
      </c>
      <c r="CS713" s="1">
        <v>0.0</v>
      </c>
      <c r="CT713" s="1">
        <v>0.0</v>
      </c>
      <c r="CU713" s="1">
        <v>0.0</v>
      </c>
      <c r="CV713" s="1">
        <v>0.0</v>
      </c>
      <c r="CW713" s="1">
        <v>0.0</v>
      </c>
      <c r="CX713" s="1">
        <v>0.0</v>
      </c>
      <c r="CY713" s="1">
        <v>0.0</v>
      </c>
      <c r="CZ713" s="1">
        <v>0.0</v>
      </c>
      <c r="DA713" s="1">
        <v>0.0</v>
      </c>
      <c r="DB713" s="1">
        <v>0.0</v>
      </c>
      <c r="DC713" s="1">
        <v>0.0</v>
      </c>
      <c r="DD713" s="1" t="s">
        <v>3355</v>
      </c>
      <c r="DE713" s="1">
        <v>0.0281638638022607</v>
      </c>
      <c r="DF713" s="2" t="s">
        <v>3356</v>
      </c>
    </row>
    <row r="714" ht="15.75" customHeight="1">
      <c r="A714" s="1" t="s">
        <v>3357</v>
      </c>
      <c r="B714" s="1">
        <v>29.0</v>
      </c>
      <c r="C714" s="1">
        <v>113.0</v>
      </c>
      <c r="D714" s="1">
        <v>810201.0</v>
      </c>
      <c r="E714" s="1">
        <v>65.514</v>
      </c>
      <c r="F714" s="1">
        <v>29113.0</v>
      </c>
      <c r="G714" s="1">
        <v>2.9113810201E10</v>
      </c>
      <c r="H714" s="1" t="s">
        <v>112</v>
      </c>
      <c r="I714" s="1" t="s">
        <v>113</v>
      </c>
      <c r="J714" s="1" t="s">
        <v>3350</v>
      </c>
      <c r="K714" s="1" t="s">
        <v>3358</v>
      </c>
      <c r="L714" s="1">
        <v>6535.0</v>
      </c>
      <c r="M714" s="1">
        <v>6202.0</v>
      </c>
      <c r="N714" s="1">
        <v>487.0</v>
      </c>
      <c r="O714" s="1">
        <v>2522.0</v>
      </c>
      <c r="P714" s="1">
        <v>2393.0</v>
      </c>
      <c r="Q714" s="1">
        <v>162.0</v>
      </c>
      <c r="R714" s="1">
        <v>2338.0</v>
      </c>
      <c r="S714" s="1">
        <v>517.0</v>
      </c>
      <c r="T714" s="1">
        <v>287.0</v>
      </c>
      <c r="U714" s="1">
        <v>367.0</v>
      </c>
      <c r="V714" s="1">
        <v>340.0</v>
      </c>
      <c r="W714" s="1">
        <v>24103.0</v>
      </c>
      <c r="X714" s="1">
        <v>2493.0</v>
      </c>
      <c r="Y714" s="1">
        <v>477.0</v>
      </c>
      <c r="Z714" s="1">
        <v>242.0</v>
      </c>
      <c r="AA714" s="1">
        <v>706.0</v>
      </c>
      <c r="AB714" s="1">
        <v>1813.0</v>
      </c>
      <c r="AC714" s="1">
        <v>225.0</v>
      </c>
      <c r="AD714" s="1">
        <v>395.0</v>
      </c>
      <c r="AE714" s="1">
        <v>28.0</v>
      </c>
      <c r="AF714" s="1">
        <v>428.0</v>
      </c>
      <c r="AG714" s="1">
        <v>0.0</v>
      </c>
      <c r="AH714" s="1">
        <v>197.0</v>
      </c>
      <c r="AI714" s="1">
        <v>354.0</v>
      </c>
      <c r="AJ714" s="1">
        <v>123.0</v>
      </c>
      <c r="AK714" s="1">
        <v>43.0</v>
      </c>
      <c r="AL714" s="1">
        <v>123.0</v>
      </c>
      <c r="AM714" s="1">
        <v>51.0</v>
      </c>
      <c r="AN714" s="1">
        <v>34.0</v>
      </c>
      <c r="AO714" s="1">
        <v>14.0</v>
      </c>
      <c r="AP714" s="1">
        <v>0.08336</v>
      </c>
      <c r="AQ714" s="1">
        <v>0.04581</v>
      </c>
      <c r="AR714" s="1">
        <v>0.117028</v>
      </c>
      <c r="AS714" s="1">
        <v>0.107699</v>
      </c>
      <c r="AT714" s="1">
        <v>24103.0</v>
      </c>
      <c r="AU714" s="1">
        <v>2493.0</v>
      </c>
      <c r="AV714" s="1">
        <v>0.119668</v>
      </c>
      <c r="AW714" s="1">
        <v>0.060156</v>
      </c>
      <c r="AX714" s="1">
        <v>0.108033</v>
      </c>
      <c r="AY714" s="1">
        <v>0.277429</v>
      </c>
      <c r="AZ714" s="1">
        <v>0.09623609</v>
      </c>
      <c r="BA714" s="1">
        <v>0.060443</v>
      </c>
      <c r="BB714" s="1">
        <v>0.005101</v>
      </c>
      <c r="BC714" s="1">
        <v>0.077973</v>
      </c>
      <c r="BD714" s="1">
        <v>0.0</v>
      </c>
      <c r="BE714" s="1">
        <v>0.082323</v>
      </c>
      <c r="BF714" s="1">
        <v>0.147931</v>
      </c>
      <c r="BG714" s="1">
        <v>0.050414</v>
      </c>
      <c r="BH714" s="1">
        <v>0.019907</v>
      </c>
      <c r="BI714" s="1">
        <v>0.056928</v>
      </c>
      <c r="BJ714" s="1">
        <v>0.023611</v>
      </c>
      <c r="BK714" s="1">
        <v>0.015659</v>
      </c>
      <c r="BL714" s="1">
        <v>0.002142</v>
      </c>
      <c r="BM714" s="1">
        <v>0.306</v>
      </c>
      <c r="BN714" s="1">
        <v>0.813</v>
      </c>
      <c r="BO714" s="1">
        <v>0.3935</v>
      </c>
      <c r="BP714" s="1">
        <v>0.428</v>
      </c>
      <c r="BQ714" s="1">
        <v>1.9405</v>
      </c>
      <c r="BR714" s="1">
        <v>0.4758</v>
      </c>
      <c r="BS714" s="1">
        <v>0.259</v>
      </c>
      <c r="BT714" s="1">
        <v>0.837</v>
      </c>
      <c r="BU714" s="1">
        <v>0.46</v>
      </c>
      <c r="BV714" s="1">
        <v>1.556</v>
      </c>
      <c r="BW714" s="1">
        <v>0.527</v>
      </c>
      <c r="BX714" s="1">
        <v>0.315</v>
      </c>
      <c r="BY714" s="1">
        <v>0.566</v>
      </c>
      <c r="BZ714" s="1">
        <v>0.881</v>
      </c>
      <c r="CA714" s="1">
        <v>0.453</v>
      </c>
      <c r="CB714" s="1">
        <v>0.0</v>
      </c>
      <c r="CC714" s="1">
        <v>0.812</v>
      </c>
      <c r="CD714" s="1">
        <v>0.682</v>
      </c>
      <c r="CE714" s="1">
        <v>0.225</v>
      </c>
      <c r="CF714" s="1">
        <v>0.451</v>
      </c>
      <c r="CG714" s="1">
        <v>2.17</v>
      </c>
      <c r="CH714" s="1">
        <v>0.407</v>
      </c>
      <c r="CI714" s="1">
        <v>6.5475</v>
      </c>
      <c r="CJ714" s="1">
        <v>0.4657</v>
      </c>
      <c r="CK714" s="1">
        <v>0.0</v>
      </c>
      <c r="CL714" s="1">
        <v>0.0</v>
      </c>
      <c r="CM714" s="1">
        <v>0.0</v>
      </c>
      <c r="CN714" s="1">
        <v>0.0</v>
      </c>
      <c r="CO714" s="1">
        <v>0.0</v>
      </c>
      <c r="CP714" s="1">
        <v>0.0</v>
      </c>
      <c r="CQ714" s="1">
        <v>0.0</v>
      </c>
      <c r="CR714" s="1">
        <v>0.0</v>
      </c>
      <c r="CS714" s="1">
        <v>0.0</v>
      </c>
      <c r="CT714" s="1">
        <v>0.0</v>
      </c>
      <c r="CU714" s="1">
        <v>0.0</v>
      </c>
      <c r="CV714" s="1">
        <v>0.0</v>
      </c>
      <c r="CW714" s="1">
        <v>0.0</v>
      </c>
      <c r="CX714" s="1">
        <v>0.0</v>
      </c>
      <c r="CY714" s="1">
        <v>0.0</v>
      </c>
      <c r="CZ714" s="1">
        <v>0.0</v>
      </c>
      <c r="DA714" s="1">
        <v>0.0</v>
      </c>
      <c r="DB714" s="1">
        <v>0.0</v>
      </c>
      <c r="DC714" s="1">
        <v>0.0</v>
      </c>
      <c r="DD714" s="1" t="s">
        <v>3359</v>
      </c>
      <c r="DE714" s="2" t="s">
        <v>3360</v>
      </c>
      <c r="DF714" s="2" t="s">
        <v>3361</v>
      </c>
    </row>
    <row r="715" ht="15.75" customHeight="1">
      <c r="A715" s="1" t="s">
        <v>3362</v>
      </c>
      <c r="B715" s="1">
        <v>29.0</v>
      </c>
      <c r="C715" s="1">
        <v>113.0</v>
      </c>
      <c r="D715" s="1">
        <v>810202.0</v>
      </c>
      <c r="E715" s="1">
        <v>225.071</v>
      </c>
      <c r="F715" s="1">
        <v>29113.0</v>
      </c>
      <c r="G715" s="1">
        <v>2.9113810202E10</v>
      </c>
      <c r="H715" s="1" t="s">
        <v>112</v>
      </c>
      <c r="I715" s="1" t="s">
        <v>113</v>
      </c>
      <c r="J715" s="1" t="s">
        <v>3350</v>
      </c>
      <c r="K715" s="1" t="s">
        <v>3363</v>
      </c>
      <c r="L715" s="1">
        <v>5805.0</v>
      </c>
      <c r="M715" s="1">
        <v>5983.0</v>
      </c>
      <c r="N715" s="1">
        <v>404.0</v>
      </c>
      <c r="O715" s="1">
        <v>2415.0</v>
      </c>
      <c r="P715" s="1">
        <v>2272.0</v>
      </c>
      <c r="Q715" s="1">
        <v>126.0</v>
      </c>
      <c r="R715" s="1">
        <v>2073.0</v>
      </c>
      <c r="S715" s="1">
        <v>371.0</v>
      </c>
      <c r="T715" s="1">
        <v>171.0</v>
      </c>
      <c r="U715" s="1">
        <v>211.0</v>
      </c>
      <c r="V715" s="1">
        <v>392.0</v>
      </c>
      <c r="W715" s="1">
        <v>23497.0</v>
      </c>
      <c r="X715" s="1">
        <v>3494.0</v>
      </c>
      <c r="Y715" s="1">
        <v>700.0</v>
      </c>
      <c r="Z715" s="1">
        <v>275.0</v>
      </c>
      <c r="AA715" s="1">
        <v>788.0</v>
      </c>
      <c r="AB715" s="1">
        <v>1510.0</v>
      </c>
      <c r="AC715" s="1">
        <v>167.0</v>
      </c>
      <c r="AD715" s="1">
        <v>176.0</v>
      </c>
      <c r="AE715" s="1">
        <v>20.0</v>
      </c>
      <c r="AF715" s="1">
        <v>442.0</v>
      </c>
      <c r="AG715" s="1">
        <v>0.0</v>
      </c>
      <c r="AH715" s="1">
        <v>197.0</v>
      </c>
      <c r="AI715" s="1">
        <v>379.0</v>
      </c>
      <c r="AJ715" s="1">
        <v>91.0</v>
      </c>
      <c r="AK715" s="1">
        <v>36.0</v>
      </c>
      <c r="AL715" s="1">
        <v>119.0</v>
      </c>
      <c r="AM715" s="1">
        <v>25.0</v>
      </c>
      <c r="AN715" s="1">
        <v>25.0</v>
      </c>
      <c r="AO715" s="1">
        <v>113.0</v>
      </c>
      <c r="AP715" s="1">
        <v>0.06412</v>
      </c>
      <c r="AQ715" s="1">
        <v>0.029279</v>
      </c>
      <c r="AR715" s="1">
        <v>0.074637</v>
      </c>
      <c r="AS715" s="1">
        <v>0.138445</v>
      </c>
      <c r="AT715" s="1">
        <v>23497.0</v>
      </c>
      <c r="AU715" s="1">
        <v>3494.0</v>
      </c>
      <c r="AV715" s="1">
        <v>0.17301</v>
      </c>
      <c r="AW715" s="1">
        <v>0.066811</v>
      </c>
      <c r="AX715" s="1">
        <v>0.135745</v>
      </c>
      <c r="AY715" s="1">
        <v>0.26012</v>
      </c>
      <c r="AZ715" s="1">
        <v>0.08055957</v>
      </c>
      <c r="BA715" s="1">
        <v>0.030318</v>
      </c>
      <c r="BB715" s="1">
        <v>0.003561</v>
      </c>
      <c r="BC715" s="1">
        <v>0.078703</v>
      </c>
      <c r="BD715" s="1">
        <v>0.0</v>
      </c>
      <c r="BE715" s="1">
        <v>0.086707</v>
      </c>
      <c r="BF715" s="1">
        <v>0.166813</v>
      </c>
      <c r="BG715" s="1">
        <v>0.038969</v>
      </c>
      <c r="BH715" s="1">
        <v>0.017586</v>
      </c>
      <c r="BI715" s="1">
        <v>0.058123</v>
      </c>
      <c r="BJ715" s="1">
        <v>0.012212</v>
      </c>
      <c r="BK715" s="1">
        <v>0.01219</v>
      </c>
      <c r="BL715" s="1">
        <v>0.019465</v>
      </c>
      <c r="BM715" s="1">
        <v>0.221</v>
      </c>
      <c r="BN715" s="1">
        <v>0.553</v>
      </c>
      <c r="BO715" s="1">
        <v>0.4245</v>
      </c>
      <c r="BP715" s="1">
        <v>0.661</v>
      </c>
      <c r="BQ715" s="1">
        <v>1.8595</v>
      </c>
      <c r="BR715" s="1">
        <v>0.4513</v>
      </c>
      <c r="BS715" s="1">
        <v>0.46</v>
      </c>
      <c r="BT715" s="1">
        <v>0.704</v>
      </c>
      <c r="BU715" s="1">
        <v>0.31</v>
      </c>
      <c r="BV715" s="1">
        <v>1.474</v>
      </c>
      <c r="BW715" s="1">
        <v>0.46</v>
      </c>
      <c r="BX715" s="1">
        <v>0.079</v>
      </c>
      <c r="BY715" s="1">
        <v>0.487</v>
      </c>
      <c r="BZ715" s="1">
        <v>0.566</v>
      </c>
      <c r="CA715" s="1">
        <v>0.248</v>
      </c>
      <c r="CB715" s="1">
        <v>0.0</v>
      </c>
      <c r="CC715" s="1">
        <v>0.846</v>
      </c>
      <c r="CD715" s="1">
        <v>0.639</v>
      </c>
      <c r="CE715" s="1">
        <v>0.108</v>
      </c>
      <c r="CF715" s="1">
        <v>0.703</v>
      </c>
      <c r="CG715" s="1">
        <v>2.296</v>
      </c>
      <c r="CH715" s="1">
        <v>0.455</v>
      </c>
      <c r="CI715" s="1">
        <v>6.1955</v>
      </c>
      <c r="CJ715" s="1">
        <v>0.4079</v>
      </c>
      <c r="CK715" s="1">
        <v>0.0</v>
      </c>
      <c r="CL715" s="1">
        <v>0.0</v>
      </c>
      <c r="CM715" s="1">
        <v>0.0</v>
      </c>
      <c r="CN715" s="1">
        <v>0.0</v>
      </c>
      <c r="CO715" s="1">
        <v>0.0</v>
      </c>
      <c r="CP715" s="1">
        <v>0.0</v>
      </c>
      <c r="CQ715" s="1">
        <v>0.0</v>
      </c>
      <c r="CR715" s="1">
        <v>0.0</v>
      </c>
      <c r="CS715" s="1">
        <v>0.0</v>
      </c>
      <c r="CT715" s="1">
        <v>0.0</v>
      </c>
      <c r="CU715" s="1">
        <v>0.0</v>
      </c>
      <c r="CV715" s="1">
        <v>0.0</v>
      </c>
      <c r="CW715" s="1">
        <v>0.0</v>
      </c>
      <c r="CX715" s="1">
        <v>0.0</v>
      </c>
      <c r="CY715" s="1">
        <v>0.0</v>
      </c>
      <c r="CZ715" s="1">
        <v>0.0</v>
      </c>
      <c r="DA715" s="1">
        <v>0.0</v>
      </c>
      <c r="DB715" s="1">
        <v>0.0</v>
      </c>
      <c r="DC715" s="1">
        <v>0.0</v>
      </c>
      <c r="DD715" s="1" t="s">
        <v>3364</v>
      </c>
      <c r="DE715" s="1">
        <v>0.0612973517098923</v>
      </c>
      <c r="DF715" s="2" t="s">
        <v>3365</v>
      </c>
    </row>
    <row r="716" ht="15.75" customHeight="1">
      <c r="A716" s="1" t="s">
        <v>3366</v>
      </c>
      <c r="B716" s="1">
        <v>29.0</v>
      </c>
      <c r="C716" s="1">
        <v>113.0</v>
      </c>
      <c r="D716" s="1">
        <v>810303.0</v>
      </c>
      <c r="E716" s="1">
        <v>48.969</v>
      </c>
      <c r="F716" s="1">
        <v>29113.0</v>
      </c>
      <c r="G716" s="1">
        <v>2.9113810303E10</v>
      </c>
      <c r="H716" s="1" t="s">
        <v>112</v>
      </c>
      <c r="I716" s="1" t="s">
        <v>113</v>
      </c>
      <c r="J716" s="1" t="s">
        <v>3350</v>
      </c>
      <c r="K716" s="1" t="s">
        <v>3367</v>
      </c>
      <c r="L716" s="1">
        <v>8180.0</v>
      </c>
      <c r="M716" s="1">
        <v>7704.0</v>
      </c>
      <c r="N716" s="1">
        <v>486.0</v>
      </c>
      <c r="O716" s="1">
        <v>3002.0</v>
      </c>
      <c r="P716" s="1">
        <v>2796.0</v>
      </c>
      <c r="Q716" s="1">
        <v>176.0</v>
      </c>
      <c r="R716" s="1">
        <v>2810.0</v>
      </c>
      <c r="S716" s="1">
        <v>763.0</v>
      </c>
      <c r="T716" s="1">
        <v>294.0</v>
      </c>
      <c r="U716" s="1">
        <v>366.0</v>
      </c>
      <c r="V716" s="1">
        <v>362.0</v>
      </c>
      <c r="W716" s="1">
        <v>23673.0</v>
      </c>
      <c r="X716" s="1">
        <v>2080.0</v>
      </c>
      <c r="Y716" s="1">
        <v>751.0</v>
      </c>
      <c r="Z716" s="1">
        <v>226.0</v>
      </c>
      <c r="AA716" s="1">
        <v>595.0</v>
      </c>
      <c r="AB716" s="1">
        <v>2484.0</v>
      </c>
      <c r="AC716" s="1">
        <v>359.0</v>
      </c>
      <c r="AD716" s="1">
        <v>500.0</v>
      </c>
      <c r="AE716" s="1">
        <v>21.0</v>
      </c>
      <c r="AF716" s="1">
        <v>427.0</v>
      </c>
      <c r="AG716" s="1">
        <v>23.0</v>
      </c>
      <c r="AH716" s="1">
        <v>163.0</v>
      </c>
      <c r="AI716" s="1">
        <v>616.0</v>
      </c>
      <c r="AJ716" s="1">
        <v>119.0</v>
      </c>
      <c r="AK716" s="1">
        <v>81.0</v>
      </c>
      <c r="AL716" s="1">
        <v>129.0</v>
      </c>
      <c r="AM716" s="1">
        <v>115.0</v>
      </c>
      <c r="AN716" s="1">
        <v>61.0</v>
      </c>
      <c r="AO716" s="1">
        <v>50.0</v>
      </c>
      <c r="AP716" s="1">
        <v>0.099543</v>
      </c>
      <c r="AQ716" s="1">
        <v>0.037828</v>
      </c>
      <c r="AR716" s="1">
        <v>0.089618</v>
      </c>
      <c r="AS716" s="1">
        <v>0.088338</v>
      </c>
      <c r="AT716" s="1">
        <v>23673.0</v>
      </c>
      <c r="AU716" s="1">
        <v>2080.0</v>
      </c>
      <c r="AV716" s="1">
        <v>0.159414</v>
      </c>
      <c r="AW716" s="1">
        <v>0.047068</v>
      </c>
      <c r="AX716" s="1">
        <v>0.072738</v>
      </c>
      <c r="AY716" s="1">
        <v>0.303667</v>
      </c>
      <c r="AZ716" s="1">
        <v>0.127758</v>
      </c>
      <c r="BA716" s="1">
        <v>0.061124</v>
      </c>
      <c r="BB716" s="1">
        <v>0.002959</v>
      </c>
      <c r="BC716" s="1">
        <v>0.060182</v>
      </c>
      <c r="BD716" s="1">
        <v>0.008226</v>
      </c>
      <c r="BE716" s="1">
        <v>0.058295</v>
      </c>
      <c r="BF716" s="1">
        <v>0.220314</v>
      </c>
      <c r="BG716" s="1">
        <v>0.040237</v>
      </c>
      <c r="BH716" s="1">
        <v>0.031714</v>
      </c>
      <c r="BI716" s="1">
        <v>0.050467</v>
      </c>
      <c r="BJ716" s="1">
        <v>0.045027</v>
      </c>
      <c r="BK716" s="1">
        <v>0.023706</v>
      </c>
      <c r="BL716" s="1">
        <v>0.006112</v>
      </c>
      <c r="BM716" s="1">
        <v>0.368</v>
      </c>
      <c r="BN716" s="1">
        <v>0.679</v>
      </c>
      <c r="BO716" s="1">
        <v>0.4144</v>
      </c>
      <c r="BP716" s="1">
        <v>0.607</v>
      </c>
      <c r="BQ716" s="1">
        <v>2.0684</v>
      </c>
      <c r="BR716" s="1">
        <v>0.522</v>
      </c>
      <c r="BS716" s="1">
        <v>0.093</v>
      </c>
      <c r="BT716" s="1">
        <v>0.934</v>
      </c>
      <c r="BU716" s="1">
        <v>0.706</v>
      </c>
      <c r="BV716" s="1">
        <v>1.733</v>
      </c>
      <c r="BW716" s="1">
        <v>0.667</v>
      </c>
      <c r="BX716" s="1">
        <v>0.318</v>
      </c>
      <c r="BY716" s="1">
        <v>0.446</v>
      </c>
      <c r="BZ716" s="1">
        <v>0.764</v>
      </c>
      <c r="CA716" s="1">
        <v>0.371</v>
      </c>
      <c r="CB716" s="1">
        <v>0.364</v>
      </c>
      <c r="CC716" s="1">
        <v>0.921</v>
      </c>
      <c r="CD716" s="1">
        <v>0.827</v>
      </c>
      <c r="CE716" s="1">
        <v>0.443</v>
      </c>
      <c r="CF716" s="1">
        <v>0.531</v>
      </c>
      <c r="CG716" s="1">
        <v>3.086</v>
      </c>
      <c r="CH716" s="1">
        <v>0.809</v>
      </c>
      <c r="CI716" s="1">
        <v>7.6514</v>
      </c>
      <c r="CJ716" s="1">
        <v>0.6585</v>
      </c>
      <c r="CK716" s="1">
        <v>0.0</v>
      </c>
      <c r="CL716" s="1">
        <v>0.0</v>
      </c>
      <c r="CM716" s="1">
        <v>0.0</v>
      </c>
      <c r="CN716" s="1">
        <v>0.0</v>
      </c>
      <c r="CO716" s="1">
        <v>0.0</v>
      </c>
      <c r="CP716" s="1">
        <v>0.0</v>
      </c>
      <c r="CQ716" s="1">
        <v>1.0</v>
      </c>
      <c r="CR716" s="1">
        <v>0.0</v>
      </c>
      <c r="CS716" s="1">
        <v>1.0</v>
      </c>
      <c r="CT716" s="1">
        <v>0.0</v>
      </c>
      <c r="CU716" s="1">
        <v>0.0</v>
      </c>
      <c r="CV716" s="1">
        <v>0.0</v>
      </c>
      <c r="CW716" s="1">
        <v>0.0</v>
      </c>
      <c r="CX716" s="1">
        <v>1.0</v>
      </c>
      <c r="CY716" s="1">
        <v>0.0</v>
      </c>
      <c r="CZ716" s="1">
        <v>0.0</v>
      </c>
      <c r="DA716" s="1">
        <v>0.0</v>
      </c>
      <c r="DB716" s="1">
        <v>1.0</v>
      </c>
      <c r="DC716" s="1">
        <v>2.0</v>
      </c>
      <c r="DD716" s="1" t="s">
        <v>3368</v>
      </c>
      <c r="DE716" s="2" t="s">
        <v>3369</v>
      </c>
      <c r="DF716" s="2" t="s">
        <v>3370</v>
      </c>
    </row>
    <row r="717" ht="15.75" customHeight="1">
      <c r="A717" s="1" t="s">
        <v>3371</v>
      </c>
      <c r="B717" s="1">
        <v>29.0</v>
      </c>
      <c r="C717" s="1">
        <v>113.0</v>
      </c>
      <c r="D717" s="1">
        <v>810304.0</v>
      </c>
      <c r="E717" s="1">
        <v>62.789</v>
      </c>
      <c r="F717" s="1">
        <v>29113.0</v>
      </c>
      <c r="G717" s="1">
        <v>2.9113810304E10</v>
      </c>
      <c r="H717" s="1" t="s">
        <v>112</v>
      </c>
      <c r="I717" s="1" t="s">
        <v>113</v>
      </c>
      <c r="J717" s="1" t="s">
        <v>3350</v>
      </c>
      <c r="K717" s="1" t="s">
        <v>3372</v>
      </c>
      <c r="L717" s="1">
        <v>10149.0</v>
      </c>
      <c r="M717" s="1">
        <v>9958.0</v>
      </c>
      <c r="N717" s="1">
        <v>616.0</v>
      </c>
      <c r="O717" s="1">
        <v>3808.0</v>
      </c>
      <c r="P717" s="1">
        <v>3637.0</v>
      </c>
      <c r="Q717" s="1">
        <v>187.0</v>
      </c>
      <c r="R717" s="1">
        <v>3478.0</v>
      </c>
      <c r="S717" s="1">
        <v>1223.0</v>
      </c>
      <c r="T717" s="1">
        <v>414.0</v>
      </c>
      <c r="U717" s="1">
        <v>565.0</v>
      </c>
      <c r="V717" s="1">
        <v>322.0</v>
      </c>
      <c r="W717" s="1">
        <v>20594.0</v>
      </c>
      <c r="X717" s="1">
        <v>1441.0</v>
      </c>
      <c r="Y717" s="1">
        <v>1071.0</v>
      </c>
      <c r="Z717" s="1">
        <v>314.0</v>
      </c>
      <c r="AA717" s="1">
        <v>908.0</v>
      </c>
      <c r="AB717" s="1">
        <v>3023.0</v>
      </c>
      <c r="AC717" s="1">
        <v>436.0</v>
      </c>
      <c r="AD717" s="1">
        <v>634.0</v>
      </c>
      <c r="AE717" s="1">
        <v>0.0</v>
      </c>
      <c r="AF717" s="1">
        <v>456.0</v>
      </c>
      <c r="AG717" s="1">
        <v>42.0</v>
      </c>
      <c r="AH717" s="1">
        <v>176.0</v>
      </c>
      <c r="AI717" s="1">
        <v>1085.0</v>
      </c>
      <c r="AJ717" s="1">
        <v>198.0</v>
      </c>
      <c r="AK717" s="1">
        <v>127.0</v>
      </c>
      <c r="AL717" s="1">
        <v>145.0</v>
      </c>
      <c r="AM717" s="1">
        <v>9.0</v>
      </c>
      <c r="AN717" s="1">
        <v>114.0</v>
      </c>
      <c r="AO717" s="1">
        <v>30.0</v>
      </c>
      <c r="AP717" s="1">
        <v>0.123186</v>
      </c>
      <c r="AQ717" s="1">
        <v>0.041002</v>
      </c>
      <c r="AR717" s="1">
        <v>0.11465</v>
      </c>
      <c r="AS717" s="1">
        <v>0.06464</v>
      </c>
      <c r="AT717" s="1">
        <v>20594.0</v>
      </c>
      <c r="AU717" s="1">
        <v>1441.0</v>
      </c>
      <c r="AV717" s="1">
        <v>0.172214</v>
      </c>
      <c r="AW717" s="1">
        <v>0.049266</v>
      </c>
      <c r="AX717" s="1">
        <v>0.089466</v>
      </c>
      <c r="AY717" s="1">
        <v>0.297861</v>
      </c>
      <c r="AZ717" s="1">
        <v>0.1253594</v>
      </c>
      <c r="BA717" s="1">
        <v>0.062469</v>
      </c>
      <c r="BB717" s="1">
        <v>0.0</v>
      </c>
      <c r="BC717" s="1">
        <v>0.050638</v>
      </c>
      <c r="BD717" s="1">
        <v>0.011547</v>
      </c>
      <c r="BE717" s="1">
        <v>0.048387</v>
      </c>
      <c r="BF717" s="1">
        <v>0.298322</v>
      </c>
      <c r="BG717" s="1">
        <v>0.052234</v>
      </c>
      <c r="BH717" s="1">
        <v>0.039258</v>
      </c>
      <c r="BI717" s="1">
        <v>0.044759</v>
      </c>
      <c r="BJ717" s="1">
        <v>0.002782</v>
      </c>
      <c r="BK717" s="1">
        <v>0.035239</v>
      </c>
      <c r="BL717" s="1">
        <v>0.002955</v>
      </c>
      <c r="BM717" s="1">
        <v>0.465</v>
      </c>
      <c r="BN717" s="1">
        <v>0.801</v>
      </c>
      <c r="BO717" s="1">
        <v>0.5762</v>
      </c>
      <c r="BP717" s="1">
        <v>0.658</v>
      </c>
      <c r="BQ717" s="1">
        <v>2.5002</v>
      </c>
      <c r="BR717" s="1">
        <v>0.6657</v>
      </c>
      <c r="BS717" s="1">
        <v>0.155</v>
      </c>
      <c r="BT717" s="1">
        <v>0.914</v>
      </c>
      <c r="BU717" s="1">
        <v>0.699</v>
      </c>
      <c r="BV717" s="1">
        <v>1.768</v>
      </c>
      <c r="BW717" s="1">
        <v>0.7</v>
      </c>
      <c r="BX717" s="1">
        <v>0.325</v>
      </c>
      <c r="BY717" s="1">
        <v>0.0</v>
      </c>
      <c r="BZ717" s="1">
        <v>0.325</v>
      </c>
      <c r="CA717" s="1">
        <v>0.139</v>
      </c>
      <c r="CB717" s="1">
        <v>0.397</v>
      </c>
      <c r="CC717" s="1">
        <v>0.98</v>
      </c>
      <c r="CD717" s="1">
        <v>0.888</v>
      </c>
      <c r="CE717" s="1">
        <v>0.037</v>
      </c>
      <c r="CF717" s="1">
        <v>0.474</v>
      </c>
      <c r="CG717" s="1">
        <v>2.776</v>
      </c>
      <c r="CH717" s="1">
        <v>0.678</v>
      </c>
      <c r="CI717" s="1">
        <v>7.3692</v>
      </c>
      <c r="CJ717" s="1">
        <v>0.6217</v>
      </c>
      <c r="CK717" s="1">
        <v>0.0</v>
      </c>
      <c r="CL717" s="1">
        <v>0.0</v>
      </c>
      <c r="CM717" s="1">
        <v>0.0</v>
      </c>
      <c r="CN717" s="1">
        <v>0.0</v>
      </c>
      <c r="CO717" s="1">
        <v>0.0</v>
      </c>
      <c r="CP717" s="1">
        <v>0.0</v>
      </c>
      <c r="CQ717" s="1">
        <v>1.0</v>
      </c>
      <c r="CR717" s="1">
        <v>0.0</v>
      </c>
      <c r="CS717" s="1">
        <v>1.0</v>
      </c>
      <c r="CT717" s="1">
        <v>0.0</v>
      </c>
      <c r="CU717" s="1">
        <v>0.0</v>
      </c>
      <c r="CV717" s="1">
        <v>0.0</v>
      </c>
      <c r="CW717" s="1">
        <v>0.0</v>
      </c>
      <c r="CX717" s="1">
        <v>1.0</v>
      </c>
      <c r="CY717" s="1">
        <v>0.0</v>
      </c>
      <c r="CZ717" s="1">
        <v>0.0</v>
      </c>
      <c r="DA717" s="1">
        <v>0.0</v>
      </c>
      <c r="DB717" s="1">
        <v>1.0</v>
      </c>
      <c r="DC717" s="1">
        <v>2.0</v>
      </c>
      <c r="DD717" s="1" t="s">
        <v>3373</v>
      </c>
      <c r="DE717" s="2" t="s">
        <v>3374</v>
      </c>
      <c r="DF717" s="2" t="s">
        <v>3375</v>
      </c>
    </row>
    <row r="718" ht="15.75" customHeight="1">
      <c r="A718" s="1" t="s">
        <v>3376</v>
      </c>
      <c r="B718" s="1">
        <v>29.0</v>
      </c>
      <c r="C718" s="1">
        <v>113.0</v>
      </c>
      <c r="D718" s="1">
        <v>810400.0</v>
      </c>
      <c r="E718" s="1">
        <v>99.65</v>
      </c>
      <c r="F718" s="1">
        <v>29113.0</v>
      </c>
      <c r="G718" s="1">
        <v>2.91138104E10</v>
      </c>
      <c r="H718" s="1" t="s">
        <v>112</v>
      </c>
      <c r="I718" s="1" t="s">
        <v>113</v>
      </c>
      <c r="J718" s="1" t="s">
        <v>3350</v>
      </c>
      <c r="K718" s="1" t="s">
        <v>3377</v>
      </c>
      <c r="L718" s="1">
        <v>8490.0</v>
      </c>
      <c r="M718" s="1">
        <v>8770.0</v>
      </c>
      <c r="N718" s="1">
        <v>412.0</v>
      </c>
      <c r="O718" s="1">
        <v>3502.0</v>
      </c>
      <c r="P718" s="1">
        <v>3591.0</v>
      </c>
      <c r="Q718" s="1">
        <v>136.0</v>
      </c>
      <c r="R718" s="1">
        <v>3156.0</v>
      </c>
      <c r="S718" s="1">
        <v>903.0</v>
      </c>
      <c r="T718" s="1">
        <v>403.0</v>
      </c>
      <c r="U718" s="1">
        <v>587.0</v>
      </c>
      <c r="V718" s="1">
        <v>337.0</v>
      </c>
      <c r="W718" s="1">
        <v>20812.0</v>
      </c>
      <c r="X718" s="1">
        <v>1630.0</v>
      </c>
      <c r="Y718" s="1">
        <v>965.0</v>
      </c>
      <c r="Z718" s="1">
        <v>243.0</v>
      </c>
      <c r="AA718" s="1">
        <v>892.0</v>
      </c>
      <c r="AB718" s="1">
        <v>2238.0</v>
      </c>
      <c r="AC718" s="1">
        <v>351.0</v>
      </c>
      <c r="AD718" s="1">
        <v>287.0</v>
      </c>
      <c r="AE718" s="1">
        <v>22.0</v>
      </c>
      <c r="AF718" s="1">
        <v>442.0</v>
      </c>
      <c r="AG718" s="1">
        <v>3.0</v>
      </c>
      <c r="AH718" s="1">
        <v>161.0</v>
      </c>
      <c r="AI718" s="1">
        <v>832.0</v>
      </c>
      <c r="AJ718" s="1">
        <v>152.0</v>
      </c>
      <c r="AK718" s="1">
        <v>59.0</v>
      </c>
      <c r="AL718" s="1">
        <v>123.0</v>
      </c>
      <c r="AM718" s="1">
        <v>162.0</v>
      </c>
      <c r="AN718" s="1">
        <v>90.0</v>
      </c>
      <c r="AO718" s="1">
        <v>37.0</v>
      </c>
      <c r="AP718" s="1">
        <v>0.103223</v>
      </c>
      <c r="AQ718" s="1">
        <v>0.04581</v>
      </c>
      <c r="AR718" s="1">
        <v>0.123138</v>
      </c>
      <c r="AS718" s="1">
        <v>0.069864</v>
      </c>
      <c r="AT718" s="1">
        <v>20812.0</v>
      </c>
      <c r="AU718" s="1">
        <v>1630.0</v>
      </c>
      <c r="AV718" s="1">
        <v>0.174913</v>
      </c>
      <c r="AW718" s="1">
        <v>0.043174</v>
      </c>
      <c r="AX718" s="1">
        <v>0.105064</v>
      </c>
      <c r="AY718" s="1">
        <v>0.263604</v>
      </c>
      <c r="AZ718" s="1">
        <v>0.11121673</v>
      </c>
      <c r="BA718" s="1">
        <v>0.033804</v>
      </c>
      <c r="BB718" s="1">
        <v>0.00261</v>
      </c>
      <c r="BC718" s="1">
        <v>0.052437</v>
      </c>
      <c r="BD718" s="1">
        <v>8.35E-4</v>
      </c>
      <c r="BE718" s="1">
        <v>0.044834</v>
      </c>
      <c r="BF718" s="1">
        <v>0.23169</v>
      </c>
      <c r="BG718" s="1">
        <v>0.041408</v>
      </c>
      <c r="BH718" s="1">
        <v>0.018771</v>
      </c>
      <c r="BI718" s="1">
        <v>0.03912</v>
      </c>
      <c r="BJ718" s="1">
        <v>0.051543</v>
      </c>
      <c r="BK718" s="1">
        <v>0.02849</v>
      </c>
      <c r="BL718" s="1">
        <v>0.004358</v>
      </c>
      <c r="BM718" s="1">
        <v>0.382</v>
      </c>
      <c r="BN718" s="1">
        <v>0.833</v>
      </c>
      <c r="BO718" s="1">
        <v>0.5632</v>
      </c>
      <c r="BP718" s="1">
        <v>0.669</v>
      </c>
      <c r="BQ718" s="1">
        <v>2.4472</v>
      </c>
      <c r="BR718" s="1">
        <v>0.6477</v>
      </c>
      <c r="BS718" s="1">
        <v>0.241</v>
      </c>
      <c r="BT718" s="1">
        <v>0.735</v>
      </c>
      <c r="BU718" s="1">
        <v>0.595</v>
      </c>
      <c r="BV718" s="1">
        <v>1.571</v>
      </c>
      <c r="BW718" s="1">
        <v>0.541</v>
      </c>
      <c r="BX718" s="1">
        <v>0.109</v>
      </c>
      <c r="BY718" s="1">
        <v>0.423</v>
      </c>
      <c r="BZ718" s="1">
        <v>0.532</v>
      </c>
      <c r="CA718" s="1">
        <v>0.229</v>
      </c>
      <c r="CB718" s="1">
        <v>0.251</v>
      </c>
      <c r="CC718" s="1">
        <v>0.932</v>
      </c>
      <c r="CD718" s="1">
        <v>0.657</v>
      </c>
      <c r="CE718" s="1">
        <v>0.496</v>
      </c>
      <c r="CF718" s="1">
        <v>0.501</v>
      </c>
      <c r="CG718" s="1">
        <v>2.837</v>
      </c>
      <c r="CH718" s="1">
        <v>0.703</v>
      </c>
      <c r="CI718" s="1">
        <v>7.3872</v>
      </c>
      <c r="CJ718" s="1">
        <v>0.6231</v>
      </c>
      <c r="CK718" s="1">
        <v>0.0</v>
      </c>
      <c r="CL718" s="1">
        <v>0.0</v>
      </c>
      <c r="CM718" s="1">
        <v>0.0</v>
      </c>
      <c r="CN718" s="1">
        <v>0.0</v>
      </c>
      <c r="CO718" s="1">
        <v>0.0</v>
      </c>
      <c r="CP718" s="1">
        <v>0.0</v>
      </c>
      <c r="CQ718" s="1">
        <v>0.0</v>
      </c>
      <c r="CR718" s="1">
        <v>0.0</v>
      </c>
      <c r="CS718" s="1">
        <v>0.0</v>
      </c>
      <c r="CT718" s="1">
        <v>0.0</v>
      </c>
      <c r="CU718" s="1">
        <v>0.0</v>
      </c>
      <c r="CV718" s="1">
        <v>0.0</v>
      </c>
      <c r="CW718" s="1">
        <v>0.0</v>
      </c>
      <c r="CX718" s="1">
        <v>1.0</v>
      </c>
      <c r="CY718" s="1">
        <v>0.0</v>
      </c>
      <c r="CZ718" s="1">
        <v>0.0</v>
      </c>
      <c r="DA718" s="1">
        <v>0.0</v>
      </c>
      <c r="DB718" s="1">
        <v>1.0</v>
      </c>
      <c r="DC718" s="1">
        <v>1.0</v>
      </c>
      <c r="DD718" s="1" t="s">
        <v>3378</v>
      </c>
      <c r="DE718" s="2" t="s">
        <v>3379</v>
      </c>
      <c r="DF718" s="2" t="s">
        <v>3380</v>
      </c>
    </row>
    <row r="719" ht="15.75" customHeight="1">
      <c r="A719" s="1" t="s">
        <v>3381</v>
      </c>
      <c r="B719" s="1">
        <v>29.0</v>
      </c>
      <c r="C719" s="1">
        <v>115.0</v>
      </c>
      <c r="D719" s="1">
        <v>490100.0</v>
      </c>
      <c r="E719" s="1">
        <v>235.978</v>
      </c>
      <c r="F719" s="1">
        <v>29115.0</v>
      </c>
      <c r="G719" s="1">
        <v>2.91154901E10</v>
      </c>
      <c r="H719" s="1" t="s">
        <v>112</v>
      </c>
      <c r="I719" s="1" t="s">
        <v>113</v>
      </c>
      <c r="J719" s="1" t="s">
        <v>3382</v>
      </c>
      <c r="K719" s="1" t="s">
        <v>3383</v>
      </c>
      <c r="L719" s="1">
        <v>1741.0</v>
      </c>
      <c r="M719" s="1">
        <v>1759.0</v>
      </c>
      <c r="N719" s="1">
        <v>169.0</v>
      </c>
      <c r="O719" s="1">
        <v>935.0</v>
      </c>
      <c r="P719" s="1">
        <v>863.0</v>
      </c>
      <c r="Q719" s="1">
        <v>63.0</v>
      </c>
      <c r="R719" s="1">
        <v>725.0</v>
      </c>
      <c r="S719" s="1">
        <v>264.0</v>
      </c>
      <c r="T719" s="1">
        <v>161.0</v>
      </c>
      <c r="U719" s="1">
        <v>64.0</v>
      </c>
      <c r="V719" s="1">
        <v>412.0</v>
      </c>
      <c r="W719" s="1">
        <v>17921.0</v>
      </c>
      <c r="X719" s="1">
        <v>2038.0</v>
      </c>
      <c r="Y719" s="1">
        <v>113.0</v>
      </c>
      <c r="Z719" s="1">
        <v>231.0</v>
      </c>
      <c r="AA719" s="1">
        <v>357.0</v>
      </c>
      <c r="AB719" s="1">
        <v>410.0</v>
      </c>
      <c r="AC719" s="1">
        <v>35.0</v>
      </c>
      <c r="AD719" s="1">
        <v>30.0</v>
      </c>
      <c r="AE719" s="1">
        <v>3.0</v>
      </c>
      <c r="AF719" s="1">
        <v>442.0</v>
      </c>
      <c r="AG719" s="1">
        <v>0.0</v>
      </c>
      <c r="AH719" s="1">
        <v>197.0</v>
      </c>
      <c r="AI719" s="1">
        <v>114.0</v>
      </c>
      <c r="AJ719" s="1">
        <v>46.0</v>
      </c>
      <c r="AK719" s="1">
        <v>22.0</v>
      </c>
      <c r="AL719" s="1">
        <v>115.0</v>
      </c>
      <c r="AM719" s="1">
        <v>23.0</v>
      </c>
      <c r="AN719" s="1">
        <v>13.0</v>
      </c>
      <c r="AO719" s="1">
        <v>0.0</v>
      </c>
      <c r="AP719" s="1">
        <v>0.150341</v>
      </c>
      <c r="AQ719" s="1">
        <v>0.090509</v>
      </c>
      <c r="AR719" s="1">
        <v>0.084768</v>
      </c>
      <c r="AS719" s="1">
        <v>0.545582</v>
      </c>
      <c r="AT719" s="1">
        <v>17921.0</v>
      </c>
      <c r="AU719" s="1">
        <v>2038.0</v>
      </c>
      <c r="AV719" s="1">
        <v>0.099559</v>
      </c>
      <c r="AW719" s="1">
        <v>0.20336</v>
      </c>
      <c r="AX719" s="1">
        <v>0.205054</v>
      </c>
      <c r="AY719" s="1">
        <v>0.235496</v>
      </c>
      <c r="AZ719" s="1">
        <v>0.04827586</v>
      </c>
      <c r="BA719" s="1">
        <v>0.017231</v>
      </c>
      <c r="BB719" s="1">
        <v>0.001856</v>
      </c>
      <c r="BC719" s="1">
        <v>0.273514</v>
      </c>
      <c r="BD719" s="1">
        <v>0.0</v>
      </c>
      <c r="BE719" s="1">
        <v>0.228273</v>
      </c>
      <c r="BF719" s="1">
        <v>0.132097</v>
      </c>
      <c r="BG719" s="1">
        <v>0.052422</v>
      </c>
      <c r="BH719" s="1">
        <v>0.034865</v>
      </c>
      <c r="BI719" s="1">
        <v>0.182215</v>
      </c>
      <c r="BJ719" s="1">
        <v>0.03645</v>
      </c>
      <c r="BK719" s="1">
        <v>0.020257</v>
      </c>
      <c r="BL719" s="1">
        <v>0.0</v>
      </c>
      <c r="BM719" s="1">
        <v>0.579</v>
      </c>
      <c r="BN719" s="1">
        <v>0.648</v>
      </c>
      <c r="BO719" s="1">
        <v>0.7336</v>
      </c>
      <c r="BP719" s="1">
        <v>0.335</v>
      </c>
      <c r="BQ719" s="1">
        <v>2.2956</v>
      </c>
      <c r="BR719" s="1">
        <v>0.6022</v>
      </c>
      <c r="BS719" s="1">
        <v>0.892</v>
      </c>
      <c r="BT719" s="1">
        <v>0.444</v>
      </c>
      <c r="BU719" s="1">
        <v>0.064</v>
      </c>
      <c r="BV719" s="1">
        <v>1.4</v>
      </c>
      <c r="BW719" s="1">
        <v>0.392</v>
      </c>
      <c r="BX719" s="1">
        <v>0.01</v>
      </c>
      <c r="BY719" s="1">
        <v>0.375</v>
      </c>
      <c r="BZ719" s="1">
        <v>0.385</v>
      </c>
      <c r="CA719" s="1">
        <v>0.156</v>
      </c>
      <c r="CB719" s="1">
        <v>0.0</v>
      </c>
      <c r="CC719" s="1">
        <v>0.78</v>
      </c>
      <c r="CD719" s="1">
        <v>0.859</v>
      </c>
      <c r="CE719" s="1">
        <v>0.346</v>
      </c>
      <c r="CF719" s="1">
        <v>0.0</v>
      </c>
      <c r="CG719" s="1">
        <v>1.985</v>
      </c>
      <c r="CH719" s="1">
        <v>0.343</v>
      </c>
      <c r="CI719" s="1">
        <v>6.0656</v>
      </c>
      <c r="CJ719" s="1">
        <v>0.3834</v>
      </c>
      <c r="CK719" s="1">
        <v>0.0</v>
      </c>
      <c r="CL719" s="1">
        <v>0.0</v>
      </c>
      <c r="CM719" s="1">
        <v>0.0</v>
      </c>
      <c r="CN719" s="1">
        <v>0.0</v>
      </c>
      <c r="CO719" s="1">
        <v>0.0</v>
      </c>
      <c r="CP719" s="1">
        <v>0.0</v>
      </c>
      <c r="CQ719" s="1">
        <v>0.0</v>
      </c>
      <c r="CR719" s="1">
        <v>0.0</v>
      </c>
      <c r="CS719" s="1">
        <v>0.0</v>
      </c>
      <c r="CT719" s="1">
        <v>0.0</v>
      </c>
      <c r="CU719" s="1">
        <v>0.0</v>
      </c>
      <c r="CV719" s="1">
        <v>0.0</v>
      </c>
      <c r="CW719" s="1">
        <v>0.0</v>
      </c>
      <c r="CX719" s="1">
        <v>0.0</v>
      </c>
      <c r="CY719" s="1">
        <v>0.0</v>
      </c>
      <c r="CZ719" s="1">
        <v>0.0</v>
      </c>
      <c r="DA719" s="1">
        <v>0.0</v>
      </c>
      <c r="DB719" s="1">
        <v>0.0</v>
      </c>
      <c r="DC719" s="1">
        <v>0.0</v>
      </c>
      <c r="DD719" s="1" t="s">
        <v>3384</v>
      </c>
      <c r="DE719" s="1">
        <v>0.0647771786277351</v>
      </c>
      <c r="DF719" s="2" t="s">
        <v>3385</v>
      </c>
    </row>
    <row r="720" ht="15.75" customHeight="1">
      <c r="A720" s="1" t="s">
        <v>3386</v>
      </c>
      <c r="B720" s="1">
        <v>29.0</v>
      </c>
      <c r="C720" s="1">
        <v>115.0</v>
      </c>
      <c r="D720" s="1">
        <v>490400.0</v>
      </c>
      <c r="E720" s="1">
        <v>6.978</v>
      </c>
      <c r="F720" s="1">
        <v>29115.0</v>
      </c>
      <c r="G720" s="1">
        <v>2.91154904E10</v>
      </c>
      <c r="H720" s="1" t="s">
        <v>112</v>
      </c>
      <c r="I720" s="1" t="s">
        <v>113</v>
      </c>
      <c r="J720" s="1" t="s">
        <v>3382</v>
      </c>
      <c r="K720" s="1" t="s">
        <v>3387</v>
      </c>
      <c r="L720" s="1">
        <v>3009.0</v>
      </c>
      <c r="M720" s="1">
        <v>2833.0</v>
      </c>
      <c r="N720" s="1">
        <v>220.0</v>
      </c>
      <c r="O720" s="1">
        <v>1564.0</v>
      </c>
      <c r="P720" s="1">
        <v>1660.0</v>
      </c>
      <c r="Q720" s="1">
        <v>121.0</v>
      </c>
      <c r="R720" s="1">
        <v>1280.0</v>
      </c>
      <c r="S720" s="1">
        <v>614.0</v>
      </c>
      <c r="T720" s="1">
        <v>275.0</v>
      </c>
      <c r="U720" s="1">
        <v>111.0</v>
      </c>
      <c r="V720" s="1">
        <v>448.0</v>
      </c>
      <c r="W720" s="1">
        <v>22828.0</v>
      </c>
      <c r="X720" s="1">
        <v>6262.0</v>
      </c>
      <c r="Y720" s="1">
        <v>279.0</v>
      </c>
      <c r="Z720" s="1">
        <v>337.0</v>
      </c>
      <c r="AA720" s="1">
        <v>640.0</v>
      </c>
      <c r="AB720" s="1">
        <v>755.0</v>
      </c>
      <c r="AC720" s="1">
        <v>153.0</v>
      </c>
      <c r="AD720" s="1">
        <v>184.0</v>
      </c>
      <c r="AE720" s="1">
        <v>21.0</v>
      </c>
      <c r="AF720" s="1">
        <v>427.0</v>
      </c>
      <c r="AG720" s="1">
        <v>39.0</v>
      </c>
      <c r="AH720" s="1">
        <v>163.0</v>
      </c>
      <c r="AI720" s="1">
        <v>93.0</v>
      </c>
      <c r="AJ720" s="1">
        <v>58.0</v>
      </c>
      <c r="AK720" s="1">
        <v>15.0</v>
      </c>
      <c r="AL720" s="1">
        <v>117.0</v>
      </c>
      <c r="AM720" s="1">
        <v>143.0</v>
      </c>
      <c r="AN720" s="1">
        <v>66.0</v>
      </c>
      <c r="AO720" s="1">
        <v>100.0</v>
      </c>
      <c r="AP720" s="1">
        <v>0.216731</v>
      </c>
      <c r="AQ720" s="1">
        <v>0.0956</v>
      </c>
      <c r="AR720" s="1">
        <v>0.107558</v>
      </c>
      <c r="AS720" s="1">
        <v>0.433698</v>
      </c>
      <c r="AT720" s="1">
        <v>22828.0</v>
      </c>
      <c r="AU720" s="1">
        <v>6262.0</v>
      </c>
      <c r="AV720" s="1">
        <v>0.134328</v>
      </c>
      <c r="AW720" s="1">
        <v>0.161844</v>
      </c>
      <c r="AX720" s="1">
        <v>0.212695</v>
      </c>
      <c r="AY720" s="1">
        <v>0.250913</v>
      </c>
      <c r="AZ720" s="1">
        <v>0.11953125</v>
      </c>
      <c r="BA720" s="1">
        <v>0.061149</v>
      </c>
      <c r="BB720" s="1">
        <v>0.007681</v>
      </c>
      <c r="BC720" s="1">
        <v>0.15618</v>
      </c>
      <c r="BD720" s="1">
        <v>0.023493</v>
      </c>
      <c r="BE720" s="1">
        <v>0.098177</v>
      </c>
      <c r="BF720" s="1">
        <v>0.056024</v>
      </c>
      <c r="BG720" s="1">
        <v>0.0347</v>
      </c>
      <c r="BH720" s="1">
        <v>0.012396</v>
      </c>
      <c r="BI720" s="1">
        <v>0.096685</v>
      </c>
      <c r="BJ720" s="1">
        <v>0.118181</v>
      </c>
      <c r="BK720" s="1">
        <v>0.05307</v>
      </c>
      <c r="BL720" s="1">
        <v>0.033233</v>
      </c>
      <c r="BM720" s="1">
        <v>0.766</v>
      </c>
      <c r="BN720" s="1">
        <v>0.775</v>
      </c>
      <c r="BO720" s="1">
        <v>0.4549</v>
      </c>
      <c r="BP720" s="1">
        <v>0.493</v>
      </c>
      <c r="BQ720" s="1">
        <v>2.4889</v>
      </c>
      <c r="BR720" s="1">
        <v>0.6628</v>
      </c>
      <c r="BS720" s="1">
        <v>0.915</v>
      </c>
      <c r="BT720" s="1">
        <v>0.61</v>
      </c>
      <c r="BU720" s="1">
        <v>0.668</v>
      </c>
      <c r="BV720" s="1">
        <v>2.193</v>
      </c>
      <c r="BW720" s="1">
        <v>0.961</v>
      </c>
      <c r="BX720" s="1">
        <v>0.319</v>
      </c>
      <c r="BY720" s="1">
        <v>0.654</v>
      </c>
      <c r="BZ720" s="1">
        <v>0.973</v>
      </c>
      <c r="CA720" s="1">
        <v>0.53</v>
      </c>
      <c r="CB720" s="1">
        <v>0.502</v>
      </c>
      <c r="CC720" s="1">
        <v>0.622</v>
      </c>
      <c r="CD720" s="1">
        <v>0.535</v>
      </c>
      <c r="CE720" s="1">
        <v>0.802</v>
      </c>
      <c r="CF720" s="1">
        <v>0.825</v>
      </c>
      <c r="CG720" s="1">
        <v>3.286</v>
      </c>
      <c r="CH720" s="1">
        <v>0.868</v>
      </c>
      <c r="CI720" s="1">
        <v>8.9409</v>
      </c>
      <c r="CJ720" s="1">
        <v>0.8433</v>
      </c>
      <c r="CK720" s="1">
        <v>0.0</v>
      </c>
      <c r="CL720" s="1">
        <v>0.0</v>
      </c>
      <c r="CM720" s="1">
        <v>0.0</v>
      </c>
      <c r="CN720" s="1">
        <v>0.0</v>
      </c>
      <c r="CO720" s="1">
        <v>0.0</v>
      </c>
      <c r="CP720" s="1">
        <v>1.0</v>
      </c>
      <c r="CQ720" s="1">
        <v>0.0</v>
      </c>
      <c r="CR720" s="1">
        <v>0.0</v>
      </c>
      <c r="CS720" s="1">
        <v>1.0</v>
      </c>
      <c r="CT720" s="1">
        <v>0.0</v>
      </c>
      <c r="CU720" s="1">
        <v>0.0</v>
      </c>
      <c r="CV720" s="1">
        <v>0.0</v>
      </c>
      <c r="CW720" s="1">
        <v>0.0</v>
      </c>
      <c r="CX720" s="1">
        <v>0.0</v>
      </c>
      <c r="CY720" s="1">
        <v>0.0</v>
      </c>
      <c r="CZ720" s="1">
        <v>0.0</v>
      </c>
      <c r="DA720" s="1">
        <v>0.0</v>
      </c>
      <c r="DB720" s="1">
        <v>0.0</v>
      </c>
      <c r="DC720" s="1">
        <v>1.0</v>
      </c>
      <c r="DD720" s="1" t="s">
        <v>3388</v>
      </c>
      <c r="DE720" s="1">
        <v>0.00195590377312762</v>
      </c>
      <c r="DF720" s="1">
        <v>0.238226977798379</v>
      </c>
    </row>
    <row r="721" ht="15.75" customHeight="1">
      <c r="A721" s="1" t="s">
        <v>3389</v>
      </c>
      <c r="B721" s="1">
        <v>29.0</v>
      </c>
      <c r="C721" s="1">
        <v>115.0</v>
      </c>
      <c r="D721" s="1">
        <v>490200.0</v>
      </c>
      <c r="E721" s="1">
        <v>240.855</v>
      </c>
      <c r="F721" s="1">
        <v>29115.0</v>
      </c>
      <c r="G721" s="1">
        <v>2.91154902E10</v>
      </c>
      <c r="H721" s="1" t="s">
        <v>112</v>
      </c>
      <c r="I721" s="1" t="s">
        <v>113</v>
      </c>
      <c r="J721" s="1" t="s">
        <v>3382</v>
      </c>
      <c r="K721" s="1" t="s">
        <v>3390</v>
      </c>
      <c r="L721" s="1">
        <v>2300.0</v>
      </c>
      <c r="M721" s="1">
        <v>2219.0</v>
      </c>
      <c r="N721" s="1">
        <v>156.0</v>
      </c>
      <c r="O721" s="1">
        <v>1127.0</v>
      </c>
      <c r="P721" s="1">
        <v>1071.0</v>
      </c>
      <c r="Q721" s="1">
        <v>78.0</v>
      </c>
      <c r="R721" s="1">
        <v>917.0</v>
      </c>
      <c r="S721" s="1">
        <v>306.0</v>
      </c>
      <c r="T721" s="1">
        <v>108.0</v>
      </c>
      <c r="U721" s="1">
        <v>44.0</v>
      </c>
      <c r="V721" s="1">
        <v>361.0</v>
      </c>
      <c r="W721" s="1">
        <v>16801.0</v>
      </c>
      <c r="X721" s="1">
        <v>1712.0</v>
      </c>
      <c r="Y721" s="1">
        <v>147.0</v>
      </c>
      <c r="Z721" s="1">
        <v>200.0</v>
      </c>
      <c r="AA721" s="1">
        <v>398.0</v>
      </c>
      <c r="AB721" s="1">
        <v>603.0</v>
      </c>
      <c r="AC721" s="1">
        <v>67.0</v>
      </c>
      <c r="AD721" s="1">
        <v>50.0</v>
      </c>
      <c r="AE721" s="1">
        <v>5.0</v>
      </c>
      <c r="AF721" s="1">
        <v>442.0</v>
      </c>
      <c r="AG721" s="1">
        <v>7.0</v>
      </c>
      <c r="AH721" s="1">
        <v>161.0</v>
      </c>
      <c r="AI721" s="1">
        <v>92.0</v>
      </c>
      <c r="AJ721" s="1">
        <v>33.0</v>
      </c>
      <c r="AK721" s="1">
        <v>29.0</v>
      </c>
      <c r="AL721" s="1">
        <v>116.0</v>
      </c>
      <c r="AM721" s="1">
        <v>23.0</v>
      </c>
      <c r="AN721" s="1">
        <v>11.0</v>
      </c>
      <c r="AO721" s="1">
        <v>0.0</v>
      </c>
      <c r="AP721" s="1">
        <v>0.139789</v>
      </c>
      <c r="AQ721" s="1">
        <v>0.04836</v>
      </c>
      <c r="AR721" s="1">
        <v>0.04656</v>
      </c>
      <c r="AS721" s="1">
        <v>0.381984</v>
      </c>
      <c r="AT721" s="1">
        <v>16801.0</v>
      </c>
      <c r="AU721" s="1">
        <v>1712.0</v>
      </c>
      <c r="AV721" s="1">
        <v>0.104551</v>
      </c>
      <c r="AW721" s="1">
        <v>0.14202</v>
      </c>
      <c r="AX721" s="1">
        <v>0.173043</v>
      </c>
      <c r="AY721" s="1">
        <v>0.262173</v>
      </c>
      <c r="AZ721" s="1">
        <v>0.07306434</v>
      </c>
      <c r="BA721" s="1">
        <v>0.021739</v>
      </c>
      <c r="BB721" s="1">
        <v>0.002423</v>
      </c>
      <c r="BC721" s="1">
        <v>0.214251</v>
      </c>
      <c r="BD721" s="1">
        <v>0.006535</v>
      </c>
      <c r="BE721" s="1">
        <v>0.150326</v>
      </c>
      <c r="BF721" s="1">
        <v>0.085901</v>
      </c>
      <c r="BG721" s="1">
        <v>0.03017</v>
      </c>
      <c r="BH721" s="1">
        <v>0.034897</v>
      </c>
      <c r="BI721" s="1">
        <v>0.139554</v>
      </c>
      <c r="BJ721" s="1">
        <v>0.027677</v>
      </c>
      <c r="BK721" s="1">
        <v>0.012992</v>
      </c>
      <c r="BL721" s="1">
        <v>0.0</v>
      </c>
      <c r="BM721" s="1">
        <v>0.543</v>
      </c>
      <c r="BN721" s="1">
        <v>0.257</v>
      </c>
      <c r="BO721" s="1">
        <v>0.7978</v>
      </c>
      <c r="BP721" s="1">
        <v>0.361</v>
      </c>
      <c r="BQ721" s="1">
        <v>1.9588</v>
      </c>
      <c r="BR721" s="1">
        <v>0.4801</v>
      </c>
      <c r="BS721" s="1">
        <v>0.753</v>
      </c>
      <c r="BT721" s="1">
        <v>0.723</v>
      </c>
      <c r="BU721" s="1">
        <v>0.241</v>
      </c>
      <c r="BV721" s="1">
        <v>1.717</v>
      </c>
      <c r="BW721" s="1">
        <v>0.655</v>
      </c>
      <c r="BX721" s="1">
        <v>0.025</v>
      </c>
      <c r="BY721" s="1">
        <v>0.407</v>
      </c>
      <c r="BZ721" s="1">
        <v>0.432</v>
      </c>
      <c r="CA721" s="1">
        <v>0.179</v>
      </c>
      <c r="CB721" s="1">
        <v>0.346</v>
      </c>
      <c r="CC721" s="1">
        <v>0.69</v>
      </c>
      <c r="CD721" s="1">
        <v>0.86</v>
      </c>
      <c r="CE721" s="1">
        <v>0.264</v>
      </c>
      <c r="CF721" s="1">
        <v>0.0</v>
      </c>
      <c r="CG721" s="1">
        <v>2.16</v>
      </c>
      <c r="CH721" s="1">
        <v>0.402</v>
      </c>
      <c r="CI721" s="1">
        <v>6.2678</v>
      </c>
      <c r="CJ721" s="1">
        <v>0.4209</v>
      </c>
      <c r="CK721" s="1">
        <v>0.0</v>
      </c>
      <c r="CL721" s="1">
        <v>0.0</v>
      </c>
      <c r="CM721" s="1">
        <v>0.0</v>
      </c>
      <c r="CN721" s="1">
        <v>0.0</v>
      </c>
      <c r="CO721" s="1">
        <v>0.0</v>
      </c>
      <c r="CP721" s="1">
        <v>0.0</v>
      </c>
      <c r="CQ721" s="1">
        <v>0.0</v>
      </c>
      <c r="CR721" s="1">
        <v>0.0</v>
      </c>
      <c r="CS721" s="1">
        <v>0.0</v>
      </c>
      <c r="CT721" s="1">
        <v>0.0</v>
      </c>
      <c r="CU721" s="1">
        <v>0.0</v>
      </c>
      <c r="CV721" s="1">
        <v>0.0</v>
      </c>
      <c r="CW721" s="1">
        <v>0.0</v>
      </c>
      <c r="CX721" s="1">
        <v>0.0</v>
      </c>
      <c r="CY721" s="1">
        <v>0.0</v>
      </c>
      <c r="CZ721" s="1">
        <v>0.0</v>
      </c>
      <c r="DA721" s="1">
        <v>0.0</v>
      </c>
      <c r="DB721" s="1">
        <v>0.0</v>
      </c>
      <c r="DC721" s="1">
        <v>0.0</v>
      </c>
      <c r="DD721" s="1" t="s">
        <v>3391</v>
      </c>
      <c r="DE721" s="1">
        <v>0.0664606825671714</v>
      </c>
      <c r="DF721" s="2" t="s">
        <v>3392</v>
      </c>
    </row>
    <row r="722" ht="15.75" customHeight="1">
      <c r="A722" s="1" t="s">
        <v>3393</v>
      </c>
      <c r="B722" s="1">
        <v>29.0</v>
      </c>
      <c r="C722" s="1">
        <v>115.0</v>
      </c>
      <c r="D722" s="1">
        <v>490300.0</v>
      </c>
      <c r="E722" s="1">
        <v>95.489</v>
      </c>
      <c r="F722" s="1">
        <v>29115.0</v>
      </c>
      <c r="G722" s="1">
        <v>2.91154903E10</v>
      </c>
      <c r="H722" s="1" t="s">
        <v>112</v>
      </c>
      <c r="I722" s="1" t="s">
        <v>113</v>
      </c>
      <c r="J722" s="1" t="s">
        <v>3382</v>
      </c>
      <c r="K722" s="1" t="s">
        <v>3394</v>
      </c>
      <c r="L722" s="1">
        <v>3000.0</v>
      </c>
      <c r="M722" s="1">
        <v>3201.0</v>
      </c>
      <c r="N722" s="1">
        <v>227.0</v>
      </c>
      <c r="O722" s="1">
        <v>1448.0</v>
      </c>
      <c r="P722" s="1">
        <v>1527.0</v>
      </c>
      <c r="Q722" s="1">
        <v>72.0</v>
      </c>
      <c r="R722" s="1">
        <v>1225.0</v>
      </c>
      <c r="S722" s="1">
        <v>321.0</v>
      </c>
      <c r="T722" s="1">
        <v>150.0</v>
      </c>
      <c r="U722" s="1">
        <v>109.0</v>
      </c>
      <c r="V722" s="1">
        <v>346.0</v>
      </c>
      <c r="W722" s="1">
        <v>22922.0</v>
      </c>
      <c r="X722" s="1">
        <v>2835.0</v>
      </c>
      <c r="Y722" s="1">
        <v>303.0</v>
      </c>
      <c r="Z722" s="1">
        <v>221.0</v>
      </c>
      <c r="AA722" s="1">
        <v>569.0</v>
      </c>
      <c r="AB722" s="1">
        <v>718.0</v>
      </c>
      <c r="AC722" s="1">
        <v>123.0</v>
      </c>
      <c r="AD722" s="1">
        <v>106.0</v>
      </c>
      <c r="AE722" s="1">
        <v>24.0</v>
      </c>
      <c r="AF722" s="1">
        <v>443.0</v>
      </c>
      <c r="AG722" s="1">
        <v>0.0</v>
      </c>
      <c r="AH722" s="1">
        <v>197.0</v>
      </c>
      <c r="AI722" s="1">
        <v>130.0</v>
      </c>
      <c r="AJ722" s="1">
        <v>62.0</v>
      </c>
      <c r="AK722" s="1">
        <v>2.0</v>
      </c>
      <c r="AL722" s="1">
        <v>114.0</v>
      </c>
      <c r="AM722" s="1">
        <v>69.0</v>
      </c>
      <c r="AN722" s="1">
        <v>40.0</v>
      </c>
      <c r="AO722" s="1">
        <v>52.0</v>
      </c>
      <c r="AP722" s="1">
        <v>0.100343</v>
      </c>
      <c r="AQ722" s="1">
        <v>0.046345</v>
      </c>
      <c r="AR722" s="1">
        <v>0.068639</v>
      </c>
      <c r="AS722" s="1">
        <v>0.217672</v>
      </c>
      <c r="AT722" s="1">
        <v>22922.0</v>
      </c>
      <c r="AU722" s="1">
        <v>2835.0</v>
      </c>
      <c r="AV722" s="1">
        <v>0.133304</v>
      </c>
      <c r="AW722" s="1">
        <v>0.096768</v>
      </c>
      <c r="AX722" s="1">
        <v>0.189666</v>
      </c>
      <c r="AY722" s="1">
        <v>0.239333</v>
      </c>
      <c r="AZ722" s="1">
        <v>0.10040816</v>
      </c>
      <c r="BA722" s="1">
        <v>0.035333</v>
      </c>
      <c r="BB722" s="1">
        <v>0.007915</v>
      </c>
      <c r="BC722" s="1">
        <v>0.146107</v>
      </c>
      <c r="BD722" s="1">
        <v>0.0</v>
      </c>
      <c r="BE722" s="1">
        <v>0.129011</v>
      </c>
      <c r="BF722" s="1">
        <v>0.085134</v>
      </c>
      <c r="BG722" s="1">
        <v>0.040403</v>
      </c>
      <c r="BH722" s="1">
        <v>0.001577</v>
      </c>
      <c r="BI722" s="1">
        <v>0.089905</v>
      </c>
      <c r="BJ722" s="1">
        <v>0.054416</v>
      </c>
      <c r="BK722" s="1">
        <v>0.031303</v>
      </c>
      <c r="BL722" s="1">
        <v>0.017333</v>
      </c>
      <c r="BM722" s="1">
        <v>0.371</v>
      </c>
      <c r="BN722" s="1">
        <v>0.501</v>
      </c>
      <c r="BO722" s="1">
        <v>0.4513</v>
      </c>
      <c r="BP722" s="1">
        <v>0.486</v>
      </c>
      <c r="BQ722" s="1">
        <v>1.8093</v>
      </c>
      <c r="BR722" s="1">
        <v>0.4347</v>
      </c>
      <c r="BS722" s="1">
        <v>0.838</v>
      </c>
      <c r="BT722" s="1">
        <v>0.49</v>
      </c>
      <c r="BU722" s="1">
        <v>0.497</v>
      </c>
      <c r="BV722" s="1">
        <v>1.825</v>
      </c>
      <c r="BW722" s="1">
        <v>0.745</v>
      </c>
      <c r="BX722" s="1">
        <v>0.123</v>
      </c>
      <c r="BY722" s="1">
        <v>0.664</v>
      </c>
      <c r="BZ722" s="1">
        <v>0.787</v>
      </c>
      <c r="CA722" s="1">
        <v>0.389</v>
      </c>
      <c r="CB722" s="1">
        <v>0.0</v>
      </c>
      <c r="CC722" s="1">
        <v>0.687</v>
      </c>
      <c r="CD722" s="1">
        <v>0.278</v>
      </c>
      <c r="CE722" s="1">
        <v>0.523</v>
      </c>
      <c r="CF722" s="1">
        <v>0.676</v>
      </c>
      <c r="CG722" s="1">
        <v>2.164</v>
      </c>
      <c r="CH722" s="1">
        <v>0.405</v>
      </c>
      <c r="CI722" s="1">
        <v>6.5853</v>
      </c>
      <c r="CJ722" s="1">
        <v>0.4758</v>
      </c>
      <c r="CK722" s="1">
        <v>0.0</v>
      </c>
      <c r="CL722" s="1">
        <v>0.0</v>
      </c>
      <c r="CM722" s="1">
        <v>0.0</v>
      </c>
      <c r="CN722" s="1">
        <v>0.0</v>
      </c>
      <c r="CO722" s="1">
        <v>0.0</v>
      </c>
      <c r="CP722" s="1">
        <v>0.0</v>
      </c>
      <c r="CQ722" s="1">
        <v>0.0</v>
      </c>
      <c r="CR722" s="1">
        <v>0.0</v>
      </c>
      <c r="CS722" s="1">
        <v>0.0</v>
      </c>
      <c r="CT722" s="1">
        <v>0.0</v>
      </c>
      <c r="CU722" s="1">
        <v>0.0</v>
      </c>
      <c r="CV722" s="1">
        <v>0.0</v>
      </c>
      <c r="CW722" s="1">
        <v>0.0</v>
      </c>
      <c r="CX722" s="1">
        <v>0.0</v>
      </c>
      <c r="CY722" s="1">
        <v>0.0</v>
      </c>
      <c r="CZ722" s="1">
        <v>0.0</v>
      </c>
      <c r="DA722" s="1">
        <v>0.0</v>
      </c>
      <c r="DB722" s="1">
        <v>0.0</v>
      </c>
      <c r="DC722" s="1">
        <v>0.0</v>
      </c>
      <c r="DD722" s="1" t="s">
        <v>3395</v>
      </c>
      <c r="DE722" s="1">
        <v>0.026221955572825</v>
      </c>
      <c r="DF722" s="2" t="s">
        <v>3396</v>
      </c>
    </row>
    <row r="723" ht="15.75" customHeight="1">
      <c r="A723" s="1" t="s">
        <v>3397</v>
      </c>
      <c r="B723" s="1">
        <v>29.0</v>
      </c>
      <c r="C723" s="1">
        <v>115.0</v>
      </c>
      <c r="D723" s="1">
        <v>490500.0</v>
      </c>
      <c r="E723" s="1">
        <v>36.264</v>
      </c>
      <c r="F723" s="1">
        <v>29115.0</v>
      </c>
      <c r="G723" s="1">
        <v>2.91154905E10</v>
      </c>
      <c r="H723" s="1" t="s">
        <v>112</v>
      </c>
      <c r="I723" s="1" t="s">
        <v>113</v>
      </c>
      <c r="J723" s="1" t="s">
        <v>3382</v>
      </c>
      <c r="K723" s="1" t="s">
        <v>3398</v>
      </c>
      <c r="L723" s="1">
        <v>2711.0</v>
      </c>
      <c r="M723" s="1">
        <v>2812.0</v>
      </c>
      <c r="N723" s="1">
        <v>108.0</v>
      </c>
      <c r="O723" s="1">
        <v>1355.0</v>
      </c>
      <c r="P723" s="1">
        <v>1364.0</v>
      </c>
      <c r="Q723" s="1">
        <v>125.0</v>
      </c>
      <c r="R723" s="1">
        <v>1152.0</v>
      </c>
      <c r="S723" s="1">
        <v>354.0</v>
      </c>
      <c r="T723" s="1">
        <v>152.0</v>
      </c>
      <c r="U723" s="1">
        <v>62.0</v>
      </c>
      <c r="V723" s="1">
        <v>429.0</v>
      </c>
      <c r="W723" s="1">
        <v>21032.0</v>
      </c>
      <c r="X723" s="1">
        <v>4424.0</v>
      </c>
      <c r="Y723" s="1">
        <v>212.0</v>
      </c>
      <c r="Z723" s="1">
        <v>297.0</v>
      </c>
      <c r="AA723" s="1">
        <v>466.0</v>
      </c>
      <c r="AB723" s="1">
        <v>670.0</v>
      </c>
      <c r="AC723" s="1">
        <v>109.0</v>
      </c>
      <c r="AD723" s="1">
        <v>94.0</v>
      </c>
      <c r="AE723" s="1">
        <v>7.0</v>
      </c>
      <c r="AF723" s="1">
        <v>442.0</v>
      </c>
      <c r="AG723" s="1">
        <v>22.0</v>
      </c>
      <c r="AH723" s="1">
        <v>162.0</v>
      </c>
      <c r="AI723" s="1">
        <v>104.0</v>
      </c>
      <c r="AJ723" s="1">
        <v>62.0</v>
      </c>
      <c r="AK723" s="1">
        <v>0.0</v>
      </c>
      <c r="AL723" s="1">
        <v>161.0</v>
      </c>
      <c r="AM723" s="1">
        <v>72.0</v>
      </c>
      <c r="AN723" s="1">
        <v>34.0</v>
      </c>
      <c r="AO723" s="1">
        <v>0.0</v>
      </c>
      <c r="AP723" s="1">
        <v>0.126473</v>
      </c>
      <c r="AQ723" s="1">
        <v>0.054077</v>
      </c>
      <c r="AR723" s="1">
        <v>0.054915</v>
      </c>
      <c r="AS723" s="1">
        <v>0.379898</v>
      </c>
      <c r="AT723" s="1">
        <v>21032.0</v>
      </c>
      <c r="AU723" s="1">
        <v>4424.0</v>
      </c>
      <c r="AV723" s="1">
        <v>0.114285</v>
      </c>
      <c r="AW723" s="1">
        <v>0.159913</v>
      </c>
      <c r="AX723" s="1">
        <v>0.171892</v>
      </c>
      <c r="AY723" s="1">
        <v>0.247141</v>
      </c>
      <c r="AZ723" s="1">
        <v>0.09461805</v>
      </c>
      <c r="BA723" s="1">
        <v>0.034673</v>
      </c>
      <c r="BB723" s="1">
        <v>0.002722</v>
      </c>
      <c r="BC723" s="1">
        <v>0.171917</v>
      </c>
      <c r="BD723" s="1">
        <v>0.016129</v>
      </c>
      <c r="BE723" s="1">
        <v>0.118759</v>
      </c>
      <c r="BF723" s="1">
        <v>0.076246</v>
      </c>
      <c r="BG723" s="1">
        <v>0.044914</v>
      </c>
      <c r="BH723" s="1">
        <v>0.0</v>
      </c>
      <c r="BI723" s="1">
        <v>0.143493</v>
      </c>
      <c r="BJ723" s="1">
        <v>0.064171</v>
      </c>
      <c r="BK723" s="1">
        <v>0.02979</v>
      </c>
      <c r="BL723" s="1">
        <v>0.0</v>
      </c>
      <c r="BM723" s="1">
        <v>0.481</v>
      </c>
      <c r="BN723" s="1">
        <v>0.344</v>
      </c>
      <c r="BO723" s="1">
        <v>0.5495</v>
      </c>
      <c r="BP723" s="1">
        <v>0.402</v>
      </c>
      <c r="BQ723" s="1">
        <v>1.7765</v>
      </c>
      <c r="BR723" s="1">
        <v>0.4231</v>
      </c>
      <c r="BS723" s="1">
        <v>0.749</v>
      </c>
      <c r="BT723" s="1">
        <v>0.567</v>
      </c>
      <c r="BU723" s="1">
        <v>0.446</v>
      </c>
      <c r="BV723" s="1">
        <v>1.762</v>
      </c>
      <c r="BW723" s="1">
        <v>0.693</v>
      </c>
      <c r="BX723" s="1">
        <v>0.117</v>
      </c>
      <c r="BY723" s="1">
        <v>0.429</v>
      </c>
      <c r="BZ723" s="1">
        <v>0.546</v>
      </c>
      <c r="CA723" s="1">
        <v>0.238</v>
      </c>
      <c r="CB723" s="1">
        <v>0.435</v>
      </c>
      <c r="CC723" s="1">
        <v>0.668</v>
      </c>
      <c r="CD723" s="1">
        <v>0.0</v>
      </c>
      <c r="CE723" s="1">
        <v>0.592</v>
      </c>
      <c r="CF723" s="1">
        <v>0.0</v>
      </c>
      <c r="CG723" s="1">
        <v>1.695</v>
      </c>
      <c r="CH723" s="1">
        <v>0.232</v>
      </c>
      <c r="CI723" s="1">
        <v>5.7795</v>
      </c>
      <c r="CJ723" s="1">
        <v>0.3357</v>
      </c>
      <c r="CK723" s="1">
        <v>0.0</v>
      </c>
      <c r="CL723" s="1">
        <v>0.0</v>
      </c>
      <c r="CM723" s="1">
        <v>0.0</v>
      </c>
      <c r="CN723" s="1">
        <v>0.0</v>
      </c>
      <c r="CO723" s="1">
        <v>0.0</v>
      </c>
      <c r="CP723" s="1">
        <v>0.0</v>
      </c>
      <c r="CQ723" s="1">
        <v>0.0</v>
      </c>
      <c r="CR723" s="1">
        <v>0.0</v>
      </c>
      <c r="CS723" s="1">
        <v>0.0</v>
      </c>
      <c r="CT723" s="1">
        <v>0.0</v>
      </c>
      <c r="CU723" s="1">
        <v>0.0</v>
      </c>
      <c r="CV723" s="1">
        <v>0.0</v>
      </c>
      <c r="CW723" s="1">
        <v>0.0</v>
      </c>
      <c r="CX723" s="1">
        <v>0.0</v>
      </c>
      <c r="CY723" s="1">
        <v>0.0</v>
      </c>
      <c r="CZ723" s="1">
        <v>0.0</v>
      </c>
      <c r="DA723" s="1">
        <v>0.0</v>
      </c>
      <c r="DB723" s="1">
        <v>0.0</v>
      </c>
      <c r="DC723" s="1">
        <v>0.0</v>
      </c>
      <c r="DD723" s="1" t="s">
        <v>3399</v>
      </c>
      <c r="DE723" s="1">
        <v>0.00998090853698419</v>
      </c>
      <c r="DF723" s="2" t="s">
        <v>3400</v>
      </c>
    </row>
    <row r="724" ht="15.75" customHeight="1">
      <c r="A724" s="1" t="s">
        <v>3401</v>
      </c>
      <c r="B724" s="1">
        <v>29.0</v>
      </c>
      <c r="C724" s="1">
        <v>117.0</v>
      </c>
      <c r="D724" s="1">
        <v>480300.0</v>
      </c>
      <c r="E724" s="1">
        <v>2.558</v>
      </c>
      <c r="F724" s="1">
        <v>29117.0</v>
      </c>
      <c r="G724" s="1">
        <v>2.91174803E10</v>
      </c>
      <c r="H724" s="1" t="s">
        <v>112</v>
      </c>
      <c r="I724" s="1" t="s">
        <v>113</v>
      </c>
      <c r="J724" s="1" t="s">
        <v>3402</v>
      </c>
      <c r="K724" s="1" t="s">
        <v>3403</v>
      </c>
      <c r="L724" s="1">
        <v>3577.0</v>
      </c>
      <c r="M724" s="1">
        <v>3267.0</v>
      </c>
      <c r="N724" s="1">
        <v>343.0</v>
      </c>
      <c r="O724" s="1">
        <v>1708.0</v>
      </c>
      <c r="P724" s="1">
        <v>1552.0</v>
      </c>
      <c r="Q724" s="1">
        <v>119.0</v>
      </c>
      <c r="R724" s="1">
        <v>1541.0</v>
      </c>
      <c r="S724" s="1">
        <v>786.0</v>
      </c>
      <c r="T724" s="1">
        <v>317.0</v>
      </c>
      <c r="U724" s="1">
        <v>45.0</v>
      </c>
      <c r="V724" s="1">
        <v>472.0</v>
      </c>
      <c r="W724" s="1">
        <v>23961.0</v>
      </c>
      <c r="X724" s="1">
        <v>2925.0</v>
      </c>
      <c r="Y724" s="1">
        <v>251.0</v>
      </c>
      <c r="Z724" s="1">
        <v>375.0</v>
      </c>
      <c r="AA724" s="1">
        <v>966.0</v>
      </c>
      <c r="AB724" s="1">
        <v>736.0</v>
      </c>
      <c r="AC724" s="1">
        <v>120.0</v>
      </c>
      <c r="AD724" s="1">
        <v>131.0</v>
      </c>
      <c r="AE724" s="1">
        <v>23.0</v>
      </c>
      <c r="AF724" s="1">
        <v>442.0</v>
      </c>
      <c r="AG724" s="1">
        <v>39.0</v>
      </c>
      <c r="AH724" s="1">
        <v>30.0</v>
      </c>
      <c r="AI724" s="1">
        <v>58.0</v>
      </c>
      <c r="AJ724" s="1">
        <v>54.0</v>
      </c>
      <c r="AK724" s="1">
        <v>16.0</v>
      </c>
      <c r="AL724" s="1">
        <v>116.0</v>
      </c>
      <c r="AM724" s="1">
        <v>153.0</v>
      </c>
      <c r="AN724" s="1">
        <v>65.0</v>
      </c>
      <c r="AO724" s="1">
        <v>249.0</v>
      </c>
      <c r="AP724" s="1">
        <v>0.240587</v>
      </c>
      <c r="AQ724" s="1">
        <v>0.093685</v>
      </c>
      <c r="AR724" s="1">
        <v>0.034429</v>
      </c>
      <c r="AS724" s="1">
        <v>0.36109</v>
      </c>
      <c r="AT724" s="1">
        <v>23961.0</v>
      </c>
      <c r="AU724" s="1">
        <v>2925.0</v>
      </c>
      <c r="AV724" s="1">
        <v>0.108003</v>
      </c>
      <c r="AW724" s="1">
        <v>0.160748</v>
      </c>
      <c r="AX724" s="1">
        <v>0.270058</v>
      </c>
      <c r="AY724" s="1">
        <v>0.205759</v>
      </c>
      <c r="AZ724" s="1">
        <v>0.07787151</v>
      </c>
      <c r="BA724" s="1">
        <v>0.036622</v>
      </c>
      <c r="BB724" s="1">
        <v>0.007508</v>
      </c>
      <c r="BC724" s="1">
        <v>0.1443</v>
      </c>
      <c r="BD724" s="1">
        <v>0.025128</v>
      </c>
      <c r="BE724" s="1">
        <v>0.019233</v>
      </c>
      <c r="BF724" s="1">
        <v>0.037371</v>
      </c>
      <c r="BG724" s="1">
        <v>0.034675</v>
      </c>
      <c r="BH724" s="1">
        <v>0.011188</v>
      </c>
      <c r="BI724" s="1">
        <v>0.081113</v>
      </c>
      <c r="BJ724" s="1">
        <v>0.106993</v>
      </c>
      <c r="BK724" s="1">
        <v>0.044497</v>
      </c>
      <c r="BL724" s="1">
        <v>0.069611</v>
      </c>
      <c r="BM724" s="1">
        <v>0.811</v>
      </c>
      <c r="BN724" s="1">
        <v>0.126</v>
      </c>
      <c r="BO724" s="1">
        <v>0.3978</v>
      </c>
      <c r="BP724" s="1">
        <v>0.372</v>
      </c>
      <c r="BQ724" s="1">
        <v>1.7068</v>
      </c>
      <c r="BR724" s="1">
        <v>0.4036</v>
      </c>
      <c r="BS724" s="1">
        <v>0.981</v>
      </c>
      <c r="BT724" s="1">
        <v>0.219</v>
      </c>
      <c r="BU724" s="1">
        <v>0.282</v>
      </c>
      <c r="BV724" s="1">
        <v>1.482</v>
      </c>
      <c r="BW724" s="1">
        <v>0.469</v>
      </c>
      <c r="BX724" s="1">
        <v>0.132</v>
      </c>
      <c r="BY724" s="1">
        <v>0.65</v>
      </c>
      <c r="BZ724" s="1">
        <v>0.782</v>
      </c>
      <c r="CA724" s="1">
        <v>0.383</v>
      </c>
      <c r="CB724" s="1">
        <v>0.515</v>
      </c>
      <c r="CC724" s="1">
        <v>0.569</v>
      </c>
      <c r="CD724" s="1">
        <v>0.503</v>
      </c>
      <c r="CE724" s="1">
        <v>0.772</v>
      </c>
      <c r="CF724" s="1">
        <v>0.922</v>
      </c>
      <c r="CG724" s="1">
        <v>3.281</v>
      </c>
      <c r="CH724" s="1">
        <v>0.866</v>
      </c>
      <c r="CI724" s="1">
        <v>7.2518</v>
      </c>
      <c r="CJ724" s="1">
        <v>0.6007</v>
      </c>
      <c r="CK724" s="1">
        <v>0.0</v>
      </c>
      <c r="CL724" s="1">
        <v>0.0</v>
      </c>
      <c r="CM724" s="1">
        <v>0.0</v>
      </c>
      <c r="CN724" s="1">
        <v>0.0</v>
      </c>
      <c r="CO724" s="1">
        <v>0.0</v>
      </c>
      <c r="CP724" s="1">
        <v>1.0</v>
      </c>
      <c r="CQ724" s="1">
        <v>0.0</v>
      </c>
      <c r="CR724" s="1">
        <v>0.0</v>
      </c>
      <c r="CS724" s="1">
        <v>1.0</v>
      </c>
      <c r="CT724" s="1">
        <v>0.0</v>
      </c>
      <c r="CU724" s="1">
        <v>0.0</v>
      </c>
      <c r="CV724" s="1">
        <v>0.0</v>
      </c>
      <c r="CW724" s="1">
        <v>0.0</v>
      </c>
      <c r="CX724" s="1">
        <v>0.0</v>
      </c>
      <c r="CY724" s="1">
        <v>0.0</v>
      </c>
      <c r="CZ724" s="1">
        <v>0.0</v>
      </c>
      <c r="DA724" s="1">
        <v>1.0</v>
      </c>
      <c r="DB724" s="1">
        <v>1.0</v>
      </c>
      <c r="DC724" s="1">
        <v>2.0</v>
      </c>
      <c r="DD724" s="1" t="s">
        <v>3404</v>
      </c>
      <c r="DE724" s="1">
        <v>6.87023058296497E-4</v>
      </c>
      <c r="DF724" s="2" t="s">
        <v>3405</v>
      </c>
    </row>
    <row r="725" ht="15.75" customHeight="1">
      <c r="A725" s="1" t="s">
        <v>3406</v>
      </c>
      <c r="B725" s="1">
        <v>29.0</v>
      </c>
      <c r="C725" s="1">
        <v>117.0</v>
      </c>
      <c r="D725" s="1">
        <v>480400.0</v>
      </c>
      <c r="E725" s="1">
        <v>1.941</v>
      </c>
      <c r="F725" s="1">
        <v>29117.0</v>
      </c>
      <c r="G725" s="1">
        <v>2.91174804E10</v>
      </c>
      <c r="H725" s="1" t="s">
        <v>112</v>
      </c>
      <c r="I725" s="1" t="s">
        <v>113</v>
      </c>
      <c r="J725" s="1" t="s">
        <v>3402</v>
      </c>
      <c r="K725" s="1" t="s">
        <v>3407</v>
      </c>
      <c r="L725" s="1">
        <v>2955.0</v>
      </c>
      <c r="M725" s="1">
        <v>3606.0</v>
      </c>
      <c r="N725" s="1">
        <v>338.0</v>
      </c>
      <c r="O725" s="1">
        <v>1367.0</v>
      </c>
      <c r="P725" s="1">
        <v>1340.0</v>
      </c>
      <c r="Q725" s="1">
        <v>109.0</v>
      </c>
      <c r="R725" s="1">
        <v>1209.0</v>
      </c>
      <c r="S725" s="1">
        <v>560.0</v>
      </c>
      <c r="T725" s="1">
        <v>197.0</v>
      </c>
      <c r="U725" s="1">
        <v>7.0</v>
      </c>
      <c r="V725" s="1">
        <v>497.0</v>
      </c>
      <c r="W725" s="1">
        <v>17299.0</v>
      </c>
      <c r="X725" s="1">
        <v>1921.0</v>
      </c>
      <c r="Y725" s="1">
        <v>490.0</v>
      </c>
      <c r="Z725" s="1">
        <v>346.0</v>
      </c>
      <c r="AA725" s="1">
        <v>440.0</v>
      </c>
      <c r="AB725" s="1">
        <v>784.0</v>
      </c>
      <c r="AC725" s="1">
        <v>170.0</v>
      </c>
      <c r="AD725" s="1">
        <v>153.0</v>
      </c>
      <c r="AE725" s="1">
        <v>0.0</v>
      </c>
      <c r="AF725" s="1">
        <v>456.0</v>
      </c>
      <c r="AG725" s="1">
        <v>0.0</v>
      </c>
      <c r="AH725" s="1">
        <v>197.0</v>
      </c>
      <c r="AI725" s="1">
        <v>113.0</v>
      </c>
      <c r="AJ725" s="1">
        <v>65.0</v>
      </c>
      <c r="AK725" s="1">
        <v>43.0</v>
      </c>
      <c r="AL725" s="1">
        <v>126.0</v>
      </c>
      <c r="AM725" s="1">
        <v>47.0</v>
      </c>
      <c r="AN725" s="1">
        <v>119.0</v>
      </c>
      <c r="AO725" s="1">
        <v>39.0</v>
      </c>
      <c r="AP725" s="1">
        <v>0.190023</v>
      </c>
      <c r="AQ725" s="1">
        <v>0.064417</v>
      </c>
      <c r="AR725" s="1">
        <v>0.004682</v>
      </c>
      <c r="AS725" s="1">
        <v>0.33244</v>
      </c>
      <c r="AT725" s="1">
        <v>17299.0</v>
      </c>
      <c r="AU725" s="1">
        <v>1921.0</v>
      </c>
      <c r="AV725" s="1">
        <v>0.188316</v>
      </c>
      <c r="AW725" s="1">
        <v>0.131727</v>
      </c>
      <c r="AX725" s="1">
        <v>0.1489</v>
      </c>
      <c r="AY725" s="1">
        <v>0.265313</v>
      </c>
      <c r="AZ725" s="1">
        <v>0.14061207</v>
      </c>
      <c r="BA725" s="1">
        <v>0.051776</v>
      </c>
      <c r="BB725" s="1">
        <v>0.0</v>
      </c>
      <c r="BC725" s="1">
        <v>0.135997</v>
      </c>
      <c r="BD725" s="1">
        <v>0.0</v>
      </c>
      <c r="BE725" s="1">
        <v>0.147014</v>
      </c>
      <c r="BF725" s="1">
        <v>0.084328</v>
      </c>
      <c r="BG725" s="1">
        <v>0.04802</v>
      </c>
      <c r="BH725" s="1">
        <v>0.036073</v>
      </c>
      <c r="BI725" s="1">
        <v>0.105641</v>
      </c>
      <c r="BJ725" s="1">
        <v>0.039429</v>
      </c>
      <c r="BK725" s="1">
        <v>0.099751</v>
      </c>
      <c r="BL725" s="1">
        <v>0.013197</v>
      </c>
      <c r="BM725" s="1">
        <v>0.704</v>
      </c>
      <c r="BN725" s="1">
        <v>0.005</v>
      </c>
      <c r="BO725" s="1">
        <v>0.7653</v>
      </c>
      <c r="BP725" s="1">
        <v>0.72</v>
      </c>
      <c r="BQ725" s="1">
        <v>2.1943</v>
      </c>
      <c r="BR725" s="1">
        <v>0.5632</v>
      </c>
      <c r="BS725" s="1">
        <v>0.566</v>
      </c>
      <c r="BT725" s="1">
        <v>0.755</v>
      </c>
      <c r="BU725" s="1">
        <v>0.76</v>
      </c>
      <c r="BV725" s="1">
        <v>2.081</v>
      </c>
      <c r="BW725" s="1">
        <v>0.91</v>
      </c>
      <c r="BX725" s="1">
        <v>0.261</v>
      </c>
      <c r="BY725" s="1">
        <v>0.0</v>
      </c>
      <c r="BZ725" s="1">
        <v>0.261</v>
      </c>
      <c r="CA725" s="1">
        <v>0.113</v>
      </c>
      <c r="CB725" s="1">
        <v>0.0</v>
      </c>
      <c r="CC725" s="1">
        <v>0.683</v>
      </c>
      <c r="CD725" s="1">
        <v>0.866</v>
      </c>
      <c r="CE725" s="1">
        <v>0.385</v>
      </c>
      <c r="CF725" s="1">
        <v>0.624</v>
      </c>
      <c r="CG725" s="1">
        <v>2.558</v>
      </c>
      <c r="CH725" s="1">
        <v>0.585</v>
      </c>
      <c r="CI725" s="1">
        <v>7.0943</v>
      </c>
      <c r="CJ725" s="1">
        <v>0.569</v>
      </c>
      <c r="CK725" s="1">
        <v>0.0</v>
      </c>
      <c r="CL725" s="1">
        <v>0.0</v>
      </c>
      <c r="CM725" s="1">
        <v>0.0</v>
      </c>
      <c r="CN725" s="1">
        <v>0.0</v>
      </c>
      <c r="CO725" s="1">
        <v>0.0</v>
      </c>
      <c r="CP725" s="1">
        <v>0.0</v>
      </c>
      <c r="CQ725" s="1">
        <v>0.0</v>
      </c>
      <c r="CR725" s="1">
        <v>0.0</v>
      </c>
      <c r="CS725" s="1">
        <v>0.0</v>
      </c>
      <c r="CT725" s="1">
        <v>0.0</v>
      </c>
      <c r="CU725" s="1">
        <v>0.0</v>
      </c>
      <c r="CV725" s="1">
        <v>0.0</v>
      </c>
      <c r="CW725" s="1">
        <v>0.0</v>
      </c>
      <c r="CX725" s="1">
        <v>0.0</v>
      </c>
      <c r="CY725" s="1">
        <v>0.0</v>
      </c>
      <c r="CZ725" s="1">
        <v>0.0</v>
      </c>
      <c r="DA725" s="1">
        <v>0.0</v>
      </c>
      <c r="DB725" s="1">
        <v>0.0</v>
      </c>
      <c r="DC725" s="1">
        <v>0.0</v>
      </c>
      <c r="DD725" s="1" t="s">
        <v>3408</v>
      </c>
      <c r="DE725" s="1">
        <v>5.27032578587214E-4</v>
      </c>
      <c r="DF725" s="2" t="s">
        <v>3409</v>
      </c>
    </row>
    <row r="726" ht="15.75" customHeight="1">
      <c r="A726" s="1" t="s">
        <v>3410</v>
      </c>
      <c r="B726" s="1">
        <v>29.0</v>
      </c>
      <c r="C726" s="1">
        <v>117.0</v>
      </c>
      <c r="D726" s="1">
        <v>480100.0</v>
      </c>
      <c r="E726" s="1">
        <v>190.048</v>
      </c>
      <c r="F726" s="1">
        <v>29117.0</v>
      </c>
      <c r="G726" s="1">
        <v>2.91174801E10</v>
      </c>
      <c r="H726" s="1" t="s">
        <v>112</v>
      </c>
      <c r="I726" s="1" t="s">
        <v>113</v>
      </c>
      <c r="J726" s="1" t="s">
        <v>3402</v>
      </c>
      <c r="K726" s="1" t="s">
        <v>3411</v>
      </c>
      <c r="L726" s="1">
        <v>3652.0</v>
      </c>
      <c r="M726" s="1">
        <v>2943.0</v>
      </c>
      <c r="N726" s="1">
        <v>339.0</v>
      </c>
      <c r="O726" s="1">
        <v>1172.0</v>
      </c>
      <c r="P726" s="1">
        <v>1195.0</v>
      </c>
      <c r="Q726" s="1">
        <v>75.0</v>
      </c>
      <c r="R726" s="1">
        <v>1038.0</v>
      </c>
      <c r="S726" s="1">
        <v>505.0</v>
      </c>
      <c r="T726" s="1">
        <v>245.0</v>
      </c>
      <c r="U726" s="1">
        <v>41.0</v>
      </c>
      <c r="V726" s="1">
        <v>427.0</v>
      </c>
      <c r="W726" s="1">
        <v>23133.0</v>
      </c>
      <c r="X726" s="1">
        <v>3271.0</v>
      </c>
      <c r="Y726" s="1">
        <v>311.0</v>
      </c>
      <c r="Z726" s="1">
        <v>246.0</v>
      </c>
      <c r="AA726" s="1">
        <v>544.0</v>
      </c>
      <c r="AB726" s="1">
        <v>592.0</v>
      </c>
      <c r="AC726" s="1">
        <v>69.0</v>
      </c>
      <c r="AD726" s="1">
        <v>303.0</v>
      </c>
      <c r="AE726" s="1">
        <v>0.0</v>
      </c>
      <c r="AF726" s="1">
        <v>456.0</v>
      </c>
      <c r="AG726" s="1">
        <v>23.0</v>
      </c>
      <c r="AH726" s="1">
        <v>163.0</v>
      </c>
      <c r="AI726" s="1">
        <v>176.0</v>
      </c>
      <c r="AJ726" s="1">
        <v>52.0</v>
      </c>
      <c r="AK726" s="1">
        <v>0.0</v>
      </c>
      <c r="AL726" s="1">
        <v>161.0</v>
      </c>
      <c r="AM726" s="1">
        <v>18.0</v>
      </c>
      <c r="AN726" s="1">
        <v>20.0</v>
      </c>
      <c r="AO726" s="1">
        <v>1046.0</v>
      </c>
      <c r="AP726" s="1">
        <v>0.181133</v>
      </c>
      <c r="AQ726" s="1">
        <v>0.085973</v>
      </c>
      <c r="AR726" s="1">
        <v>0.027424</v>
      </c>
      <c r="AS726" s="1">
        <v>0.285598</v>
      </c>
      <c r="AT726" s="1">
        <v>23133.0</v>
      </c>
      <c r="AU726" s="1">
        <v>3271.0</v>
      </c>
      <c r="AV726" s="1">
        <v>0.147044</v>
      </c>
      <c r="AW726" s="1">
        <v>0.114752</v>
      </c>
      <c r="AX726" s="1">
        <v>0.148959</v>
      </c>
      <c r="AY726" s="1">
        <v>0.162102</v>
      </c>
      <c r="AZ726" s="1">
        <v>0.06647398</v>
      </c>
      <c r="BA726" s="1">
        <v>0.082968</v>
      </c>
      <c r="BB726" s="1">
        <v>0.0</v>
      </c>
      <c r="BC726" s="1">
        <v>0.159051</v>
      </c>
      <c r="BD726" s="1">
        <v>0.019246</v>
      </c>
      <c r="BE726" s="1">
        <v>0.136396</v>
      </c>
      <c r="BF726" s="1">
        <v>0.14728</v>
      </c>
      <c r="BG726" s="1">
        <v>0.042521</v>
      </c>
      <c r="BH726" s="1">
        <v>0.0</v>
      </c>
      <c r="BI726" s="1">
        <v>0.154214</v>
      </c>
      <c r="BJ726" s="1">
        <v>0.017241</v>
      </c>
      <c r="BK726" s="1">
        <v>0.019107</v>
      </c>
      <c r="BL726" s="1">
        <v>0.286418</v>
      </c>
      <c r="BM726" s="1">
        <v>0.678</v>
      </c>
      <c r="BN726" s="1">
        <v>0.069</v>
      </c>
      <c r="BO726" s="1">
        <v>0.439</v>
      </c>
      <c r="BP726" s="1">
        <v>0.555</v>
      </c>
      <c r="BQ726" s="1">
        <v>1.741</v>
      </c>
      <c r="BR726" s="1">
        <v>0.4123</v>
      </c>
      <c r="BS726" s="1">
        <v>0.568</v>
      </c>
      <c r="BT726" s="1">
        <v>0.084</v>
      </c>
      <c r="BU726" s="1">
        <v>0.184</v>
      </c>
      <c r="BV726" s="1">
        <v>0.836</v>
      </c>
      <c r="BW726" s="1">
        <v>0.082</v>
      </c>
      <c r="BX726" s="1">
        <v>0.407</v>
      </c>
      <c r="BY726" s="1">
        <v>0.0</v>
      </c>
      <c r="BZ726" s="1">
        <v>0.407</v>
      </c>
      <c r="CA726" s="1">
        <v>0.166</v>
      </c>
      <c r="CB726" s="1">
        <v>0.456</v>
      </c>
      <c r="CC726" s="1">
        <v>0.81</v>
      </c>
      <c r="CD726" s="1">
        <v>0.0</v>
      </c>
      <c r="CE726" s="1">
        <v>0.153</v>
      </c>
      <c r="CF726" s="1">
        <v>0.976</v>
      </c>
      <c r="CG726" s="1">
        <v>2.395</v>
      </c>
      <c r="CH726" s="1">
        <v>0.513</v>
      </c>
      <c r="CI726" s="1">
        <v>5.379</v>
      </c>
      <c r="CJ726" s="1">
        <v>0.2606</v>
      </c>
      <c r="CK726" s="1">
        <v>0.0</v>
      </c>
      <c r="CL726" s="1">
        <v>0.0</v>
      </c>
      <c r="CM726" s="1">
        <v>0.0</v>
      </c>
      <c r="CN726" s="1">
        <v>0.0</v>
      </c>
      <c r="CO726" s="1">
        <v>0.0</v>
      </c>
      <c r="CP726" s="1">
        <v>0.0</v>
      </c>
      <c r="CQ726" s="1">
        <v>0.0</v>
      </c>
      <c r="CR726" s="1">
        <v>0.0</v>
      </c>
      <c r="CS726" s="1">
        <v>0.0</v>
      </c>
      <c r="CT726" s="1">
        <v>0.0</v>
      </c>
      <c r="CU726" s="1">
        <v>0.0</v>
      </c>
      <c r="CV726" s="1">
        <v>0.0</v>
      </c>
      <c r="CW726" s="1">
        <v>0.0</v>
      </c>
      <c r="CX726" s="1">
        <v>0.0</v>
      </c>
      <c r="CY726" s="1">
        <v>0.0</v>
      </c>
      <c r="CZ726" s="1">
        <v>0.0</v>
      </c>
      <c r="DA726" s="1">
        <v>1.0</v>
      </c>
      <c r="DB726" s="1">
        <v>1.0</v>
      </c>
      <c r="DC726" s="1">
        <v>1.0</v>
      </c>
      <c r="DD726" s="1" t="s">
        <v>3412</v>
      </c>
      <c r="DE726" s="1">
        <v>0.0525719597313923</v>
      </c>
      <c r="DF726" s="2" t="s">
        <v>3413</v>
      </c>
    </row>
    <row r="727" ht="15.75" customHeight="1">
      <c r="A727" s="1" t="s">
        <v>3414</v>
      </c>
      <c r="B727" s="1">
        <v>29.0</v>
      </c>
      <c r="C727" s="1">
        <v>117.0</v>
      </c>
      <c r="D727" s="1">
        <v>480200.0</v>
      </c>
      <c r="E727" s="1">
        <v>336.091</v>
      </c>
      <c r="F727" s="1">
        <v>29117.0</v>
      </c>
      <c r="G727" s="1">
        <v>2.91174802E10</v>
      </c>
      <c r="H727" s="1" t="s">
        <v>112</v>
      </c>
      <c r="I727" s="1" t="s">
        <v>113</v>
      </c>
      <c r="J727" s="1" t="s">
        <v>3402</v>
      </c>
      <c r="K727" s="1" t="s">
        <v>3415</v>
      </c>
      <c r="L727" s="1">
        <v>3193.0</v>
      </c>
      <c r="M727" s="1">
        <v>3497.0</v>
      </c>
      <c r="N727" s="1">
        <v>228.0</v>
      </c>
      <c r="O727" s="1">
        <v>1508.0</v>
      </c>
      <c r="P727" s="1">
        <v>1593.0</v>
      </c>
      <c r="Q727" s="1">
        <v>122.0</v>
      </c>
      <c r="R727" s="1">
        <v>1294.0</v>
      </c>
      <c r="S727" s="1">
        <v>267.0</v>
      </c>
      <c r="T727" s="1">
        <v>131.0</v>
      </c>
      <c r="U727" s="1">
        <v>41.0</v>
      </c>
      <c r="V727" s="1">
        <v>412.0</v>
      </c>
      <c r="W727" s="1">
        <v>21928.0</v>
      </c>
      <c r="X727" s="1">
        <v>1762.0</v>
      </c>
      <c r="Y727" s="1">
        <v>289.0</v>
      </c>
      <c r="Z727" s="1">
        <v>211.0</v>
      </c>
      <c r="AA727" s="1">
        <v>580.0</v>
      </c>
      <c r="AB727" s="1">
        <v>718.0</v>
      </c>
      <c r="AC727" s="1">
        <v>70.0</v>
      </c>
      <c r="AD727" s="1">
        <v>61.0</v>
      </c>
      <c r="AE727" s="1">
        <v>7.0</v>
      </c>
      <c r="AF727" s="1">
        <v>442.0</v>
      </c>
      <c r="AG727" s="1">
        <v>0.0</v>
      </c>
      <c r="AH727" s="1">
        <v>197.0</v>
      </c>
      <c r="AI727" s="1">
        <v>309.0</v>
      </c>
      <c r="AJ727" s="1">
        <v>95.0</v>
      </c>
      <c r="AK727" s="1">
        <v>24.0</v>
      </c>
      <c r="AL727" s="1">
        <v>116.0</v>
      </c>
      <c r="AM727" s="1">
        <v>30.0</v>
      </c>
      <c r="AN727" s="1">
        <v>20.0</v>
      </c>
      <c r="AO727" s="1">
        <v>0.0</v>
      </c>
      <c r="AP727" s="1">
        <v>0.076351</v>
      </c>
      <c r="AQ727" s="1">
        <v>0.037128</v>
      </c>
      <c r="AR727" s="1">
        <v>0.023878</v>
      </c>
      <c r="AS727" s="1">
        <v>0.239929</v>
      </c>
      <c r="AT727" s="1">
        <v>21928.0</v>
      </c>
      <c r="AU727" s="1">
        <v>1762.0</v>
      </c>
      <c r="AV727" s="1">
        <v>0.121735</v>
      </c>
      <c r="AW727" s="1">
        <v>0.088285</v>
      </c>
      <c r="AX727" s="1">
        <v>0.181647</v>
      </c>
      <c r="AY727" s="1">
        <v>0.224866</v>
      </c>
      <c r="AZ727" s="1">
        <v>0.05409582</v>
      </c>
      <c r="BA727" s="1">
        <v>0.019104</v>
      </c>
      <c r="BB727" s="1">
        <v>0.00214</v>
      </c>
      <c r="BC727" s="1">
        <v>0.135126</v>
      </c>
      <c r="BD727" s="1">
        <v>0.0</v>
      </c>
      <c r="BE727" s="1">
        <v>0.123666</v>
      </c>
      <c r="BF727" s="1">
        <v>0.193973</v>
      </c>
      <c r="BG727" s="1">
        <v>0.057756</v>
      </c>
      <c r="BH727" s="1">
        <v>0.01859</v>
      </c>
      <c r="BI727" s="1">
        <v>0.089833</v>
      </c>
      <c r="BJ727" s="1">
        <v>0.023237</v>
      </c>
      <c r="BK727" s="1">
        <v>0.015319</v>
      </c>
      <c r="BL727" s="1">
        <v>0.0</v>
      </c>
      <c r="BM727" s="1">
        <v>0.276</v>
      </c>
      <c r="BN727" s="1">
        <v>0.044</v>
      </c>
      <c r="BO727" s="1">
        <v>0.4989</v>
      </c>
      <c r="BP727" s="1">
        <v>0.435</v>
      </c>
      <c r="BQ727" s="1">
        <v>1.2539</v>
      </c>
      <c r="BR727" s="1">
        <v>0.2693</v>
      </c>
      <c r="BS727" s="1">
        <v>0.8</v>
      </c>
      <c r="BT727" s="1">
        <v>0.34</v>
      </c>
      <c r="BU727" s="1">
        <v>0.099</v>
      </c>
      <c r="BV727" s="1">
        <v>1.239</v>
      </c>
      <c r="BW727" s="1">
        <v>0.258</v>
      </c>
      <c r="BX727" s="1">
        <v>0.015</v>
      </c>
      <c r="BY727" s="1">
        <v>0.387</v>
      </c>
      <c r="BZ727" s="1">
        <v>0.402</v>
      </c>
      <c r="CA727" s="1">
        <v>0.162</v>
      </c>
      <c r="CB727" s="1">
        <v>0.0</v>
      </c>
      <c r="CC727" s="1">
        <v>0.889</v>
      </c>
      <c r="CD727" s="1">
        <v>0.653</v>
      </c>
      <c r="CE727" s="1">
        <v>0.218</v>
      </c>
      <c r="CF727" s="1">
        <v>0.0</v>
      </c>
      <c r="CG727" s="1">
        <v>1.76</v>
      </c>
      <c r="CH727" s="1">
        <v>0.253</v>
      </c>
      <c r="CI727" s="1">
        <v>4.6549</v>
      </c>
      <c r="CJ727" s="1">
        <v>0.1509</v>
      </c>
      <c r="CK727" s="1">
        <v>0.0</v>
      </c>
      <c r="CL727" s="1">
        <v>0.0</v>
      </c>
      <c r="CM727" s="1">
        <v>0.0</v>
      </c>
      <c r="CN727" s="1">
        <v>0.0</v>
      </c>
      <c r="CO727" s="1">
        <v>0.0</v>
      </c>
      <c r="CP727" s="1">
        <v>0.0</v>
      </c>
      <c r="CQ727" s="1">
        <v>0.0</v>
      </c>
      <c r="CR727" s="1">
        <v>0.0</v>
      </c>
      <c r="CS727" s="1">
        <v>0.0</v>
      </c>
      <c r="CT727" s="1">
        <v>0.0</v>
      </c>
      <c r="CU727" s="1">
        <v>0.0</v>
      </c>
      <c r="CV727" s="1">
        <v>0.0</v>
      </c>
      <c r="CW727" s="1">
        <v>0.0</v>
      </c>
      <c r="CX727" s="1">
        <v>0.0</v>
      </c>
      <c r="CY727" s="1">
        <v>0.0</v>
      </c>
      <c r="CZ727" s="1">
        <v>0.0</v>
      </c>
      <c r="DA727" s="1">
        <v>0.0</v>
      </c>
      <c r="DB727" s="1">
        <v>0.0</v>
      </c>
      <c r="DC727" s="1">
        <v>0.0</v>
      </c>
      <c r="DD727" s="1" t="s">
        <v>3416</v>
      </c>
      <c r="DE727" s="1">
        <v>0.0924019304371362</v>
      </c>
      <c r="DF727" s="2" t="s">
        <v>3417</v>
      </c>
    </row>
    <row r="728" ht="15.75" customHeight="1">
      <c r="A728" s="1" t="s">
        <v>3418</v>
      </c>
      <c r="B728" s="1">
        <v>29.0</v>
      </c>
      <c r="C728" s="1">
        <v>117.0</v>
      </c>
      <c r="D728" s="1">
        <v>480500.0</v>
      </c>
      <c r="E728" s="1">
        <v>1.691</v>
      </c>
      <c r="F728" s="1">
        <v>29117.0</v>
      </c>
      <c r="G728" s="1">
        <v>2.91174805E10</v>
      </c>
      <c r="H728" s="1" t="s">
        <v>112</v>
      </c>
      <c r="I728" s="1" t="s">
        <v>113</v>
      </c>
      <c r="J728" s="1" t="s">
        <v>3402</v>
      </c>
      <c r="K728" s="1" t="s">
        <v>3419</v>
      </c>
      <c r="L728" s="1">
        <v>1818.0</v>
      </c>
      <c r="M728" s="1">
        <v>1648.0</v>
      </c>
      <c r="N728" s="1">
        <v>327.0</v>
      </c>
      <c r="O728" s="1">
        <v>975.0</v>
      </c>
      <c r="P728" s="1">
        <v>1043.0</v>
      </c>
      <c r="Q728" s="1">
        <v>77.0</v>
      </c>
      <c r="R728" s="1">
        <v>789.0</v>
      </c>
      <c r="S728" s="1">
        <v>790.0</v>
      </c>
      <c r="T728" s="1">
        <v>391.0</v>
      </c>
      <c r="U728" s="1">
        <v>61.0</v>
      </c>
      <c r="V728" s="1">
        <v>473.0</v>
      </c>
      <c r="W728" s="1">
        <v>11055.0</v>
      </c>
      <c r="X728" s="1">
        <v>2191.0</v>
      </c>
      <c r="Y728" s="1">
        <v>205.0</v>
      </c>
      <c r="Z728" s="1">
        <v>316.0</v>
      </c>
      <c r="AA728" s="1">
        <v>236.0</v>
      </c>
      <c r="AB728" s="1">
        <v>499.0</v>
      </c>
      <c r="AC728" s="1">
        <v>149.0</v>
      </c>
      <c r="AD728" s="1">
        <v>161.0</v>
      </c>
      <c r="AE728" s="1">
        <v>0.0</v>
      </c>
      <c r="AF728" s="1">
        <v>456.0</v>
      </c>
      <c r="AG728" s="1">
        <v>52.0</v>
      </c>
      <c r="AH728" s="1">
        <v>132.0</v>
      </c>
      <c r="AI728" s="1">
        <v>107.0</v>
      </c>
      <c r="AJ728" s="1">
        <v>74.0</v>
      </c>
      <c r="AK728" s="1">
        <v>20.0</v>
      </c>
      <c r="AL728" s="1">
        <v>118.0</v>
      </c>
      <c r="AM728" s="1">
        <v>184.0</v>
      </c>
      <c r="AN728" s="1">
        <v>83.0</v>
      </c>
      <c r="AO728" s="1">
        <v>6.0</v>
      </c>
      <c r="AP728" s="1">
        <v>0.479368</v>
      </c>
      <c r="AQ728" s="1">
        <v>0.217356</v>
      </c>
      <c r="AR728" s="1">
        <v>0.102006</v>
      </c>
      <c r="AS728" s="1">
        <v>0.789891</v>
      </c>
      <c r="AT728" s="1">
        <v>11055.0</v>
      </c>
      <c r="AU728" s="1">
        <v>2191.0</v>
      </c>
      <c r="AV728" s="1">
        <v>0.210472</v>
      </c>
      <c r="AW728" s="1">
        <v>0.322746</v>
      </c>
      <c r="AX728" s="1">
        <v>0.129812</v>
      </c>
      <c r="AY728" s="1">
        <v>0.274477</v>
      </c>
      <c r="AZ728" s="1">
        <v>0.18884664</v>
      </c>
      <c r="BA728" s="1">
        <v>0.088558</v>
      </c>
      <c r="BB728" s="1">
        <v>0.0</v>
      </c>
      <c r="BC728" s="1">
        <v>0.30707</v>
      </c>
      <c r="BD728" s="1">
        <v>0.049856</v>
      </c>
      <c r="BE728" s="1">
        <v>0.126504</v>
      </c>
      <c r="BF728" s="1">
        <v>0.102588</v>
      </c>
      <c r="BG728" s="1">
        <v>0.070543</v>
      </c>
      <c r="BH728" s="1">
        <v>0.027359</v>
      </c>
      <c r="BI728" s="1">
        <v>0.161372</v>
      </c>
      <c r="BJ728" s="1">
        <v>0.251709</v>
      </c>
      <c r="BK728" s="1">
        <v>0.10728</v>
      </c>
      <c r="BL728" s="1">
        <v>0.0033</v>
      </c>
      <c r="BM728" s="1">
        <v>0.983</v>
      </c>
      <c r="BN728" s="1">
        <v>0.744</v>
      </c>
      <c r="BO728" s="1">
        <v>0.9762</v>
      </c>
      <c r="BP728" s="1">
        <v>0.781</v>
      </c>
      <c r="BQ728" s="1">
        <v>3.4842</v>
      </c>
      <c r="BR728" s="1">
        <v>0.9199</v>
      </c>
      <c r="BS728" s="1">
        <v>0.418</v>
      </c>
      <c r="BT728" s="1">
        <v>0.815</v>
      </c>
      <c r="BU728" s="1">
        <v>0.882</v>
      </c>
      <c r="BV728" s="1">
        <v>2.115</v>
      </c>
      <c r="BW728" s="1">
        <v>0.925</v>
      </c>
      <c r="BX728" s="1">
        <v>0.423</v>
      </c>
      <c r="BY728" s="1">
        <v>0.0</v>
      </c>
      <c r="BZ728" s="1">
        <v>0.423</v>
      </c>
      <c r="CA728" s="1">
        <v>0.175</v>
      </c>
      <c r="CB728" s="1">
        <v>0.657</v>
      </c>
      <c r="CC728" s="1">
        <v>0.723</v>
      </c>
      <c r="CD728" s="1">
        <v>0.784</v>
      </c>
      <c r="CE728" s="1">
        <v>0.942</v>
      </c>
      <c r="CF728" s="1">
        <v>0.484</v>
      </c>
      <c r="CG728" s="1">
        <v>3.59</v>
      </c>
      <c r="CH728" s="1">
        <v>0.951</v>
      </c>
      <c r="CI728" s="1">
        <v>9.6122</v>
      </c>
      <c r="CJ728" s="1">
        <v>0.9177</v>
      </c>
      <c r="CK728" s="1">
        <v>1.0</v>
      </c>
      <c r="CL728" s="1">
        <v>0.0</v>
      </c>
      <c r="CM728" s="1">
        <v>1.0</v>
      </c>
      <c r="CN728" s="1">
        <v>0.0</v>
      </c>
      <c r="CO728" s="1">
        <v>2.0</v>
      </c>
      <c r="CP728" s="1">
        <v>0.0</v>
      </c>
      <c r="CQ728" s="1">
        <v>0.0</v>
      </c>
      <c r="CR728" s="1">
        <v>0.0</v>
      </c>
      <c r="CS728" s="1">
        <v>0.0</v>
      </c>
      <c r="CT728" s="1">
        <v>0.0</v>
      </c>
      <c r="CU728" s="1">
        <v>0.0</v>
      </c>
      <c r="CV728" s="1">
        <v>0.0</v>
      </c>
      <c r="CW728" s="1">
        <v>0.0</v>
      </c>
      <c r="CX728" s="1">
        <v>0.0</v>
      </c>
      <c r="CY728" s="1">
        <v>0.0</v>
      </c>
      <c r="CZ728" s="1">
        <v>1.0</v>
      </c>
      <c r="DA728" s="1">
        <v>0.0</v>
      </c>
      <c r="DB728" s="1">
        <v>1.0</v>
      </c>
      <c r="DC728" s="1">
        <v>3.0</v>
      </c>
      <c r="DD728" s="1" t="s">
        <v>3420</v>
      </c>
      <c r="DE728" s="1">
        <v>4.58173825940129E-4</v>
      </c>
      <c r="DF728" s="1">
        <v>0.0980216481772948</v>
      </c>
    </row>
    <row r="729" ht="15.75" customHeight="1">
      <c r="A729" s="1" t="s">
        <v>3421</v>
      </c>
      <c r="B729" s="1">
        <v>29.0</v>
      </c>
      <c r="C729" s="1">
        <v>119.0</v>
      </c>
      <c r="D729" s="2" t="s">
        <v>256</v>
      </c>
      <c r="E729" s="1">
        <v>252.559</v>
      </c>
      <c r="F729" s="1">
        <v>29119.0</v>
      </c>
      <c r="G729" s="1">
        <v>2.91190701E10</v>
      </c>
      <c r="H729" s="1" t="s">
        <v>112</v>
      </c>
      <c r="I729" s="1" t="s">
        <v>113</v>
      </c>
      <c r="J729" s="1" t="s">
        <v>3422</v>
      </c>
      <c r="K729" s="1" t="s">
        <v>3423</v>
      </c>
      <c r="L729" s="1">
        <v>6194.0</v>
      </c>
      <c r="M729" s="1">
        <v>5593.0</v>
      </c>
      <c r="N729" s="1">
        <v>685.0</v>
      </c>
      <c r="O729" s="1">
        <v>2766.0</v>
      </c>
      <c r="P729" s="1">
        <v>2567.0</v>
      </c>
      <c r="Q729" s="1">
        <v>147.0</v>
      </c>
      <c r="R729" s="1">
        <v>2306.0</v>
      </c>
      <c r="S729" s="1">
        <v>601.0</v>
      </c>
      <c r="T729" s="1">
        <v>260.0</v>
      </c>
      <c r="U729" s="1">
        <v>242.0</v>
      </c>
      <c r="V729" s="1">
        <v>431.0</v>
      </c>
      <c r="W729" s="1">
        <v>20838.0</v>
      </c>
      <c r="X729" s="1">
        <v>3700.0</v>
      </c>
      <c r="Y729" s="1">
        <v>754.0</v>
      </c>
      <c r="Z729" s="1">
        <v>337.0</v>
      </c>
      <c r="AA729" s="1">
        <v>757.0</v>
      </c>
      <c r="AB729" s="1">
        <v>1639.0</v>
      </c>
      <c r="AC729" s="1">
        <v>228.0</v>
      </c>
      <c r="AD729" s="1">
        <v>496.0</v>
      </c>
      <c r="AE729" s="1">
        <v>65.0</v>
      </c>
      <c r="AF729" s="1">
        <v>417.0</v>
      </c>
      <c r="AG729" s="1">
        <v>0.0</v>
      </c>
      <c r="AH729" s="1">
        <v>197.0</v>
      </c>
      <c r="AI729" s="1">
        <v>932.0</v>
      </c>
      <c r="AJ729" s="1">
        <v>210.0</v>
      </c>
      <c r="AK729" s="1">
        <v>9.0</v>
      </c>
      <c r="AL729" s="1">
        <v>114.0</v>
      </c>
      <c r="AM729" s="1">
        <v>72.0</v>
      </c>
      <c r="AN729" s="1">
        <v>58.0</v>
      </c>
      <c r="AO729" s="1">
        <v>6.0</v>
      </c>
      <c r="AP729" s="1">
        <v>0.107455</v>
      </c>
      <c r="AQ729" s="1">
        <v>0.044584</v>
      </c>
      <c r="AR729" s="1">
        <v>0.09226</v>
      </c>
      <c r="AS729" s="1">
        <v>0.163791</v>
      </c>
      <c r="AT729" s="1">
        <v>20838.0</v>
      </c>
      <c r="AU729" s="1">
        <v>3700.0</v>
      </c>
      <c r="AV729" s="1">
        <v>0.19816</v>
      </c>
      <c r="AW729" s="1">
        <v>0.086243</v>
      </c>
      <c r="AX729" s="1">
        <v>0.122215</v>
      </c>
      <c r="AY729" s="1">
        <v>0.26461</v>
      </c>
      <c r="AZ729" s="1">
        <v>0.0988725</v>
      </c>
      <c r="BA729" s="1">
        <v>0.080077</v>
      </c>
      <c r="BB729" s="1">
        <v>0.012322</v>
      </c>
      <c r="BC729" s="1">
        <v>0.079037</v>
      </c>
      <c r="BD729" s="1">
        <v>0.0</v>
      </c>
      <c r="BE729" s="1">
        <v>0.076743</v>
      </c>
      <c r="BF729" s="1">
        <v>0.363069</v>
      </c>
      <c r="BG729" s="1">
        <v>0.079121</v>
      </c>
      <c r="BH729" s="1">
        <v>0.004324</v>
      </c>
      <c r="BI729" s="1">
        <v>0.054779</v>
      </c>
      <c r="BJ729" s="1">
        <v>0.034598</v>
      </c>
      <c r="BK729" s="1">
        <v>0.027653</v>
      </c>
      <c r="BL729" s="1">
        <v>9.68E-4</v>
      </c>
      <c r="BM729" s="1">
        <v>0.405</v>
      </c>
      <c r="BN729" s="1">
        <v>0.69</v>
      </c>
      <c r="BO729" s="1">
        <v>0.561</v>
      </c>
      <c r="BP729" s="1">
        <v>0.745</v>
      </c>
      <c r="BQ729" s="1">
        <v>2.401</v>
      </c>
      <c r="BR729" s="1">
        <v>0.631</v>
      </c>
      <c r="BS729" s="1">
        <v>0.359</v>
      </c>
      <c r="BT729" s="1">
        <v>0.746</v>
      </c>
      <c r="BU729" s="1">
        <v>0.482</v>
      </c>
      <c r="BV729" s="1">
        <v>1.587</v>
      </c>
      <c r="BW729" s="1">
        <v>0.558</v>
      </c>
      <c r="BX729" s="1">
        <v>0.401</v>
      </c>
      <c r="BY729" s="1">
        <v>0.779</v>
      </c>
      <c r="BZ729" s="1">
        <v>1.18</v>
      </c>
      <c r="CA729" s="1">
        <v>0.653</v>
      </c>
      <c r="CB729" s="1">
        <v>0.0</v>
      </c>
      <c r="CC729" s="1">
        <v>0.99</v>
      </c>
      <c r="CD729" s="1">
        <v>0.315</v>
      </c>
      <c r="CE729" s="1">
        <v>0.329</v>
      </c>
      <c r="CF729" s="1">
        <v>0.395</v>
      </c>
      <c r="CG729" s="1">
        <v>2.029</v>
      </c>
      <c r="CH729" s="1">
        <v>0.358</v>
      </c>
      <c r="CI729" s="1">
        <v>7.197</v>
      </c>
      <c r="CJ729" s="1">
        <v>0.5949</v>
      </c>
      <c r="CK729" s="1">
        <v>0.0</v>
      </c>
      <c r="CL729" s="1">
        <v>0.0</v>
      </c>
      <c r="CM729" s="1">
        <v>0.0</v>
      </c>
      <c r="CN729" s="1">
        <v>0.0</v>
      </c>
      <c r="CO729" s="1">
        <v>0.0</v>
      </c>
      <c r="CP729" s="1">
        <v>0.0</v>
      </c>
      <c r="CQ729" s="1">
        <v>0.0</v>
      </c>
      <c r="CR729" s="1">
        <v>0.0</v>
      </c>
      <c r="CS729" s="1">
        <v>0.0</v>
      </c>
      <c r="CT729" s="1">
        <v>0.0</v>
      </c>
      <c r="CU729" s="1">
        <v>0.0</v>
      </c>
      <c r="CV729" s="1">
        <v>0.0</v>
      </c>
      <c r="CW729" s="1">
        <v>0.0</v>
      </c>
      <c r="CX729" s="1">
        <v>1.0</v>
      </c>
      <c r="CY729" s="1">
        <v>0.0</v>
      </c>
      <c r="CZ729" s="1">
        <v>0.0</v>
      </c>
      <c r="DA729" s="1">
        <v>0.0</v>
      </c>
      <c r="DB729" s="1">
        <v>1.0</v>
      </c>
      <c r="DC729" s="1">
        <v>1.0</v>
      </c>
      <c r="DD729" s="1" t="s">
        <v>3424</v>
      </c>
      <c r="DE729" s="1">
        <v>0.0659150192325769</v>
      </c>
      <c r="DF729" s="2" t="s">
        <v>3425</v>
      </c>
    </row>
    <row r="730" ht="15.75" customHeight="1">
      <c r="A730" s="1" t="s">
        <v>3426</v>
      </c>
      <c r="B730" s="1">
        <v>29.0</v>
      </c>
      <c r="C730" s="1">
        <v>119.0</v>
      </c>
      <c r="D730" s="2" t="s">
        <v>262</v>
      </c>
      <c r="E730" s="1">
        <v>98.456</v>
      </c>
      <c r="F730" s="1">
        <v>29119.0</v>
      </c>
      <c r="G730" s="1">
        <v>2.91190702E10</v>
      </c>
      <c r="H730" s="1" t="s">
        <v>112</v>
      </c>
      <c r="I730" s="1" t="s">
        <v>113</v>
      </c>
      <c r="J730" s="1" t="s">
        <v>3422</v>
      </c>
      <c r="K730" s="1" t="s">
        <v>3427</v>
      </c>
      <c r="L730" s="1">
        <v>4567.0</v>
      </c>
      <c r="M730" s="1">
        <v>4515.0</v>
      </c>
      <c r="N730" s="1">
        <v>420.0</v>
      </c>
      <c r="O730" s="1">
        <v>1835.0</v>
      </c>
      <c r="P730" s="1">
        <v>1902.0</v>
      </c>
      <c r="Q730" s="1">
        <v>111.0</v>
      </c>
      <c r="R730" s="1">
        <v>1637.0</v>
      </c>
      <c r="S730" s="1">
        <v>579.0</v>
      </c>
      <c r="T730" s="1">
        <v>250.0</v>
      </c>
      <c r="U730" s="1">
        <v>168.0</v>
      </c>
      <c r="V730" s="1">
        <v>368.0</v>
      </c>
      <c r="W730" s="1">
        <v>16097.0</v>
      </c>
      <c r="X730" s="1">
        <v>2978.0</v>
      </c>
      <c r="Y730" s="1">
        <v>761.0</v>
      </c>
      <c r="Z730" s="1">
        <v>257.0</v>
      </c>
      <c r="AA730" s="1">
        <v>623.0</v>
      </c>
      <c r="AB730" s="1">
        <v>1297.0</v>
      </c>
      <c r="AC730" s="1">
        <v>159.0</v>
      </c>
      <c r="AD730" s="1">
        <v>474.0</v>
      </c>
      <c r="AE730" s="1">
        <v>0.0</v>
      </c>
      <c r="AF730" s="1">
        <v>456.0</v>
      </c>
      <c r="AG730" s="1">
        <v>31.0</v>
      </c>
      <c r="AH730" s="1">
        <v>167.0</v>
      </c>
      <c r="AI730" s="1">
        <v>412.0</v>
      </c>
      <c r="AJ730" s="1">
        <v>117.0</v>
      </c>
      <c r="AK730" s="1">
        <v>20.0</v>
      </c>
      <c r="AL730" s="1">
        <v>115.0</v>
      </c>
      <c r="AM730" s="1">
        <v>65.0</v>
      </c>
      <c r="AN730" s="1">
        <v>36.0</v>
      </c>
      <c r="AO730" s="1">
        <v>23.0</v>
      </c>
      <c r="AP730" s="1">
        <v>0.128239</v>
      </c>
      <c r="AQ730" s="1">
        <v>0.05407</v>
      </c>
      <c r="AR730" s="1">
        <v>0.087912</v>
      </c>
      <c r="AS730" s="1">
        <v>0.192171</v>
      </c>
      <c r="AT730" s="1">
        <v>16097.0</v>
      </c>
      <c r="AU730" s="1">
        <v>2978.0</v>
      </c>
      <c r="AV730" s="1">
        <v>0.257181</v>
      </c>
      <c r="AW730" s="1">
        <v>0.084459</v>
      </c>
      <c r="AX730" s="1">
        <v>0.136413</v>
      </c>
      <c r="AY730" s="1">
        <v>0.283993</v>
      </c>
      <c r="AZ730" s="1">
        <v>0.09712889</v>
      </c>
      <c r="BA730" s="1">
        <v>0.103788</v>
      </c>
      <c r="BB730" s="1">
        <v>0.0</v>
      </c>
      <c r="BC730" s="1">
        <v>0.106318</v>
      </c>
      <c r="BD730" s="1">
        <v>0.016298</v>
      </c>
      <c r="BE730" s="1">
        <v>0.087797</v>
      </c>
      <c r="BF730" s="1">
        <v>0.216614</v>
      </c>
      <c r="BG730" s="1">
        <v>0.060201</v>
      </c>
      <c r="BH730" s="1">
        <v>0.0123</v>
      </c>
      <c r="BI730" s="1">
        <v>0.070719</v>
      </c>
      <c r="BJ730" s="1">
        <v>0.039975</v>
      </c>
      <c r="BK730" s="1">
        <v>0.021932</v>
      </c>
      <c r="BL730" s="1">
        <v>0.005036</v>
      </c>
      <c r="BM730" s="1">
        <v>0.489</v>
      </c>
      <c r="BN730" s="1">
        <v>0.664</v>
      </c>
      <c r="BO730" s="1">
        <v>0.8332</v>
      </c>
      <c r="BP730" s="1">
        <v>0.884</v>
      </c>
      <c r="BQ730" s="1">
        <v>2.8702</v>
      </c>
      <c r="BR730" s="1">
        <v>0.7718</v>
      </c>
      <c r="BS730" s="1">
        <v>0.468</v>
      </c>
      <c r="BT730" s="1">
        <v>0.866</v>
      </c>
      <c r="BU730" s="1">
        <v>0.466</v>
      </c>
      <c r="BV730" s="1">
        <v>1.8</v>
      </c>
      <c r="BW730" s="1">
        <v>0.72</v>
      </c>
      <c r="BX730" s="1">
        <v>0.484</v>
      </c>
      <c r="BY730" s="1">
        <v>0.0</v>
      </c>
      <c r="BZ730" s="1">
        <v>0.484</v>
      </c>
      <c r="CA730" s="1">
        <v>0.201</v>
      </c>
      <c r="CB730" s="1">
        <v>0.435</v>
      </c>
      <c r="CC730" s="1">
        <v>0.917</v>
      </c>
      <c r="CD730" s="1">
        <v>0.534</v>
      </c>
      <c r="CE730" s="1">
        <v>0.39</v>
      </c>
      <c r="CF730" s="1">
        <v>0.511</v>
      </c>
      <c r="CG730" s="1">
        <v>2.787</v>
      </c>
      <c r="CH730" s="1">
        <v>0.684</v>
      </c>
      <c r="CI730" s="1">
        <v>7.9412</v>
      </c>
      <c r="CJ730" s="1">
        <v>0.7054</v>
      </c>
      <c r="CK730" s="1">
        <v>0.0</v>
      </c>
      <c r="CL730" s="1">
        <v>0.0</v>
      </c>
      <c r="CM730" s="1">
        <v>0.0</v>
      </c>
      <c r="CN730" s="1">
        <v>0.0</v>
      </c>
      <c r="CO730" s="1">
        <v>0.0</v>
      </c>
      <c r="CP730" s="1">
        <v>0.0</v>
      </c>
      <c r="CQ730" s="1">
        <v>0.0</v>
      </c>
      <c r="CR730" s="1">
        <v>0.0</v>
      </c>
      <c r="CS730" s="1">
        <v>0.0</v>
      </c>
      <c r="CT730" s="1">
        <v>0.0</v>
      </c>
      <c r="CU730" s="1">
        <v>0.0</v>
      </c>
      <c r="CV730" s="1">
        <v>0.0</v>
      </c>
      <c r="CW730" s="1">
        <v>0.0</v>
      </c>
      <c r="CX730" s="1">
        <v>1.0</v>
      </c>
      <c r="CY730" s="1">
        <v>0.0</v>
      </c>
      <c r="CZ730" s="1">
        <v>0.0</v>
      </c>
      <c r="DA730" s="1">
        <v>0.0</v>
      </c>
      <c r="DB730" s="1">
        <v>1.0</v>
      </c>
      <c r="DC730" s="1">
        <v>1.0</v>
      </c>
      <c r="DD730" s="1" t="s">
        <v>3428</v>
      </c>
      <c r="DE730" s="1">
        <v>0.0257135009449558</v>
      </c>
      <c r="DF730" s="2" t="s">
        <v>3429</v>
      </c>
    </row>
    <row r="731" ht="15.75" customHeight="1">
      <c r="A731" s="1" t="s">
        <v>3430</v>
      </c>
      <c r="B731" s="1">
        <v>29.0</v>
      </c>
      <c r="C731" s="1">
        <v>119.0</v>
      </c>
      <c r="D731" s="2" t="s">
        <v>267</v>
      </c>
      <c r="E731" s="1">
        <v>97.171</v>
      </c>
      <c r="F731" s="1">
        <v>29119.0</v>
      </c>
      <c r="G731" s="1">
        <v>2.91190703E10</v>
      </c>
      <c r="H731" s="1" t="s">
        <v>112</v>
      </c>
      <c r="I731" s="1" t="s">
        <v>113</v>
      </c>
      <c r="J731" s="1" t="s">
        <v>3422</v>
      </c>
      <c r="K731" s="1" t="s">
        <v>3431</v>
      </c>
      <c r="L731" s="1">
        <v>5890.0</v>
      </c>
      <c r="M731" s="1">
        <v>6239.0</v>
      </c>
      <c r="N731" s="1">
        <v>529.0</v>
      </c>
      <c r="O731" s="1">
        <v>2467.0</v>
      </c>
      <c r="P731" s="1">
        <v>2595.0</v>
      </c>
      <c r="Q731" s="1">
        <v>132.0</v>
      </c>
      <c r="R731" s="1">
        <v>2039.0</v>
      </c>
      <c r="S731" s="1">
        <v>1437.0</v>
      </c>
      <c r="T731" s="1">
        <v>448.0</v>
      </c>
      <c r="U731" s="1">
        <v>125.0</v>
      </c>
      <c r="V731" s="1">
        <v>384.0</v>
      </c>
      <c r="W731" s="1">
        <v>14124.0</v>
      </c>
      <c r="X731" s="1">
        <v>1791.0</v>
      </c>
      <c r="Y731" s="1">
        <v>992.0</v>
      </c>
      <c r="Z731" s="1">
        <v>173.0</v>
      </c>
      <c r="AA731" s="1">
        <v>564.0</v>
      </c>
      <c r="AB731" s="1">
        <v>1811.0</v>
      </c>
      <c r="AC731" s="1">
        <v>316.0</v>
      </c>
      <c r="AD731" s="1">
        <v>2567.0</v>
      </c>
      <c r="AE731" s="1">
        <v>466.0</v>
      </c>
      <c r="AF731" s="1">
        <v>417.0</v>
      </c>
      <c r="AG731" s="1">
        <v>72.0</v>
      </c>
      <c r="AH731" s="1">
        <v>167.0</v>
      </c>
      <c r="AI731" s="1">
        <v>420.0</v>
      </c>
      <c r="AJ731" s="1">
        <v>142.0</v>
      </c>
      <c r="AK731" s="1">
        <v>142.0</v>
      </c>
      <c r="AL731" s="1">
        <v>127.0</v>
      </c>
      <c r="AM731" s="1">
        <v>108.0</v>
      </c>
      <c r="AN731" s="1">
        <v>48.0</v>
      </c>
      <c r="AO731" s="1">
        <v>0.0</v>
      </c>
      <c r="AP731" s="1">
        <v>0.231699</v>
      </c>
      <c r="AQ731" s="1">
        <v>0.069542</v>
      </c>
      <c r="AR731" s="1">
        <v>0.050895</v>
      </c>
      <c r="AS731" s="1">
        <v>0.156216</v>
      </c>
      <c r="AT731" s="1">
        <v>14124.0</v>
      </c>
      <c r="AU731" s="1">
        <v>1791.0</v>
      </c>
      <c r="AV731" s="1">
        <v>0.290313</v>
      </c>
      <c r="AW731" s="1">
        <v>0.044038</v>
      </c>
      <c r="AX731" s="1">
        <v>0.095755</v>
      </c>
      <c r="AY731" s="1">
        <v>0.30747</v>
      </c>
      <c r="AZ731" s="1">
        <v>0.15497793</v>
      </c>
      <c r="BA731" s="1">
        <v>0.435823</v>
      </c>
      <c r="BB731" s="1">
        <v>0.085379</v>
      </c>
      <c r="BC731" s="1">
        <v>0.076023</v>
      </c>
      <c r="BD731" s="1">
        <v>0.027745</v>
      </c>
      <c r="BE731" s="1">
        <v>0.064339</v>
      </c>
      <c r="BF731" s="1">
        <v>0.161849</v>
      </c>
      <c r="BG731" s="1">
        <v>0.054097</v>
      </c>
      <c r="BH731" s="1">
        <v>0.073271</v>
      </c>
      <c r="BI731" s="1">
        <v>0.065115</v>
      </c>
      <c r="BJ731" s="1">
        <v>0.055727</v>
      </c>
      <c r="BK731" s="1">
        <v>0.024124</v>
      </c>
      <c r="BL731" s="1">
        <v>0.0</v>
      </c>
      <c r="BM731" s="1">
        <v>0.794</v>
      </c>
      <c r="BN731" s="1">
        <v>0.302</v>
      </c>
      <c r="BO731" s="1">
        <v>0.909</v>
      </c>
      <c r="BP731" s="1">
        <v>0.931</v>
      </c>
      <c r="BQ731" s="1">
        <v>2.936</v>
      </c>
      <c r="BR731" s="1">
        <v>0.7921</v>
      </c>
      <c r="BS731" s="1">
        <v>0.185</v>
      </c>
      <c r="BT731" s="1">
        <v>0.941</v>
      </c>
      <c r="BU731" s="1">
        <v>0.81</v>
      </c>
      <c r="BV731" s="1">
        <v>1.936</v>
      </c>
      <c r="BW731" s="1">
        <v>0.825</v>
      </c>
      <c r="BX731" s="1">
        <v>0.852</v>
      </c>
      <c r="BY731" s="1">
        <v>0.981</v>
      </c>
      <c r="BZ731" s="1">
        <v>1.833</v>
      </c>
      <c r="CA731" s="1">
        <v>0.975</v>
      </c>
      <c r="CB731" s="1">
        <v>0.531</v>
      </c>
      <c r="CC731" s="1">
        <v>0.841</v>
      </c>
      <c r="CD731" s="1">
        <v>0.979</v>
      </c>
      <c r="CE731" s="1">
        <v>0.538</v>
      </c>
      <c r="CF731" s="1">
        <v>0.0</v>
      </c>
      <c r="CG731" s="1">
        <v>2.889</v>
      </c>
      <c r="CH731" s="1">
        <v>0.728</v>
      </c>
      <c r="CI731" s="1">
        <v>9.594</v>
      </c>
      <c r="CJ731" s="1">
        <v>0.9141</v>
      </c>
      <c r="CK731" s="1">
        <v>0.0</v>
      </c>
      <c r="CL731" s="1">
        <v>0.0</v>
      </c>
      <c r="CM731" s="1">
        <v>1.0</v>
      </c>
      <c r="CN731" s="1">
        <v>1.0</v>
      </c>
      <c r="CO731" s="1">
        <v>2.0</v>
      </c>
      <c r="CP731" s="1">
        <v>0.0</v>
      </c>
      <c r="CQ731" s="1">
        <v>1.0</v>
      </c>
      <c r="CR731" s="1">
        <v>0.0</v>
      </c>
      <c r="CS731" s="1">
        <v>1.0</v>
      </c>
      <c r="CT731" s="1">
        <v>0.0</v>
      </c>
      <c r="CU731" s="1">
        <v>1.0</v>
      </c>
      <c r="CV731" s="1">
        <v>1.0</v>
      </c>
      <c r="CW731" s="1">
        <v>0.0</v>
      </c>
      <c r="CX731" s="1">
        <v>0.0</v>
      </c>
      <c r="CY731" s="1">
        <v>1.0</v>
      </c>
      <c r="CZ731" s="1">
        <v>0.0</v>
      </c>
      <c r="DA731" s="1">
        <v>0.0</v>
      </c>
      <c r="DB731" s="1">
        <v>1.0</v>
      </c>
      <c r="DC731" s="1">
        <v>5.0</v>
      </c>
      <c r="DD731" s="1" t="s">
        <v>3432</v>
      </c>
      <c r="DE731" s="2" t="s">
        <v>3433</v>
      </c>
      <c r="DF731" s="2" t="s">
        <v>3434</v>
      </c>
    </row>
    <row r="732" ht="15.75" customHeight="1">
      <c r="A732" s="1" t="s">
        <v>3435</v>
      </c>
      <c r="B732" s="1">
        <v>29.0</v>
      </c>
      <c r="C732" s="1">
        <v>119.0</v>
      </c>
      <c r="D732" s="2" t="s">
        <v>272</v>
      </c>
      <c r="E732" s="1">
        <v>91.294</v>
      </c>
      <c r="F732" s="1">
        <v>29119.0</v>
      </c>
      <c r="G732" s="1">
        <v>2.91190704E10</v>
      </c>
      <c r="H732" s="1" t="s">
        <v>112</v>
      </c>
      <c r="I732" s="1" t="s">
        <v>113</v>
      </c>
      <c r="J732" s="1" t="s">
        <v>3422</v>
      </c>
      <c r="K732" s="1" t="s">
        <v>3436</v>
      </c>
      <c r="L732" s="1">
        <v>6432.0</v>
      </c>
      <c r="M732" s="1">
        <v>6669.0</v>
      </c>
      <c r="N732" s="1">
        <v>603.0</v>
      </c>
      <c r="O732" s="1">
        <v>2857.0</v>
      </c>
      <c r="P732" s="1">
        <v>2842.0</v>
      </c>
      <c r="Q732" s="1">
        <v>132.0</v>
      </c>
      <c r="R732" s="1">
        <v>2422.0</v>
      </c>
      <c r="S732" s="1">
        <v>884.0</v>
      </c>
      <c r="T732" s="1">
        <v>299.0</v>
      </c>
      <c r="U732" s="1">
        <v>242.0</v>
      </c>
      <c r="V732" s="1">
        <v>373.0</v>
      </c>
      <c r="W732" s="1">
        <v>17325.0</v>
      </c>
      <c r="X732" s="1">
        <v>1560.0</v>
      </c>
      <c r="Y732" s="1">
        <v>862.0</v>
      </c>
      <c r="Z732" s="1">
        <v>210.0</v>
      </c>
      <c r="AA732" s="1">
        <v>943.0</v>
      </c>
      <c r="AB732" s="1">
        <v>1728.0</v>
      </c>
      <c r="AC732" s="1">
        <v>307.0</v>
      </c>
      <c r="AD732" s="1">
        <v>846.0</v>
      </c>
      <c r="AE732" s="1">
        <v>224.0</v>
      </c>
      <c r="AF732" s="1">
        <v>445.0</v>
      </c>
      <c r="AG732" s="1">
        <v>67.0</v>
      </c>
      <c r="AH732" s="1">
        <v>119.0</v>
      </c>
      <c r="AI732" s="1">
        <v>345.0</v>
      </c>
      <c r="AJ732" s="1">
        <v>108.0</v>
      </c>
      <c r="AK732" s="1">
        <v>125.0</v>
      </c>
      <c r="AL732" s="1">
        <v>138.0</v>
      </c>
      <c r="AM732" s="1">
        <v>192.0</v>
      </c>
      <c r="AN732" s="1">
        <v>63.0</v>
      </c>
      <c r="AO732" s="1">
        <v>128.0</v>
      </c>
      <c r="AP732" s="1">
        <v>0.135916</v>
      </c>
      <c r="AQ732" s="1">
        <v>0.04435</v>
      </c>
      <c r="AR732" s="1">
        <v>0.074347</v>
      </c>
      <c r="AS732" s="1">
        <v>0.11432</v>
      </c>
      <c r="AT732" s="1">
        <v>17325.0</v>
      </c>
      <c r="AU732" s="1">
        <v>1560.0</v>
      </c>
      <c r="AV732" s="1">
        <v>0.203734</v>
      </c>
      <c r="AW732" s="1">
        <v>0.046922</v>
      </c>
      <c r="AX732" s="1">
        <v>0.14661</v>
      </c>
      <c r="AY732" s="1">
        <v>0.268656</v>
      </c>
      <c r="AZ732" s="1">
        <v>0.12675474</v>
      </c>
      <c r="BA732" s="1">
        <v>0.131529</v>
      </c>
      <c r="BB732" s="1">
        <v>0.036193</v>
      </c>
      <c r="BC732" s="1">
        <v>0.071835</v>
      </c>
      <c r="BD732" s="1">
        <v>0.023574</v>
      </c>
      <c r="BE732" s="1">
        <v>0.041857</v>
      </c>
      <c r="BF732" s="1">
        <v>0.121393</v>
      </c>
      <c r="BG732" s="1">
        <v>0.03758</v>
      </c>
      <c r="BH732" s="1">
        <v>0.05272</v>
      </c>
      <c r="BI732" s="1">
        <v>0.058078</v>
      </c>
      <c r="BJ732" s="1">
        <v>0.080978</v>
      </c>
      <c r="BK732" s="1">
        <v>0.025921</v>
      </c>
      <c r="BL732" s="1">
        <v>0.0199</v>
      </c>
      <c r="BM732" s="1">
        <v>0.525</v>
      </c>
      <c r="BN732" s="1">
        <v>0.548</v>
      </c>
      <c r="BO732" s="1">
        <v>0.7632</v>
      </c>
      <c r="BP732" s="1">
        <v>0.759</v>
      </c>
      <c r="BQ732" s="1">
        <v>2.5952</v>
      </c>
      <c r="BR732" s="1">
        <v>0.6996</v>
      </c>
      <c r="BS732" s="1">
        <v>0.551</v>
      </c>
      <c r="BT732" s="1">
        <v>0.781</v>
      </c>
      <c r="BU732" s="1">
        <v>0.703</v>
      </c>
      <c r="BV732" s="1">
        <v>2.035</v>
      </c>
      <c r="BW732" s="1">
        <v>0.882</v>
      </c>
      <c r="BX732" s="1">
        <v>0.565</v>
      </c>
      <c r="BY732" s="1">
        <v>0.937</v>
      </c>
      <c r="BZ732" s="1">
        <v>1.502</v>
      </c>
      <c r="CA732" s="1">
        <v>0.826</v>
      </c>
      <c r="CB732" s="1">
        <v>0.505</v>
      </c>
      <c r="CC732" s="1">
        <v>0.763</v>
      </c>
      <c r="CD732" s="1">
        <v>0.946</v>
      </c>
      <c r="CE732" s="1">
        <v>0.679</v>
      </c>
      <c r="CF732" s="1">
        <v>0.71</v>
      </c>
      <c r="CG732" s="1">
        <v>3.603</v>
      </c>
      <c r="CH732" s="1">
        <v>0.957</v>
      </c>
      <c r="CI732" s="1">
        <v>9.7352</v>
      </c>
      <c r="CJ732" s="1">
        <v>0.9314</v>
      </c>
      <c r="CK732" s="1">
        <v>0.0</v>
      </c>
      <c r="CL732" s="1">
        <v>0.0</v>
      </c>
      <c r="CM732" s="1">
        <v>0.0</v>
      </c>
      <c r="CN732" s="1">
        <v>0.0</v>
      </c>
      <c r="CO732" s="1">
        <v>0.0</v>
      </c>
      <c r="CP732" s="1">
        <v>0.0</v>
      </c>
      <c r="CQ732" s="1">
        <v>0.0</v>
      </c>
      <c r="CR732" s="1">
        <v>0.0</v>
      </c>
      <c r="CS732" s="1">
        <v>0.0</v>
      </c>
      <c r="CT732" s="1">
        <v>0.0</v>
      </c>
      <c r="CU732" s="1">
        <v>1.0</v>
      </c>
      <c r="CV732" s="1">
        <v>1.0</v>
      </c>
      <c r="CW732" s="1">
        <v>0.0</v>
      </c>
      <c r="CX732" s="1">
        <v>0.0</v>
      </c>
      <c r="CY732" s="1">
        <v>1.0</v>
      </c>
      <c r="CZ732" s="1">
        <v>0.0</v>
      </c>
      <c r="DA732" s="1">
        <v>0.0</v>
      </c>
      <c r="DB732" s="1">
        <v>1.0</v>
      </c>
      <c r="DC732" s="1">
        <v>2.0</v>
      </c>
      <c r="DD732" s="1" t="s">
        <v>3437</v>
      </c>
      <c r="DE732" s="2" t="s">
        <v>3438</v>
      </c>
      <c r="DF732" s="2" t="s">
        <v>3439</v>
      </c>
    </row>
    <row r="733" ht="15.75" customHeight="1">
      <c r="A733" s="1" t="s">
        <v>3440</v>
      </c>
      <c r="B733" s="1">
        <v>29.0</v>
      </c>
      <c r="C733" s="1">
        <v>121.0</v>
      </c>
      <c r="D733" s="1">
        <v>960300.0</v>
      </c>
      <c r="E733" s="1">
        <v>278.102</v>
      </c>
      <c r="F733" s="1">
        <v>29121.0</v>
      </c>
      <c r="G733" s="1">
        <v>2.91219603E10</v>
      </c>
      <c r="H733" s="1" t="s">
        <v>112</v>
      </c>
      <c r="I733" s="1" t="s">
        <v>113</v>
      </c>
      <c r="J733" s="1" t="s">
        <v>3441</v>
      </c>
      <c r="K733" s="1" t="s">
        <v>3442</v>
      </c>
      <c r="L733" s="1">
        <v>3796.0</v>
      </c>
      <c r="M733" s="1">
        <v>3666.0</v>
      </c>
      <c r="N733" s="1">
        <v>189.0</v>
      </c>
      <c r="O733" s="1">
        <v>1827.0</v>
      </c>
      <c r="P733" s="1">
        <v>1855.0</v>
      </c>
      <c r="Q733" s="1">
        <v>88.0</v>
      </c>
      <c r="R733" s="1">
        <v>1536.0</v>
      </c>
      <c r="S733" s="1">
        <v>534.0</v>
      </c>
      <c r="T733" s="1">
        <v>181.0</v>
      </c>
      <c r="U733" s="1">
        <v>135.0</v>
      </c>
      <c r="V733" s="1">
        <v>365.0</v>
      </c>
      <c r="W733" s="1">
        <v>21759.0</v>
      </c>
      <c r="X733" s="1">
        <v>2399.0</v>
      </c>
      <c r="Y733" s="1">
        <v>524.0</v>
      </c>
      <c r="Z733" s="1">
        <v>193.0</v>
      </c>
      <c r="AA733" s="1">
        <v>654.0</v>
      </c>
      <c r="AB733" s="1">
        <v>901.0</v>
      </c>
      <c r="AC733" s="1">
        <v>120.0</v>
      </c>
      <c r="AD733" s="1">
        <v>89.0</v>
      </c>
      <c r="AE733" s="1">
        <v>11.0</v>
      </c>
      <c r="AF733" s="1">
        <v>442.0</v>
      </c>
      <c r="AG733" s="1">
        <v>6.0</v>
      </c>
      <c r="AH733" s="1">
        <v>161.0</v>
      </c>
      <c r="AI733" s="1">
        <v>419.0</v>
      </c>
      <c r="AJ733" s="1">
        <v>112.0</v>
      </c>
      <c r="AK733" s="1">
        <v>26.0</v>
      </c>
      <c r="AL733" s="1">
        <v>115.0</v>
      </c>
      <c r="AM733" s="1">
        <v>49.0</v>
      </c>
      <c r="AN733" s="1">
        <v>25.0</v>
      </c>
      <c r="AO733" s="1">
        <v>0.0</v>
      </c>
      <c r="AP733" s="1">
        <v>0.145662</v>
      </c>
      <c r="AQ733" s="1">
        <v>0.048798</v>
      </c>
      <c r="AR733" s="1">
        <v>0.073289</v>
      </c>
      <c r="AS733" s="1">
        <v>0.19804</v>
      </c>
      <c r="AT733" s="1">
        <v>21759.0</v>
      </c>
      <c r="AU733" s="1">
        <v>2399.0</v>
      </c>
      <c r="AV733" s="1">
        <v>0.198409</v>
      </c>
      <c r="AW733" s="1">
        <v>0.072402</v>
      </c>
      <c r="AX733" s="1">
        <v>0.172286</v>
      </c>
      <c r="AY733" s="1">
        <v>0.237355</v>
      </c>
      <c r="AZ733" s="1">
        <v>0.078125</v>
      </c>
      <c r="BA733" s="1">
        <v>0.023445</v>
      </c>
      <c r="BB733" s="1">
        <v>0.003177</v>
      </c>
      <c r="BC733" s="1">
        <v>0.127671</v>
      </c>
      <c r="BD733" s="1">
        <v>0.003234</v>
      </c>
      <c r="BE733" s="1">
        <v>0.086792</v>
      </c>
      <c r="BF733" s="1">
        <v>0.225876</v>
      </c>
      <c r="BG733" s="1">
        <v>0.059418</v>
      </c>
      <c r="BH733" s="1">
        <v>0.016624</v>
      </c>
      <c r="BI733" s="1">
        <v>0.073522</v>
      </c>
      <c r="BJ733" s="1">
        <v>0.031329</v>
      </c>
      <c r="BK733" s="1">
        <v>0.015878</v>
      </c>
      <c r="BL733" s="1">
        <v>0.0</v>
      </c>
      <c r="BM733" s="1">
        <v>0.568</v>
      </c>
      <c r="BN733" s="1">
        <v>0.541</v>
      </c>
      <c r="BO733" s="1">
        <v>0.5083</v>
      </c>
      <c r="BP733" s="1">
        <v>0.746</v>
      </c>
      <c r="BQ733" s="1">
        <v>2.3633</v>
      </c>
      <c r="BR733" s="1">
        <v>0.6181</v>
      </c>
      <c r="BS733" s="1">
        <v>0.751</v>
      </c>
      <c r="BT733" s="1">
        <v>0.466</v>
      </c>
      <c r="BU733" s="1">
        <v>0.286</v>
      </c>
      <c r="BV733" s="1">
        <v>1.503</v>
      </c>
      <c r="BW733" s="1">
        <v>0.487</v>
      </c>
      <c r="BX733" s="1">
        <v>0.035</v>
      </c>
      <c r="BY733" s="1">
        <v>0.461</v>
      </c>
      <c r="BZ733" s="1">
        <v>0.496</v>
      </c>
      <c r="CA733" s="1">
        <v>0.207</v>
      </c>
      <c r="CB733" s="1">
        <v>0.289</v>
      </c>
      <c r="CC733" s="1">
        <v>0.926</v>
      </c>
      <c r="CD733" s="1">
        <v>0.623</v>
      </c>
      <c r="CE733" s="1">
        <v>0.294</v>
      </c>
      <c r="CF733" s="1">
        <v>0.0</v>
      </c>
      <c r="CG733" s="1">
        <v>2.132</v>
      </c>
      <c r="CH733" s="1">
        <v>0.392</v>
      </c>
      <c r="CI733" s="1">
        <v>6.4943</v>
      </c>
      <c r="CJ733" s="1">
        <v>0.457</v>
      </c>
      <c r="CK733" s="1">
        <v>0.0</v>
      </c>
      <c r="CL733" s="1">
        <v>0.0</v>
      </c>
      <c r="CM733" s="1">
        <v>0.0</v>
      </c>
      <c r="CN733" s="1">
        <v>0.0</v>
      </c>
      <c r="CO733" s="1">
        <v>0.0</v>
      </c>
      <c r="CP733" s="1">
        <v>0.0</v>
      </c>
      <c r="CQ733" s="1">
        <v>0.0</v>
      </c>
      <c r="CR733" s="1">
        <v>0.0</v>
      </c>
      <c r="CS733" s="1">
        <v>0.0</v>
      </c>
      <c r="CT733" s="1">
        <v>0.0</v>
      </c>
      <c r="CU733" s="1">
        <v>0.0</v>
      </c>
      <c r="CV733" s="1">
        <v>0.0</v>
      </c>
      <c r="CW733" s="1">
        <v>0.0</v>
      </c>
      <c r="CX733" s="1">
        <v>1.0</v>
      </c>
      <c r="CY733" s="1">
        <v>0.0</v>
      </c>
      <c r="CZ733" s="1">
        <v>0.0</v>
      </c>
      <c r="DA733" s="1">
        <v>0.0</v>
      </c>
      <c r="DB733" s="1">
        <v>1.0</v>
      </c>
      <c r="DC733" s="1">
        <v>1.0</v>
      </c>
      <c r="DD733" s="1" t="s">
        <v>3443</v>
      </c>
      <c r="DE733" s="1">
        <v>0.0779045317524737</v>
      </c>
      <c r="DF733" s="2" t="s">
        <v>3444</v>
      </c>
    </row>
    <row r="734" ht="15.75" customHeight="1">
      <c r="A734" s="1" t="s">
        <v>3445</v>
      </c>
      <c r="B734" s="1">
        <v>29.0</v>
      </c>
      <c r="C734" s="1">
        <v>121.0</v>
      </c>
      <c r="D734" s="1">
        <v>960400.0</v>
      </c>
      <c r="E734" s="1">
        <v>14.731</v>
      </c>
      <c r="F734" s="1">
        <v>29121.0</v>
      </c>
      <c r="G734" s="1">
        <v>2.91219604E10</v>
      </c>
      <c r="H734" s="1" t="s">
        <v>112</v>
      </c>
      <c r="I734" s="1" t="s">
        <v>113</v>
      </c>
      <c r="J734" s="1" t="s">
        <v>3441</v>
      </c>
      <c r="K734" s="1" t="s">
        <v>3446</v>
      </c>
      <c r="L734" s="1">
        <v>3982.0</v>
      </c>
      <c r="M734" s="1">
        <v>3891.0</v>
      </c>
      <c r="N734" s="1">
        <v>298.0</v>
      </c>
      <c r="O734" s="1">
        <v>1876.0</v>
      </c>
      <c r="P734" s="1">
        <v>1698.0</v>
      </c>
      <c r="Q734" s="1">
        <v>258.0</v>
      </c>
      <c r="R734" s="1">
        <v>1701.0</v>
      </c>
      <c r="S734" s="1">
        <v>209.0</v>
      </c>
      <c r="T734" s="1">
        <v>108.0</v>
      </c>
      <c r="U734" s="1">
        <v>52.0</v>
      </c>
      <c r="V734" s="1">
        <v>473.0</v>
      </c>
      <c r="W734" s="1">
        <v>20945.0</v>
      </c>
      <c r="X734" s="1">
        <v>4103.0</v>
      </c>
      <c r="Y734" s="1">
        <v>539.0</v>
      </c>
      <c r="Z734" s="1">
        <v>251.0</v>
      </c>
      <c r="AA734" s="1">
        <v>1074.0</v>
      </c>
      <c r="AB734" s="1">
        <v>838.0</v>
      </c>
      <c r="AC734" s="1">
        <v>132.0</v>
      </c>
      <c r="AD734" s="1">
        <v>206.0</v>
      </c>
      <c r="AE734" s="1">
        <v>0.0</v>
      </c>
      <c r="AF734" s="1">
        <v>456.0</v>
      </c>
      <c r="AG734" s="1">
        <v>37.0</v>
      </c>
      <c r="AH734" s="1">
        <v>168.0</v>
      </c>
      <c r="AI734" s="1">
        <v>69.0</v>
      </c>
      <c r="AJ734" s="1">
        <v>61.0</v>
      </c>
      <c r="AK734" s="1">
        <v>0.0</v>
      </c>
      <c r="AL734" s="1">
        <v>161.0</v>
      </c>
      <c r="AM734" s="1">
        <v>76.0</v>
      </c>
      <c r="AN734" s="1">
        <v>131.0</v>
      </c>
      <c r="AO734" s="1">
        <v>241.0</v>
      </c>
      <c r="AP734" s="1">
        <v>0.064248</v>
      </c>
      <c r="AQ734" s="1">
        <v>0.031752</v>
      </c>
      <c r="AR734" s="1">
        <v>0.03344</v>
      </c>
      <c r="AS734" s="1">
        <v>0.304151</v>
      </c>
      <c r="AT734" s="1">
        <v>20945.0</v>
      </c>
      <c r="AU734" s="1">
        <v>4103.0</v>
      </c>
      <c r="AV734" s="1">
        <v>0.178417</v>
      </c>
      <c r="AW734" s="1">
        <v>0.081029</v>
      </c>
      <c r="AX734" s="1">
        <v>0.269713</v>
      </c>
      <c r="AY734" s="1">
        <v>0.210447</v>
      </c>
      <c r="AZ734" s="1">
        <v>0.07760141</v>
      </c>
      <c r="BA734" s="1">
        <v>0.051732</v>
      </c>
      <c r="BB734" s="1">
        <v>0.0</v>
      </c>
      <c r="BC734" s="1">
        <v>0.122811</v>
      </c>
      <c r="BD734" s="1">
        <v>0.02179</v>
      </c>
      <c r="BE734" s="1">
        <v>0.098884</v>
      </c>
      <c r="BF734" s="1">
        <v>0.040636</v>
      </c>
      <c r="BG734" s="1">
        <v>0.03539</v>
      </c>
      <c r="BH734" s="1">
        <v>0.0</v>
      </c>
      <c r="BI734" s="1">
        <v>0.10516</v>
      </c>
      <c r="BJ734" s="1">
        <v>0.04964</v>
      </c>
      <c r="BK734" s="1">
        <v>0.085119</v>
      </c>
      <c r="BL734" s="1">
        <v>0.060522</v>
      </c>
      <c r="BM734" s="1">
        <v>0.222</v>
      </c>
      <c r="BN734" s="1">
        <v>0.115</v>
      </c>
      <c r="BO734" s="1">
        <v>0.5567</v>
      </c>
      <c r="BP734" s="1">
        <v>0.682</v>
      </c>
      <c r="BQ734" s="1">
        <v>1.5757</v>
      </c>
      <c r="BR734" s="1">
        <v>0.3625</v>
      </c>
      <c r="BS734" s="1">
        <v>0.98</v>
      </c>
      <c r="BT734" s="1">
        <v>0.238</v>
      </c>
      <c r="BU734" s="1">
        <v>0.277</v>
      </c>
      <c r="BV734" s="1">
        <v>1.495</v>
      </c>
      <c r="BW734" s="1">
        <v>0.482</v>
      </c>
      <c r="BX734" s="1">
        <v>0.26</v>
      </c>
      <c r="BY734" s="1">
        <v>0.0</v>
      </c>
      <c r="BZ734" s="1">
        <v>0.26</v>
      </c>
      <c r="CA734" s="1">
        <v>0.112</v>
      </c>
      <c r="CB734" s="1">
        <v>0.487</v>
      </c>
      <c r="CC734" s="1">
        <v>0.581</v>
      </c>
      <c r="CD734" s="1">
        <v>0.0</v>
      </c>
      <c r="CE734" s="1">
        <v>0.484</v>
      </c>
      <c r="CF734" s="1">
        <v>0.911</v>
      </c>
      <c r="CG734" s="1">
        <v>2.463</v>
      </c>
      <c r="CH734" s="1">
        <v>0.546</v>
      </c>
      <c r="CI734" s="1">
        <v>5.7937</v>
      </c>
      <c r="CJ734" s="1">
        <v>0.3401</v>
      </c>
      <c r="CK734" s="1">
        <v>0.0</v>
      </c>
      <c r="CL734" s="1">
        <v>0.0</v>
      </c>
      <c r="CM734" s="1">
        <v>0.0</v>
      </c>
      <c r="CN734" s="1">
        <v>0.0</v>
      </c>
      <c r="CO734" s="1">
        <v>0.0</v>
      </c>
      <c r="CP734" s="1">
        <v>1.0</v>
      </c>
      <c r="CQ734" s="1">
        <v>0.0</v>
      </c>
      <c r="CR734" s="1">
        <v>0.0</v>
      </c>
      <c r="CS734" s="1">
        <v>1.0</v>
      </c>
      <c r="CT734" s="1">
        <v>0.0</v>
      </c>
      <c r="CU734" s="1">
        <v>0.0</v>
      </c>
      <c r="CV734" s="1">
        <v>0.0</v>
      </c>
      <c r="CW734" s="1">
        <v>0.0</v>
      </c>
      <c r="CX734" s="1">
        <v>0.0</v>
      </c>
      <c r="CY734" s="1">
        <v>0.0</v>
      </c>
      <c r="CZ734" s="1">
        <v>0.0</v>
      </c>
      <c r="DA734" s="1">
        <v>1.0</v>
      </c>
      <c r="DB734" s="1">
        <v>1.0</v>
      </c>
      <c r="DC734" s="1">
        <v>2.0</v>
      </c>
      <c r="DD734" s="1" t="s">
        <v>3447</v>
      </c>
      <c r="DE734" s="1">
        <v>0.00409993528002704</v>
      </c>
      <c r="DF734" s="2" t="s">
        <v>3448</v>
      </c>
    </row>
    <row r="735" ht="15.75" customHeight="1">
      <c r="A735" s="1" t="s">
        <v>3449</v>
      </c>
      <c r="B735" s="1">
        <v>29.0</v>
      </c>
      <c r="C735" s="1">
        <v>121.0</v>
      </c>
      <c r="D735" s="1">
        <v>960100.0</v>
      </c>
      <c r="E735" s="1">
        <v>121.713</v>
      </c>
      <c r="F735" s="1">
        <v>29121.0</v>
      </c>
      <c r="G735" s="1">
        <v>2.91219601E10</v>
      </c>
      <c r="H735" s="1" t="s">
        <v>112</v>
      </c>
      <c r="I735" s="1" t="s">
        <v>113</v>
      </c>
      <c r="J735" s="1" t="s">
        <v>3441</v>
      </c>
      <c r="K735" s="1" t="s">
        <v>3450</v>
      </c>
      <c r="L735" s="1">
        <v>2341.0</v>
      </c>
      <c r="M735" s="1">
        <v>2466.0</v>
      </c>
      <c r="N735" s="1">
        <v>188.0</v>
      </c>
      <c r="O735" s="1">
        <v>1186.0</v>
      </c>
      <c r="P735" s="1">
        <v>1217.0</v>
      </c>
      <c r="Q735" s="1">
        <v>76.0</v>
      </c>
      <c r="R735" s="1">
        <v>980.0</v>
      </c>
      <c r="S735" s="1">
        <v>569.0</v>
      </c>
      <c r="T735" s="1">
        <v>146.0</v>
      </c>
      <c r="U735" s="1">
        <v>44.0</v>
      </c>
      <c r="V735" s="1">
        <v>343.0</v>
      </c>
      <c r="W735" s="1">
        <v>15709.0</v>
      </c>
      <c r="X735" s="1">
        <v>1304.0</v>
      </c>
      <c r="Y735" s="1">
        <v>214.0</v>
      </c>
      <c r="Z735" s="1">
        <v>235.0</v>
      </c>
      <c r="AA735" s="1">
        <v>472.0</v>
      </c>
      <c r="AB735" s="1">
        <v>555.0</v>
      </c>
      <c r="AC735" s="1">
        <v>110.0</v>
      </c>
      <c r="AD735" s="1">
        <v>80.0</v>
      </c>
      <c r="AE735" s="1">
        <v>0.0</v>
      </c>
      <c r="AF735" s="1">
        <v>456.0</v>
      </c>
      <c r="AG735" s="1">
        <v>16.0</v>
      </c>
      <c r="AH735" s="1">
        <v>162.0</v>
      </c>
      <c r="AI735" s="1">
        <v>131.0</v>
      </c>
      <c r="AJ735" s="1">
        <v>29.0</v>
      </c>
      <c r="AK735" s="1">
        <v>5.0</v>
      </c>
      <c r="AL735" s="1">
        <v>114.0</v>
      </c>
      <c r="AM735" s="1">
        <v>53.0</v>
      </c>
      <c r="AN735" s="1">
        <v>23.0</v>
      </c>
      <c r="AO735" s="1">
        <v>45.0</v>
      </c>
      <c r="AP735" s="1">
        <v>0.238075</v>
      </c>
      <c r="AQ735" s="1">
        <v>0.058366</v>
      </c>
      <c r="AR735" s="1">
        <v>0.040703</v>
      </c>
      <c r="AS735" s="1">
        <v>0.317271</v>
      </c>
      <c r="AT735" s="1">
        <v>15709.0</v>
      </c>
      <c r="AU735" s="1">
        <v>1304.0</v>
      </c>
      <c r="AV735" s="1">
        <v>0.126927</v>
      </c>
      <c r="AW735" s="1">
        <v>0.138808</v>
      </c>
      <c r="AX735" s="1">
        <v>0.201623</v>
      </c>
      <c r="AY735" s="1">
        <v>0.237078</v>
      </c>
      <c r="AZ735" s="1">
        <v>0.11224489</v>
      </c>
      <c r="BA735" s="1">
        <v>0.034173</v>
      </c>
      <c r="BB735" s="1">
        <v>0.0</v>
      </c>
      <c r="BC735" s="1">
        <v>0.20168</v>
      </c>
      <c r="BD735" s="1">
        <v>0.013147</v>
      </c>
      <c r="BE735" s="1">
        <v>0.133111</v>
      </c>
      <c r="BF735" s="1">
        <v>0.107641</v>
      </c>
      <c r="BG735" s="1">
        <v>0.022861</v>
      </c>
      <c r="BH735" s="1">
        <v>0.004743</v>
      </c>
      <c r="BI735" s="1">
        <v>0.108158</v>
      </c>
      <c r="BJ735" s="1">
        <v>0.050284</v>
      </c>
      <c r="BK735" s="1">
        <v>0.02151</v>
      </c>
      <c r="BL735" s="1">
        <v>0.019222</v>
      </c>
      <c r="BM735" s="1">
        <v>0.805</v>
      </c>
      <c r="BN735" s="1">
        <v>0.188</v>
      </c>
      <c r="BO735" s="1">
        <v>0.8484</v>
      </c>
      <c r="BP735" s="1">
        <v>0.458</v>
      </c>
      <c r="BQ735" s="1">
        <v>2.2994</v>
      </c>
      <c r="BR735" s="1">
        <v>0.6036</v>
      </c>
      <c r="BS735" s="1">
        <v>0.878</v>
      </c>
      <c r="BT735" s="1">
        <v>0.464</v>
      </c>
      <c r="BU735" s="1">
        <v>0.605</v>
      </c>
      <c r="BV735" s="1">
        <v>1.947</v>
      </c>
      <c r="BW735" s="1">
        <v>0.83</v>
      </c>
      <c r="BX735" s="1">
        <v>0.113</v>
      </c>
      <c r="BY735" s="1">
        <v>0.0</v>
      </c>
      <c r="BZ735" s="1">
        <v>0.113</v>
      </c>
      <c r="CA735" s="1">
        <v>0.054</v>
      </c>
      <c r="CB735" s="1">
        <v>0.411</v>
      </c>
      <c r="CC735" s="1">
        <v>0.733</v>
      </c>
      <c r="CD735" s="1">
        <v>0.327</v>
      </c>
      <c r="CE735" s="1">
        <v>0.488</v>
      </c>
      <c r="CF735" s="1">
        <v>0.698</v>
      </c>
      <c r="CG735" s="1">
        <v>2.657</v>
      </c>
      <c r="CH735" s="1">
        <v>0.628</v>
      </c>
      <c r="CI735" s="1">
        <v>7.0164</v>
      </c>
      <c r="CJ735" s="1">
        <v>0.5487</v>
      </c>
      <c r="CK735" s="1">
        <v>0.0</v>
      </c>
      <c r="CL735" s="1">
        <v>0.0</v>
      </c>
      <c r="CM735" s="1">
        <v>0.0</v>
      </c>
      <c r="CN735" s="1">
        <v>0.0</v>
      </c>
      <c r="CO735" s="1">
        <v>0.0</v>
      </c>
      <c r="CP735" s="1">
        <v>0.0</v>
      </c>
      <c r="CQ735" s="1">
        <v>0.0</v>
      </c>
      <c r="CR735" s="1">
        <v>0.0</v>
      </c>
      <c r="CS735" s="1">
        <v>0.0</v>
      </c>
      <c r="CT735" s="1">
        <v>0.0</v>
      </c>
      <c r="CU735" s="1">
        <v>0.0</v>
      </c>
      <c r="CV735" s="1">
        <v>0.0</v>
      </c>
      <c r="CW735" s="1">
        <v>0.0</v>
      </c>
      <c r="CX735" s="1">
        <v>0.0</v>
      </c>
      <c r="CY735" s="1">
        <v>0.0</v>
      </c>
      <c r="CZ735" s="1">
        <v>0.0</v>
      </c>
      <c r="DA735" s="1">
        <v>0.0</v>
      </c>
      <c r="DB735" s="1">
        <v>0.0</v>
      </c>
      <c r="DC735" s="1">
        <v>0.0</v>
      </c>
      <c r="DD735" s="1" t="s">
        <v>3451</v>
      </c>
      <c r="DE735" s="1">
        <v>0.0333540492155306</v>
      </c>
      <c r="DF735" s="2" t="s">
        <v>3452</v>
      </c>
    </row>
    <row r="736" ht="15.75" customHeight="1">
      <c r="A736" s="1" t="s">
        <v>3453</v>
      </c>
      <c r="B736" s="1">
        <v>29.0</v>
      </c>
      <c r="C736" s="1">
        <v>121.0</v>
      </c>
      <c r="D736" s="1">
        <v>960200.0</v>
      </c>
      <c r="E736" s="1">
        <v>353.635</v>
      </c>
      <c r="F736" s="1">
        <v>29121.0</v>
      </c>
      <c r="G736" s="1">
        <v>2.91219602E10</v>
      </c>
      <c r="H736" s="1" t="s">
        <v>112</v>
      </c>
      <c r="I736" s="1" t="s">
        <v>113</v>
      </c>
      <c r="J736" s="1" t="s">
        <v>3441</v>
      </c>
      <c r="K736" s="1" t="s">
        <v>3454</v>
      </c>
      <c r="L736" s="1">
        <v>2719.0</v>
      </c>
      <c r="M736" s="1">
        <v>2853.0</v>
      </c>
      <c r="N736" s="1">
        <v>237.0</v>
      </c>
      <c r="O736" s="1">
        <v>1367.0</v>
      </c>
      <c r="P736" s="1">
        <v>1464.0</v>
      </c>
      <c r="Q736" s="1">
        <v>72.0</v>
      </c>
      <c r="R736" s="1">
        <v>1030.0</v>
      </c>
      <c r="S736" s="1">
        <v>426.0</v>
      </c>
      <c r="T736" s="1">
        <v>137.0</v>
      </c>
      <c r="U736" s="1">
        <v>19.0</v>
      </c>
      <c r="V736" s="1">
        <v>427.0</v>
      </c>
      <c r="W736" s="1">
        <v>15863.0</v>
      </c>
      <c r="X736" s="1">
        <v>1387.0</v>
      </c>
      <c r="Y736" s="1">
        <v>344.0</v>
      </c>
      <c r="Z736" s="1">
        <v>178.0</v>
      </c>
      <c r="AA736" s="1">
        <v>454.0</v>
      </c>
      <c r="AB736" s="1">
        <v>749.0</v>
      </c>
      <c r="AC736" s="1">
        <v>70.0</v>
      </c>
      <c r="AD736" s="1">
        <v>75.0</v>
      </c>
      <c r="AE736" s="1">
        <v>23.0</v>
      </c>
      <c r="AF736" s="1">
        <v>442.0</v>
      </c>
      <c r="AG736" s="1">
        <v>8.0</v>
      </c>
      <c r="AH736" s="1">
        <v>162.0</v>
      </c>
      <c r="AI736" s="1">
        <v>243.0</v>
      </c>
      <c r="AJ736" s="1">
        <v>63.0</v>
      </c>
      <c r="AK736" s="1">
        <v>63.0</v>
      </c>
      <c r="AL736" s="1">
        <v>44.0</v>
      </c>
      <c r="AM736" s="1">
        <v>100.0</v>
      </c>
      <c r="AN736" s="1">
        <v>45.0</v>
      </c>
      <c r="AO736" s="1">
        <v>0.0</v>
      </c>
      <c r="AP736" s="1">
        <v>0.151171</v>
      </c>
      <c r="AQ736" s="1">
        <v>0.04682</v>
      </c>
      <c r="AR736" s="1">
        <v>0.017543</v>
      </c>
      <c r="AS736" s="1">
        <v>0.394271</v>
      </c>
      <c r="AT736" s="1">
        <v>15863.0</v>
      </c>
      <c r="AU736" s="1">
        <v>1387.0</v>
      </c>
      <c r="AV736" s="1">
        <v>0.198843</v>
      </c>
      <c r="AW736" s="1">
        <v>0.102022</v>
      </c>
      <c r="AX736" s="1">
        <v>0.166973</v>
      </c>
      <c r="AY736" s="1">
        <v>0.275468</v>
      </c>
      <c r="AZ736" s="1">
        <v>0.06796116</v>
      </c>
      <c r="BA736" s="1">
        <v>0.027583</v>
      </c>
      <c r="BB736" s="1">
        <v>0.008771</v>
      </c>
      <c r="BC736" s="1">
        <v>0.168572</v>
      </c>
      <c r="BD736" s="1">
        <v>0.005464</v>
      </c>
      <c r="BE736" s="1">
        <v>0.110655</v>
      </c>
      <c r="BF736" s="1">
        <v>0.165983</v>
      </c>
      <c r="BG736" s="1">
        <v>0.042251</v>
      </c>
      <c r="BH736" s="1">
        <v>0.056756</v>
      </c>
      <c r="BI736" s="1">
        <v>0.039438</v>
      </c>
      <c r="BJ736" s="1">
        <v>0.09009</v>
      </c>
      <c r="BK736" s="1">
        <v>0.040043</v>
      </c>
      <c r="BL736" s="1">
        <v>0.0</v>
      </c>
      <c r="BM736" s="1">
        <v>0.582</v>
      </c>
      <c r="BN736" s="1">
        <v>0.021</v>
      </c>
      <c r="BO736" s="1">
        <v>0.844</v>
      </c>
      <c r="BP736" s="1">
        <v>0.748</v>
      </c>
      <c r="BQ736" s="1">
        <v>2.195</v>
      </c>
      <c r="BR736" s="1">
        <v>0.5646</v>
      </c>
      <c r="BS736" s="1">
        <v>0.714</v>
      </c>
      <c r="BT736" s="1">
        <v>0.825</v>
      </c>
      <c r="BU736" s="1">
        <v>0.198</v>
      </c>
      <c r="BV736" s="1">
        <v>1.737</v>
      </c>
      <c r="BW736" s="1">
        <v>0.671</v>
      </c>
      <c r="BX736" s="1">
        <v>0.064</v>
      </c>
      <c r="BY736" s="1">
        <v>0.688</v>
      </c>
      <c r="BZ736" s="1">
        <v>0.752</v>
      </c>
      <c r="CA736" s="1">
        <v>0.362</v>
      </c>
      <c r="CB736" s="1">
        <v>0.325</v>
      </c>
      <c r="CC736" s="1">
        <v>0.846</v>
      </c>
      <c r="CD736" s="1">
        <v>0.956</v>
      </c>
      <c r="CE736" s="1">
        <v>0.718</v>
      </c>
      <c r="CF736" s="1">
        <v>0.0</v>
      </c>
      <c r="CG736" s="1">
        <v>2.845</v>
      </c>
      <c r="CH736" s="1">
        <v>0.706</v>
      </c>
      <c r="CI736" s="1">
        <v>7.529</v>
      </c>
      <c r="CJ736" s="1">
        <v>0.6383</v>
      </c>
      <c r="CK736" s="1">
        <v>0.0</v>
      </c>
      <c r="CL736" s="1">
        <v>0.0</v>
      </c>
      <c r="CM736" s="1">
        <v>0.0</v>
      </c>
      <c r="CN736" s="1">
        <v>0.0</v>
      </c>
      <c r="CO736" s="1">
        <v>0.0</v>
      </c>
      <c r="CP736" s="1">
        <v>0.0</v>
      </c>
      <c r="CQ736" s="1">
        <v>0.0</v>
      </c>
      <c r="CR736" s="1">
        <v>0.0</v>
      </c>
      <c r="CS736" s="1">
        <v>0.0</v>
      </c>
      <c r="CT736" s="1">
        <v>0.0</v>
      </c>
      <c r="CU736" s="1">
        <v>0.0</v>
      </c>
      <c r="CV736" s="1">
        <v>0.0</v>
      </c>
      <c r="CW736" s="1">
        <v>0.0</v>
      </c>
      <c r="CX736" s="1">
        <v>0.0</v>
      </c>
      <c r="CY736" s="1">
        <v>1.0</v>
      </c>
      <c r="CZ736" s="1">
        <v>0.0</v>
      </c>
      <c r="DA736" s="1">
        <v>0.0</v>
      </c>
      <c r="DB736" s="1">
        <v>1.0</v>
      </c>
      <c r="DC736" s="1">
        <v>1.0</v>
      </c>
      <c r="DD736" s="1" t="s">
        <v>3455</v>
      </c>
      <c r="DE736" s="1">
        <v>0.0970068981976872</v>
      </c>
      <c r="DF736" s="2" t="s">
        <v>3456</v>
      </c>
    </row>
    <row r="737" ht="15.75" customHeight="1">
      <c r="A737" s="1" t="s">
        <v>3457</v>
      </c>
      <c r="B737" s="1">
        <v>29.0</v>
      </c>
      <c r="C737" s="1">
        <v>121.0</v>
      </c>
      <c r="D737" s="1">
        <v>960500.0</v>
      </c>
      <c r="E737" s="1">
        <v>33.045</v>
      </c>
      <c r="F737" s="1">
        <v>29121.0</v>
      </c>
      <c r="G737" s="1">
        <v>2.91219605E10</v>
      </c>
      <c r="H737" s="1" t="s">
        <v>112</v>
      </c>
      <c r="I737" s="1" t="s">
        <v>113</v>
      </c>
      <c r="J737" s="1" t="s">
        <v>3441</v>
      </c>
      <c r="K737" s="1" t="s">
        <v>3458</v>
      </c>
      <c r="L737" s="1">
        <v>2728.0</v>
      </c>
      <c r="M737" s="1">
        <v>2663.0</v>
      </c>
      <c r="N737" s="1">
        <v>284.0</v>
      </c>
      <c r="O737" s="1">
        <v>1409.0</v>
      </c>
      <c r="P737" s="1">
        <v>1449.0</v>
      </c>
      <c r="Q737" s="1">
        <v>134.0</v>
      </c>
      <c r="R737" s="1">
        <v>1165.0</v>
      </c>
      <c r="S737" s="1">
        <v>444.0</v>
      </c>
      <c r="T737" s="1">
        <v>201.0</v>
      </c>
      <c r="U737" s="1">
        <v>108.0</v>
      </c>
      <c r="V737" s="1">
        <v>415.0</v>
      </c>
      <c r="W737" s="1">
        <v>15330.0</v>
      </c>
      <c r="X737" s="1">
        <v>1726.0</v>
      </c>
      <c r="Y737" s="1">
        <v>288.0</v>
      </c>
      <c r="Z737" s="1">
        <v>321.0</v>
      </c>
      <c r="AA737" s="1">
        <v>372.0</v>
      </c>
      <c r="AB737" s="1">
        <v>736.0</v>
      </c>
      <c r="AC737" s="1">
        <v>172.0</v>
      </c>
      <c r="AD737" s="1">
        <v>381.0</v>
      </c>
      <c r="AE737" s="1">
        <v>0.0</v>
      </c>
      <c r="AF737" s="1">
        <v>456.0</v>
      </c>
      <c r="AG737" s="1">
        <v>41.0</v>
      </c>
      <c r="AH737" s="1">
        <v>117.0</v>
      </c>
      <c r="AI737" s="1">
        <v>170.0</v>
      </c>
      <c r="AJ737" s="1">
        <v>77.0</v>
      </c>
      <c r="AK737" s="1">
        <v>75.0</v>
      </c>
      <c r="AL737" s="1">
        <v>126.0</v>
      </c>
      <c r="AM737" s="1">
        <v>160.0</v>
      </c>
      <c r="AN737" s="1">
        <v>73.0</v>
      </c>
      <c r="AO737" s="1">
        <v>0.0</v>
      </c>
      <c r="AP737" s="1">
        <v>0.171561</v>
      </c>
      <c r="AQ737" s="1">
        <v>0.075163</v>
      </c>
      <c r="AR737" s="1">
        <v>0.082568</v>
      </c>
      <c r="AS737" s="1">
        <v>0.316948</v>
      </c>
      <c r="AT737" s="1">
        <v>15330.0</v>
      </c>
      <c r="AU737" s="1">
        <v>1726.0</v>
      </c>
      <c r="AV737" s="1">
        <v>0.178881</v>
      </c>
      <c r="AW737" s="1">
        <v>0.197902</v>
      </c>
      <c r="AX737" s="1">
        <v>0.136363</v>
      </c>
      <c r="AY737" s="1">
        <v>0.269794</v>
      </c>
      <c r="AZ737" s="1">
        <v>0.14763948</v>
      </c>
      <c r="BA737" s="1">
        <v>0.139662</v>
      </c>
      <c r="BB737" s="1">
        <v>0.0</v>
      </c>
      <c r="BC737" s="1">
        <v>0.187731</v>
      </c>
      <c r="BD737" s="1">
        <v>0.028295</v>
      </c>
      <c r="BE737" s="1">
        <v>0.080702</v>
      </c>
      <c r="BF737" s="1">
        <v>0.117322</v>
      </c>
      <c r="BG737" s="1">
        <v>0.05202</v>
      </c>
      <c r="BH737" s="1">
        <v>0.06887</v>
      </c>
      <c r="BI737" s="1">
        <v>0.115391</v>
      </c>
      <c r="BJ737" s="1">
        <v>0.146923</v>
      </c>
      <c r="BK737" s="1">
        <v>0.06455</v>
      </c>
      <c r="BL737" s="1">
        <v>0.0</v>
      </c>
      <c r="BM737" s="1">
        <v>0.648</v>
      </c>
      <c r="BN737" s="1">
        <v>0.635</v>
      </c>
      <c r="BO737" s="1">
        <v>0.8628</v>
      </c>
      <c r="BP737" s="1">
        <v>0.684</v>
      </c>
      <c r="BQ737" s="1">
        <v>2.8298</v>
      </c>
      <c r="BR737" s="1">
        <v>0.7588</v>
      </c>
      <c r="BS737" s="1">
        <v>0.467</v>
      </c>
      <c r="BT737" s="1">
        <v>0.789</v>
      </c>
      <c r="BU737" s="1">
        <v>0.785</v>
      </c>
      <c r="BV737" s="1">
        <v>2.041</v>
      </c>
      <c r="BW737" s="1">
        <v>0.885</v>
      </c>
      <c r="BX737" s="1">
        <v>0.591</v>
      </c>
      <c r="BY737" s="1">
        <v>0.0</v>
      </c>
      <c r="BZ737" s="1">
        <v>0.591</v>
      </c>
      <c r="CA737" s="1">
        <v>0.263</v>
      </c>
      <c r="CB737" s="1">
        <v>0.539</v>
      </c>
      <c r="CC737" s="1">
        <v>0.753</v>
      </c>
      <c r="CD737" s="1">
        <v>0.975</v>
      </c>
      <c r="CE737" s="1">
        <v>0.854</v>
      </c>
      <c r="CF737" s="1">
        <v>0.0</v>
      </c>
      <c r="CG737" s="1">
        <v>3.121</v>
      </c>
      <c r="CH737" s="1">
        <v>0.82</v>
      </c>
      <c r="CI737" s="1">
        <v>8.5828</v>
      </c>
      <c r="CJ737" s="1">
        <v>0.8007</v>
      </c>
      <c r="CK737" s="1">
        <v>0.0</v>
      </c>
      <c r="CL737" s="1">
        <v>0.0</v>
      </c>
      <c r="CM737" s="1">
        <v>0.0</v>
      </c>
      <c r="CN737" s="1">
        <v>0.0</v>
      </c>
      <c r="CO737" s="1">
        <v>0.0</v>
      </c>
      <c r="CP737" s="1">
        <v>0.0</v>
      </c>
      <c r="CQ737" s="1">
        <v>0.0</v>
      </c>
      <c r="CR737" s="1">
        <v>0.0</v>
      </c>
      <c r="CS737" s="1">
        <v>0.0</v>
      </c>
      <c r="CT737" s="1">
        <v>0.0</v>
      </c>
      <c r="CU737" s="1">
        <v>0.0</v>
      </c>
      <c r="CV737" s="1">
        <v>0.0</v>
      </c>
      <c r="CW737" s="1">
        <v>0.0</v>
      </c>
      <c r="CX737" s="1">
        <v>0.0</v>
      </c>
      <c r="CY737" s="1">
        <v>1.0</v>
      </c>
      <c r="CZ737" s="1">
        <v>0.0</v>
      </c>
      <c r="DA737" s="1">
        <v>0.0</v>
      </c>
      <c r="DB737" s="1">
        <v>1.0</v>
      </c>
      <c r="DC737" s="1">
        <v>1.0</v>
      </c>
      <c r="DD737" s="1" t="s">
        <v>3459</v>
      </c>
      <c r="DE737" s="1">
        <v>0.00905643313697236</v>
      </c>
      <c r="DF737" s="2" t="s">
        <v>3460</v>
      </c>
    </row>
    <row r="738" ht="15.75" customHeight="1">
      <c r="A738" s="1" t="s">
        <v>3461</v>
      </c>
      <c r="B738" s="1">
        <v>29.0</v>
      </c>
      <c r="C738" s="1">
        <v>123.0</v>
      </c>
      <c r="D738" s="1">
        <v>960100.0</v>
      </c>
      <c r="E738" s="1">
        <v>306.468</v>
      </c>
      <c r="F738" s="1">
        <v>29123.0</v>
      </c>
      <c r="G738" s="1">
        <v>2.91239601E10</v>
      </c>
      <c r="H738" s="1" t="s">
        <v>112</v>
      </c>
      <c r="I738" s="1" t="s">
        <v>113</v>
      </c>
      <c r="J738" s="1" t="s">
        <v>3462</v>
      </c>
      <c r="K738" s="1" t="s">
        <v>3463</v>
      </c>
      <c r="L738" s="1">
        <v>3547.0</v>
      </c>
      <c r="M738" s="1">
        <v>3507.0</v>
      </c>
      <c r="N738" s="1">
        <v>270.0</v>
      </c>
      <c r="O738" s="1">
        <v>1858.0</v>
      </c>
      <c r="P738" s="1">
        <v>1882.0</v>
      </c>
      <c r="Q738" s="1">
        <v>137.0</v>
      </c>
      <c r="R738" s="1">
        <v>1409.0</v>
      </c>
      <c r="S738" s="1">
        <v>893.0</v>
      </c>
      <c r="T738" s="1">
        <v>359.0</v>
      </c>
      <c r="U738" s="1">
        <v>145.0</v>
      </c>
      <c r="V738" s="1">
        <v>328.0</v>
      </c>
      <c r="W738" s="1">
        <v>15190.0</v>
      </c>
      <c r="X738" s="1">
        <v>1826.0</v>
      </c>
      <c r="Y738" s="1">
        <v>580.0</v>
      </c>
      <c r="Z738" s="1">
        <v>191.0</v>
      </c>
      <c r="AA738" s="1">
        <v>608.0</v>
      </c>
      <c r="AB738" s="1">
        <v>828.0</v>
      </c>
      <c r="AC738" s="1">
        <v>100.0</v>
      </c>
      <c r="AD738" s="1">
        <v>164.0</v>
      </c>
      <c r="AE738" s="1">
        <v>25.0</v>
      </c>
      <c r="AF738" s="1">
        <v>443.0</v>
      </c>
      <c r="AG738" s="1">
        <v>0.0</v>
      </c>
      <c r="AH738" s="1">
        <v>197.0</v>
      </c>
      <c r="AI738" s="1">
        <v>527.0</v>
      </c>
      <c r="AJ738" s="1">
        <v>116.0</v>
      </c>
      <c r="AK738" s="1">
        <v>26.0</v>
      </c>
      <c r="AL738" s="1">
        <v>116.0</v>
      </c>
      <c r="AM738" s="1">
        <v>42.0</v>
      </c>
      <c r="AN738" s="1">
        <v>22.0</v>
      </c>
      <c r="AO738" s="1">
        <v>23.0</v>
      </c>
      <c r="AP738" s="1">
        <v>0.258391</v>
      </c>
      <c r="AQ738" s="1">
        <v>0.101699</v>
      </c>
      <c r="AR738" s="1">
        <v>0.103719</v>
      </c>
      <c r="AS738" s="1">
        <v>0.234327</v>
      </c>
      <c r="AT738" s="1">
        <v>15190.0</v>
      </c>
      <c r="AU738" s="1">
        <v>1826.0</v>
      </c>
      <c r="AV738" s="1">
        <v>0.249355</v>
      </c>
      <c r="AW738" s="1">
        <v>0.079867</v>
      </c>
      <c r="AX738" s="1">
        <v>0.171412</v>
      </c>
      <c r="AY738" s="1">
        <v>0.233436</v>
      </c>
      <c r="AZ738" s="1">
        <v>0.07097232</v>
      </c>
      <c r="BA738" s="1">
        <v>0.046236</v>
      </c>
      <c r="BB738" s="1">
        <v>0.007578</v>
      </c>
      <c r="BC738" s="1">
        <v>0.134282</v>
      </c>
      <c r="BD738" s="1">
        <v>0.0</v>
      </c>
      <c r="BE738" s="1">
        <v>0.104675</v>
      </c>
      <c r="BF738" s="1">
        <v>0.280021</v>
      </c>
      <c r="BG738" s="1">
        <v>0.058168</v>
      </c>
      <c r="BH738" s="1">
        <v>0.02085</v>
      </c>
      <c r="BI738" s="1">
        <v>0.093</v>
      </c>
      <c r="BJ738" s="1">
        <v>0.03368</v>
      </c>
      <c r="BK738" s="1">
        <v>0.017331</v>
      </c>
      <c r="BL738" s="1">
        <v>0.006484</v>
      </c>
      <c r="BM738" s="1">
        <v>0.841</v>
      </c>
      <c r="BN738" s="1">
        <v>0.754</v>
      </c>
      <c r="BO738" s="1">
        <v>0.8671</v>
      </c>
      <c r="BP738" s="1">
        <v>0.866</v>
      </c>
      <c r="BQ738" s="1">
        <v>3.3281</v>
      </c>
      <c r="BR738" s="1">
        <v>0.8859</v>
      </c>
      <c r="BS738" s="1">
        <v>0.745</v>
      </c>
      <c r="BT738" s="1">
        <v>0.423</v>
      </c>
      <c r="BU738" s="1">
        <v>0.223</v>
      </c>
      <c r="BV738" s="1">
        <v>1.391</v>
      </c>
      <c r="BW738" s="1">
        <v>0.382</v>
      </c>
      <c r="BX738" s="1">
        <v>0.221</v>
      </c>
      <c r="BY738" s="1">
        <v>0.651</v>
      </c>
      <c r="BZ738" s="1">
        <v>0.872</v>
      </c>
      <c r="CA738" s="1">
        <v>0.446</v>
      </c>
      <c r="CB738" s="1">
        <v>0.0</v>
      </c>
      <c r="CC738" s="1">
        <v>0.974</v>
      </c>
      <c r="CD738" s="1">
        <v>0.694</v>
      </c>
      <c r="CE738" s="1">
        <v>0.32</v>
      </c>
      <c r="CF738" s="1">
        <v>0.534</v>
      </c>
      <c r="CG738" s="1">
        <v>2.522</v>
      </c>
      <c r="CH738" s="1">
        <v>0.569</v>
      </c>
      <c r="CI738" s="1">
        <v>8.1131</v>
      </c>
      <c r="CJ738" s="1">
        <v>0.7329</v>
      </c>
      <c r="CK738" s="1">
        <v>0.0</v>
      </c>
      <c r="CL738" s="1">
        <v>0.0</v>
      </c>
      <c r="CM738" s="1">
        <v>0.0</v>
      </c>
      <c r="CN738" s="1">
        <v>0.0</v>
      </c>
      <c r="CO738" s="1">
        <v>0.0</v>
      </c>
      <c r="CP738" s="1">
        <v>0.0</v>
      </c>
      <c r="CQ738" s="1">
        <v>0.0</v>
      </c>
      <c r="CR738" s="1">
        <v>0.0</v>
      </c>
      <c r="CS738" s="1">
        <v>0.0</v>
      </c>
      <c r="CT738" s="1">
        <v>0.0</v>
      </c>
      <c r="CU738" s="1">
        <v>0.0</v>
      </c>
      <c r="CV738" s="1">
        <v>0.0</v>
      </c>
      <c r="CW738" s="1">
        <v>0.0</v>
      </c>
      <c r="CX738" s="1">
        <v>1.0</v>
      </c>
      <c r="CY738" s="1">
        <v>0.0</v>
      </c>
      <c r="CZ738" s="1">
        <v>0.0</v>
      </c>
      <c r="DA738" s="1">
        <v>0.0</v>
      </c>
      <c r="DB738" s="1">
        <v>1.0</v>
      </c>
      <c r="DC738" s="1">
        <v>1.0</v>
      </c>
      <c r="DD738" s="1" t="s">
        <v>3464</v>
      </c>
      <c r="DE738" s="1">
        <v>0.0811961436261277</v>
      </c>
      <c r="DF738" s="2" t="s">
        <v>3465</v>
      </c>
    </row>
    <row r="739" ht="15.75" customHeight="1">
      <c r="A739" s="1" t="s">
        <v>3466</v>
      </c>
      <c r="B739" s="1">
        <v>29.0</v>
      </c>
      <c r="C739" s="1">
        <v>123.0</v>
      </c>
      <c r="D739" s="1">
        <v>960200.0</v>
      </c>
      <c r="E739" s="1">
        <v>14.856</v>
      </c>
      <c r="F739" s="1">
        <v>29123.0</v>
      </c>
      <c r="G739" s="1">
        <v>2.91239602E10</v>
      </c>
      <c r="H739" s="1" t="s">
        <v>112</v>
      </c>
      <c r="I739" s="1" t="s">
        <v>113</v>
      </c>
      <c r="J739" s="1" t="s">
        <v>3462</v>
      </c>
      <c r="K739" s="1" t="s">
        <v>3467</v>
      </c>
      <c r="L739" s="1">
        <v>5243.0</v>
      </c>
      <c r="M739" s="1">
        <v>5287.0</v>
      </c>
      <c r="N739" s="1">
        <v>287.0</v>
      </c>
      <c r="O739" s="1">
        <v>2479.0</v>
      </c>
      <c r="P739" s="1">
        <v>2556.0</v>
      </c>
      <c r="Q739" s="1">
        <v>176.0</v>
      </c>
      <c r="R739" s="1">
        <v>2179.0</v>
      </c>
      <c r="S739" s="1">
        <v>838.0</v>
      </c>
      <c r="T739" s="1">
        <v>325.0</v>
      </c>
      <c r="U739" s="1">
        <v>162.0</v>
      </c>
      <c r="V739" s="1">
        <v>369.0</v>
      </c>
      <c r="W739" s="1">
        <v>19237.0</v>
      </c>
      <c r="X739" s="1">
        <v>2359.0</v>
      </c>
      <c r="Y739" s="1">
        <v>853.0</v>
      </c>
      <c r="Z739" s="1">
        <v>182.0</v>
      </c>
      <c r="AA739" s="1">
        <v>1003.0</v>
      </c>
      <c r="AB739" s="1">
        <v>1285.0</v>
      </c>
      <c r="AC739" s="1">
        <v>280.0</v>
      </c>
      <c r="AD739" s="1">
        <v>197.0</v>
      </c>
      <c r="AE739" s="1">
        <v>17.0</v>
      </c>
      <c r="AF739" s="1">
        <v>442.0</v>
      </c>
      <c r="AG739" s="1">
        <v>55.0</v>
      </c>
      <c r="AH739" s="1">
        <v>58.0</v>
      </c>
      <c r="AI739" s="1">
        <v>152.0</v>
      </c>
      <c r="AJ739" s="1">
        <v>73.0</v>
      </c>
      <c r="AK739" s="1">
        <v>19.0</v>
      </c>
      <c r="AL739" s="1">
        <v>116.0</v>
      </c>
      <c r="AM739" s="1">
        <v>283.0</v>
      </c>
      <c r="AN739" s="1">
        <v>101.0</v>
      </c>
      <c r="AO739" s="1">
        <v>127.0</v>
      </c>
      <c r="AP739" s="1">
        <v>0.164571</v>
      </c>
      <c r="AQ739" s="1">
        <v>0.063013</v>
      </c>
      <c r="AR739" s="1">
        <v>0.06801</v>
      </c>
      <c r="AS739" s="1">
        <v>0.154721</v>
      </c>
      <c r="AT739" s="1">
        <v>19237.0</v>
      </c>
      <c r="AU739" s="1">
        <v>2359.0</v>
      </c>
      <c r="AV739" s="1">
        <v>0.233315</v>
      </c>
      <c r="AW739" s="1">
        <v>0.047548</v>
      </c>
      <c r="AX739" s="1">
        <v>0.191302</v>
      </c>
      <c r="AY739" s="1">
        <v>0.245088</v>
      </c>
      <c r="AZ739" s="1">
        <v>0.12849931</v>
      </c>
      <c r="BA739" s="1">
        <v>0.037573</v>
      </c>
      <c r="BB739" s="1">
        <v>0.00349</v>
      </c>
      <c r="BC739" s="1">
        <v>0.090759</v>
      </c>
      <c r="BD739" s="1">
        <v>0.021517</v>
      </c>
      <c r="BE739" s="1">
        <v>0.022643</v>
      </c>
      <c r="BF739" s="1">
        <v>0.059467</v>
      </c>
      <c r="BG739" s="1">
        <v>0.028265</v>
      </c>
      <c r="BH739" s="1">
        <v>0.008347</v>
      </c>
      <c r="BI739" s="1">
        <v>0.050961</v>
      </c>
      <c r="BJ739" s="1">
        <v>0.12434</v>
      </c>
      <c r="BK739" s="1">
        <v>0.042982</v>
      </c>
      <c r="BL739" s="1">
        <v>0.024222</v>
      </c>
      <c r="BM739" s="1">
        <v>0.625</v>
      </c>
      <c r="BN739" s="1">
        <v>0.497</v>
      </c>
      <c r="BO739" s="1">
        <v>0.6549</v>
      </c>
      <c r="BP739" s="1">
        <v>0.833</v>
      </c>
      <c r="BQ739" s="1">
        <v>2.6099</v>
      </c>
      <c r="BR739" s="1">
        <v>0.7004</v>
      </c>
      <c r="BS739" s="1">
        <v>0.843</v>
      </c>
      <c r="BT739" s="1">
        <v>0.548</v>
      </c>
      <c r="BU739" s="1">
        <v>0.709</v>
      </c>
      <c r="BV739" s="1">
        <v>2.1</v>
      </c>
      <c r="BW739" s="1">
        <v>0.916</v>
      </c>
      <c r="BX739" s="1">
        <v>0.143</v>
      </c>
      <c r="BY739" s="1">
        <v>0.48</v>
      </c>
      <c r="BZ739" s="1">
        <v>0.623</v>
      </c>
      <c r="CA739" s="1">
        <v>0.288</v>
      </c>
      <c r="CB739" s="1">
        <v>0.482</v>
      </c>
      <c r="CC739" s="1">
        <v>0.627</v>
      </c>
      <c r="CD739" s="1">
        <v>0.442</v>
      </c>
      <c r="CE739" s="1">
        <v>0.817</v>
      </c>
      <c r="CF739" s="1">
        <v>0.76</v>
      </c>
      <c r="CG739" s="1">
        <v>3.128</v>
      </c>
      <c r="CH739" s="1">
        <v>0.824</v>
      </c>
      <c r="CI739" s="1">
        <v>8.4609</v>
      </c>
      <c r="CJ739" s="1">
        <v>0.7783</v>
      </c>
      <c r="CK739" s="1">
        <v>0.0</v>
      </c>
      <c r="CL739" s="1">
        <v>0.0</v>
      </c>
      <c r="CM739" s="1">
        <v>0.0</v>
      </c>
      <c r="CN739" s="1">
        <v>0.0</v>
      </c>
      <c r="CO739" s="1">
        <v>0.0</v>
      </c>
      <c r="CP739" s="1">
        <v>0.0</v>
      </c>
      <c r="CQ739" s="1">
        <v>0.0</v>
      </c>
      <c r="CR739" s="1">
        <v>0.0</v>
      </c>
      <c r="CS739" s="1">
        <v>0.0</v>
      </c>
      <c r="CT739" s="1">
        <v>0.0</v>
      </c>
      <c r="CU739" s="1">
        <v>0.0</v>
      </c>
      <c r="CV739" s="1">
        <v>0.0</v>
      </c>
      <c r="CW739" s="1">
        <v>0.0</v>
      </c>
      <c r="CX739" s="1">
        <v>0.0</v>
      </c>
      <c r="CY739" s="1">
        <v>0.0</v>
      </c>
      <c r="CZ739" s="1">
        <v>0.0</v>
      </c>
      <c r="DA739" s="1">
        <v>0.0</v>
      </c>
      <c r="DB739" s="1">
        <v>0.0</v>
      </c>
      <c r="DC739" s="1">
        <v>0.0</v>
      </c>
      <c r="DD739" s="1" t="s">
        <v>3468</v>
      </c>
      <c r="DE739" s="1">
        <v>0.00399209768886796</v>
      </c>
      <c r="DF739" s="2" t="s">
        <v>3469</v>
      </c>
    </row>
    <row r="740" ht="15.75" customHeight="1">
      <c r="A740" s="1" t="s">
        <v>3470</v>
      </c>
      <c r="B740" s="1">
        <v>29.0</v>
      </c>
      <c r="C740" s="1">
        <v>123.0</v>
      </c>
      <c r="D740" s="1">
        <v>960300.0</v>
      </c>
      <c r="E740" s="1">
        <v>173.066</v>
      </c>
      <c r="F740" s="1">
        <v>29123.0</v>
      </c>
      <c r="G740" s="1">
        <v>2.91239603E10</v>
      </c>
      <c r="H740" s="1" t="s">
        <v>112</v>
      </c>
      <c r="I740" s="1" t="s">
        <v>113</v>
      </c>
      <c r="J740" s="1" t="s">
        <v>3462</v>
      </c>
      <c r="K740" s="1" t="s">
        <v>3471</v>
      </c>
      <c r="L740" s="1">
        <v>3436.0</v>
      </c>
      <c r="M740" s="1">
        <v>3475.0</v>
      </c>
      <c r="N740" s="1">
        <v>302.0</v>
      </c>
      <c r="O740" s="1">
        <v>1633.0</v>
      </c>
      <c r="P740" s="1">
        <v>1536.0</v>
      </c>
      <c r="Q740" s="1">
        <v>108.0</v>
      </c>
      <c r="R740" s="1">
        <v>1310.0</v>
      </c>
      <c r="S740" s="1">
        <v>582.0</v>
      </c>
      <c r="T740" s="1">
        <v>346.0</v>
      </c>
      <c r="U740" s="1">
        <v>100.0</v>
      </c>
      <c r="V740" s="1">
        <v>399.0</v>
      </c>
      <c r="W740" s="1">
        <v>16266.0</v>
      </c>
      <c r="X740" s="1">
        <v>2160.0</v>
      </c>
      <c r="Y740" s="1">
        <v>603.0</v>
      </c>
      <c r="Z740" s="1">
        <v>183.0</v>
      </c>
      <c r="AA740" s="1">
        <v>556.0</v>
      </c>
      <c r="AB740" s="1">
        <v>818.0</v>
      </c>
      <c r="AC740" s="1">
        <v>109.0</v>
      </c>
      <c r="AD740" s="1">
        <v>84.0</v>
      </c>
      <c r="AE740" s="1">
        <v>0.0</v>
      </c>
      <c r="AF740" s="1">
        <v>456.0</v>
      </c>
      <c r="AG740" s="1">
        <v>0.0</v>
      </c>
      <c r="AH740" s="1">
        <v>197.0</v>
      </c>
      <c r="AI740" s="1">
        <v>398.0</v>
      </c>
      <c r="AJ740" s="1">
        <v>104.0</v>
      </c>
      <c r="AK740" s="1">
        <v>33.0</v>
      </c>
      <c r="AL740" s="1">
        <v>118.0</v>
      </c>
      <c r="AM740" s="1">
        <v>19.0</v>
      </c>
      <c r="AN740" s="1">
        <v>117.0</v>
      </c>
      <c r="AO740" s="1">
        <v>18.0</v>
      </c>
      <c r="AP740" s="1">
        <v>0.168989</v>
      </c>
      <c r="AQ740" s="1">
        <v>0.099401</v>
      </c>
      <c r="AR740" s="1">
        <v>0.067159</v>
      </c>
      <c r="AS740" s="1">
        <v>0.267816</v>
      </c>
      <c r="AT740" s="1">
        <v>16266.0</v>
      </c>
      <c r="AU740" s="1">
        <v>2160.0</v>
      </c>
      <c r="AV740" s="1">
        <v>0.255833</v>
      </c>
      <c r="AW740" s="1">
        <v>0.075028</v>
      </c>
      <c r="AX740" s="1">
        <v>0.161816</v>
      </c>
      <c r="AY740" s="1">
        <v>0.238067</v>
      </c>
      <c r="AZ740" s="1">
        <v>0.0832061</v>
      </c>
      <c r="BA740" s="1">
        <v>0.024447</v>
      </c>
      <c r="BB740" s="1">
        <v>0.0</v>
      </c>
      <c r="BC740" s="1">
        <v>0.138475</v>
      </c>
      <c r="BD740" s="1">
        <v>0.0</v>
      </c>
      <c r="BE740" s="1">
        <v>0.128255</v>
      </c>
      <c r="BF740" s="1">
        <v>0.259114</v>
      </c>
      <c r="BG740" s="1">
        <v>0.065211</v>
      </c>
      <c r="BH740" s="1">
        <v>0.026742</v>
      </c>
      <c r="BI740" s="1">
        <v>0.09559</v>
      </c>
      <c r="BJ740" s="1">
        <v>0.015397</v>
      </c>
      <c r="BK740" s="1">
        <v>0.094802</v>
      </c>
      <c r="BL740" s="1">
        <v>0.005238</v>
      </c>
      <c r="BM740" s="1">
        <v>0.639</v>
      </c>
      <c r="BN740" s="1">
        <v>0.489</v>
      </c>
      <c r="BO740" s="1">
        <v>0.8267</v>
      </c>
      <c r="BP740" s="1">
        <v>0.882</v>
      </c>
      <c r="BQ740" s="1">
        <v>2.8367</v>
      </c>
      <c r="BR740" s="1">
        <v>0.761</v>
      </c>
      <c r="BS740" s="1">
        <v>0.681</v>
      </c>
      <c r="BT740" s="1">
        <v>0.476</v>
      </c>
      <c r="BU740" s="1">
        <v>0.341</v>
      </c>
      <c r="BV740" s="1">
        <v>1.498</v>
      </c>
      <c r="BW740" s="1">
        <v>0.485</v>
      </c>
      <c r="BX740" s="1">
        <v>0.041</v>
      </c>
      <c r="BY740" s="1">
        <v>0.0</v>
      </c>
      <c r="BZ740" s="1">
        <v>0.041</v>
      </c>
      <c r="CA740" s="1">
        <v>0.02</v>
      </c>
      <c r="CB740" s="1">
        <v>0.0</v>
      </c>
      <c r="CC740" s="1">
        <v>0.961</v>
      </c>
      <c r="CD740" s="1">
        <v>0.778</v>
      </c>
      <c r="CE740" s="1">
        <v>0.138</v>
      </c>
      <c r="CF740" s="1">
        <v>0.515</v>
      </c>
      <c r="CG740" s="1">
        <v>2.392</v>
      </c>
      <c r="CH740" s="1">
        <v>0.51</v>
      </c>
      <c r="CI740" s="1">
        <v>6.7677</v>
      </c>
      <c r="CJ740" s="1">
        <v>0.5054</v>
      </c>
      <c r="CK740" s="1">
        <v>0.0</v>
      </c>
      <c r="CL740" s="1">
        <v>0.0</v>
      </c>
      <c r="CM740" s="1">
        <v>0.0</v>
      </c>
      <c r="CN740" s="1">
        <v>0.0</v>
      </c>
      <c r="CO740" s="1">
        <v>0.0</v>
      </c>
      <c r="CP740" s="1">
        <v>0.0</v>
      </c>
      <c r="CQ740" s="1">
        <v>0.0</v>
      </c>
      <c r="CR740" s="1">
        <v>0.0</v>
      </c>
      <c r="CS740" s="1">
        <v>0.0</v>
      </c>
      <c r="CT740" s="1">
        <v>0.0</v>
      </c>
      <c r="CU740" s="1">
        <v>0.0</v>
      </c>
      <c r="CV740" s="1">
        <v>0.0</v>
      </c>
      <c r="CW740" s="1">
        <v>0.0</v>
      </c>
      <c r="CX740" s="1">
        <v>1.0</v>
      </c>
      <c r="CY740" s="1">
        <v>0.0</v>
      </c>
      <c r="CZ740" s="1">
        <v>0.0</v>
      </c>
      <c r="DA740" s="1">
        <v>0.0</v>
      </c>
      <c r="DB740" s="1">
        <v>1.0</v>
      </c>
      <c r="DC740" s="1">
        <v>1.0</v>
      </c>
      <c r="DD740" s="1" t="s">
        <v>3472</v>
      </c>
      <c r="DE740" s="1">
        <v>0.0460844925189815</v>
      </c>
      <c r="DF740" s="2" t="s">
        <v>3473</v>
      </c>
    </row>
    <row r="741" ht="15.75" customHeight="1">
      <c r="A741" s="1" t="s">
        <v>3474</v>
      </c>
      <c r="B741" s="1">
        <v>29.0</v>
      </c>
      <c r="C741" s="1">
        <v>125.0</v>
      </c>
      <c r="D741" s="1">
        <v>880100.0</v>
      </c>
      <c r="E741" s="1">
        <v>93.111</v>
      </c>
      <c r="F741" s="1">
        <v>29125.0</v>
      </c>
      <c r="G741" s="1">
        <v>2.91258801E10</v>
      </c>
      <c r="H741" s="1" t="s">
        <v>112</v>
      </c>
      <c r="I741" s="1" t="s">
        <v>113</v>
      </c>
      <c r="J741" s="1" t="s">
        <v>3475</v>
      </c>
      <c r="K741" s="1" t="s">
        <v>3476</v>
      </c>
      <c r="L741" s="1">
        <v>2927.0</v>
      </c>
      <c r="M741" s="1">
        <v>2429.0</v>
      </c>
      <c r="N741" s="1">
        <v>264.0</v>
      </c>
      <c r="O741" s="1">
        <v>1425.0</v>
      </c>
      <c r="P741" s="1">
        <v>1364.0</v>
      </c>
      <c r="Q741" s="1">
        <v>86.0</v>
      </c>
      <c r="R741" s="1">
        <v>1206.0</v>
      </c>
      <c r="S741" s="1">
        <v>480.0</v>
      </c>
      <c r="T741" s="1">
        <v>176.0</v>
      </c>
      <c r="U741" s="1">
        <v>117.0</v>
      </c>
      <c r="V741" s="1">
        <v>417.0</v>
      </c>
      <c r="W741" s="1">
        <v>16863.0</v>
      </c>
      <c r="X741" s="1">
        <v>1600.0</v>
      </c>
      <c r="Y741" s="1">
        <v>314.0</v>
      </c>
      <c r="Z741" s="1">
        <v>217.0</v>
      </c>
      <c r="AA741" s="1">
        <v>476.0</v>
      </c>
      <c r="AB741" s="1">
        <v>719.0</v>
      </c>
      <c r="AC741" s="1">
        <v>147.0</v>
      </c>
      <c r="AD741" s="1">
        <v>102.0</v>
      </c>
      <c r="AE741" s="1">
        <v>14.0</v>
      </c>
      <c r="AF741" s="1">
        <v>442.0</v>
      </c>
      <c r="AG741" s="1">
        <v>50.0</v>
      </c>
      <c r="AH741" s="1">
        <v>165.0</v>
      </c>
      <c r="AI741" s="1">
        <v>124.0</v>
      </c>
      <c r="AJ741" s="1">
        <v>53.0</v>
      </c>
      <c r="AK741" s="1">
        <v>3.0</v>
      </c>
      <c r="AL741" s="1">
        <v>114.0</v>
      </c>
      <c r="AM741" s="1">
        <v>84.0</v>
      </c>
      <c r="AN741" s="1">
        <v>41.0</v>
      </c>
      <c r="AO741" s="1">
        <v>0.0</v>
      </c>
      <c r="AP741" s="1">
        <v>0.197612</v>
      </c>
      <c r="AQ741" s="1">
        <v>0.069201</v>
      </c>
      <c r="AR741" s="1">
        <v>0.096455</v>
      </c>
      <c r="AS741" s="1">
        <v>0.343369</v>
      </c>
      <c r="AT741" s="1">
        <v>16863.0</v>
      </c>
      <c r="AU741" s="1">
        <v>1600.0</v>
      </c>
      <c r="AV741" s="1">
        <v>0.18438</v>
      </c>
      <c r="AW741" s="1">
        <v>0.126101</v>
      </c>
      <c r="AX741" s="1">
        <v>0.162623</v>
      </c>
      <c r="AY741" s="1">
        <v>0.245644</v>
      </c>
      <c r="AZ741" s="1">
        <v>0.12189054</v>
      </c>
      <c r="BA741" s="1">
        <v>0.034847</v>
      </c>
      <c r="BB741" s="1">
        <v>0.006031</v>
      </c>
      <c r="BC741" s="1">
        <v>0.190434</v>
      </c>
      <c r="BD741" s="1">
        <v>0.036656</v>
      </c>
      <c r="BE741" s="1">
        <v>0.120945</v>
      </c>
      <c r="BF741" s="1">
        <v>0.090909</v>
      </c>
      <c r="BG741" s="1">
        <v>0.038431</v>
      </c>
      <c r="BH741" s="1">
        <v>0.002777</v>
      </c>
      <c r="BI741" s="1">
        <v>0.105555</v>
      </c>
      <c r="BJ741" s="1">
        <v>0.077777</v>
      </c>
      <c r="BK741" s="1">
        <v>0.037314</v>
      </c>
      <c r="BL741" s="1">
        <v>0.0</v>
      </c>
      <c r="BM741" s="1">
        <v>0.723</v>
      </c>
      <c r="BN741" s="1">
        <v>0.713</v>
      </c>
      <c r="BO741" s="1">
        <v>0.7957</v>
      </c>
      <c r="BP741" s="1">
        <v>0.702</v>
      </c>
      <c r="BQ741" s="1">
        <v>2.9337</v>
      </c>
      <c r="BR741" s="1">
        <v>0.7899</v>
      </c>
      <c r="BS741" s="1">
        <v>0.686</v>
      </c>
      <c r="BT741" s="1">
        <v>0.551</v>
      </c>
      <c r="BU741" s="1">
        <v>0.679</v>
      </c>
      <c r="BV741" s="1">
        <v>1.916</v>
      </c>
      <c r="BW741" s="1">
        <v>0.812</v>
      </c>
      <c r="BX741" s="1">
        <v>0.118</v>
      </c>
      <c r="BY741" s="1">
        <v>0.6</v>
      </c>
      <c r="BZ741" s="1">
        <v>0.718</v>
      </c>
      <c r="CA741" s="1">
        <v>0.347</v>
      </c>
      <c r="CB741" s="1">
        <v>0.591</v>
      </c>
      <c r="CC741" s="1">
        <v>0.702</v>
      </c>
      <c r="CD741" s="1">
        <v>0.289</v>
      </c>
      <c r="CE741" s="1">
        <v>0.661</v>
      </c>
      <c r="CF741" s="1">
        <v>0.0</v>
      </c>
      <c r="CG741" s="1">
        <v>2.243</v>
      </c>
      <c r="CH741" s="1">
        <v>0.435</v>
      </c>
      <c r="CI741" s="1">
        <v>7.8107</v>
      </c>
      <c r="CJ741" s="1">
        <v>0.683</v>
      </c>
      <c r="CK741" s="1">
        <v>0.0</v>
      </c>
      <c r="CL741" s="1">
        <v>0.0</v>
      </c>
      <c r="CM741" s="1">
        <v>0.0</v>
      </c>
      <c r="CN741" s="1">
        <v>0.0</v>
      </c>
      <c r="CO741" s="1">
        <v>0.0</v>
      </c>
      <c r="CP741" s="1">
        <v>0.0</v>
      </c>
      <c r="CQ741" s="1">
        <v>0.0</v>
      </c>
      <c r="CR741" s="1">
        <v>0.0</v>
      </c>
      <c r="CS741" s="1">
        <v>0.0</v>
      </c>
      <c r="CT741" s="1">
        <v>0.0</v>
      </c>
      <c r="CU741" s="1">
        <v>0.0</v>
      </c>
      <c r="CV741" s="1">
        <v>0.0</v>
      </c>
      <c r="CW741" s="1">
        <v>0.0</v>
      </c>
      <c r="CX741" s="1">
        <v>0.0</v>
      </c>
      <c r="CY741" s="1">
        <v>0.0</v>
      </c>
      <c r="CZ741" s="1">
        <v>0.0</v>
      </c>
      <c r="DA741" s="1">
        <v>0.0</v>
      </c>
      <c r="DB741" s="1">
        <v>0.0</v>
      </c>
      <c r="DC741" s="1">
        <v>0.0</v>
      </c>
      <c r="DD741" s="1" t="s">
        <v>3477</v>
      </c>
      <c r="DE741" s="2" t="s">
        <v>3478</v>
      </c>
      <c r="DF741" s="2" t="s">
        <v>3479</v>
      </c>
    </row>
    <row r="742" ht="15.75" customHeight="1">
      <c r="A742" s="1" t="s">
        <v>3480</v>
      </c>
      <c r="B742" s="1">
        <v>29.0</v>
      </c>
      <c r="C742" s="1">
        <v>125.0</v>
      </c>
      <c r="D742" s="1">
        <v>880298.0</v>
      </c>
      <c r="E742" s="1">
        <v>198.147</v>
      </c>
      <c r="F742" s="1">
        <v>29125.0</v>
      </c>
      <c r="G742" s="1">
        <v>2.9125880298E10</v>
      </c>
      <c r="H742" s="1" t="s">
        <v>112</v>
      </c>
      <c r="I742" s="1" t="s">
        <v>113</v>
      </c>
      <c r="J742" s="1" t="s">
        <v>3475</v>
      </c>
      <c r="K742" s="1" t="s">
        <v>3481</v>
      </c>
      <c r="L742" s="1">
        <v>2732.0</v>
      </c>
      <c r="M742" s="1">
        <v>2841.0</v>
      </c>
      <c r="N742" s="1">
        <v>282.0</v>
      </c>
      <c r="O742" s="1">
        <v>1422.0</v>
      </c>
      <c r="P742" s="1">
        <v>1387.0</v>
      </c>
      <c r="Q742" s="1">
        <v>78.0</v>
      </c>
      <c r="R742" s="1">
        <v>1101.0</v>
      </c>
      <c r="S742" s="1">
        <v>290.0</v>
      </c>
      <c r="T742" s="1">
        <v>178.0</v>
      </c>
      <c r="U742" s="1">
        <v>146.0</v>
      </c>
      <c r="V742" s="1">
        <v>417.0</v>
      </c>
      <c r="W742" s="1">
        <v>19363.0</v>
      </c>
      <c r="X742" s="1">
        <v>2386.0</v>
      </c>
      <c r="Y742" s="1">
        <v>435.0</v>
      </c>
      <c r="Z742" s="1">
        <v>255.0</v>
      </c>
      <c r="AA742" s="1">
        <v>536.0</v>
      </c>
      <c r="AB742" s="1">
        <v>640.0</v>
      </c>
      <c r="AC742" s="1">
        <v>78.0</v>
      </c>
      <c r="AD742" s="1">
        <v>59.0</v>
      </c>
      <c r="AE742" s="1">
        <v>0.0</v>
      </c>
      <c r="AF742" s="1">
        <v>456.0</v>
      </c>
      <c r="AG742" s="1">
        <v>6.0</v>
      </c>
      <c r="AH742" s="1">
        <v>114.0</v>
      </c>
      <c r="AI742" s="1">
        <v>212.0</v>
      </c>
      <c r="AJ742" s="1">
        <v>88.0</v>
      </c>
      <c r="AK742" s="1">
        <v>12.0</v>
      </c>
      <c r="AL742" s="1">
        <v>115.0</v>
      </c>
      <c r="AM742" s="1">
        <v>9.0</v>
      </c>
      <c r="AN742" s="1">
        <v>9.0</v>
      </c>
      <c r="AO742" s="1">
        <v>67.0</v>
      </c>
      <c r="AP742" s="1">
        <v>0.106853</v>
      </c>
      <c r="AQ742" s="1">
        <v>0.064672</v>
      </c>
      <c r="AR742" s="1">
        <v>0.114509</v>
      </c>
      <c r="AS742" s="1">
        <v>0.326504</v>
      </c>
      <c r="AT742" s="1">
        <v>19363.0</v>
      </c>
      <c r="AU742" s="1">
        <v>2386.0</v>
      </c>
      <c r="AV742" s="1">
        <v>0.227391</v>
      </c>
      <c r="AW742" s="1">
        <v>0.131118</v>
      </c>
      <c r="AX742" s="1">
        <v>0.196193</v>
      </c>
      <c r="AY742" s="1">
        <v>0.23426</v>
      </c>
      <c r="AZ742" s="1">
        <v>0.07084468</v>
      </c>
      <c r="BA742" s="1">
        <v>0.021595</v>
      </c>
      <c r="BB742" s="1">
        <v>0.0</v>
      </c>
      <c r="BC742" s="1">
        <v>0.172205</v>
      </c>
      <c r="BD742" s="1">
        <v>0.004325</v>
      </c>
      <c r="BE742" s="1">
        <v>0.082191</v>
      </c>
      <c r="BF742" s="1">
        <v>0.152847</v>
      </c>
      <c r="BG742" s="1">
        <v>0.062861</v>
      </c>
      <c r="BH742" s="1">
        <v>0.010685</v>
      </c>
      <c r="BI742" s="1">
        <v>0.102398</v>
      </c>
      <c r="BJ742" s="1">
        <v>0.008014</v>
      </c>
      <c r="BK742" s="1">
        <v>0.007969</v>
      </c>
      <c r="BL742" s="1">
        <v>0.024524</v>
      </c>
      <c r="BM742" s="1">
        <v>0.401</v>
      </c>
      <c r="BN742" s="1">
        <v>0.8</v>
      </c>
      <c r="BO742" s="1">
        <v>0.6491</v>
      </c>
      <c r="BP742" s="1">
        <v>0.821</v>
      </c>
      <c r="BQ742" s="1">
        <v>2.6711</v>
      </c>
      <c r="BR742" s="1">
        <v>0.7126</v>
      </c>
      <c r="BS742" s="1">
        <v>0.859</v>
      </c>
      <c r="BT742" s="1">
        <v>0.432</v>
      </c>
      <c r="BU742" s="1">
        <v>0.222</v>
      </c>
      <c r="BV742" s="1">
        <v>1.513</v>
      </c>
      <c r="BW742" s="1">
        <v>0.494</v>
      </c>
      <c r="BX742" s="1">
        <v>0.024</v>
      </c>
      <c r="BY742" s="1">
        <v>0.0</v>
      </c>
      <c r="BZ742" s="1">
        <v>0.024</v>
      </c>
      <c r="CA742" s="1">
        <v>0.014</v>
      </c>
      <c r="CB742" s="1">
        <v>0.307</v>
      </c>
      <c r="CC742" s="1">
        <v>0.823</v>
      </c>
      <c r="CD742" s="1">
        <v>0.492</v>
      </c>
      <c r="CE742" s="1">
        <v>0.065</v>
      </c>
      <c r="CF742" s="1">
        <v>0.764</v>
      </c>
      <c r="CG742" s="1">
        <v>2.451</v>
      </c>
      <c r="CH742" s="1">
        <v>0.539</v>
      </c>
      <c r="CI742" s="1">
        <v>6.6591</v>
      </c>
      <c r="CJ742" s="1">
        <v>0.4852</v>
      </c>
      <c r="CK742" s="1">
        <v>0.0</v>
      </c>
      <c r="CL742" s="1">
        <v>0.0</v>
      </c>
      <c r="CM742" s="1">
        <v>0.0</v>
      </c>
      <c r="CN742" s="1">
        <v>0.0</v>
      </c>
      <c r="CO742" s="1">
        <v>0.0</v>
      </c>
      <c r="CP742" s="1">
        <v>0.0</v>
      </c>
      <c r="CQ742" s="1">
        <v>0.0</v>
      </c>
      <c r="CR742" s="1">
        <v>0.0</v>
      </c>
      <c r="CS742" s="1">
        <v>0.0</v>
      </c>
      <c r="CT742" s="1">
        <v>0.0</v>
      </c>
      <c r="CU742" s="1">
        <v>0.0</v>
      </c>
      <c r="CV742" s="1">
        <v>0.0</v>
      </c>
      <c r="CW742" s="1">
        <v>0.0</v>
      </c>
      <c r="CX742" s="1">
        <v>0.0</v>
      </c>
      <c r="CY742" s="1">
        <v>0.0</v>
      </c>
      <c r="CZ742" s="1">
        <v>0.0</v>
      </c>
      <c r="DA742" s="1">
        <v>0.0</v>
      </c>
      <c r="DB742" s="1">
        <v>0.0</v>
      </c>
      <c r="DC742" s="1">
        <v>0.0</v>
      </c>
      <c r="DD742" s="1" t="s">
        <v>3482</v>
      </c>
      <c r="DE742" s="1">
        <v>0.0531517677379553</v>
      </c>
      <c r="DF742" s="2" t="s">
        <v>3483</v>
      </c>
    </row>
    <row r="743" ht="15.75" customHeight="1">
      <c r="A743" s="1" t="s">
        <v>3484</v>
      </c>
      <c r="B743" s="1">
        <v>29.0</v>
      </c>
      <c r="C743" s="1">
        <v>125.0</v>
      </c>
      <c r="D743" s="1">
        <v>880300.0</v>
      </c>
      <c r="E743" s="1">
        <v>235.721</v>
      </c>
      <c r="F743" s="1">
        <v>29125.0</v>
      </c>
      <c r="G743" s="1">
        <v>2.91258803E10</v>
      </c>
      <c r="H743" s="1" t="s">
        <v>112</v>
      </c>
      <c r="I743" s="1" t="s">
        <v>113</v>
      </c>
      <c r="J743" s="1" t="s">
        <v>3475</v>
      </c>
      <c r="K743" s="1" t="s">
        <v>3485</v>
      </c>
      <c r="L743" s="1">
        <v>3517.0</v>
      </c>
      <c r="M743" s="1">
        <v>3933.0</v>
      </c>
      <c r="N743" s="1">
        <v>338.0</v>
      </c>
      <c r="O743" s="1">
        <v>1764.0</v>
      </c>
      <c r="P743" s="1">
        <v>1815.0</v>
      </c>
      <c r="Q743" s="1">
        <v>93.0</v>
      </c>
      <c r="R743" s="1">
        <v>1398.0</v>
      </c>
      <c r="S743" s="1">
        <v>489.0</v>
      </c>
      <c r="T743" s="1">
        <v>256.0</v>
      </c>
      <c r="U743" s="1">
        <v>139.0</v>
      </c>
      <c r="V743" s="1">
        <v>433.0</v>
      </c>
      <c r="W743" s="1">
        <v>20420.0</v>
      </c>
      <c r="X743" s="1">
        <v>2798.0</v>
      </c>
      <c r="Y743" s="1">
        <v>519.0</v>
      </c>
      <c r="Z743" s="1">
        <v>323.0</v>
      </c>
      <c r="AA743" s="1">
        <v>634.0</v>
      </c>
      <c r="AB743" s="1">
        <v>795.0</v>
      </c>
      <c r="AC743" s="1">
        <v>98.0</v>
      </c>
      <c r="AD743" s="1">
        <v>103.0</v>
      </c>
      <c r="AE743" s="1">
        <v>17.0</v>
      </c>
      <c r="AF743" s="1">
        <v>442.0</v>
      </c>
      <c r="AG743" s="1">
        <v>16.0</v>
      </c>
      <c r="AH743" s="1">
        <v>163.0</v>
      </c>
      <c r="AI743" s="1">
        <v>286.0</v>
      </c>
      <c r="AJ743" s="1">
        <v>106.0</v>
      </c>
      <c r="AK743" s="1">
        <v>7.0</v>
      </c>
      <c r="AL743" s="1">
        <v>115.0</v>
      </c>
      <c r="AM743" s="1">
        <v>13.0</v>
      </c>
      <c r="AN743" s="1">
        <v>116.0</v>
      </c>
      <c r="AO743" s="1">
        <v>0.0</v>
      </c>
      <c r="AP743" s="1">
        <v>0.124332</v>
      </c>
      <c r="AQ743" s="1">
        <v>0.064207</v>
      </c>
      <c r="AR743" s="1">
        <v>0.077653</v>
      </c>
      <c r="AS743" s="1">
        <v>0.24168</v>
      </c>
      <c r="AT743" s="1">
        <v>20420.0</v>
      </c>
      <c r="AU743" s="1">
        <v>2798.0</v>
      </c>
      <c r="AV743" s="1">
        <v>0.200463</v>
      </c>
      <c r="AW743" s="1">
        <v>0.123663</v>
      </c>
      <c r="AX743" s="1">
        <v>0.180267</v>
      </c>
      <c r="AY743" s="1">
        <v>0.226044</v>
      </c>
      <c r="AZ743" s="1">
        <v>0.07010014</v>
      </c>
      <c r="BA743" s="1">
        <v>0.029286</v>
      </c>
      <c r="BB743" s="1">
        <v>0.004687</v>
      </c>
      <c r="BC743" s="1">
        <v>0.121863</v>
      </c>
      <c r="BD743" s="1">
        <v>0.008815</v>
      </c>
      <c r="BE743" s="1">
        <v>0.089806</v>
      </c>
      <c r="BF743" s="1">
        <v>0.157575</v>
      </c>
      <c r="BG743" s="1">
        <v>0.057841</v>
      </c>
      <c r="BH743" s="1">
        <v>0.004957</v>
      </c>
      <c r="BI743" s="1">
        <v>0.081443</v>
      </c>
      <c r="BJ743" s="1">
        <v>0.009206</v>
      </c>
      <c r="BK743" s="1">
        <v>0.082147</v>
      </c>
      <c r="BL743" s="1">
        <v>0.0</v>
      </c>
      <c r="BM743" s="1">
        <v>0.471</v>
      </c>
      <c r="BN743" s="1">
        <v>0.589</v>
      </c>
      <c r="BO743" s="1">
        <v>0.5856</v>
      </c>
      <c r="BP743" s="1">
        <v>0.752</v>
      </c>
      <c r="BQ743" s="1">
        <v>2.3976</v>
      </c>
      <c r="BR743" s="1">
        <v>0.6303</v>
      </c>
      <c r="BS743" s="1">
        <v>0.789</v>
      </c>
      <c r="BT743" s="1">
        <v>0.348</v>
      </c>
      <c r="BU743" s="1">
        <v>0.217</v>
      </c>
      <c r="BV743" s="1">
        <v>1.354</v>
      </c>
      <c r="BW743" s="1">
        <v>0.348</v>
      </c>
      <c r="BX743" s="1">
        <v>0.075</v>
      </c>
      <c r="BY743" s="1">
        <v>0.545</v>
      </c>
      <c r="BZ743" s="1">
        <v>0.62</v>
      </c>
      <c r="CA743" s="1">
        <v>0.284</v>
      </c>
      <c r="CB743" s="1">
        <v>0.371</v>
      </c>
      <c r="CC743" s="1">
        <v>0.834</v>
      </c>
      <c r="CD743" s="1">
        <v>0.333</v>
      </c>
      <c r="CE743" s="1">
        <v>0.077</v>
      </c>
      <c r="CF743" s="1">
        <v>0.0</v>
      </c>
      <c r="CG743" s="1">
        <v>1.615</v>
      </c>
      <c r="CH743" s="1">
        <v>0.205</v>
      </c>
      <c r="CI743" s="1">
        <v>5.9866</v>
      </c>
      <c r="CJ743" s="1">
        <v>0.3704</v>
      </c>
      <c r="CK743" s="1">
        <v>0.0</v>
      </c>
      <c r="CL743" s="1">
        <v>0.0</v>
      </c>
      <c r="CM743" s="1">
        <v>0.0</v>
      </c>
      <c r="CN743" s="1">
        <v>0.0</v>
      </c>
      <c r="CO743" s="1">
        <v>0.0</v>
      </c>
      <c r="CP743" s="1">
        <v>0.0</v>
      </c>
      <c r="CQ743" s="1">
        <v>0.0</v>
      </c>
      <c r="CR743" s="1">
        <v>0.0</v>
      </c>
      <c r="CS743" s="1">
        <v>0.0</v>
      </c>
      <c r="CT743" s="1">
        <v>0.0</v>
      </c>
      <c r="CU743" s="1">
        <v>0.0</v>
      </c>
      <c r="CV743" s="1">
        <v>0.0</v>
      </c>
      <c r="CW743" s="1">
        <v>0.0</v>
      </c>
      <c r="CX743" s="1">
        <v>0.0</v>
      </c>
      <c r="CY743" s="1">
        <v>0.0</v>
      </c>
      <c r="CZ743" s="1">
        <v>0.0</v>
      </c>
      <c r="DA743" s="1">
        <v>0.0</v>
      </c>
      <c r="DB743" s="1">
        <v>0.0</v>
      </c>
      <c r="DC743" s="1">
        <v>0.0</v>
      </c>
      <c r="DD743" s="1" t="s">
        <v>3486</v>
      </c>
      <c r="DE743" s="1">
        <v>0.0630323839664864</v>
      </c>
      <c r="DF743" s="2" t="s">
        <v>3487</v>
      </c>
    </row>
    <row r="744" ht="15.75" customHeight="1">
      <c r="A744" s="1" t="s">
        <v>3488</v>
      </c>
      <c r="B744" s="1">
        <v>29.0</v>
      </c>
      <c r="C744" s="1">
        <v>127.0</v>
      </c>
      <c r="D744" s="1">
        <v>960300.0</v>
      </c>
      <c r="E744" s="1">
        <v>5.826</v>
      </c>
      <c r="F744" s="1">
        <v>29127.0</v>
      </c>
      <c r="G744" s="1">
        <v>2.91279603E10</v>
      </c>
      <c r="H744" s="1" t="s">
        <v>112</v>
      </c>
      <c r="I744" s="1" t="s">
        <v>113</v>
      </c>
      <c r="J744" s="1" t="s">
        <v>3489</v>
      </c>
      <c r="K744" s="1" t="s">
        <v>3490</v>
      </c>
      <c r="L744" s="1">
        <v>3631.0</v>
      </c>
      <c r="M744" s="1">
        <v>3700.0</v>
      </c>
      <c r="N744" s="1">
        <v>76.0</v>
      </c>
      <c r="O744" s="1">
        <v>1604.0</v>
      </c>
      <c r="P744" s="1">
        <v>1588.0</v>
      </c>
      <c r="Q744" s="1">
        <v>129.0</v>
      </c>
      <c r="R744" s="1">
        <v>1471.0</v>
      </c>
      <c r="S744" s="1">
        <v>683.0</v>
      </c>
      <c r="T744" s="1">
        <v>251.0</v>
      </c>
      <c r="U744" s="1">
        <v>124.0</v>
      </c>
      <c r="V744" s="1">
        <v>384.0</v>
      </c>
      <c r="W744" s="1">
        <v>19797.0</v>
      </c>
      <c r="X744" s="1">
        <v>1887.0</v>
      </c>
      <c r="Y744" s="1">
        <v>238.0</v>
      </c>
      <c r="Z744" s="1">
        <v>271.0</v>
      </c>
      <c r="AA744" s="1">
        <v>688.0</v>
      </c>
      <c r="AB744" s="1">
        <v>951.0</v>
      </c>
      <c r="AC744" s="1">
        <v>196.0</v>
      </c>
      <c r="AD744" s="1">
        <v>184.0</v>
      </c>
      <c r="AE744" s="1">
        <v>21.0</v>
      </c>
      <c r="AF744" s="1">
        <v>427.0</v>
      </c>
      <c r="AG744" s="1">
        <v>32.0</v>
      </c>
      <c r="AH744" s="1">
        <v>165.0</v>
      </c>
      <c r="AI744" s="1">
        <v>156.0</v>
      </c>
      <c r="AJ744" s="1">
        <v>80.0</v>
      </c>
      <c r="AK744" s="1">
        <v>36.0</v>
      </c>
      <c r="AL744" s="1">
        <v>118.0</v>
      </c>
      <c r="AM744" s="1">
        <v>80.0</v>
      </c>
      <c r="AN744" s="1">
        <v>124.0</v>
      </c>
      <c r="AO744" s="1">
        <v>105.0</v>
      </c>
      <c r="AP744" s="1">
        <v>0.184594</v>
      </c>
      <c r="AQ744" s="1">
        <v>0.067731</v>
      </c>
      <c r="AR744" s="1">
        <v>0.067063</v>
      </c>
      <c r="AS744" s="1">
        <v>0.207497</v>
      </c>
      <c r="AT744" s="1">
        <v>19797.0</v>
      </c>
      <c r="AU744" s="1">
        <v>1887.0</v>
      </c>
      <c r="AV744" s="1">
        <v>0.097063</v>
      </c>
      <c r="AW744" s="1">
        <v>0.110355</v>
      </c>
      <c r="AX744" s="1">
        <v>0.189479</v>
      </c>
      <c r="AY744" s="1">
        <v>0.261911</v>
      </c>
      <c r="AZ744" s="1">
        <v>0.13324269</v>
      </c>
      <c r="BA744" s="1">
        <v>0.050674</v>
      </c>
      <c r="BB744" s="1">
        <v>0.006122</v>
      </c>
      <c r="BC744" s="1">
        <v>0.124489</v>
      </c>
      <c r="BD744" s="1">
        <v>0.020151</v>
      </c>
      <c r="BE744" s="1">
        <v>0.103891</v>
      </c>
      <c r="BF744" s="1">
        <v>0.098236</v>
      </c>
      <c r="BG744" s="1">
        <v>0.049741</v>
      </c>
      <c r="BH744" s="1">
        <v>0.023544</v>
      </c>
      <c r="BI744" s="1">
        <v>0.077148</v>
      </c>
      <c r="BJ744" s="1">
        <v>0.052321</v>
      </c>
      <c r="BK744" s="1">
        <v>0.080976</v>
      </c>
      <c r="BL744" s="1">
        <v>0.028917</v>
      </c>
      <c r="BM744" s="1">
        <v>0.687</v>
      </c>
      <c r="BN744" s="1">
        <v>0.488</v>
      </c>
      <c r="BO744" s="1">
        <v>0.626</v>
      </c>
      <c r="BP744" s="1">
        <v>0.324</v>
      </c>
      <c r="BQ744" s="1">
        <v>2.125</v>
      </c>
      <c r="BR744" s="1">
        <v>0.5372</v>
      </c>
      <c r="BS744" s="1">
        <v>0.837</v>
      </c>
      <c r="BT744" s="1">
        <v>0.718</v>
      </c>
      <c r="BU744" s="1">
        <v>0.732</v>
      </c>
      <c r="BV744" s="1">
        <v>2.287</v>
      </c>
      <c r="BW744" s="1">
        <v>0.978</v>
      </c>
      <c r="BX744" s="1">
        <v>0.249</v>
      </c>
      <c r="BY744" s="1">
        <v>0.602</v>
      </c>
      <c r="BZ744" s="1">
        <v>0.851</v>
      </c>
      <c r="CA744" s="1">
        <v>0.434</v>
      </c>
      <c r="CB744" s="1">
        <v>0.464</v>
      </c>
      <c r="CC744" s="1">
        <v>0.71</v>
      </c>
      <c r="CD744" s="1">
        <v>0.738</v>
      </c>
      <c r="CE744" s="1">
        <v>0.506</v>
      </c>
      <c r="CF744" s="1">
        <v>0.801</v>
      </c>
      <c r="CG744" s="1">
        <v>3.219</v>
      </c>
      <c r="CH744" s="1">
        <v>0.848</v>
      </c>
      <c r="CI744" s="1">
        <v>8.482</v>
      </c>
      <c r="CJ744" s="1">
        <v>0.7834</v>
      </c>
      <c r="CK744" s="1">
        <v>0.0</v>
      </c>
      <c r="CL744" s="1">
        <v>0.0</v>
      </c>
      <c r="CM744" s="1">
        <v>0.0</v>
      </c>
      <c r="CN744" s="1">
        <v>0.0</v>
      </c>
      <c r="CO744" s="1">
        <v>0.0</v>
      </c>
      <c r="CP744" s="1">
        <v>0.0</v>
      </c>
      <c r="CQ744" s="1">
        <v>0.0</v>
      </c>
      <c r="CR744" s="1">
        <v>0.0</v>
      </c>
      <c r="CS744" s="1">
        <v>0.0</v>
      </c>
      <c r="CT744" s="1">
        <v>0.0</v>
      </c>
      <c r="CU744" s="1">
        <v>0.0</v>
      </c>
      <c r="CV744" s="1">
        <v>0.0</v>
      </c>
      <c r="CW744" s="1">
        <v>0.0</v>
      </c>
      <c r="CX744" s="1">
        <v>0.0</v>
      </c>
      <c r="CY744" s="1">
        <v>0.0</v>
      </c>
      <c r="CZ744" s="1">
        <v>0.0</v>
      </c>
      <c r="DA744" s="1">
        <v>0.0</v>
      </c>
      <c r="DB744" s="1">
        <v>0.0</v>
      </c>
      <c r="DC744" s="1">
        <v>0.0</v>
      </c>
      <c r="DD744" s="1" t="s">
        <v>3491</v>
      </c>
      <c r="DE744" s="1">
        <v>0.00158002494213514</v>
      </c>
      <c r="DF744" s="2" t="s">
        <v>3492</v>
      </c>
    </row>
    <row r="745" ht="15.75" customHeight="1">
      <c r="A745" s="1" t="s">
        <v>3493</v>
      </c>
      <c r="B745" s="1">
        <v>29.0</v>
      </c>
      <c r="C745" s="1">
        <v>127.0</v>
      </c>
      <c r="D745" s="1">
        <v>960500.0</v>
      </c>
      <c r="E745" s="1">
        <v>0.591</v>
      </c>
      <c r="F745" s="1">
        <v>29127.0</v>
      </c>
      <c r="G745" s="1">
        <v>2.91279605E10</v>
      </c>
      <c r="H745" s="1" t="s">
        <v>112</v>
      </c>
      <c r="I745" s="1" t="s">
        <v>113</v>
      </c>
      <c r="J745" s="1" t="s">
        <v>3489</v>
      </c>
      <c r="K745" s="1" t="s">
        <v>3494</v>
      </c>
      <c r="L745" s="1">
        <v>2861.0</v>
      </c>
      <c r="M745" s="1">
        <v>2986.0</v>
      </c>
      <c r="N745" s="1">
        <v>326.0</v>
      </c>
      <c r="O745" s="1">
        <v>1425.0</v>
      </c>
      <c r="P745" s="1">
        <v>1468.0</v>
      </c>
      <c r="Q745" s="1">
        <v>78.0</v>
      </c>
      <c r="R745" s="1">
        <v>1158.0</v>
      </c>
      <c r="S745" s="1">
        <v>546.0</v>
      </c>
      <c r="T745" s="1">
        <v>200.0</v>
      </c>
      <c r="U745" s="1">
        <v>148.0</v>
      </c>
      <c r="V745" s="1">
        <v>403.0</v>
      </c>
      <c r="W745" s="1">
        <v>17069.0</v>
      </c>
      <c r="X745" s="1">
        <v>2310.0</v>
      </c>
      <c r="Y745" s="1">
        <v>527.0</v>
      </c>
      <c r="Z745" s="1">
        <v>256.0</v>
      </c>
      <c r="AA745" s="1">
        <v>281.0</v>
      </c>
      <c r="AB745" s="1">
        <v>713.0</v>
      </c>
      <c r="AC745" s="1">
        <v>170.0</v>
      </c>
      <c r="AD745" s="1">
        <v>442.0</v>
      </c>
      <c r="AE745" s="1">
        <v>0.0</v>
      </c>
      <c r="AF745" s="1">
        <v>456.0</v>
      </c>
      <c r="AG745" s="1">
        <v>189.0</v>
      </c>
      <c r="AH745" s="1">
        <v>94.0</v>
      </c>
      <c r="AI745" s="1">
        <v>9.0</v>
      </c>
      <c r="AJ745" s="1">
        <v>14.0</v>
      </c>
      <c r="AK745" s="1">
        <v>4.0</v>
      </c>
      <c r="AL745" s="1">
        <v>114.0</v>
      </c>
      <c r="AM745" s="1">
        <v>263.0</v>
      </c>
      <c r="AN745" s="1">
        <v>103.0</v>
      </c>
      <c r="AO745" s="1">
        <v>111.0</v>
      </c>
      <c r="AP745" s="1">
        <v>0.188016</v>
      </c>
      <c r="AQ745" s="1">
        <v>0.066388</v>
      </c>
      <c r="AR745" s="1">
        <v>0.100954</v>
      </c>
      <c r="AS745" s="1">
        <v>0.274412</v>
      </c>
      <c r="AT745" s="1">
        <v>17069.0</v>
      </c>
      <c r="AU745" s="1">
        <v>2310.0</v>
      </c>
      <c r="AV745" s="1">
        <v>0.275916</v>
      </c>
      <c r="AW745" s="1">
        <v>0.129033</v>
      </c>
      <c r="AX745" s="1">
        <v>0.098217</v>
      </c>
      <c r="AY745" s="1">
        <v>0.249213</v>
      </c>
      <c r="AZ745" s="1">
        <v>0.14680483</v>
      </c>
      <c r="BA745" s="1">
        <v>0.154491</v>
      </c>
      <c r="BB745" s="1">
        <v>0.0</v>
      </c>
      <c r="BC745" s="1">
        <v>0.163148</v>
      </c>
      <c r="BD745" s="1">
        <v>0.128746</v>
      </c>
      <c r="BE745" s="1">
        <v>0.063666</v>
      </c>
      <c r="BF745" s="1">
        <v>0.00613</v>
      </c>
      <c r="BG745" s="1">
        <v>0.009531</v>
      </c>
      <c r="BH745" s="1">
        <v>0.003257</v>
      </c>
      <c r="BI745" s="1">
        <v>0.092833</v>
      </c>
      <c r="BJ745" s="1">
        <v>0.214169</v>
      </c>
      <c r="BK745" s="1">
        <v>0.081312</v>
      </c>
      <c r="BL745" s="1">
        <v>0.038797</v>
      </c>
      <c r="BM745" s="1">
        <v>0.697</v>
      </c>
      <c r="BN745" s="1">
        <v>0.738</v>
      </c>
      <c r="BO745" s="1">
        <v>0.7819</v>
      </c>
      <c r="BP745" s="1">
        <v>0.915</v>
      </c>
      <c r="BQ745" s="1">
        <v>3.1319</v>
      </c>
      <c r="BR745" s="1">
        <v>0.8347</v>
      </c>
      <c r="BS745" s="1">
        <v>0.202</v>
      </c>
      <c r="BT745" s="1">
        <v>0.589</v>
      </c>
      <c r="BU745" s="1">
        <v>0.784</v>
      </c>
      <c r="BV745" s="1">
        <v>1.575</v>
      </c>
      <c r="BW745" s="1">
        <v>0.545</v>
      </c>
      <c r="BX745" s="1">
        <v>0.638</v>
      </c>
      <c r="BY745" s="1">
        <v>0.0</v>
      </c>
      <c r="BZ745" s="1">
        <v>0.638</v>
      </c>
      <c r="CA745" s="1">
        <v>0.296</v>
      </c>
      <c r="CB745" s="1">
        <v>0.81</v>
      </c>
      <c r="CC745" s="1">
        <v>0.412</v>
      </c>
      <c r="CD745" s="1">
        <v>0.294</v>
      </c>
      <c r="CE745" s="1">
        <v>0.918</v>
      </c>
      <c r="CF745" s="1">
        <v>0.861</v>
      </c>
      <c r="CG745" s="1">
        <v>3.295</v>
      </c>
      <c r="CH745" s="1">
        <v>0.87</v>
      </c>
      <c r="CI745" s="1">
        <v>8.6399</v>
      </c>
      <c r="CJ745" s="1">
        <v>0.8058</v>
      </c>
      <c r="CK745" s="1">
        <v>0.0</v>
      </c>
      <c r="CL745" s="1">
        <v>0.0</v>
      </c>
      <c r="CM745" s="1">
        <v>0.0</v>
      </c>
      <c r="CN745" s="1">
        <v>1.0</v>
      </c>
      <c r="CO745" s="1">
        <v>1.0</v>
      </c>
      <c r="CP745" s="1">
        <v>0.0</v>
      </c>
      <c r="CQ745" s="1">
        <v>0.0</v>
      </c>
      <c r="CR745" s="1">
        <v>0.0</v>
      </c>
      <c r="CS745" s="1">
        <v>0.0</v>
      </c>
      <c r="CT745" s="1">
        <v>0.0</v>
      </c>
      <c r="CU745" s="1">
        <v>0.0</v>
      </c>
      <c r="CV745" s="1">
        <v>0.0</v>
      </c>
      <c r="CW745" s="1">
        <v>0.0</v>
      </c>
      <c r="CX745" s="1">
        <v>0.0</v>
      </c>
      <c r="CY745" s="1">
        <v>0.0</v>
      </c>
      <c r="CZ745" s="1">
        <v>1.0</v>
      </c>
      <c r="DA745" s="1">
        <v>0.0</v>
      </c>
      <c r="DB745" s="1">
        <v>1.0</v>
      </c>
      <c r="DC745" s="1">
        <v>2.0</v>
      </c>
      <c r="DD745" s="1" t="s">
        <v>3495</v>
      </c>
      <c r="DE745" s="1">
        <v>1.57112854894065E-4</v>
      </c>
      <c r="DF745" s="1">
        <v>0.0607594687304124</v>
      </c>
    </row>
    <row r="746" ht="15.75" customHeight="1">
      <c r="A746" s="1" t="s">
        <v>3496</v>
      </c>
      <c r="B746" s="1">
        <v>29.0</v>
      </c>
      <c r="C746" s="1">
        <v>127.0</v>
      </c>
      <c r="D746" s="1">
        <v>960800.0</v>
      </c>
      <c r="E746" s="1">
        <v>3.645</v>
      </c>
      <c r="F746" s="1">
        <v>29127.0</v>
      </c>
      <c r="G746" s="1">
        <v>2.91279608E10</v>
      </c>
      <c r="H746" s="1" t="s">
        <v>112</v>
      </c>
      <c r="I746" s="1" t="s">
        <v>113</v>
      </c>
      <c r="J746" s="1" t="s">
        <v>3489</v>
      </c>
      <c r="K746" s="1" t="s">
        <v>3497</v>
      </c>
      <c r="L746" s="1">
        <v>3231.0</v>
      </c>
      <c r="M746" s="1">
        <v>3253.0</v>
      </c>
      <c r="N746" s="1">
        <v>345.0</v>
      </c>
      <c r="O746" s="1">
        <v>1449.0</v>
      </c>
      <c r="P746" s="1">
        <v>1560.0</v>
      </c>
      <c r="Q746" s="1">
        <v>100.0</v>
      </c>
      <c r="R746" s="1">
        <v>1175.0</v>
      </c>
      <c r="S746" s="1">
        <v>628.0</v>
      </c>
      <c r="T746" s="1">
        <v>227.0</v>
      </c>
      <c r="U746" s="1">
        <v>103.0</v>
      </c>
      <c r="V746" s="1">
        <v>431.0</v>
      </c>
      <c r="W746" s="1">
        <v>15324.0</v>
      </c>
      <c r="X746" s="1">
        <v>1900.0</v>
      </c>
      <c r="Y746" s="1">
        <v>389.0</v>
      </c>
      <c r="Z746" s="1">
        <v>196.0</v>
      </c>
      <c r="AA746" s="1">
        <v>315.0</v>
      </c>
      <c r="AB746" s="1">
        <v>839.0</v>
      </c>
      <c r="AC746" s="1">
        <v>194.0</v>
      </c>
      <c r="AD746" s="1">
        <v>362.0</v>
      </c>
      <c r="AE746" s="1">
        <v>0.0</v>
      </c>
      <c r="AF746" s="1">
        <v>456.0</v>
      </c>
      <c r="AG746" s="1">
        <v>7.0</v>
      </c>
      <c r="AH746" s="1">
        <v>162.0</v>
      </c>
      <c r="AI746" s="1">
        <v>84.0</v>
      </c>
      <c r="AJ746" s="1">
        <v>54.0</v>
      </c>
      <c r="AK746" s="1">
        <v>16.0</v>
      </c>
      <c r="AL746" s="1">
        <v>117.0</v>
      </c>
      <c r="AM746" s="1">
        <v>172.0</v>
      </c>
      <c r="AN746" s="1">
        <v>82.0</v>
      </c>
      <c r="AO746" s="1">
        <v>243.0</v>
      </c>
      <c r="AP746" s="1">
        <v>0.199936</v>
      </c>
      <c r="AQ746" s="1">
        <v>0.069523</v>
      </c>
      <c r="AR746" s="1">
        <v>0.066666</v>
      </c>
      <c r="AS746" s="1">
        <v>0.278717</v>
      </c>
      <c r="AT746" s="1">
        <v>15324.0</v>
      </c>
      <c r="AU746" s="1">
        <v>1900.0</v>
      </c>
      <c r="AV746" s="1">
        <v>0.195379</v>
      </c>
      <c r="AW746" s="1">
        <v>0.095026</v>
      </c>
      <c r="AX746" s="1">
        <v>0.097493</v>
      </c>
      <c r="AY746" s="1">
        <v>0.259671</v>
      </c>
      <c r="AZ746" s="1">
        <v>0.16510638</v>
      </c>
      <c r="BA746" s="1">
        <v>0.112039</v>
      </c>
      <c r="BB746" s="1">
        <v>0.0</v>
      </c>
      <c r="BC746" s="1">
        <v>0.147859</v>
      </c>
      <c r="BD746" s="1">
        <v>0.004487</v>
      </c>
      <c r="BE746" s="1">
        <v>0.103845</v>
      </c>
      <c r="BF746" s="1">
        <v>0.053846</v>
      </c>
      <c r="BG746" s="1">
        <v>0.034442</v>
      </c>
      <c r="BH746" s="1">
        <v>0.012789</v>
      </c>
      <c r="BI746" s="1">
        <v>0.093513</v>
      </c>
      <c r="BJ746" s="1">
        <v>0.13749</v>
      </c>
      <c r="BK746" s="1">
        <v>0.063662</v>
      </c>
      <c r="BL746" s="1">
        <v>0.075208</v>
      </c>
      <c r="BM746" s="1">
        <v>0.732</v>
      </c>
      <c r="BN746" s="1">
        <v>0.484</v>
      </c>
      <c r="BO746" s="1">
        <v>0.8635</v>
      </c>
      <c r="BP746" s="1">
        <v>0.739</v>
      </c>
      <c r="BQ746" s="1">
        <v>2.8185</v>
      </c>
      <c r="BR746" s="1">
        <v>0.7545</v>
      </c>
      <c r="BS746" s="1">
        <v>0.197</v>
      </c>
      <c r="BT746" s="1">
        <v>0.702</v>
      </c>
      <c r="BU746" s="1">
        <v>0.837</v>
      </c>
      <c r="BV746" s="1">
        <v>1.736</v>
      </c>
      <c r="BW746" s="1">
        <v>0.67</v>
      </c>
      <c r="BX746" s="1">
        <v>0.511</v>
      </c>
      <c r="BY746" s="1">
        <v>0.0</v>
      </c>
      <c r="BZ746" s="1">
        <v>0.511</v>
      </c>
      <c r="CA746" s="1">
        <v>0.215</v>
      </c>
      <c r="CB746" s="1">
        <v>0.31</v>
      </c>
      <c r="CC746" s="1">
        <v>0.616</v>
      </c>
      <c r="CD746" s="1">
        <v>0.543</v>
      </c>
      <c r="CE746" s="1">
        <v>0.842</v>
      </c>
      <c r="CF746" s="1">
        <v>0.929</v>
      </c>
      <c r="CG746" s="1">
        <v>3.24</v>
      </c>
      <c r="CH746" s="1">
        <v>0.855</v>
      </c>
      <c r="CI746" s="1">
        <v>8.3055</v>
      </c>
      <c r="CJ746" s="1">
        <v>0.7625</v>
      </c>
      <c r="CK746" s="1">
        <v>0.0</v>
      </c>
      <c r="CL746" s="1">
        <v>0.0</v>
      </c>
      <c r="CM746" s="1">
        <v>0.0</v>
      </c>
      <c r="CN746" s="1">
        <v>0.0</v>
      </c>
      <c r="CO746" s="1">
        <v>0.0</v>
      </c>
      <c r="CP746" s="1">
        <v>0.0</v>
      </c>
      <c r="CQ746" s="1">
        <v>0.0</v>
      </c>
      <c r="CR746" s="1">
        <v>0.0</v>
      </c>
      <c r="CS746" s="1">
        <v>0.0</v>
      </c>
      <c r="CT746" s="1">
        <v>0.0</v>
      </c>
      <c r="CU746" s="1">
        <v>0.0</v>
      </c>
      <c r="CV746" s="1">
        <v>0.0</v>
      </c>
      <c r="CW746" s="1">
        <v>0.0</v>
      </c>
      <c r="CX746" s="1">
        <v>0.0</v>
      </c>
      <c r="CY746" s="1">
        <v>0.0</v>
      </c>
      <c r="CZ746" s="1">
        <v>0.0</v>
      </c>
      <c r="DA746" s="1">
        <v>1.0</v>
      </c>
      <c r="DB746" s="1">
        <v>1.0</v>
      </c>
      <c r="DC746" s="1">
        <v>1.0</v>
      </c>
      <c r="DD746" s="1" t="s">
        <v>3498</v>
      </c>
      <c r="DE746" s="1">
        <v>0.00117321774691593</v>
      </c>
      <c r="DF746" s="2" t="s">
        <v>3499</v>
      </c>
    </row>
    <row r="747" ht="15.75" customHeight="1">
      <c r="A747" s="1" t="s">
        <v>3500</v>
      </c>
      <c r="B747" s="1">
        <v>29.0</v>
      </c>
      <c r="C747" s="1">
        <v>127.0</v>
      </c>
      <c r="D747" s="1">
        <v>960100.0</v>
      </c>
      <c r="E747" s="1">
        <v>180.304</v>
      </c>
      <c r="F747" s="1">
        <v>29127.0</v>
      </c>
      <c r="G747" s="1">
        <v>2.91279601E10</v>
      </c>
      <c r="H747" s="1" t="s">
        <v>112</v>
      </c>
      <c r="I747" s="1" t="s">
        <v>113</v>
      </c>
      <c r="J747" s="1" t="s">
        <v>3489</v>
      </c>
      <c r="K747" s="1" t="s">
        <v>3501</v>
      </c>
      <c r="L747" s="1">
        <v>4339.0</v>
      </c>
      <c r="M747" s="1">
        <v>4056.0</v>
      </c>
      <c r="N747" s="1">
        <v>330.0</v>
      </c>
      <c r="O747" s="1">
        <v>1866.0</v>
      </c>
      <c r="P747" s="1">
        <v>1873.0</v>
      </c>
      <c r="Q747" s="1">
        <v>153.0</v>
      </c>
      <c r="R747" s="1">
        <v>1673.0</v>
      </c>
      <c r="S747" s="1">
        <v>191.0</v>
      </c>
      <c r="T747" s="1">
        <v>101.0</v>
      </c>
      <c r="U747" s="1">
        <v>132.0</v>
      </c>
      <c r="V747" s="1">
        <v>416.0</v>
      </c>
      <c r="W747" s="1">
        <v>26218.0</v>
      </c>
      <c r="X747" s="1">
        <v>2259.0</v>
      </c>
      <c r="Y747" s="1">
        <v>236.0</v>
      </c>
      <c r="Z747" s="1">
        <v>315.0</v>
      </c>
      <c r="AA747" s="1">
        <v>637.0</v>
      </c>
      <c r="AB747" s="1">
        <v>1020.0</v>
      </c>
      <c r="AC747" s="1">
        <v>103.0</v>
      </c>
      <c r="AD747" s="1">
        <v>170.0</v>
      </c>
      <c r="AE747" s="1">
        <v>0.0</v>
      </c>
      <c r="AF747" s="1">
        <v>456.0</v>
      </c>
      <c r="AG747" s="1">
        <v>58.0</v>
      </c>
      <c r="AH747" s="1">
        <v>123.0</v>
      </c>
      <c r="AI747" s="1">
        <v>195.0</v>
      </c>
      <c r="AJ747" s="1">
        <v>85.0</v>
      </c>
      <c r="AK747" s="1">
        <v>11.0</v>
      </c>
      <c r="AL747" s="1">
        <v>115.0</v>
      </c>
      <c r="AM747" s="1">
        <v>28.0</v>
      </c>
      <c r="AN747" s="1">
        <v>27.0</v>
      </c>
      <c r="AO747" s="1">
        <v>104.0</v>
      </c>
      <c r="AP747" s="1">
        <v>0.047207</v>
      </c>
      <c r="AQ747" s="1">
        <v>0.024666</v>
      </c>
      <c r="AR747" s="1">
        <v>0.059674</v>
      </c>
      <c r="AS747" s="1">
        <v>0.187958</v>
      </c>
      <c r="AT747" s="1">
        <v>26218.0</v>
      </c>
      <c r="AU747" s="1">
        <v>2259.0</v>
      </c>
      <c r="AV747" s="1">
        <v>0.084709</v>
      </c>
      <c r="AW747" s="1">
        <v>0.112817</v>
      </c>
      <c r="AX747" s="1">
        <v>0.146808</v>
      </c>
      <c r="AY747" s="1">
        <v>0.235077</v>
      </c>
      <c r="AZ747" s="1">
        <v>0.06156604</v>
      </c>
      <c r="BA747" s="1">
        <v>0.039179</v>
      </c>
      <c r="BB747" s="1">
        <v>0.0</v>
      </c>
      <c r="BC747" s="1">
        <v>0.11789</v>
      </c>
      <c r="BD747" s="1">
        <v>0.030966</v>
      </c>
      <c r="BE747" s="1">
        <v>0.065621</v>
      </c>
      <c r="BF747" s="1">
        <v>0.104111</v>
      </c>
      <c r="BG747" s="1">
        <v>0.044577</v>
      </c>
      <c r="BH747" s="1">
        <v>0.006875</v>
      </c>
      <c r="BI747" s="1">
        <v>0.071872</v>
      </c>
      <c r="BJ747" s="1">
        <v>0.0175</v>
      </c>
      <c r="BK747" s="1">
        <v>0.016803</v>
      </c>
      <c r="BL747" s="1">
        <v>0.023968</v>
      </c>
      <c r="BM747" s="1">
        <v>0.153</v>
      </c>
      <c r="BN747" s="1">
        <v>0.415</v>
      </c>
      <c r="BO747" s="1">
        <v>0.3054</v>
      </c>
      <c r="BP747" s="1">
        <v>0.268</v>
      </c>
      <c r="BQ747" s="1">
        <v>1.1414</v>
      </c>
      <c r="BR747" s="1">
        <v>0.2361</v>
      </c>
      <c r="BS747" s="1">
        <v>0.553</v>
      </c>
      <c r="BT747" s="1">
        <v>0.44</v>
      </c>
      <c r="BU747" s="1">
        <v>0.141</v>
      </c>
      <c r="BV747" s="1">
        <v>1.134</v>
      </c>
      <c r="BW747" s="1">
        <v>0.188</v>
      </c>
      <c r="BX747" s="1">
        <v>0.156</v>
      </c>
      <c r="BY747" s="1">
        <v>0.0</v>
      </c>
      <c r="BZ747" s="1">
        <v>0.156</v>
      </c>
      <c r="CA747" s="1">
        <v>0.074</v>
      </c>
      <c r="CB747" s="1">
        <v>0.553</v>
      </c>
      <c r="CC747" s="1">
        <v>0.725</v>
      </c>
      <c r="CD747" s="1">
        <v>0.389</v>
      </c>
      <c r="CE747" s="1">
        <v>0.157</v>
      </c>
      <c r="CF747" s="1">
        <v>0.757</v>
      </c>
      <c r="CG747" s="1">
        <v>2.581</v>
      </c>
      <c r="CH747" s="1">
        <v>0.596</v>
      </c>
      <c r="CI747" s="1">
        <v>5.0124</v>
      </c>
      <c r="CJ747" s="1">
        <v>0.2043</v>
      </c>
      <c r="CK747" s="1">
        <v>0.0</v>
      </c>
      <c r="CL747" s="1">
        <v>0.0</v>
      </c>
      <c r="CM747" s="1">
        <v>0.0</v>
      </c>
      <c r="CN747" s="1">
        <v>0.0</v>
      </c>
      <c r="CO747" s="1">
        <v>0.0</v>
      </c>
      <c r="CP747" s="1">
        <v>0.0</v>
      </c>
      <c r="CQ747" s="1">
        <v>0.0</v>
      </c>
      <c r="CR747" s="1">
        <v>0.0</v>
      </c>
      <c r="CS747" s="1">
        <v>0.0</v>
      </c>
      <c r="CT747" s="1">
        <v>0.0</v>
      </c>
      <c r="CU747" s="1">
        <v>0.0</v>
      </c>
      <c r="CV747" s="1">
        <v>0.0</v>
      </c>
      <c r="CW747" s="1">
        <v>0.0</v>
      </c>
      <c r="CX747" s="1">
        <v>0.0</v>
      </c>
      <c r="CY747" s="1">
        <v>0.0</v>
      </c>
      <c r="CZ747" s="1">
        <v>0.0</v>
      </c>
      <c r="DA747" s="1">
        <v>0.0</v>
      </c>
      <c r="DB747" s="1">
        <v>0.0</v>
      </c>
      <c r="DC747" s="1">
        <v>0.0</v>
      </c>
      <c r="DD747" s="1" t="s">
        <v>3502</v>
      </c>
      <c r="DE747" s="1">
        <v>0.0503869817313474</v>
      </c>
      <c r="DF747" s="2" t="s">
        <v>3503</v>
      </c>
    </row>
    <row r="748" ht="15.75" customHeight="1">
      <c r="A748" s="1" t="s">
        <v>3504</v>
      </c>
      <c r="B748" s="1">
        <v>29.0</v>
      </c>
      <c r="C748" s="1">
        <v>127.0</v>
      </c>
      <c r="D748" s="1">
        <v>960200.0</v>
      </c>
      <c r="E748" s="1">
        <v>233.22</v>
      </c>
      <c r="F748" s="1">
        <v>29127.0</v>
      </c>
      <c r="G748" s="1">
        <v>2.91279602E10</v>
      </c>
      <c r="H748" s="1" t="s">
        <v>112</v>
      </c>
      <c r="I748" s="1" t="s">
        <v>113</v>
      </c>
      <c r="J748" s="1" t="s">
        <v>3489</v>
      </c>
      <c r="K748" s="1" t="s">
        <v>3505</v>
      </c>
      <c r="L748" s="1">
        <v>3240.0</v>
      </c>
      <c r="M748" s="1">
        <v>3360.0</v>
      </c>
      <c r="N748" s="1">
        <v>306.0</v>
      </c>
      <c r="O748" s="1">
        <v>1460.0</v>
      </c>
      <c r="P748" s="1">
        <v>1423.0</v>
      </c>
      <c r="Q748" s="1">
        <v>111.0</v>
      </c>
      <c r="R748" s="1">
        <v>1265.0</v>
      </c>
      <c r="S748" s="1">
        <v>192.0</v>
      </c>
      <c r="T748" s="1">
        <v>95.0</v>
      </c>
      <c r="U748" s="1">
        <v>87.0</v>
      </c>
      <c r="V748" s="1">
        <v>414.0</v>
      </c>
      <c r="W748" s="1">
        <v>21925.0</v>
      </c>
      <c r="X748" s="1">
        <v>3744.0</v>
      </c>
      <c r="Y748" s="1">
        <v>448.0</v>
      </c>
      <c r="Z748" s="1">
        <v>264.0</v>
      </c>
      <c r="AA748" s="1">
        <v>538.0</v>
      </c>
      <c r="AB748" s="1">
        <v>776.0</v>
      </c>
      <c r="AC748" s="1">
        <v>90.0</v>
      </c>
      <c r="AD748" s="1">
        <v>95.0</v>
      </c>
      <c r="AE748" s="1">
        <v>0.0</v>
      </c>
      <c r="AF748" s="1">
        <v>456.0</v>
      </c>
      <c r="AG748" s="1">
        <v>17.0</v>
      </c>
      <c r="AH748" s="1">
        <v>115.0</v>
      </c>
      <c r="AI748" s="1">
        <v>215.0</v>
      </c>
      <c r="AJ748" s="1">
        <v>60.0</v>
      </c>
      <c r="AK748" s="1">
        <v>31.0</v>
      </c>
      <c r="AL748" s="1">
        <v>117.0</v>
      </c>
      <c r="AM748" s="1">
        <v>41.0</v>
      </c>
      <c r="AN748" s="1">
        <v>24.0</v>
      </c>
      <c r="AO748" s="1">
        <v>59.0</v>
      </c>
      <c r="AP748" s="1">
        <v>0.060933</v>
      </c>
      <c r="AQ748" s="1">
        <v>0.029813</v>
      </c>
      <c r="AR748" s="1">
        <v>0.05194</v>
      </c>
      <c r="AS748" s="1">
        <v>0.247103</v>
      </c>
      <c r="AT748" s="1">
        <v>21925.0</v>
      </c>
      <c r="AU748" s="1">
        <v>3744.0</v>
      </c>
      <c r="AV748" s="1">
        <v>0.190072</v>
      </c>
      <c r="AW748" s="1">
        <v>0.109398</v>
      </c>
      <c r="AX748" s="1">
        <v>0.166049</v>
      </c>
      <c r="AY748" s="1">
        <v>0.239506</v>
      </c>
      <c r="AZ748" s="1">
        <v>0.07114624</v>
      </c>
      <c r="BA748" s="1">
        <v>0.02932</v>
      </c>
      <c r="BB748" s="1">
        <v>0.0</v>
      </c>
      <c r="BC748" s="1">
        <v>0.140958</v>
      </c>
      <c r="BD748" s="1">
        <v>0.011946</v>
      </c>
      <c r="BE748" s="1">
        <v>0.080809</v>
      </c>
      <c r="BF748" s="1">
        <v>0.151089</v>
      </c>
      <c r="BG748" s="1">
        <v>0.040483</v>
      </c>
      <c r="BH748" s="1">
        <v>0.024959</v>
      </c>
      <c r="BI748" s="1">
        <v>0.094181</v>
      </c>
      <c r="BJ748" s="1">
        <v>0.033011</v>
      </c>
      <c r="BK748" s="1">
        <v>0.019136</v>
      </c>
      <c r="BL748" s="1">
        <v>0.018209</v>
      </c>
      <c r="BM748" s="1">
        <v>0.209</v>
      </c>
      <c r="BN748" s="1">
        <v>0.316</v>
      </c>
      <c r="BO748" s="1">
        <v>0.4996</v>
      </c>
      <c r="BP748" s="1">
        <v>0.725</v>
      </c>
      <c r="BQ748" s="1">
        <v>1.7496</v>
      </c>
      <c r="BR748" s="1">
        <v>0.4152</v>
      </c>
      <c r="BS748" s="1">
        <v>0.707</v>
      </c>
      <c r="BT748" s="1">
        <v>0.494</v>
      </c>
      <c r="BU748" s="1">
        <v>0.226</v>
      </c>
      <c r="BV748" s="1">
        <v>1.427</v>
      </c>
      <c r="BW748" s="1">
        <v>0.413</v>
      </c>
      <c r="BX748" s="1">
        <v>0.076</v>
      </c>
      <c r="BY748" s="1">
        <v>0.0</v>
      </c>
      <c r="BZ748" s="1">
        <v>0.076</v>
      </c>
      <c r="CA748" s="1">
        <v>0.037</v>
      </c>
      <c r="CB748" s="1">
        <v>0.398</v>
      </c>
      <c r="CC748" s="1">
        <v>0.82</v>
      </c>
      <c r="CD748" s="1">
        <v>0.756</v>
      </c>
      <c r="CE748" s="1">
        <v>0.315</v>
      </c>
      <c r="CF748" s="1">
        <v>0.688</v>
      </c>
      <c r="CG748" s="1">
        <v>2.977</v>
      </c>
      <c r="CH748" s="1">
        <v>0.766</v>
      </c>
      <c r="CI748" s="1">
        <v>6.2296</v>
      </c>
      <c r="CJ748" s="1">
        <v>0.4144</v>
      </c>
      <c r="CK748" s="1">
        <v>0.0</v>
      </c>
      <c r="CL748" s="1">
        <v>0.0</v>
      </c>
      <c r="CM748" s="1">
        <v>0.0</v>
      </c>
      <c r="CN748" s="1">
        <v>0.0</v>
      </c>
      <c r="CO748" s="1">
        <v>0.0</v>
      </c>
      <c r="CP748" s="1">
        <v>0.0</v>
      </c>
      <c r="CQ748" s="1">
        <v>0.0</v>
      </c>
      <c r="CR748" s="1">
        <v>0.0</v>
      </c>
      <c r="CS748" s="1">
        <v>0.0</v>
      </c>
      <c r="CT748" s="1">
        <v>0.0</v>
      </c>
      <c r="CU748" s="1">
        <v>0.0</v>
      </c>
      <c r="CV748" s="1">
        <v>0.0</v>
      </c>
      <c r="CW748" s="1">
        <v>0.0</v>
      </c>
      <c r="CX748" s="1">
        <v>0.0</v>
      </c>
      <c r="CY748" s="1">
        <v>0.0</v>
      </c>
      <c r="CZ748" s="1">
        <v>0.0</v>
      </c>
      <c r="DA748" s="1">
        <v>0.0</v>
      </c>
      <c r="DB748" s="1">
        <v>0.0</v>
      </c>
      <c r="DC748" s="1">
        <v>0.0</v>
      </c>
      <c r="DD748" s="1" t="s">
        <v>3506</v>
      </c>
      <c r="DE748" s="1">
        <v>0.0637147558267848</v>
      </c>
      <c r="DF748" s="2" t="s">
        <v>3507</v>
      </c>
    </row>
    <row r="749" ht="15.75" customHeight="1">
      <c r="A749" s="1" t="s">
        <v>3508</v>
      </c>
      <c r="B749" s="1">
        <v>29.0</v>
      </c>
      <c r="C749" s="1">
        <v>127.0</v>
      </c>
      <c r="D749" s="1">
        <v>960400.0</v>
      </c>
      <c r="E749" s="1">
        <v>9.269</v>
      </c>
      <c r="F749" s="1">
        <v>29127.0</v>
      </c>
      <c r="G749" s="1">
        <v>2.91279604E10</v>
      </c>
      <c r="H749" s="1" t="s">
        <v>112</v>
      </c>
      <c r="I749" s="1" t="s">
        <v>113</v>
      </c>
      <c r="J749" s="1" t="s">
        <v>3489</v>
      </c>
      <c r="K749" s="1" t="s">
        <v>3509</v>
      </c>
      <c r="L749" s="1">
        <v>4510.0</v>
      </c>
      <c r="M749" s="1">
        <v>4526.0</v>
      </c>
      <c r="N749" s="1">
        <v>406.0</v>
      </c>
      <c r="O749" s="1">
        <v>1822.0</v>
      </c>
      <c r="P749" s="1">
        <v>1887.0</v>
      </c>
      <c r="Q749" s="1">
        <v>79.0</v>
      </c>
      <c r="R749" s="1">
        <v>1695.0</v>
      </c>
      <c r="S749" s="1">
        <v>598.0</v>
      </c>
      <c r="T749" s="1">
        <v>312.0</v>
      </c>
      <c r="U749" s="1">
        <v>48.0</v>
      </c>
      <c r="V749" s="1">
        <v>428.0</v>
      </c>
      <c r="W749" s="1">
        <v>25662.0</v>
      </c>
      <c r="X749" s="1">
        <v>4443.0</v>
      </c>
      <c r="Y749" s="1">
        <v>502.0</v>
      </c>
      <c r="Z749" s="1">
        <v>256.0</v>
      </c>
      <c r="AA749" s="1">
        <v>820.0</v>
      </c>
      <c r="AB749" s="1">
        <v>920.0</v>
      </c>
      <c r="AC749" s="1">
        <v>181.0</v>
      </c>
      <c r="AD749" s="1">
        <v>519.0</v>
      </c>
      <c r="AE749" s="1">
        <v>12.0</v>
      </c>
      <c r="AF749" s="1">
        <v>442.0</v>
      </c>
      <c r="AG749" s="1">
        <v>78.0</v>
      </c>
      <c r="AH749" s="1">
        <v>44.0</v>
      </c>
      <c r="AI749" s="1">
        <v>10.0</v>
      </c>
      <c r="AJ749" s="1">
        <v>16.0</v>
      </c>
      <c r="AK749" s="1">
        <v>0.0</v>
      </c>
      <c r="AL749" s="1">
        <v>161.0</v>
      </c>
      <c r="AM749" s="1">
        <v>141.0</v>
      </c>
      <c r="AN749" s="1">
        <v>82.0</v>
      </c>
      <c r="AO749" s="1">
        <v>599.0</v>
      </c>
      <c r="AP749" s="1">
        <v>0.151354</v>
      </c>
      <c r="AQ749" s="1">
        <v>0.078182</v>
      </c>
      <c r="AR749" s="1">
        <v>0.028588</v>
      </c>
      <c r="AS749" s="1">
        <v>0.254878</v>
      </c>
      <c r="AT749" s="1">
        <v>25662.0</v>
      </c>
      <c r="AU749" s="1">
        <v>4443.0</v>
      </c>
      <c r="AV749" s="1">
        <v>0.162459</v>
      </c>
      <c r="AW749" s="1">
        <v>0.08101</v>
      </c>
      <c r="AX749" s="1">
        <v>0.181818</v>
      </c>
      <c r="AY749" s="1">
        <v>0.203991</v>
      </c>
      <c r="AZ749" s="1">
        <v>0.10678466</v>
      </c>
      <c r="BA749" s="1">
        <v>0.115077</v>
      </c>
      <c r="BB749" s="1">
        <v>0.002931</v>
      </c>
      <c r="BC749" s="1">
        <v>0.107962</v>
      </c>
      <c r="BD749" s="1">
        <v>0.041335</v>
      </c>
      <c r="BE749" s="1">
        <v>0.023253</v>
      </c>
      <c r="BF749" s="1">
        <v>0.005299</v>
      </c>
      <c r="BG749" s="1">
        <v>0.008476</v>
      </c>
      <c r="BH749" s="1">
        <v>0.0</v>
      </c>
      <c r="BI749" s="1">
        <v>0.092848</v>
      </c>
      <c r="BJ749" s="1">
        <v>0.081314</v>
      </c>
      <c r="BK749" s="1">
        <v>0.046942</v>
      </c>
      <c r="BL749" s="1">
        <v>0.132815</v>
      </c>
      <c r="BM749" s="1">
        <v>0.582</v>
      </c>
      <c r="BN749" s="1">
        <v>0.074</v>
      </c>
      <c r="BO749" s="1">
        <v>0.3206</v>
      </c>
      <c r="BP749" s="1">
        <v>0.623</v>
      </c>
      <c r="BQ749" s="1">
        <v>1.5996</v>
      </c>
      <c r="BR749" s="1">
        <v>0.3718</v>
      </c>
      <c r="BS749" s="1">
        <v>0.802</v>
      </c>
      <c r="BT749" s="1">
        <v>0.207</v>
      </c>
      <c r="BU749" s="1">
        <v>0.556</v>
      </c>
      <c r="BV749" s="1">
        <v>1.565</v>
      </c>
      <c r="BW749" s="1">
        <v>0.536</v>
      </c>
      <c r="BX749" s="1">
        <v>0.523</v>
      </c>
      <c r="BY749" s="1">
        <v>0.446</v>
      </c>
      <c r="BZ749" s="1">
        <v>0.969</v>
      </c>
      <c r="CA749" s="1">
        <v>0.525</v>
      </c>
      <c r="CB749" s="1">
        <v>0.617</v>
      </c>
      <c r="CC749" s="1">
        <v>0.402</v>
      </c>
      <c r="CD749" s="1">
        <v>0.0</v>
      </c>
      <c r="CE749" s="1">
        <v>0.68</v>
      </c>
      <c r="CF749" s="1">
        <v>0.95</v>
      </c>
      <c r="CG749" s="1">
        <v>2.649</v>
      </c>
      <c r="CH749" s="1">
        <v>0.622</v>
      </c>
      <c r="CI749" s="1">
        <v>6.7826</v>
      </c>
      <c r="CJ749" s="1">
        <v>0.5097</v>
      </c>
      <c r="CK749" s="1">
        <v>0.0</v>
      </c>
      <c r="CL749" s="1">
        <v>0.0</v>
      </c>
      <c r="CM749" s="1">
        <v>0.0</v>
      </c>
      <c r="CN749" s="1">
        <v>0.0</v>
      </c>
      <c r="CO749" s="1">
        <v>0.0</v>
      </c>
      <c r="CP749" s="1">
        <v>0.0</v>
      </c>
      <c r="CQ749" s="1">
        <v>0.0</v>
      </c>
      <c r="CR749" s="1">
        <v>0.0</v>
      </c>
      <c r="CS749" s="1">
        <v>0.0</v>
      </c>
      <c r="CT749" s="1">
        <v>0.0</v>
      </c>
      <c r="CU749" s="1">
        <v>0.0</v>
      </c>
      <c r="CV749" s="1">
        <v>0.0</v>
      </c>
      <c r="CW749" s="1">
        <v>0.0</v>
      </c>
      <c r="CX749" s="1">
        <v>0.0</v>
      </c>
      <c r="CY749" s="1">
        <v>0.0</v>
      </c>
      <c r="CZ749" s="1">
        <v>0.0</v>
      </c>
      <c r="DA749" s="1">
        <v>1.0</v>
      </c>
      <c r="DB749" s="1">
        <v>1.0</v>
      </c>
      <c r="DC749" s="1">
        <v>1.0</v>
      </c>
      <c r="DD749" s="1" t="s">
        <v>3510</v>
      </c>
      <c r="DE749" s="1">
        <v>0.00281642595129759</v>
      </c>
      <c r="DF749" s="2" t="s">
        <v>3511</v>
      </c>
    </row>
    <row r="750" ht="15.75" customHeight="1">
      <c r="A750" s="1" t="s">
        <v>3512</v>
      </c>
      <c r="B750" s="1">
        <v>29.0</v>
      </c>
      <c r="C750" s="1">
        <v>127.0</v>
      </c>
      <c r="D750" s="1">
        <v>960600.0</v>
      </c>
      <c r="E750" s="1">
        <v>1.43</v>
      </c>
      <c r="F750" s="1">
        <v>29127.0</v>
      </c>
      <c r="G750" s="1">
        <v>2.91279606E10</v>
      </c>
      <c r="H750" s="1" t="s">
        <v>112</v>
      </c>
      <c r="I750" s="1" t="s">
        <v>113</v>
      </c>
      <c r="J750" s="1" t="s">
        <v>3489</v>
      </c>
      <c r="K750" s="1" t="s">
        <v>3513</v>
      </c>
      <c r="L750" s="1">
        <v>3543.0</v>
      </c>
      <c r="M750" s="1">
        <v>3358.0</v>
      </c>
      <c r="N750" s="1">
        <v>309.0</v>
      </c>
      <c r="O750" s="1">
        <v>1596.0</v>
      </c>
      <c r="P750" s="1">
        <v>1557.0</v>
      </c>
      <c r="Q750" s="1">
        <v>68.0</v>
      </c>
      <c r="R750" s="1">
        <v>1509.0</v>
      </c>
      <c r="S750" s="1">
        <v>433.0</v>
      </c>
      <c r="T750" s="1">
        <v>221.0</v>
      </c>
      <c r="U750" s="1">
        <v>51.0</v>
      </c>
      <c r="V750" s="1">
        <v>472.0</v>
      </c>
      <c r="W750" s="1">
        <v>21536.0</v>
      </c>
      <c r="X750" s="1">
        <v>2102.0</v>
      </c>
      <c r="Y750" s="1">
        <v>223.0</v>
      </c>
      <c r="Z750" s="1">
        <v>290.0</v>
      </c>
      <c r="AA750" s="1">
        <v>752.0</v>
      </c>
      <c r="AB750" s="1">
        <v>815.0</v>
      </c>
      <c r="AC750" s="1">
        <v>172.0</v>
      </c>
      <c r="AD750" s="1">
        <v>306.0</v>
      </c>
      <c r="AE750" s="1">
        <v>9.0</v>
      </c>
      <c r="AF750" s="1">
        <v>442.0</v>
      </c>
      <c r="AG750" s="1">
        <v>155.0</v>
      </c>
      <c r="AH750" s="1">
        <v>66.0</v>
      </c>
      <c r="AI750" s="1">
        <v>69.0</v>
      </c>
      <c r="AJ750" s="1">
        <v>62.0</v>
      </c>
      <c r="AK750" s="1">
        <v>15.0</v>
      </c>
      <c r="AL750" s="1">
        <v>116.0</v>
      </c>
      <c r="AM750" s="1">
        <v>41.0</v>
      </c>
      <c r="AN750" s="1">
        <v>120.0</v>
      </c>
      <c r="AO750" s="1">
        <v>121.0</v>
      </c>
      <c r="AP750" s="1">
        <v>0.135609</v>
      </c>
      <c r="AQ750" s="1">
        <v>0.068243</v>
      </c>
      <c r="AR750" s="1">
        <v>0.033752</v>
      </c>
      <c r="AS750" s="1">
        <v>0.312325</v>
      </c>
      <c r="AT750" s="1">
        <v>21536.0</v>
      </c>
      <c r="AU750" s="1">
        <v>2102.0</v>
      </c>
      <c r="AV750" s="1">
        <v>0.092723</v>
      </c>
      <c r="AW750" s="1">
        <v>0.120272</v>
      </c>
      <c r="AX750" s="1">
        <v>0.212249</v>
      </c>
      <c r="AY750" s="1">
        <v>0.230031</v>
      </c>
      <c r="AZ750" s="1">
        <v>0.11398277</v>
      </c>
      <c r="BA750" s="1">
        <v>0.086367</v>
      </c>
      <c r="BB750" s="1">
        <v>0.002811</v>
      </c>
      <c r="BC750" s="1">
        <v>0.138081</v>
      </c>
      <c r="BD750" s="1">
        <v>0.09955</v>
      </c>
      <c r="BE750" s="1">
        <v>0.042165</v>
      </c>
      <c r="BF750" s="1">
        <v>0.044315</v>
      </c>
      <c r="BG750" s="1">
        <v>0.039773</v>
      </c>
      <c r="BH750" s="1">
        <v>0.010351</v>
      </c>
      <c r="BI750" s="1">
        <v>0.080051</v>
      </c>
      <c r="BJ750" s="1">
        <v>0.028295</v>
      </c>
      <c r="BK750" s="1">
        <v>0.082789</v>
      </c>
      <c r="BL750" s="1">
        <v>0.034151</v>
      </c>
      <c r="BM750" s="1">
        <v>0.523</v>
      </c>
      <c r="BN750" s="1">
        <v>0.118</v>
      </c>
      <c r="BO750" s="1">
        <v>0.517</v>
      </c>
      <c r="BP750" s="1">
        <v>0.306</v>
      </c>
      <c r="BQ750" s="1">
        <v>1.464</v>
      </c>
      <c r="BR750" s="1">
        <v>0.3321</v>
      </c>
      <c r="BS750" s="1">
        <v>0.913</v>
      </c>
      <c r="BT750" s="1">
        <v>0.387</v>
      </c>
      <c r="BU750" s="1">
        <v>0.622</v>
      </c>
      <c r="BV750" s="1">
        <v>1.922</v>
      </c>
      <c r="BW750" s="1">
        <v>0.815</v>
      </c>
      <c r="BX750" s="1">
        <v>0.418</v>
      </c>
      <c r="BY750" s="1">
        <v>0.438</v>
      </c>
      <c r="BZ750" s="1">
        <v>0.856</v>
      </c>
      <c r="CA750" s="1">
        <v>0.441</v>
      </c>
      <c r="CB750" s="1">
        <v>0.77</v>
      </c>
      <c r="CC750" s="1">
        <v>0.592</v>
      </c>
      <c r="CD750" s="1">
        <v>0.484</v>
      </c>
      <c r="CE750" s="1">
        <v>0.271</v>
      </c>
      <c r="CF750" s="1">
        <v>0.832</v>
      </c>
      <c r="CG750" s="1">
        <v>2.949</v>
      </c>
      <c r="CH750" s="1">
        <v>0.753</v>
      </c>
      <c r="CI750" s="1">
        <v>7.191</v>
      </c>
      <c r="CJ750" s="1">
        <v>0.5899</v>
      </c>
      <c r="CK750" s="1">
        <v>0.0</v>
      </c>
      <c r="CL750" s="1">
        <v>0.0</v>
      </c>
      <c r="CM750" s="1">
        <v>0.0</v>
      </c>
      <c r="CN750" s="1">
        <v>0.0</v>
      </c>
      <c r="CO750" s="1">
        <v>0.0</v>
      </c>
      <c r="CP750" s="1">
        <v>1.0</v>
      </c>
      <c r="CQ750" s="1">
        <v>0.0</v>
      </c>
      <c r="CR750" s="1">
        <v>0.0</v>
      </c>
      <c r="CS750" s="1">
        <v>1.0</v>
      </c>
      <c r="CT750" s="1">
        <v>0.0</v>
      </c>
      <c r="CU750" s="1">
        <v>0.0</v>
      </c>
      <c r="CV750" s="1">
        <v>0.0</v>
      </c>
      <c r="CW750" s="1">
        <v>0.0</v>
      </c>
      <c r="CX750" s="1">
        <v>0.0</v>
      </c>
      <c r="CY750" s="1">
        <v>0.0</v>
      </c>
      <c r="CZ750" s="1">
        <v>0.0</v>
      </c>
      <c r="DA750" s="1">
        <v>0.0</v>
      </c>
      <c r="DB750" s="1">
        <v>0.0</v>
      </c>
      <c r="DC750" s="1">
        <v>1.0</v>
      </c>
      <c r="DD750" s="1" t="s">
        <v>3514</v>
      </c>
      <c r="DE750" s="1">
        <v>3.95769387431154E-4</v>
      </c>
      <c r="DF750" s="2" t="s">
        <v>3515</v>
      </c>
    </row>
    <row r="751" ht="15.75" customHeight="1">
      <c r="A751" s="1" t="s">
        <v>3516</v>
      </c>
      <c r="B751" s="1">
        <v>29.0</v>
      </c>
      <c r="C751" s="1">
        <v>127.0</v>
      </c>
      <c r="D751" s="1">
        <v>960900.0</v>
      </c>
      <c r="E751" s="1">
        <v>2.639</v>
      </c>
      <c r="F751" s="1">
        <v>29127.0</v>
      </c>
      <c r="G751" s="1">
        <v>2.91279609E10</v>
      </c>
      <c r="H751" s="1" t="s">
        <v>112</v>
      </c>
      <c r="I751" s="1" t="s">
        <v>113</v>
      </c>
      <c r="J751" s="1" t="s">
        <v>3489</v>
      </c>
      <c r="K751" s="1" t="s">
        <v>3517</v>
      </c>
      <c r="L751" s="1">
        <v>3426.0</v>
      </c>
      <c r="M751" s="1">
        <v>3340.0</v>
      </c>
      <c r="N751" s="1">
        <v>322.0</v>
      </c>
      <c r="O751" s="1">
        <v>1604.0</v>
      </c>
      <c r="P751" s="1">
        <v>1460.0</v>
      </c>
      <c r="Q751" s="1">
        <v>98.0</v>
      </c>
      <c r="R751" s="1">
        <v>1431.0</v>
      </c>
      <c r="S751" s="1">
        <v>1119.0</v>
      </c>
      <c r="T751" s="1">
        <v>379.0</v>
      </c>
      <c r="U751" s="1">
        <v>168.0</v>
      </c>
      <c r="V751" s="1">
        <v>420.0</v>
      </c>
      <c r="W751" s="1">
        <v>14837.0</v>
      </c>
      <c r="X751" s="1">
        <v>2035.0</v>
      </c>
      <c r="Y751" s="1">
        <v>492.0</v>
      </c>
      <c r="Z751" s="1">
        <v>306.0</v>
      </c>
      <c r="AA751" s="1">
        <v>476.0</v>
      </c>
      <c r="AB751" s="1">
        <v>854.0</v>
      </c>
      <c r="AC751" s="1">
        <v>208.0</v>
      </c>
      <c r="AD751" s="1">
        <v>501.0</v>
      </c>
      <c r="AE751" s="1">
        <v>0.0</v>
      </c>
      <c r="AF751" s="1">
        <v>456.0</v>
      </c>
      <c r="AG751" s="1">
        <v>27.0</v>
      </c>
      <c r="AH751" s="1">
        <v>118.0</v>
      </c>
      <c r="AI751" s="1">
        <v>96.0</v>
      </c>
      <c r="AJ751" s="1">
        <v>50.0</v>
      </c>
      <c r="AK751" s="1">
        <v>81.0</v>
      </c>
      <c r="AL751" s="1">
        <v>128.0</v>
      </c>
      <c r="AM751" s="1">
        <v>164.0</v>
      </c>
      <c r="AN751" s="1">
        <v>76.0</v>
      </c>
      <c r="AO751" s="1">
        <v>26.0</v>
      </c>
      <c r="AP751" s="1">
        <v>0.335029</v>
      </c>
      <c r="AQ751" s="1">
        <v>0.108779</v>
      </c>
      <c r="AR751" s="1">
        <v>0.113667</v>
      </c>
      <c r="AS751" s="1">
        <v>0.283607</v>
      </c>
      <c r="AT751" s="1">
        <v>14837.0</v>
      </c>
      <c r="AU751" s="1">
        <v>2035.0</v>
      </c>
      <c r="AV751" s="1">
        <v>0.242843</v>
      </c>
      <c r="AW751" s="1">
        <v>0.149671</v>
      </c>
      <c r="AX751" s="1">
        <v>0.138937</v>
      </c>
      <c r="AY751" s="1">
        <v>0.24927</v>
      </c>
      <c r="AZ751" s="1">
        <v>0.1453529</v>
      </c>
      <c r="BA751" s="1">
        <v>0.146234</v>
      </c>
      <c r="BB751" s="1">
        <v>0.0</v>
      </c>
      <c r="BC751" s="1">
        <v>0.156808</v>
      </c>
      <c r="BD751" s="1">
        <v>0.018493</v>
      </c>
      <c r="BE751" s="1">
        <v>0.080812</v>
      </c>
      <c r="BF751" s="1">
        <v>0.065753</v>
      </c>
      <c r="BG751" s="1">
        <v>0.03396</v>
      </c>
      <c r="BH751" s="1">
        <v>0.059955</v>
      </c>
      <c r="BI751" s="1">
        <v>0.094611</v>
      </c>
      <c r="BJ751" s="1">
        <v>0.121391</v>
      </c>
      <c r="BK751" s="1">
        <v>0.05533</v>
      </c>
      <c r="BL751" s="1">
        <v>0.007589</v>
      </c>
      <c r="BM751" s="1">
        <v>0.917</v>
      </c>
      <c r="BN751" s="1">
        <v>0.797</v>
      </c>
      <c r="BO751" s="1">
        <v>0.883</v>
      </c>
      <c r="BP751" s="1">
        <v>0.854</v>
      </c>
      <c r="BQ751" s="1">
        <v>3.451</v>
      </c>
      <c r="BR751" s="1">
        <v>0.9097</v>
      </c>
      <c r="BS751" s="1">
        <v>0.487</v>
      </c>
      <c r="BT751" s="1">
        <v>0.59</v>
      </c>
      <c r="BU751" s="1">
        <v>0.779</v>
      </c>
      <c r="BV751" s="1">
        <v>1.856</v>
      </c>
      <c r="BW751" s="1">
        <v>0.773</v>
      </c>
      <c r="BX751" s="1">
        <v>0.612</v>
      </c>
      <c r="BY751" s="1">
        <v>0.0</v>
      </c>
      <c r="BZ751" s="1">
        <v>0.612</v>
      </c>
      <c r="CA751" s="1">
        <v>0.28</v>
      </c>
      <c r="CB751" s="1">
        <v>0.451</v>
      </c>
      <c r="CC751" s="1">
        <v>0.641</v>
      </c>
      <c r="CD751" s="1">
        <v>0.963</v>
      </c>
      <c r="CE751" s="1">
        <v>0.812</v>
      </c>
      <c r="CF751" s="1">
        <v>0.546</v>
      </c>
      <c r="CG751" s="1">
        <v>3.413</v>
      </c>
      <c r="CH751" s="1">
        <v>0.92</v>
      </c>
      <c r="CI751" s="1">
        <v>9.332</v>
      </c>
      <c r="CJ751" s="1">
        <v>0.8924</v>
      </c>
      <c r="CK751" s="1">
        <v>1.0</v>
      </c>
      <c r="CL751" s="1">
        <v>0.0</v>
      </c>
      <c r="CM751" s="1">
        <v>0.0</v>
      </c>
      <c r="CN751" s="1">
        <v>0.0</v>
      </c>
      <c r="CO751" s="1">
        <v>1.0</v>
      </c>
      <c r="CP751" s="1">
        <v>0.0</v>
      </c>
      <c r="CQ751" s="1">
        <v>0.0</v>
      </c>
      <c r="CR751" s="1">
        <v>0.0</v>
      </c>
      <c r="CS751" s="1">
        <v>0.0</v>
      </c>
      <c r="CT751" s="1">
        <v>0.0</v>
      </c>
      <c r="CU751" s="1">
        <v>0.0</v>
      </c>
      <c r="CV751" s="1">
        <v>0.0</v>
      </c>
      <c r="CW751" s="1">
        <v>0.0</v>
      </c>
      <c r="CX751" s="1">
        <v>0.0</v>
      </c>
      <c r="CY751" s="1">
        <v>1.0</v>
      </c>
      <c r="CZ751" s="1">
        <v>0.0</v>
      </c>
      <c r="DA751" s="1">
        <v>0.0</v>
      </c>
      <c r="DB751" s="1">
        <v>1.0</v>
      </c>
      <c r="DC751" s="1">
        <v>2.0</v>
      </c>
      <c r="DD751" s="1" t="s">
        <v>3518</v>
      </c>
      <c r="DE751" s="1">
        <v>7.20470815000498E-4</v>
      </c>
      <c r="DF751" s="2" t="s">
        <v>3519</v>
      </c>
    </row>
    <row r="752" ht="15.75" customHeight="1">
      <c r="A752" s="1" t="s">
        <v>3520</v>
      </c>
      <c r="B752" s="1">
        <v>29.0</v>
      </c>
      <c r="C752" s="1">
        <v>129.0</v>
      </c>
      <c r="D752" s="1">
        <v>470100.0</v>
      </c>
      <c r="E752" s="1">
        <v>267.614</v>
      </c>
      <c r="F752" s="1">
        <v>29129.0</v>
      </c>
      <c r="G752" s="1">
        <v>2.91294701E10</v>
      </c>
      <c r="H752" s="1" t="s">
        <v>112</v>
      </c>
      <c r="I752" s="1" t="s">
        <v>113</v>
      </c>
      <c r="J752" s="1" t="s">
        <v>3521</v>
      </c>
      <c r="K752" s="1" t="s">
        <v>3522</v>
      </c>
      <c r="L752" s="1">
        <v>1432.0</v>
      </c>
      <c r="M752" s="1">
        <v>1583.0</v>
      </c>
      <c r="N752" s="1">
        <v>133.0</v>
      </c>
      <c r="O752" s="1">
        <v>973.0</v>
      </c>
      <c r="P752" s="1">
        <v>1012.0</v>
      </c>
      <c r="Q752" s="1">
        <v>41.0</v>
      </c>
      <c r="R752" s="1">
        <v>608.0</v>
      </c>
      <c r="S752" s="1">
        <v>276.0</v>
      </c>
      <c r="T752" s="1">
        <v>89.0</v>
      </c>
      <c r="U752" s="1">
        <v>44.0</v>
      </c>
      <c r="V752" s="1">
        <v>442.0</v>
      </c>
      <c r="W752" s="1">
        <v>17645.0</v>
      </c>
      <c r="X752" s="1">
        <v>1906.0</v>
      </c>
      <c r="Y752" s="1">
        <v>188.0</v>
      </c>
      <c r="Z752" s="1">
        <v>284.0</v>
      </c>
      <c r="AA752" s="1">
        <v>294.0</v>
      </c>
      <c r="AB752" s="1">
        <v>313.0</v>
      </c>
      <c r="AC752" s="1">
        <v>34.0</v>
      </c>
      <c r="AD752" s="1">
        <v>45.0</v>
      </c>
      <c r="AE752" s="1">
        <v>0.0</v>
      </c>
      <c r="AF752" s="1">
        <v>456.0</v>
      </c>
      <c r="AG752" s="1">
        <v>0.0</v>
      </c>
      <c r="AH752" s="1">
        <v>197.0</v>
      </c>
      <c r="AI752" s="1">
        <v>193.0</v>
      </c>
      <c r="AJ752" s="1">
        <v>39.0</v>
      </c>
      <c r="AK752" s="1">
        <v>8.0</v>
      </c>
      <c r="AL752" s="1">
        <v>114.0</v>
      </c>
      <c r="AM752" s="1">
        <v>54.0</v>
      </c>
      <c r="AN752" s="1">
        <v>21.0</v>
      </c>
      <c r="AO752" s="1">
        <v>0.0</v>
      </c>
      <c r="AP752" s="1">
        <v>0.17715</v>
      </c>
      <c r="AQ752" s="1">
        <v>0.055357</v>
      </c>
      <c r="AR752" s="1">
        <v>0.067381</v>
      </c>
      <c r="AS752" s="1">
        <v>0.67682</v>
      </c>
      <c r="AT752" s="1">
        <v>17645.0</v>
      </c>
      <c r="AU752" s="1">
        <v>1906.0</v>
      </c>
      <c r="AV752" s="1">
        <v>0.168157</v>
      </c>
      <c r="AW752" s="1">
        <v>0.253774</v>
      </c>
      <c r="AX752" s="1">
        <v>0.205307</v>
      </c>
      <c r="AY752" s="1">
        <v>0.218575</v>
      </c>
      <c r="AZ752" s="1">
        <v>0.05592105</v>
      </c>
      <c r="BA752" s="1">
        <v>0.031424</v>
      </c>
      <c r="BB752" s="1">
        <v>0.0</v>
      </c>
      <c r="BC752" s="1">
        <v>0.307277</v>
      </c>
      <c r="BD752" s="1">
        <v>0.0</v>
      </c>
      <c r="BE752" s="1">
        <v>0.194664</v>
      </c>
      <c r="BF752" s="1">
        <v>0.190711</v>
      </c>
      <c r="BG752" s="1">
        <v>0.037755</v>
      </c>
      <c r="BH752" s="1">
        <v>0.012158</v>
      </c>
      <c r="BI752" s="1">
        <v>0.173248</v>
      </c>
      <c r="BJ752" s="1">
        <v>0.082066</v>
      </c>
      <c r="BK752" s="1">
        <v>0.031025</v>
      </c>
      <c r="BL752" s="1">
        <v>0.0</v>
      </c>
      <c r="BM752" s="1">
        <v>0.67</v>
      </c>
      <c r="BN752" s="1">
        <v>0.492</v>
      </c>
      <c r="BO752" s="1">
        <v>0.7502</v>
      </c>
      <c r="BP752" s="1">
        <v>0.647</v>
      </c>
      <c r="BQ752" s="1">
        <v>2.5592</v>
      </c>
      <c r="BR752" s="1">
        <v>0.6852</v>
      </c>
      <c r="BS752" s="1">
        <v>0.895</v>
      </c>
      <c r="BT752" s="1">
        <v>0.294</v>
      </c>
      <c r="BU752" s="1">
        <v>0.108</v>
      </c>
      <c r="BV752" s="1">
        <v>1.297</v>
      </c>
      <c r="BW752" s="1">
        <v>0.302</v>
      </c>
      <c r="BX752" s="1">
        <v>0.09</v>
      </c>
      <c r="BY752" s="1">
        <v>0.0</v>
      </c>
      <c r="BZ752" s="1">
        <v>0.09</v>
      </c>
      <c r="CA752" s="1">
        <v>0.042</v>
      </c>
      <c r="CB752" s="1">
        <v>0.0</v>
      </c>
      <c r="CC752" s="1">
        <v>0.884</v>
      </c>
      <c r="CD752" s="1">
        <v>0.532</v>
      </c>
      <c r="CE752" s="1">
        <v>0.688</v>
      </c>
      <c r="CF752" s="1">
        <v>0.0</v>
      </c>
      <c r="CG752" s="1">
        <v>2.104</v>
      </c>
      <c r="CH752" s="1">
        <v>0.382</v>
      </c>
      <c r="CI752" s="1">
        <v>6.0502</v>
      </c>
      <c r="CJ752" s="1">
        <v>0.3791</v>
      </c>
      <c r="CK752" s="1">
        <v>0.0</v>
      </c>
      <c r="CL752" s="1">
        <v>0.0</v>
      </c>
      <c r="CM752" s="1">
        <v>0.0</v>
      </c>
      <c r="CN752" s="1">
        <v>0.0</v>
      </c>
      <c r="CO752" s="1">
        <v>0.0</v>
      </c>
      <c r="CP752" s="1">
        <v>0.0</v>
      </c>
      <c r="CQ752" s="1">
        <v>0.0</v>
      </c>
      <c r="CR752" s="1">
        <v>0.0</v>
      </c>
      <c r="CS752" s="1">
        <v>0.0</v>
      </c>
      <c r="CT752" s="1">
        <v>0.0</v>
      </c>
      <c r="CU752" s="1">
        <v>0.0</v>
      </c>
      <c r="CV752" s="1">
        <v>0.0</v>
      </c>
      <c r="CW752" s="1">
        <v>0.0</v>
      </c>
      <c r="CX752" s="1">
        <v>0.0</v>
      </c>
      <c r="CY752" s="1">
        <v>0.0</v>
      </c>
      <c r="CZ752" s="1">
        <v>0.0</v>
      </c>
      <c r="DA752" s="1">
        <v>0.0</v>
      </c>
      <c r="DB752" s="1">
        <v>0.0</v>
      </c>
      <c r="DC752" s="1">
        <v>0.0</v>
      </c>
      <c r="DD752" s="1" t="s">
        <v>3523</v>
      </c>
      <c r="DE752" s="1">
        <v>0.0738445690991949</v>
      </c>
      <c r="DF752" s="2" t="s">
        <v>3524</v>
      </c>
    </row>
    <row r="753" ht="15.75" customHeight="1">
      <c r="A753" s="1" t="s">
        <v>3525</v>
      </c>
      <c r="B753" s="1">
        <v>29.0</v>
      </c>
      <c r="C753" s="1">
        <v>129.0</v>
      </c>
      <c r="D753" s="1">
        <v>470200.0</v>
      </c>
      <c r="E753" s="1">
        <v>186.222</v>
      </c>
      <c r="F753" s="1">
        <v>29129.0</v>
      </c>
      <c r="G753" s="1">
        <v>2.91294702E10</v>
      </c>
      <c r="H753" s="1" t="s">
        <v>112</v>
      </c>
      <c r="I753" s="1" t="s">
        <v>113</v>
      </c>
      <c r="J753" s="1" t="s">
        <v>3521</v>
      </c>
      <c r="K753" s="1" t="s">
        <v>3526</v>
      </c>
      <c r="L753" s="1">
        <v>2353.0</v>
      </c>
      <c r="M753" s="1">
        <v>2148.0</v>
      </c>
      <c r="N753" s="1">
        <v>133.0</v>
      </c>
      <c r="O753" s="1">
        <v>1162.0</v>
      </c>
      <c r="P753" s="1">
        <v>1132.0</v>
      </c>
      <c r="Q753" s="1">
        <v>48.0</v>
      </c>
      <c r="R753" s="1">
        <v>952.0</v>
      </c>
      <c r="S753" s="1">
        <v>306.0</v>
      </c>
      <c r="T753" s="1">
        <v>87.0</v>
      </c>
      <c r="U753" s="1">
        <v>105.0</v>
      </c>
      <c r="V753" s="1">
        <v>414.0</v>
      </c>
      <c r="W753" s="1">
        <v>20052.0</v>
      </c>
      <c r="X753" s="1">
        <v>1901.0</v>
      </c>
      <c r="Y753" s="1">
        <v>139.0</v>
      </c>
      <c r="Z753" s="1">
        <v>259.0</v>
      </c>
      <c r="AA753" s="1">
        <v>469.0</v>
      </c>
      <c r="AB753" s="1">
        <v>650.0</v>
      </c>
      <c r="AC753" s="1">
        <v>73.0</v>
      </c>
      <c r="AD753" s="1">
        <v>57.0</v>
      </c>
      <c r="AE753" s="1">
        <v>4.0</v>
      </c>
      <c r="AF753" s="1">
        <v>442.0</v>
      </c>
      <c r="AG753" s="1">
        <v>136.0</v>
      </c>
      <c r="AH753" s="1">
        <v>40.0</v>
      </c>
      <c r="AI753" s="1">
        <v>56.0</v>
      </c>
      <c r="AJ753" s="1">
        <v>30.0</v>
      </c>
      <c r="AK753" s="1">
        <v>13.0</v>
      </c>
      <c r="AL753" s="1">
        <v>115.0</v>
      </c>
      <c r="AM753" s="1">
        <v>76.0</v>
      </c>
      <c r="AN753" s="1">
        <v>29.0</v>
      </c>
      <c r="AO753" s="1">
        <v>51.0</v>
      </c>
      <c r="AP753" s="1">
        <v>0.144954</v>
      </c>
      <c r="AQ753" s="1">
        <v>0.040075</v>
      </c>
      <c r="AR753" s="1">
        <v>0.109489</v>
      </c>
      <c r="AS753" s="1">
        <v>0.431182</v>
      </c>
      <c r="AT753" s="1">
        <v>20052.0</v>
      </c>
      <c r="AU753" s="1">
        <v>1901.0</v>
      </c>
      <c r="AV753" s="1">
        <v>0.09606</v>
      </c>
      <c r="AW753" s="1">
        <v>0.178918</v>
      </c>
      <c r="AX753" s="1">
        <v>0.19932</v>
      </c>
      <c r="AY753" s="1">
        <v>0.276243</v>
      </c>
      <c r="AZ753" s="1">
        <v>0.07668067</v>
      </c>
      <c r="BA753" s="1">
        <v>0.024224</v>
      </c>
      <c r="BB753" s="1">
        <v>0.002</v>
      </c>
      <c r="BC753" s="1">
        <v>0.220999</v>
      </c>
      <c r="BD753" s="1">
        <v>0.120141</v>
      </c>
      <c r="BE753" s="1">
        <v>0.034966</v>
      </c>
      <c r="BF753" s="1">
        <v>0.049469</v>
      </c>
      <c r="BG753" s="1">
        <v>0.026418</v>
      </c>
      <c r="BH753" s="1">
        <v>0.014508</v>
      </c>
      <c r="BI753" s="1">
        <v>0.128342</v>
      </c>
      <c r="BJ753" s="1">
        <v>0.084821</v>
      </c>
      <c r="BK753" s="1">
        <v>0.031619</v>
      </c>
      <c r="BL753" s="1">
        <v>0.021674</v>
      </c>
      <c r="BM753" s="1">
        <v>0.563</v>
      </c>
      <c r="BN753" s="1">
        <v>0.786</v>
      </c>
      <c r="BO753" s="1">
        <v>0.6094</v>
      </c>
      <c r="BP753" s="1">
        <v>0.317</v>
      </c>
      <c r="BQ753" s="1">
        <v>2.2754</v>
      </c>
      <c r="BR753" s="1">
        <v>0.5913</v>
      </c>
      <c r="BS753" s="1">
        <v>0.868</v>
      </c>
      <c r="BT753" s="1">
        <v>0.83</v>
      </c>
      <c r="BU753" s="1">
        <v>0.269</v>
      </c>
      <c r="BV753" s="1">
        <v>1.967</v>
      </c>
      <c r="BW753" s="1">
        <v>0.843</v>
      </c>
      <c r="BX753" s="1">
        <v>0.039</v>
      </c>
      <c r="BY753" s="1">
        <v>0.379</v>
      </c>
      <c r="BZ753" s="1">
        <v>0.418</v>
      </c>
      <c r="CA753" s="1">
        <v>0.173</v>
      </c>
      <c r="CB753" s="1">
        <v>0.802</v>
      </c>
      <c r="CC753" s="1">
        <v>0.605</v>
      </c>
      <c r="CD753" s="1">
        <v>0.583</v>
      </c>
      <c r="CE753" s="1">
        <v>0.701</v>
      </c>
      <c r="CF753" s="1">
        <v>0.73</v>
      </c>
      <c r="CG753" s="1">
        <v>3.421</v>
      </c>
      <c r="CH753" s="1">
        <v>0.922</v>
      </c>
      <c r="CI753" s="1">
        <v>8.0814</v>
      </c>
      <c r="CJ753" s="1">
        <v>0.7278</v>
      </c>
      <c r="CK753" s="1">
        <v>0.0</v>
      </c>
      <c r="CL753" s="1">
        <v>0.0</v>
      </c>
      <c r="CM753" s="1">
        <v>0.0</v>
      </c>
      <c r="CN753" s="1">
        <v>0.0</v>
      </c>
      <c r="CO753" s="1">
        <v>0.0</v>
      </c>
      <c r="CP753" s="1">
        <v>0.0</v>
      </c>
      <c r="CQ753" s="1">
        <v>0.0</v>
      </c>
      <c r="CR753" s="1">
        <v>0.0</v>
      </c>
      <c r="CS753" s="1">
        <v>0.0</v>
      </c>
      <c r="CT753" s="1">
        <v>0.0</v>
      </c>
      <c r="CU753" s="1">
        <v>0.0</v>
      </c>
      <c r="CV753" s="1">
        <v>0.0</v>
      </c>
      <c r="CW753" s="1">
        <v>0.0</v>
      </c>
      <c r="CX753" s="1">
        <v>0.0</v>
      </c>
      <c r="CY753" s="1">
        <v>0.0</v>
      </c>
      <c r="CZ753" s="1">
        <v>0.0</v>
      </c>
      <c r="DA753" s="1">
        <v>0.0</v>
      </c>
      <c r="DB753" s="1">
        <v>0.0</v>
      </c>
      <c r="DC753" s="1">
        <v>0.0</v>
      </c>
      <c r="DD753" s="1" t="s">
        <v>3527</v>
      </c>
      <c r="DE753" s="1">
        <v>0.051286038187659</v>
      </c>
      <c r="DF753" s="2" t="s">
        <v>3528</v>
      </c>
    </row>
    <row r="754" ht="15.75" customHeight="1">
      <c r="A754" s="1" t="s">
        <v>3529</v>
      </c>
      <c r="B754" s="1">
        <v>29.0</v>
      </c>
      <c r="C754" s="1">
        <v>131.0</v>
      </c>
      <c r="D754" s="1">
        <v>962900.0</v>
      </c>
      <c r="E754" s="1">
        <v>7.149</v>
      </c>
      <c r="F754" s="1">
        <v>29131.0</v>
      </c>
      <c r="G754" s="1">
        <v>2.91319629E10</v>
      </c>
      <c r="H754" s="1" t="s">
        <v>112</v>
      </c>
      <c r="I754" s="1" t="s">
        <v>113</v>
      </c>
      <c r="J754" s="1" t="s">
        <v>3530</v>
      </c>
      <c r="K754" s="1" t="s">
        <v>3531</v>
      </c>
      <c r="L754" s="1">
        <v>5152.0</v>
      </c>
      <c r="M754" s="1">
        <v>4963.0</v>
      </c>
      <c r="N754" s="1">
        <v>151.0</v>
      </c>
      <c r="O754" s="1">
        <v>2517.0</v>
      </c>
      <c r="P754" s="1">
        <v>2680.0</v>
      </c>
      <c r="Q754" s="1">
        <v>243.0</v>
      </c>
      <c r="R754" s="1">
        <v>2225.0</v>
      </c>
      <c r="S754" s="1">
        <v>833.0</v>
      </c>
      <c r="T754" s="1">
        <v>397.0</v>
      </c>
      <c r="U754" s="1">
        <v>279.0</v>
      </c>
      <c r="V754" s="1">
        <v>361.0</v>
      </c>
      <c r="W754" s="1">
        <v>19043.0</v>
      </c>
      <c r="X754" s="1">
        <v>2222.0</v>
      </c>
      <c r="Y754" s="1">
        <v>326.0</v>
      </c>
      <c r="Z754" s="1">
        <v>302.0</v>
      </c>
      <c r="AA754" s="1">
        <v>986.0</v>
      </c>
      <c r="AB754" s="1">
        <v>1260.0</v>
      </c>
      <c r="AC754" s="1">
        <v>314.0</v>
      </c>
      <c r="AD754" s="1">
        <v>239.0</v>
      </c>
      <c r="AE754" s="1">
        <v>9.0</v>
      </c>
      <c r="AF754" s="1">
        <v>442.0</v>
      </c>
      <c r="AG754" s="1">
        <v>146.0</v>
      </c>
      <c r="AH754" s="1">
        <v>140.0</v>
      </c>
      <c r="AI754" s="1">
        <v>369.0</v>
      </c>
      <c r="AJ754" s="1">
        <v>124.0</v>
      </c>
      <c r="AK754" s="1">
        <v>53.0</v>
      </c>
      <c r="AL754" s="1">
        <v>128.0</v>
      </c>
      <c r="AM754" s="1">
        <v>331.0</v>
      </c>
      <c r="AN754" s="1">
        <v>143.0</v>
      </c>
      <c r="AO754" s="1">
        <v>69.0</v>
      </c>
      <c r="AP754" s="1">
        <v>0.170243</v>
      </c>
      <c r="AQ754" s="1">
        <v>0.080866</v>
      </c>
      <c r="AR754" s="1">
        <v>0.116444</v>
      </c>
      <c r="AS754" s="1">
        <v>0.150016</v>
      </c>
      <c r="AT754" s="1">
        <v>19043.0</v>
      </c>
      <c r="AU754" s="1">
        <v>2222.0</v>
      </c>
      <c r="AV754" s="1">
        <v>0.099663</v>
      </c>
      <c r="AW754" s="1">
        <v>0.092048</v>
      </c>
      <c r="AX754" s="1">
        <v>0.191381</v>
      </c>
      <c r="AY754" s="1">
        <v>0.244565</v>
      </c>
      <c r="AZ754" s="1">
        <v>0.14112359</v>
      </c>
      <c r="BA754" s="1">
        <v>0.046389</v>
      </c>
      <c r="BB754" s="1">
        <v>0.001927</v>
      </c>
      <c r="BC754" s="1">
        <v>0.094666</v>
      </c>
      <c r="BD754" s="1">
        <v>0.054477</v>
      </c>
      <c r="BE754" s="1">
        <v>0.052004</v>
      </c>
      <c r="BF754" s="1">
        <v>0.137686</v>
      </c>
      <c r="BG754" s="1">
        <v>0.044552</v>
      </c>
      <c r="BH754" s="1">
        <v>0.021991</v>
      </c>
      <c r="BI754" s="1">
        <v>0.053079</v>
      </c>
      <c r="BJ754" s="1">
        <v>0.137344</v>
      </c>
      <c r="BK754" s="1">
        <v>0.058186</v>
      </c>
      <c r="BL754" s="1">
        <v>0.013392</v>
      </c>
      <c r="BM754" s="1">
        <v>0.643</v>
      </c>
      <c r="BN754" s="1">
        <v>0.81</v>
      </c>
      <c r="BO754" s="1">
        <v>0.6671</v>
      </c>
      <c r="BP754" s="1">
        <v>0.338</v>
      </c>
      <c r="BQ754" s="1">
        <v>2.4581</v>
      </c>
      <c r="BR754" s="1">
        <v>0.652</v>
      </c>
      <c r="BS754" s="1">
        <v>0.845</v>
      </c>
      <c r="BT754" s="1">
        <v>0.541</v>
      </c>
      <c r="BU754" s="1">
        <v>0.765</v>
      </c>
      <c r="BV754" s="1">
        <v>2.151</v>
      </c>
      <c r="BW754" s="1">
        <v>0.95</v>
      </c>
      <c r="BX754" s="1">
        <v>0.223</v>
      </c>
      <c r="BY754" s="1">
        <v>0.377</v>
      </c>
      <c r="BZ754" s="1">
        <v>0.6</v>
      </c>
      <c r="CA754" s="1">
        <v>0.269</v>
      </c>
      <c r="CB754" s="1">
        <v>0.667</v>
      </c>
      <c r="CC754" s="1">
        <v>0.794</v>
      </c>
      <c r="CD754" s="1">
        <v>0.71</v>
      </c>
      <c r="CE754" s="1">
        <v>0.841</v>
      </c>
      <c r="CF754" s="1">
        <v>0.626</v>
      </c>
      <c r="CG754" s="1">
        <v>3.638</v>
      </c>
      <c r="CH754" s="1">
        <v>0.966</v>
      </c>
      <c r="CI754" s="1">
        <v>8.8471</v>
      </c>
      <c r="CJ754" s="1">
        <v>0.8332</v>
      </c>
      <c r="CK754" s="1">
        <v>0.0</v>
      </c>
      <c r="CL754" s="1">
        <v>0.0</v>
      </c>
      <c r="CM754" s="1">
        <v>0.0</v>
      </c>
      <c r="CN754" s="1">
        <v>0.0</v>
      </c>
      <c r="CO754" s="1">
        <v>0.0</v>
      </c>
      <c r="CP754" s="1">
        <v>0.0</v>
      </c>
      <c r="CQ754" s="1">
        <v>0.0</v>
      </c>
      <c r="CR754" s="1">
        <v>0.0</v>
      </c>
      <c r="CS754" s="1">
        <v>0.0</v>
      </c>
      <c r="CT754" s="1">
        <v>0.0</v>
      </c>
      <c r="CU754" s="1">
        <v>0.0</v>
      </c>
      <c r="CV754" s="1">
        <v>0.0</v>
      </c>
      <c r="CW754" s="1">
        <v>0.0</v>
      </c>
      <c r="CX754" s="1">
        <v>0.0</v>
      </c>
      <c r="CY754" s="1">
        <v>0.0</v>
      </c>
      <c r="CZ754" s="1">
        <v>0.0</v>
      </c>
      <c r="DA754" s="1">
        <v>0.0</v>
      </c>
      <c r="DB754" s="1">
        <v>0.0</v>
      </c>
      <c r="DC754" s="1">
        <v>0.0</v>
      </c>
      <c r="DD754" s="1" t="s">
        <v>3532</v>
      </c>
      <c r="DE754" s="1">
        <v>0.00191162442990135</v>
      </c>
      <c r="DF754" s="2" t="s">
        <v>3533</v>
      </c>
    </row>
    <row r="755" ht="15.75" customHeight="1">
      <c r="A755" s="1" t="s">
        <v>3534</v>
      </c>
      <c r="B755" s="1">
        <v>29.0</v>
      </c>
      <c r="C755" s="1">
        <v>131.0</v>
      </c>
      <c r="D755" s="1">
        <v>962700.0</v>
      </c>
      <c r="E755" s="1">
        <v>52.679</v>
      </c>
      <c r="F755" s="1">
        <v>29131.0</v>
      </c>
      <c r="G755" s="1">
        <v>2.91319627E10</v>
      </c>
      <c r="H755" s="1" t="s">
        <v>112</v>
      </c>
      <c r="I755" s="1" t="s">
        <v>113</v>
      </c>
      <c r="J755" s="1" t="s">
        <v>3530</v>
      </c>
      <c r="K755" s="1" t="s">
        <v>3535</v>
      </c>
      <c r="L755" s="1">
        <v>4357.0</v>
      </c>
      <c r="M755" s="1">
        <v>4073.0</v>
      </c>
      <c r="N755" s="1">
        <v>341.0</v>
      </c>
      <c r="O755" s="1">
        <v>3220.0</v>
      </c>
      <c r="P755" s="1">
        <v>2867.0</v>
      </c>
      <c r="Q755" s="1">
        <v>105.0</v>
      </c>
      <c r="R755" s="1">
        <v>1777.0</v>
      </c>
      <c r="S755" s="1">
        <v>804.0</v>
      </c>
      <c r="T755" s="1">
        <v>284.0</v>
      </c>
      <c r="U755" s="1">
        <v>188.0</v>
      </c>
      <c r="V755" s="1">
        <v>352.0</v>
      </c>
      <c r="W755" s="1">
        <v>19107.0</v>
      </c>
      <c r="X755" s="1">
        <v>1712.0</v>
      </c>
      <c r="Y755" s="1">
        <v>365.0</v>
      </c>
      <c r="Z755" s="1">
        <v>232.0</v>
      </c>
      <c r="AA755" s="1">
        <v>705.0</v>
      </c>
      <c r="AB755" s="1">
        <v>996.0</v>
      </c>
      <c r="AC755" s="1">
        <v>181.0</v>
      </c>
      <c r="AD755" s="1">
        <v>187.0</v>
      </c>
      <c r="AE755" s="1">
        <v>0.0</v>
      </c>
      <c r="AF755" s="1">
        <v>456.0</v>
      </c>
      <c r="AG755" s="1">
        <v>277.0</v>
      </c>
      <c r="AH755" s="1">
        <v>97.0</v>
      </c>
      <c r="AI755" s="1">
        <v>441.0</v>
      </c>
      <c r="AJ755" s="1">
        <v>120.0</v>
      </c>
      <c r="AK755" s="1">
        <v>26.0</v>
      </c>
      <c r="AL755" s="1">
        <v>118.0</v>
      </c>
      <c r="AM755" s="1">
        <v>137.0</v>
      </c>
      <c r="AN755" s="1">
        <v>70.0</v>
      </c>
      <c r="AO755" s="1">
        <v>0.0</v>
      </c>
      <c r="AP755" s="1">
        <v>0.198518</v>
      </c>
      <c r="AQ755" s="1">
        <v>0.068161</v>
      </c>
      <c r="AR755" s="1">
        <v>0.095528</v>
      </c>
      <c r="AS755" s="1">
        <v>0.178485</v>
      </c>
      <c r="AT755" s="1">
        <v>19107.0</v>
      </c>
      <c r="AU755" s="1">
        <v>1712.0</v>
      </c>
      <c r="AV755" s="1">
        <v>0.133065</v>
      </c>
      <c r="AW755" s="1">
        <v>0.083877</v>
      </c>
      <c r="AX755" s="1">
        <v>0.161808</v>
      </c>
      <c r="AY755" s="1">
        <v>0.228597</v>
      </c>
      <c r="AZ755" s="1">
        <v>0.10185706</v>
      </c>
      <c r="BA755" s="1">
        <v>0.042919</v>
      </c>
      <c r="BB755" s="1">
        <v>0.0</v>
      </c>
      <c r="BC755" s="1">
        <v>0.11838</v>
      </c>
      <c r="BD755" s="1">
        <v>0.096616</v>
      </c>
      <c r="BE755" s="1">
        <v>0.033647</v>
      </c>
      <c r="BF755" s="1">
        <v>0.153819</v>
      </c>
      <c r="BG755" s="1">
        <v>0.041474</v>
      </c>
      <c r="BH755" s="1">
        <v>0.015037</v>
      </c>
      <c r="BI755" s="1">
        <v>0.068235</v>
      </c>
      <c r="BJ755" s="1">
        <v>0.079236</v>
      </c>
      <c r="BK755" s="1">
        <v>0.039905</v>
      </c>
      <c r="BL755" s="1">
        <v>0.0</v>
      </c>
      <c r="BM755" s="1">
        <v>0.726</v>
      </c>
      <c r="BN755" s="1">
        <v>0.707</v>
      </c>
      <c r="BO755" s="1">
        <v>0.6628</v>
      </c>
      <c r="BP755" s="1">
        <v>0.484</v>
      </c>
      <c r="BQ755" s="1">
        <v>2.5798</v>
      </c>
      <c r="BR755" s="1">
        <v>0.6953</v>
      </c>
      <c r="BS755" s="1">
        <v>0.68</v>
      </c>
      <c r="BT755" s="1">
        <v>0.37</v>
      </c>
      <c r="BU755" s="1">
        <v>0.506</v>
      </c>
      <c r="BV755" s="1">
        <v>1.556</v>
      </c>
      <c r="BW755" s="1">
        <v>0.527</v>
      </c>
      <c r="BX755" s="1">
        <v>0.196</v>
      </c>
      <c r="BY755" s="1">
        <v>0.0</v>
      </c>
      <c r="BZ755" s="1">
        <v>0.196</v>
      </c>
      <c r="CA755" s="1">
        <v>0.089</v>
      </c>
      <c r="CB755" s="1">
        <v>0.765</v>
      </c>
      <c r="CC755" s="1">
        <v>0.825</v>
      </c>
      <c r="CD755" s="1">
        <v>0.597</v>
      </c>
      <c r="CE755" s="1">
        <v>0.669</v>
      </c>
      <c r="CF755" s="1">
        <v>0.0</v>
      </c>
      <c r="CG755" s="1">
        <v>2.856</v>
      </c>
      <c r="CH755" s="1">
        <v>0.712</v>
      </c>
      <c r="CI755" s="1">
        <v>7.1878</v>
      </c>
      <c r="CJ755" s="1">
        <v>0.5884</v>
      </c>
      <c r="CK755" s="1">
        <v>0.0</v>
      </c>
      <c r="CL755" s="1">
        <v>0.0</v>
      </c>
      <c r="CM755" s="1">
        <v>0.0</v>
      </c>
      <c r="CN755" s="1">
        <v>0.0</v>
      </c>
      <c r="CO755" s="1">
        <v>0.0</v>
      </c>
      <c r="CP755" s="1">
        <v>0.0</v>
      </c>
      <c r="CQ755" s="1">
        <v>0.0</v>
      </c>
      <c r="CR755" s="1">
        <v>0.0</v>
      </c>
      <c r="CS755" s="1">
        <v>0.0</v>
      </c>
      <c r="CT755" s="1">
        <v>0.0</v>
      </c>
      <c r="CU755" s="1">
        <v>0.0</v>
      </c>
      <c r="CV755" s="1">
        <v>0.0</v>
      </c>
      <c r="CW755" s="1">
        <v>0.0</v>
      </c>
      <c r="CX755" s="1">
        <v>0.0</v>
      </c>
      <c r="CY755" s="1">
        <v>0.0</v>
      </c>
      <c r="CZ755" s="1">
        <v>0.0</v>
      </c>
      <c r="DA755" s="1">
        <v>0.0</v>
      </c>
      <c r="DB755" s="1">
        <v>0.0</v>
      </c>
      <c r="DC755" s="1">
        <v>0.0</v>
      </c>
      <c r="DD755" s="1" t="s">
        <v>3536</v>
      </c>
      <c r="DE755" s="1">
        <v>0.0147474417098806</v>
      </c>
      <c r="DF755" s="2" t="s">
        <v>3537</v>
      </c>
    </row>
    <row r="756" ht="15.75" customHeight="1">
      <c r="A756" s="1" t="s">
        <v>3538</v>
      </c>
      <c r="B756" s="1">
        <v>29.0</v>
      </c>
      <c r="C756" s="1">
        <v>131.0</v>
      </c>
      <c r="D756" s="1">
        <v>962500.0</v>
      </c>
      <c r="E756" s="1">
        <v>264.059</v>
      </c>
      <c r="F756" s="1">
        <v>29131.0</v>
      </c>
      <c r="G756" s="1">
        <v>2.91319625E10</v>
      </c>
      <c r="H756" s="1" t="s">
        <v>112</v>
      </c>
      <c r="I756" s="1" t="s">
        <v>113</v>
      </c>
      <c r="J756" s="1" t="s">
        <v>3530</v>
      </c>
      <c r="K756" s="1" t="s">
        <v>3539</v>
      </c>
      <c r="L756" s="1">
        <v>5656.0</v>
      </c>
      <c r="M756" s="1">
        <v>6512.0</v>
      </c>
      <c r="N756" s="1">
        <v>513.0</v>
      </c>
      <c r="O756" s="1">
        <v>2477.0</v>
      </c>
      <c r="P756" s="1">
        <v>2839.0</v>
      </c>
      <c r="Q756" s="1">
        <v>158.0</v>
      </c>
      <c r="R756" s="1">
        <v>2127.0</v>
      </c>
      <c r="S756" s="1">
        <v>687.0</v>
      </c>
      <c r="T756" s="1">
        <v>418.0</v>
      </c>
      <c r="U756" s="1">
        <v>237.0</v>
      </c>
      <c r="V756" s="1">
        <v>342.0</v>
      </c>
      <c r="W756" s="1">
        <v>17209.0</v>
      </c>
      <c r="X756" s="1">
        <v>1668.0</v>
      </c>
      <c r="Y756" s="1">
        <v>847.0</v>
      </c>
      <c r="Z756" s="1">
        <v>251.0</v>
      </c>
      <c r="AA756" s="1">
        <v>779.0</v>
      </c>
      <c r="AB756" s="1">
        <v>1561.0</v>
      </c>
      <c r="AC756" s="1">
        <v>199.0</v>
      </c>
      <c r="AD756" s="1">
        <v>139.0</v>
      </c>
      <c r="AE756" s="1">
        <v>10.0</v>
      </c>
      <c r="AF756" s="1">
        <v>442.0</v>
      </c>
      <c r="AG756" s="1">
        <v>5.0</v>
      </c>
      <c r="AH756" s="1">
        <v>161.0</v>
      </c>
      <c r="AI756" s="1">
        <v>516.0</v>
      </c>
      <c r="AJ756" s="1">
        <v>137.0</v>
      </c>
      <c r="AK756" s="1">
        <v>156.0</v>
      </c>
      <c r="AL756" s="1">
        <v>171.0</v>
      </c>
      <c r="AM756" s="1">
        <v>94.0</v>
      </c>
      <c r="AN756" s="1">
        <v>42.0</v>
      </c>
      <c r="AO756" s="1">
        <v>34.0</v>
      </c>
      <c r="AP756" s="1">
        <v>0.105692</v>
      </c>
      <c r="AQ756" s="1">
        <v>0.063768</v>
      </c>
      <c r="AR756" s="1">
        <v>0.074387</v>
      </c>
      <c r="AS756" s="1">
        <v>0.107114</v>
      </c>
      <c r="AT756" s="1">
        <v>17209.0</v>
      </c>
      <c r="AU756" s="1">
        <v>1668.0</v>
      </c>
      <c r="AV756" s="1">
        <v>0.199106</v>
      </c>
      <c r="AW756" s="1">
        <v>0.057571</v>
      </c>
      <c r="AX756" s="1">
        <v>0.137729</v>
      </c>
      <c r="AY756" s="1">
        <v>0.27599</v>
      </c>
      <c r="AZ756" s="1">
        <v>0.093559</v>
      </c>
      <c r="BA756" s="1">
        <v>0.024575</v>
      </c>
      <c r="BB756" s="1">
        <v>0.001688</v>
      </c>
      <c r="BC756" s="1">
        <v>0.074624</v>
      </c>
      <c r="BD756" s="1">
        <v>0.001761</v>
      </c>
      <c r="BE756" s="1">
        <v>0.05671</v>
      </c>
      <c r="BF756" s="1">
        <v>0.181754</v>
      </c>
      <c r="BG756" s="1">
        <v>0.047184</v>
      </c>
      <c r="BH756" s="1">
        <v>0.060795</v>
      </c>
      <c r="BI756" s="1">
        <v>0.066513</v>
      </c>
      <c r="BJ756" s="1">
        <v>0.036632</v>
      </c>
      <c r="BK756" s="1">
        <v>0.016178</v>
      </c>
      <c r="BL756" s="1">
        <v>0.006011</v>
      </c>
      <c r="BM756" s="1">
        <v>0.395</v>
      </c>
      <c r="BN756" s="1">
        <v>0.55</v>
      </c>
      <c r="BO756" s="1">
        <v>0.774</v>
      </c>
      <c r="BP756" s="1">
        <v>0.749</v>
      </c>
      <c r="BQ756" s="1">
        <v>2.468</v>
      </c>
      <c r="BR756" s="1">
        <v>0.6556</v>
      </c>
      <c r="BS756" s="1">
        <v>0.477</v>
      </c>
      <c r="BT756" s="1">
        <v>0.828</v>
      </c>
      <c r="BU756" s="1">
        <v>0.436</v>
      </c>
      <c r="BV756" s="1">
        <v>1.741</v>
      </c>
      <c r="BW756" s="1">
        <v>0.674</v>
      </c>
      <c r="BX756" s="1">
        <v>0.042</v>
      </c>
      <c r="BY756" s="1">
        <v>0.366</v>
      </c>
      <c r="BZ756" s="1">
        <v>0.408</v>
      </c>
      <c r="CA756" s="1">
        <v>0.167</v>
      </c>
      <c r="CB756" s="1">
        <v>0.269</v>
      </c>
      <c r="CC756" s="1">
        <v>0.871</v>
      </c>
      <c r="CD756" s="1">
        <v>0.964</v>
      </c>
      <c r="CE756" s="1">
        <v>0.352</v>
      </c>
      <c r="CF756" s="1">
        <v>0.53</v>
      </c>
      <c r="CG756" s="1">
        <v>2.986</v>
      </c>
      <c r="CH756" s="1">
        <v>0.771</v>
      </c>
      <c r="CI756" s="1">
        <v>7.603</v>
      </c>
      <c r="CJ756" s="1">
        <v>0.6527</v>
      </c>
      <c r="CK756" s="1">
        <v>0.0</v>
      </c>
      <c r="CL756" s="1">
        <v>0.0</v>
      </c>
      <c r="CM756" s="1">
        <v>0.0</v>
      </c>
      <c r="CN756" s="1">
        <v>0.0</v>
      </c>
      <c r="CO756" s="1">
        <v>0.0</v>
      </c>
      <c r="CP756" s="1">
        <v>0.0</v>
      </c>
      <c r="CQ756" s="1">
        <v>0.0</v>
      </c>
      <c r="CR756" s="1">
        <v>0.0</v>
      </c>
      <c r="CS756" s="1">
        <v>0.0</v>
      </c>
      <c r="CT756" s="1">
        <v>0.0</v>
      </c>
      <c r="CU756" s="1">
        <v>0.0</v>
      </c>
      <c r="CV756" s="1">
        <v>0.0</v>
      </c>
      <c r="CW756" s="1">
        <v>0.0</v>
      </c>
      <c r="CX756" s="1">
        <v>0.0</v>
      </c>
      <c r="CY756" s="1">
        <v>1.0</v>
      </c>
      <c r="CZ756" s="1">
        <v>0.0</v>
      </c>
      <c r="DA756" s="1">
        <v>0.0</v>
      </c>
      <c r="DB756" s="1">
        <v>1.0</v>
      </c>
      <c r="DC756" s="1">
        <v>1.0</v>
      </c>
      <c r="DD756" s="1" t="s">
        <v>3540</v>
      </c>
      <c r="DE756" s="1">
        <v>0.0707037704202905</v>
      </c>
      <c r="DF756" s="2" t="s">
        <v>3541</v>
      </c>
    </row>
    <row r="757" ht="15.75" customHeight="1">
      <c r="A757" s="1" t="s">
        <v>3542</v>
      </c>
      <c r="B757" s="1">
        <v>29.0</v>
      </c>
      <c r="C757" s="1">
        <v>131.0</v>
      </c>
      <c r="D757" s="1">
        <v>962600.0</v>
      </c>
      <c r="E757" s="1">
        <v>97.96</v>
      </c>
      <c r="F757" s="1">
        <v>29131.0</v>
      </c>
      <c r="G757" s="1">
        <v>2.91319626E10</v>
      </c>
      <c r="H757" s="1" t="s">
        <v>112</v>
      </c>
      <c r="I757" s="1" t="s">
        <v>113</v>
      </c>
      <c r="J757" s="1" t="s">
        <v>3530</v>
      </c>
      <c r="K757" s="1" t="s">
        <v>3543</v>
      </c>
      <c r="L757" s="1">
        <v>3581.0</v>
      </c>
      <c r="M757" s="1">
        <v>3406.0</v>
      </c>
      <c r="N757" s="1">
        <v>291.0</v>
      </c>
      <c r="O757" s="1">
        <v>1529.0</v>
      </c>
      <c r="P757" s="1">
        <v>1587.0</v>
      </c>
      <c r="Q757" s="1">
        <v>83.0</v>
      </c>
      <c r="R757" s="1">
        <v>1378.0</v>
      </c>
      <c r="S757" s="1">
        <v>459.0</v>
      </c>
      <c r="T757" s="1">
        <v>215.0</v>
      </c>
      <c r="U757" s="1">
        <v>33.0</v>
      </c>
      <c r="V757" s="1">
        <v>427.0</v>
      </c>
      <c r="W757" s="1">
        <v>19525.0</v>
      </c>
      <c r="X757" s="1">
        <v>2141.0</v>
      </c>
      <c r="Y757" s="1">
        <v>471.0</v>
      </c>
      <c r="Z757" s="1">
        <v>296.0</v>
      </c>
      <c r="AA757" s="1">
        <v>494.0</v>
      </c>
      <c r="AB757" s="1">
        <v>890.0</v>
      </c>
      <c r="AC757" s="1">
        <v>133.0</v>
      </c>
      <c r="AD757" s="1">
        <v>90.0</v>
      </c>
      <c r="AE757" s="1">
        <v>0.0</v>
      </c>
      <c r="AF757" s="1">
        <v>456.0</v>
      </c>
      <c r="AG757" s="1">
        <v>0.0</v>
      </c>
      <c r="AH757" s="1">
        <v>197.0</v>
      </c>
      <c r="AI757" s="1">
        <v>406.0</v>
      </c>
      <c r="AJ757" s="1">
        <v>121.0</v>
      </c>
      <c r="AK757" s="1">
        <v>21.0</v>
      </c>
      <c r="AL757" s="1">
        <v>116.0</v>
      </c>
      <c r="AM757" s="1">
        <v>36.0</v>
      </c>
      <c r="AN757" s="1">
        <v>34.0</v>
      </c>
      <c r="AO757" s="1">
        <v>0.0</v>
      </c>
      <c r="AP757" s="1">
        <v>0.136</v>
      </c>
      <c r="AQ757" s="1">
        <v>0.062645</v>
      </c>
      <c r="AR757" s="1">
        <v>0.019411</v>
      </c>
      <c r="AS757" s="1">
        <v>0.251159</v>
      </c>
      <c r="AT757" s="1">
        <v>19525.0</v>
      </c>
      <c r="AU757" s="1">
        <v>2141.0</v>
      </c>
      <c r="AV757" s="1">
        <v>0.192401</v>
      </c>
      <c r="AW757" s="1">
        <v>0.120251</v>
      </c>
      <c r="AX757" s="1">
        <v>0.13795</v>
      </c>
      <c r="AY757" s="1">
        <v>0.248533</v>
      </c>
      <c r="AZ757" s="1">
        <v>0.09651669</v>
      </c>
      <c r="BA757" s="1">
        <v>0.025132</v>
      </c>
      <c r="BB757" s="1">
        <v>0.0</v>
      </c>
      <c r="BC757" s="1">
        <v>0.1425</v>
      </c>
      <c r="BD757" s="1">
        <v>0.0</v>
      </c>
      <c r="BE757" s="1">
        <v>0.124133</v>
      </c>
      <c r="BF757" s="1">
        <v>0.255828</v>
      </c>
      <c r="BG757" s="1">
        <v>0.075061</v>
      </c>
      <c r="BH757" s="1">
        <v>0.014914</v>
      </c>
      <c r="BI757" s="1">
        <v>0.082379</v>
      </c>
      <c r="BJ757" s="1">
        <v>0.025568</v>
      </c>
      <c r="BK757" s="1">
        <v>0.024076</v>
      </c>
      <c r="BL757" s="1">
        <v>0.0</v>
      </c>
      <c r="BM757" s="1">
        <v>0.525</v>
      </c>
      <c r="BN757" s="1">
        <v>0.028</v>
      </c>
      <c r="BO757" s="1">
        <v>0.6426</v>
      </c>
      <c r="BP757" s="1">
        <v>0.732</v>
      </c>
      <c r="BQ757" s="1">
        <v>1.9276</v>
      </c>
      <c r="BR757" s="1">
        <v>0.4708</v>
      </c>
      <c r="BS757" s="1">
        <v>0.482</v>
      </c>
      <c r="BT757" s="1">
        <v>0.582</v>
      </c>
      <c r="BU757" s="1">
        <v>0.462</v>
      </c>
      <c r="BV757" s="1">
        <v>1.526</v>
      </c>
      <c r="BW757" s="1">
        <v>0.505</v>
      </c>
      <c r="BX757" s="1">
        <v>0.046</v>
      </c>
      <c r="BY757" s="1">
        <v>0.0</v>
      </c>
      <c r="BZ757" s="1">
        <v>0.046</v>
      </c>
      <c r="CA757" s="1">
        <v>0.024</v>
      </c>
      <c r="CB757" s="1">
        <v>0.0</v>
      </c>
      <c r="CC757" s="1">
        <v>0.958</v>
      </c>
      <c r="CD757" s="1">
        <v>0.595</v>
      </c>
      <c r="CE757" s="1">
        <v>0.246</v>
      </c>
      <c r="CF757" s="1">
        <v>0.0</v>
      </c>
      <c r="CG757" s="1">
        <v>1.799</v>
      </c>
      <c r="CH757" s="1">
        <v>0.266</v>
      </c>
      <c r="CI757" s="1">
        <v>5.2986</v>
      </c>
      <c r="CJ757" s="1">
        <v>0.2462</v>
      </c>
      <c r="CK757" s="1">
        <v>0.0</v>
      </c>
      <c r="CL757" s="1">
        <v>0.0</v>
      </c>
      <c r="CM757" s="1">
        <v>0.0</v>
      </c>
      <c r="CN757" s="1">
        <v>0.0</v>
      </c>
      <c r="CO757" s="1">
        <v>0.0</v>
      </c>
      <c r="CP757" s="1">
        <v>0.0</v>
      </c>
      <c r="CQ757" s="1">
        <v>0.0</v>
      </c>
      <c r="CR757" s="1">
        <v>0.0</v>
      </c>
      <c r="CS757" s="1">
        <v>0.0</v>
      </c>
      <c r="CT757" s="1">
        <v>0.0</v>
      </c>
      <c r="CU757" s="1">
        <v>0.0</v>
      </c>
      <c r="CV757" s="1">
        <v>0.0</v>
      </c>
      <c r="CW757" s="1">
        <v>0.0</v>
      </c>
      <c r="CX757" s="1">
        <v>1.0</v>
      </c>
      <c r="CY757" s="1">
        <v>0.0</v>
      </c>
      <c r="CZ757" s="1">
        <v>0.0</v>
      </c>
      <c r="DA757" s="1">
        <v>0.0</v>
      </c>
      <c r="DB757" s="1">
        <v>1.0</v>
      </c>
      <c r="DC757" s="1">
        <v>1.0</v>
      </c>
      <c r="DD757" s="1" t="s">
        <v>3544</v>
      </c>
      <c r="DE757" s="1">
        <v>0.0261699537308256</v>
      </c>
      <c r="DF757" s="2" t="s">
        <v>3545</v>
      </c>
    </row>
    <row r="758" ht="15.75" customHeight="1">
      <c r="A758" s="1" t="s">
        <v>3546</v>
      </c>
      <c r="B758" s="1">
        <v>29.0</v>
      </c>
      <c r="C758" s="1">
        <v>131.0</v>
      </c>
      <c r="D758" s="1">
        <v>962800.0</v>
      </c>
      <c r="E758" s="1">
        <v>170.748</v>
      </c>
      <c r="F758" s="1">
        <v>29131.0</v>
      </c>
      <c r="G758" s="1">
        <v>2.91319628E10</v>
      </c>
      <c r="H758" s="1" t="s">
        <v>112</v>
      </c>
      <c r="I758" s="1" t="s">
        <v>113</v>
      </c>
      <c r="J758" s="1" t="s">
        <v>3530</v>
      </c>
      <c r="K758" s="1" t="s">
        <v>3547</v>
      </c>
      <c r="L758" s="1">
        <v>6002.0</v>
      </c>
      <c r="M758" s="1">
        <v>5851.0</v>
      </c>
      <c r="N758" s="1">
        <v>485.0</v>
      </c>
      <c r="O758" s="1">
        <v>3015.0</v>
      </c>
      <c r="P758" s="1">
        <v>2676.0</v>
      </c>
      <c r="Q758" s="1">
        <v>189.0</v>
      </c>
      <c r="R758" s="1">
        <v>2410.0</v>
      </c>
      <c r="S758" s="1">
        <v>1313.0</v>
      </c>
      <c r="T758" s="1">
        <v>311.0</v>
      </c>
      <c r="U758" s="1">
        <v>221.0</v>
      </c>
      <c r="V758" s="1">
        <v>335.0</v>
      </c>
      <c r="W758" s="1">
        <v>17195.0</v>
      </c>
      <c r="X758" s="1">
        <v>1510.0</v>
      </c>
      <c r="Y758" s="1">
        <v>909.0</v>
      </c>
      <c r="Z758" s="1">
        <v>254.0</v>
      </c>
      <c r="AA758" s="1">
        <v>933.0</v>
      </c>
      <c r="AB758" s="1">
        <v>1437.0</v>
      </c>
      <c r="AC758" s="1">
        <v>279.0</v>
      </c>
      <c r="AD758" s="1">
        <v>331.0</v>
      </c>
      <c r="AE758" s="1">
        <v>54.0</v>
      </c>
      <c r="AF758" s="1">
        <v>398.0</v>
      </c>
      <c r="AG758" s="1">
        <v>129.0</v>
      </c>
      <c r="AH758" s="1">
        <v>98.0</v>
      </c>
      <c r="AI758" s="1">
        <v>628.0</v>
      </c>
      <c r="AJ758" s="1">
        <v>151.0</v>
      </c>
      <c r="AK758" s="1">
        <v>16.0</v>
      </c>
      <c r="AL758" s="1">
        <v>116.0</v>
      </c>
      <c r="AM758" s="1">
        <v>152.0</v>
      </c>
      <c r="AN758" s="1">
        <v>65.0</v>
      </c>
      <c r="AO758" s="1">
        <v>168.0</v>
      </c>
      <c r="AP758" s="1">
        <v>0.237733</v>
      </c>
      <c r="AQ758" s="1">
        <v>0.051999</v>
      </c>
      <c r="AR758" s="1">
        <v>0.082309</v>
      </c>
      <c r="AS758" s="1">
        <v>0.124411</v>
      </c>
      <c r="AT758" s="1">
        <v>17195.0</v>
      </c>
      <c r="AU758" s="1">
        <v>1510.0</v>
      </c>
      <c r="AV758" s="1">
        <v>0.226063</v>
      </c>
      <c r="AW758" s="1">
        <v>0.060997</v>
      </c>
      <c r="AX758" s="1">
        <v>0.155448</v>
      </c>
      <c r="AY758" s="1">
        <v>0.23942</v>
      </c>
      <c r="AZ758" s="1">
        <v>0.11576763</v>
      </c>
      <c r="BA758" s="1">
        <v>0.055148</v>
      </c>
      <c r="BB758" s="1">
        <v>0.009673</v>
      </c>
      <c r="BC758" s="1">
        <v>0.071296</v>
      </c>
      <c r="BD758" s="1">
        <v>0.048206</v>
      </c>
      <c r="BE758" s="1">
        <v>0.036463</v>
      </c>
      <c r="BF758" s="1">
        <v>0.234678</v>
      </c>
      <c r="BG758" s="1">
        <v>0.053938</v>
      </c>
      <c r="BH758" s="1">
        <v>0.006965</v>
      </c>
      <c r="BI758" s="1">
        <v>0.050497</v>
      </c>
      <c r="BJ758" s="1">
        <v>0.066173</v>
      </c>
      <c r="BK758" s="1">
        <v>0.027839</v>
      </c>
      <c r="BL758" s="1">
        <v>0.02799</v>
      </c>
      <c r="BM758" s="1">
        <v>0.802</v>
      </c>
      <c r="BN758" s="1">
        <v>0.631</v>
      </c>
      <c r="BO758" s="1">
        <v>0.7755</v>
      </c>
      <c r="BP758" s="1">
        <v>0.815</v>
      </c>
      <c r="BQ758" s="1">
        <v>3.0235</v>
      </c>
      <c r="BR758" s="1">
        <v>0.8065</v>
      </c>
      <c r="BS758" s="1">
        <v>0.625</v>
      </c>
      <c r="BT758" s="1">
        <v>0.492</v>
      </c>
      <c r="BU758" s="1">
        <v>0.641</v>
      </c>
      <c r="BV758" s="1">
        <v>1.758</v>
      </c>
      <c r="BW758" s="1">
        <v>0.689</v>
      </c>
      <c r="BX758" s="1">
        <v>0.284</v>
      </c>
      <c r="BY758" s="1">
        <v>0.712</v>
      </c>
      <c r="BZ758" s="1">
        <v>0.996</v>
      </c>
      <c r="CA758" s="1">
        <v>0.557</v>
      </c>
      <c r="CB758" s="1">
        <v>0.65</v>
      </c>
      <c r="CC758" s="1">
        <v>0.935</v>
      </c>
      <c r="CD758" s="1">
        <v>0.392</v>
      </c>
      <c r="CE758" s="1">
        <v>0.605</v>
      </c>
      <c r="CF758" s="1">
        <v>0.794</v>
      </c>
      <c r="CG758" s="1">
        <v>3.376</v>
      </c>
      <c r="CH758" s="1">
        <v>0.904</v>
      </c>
      <c r="CI758" s="1">
        <v>9.1535</v>
      </c>
      <c r="CJ758" s="1">
        <v>0.8708</v>
      </c>
      <c r="CK758" s="1">
        <v>0.0</v>
      </c>
      <c r="CL758" s="1">
        <v>0.0</v>
      </c>
      <c r="CM758" s="1">
        <v>0.0</v>
      </c>
      <c r="CN758" s="1">
        <v>0.0</v>
      </c>
      <c r="CO758" s="1">
        <v>0.0</v>
      </c>
      <c r="CP758" s="1">
        <v>0.0</v>
      </c>
      <c r="CQ758" s="1">
        <v>0.0</v>
      </c>
      <c r="CR758" s="1">
        <v>0.0</v>
      </c>
      <c r="CS758" s="1">
        <v>0.0</v>
      </c>
      <c r="CT758" s="1">
        <v>0.0</v>
      </c>
      <c r="CU758" s="1">
        <v>0.0</v>
      </c>
      <c r="CV758" s="1">
        <v>0.0</v>
      </c>
      <c r="CW758" s="1">
        <v>0.0</v>
      </c>
      <c r="CX758" s="1">
        <v>1.0</v>
      </c>
      <c r="CY758" s="1">
        <v>0.0</v>
      </c>
      <c r="CZ758" s="1">
        <v>0.0</v>
      </c>
      <c r="DA758" s="1">
        <v>0.0</v>
      </c>
      <c r="DB758" s="1">
        <v>1.0</v>
      </c>
      <c r="DC758" s="1">
        <v>1.0</v>
      </c>
      <c r="DD758" s="1" t="s">
        <v>3548</v>
      </c>
      <c r="DE758" s="1">
        <v>0.0463405472141965</v>
      </c>
      <c r="DF758" s="2" t="s">
        <v>3549</v>
      </c>
    </row>
    <row r="759" ht="15.75" customHeight="1">
      <c r="A759" s="1" t="s">
        <v>3550</v>
      </c>
      <c r="B759" s="1">
        <v>29.0</v>
      </c>
      <c r="C759" s="1">
        <v>133.0</v>
      </c>
      <c r="D759" s="1">
        <v>950100.0</v>
      </c>
      <c r="E759" s="1">
        <v>192.6</v>
      </c>
      <c r="F759" s="1">
        <v>29133.0</v>
      </c>
      <c r="G759" s="1">
        <v>2.91339501E10</v>
      </c>
      <c r="H759" s="1" t="s">
        <v>112</v>
      </c>
      <c r="I759" s="1" t="s">
        <v>113</v>
      </c>
      <c r="J759" s="1" t="s">
        <v>3551</v>
      </c>
      <c r="K759" s="1" t="s">
        <v>3552</v>
      </c>
      <c r="L759" s="1">
        <v>3887.0</v>
      </c>
      <c r="M759" s="1">
        <v>2230.0</v>
      </c>
      <c r="N759" s="1">
        <v>250.0</v>
      </c>
      <c r="O759" s="1">
        <v>1086.0</v>
      </c>
      <c r="P759" s="1">
        <v>1001.0</v>
      </c>
      <c r="Q759" s="1">
        <v>94.0</v>
      </c>
      <c r="R759" s="1">
        <v>972.0</v>
      </c>
      <c r="S759" s="1">
        <v>379.0</v>
      </c>
      <c r="T759" s="1">
        <v>127.0</v>
      </c>
      <c r="U759" s="1">
        <v>85.0</v>
      </c>
      <c r="V759" s="1">
        <v>430.0</v>
      </c>
      <c r="W759" s="1">
        <v>18057.0</v>
      </c>
      <c r="X759" s="1">
        <v>2914.0</v>
      </c>
      <c r="Y759" s="1">
        <v>539.0</v>
      </c>
      <c r="Z759" s="1">
        <v>196.0</v>
      </c>
      <c r="AA759" s="1">
        <v>465.0</v>
      </c>
      <c r="AB759" s="1">
        <v>480.0</v>
      </c>
      <c r="AC759" s="1">
        <v>107.0</v>
      </c>
      <c r="AD759" s="1">
        <v>1327.0</v>
      </c>
      <c r="AE759" s="1">
        <v>0.0</v>
      </c>
      <c r="AF759" s="1">
        <v>456.0</v>
      </c>
      <c r="AG759" s="1">
        <v>10.0</v>
      </c>
      <c r="AH759" s="1">
        <v>115.0</v>
      </c>
      <c r="AI759" s="1">
        <v>167.0</v>
      </c>
      <c r="AJ759" s="1">
        <v>53.0</v>
      </c>
      <c r="AK759" s="1">
        <v>14.0</v>
      </c>
      <c r="AL759" s="1">
        <v>115.0</v>
      </c>
      <c r="AM759" s="1">
        <v>70.0</v>
      </c>
      <c r="AN759" s="1">
        <v>31.0</v>
      </c>
      <c r="AO759" s="1">
        <v>1645.0</v>
      </c>
      <c r="AP759" s="1">
        <v>0.17049</v>
      </c>
      <c r="AQ759" s="1">
        <v>0.053843</v>
      </c>
      <c r="AR759" s="1">
        <v>0.099183</v>
      </c>
      <c r="AS759" s="1">
        <v>0.501312</v>
      </c>
      <c r="AT759" s="1">
        <v>18057.0</v>
      </c>
      <c r="AU759" s="1">
        <v>2914.0</v>
      </c>
      <c r="AV759" s="1">
        <v>0.34707</v>
      </c>
      <c r="AW759" s="1">
        <v>0.120768</v>
      </c>
      <c r="AX759" s="1">
        <v>0.119629</v>
      </c>
      <c r="AY759" s="1">
        <v>0.123488</v>
      </c>
      <c r="AZ759" s="1">
        <v>0.1100823</v>
      </c>
      <c r="BA759" s="1">
        <v>0.341394</v>
      </c>
      <c r="BB759" s="1">
        <v>0.0</v>
      </c>
      <c r="BC759" s="1">
        <v>0.215195</v>
      </c>
      <c r="BD759" s="1">
        <v>0.00999</v>
      </c>
      <c r="BE759" s="1">
        <v>0.114881</v>
      </c>
      <c r="BF759" s="1">
        <v>0.166833</v>
      </c>
      <c r="BG759" s="1">
        <v>0.050576</v>
      </c>
      <c r="BH759" s="1">
        <v>0.016412</v>
      </c>
      <c r="BI759" s="1">
        <v>0.134808</v>
      </c>
      <c r="BJ759" s="1">
        <v>0.082063</v>
      </c>
      <c r="BK759" s="1">
        <v>0.03541</v>
      </c>
      <c r="BL759" s="1">
        <v>0.423205</v>
      </c>
      <c r="BM759" s="1">
        <v>0.643</v>
      </c>
      <c r="BN759" s="1">
        <v>0.727</v>
      </c>
      <c r="BO759" s="1">
        <v>0.7285</v>
      </c>
      <c r="BP759" s="1">
        <v>0.976</v>
      </c>
      <c r="BQ759" s="1">
        <v>3.0745</v>
      </c>
      <c r="BR759" s="1">
        <v>0.8181</v>
      </c>
      <c r="BS759" s="1">
        <v>0.341</v>
      </c>
      <c r="BT759" s="1">
        <v>0.038</v>
      </c>
      <c r="BU759" s="1">
        <v>0.589</v>
      </c>
      <c r="BV759" s="1">
        <v>0.968</v>
      </c>
      <c r="BW759" s="1">
        <v>0.102</v>
      </c>
      <c r="BX759" s="1">
        <v>0.812</v>
      </c>
      <c r="BY759" s="1">
        <v>0.0</v>
      </c>
      <c r="BZ759" s="1">
        <v>0.812</v>
      </c>
      <c r="CA759" s="1">
        <v>0.407</v>
      </c>
      <c r="CB759" s="1">
        <v>0.383</v>
      </c>
      <c r="CC759" s="1">
        <v>0.847</v>
      </c>
      <c r="CD759" s="1">
        <v>0.62</v>
      </c>
      <c r="CE759" s="1">
        <v>0.687</v>
      </c>
      <c r="CF759" s="1">
        <v>0.99</v>
      </c>
      <c r="CG759" s="1">
        <v>3.527</v>
      </c>
      <c r="CH759" s="1">
        <v>0.94</v>
      </c>
      <c r="CI759" s="1">
        <v>8.3815</v>
      </c>
      <c r="CJ759" s="1">
        <v>0.7704</v>
      </c>
      <c r="CK759" s="1">
        <v>0.0</v>
      </c>
      <c r="CL759" s="1">
        <v>0.0</v>
      </c>
      <c r="CM759" s="1">
        <v>0.0</v>
      </c>
      <c r="CN759" s="1">
        <v>1.0</v>
      </c>
      <c r="CO759" s="1">
        <v>1.0</v>
      </c>
      <c r="CP759" s="1">
        <v>0.0</v>
      </c>
      <c r="CQ759" s="1">
        <v>0.0</v>
      </c>
      <c r="CR759" s="1">
        <v>0.0</v>
      </c>
      <c r="CS759" s="1">
        <v>0.0</v>
      </c>
      <c r="CT759" s="1">
        <v>0.0</v>
      </c>
      <c r="CU759" s="1">
        <v>0.0</v>
      </c>
      <c r="CV759" s="1">
        <v>0.0</v>
      </c>
      <c r="CW759" s="1">
        <v>0.0</v>
      </c>
      <c r="CX759" s="1">
        <v>0.0</v>
      </c>
      <c r="CY759" s="1">
        <v>0.0</v>
      </c>
      <c r="CZ759" s="1">
        <v>0.0</v>
      </c>
      <c r="DA759" s="1">
        <v>1.0</v>
      </c>
      <c r="DB759" s="1">
        <v>1.0</v>
      </c>
      <c r="DC759" s="1">
        <v>2.0</v>
      </c>
      <c r="DD759" s="1" t="s">
        <v>3553</v>
      </c>
      <c r="DE759" s="2" t="s">
        <v>3554</v>
      </c>
      <c r="DF759" s="2" t="s">
        <v>3555</v>
      </c>
    </row>
    <row r="760" ht="15.75" customHeight="1">
      <c r="A760" s="1" t="s">
        <v>3556</v>
      </c>
      <c r="B760" s="1">
        <v>29.0</v>
      </c>
      <c r="C760" s="1">
        <v>133.0</v>
      </c>
      <c r="D760" s="1">
        <v>950200.0</v>
      </c>
      <c r="E760" s="1">
        <v>11.572</v>
      </c>
      <c r="F760" s="1">
        <v>29133.0</v>
      </c>
      <c r="G760" s="1">
        <v>2.91339502E10</v>
      </c>
      <c r="H760" s="1" t="s">
        <v>112</v>
      </c>
      <c r="I760" s="1" t="s">
        <v>113</v>
      </c>
      <c r="J760" s="1" t="s">
        <v>3551</v>
      </c>
      <c r="K760" s="1" t="s">
        <v>3557</v>
      </c>
      <c r="L760" s="1">
        <v>4500.0</v>
      </c>
      <c r="M760" s="1">
        <v>6164.0</v>
      </c>
      <c r="N760" s="1">
        <v>347.0</v>
      </c>
      <c r="O760" s="1">
        <v>1962.0</v>
      </c>
      <c r="P760" s="1">
        <v>2397.0</v>
      </c>
      <c r="Q760" s="1">
        <v>226.0</v>
      </c>
      <c r="R760" s="1">
        <v>1770.0</v>
      </c>
      <c r="S760" s="1">
        <v>2136.0</v>
      </c>
      <c r="T760" s="1">
        <v>565.0</v>
      </c>
      <c r="U760" s="1">
        <v>507.0</v>
      </c>
      <c r="V760" s="1">
        <v>468.0</v>
      </c>
      <c r="W760" s="1">
        <v>14998.0</v>
      </c>
      <c r="X760" s="1">
        <v>2347.0</v>
      </c>
      <c r="Y760" s="1">
        <v>1391.0</v>
      </c>
      <c r="Z760" s="1">
        <v>442.0</v>
      </c>
      <c r="AA760" s="1">
        <v>683.0</v>
      </c>
      <c r="AB760" s="1">
        <v>1246.0</v>
      </c>
      <c r="AC760" s="1">
        <v>392.0</v>
      </c>
      <c r="AD760" s="1">
        <v>2171.0</v>
      </c>
      <c r="AE760" s="1">
        <v>270.0</v>
      </c>
      <c r="AF760" s="1">
        <v>509.0</v>
      </c>
      <c r="AG760" s="1">
        <v>0.0</v>
      </c>
      <c r="AH760" s="1">
        <v>197.0</v>
      </c>
      <c r="AI760" s="1">
        <v>162.0</v>
      </c>
      <c r="AJ760" s="1">
        <v>122.0</v>
      </c>
      <c r="AK760" s="1">
        <v>31.0</v>
      </c>
      <c r="AL760" s="1">
        <v>120.0</v>
      </c>
      <c r="AM760" s="1">
        <v>567.0</v>
      </c>
      <c r="AN760" s="1">
        <v>203.0</v>
      </c>
      <c r="AO760" s="1">
        <v>175.0</v>
      </c>
      <c r="AP760" s="1">
        <v>0.367325</v>
      </c>
      <c r="AQ760" s="1">
        <v>0.093139</v>
      </c>
      <c r="AR760" s="1">
        <v>0.182966</v>
      </c>
      <c r="AS760" s="1">
        <v>0.165764</v>
      </c>
      <c r="AT760" s="1">
        <v>14998.0</v>
      </c>
      <c r="AU760" s="1">
        <v>2347.0</v>
      </c>
      <c r="AV760" s="1">
        <v>0.327294</v>
      </c>
      <c r="AW760" s="1">
        <v>0.099041</v>
      </c>
      <c r="AX760" s="1">
        <v>0.151777</v>
      </c>
      <c r="AY760" s="1">
        <v>0.276888</v>
      </c>
      <c r="AZ760" s="1">
        <v>0.22146892</v>
      </c>
      <c r="BA760" s="1">
        <v>0.482444</v>
      </c>
      <c r="BB760" s="1">
        <v>0.046948</v>
      </c>
      <c r="BC760" s="1">
        <v>0.08846</v>
      </c>
      <c r="BD760" s="1">
        <v>0.0</v>
      </c>
      <c r="BE760" s="1">
        <v>0.082186</v>
      </c>
      <c r="BF760" s="1">
        <v>0.067584</v>
      </c>
      <c r="BG760" s="1">
        <v>0.050496</v>
      </c>
      <c r="BH760" s="1">
        <v>0.013425</v>
      </c>
      <c r="BI760" s="1">
        <v>0.051955</v>
      </c>
      <c r="BJ760" s="1">
        <v>0.24556</v>
      </c>
      <c r="BK760" s="1">
        <v>0.084891</v>
      </c>
      <c r="BL760" s="1">
        <v>0.038888</v>
      </c>
      <c r="BM760" s="1">
        <v>0.933</v>
      </c>
      <c r="BN760" s="1">
        <v>0.937</v>
      </c>
      <c r="BO760" s="1">
        <v>0.8758</v>
      </c>
      <c r="BP760" s="1">
        <v>0.966</v>
      </c>
      <c r="BQ760" s="1">
        <v>3.7118</v>
      </c>
      <c r="BR760" s="1">
        <v>0.9639</v>
      </c>
      <c r="BS760" s="1">
        <v>0.595</v>
      </c>
      <c r="BT760" s="1">
        <v>0.833</v>
      </c>
      <c r="BU760" s="1">
        <v>0.917</v>
      </c>
      <c r="BV760" s="1">
        <v>2.345</v>
      </c>
      <c r="BW760" s="1">
        <v>0.986</v>
      </c>
      <c r="BX760" s="1">
        <v>0.861</v>
      </c>
      <c r="BY760" s="1">
        <v>0.954</v>
      </c>
      <c r="BZ760" s="1">
        <v>1.815</v>
      </c>
      <c r="CA760" s="1">
        <v>0.969</v>
      </c>
      <c r="CB760" s="1">
        <v>0.0</v>
      </c>
      <c r="CC760" s="1">
        <v>0.645</v>
      </c>
      <c r="CD760" s="1">
        <v>0.561</v>
      </c>
      <c r="CE760" s="1">
        <v>0.936</v>
      </c>
      <c r="CF760" s="1">
        <v>0.862</v>
      </c>
      <c r="CG760" s="1">
        <v>3.004</v>
      </c>
      <c r="CH760" s="1">
        <v>0.776</v>
      </c>
      <c r="CI760" s="1">
        <v>10.8758</v>
      </c>
      <c r="CJ760" s="1">
        <v>0.9884</v>
      </c>
      <c r="CK760" s="1">
        <v>1.0</v>
      </c>
      <c r="CL760" s="1">
        <v>1.0</v>
      </c>
      <c r="CM760" s="1">
        <v>0.0</v>
      </c>
      <c r="CN760" s="1">
        <v>1.0</v>
      </c>
      <c r="CO760" s="1">
        <v>3.0</v>
      </c>
      <c r="CP760" s="1">
        <v>0.0</v>
      </c>
      <c r="CQ760" s="1">
        <v>0.0</v>
      </c>
      <c r="CR760" s="1">
        <v>1.0</v>
      </c>
      <c r="CS760" s="1">
        <v>1.0</v>
      </c>
      <c r="CT760" s="1">
        <v>0.0</v>
      </c>
      <c r="CU760" s="1">
        <v>1.0</v>
      </c>
      <c r="CV760" s="1">
        <v>1.0</v>
      </c>
      <c r="CW760" s="1">
        <v>0.0</v>
      </c>
      <c r="CX760" s="1">
        <v>0.0</v>
      </c>
      <c r="CY760" s="1">
        <v>0.0</v>
      </c>
      <c r="CZ760" s="1">
        <v>1.0</v>
      </c>
      <c r="DA760" s="1">
        <v>0.0</v>
      </c>
      <c r="DB760" s="1">
        <v>1.0</v>
      </c>
      <c r="DC760" s="1">
        <v>6.0</v>
      </c>
      <c r="DD760" s="1" t="s">
        <v>3558</v>
      </c>
      <c r="DE760" s="1">
        <v>0.00304290054678393</v>
      </c>
      <c r="DF760" s="2" t="s">
        <v>3559</v>
      </c>
    </row>
    <row r="761" ht="15.75" customHeight="1">
      <c r="A761" s="1" t="s">
        <v>3560</v>
      </c>
      <c r="B761" s="1">
        <v>29.0</v>
      </c>
      <c r="C761" s="1">
        <v>133.0</v>
      </c>
      <c r="D761" s="1">
        <v>950400.0</v>
      </c>
      <c r="E761" s="1">
        <v>4.309</v>
      </c>
      <c r="F761" s="1">
        <v>29133.0</v>
      </c>
      <c r="G761" s="1">
        <v>2.91339504E10</v>
      </c>
      <c r="H761" s="1" t="s">
        <v>112</v>
      </c>
      <c r="I761" s="1" t="s">
        <v>113</v>
      </c>
      <c r="J761" s="1" t="s">
        <v>3551</v>
      </c>
      <c r="K761" s="1" t="s">
        <v>3561</v>
      </c>
      <c r="L761" s="1">
        <v>4030.0</v>
      </c>
      <c r="M761" s="1">
        <v>4258.0</v>
      </c>
      <c r="N761" s="1">
        <v>252.0</v>
      </c>
      <c r="O761" s="1">
        <v>1786.0</v>
      </c>
      <c r="P761" s="1">
        <v>1569.0</v>
      </c>
      <c r="Q761" s="1">
        <v>128.0</v>
      </c>
      <c r="R761" s="1">
        <v>1661.0</v>
      </c>
      <c r="S761" s="1">
        <v>1156.0</v>
      </c>
      <c r="T761" s="1">
        <v>345.0</v>
      </c>
      <c r="U761" s="1">
        <v>128.0</v>
      </c>
      <c r="V761" s="1">
        <v>366.0</v>
      </c>
      <c r="W761" s="1">
        <v>13555.0</v>
      </c>
      <c r="X761" s="1">
        <v>1405.0</v>
      </c>
      <c r="Y761" s="1">
        <v>1037.0</v>
      </c>
      <c r="Z761" s="1">
        <v>231.0</v>
      </c>
      <c r="AA761" s="1">
        <v>717.0</v>
      </c>
      <c r="AB761" s="1">
        <v>972.0</v>
      </c>
      <c r="AC761" s="1">
        <v>249.0</v>
      </c>
      <c r="AD761" s="1">
        <v>195.0</v>
      </c>
      <c r="AE761" s="1">
        <v>0.0</v>
      </c>
      <c r="AF761" s="1">
        <v>456.0</v>
      </c>
      <c r="AG761" s="1">
        <v>56.0</v>
      </c>
      <c r="AH761" s="1">
        <v>167.0</v>
      </c>
      <c r="AI761" s="1">
        <v>81.0</v>
      </c>
      <c r="AJ761" s="1">
        <v>48.0</v>
      </c>
      <c r="AK761" s="1">
        <v>107.0</v>
      </c>
      <c r="AL761" s="1">
        <v>134.0</v>
      </c>
      <c r="AM761" s="1">
        <v>195.0</v>
      </c>
      <c r="AN761" s="1">
        <v>71.0</v>
      </c>
      <c r="AO761" s="1">
        <v>54.0</v>
      </c>
      <c r="AP761" s="1">
        <v>0.272192</v>
      </c>
      <c r="AQ761" s="1">
        <v>0.079637</v>
      </c>
      <c r="AR761" s="1">
        <v>0.07481</v>
      </c>
      <c r="AS761" s="1">
        <v>0.213614</v>
      </c>
      <c r="AT761" s="1">
        <v>13555.0</v>
      </c>
      <c r="AU761" s="1">
        <v>1405.0</v>
      </c>
      <c r="AV761" s="1">
        <v>0.39132</v>
      </c>
      <c r="AW761" s="1">
        <v>0.082067</v>
      </c>
      <c r="AX761" s="1">
        <v>0.177915</v>
      </c>
      <c r="AY761" s="1">
        <v>0.241191</v>
      </c>
      <c r="AZ761" s="1">
        <v>0.14990969</v>
      </c>
      <c r="BA761" s="1">
        <v>0.048387</v>
      </c>
      <c r="BB761" s="1">
        <v>0.0</v>
      </c>
      <c r="BC761" s="1">
        <v>0.11463</v>
      </c>
      <c r="BD761" s="1">
        <v>0.035691</v>
      </c>
      <c r="BE761" s="1">
        <v>0.106397</v>
      </c>
      <c r="BF761" s="1">
        <v>0.051625</v>
      </c>
      <c r="BG761" s="1">
        <v>0.030301</v>
      </c>
      <c r="BH761" s="1">
        <v>0.072297</v>
      </c>
      <c r="BI761" s="1">
        <v>0.09032</v>
      </c>
      <c r="BJ761" s="1">
        <v>0.131756</v>
      </c>
      <c r="BK761" s="1">
        <v>0.046578</v>
      </c>
      <c r="BL761" s="1">
        <v>0.013399</v>
      </c>
      <c r="BM761" s="1">
        <v>0.857</v>
      </c>
      <c r="BN761" s="1">
        <v>0.556</v>
      </c>
      <c r="BO761" s="1">
        <v>0.922</v>
      </c>
      <c r="BP761" s="1">
        <v>0.987</v>
      </c>
      <c r="BQ761" s="1">
        <v>3.322</v>
      </c>
      <c r="BR761" s="1">
        <v>0.8838</v>
      </c>
      <c r="BS761" s="1">
        <v>0.774</v>
      </c>
      <c r="BT761" s="1">
        <v>0.505</v>
      </c>
      <c r="BU761" s="1">
        <v>0.794</v>
      </c>
      <c r="BV761" s="1">
        <v>2.073</v>
      </c>
      <c r="BW761" s="1">
        <v>0.906</v>
      </c>
      <c r="BX761" s="1">
        <v>0.235</v>
      </c>
      <c r="BY761" s="1">
        <v>0.0</v>
      </c>
      <c r="BZ761" s="1">
        <v>0.235</v>
      </c>
      <c r="CA761" s="1">
        <v>0.102</v>
      </c>
      <c r="CB761" s="1">
        <v>0.584</v>
      </c>
      <c r="CC761" s="1">
        <v>0.61</v>
      </c>
      <c r="CD761" s="1">
        <v>0.979</v>
      </c>
      <c r="CE761" s="1">
        <v>0.833</v>
      </c>
      <c r="CF761" s="1">
        <v>0.627</v>
      </c>
      <c r="CG761" s="1">
        <v>3.633</v>
      </c>
      <c r="CH761" s="1">
        <v>0.964</v>
      </c>
      <c r="CI761" s="1">
        <v>9.263</v>
      </c>
      <c r="CJ761" s="1">
        <v>0.8823</v>
      </c>
      <c r="CK761" s="1">
        <v>0.0</v>
      </c>
      <c r="CL761" s="1">
        <v>0.0</v>
      </c>
      <c r="CM761" s="1">
        <v>1.0</v>
      </c>
      <c r="CN761" s="1">
        <v>1.0</v>
      </c>
      <c r="CO761" s="1">
        <v>2.0</v>
      </c>
      <c r="CP761" s="1">
        <v>0.0</v>
      </c>
      <c r="CQ761" s="1">
        <v>0.0</v>
      </c>
      <c r="CR761" s="1">
        <v>0.0</v>
      </c>
      <c r="CS761" s="1">
        <v>0.0</v>
      </c>
      <c r="CT761" s="1">
        <v>0.0</v>
      </c>
      <c r="CU761" s="1">
        <v>0.0</v>
      </c>
      <c r="CV761" s="1">
        <v>0.0</v>
      </c>
      <c r="CW761" s="1">
        <v>0.0</v>
      </c>
      <c r="CX761" s="1">
        <v>0.0</v>
      </c>
      <c r="CY761" s="1">
        <v>1.0</v>
      </c>
      <c r="CZ761" s="1">
        <v>0.0</v>
      </c>
      <c r="DA761" s="1">
        <v>0.0</v>
      </c>
      <c r="DB761" s="1">
        <v>1.0</v>
      </c>
      <c r="DC761" s="1">
        <v>3.0</v>
      </c>
      <c r="DD761" s="1" t="s">
        <v>3562</v>
      </c>
      <c r="DE761" s="1">
        <v>0.00112641210936319</v>
      </c>
      <c r="DF761" s="2" t="s">
        <v>3563</v>
      </c>
    </row>
    <row r="762" ht="15.75" customHeight="1">
      <c r="A762" s="1" t="s">
        <v>3564</v>
      </c>
      <c r="B762" s="1">
        <v>29.0</v>
      </c>
      <c r="C762" s="1">
        <v>133.0</v>
      </c>
      <c r="D762" s="1">
        <v>950300.0</v>
      </c>
      <c r="E762" s="1">
        <v>203.102</v>
      </c>
      <c r="F762" s="1">
        <v>29133.0</v>
      </c>
      <c r="G762" s="1">
        <v>2.91339503E10</v>
      </c>
      <c r="H762" s="1" t="s">
        <v>112</v>
      </c>
      <c r="I762" s="1" t="s">
        <v>113</v>
      </c>
      <c r="J762" s="1" t="s">
        <v>3551</v>
      </c>
      <c r="K762" s="1" t="s">
        <v>3565</v>
      </c>
      <c r="L762" s="1">
        <v>1941.0</v>
      </c>
      <c r="M762" s="1">
        <v>1491.0</v>
      </c>
      <c r="N762" s="1">
        <v>203.0</v>
      </c>
      <c r="O762" s="1">
        <v>877.0</v>
      </c>
      <c r="P762" s="1">
        <v>779.0</v>
      </c>
      <c r="Q762" s="1">
        <v>101.0</v>
      </c>
      <c r="R762" s="1">
        <v>777.0</v>
      </c>
      <c r="S762" s="1">
        <v>124.0</v>
      </c>
      <c r="T762" s="1">
        <v>69.0</v>
      </c>
      <c r="U762" s="1">
        <v>58.0</v>
      </c>
      <c r="V762" s="1">
        <v>429.0</v>
      </c>
      <c r="W762" s="1">
        <v>23359.0</v>
      </c>
      <c r="X762" s="1">
        <v>2885.0</v>
      </c>
      <c r="Y762" s="1">
        <v>271.0</v>
      </c>
      <c r="Z762" s="1">
        <v>140.0</v>
      </c>
      <c r="AA762" s="1">
        <v>323.0</v>
      </c>
      <c r="AB762" s="1">
        <v>490.0</v>
      </c>
      <c r="AC762" s="1">
        <v>77.0</v>
      </c>
      <c r="AD762" s="1">
        <v>144.0</v>
      </c>
      <c r="AE762" s="1">
        <v>0.0</v>
      </c>
      <c r="AF762" s="1">
        <v>456.0</v>
      </c>
      <c r="AG762" s="1">
        <v>0.0</v>
      </c>
      <c r="AH762" s="1">
        <v>197.0</v>
      </c>
      <c r="AI762" s="1">
        <v>191.0</v>
      </c>
      <c r="AJ762" s="1">
        <v>89.0</v>
      </c>
      <c r="AK762" s="1">
        <v>0.0</v>
      </c>
      <c r="AL762" s="1">
        <v>161.0</v>
      </c>
      <c r="AM762" s="1">
        <v>33.0</v>
      </c>
      <c r="AN762" s="1">
        <v>26.0</v>
      </c>
      <c r="AO762" s="1">
        <v>0.0</v>
      </c>
      <c r="AP762" s="1">
        <v>0.083389</v>
      </c>
      <c r="AQ762" s="1">
        <v>0.045012</v>
      </c>
      <c r="AR762" s="1">
        <v>0.07754</v>
      </c>
      <c r="AS762" s="1">
        <v>0.573194</v>
      </c>
      <c r="AT762" s="1">
        <v>23359.0</v>
      </c>
      <c r="AU762" s="1">
        <v>2885.0</v>
      </c>
      <c r="AV762" s="1">
        <v>0.241964</v>
      </c>
      <c r="AW762" s="1">
        <v>0.120841</v>
      </c>
      <c r="AX762" s="1">
        <v>0.166409</v>
      </c>
      <c r="AY762" s="1">
        <v>0.252447</v>
      </c>
      <c r="AZ762" s="1">
        <v>0.09909909</v>
      </c>
      <c r="BA762" s="1">
        <v>0.074188</v>
      </c>
      <c r="BB762" s="1">
        <v>0.0</v>
      </c>
      <c r="BC762" s="1">
        <v>0.324324</v>
      </c>
      <c r="BD762" s="1">
        <v>0.0</v>
      </c>
      <c r="BE762" s="1">
        <v>0.252888</v>
      </c>
      <c r="BF762" s="1">
        <v>0.245186</v>
      </c>
      <c r="BG762" s="1">
        <v>0.109737</v>
      </c>
      <c r="BH762" s="1">
        <v>0.0</v>
      </c>
      <c r="BI762" s="1">
        <v>0.249612</v>
      </c>
      <c r="BJ762" s="1">
        <v>0.051162</v>
      </c>
      <c r="BK762" s="1">
        <v>0.039714</v>
      </c>
      <c r="BL762" s="1">
        <v>0.0</v>
      </c>
      <c r="BM762" s="1">
        <v>0.307</v>
      </c>
      <c r="BN762" s="1">
        <v>0.587</v>
      </c>
      <c r="BO762" s="1">
        <v>0.4296</v>
      </c>
      <c r="BP762" s="1">
        <v>0.852</v>
      </c>
      <c r="BQ762" s="1">
        <v>2.1756</v>
      </c>
      <c r="BR762" s="1">
        <v>0.5552</v>
      </c>
      <c r="BS762" s="1">
        <v>0.71</v>
      </c>
      <c r="BT762" s="1">
        <v>0.63</v>
      </c>
      <c r="BU762" s="1">
        <v>0.484</v>
      </c>
      <c r="BV762" s="1">
        <v>1.824</v>
      </c>
      <c r="BW762" s="1">
        <v>0.743</v>
      </c>
      <c r="BX762" s="1">
        <v>0.375</v>
      </c>
      <c r="BY762" s="1">
        <v>0.0</v>
      </c>
      <c r="BZ762" s="1">
        <v>0.375</v>
      </c>
      <c r="CA762" s="1">
        <v>0.151</v>
      </c>
      <c r="CB762" s="1">
        <v>0.0</v>
      </c>
      <c r="CC762" s="1">
        <v>0.946</v>
      </c>
      <c r="CD762" s="1">
        <v>0.0</v>
      </c>
      <c r="CE762" s="1">
        <v>0.494</v>
      </c>
      <c r="CF762" s="1">
        <v>0.0</v>
      </c>
      <c r="CG762" s="1">
        <v>1.44</v>
      </c>
      <c r="CH762" s="1">
        <v>0.156</v>
      </c>
      <c r="CI762" s="1">
        <v>5.8146</v>
      </c>
      <c r="CJ762" s="1">
        <v>0.3422</v>
      </c>
      <c r="CK762" s="1">
        <v>0.0</v>
      </c>
      <c r="CL762" s="1">
        <v>0.0</v>
      </c>
      <c r="CM762" s="1">
        <v>0.0</v>
      </c>
      <c r="CN762" s="1">
        <v>0.0</v>
      </c>
      <c r="CO762" s="1">
        <v>0.0</v>
      </c>
      <c r="CP762" s="1">
        <v>0.0</v>
      </c>
      <c r="CQ762" s="1">
        <v>0.0</v>
      </c>
      <c r="CR762" s="1">
        <v>0.0</v>
      </c>
      <c r="CS762" s="1">
        <v>0.0</v>
      </c>
      <c r="CT762" s="1">
        <v>0.0</v>
      </c>
      <c r="CU762" s="1">
        <v>0.0</v>
      </c>
      <c r="CV762" s="1">
        <v>0.0</v>
      </c>
      <c r="CW762" s="1">
        <v>0.0</v>
      </c>
      <c r="CX762" s="1">
        <v>1.0</v>
      </c>
      <c r="CY762" s="1">
        <v>0.0</v>
      </c>
      <c r="CZ762" s="1">
        <v>0.0</v>
      </c>
      <c r="DA762" s="1">
        <v>0.0</v>
      </c>
      <c r="DB762" s="1">
        <v>1.0</v>
      </c>
      <c r="DC762" s="1">
        <v>1.0</v>
      </c>
      <c r="DD762" s="1" t="s">
        <v>3566</v>
      </c>
      <c r="DE762" s="1">
        <v>0.0553618976731435</v>
      </c>
      <c r="DF762" s="2" t="s">
        <v>3567</v>
      </c>
    </row>
    <row r="763" ht="15.75" customHeight="1">
      <c r="A763" s="1" t="s">
        <v>3568</v>
      </c>
      <c r="B763" s="1">
        <v>29.0</v>
      </c>
      <c r="C763" s="1">
        <v>135.0</v>
      </c>
      <c r="D763" s="1">
        <v>385200.0</v>
      </c>
      <c r="E763" s="1">
        <v>5.838</v>
      </c>
      <c r="F763" s="1">
        <v>29135.0</v>
      </c>
      <c r="G763" s="1">
        <v>2.91353852E10</v>
      </c>
      <c r="H763" s="1" t="s">
        <v>112</v>
      </c>
      <c r="I763" s="1" t="s">
        <v>113</v>
      </c>
      <c r="J763" s="1" t="s">
        <v>3569</v>
      </c>
      <c r="K763" s="1" t="s">
        <v>3570</v>
      </c>
      <c r="L763" s="1">
        <v>4260.0</v>
      </c>
      <c r="M763" s="1">
        <v>4154.0</v>
      </c>
      <c r="N763" s="1">
        <v>142.0</v>
      </c>
      <c r="O763" s="1">
        <v>1895.0</v>
      </c>
      <c r="P763" s="1">
        <v>1944.0</v>
      </c>
      <c r="Q763" s="1">
        <v>134.0</v>
      </c>
      <c r="R763" s="1">
        <v>1716.0</v>
      </c>
      <c r="S763" s="1">
        <v>574.0</v>
      </c>
      <c r="T763" s="1">
        <v>250.0</v>
      </c>
      <c r="U763" s="1">
        <v>69.0</v>
      </c>
      <c r="V763" s="1">
        <v>459.0</v>
      </c>
      <c r="W763" s="1">
        <v>19984.0</v>
      </c>
      <c r="X763" s="1">
        <v>2303.0</v>
      </c>
      <c r="Y763" s="1">
        <v>462.0</v>
      </c>
      <c r="Z763" s="1">
        <v>238.0</v>
      </c>
      <c r="AA763" s="1">
        <v>761.0</v>
      </c>
      <c r="AB763" s="1">
        <v>1117.0</v>
      </c>
      <c r="AC763" s="1">
        <v>209.0</v>
      </c>
      <c r="AD763" s="1">
        <v>564.0</v>
      </c>
      <c r="AE763" s="1">
        <v>76.0</v>
      </c>
      <c r="AF763" s="1">
        <v>447.0</v>
      </c>
      <c r="AG763" s="1">
        <v>14.0</v>
      </c>
      <c r="AH763" s="1">
        <v>163.0</v>
      </c>
      <c r="AI763" s="1">
        <v>117.0</v>
      </c>
      <c r="AJ763" s="1">
        <v>77.0</v>
      </c>
      <c r="AK763" s="1">
        <v>14.0</v>
      </c>
      <c r="AL763" s="1">
        <v>116.0</v>
      </c>
      <c r="AM763" s="1">
        <v>76.0</v>
      </c>
      <c r="AN763" s="1">
        <v>49.0</v>
      </c>
      <c r="AO763" s="1">
        <v>102.0</v>
      </c>
      <c r="AP763" s="1">
        <v>0.13818</v>
      </c>
      <c r="AQ763" s="1">
        <v>0.059997</v>
      </c>
      <c r="AR763" s="1">
        <v>0.03379</v>
      </c>
      <c r="AS763" s="1">
        <v>0.224748</v>
      </c>
      <c r="AT763" s="1">
        <v>19984.0</v>
      </c>
      <c r="AU763" s="1">
        <v>2303.0</v>
      </c>
      <c r="AV763" s="1">
        <v>0.172259</v>
      </c>
      <c r="AW763" s="1">
        <v>0.087747</v>
      </c>
      <c r="AX763" s="1">
        <v>0.178638</v>
      </c>
      <c r="AY763" s="1">
        <v>0.262206</v>
      </c>
      <c r="AZ763" s="1">
        <v>0.12179487</v>
      </c>
      <c r="BA763" s="1">
        <v>0.132394</v>
      </c>
      <c r="BB763" s="1">
        <v>0.019838</v>
      </c>
      <c r="BC763" s="1">
        <v>0.116677</v>
      </c>
      <c r="BD763" s="1">
        <v>0.007201</v>
      </c>
      <c r="BE763" s="1">
        <v>0.083846</v>
      </c>
      <c r="BF763" s="1">
        <v>0.060185</v>
      </c>
      <c r="BG763" s="1">
        <v>0.039391</v>
      </c>
      <c r="BH763" s="1">
        <v>0.007751</v>
      </c>
      <c r="BI763" s="1">
        <v>0.064227</v>
      </c>
      <c r="BJ763" s="1">
        <v>0.042081</v>
      </c>
      <c r="BK763" s="1">
        <v>0.026932</v>
      </c>
      <c r="BL763" s="1">
        <v>0.023943</v>
      </c>
      <c r="BM763" s="1">
        <v>0.534</v>
      </c>
      <c r="BN763" s="1">
        <v>0.119</v>
      </c>
      <c r="BO763" s="1">
        <v>0.6166</v>
      </c>
      <c r="BP763" s="1">
        <v>0.658</v>
      </c>
      <c r="BQ763" s="1">
        <v>1.9276</v>
      </c>
      <c r="BR763" s="1">
        <v>0.4708</v>
      </c>
      <c r="BS763" s="1">
        <v>0.778</v>
      </c>
      <c r="BT763" s="1">
        <v>0.723</v>
      </c>
      <c r="BU763" s="1">
        <v>0.677</v>
      </c>
      <c r="BV763" s="1">
        <v>2.178</v>
      </c>
      <c r="BW763" s="1">
        <v>0.958</v>
      </c>
      <c r="BX763" s="1">
        <v>0.568</v>
      </c>
      <c r="BY763" s="1">
        <v>0.856</v>
      </c>
      <c r="BZ763" s="1">
        <v>1.424</v>
      </c>
      <c r="CA763" s="1">
        <v>0.776</v>
      </c>
      <c r="CB763" s="1">
        <v>0.354</v>
      </c>
      <c r="CC763" s="1">
        <v>0.629</v>
      </c>
      <c r="CD763" s="1">
        <v>0.426</v>
      </c>
      <c r="CE763" s="1">
        <v>0.414</v>
      </c>
      <c r="CF763" s="1">
        <v>0.755</v>
      </c>
      <c r="CG763" s="1">
        <v>2.578</v>
      </c>
      <c r="CH763" s="1">
        <v>0.594</v>
      </c>
      <c r="CI763" s="1">
        <v>8.1076</v>
      </c>
      <c r="CJ763" s="1">
        <v>0.7314</v>
      </c>
      <c r="CK763" s="1">
        <v>0.0</v>
      </c>
      <c r="CL763" s="1">
        <v>0.0</v>
      </c>
      <c r="CM763" s="1">
        <v>0.0</v>
      </c>
      <c r="CN763" s="1">
        <v>0.0</v>
      </c>
      <c r="CO763" s="1">
        <v>0.0</v>
      </c>
      <c r="CP763" s="1">
        <v>0.0</v>
      </c>
      <c r="CQ763" s="1">
        <v>0.0</v>
      </c>
      <c r="CR763" s="1">
        <v>0.0</v>
      </c>
      <c r="CS763" s="1">
        <v>0.0</v>
      </c>
      <c r="CT763" s="1">
        <v>0.0</v>
      </c>
      <c r="CU763" s="1">
        <v>0.0</v>
      </c>
      <c r="CV763" s="1">
        <v>0.0</v>
      </c>
      <c r="CW763" s="1">
        <v>0.0</v>
      </c>
      <c r="CX763" s="1">
        <v>0.0</v>
      </c>
      <c r="CY763" s="1">
        <v>0.0</v>
      </c>
      <c r="CZ763" s="1">
        <v>0.0</v>
      </c>
      <c r="DA763" s="1">
        <v>0.0</v>
      </c>
      <c r="DB763" s="1">
        <v>0.0</v>
      </c>
      <c r="DC763" s="1">
        <v>0.0</v>
      </c>
      <c r="DD763" s="1" t="s">
        <v>3571</v>
      </c>
      <c r="DE763" s="1">
        <v>0.00157083100307717</v>
      </c>
      <c r="DF763" s="2" t="s">
        <v>3572</v>
      </c>
    </row>
    <row r="764" ht="15.75" customHeight="1">
      <c r="A764" s="1" t="s">
        <v>3573</v>
      </c>
      <c r="B764" s="1">
        <v>29.0</v>
      </c>
      <c r="C764" s="1">
        <v>135.0</v>
      </c>
      <c r="D764" s="1">
        <v>385400.0</v>
      </c>
      <c r="E764" s="1">
        <v>52.022</v>
      </c>
      <c r="F764" s="1">
        <v>29135.0</v>
      </c>
      <c r="G764" s="1">
        <v>2.91353854E10</v>
      </c>
      <c r="H764" s="1" t="s">
        <v>112</v>
      </c>
      <c r="I764" s="1" t="s">
        <v>113</v>
      </c>
      <c r="J764" s="1" t="s">
        <v>3569</v>
      </c>
      <c r="K764" s="1" t="s">
        <v>3574</v>
      </c>
      <c r="L764" s="1">
        <v>3877.0</v>
      </c>
      <c r="M764" s="1">
        <v>3793.0</v>
      </c>
      <c r="N764" s="1">
        <v>130.0</v>
      </c>
      <c r="O764" s="1">
        <v>1265.0</v>
      </c>
      <c r="P764" s="1">
        <v>1202.0</v>
      </c>
      <c r="Q764" s="1">
        <v>126.0</v>
      </c>
      <c r="R764" s="1">
        <v>1103.0</v>
      </c>
      <c r="S764" s="1">
        <v>329.0</v>
      </c>
      <c r="T764" s="1">
        <v>140.0</v>
      </c>
      <c r="U764" s="1">
        <v>23.0</v>
      </c>
      <c r="V764" s="1">
        <v>456.0</v>
      </c>
      <c r="W764" s="1">
        <v>13141.0</v>
      </c>
      <c r="X764" s="1">
        <v>1445.0</v>
      </c>
      <c r="Y764" s="1">
        <v>733.0</v>
      </c>
      <c r="Z764" s="1">
        <v>272.0</v>
      </c>
      <c r="AA764" s="1">
        <v>500.0</v>
      </c>
      <c r="AB764" s="1">
        <v>710.0</v>
      </c>
      <c r="AC764" s="1">
        <v>99.0</v>
      </c>
      <c r="AD764" s="1">
        <v>632.0</v>
      </c>
      <c r="AE764" s="1">
        <v>27.0</v>
      </c>
      <c r="AF764" s="1">
        <v>428.0</v>
      </c>
      <c r="AG764" s="1">
        <v>0.0</v>
      </c>
      <c r="AH764" s="1">
        <v>197.0</v>
      </c>
      <c r="AI764" s="1">
        <v>118.0</v>
      </c>
      <c r="AJ764" s="1">
        <v>77.0</v>
      </c>
      <c r="AK764" s="1">
        <v>0.0</v>
      </c>
      <c r="AL764" s="1">
        <v>161.0</v>
      </c>
      <c r="AM764" s="1">
        <v>70.0</v>
      </c>
      <c r="AN764" s="1">
        <v>45.0</v>
      </c>
      <c r="AO764" s="1">
        <v>1214.0</v>
      </c>
      <c r="AP764" s="1">
        <v>0.130659</v>
      </c>
      <c r="AQ764" s="1">
        <v>0.054791</v>
      </c>
      <c r="AR764" s="1">
        <v>0.019311</v>
      </c>
      <c r="AS764" s="1">
        <v>0.382862</v>
      </c>
      <c r="AT764" s="1">
        <v>13141.0</v>
      </c>
      <c r="AU764" s="1">
        <v>1445.0</v>
      </c>
      <c r="AV764" s="1">
        <v>0.260021</v>
      </c>
      <c r="AW764" s="1">
        <v>0.09545</v>
      </c>
      <c r="AX764" s="1">
        <v>0.128965</v>
      </c>
      <c r="AY764" s="1">
        <v>0.183131</v>
      </c>
      <c r="AZ764" s="1">
        <v>0.08975521</v>
      </c>
      <c r="BA764" s="1">
        <v>0.163012</v>
      </c>
      <c r="BB764" s="1">
        <v>0.007485</v>
      </c>
      <c r="BC764" s="1">
        <v>0.118657</v>
      </c>
      <c r="BD764" s="1">
        <v>0.0</v>
      </c>
      <c r="BE764" s="1">
        <v>0.163893</v>
      </c>
      <c r="BF764" s="1">
        <v>0.098169</v>
      </c>
      <c r="BG764" s="1">
        <v>0.063227</v>
      </c>
      <c r="BH764" s="1">
        <v>0.0</v>
      </c>
      <c r="BI764" s="1">
        <v>0.16312</v>
      </c>
      <c r="BJ764" s="1">
        <v>0.070921</v>
      </c>
      <c r="BK764" s="1">
        <v>0.044824</v>
      </c>
      <c r="BL764" s="1">
        <v>0.313128</v>
      </c>
      <c r="BM764" s="1">
        <v>0.501</v>
      </c>
      <c r="BN764" s="1">
        <v>0.028</v>
      </c>
      <c r="BO764" s="1">
        <v>0.9329</v>
      </c>
      <c r="BP764" s="1">
        <v>0.889</v>
      </c>
      <c r="BQ764" s="1">
        <v>2.3509</v>
      </c>
      <c r="BR764" s="1">
        <v>0.6144</v>
      </c>
      <c r="BS764" s="1">
        <v>0.41</v>
      </c>
      <c r="BT764" s="1">
        <v>0.127</v>
      </c>
      <c r="BU764" s="1">
        <v>0.397</v>
      </c>
      <c r="BV764" s="1">
        <v>0.934</v>
      </c>
      <c r="BW764" s="1">
        <v>0.095</v>
      </c>
      <c r="BX764" s="1">
        <v>0.657</v>
      </c>
      <c r="BY764" s="1">
        <v>0.648</v>
      </c>
      <c r="BZ764" s="1">
        <v>1.305</v>
      </c>
      <c r="CA764" s="1">
        <v>0.717</v>
      </c>
      <c r="CB764" s="1">
        <v>0.0</v>
      </c>
      <c r="CC764" s="1">
        <v>0.71</v>
      </c>
      <c r="CD764" s="1">
        <v>0.0</v>
      </c>
      <c r="CE764" s="1">
        <v>0.63</v>
      </c>
      <c r="CF764" s="1">
        <v>0.98</v>
      </c>
      <c r="CG764" s="1">
        <v>2.32</v>
      </c>
      <c r="CH764" s="1">
        <v>0.465</v>
      </c>
      <c r="CI764" s="1">
        <v>6.9099</v>
      </c>
      <c r="CJ764" s="1">
        <v>0.5336</v>
      </c>
      <c r="CK764" s="1">
        <v>0.0</v>
      </c>
      <c r="CL764" s="1">
        <v>0.0</v>
      </c>
      <c r="CM764" s="1">
        <v>1.0</v>
      </c>
      <c r="CN764" s="1">
        <v>0.0</v>
      </c>
      <c r="CO764" s="1">
        <v>1.0</v>
      </c>
      <c r="CP764" s="1">
        <v>0.0</v>
      </c>
      <c r="CQ764" s="1">
        <v>0.0</v>
      </c>
      <c r="CR764" s="1">
        <v>0.0</v>
      </c>
      <c r="CS764" s="1">
        <v>0.0</v>
      </c>
      <c r="CT764" s="1">
        <v>0.0</v>
      </c>
      <c r="CU764" s="1">
        <v>0.0</v>
      </c>
      <c r="CV764" s="1">
        <v>0.0</v>
      </c>
      <c r="CW764" s="1">
        <v>0.0</v>
      </c>
      <c r="CX764" s="1">
        <v>0.0</v>
      </c>
      <c r="CY764" s="1">
        <v>0.0</v>
      </c>
      <c r="CZ764" s="1">
        <v>0.0</v>
      </c>
      <c r="DA764" s="1">
        <v>1.0</v>
      </c>
      <c r="DB764" s="1">
        <v>1.0</v>
      </c>
      <c r="DC764" s="1">
        <v>2.0</v>
      </c>
      <c r="DD764" s="1" t="s">
        <v>3575</v>
      </c>
      <c r="DE764" s="2" t="s">
        <v>3576</v>
      </c>
      <c r="DF764" s="2" t="s">
        <v>3577</v>
      </c>
    </row>
    <row r="765" ht="15.75" customHeight="1">
      <c r="A765" s="1" t="s">
        <v>3578</v>
      </c>
      <c r="B765" s="1">
        <v>29.0</v>
      </c>
      <c r="C765" s="1">
        <v>135.0</v>
      </c>
      <c r="D765" s="1">
        <v>385100.0</v>
      </c>
      <c r="E765" s="1">
        <v>187.639</v>
      </c>
      <c r="F765" s="1">
        <v>29135.0</v>
      </c>
      <c r="G765" s="1">
        <v>2.91353851E10</v>
      </c>
      <c r="H765" s="1" t="s">
        <v>112</v>
      </c>
      <c r="I765" s="1" t="s">
        <v>113</v>
      </c>
      <c r="J765" s="1" t="s">
        <v>3569</v>
      </c>
      <c r="K765" s="1" t="s">
        <v>3579</v>
      </c>
      <c r="L765" s="1">
        <v>4010.0</v>
      </c>
      <c r="M765" s="1">
        <v>3986.0</v>
      </c>
      <c r="N765" s="1">
        <v>197.0</v>
      </c>
      <c r="O765" s="1">
        <v>1717.0</v>
      </c>
      <c r="P765" s="1">
        <v>1734.0</v>
      </c>
      <c r="Q765" s="1">
        <v>87.0</v>
      </c>
      <c r="R765" s="1">
        <v>1549.0</v>
      </c>
      <c r="S765" s="1">
        <v>415.0</v>
      </c>
      <c r="T765" s="1">
        <v>205.0</v>
      </c>
      <c r="U765" s="1">
        <v>69.0</v>
      </c>
      <c r="V765" s="1">
        <v>428.0</v>
      </c>
      <c r="W765" s="1">
        <v>24130.0</v>
      </c>
      <c r="X765" s="1">
        <v>2072.0</v>
      </c>
      <c r="Y765" s="1">
        <v>296.0</v>
      </c>
      <c r="Z765" s="1">
        <v>268.0</v>
      </c>
      <c r="AA765" s="1">
        <v>515.0</v>
      </c>
      <c r="AB765" s="1">
        <v>988.0</v>
      </c>
      <c r="AC765" s="1">
        <v>114.0</v>
      </c>
      <c r="AD765" s="1">
        <v>150.0</v>
      </c>
      <c r="AE765" s="1">
        <v>14.0</v>
      </c>
      <c r="AF765" s="1">
        <v>427.0</v>
      </c>
      <c r="AG765" s="1">
        <v>64.0</v>
      </c>
      <c r="AH765" s="1">
        <v>171.0</v>
      </c>
      <c r="AI765" s="1">
        <v>208.0</v>
      </c>
      <c r="AJ765" s="1">
        <v>62.0</v>
      </c>
      <c r="AK765" s="1">
        <v>7.0</v>
      </c>
      <c r="AL765" s="1">
        <v>115.0</v>
      </c>
      <c r="AM765" s="1">
        <v>20.0</v>
      </c>
      <c r="AN765" s="1">
        <v>18.0</v>
      </c>
      <c r="AO765" s="1">
        <v>0.0</v>
      </c>
      <c r="AP765" s="1">
        <v>0.105303</v>
      </c>
      <c r="AQ765" s="1">
        <v>0.051747</v>
      </c>
      <c r="AR765" s="1">
        <v>0.034141</v>
      </c>
      <c r="AS765" s="1">
        <v>0.211755</v>
      </c>
      <c r="AT765" s="1">
        <v>24130.0</v>
      </c>
      <c r="AU765" s="1">
        <v>2072.0</v>
      </c>
      <c r="AV765" s="1">
        <v>0.108623</v>
      </c>
      <c r="AW765" s="1">
        <v>0.098194</v>
      </c>
      <c r="AX765" s="1">
        <v>0.128428</v>
      </c>
      <c r="AY765" s="1">
        <v>0.246384</v>
      </c>
      <c r="AZ765" s="1">
        <v>0.07359586</v>
      </c>
      <c r="BA765" s="1">
        <v>0.037406</v>
      </c>
      <c r="BB765" s="1">
        <v>0.003703</v>
      </c>
      <c r="BC765" s="1">
        <v>0.112962</v>
      </c>
      <c r="BD765" s="1">
        <v>0.036908</v>
      </c>
      <c r="BE765" s="1">
        <v>0.098598</v>
      </c>
      <c r="BF765" s="1">
        <v>0.119953</v>
      </c>
      <c r="BG765" s="1">
        <v>0.035245</v>
      </c>
      <c r="BH765" s="1">
        <v>0.004461</v>
      </c>
      <c r="BI765" s="1">
        <v>0.073294</v>
      </c>
      <c r="BJ765" s="1">
        <v>0.012746</v>
      </c>
      <c r="BK765" s="1">
        <v>0.011454</v>
      </c>
      <c r="BL765" s="1">
        <v>0.0</v>
      </c>
      <c r="BM765" s="1">
        <v>0.392</v>
      </c>
      <c r="BN765" s="1">
        <v>0.123</v>
      </c>
      <c r="BO765" s="1">
        <v>0.3906</v>
      </c>
      <c r="BP765" s="1">
        <v>0.376</v>
      </c>
      <c r="BQ765" s="1">
        <v>1.2816</v>
      </c>
      <c r="BR765" s="1">
        <v>0.2765</v>
      </c>
      <c r="BS765" s="1">
        <v>0.404</v>
      </c>
      <c r="BT765" s="1">
        <v>0.56</v>
      </c>
      <c r="BU765" s="1">
        <v>0.245</v>
      </c>
      <c r="BV765" s="1">
        <v>1.209</v>
      </c>
      <c r="BW765" s="1">
        <v>0.238</v>
      </c>
      <c r="BX765" s="1">
        <v>0.141</v>
      </c>
      <c r="BY765" s="1">
        <v>0.499</v>
      </c>
      <c r="BZ765" s="1">
        <v>0.64</v>
      </c>
      <c r="CA765" s="1">
        <v>0.297</v>
      </c>
      <c r="CB765" s="1">
        <v>0.593</v>
      </c>
      <c r="CC765" s="1">
        <v>0.762</v>
      </c>
      <c r="CD765" s="1">
        <v>0.32</v>
      </c>
      <c r="CE765" s="1">
        <v>0.112</v>
      </c>
      <c r="CF765" s="1">
        <v>0.0</v>
      </c>
      <c r="CG765" s="1">
        <v>1.787</v>
      </c>
      <c r="CH765" s="1">
        <v>0.262</v>
      </c>
      <c r="CI765" s="1">
        <v>4.9176</v>
      </c>
      <c r="CJ765" s="1">
        <v>0.1913</v>
      </c>
      <c r="CK765" s="1">
        <v>0.0</v>
      </c>
      <c r="CL765" s="1">
        <v>0.0</v>
      </c>
      <c r="CM765" s="1">
        <v>0.0</v>
      </c>
      <c r="CN765" s="1">
        <v>0.0</v>
      </c>
      <c r="CO765" s="1">
        <v>0.0</v>
      </c>
      <c r="CP765" s="1">
        <v>0.0</v>
      </c>
      <c r="CQ765" s="1">
        <v>0.0</v>
      </c>
      <c r="CR765" s="1">
        <v>0.0</v>
      </c>
      <c r="CS765" s="1">
        <v>0.0</v>
      </c>
      <c r="CT765" s="1">
        <v>0.0</v>
      </c>
      <c r="CU765" s="1">
        <v>0.0</v>
      </c>
      <c r="CV765" s="1">
        <v>0.0</v>
      </c>
      <c r="CW765" s="1">
        <v>0.0</v>
      </c>
      <c r="CX765" s="1">
        <v>0.0</v>
      </c>
      <c r="CY765" s="1">
        <v>0.0</v>
      </c>
      <c r="CZ765" s="1">
        <v>0.0</v>
      </c>
      <c r="DA765" s="1">
        <v>0.0</v>
      </c>
      <c r="DB765" s="1">
        <v>0.0</v>
      </c>
      <c r="DC765" s="1">
        <v>0.0</v>
      </c>
      <c r="DD765" s="1" t="s">
        <v>3580</v>
      </c>
      <c r="DE765" s="1">
        <v>0.0510882022606351</v>
      </c>
      <c r="DF765" s="2" t="s">
        <v>3581</v>
      </c>
    </row>
    <row r="766" ht="15.75" customHeight="1">
      <c r="A766" s="1" t="s">
        <v>3582</v>
      </c>
      <c r="B766" s="1">
        <v>29.0</v>
      </c>
      <c r="C766" s="1">
        <v>135.0</v>
      </c>
      <c r="D766" s="1">
        <v>385300.0</v>
      </c>
      <c r="E766" s="1">
        <v>169.526</v>
      </c>
      <c r="F766" s="1">
        <v>29135.0</v>
      </c>
      <c r="G766" s="1">
        <v>2.91353853E10</v>
      </c>
      <c r="H766" s="1" t="s">
        <v>112</v>
      </c>
      <c r="I766" s="1" t="s">
        <v>113</v>
      </c>
      <c r="J766" s="1" t="s">
        <v>3569</v>
      </c>
      <c r="K766" s="1" t="s">
        <v>3583</v>
      </c>
      <c r="L766" s="1">
        <v>3460.0</v>
      </c>
      <c r="M766" s="1">
        <v>3535.0</v>
      </c>
      <c r="N766" s="1">
        <v>226.0</v>
      </c>
      <c r="O766" s="1">
        <v>1299.0</v>
      </c>
      <c r="P766" s="1">
        <v>1265.0</v>
      </c>
      <c r="Q766" s="1">
        <v>84.0</v>
      </c>
      <c r="R766" s="1">
        <v>1164.0</v>
      </c>
      <c r="S766" s="1">
        <v>271.0</v>
      </c>
      <c r="T766" s="1">
        <v>97.0</v>
      </c>
      <c r="U766" s="1">
        <v>86.0</v>
      </c>
      <c r="V766" s="1">
        <v>363.0</v>
      </c>
      <c r="W766" s="1">
        <v>19514.0</v>
      </c>
      <c r="X766" s="1">
        <v>2258.0</v>
      </c>
      <c r="Y766" s="1">
        <v>528.0</v>
      </c>
      <c r="Z766" s="1">
        <v>186.0</v>
      </c>
      <c r="AA766" s="1">
        <v>377.0</v>
      </c>
      <c r="AB766" s="1">
        <v>1111.0</v>
      </c>
      <c r="AC766" s="1">
        <v>106.0</v>
      </c>
      <c r="AD766" s="1">
        <v>101.0</v>
      </c>
      <c r="AE766" s="1">
        <v>36.0</v>
      </c>
      <c r="AF766" s="1">
        <v>412.0</v>
      </c>
      <c r="AG766" s="1">
        <v>0.0</v>
      </c>
      <c r="AH766" s="1">
        <v>197.0</v>
      </c>
      <c r="AI766" s="1">
        <v>151.0</v>
      </c>
      <c r="AJ766" s="1">
        <v>46.0</v>
      </c>
      <c r="AK766" s="1">
        <v>51.0</v>
      </c>
      <c r="AL766" s="1">
        <v>26.0</v>
      </c>
      <c r="AM766" s="1">
        <v>85.0</v>
      </c>
      <c r="AN766" s="1">
        <v>120.0</v>
      </c>
      <c r="AO766" s="1">
        <v>0.0</v>
      </c>
      <c r="AP766" s="1">
        <v>0.077406</v>
      </c>
      <c r="AQ766" s="1">
        <v>0.027197</v>
      </c>
      <c r="AR766" s="1">
        <v>0.051008</v>
      </c>
      <c r="AS766" s="1">
        <v>0.21525</v>
      </c>
      <c r="AT766" s="1">
        <v>19514.0</v>
      </c>
      <c r="AU766" s="1">
        <v>2258.0</v>
      </c>
      <c r="AV766" s="1">
        <v>0.25756</v>
      </c>
      <c r="AW766" s="1">
        <v>0.089084</v>
      </c>
      <c r="AX766" s="1">
        <v>0.108959</v>
      </c>
      <c r="AY766" s="1">
        <v>0.321098</v>
      </c>
      <c r="AZ766" s="1">
        <v>0.09106529</v>
      </c>
      <c r="BA766" s="1">
        <v>0.02919</v>
      </c>
      <c r="BB766" s="1">
        <v>0.011225</v>
      </c>
      <c r="BC766" s="1">
        <v>0.128466</v>
      </c>
      <c r="BD766" s="1">
        <v>0.0</v>
      </c>
      <c r="BE766" s="1">
        <v>0.155731</v>
      </c>
      <c r="BF766" s="1">
        <v>0.119367</v>
      </c>
      <c r="BG766" s="1">
        <v>0.035489</v>
      </c>
      <c r="BH766" s="1">
        <v>0.045822</v>
      </c>
      <c r="BI766" s="1">
        <v>0.023155</v>
      </c>
      <c r="BJ766" s="1">
        <v>0.07637</v>
      </c>
      <c r="BK766" s="1">
        <v>0.107693</v>
      </c>
      <c r="BL766" s="1">
        <v>0.0</v>
      </c>
      <c r="BM766" s="1">
        <v>0.282</v>
      </c>
      <c r="BN766" s="1">
        <v>0.304</v>
      </c>
      <c r="BO766" s="1">
        <v>0.644</v>
      </c>
      <c r="BP766" s="1">
        <v>0.885</v>
      </c>
      <c r="BQ766" s="1">
        <v>2.115</v>
      </c>
      <c r="BR766" s="1">
        <v>0.5321</v>
      </c>
      <c r="BS766" s="1">
        <v>0.265</v>
      </c>
      <c r="BT766" s="1">
        <v>0.963</v>
      </c>
      <c r="BU766" s="1">
        <v>0.412</v>
      </c>
      <c r="BV766" s="1">
        <v>1.64</v>
      </c>
      <c r="BW766" s="1">
        <v>0.593</v>
      </c>
      <c r="BX766" s="1">
        <v>0.074</v>
      </c>
      <c r="BY766" s="1">
        <v>0.753</v>
      </c>
      <c r="BZ766" s="1">
        <v>0.827</v>
      </c>
      <c r="CA766" s="1">
        <v>0.418</v>
      </c>
      <c r="CB766" s="1">
        <v>0.0</v>
      </c>
      <c r="CC766" s="1">
        <v>0.76</v>
      </c>
      <c r="CD766" s="1">
        <v>0.918</v>
      </c>
      <c r="CE766" s="1">
        <v>0.655</v>
      </c>
      <c r="CF766" s="1">
        <v>0.0</v>
      </c>
      <c r="CG766" s="1">
        <v>2.333</v>
      </c>
      <c r="CH766" s="1">
        <v>0.472</v>
      </c>
      <c r="CI766" s="1">
        <v>6.915</v>
      </c>
      <c r="CJ766" s="1">
        <v>0.535</v>
      </c>
      <c r="CK766" s="1">
        <v>0.0</v>
      </c>
      <c r="CL766" s="1">
        <v>0.0</v>
      </c>
      <c r="CM766" s="1">
        <v>0.0</v>
      </c>
      <c r="CN766" s="1">
        <v>0.0</v>
      </c>
      <c r="CO766" s="1">
        <v>0.0</v>
      </c>
      <c r="CP766" s="1">
        <v>0.0</v>
      </c>
      <c r="CQ766" s="1">
        <v>1.0</v>
      </c>
      <c r="CR766" s="1">
        <v>0.0</v>
      </c>
      <c r="CS766" s="1">
        <v>1.0</v>
      </c>
      <c r="CT766" s="1">
        <v>0.0</v>
      </c>
      <c r="CU766" s="1">
        <v>0.0</v>
      </c>
      <c r="CV766" s="1">
        <v>0.0</v>
      </c>
      <c r="CW766" s="1">
        <v>0.0</v>
      </c>
      <c r="CX766" s="1">
        <v>0.0</v>
      </c>
      <c r="CY766" s="1">
        <v>1.0</v>
      </c>
      <c r="CZ766" s="1">
        <v>0.0</v>
      </c>
      <c r="DA766" s="1">
        <v>0.0</v>
      </c>
      <c r="DB766" s="1">
        <v>1.0</v>
      </c>
      <c r="DC766" s="1">
        <v>2.0</v>
      </c>
      <c r="DD766" s="1" t="s">
        <v>3584</v>
      </c>
      <c r="DE766" s="1">
        <v>0.0455791532606555</v>
      </c>
      <c r="DF766" s="2" t="s">
        <v>3585</v>
      </c>
    </row>
    <row r="767" ht="15.75" customHeight="1">
      <c r="A767" s="1" t="s">
        <v>3586</v>
      </c>
      <c r="B767" s="1">
        <v>29.0</v>
      </c>
      <c r="C767" s="1">
        <v>137.0</v>
      </c>
      <c r="D767" s="1">
        <v>960100.0</v>
      </c>
      <c r="E767" s="1">
        <v>205.729</v>
      </c>
      <c r="F767" s="1">
        <v>29137.0</v>
      </c>
      <c r="G767" s="1">
        <v>2.91379601E10</v>
      </c>
      <c r="H767" s="1" t="s">
        <v>112</v>
      </c>
      <c r="I767" s="1" t="s">
        <v>113</v>
      </c>
      <c r="J767" s="1" t="s">
        <v>3587</v>
      </c>
      <c r="K767" s="1" t="s">
        <v>3588</v>
      </c>
      <c r="L767" s="1">
        <v>3387.0</v>
      </c>
      <c r="M767" s="1">
        <v>3311.0</v>
      </c>
      <c r="N767" s="1">
        <v>232.0</v>
      </c>
      <c r="O767" s="1">
        <v>1987.0</v>
      </c>
      <c r="P767" s="1">
        <v>1889.0</v>
      </c>
      <c r="Q767" s="1">
        <v>77.0</v>
      </c>
      <c r="R767" s="1">
        <v>1437.0</v>
      </c>
      <c r="S767" s="1">
        <v>397.0</v>
      </c>
      <c r="T767" s="1">
        <v>148.0</v>
      </c>
      <c r="U767" s="1">
        <v>88.0</v>
      </c>
      <c r="V767" s="1">
        <v>381.0</v>
      </c>
      <c r="W767" s="1">
        <v>19229.0</v>
      </c>
      <c r="X767" s="1">
        <v>1628.0</v>
      </c>
      <c r="Y767" s="1">
        <v>346.0</v>
      </c>
      <c r="Z767" s="1">
        <v>274.0</v>
      </c>
      <c r="AA767" s="1">
        <v>568.0</v>
      </c>
      <c r="AB767" s="1">
        <v>779.0</v>
      </c>
      <c r="AC767" s="1">
        <v>138.0</v>
      </c>
      <c r="AD767" s="1">
        <v>303.0</v>
      </c>
      <c r="AE767" s="1">
        <v>0.0</v>
      </c>
      <c r="AF767" s="1">
        <v>456.0</v>
      </c>
      <c r="AG767" s="1">
        <v>0.0</v>
      </c>
      <c r="AH767" s="1">
        <v>197.0</v>
      </c>
      <c r="AI767" s="1">
        <v>387.0</v>
      </c>
      <c r="AJ767" s="1">
        <v>93.0</v>
      </c>
      <c r="AK767" s="1">
        <v>11.0</v>
      </c>
      <c r="AL767" s="1">
        <v>115.0</v>
      </c>
      <c r="AM767" s="1">
        <v>100.0</v>
      </c>
      <c r="AN767" s="1">
        <v>52.0</v>
      </c>
      <c r="AO767" s="1">
        <v>39.0</v>
      </c>
      <c r="AP767" s="1">
        <v>0.120121</v>
      </c>
      <c r="AQ767" s="1">
        <v>0.043972</v>
      </c>
      <c r="AR767" s="1">
        <v>0.053822</v>
      </c>
      <c r="AS767" s="1">
        <v>0.232963</v>
      </c>
      <c r="AT767" s="1">
        <v>19229.0</v>
      </c>
      <c r="AU767" s="1">
        <v>1628.0</v>
      </c>
      <c r="AV767" s="1">
        <v>0.156987</v>
      </c>
      <c r="AW767" s="1">
        <v>0.12384</v>
      </c>
      <c r="AX767" s="1">
        <v>0.1677</v>
      </c>
      <c r="AY767" s="1">
        <v>0.229997</v>
      </c>
      <c r="AZ767" s="1">
        <v>0.0960334</v>
      </c>
      <c r="BA767" s="1">
        <v>0.089459</v>
      </c>
      <c r="BB767" s="1">
        <v>0.0</v>
      </c>
      <c r="BC767" s="1">
        <v>0.149312</v>
      </c>
      <c r="BD767" s="1">
        <v>0.0</v>
      </c>
      <c r="BE767" s="1">
        <v>0.104287</v>
      </c>
      <c r="BF767" s="1">
        <v>0.20487</v>
      </c>
      <c r="BG767" s="1">
        <v>0.048518</v>
      </c>
      <c r="BH767" s="1">
        <v>0.00766</v>
      </c>
      <c r="BI767" s="1">
        <v>0.080081</v>
      </c>
      <c r="BJ767" s="1">
        <v>0.069637</v>
      </c>
      <c r="BK767" s="1">
        <v>0.035802</v>
      </c>
      <c r="BL767" s="1">
        <v>0.011514</v>
      </c>
      <c r="BM767" s="1">
        <v>0.455</v>
      </c>
      <c r="BN767" s="1">
        <v>0.335</v>
      </c>
      <c r="BO767" s="1">
        <v>0.6556</v>
      </c>
      <c r="BP767" s="1">
        <v>0.596</v>
      </c>
      <c r="BQ767" s="1">
        <v>2.0416</v>
      </c>
      <c r="BR767" s="1">
        <v>0.5134</v>
      </c>
      <c r="BS767" s="1">
        <v>0.719</v>
      </c>
      <c r="BT767" s="1">
        <v>0.385</v>
      </c>
      <c r="BU767" s="1">
        <v>0.456</v>
      </c>
      <c r="BV767" s="1">
        <v>1.56</v>
      </c>
      <c r="BW767" s="1">
        <v>0.532</v>
      </c>
      <c r="BX767" s="1">
        <v>0.427</v>
      </c>
      <c r="BY767" s="1">
        <v>0.0</v>
      </c>
      <c r="BZ767" s="1">
        <v>0.427</v>
      </c>
      <c r="CA767" s="1">
        <v>0.176</v>
      </c>
      <c r="CB767" s="1">
        <v>0.0</v>
      </c>
      <c r="CC767" s="1">
        <v>0.904</v>
      </c>
      <c r="CD767" s="1">
        <v>0.42</v>
      </c>
      <c r="CE767" s="1">
        <v>0.623</v>
      </c>
      <c r="CF767" s="1">
        <v>0.601</v>
      </c>
      <c r="CG767" s="1">
        <v>2.548</v>
      </c>
      <c r="CH767" s="1">
        <v>0.581</v>
      </c>
      <c r="CI767" s="1">
        <v>6.5766</v>
      </c>
      <c r="CJ767" s="1">
        <v>0.4722</v>
      </c>
      <c r="CK767" s="1">
        <v>0.0</v>
      </c>
      <c r="CL767" s="1">
        <v>0.0</v>
      </c>
      <c r="CM767" s="1">
        <v>0.0</v>
      </c>
      <c r="CN767" s="1">
        <v>0.0</v>
      </c>
      <c r="CO767" s="1">
        <v>0.0</v>
      </c>
      <c r="CP767" s="1">
        <v>0.0</v>
      </c>
      <c r="CQ767" s="1">
        <v>0.0</v>
      </c>
      <c r="CR767" s="1">
        <v>0.0</v>
      </c>
      <c r="CS767" s="1">
        <v>0.0</v>
      </c>
      <c r="CT767" s="1">
        <v>0.0</v>
      </c>
      <c r="CU767" s="1">
        <v>0.0</v>
      </c>
      <c r="CV767" s="1">
        <v>0.0</v>
      </c>
      <c r="CW767" s="1">
        <v>0.0</v>
      </c>
      <c r="CX767" s="1">
        <v>1.0</v>
      </c>
      <c r="CY767" s="1">
        <v>0.0</v>
      </c>
      <c r="CZ767" s="1">
        <v>0.0</v>
      </c>
      <c r="DA767" s="1">
        <v>0.0</v>
      </c>
      <c r="DB767" s="1">
        <v>1.0</v>
      </c>
      <c r="DC767" s="1">
        <v>1.0</v>
      </c>
      <c r="DD767" s="1" t="s">
        <v>3589</v>
      </c>
      <c r="DE767" s="2" t="s">
        <v>3590</v>
      </c>
      <c r="DF767" s="2" t="s">
        <v>3591</v>
      </c>
    </row>
    <row r="768" ht="15.75" customHeight="1">
      <c r="A768" s="1" t="s">
        <v>3592</v>
      </c>
      <c r="B768" s="1">
        <v>29.0</v>
      </c>
      <c r="C768" s="1">
        <v>137.0</v>
      </c>
      <c r="D768" s="1">
        <v>960200.0</v>
      </c>
      <c r="E768" s="1">
        <v>207.303</v>
      </c>
      <c r="F768" s="1">
        <v>29137.0</v>
      </c>
      <c r="G768" s="1">
        <v>2.91379602E10</v>
      </c>
      <c r="H768" s="1" t="s">
        <v>112</v>
      </c>
      <c r="I768" s="1" t="s">
        <v>113</v>
      </c>
      <c r="J768" s="1" t="s">
        <v>3587</v>
      </c>
      <c r="K768" s="1" t="s">
        <v>3593</v>
      </c>
      <c r="L768" s="1">
        <v>2708.0</v>
      </c>
      <c r="M768" s="1">
        <v>2904.0</v>
      </c>
      <c r="N768" s="1">
        <v>280.0</v>
      </c>
      <c r="O768" s="1">
        <v>1546.0</v>
      </c>
      <c r="P768" s="1">
        <v>1591.0</v>
      </c>
      <c r="Q768" s="1">
        <v>68.0</v>
      </c>
      <c r="R768" s="1">
        <v>1136.0</v>
      </c>
      <c r="S768" s="1">
        <v>374.0</v>
      </c>
      <c r="T768" s="1">
        <v>139.0</v>
      </c>
      <c r="U768" s="1">
        <v>92.0</v>
      </c>
      <c r="V768" s="1">
        <v>399.0</v>
      </c>
      <c r="W768" s="1">
        <v>21800.0</v>
      </c>
      <c r="X768" s="1">
        <v>2822.0</v>
      </c>
      <c r="Y768" s="1">
        <v>298.0</v>
      </c>
      <c r="Z768" s="1">
        <v>272.0</v>
      </c>
      <c r="AA768" s="1">
        <v>604.0</v>
      </c>
      <c r="AB768" s="1">
        <v>556.0</v>
      </c>
      <c r="AC768" s="1">
        <v>98.0</v>
      </c>
      <c r="AD768" s="1">
        <v>127.0</v>
      </c>
      <c r="AE768" s="1">
        <v>3.0</v>
      </c>
      <c r="AF768" s="1">
        <v>442.0</v>
      </c>
      <c r="AG768" s="1">
        <v>40.0</v>
      </c>
      <c r="AH768" s="1">
        <v>116.0</v>
      </c>
      <c r="AI768" s="1">
        <v>248.0</v>
      </c>
      <c r="AJ768" s="1">
        <v>77.0</v>
      </c>
      <c r="AK768" s="1">
        <v>6.0</v>
      </c>
      <c r="AL768" s="1">
        <v>114.0</v>
      </c>
      <c r="AM768" s="1">
        <v>53.0</v>
      </c>
      <c r="AN768" s="1">
        <v>34.0</v>
      </c>
      <c r="AO768" s="1">
        <v>89.0</v>
      </c>
      <c r="AP768" s="1">
        <v>0.134677</v>
      </c>
      <c r="AQ768" s="1">
        <v>0.048882</v>
      </c>
      <c r="AR768" s="1">
        <v>0.065017</v>
      </c>
      <c r="AS768" s="1">
        <v>0.281862</v>
      </c>
      <c r="AT768" s="1">
        <v>21800.0</v>
      </c>
      <c r="AU768" s="1">
        <v>2822.0</v>
      </c>
      <c r="AV768" s="1">
        <v>0.141232</v>
      </c>
      <c r="AW768" s="1">
        <v>0.127946</v>
      </c>
      <c r="AX768" s="1">
        <v>0.223042</v>
      </c>
      <c r="AY768" s="1">
        <v>0.205317</v>
      </c>
      <c r="AZ768" s="1">
        <v>0.0862676</v>
      </c>
      <c r="BA768" s="1">
        <v>0.046898</v>
      </c>
      <c r="BB768" s="1">
        <v>0.001097</v>
      </c>
      <c r="BC768" s="1">
        <v>0.161667</v>
      </c>
      <c r="BD768" s="1">
        <v>0.025141</v>
      </c>
      <c r="BE768" s="1">
        <v>0.072902</v>
      </c>
      <c r="BF768" s="1">
        <v>0.155876</v>
      </c>
      <c r="BG768" s="1">
        <v>0.047936</v>
      </c>
      <c r="BH768" s="1">
        <v>0.00475</v>
      </c>
      <c r="BI768" s="1">
        <v>0.09026</v>
      </c>
      <c r="BJ768" s="1">
        <v>0.041963</v>
      </c>
      <c r="BK768" s="1">
        <v>0.026666</v>
      </c>
      <c r="BL768" s="1">
        <v>0.032865</v>
      </c>
      <c r="BM768" s="1">
        <v>0.515</v>
      </c>
      <c r="BN768" s="1">
        <v>0.469</v>
      </c>
      <c r="BO768" s="1">
        <v>0.5054</v>
      </c>
      <c r="BP768" s="1">
        <v>0.528</v>
      </c>
      <c r="BQ768" s="1">
        <v>2.0174</v>
      </c>
      <c r="BR768" s="1">
        <v>0.5018</v>
      </c>
      <c r="BS768" s="1">
        <v>0.939</v>
      </c>
      <c r="BT768" s="1">
        <v>0.214</v>
      </c>
      <c r="BU768" s="1">
        <v>0.369</v>
      </c>
      <c r="BV768" s="1">
        <v>1.522</v>
      </c>
      <c r="BW768" s="1">
        <v>0.498</v>
      </c>
      <c r="BX768" s="1">
        <v>0.228</v>
      </c>
      <c r="BY768" s="1">
        <v>0.338</v>
      </c>
      <c r="BZ768" s="1">
        <v>0.566</v>
      </c>
      <c r="CA768" s="1">
        <v>0.249</v>
      </c>
      <c r="CB768" s="1">
        <v>0.516</v>
      </c>
      <c r="CC768" s="1">
        <v>0.831</v>
      </c>
      <c r="CD768" s="1">
        <v>0.328</v>
      </c>
      <c r="CE768" s="1">
        <v>0.411</v>
      </c>
      <c r="CF768" s="1">
        <v>0.822</v>
      </c>
      <c r="CG768" s="1">
        <v>2.908</v>
      </c>
      <c r="CH768" s="1">
        <v>0.735</v>
      </c>
      <c r="CI768" s="1">
        <v>7.0134</v>
      </c>
      <c r="CJ768" s="1">
        <v>0.548</v>
      </c>
      <c r="CK768" s="1">
        <v>0.0</v>
      </c>
      <c r="CL768" s="1">
        <v>0.0</v>
      </c>
      <c r="CM768" s="1">
        <v>0.0</v>
      </c>
      <c r="CN768" s="1">
        <v>0.0</v>
      </c>
      <c r="CO768" s="1">
        <v>0.0</v>
      </c>
      <c r="CP768" s="1">
        <v>1.0</v>
      </c>
      <c r="CQ768" s="1">
        <v>0.0</v>
      </c>
      <c r="CR768" s="1">
        <v>0.0</v>
      </c>
      <c r="CS768" s="1">
        <v>1.0</v>
      </c>
      <c r="CT768" s="1">
        <v>0.0</v>
      </c>
      <c r="CU768" s="1">
        <v>0.0</v>
      </c>
      <c r="CV768" s="1">
        <v>0.0</v>
      </c>
      <c r="CW768" s="1">
        <v>0.0</v>
      </c>
      <c r="CX768" s="1">
        <v>0.0</v>
      </c>
      <c r="CY768" s="1">
        <v>0.0</v>
      </c>
      <c r="CZ768" s="1">
        <v>0.0</v>
      </c>
      <c r="DA768" s="1">
        <v>0.0</v>
      </c>
      <c r="DB768" s="1">
        <v>0.0</v>
      </c>
      <c r="DC768" s="1">
        <v>1.0</v>
      </c>
      <c r="DD768" s="1" t="s">
        <v>3594</v>
      </c>
      <c r="DE768" s="1">
        <v>0.0568706876405595</v>
      </c>
      <c r="DF768" s="2" t="s">
        <v>3595</v>
      </c>
    </row>
    <row r="769" ht="15.75" customHeight="1">
      <c r="A769" s="1" t="s">
        <v>3596</v>
      </c>
      <c r="B769" s="1">
        <v>29.0</v>
      </c>
      <c r="C769" s="1">
        <v>137.0</v>
      </c>
      <c r="D769" s="1">
        <v>960300.0</v>
      </c>
      <c r="E769" s="1">
        <v>234.622</v>
      </c>
      <c r="F769" s="1">
        <v>29137.0</v>
      </c>
      <c r="G769" s="1">
        <v>2.91379603E10</v>
      </c>
      <c r="H769" s="1" t="s">
        <v>112</v>
      </c>
      <c r="I769" s="1" t="s">
        <v>113</v>
      </c>
      <c r="J769" s="1" t="s">
        <v>3587</v>
      </c>
      <c r="K769" s="1" t="s">
        <v>3597</v>
      </c>
      <c r="L769" s="1">
        <v>2745.0</v>
      </c>
      <c r="M769" s="1">
        <v>2863.0</v>
      </c>
      <c r="N769" s="1">
        <v>270.0</v>
      </c>
      <c r="O769" s="1">
        <v>1265.0</v>
      </c>
      <c r="P769" s="1">
        <v>1308.0</v>
      </c>
      <c r="Q769" s="1">
        <v>60.0</v>
      </c>
      <c r="R769" s="1">
        <v>1065.0</v>
      </c>
      <c r="S769" s="1">
        <v>374.0</v>
      </c>
      <c r="T769" s="1">
        <v>98.0</v>
      </c>
      <c r="U769" s="1">
        <v>53.0</v>
      </c>
      <c r="V769" s="1">
        <v>379.0</v>
      </c>
      <c r="W769" s="1">
        <v>18540.0</v>
      </c>
      <c r="X769" s="1">
        <v>1514.0</v>
      </c>
      <c r="Y769" s="1">
        <v>317.0</v>
      </c>
      <c r="Z769" s="1">
        <v>211.0</v>
      </c>
      <c r="AA769" s="1">
        <v>476.0</v>
      </c>
      <c r="AB769" s="1">
        <v>726.0</v>
      </c>
      <c r="AC769" s="1">
        <v>79.0</v>
      </c>
      <c r="AD769" s="1">
        <v>70.0</v>
      </c>
      <c r="AE769" s="1">
        <v>11.0</v>
      </c>
      <c r="AF769" s="1">
        <v>427.0</v>
      </c>
      <c r="AG769" s="1">
        <v>9.0</v>
      </c>
      <c r="AH769" s="1">
        <v>162.0</v>
      </c>
      <c r="AI769" s="1">
        <v>261.0</v>
      </c>
      <c r="AJ769" s="1">
        <v>63.0</v>
      </c>
      <c r="AK769" s="1">
        <v>36.0</v>
      </c>
      <c r="AL769" s="1">
        <v>22.0</v>
      </c>
      <c r="AM769" s="1">
        <v>72.0</v>
      </c>
      <c r="AN769" s="1">
        <v>28.0</v>
      </c>
      <c r="AO769" s="1">
        <v>0.0</v>
      </c>
      <c r="AP769" s="1">
        <v>0.134823</v>
      </c>
      <c r="AQ769" s="1">
        <v>0.033701</v>
      </c>
      <c r="AR769" s="1">
        <v>0.043019</v>
      </c>
      <c r="AS769" s="1">
        <v>0.307593</v>
      </c>
      <c r="AT769" s="1">
        <v>18540.0</v>
      </c>
      <c r="AU769" s="1">
        <v>1514.0</v>
      </c>
      <c r="AV769" s="1">
        <v>0.165968</v>
      </c>
      <c r="AW769" s="1">
        <v>0.108909</v>
      </c>
      <c r="AX769" s="1">
        <v>0.173406</v>
      </c>
      <c r="AY769" s="1">
        <v>0.26448</v>
      </c>
      <c r="AZ769" s="1">
        <v>0.0741784</v>
      </c>
      <c r="BA769" s="1">
        <v>0.0255</v>
      </c>
      <c r="BB769" s="1">
        <v>0.004011</v>
      </c>
      <c r="BC769" s="1">
        <v>0.155725</v>
      </c>
      <c r="BD769" s="1">
        <v>0.00688</v>
      </c>
      <c r="BE769" s="1">
        <v>0.123852</v>
      </c>
      <c r="BF769" s="1">
        <v>0.199541</v>
      </c>
      <c r="BG769" s="1">
        <v>0.047287</v>
      </c>
      <c r="BH769" s="1">
        <v>0.03169</v>
      </c>
      <c r="BI769" s="1">
        <v>0.01924</v>
      </c>
      <c r="BJ769" s="1">
        <v>0.06338</v>
      </c>
      <c r="BK769" s="1">
        <v>0.02425</v>
      </c>
      <c r="BL769" s="1">
        <v>0.0</v>
      </c>
      <c r="BM769" s="1">
        <v>0.517</v>
      </c>
      <c r="BN769" s="1">
        <v>0.222</v>
      </c>
      <c r="BO769" s="1">
        <v>0.7069</v>
      </c>
      <c r="BP769" s="1">
        <v>0.639</v>
      </c>
      <c r="BQ769" s="1">
        <v>2.0849</v>
      </c>
      <c r="BR769" s="1">
        <v>0.5256</v>
      </c>
      <c r="BS769" s="1">
        <v>0.756</v>
      </c>
      <c r="BT769" s="1">
        <v>0.743</v>
      </c>
      <c r="BU769" s="1">
        <v>0.251</v>
      </c>
      <c r="BV769" s="1">
        <v>1.75</v>
      </c>
      <c r="BW769" s="1">
        <v>0.681</v>
      </c>
      <c r="BX769" s="1">
        <v>0.051</v>
      </c>
      <c r="BY769" s="1">
        <v>0.515</v>
      </c>
      <c r="BZ769" s="1">
        <v>0.566</v>
      </c>
      <c r="CA769" s="1">
        <v>0.249</v>
      </c>
      <c r="CB769" s="1">
        <v>0.351</v>
      </c>
      <c r="CC769" s="1">
        <v>0.898</v>
      </c>
      <c r="CD769" s="1">
        <v>0.826</v>
      </c>
      <c r="CE769" s="1">
        <v>0.587</v>
      </c>
      <c r="CF769" s="1">
        <v>0.0</v>
      </c>
      <c r="CG769" s="1">
        <v>2.662</v>
      </c>
      <c r="CH769" s="1">
        <v>0.63</v>
      </c>
      <c r="CI769" s="1">
        <v>7.0629</v>
      </c>
      <c r="CJ769" s="1">
        <v>0.561</v>
      </c>
      <c r="CK769" s="1">
        <v>0.0</v>
      </c>
      <c r="CL769" s="1">
        <v>0.0</v>
      </c>
      <c r="CM769" s="1">
        <v>0.0</v>
      </c>
      <c r="CN769" s="1">
        <v>0.0</v>
      </c>
      <c r="CO769" s="1">
        <v>0.0</v>
      </c>
      <c r="CP769" s="1">
        <v>0.0</v>
      </c>
      <c r="CQ769" s="1">
        <v>0.0</v>
      </c>
      <c r="CR769" s="1">
        <v>0.0</v>
      </c>
      <c r="CS769" s="1">
        <v>0.0</v>
      </c>
      <c r="CT769" s="1">
        <v>0.0</v>
      </c>
      <c r="CU769" s="1">
        <v>0.0</v>
      </c>
      <c r="CV769" s="1">
        <v>0.0</v>
      </c>
      <c r="CW769" s="1">
        <v>0.0</v>
      </c>
      <c r="CX769" s="1">
        <v>0.0</v>
      </c>
      <c r="CY769" s="1">
        <v>0.0</v>
      </c>
      <c r="CZ769" s="1">
        <v>0.0</v>
      </c>
      <c r="DA769" s="1">
        <v>0.0</v>
      </c>
      <c r="DB769" s="1">
        <v>0.0</v>
      </c>
      <c r="DC769" s="1">
        <v>0.0</v>
      </c>
      <c r="DD769" s="1" t="s">
        <v>3598</v>
      </c>
      <c r="DE769" s="1">
        <v>0.063862494488214</v>
      </c>
      <c r="DF769" s="2" t="s">
        <v>3599</v>
      </c>
    </row>
    <row r="770" ht="15.75" customHeight="1">
      <c r="A770" s="1" t="s">
        <v>3600</v>
      </c>
      <c r="B770" s="1">
        <v>29.0</v>
      </c>
      <c r="C770" s="1">
        <v>139.0</v>
      </c>
      <c r="D770" s="1">
        <v>970100.0</v>
      </c>
      <c r="E770" s="1">
        <v>141.321</v>
      </c>
      <c r="F770" s="1">
        <v>29139.0</v>
      </c>
      <c r="G770" s="1">
        <v>2.91399701E10</v>
      </c>
      <c r="H770" s="1" t="s">
        <v>112</v>
      </c>
      <c r="I770" s="1" t="s">
        <v>113</v>
      </c>
      <c r="J770" s="1" t="s">
        <v>3601</v>
      </c>
      <c r="K770" s="1" t="s">
        <v>3602</v>
      </c>
      <c r="L770" s="1">
        <v>2624.0</v>
      </c>
      <c r="M770" s="1">
        <v>2764.0</v>
      </c>
      <c r="N770" s="1">
        <v>230.0</v>
      </c>
      <c r="O770" s="1">
        <v>1319.0</v>
      </c>
      <c r="P770" s="1">
        <v>1394.0</v>
      </c>
      <c r="Q770" s="1">
        <v>80.0</v>
      </c>
      <c r="R770" s="1">
        <v>1021.0</v>
      </c>
      <c r="S770" s="1">
        <v>268.0</v>
      </c>
      <c r="T770" s="1">
        <v>109.0</v>
      </c>
      <c r="U770" s="1">
        <v>82.0</v>
      </c>
      <c r="V770" s="1">
        <v>345.0</v>
      </c>
      <c r="W770" s="1">
        <v>17723.0</v>
      </c>
      <c r="X770" s="1">
        <v>1377.0</v>
      </c>
      <c r="Y770" s="1">
        <v>480.0</v>
      </c>
      <c r="Z770" s="1">
        <v>185.0</v>
      </c>
      <c r="AA770" s="1">
        <v>558.0</v>
      </c>
      <c r="AB770" s="1">
        <v>604.0</v>
      </c>
      <c r="AC770" s="1">
        <v>82.0</v>
      </c>
      <c r="AD770" s="1">
        <v>114.0</v>
      </c>
      <c r="AE770" s="1">
        <v>3.0</v>
      </c>
      <c r="AF770" s="1">
        <v>442.0</v>
      </c>
      <c r="AG770" s="1">
        <v>5.0</v>
      </c>
      <c r="AH770" s="1">
        <v>161.0</v>
      </c>
      <c r="AI770" s="1">
        <v>196.0</v>
      </c>
      <c r="AJ770" s="1">
        <v>56.0</v>
      </c>
      <c r="AK770" s="1">
        <v>8.0</v>
      </c>
      <c r="AL770" s="1">
        <v>114.0</v>
      </c>
      <c r="AM770" s="1">
        <v>42.0</v>
      </c>
      <c r="AN770" s="1">
        <v>20.0</v>
      </c>
      <c r="AO770" s="1">
        <v>85.0</v>
      </c>
      <c r="AP770" s="1">
        <v>0.102681</v>
      </c>
      <c r="AQ770" s="1">
        <v>0.041123</v>
      </c>
      <c r="AR770" s="1">
        <v>0.068106</v>
      </c>
      <c r="AS770" s="1">
        <v>0.286457</v>
      </c>
      <c r="AT770" s="1">
        <v>17723.0</v>
      </c>
      <c r="AU770" s="1">
        <v>1377.0</v>
      </c>
      <c r="AV770" s="1">
        <v>0.244026</v>
      </c>
      <c r="AW770" s="1">
        <v>0.091114</v>
      </c>
      <c r="AX770" s="1">
        <v>0.212652</v>
      </c>
      <c r="AY770" s="1">
        <v>0.230182</v>
      </c>
      <c r="AZ770" s="1">
        <v>0.08031341</v>
      </c>
      <c r="BA770" s="1">
        <v>0.043445</v>
      </c>
      <c r="BB770" s="1">
        <v>0.001146</v>
      </c>
      <c r="BC770" s="1">
        <v>0.168895</v>
      </c>
      <c r="BD770" s="1">
        <v>0.003586</v>
      </c>
      <c r="BE770" s="1">
        <v>0.115494</v>
      </c>
      <c r="BF770" s="1">
        <v>0.140602</v>
      </c>
      <c r="BG770" s="1">
        <v>0.039353</v>
      </c>
      <c r="BH770" s="1">
        <v>0.007339</v>
      </c>
      <c r="BI770" s="1">
        <v>0.104585</v>
      </c>
      <c r="BJ770" s="1">
        <v>0.038532</v>
      </c>
      <c r="BK770" s="1">
        <v>0.01807</v>
      </c>
      <c r="BL770" s="1">
        <v>0.032393</v>
      </c>
      <c r="BM770" s="1">
        <v>0.38</v>
      </c>
      <c r="BN770" s="1">
        <v>0.497</v>
      </c>
      <c r="BO770" s="1">
        <v>0.743</v>
      </c>
      <c r="BP770" s="1">
        <v>0.858</v>
      </c>
      <c r="BQ770" s="1">
        <v>2.478</v>
      </c>
      <c r="BR770" s="1">
        <v>0.6599</v>
      </c>
      <c r="BS770" s="1">
        <v>0.914</v>
      </c>
      <c r="BT770" s="1">
        <v>0.388</v>
      </c>
      <c r="BU770" s="1">
        <v>0.306</v>
      </c>
      <c r="BV770" s="1">
        <v>1.608</v>
      </c>
      <c r="BW770" s="1">
        <v>0.573</v>
      </c>
      <c r="BX770" s="1">
        <v>0.201</v>
      </c>
      <c r="BY770" s="1">
        <v>0.339</v>
      </c>
      <c r="BZ770" s="1">
        <v>0.54</v>
      </c>
      <c r="CA770" s="1">
        <v>0.234</v>
      </c>
      <c r="CB770" s="1">
        <v>0.294</v>
      </c>
      <c r="CC770" s="1">
        <v>0.801</v>
      </c>
      <c r="CD770" s="1">
        <v>0.405</v>
      </c>
      <c r="CE770" s="1">
        <v>0.376</v>
      </c>
      <c r="CF770" s="1">
        <v>0.817</v>
      </c>
      <c r="CG770" s="1">
        <v>2.693</v>
      </c>
      <c r="CH770" s="1">
        <v>0.64</v>
      </c>
      <c r="CI770" s="1">
        <v>7.319</v>
      </c>
      <c r="CJ770" s="1">
        <v>0.6123</v>
      </c>
      <c r="CK770" s="1">
        <v>0.0</v>
      </c>
      <c r="CL770" s="1">
        <v>0.0</v>
      </c>
      <c r="CM770" s="1">
        <v>0.0</v>
      </c>
      <c r="CN770" s="1">
        <v>0.0</v>
      </c>
      <c r="CO770" s="1">
        <v>0.0</v>
      </c>
      <c r="CP770" s="1">
        <v>1.0</v>
      </c>
      <c r="CQ770" s="1">
        <v>0.0</v>
      </c>
      <c r="CR770" s="1">
        <v>0.0</v>
      </c>
      <c r="CS770" s="1">
        <v>1.0</v>
      </c>
      <c r="CT770" s="1">
        <v>0.0</v>
      </c>
      <c r="CU770" s="1">
        <v>0.0</v>
      </c>
      <c r="CV770" s="1">
        <v>0.0</v>
      </c>
      <c r="CW770" s="1">
        <v>0.0</v>
      </c>
      <c r="CX770" s="1">
        <v>0.0</v>
      </c>
      <c r="CY770" s="1">
        <v>0.0</v>
      </c>
      <c r="CZ770" s="1">
        <v>0.0</v>
      </c>
      <c r="DA770" s="1">
        <v>0.0</v>
      </c>
      <c r="DB770" s="1">
        <v>0.0</v>
      </c>
      <c r="DC770" s="1">
        <v>1.0</v>
      </c>
      <c r="DD770" s="1" t="s">
        <v>3603</v>
      </c>
      <c r="DE770" s="1">
        <v>0.0383832209232954</v>
      </c>
      <c r="DF770" s="2" t="s">
        <v>3604</v>
      </c>
    </row>
    <row r="771" ht="15.75" customHeight="1">
      <c r="A771" s="1" t="s">
        <v>3605</v>
      </c>
      <c r="B771" s="1">
        <v>29.0</v>
      </c>
      <c r="C771" s="1">
        <v>139.0</v>
      </c>
      <c r="D771" s="1">
        <v>970200.0</v>
      </c>
      <c r="E771" s="1">
        <v>89.207</v>
      </c>
      <c r="F771" s="1">
        <v>29139.0</v>
      </c>
      <c r="G771" s="1">
        <v>2.91399702E10</v>
      </c>
      <c r="H771" s="1" t="s">
        <v>112</v>
      </c>
      <c r="I771" s="1" t="s">
        <v>113</v>
      </c>
      <c r="J771" s="1" t="s">
        <v>3601</v>
      </c>
      <c r="K771" s="1" t="s">
        <v>3606</v>
      </c>
      <c r="L771" s="1">
        <v>3816.0</v>
      </c>
      <c r="M771" s="1">
        <v>3690.0</v>
      </c>
      <c r="N771" s="1">
        <v>169.0</v>
      </c>
      <c r="O771" s="1">
        <v>1736.0</v>
      </c>
      <c r="P771" s="1">
        <v>1745.0</v>
      </c>
      <c r="Q771" s="1">
        <v>102.0</v>
      </c>
      <c r="R771" s="1">
        <v>1529.0</v>
      </c>
      <c r="S771" s="1">
        <v>617.0</v>
      </c>
      <c r="T771" s="1">
        <v>216.0</v>
      </c>
      <c r="U771" s="1">
        <v>105.0</v>
      </c>
      <c r="V771" s="1">
        <v>398.0</v>
      </c>
      <c r="W771" s="1">
        <v>22048.0</v>
      </c>
      <c r="X771" s="1">
        <v>2331.0</v>
      </c>
      <c r="Y771" s="1">
        <v>459.0</v>
      </c>
      <c r="Z771" s="1">
        <v>253.0</v>
      </c>
      <c r="AA771" s="1">
        <v>581.0</v>
      </c>
      <c r="AB771" s="1">
        <v>978.0</v>
      </c>
      <c r="AC771" s="1">
        <v>180.0</v>
      </c>
      <c r="AD771" s="1">
        <v>261.0</v>
      </c>
      <c r="AE771" s="1">
        <v>5.0</v>
      </c>
      <c r="AF771" s="1">
        <v>442.0</v>
      </c>
      <c r="AG771" s="1">
        <v>70.0</v>
      </c>
      <c r="AH771" s="1">
        <v>119.0</v>
      </c>
      <c r="AI771" s="1">
        <v>137.0</v>
      </c>
      <c r="AJ771" s="1">
        <v>49.0</v>
      </c>
      <c r="AK771" s="1">
        <v>24.0</v>
      </c>
      <c r="AL771" s="1">
        <v>116.0</v>
      </c>
      <c r="AM771" s="1">
        <v>45.0</v>
      </c>
      <c r="AN771" s="1">
        <v>33.0</v>
      </c>
      <c r="AO771" s="1">
        <v>136.0</v>
      </c>
      <c r="AP771" s="1">
        <v>0.167208</v>
      </c>
      <c r="AQ771" s="1">
        <v>0.058033</v>
      </c>
      <c r="AR771" s="1">
        <v>0.057158</v>
      </c>
      <c r="AS771" s="1">
        <v>0.216599</v>
      </c>
      <c r="AT771" s="1">
        <v>22048.0</v>
      </c>
      <c r="AU771" s="1">
        <v>2331.0</v>
      </c>
      <c r="AV771" s="1">
        <v>0.18</v>
      </c>
      <c r="AW771" s="1">
        <v>0.098756</v>
      </c>
      <c r="AX771" s="1">
        <v>0.152253</v>
      </c>
      <c r="AY771" s="1">
        <v>0.256289</v>
      </c>
      <c r="AZ771" s="1">
        <v>0.117724</v>
      </c>
      <c r="BA771" s="1">
        <v>0.068396</v>
      </c>
      <c r="BB771" s="1">
        <v>0.001451</v>
      </c>
      <c r="BC771" s="1">
        <v>0.128301</v>
      </c>
      <c r="BD771" s="1">
        <v>0.040114</v>
      </c>
      <c r="BE771" s="1">
        <v>0.068154</v>
      </c>
      <c r="BF771" s="1">
        <v>0.07851</v>
      </c>
      <c r="BG771" s="1">
        <v>0.027702</v>
      </c>
      <c r="BH771" s="1">
        <v>0.015655</v>
      </c>
      <c r="BI771" s="1">
        <v>0.075661</v>
      </c>
      <c r="BJ771" s="1">
        <v>0.029354</v>
      </c>
      <c r="BK771" s="1">
        <v>0.021434</v>
      </c>
      <c r="BL771" s="1">
        <v>0.035639</v>
      </c>
      <c r="BM771" s="1">
        <v>0.63</v>
      </c>
      <c r="BN771" s="1">
        <v>0.384</v>
      </c>
      <c r="BO771" s="1">
        <v>0.4903</v>
      </c>
      <c r="BP771" s="1">
        <v>0.689</v>
      </c>
      <c r="BQ771" s="1">
        <v>2.1933</v>
      </c>
      <c r="BR771" s="1">
        <v>0.561</v>
      </c>
      <c r="BS771" s="1">
        <v>0.6</v>
      </c>
      <c r="BT771" s="1">
        <v>0.665</v>
      </c>
      <c r="BU771" s="1">
        <v>0.653</v>
      </c>
      <c r="BV771" s="1">
        <v>1.918</v>
      </c>
      <c r="BW771" s="1">
        <v>0.812</v>
      </c>
      <c r="BX771" s="1">
        <v>0.356</v>
      </c>
      <c r="BY771" s="1">
        <v>0.353</v>
      </c>
      <c r="BZ771" s="1">
        <v>0.709</v>
      </c>
      <c r="CA771" s="1">
        <v>0.341</v>
      </c>
      <c r="CB771" s="1">
        <v>0.612</v>
      </c>
      <c r="CC771" s="1">
        <v>0.675</v>
      </c>
      <c r="CD771" s="1">
        <v>0.609</v>
      </c>
      <c r="CE771" s="1">
        <v>0.28</v>
      </c>
      <c r="CF771" s="1">
        <v>0.843</v>
      </c>
      <c r="CG771" s="1">
        <v>3.019</v>
      </c>
      <c r="CH771" s="1">
        <v>0.783</v>
      </c>
      <c r="CI771" s="1">
        <v>7.8393</v>
      </c>
      <c r="CJ771" s="1">
        <v>0.6859</v>
      </c>
      <c r="CK771" s="1">
        <v>0.0</v>
      </c>
      <c r="CL771" s="1">
        <v>0.0</v>
      </c>
      <c r="CM771" s="1">
        <v>0.0</v>
      </c>
      <c r="CN771" s="1">
        <v>0.0</v>
      </c>
      <c r="CO771" s="1">
        <v>0.0</v>
      </c>
      <c r="CP771" s="1">
        <v>0.0</v>
      </c>
      <c r="CQ771" s="1">
        <v>0.0</v>
      </c>
      <c r="CR771" s="1">
        <v>0.0</v>
      </c>
      <c r="CS771" s="1">
        <v>0.0</v>
      </c>
      <c r="CT771" s="1">
        <v>0.0</v>
      </c>
      <c r="CU771" s="1">
        <v>0.0</v>
      </c>
      <c r="CV771" s="1">
        <v>0.0</v>
      </c>
      <c r="CW771" s="1">
        <v>0.0</v>
      </c>
      <c r="CX771" s="1">
        <v>0.0</v>
      </c>
      <c r="CY771" s="1">
        <v>0.0</v>
      </c>
      <c r="CZ771" s="1">
        <v>0.0</v>
      </c>
      <c r="DA771" s="1">
        <v>0.0</v>
      </c>
      <c r="DB771" s="1">
        <v>0.0</v>
      </c>
      <c r="DC771" s="1">
        <v>0.0</v>
      </c>
      <c r="DD771" s="1" t="s">
        <v>3607</v>
      </c>
      <c r="DE771" s="2" t="s">
        <v>3608</v>
      </c>
      <c r="DF771" s="1">
        <v>0.955765259687945</v>
      </c>
    </row>
    <row r="772" ht="15.75" customHeight="1">
      <c r="A772" s="1" t="s">
        <v>3609</v>
      </c>
      <c r="B772" s="1">
        <v>29.0</v>
      </c>
      <c r="C772" s="1">
        <v>139.0</v>
      </c>
      <c r="D772" s="1">
        <v>970300.0</v>
      </c>
      <c r="E772" s="1">
        <v>207.706</v>
      </c>
      <c r="F772" s="1">
        <v>29139.0</v>
      </c>
      <c r="G772" s="1">
        <v>2.91399703E10</v>
      </c>
      <c r="H772" s="1" t="s">
        <v>112</v>
      </c>
      <c r="I772" s="1" t="s">
        <v>113</v>
      </c>
      <c r="J772" s="1" t="s">
        <v>3601</v>
      </c>
      <c r="K772" s="1" t="s">
        <v>3610</v>
      </c>
      <c r="L772" s="1">
        <v>3268.0</v>
      </c>
      <c r="M772" s="1">
        <v>3030.0</v>
      </c>
      <c r="N772" s="1">
        <v>214.0</v>
      </c>
      <c r="O772" s="1">
        <v>1866.0</v>
      </c>
      <c r="P772" s="1">
        <v>1718.0</v>
      </c>
      <c r="Q772" s="1">
        <v>92.0</v>
      </c>
      <c r="R772" s="1">
        <v>1317.0</v>
      </c>
      <c r="S772" s="1">
        <v>557.0</v>
      </c>
      <c r="T772" s="1">
        <v>204.0</v>
      </c>
      <c r="U772" s="1">
        <v>185.0</v>
      </c>
      <c r="V772" s="1">
        <v>329.0</v>
      </c>
      <c r="W772" s="1">
        <v>20208.0</v>
      </c>
      <c r="X772" s="1">
        <v>2210.0</v>
      </c>
      <c r="Y772" s="1">
        <v>410.0</v>
      </c>
      <c r="Z772" s="1">
        <v>275.0</v>
      </c>
      <c r="AA772" s="1">
        <v>629.0</v>
      </c>
      <c r="AB772" s="1">
        <v>691.0</v>
      </c>
      <c r="AC772" s="1">
        <v>100.0</v>
      </c>
      <c r="AD772" s="1">
        <v>90.0</v>
      </c>
      <c r="AE772" s="1">
        <v>4.0</v>
      </c>
      <c r="AF772" s="1">
        <v>442.0</v>
      </c>
      <c r="AG772" s="1">
        <v>0.0</v>
      </c>
      <c r="AH772" s="1">
        <v>197.0</v>
      </c>
      <c r="AI772" s="1">
        <v>430.0</v>
      </c>
      <c r="AJ772" s="1">
        <v>105.0</v>
      </c>
      <c r="AK772" s="1">
        <v>29.0</v>
      </c>
      <c r="AL772" s="1">
        <v>116.0</v>
      </c>
      <c r="AM772" s="1">
        <v>24.0</v>
      </c>
      <c r="AN772" s="1">
        <v>21.0</v>
      </c>
      <c r="AO772" s="1">
        <v>83.0</v>
      </c>
      <c r="AP772" s="1">
        <v>0.185111</v>
      </c>
      <c r="AQ772" s="1">
        <v>0.066481</v>
      </c>
      <c r="AR772" s="1">
        <v>0.123745</v>
      </c>
      <c r="AS772" s="1">
        <v>0.219627</v>
      </c>
      <c r="AT772" s="1">
        <v>20208.0</v>
      </c>
      <c r="AU772" s="1">
        <v>2210.0</v>
      </c>
      <c r="AV772" s="1">
        <v>0.191231</v>
      </c>
      <c r="AW772" s="1">
        <v>0.127386</v>
      </c>
      <c r="AX772" s="1">
        <v>0.192472</v>
      </c>
      <c r="AY772" s="1">
        <v>0.211444</v>
      </c>
      <c r="AZ772" s="1">
        <v>0.07593014</v>
      </c>
      <c r="BA772" s="1">
        <v>0.027539</v>
      </c>
      <c r="BB772" s="1">
        <v>0.001417</v>
      </c>
      <c r="BC772" s="1">
        <v>0.156681</v>
      </c>
      <c r="BD772" s="1">
        <v>0.0</v>
      </c>
      <c r="BE772" s="1">
        <v>0.114668</v>
      </c>
      <c r="BF772" s="1">
        <v>0.250291</v>
      </c>
      <c r="BG772" s="1">
        <v>0.059629</v>
      </c>
      <c r="BH772" s="1">
        <v>0.023751</v>
      </c>
      <c r="BI772" s="1">
        <v>0.094984</v>
      </c>
      <c r="BJ772" s="1">
        <v>0.019656</v>
      </c>
      <c r="BK772" s="1">
        <v>0.017126</v>
      </c>
      <c r="BL772" s="1">
        <v>0.025397</v>
      </c>
      <c r="BM772" s="1">
        <v>0.689</v>
      </c>
      <c r="BN772" s="1">
        <v>0.835</v>
      </c>
      <c r="BO772" s="1">
        <v>0.5986</v>
      </c>
      <c r="BP772" s="1">
        <v>0.728</v>
      </c>
      <c r="BQ772" s="1">
        <v>2.8506</v>
      </c>
      <c r="BR772" s="1">
        <v>0.7646</v>
      </c>
      <c r="BS772" s="1">
        <v>0.85</v>
      </c>
      <c r="BT772" s="1">
        <v>0.243</v>
      </c>
      <c r="BU772" s="1">
        <v>0.266</v>
      </c>
      <c r="BV772" s="1">
        <v>1.359</v>
      </c>
      <c r="BW772" s="1">
        <v>0.356</v>
      </c>
      <c r="BX772" s="1">
        <v>0.061</v>
      </c>
      <c r="BY772" s="1">
        <v>0.352</v>
      </c>
      <c r="BZ772" s="1">
        <v>0.413</v>
      </c>
      <c r="CA772" s="1">
        <v>0.171</v>
      </c>
      <c r="CB772" s="1">
        <v>0.0</v>
      </c>
      <c r="CC772" s="1">
        <v>0.95</v>
      </c>
      <c r="CD772" s="1">
        <v>0.74</v>
      </c>
      <c r="CE772" s="1">
        <v>0.179</v>
      </c>
      <c r="CF772" s="1">
        <v>0.777</v>
      </c>
      <c r="CG772" s="1">
        <v>2.646</v>
      </c>
      <c r="CH772" s="1">
        <v>0.62</v>
      </c>
      <c r="CI772" s="1">
        <v>7.2686</v>
      </c>
      <c r="CJ772" s="1">
        <v>0.6022</v>
      </c>
      <c r="CK772" s="1">
        <v>0.0</v>
      </c>
      <c r="CL772" s="1">
        <v>0.0</v>
      </c>
      <c r="CM772" s="1">
        <v>0.0</v>
      </c>
      <c r="CN772" s="1">
        <v>0.0</v>
      </c>
      <c r="CO772" s="1">
        <v>0.0</v>
      </c>
      <c r="CP772" s="1">
        <v>0.0</v>
      </c>
      <c r="CQ772" s="1">
        <v>0.0</v>
      </c>
      <c r="CR772" s="1">
        <v>0.0</v>
      </c>
      <c r="CS772" s="1">
        <v>0.0</v>
      </c>
      <c r="CT772" s="1">
        <v>0.0</v>
      </c>
      <c r="CU772" s="1">
        <v>0.0</v>
      </c>
      <c r="CV772" s="1">
        <v>0.0</v>
      </c>
      <c r="CW772" s="1">
        <v>0.0</v>
      </c>
      <c r="CX772" s="1">
        <v>1.0</v>
      </c>
      <c r="CY772" s="1">
        <v>0.0</v>
      </c>
      <c r="CZ772" s="1">
        <v>0.0</v>
      </c>
      <c r="DA772" s="1">
        <v>0.0</v>
      </c>
      <c r="DB772" s="1">
        <v>1.0</v>
      </c>
      <c r="DC772" s="1">
        <v>1.0</v>
      </c>
      <c r="DD772" s="1" t="s">
        <v>3611</v>
      </c>
      <c r="DE772" s="2" t="s">
        <v>3612</v>
      </c>
      <c r="DF772" s="2" t="s">
        <v>3613</v>
      </c>
    </row>
    <row r="773" ht="15.75" customHeight="1">
      <c r="A773" s="1" t="s">
        <v>3614</v>
      </c>
      <c r="B773" s="1">
        <v>29.0</v>
      </c>
      <c r="C773" s="1">
        <v>139.0</v>
      </c>
      <c r="D773" s="1">
        <v>970400.0</v>
      </c>
      <c r="E773" s="1">
        <v>98.013</v>
      </c>
      <c r="F773" s="1">
        <v>29139.0</v>
      </c>
      <c r="G773" s="1">
        <v>2.91399704E10</v>
      </c>
      <c r="H773" s="1" t="s">
        <v>112</v>
      </c>
      <c r="I773" s="1" t="s">
        <v>113</v>
      </c>
      <c r="J773" s="1" t="s">
        <v>3601</v>
      </c>
      <c r="K773" s="1" t="s">
        <v>3615</v>
      </c>
      <c r="L773" s="1">
        <v>2528.0</v>
      </c>
      <c r="M773" s="1">
        <v>2763.0</v>
      </c>
      <c r="N773" s="1">
        <v>270.0</v>
      </c>
      <c r="O773" s="1">
        <v>1209.0</v>
      </c>
      <c r="P773" s="1">
        <v>1251.0</v>
      </c>
      <c r="Q773" s="1">
        <v>72.0</v>
      </c>
      <c r="R773" s="1">
        <v>1001.0</v>
      </c>
      <c r="S773" s="1">
        <v>327.0</v>
      </c>
      <c r="T773" s="1">
        <v>113.0</v>
      </c>
      <c r="U773" s="1">
        <v>125.0</v>
      </c>
      <c r="V773" s="1">
        <v>326.0</v>
      </c>
      <c r="W773" s="1">
        <v>17691.0</v>
      </c>
      <c r="X773" s="1">
        <v>1982.0</v>
      </c>
      <c r="Y773" s="1">
        <v>486.0</v>
      </c>
      <c r="Z773" s="1">
        <v>161.0</v>
      </c>
      <c r="AA773" s="1">
        <v>518.0</v>
      </c>
      <c r="AB773" s="1">
        <v>580.0</v>
      </c>
      <c r="AC773" s="1">
        <v>94.0</v>
      </c>
      <c r="AD773" s="1">
        <v>129.0</v>
      </c>
      <c r="AE773" s="1">
        <v>0.0</v>
      </c>
      <c r="AF773" s="1">
        <v>456.0</v>
      </c>
      <c r="AG773" s="1">
        <v>5.0</v>
      </c>
      <c r="AH773" s="1">
        <v>161.0</v>
      </c>
      <c r="AI773" s="1">
        <v>240.0</v>
      </c>
      <c r="AJ773" s="1">
        <v>80.0</v>
      </c>
      <c r="AK773" s="1">
        <v>21.0</v>
      </c>
      <c r="AL773" s="1">
        <v>116.0</v>
      </c>
      <c r="AM773" s="1">
        <v>56.0</v>
      </c>
      <c r="AN773" s="1">
        <v>37.0</v>
      </c>
      <c r="AO773" s="1">
        <v>90.0</v>
      </c>
      <c r="AP773" s="1">
        <v>0.125335</v>
      </c>
      <c r="AQ773" s="1">
        <v>0.042002</v>
      </c>
      <c r="AR773" s="1">
        <v>0.10702</v>
      </c>
      <c r="AS773" s="1">
        <v>0.278827</v>
      </c>
      <c r="AT773" s="1">
        <v>17691.0</v>
      </c>
      <c r="AU773" s="1">
        <v>1982.0</v>
      </c>
      <c r="AV773" s="1">
        <v>0.268954</v>
      </c>
      <c r="AW773" s="1">
        <v>0.082564</v>
      </c>
      <c r="AX773" s="1">
        <v>0.204905</v>
      </c>
      <c r="AY773" s="1">
        <v>0.22943</v>
      </c>
      <c r="AZ773" s="1">
        <v>0.09390609</v>
      </c>
      <c r="BA773" s="1">
        <v>0.051028</v>
      </c>
      <c r="BB773" s="1">
        <v>0.0</v>
      </c>
      <c r="BC773" s="1">
        <v>0.177985</v>
      </c>
      <c r="BD773" s="1">
        <v>0.003996</v>
      </c>
      <c r="BE773" s="1">
        <v>0.128696</v>
      </c>
      <c r="BF773" s="1">
        <v>0.191846</v>
      </c>
      <c r="BG773" s="1">
        <v>0.062988</v>
      </c>
      <c r="BH773" s="1">
        <v>0.020487</v>
      </c>
      <c r="BI773" s="1">
        <v>0.113156</v>
      </c>
      <c r="BJ773" s="1">
        <v>0.054634</v>
      </c>
      <c r="BK773" s="1">
        <v>0.03577</v>
      </c>
      <c r="BL773" s="1">
        <v>0.035601</v>
      </c>
      <c r="BM773" s="1">
        <v>0.477</v>
      </c>
      <c r="BN773" s="1">
        <v>0.772</v>
      </c>
      <c r="BO773" s="1">
        <v>0.7458</v>
      </c>
      <c r="BP773" s="1">
        <v>0.905</v>
      </c>
      <c r="BQ773" s="1">
        <v>2.8998</v>
      </c>
      <c r="BR773" s="1">
        <v>0.7798</v>
      </c>
      <c r="BS773" s="1">
        <v>0.891</v>
      </c>
      <c r="BT773" s="1">
        <v>0.379</v>
      </c>
      <c r="BU773" s="1">
        <v>0.438</v>
      </c>
      <c r="BV773" s="1">
        <v>1.708</v>
      </c>
      <c r="BW773" s="1">
        <v>0.644</v>
      </c>
      <c r="BX773" s="1">
        <v>0.252</v>
      </c>
      <c r="BY773" s="1">
        <v>0.0</v>
      </c>
      <c r="BZ773" s="1">
        <v>0.252</v>
      </c>
      <c r="CA773" s="1">
        <v>0.109</v>
      </c>
      <c r="CB773" s="1">
        <v>0.302</v>
      </c>
      <c r="CC773" s="1">
        <v>0.885</v>
      </c>
      <c r="CD773" s="1">
        <v>0.689</v>
      </c>
      <c r="CE773" s="1">
        <v>0.525</v>
      </c>
      <c r="CF773" s="1">
        <v>0.843</v>
      </c>
      <c r="CG773" s="1">
        <v>3.244</v>
      </c>
      <c r="CH773" s="1">
        <v>0.856</v>
      </c>
      <c r="CI773" s="1">
        <v>8.1038</v>
      </c>
      <c r="CJ773" s="1">
        <v>0.73</v>
      </c>
      <c r="CK773" s="1">
        <v>0.0</v>
      </c>
      <c r="CL773" s="1">
        <v>0.0</v>
      </c>
      <c r="CM773" s="1">
        <v>0.0</v>
      </c>
      <c r="CN773" s="1">
        <v>1.0</v>
      </c>
      <c r="CO773" s="1">
        <v>1.0</v>
      </c>
      <c r="CP773" s="1">
        <v>0.0</v>
      </c>
      <c r="CQ773" s="1">
        <v>0.0</v>
      </c>
      <c r="CR773" s="1">
        <v>0.0</v>
      </c>
      <c r="CS773" s="1">
        <v>0.0</v>
      </c>
      <c r="CT773" s="1">
        <v>0.0</v>
      </c>
      <c r="CU773" s="1">
        <v>0.0</v>
      </c>
      <c r="CV773" s="1">
        <v>0.0</v>
      </c>
      <c r="CW773" s="1">
        <v>0.0</v>
      </c>
      <c r="CX773" s="1">
        <v>0.0</v>
      </c>
      <c r="CY773" s="1">
        <v>0.0</v>
      </c>
      <c r="CZ773" s="1">
        <v>0.0</v>
      </c>
      <c r="DA773" s="1">
        <v>0.0</v>
      </c>
      <c r="DB773" s="1">
        <v>0.0</v>
      </c>
      <c r="DC773" s="1">
        <v>1.0</v>
      </c>
      <c r="DD773" s="1" t="s">
        <v>3616</v>
      </c>
      <c r="DE773" s="2" t="s">
        <v>3617</v>
      </c>
      <c r="DF773" s="2" t="s">
        <v>3618</v>
      </c>
    </row>
    <row r="774" ht="15.75" customHeight="1">
      <c r="A774" s="1" t="s">
        <v>3619</v>
      </c>
      <c r="B774" s="1">
        <v>29.0</v>
      </c>
      <c r="C774" s="1">
        <v>141.0</v>
      </c>
      <c r="D774" s="1">
        <v>470100.0</v>
      </c>
      <c r="E774" s="1">
        <v>268.672</v>
      </c>
      <c r="F774" s="1">
        <v>29141.0</v>
      </c>
      <c r="G774" s="1">
        <v>2.91414701E10</v>
      </c>
      <c r="H774" s="1" t="s">
        <v>112</v>
      </c>
      <c r="I774" s="1" t="s">
        <v>113</v>
      </c>
      <c r="J774" s="1" t="s">
        <v>3620</v>
      </c>
      <c r="K774" s="1" t="s">
        <v>3621</v>
      </c>
      <c r="L774" s="1">
        <v>6046.0</v>
      </c>
      <c r="M774" s="1">
        <v>6706.0</v>
      </c>
      <c r="N774" s="1">
        <v>567.0</v>
      </c>
      <c r="O774" s="1">
        <v>2339.0</v>
      </c>
      <c r="P774" s="1">
        <v>2386.0</v>
      </c>
      <c r="Q774" s="1">
        <v>135.0</v>
      </c>
      <c r="R774" s="1">
        <v>2078.0</v>
      </c>
      <c r="S774" s="1">
        <v>916.0</v>
      </c>
      <c r="T774" s="1">
        <v>367.0</v>
      </c>
      <c r="U774" s="1">
        <v>301.0</v>
      </c>
      <c r="V774" s="1">
        <v>346.0</v>
      </c>
      <c r="W774" s="1">
        <v>17922.0</v>
      </c>
      <c r="X774" s="1">
        <v>2686.0</v>
      </c>
      <c r="Y774" s="1">
        <v>1213.0</v>
      </c>
      <c r="Z774" s="1">
        <v>308.0</v>
      </c>
      <c r="AA774" s="1">
        <v>860.0</v>
      </c>
      <c r="AB774" s="1">
        <v>1866.0</v>
      </c>
      <c r="AC774" s="1">
        <v>145.0</v>
      </c>
      <c r="AD774" s="1">
        <v>230.0</v>
      </c>
      <c r="AE774" s="1">
        <v>90.0</v>
      </c>
      <c r="AF774" s="1">
        <v>447.0</v>
      </c>
      <c r="AG774" s="1">
        <v>0.0</v>
      </c>
      <c r="AH774" s="1">
        <v>197.0</v>
      </c>
      <c r="AI774" s="1">
        <v>539.0</v>
      </c>
      <c r="AJ774" s="1">
        <v>151.0</v>
      </c>
      <c r="AK774" s="1">
        <v>171.0</v>
      </c>
      <c r="AL774" s="1">
        <v>91.0</v>
      </c>
      <c r="AM774" s="1">
        <v>417.0</v>
      </c>
      <c r="AN774" s="1">
        <v>151.0</v>
      </c>
      <c r="AO774" s="1">
        <v>0.0</v>
      </c>
      <c r="AP774" s="1">
        <v>0.13841</v>
      </c>
      <c r="AQ774" s="1">
        <v>0.054194</v>
      </c>
      <c r="AR774" s="1">
        <v>0.117762</v>
      </c>
      <c r="AS774" s="1">
        <v>0.134697</v>
      </c>
      <c r="AT774" s="1">
        <v>17922.0</v>
      </c>
      <c r="AU774" s="1">
        <v>2686.0</v>
      </c>
      <c r="AV774" s="1">
        <v>0.312951</v>
      </c>
      <c r="AW774" s="1">
        <v>0.076505</v>
      </c>
      <c r="AX774" s="1">
        <v>0.142242</v>
      </c>
      <c r="AY774" s="1">
        <v>0.308633</v>
      </c>
      <c r="AZ774" s="1">
        <v>0.06977863</v>
      </c>
      <c r="BA774" s="1">
        <v>0.038041</v>
      </c>
      <c r="BB774" s="1">
        <v>0.01499</v>
      </c>
      <c r="BC774" s="1">
        <v>0.074439</v>
      </c>
      <c r="BD774" s="1">
        <v>0.0</v>
      </c>
      <c r="BE774" s="1">
        <v>0.082564</v>
      </c>
      <c r="BF774" s="1">
        <v>0.225901</v>
      </c>
      <c r="BG774" s="1">
        <v>0.061981</v>
      </c>
      <c r="BH774" s="1">
        <v>0.077445</v>
      </c>
      <c r="BI774" s="1">
        <v>0.040815</v>
      </c>
      <c r="BJ774" s="1">
        <v>0.188858</v>
      </c>
      <c r="BK774" s="1">
        <v>0.066951</v>
      </c>
      <c r="BL774" s="1">
        <v>0.0</v>
      </c>
      <c r="BM774" s="1">
        <v>0.535</v>
      </c>
      <c r="BN774" s="1">
        <v>0.815</v>
      </c>
      <c r="BO774" s="1">
        <v>0.7329</v>
      </c>
      <c r="BP774" s="1">
        <v>0.952</v>
      </c>
      <c r="BQ774" s="1">
        <v>3.0349</v>
      </c>
      <c r="BR774" s="1">
        <v>0.8108</v>
      </c>
      <c r="BS774" s="1">
        <v>0.52</v>
      </c>
      <c r="BT774" s="1">
        <v>0.944</v>
      </c>
      <c r="BU774" s="1">
        <v>0.215</v>
      </c>
      <c r="BV774" s="1">
        <v>1.679</v>
      </c>
      <c r="BW774" s="1">
        <v>0.625</v>
      </c>
      <c r="BX774" s="1">
        <v>0.148</v>
      </c>
      <c r="BY774" s="1">
        <v>0.81</v>
      </c>
      <c r="BZ774" s="1">
        <v>0.958</v>
      </c>
      <c r="CA774" s="1">
        <v>0.517</v>
      </c>
      <c r="CB774" s="1">
        <v>0.0</v>
      </c>
      <c r="CC774" s="1">
        <v>0.928</v>
      </c>
      <c r="CD774" s="1">
        <v>0.983</v>
      </c>
      <c r="CE774" s="1">
        <v>0.898</v>
      </c>
      <c r="CF774" s="1">
        <v>0.0</v>
      </c>
      <c r="CG774" s="1">
        <v>2.809</v>
      </c>
      <c r="CH774" s="1">
        <v>0.692</v>
      </c>
      <c r="CI774" s="1">
        <v>8.4809</v>
      </c>
      <c r="CJ774" s="1">
        <v>0.7819</v>
      </c>
      <c r="CK774" s="1">
        <v>0.0</v>
      </c>
      <c r="CL774" s="1">
        <v>0.0</v>
      </c>
      <c r="CM774" s="1">
        <v>0.0</v>
      </c>
      <c r="CN774" s="1">
        <v>1.0</v>
      </c>
      <c r="CO774" s="1">
        <v>1.0</v>
      </c>
      <c r="CP774" s="1">
        <v>0.0</v>
      </c>
      <c r="CQ774" s="1">
        <v>1.0</v>
      </c>
      <c r="CR774" s="1">
        <v>0.0</v>
      </c>
      <c r="CS774" s="1">
        <v>1.0</v>
      </c>
      <c r="CT774" s="1">
        <v>0.0</v>
      </c>
      <c r="CU774" s="1">
        <v>0.0</v>
      </c>
      <c r="CV774" s="1">
        <v>0.0</v>
      </c>
      <c r="CW774" s="1">
        <v>0.0</v>
      </c>
      <c r="CX774" s="1">
        <v>1.0</v>
      </c>
      <c r="CY774" s="1">
        <v>1.0</v>
      </c>
      <c r="CZ774" s="1">
        <v>0.0</v>
      </c>
      <c r="DA774" s="1">
        <v>0.0</v>
      </c>
      <c r="DB774" s="1">
        <v>2.0</v>
      </c>
      <c r="DC774" s="1">
        <v>4.0</v>
      </c>
      <c r="DD774" s="1" t="s">
        <v>3622</v>
      </c>
      <c r="DE774" s="1">
        <v>0.0719318130171085</v>
      </c>
      <c r="DF774" s="2" t="s">
        <v>3623</v>
      </c>
    </row>
    <row r="775" ht="15.75" customHeight="1">
      <c r="A775" s="1" t="s">
        <v>3624</v>
      </c>
      <c r="B775" s="1">
        <v>29.0</v>
      </c>
      <c r="C775" s="1">
        <v>141.0</v>
      </c>
      <c r="D775" s="1">
        <v>470200.0</v>
      </c>
      <c r="E775" s="1">
        <v>139.164</v>
      </c>
      <c r="F775" s="1">
        <v>29141.0</v>
      </c>
      <c r="G775" s="1">
        <v>2.91414702E10</v>
      </c>
      <c r="H775" s="1" t="s">
        <v>112</v>
      </c>
      <c r="I775" s="1" t="s">
        <v>113</v>
      </c>
      <c r="J775" s="1" t="s">
        <v>3620</v>
      </c>
      <c r="K775" s="1" t="s">
        <v>3625</v>
      </c>
      <c r="L775" s="1">
        <v>3572.0</v>
      </c>
      <c r="M775" s="1">
        <v>3536.0</v>
      </c>
      <c r="N775" s="1">
        <v>311.0</v>
      </c>
      <c r="O775" s="1">
        <v>1705.0</v>
      </c>
      <c r="P775" s="1">
        <v>1731.0</v>
      </c>
      <c r="Q775" s="1">
        <v>89.0</v>
      </c>
      <c r="R775" s="1">
        <v>1397.0</v>
      </c>
      <c r="S775" s="1">
        <v>329.0</v>
      </c>
      <c r="T775" s="1">
        <v>125.0</v>
      </c>
      <c r="U775" s="1">
        <v>187.0</v>
      </c>
      <c r="V775" s="1">
        <v>370.0</v>
      </c>
      <c r="W775" s="1">
        <v>21022.0</v>
      </c>
      <c r="X775" s="1">
        <v>2847.0</v>
      </c>
      <c r="Y775" s="1">
        <v>421.0</v>
      </c>
      <c r="Z775" s="1">
        <v>192.0</v>
      </c>
      <c r="AA775" s="1">
        <v>672.0</v>
      </c>
      <c r="AB775" s="1">
        <v>872.0</v>
      </c>
      <c r="AC775" s="1">
        <v>128.0</v>
      </c>
      <c r="AD775" s="1">
        <v>169.0</v>
      </c>
      <c r="AE775" s="1">
        <v>69.0</v>
      </c>
      <c r="AF775" s="1">
        <v>417.0</v>
      </c>
      <c r="AG775" s="1">
        <v>0.0</v>
      </c>
      <c r="AH775" s="1">
        <v>197.0</v>
      </c>
      <c r="AI775" s="1">
        <v>311.0</v>
      </c>
      <c r="AJ775" s="1">
        <v>96.0</v>
      </c>
      <c r="AK775" s="1">
        <v>19.0</v>
      </c>
      <c r="AL775" s="1">
        <v>115.0</v>
      </c>
      <c r="AM775" s="1">
        <v>47.0</v>
      </c>
      <c r="AN775" s="1">
        <v>27.0</v>
      </c>
      <c r="AO775" s="1">
        <v>45.0</v>
      </c>
      <c r="AP775" s="1">
        <v>0.093121</v>
      </c>
      <c r="AQ775" s="1">
        <v>0.034417</v>
      </c>
      <c r="AR775" s="1">
        <v>0.116438</v>
      </c>
      <c r="AS775" s="1">
        <v>0.229749</v>
      </c>
      <c r="AT775" s="1">
        <v>21022.0</v>
      </c>
      <c r="AU775" s="1">
        <v>2847.0</v>
      </c>
      <c r="AV775" s="1">
        <v>0.171626</v>
      </c>
      <c r="AW775" s="1">
        <v>0.076826</v>
      </c>
      <c r="AX775" s="1">
        <v>0.188129</v>
      </c>
      <c r="AY775" s="1">
        <v>0.24412</v>
      </c>
      <c r="AZ775" s="1">
        <v>0.09162491</v>
      </c>
      <c r="BA775" s="1">
        <v>0.047312</v>
      </c>
      <c r="BB775" s="1">
        <v>0.020578</v>
      </c>
      <c r="BC775" s="1">
        <v>0.124353</v>
      </c>
      <c r="BD775" s="1">
        <v>0.0</v>
      </c>
      <c r="BE775" s="1">
        <v>0.113807</v>
      </c>
      <c r="BF775" s="1">
        <v>0.179664</v>
      </c>
      <c r="BG775" s="1">
        <v>0.054684</v>
      </c>
      <c r="BH775" s="1">
        <v>0.012811</v>
      </c>
      <c r="BI775" s="1">
        <v>0.077541</v>
      </c>
      <c r="BJ775" s="1">
        <v>0.031692</v>
      </c>
      <c r="BK775" s="1">
        <v>0.018092</v>
      </c>
      <c r="BL775" s="1">
        <v>0.012597</v>
      </c>
      <c r="BM775" s="1">
        <v>0.35</v>
      </c>
      <c r="BN775" s="1">
        <v>0.81</v>
      </c>
      <c r="BO775" s="1">
        <v>0.5516</v>
      </c>
      <c r="BP775" s="1">
        <v>0.656</v>
      </c>
      <c r="BQ775" s="1">
        <v>2.3676</v>
      </c>
      <c r="BR775" s="1">
        <v>0.6217</v>
      </c>
      <c r="BS775" s="1">
        <v>0.83</v>
      </c>
      <c r="BT775" s="1">
        <v>0.535</v>
      </c>
      <c r="BU775" s="1">
        <v>0.417</v>
      </c>
      <c r="BV775" s="1">
        <v>1.782</v>
      </c>
      <c r="BW775" s="1">
        <v>0.707</v>
      </c>
      <c r="BX775" s="1">
        <v>0.23</v>
      </c>
      <c r="BY775" s="1">
        <v>0.864</v>
      </c>
      <c r="BZ775" s="1">
        <v>1.094</v>
      </c>
      <c r="CA775" s="1">
        <v>0.611</v>
      </c>
      <c r="CB775" s="1">
        <v>0.0</v>
      </c>
      <c r="CC775" s="1">
        <v>0.867</v>
      </c>
      <c r="CD775" s="1">
        <v>0.544</v>
      </c>
      <c r="CE775" s="1">
        <v>0.297</v>
      </c>
      <c r="CF775" s="1">
        <v>0.614</v>
      </c>
      <c r="CG775" s="1">
        <v>2.322</v>
      </c>
      <c r="CH775" s="1">
        <v>0.466</v>
      </c>
      <c r="CI775" s="1">
        <v>7.5656</v>
      </c>
      <c r="CJ775" s="1">
        <v>0.6455</v>
      </c>
      <c r="CK775" s="1">
        <v>0.0</v>
      </c>
      <c r="CL775" s="1">
        <v>0.0</v>
      </c>
      <c r="CM775" s="1">
        <v>0.0</v>
      </c>
      <c r="CN775" s="1">
        <v>0.0</v>
      </c>
      <c r="CO775" s="1">
        <v>0.0</v>
      </c>
      <c r="CP775" s="1">
        <v>0.0</v>
      </c>
      <c r="CQ775" s="1">
        <v>0.0</v>
      </c>
      <c r="CR775" s="1">
        <v>0.0</v>
      </c>
      <c r="CS775" s="1">
        <v>0.0</v>
      </c>
      <c r="CT775" s="1">
        <v>0.0</v>
      </c>
      <c r="CU775" s="1">
        <v>0.0</v>
      </c>
      <c r="CV775" s="1">
        <v>0.0</v>
      </c>
      <c r="CW775" s="1">
        <v>0.0</v>
      </c>
      <c r="CX775" s="1">
        <v>0.0</v>
      </c>
      <c r="CY775" s="1">
        <v>0.0</v>
      </c>
      <c r="CZ775" s="1">
        <v>0.0</v>
      </c>
      <c r="DA775" s="1">
        <v>0.0</v>
      </c>
      <c r="DB775" s="1">
        <v>0.0</v>
      </c>
      <c r="DC775" s="1">
        <v>0.0</v>
      </c>
      <c r="DD775" s="1" t="s">
        <v>3626</v>
      </c>
      <c r="DE775" s="1">
        <v>0.0372525521062205</v>
      </c>
      <c r="DF775" s="2" t="s">
        <v>3627</v>
      </c>
    </row>
    <row r="776" ht="15.75" customHeight="1">
      <c r="A776" s="1" t="s">
        <v>3628</v>
      </c>
      <c r="B776" s="1">
        <v>29.0</v>
      </c>
      <c r="C776" s="1">
        <v>141.0</v>
      </c>
      <c r="D776" s="1">
        <v>470300.0</v>
      </c>
      <c r="E776" s="1">
        <v>9.494</v>
      </c>
      <c r="F776" s="1">
        <v>29141.0</v>
      </c>
      <c r="G776" s="1">
        <v>2.91414703E10</v>
      </c>
      <c r="H776" s="1" t="s">
        <v>112</v>
      </c>
      <c r="I776" s="1" t="s">
        <v>113</v>
      </c>
      <c r="J776" s="1" t="s">
        <v>3620</v>
      </c>
      <c r="K776" s="1" t="s">
        <v>3629</v>
      </c>
      <c r="L776" s="1">
        <v>2762.0</v>
      </c>
      <c r="M776" s="1">
        <v>2569.0</v>
      </c>
      <c r="N776" s="1">
        <v>326.0</v>
      </c>
      <c r="O776" s="1">
        <v>1328.0</v>
      </c>
      <c r="P776" s="1">
        <v>1463.0</v>
      </c>
      <c r="Q776" s="1">
        <v>109.0</v>
      </c>
      <c r="R776" s="1">
        <v>1148.0</v>
      </c>
      <c r="S776" s="1">
        <v>556.0</v>
      </c>
      <c r="T776" s="1">
        <v>225.0</v>
      </c>
      <c r="U776" s="1">
        <v>145.0</v>
      </c>
      <c r="V776" s="1">
        <v>402.0</v>
      </c>
      <c r="W776" s="1">
        <v>16413.0</v>
      </c>
      <c r="X776" s="1">
        <v>2006.0</v>
      </c>
      <c r="Y776" s="1">
        <v>441.0</v>
      </c>
      <c r="Z776" s="1">
        <v>259.0</v>
      </c>
      <c r="AA776" s="1">
        <v>617.0</v>
      </c>
      <c r="AB776" s="1">
        <v>618.0</v>
      </c>
      <c r="AC776" s="1">
        <v>151.0</v>
      </c>
      <c r="AD776" s="1">
        <v>245.0</v>
      </c>
      <c r="AE776" s="1">
        <v>20.0</v>
      </c>
      <c r="AF776" s="1">
        <v>442.0</v>
      </c>
      <c r="AG776" s="1">
        <v>16.0</v>
      </c>
      <c r="AH776" s="1">
        <v>162.0</v>
      </c>
      <c r="AI776" s="1">
        <v>245.0</v>
      </c>
      <c r="AJ776" s="1">
        <v>106.0</v>
      </c>
      <c r="AK776" s="1">
        <v>29.0</v>
      </c>
      <c r="AL776" s="1">
        <v>120.0</v>
      </c>
      <c r="AM776" s="1">
        <v>133.0</v>
      </c>
      <c r="AN776" s="1">
        <v>65.0</v>
      </c>
      <c r="AO776" s="1">
        <v>184.0</v>
      </c>
      <c r="AP776" s="1">
        <v>0.217697</v>
      </c>
      <c r="AQ776" s="1">
        <v>0.083599</v>
      </c>
      <c r="AR776" s="1">
        <v>0.134259</v>
      </c>
      <c r="AS776" s="1">
        <v>0.371331</v>
      </c>
      <c r="AT776" s="1">
        <v>16413.0</v>
      </c>
      <c r="AU776" s="1">
        <v>2006.0</v>
      </c>
      <c r="AV776" s="1">
        <v>0.246093</v>
      </c>
      <c r="AW776" s="1">
        <v>0.14179</v>
      </c>
      <c r="AX776" s="1">
        <v>0.223388</v>
      </c>
      <c r="AY776" s="1">
        <v>0.22375</v>
      </c>
      <c r="AZ776" s="1">
        <v>0.1315331</v>
      </c>
      <c r="BA776" s="1">
        <v>0.088703</v>
      </c>
      <c r="BB776" s="1">
        <v>0.008176</v>
      </c>
      <c r="BC776" s="1">
        <v>0.1807</v>
      </c>
      <c r="BD776" s="1">
        <v>0.010936</v>
      </c>
      <c r="BE776" s="1">
        <v>0.110728</v>
      </c>
      <c r="BF776" s="1">
        <v>0.167464</v>
      </c>
      <c r="BG776" s="1">
        <v>0.071371</v>
      </c>
      <c r="BH776" s="1">
        <v>0.024472</v>
      </c>
      <c r="BI776" s="1">
        <v>0.101211</v>
      </c>
      <c r="BJ776" s="1">
        <v>0.112236</v>
      </c>
      <c r="BK776" s="1">
        <v>0.052717</v>
      </c>
      <c r="BL776" s="1">
        <v>0.066618</v>
      </c>
      <c r="BM776" s="1">
        <v>0.769</v>
      </c>
      <c r="BN776" s="1">
        <v>0.867</v>
      </c>
      <c r="BO776" s="1">
        <v>0.8166</v>
      </c>
      <c r="BP776" s="1">
        <v>0.861</v>
      </c>
      <c r="BQ776" s="1">
        <v>3.3136</v>
      </c>
      <c r="BR776" s="1">
        <v>0.8816</v>
      </c>
      <c r="BS776" s="1">
        <v>0.94</v>
      </c>
      <c r="BT776" s="1">
        <v>0.333</v>
      </c>
      <c r="BU776" s="1">
        <v>0.723</v>
      </c>
      <c r="BV776" s="1">
        <v>1.996</v>
      </c>
      <c r="BW776" s="1">
        <v>0.856</v>
      </c>
      <c r="BX776" s="1">
        <v>0.423</v>
      </c>
      <c r="BY776" s="1">
        <v>0.674</v>
      </c>
      <c r="BZ776" s="1">
        <v>1.097</v>
      </c>
      <c r="CA776" s="1">
        <v>0.614</v>
      </c>
      <c r="CB776" s="1">
        <v>0.391</v>
      </c>
      <c r="CC776" s="1">
        <v>0.848</v>
      </c>
      <c r="CD776" s="1">
        <v>0.75</v>
      </c>
      <c r="CE776" s="1">
        <v>0.787</v>
      </c>
      <c r="CF776" s="1">
        <v>0.917</v>
      </c>
      <c r="CG776" s="1">
        <v>3.693</v>
      </c>
      <c r="CH776" s="1">
        <v>0.976</v>
      </c>
      <c r="CI776" s="1">
        <v>10.0996</v>
      </c>
      <c r="CJ776" s="1">
        <v>0.956</v>
      </c>
      <c r="CK776" s="1">
        <v>0.0</v>
      </c>
      <c r="CL776" s="1">
        <v>0.0</v>
      </c>
      <c r="CM776" s="1">
        <v>0.0</v>
      </c>
      <c r="CN776" s="1">
        <v>0.0</v>
      </c>
      <c r="CO776" s="1">
        <v>0.0</v>
      </c>
      <c r="CP776" s="1">
        <v>1.0</v>
      </c>
      <c r="CQ776" s="1">
        <v>0.0</v>
      </c>
      <c r="CR776" s="1">
        <v>0.0</v>
      </c>
      <c r="CS776" s="1">
        <v>1.0</v>
      </c>
      <c r="CT776" s="1">
        <v>0.0</v>
      </c>
      <c r="CU776" s="1">
        <v>0.0</v>
      </c>
      <c r="CV776" s="1">
        <v>0.0</v>
      </c>
      <c r="CW776" s="1">
        <v>0.0</v>
      </c>
      <c r="CX776" s="1">
        <v>0.0</v>
      </c>
      <c r="CY776" s="1">
        <v>0.0</v>
      </c>
      <c r="CZ776" s="1">
        <v>0.0</v>
      </c>
      <c r="DA776" s="1">
        <v>1.0</v>
      </c>
      <c r="DB776" s="1">
        <v>1.0</v>
      </c>
      <c r="DC776" s="1">
        <v>2.0</v>
      </c>
      <c r="DD776" s="1" t="s">
        <v>3630</v>
      </c>
      <c r="DE776" s="1">
        <v>0.00254368117761297</v>
      </c>
      <c r="DF776" s="2" t="s">
        <v>3631</v>
      </c>
    </row>
    <row r="777" ht="15.75" customHeight="1">
      <c r="A777" s="1" t="s">
        <v>3632</v>
      </c>
      <c r="B777" s="1">
        <v>29.0</v>
      </c>
      <c r="C777" s="1">
        <v>141.0</v>
      </c>
      <c r="D777" s="1">
        <v>470400.0</v>
      </c>
      <c r="E777" s="1">
        <v>41.502</v>
      </c>
      <c r="F777" s="1">
        <v>29141.0</v>
      </c>
      <c r="G777" s="1">
        <v>2.91414704E10</v>
      </c>
      <c r="H777" s="1" t="s">
        <v>112</v>
      </c>
      <c r="I777" s="1" t="s">
        <v>113</v>
      </c>
      <c r="J777" s="1" t="s">
        <v>3620</v>
      </c>
      <c r="K777" s="1" t="s">
        <v>3633</v>
      </c>
      <c r="L777" s="1">
        <v>2981.0</v>
      </c>
      <c r="M777" s="1">
        <v>2577.0</v>
      </c>
      <c r="N777" s="1">
        <v>298.0</v>
      </c>
      <c r="O777" s="1">
        <v>4264.0</v>
      </c>
      <c r="P777" s="1">
        <v>4154.0</v>
      </c>
      <c r="Q777" s="1">
        <v>162.0</v>
      </c>
      <c r="R777" s="1">
        <v>1391.0</v>
      </c>
      <c r="S777" s="1">
        <v>651.0</v>
      </c>
      <c r="T777" s="1">
        <v>259.0</v>
      </c>
      <c r="U777" s="1">
        <v>147.0</v>
      </c>
      <c r="V777" s="1">
        <v>386.0</v>
      </c>
      <c r="W777" s="1">
        <v>20464.0</v>
      </c>
      <c r="X777" s="1">
        <v>2543.0</v>
      </c>
      <c r="Y777" s="1">
        <v>313.0</v>
      </c>
      <c r="Z777" s="1">
        <v>300.0</v>
      </c>
      <c r="AA777" s="1">
        <v>774.0</v>
      </c>
      <c r="AB777" s="1">
        <v>445.0</v>
      </c>
      <c r="AC777" s="1">
        <v>94.0</v>
      </c>
      <c r="AD777" s="1">
        <v>128.0</v>
      </c>
      <c r="AE777" s="1">
        <v>9.0</v>
      </c>
      <c r="AF777" s="1">
        <v>442.0</v>
      </c>
      <c r="AG777" s="1">
        <v>0.0</v>
      </c>
      <c r="AH777" s="1">
        <v>197.0</v>
      </c>
      <c r="AI777" s="1">
        <v>802.0</v>
      </c>
      <c r="AJ777" s="1">
        <v>173.0</v>
      </c>
      <c r="AK777" s="1">
        <v>22.0</v>
      </c>
      <c r="AL777" s="1">
        <v>116.0</v>
      </c>
      <c r="AM777" s="1">
        <v>44.0</v>
      </c>
      <c r="AN777" s="1">
        <v>119.0</v>
      </c>
      <c r="AO777" s="1">
        <v>1.0</v>
      </c>
      <c r="AP777" s="1">
        <v>0.252619</v>
      </c>
      <c r="AQ777" s="1">
        <v>0.096165</v>
      </c>
      <c r="AR777" s="1">
        <v>0.15</v>
      </c>
      <c r="AS777" s="1">
        <v>0.391385</v>
      </c>
      <c r="AT777" s="1">
        <v>20464.0</v>
      </c>
      <c r="AU777" s="1">
        <v>2543.0</v>
      </c>
      <c r="AV777" s="1">
        <v>0.145716</v>
      </c>
      <c r="AW777" s="1">
        <v>0.138529</v>
      </c>
      <c r="AX777" s="1">
        <v>0.259644</v>
      </c>
      <c r="AY777" s="1">
        <v>0.149278</v>
      </c>
      <c r="AZ777" s="1">
        <v>0.06757728</v>
      </c>
      <c r="BA777" s="1">
        <v>0.042938</v>
      </c>
      <c r="BB777" s="1">
        <v>0.003614</v>
      </c>
      <c r="BC777" s="1">
        <v>0.177509</v>
      </c>
      <c r="BD777" s="1">
        <v>0.0</v>
      </c>
      <c r="BE777" s="1">
        <v>0.047424</v>
      </c>
      <c r="BF777" s="1">
        <v>0.193066</v>
      </c>
      <c r="BG777" s="1">
        <v>0.04096</v>
      </c>
      <c r="BH777" s="1">
        <v>0.018851</v>
      </c>
      <c r="BI777" s="1">
        <v>0.09937</v>
      </c>
      <c r="BJ777" s="1">
        <v>0.037703</v>
      </c>
      <c r="BK777" s="1">
        <v>0.101854</v>
      </c>
      <c r="BL777" s="1">
        <v>3.35E-4</v>
      </c>
      <c r="BM777" s="1">
        <v>0.83</v>
      </c>
      <c r="BN777" s="1">
        <v>0.899</v>
      </c>
      <c r="BO777" s="1">
        <v>0.5834</v>
      </c>
      <c r="BP777" s="1">
        <v>0.548</v>
      </c>
      <c r="BQ777" s="1">
        <v>2.8604</v>
      </c>
      <c r="BR777" s="1">
        <v>0.7675</v>
      </c>
      <c r="BS777" s="1">
        <v>0.974</v>
      </c>
      <c r="BT777" s="1">
        <v>0.066</v>
      </c>
      <c r="BU777" s="1">
        <v>0.194</v>
      </c>
      <c r="BV777" s="1">
        <v>1.234</v>
      </c>
      <c r="BW777" s="1">
        <v>0.255</v>
      </c>
      <c r="BX777" s="1">
        <v>0.197</v>
      </c>
      <c r="BY777" s="1">
        <v>0.492</v>
      </c>
      <c r="BZ777" s="1">
        <v>0.689</v>
      </c>
      <c r="CA777" s="1">
        <v>0.33</v>
      </c>
      <c r="CB777" s="1">
        <v>0.0</v>
      </c>
      <c r="CC777" s="1">
        <v>0.887</v>
      </c>
      <c r="CD777" s="1">
        <v>0.659</v>
      </c>
      <c r="CE777" s="1">
        <v>0.369</v>
      </c>
      <c r="CF777" s="1">
        <v>0.354</v>
      </c>
      <c r="CG777" s="1">
        <v>2.269</v>
      </c>
      <c r="CH777" s="1">
        <v>0.446</v>
      </c>
      <c r="CI777" s="1">
        <v>7.0524</v>
      </c>
      <c r="CJ777" s="1">
        <v>0.5567</v>
      </c>
      <c r="CK777" s="1">
        <v>0.0</v>
      </c>
      <c r="CL777" s="1">
        <v>0.0</v>
      </c>
      <c r="CM777" s="1">
        <v>0.0</v>
      </c>
      <c r="CN777" s="1">
        <v>0.0</v>
      </c>
      <c r="CO777" s="1">
        <v>0.0</v>
      </c>
      <c r="CP777" s="1">
        <v>1.0</v>
      </c>
      <c r="CQ777" s="1">
        <v>0.0</v>
      </c>
      <c r="CR777" s="1">
        <v>0.0</v>
      </c>
      <c r="CS777" s="1">
        <v>1.0</v>
      </c>
      <c r="CT777" s="1">
        <v>0.0</v>
      </c>
      <c r="CU777" s="1">
        <v>0.0</v>
      </c>
      <c r="CV777" s="1">
        <v>0.0</v>
      </c>
      <c r="CW777" s="1">
        <v>0.0</v>
      </c>
      <c r="CX777" s="1">
        <v>0.0</v>
      </c>
      <c r="CY777" s="1">
        <v>0.0</v>
      </c>
      <c r="CZ777" s="1">
        <v>0.0</v>
      </c>
      <c r="DA777" s="1">
        <v>0.0</v>
      </c>
      <c r="DB777" s="1">
        <v>0.0</v>
      </c>
      <c r="DC777" s="1">
        <v>1.0</v>
      </c>
      <c r="DD777" s="1" t="s">
        <v>3634</v>
      </c>
      <c r="DE777" s="2" t="s">
        <v>3635</v>
      </c>
      <c r="DF777" s="2" t="s">
        <v>3636</v>
      </c>
    </row>
    <row r="778" ht="15.75" customHeight="1">
      <c r="A778" s="1" t="s">
        <v>3637</v>
      </c>
      <c r="B778" s="1">
        <v>29.0</v>
      </c>
      <c r="C778" s="1">
        <v>141.0</v>
      </c>
      <c r="D778" s="1">
        <v>470500.0</v>
      </c>
      <c r="E778" s="1">
        <v>138.799</v>
      </c>
      <c r="F778" s="1">
        <v>29141.0</v>
      </c>
      <c r="G778" s="1">
        <v>2.91414705E10</v>
      </c>
      <c r="H778" s="1" t="s">
        <v>112</v>
      </c>
      <c r="I778" s="1" t="s">
        <v>113</v>
      </c>
      <c r="J778" s="1" t="s">
        <v>3620</v>
      </c>
      <c r="K778" s="1" t="s">
        <v>3638</v>
      </c>
      <c r="L778" s="1">
        <v>5204.0</v>
      </c>
      <c r="M778" s="1">
        <v>5243.0</v>
      </c>
      <c r="N778" s="1">
        <v>478.0</v>
      </c>
      <c r="O778" s="1">
        <v>5881.0</v>
      </c>
      <c r="P778" s="1">
        <v>5608.0</v>
      </c>
      <c r="Q778" s="1">
        <v>175.0</v>
      </c>
      <c r="R778" s="1">
        <v>2436.0</v>
      </c>
      <c r="S778" s="1">
        <v>944.0</v>
      </c>
      <c r="T778" s="1">
        <v>304.0</v>
      </c>
      <c r="U778" s="1">
        <v>175.0</v>
      </c>
      <c r="V778" s="1">
        <v>332.0</v>
      </c>
      <c r="W778" s="1">
        <v>18731.0</v>
      </c>
      <c r="X778" s="1">
        <v>1553.0</v>
      </c>
      <c r="Y778" s="1">
        <v>730.0</v>
      </c>
      <c r="Z778" s="1">
        <v>247.0</v>
      </c>
      <c r="AA778" s="1">
        <v>1612.0</v>
      </c>
      <c r="AB778" s="1">
        <v>733.0</v>
      </c>
      <c r="AC778" s="1">
        <v>157.0</v>
      </c>
      <c r="AD778" s="1">
        <v>220.0</v>
      </c>
      <c r="AE778" s="1">
        <v>17.0</v>
      </c>
      <c r="AF778" s="1">
        <v>442.0</v>
      </c>
      <c r="AG778" s="1">
        <v>8.0</v>
      </c>
      <c r="AH778" s="1">
        <v>161.0</v>
      </c>
      <c r="AI778" s="1">
        <v>1069.0</v>
      </c>
      <c r="AJ778" s="1">
        <v>232.0</v>
      </c>
      <c r="AK778" s="1">
        <v>54.0</v>
      </c>
      <c r="AL778" s="1">
        <v>45.0</v>
      </c>
      <c r="AM778" s="1">
        <v>104.0</v>
      </c>
      <c r="AN778" s="1">
        <v>57.0</v>
      </c>
      <c r="AO778" s="1">
        <v>72.0</v>
      </c>
      <c r="AP778" s="1">
        <v>0.198695</v>
      </c>
      <c r="AQ778" s="1">
        <v>0.06132</v>
      </c>
      <c r="AR778" s="1">
        <v>0.104228</v>
      </c>
      <c r="AS778" s="1">
        <v>0.197216</v>
      </c>
      <c r="AT778" s="1">
        <v>18731.0</v>
      </c>
      <c r="AU778" s="1">
        <v>1553.0</v>
      </c>
      <c r="AV778" s="1">
        <v>0.16659</v>
      </c>
      <c r="AW778" s="1">
        <v>0.054855</v>
      </c>
      <c r="AX778" s="1">
        <v>0.309761</v>
      </c>
      <c r="AY778" s="1">
        <v>0.140853</v>
      </c>
      <c r="AZ778" s="1">
        <v>0.06444991</v>
      </c>
      <c r="BA778" s="1">
        <v>0.042275</v>
      </c>
      <c r="BB778" s="1">
        <v>0.003337</v>
      </c>
      <c r="BC778" s="1">
        <v>0.086768</v>
      </c>
      <c r="BD778" s="1">
        <v>0.001426</v>
      </c>
      <c r="BE778" s="1">
        <v>0.028708</v>
      </c>
      <c r="BF778" s="1">
        <v>0.19062</v>
      </c>
      <c r="BG778" s="1">
        <v>0.040939</v>
      </c>
      <c r="BH778" s="1">
        <v>0.022775</v>
      </c>
      <c r="BI778" s="1">
        <v>0.018901</v>
      </c>
      <c r="BJ778" s="1">
        <v>0.043863</v>
      </c>
      <c r="BK778" s="1">
        <v>0.023811</v>
      </c>
      <c r="BL778" s="1">
        <v>0.013835</v>
      </c>
      <c r="BM778" s="1">
        <v>0.727</v>
      </c>
      <c r="BN778" s="1">
        <v>0.758</v>
      </c>
      <c r="BO778" s="1">
        <v>0.6874</v>
      </c>
      <c r="BP778" s="1">
        <v>0.641</v>
      </c>
      <c r="BQ778" s="1">
        <v>2.8134</v>
      </c>
      <c r="BR778" s="1">
        <v>0.7509</v>
      </c>
      <c r="BS778" s="1">
        <v>0.99</v>
      </c>
      <c r="BT778" s="1">
        <v>0.053</v>
      </c>
      <c r="BU778" s="1">
        <v>0.169</v>
      </c>
      <c r="BV778" s="1">
        <v>1.212</v>
      </c>
      <c r="BW778" s="1">
        <v>0.24</v>
      </c>
      <c r="BX778" s="1">
        <v>0.187</v>
      </c>
      <c r="BY778" s="1">
        <v>0.472</v>
      </c>
      <c r="BZ778" s="1">
        <v>0.659</v>
      </c>
      <c r="CA778" s="1">
        <v>0.309</v>
      </c>
      <c r="CB778" s="1">
        <v>0.262</v>
      </c>
      <c r="CC778" s="1">
        <v>0.883</v>
      </c>
      <c r="CD778" s="1">
        <v>0.72</v>
      </c>
      <c r="CE778" s="1">
        <v>0.43</v>
      </c>
      <c r="CF778" s="1">
        <v>0.632</v>
      </c>
      <c r="CG778" s="1">
        <v>2.927</v>
      </c>
      <c r="CH778" s="1">
        <v>0.742</v>
      </c>
      <c r="CI778" s="1">
        <v>7.6114</v>
      </c>
      <c r="CJ778" s="1">
        <v>0.6549</v>
      </c>
      <c r="CK778" s="1">
        <v>0.0</v>
      </c>
      <c r="CL778" s="1">
        <v>0.0</v>
      </c>
      <c r="CM778" s="1">
        <v>0.0</v>
      </c>
      <c r="CN778" s="1">
        <v>0.0</v>
      </c>
      <c r="CO778" s="1">
        <v>0.0</v>
      </c>
      <c r="CP778" s="1">
        <v>1.0</v>
      </c>
      <c r="CQ778" s="1">
        <v>0.0</v>
      </c>
      <c r="CR778" s="1">
        <v>0.0</v>
      </c>
      <c r="CS778" s="1">
        <v>1.0</v>
      </c>
      <c r="CT778" s="1">
        <v>0.0</v>
      </c>
      <c r="CU778" s="1">
        <v>0.0</v>
      </c>
      <c r="CV778" s="1">
        <v>0.0</v>
      </c>
      <c r="CW778" s="1">
        <v>0.0</v>
      </c>
      <c r="CX778" s="1">
        <v>0.0</v>
      </c>
      <c r="CY778" s="1">
        <v>0.0</v>
      </c>
      <c r="CZ778" s="1">
        <v>0.0</v>
      </c>
      <c r="DA778" s="1">
        <v>0.0</v>
      </c>
      <c r="DB778" s="1">
        <v>0.0</v>
      </c>
      <c r="DC778" s="1">
        <v>1.0</v>
      </c>
      <c r="DD778" s="1" t="s">
        <v>3639</v>
      </c>
      <c r="DE778" s="2" t="s">
        <v>3640</v>
      </c>
      <c r="DF778" s="2" t="s">
        <v>3641</v>
      </c>
    </row>
    <row r="779" ht="15.75" customHeight="1">
      <c r="A779" s="1" t="s">
        <v>3642</v>
      </c>
      <c r="B779" s="1">
        <v>29.0</v>
      </c>
      <c r="C779" s="1">
        <v>143.0</v>
      </c>
      <c r="D779" s="1">
        <v>960100.0</v>
      </c>
      <c r="E779" s="1">
        <v>111.13</v>
      </c>
      <c r="F779" s="1">
        <v>29143.0</v>
      </c>
      <c r="G779" s="1">
        <v>2.91439601E10</v>
      </c>
      <c r="H779" s="1" t="s">
        <v>112</v>
      </c>
      <c r="I779" s="1" t="s">
        <v>113</v>
      </c>
      <c r="J779" s="1" t="s">
        <v>3643</v>
      </c>
      <c r="K779" s="1" t="s">
        <v>3644</v>
      </c>
      <c r="L779" s="1">
        <v>4565.0</v>
      </c>
      <c r="M779" s="1">
        <v>4577.0</v>
      </c>
      <c r="N779" s="1">
        <v>293.0</v>
      </c>
      <c r="O779" s="1">
        <v>2055.0</v>
      </c>
      <c r="P779" s="1">
        <v>2101.0</v>
      </c>
      <c r="Q779" s="1">
        <v>102.0</v>
      </c>
      <c r="R779" s="1">
        <v>1866.0</v>
      </c>
      <c r="S779" s="1">
        <v>507.0</v>
      </c>
      <c r="T779" s="1">
        <v>160.0</v>
      </c>
      <c r="U779" s="1">
        <v>146.0</v>
      </c>
      <c r="V779" s="1">
        <v>385.0</v>
      </c>
      <c r="W779" s="1">
        <v>20706.0</v>
      </c>
      <c r="X779" s="1">
        <v>2003.0</v>
      </c>
      <c r="Y779" s="1">
        <v>856.0</v>
      </c>
      <c r="Z779" s="1">
        <v>193.0</v>
      </c>
      <c r="AA779" s="1">
        <v>721.0</v>
      </c>
      <c r="AB779" s="1">
        <v>981.0</v>
      </c>
      <c r="AC779" s="1">
        <v>168.0</v>
      </c>
      <c r="AD779" s="1">
        <v>524.0</v>
      </c>
      <c r="AE779" s="1">
        <v>0.0</v>
      </c>
      <c r="AF779" s="1">
        <v>456.0</v>
      </c>
      <c r="AG779" s="1">
        <v>0.0</v>
      </c>
      <c r="AH779" s="1">
        <v>197.0</v>
      </c>
      <c r="AI779" s="1">
        <v>141.0</v>
      </c>
      <c r="AJ779" s="1">
        <v>47.0</v>
      </c>
      <c r="AK779" s="1">
        <v>61.0</v>
      </c>
      <c r="AL779" s="1">
        <v>122.0</v>
      </c>
      <c r="AM779" s="1">
        <v>71.0</v>
      </c>
      <c r="AN779" s="1">
        <v>39.0</v>
      </c>
      <c r="AO779" s="1">
        <v>96.0</v>
      </c>
      <c r="AP779" s="1">
        <v>0.110771</v>
      </c>
      <c r="AQ779" s="1">
        <v>0.03423</v>
      </c>
      <c r="AR779" s="1">
        <v>0.066788</v>
      </c>
      <c r="AS779" s="1">
        <v>0.175956</v>
      </c>
      <c r="AT779" s="1">
        <v>20706.0</v>
      </c>
      <c r="AU779" s="1">
        <v>2003.0</v>
      </c>
      <c r="AV779" s="1">
        <v>0.25621</v>
      </c>
      <c r="AW779" s="1">
        <v>0.055295</v>
      </c>
      <c r="AX779" s="1">
        <v>0.15794</v>
      </c>
      <c r="AY779" s="1">
        <v>0.214895</v>
      </c>
      <c r="AZ779" s="1">
        <v>0.09003215</v>
      </c>
      <c r="BA779" s="1">
        <v>0.114786</v>
      </c>
      <c r="BB779" s="1">
        <v>0.0</v>
      </c>
      <c r="BC779" s="1">
        <v>0.106691</v>
      </c>
      <c r="BD779" s="1">
        <v>0.0</v>
      </c>
      <c r="BE779" s="1">
        <v>0.093764</v>
      </c>
      <c r="BF779" s="1">
        <v>0.06711</v>
      </c>
      <c r="BG779" s="1">
        <v>0.022131</v>
      </c>
      <c r="BH779" s="1">
        <v>0.03177</v>
      </c>
      <c r="BI779" s="1">
        <v>0.063516</v>
      </c>
      <c r="BJ779" s="1">
        <v>0.036979</v>
      </c>
      <c r="BK779" s="1">
        <v>0.020207</v>
      </c>
      <c r="BL779" s="1">
        <v>0.021029</v>
      </c>
      <c r="BM779" s="1">
        <v>0.421</v>
      </c>
      <c r="BN779" s="1">
        <v>0.485</v>
      </c>
      <c r="BO779" s="1">
        <v>0.5718</v>
      </c>
      <c r="BP779" s="1">
        <v>0.882</v>
      </c>
      <c r="BQ779" s="1">
        <v>2.3598</v>
      </c>
      <c r="BR779" s="1">
        <v>0.6166</v>
      </c>
      <c r="BS779" s="1">
        <v>0.651</v>
      </c>
      <c r="BT779" s="1">
        <v>0.266</v>
      </c>
      <c r="BU779" s="1">
        <v>0.401</v>
      </c>
      <c r="BV779" s="1">
        <v>1.318</v>
      </c>
      <c r="BW779" s="1">
        <v>0.318</v>
      </c>
      <c r="BX779" s="1">
        <v>0.522</v>
      </c>
      <c r="BY779" s="1">
        <v>0.0</v>
      </c>
      <c r="BZ779" s="1">
        <v>0.522</v>
      </c>
      <c r="CA779" s="1">
        <v>0.223</v>
      </c>
      <c r="CB779" s="1">
        <v>0.0</v>
      </c>
      <c r="CC779" s="1">
        <v>0.643</v>
      </c>
      <c r="CD779" s="1">
        <v>0.828</v>
      </c>
      <c r="CE779" s="1">
        <v>0.361</v>
      </c>
      <c r="CF779" s="1">
        <v>0.72</v>
      </c>
      <c r="CG779" s="1">
        <v>2.552</v>
      </c>
      <c r="CH779" s="1">
        <v>0.584</v>
      </c>
      <c r="CI779" s="1">
        <v>6.7518</v>
      </c>
      <c r="CJ779" s="1">
        <v>0.5032</v>
      </c>
      <c r="CK779" s="1">
        <v>0.0</v>
      </c>
      <c r="CL779" s="1">
        <v>0.0</v>
      </c>
      <c r="CM779" s="1">
        <v>0.0</v>
      </c>
      <c r="CN779" s="1">
        <v>0.0</v>
      </c>
      <c r="CO779" s="1">
        <v>0.0</v>
      </c>
      <c r="CP779" s="1">
        <v>0.0</v>
      </c>
      <c r="CQ779" s="1">
        <v>0.0</v>
      </c>
      <c r="CR779" s="1">
        <v>0.0</v>
      </c>
      <c r="CS779" s="1">
        <v>0.0</v>
      </c>
      <c r="CT779" s="1">
        <v>0.0</v>
      </c>
      <c r="CU779" s="1">
        <v>0.0</v>
      </c>
      <c r="CV779" s="1">
        <v>0.0</v>
      </c>
      <c r="CW779" s="1">
        <v>0.0</v>
      </c>
      <c r="CX779" s="1">
        <v>0.0</v>
      </c>
      <c r="CY779" s="1">
        <v>0.0</v>
      </c>
      <c r="CZ779" s="1">
        <v>0.0</v>
      </c>
      <c r="DA779" s="1">
        <v>0.0</v>
      </c>
      <c r="DB779" s="1">
        <v>0.0</v>
      </c>
      <c r="DC779" s="1">
        <v>0.0</v>
      </c>
      <c r="DD779" s="1" t="s">
        <v>3645</v>
      </c>
      <c r="DE779" s="2" t="s">
        <v>3646</v>
      </c>
      <c r="DF779" s="2" t="s">
        <v>3647</v>
      </c>
    </row>
    <row r="780" ht="15.75" customHeight="1">
      <c r="A780" s="1" t="s">
        <v>3648</v>
      </c>
      <c r="B780" s="1">
        <v>29.0</v>
      </c>
      <c r="C780" s="1">
        <v>143.0</v>
      </c>
      <c r="D780" s="1">
        <v>960200.0</v>
      </c>
      <c r="E780" s="1">
        <v>211.842</v>
      </c>
      <c r="F780" s="1">
        <v>29143.0</v>
      </c>
      <c r="G780" s="1">
        <v>2.91439602E10</v>
      </c>
      <c r="H780" s="1" t="s">
        <v>112</v>
      </c>
      <c r="I780" s="1" t="s">
        <v>113</v>
      </c>
      <c r="J780" s="1" t="s">
        <v>3643</v>
      </c>
      <c r="K780" s="1" t="s">
        <v>3649</v>
      </c>
      <c r="L780" s="1">
        <v>2375.0</v>
      </c>
      <c r="M780" s="1">
        <v>2390.0</v>
      </c>
      <c r="N780" s="1">
        <v>217.0</v>
      </c>
      <c r="O780" s="1">
        <v>1067.0</v>
      </c>
      <c r="P780" s="1">
        <v>1040.0</v>
      </c>
      <c r="Q780" s="1">
        <v>56.0</v>
      </c>
      <c r="R780" s="1">
        <v>952.0</v>
      </c>
      <c r="S780" s="1">
        <v>391.0</v>
      </c>
      <c r="T780" s="1">
        <v>151.0</v>
      </c>
      <c r="U780" s="1">
        <v>118.0</v>
      </c>
      <c r="V780" s="1">
        <v>365.0</v>
      </c>
      <c r="W780" s="1">
        <v>16504.0</v>
      </c>
      <c r="X780" s="1">
        <v>2848.0</v>
      </c>
      <c r="Y780" s="1">
        <v>391.0</v>
      </c>
      <c r="Z780" s="1">
        <v>186.0</v>
      </c>
      <c r="AA780" s="1">
        <v>340.0</v>
      </c>
      <c r="AB780" s="1">
        <v>584.0</v>
      </c>
      <c r="AC780" s="1">
        <v>136.0</v>
      </c>
      <c r="AD780" s="1">
        <v>542.0</v>
      </c>
      <c r="AE780" s="1">
        <v>0.0</v>
      </c>
      <c r="AF780" s="1">
        <v>456.0</v>
      </c>
      <c r="AG780" s="1">
        <v>0.0</v>
      </c>
      <c r="AH780" s="1">
        <v>197.0</v>
      </c>
      <c r="AI780" s="1">
        <v>215.0</v>
      </c>
      <c r="AJ780" s="1">
        <v>66.0</v>
      </c>
      <c r="AK780" s="1">
        <v>24.0</v>
      </c>
      <c r="AL780" s="1">
        <v>116.0</v>
      </c>
      <c r="AM780" s="1">
        <v>62.0</v>
      </c>
      <c r="AN780" s="1">
        <v>34.0</v>
      </c>
      <c r="AO780" s="1">
        <v>0.0</v>
      </c>
      <c r="AP780" s="1">
        <v>0.165118</v>
      </c>
      <c r="AQ780" s="1">
        <v>0.061945</v>
      </c>
      <c r="AR780" s="1">
        <v>0.118</v>
      </c>
      <c r="AS780" s="1">
        <v>0.364339</v>
      </c>
      <c r="AT780" s="1">
        <v>16504.0</v>
      </c>
      <c r="AU780" s="1">
        <v>2848.0</v>
      </c>
      <c r="AV780" s="1">
        <v>0.255722</v>
      </c>
      <c r="AW780" s="1">
        <v>0.119808</v>
      </c>
      <c r="AX780" s="1">
        <v>0.143157</v>
      </c>
      <c r="AY780" s="1">
        <v>0.245894</v>
      </c>
      <c r="AZ780" s="1">
        <v>0.14285714</v>
      </c>
      <c r="BA780" s="1">
        <v>0.22821</v>
      </c>
      <c r="BB780" s="1">
        <v>0.0</v>
      </c>
      <c r="BC780" s="1">
        <v>0.207461</v>
      </c>
      <c r="BD780" s="1">
        <v>0.0</v>
      </c>
      <c r="BE780" s="1">
        <v>0.189423</v>
      </c>
      <c r="BF780" s="1">
        <v>0.20673</v>
      </c>
      <c r="BG780" s="1">
        <v>0.062477</v>
      </c>
      <c r="BH780" s="1">
        <v>0.02718</v>
      </c>
      <c r="BI780" s="1">
        <v>0.131354</v>
      </c>
      <c r="BJ780" s="1">
        <v>0.070215</v>
      </c>
      <c r="BK780" s="1">
        <v>0.038145</v>
      </c>
      <c r="BL780" s="1">
        <v>0.0</v>
      </c>
      <c r="BM780" s="1">
        <v>0.626</v>
      </c>
      <c r="BN780" s="1">
        <v>0.816</v>
      </c>
      <c r="BO780" s="1">
        <v>0.8137</v>
      </c>
      <c r="BP780" s="1">
        <v>0.881</v>
      </c>
      <c r="BQ780" s="1">
        <v>3.1367</v>
      </c>
      <c r="BR780" s="1">
        <v>0.8354</v>
      </c>
      <c r="BS780" s="1">
        <v>0.526</v>
      </c>
      <c r="BT780" s="1">
        <v>0.555</v>
      </c>
      <c r="BU780" s="1">
        <v>0.773</v>
      </c>
      <c r="BV780" s="1">
        <v>1.854</v>
      </c>
      <c r="BW780" s="1">
        <v>0.771</v>
      </c>
      <c r="BX780" s="1">
        <v>0.741</v>
      </c>
      <c r="BY780" s="1">
        <v>0.0</v>
      </c>
      <c r="BZ780" s="1">
        <v>0.741</v>
      </c>
      <c r="CA780" s="1">
        <v>0.357</v>
      </c>
      <c r="CB780" s="1">
        <v>0.0</v>
      </c>
      <c r="CC780" s="1">
        <v>0.906</v>
      </c>
      <c r="CD780" s="1">
        <v>0.781</v>
      </c>
      <c r="CE780" s="1">
        <v>0.626</v>
      </c>
      <c r="CF780" s="1">
        <v>0.0</v>
      </c>
      <c r="CG780" s="1">
        <v>2.313</v>
      </c>
      <c r="CH780" s="1">
        <v>0.46</v>
      </c>
      <c r="CI780" s="1">
        <v>8.0447</v>
      </c>
      <c r="CJ780" s="1">
        <v>0.7227</v>
      </c>
      <c r="CK780" s="1">
        <v>0.0</v>
      </c>
      <c r="CL780" s="1">
        <v>0.0</v>
      </c>
      <c r="CM780" s="1">
        <v>0.0</v>
      </c>
      <c r="CN780" s="1">
        <v>0.0</v>
      </c>
      <c r="CO780" s="1">
        <v>0.0</v>
      </c>
      <c r="CP780" s="1">
        <v>0.0</v>
      </c>
      <c r="CQ780" s="1">
        <v>0.0</v>
      </c>
      <c r="CR780" s="1">
        <v>0.0</v>
      </c>
      <c r="CS780" s="1">
        <v>0.0</v>
      </c>
      <c r="CT780" s="1">
        <v>0.0</v>
      </c>
      <c r="CU780" s="1">
        <v>0.0</v>
      </c>
      <c r="CV780" s="1">
        <v>0.0</v>
      </c>
      <c r="CW780" s="1">
        <v>0.0</v>
      </c>
      <c r="CX780" s="1">
        <v>1.0</v>
      </c>
      <c r="CY780" s="1">
        <v>0.0</v>
      </c>
      <c r="CZ780" s="1">
        <v>0.0</v>
      </c>
      <c r="DA780" s="1">
        <v>0.0</v>
      </c>
      <c r="DB780" s="1">
        <v>1.0</v>
      </c>
      <c r="DC780" s="1">
        <v>1.0</v>
      </c>
      <c r="DD780" s="1" t="s">
        <v>3650</v>
      </c>
      <c r="DE780" s="2" t="s">
        <v>3651</v>
      </c>
      <c r="DF780" s="2" t="s">
        <v>3652</v>
      </c>
    </row>
    <row r="781" ht="15.75" customHeight="1">
      <c r="A781" s="1" t="s">
        <v>3653</v>
      </c>
      <c r="B781" s="1">
        <v>29.0</v>
      </c>
      <c r="C781" s="1">
        <v>143.0</v>
      </c>
      <c r="D781" s="1">
        <v>960300.0</v>
      </c>
      <c r="E781" s="1">
        <v>14.954</v>
      </c>
      <c r="F781" s="1">
        <v>29143.0</v>
      </c>
      <c r="G781" s="1">
        <v>2.91439603E10</v>
      </c>
      <c r="H781" s="1" t="s">
        <v>112</v>
      </c>
      <c r="I781" s="1" t="s">
        <v>113</v>
      </c>
      <c r="J781" s="1" t="s">
        <v>3643</v>
      </c>
      <c r="K781" s="1" t="s">
        <v>3654</v>
      </c>
      <c r="L781" s="1">
        <v>3605.0</v>
      </c>
      <c r="M781" s="1">
        <v>3719.0</v>
      </c>
      <c r="N781" s="1">
        <v>204.0</v>
      </c>
      <c r="O781" s="1">
        <v>1666.0</v>
      </c>
      <c r="P781" s="1">
        <v>1735.0</v>
      </c>
      <c r="Q781" s="1">
        <v>131.0</v>
      </c>
      <c r="R781" s="1">
        <v>1477.0</v>
      </c>
      <c r="S781" s="1">
        <v>987.0</v>
      </c>
      <c r="T781" s="1">
        <v>286.0</v>
      </c>
      <c r="U781" s="1">
        <v>120.0</v>
      </c>
      <c r="V781" s="1">
        <v>366.0</v>
      </c>
      <c r="W781" s="1">
        <v>20007.0</v>
      </c>
      <c r="X781" s="1">
        <v>5694.0</v>
      </c>
      <c r="Y781" s="1">
        <v>599.0</v>
      </c>
      <c r="Z781" s="1">
        <v>211.0</v>
      </c>
      <c r="AA781" s="1">
        <v>577.0</v>
      </c>
      <c r="AB781" s="1">
        <v>909.0</v>
      </c>
      <c r="AC781" s="1">
        <v>265.0</v>
      </c>
      <c r="AD781" s="1">
        <v>1262.0</v>
      </c>
      <c r="AE781" s="1">
        <v>0.0</v>
      </c>
      <c r="AF781" s="1">
        <v>456.0</v>
      </c>
      <c r="AG781" s="1">
        <v>24.0</v>
      </c>
      <c r="AH781" s="1">
        <v>117.0</v>
      </c>
      <c r="AI781" s="1">
        <v>238.0</v>
      </c>
      <c r="AJ781" s="1">
        <v>105.0</v>
      </c>
      <c r="AK781" s="1">
        <v>40.0</v>
      </c>
      <c r="AL781" s="1">
        <v>117.0</v>
      </c>
      <c r="AM781" s="1">
        <v>182.0</v>
      </c>
      <c r="AN781" s="1">
        <v>66.0</v>
      </c>
      <c r="AO781" s="1">
        <v>131.0</v>
      </c>
      <c r="AP781" s="1">
        <v>0.265393</v>
      </c>
      <c r="AQ781" s="1">
        <v>0.075511</v>
      </c>
      <c r="AR781" s="1">
        <v>0.080428</v>
      </c>
      <c r="AS781" s="1">
        <v>0.245061</v>
      </c>
      <c r="AT781" s="1">
        <v>20007.0</v>
      </c>
      <c r="AU781" s="1">
        <v>5694.0</v>
      </c>
      <c r="AV781" s="1">
        <v>0.239504</v>
      </c>
      <c r="AW781" s="1">
        <v>0.082836</v>
      </c>
      <c r="AX781" s="1">
        <v>0.160055</v>
      </c>
      <c r="AY781" s="1">
        <v>0.252149</v>
      </c>
      <c r="AZ781" s="1">
        <v>0.17941773</v>
      </c>
      <c r="BA781" s="1">
        <v>0.350069</v>
      </c>
      <c r="BB781" s="1">
        <v>0.0</v>
      </c>
      <c r="BC781" s="1">
        <v>0.132135</v>
      </c>
      <c r="BD781" s="1">
        <v>0.013832</v>
      </c>
      <c r="BE781" s="1">
        <v>0.067427</v>
      </c>
      <c r="BF781" s="1">
        <v>0.137175</v>
      </c>
      <c r="BG781" s="1">
        <v>0.059625</v>
      </c>
      <c r="BH781" s="1">
        <v>0.024922</v>
      </c>
      <c r="BI781" s="1">
        <v>0.072872</v>
      </c>
      <c r="BJ781" s="1">
        <v>0.113395</v>
      </c>
      <c r="BK781" s="1">
        <v>0.040192</v>
      </c>
      <c r="BL781" s="1">
        <v>0.036338</v>
      </c>
      <c r="BM781" s="1">
        <v>0.849</v>
      </c>
      <c r="BN781" s="1">
        <v>0.615</v>
      </c>
      <c r="BO781" s="1">
        <v>0.613</v>
      </c>
      <c r="BP781" s="1">
        <v>0.845</v>
      </c>
      <c r="BQ781" s="1">
        <v>2.922</v>
      </c>
      <c r="BR781" s="1">
        <v>0.7841</v>
      </c>
      <c r="BS781" s="1">
        <v>0.662</v>
      </c>
      <c r="BT781" s="1">
        <v>0.625</v>
      </c>
      <c r="BU781" s="1">
        <v>0.864</v>
      </c>
      <c r="BV781" s="1">
        <v>2.151</v>
      </c>
      <c r="BW781" s="1">
        <v>0.948</v>
      </c>
      <c r="BX781" s="1">
        <v>0.818</v>
      </c>
      <c r="BY781" s="1">
        <v>0.0</v>
      </c>
      <c r="BZ781" s="1">
        <v>0.818</v>
      </c>
      <c r="CA781" s="1">
        <v>0.412</v>
      </c>
      <c r="CB781" s="1">
        <v>0.418</v>
      </c>
      <c r="CC781" s="1">
        <v>0.792</v>
      </c>
      <c r="CD781" s="1">
        <v>0.754</v>
      </c>
      <c r="CE781" s="1">
        <v>0.792</v>
      </c>
      <c r="CF781" s="1">
        <v>0.851</v>
      </c>
      <c r="CG781" s="1">
        <v>3.607</v>
      </c>
      <c r="CH781" s="1">
        <v>0.958</v>
      </c>
      <c r="CI781" s="1">
        <v>9.498</v>
      </c>
      <c r="CJ781" s="1">
        <v>0.9061</v>
      </c>
      <c r="CK781" s="1">
        <v>0.0</v>
      </c>
      <c r="CL781" s="1">
        <v>0.0</v>
      </c>
      <c r="CM781" s="1">
        <v>0.0</v>
      </c>
      <c r="CN781" s="1">
        <v>0.0</v>
      </c>
      <c r="CO781" s="1">
        <v>0.0</v>
      </c>
      <c r="CP781" s="1">
        <v>0.0</v>
      </c>
      <c r="CQ781" s="1">
        <v>0.0</v>
      </c>
      <c r="CR781" s="1">
        <v>0.0</v>
      </c>
      <c r="CS781" s="1">
        <v>0.0</v>
      </c>
      <c r="CT781" s="1">
        <v>0.0</v>
      </c>
      <c r="CU781" s="1">
        <v>0.0</v>
      </c>
      <c r="CV781" s="1">
        <v>0.0</v>
      </c>
      <c r="CW781" s="1">
        <v>0.0</v>
      </c>
      <c r="CX781" s="1">
        <v>0.0</v>
      </c>
      <c r="CY781" s="1">
        <v>0.0</v>
      </c>
      <c r="CZ781" s="1">
        <v>0.0</v>
      </c>
      <c r="DA781" s="1">
        <v>0.0</v>
      </c>
      <c r="DB781" s="1">
        <v>0.0</v>
      </c>
      <c r="DC781" s="1">
        <v>0.0</v>
      </c>
      <c r="DD781" s="1" t="s">
        <v>3655</v>
      </c>
      <c r="DE781" s="1">
        <v>0.00416559268966145</v>
      </c>
      <c r="DF781" s="2" t="s">
        <v>3656</v>
      </c>
    </row>
    <row r="782" ht="15.75" customHeight="1">
      <c r="A782" s="1" t="s">
        <v>3657</v>
      </c>
      <c r="B782" s="1">
        <v>29.0</v>
      </c>
      <c r="C782" s="1">
        <v>143.0</v>
      </c>
      <c r="D782" s="1">
        <v>960600.0</v>
      </c>
      <c r="E782" s="1">
        <v>5.991</v>
      </c>
      <c r="F782" s="1">
        <v>29143.0</v>
      </c>
      <c r="G782" s="1">
        <v>2.91439606E10</v>
      </c>
      <c r="H782" s="1" t="s">
        <v>112</v>
      </c>
      <c r="I782" s="1" t="s">
        <v>113</v>
      </c>
      <c r="J782" s="1" t="s">
        <v>3643</v>
      </c>
      <c r="K782" s="1" t="s">
        <v>3658</v>
      </c>
      <c r="L782" s="1">
        <v>3325.0</v>
      </c>
      <c r="M782" s="1">
        <v>3276.0</v>
      </c>
      <c r="N782" s="1">
        <v>58.0</v>
      </c>
      <c r="O782" s="1">
        <v>1442.0</v>
      </c>
      <c r="P782" s="1">
        <v>1409.0</v>
      </c>
      <c r="Q782" s="1">
        <v>114.0</v>
      </c>
      <c r="R782" s="1">
        <v>1376.0</v>
      </c>
      <c r="S782" s="1">
        <v>1080.0</v>
      </c>
      <c r="T782" s="1">
        <v>298.0</v>
      </c>
      <c r="U782" s="1">
        <v>139.0</v>
      </c>
      <c r="V782" s="1">
        <v>384.0</v>
      </c>
      <c r="W782" s="1">
        <v>19213.0</v>
      </c>
      <c r="X782" s="1">
        <v>5896.0</v>
      </c>
      <c r="Y782" s="1">
        <v>453.0</v>
      </c>
      <c r="Z782" s="1">
        <v>232.0</v>
      </c>
      <c r="AA782" s="1">
        <v>543.0</v>
      </c>
      <c r="AB782" s="1">
        <v>858.0</v>
      </c>
      <c r="AC782" s="1">
        <v>223.0</v>
      </c>
      <c r="AD782" s="1">
        <v>710.0</v>
      </c>
      <c r="AE782" s="1">
        <v>0.0</v>
      </c>
      <c r="AF782" s="1">
        <v>456.0</v>
      </c>
      <c r="AG782" s="1">
        <v>36.0</v>
      </c>
      <c r="AH782" s="1">
        <v>119.0</v>
      </c>
      <c r="AI782" s="1">
        <v>62.0</v>
      </c>
      <c r="AJ782" s="1">
        <v>47.0</v>
      </c>
      <c r="AK782" s="1">
        <v>17.0</v>
      </c>
      <c r="AL782" s="1">
        <v>117.0</v>
      </c>
      <c r="AM782" s="1">
        <v>241.0</v>
      </c>
      <c r="AN782" s="1">
        <v>94.0</v>
      </c>
      <c r="AO782" s="1">
        <v>37.0</v>
      </c>
      <c r="AP782" s="1">
        <v>0.330477</v>
      </c>
      <c r="AQ782" s="1">
        <v>0.090978</v>
      </c>
      <c r="AR782" s="1">
        <v>0.105303</v>
      </c>
      <c r="AS782" s="1">
        <v>0.290359</v>
      </c>
      <c r="AT782" s="1">
        <v>19213.0</v>
      </c>
      <c r="AU782" s="1">
        <v>5896.0</v>
      </c>
      <c r="AV782" s="1">
        <v>0.216746</v>
      </c>
      <c r="AW782" s="1">
        <v>0.110208</v>
      </c>
      <c r="AX782" s="1">
        <v>0.163308</v>
      </c>
      <c r="AY782" s="1">
        <v>0.258045</v>
      </c>
      <c r="AZ782" s="1">
        <v>0.16206395</v>
      </c>
      <c r="BA782" s="1">
        <v>0.213533</v>
      </c>
      <c r="BB782" s="1">
        <v>0.0</v>
      </c>
      <c r="BC782" s="1">
        <v>0.150445</v>
      </c>
      <c r="BD782" s="1">
        <v>0.02555</v>
      </c>
      <c r="BE782" s="1">
        <v>0.084431</v>
      </c>
      <c r="BF782" s="1">
        <v>0.044002</v>
      </c>
      <c r="BG782" s="1">
        <v>0.033166</v>
      </c>
      <c r="BH782" s="1">
        <v>0.012859</v>
      </c>
      <c r="BI782" s="1">
        <v>0.088496</v>
      </c>
      <c r="BJ782" s="1">
        <v>0.182299</v>
      </c>
      <c r="BK782" s="1">
        <v>0.069671</v>
      </c>
      <c r="BL782" s="1">
        <v>0.011127</v>
      </c>
      <c r="BM782" s="1">
        <v>0.912</v>
      </c>
      <c r="BN782" s="1">
        <v>0.762</v>
      </c>
      <c r="BO782" s="1">
        <v>0.657</v>
      </c>
      <c r="BP782" s="1">
        <v>0.795</v>
      </c>
      <c r="BQ782" s="1">
        <v>3.126</v>
      </c>
      <c r="BR782" s="1">
        <v>0.8332</v>
      </c>
      <c r="BS782" s="1">
        <v>0.692</v>
      </c>
      <c r="BT782" s="1">
        <v>0.687</v>
      </c>
      <c r="BU782" s="1">
        <v>0.826</v>
      </c>
      <c r="BV782" s="1">
        <v>2.205</v>
      </c>
      <c r="BW782" s="1">
        <v>0.964</v>
      </c>
      <c r="BX782" s="1">
        <v>0.728</v>
      </c>
      <c r="BY782" s="1">
        <v>0.0</v>
      </c>
      <c r="BZ782" s="1">
        <v>0.728</v>
      </c>
      <c r="CA782" s="1">
        <v>0.352</v>
      </c>
      <c r="CB782" s="1">
        <v>0.517</v>
      </c>
      <c r="CC782" s="1">
        <v>0.591</v>
      </c>
      <c r="CD782" s="1">
        <v>0.545</v>
      </c>
      <c r="CE782" s="1">
        <v>0.894</v>
      </c>
      <c r="CF782" s="1">
        <v>0.592</v>
      </c>
      <c r="CG782" s="1">
        <v>3.139</v>
      </c>
      <c r="CH782" s="1">
        <v>0.828</v>
      </c>
      <c r="CI782" s="1">
        <v>9.198</v>
      </c>
      <c r="CJ782" s="1">
        <v>0.8751</v>
      </c>
      <c r="CK782" s="1">
        <v>1.0</v>
      </c>
      <c r="CL782" s="1">
        <v>0.0</v>
      </c>
      <c r="CM782" s="1">
        <v>0.0</v>
      </c>
      <c r="CN782" s="1">
        <v>0.0</v>
      </c>
      <c r="CO782" s="1">
        <v>1.0</v>
      </c>
      <c r="CP782" s="1">
        <v>0.0</v>
      </c>
      <c r="CQ782" s="1">
        <v>0.0</v>
      </c>
      <c r="CR782" s="1">
        <v>0.0</v>
      </c>
      <c r="CS782" s="1">
        <v>0.0</v>
      </c>
      <c r="CT782" s="1">
        <v>0.0</v>
      </c>
      <c r="CU782" s="1">
        <v>0.0</v>
      </c>
      <c r="CV782" s="1">
        <v>0.0</v>
      </c>
      <c r="CW782" s="1">
        <v>0.0</v>
      </c>
      <c r="CX782" s="1">
        <v>0.0</v>
      </c>
      <c r="CY782" s="1">
        <v>0.0</v>
      </c>
      <c r="CZ782" s="1">
        <v>0.0</v>
      </c>
      <c r="DA782" s="1">
        <v>0.0</v>
      </c>
      <c r="DB782" s="1">
        <v>0.0</v>
      </c>
      <c r="DC782" s="1">
        <v>1.0</v>
      </c>
      <c r="DD782" s="1" t="s">
        <v>3659</v>
      </c>
      <c r="DE782" s="1">
        <v>0.00156592752674264</v>
      </c>
      <c r="DF782" s="2" t="s">
        <v>3660</v>
      </c>
    </row>
    <row r="783" ht="15.75" customHeight="1">
      <c r="A783" s="1" t="s">
        <v>3661</v>
      </c>
      <c r="B783" s="1">
        <v>29.0</v>
      </c>
      <c r="C783" s="1">
        <v>143.0</v>
      </c>
      <c r="D783" s="1">
        <v>960400.0</v>
      </c>
      <c r="E783" s="1">
        <v>145.549</v>
      </c>
      <c r="F783" s="1">
        <v>29143.0</v>
      </c>
      <c r="G783" s="1">
        <v>2.91439604E10</v>
      </c>
      <c r="H783" s="1" t="s">
        <v>112</v>
      </c>
      <c r="I783" s="1" t="s">
        <v>113</v>
      </c>
      <c r="J783" s="1" t="s">
        <v>3643</v>
      </c>
      <c r="K783" s="1" t="s">
        <v>3662</v>
      </c>
      <c r="L783" s="1">
        <v>2503.0</v>
      </c>
      <c r="M783" s="1">
        <v>2507.0</v>
      </c>
      <c r="N783" s="1">
        <v>238.0</v>
      </c>
      <c r="O783" s="1">
        <v>1174.0</v>
      </c>
      <c r="P783" s="1">
        <v>1250.0</v>
      </c>
      <c r="Q783" s="1">
        <v>84.0</v>
      </c>
      <c r="R783" s="1">
        <v>1052.0</v>
      </c>
      <c r="S783" s="1">
        <v>470.0</v>
      </c>
      <c r="T783" s="1">
        <v>148.0</v>
      </c>
      <c r="U783" s="1">
        <v>60.0</v>
      </c>
      <c r="V783" s="1">
        <v>413.0</v>
      </c>
      <c r="W783" s="1">
        <v>17371.0</v>
      </c>
      <c r="X783" s="1">
        <v>2100.0</v>
      </c>
      <c r="Y783" s="1">
        <v>619.0</v>
      </c>
      <c r="Z783" s="1">
        <v>173.0</v>
      </c>
      <c r="AA783" s="1">
        <v>423.0</v>
      </c>
      <c r="AB783" s="1">
        <v>566.0</v>
      </c>
      <c r="AC783" s="1">
        <v>121.0</v>
      </c>
      <c r="AD783" s="1">
        <v>469.0</v>
      </c>
      <c r="AE783" s="1">
        <v>35.0</v>
      </c>
      <c r="AF783" s="1">
        <v>444.0</v>
      </c>
      <c r="AG783" s="1">
        <v>0.0</v>
      </c>
      <c r="AH783" s="1">
        <v>197.0</v>
      </c>
      <c r="AI783" s="1">
        <v>189.0</v>
      </c>
      <c r="AJ783" s="1">
        <v>57.0</v>
      </c>
      <c r="AK783" s="1">
        <v>8.0</v>
      </c>
      <c r="AL783" s="1">
        <v>114.0</v>
      </c>
      <c r="AM783" s="1">
        <v>171.0</v>
      </c>
      <c r="AN783" s="1">
        <v>64.0</v>
      </c>
      <c r="AO783" s="1">
        <v>0.0</v>
      </c>
      <c r="AP783" s="1">
        <v>0.188452</v>
      </c>
      <c r="AQ783" s="1">
        <v>0.056693</v>
      </c>
      <c r="AR783" s="1">
        <v>0.056764</v>
      </c>
      <c r="AS783" s="1">
        <v>0.390624</v>
      </c>
      <c r="AT783" s="1">
        <v>17371.0</v>
      </c>
      <c r="AU783" s="1">
        <v>2100.0</v>
      </c>
      <c r="AV783" s="1">
        <v>0.359674</v>
      </c>
      <c r="AW783" s="1">
        <v>0.094269</v>
      </c>
      <c r="AX783" s="1">
        <v>0.168997</v>
      </c>
      <c r="AY783" s="1">
        <v>0.226128</v>
      </c>
      <c r="AZ783" s="1">
        <v>0.11501901</v>
      </c>
      <c r="BA783" s="1">
        <v>0.187375</v>
      </c>
      <c r="BB783" s="1">
        <v>0.014595</v>
      </c>
      <c r="BC783" s="1">
        <v>0.185149</v>
      </c>
      <c r="BD783" s="1">
        <v>0.0</v>
      </c>
      <c r="BE783" s="1">
        <v>0.1576</v>
      </c>
      <c r="BF783" s="1">
        <v>0.1512</v>
      </c>
      <c r="BG783" s="1">
        <v>0.044453</v>
      </c>
      <c r="BH783" s="1">
        <v>0.0072</v>
      </c>
      <c r="BI783" s="1">
        <v>0.102608</v>
      </c>
      <c r="BJ783" s="1">
        <v>0.153915</v>
      </c>
      <c r="BK783" s="1">
        <v>0.056178</v>
      </c>
      <c r="BL783" s="1">
        <v>0.0</v>
      </c>
      <c r="BM783" s="1">
        <v>0.698</v>
      </c>
      <c r="BN783" s="1">
        <v>0.379</v>
      </c>
      <c r="BO783" s="1">
        <v>0.761</v>
      </c>
      <c r="BP783" s="1">
        <v>0.982</v>
      </c>
      <c r="BQ783" s="1">
        <v>2.82</v>
      </c>
      <c r="BR783" s="1">
        <v>0.7552</v>
      </c>
      <c r="BS783" s="1">
        <v>0.73</v>
      </c>
      <c r="BT783" s="1">
        <v>0.349</v>
      </c>
      <c r="BU783" s="1">
        <v>0.63</v>
      </c>
      <c r="BV783" s="1">
        <v>1.709</v>
      </c>
      <c r="BW783" s="1">
        <v>0.646</v>
      </c>
      <c r="BX783" s="1">
        <v>0.692</v>
      </c>
      <c r="BY783" s="1">
        <v>0.805</v>
      </c>
      <c r="BZ783" s="1">
        <v>1.497</v>
      </c>
      <c r="CA783" s="1">
        <v>0.823</v>
      </c>
      <c r="CB783" s="1">
        <v>0.0</v>
      </c>
      <c r="CC783" s="1">
        <v>0.82</v>
      </c>
      <c r="CD783" s="1">
        <v>0.398</v>
      </c>
      <c r="CE783" s="1">
        <v>0.863</v>
      </c>
      <c r="CF783" s="1">
        <v>0.0</v>
      </c>
      <c r="CG783" s="1">
        <v>2.081</v>
      </c>
      <c r="CH783" s="1">
        <v>0.375</v>
      </c>
      <c r="CI783" s="1">
        <v>8.107</v>
      </c>
      <c r="CJ783" s="1">
        <v>0.7307</v>
      </c>
      <c r="CK783" s="1">
        <v>0.0</v>
      </c>
      <c r="CL783" s="1">
        <v>0.0</v>
      </c>
      <c r="CM783" s="1">
        <v>0.0</v>
      </c>
      <c r="CN783" s="1">
        <v>1.0</v>
      </c>
      <c r="CO783" s="1">
        <v>1.0</v>
      </c>
      <c r="CP783" s="1">
        <v>0.0</v>
      </c>
      <c r="CQ783" s="1">
        <v>0.0</v>
      </c>
      <c r="CR783" s="1">
        <v>0.0</v>
      </c>
      <c r="CS783" s="1">
        <v>0.0</v>
      </c>
      <c r="CT783" s="1">
        <v>0.0</v>
      </c>
      <c r="CU783" s="1">
        <v>0.0</v>
      </c>
      <c r="CV783" s="1">
        <v>0.0</v>
      </c>
      <c r="CW783" s="1">
        <v>0.0</v>
      </c>
      <c r="CX783" s="1">
        <v>0.0</v>
      </c>
      <c r="CY783" s="1">
        <v>0.0</v>
      </c>
      <c r="CZ783" s="1">
        <v>0.0</v>
      </c>
      <c r="DA783" s="1">
        <v>0.0</v>
      </c>
      <c r="DB783" s="1">
        <v>0.0</v>
      </c>
      <c r="DC783" s="1">
        <v>1.0</v>
      </c>
      <c r="DD783" s="1" t="s">
        <v>3663</v>
      </c>
      <c r="DE783" s="1">
        <v>0.0401100577302133</v>
      </c>
      <c r="DF783" s="2" t="s">
        <v>3664</v>
      </c>
    </row>
    <row r="784" ht="15.75" customHeight="1">
      <c r="A784" s="1" t="s">
        <v>3665</v>
      </c>
      <c r="B784" s="1">
        <v>29.0</v>
      </c>
      <c r="C784" s="1">
        <v>143.0</v>
      </c>
      <c r="D784" s="1">
        <v>960500.0</v>
      </c>
      <c r="E784" s="1">
        <v>185.376</v>
      </c>
      <c r="F784" s="1">
        <v>29143.0</v>
      </c>
      <c r="G784" s="1">
        <v>2.91439605E10</v>
      </c>
      <c r="H784" s="1" t="s">
        <v>112</v>
      </c>
      <c r="I784" s="1" t="s">
        <v>113</v>
      </c>
      <c r="J784" s="1" t="s">
        <v>3643</v>
      </c>
      <c r="K784" s="1" t="s">
        <v>3666</v>
      </c>
      <c r="L784" s="1">
        <v>2583.0</v>
      </c>
      <c r="M784" s="1">
        <v>2378.0</v>
      </c>
      <c r="N784" s="1">
        <v>224.0</v>
      </c>
      <c r="O784" s="1">
        <v>1127.0</v>
      </c>
      <c r="P784" s="1">
        <v>1073.0</v>
      </c>
      <c r="Q784" s="1">
        <v>72.0</v>
      </c>
      <c r="R784" s="1">
        <v>1019.0</v>
      </c>
      <c r="S784" s="1">
        <v>511.0</v>
      </c>
      <c r="T784" s="1">
        <v>153.0</v>
      </c>
      <c r="U784" s="1">
        <v>86.0</v>
      </c>
      <c r="V784" s="1">
        <v>344.0</v>
      </c>
      <c r="W784" s="1">
        <v>16572.0</v>
      </c>
      <c r="X784" s="1">
        <v>1936.0</v>
      </c>
      <c r="Y784" s="1">
        <v>509.0</v>
      </c>
      <c r="Z784" s="1">
        <v>84.0</v>
      </c>
      <c r="AA784" s="1">
        <v>441.0</v>
      </c>
      <c r="AB784" s="1">
        <v>616.0</v>
      </c>
      <c r="AC784" s="1">
        <v>108.0</v>
      </c>
      <c r="AD784" s="1">
        <v>69.0</v>
      </c>
      <c r="AE784" s="1">
        <v>10.0</v>
      </c>
      <c r="AF784" s="1">
        <v>442.0</v>
      </c>
      <c r="AG784" s="1">
        <v>0.0</v>
      </c>
      <c r="AH784" s="1">
        <v>197.0</v>
      </c>
      <c r="AI784" s="1">
        <v>172.0</v>
      </c>
      <c r="AJ784" s="1">
        <v>47.0</v>
      </c>
      <c r="AK784" s="1">
        <v>11.0</v>
      </c>
      <c r="AL784" s="1">
        <v>115.0</v>
      </c>
      <c r="AM784" s="1">
        <v>75.0</v>
      </c>
      <c r="AN784" s="1">
        <v>33.0</v>
      </c>
      <c r="AO784" s="1">
        <v>68.0</v>
      </c>
      <c r="AP784" s="1">
        <v>0.22256</v>
      </c>
      <c r="AQ784" s="1">
        <v>0.063483</v>
      </c>
      <c r="AR784" s="1">
        <v>0.091684</v>
      </c>
      <c r="AS784" s="1">
        <v>0.366562</v>
      </c>
      <c r="AT784" s="1">
        <v>16572.0</v>
      </c>
      <c r="AU784" s="1">
        <v>1936.0</v>
      </c>
      <c r="AV784" s="1">
        <v>0.31323</v>
      </c>
      <c r="AW784" s="1">
        <v>0.039334</v>
      </c>
      <c r="AX784" s="1">
        <v>0.170731</v>
      </c>
      <c r="AY784" s="1">
        <v>0.238482</v>
      </c>
      <c r="AZ784" s="1">
        <v>0.10598626</v>
      </c>
      <c r="BA784" s="1">
        <v>0.026713</v>
      </c>
      <c r="BB784" s="1">
        <v>0.004407</v>
      </c>
      <c r="BC784" s="1">
        <v>0.194798</v>
      </c>
      <c r="BD784" s="1">
        <v>0.0</v>
      </c>
      <c r="BE784" s="1">
        <v>0.183597</v>
      </c>
      <c r="BF784" s="1">
        <v>0.160298</v>
      </c>
      <c r="BG784" s="1">
        <v>0.042461</v>
      </c>
      <c r="BH784" s="1">
        <v>0.012528</v>
      </c>
      <c r="BI784" s="1">
        <v>0.130975</v>
      </c>
      <c r="BJ784" s="1">
        <v>0.085421</v>
      </c>
      <c r="BK784" s="1">
        <v>0.036963</v>
      </c>
      <c r="BL784" s="1">
        <v>0.026325</v>
      </c>
      <c r="BM784" s="1">
        <v>0.775</v>
      </c>
      <c r="BN784" s="1">
        <v>0.689</v>
      </c>
      <c r="BO784" s="1">
        <v>0.8094</v>
      </c>
      <c r="BP784" s="1">
        <v>0.953</v>
      </c>
      <c r="BQ784" s="1">
        <v>3.2264</v>
      </c>
      <c r="BR784" s="1">
        <v>0.8599</v>
      </c>
      <c r="BS784" s="1">
        <v>0.742</v>
      </c>
      <c r="BT784" s="1">
        <v>0.481</v>
      </c>
      <c r="BU784" s="1">
        <v>0.551</v>
      </c>
      <c r="BV784" s="1">
        <v>1.774</v>
      </c>
      <c r="BW784" s="1">
        <v>0.701</v>
      </c>
      <c r="BX784" s="1">
        <v>0.056</v>
      </c>
      <c r="BY784" s="1">
        <v>0.532</v>
      </c>
      <c r="BZ784" s="1">
        <v>0.588</v>
      </c>
      <c r="CA784" s="1">
        <v>0.262</v>
      </c>
      <c r="CB784" s="1">
        <v>0.0</v>
      </c>
      <c r="CC784" s="1">
        <v>0.838</v>
      </c>
      <c r="CD784" s="1">
        <v>0.541</v>
      </c>
      <c r="CE784" s="1">
        <v>0.703</v>
      </c>
      <c r="CF784" s="1">
        <v>0.783</v>
      </c>
      <c r="CG784" s="1">
        <v>2.865</v>
      </c>
      <c r="CH784" s="1">
        <v>0.717</v>
      </c>
      <c r="CI784" s="1">
        <v>8.4534</v>
      </c>
      <c r="CJ784" s="1">
        <v>0.7769</v>
      </c>
      <c r="CK784" s="1">
        <v>0.0</v>
      </c>
      <c r="CL784" s="1">
        <v>0.0</v>
      </c>
      <c r="CM784" s="1">
        <v>0.0</v>
      </c>
      <c r="CN784" s="1">
        <v>1.0</v>
      </c>
      <c r="CO784" s="1">
        <v>1.0</v>
      </c>
      <c r="CP784" s="1">
        <v>0.0</v>
      </c>
      <c r="CQ784" s="1">
        <v>0.0</v>
      </c>
      <c r="CR784" s="1">
        <v>0.0</v>
      </c>
      <c r="CS784" s="1">
        <v>0.0</v>
      </c>
      <c r="CT784" s="1">
        <v>0.0</v>
      </c>
      <c r="CU784" s="1">
        <v>0.0</v>
      </c>
      <c r="CV784" s="1">
        <v>0.0</v>
      </c>
      <c r="CW784" s="1">
        <v>0.0</v>
      </c>
      <c r="CX784" s="1">
        <v>0.0</v>
      </c>
      <c r="CY784" s="1">
        <v>0.0</v>
      </c>
      <c r="CZ784" s="1">
        <v>0.0</v>
      </c>
      <c r="DA784" s="1">
        <v>0.0</v>
      </c>
      <c r="DB784" s="1">
        <v>0.0</v>
      </c>
      <c r="DC784" s="1">
        <v>1.0</v>
      </c>
      <c r="DD784" s="1" t="s">
        <v>3667</v>
      </c>
      <c r="DE784" s="2" t="s">
        <v>3668</v>
      </c>
      <c r="DF784" s="2" t="s">
        <v>3669</v>
      </c>
    </row>
    <row r="785" ht="15.75" customHeight="1">
      <c r="A785" s="1" t="s">
        <v>3670</v>
      </c>
      <c r="B785" s="1">
        <v>29.0</v>
      </c>
      <c r="C785" s="1">
        <v>145.0</v>
      </c>
      <c r="D785" s="2" t="s">
        <v>3671</v>
      </c>
      <c r="E785" s="1">
        <v>2.558</v>
      </c>
      <c r="F785" s="1">
        <v>29145.0</v>
      </c>
      <c r="G785" s="1">
        <v>2.91450201E10</v>
      </c>
      <c r="H785" s="1" t="s">
        <v>112</v>
      </c>
      <c r="I785" s="1" t="s">
        <v>113</v>
      </c>
      <c r="J785" s="1" t="s">
        <v>3672</v>
      </c>
      <c r="K785" s="1" t="s">
        <v>3673</v>
      </c>
      <c r="L785" s="1">
        <v>3967.0</v>
      </c>
      <c r="M785" s="1">
        <v>4186.0</v>
      </c>
      <c r="N785" s="1">
        <v>315.0</v>
      </c>
      <c r="O785" s="1">
        <v>1800.0</v>
      </c>
      <c r="P785" s="1">
        <v>1872.0</v>
      </c>
      <c r="Q785" s="1">
        <v>124.0</v>
      </c>
      <c r="R785" s="1">
        <v>1572.0</v>
      </c>
      <c r="S785" s="1">
        <v>729.0</v>
      </c>
      <c r="T785" s="1">
        <v>265.0</v>
      </c>
      <c r="U785" s="1">
        <v>91.0</v>
      </c>
      <c r="V785" s="1">
        <v>460.0</v>
      </c>
      <c r="W785" s="1">
        <v>17793.0</v>
      </c>
      <c r="X785" s="1">
        <v>1938.0</v>
      </c>
      <c r="Y785" s="1">
        <v>607.0</v>
      </c>
      <c r="Z785" s="1">
        <v>260.0</v>
      </c>
      <c r="AA785" s="1">
        <v>563.0</v>
      </c>
      <c r="AB785" s="1">
        <v>1083.0</v>
      </c>
      <c r="AC785" s="1">
        <v>181.0</v>
      </c>
      <c r="AD785" s="1">
        <v>853.0</v>
      </c>
      <c r="AE785" s="1">
        <v>280.0</v>
      </c>
      <c r="AF785" s="1">
        <v>429.0</v>
      </c>
      <c r="AG785" s="1">
        <v>177.0</v>
      </c>
      <c r="AH785" s="1">
        <v>84.0</v>
      </c>
      <c r="AI785" s="1">
        <v>16.0</v>
      </c>
      <c r="AJ785" s="1">
        <v>19.0</v>
      </c>
      <c r="AK785" s="1">
        <v>89.0</v>
      </c>
      <c r="AL785" s="1">
        <v>127.0</v>
      </c>
      <c r="AM785" s="1">
        <v>236.0</v>
      </c>
      <c r="AN785" s="1">
        <v>107.0</v>
      </c>
      <c r="AO785" s="1">
        <v>8.0</v>
      </c>
      <c r="AP785" s="1">
        <v>0.17482</v>
      </c>
      <c r="AQ785" s="1">
        <v>0.062161</v>
      </c>
      <c r="AR785" s="1">
        <v>0.049402</v>
      </c>
      <c r="AS785" s="1">
        <v>0.249582</v>
      </c>
      <c r="AT785" s="1">
        <v>17793.0</v>
      </c>
      <c r="AU785" s="1">
        <v>1938.0</v>
      </c>
      <c r="AV785" s="1">
        <v>0.228367</v>
      </c>
      <c r="AW785" s="1">
        <v>0.096155</v>
      </c>
      <c r="AX785" s="1">
        <v>0.14192</v>
      </c>
      <c r="AY785" s="1">
        <v>0.273002</v>
      </c>
      <c r="AZ785" s="1">
        <v>0.11513994</v>
      </c>
      <c r="BA785" s="1">
        <v>0.215023</v>
      </c>
      <c r="BB785" s="1">
        <v>0.074766</v>
      </c>
      <c r="BC785" s="1">
        <v>0.114415</v>
      </c>
      <c r="BD785" s="1">
        <v>0.094551</v>
      </c>
      <c r="BE785" s="1">
        <v>0.044432</v>
      </c>
      <c r="BF785" s="1">
        <v>0.008547</v>
      </c>
      <c r="BG785" s="1">
        <v>0.010133</v>
      </c>
      <c r="BH785" s="1">
        <v>0.051415</v>
      </c>
      <c r="BI785" s="1">
        <v>0.073239</v>
      </c>
      <c r="BJ785" s="1">
        <v>0.136337</v>
      </c>
      <c r="BK785" s="1">
        <v>0.060734</v>
      </c>
      <c r="BL785" s="1">
        <v>0.002016</v>
      </c>
      <c r="BM785" s="1">
        <v>0.662</v>
      </c>
      <c r="BN785" s="1">
        <v>0.287</v>
      </c>
      <c r="BO785" s="1">
        <v>0.7394</v>
      </c>
      <c r="BP785" s="1">
        <v>0.825</v>
      </c>
      <c r="BQ785" s="1">
        <v>2.5134</v>
      </c>
      <c r="BR785" s="1">
        <v>0.6693</v>
      </c>
      <c r="BS785" s="1">
        <v>0.515</v>
      </c>
      <c r="BT785" s="1">
        <v>0.81</v>
      </c>
      <c r="BU785" s="1">
        <v>0.633</v>
      </c>
      <c r="BV785" s="1">
        <v>1.958</v>
      </c>
      <c r="BW785" s="1">
        <v>0.837</v>
      </c>
      <c r="BX785" s="1">
        <v>0.73</v>
      </c>
      <c r="BY785" s="1">
        <v>0.979</v>
      </c>
      <c r="BZ785" s="1">
        <v>1.709</v>
      </c>
      <c r="CA785" s="1">
        <v>0.927</v>
      </c>
      <c r="CB785" s="1">
        <v>0.761</v>
      </c>
      <c r="CC785" s="1">
        <v>0.445</v>
      </c>
      <c r="CD785" s="1">
        <v>0.941</v>
      </c>
      <c r="CE785" s="1">
        <v>0.839</v>
      </c>
      <c r="CF785" s="1">
        <v>0.445</v>
      </c>
      <c r="CG785" s="1">
        <v>3.431</v>
      </c>
      <c r="CH785" s="1">
        <v>0.924</v>
      </c>
      <c r="CI785" s="1">
        <v>9.6114</v>
      </c>
      <c r="CJ785" s="1">
        <v>0.917</v>
      </c>
      <c r="CK785" s="1">
        <v>0.0</v>
      </c>
      <c r="CL785" s="1">
        <v>0.0</v>
      </c>
      <c r="CM785" s="1">
        <v>0.0</v>
      </c>
      <c r="CN785" s="1">
        <v>0.0</v>
      </c>
      <c r="CO785" s="1">
        <v>0.0</v>
      </c>
      <c r="CP785" s="1">
        <v>0.0</v>
      </c>
      <c r="CQ785" s="1">
        <v>0.0</v>
      </c>
      <c r="CR785" s="1">
        <v>0.0</v>
      </c>
      <c r="CS785" s="1">
        <v>0.0</v>
      </c>
      <c r="CT785" s="1">
        <v>0.0</v>
      </c>
      <c r="CU785" s="1">
        <v>1.0</v>
      </c>
      <c r="CV785" s="1">
        <v>1.0</v>
      </c>
      <c r="CW785" s="1">
        <v>0.0</v>
      </c>
      <c r="CX785" s="1">
        <v>0.0</v>
      </c>
      <c r="CY785" s="1">
        <v>1.0</v>
      </c>
      <c r="CZ785" s="1">
        <v>0.0</v>
      </c>
      <c r="DA785" s="1">
        <v>0.0</v>
      </c>
      <c r="DB785" s="1">
        <v>1.0</v>
      </c>
      <c r="DC785" s="1">
        <v>2.0</v>
      </c>
      <c r="DD785" s="1" t="s">
        <v>3674</v>
      </c>
      <c r="DE785" s="1">
        <v>6.65823572793351E-4</v>
      </c>
      <c r="DF785" s="2" t="s">
        <v>3675</v>
      </c>
    </row>
    <row r="786" ht="15.75" customHeight="1">
      <c r="A786" s="1" t="s">
        <v>3676</v>
      </c>
      <c r="B786" s="1">
        <v>29.0</v>
      </c>
      <c r="C786" s="1">
        <v>145.0</v>
      </c>
      <c r="D786" s="2" t="s">
        <v>1310</v>
      </c>
      <c r="E786" s="1">
        <v>5.654</v>
      </c>
      <c r="F786" s="1">
        <v>29145.0</v>
      </c>
      <c r="G786" s="1">
        <v>2.91450202E10</v>
      </c>
      <c r="H786" s="1" t="s">
        <v>112</v>
      </c>
      <c r="I786" s="1" t="s">
        <v>113</v>
      </c>
      <c r="J786" s="1" t="s">
        <v>3672</v>
      </c>
      <c r="K786" s="1" t="s">
        <v>3677</v>
      </c>
      <c r="L786" s="1">
        <v>4813.0</v>
      </c>
      <c r="M786" s="1">
        <v>5157.0</v>
      </c>
      <c r="N786" s="1">
        <v>403.0</v>
      </c>
      <c r="O786" s="1">
        <v>2027.0</v>
      </c>
      <c r="P786" s="1">
        <v>2099.0</v>
      </c>
      <c r="Q786" s="1">
        <v>161.0</v>
      </c>
      <c r="R786" s="1">
        <v>1862.0</v>
      </c>
      <c r="S786" s="1">
        <v>1153.0</v>
      </c>
      <c r="T786" s="1">
        <v>431.0</v>
      </c>
      <c r="U786" s="1">
        <v>185.0</v>
      </c>
      <c r="V786" s="1">
        <v>403.0</v>
      </c>
      <c r="W786" s="1">
        <v>17668.0</v>
      </c>
      <c r="X786" s="1">
        <v>2058.0</v>
      </c>
      <c r="Y786" s="1">
        <v>576.0</v>
      </c>
      <c r="Z786" s="1">
        <v>254.0</v>
      </c>
      <c r="AA786" s="1">
        <v>749.0</v>
      </c>
      <c r="AB786" s="1">
        <v>1307.0</v>
      </c>
      <c r="AC786" s="1">
        <v>231.0</v>
      </c>
      <c r="AD786" s="1">
        <v>796.0</v>
      </c>
      <c r="AE786" s="1">
        <v>253.0</v>
      </c>
      <c r="AF786" s="1">
        <v>410.0</v>
      </c>
      <c r="AG786" s="1">
        <v>76.0</v>
      </c>
      <c r="AH786" s="1">
        <v>168.0</v>
      </c>
      <c r="AI786" s="1">
        <v>64.0</v>
      </c>
      <c r="AJ786" s="1">
        <v>53.0</v>
      </c>
      <c r="AK786" s="1">
        <v>111.0</v>
      </c>
      <c r="AL786" s="1">
        <v>130.0</v>
      </c>
      <c r="AM786" s="1">
        <v>95.0</v>
      </c>
      <c r="AN786" s="1">
        <v>62.0</v>
      </c>
      <c r="AO786" s="1">
        <v>6.0</v>
      </c>
      <c r="AP786" s="1">
        <v>0.223579</v>
      </c>
      <c r="AQ786" s="1">
        <v>0.081729</v>
      </c>
      <c r="AR786" s="1">
        <v>0.078992</v>
      </c>
      <c r="AS786" s="1">
        <v>0.171721</v>
      </c>
      <c r="AT786" s="1">
        <v>17668.0</v>
      </c>
      <c r="AU786" s="1">
        <v>2058.0</v>
      </c>
      <c r="AV786" s="1">
        <v>0.182336</v>
      </c>
      <c r="AW786" s="1">
        <v>0.078948</v>
      </c>
      <c r="AX786" s="1">
        <v>0.15562</v>
      </c>
      <c r="AY786" s="1">
        <v>0.271556</v>
      </c>
      <c r="AZ786" s="1">
        <v>0.12406015</v>
      </c>
      <c r="BA786" s="1">
        <v>0.165385</v>
      </c>
      <c r="BB786" s="1">
        <v>0.053296</v>
      </c>
      <c r="BC786" s="1">
        <v>0.086271</v>
      </c>
      <c r="BD786" s="1">
        <v>0.036207</v>
      </c>
      <c r="BE786" s="1">
        <v>0.079989</v>
      </c>
      <c r="BF786" s="1">
        <v>0.03049</v>
      </c>
      <c r="BG786" s="1">
        <v>0.025141</v>
      </c>
      <c r="BH786" s="1">
        <v>0.059773</v>
      </c>
      <c r="BI786" s="1">
        <v>0.069734</v>
      </c>
      <c r="BJ786" s="1">
        <v>0.051157</v>
      </c>
      <c r="BK786" s="1">
        <v>0.032969</v>
      </c>
      <c r="BL786" s="1">
        <v>0.001246</v>
      </c>
      <c r="BM786" s="1">
        <v>0.778</v>
      </c>
      <c r="BN786" s="1">
        <v>0.604</v>
      </c>
      <c r="BO786" s="1">
        <v>0.7487</v>
      </c>
      <c r="BP786" s="1">
        <v>0.694</v>
      </c>
      <c r="BQ786" s="1">
        <v>2.8247</v>
      </c>
      <c r="BR786" s="1">
        <v>0.7581</v>
      </c>
      <c r="BS786" s="1">
        <v>0.626</v>
      </c>
      <c r="BT786" s="1">
        <v>0.803</v>
      </c>
      <c r="BU786" s="1">
        <v>0.694</v>
      </c>
      <c r="BV786" s="1">
        <v>2.123</v>
      </c>
      <c r="BW786" s="1">
        <v>0.931</v>
      </c>
      <c r="BX786" s="1">
        <v>0.659</v>
      </c>
      <c r="BY786" s="1">
        <v>0.964</v>
      </c>
      <c r="BZ786" s="1">
        <v>1.623</v>
      </c>
      <c r="CA786" s="1">
        <v>0.881</v>
      </c>
      <c r="CB786" s="1">
        <v>0.587</v>
      </c>
      <c r="CC786" s="1">
        <v>0.551</v>
      </c>
      <c r="CD786" s="1">
        <v>0.962</v>
      </c>
      <c r="CE786" s="1">
        <v>0.494</v>
      </c>
      <c r="CF786" s="1">
        <v>0.414</v>
      </c>
      <c r="CG786" s="1">
        <v>3.008</v>
      </c>
      <c r="CH786" s="1">
        <v>0.779</v>
      </c>
      <c r="CI786" s="1">
        <v>9.5787</v>
      </c>
      <c r="CJ786" s="1">
        <v>0.9134</v>
      </c>
      <c r="CK786" s="1">
        <v>0.0</v>
      </c>
      <c r="CL786" s="1">
        <v>0.0</v>
      </c>
      <c r="CM786" s="1">
        <v>0.0</v>
      </c>
      <c r="CN786" s="1">
        <v>0.0</v>
      </c>
      <c r="CO786" s="1">
        <v>0.0</v>
      </c>
      <c r="CP786" s="1">
        <v>0.0</v>
      </c>
      <c r="CQ786" s="1">
        <v>0.0</v>
      </c>
      <c r="CR786" s="1">
        <v>0.0</v>
      </c>
      <c r="CS786" s="1">
        <v>0.0</v>
      </c>
      <c r="CT786" s="1">
        <v>0.0</v>
      </c>
      <c r="CU786" s="1">
        <v>1.0</v>
      </c>
      <c r="CV786" s="1">
        <v>1.0</v>
      </c>
      <c r="CW786" s="1">
        <v>0.0</v>
      </c>
      <c r="CX786" s="1">
        <v>0.0</v>
      </c>
      <c r="CY786" s="1">
        <v>1.0</v>
      </c>
      <c r="CZ786" s="1">
        <v>0.0</v>
      </c>
      <c r="DA786" s="1">
        <v>0.0</v>
      </c>
      <c r="DB786" s="1">
        <v>1.0</v>
      </c>
      <c r="DC786" s="1">
        <v>2.0</v>
      </c>
      <c r="DD786" s="1" t="s">
        <v>3678</v>
      </c>
      <c r="DE786" s="1">
        <v>0.00148208126764226</v>
      </c>
      <c r="DF786" s="2" t="s">
        <v>3679</v>
      </c>
    </row>
    <row r="787" ht="15.75" customHeight="1">
      <c r="A787" s="1" t="s">
        <v>3680</v>
      </c>
      <c r="B787" s="1">
        <v>29.0</v>
      </c>
      <c r="C787" s="1">
        <v>145.0</v>
      </c>
      <c r="D787" s="2" t="s">
        <v>1069</v>
      </c>
      <c r="E787" s="1">
        <v>9.539</v>
      </c>
      <c r="F787" s="1">
        <v>29145.0</v>
      </c>
      <c r="G787" s="1">
        <v>2.91450203E10</v>
      </c>
      <c r="H787" s="1" t="s">
        <v>112</v>
      </c>
      <c r="I787" s="1" t="s">
        <v>113</v>
      </c>
      <c r="J787" s="1" t="s">
        <v>3672</v>
      </c>
      <c r="K787" s="1" t="s">
        <v>3681</v>
      </c>
      <c r="L787" s="1">
        <v>3328.0</v>
      </c>
      <c r="M787" s="1">
        <v>3185.0</v>
      </c>
      <c r="N787" s="1">
        <v>324.0</v>
      </c>
      <c r="O787" s="1">
        <v>1321.0</v>
      </c>
      <c r="P787" s="1">
        <v>1305.0</v>
      </c>
      <c r="Q787" s="1">
        <v>92.0</v>
      </c>
      <c r="R787" s="1">
        <v>1161.0</v>
      </c>
      <c r="S787" s="1">
        <v>500.0</v>
      </c>
      <c r="T787" s="1">
        <v>264.0</v>
      </c>
      <c r="U787" s="1">
        <v>79.0</v>
      </c>
      <c r="V787" s="1">
        <v>459.0</v>
      </c>
      <c r="W787" s="1">
        <v>20846.0</v>
      </c>
      <c r="X787" s="1">
        <v>5376.0</v>
      </c>
      <c r="Y787" s="1">
        <v>310.0</v>
      </c>
      <c r="Z787" s="1">
        <v>221.0</v>
      </c>
      <c r="AA787" s="1">
        <v>411.0</v>
      </c>
      <c r="AB787" s="1">
        <v>897.0</v>
      </c>
      <c r="AC787" s="1">
        <v>151.0</v>
      </c>
      <c r="AD787" s="1">
        <v>567.0</v>
      </c>
      <c r="AE787" s="1">
        <v>15.0</v>
      </c>
      <c r="AF787" s="1">
        <v>442.0</v>
      </c>
      <c r="AG787" s="1">
        <v>0.0</v>
      </c>
      <c r="AH787" s="1">
        <v>197.0</v>
      </c>
      <c r="AI787" s="1">
        <v>54.0</v>
      </c>
      <c r="AJ787" s="1">
        <v>43.0</v>
      </c>
      <c r="AK787" s="1">
        <v>14.0</v>
      </c>
      <c r="AL787" s="1">
        <v>116.0</v>
      </c>
      <c r="AM787" s="1">
        <v>56.0</v>
      </c>
      <c r="AN787" s="1">
        <v>40.0</v>
      </c>
      <c r="AO787" s="1">
        <v>159.0</v>
      </c>
      <c r="AP787" s="1">
        <v>0.159693</v>
      </c>
      <c r="AQ787" s="1">
        <v>0.082743</v>
      </c>
      <c r="AR787" s="1">
        <v>0.050869</v>
      </c>
      <c r="AS787" s="1">
        <v>0.295361</v>
      </c>
      <c r="AT787" s="1">
        <v>20846.0</v>
      </c>
      <c r="AU787" s="1">
        <v>5376.0</v>
      </c>
      <c r="AV787" s="1">
        <v>0.148538</v>
      </c>
      <c r="AW787" s="1">
        <v>0.104718</v>
      </c>
      <c r="AX787" s="1">
        <v>0.123497</v>
      </c>
      <c r="AY787" s="1">
        <v>0.269531</v>
      </c>
      <c r="AZ787" s="1">
        <v>0.13006029</v>
      </c>
      <c r="BA787" s="1">
        <v>0.170372</v>
      </c>
      <c r="BB787" s="1">
        <v>0.004988</v>
      </c>
      <c r="BC787" s="1">
        <v>0.146989</v>
      </c>
      <c r="BD787" s="1">
        <v>0.0</v>
      </c>
      <c r="BE787" s="1">
        <v>0.150957</v>
      </c>
      <c r="BF787" s="1">
        <v>0.041379</v>
      </c>
      <c r="BG787" s="1">
        <v>0.03282</v>
      </c>
      <c r="BH787" s="1">
        <v>0.011914</v>
      </c>
      <c r="BI787" s="1">
        <v>0.098716</v>
      </c>
      <c r="BJ787" s="1">
        <v>0.047659</v>
      </c>
      <c r="BK787" s="1">
        <v>0.033738</v>
      </c>
      <c r="BL787" s="1">
        <v>0.047776</v>
      </c>
      <c r="BM787" s="1">
        <v>0.61</v>
      </c>
      <c r="BN787" s="1">
        <v>0.3</v>
      </c>
      <c r="BO787" s="1">
        <v>0.5603</v>
      </c>
      <c r="BP787" s="1">
        <v>0.56</v>
      </c>
      <c r="BQ787" s="1">
        <v>2.0303</v>
      </c>
      <c r="BR787" s="1">
        <v>0.509</v>
      </c>
      <c r="BS787" s="1">
        <v>0.366</v>
      </c>
      <c r="BT787" s="1">
        <v>0.787</v>
      </c>
      <c r="BU787" s="1">
        <v>0.716</v>
      </c>
      <c r="BV787" s="1">
        <v>1.869</v>
      </c>
      <c r="BW787" s="1">
        <v>0.78</v>
      </c>
      <c r="BX787" s="1">
        <v>0.666</v>
      </c>
      <c r="BY787" s="1">
        <v>0.56</v>
      </c>
      <c r="BZ787" s="1">
        <v>1.226</v>
      </c>
      <c r="CA787" s="1">
        <v>0.673</v>
      </c>
      <c r="CB787" s="1">
        <v>0.0</v>
      </c>
      <c r="CC787" s="1">
        <v>0.582</v>
      </c>
      <c r="CD787" s="1">
        <v>0.528</v>
      </c>
      <c r="CE787" s="1">
        <v>0.469</v>
      </c>
      <c r="CF787" s="1">
        <v>0.888</v>
      </c>
      <c r="CG787" s="1">
        <v>2.467</v>
      </c>
      <c r="CH787" s="1">
        <v>0.548</v>
      </c>
      <c r="CI787" s="1">
        <v>7.5923</v>
      </c>
      <c r="CJ787" s="1">
        <v>0.652</v>
      </c>
      <c r="CK787" s="1">
        <v>0.0</v>
      </c>
      <c r="CL787" s="1">
        <v>0.0</v>
      </c>
      <c r="CM787" s="1">
        <v>0.0</v>
      </c>
      <c r="CN787" s="1">
        <v>0.0</v>
      </c>
      <c r="CO787" s="1">
        <v>0.0</v>
      </c>
      <c r="CP787" s="1">
        <v>0.0</v>
      </c>
      <c r="CQ787" s="1">
        <v>0.0</v>
      </c>
      <c r="CR787" s="1">
        <v>0.0</v>
      </c>
      <c r="CS787" s="1">
        <v>0.0</v>
      </c>
      <c r="CT787" s="1">
        <v>0.0</v>
      </c>
      <c r="CU787" s="1">
        <v>0.0</v>
      </c>
      <c r="CV787" s="1">
        <v>0.0</v>
      </c>
      <c r="CW787" s="1">
        <v>0.0</v>
      </c>
      <c r="CX787" s="1">
        <v>0.0</v>
      </c>
      <c r="CY787" s="1">
        <v>0.0</v>
      </c>
      <c r="CZ787" s="1">
        <v>0.0</v>
      </c>
      <c r="DA787" s="1">
        <v>0.0</v>
      </c>
      <c r="DB787" s="1">
        <v>0.0</v>
      </c>
      <c r="DC787" s="1">
        <v>0.0</v>
      </c>
      <c r="DD787" s="1" t="s">
        <v>3682</v>
      </c>
      <c r="DE787" s="1">
        <v>0.00250819926027091</v>
      </c>
      <c r="DF787" s="1">
        <v>0.286652134548048</v>
      </c>
    </row>
    <row r="788" ht="15.75" customHeight="1">
      <c r="A788" s="1" t="s">
        <v>3683</v>
      </c>
      <c r="B788" s="1">
        <v>29.0</v>
      </c>
      <c r="C788" s="1">
        <v>145.0</v>
      </c>
      <c r="D788" s="2" t="s">
        <v>998</v>
      </c>
      <c r="E788" s="1">
        <v>167.236</v>
      </c>
      <c r="F788" s="1">
        <v>29145.0</v>
      </c>
      <c r="G788" s="1">
        <v>2.91450204E10</v>
      </c>
      <c r="H788" s="1" t="s">
        <v>112</v>
      </c>
      <c r="I788" s="1" t="s">
        <v>113</v>
      </c>
      <c r="J788" s="1" t="s">
        <v>3672</v>
      </c>
      <c r="K788" s="1" t="s">
        <v>3684</v>
      </c>
      <c r="L788" s="1">
        <v>7401.0</v>
      </c>
      <c r="M788" s="1">
        <v>6933.0</v>
      </c>
      <c r="N788" s="1">
        <v>456.0</v>
      </c>
      <c r="O788" s="1">
        <v>3001.0</v>
      </c>
      <c r="P788" s="1">
        <v>2947.0</v>
      </c>
      <c r="Q788" s="1">
        <v>138.0</v>
      </c>
      <c r="R788" s="1">
        <v>2745.0</v>
      </c>
      <c r="S788" s="1">
        <v>1008.0</v>
      </c>
      <c r="T788" s="1">
        <v>341.0</v>
      </c>
      <c r="U788" s="1">
        <v>284.0</v>
      </c>
      <c r="V788" s="1">
        <v>395.0</v>
      </c>
      <c r="W788" s="1">
        <v>20148.0</v>
      </c>
      <c r="X788" s="1">
        <v>1805.0</v>
      </c>
      <c r="Y788" s="1">
        <v>596.0</v>
      </c>
      <c r="Z788" s="1">
        <v>253.0</v>
      </c>
      <c r="AA788" s="1">
        <v>1020.0</v>
      </c>
      <c r="AB788" s="1">
        <v>1972.0</v>
      </c>
      <c r="AC788" s="1">
        <v>268.0</v>
      </c>
      <c r="AD788" s="1">
        <v>581.0</v>
      </c>
      <c r="AE788" s="1">
        <v>0.0</v>
      </c>
      <c r="AF788" s="1">
        <v>456.0</v>
      </c>
      <c r="AG788" s="1">
        <v>31.0</v>
      </c>
      <c r="AH788" s="1">
        <v>119.0</v>
      </c>
      <c r="AI788" s="1">
        <v>734.0</v>
      </c>
      <c r="AJ788" s="1">
        <v>136.0</v>
      </c>
      <c r="AK788" s="1">
        <v>62.0</v>
      </c>
      <c r="AL788" s="1">
        <v>125.0</v>
      </c>
      <c r="AM788" s="1">
        <v>110.0</v>
      </c>
      <c r="AN788" s="1">
        <v>70.0</v>
      </c>
      <c r="AO788" s="1">
        <v>0.0</v>
      </c>
      <c r="AP788" s="1">
        <v>0.145391</v>
      </c>
      <c r="AQ788" s="1">
        <v>0.048246</v>
      </c>
      <c r="AR788" s="1">
        <v>0.083308</v>
      </c>
      <c r="AS788" s="1">
        <v>0.115562</v>
      </c>
      <c r="AT788" s="1">
        <v>20148.0</v>
      </c>
      <c r="AU788" s="1">
        <v>1805.0</v>
      </c>
      <c r="AV788" s="1">
        <v>0.126485</v>
      </c>
      <c r="AW788" s="1">
        <v>0.053035</v>
      </c>
      <c r="AX788" s="1">
        <v>0.137819</v>
      </c>
      <c r="AY788" s="1">
        <v>0.26645</v>
      </c>
      <c r="AZ788" s="1">
        <v>0.09763205</v>
      </c>
      <c r="BA788" s="1">
        <v>0.078502</v>
      </c>
      <c r="BB788" s="1">
        <v>0.0</v>
      </c>
      <c r="BC788" s="1">
        <v>0.069332</v>
      </c>
      <c r="BD788" s="1">
        <v>0.010519</v>
      </c>
      <c r="BE788" s="1">
        <v>0.040377</v>
      </c>
      <c r="BF788" s="1">
        <v>0.249066</v>
      </c>
      <c r="BG788" s="1">
        <v>0.04465</v>
      </c>
      <c r="BH788" s="1">
        <v>0.024199</v>
      </c>
      <c r="BI788" s="1">
        <v>0.048769</v>
      </c>
      <c r="BJ788" s="1">
        <v>0.042935</v>
      </c>
      <c r="BK788" s="1">
        <v>0.027208</v>
      </c>
      <c r="BL788" s="1">
        <v>0.0</v>
      </c>
      <c r="BM788" s="1">
        <v>0.566</v>
      </c>
      <c r="BN788" s="1">
        <v>0.641</v>
      </c>
      <c r="BO788" s="1">
        <v>0.6036</v>
      </c>
      <c r="BP788" s="1">
        <v>0.456</v>
      </c>
      <c r="BQ788" s="1">
        <v>2.2666</v>
      </c>
      <c r="BR788" s="1">
        <v>0.5892</v>
      </c>
      <c r="BS788" s="1">
        <v>0.479</v>
      </c>
      <c r="BT788" s="1">
        <v>0.765</v>
      </c>
      <c r="BU788" s="1">
        <v>0.471</v>
      </c>
      <c r="BV788" s="1">
        <v>1.715</v>
      </c>
      <c r="BW788" s="1">
        <v>0.651</v>
      </c>
      <c r="BX788" s="1">
        <v>0.394</v>
      </c>
      <c r="BY788" s="1">
        <v>0.0</v>
      </c>
      <c r="BZ788" s="1">
        <v>0.394</v>
      </c>
      <c r="CA788" s="1">
        <v>0.16</v>
      </c>
      <c r="CB788" s="1">
        <v>0.388</v>
      </c>
      <c r="CC788" s="1">
        <v>0.949</v>
      </c>
      <c r="CD788" s="1">
        <v>0.746</v>
      </c>
      <c r="CE788" s="1">
        <v>0.42</v>
      </c>
      <c r="CF788" s="1">
        <v>0.0</v>
      </c>
      <c r="CG788" s="1">
        <v>2.503</v>
      </c>
      <c r="CH788" s="1">
        <v>0.563</v>
      </c>
      <c r="CI788" s="1">
        <v>6.8786</v>
      </c>
      <c r="CJ788" s="1">
        <v>0.5256</v>
      </c>
      <c r="CK788" s="1">
        <v>0.0</v>
      </c>
      <c r="CL788" s="1">
        <v>0.0</v>
      </c>
      <c r="CM788" s="1">
        <v>0.0</v>
      </c>
      <c r="CN788" s="1">
        <v>0.0</v>
      </c>
      <c r="CO788" s="1">
        <v>0.0</v>
      </c>
      <c r="CP788" s="1">
        <v>0.0</v>
      </c>
      <c r="CQ788" s="1">
        <v>0.0</v>
      </c>
      <c r="CR788" s="1">
        <v>0.0</v>
      </c>
      <c r="CS788" s="1">
        <v>0.0</v>
      </c>
      <c r="CT788" s="1">
        <v>0.0</v>
      </c>
      <c r="CU788" s="1">
        <v>0.0</v>
      </c>
      <c r="CV788" s="1">
        <v>0.0</v>
      </c>
      <c r="CW788" s="1">
        <v>0.0</v>
      </c>
      <c r="CX788" s="1">
        <v>1.0</v>
      </c>
      <c r="CY788" s="1">
        <v>0.0</v>
      </c>
      <c r="CZ788" s="1">
        <v>0.0</v>
      </c>
      <c r="DA788" s="1">
        <v>0.0</v>
      </c>
      <c r="DB788" s="1">
        <v>1.0</v>
      </c>
      <c r="DC788" s="1">
        <v>1.0</v>
      </c>
      <c r="DD788" s="1" t="s">
        <v>3685</v>
      </c>
      <c r="DE788" s="1">
        <v>0.0439852771175129</v>
      </c>
      <c r="DF788" s="2" t="s">
        <v>3686</v>
      </c>
    </row>
    <row r="789" ht="15.75" customHeight="1">
      <c r="A789" s="1" t="s">
        <v>3687</v>
      </c>
      <c r="B789" s="1">
        <v>29.0</v>
      </c>
      <c r="C789" s="1">
        <v>145.0</v>
      </c>
      <c r="D789" s="2" t="s">
        <v>3688</v>
      </c>
      <c r="E789" s="1">
        <v>8.085</v>
      </c>
      <c r="F789" s="1">
        <v>29145.0</v>
      </c>
      <c r="G789" s="1">
        <v>2.9145020501E10</v>
      </c>
      <c r="H789" s="1" t="s">
        <v>112</v>
      </c>
      <c r="I789" s="1" t="s">
        <v>113</v>
      </c>
      <c r="J789" s="1" t="s">
        <v>3672</v>
      </c>
      <c r="K789" s="1" t="s">
        <v>3689</v>
      </c>
      <c r="L789" s="1">
        <v>4005.0</v>
      </c>
      <c r="M789" s="1">
        <v>3889.0</v>
      </c>
      <c r="N789" s="1">
        <v>442.0</v>
      </c>
      <c r="O789" s="1">
        <v>1700.0</v>
      </c>
      <c r="P789" s="1">
        <v>1666.0</v>
      </c>
      <c r="Q789" s="1">
        <v>107.0</v>
      </c>
      <c r="R789" s="1">
        <v>1581.0</v>
      </c>
      <c r="S789" s="1">
        <v>363.0</v>
      </c>
      <c r="T789" s="1">
        <v>159.0</v>
      </c>
      <c r="U789" s="1">
        <v>66.0</v>
      </c>
      <c r="V789" s="1">
        <v>430.0</v>
      </c>
      <c r="W789" s="1">
        <v>30522.0</v>
      </c>
      <c r="X789" s="1">
        <v>3458.0</v>
      </c>
      <c r="Y789" s="1">
        <v>284.0</v>
      </c>
      <c r="Z789" s="1">
        <v>246.0</v>
      </c>
      <c r="AA789" s="1">
        <v>808.0</v>
      </c>
      <c r="AB789" s="1">
        <v>865.0</v>
      </c>
      <c r="AC789" s="1">
        <v>121.0</v>
      </c>
      <c r="AD789" s="1">
        <v>415.0</v>
      </c>
      <c r="AE789" s="1">
        <v>6.0</v>
      </c>
      <c r="AF789" s="1">
        <v>442.0</v>
      </c>
      <c r="AG789" s="1">
        <v>92.0</v>
      </c>
      <c r="AH789" s="1">
        <v>129.0</v>
      </c>
      <c r="AI789" s="1">
        <v>169.0</v>
      </c>
      <c r="AJ789" s="1">
        <v>90.0</v>
      </c>
      <c r="AK789" s="1">
        <v>12.0</v>
      </c>
      <c r="AL789" s="1">
        <v>115.0</v>
      </c>
      <c r="AM789" s="1">
        <v>67.0</v>
      </c>
      <c r="AN789" s="1">
        <v>45.0</v>
      </c>
      <c r="AO789" s="1">
        <v>110.0</v>
      </c>
      <c r="AP789" s="1">
        <v>0.093412</v>
      </c>
      <c r="AQ789" s="1">
        <v>0.039525</v>
      </c>
      <c r="AR789" s="1">
        <v>0.033316</v>
      </c>
      <c r="AS789" s="1">
        <v>0.217033</v>
      </c>
      <c r="AT789" s="1">
        <v>30522.0</v>
      </c>
      <c r="AU789" s="1">
        <v>3458.0</v>
      </c>
      <c r="AV789" s="1">
        <v>0.103385</v>
      </c>
      <c r="AW789" s="1">
        <v>0.089289</v>
      </c>
      <c r="AX789" s="1">
        <v>0.201747</v>
      </c>
      <c r="AY789" s="1">
        <v>0.21598</v>
      </c>
      <c r="AZ789" s="1">
        <v>0.07653383</v>
      </c>
      <c r="BA789" s="1">
        <v>0.10362</v>
      </c>
      <c r="BB789" s="1">
        <v>0.001645</v>
      </c>
      <c r="BC789" s="1">
        <v>0.121195</v>
      </c>
      <c r="BD789" s="1">
        <v>0.055222</v>
      </c>
      <c r="BE789" s="1">
        <v>0.077349</v>
      </c>
      <c r="BF789" s="1">
        <v>0.10144</v>
      </c>
      <c r="BG789" s="1">
        <v>0.053627</v>
      </c>
      <c r="BH789" s="1">
        <v>0.007416</v>
      </c>
      <c r="BI789" s="1">
        <v>0.071073</v>
      </c>
      <c r="BJ789" s="1">
        <v>0.041409</v>
      </c>
      <c r="BK789" s="1">
        <v>0.027666</v>
      </c>
      <c r="BL789" s="1">
        <v>0.027465</v>
      </c>
      <c r="BM789" s="1">
        <v>0.351</v>
      </c>
      <c r="BN789" s="1">
        <v>0.113</v>
      </c>
      <c r="BO789" s="1">
        <v>0.1863</v>
      </c>
      <c r="BP789" s="1">
        <v>0.352</v>
      </c>
      <c r="BQ789" s="1">
        <v>1.0023</v>
      </c>
      <c r="BR789" s="1">
        <v>0.2043</v>
      </c>
      <c r="BS789" s="1">
        <v>0.879</v>
      </c>
      <c r="BT789" s="1">
        <v>0.276</v>
      </c>
      <c r="BU789" s="1">
        <v>0.269</v>
      </c>
      <c r="BV789" s="1">
        <v>1.424</v>
      </c>
      <c r="BW789" s="1">
        <v>0.411</v>
      </c>
      <c r="BX789" s="1">
        <v>0.484</v>
      </c>
      <c r="BY789" s="1">
        <v>0.363</v>
      </c>
      <c r="BZ789" s="1">
        <v>0.847</v>
      </c>
      <c r="CA789" s="1">
        <v>0.428</v>
      </c>
      <c r="CB789" s="1">
        <v>0.669</v>
      </c>
      <c r="CC789" s="1">
        <v>0.72</v>
      </c>
      <c r="CD789" s="1">
        <v>0.409</v>
      </c>
      <c r="CE789" s="1">
        <v>0.405</v>
      </c>
      <c r="CF789" s="1">
        <v>0.791</v>
      </c>
      <c r="CG789" s="1">
        <v>2.994</v>
      </c>
      <c r="CH789" s="1">
        <v>0.773</v>
      </c>
      <c r="CI789" s="1">
        <v>6.2673</v>
      </c>
      <c r="CJ789" s="1">
        <v>0.4202</v>
      </c>
      <c r="CK789" s="1">
        <v>0.0</v>
      </c>
      <c r="CL789" s="1">
        <v>0.0</v>
      </c>
      <c r="CM789" s="1">
        <v>0.0</v>
      </c>
      <c r="CN789" s="1">
        <v>0.0</v>
      </c>
      <c r="CO789" s="1">
        <v>0.0</v>
      </c>
      <c r="CP789" s="1">
        <v>0.0</v>
      </c>
      <c r="CQ789" s="1">
        <v>0.0</v>
      </c>
      <c r="CR789" s="1">
        <v>0.0</v>
      </c>
      <c r="CS789" s="1">
        <v>0.0</v>
      </c>
      <c r="CT789" s="1">
        <v>0.0</v>
      </c>
      <c r="CU789" s="1">
        <v>0.0</v>
      </c>
      <c r="CV789" s="1">
        <v>0.0</v>
      </c>
      <c r="CW789" s="1">
        <v>0.0</v>
      </c>
      <c r="CX789" s="1">
        <v>0.0</v>
      </c>
      <c r="CY789" s="1">
        <v>0.0</v>
      </c>
      <c r="CZ789" s="1">
        <v>0.0</v>
      </c>
      <c r="DA789" s="1">
        <v>0.0</v>
      </c>
      <c r="DB789" s="1">
        <v>0.0</v>
      </c>
      <c r="DC789" s="1">
        <v>0.0</v>
      </c>
      <c r="DD789" s="1" t="s">
        <v>3690</v>
      </c>
      <c r="DE789" s="1">
        <v>0.00212962970257998</v>
      </c>
      <c r="DF789" s="2" t="s">
        <v>3691</v>
      </c>
    </row>
    <row r="790" ht="15.75" customHeight="1">
      <c r="A790" s="1" t="s">
        <v>3692</v>
      </c>
      <c r="B790" s="1">
        <v>29.0</v>
      </c>
      <c r="C790" s="1">
        <v>145.0</v>
      </c>
      <c r="D790" s="2" t="s">
        <v>3693</v>
      </c>
      <c r="E790" s="1">
        <v>12.91</v>
      </c>
      <c r="F790" s="1">
        <v>29145.0</v>
      </c>
      <c r="G790" s="1">
        <v>2.9145020502E10</v>
      </c>
      <c r="H790" s="1" t="s">
        <v>112</v>
      </c>
      <c r="I790" s="1" t="s">
        <v>113</v>
      </c>
      <c r="J790" s="1" t="s">
        <v>3672</v>
      </c>
      <c r="K790" s="1" t="s">
        <v>3694</v>
      </c>
      <c r="L790" s="1">
        <v>5638.0</v>
      </c>
      <c r="M790" s="1">
        <v>6266.0</v>
      </c>
      <c r="N790" s="1">
        <v>412.0</v>
      </c>
      <c r="O790" s="1">
        <v>2541.0</v>
      </c>
      <c r="P790" s="1">
        <v>2651.0</v>
      </c>
      <c r="Q790" s="1">
        <v>172.0</v>
      </c>
      <c r="R790" s="1">
        <v>2314.0</v>
      </c>
      <c r="S790" s="1">
        <v>532.0</v>
      </c>
      <c r="T790" s="1">
        <v>254.0</v>
      </c>
      <c r="U790" s="1">
        <v>315.0</v>
      </c>
      <c r="V790" s="1">
        <v>353.0</v>
      </c>
      <c r="W790" s="1">
        <v>26800.0</v>
      </c>
      <c r="X790" s="1">
        <v>4623.0</v>
      </c>
      <c r="Y790" s="1">
        <v>475.0</v>
      </c>
      <c r="Z790" s="1">
        <v>245.0</v>
      </c>
      <c r="AA790" s="1">
        <v>1033.0</v>
      </c>
      <c r="AB790" s="1">
        <v>1202.0</v>
      </c>
      <c r="AC790" s="1">
        <v>222.0</v>
      </c>
      <c r="AD790" s="1">
        <v>594.0</v>
      </c>
      <c r="AE790" s="1">
        <v>3.0</v>
      </c>
      <c r="AF790" s="1">
        <v>442.0</v>
      </c>
      <c r="AG790" s="1">
        <v>0.0</v>
      </c>
      <c r="AH790" s="1">
        <v>197.0</v>
      </c>
      <c r="AI790" s="1">
        <v>223.0</v>
      </c>
      <c r="AJ790" s="1">
        <v>75.0</v>
      </c>
      <c r="AK790" s="1">
        <v>58.0</v>
      </c>
      <c r="AL790" s="1">
        <v>123.0</v>
      </c>
      <c r="AM790" s="1">
        <v>70.0</v>
      </c>
      <c r="AN790" s="1">
        <v>59.0</v>
      </c>
      <c r="AO790" s="1">
        <v>140.0</v>
      </c>
      <c r="AP790" s="1">
        <v>0.088948</v>
      </c>
      <c r="AQ790" s="1">
        <v>0.042016</v>
      </c>
      <c r="AR790" s="1">
        <v>0.097162</v>
      </c>
      <c r="AS790" s="1">
        <v>0.108391</v>
      </c>
      <c r="AT790" s="1">
        <v>26800.0</v>
      </c>
      <c r="AU790" s="1">
        <v>4623.0</v>
      </c>
      <c r="AV790" s="1">
        <v>0.10732</v>
      </c>
      <c r="AW790" s="1">
        <v>0.054969</v>
      </c>
      <c r="AX790" s="1">
        <v>0.183221</v>
      </c>
      <c r="AY790" s="1">
        <v>0.213196</v>
      </c>
      <c r="AZ790" s="1">
        <v>0.09593777</v>
      </c>
      <c r="BA790" s="1">
        <v>0.105356</v>
      </c>
      <c r="BB790" s="1">
        <v>5.07E-4</v>
      </c>
      <c r="BC790" s="1">
        <v>0.0747</v>
      </c>
      <c r="BD790" s="1">
        <v>0.0</v>
      </c>
      <c r="BE790" s="1">
        <v>0.074311</v>
      </c>
      <c r="BF790" s="1">
        <v>0.084119</v>
      </c>
      <c r="BG790" s="1">
        <v>0.027759</v>
      </c>
      <c r="BH790" s="1">
        <v>0.023848</v>
      </c>
      <c r="BI790" s="1">
        <v>0.050548</v>
      </c>
      <c r="BJ790" s="1">
        <v>0.028782</v>
      </c>
      <c r="BK790" s="1">
        <v>0.024177</v>
      </c>
      <c r="BL790" s="1">
        <v>0.024831</v>
      </c>
      <c r="BM790" s="1">
        <v>0.333</v>
      </c>
      <c r="BN790" s="1">
        <v>0.715</v>
      </c>
      <c r="BO790" s="1">
        <v>0.2903</v>
      </c>
      <c r="BP790" s="1">
        <v>0.369</v>
      </c>
      <c r="BQ790" s="1">
        <v>1.7073</v>
      </c>
      <c r="BR790" s="1">
        <v>0.4043</v>
      </c>
      <c r="BS790" s="1">
        <v>0.81</v>
      </c>
      <c r="BT790" s="1">
        <v>0.25</v>
      </c>
      <c r="BU790" s="1">
        <v>0.455</v>
      </c>
      <c r="BV790" s="1">
        <v>1.515</v>
      </c>
      <c r="BW790" s="1">
        <v>0.496</v>
      </c>
      <c r="BX790" s="1">
        <v>0.489</v>
      </c>
      <c r="BY790" s="1">
        <v>0.319</v>
      </c>
      <c r="BZ790" s="1">
        <v>0.808</v>
      </c>
      <c r="CA790" s="1">
        <v>0.405</v>
      </c>
      <c r="CB790" s="1">
        <v>0.0</v>
      </c>
      <c r="CC790" s="1">
        <v>0.682</v>
      </c>
      <c r="CD790" s="1">
        <v>0.741</v>
      </c>
      <c r="CE790" s="1">
        <v>0.275</v>
      </c>
      <c r="CF790" s="1">
        <v>0.769</v>
      </c>
      <c r="CG790" s="1">
        <v>2.467</v>
      </c>
      <c r="CH790" s="1">
        <v>0.548</v>
      </c>
      <c r="CI790" s="1">
        <v>6.4973</v>
      </c>
      <c r="CJ790" s="1">
        <v>0.4585</v>
      </c>
      <c r="CK790" s="1">
        <v>0.0</v>
      </c>
      <c r="CL790" s="1">
        <v>0.0</v>
      </c>
      <c r="CM790" s="1">
        <v>0.0</v>
      </c>
      <c r="CN790" s="1">
        <v>0.0</v>
      </c>
      <c r="CO790" s="1">
        <v>0.0</v>
      </c>
      <c r="CP790" s="1">
        <v>0.0</v>
      </c>
      <c r="CQ790" s="1">
        <v>0.0</v>
      </c>
      <c r="CR790" s="1">
        <v>0.0</v>
      </c>
      <c r="CS790" s="1">
        <v>0.0</v>
      </c>
      <c r="CT790" s="1">
        <v>0.0</v>
      </c>
      <c r="CU790" s="1">
        <v>0.0</v>
      </c>
      <c r="CV790" s="1">
        <v>0.0</v>
      </c>
      <c r="CW790" s="1">
        <v>0.0</v>
      </c>
      <c r="CX790" s="1">
        <v>0.0</v>
      </c>
      <c r="CY790" s="1">
        <v>0.0</v>
      </c>
      <c r="CZ790" s="1">
        <v>0.0</v>
      </c>
      <c r="DA790" s="1">
        <v>0.0</v>
      </c>
      <c r="DB790" s="1">
        <v>0.0</v>
      </c>
      <c r="DC790" s="1">
        <v>0.0</v>
      </c>
      <c r="DD790" s="1" t="s">
        <v>3695</v>
      </c>
      <c r="DE790" s="1">
        <v>0.00344369516153951</v>
      </c>
      <c r="DF790" s="2" t="s">
        <v>3696</v>
      </c>
    </row>
    <row r="791" ht="15.75" customHeight="1">
      <c r="A791" s="1" t="s">
        <v>3697</v>
      </c>
      <c r="B791" s="1">
        <v>29.0</v>
      </c>
      <c r="C791" s="1">
        <v>145.0</v>
      </c>
      <c r="D791" s="2" t="s">
        <v>3698</v>
      </c>
      <c r="E791" s="1">
        <v>43.748</v>
      </c>
      <c r="F791" s="1">
        <v>29145.0</v>
      </c>
      <c r="G791" s="1">
        <v>2.9145020601E10</v>
      </c>
      <c r="H791" s="1" t="s">
        <v>112</v>
      </c>
      <c r="I791" s="1" t="s">
        <v>113</v>
      </c>
      <c r="J791" s="1" t="s">
        <v>3672</v>
      </c>
      <c r="K791" s="1" t="s">
        <v>3699</v>
      </c>
      <c r="L791" s="1">
        <v>5012.0</v>
      </c>
      <c r="M791" s="1">
        <v>5037.0</v>
      </c>
      <c r="N791" s="1">
        <v>590.0</v>
      </c>
      <c r="O791" s="1">
        <v>2065.0</v>
      </c>
      <c r="P791" s="1">
        <v>2025.0</v>
      </c>
      <c r="Q791" s="1">
        <v>115.0</v>
      </c>
      <c r="R791" s="1">
        <v>1903.0</v>
      </c>
      <c r="S791" s="1">
        <v>429.0</v>
      </c>
      <c r="T791" s="1">
        <v>239.0</v>
      </c>
      <c r="U791" s="1">
        <v>237.0</v>
      </c>
      <c r="V791" s="1">
        <v>382.0</v>
      </c>
      <c r="W791" s="1">
        <v>27690.0</v>
      </c>
      <c r="X791" s="1">
        <v>3653.0</v>
      </c>
      <c r="Y791" s="1">
        <v>325.0</v>
      </c>
      <c r="Z791" s="1">
        <v>252.0</v>
      </c>
      <c r="AA791" s="1">
        <v>757.0</v>
      </c>
      <c r="AB791" s="1">
        <v>1184.0</v>
      </c>
      <c r="AC791" s="1">
        <v>142.0</v>
      </c>
      <c r="AD791" s="1">
        <v>505.0</v>
      </c>
      <c r="AE791" s="1">
        <v>39.0</v>
      </c>
      <c r="AF791" s="1">
        <v>428.0</v>
      </c>
      <c r="AG791" s="1">
        <v>0.0</v>
      </c>
      <c r="AH791" s="1">
        <v>197.0</v>
      </c>
      <c r="AI791" s="1">
        <v>526.0</v>
      </c>
      <c r="AJ791" s="1">
        <v>166.0</v>
      </c>
      <c r="AK791" s="1">
        <v>104.0</v>
      </c>
      <c r="AL791" s="1">
        <v>144.0</v>
      </c>
      <c r="AM791" s="1">
        <v>18.0</v>
      </c>
      <c r="AN791" s="1">
        <v>20.0</v>
      </c>
      <c r="AO791" s="1">
        <v>46.0</v>
      </c>
      <c r="AP791" s="1">
        <v>0.085169</v>
      </c>
      <c r="AQ791" s="1">
        <v>0.046388</v>
      </c>
      <c r="AR791" s="1">
        <v>0.097571</v>
      </c>
      <c r="AS791" s="1">
        <v>0.156699</v>
      </c>
      <c r="AT791" s="1">
        <v>27690.0</v>
      </c>
      <c r="AU791" s="1">
        <v>3653.0</v>
      </c>
      <c r="AV791" s="1">
        <v>0.093632</v>
      </c>
      <c r="AW791" s="1">
        <v>0.072033</v>
      </c>
      <c r="AX791" s="1">
        <v>0.151037</v>
      </c>
      <c r="AY791" s="1">
        <v>0.236233</v>
      </c>
      <c r="AZ791" s="1">
        <v>0.07461902</v>
      </c>
      <c r="BA791" s="1">
        <v>0.100758</v>
      </c>
      <c r="BB791" s="1">
        <v>0.008031</v>
      </c>
      <c r="BC791" s="1">
        <v>0.088133</v>
      </c>
      <c r="BD791" s="1">
        <v>0.0</v>
      </c>
      <c r="BE791" s="1">
        <v>0.097283</v>
      </c>
      <c r="BF791" s="1">
        <v>0.259753</v>
      </c>
      <c r="BG791" s="1">
        <v>0.080637</v>
      </c>
      <c r="BH791" s="1">
        <v>0.056368</v>
      </c>
      <c r="BI791" s="1">
        <v>0.077921</v>
      </c>
      <c r="BJ791" s="1">
        <v>0.009756</v>
      </c>
      <c r="BK791" s="1">
        <v>0.010812</v>
      </c>
      <c r="BL791" s="1">
        <v>0.009177</v>
      </c>
      <c r="BM791" s="1">
        <v>0.315</v>
      </c>
      <c r="BN791" s="1">
        <v>0.718</v>
      </c>
      <c r="BO791" s="1">
        <v>0.2621</v>
      </c>
      <c r="BP791" s="1">
        <v>0.31</v>
      </c>
      <c r="BQ791" s="1">
        <v>1.6051</v>
      </c>
      <c r="BR791" s="1">
        <v>0.3747</v>
      </c>
      <c r="BS791" s="1">
        <v>0.589</v>
      </c>
      <c r="BT791" s="1">
        <v>0.453</v>
      </c>
      <c r="BU791" s="1">
        <v>0.256</v>
      </c>
      <c r="BV791" s="1">
        <v>1.298</v>
      </c>
      <c r="BW791" s="1">
        <v>0.302</v>
      </c>
      <c r="BX791" s="1">
        <v>0.471</v>
      </c>
      <c r="BY791" s="1">
        <v>0.669</v>
      </c>
      <c r="BZ791" s="1">
        <v>1.14</v>
      </c>
      <c r="CA791" s="1">
        <v>0.628</v>
      </c>
      <c r="CB791" s="1">
        <v>0.0</v>
      </c>
      <c r="CC791" s="1">
        <v>0.962</v>
      </c>
      <c r="CD791" s="1">
        <v>0.956</v>
      </c>
      <c r="CE791" s="1">
        <v>0.084</v>
      </c>
      <c r="CF791" s="1">
        <v>0.561</v>
      </c>
      <c r="CG791" s="1">
        <v>2.563</v>
      </c>
      <c r="CH791" s="1">
        <v>0.587</v>
      </c>
      <c r="CI791" s="1">
        <v>6.6061</v>
      </c>
      <c r="CJ791" s="1">
        <v>0.478</v>
      </c>
      <c r="CK791" s="1">
        <v>0.0</v>
      </c>
      <c r="CL791" s="1">
        <v>0.0</v>
      </c>
      <c r="CM791" s="1">
        <v>0.0</v>
      </c>
      <c r="CN791" s="1">
        <v>0.0</v>
      </c>
      <c r="CO791" s="1">
        <v>0.0</v>
      </c>
      <c r="CP791" s="1">
        <v>0.0</v>
      </c>
      <c r="CQ791" s="1">
        <v>0.0</v>
      </c>
      <c r="CR791" s="1">
        <v>0.0</v>
      </c>
      <c r="CS791" s="1">
        <v>0.0</v>
      </c>
      <c r="CT791" s="1">
        <v>0.0</v>
      </c>
      <c r="CU791" s="1">
        <v>0.0</v>
      </c>
      <c r="CV791" s="1">
        <v>0.0</v>
      </c>
      <c r="CW791" s="1">
        <v>0.0</v>
      </c>
      <c r="CX791" s="1">
        <v>1.0</v>
      </c>
      <c r="CY791" s="1">
        <v>1.0</v>
      </c>
      <c r="CZ791" s="1">
        <v>0.0</v>
      </c>
      <c r="DA791" s="1">
        <v>0.0</v>
      </c>
      <c r="DB791" s="1">
        <v>2.0</v>
      </c>
      <c r="DC791" s="1">
        <v>2.0</v>
      </c>
      <c r="DD791" s="1" t="s">
        <v>3700</v>
      </c>
      <c r="DE791" s="2" t="s">
        <v>3701</v>
      </c>
      <c r="DF791" s="2" t="s">
        <v>3702</v>
      </c>
    </row>
    <row r="792" ht="15.75" customHeight="1">
      <c r="A792" s="1" t="s">
        <v>3703</v>
      </c>
      <c r="B792" s="1">
        <v>29.0</v>
      </c>
      <c r="C792" s="1">
        <v>145.0</v>
      </c>
      <c r="D792" s="2" t="s">
        <v>1077</v>
      </c>
      <c r="E792" s="1">
        <v>62.723</v>
      </c>
      <c r="F792" s="1">
        <v>29145.0</v>
      </c>
      <c r="G792" s="1">
        <v>2.9145020602E10</v>
      </c>
      <c r="H792" s="1" t="s">
        <v>112</v>
      </c>
      <c r="I792" s="1" t="s">
        <v>113</v>
      </c>
      <c r="J792" s="1" t="s">
        <v>3672</v>
      </c>
      <c r="K792" s="1" t="s">
        <v>3704</v>
      </c>
      <c r="L792" s="1">
        <v>5212.0</v>
      </c>
      <c r="M792" s="1">
        <v>5244.0</v>
      </c>
      <c r="N792" s="1">
        <v>524.0</v>
      </c>
      <c r="O792" s="1">
        <v>2179.0</v>
      </c>
      <c r="P792" s="1">
        <v>2110.0</v>
      </c>
      <c r="Q792" s="1">
        <v>116.0</v>
      </c>
      <c r="R792" s="1">
        <v>1979.0</v>
      </c>
      <c r="S792" s="1">
        <v>1110.0</v>
      </c>
      <c r="T792" s="1">
        <v>576.0</v>
      </c>
      <c r="U792" s="1">
        <v>171.0</v>
      </c>
      <c r="V792" s="1">
        <v>423.0</v>
      </c>
      <c r="W792" s="1">
        <v>20718.0</v>
      </c>
      <c r="X792" s="1">
        <v>2893.0</v>
      </c>
      <c r="Y792" s="1">
        <v>367.0</v>
      </c>
      <c r="Z792" s="1">
        <v>308.0</v>
      </c>
      <c r="AA792" s="1">
        <v>739.0</v>
      </c>
      <c r="AB792" s="1">
        <v>1276.0</v>
      </c>
      <c r="AC792" s="1">
        <v>187.0</v>
      </c>
      <c r="AD792" s="1">
        <v>505.0</v>
      </c>
      <c r="AE792" s="1">
        <v>12.0</v>
      </c>
      <c r="AF792" s="1">
        <v>442.0</v>
      </c>
      <c r="AG792" s="1">
        <v>33.0</v>
      </c>
      <c r="AH792" s="1">
        <v>169.0</v>
      </c>
      <c r="AI792" s="1">
        <v>578.0</v>
      </c>
      <c r="AJ792" s="1">
        <v>128.0</v>
      </c>
      <c r="AK792" s="1">
        <v>84.0</v>
      </c>
      <c r="AL792" s="1">
        <v>136.0</v>
      </c>
      <c r="AM792" s="1">
        <v>49.0</v>
      </c>
      <c r="AN792" s="1">
        <v>36.0</v>
      </c>
      <c r="AO792" s="1">
        <v>0.0</v>
      </c>
      <c r="AP792" s="1">
        <v>0.21167</v>
      </c>
      <c r="AQ792" s="1">
        <v>0.107784</v>
      </c>
      <c r="AR792" s="1">
        <v>0.071668</v>
      </c>
      <c r="AS792" s="1">
        <v>0.177051</v>
      </c>
      <c r="AT792" s="1">
        <v>20718.0</v>
      </c>
      <c r="AU792" s="1">
        <v>2893.0</v>
      </c>
      <c r="AV792" s="1">
        <v>0.108004</v>
      </c>
      <c r="AW792" s="1">
        <v>0.090363</v>
      </c>
      <c r="AX792" s="1">
        <v>0.141788</v>
      </c>
      <c r="AY792" s="1">
        <v>0.244819</v>
      </c>
      <c r="AZ792" s="1">
        <v>0.09449216</v>
      </c>
      <c r="BA792" s="1">
        <v>0.096891</v>
      </c>
      <c r="BB792" s="1">
        <v>0.002446</v>
      </c>
      <c r="BC792" s="1">
        <v>0.090111</v>
      </c>
      <c r="BD792" s="1">
        <v>0.015639</v>
      </c>
      <c r="BE792" s="1">
        <v>0.08009</v>
      </c>
      <c r="BF792" s="1">
        <v>0.273933</v>
      </c>
      <c r="BG792" s="1">
        <v>0.058764</v>
      </c>
      <c r="BH792" s="1">
        <v>0.043523</v>
      </c>
      <c r="BI792" s="1">
        <v>0.070401</v>
      </c>
      <c r="BJ792" s="1">
        <v>0.025388</v>
      </c>
      <c r="BK792" s="1">
        <v>0.018569</v>
      </c>
      <c r="BL792" s="1">
        <v>0.0</v>
      </c>
      <c r="BM792" s="1">
        <v>0.756</v>
      </c>
      <c r="BN792" s="1">
        <v>0.528</v>
      </c>
      <c r="BO792" s="1">
        <v>0.5711</v>
      </c>
      <c r="BP792" s="1">
        <v>0.373</v>
      </c>
      <c r="BQ792" s="1">
        <v>2.2281</v>
      </c>
      <c r="BR792" s="1">
        <v>0.5769</v>
      </c>
      <c r="BS792" s="1">
        <v>0.512</v>
      </c>
      <c r="BT792" s="1">
        <v>0.546</v>
      </c>
      <c r="BU792" s="1">
        <v>0.444</v>
      </c>
      <c r="BV792" s="1">
        <v>1.502</v>
      </c>
      <c r="BW792" s="1">
        <v>0.487</v>
      </c>
      <c r="BX792" s="1">
        <v>0.458</v>
      </c>
      <c r="BY792" s="1">
        <v>0.408</v>
      </c>
      <c r="BZ792" s="1">
        <v>0.866</v>
      </c>
      <c r="CA792" s="1">
        <v>0.444</v>
      </c>
      <c r="CB792" s="1">
        <v>0.43</v>
      </c>
      <c r="CC792" s="1">
        <v>0.971</v>
      </c>
      <c r="CD792" s="1">
        <v>0.907</v>
      </c>
      <c r="CE792" s="1">
        <v>0.244</v>
      </c>
      <c r="CF792" s="1">
        <v>0.0</v>
      </c>
      <c r="CG792" s="1">
        <v>2.552</v>
      </c>
      <c r="CH792" s="1">
        <v>0.584</v>
      </c>
      <c r="CI792" s="1">
        <v>7.1481</v>
      </c>
      <c r="CJ792" s="1">
        <v>0.5805</v>
      </c>
      <c r="CK792" s="1">
        <v>0.0</v>
      </c>
      <c r="CL792" s="1">
        <v>0.0</v>
      </c>
      <c r="CM792" s="1">
        <v>0.0</v>
      </c>
      <c r="CN792" s="1">
        <v>0.0</v>
      </c>
      <c r="CO792" s="1">
        <v>0.0</v>
      </c>
      <c r="CP792" s="1">
        <v>0.0</v>
      </c>
      <c r="CQ792" s="1">
        <v>0.0</v>
      </c>
      <c r="CR792" s="1">
        <v>0.0</v>
      </c>
      <c r="CS792" s="1">
        <v>0.0</v>
      </c>
      <c r="CT792" s="1">
        <v>0.0</v>
      </c>
      <c r="CU792" s="1">
        <v>0.0</v>
      </c>
      <c r="CV792" s="1">
        <v>0.0</v>
      </c>
      <c r="CW792" s="1">
        <v>0.0</v>
      </c>
      <c r="CX792" s="1">
        <v>1.0</v>
      </c>
      <c r="CY792" s="1">
        <v>1.0</v>
      </c>
      <c r="CZ792" s="1">
        <v>0.0</v>
      </c>
      <c r="DA792" s="1">
        <v>0.0</v>
      </c>
      <c r="DB792" s="1">
        <v>2.0</v>
      </c>
      <c r="DC792" s="1">
        <v>2.0</v>
      </c>
      <c r="DD792" s="1" t="s">
        <v>3705</v>
      </c>
      <c r="DE792" s="2" t="s">
        <v>3706</v>
      </c>
      <c r="DF792" s="2" t="s">
        <v>3707</v>
      </c>
    </row>
    <row r="793" ht="15.75" customHeight="1">
      <c r="A793" s="1" t="s">
        <v>3708</v>
      </c>
      <c r="B793" s="1">
        <v>29.0</v>
      </c>
      <c r="C793" s="1">
        <v>145.0</v>
      </c>
      <c r="D793" s="2" t="s">
        <v>1256</v>
      </c>
      <c r="E793" s="1">
        <v>47.957</v>
      </c>
      <c r="F793" s="1">
        <v>29145.0</v>
      </c>
      <c r="G793" s="1">
        <v>2.91450207E10</v>
      </c>
      <c r="H793" s="1" t="s">
        <v>112</v>
      </c>
      <c r="I793" s="1" t="s">
        <v>113</v>
      </c>
      <c r="J793" s="1" t="s">
        <v>3672</v>
      </c>
      <c r="K793" s="1" t="s">
        <v>3709</v>
      </c>
      <c r="L793" s="1">
        <v>4613.0</v>
      </c>
      <c r="M793" s="1">
        <v>3870.0</v>
      </c>
      <c r="N793" s="1">
        <v>283.0</v>
      </c>
      <c r="O793" s="1">
        <v>1905.0</v>
      </c>
      <c r="P793" s="1">
        <v>1736.0</v>
      </c>
      <c r="Q793" s="1">
        <v>100.0</v>
      </c>
      <c r="R793" s="1">
        <v>1721.0</v>
      </c>
      <c r="S793" s="1">
        <v>530.0</v>
      </c>
      <c r="T793" s="1">
        <v>260.0</v>
      </c>
      <c r="U793" s="1">
        <v>99.0</v>
      </c>
      <c r="V793" s="1">
        <v>430.0</v>
      </c>
      <c r="W793" s="1">
        <v>18752.0</v>
      </c>
      <c r="X793" s="1">
        <v>1826.0</v>
      </c>
      <c r="Y793" s="1">
        <v>535.0</v>
      </c>
      <c r="Z793" s="1">
        <v>263.0</v>
      </c>
      <c r="AA793" s="1">
        <v>736.0</v>
      </c>
      <c r="AB793" s="1">
        <v>1253.0</v>
      </c>
      <c r="AC793" s="1">
        <v>220.0</v>
      </c>
      <c r="AD793" s="1">
        <v>671.0</v>
      </c>
      <c r="AE793" s="1">
        <v>0.0</v>
      </c>
      <c r="AF793" s="1">
        <v>456.0</v>
      </c>
      <c r="AG793" s="1">
        <v>0.0</v>
      </c>
      <c r="AH793" s="1">
        <v>197.0</v>
      </c>
      <c r="AI793" s="1">
        <v>361.0</v>
      </c>
      <c r="AJ793" s="1">
        <v>100.0</v>
      </c>
      <c r="AK793" s="1">
        <v>9.0</v>
      </c>
      <c r="AL793" s="1">
        <v>115.0</v>
      </c>
      <c r="AM793" s="1">
        <v>71.0</v>
      </c>
      <c r="AN793" s="1">
        <v>48.0</v>
      </c>
      <c r="AO793" s="1">
        <v>57.0</v>
      </c>
      <c r="AP793" s="1">
        <v>0.137841</v>
      </c>
      <c r="AQ793" s="1">
        <v>0.066881</v>
      </c>
      <c r="AR793" s="1">
        <v>0.052464</v>
      </c>
      <c r="AS793" s="1">
        <v>0.227803</v>
      </c>
      <c r="AT793" s="1">
        <v>18752.0</v>
      </c>
      <c r="AU793" s="1">
        <v>1826.0</v>
      </c>
      <c r="AV793" s="1">
        <v>0.212892</v>
      </c>
      <c r="AW793" s="1">
        <v>0.10337</v>
      </c>
      <c r="AX793" s="1">
        <v>0.159549</v>
      </c>
      <c r="AY793" s="1">
        <v>0.271623</v>
      </c>
      <c r="AZ793" s="1">
        <v>0.12783265</v>
      </c>
      <c r="BA793" s="1">
        <v>0.145458</v>
      </c>
      <c r="BB793" s="1">
        <v>0.0</v>
      </c>
      <c r="BC793" s="1">
        <v>0.126106</v>
      </c>
      <c r="BD793" s="1">
        <v>0.0</v>
      </c>
      <c r="BE793" s="1">
        <v>0.113479</v>
      </c>
      <c r="BF793" s="1">
        <v>0.207949</v>
      </c>
      <c r="BG793" s="1">
        <v>0.056344</v>
      </c>
      <c r="BH793" s="1">
        <v>0.00616</v>
      </c>
      <c r="BI793" s="1">
        <v>0.078711</v>
      </c>
      <c r="BJ793" s="1">
        <v>0.048596</v>
      </c>
      <c r="BK793" s="1">
        <v>0.032622</v>
      </c>
      <c r="BL793" s="1">
        <v>0.012356</v>
      </c>
      <c r="BM793" s="1">
        <v>0.533</v>
      </c>
      <c r="BN793" s="1">
        <v>0.32</v>
      </c>
      <c r="BO793" s="1">
        <v>0.6859</v>
      </c>
      <c r="BP793" s="1">
        <v>0.788</v>
      </c>
      <c r="BQ793" s="1">
        <v>2.3269</v>
      </c>
      <c r="BR793" s="1">
        <v>0.6079</v>
      </c>
      <c r="BS793" s="1">
        <v>0.66</v>
      </c>
      <c r="BT793" s="1">
        <v>0.804</v>
      </c>
      <c r="BU793" s="1">
        <v>0.707</v>
      </c>
      <c r="BV793" s="1">
        <v>2.171</v>
      </c>
      <c r="BW793" s="1">
        <v>0.956</v>
      </c>
      <c r="BX793" s="1">
        <v>0.609</v>
      </c>
      <c r="BY793" s="1">
        <v>0.0</v>
      </c>
      <c r="BZ793" s="1">
        <v>0.609</v>
      </c>
      <c r="CA793" s="1">
        <v>0.276</v>
      </c>
      <c r="CB793" s="1">
        <v>0.0</v>
      </c>
      <c r="CC793" s="1">
        <v>0.909</v>
      </c>
      <c r="CD793" s="1">
        <v>0.362</v>
      </c>
      <c r="CE793" s="1">
        <v>0.476</v>
      </c>
      <c r="CF793" s="1">
        <v>0.61</v>
      </c>
      <c r="CG793" s="1">
        <v>2.357</v>
      </c>
      <c r="CH793" s="1">
        <v>0.489</v>
      </c>
      <c r="CI793" s="1">
        <v>7.4639</v>
      </c>
      <c r="CJ793" s="1">
        <v>0.6347</v>
      </c>
      <c r="CK793" s="1">
        <v>0.0</v>
      </c>
      <c r="CL793" s="1">
        <v>0.0</v>
      </c>
      <c r="CM793" s="1">
        <v>0.0</v>
      </c>
      <c r="CN793" s="1">
        <v>0.0</v>
      </c>
      <c r="CO793" s="1">
        <v>0.0</v>
      </c>
      <c r="CP793" s="1">
        <v>0.0</v>
      </c>
      <c r="CQ793" s="1">
        <v>0.0</v>
      </c>
      <c r="CR793" s="1">
        <v>0.0</v>
      </c>
      <c r="CS793" s="1">
        <v>0.0</v>
      </c>
      <c r="CT793" s="1">
        <v>0.0</v>
      </c>
      <c r="CU793" s="1">
        <v>0.0</v>
      </c>
      <c r="CV793" s="1">
        <v>0.0</v>
      </c>
      <c r="CW793" s="1">
        <v>0.0</v>
      </c>
      <c r="CX793" s="1">
        <v>1.0</v>
      </c>
      <c r="CY793" s="1">
        <v>0.0</v>
      </c>
      <c r="CZ793" s="1">
        <v>0.0</v>
      </c>
      <c r="DA793" s="1">
        <v>0.0</v>
      </c>
      <c r="DB793" s="1">
        <v>1.0</v>
      </c>
      <c r="DC793" s="1">
        <v>1.0</v>
      </c>
      <c r="DD793" s="1" t="s">
        <v>3710</v>
      </c>
      <c r="DE793" s="2" t="s">
        <v>3711</v>
      </c>
      <c r="DF793" s="2" t="s">
        <v>3712</v>
      </c>
    </row>
    <row r="794" ht="15.75" customHeight="1">
      <c r="A794" s="1" t="s">
        <v>3713</v>
      </c>
      <c r="B794" s="1">
        <v>29.0</v>
      </c>
      <c r="C794" s="1">
        <v>145.0</v>
      </c>
      <c r="D794" s="2" t="s">
        <v>3714</v>
      </c>
      <c r="E794" s="1">
        <v>82.41</v>
      </c>
      <c r="F794" s="1">
        <v>29145.0</v>
      </c>
      <c r="G794" s="1">
        <v>2.91450208E10</v>
      </c>
      <c r="H794" s="1" t="s">
        <v>112</v>
      </c>
      <c r="I794" s="1" t="s">
        <v>113</v>
      </c>
      <c r="J794" s="1" t="s">
        <v>3672</v>
      </c>
      <c r="K794" s="1" t="s">
        <v>3715</v>
      </c>
      <c r="L794" s="1">
        <v>6220.0</v>
      </c>
      <c r="M794" s="1">
        <v>5993.0</v>
      </c>
      <c r="N794" s="1">
        <v>470.0</v>
      </c>
      <c r="O794" s="1">
        <v>2468.0</v>
      </c>
      <c r="P794" s="1">
        <v>2322.0</v>
      </c>
      <c r="Q794" s="1">
        <v>134.0</v>
      </c>
      <c r="R794" s="1">
        <v>2247.0</v>
      </c>
      <c r="S794" s="1">
        <v>1147.0</v>
      </c>
      <c r="T794" s="1">
        <v>435.0</v>
      </c>
      <c r="U794" s="1">
        <v>185.0</v>
      </c>
      <c r="V794" s="1">
        <v>406.0</v>
      </c>
      <c r="W794" s="1">
        <v>16501.0</v>
      </c>
      <c r="X794" s="1">
        <v>2111.0</v>
      </c>
      <c r="Y794" s="1">
        <v>614.0</v>
      </c>
      <c r="Z794" s="1">
        <v>215.0</v>
      </c>
      <c r="AA794" s="1">
        <v>902.0</v>
      </c>
      <c r="AB794" s="1">
        <v>1605.0</v>
      </c>
      <c r="AC794" s="1">
        <v>243.0</v>
      </c>
      <c r="AD794" s="1">
        <v>874.0</v>
      </c>
      <c r="AE794" s="1">
        <v>67.0</v>
      </c>
      <c r="AF794" s="1">
        <v>432.0</v>
      </c>
      <c r="AG794" s="1">
        <v>54.0</v>
      </c>
      <c r="AH794" s="1">
        <v>39.0</v>
      </c>
      <c r="AI794" s="1">
        <v>625.0</v>
      </c>
      <c r="AJ794" s="1">
        <v>143.0</v>
      </c>
      <c r="AK794" s="1">
        <v>104.0</v>
      </c>
      <c r="AL794" s="1">
        <v>140.0</v>
      </c>
      <c r="AM794" s="1">
        <v>58.0</v>
      </c>
      <c r="AN794" s="1">
        <v>40.0</v>
      </c>
      <c r="AO794" s="1">
        <v>285.0</v>
      </c>
      <c r="AP794" s="1">
        <v>0.202078</v>
      </c>
      <c r="AQ794" s="1">
        <v>0.075491</v>
      </c>
      <c r="AR794" s="1">
        <v>0.066332</v>
      </c>
      <c r="AS794" s="1">
        <v>0.145371</v>
      </c>
      <c r="AT794" s="1">
        <v>16501.0</v>
      </c>
      <c r="AU794" s="1">
        <v>2111.0</v>
      </c>
      <c r="AV794" s="1">
        <v>0.165632</v>
      </c>
      <c r="AW794" s="1">
        <v>0.056174</v>
      </c>
      <c r="AX794" s="1">
        <v>0.145016</v>
      </c>
      <c r="AY794" s="1">
        <v>0.258038</v>
      </c>
      <c r="AZ794" s="1">
        <v>0.10814419</v>
      </c>
      <c r="BA794" s="1">
        <v>0.140514</v>
      </c>
      <c r="BB794" s="1">
        <v>0.012293</v>
      </c>
      <c r="BC794" s="1">
        <v>0.079259</v>
      </c>
      <c r="BD794" s="1">
        <v>0.023255</v>
      </c>
      <c r="BE794" s="1">
        <v>0.016742</v>
      </c>
      <c r="BF794" s="1">
        <v>0.269164</v>
      </c>
      <c r="BG794" s="1">
        <v>0.059593</v>
      </c>
      <c r="BH794" s="1">
        <v>0.048462</v>
      </c>
      <c r="BI794" s="1">
        <v>0.065146</v>
      </c>
      <c r="BJ794" s="1">
        <v>0.027027</v>
      </c>
      <c r="BK794" s="1">
        <v>0.018539</v>
      </c>
      <c r="BL794" s="1">
        <v>0.045819</v>
      </c>
      <c r="BM794" s="1">
        <v>0.737</v>
      </c>
      <c r="BN794" s="1">
        <v>0.481</v>
      </c>
      <c r="BO794" s="1">
        <v>0.8144</v>
      </c>
      <c r="BP794" s="1">
        <v>0.636</v>
      </c>
      <c r="BQ794" s="1">
        <v>2.6684</v>
      </c>
      <c r="BR794" s="1">
        <v>0.7112</v>
      </c>
      <c r="BS794" s="1">
        <v>0.539</v>
      </c>
      <c r="BT794" s="1">
        <v>0.686</v>
      </c>
      <c r="BU794" s="1">
        <v>0.568</v>
      </c>
      <c r="BV794" s="1">
        <v>1.793</v>
      </c>
      <c r="BW794" s="1">
        <v>0.713</v>
      </c>
      <c r="BX794" s="1">
        <v>0.594</v>
      </c>
      <c r="BY794" s="1">
        <v>0.776</v>
      </c>
      <c r="BZ794" s="1">
        <v>1.37</v>
      </c>
      <c r="CA794" s="1">
        <v>0.75</v>
      </c>
      <c r="CB794" s="1">
        <v>0.501</v>
      </c>
      <c r="CC794" s="1">
        <v>0.969</v>
      </c>
      <c r="CD794" s="1">
        <v>0.929</v>
      </c>
      <c r="CE794" s="1">
        <v>0.26</v>
      </c>
      <c r="CF794" s="1">
        <v>0.882</v>
      </c>
      <c r="CG794" s="1">
        <v>3.541</v>
      </c>
      <c r="CH794" s="1">
        <v>0.945</v>
      </c>
      <c r="CI794" s="1">
        <v>9.3724</v>
      </c>
      <c r="CJ794" s="1">
        <v>0.896</v>
      </c>
      <c r="CK794" s="1">
        <v>0.0</v>
      </c>
      <c r="CL794" s="1">
        <v>0.0</v>
      </c>
      <c r="CM794" s="1">
        <v>0.0</v>
      </c>
      <c r="CN794" s="1">
        <v>0.0</v>
      </c>
      <c r="CO794" s="1">
        <v>0.0</v>
      </c>
      <c r="CP794" s="1">
        <v>0.0</v>
      </c>
      <c r="CQ794" s="1">
        <v>0.0</v>
      </c>
      <c r="CR794" s="1">
        <v>0.0</v>
      </c>
      <c r="CS794" s="1">
        <v>0.0</v>
      </c>
      <c r="CT794" s="1">
        <v>0.0</v>
      </c>
      <c r="CU794" s="1">
        <v>0.0</v>
      </c>
      <c r="CV794" s="1">
        <v>0.0</v>
      </c>
      <c r="CW794" s="1">
        <v>0.0</v>
      </c>
      <c r="CX794" s="1">
        <v>1.0</v>
      </c>
      <c r="CY794" s="1">
        <v>1.0</v>
      </c>
      <c r="CZ794" s="1">
        <v>0.0</v>
      </c>
      <c r="DA794" s="1">
        <v>0.0</v>
      </c>
      <c r="DB794" s="1">
        <v>2.0</v>
      </c>
      <c r="DC794" s="1">
        <v>2.0</v>
      </c>
      <c r="DD794" s="1" t="s">
        <v>3716</v>
      </c>
      <c r="DE794" s="2" t="s">
        <v>3717</v>
      </c>
      <c r="DF794" s="2" t="s">
        <v>3718</v>
      </c>
    </row>
    <row r="795" ht="15.75" customHeight="1">
      <c r="A795" s="1" t="s">
        <v>3719</v>
      </c>
      <c r="B795" s="1">
        <v>29.0</v>
      </c>
      <c r="C795" s="1">
        <v>145.0</v>
      </c>
      <c r="D795" s="2" t="s">
        <v>3720</v>
      </c>
      <c r="E795" s="1">
        <v>55.01</v>
      </c>
      <c r="F795" s="1">
        <v>29145.0</v>
      </c>
      <c r="G795" s="1">
        <v>2.91450209E10</v>
      </c>
      <c r="H795" s="1" t="s">
        <v>112</v>
      </c>
      <c r="I795" s="1" t="s">
        <v>113</v>
      </c>
      <c r="J795" s="1" t="s">
        <v>3672</v>
      </c>
      <c r="K795" s="1" t="s">
        <v>3721</v>
      </c>
      <c r="L795" s="1">
        <v>4526.0</v>
      </c>
      <c r="M795" s="1">
        <v>4567.0</v>
      </c>
      <c r="N795" s="1">
        <v>392.0</v>
      </c>
      <c r="O795" s="1">
        <v>1878.0</v>
      </c>
      <c r="P795" s="1">
        <v>1865.0</v>
      </c>
      <c r="Q795" s="1">
        <v>105.0</v>
      </c>
      <c r="R795" s="1">
        <v>1683.0</v>
      </c>
      <c r="S795" s="1">
        <v>997.0</v>
      </c>
      <c r="T795" s="1">
        <v>385.0</v>
      </c>
      <c r="U795" s="1">
        <v>273.0</v>
      </c>
      <c r="V795" s="1">
        <v>379.0</v>
      </c>
      <c r="W795" s="1">
        <v>14533.0</v>
      </c>
      <c r="X795" s="1">
        <v>1422.0</v>
      </c>
      <c r="Y795" s="1">
        <v>442.0</v>
      </c>
      <c r="Z795" s="1">
        <v>256.0</v>
      </c>
      <c r="AA795" s="1">
        <v>653.0</v>
      </c>
      <c r="AB795" s="1">
        <v>1201.0</v>
      </c>
      <c r="AC795" s="1">
        <v>186.0</v>
      </c>
      <c r="AD795" s="1">
        <v>389.0</v>
      </c>
      <c r="AE795" s="1">
        <v>14.0</v>
      </c>
      <c r="AF795" s="1">
        <v>442.0</v>
      </c>
      <c r="AG795" s="1">
        <v>5.0</v>
      </c>
      <c r="AH795" s="1">
        <v>161.0</v>
      </c>
      <c r="AI795" s="1">
        <v>388.0</v>
      </c>
      <c r="AJ795" s="1">
        <v>116.0</v>
      </c>
      <c r="AK795" s="1">
        <v>98.0</v>
      </c>
      <c r="AL795" s="1">
        <v>126.0</v>
      </c>
      <c r="AM795" s="1">
        <v>71.0</v>
      </c>
      <c r="AN795" s="1">
        <v>38.0</v>
      </c>
      <c r="AO795" s="1">
        <v>69.0</v>
      </c>
      <c r="AP795" s="1">
        <v>0.224549</v>
      </c>
      <c r="AQ795" s="1">
        <v>0.084657</v>
      </c>
      <c r="AR795" s="1">
        <v>0.142931</v>
      </c>
      <c r="AS795" s="1">
        <v>0.197487</v>
      </c>
      <c r="AT795" s="1">
        <v>14533.0</v>
      </c>
      <c r="AU795" s="1">
        <v>1422.0</v>
      </c>
      <c r="AV795" s="1">
        <v>0.160202</v>
      </c>
      <c r="AW795" s="1">
        <v>0.091653</v>
      </c>
      <c r="AX795" s="1">
        <v>0.144277</v>
      </c>
      <c r="AY795" s="1">
        <v>0.265355</v>
      </c>
      <c r="AZ795" s="1">
        <v>0.11051693</v>
      </c>
      <c r="BA795" s="1">
        <v>0.085947</v>
      </c>
      <c r="BB795" s="1">
        <v>0.003287</v>
      </c>
      <c r="BC795" s="1">
        <v>0.103804</v>
      </c>
      <c r="BD795" s="1">
        <v>0.00268</v>
      </c>
      <c r="BE795" s="1">
        <v>0.086326</v>
      </c>
      <c r="BF795" s="1">
        <v>0.208042</v>
      </c>
      <c r="BG795" s="1">
        <v>0.061085</v>
      </c>
      <c r="BH795" s="1">
        <v>0.061946</v>
      </c>
      <c r="BI795" s="1">
        <v>0.079507</v>
      </c>
      <c r="BJ795" s="1">
        <v>0.044879</v>
      </c>
      <c r="BK795" s="1">
        <v>0.023777</v>
      </c>
      <c r="BL795" s="1">
        <v>0.015245</v>
      </c>
      <c r="BM795" s="1">
        <v>0.78</v>
      </c>
      <c r="BN795" s="1">
        <v>0.881</v>
      </c>
      <c r="BO795" s="1">
        <v>0.8917</v>
      </c>
      <c r="BP795" s="1">
        <v>0.612</v>
      </c>
      <c r="BQ795" s="1">
        <v>3.1647</v>
      </c>
      <c r="BR795" s="1">
        <v>0.8426</v>
      </c>
      <c r="BS795" s="1">
        <v>0.535</v>
      </c>
      <c r="BT795" s="1">
        <v>0.756</v>
      </c>
      <c r="BU795" s="1">
        <v>0.591</v>
      </c>
      <c r="BV795" s="1">
        <v>1.882</v>
      </c>
      <c r="BW795" s="1">
        <v>0.787</v>
      </c>
      <c r="BX795" s="1">
        <v>0.415</v>
      </c>
      <c r="BY795" s="1">
        <v>0.466</v>
      </c>
      <c r="BZ795" s="1">
        <v>0.881</v>
      </c>
      <c r="CA795" s="1">
        <v>0.453</v>
      </c>
      <c r="CB795" s="1">
        <v>0.282</v>
      </c>
      <c r="CC795" s="1">
        <v>0.91</v>
      </c>
      <c r="CD795" s="1">
        <v>0.966</v>
      </c>
      <c r="CE795" s="1">
        <v>0.441</v>
      </c>
      <c r="CF795" s="1">
        <v>0.65</v>
      </c>
      <c r="CG795" s="1">
        <v>3.249</v>
      </c>
      <c r="CH795" s="1">
        <v>0.858</v>
      </c>
      <c r="CI795" s="1">
        <v>9.1767</v>
      </c>
      <c r="CJ795" s="1">
        <v>0.8736</v>
      </c>
      <c r="CK795" s="1">
        <v>0.0</v>
      </c>
      <c r="CL795" s="1">
        <v>0.0</v>
      </c>
      <c r="CM795" s="1">
        <v>0.0</v>
      </c>
      <c r="CN795" s="1">
        <v>0.0</v>
      </c>
      <c r="CO795" s="1">
        <v>0.0</v>
      </c>
      <c r="CP795" s="1">
        <v>0.0</v>
      </c>
      <c r="CQ795" s="1">
        <v>0.0</v>
      </c>
      <c r="CR795" s="1">
        <v>0.0</v>
      </c>
      <c r="CS795" s="1">
        <v>0.0</v>
      </c>
      <c r="CT795" s="1">
        <v>0.0</v>
      </c>
      <c r="CU795" s="1">
        <v>0.0</v>
      </c>
      <c r="CV795" s="1">
        <v>0.0</v>
      </c>
      <c r="CW795" s="1">
        <v>0.0</v>
      </c>
      <c r="CX795" s="1">
        <v>1.0</v>
      </c>
      <c r="CY795" s="1">
        <v>1.0</v>
      </c>
      <c r="CZ795" s="1">
        <v>0.0</v>
      </c>
      <c r="DA795" s="1">
        <v>0.0</v>
      </c>
      <c r="DB795" s="1">
        <v>2.0</v>
      </c>
      <c r="DC795" s="1">
        <v>2.0</v>
      </c>
      <c r="DD795" s="1" t="s">
        <v>3722</v>
      </c>
      <c r="DE795" s="2" t="s">
        <v>3723</v>
      </c>
      <c r="DF795" s="2" t="s">
        <v>3724</v>
      </c>
    </row>
    <row r="796" ht="15.75" customHeight="1">
      <c r="A796" s="1" t="s">
        <v>3725</v>
      </c>
      <c r="B796" s="1">
        <v>29.0</v>
      </c>
      <c r="C796" s="1">
        <v>145.0</v>
      </c>
      <c r="D796" s="2" t="s">
        <v>3726</v>
      </c>
      <c r="E796" s="1">
        <v>126.935</v>
      </c>
      <c r="F796" s="1">
        <v>29145.0</v>
      </c>
      <c r="G796" s="1">
        <v>2.9145021E10</v>
      </c>
      <c r="H796" s="1" t="s">
        <v>112</v>
      </c>
      <c r="I796" s="1" t="s">
        <v>113</v>
      </c>
      <c r="J796" s="1" t="s">
        <v>3672</v>
      </c>
      <c r="K796" s="1" t="s">
        <v>3727</v>
      </c>
      <c r="L796" s="1">
        <v>3379.0</v>
      </c>
      <c r="M796" s="1">
        <v>3234.0</v>
      </c>
      <c r="N796" s="1">
        <v>287.0</v>
      </c>
      <c r="O796" s="1">
        <v>1428.0</v>
      </c>
      <c r="P796" s="1">
        <v>1478.0</v>
      </c>
      <c r="Q796" s="1">
        <v>73.0</v>
      </c>
      <c r="R796" s="1">
        <v>1253.0</v>
      </c>
      <c r="S796" s="1">
        <v>743.0</v>
      </c>
      <c r="T796" s="1">
        <v>229.0</v>
      </c>
      <c r="U796" s="1">
        <v>70.0</v>
      </c>
      <c r="V796" s="1">
        <v>396.0</v>
      </c>
      <c r="W796" s="1">
        <v>16956.0</v>
      </c>
      <c r="X796" s="1">
        <v>2091.0</v>
      </c>
      <c r="Y796" s="1">
        <v>558.0</v>
      </c>
      <c r="Z796" s="1">
        <v>201.0</v>
      </c>
      <c r="AA796" s="1">
        <v>486.0</v>
      </c>
      <c r="AB796" s="1">
        <v>917.0</v>
      </c>
      <c r="AC796" s="1">
        <v>101.0</v>
      </c>
      <c r="AD796" s="1">
        <v>397.0</v>
      </c>
      <c r="AE796" s="1">
        <v>32.0</v>
      </c>
      <c r="AF796" s="1">
        <v>428.0</v>
      </c>
      <c r="AG796" s="1">
        <v>0.0</v>
      </c>
      <c r="AH796" s="1">
        <v>197.0</v>
      </c>
      <c r="AI796" s="1">
        <v>377.0</v>
      </c>
      <c r="AJ796" s="1">
        <v>80.0</v>
      </c>
      <c r="AK796" s="1">
        <v>91.0</v>
      </c>
      <c r="AL796" s="1">
        <v>131.0</v>
      </c>
      <c r="AM796" s="1">
        <v>67.0</v>
      </c>
      <c r="AN796" s="1">
        <v>52.0</v>
      </c>
      <c r="AO796" s="1">
        <v>0.0</v>
      </c>
      <c r="AP796" s="1">
        <v>0.229746</v>
      </c>
      <c r="AQ796" s="1">
        <v>0.067811</v>
      </c>
      <c r="AR796" s="1">
        <v>0.050614</v>
      </c>
      <c r="AS796" s="1">
        <v>0.286246</v>
      </c>
      <c r="AT796" s="1">
        <v>16956.0</v>
      </c>
      <c r="AU796" s="1">
        <v>2091.0</v>
      </c>
      <c r="AV796" s="1">
        <v>0.263207</v>
      </c>
      <c r="AW796" s="1">
        <v>0.092785</v>
      </c>
      <c r="AX796" s="1">
        <v>0.143829</v>
      </c>
      <c r="AY796" s="1">
        <v>0.271382</v>
      </c>
      <c r="AZ796" s="1">
        <v>0.08060654</v>
      </c>
      <c r="BA796" s="1">
        <v>0.11749</v>
      </c>
      <c r="BB796" s="1">
        <v>0.010638</v>
      </c>
      <c r="BC796" s="1">
        <v>0.142283</v>
      </c>
      <c r="BD796" s="1">
        <v>0.0</v>
      </c>
      <c r="BE796" s="1">
        <v>0.133288</v>
      </c>
      <c r="BF796" s="1">
        <v>0.255074</v>
      </c>
      <c r="BG796" s="1">
        <v>0.05264</v>
      </c>
      <c r="BH796" s="1">
        <v>0.071149</v>
      </c>
      <c r="BI796" s="1">
        <v>0.102314</v>
      </c>
      <c r="BJ796" s="1">
        <v>0.052384</v>
      </c>
      <c r="BK796" s="1">
        <v>0.040507</v>
      </c>
      <c r="BL796" s="1">
        <v>0.0</v>
      </c>
      <c r="BM796" s="1">
        <v>0.792</v>
      </c>
      <c r="BN796" s="1">
        <v>0.297</v>
      </c>
      <c r="BO796" s="1">
        <v>0.7884</v>
      </c>
      <c r="BP796" s="1">
        <v>0.894</v>
      </c>
      <c r="BQ796" s="1">
        <v>2.7714</v>
      </c>
      <c r="BR796" s="1">
        <v>0.7394</v>
      </c>
      <c r="BS796" s="1">
        <v>0.531</v>
      </c>
      <c r="BT796" s="1">
        <v>0.802</v>
      </c>
      <c r="BU796" s="1">
        <v>0.31</v>
      </c>
      <c r="BV796" s="1">
        <v>1.643</v>
      </c>
      <c r="BW796" s="1">
        <v>0.6</v>
      </c>
      <c r="BX796" s="1">
        <v>0.53</v>
      </c>
      <c r="BY796" s="1">
        <v>0.737</v>
      </c>
      <c r="BZ796" s="1">
        <v>1.267</v>
      </c>
      <c r="CA796" s="1">
        <v>0.693</v>
      </c>
      <c r="CB796" s="1">
        <v>0.0</v>
      </c>
      <c r="CC796" s="1">
        <v>0.955</v>
      </c>
      <c r="CD796" s="1">
        <v>0.977</v>
      </c>
      <c r="CE796" s="1">
        <v>0.507</v>
      </c>
      <c r="CF796" s="1">
        <v>0.0</v>
      </c>
      <c r="CG796" s="1">
        <v>2.439</v>
      </c>
      <c r="CH796" s="1">
        <v>0.535</v>
      </c>
      <c r="CI796" s="1">
        <v>8.1204</v>
      </c>
      <c r="CJ796" s="1">
        <v>0.7336</v>
      </c>
      <c r="CK796" s="1">
        <v>0.0</v>
      </c>
      <c r="CL796" s="1">
        <v>0.0</v>
      </c>
      <c r="CM796" s="1">
        <v>0.0</v>
      </c>
      <c r="CN796" s="1">
        <v>0.0</v>
      </c>
      <c r="CO796" s="1">
        <v>0.0</v>
      </c>
      <c r="CP796" s="1">
        <v>0.0</v>
      </c>
      <c r="CQ796" s="1">
        <v>0.0</v>
      </c>
      <c r="CR796" s="1">
        <v>0.0</v>
      </c>
      <c r="CS796" s="1">
        <v>0.0</v>
      </c>
      <c r="CT796" s="1">
        <v>0.0</v>
      </c>
      <c r="CU796" s="1">
        <v>0.0</v>
      </c>
      <c r="CV796" s="1">
        <v>0.0</v>
      </c>
      <c r="CW796" s="1">
        <v>0.0</v>
      </c>
      <c r="CX796" s="1">
        <v>1.0</v>
      </c>
      <c r="CY796" s="1">
        <v>1.0</v>
      </c>
      <c r="CZ796" s="1">
        <v>0.0</v>
      </c>
      <c r="DA796" s="1">
        <v>0.0</v>
      </c>
      <c r="DB796" s="1">
        <v>2.0</v>
      </c>
      <c r="DC796" s="1">
        <v>2.0</v>
      </c>
      <c r="DD796" s="1" t="s">
        <v>3728</v>
      </c>
      <c r="DE796" s="1">
        <v>0.0332917708029353</v>
      </c>
      <c r="DF796" s="2" t="s">
        <v>3729</v>
      </c>
    </row>
    <row r="797" ht="15.75" customHeight="1">
      <c r="A797" s="1" t="s">
        <v>3730</v>
      </c>
      <c r="B797" s="1">
        <v>29.0</v>
      </c>
      <c r="C797" s="1">
        <v>147.0</v>
      </c>
      <c r="D797" s="1">
        <v>470300.0</v>
      </c>
      <c r="E797" s="1">
        <v>4.542</v>
      </c>
      <c r="F797" s="1">
        <v>29147.0</v>
      </c>
      <c r="G797" s="1">
        <v>2.91474703E10</v>
      </c>
      <c r="H797" s="1" t="s">
        <v>112</v>
      </c>
      <c r="I797" s="1" t="s">
        <v>113</v>
      </c>
      <c r="J797" s="1" t="s">
        <v>3731</v>
      </c>
      <c r="K797" s="1" t="s">
        <v>3732</v>
      </c>
      <c r="L797" s="1">
        <v>8415.0</v>
      </c>
      <c r="M797" s="1">
        <v>8021.0</v>
      </c>
      <c r="N797" s="1">
        <v>460.0</v>
      </c>
      <c r="O797" s="1">
        <v>2782.0</v>
      </c>
      <c r="P797" s="1">
        <v>2906.0</v>
      </c>
      <c r="Q797" s="1">
        <v>199.0</v>
      </c>
      <c r="R797" s="1">
        <v>2610.0</v>
      </c>
      <c r="S797" s="1">
        <v>1996.0</v>
      </c>
      <c r="T797" s="1">
        <v>472.0</v>
      </c>
      <c r="U797" s="1">
        <v>374.0</v>
      </c>
      <c r="V797" s="1">
        <v>450.0</v>
      </c>
      <c r="W797" s="1">
        <v>18626.0</v>
      </c>
      <c r="X797" s="1">
        <v>4293.0</v>
      </c>
      <c r="Y797" s="1">
        <v>351.0</v>
      </c>
      <c r="Z797" s="1">
        <v>358.0</v>
      </c>
      <c r="AA797" s="1">
        <v>757.0</v>
      </c>
      <c r="AB797" s="1">
        <v>1128.0</v>
      </c>
      <c r="AC797" s="1">
        <v>151.0</v>
      </c>
      <c r="AD797" s="1">
        <v>866.0</v>
      </c>
      <c r="AE797" s="1">
        <v>75.0</v>
      </c>
      <c r="AF797" s="1">
        <v>431.0</v>
      </c>
      <c r="AG797" s="1">
        <v>240.0</v>
      </c>
      <c r="AH797" s="1">
        <v>116.0</v>
      </c>
      <c r="AI797" s="1">
        <v>254.0</v>
      </c>
      <c r="AJ797" s="1">
        <v>112.0</v>
      </c>
      <c r="AK797" s="1">
        <v>41.0</v>
      </c>
      <c r="AL797" s="1">
        <v>123.0</v>
      </c>
      <c r="AM797" s="1">
        <v>102.0</v>
      </c>
      <c r="AN797" s="1">
        <v>61.0</v>
      </c>
      <c r="AO797" s="1">
        <v>2639.0</v>
      </c>
      <c r="AP797" s="1">
        <v>0.321468</v>
      </c>
      <c r="AQ797" s="1">
        <v>0.07067</v>
      </c>
      <c r="AR797" s="1">
        <v>0.08574</v>
      </c>
      <c r="AS797" s="1">
        <v>0.10278</v>
      </c>
      <c r="AT797" s="1">
        <v>18626.0</v>
      </c>
      <c r="AU797" s="1">
        <v>4293.0</v>
      </c>
      <c r="AV797" s="1">
        <v>0.10531</v>
      </c>
      <c r="AW797" s="1">
        <v>0.10714</v>
      </c>
      <c r="AX797" s="1">
        <v>0.089958</v>
      </c>
      <c r="AY797" s="1">
        <v>0.134046</v>
      </c>
      <c r="AZ797" s="1">
        <v>0.0578544</v>
      </c>
      <c r="BA797" s="1">
        <v>0.102911</v>
      </c>
      <c r="BB797" s="1">
        <v>0.009669</v>
      </c>
      <c r="BC797" s="1">
        <v>0.055567</v>
      </c>
      <c r="BD797" s="1">
        <v>0.082587</v>
      </c>
      <c r="BE797" s="1">
        <v>0.039514</v>
      </c>
      <c r="BF797" s="1">
        <v>0.087405</v>
      </c>
      <c r="BG797" s="1">
        <v>0.038073</v>
      </c>
      <c r="BH797" s="1">
        <v>0.015583</v>
      </c>
      <c r="BI797" s="1">
        <v>0.046728</v>
      </c>
      <c r="BJ797" s="1">
        <v>0.038768</v>
      </c>
      <c r="BK797" s="1">
        <v>0.022913</v>
      </c>
      <c r="BL797" s="1">
        <v>0.313606</v>
      </c>
      <c r="BM797" s="1">
        <v>0.906</v>
      </c>
      <c r="BN797" s="1">
        <v>0.653</v>
      </c>
      <c r="BO797" s="1">
        <v>0.6982</v>
      </c>
      <c r="BP797" s="1">
        <v>0.364</v>
      </c>
      <c r="BQ797" s="1">
        <v>2.6212</v>
      </c>
      <c r="BR797" s="1">
        <v>0.7011</v>
      </c>
      <c r="BS797" s="1">
        <v>0.158</v>
      </c>
      <c r="BT797" s="1">
        <v>0.047</v>
      </c>
      <c r="BU797" s="1">
        <v>0.118</v>
      </c>
      <c r="BV797" s="1">
        <v>0.323</v>
      </c>
      <c r="BW797" s="1">
        <v>0.021</v>
      </c>
      <c r="BX797" s="1">
        <v>0.482</v>
      </c>
      <c r="BY797" s="1">
        <v>0.711</v>
      </c>
      <c r="BZ797" s="1">
        <v>1.193</v>
      </c>
      <c r="CA797" s="1">
        <v>0.659</v>
      </c>
      <c r="CB797" s="1">
        <v>0.735</v>
      </c>
      <c r="CC797" s="1">
        <v>0.695</v>
      </c>
      <c r="CD797" s="1">
        <v>0.607</v>
      </c>
      <c r="CE797" s="1">
        <v>0.382</v>
      </c>
      <c r="CF797" s="1">
        <v>0.981</v>
      </c>
      <c r="CG797" s="1">
        <v>3.4</v>
      </c>
      <c r="CH797" s="1">
        <v>0.912</v>
      </c>
      <c r="CI797" s="1">
        <v>7.5372</v>
      </c>
      <c r="CJ797" s="1">
        <v>0.6397</v>
      </c>
      <c r="CK797" s="1">
        <v>1.0</v>
      </c>
      <c r="CL797" s="1">
        <v>0.0</v>
      </c>
      <c r="CM797" s="1">
        <v>0.0</v>
      </c>
      <c r="CN797" s="1">
        <v>0.0</v>
      </c>
      <c r="CO797" s="1">
        <v>1.0</v>
      </c>
      <c r="CP797" s="1">
        <v>0.0</v>
      </c>
      <c r="CQ797" s="1">
        <v>0.0</v>
      </c>
      <c r="CR797" s="1">
        <v>0.0</v>
      </c>
      <c r="CS797" s="1">
        <v>0.0</v>
      </c>
      <c r="CT797" s="1">
        <v>0.0</v>
      </c>
      <c r="CU797" s="1">
        <v>0.0</v>
      </c>
      <c r="CV797" s="1">
        <v>0.0</v>
      </c>
      <c r="CW797" s="1">
        <v>0.0</v>
      </c>
      <c r="CX797" s="1">
        <v>0.0</v>
      </c>
      <c r="CY797" s="1">
        <v>0.0</v>
      </c>
      <c r="CZ797" s="1">
        <v>0.0</v>
      </c>
      <c r="DA797" s="1">
        <v>1.0</v>
      </c>
      <c r="DB797" s="1">
        <v>1.0</v>
      </c>
      <c r="DC797" s="1">
        <v>2.0</v>
      </c>
      <c r="DD797" s="1" t="s">
        <v>3733</v>
      </c>
      <c r="DE797" s="1">
        <v>0.00125070980715139</v>
      </c>
      <c r="DF797" s="2" t="s">
        <v>3734</v>
      </c>
    </row>
    <row r="798" ht="15.75" customHeight="1">
      <c r="A798" s="1" t="s">
        <v>3735</v>
      </c>
      <c r="B798" s="1">
        <v>29.0</v>
      </c>
      <c r="C798" s="1">
        <v>147.0</v>
      </c>
      <c r="D798" s="1">
        <v>470100.0</v>
      </c>
      <c r="E798" s="1">
        <v>217.39</v>
      </c>
      <c r="F798" s="1">
        <v>29147.0</v>
      </c>
      <c r="G798" s="1">
        <v>2.91474701E10</v>
      </c>
      <c r="H798" s="1" t="s">
        <v>112</v>
      </c>
      <c r="I798" s="1" t="s">
        <v>113</v>
      </c>
      <c r="J798" s="1" t="s">
        <v>3731</v>
      </c>
      <c r="K798" s="1" t="s">
        <v>3736</v>
      </c>
      <c r="L798" s="1">
        <v>2457.0</v>
      </c>
      <c r="M798" s="1">
        <v>2309.0</v>
      </c>
      <c r="N798" s="1">
        <v>195.0</v>
      </c>
      <c r="O798" s="1">
        <v>1285.0</v>
      </c>
      <c r="P798" s="1">
        <v>1249.0</v>
      </c>
      <c r="Q798" s="1">
        <v>85.0</v>
      </c>
      <c r="R798" s="1">
        <v>1060.0</v>
      </c>
      <c r="S798" s="1">
        <v>313.0</v>
      </c>
      <c r="T798" s="1">
        <v>87.0</v>
      </c>
      <c r="U798" s="1">
        <v>49.0</v>
      </c>
      <c r="V798" s="1">
        <v>412.0</v>
      </c>
      <c r="W798" s="1">
        <v>18602.0</v>
      </c>
      <c r="X798" s="1">
        <v>1775.0</v>
      </c>
      <c r="Y798" s="1">
        <v>170.0</v>
      </c>
      <c r="Z798" s="1">
        <v>231.0</v>
      </c>
      <c r="AA798" s="1">
        <v>438.0</v>
      </c>
      <c r="AB798" s="1">
        <v>592.0</v>
      </c>
      <c r="AC798" s="1">
        <v>102.0</v>
      </c>
      <c r="AD798" s="1">
        <v>43.0</v>
      </c>
      <c r="AE798" s="1">
        <v>7.0</v>
      </c>
      <c r="AF798" s="1">
        <v>427.0</v>
      </c>
      <c r="AG798" s="1">
        <v>15.0</v>
      </c>
      <c r="AH798" s="1">
        <v>162.0</v>
      </c>
      <c r="AI798" s="1">
        <v>90.0</v>
      </c>
      <c r="AJ798" s="1">
        <v>34.0</v>
      </c>
      <c r="AK798" s="1">
        <v>5.0</v>
      </c>
      <c r="AL798" s="1">
        <v>114.0</v>
      </c>
      <c r="AM798" s="1">
        <v>37.0</v>
      </c>
      <c r="AN798" s="1">
        <v>19.0</v>
      </c>
      <c r="AO798" s="1">
        <v>0.0</v>
      </c>
      <c r="AP798" s="1">
        <v>0.135556</v>
      </c>
      <c r="AQ798" s="1">
        <v>0.035897</v>
      </c>
      <c r="AR798" s="1">
        <v>0.04537</v>
      </c>
      <c r="AS798" s="1">
        <v>0.381455</v>
      </c>
      <c r="AT798" s="1">
        <v>18602.0</v>
      </c>
      <c r="AU798" s="1">
        <v>1775.0</v>
      </c>
      <c r="AV798" s="1">
        <v>0.110966</v>
      </c>
      <c r="AW798" s="1">
        <v>0.15056</v>
      </c>
      <c r="AX798" s="1">
        <v>0.178266</v>
      </c>
      <c r="AY798" s="1">
        <v>0.240944</v>
      </c>
      <c r="AZ798" s="1">
        <v>0.09622641</v>
      </c>
      <c r="BA798" s="1">
        <v>0.017501</v>
      </c>
      <c r="BB798" s="1">
        <v>0.003308</v>
      </c>
      <c r="BC798" s="1">
        <v>0.201795</v>
      </c>
      <c r="BD798" s="1">
        <v>0.012009</v>
      </c>
      <c r="BE798" s="1">
        <v>0.129701</v>
      </c>
      <c r="BF798" s="1">
        <v>0.072057</v>
      </c>
      <c r="BG798" s="1">
        <v>0.026776</v>
      </c>
      <c r="BH798" s="1">
        <v>0.005117</v>
      </c>
      <c r="BI798" s="1">
        <v>0.116682</v>
      </c>
      <c r="BJ798" s="1">
        <v>0.037871</v>
      </c>
      <c r="BK798" s="1">
        <v>0.019179</v>
      </c>
      <c r="BL798" s="1">
        <v>0.0</v>
      </c>
      <c r="BM798" s="1">
        <v>0.522</v>
      </c>
      <c r="BN798" s="1">
        <v>0.243</v>
      </c>
      <c r="BO798" s="1">
        <v>0.7004</v>
      </c>
      <c r="BP798" s="1">
        <v>0.387</v>
      </c>
      <c r="BQ798" s="1">
        <v>1.8524</v>
      </c>
      <c r="BR798" s="1">
        <v>0.4484</v>
      </c>
      <c r="BS798" s="1">
        <v>0.776</v>
      </c>
      <c r="BT798" s="1">
        <v>0.503</v>
      </c>
      <c r="BU798" s="1">
        <v>0.459</v>
      </c>
      <c r="BV798" s="1">
        <v>1.738</v>
      </c>
      <c r="BW798" s="1">
        <v>0.673</v>
      </c>
      <c r="BX798" s="1">
        <v>0.012</v>
      </c>
      <c r="BY798" s="1">
        <v>0.468</v>
      </c>
      <c r="BZ798" s="1">
        <v>0.48</v>
      </c>
      <c r="CA798" s="1">
        <v>0.2</v>
      </c>
      <c r="CB798" s="1">
        <v>0.399</v>
      </c>
      <c r="CC798" s="1">
        <v>0.654</v>
      </c>
      <c r="CD798" s="1">
        <v>0.338</v>
      </c>
      <c r="CE798" s="1">
        <v>0.371</v>
      </c>
      <c r="CF798" s="1">
        <v>0.0</v>
      </c>
      <c r="CG798" s="1">
        <v>1.762</v>
      </c>
      <c r="CH798" s="1">
        <v>0.254</v>
      </c>
      <c r="CI798" s="1">
        <v>5.8324</v>
      </c>
      <c r="CJ798" s="1">
        <v>0.343</v>
      </c>
      <c r="CK798" s="1">
        <v>0.0</v>
      </c>
      <c r="CL798" s="1">
        <v>0.0</v>
      </c>
      <c r="CM798" s="1">
        <v>0.0</v>
      </c>
      <c r="CN798" s="1">
        <v>0.0</v>
      </c>
      <c r="CO798" s="1">
        <v>0.0</v>
      </c>
      <c r="CP798" s="1">
        <v>0.0</v>
      </c>
      <c r="CQ798" s="1">
        <v>0.0</v>
      </c>
      <c r="CR798" s="1">
        <v>0.0</v>
      </c>
      <c r="CS798" s="1">
        <v>0.0</v>
      </c>
      <c r="CT798" s="1">
        <v>0.0</v>
      </c>
      <c r="CU798" s="1">
        <v>0.0</v>
      </c>
      <c r="CV798" s="1">
        <v>0.0</v>
      </c>
      <c r="CW798" s="1">
        <v>0.0</v>
      </c>
      <c r="CX798" s="1">
        <v>0.0</v>
      </c>
      <c r="CY798" s="1">
        <v>0.0</v>
      </c>
      <c r="CZ798" s="1">
        <v>0.0</v>
      </c>
      <c r="DA798" s="1">
        <v>0.0</v>
      </c>
      <c r="DB798" s="1">
        <v>0.0</v>
      </c>
      <c r="DC798" s="1">
        <v>0.0</v>
      </c>
      <c r="DD798" s="1" t="s">
        <v>3737</v>
      </c>
      <c r="DE798" s="2" t="s">
        <v>3738</v>
      </c>
      <c r="DF798" s="2" t="s">
        <v>3739</v>
      </c>
    </row>
    <row r="799" ht="15.75" customHeight="1">
      <c r="A799" s="1" t="s">
        <v>3740</v>
      </c>
      <c r="B799" s="1">
        <v>29.0</v>
      </c>
      <c r="C799" s="1">
        <v>147.0</v>
      </c>
      <c r="D799" s="1">
        <v>470200.0</v>
      </c>
      <c r="E799" s="1">
        <v>328.304</v>
      </c>
      <c r="F799" s="1">
        <v>29147.0</v>
      </c>
      <c r="G799" s="1">
        <v>2.91474702E10</v>
      </c>
      <c r="H799" s="1" t="s">
        <v>112</v>
      </c>
      <c r="I799" s="1" t="s">
        <v>113</v>
      </c>
      <c r="J799" s="1" t="s">
        <v>3731</v>
      </c>
      <c r="K799" s="1" t="s">
        <v>3741</v>
      </c>
      <c r="L799" s="1">
        <v>2762.0</v>
      </c>
      <c r="M799" s="1">
        <v>2812.0</v>
      </c>
      <c r="N799" s="1">
        <v>209.0</v>
      </c>
      <c r="O799" s="1">
        <v>1282.0</v>
      </c>
      <c r="P799" s="1">
        <v>1251.0</v>
      </c>
      <c r="Q799" s="1">
        <v>82.0</v>
      </c>
      <c r="R799" s="1">
        <v>1116.0</v>
      </c>
      <c r="S799" s="1">
        <v>169.0</v>
      </c>
      <c r="T799" s="1">
        <v>64.0</v>
      </c>
      <c r="U799" s="1">
        <v>69.0</v>
      </c>
      <c r="V799" s="1">
        <v>363.0</v>
      </c>
      <c r="W799" s="1">
        <v>22690.0</v>
      </c>
      <c r="X799" s="1">
        <v>2165.0</v>
      </c>
      <c r="Y799" s="1">
        <v>175.0</v>
      </c>
      <c r="Z799" s="1">
        <v>260.0</v>
      </c>
      <c r="AA799" s="1">
        <v>491.0</v>
      </c>
      <c r="AB799" s="1">
        <v>651.0</v>
      </c>
      <c r="AC799" s="1">
        <v>55.0</v>
      </c>
      <c r="AD799" s="1">
        <v>54.0</v>
      </c>
      <c r="AE799" s="1">
        <v>23.0</v>
      </c>
      <c r="AF799" s="1">
        <v>412.0</v>
      </c>
      <c r="AG799" s="1">
        <v>3.0</v>
      </c>
      <c r="AH799" s="1">
        <v>161.0</v>
      </c>
      <c r="AI799" s="1">
        <v>144.0</v>
      </c>
      <c r="AJ799" s="1">
        <v>54.0</v>
      </c>
      <c r="AK799" s="1">
        <v>2.0</v>
      </c>
      <c r="AL799" s="1">
        <v>114.0</v>
      </c>
      <c r="AM799" s="1">
        <v>51.0</v>
      </c>
      <c r="AN799" s="1">
        <v>43.0</v>
      </c>
      <c r="AO799" s="1">
        <v>36.0</v>
      </c>
      <c r="AP799" s="1">
        <v>0.060357</v>
      </c>
      <c r="AQ799" s="1">
        <v>0.022421</v>
      </c>
      <c r="AR799" s="1">
        <v>0.046308</v>
      </c>
      <c r="AS799" s="1">
        <v>0.243578</v>
      </c>
      <c r="AT799" s="1">
        <v>22690.0</v>
      </c>
      <c r="AU799" s="1">
        <v>2165.0</v>
      </c>
      <c r="AV799" s="1">
        <v>0.090767</v>
      </c>
      <c r="AW799" s="1">
        <v>0.134693</v>
      </c>
      <c r="AX799" s="1">
        <v>0.177769</v>
      </c>
      <c r="AY799" s="1">
        <v>0.235698</v>
      </c>
      <c r="AZ799" s="1">
        <v>0.04928315</v>
      </c>
      <c r="BA799" s="1">
        <v>0.019551</v>
      </c>
      <c r="BB799" s="1">
        <v>0.008653</v>
      </c>
      <c r="BC799" s="1">
        <v>0.155002</v>
      </c>
      <c r="BD799" s="1">
        <v>0.002398</v>
      </c>
      <c r="BE799" s="1">
        <v>0.128696</v>
      </c>
      <c r="BF799" s="1">
        <v>0.115107</v>
      </c>
      <c r="BG799" s="1">
        <v>0.0425</v>
      </c>
      <c r="BH799" s="1">
        <v>0.001811</v>
      </c>
      <c r="BI799" s="1">
        <v>0.10326</v>
      </c>
      <c r="BJ799" s="1">
        <v>0.046195</v>
      </c>
      <c r="BK799" s="1">
        <v>0.038794</v>
      </c>
      <c r="BL799" s="1">
        <v>0.013034</v>
      </c>
      <c r="BM799" s="1">
        <v>0.205</v>
      </c>
      <c r="BN799" s="1">
        <v>0.253</v>
      </c>
      <c r="BO799" s="1">
        <v>0.4621</v>
      </c>
      <c r="BP799" s="1">
        <v>0.297</v>
      </c>
      <c r="BQ799" s="1">
        <v>1.2171</v>
      </c>
      <c r="BR799" s="1">
        <v>0.2599</v>
      </c>
      <c r="BS799" s="1">
        <v>0.771</v>
      </c>
      <c r="BT799" s="1">
        <v>0.446</v>
      </c>
      <c r="BU799" s="1">
        <v>0.069</v>
      </c>
      <c r="BV799" s="1">
        <v>1.286</v>
      </c>
      <c r="BW799" s="1">
        <v>0.292</v>
      </c>
      <c r="BX799" s="1">
        <v>0.017</v>
      </c>
      <c r="BY799" s="1">
        <v>0.684</v>
      </c>
      <c r="BZ799" s="1">
        <v>0.701</v>
      </c>
      <c r="CA799" s="1">
        <v>0.338</v>
      </c>
      <c r="CB799" s="1">
        <v>0.276</v>
      </c>
      <c r="CC799" s="1">
        <v>0.75</v>
      </c>
      <c r="CD799" s="1">
        <v>0.28</v>
      </c>
      <c r="CE799" s="1">
        <v>0.453</v>
      </c>
      <c r="CF799" s="1">
        <v>0.62</v>
      </c>
      <c r="CG799" s="1">
        <v>2.379</v>
      </c>
      <c r="CH799" s="1">
        <v>0.504</v>
      </c>
      <c r="CI799" s="1">
        <v>5.5831</v>
      </c>
      <c r="CJ799" s="1">
        <v>0.2953</v>
      </c>
      <c r="CK799" s="1">
        <v>0.0</v>
      </c>
      <c r="CL799" s="1">
        <v>0.0</v>
      </c>
      <c r="CM799" s="1">
        <v>0.0</v>
      </c>
      <c r="CN799" s="1">
        <v>0.0</v>
      </c>
      <c r="CO799" s="1">
        <v>0.0</v>
      </c>
      <c r="CP799" s="1">
        <v>0.0</v>
      </c>
      <c r="CQ799" s="1">
        <v>0.0</v>
      </c>
      <c r="CR799" s="1">
        <v>0.0</v>
      </c>
      <c r="CS799" s="1">
        <v>0.0</v>
      </c>
      <c r="CT799" s="1">
        <v>0.0</v>
      </c>
      <c r="CU799" s="1">
        <v>0.0</v>
      </c>
      <c r="CV799" s="1">
        <v>0.0</v>
      </c>
      <c r="CW799" s="1">
        <v>0.0</v>
      </c>
      <c r="CX799" s="1">
        <v>0.0</v>
      </c>
      <c r="CY799" s="1">
        <v>0.0</v>
      </c>
      <c r="CZ799" s="1">
        <v>0.0</v>
      </c>
      <c r="DA799" s="1">
        <v>0.0</v>
      </c>
      <c r="DB799" s="1">
        <v>0.0</v>
      </c>
      <c r="DC799" s="1">
        <v>0.0</v>
      </c>
      <c r="DD799" s="1" t="s">
        <v>3742</v>
      </c>
      <c r="DE799" s="1">
        <v>0.090183329252324</v>
      </c>
      <c r="DF799" s="2" t="s">
        <v>3743</v>
      </c>
    </row>
    <row r="800" ht="15.75" customHeight="1">
      <c r="A800" s="1" t="s">
        <v>3744</v>
      </c>
      <c r="B800" s="1">
        <v>29.0</v>
      </c>
      <c r="C800" s="1">
        <v>147.0</v>
      </c>
      <c r="D800" s="1">
        <v>470400.0</v>
      </c>
      <c r="E800" s="1">
        <v>4.841</v>
      </c>
      <c r="F800" s="1">
        <v>29147.0</v>
      </c>
      <c r="G800" s="1">
        <v>2.91474704E10</v>
      </c>
      <c r="H800" s="1" t="s">
        <v>112</v>
      </c>
      <c r="I800" s="1" t="s">
        <v>113</v>
      </c>
      <c r="J800" s="1" t="s">
        <v>3731</v>
      </c>
      <c r="K800" s="1" t="s">
        <v>3745</v>
      </c>
      <c r="L800" s="1">
        <v>4262.0</v>
      </c>
      <c r="M800" s="1">
        <v>4433.0</v>
      </c>
      <c r="N800" s="1">
        <v>424.0</v>
      </c>
      <c r="O800" s="1">
        <v>2049.0</v>
      </c>
      <c r="P800" s="1">
        <v>2104.0</v>
      </c>
      <c r="Q800" s="1">
        <v>149.0</v>
      </c>
      <c r="R800" s="1">
        <v>1875.0</v>
      </c>
      <c r="S800" s="1">
        <v>1422.0</v>
      </c>
      <c r="T800" s="1">
        <v>332.0</v>
      </c>
      <c r="U800" s="1">
        <v>133.0</v>
      </c>
      <c r="V800" s="1">
        <v>467.0</v>
      </c>
      <c r="W800" s="1">
        <v>17519.0</v>
      </c>
      <c r="X800" s="1">
        <v>1459.0</v>
      </c>
      <c r="Y800" s="1">
        <v>305.0</v>
      </c>
      <c r="Z800" s="1">
        <v>188.0</v>
      </c>
      <c r="AA800" s="1">
        <v>597.0</v>
      </c>
      <c r="AB800" s="1">
        <v>700.0</v>
      </c>
      <c r="AC800" s="1">
        <v>158.0</v>
      </c>
      <c r="AD800" s="1">
        <v>238.0</v>
      </c>
      <c r="AE800" s="1">
        <v>42.0</v>
      </c>
      <c r="AF800" s="1">
        <v>446.0</v>
      </c>
      <c r="AG800" s="1">
        <v>287.0</v>
      </c>
      <c r="AH800" s="1">
        <v>126.0</v>
      </c>
      <c r="AI800" s="1">
        <v>180.0</v>
      </c>
      <c r="AJ800" s="1">
        <v>76.0</v>
      </c>
      <c r="AK800" s="1">
        <v>0.0</v>
      </c>
      <c r="AL800" s="1">
        <v>161.0</v>
      </c>
      <c r="AM800" s="1">
        <v>239.0</v>
      </c>
      <c r="AN800" s="1">
        <v>104.0</v>
      </c>
      <c r="AO800" s="1">
        <v>195.0</v>
      </c>
      <c r="AP800" s="1">
        <v>0.321428</v>
      </c>
      <c r="AQ800" s="1">
        <v>0.068332</v>
      </c>
      <c r="AR800" s="1">
        <v>0.048504</v>
      </c>
      <c r="AS800" s="1">
        <v>0.170139</v>
      </c>
      <c r="AT800" s="1">
        <v>17519.0</v>
      </c>
      <c r="AU800" s="1">
        <v>1459.0</v>
      </c>
      <c r="AV800" s="1">
        <v>0.134836</v>
      </c>
      <c r="AW800" s="1">
        <v>0.082118</v>
      </c>
      <c r="AX800" s="1">
        <v>0.140075</v>
      </c>
      <c r="AY800" s="1">
        <v>0.164242</v>
      </c>
      <c r="AZ800" s="1">
        <v>0.08426666</v>
      </c>
      <c r="BA800" s="1">
        <v>0.055842</v>
      </c>
      <c r="BB800" s="1">
        <v>0.009954</v>
      </c>
      <c r="BC800" s="1">
        <v>0.105707</v>
      </c>
      <c r="BD800" s="1">
        <v>0.136406</v>
      </c>
      <c r="BE800" s="1">
        <v>0.059101</v>
      </c>
      <c r="BF800" s="1">
        <v>0.085551</v>
      </c>
      <c r="BG800" s="1">
        <v>0.035609</v>
      </c>
      <c r="BH800" s="1">
        <v>0.0</v>
      </c>
      <c r="BI800" s="1">
        <v>0.085958</v>
      </c>
      <c r="BJ800" s="1">
        <v>0.127602</v>
      </c>
      <c r="BK800" s="1">
        <v>0.054215</v>
      </c>
      <c r="BL800" s="1">
        <v>0.045753</v>
      </c>
      <c r="BM800" s="1">
        <v>0.905</v>
      </c>
      <c r="BN800" s="1">
        <v>0.28</v>
      </c>
      <c r="BO800" s="1">
        <v>0.7552</v>
      </c>
      <c r="BP800" s="1">
        <v>0.5</v>
      </c>
      <c r="BQ800" s="1">
        <v>2.4402</v>
      </c>
      <c r="BR800" s="1">
        <v>0.644</v>
      </c>
      <c r="BS800" s="1">
        <v>0.498</v>
      </c>
      <c r="BT800" s="1">
        <v>0.092</v>
      </c>
      <c r="BU800" s="1">
        <v>0.351</v>
      </c>
      <c r="BV800" s="1">
        <v>0.941</v>
      </c>
      <c r="BW800" s="1">
        <v>0.1</v>
      </c>
      <c r="BX800" s="1">
        <v>0.289</v>
      </c>
      <c r="BY800" s="1">
        <v>0.722</v>
      </c>
      <c r="BZ800" s="1">
        <v>1.011</v>
      </c>
      <c r="CA800" s="1">
        <v>0.565</v>
      </c>
      <c r="CB800" s="1">
        <v>0.823</v>
      </c>
      <c r="CC800" s="1">
        <v>0.688</v>
      </c>
      <c r="CD800" s="1">
        <v>0.0</v>
      </c>
      <c r="CE800" s="1">
        <v>0.824</v>
      </c>
      <c r="CF800" s="1">
        <v>0.88</v>
      </c>
      <c r="CG800" s="1">
        <v>3.215</v>
      </c>
      <c r="CH800" s="1">
        <v>0.847</v>
      </c>
      <c r="CI800" s="1">
        <v>7.6072</v>
      </c>
      <c r="CJ800" s="1">
        <v>0.6534</v>
      </c>
      <c r="CK800" s="1">
        <v>1.0</v>
      </c>
      <c r="CL800" s="1">
        <v>0.0</v>
      </c>
      <c r="CM800" s="1">
        <v>0.0</v>
      </c>
      <c r="CN800" s="1">
        <v>0.0</v>
      </c>
      <c r="CO800" s="1">
        <v>1.0</v>
      </c>
      <c r="CP800" s="1">
        <v>0.0</v>
      </c>
      <c r="CQ800" s="1">
        <v>0.0</v>
      </c>
      <c r="CR800" s="1">
        <v>0.0</v>
      </c>
      <c r="CS800" s="1">
        <v>0.0</v>
      </c>
      <c r="CT800" s="1">
        <v>0.0</v>
      </c>
      <c r="CU800" s="1">
        <v>0.0</v>
      </c>
      <c r="CV800" s="1">
        <v>0.0</v>
      </c>
      <c r="CW800" s="1">
        <v>0.0</v>
      </c>
      <c r="CX800" s="1">
        <v>0.0</v>
      </c>
      <c r="CY800" s="1">
        <v>0.0</v>
      </c>
      <c r="CZ800" s="1">
        <v>0.0</v>
      </c>
      <c r="DA800" s="1">
        <v>0.0</v>
      </c>
      <c r="DB800" s="1">
        <v>0.0</v>
      </c>
      <c r="DC800" s="1">
        <v>1.0</v>
      </c>
      <c r="DD800" s="1" t="s">
        <v>3746</v>
      </c>
      <c r="DE800" s="1">
        <v>0.00133614555870678</v>
      </c>
      <c r="DF800" s="2" t="s">
        <v>3747</v>
      </c>
    </row>
    <row r="801" ht="15.75" customHeight="1">
      <c r="A801" s="1" t="s">
        <v>3748</v>
      </c>
      <c r="B801" s="1">
        <v>29.0</v>
      </c>
      <c r="C801" s="1">
        <v>147.0</v>
      </c>
      <c r="D801" s="1">
        <v>470500.0</v>
      </c>
      <c r="E801" s="1">
        <v>321.887</v>
      </c>
      <c r="F801" s="1">
        <v>29147.0</v>
      </c>
      <c r="G801" s="1">
        <v>2.91474705E10</v>
      </c>
      <c r="H801" s="1" t="s">
        <v>112</v>
      </c>
      <c r="I801" s="1" t="s">
        <v>113</v>
      </c>
      <c r="J801" s="1" t="s">
        <v>3731</v>
      </c>
      <c r="K801" s="1" t="s">
        <v>3749</v>
      </c>
      <c r="L801" s="1">
        <v>5474.0</v>
      </c>
      <c r="M801" s="1">
        <v>5456.0</v>
      </c>
      <c r="N801" s="1">
        <v>350.0</v>
      </c>
      <c r="O801" s="1">
        <v>2126.0</v>
      </c>
      <c r="P801" s="1">
        <v>1994.0</v>
      </c>
      <c r="Q801" s="1">
        <v>113.0</v>
      </c>
      <c r="R801" s="1">
        <v>1884.0</v>
      </c>
      <c r="S801" s="1">
        <v>755.0</v>
      </c>
      <c r="T801" s="1">
        <v>393.0</v>
      </c>
      <c r="U801" s="1">
        <v>40.0</v>
      </c>
      <c r="V801" s="1">
        <v>379.0</v>
      </c>
      <c r="W801" s="1">
        <v>18636.0</v>
      </c>
      <c r="X801" s="1">
        <v>1732.0</v>
      </c>
      <c r="Y801" s="1">
        <v>446.0</v>
      </c>
      <c r="Z801" s="1">
        <v>281.0</v>
      </c>
      <c r="AA801" s="1">
        <v>794.0</v>
      </c>
      <c r="AB801" s="1">
        <v>1192.0</v>
      </c>
      <c r="AC801" s="1">
        <v>120.0</v>
      </c>
      <c r="AD801" s="1">
        <v>288.0</v>
      </c>
      <c r="AE801" s="1">
        <v>55.0</v>
      </c>
      <c r="AF801" s="1">
        <v>413.0</v>
      </c>
      <c r="AG801" s="1">
        <v>90.0</v>
      </c>
      <c r="AH801" s="1">
        <v>126.0</v>
      </c>
      <c r="AI801" s="1">
        <v>214.0</v>
      </c>
      <c r="AJ801" s="1">
        <v>52.0</v>
      </c>
      <c r="AK801" s="1">
        <v>41.0</v>
      </c>
      <c r="AL801" s="1">
        <v>39.0</v>
      </c>
      <c r="AM801" s="1">
        <v>100.0</v>
      </c>
      <c r="AN801" s="1">
        <v>55.0</v>
      </c>
      <c r="AO801" s="1">
        <v>741.0</v>
      </c>
      <c r="AP801" s="1">
        <v>0.160331</v>
      </c>
      <c r="AQ801" s="1">
        <v>0.082621</v>
      </c>
      <c r="AR801" s="1">
        <v>0.017204</v>
      </c>
      <c r="AS801" s="1">
        <v>0.163005</v>
      </c>
      <c r="AT801" s="1">
        <v>18636.0</v>
      </c>
      <c r="AU801" s="1">
        <v>1732.0</v>
      </c>
      <c r="AV801" s="1">
        <v>0.129125</v>
      </c>
      <c r="AW801" s="1">
        <v>0.081094</v>
      </c>
      <c r="AX801" s="1">
        <v>0.145049</v>
      </c>
      <c r="AY801" s="1">
        <v>0.217756</v>
      </c>
      <c r="AZ801" s="1">
        <v>0.06369426</v>
      </c>
      <c r="BA801" s="1">
        <v>0.052612</v>
      </c>
      <c r="BB801" s="1">
        <v>0.010708</v>
      </c>
      <c r="BC801" s="1">
        <v>0.08041</v>
      </c>
      <c r="BD801" s="1">
        <v>0.045135</v>
      </c>
      <c r="BE801" s="1">
        <v>0.063137</v>
      </c>
      <c r="BF801" s="1">
        <v>0.107321</v>
      </c>
      <c r="BG801" s="1">
        <v>0.025359</v>
      </c>
      <c r="BH801" s="1">
        <v>0.023348</v>
      </c>
      <c r="BI801" s="1">
        <v>0.022157</v>
      </c>
      <c r="BJ801" s="1">
        <v>0.056947</v>
      </c>
      <c r="BK801" s="1">
        <v>0.031102</v>
      </c>
      <c r="BL801" s="1">
        <v>0.135367</v>
      </c>
      <c r="BM801" s="1">
        <v>0.612</v>
      </c>
      <c r="BN801" s="1">
        <v>0.02</v>
      </c>
      <c r="BO801" s="1">
        <v>0.6968</v>
      </c>
      <c r="BP801" s="1">
        <v>0.468</v>
      </c>
      <c r="BQ801" s="1">
        <v>1.7968</v>
      </c>
      <c r="BR801" s="1">
        <v>0.4282</v>
      </c>
      <c r="BS801" s="1">
        <v>0.54</v>
      </c>
      <c r="BT801" s="1">
        <v>0.286</v>
      </c>
      <c r="BU801" s="1">
        <v>0.163</v>
      </c>
      <c r="BV801" s="1">
        <v>0.989</v>
      </c>
      <c r="BW801" s="1">
        <v>0.112</v>
      </c>
      <c r="BX801" s="1">
        <v>0.268</v>
      </c>
      <c r="BY801" s="1">
        <v>0.739</v>
      </c>
      <c r="BZ801" s="1">
        <v>1.007</v>
      </c>
      <c r="CA801" s="1">
        <v>0.564</v>
      </c>
      <c r="CB801" s="1">
        <v>0.631</v>
      </c>
      <c r="CC801" s="1">
        <v>0.733</v>
      </c>
      <c r="CD801" s="1">
        <v>0.734</v>
      </c>
      <c r="CE801" s="1">
        <v>0.545</v>
      </c>
      <c r="CF801" s="1">
        <v>0.951</v>
      </c>
      <c r="CG801" s="1">
        <v>3.594</v>
      </c>
      <c r="CH801" s="1">
        <v>0.954</v>
      </c>
      <c r="CI801" s="1">
        <v>7.3868</v>
      </c>
      <c r="CJ801" s="1">
        <v>0.6224</v>
      </c>
      <c r="CK801" s="1">
        <v>0.0</v>
      </c>
      <c r="CL801" s="1">
        <v>0.0</v>
      </c>
      <c r="CM801" s="1">
        <v>0.0</v>
      </c>
      <c r="CN801" s="1">
        <v>0.0</v>
      </c>
      <c r="CO801" s="1">
        <v>0.0</v>
      </c>
      <c r="CP801" s="1">
        <v>0.0</v>
      </c>
      <c r="CQ801" s="1">
        <v>0.0</v>
      </c>
      <c r="CR801" s="1">
        <v>0.0</v>
      </c>
      <c r="CS801" s="1">
        <v>0.0</v>
      </c>
      <c r="CT801" s="1">
        <v>0.0</v>
      </c>
      <c r="CU801" s="1">
        <v>0.0</v>
      </c>
      <c r="CV801" s="1">
        <v>0.0</v>
      </c>
      <c r="CW801" s="1">
        <v>0.0</v>
      </c>
      <c r="CX801" s="1">
        <v>0.0</v>
      </c>
      <c r="CY801" s="1">
        <v>0.0</v>
      </c>
      <c r="CZ801" s="1">
        <v>0.0</v>
      </c>
      <c r="DA801" s="1">
        <v>1.0</v>
      </c>
      <c r="DB801" s="1">
        <v>1.0</v>
      </c>
      <c r="DC801" s="1">
        <v>1.0</v>
      </c>
      <c r="DD801" s="1" t="s">
        <v>3750</v>
      </c>
      <c r="DE801" s="1">
        <v>0.0884048152047962</v>
      </c>
      <c r="DF801" s="2" t="s">
        <v>3751</v>
      </c>
    </row>
    <row r="802" ht="15.75" customHeight="1">
      <c r="A802" s="1" t="s">
        <v>3752</v>
      </c>
      <c r="B802" s="1">
        <v>29.0</v>
      </c>
      <c r="C802" s="1">
        <v>149.0</v>
      </c>
      <c r="D802" s="1">
        <v>480100.0</v>
      </c>
      <c r="E802" s="1">
        <v>404.198</v>
      </c>
      <c r="F802" s="1">
        <v>29149.0</v>
      </c>
      <c r="G802" s="1">
        <v>2.91494801E10</v>
      </c>
      <c r="H802" s="1" t="s">
        <v>112</v>
      </c>
      <c r="I802" s="1" t="s">
        <v>113</v>
      </c>
      <c r="J802" s="1" t="s">
        <v>3753</v>
      </c>
      <c r="K802" s="1" t="s">
        <v>3754</v>
      </c>
      <c r="L802" s="1">
        <v>3749.0</v>
      </c>
      <c r="M802" s="1">
        <v>3318.0</v>
      </c>
      <c r="N802" s="1">
        <v>393.0</v>
      </c>
      <c r="O802" s="1">
        <v>1893.0</v>
      </c>
      <c r="P802" s="1">
        <v>1754.0</v>
      </c>
      <c r="Q802" s="1">
        <v>89.0</v>
      </c>
      <c r="R802" s="1">
        <v>1561.0</v>
      </c>
      <c r="S802" s="1">
        <v>894.0</v>
      </c>
      <c r="T802" s="1">
        <v>249.0</v>
      </c>
      <c r="U802" s="1">
        <v>105.0</v>
      </c>
      <c r="V802" s="1">
        <v>416.0</v>
      </c>
      <c r="W802" s="1">
        <v>14239.0</v>
      </c>
      <c r="X802" s="1">
        <v>1575.0</v>
      </c>
      <c r="Y802" s="1">
        <v>723.0</v>
      </c>
      <c r="Z802" s="1">
        <v>215.0</v>
      </c>
      <c r="AA802" s="1">
        <v>718.0</v>
      </c>
      <c r="AB802" s="1">
        <v>865.0</v>
      </c>
      <c r="AC802" s="1">
        <v>166.0</v>
      </c>
      <c r="AD802" s="1">
        <v>196.0</v>
      </c>
      <c r="AE802" s="1">
        <v>23.0</v>
      </c>
      <c r="AF802" s="1">
        <v>443.0</v>
      </c>
      <c r="AG802" s="1">
        <v>0.0</v>
      </c>
      <c r="AH802" s="1">
        <v>197.0</v>
      </c>
      <c r="AI802" s="1">
        <v>353.0</v>
      </c>
      <c r="AJ802" s="1">
        <v>123.0</v>
      </c>
      <c r="AK802" s="1">
        <v>25.0</v>
      </c>
      <c r="AL802" s="1">
        <v>119.0</v>
      </c>
      <c r="AM802" s="1">
        <v>72.0</v>
      </c>
      <c r="AN802" s="1">
        <v>38.0</v>
      </c>
      <c r="AO802" s="1">
        <v>46.0</v>
      </c>
      <c r="AP802" s="1">
        <v>0.274823</v>
      </c>
      <c r="AQ802" s="1">
        <v>0.069487</v>
      </c>
      <c r="AR802" s="1">
        <v>0.089285</v>
      </c>
      <c r="AS802" s="1">
        <v>0.353168</v>
      </c>
      <c r="AT802" s="1">
        <v>14239.0</v>
      </c>
      <c r="AU802" s="1">
        <v>1575.0</v>
      </c>
      <c r="AV802" s="1">
        <v>0.313394</v>
      </c>
      <c r="AW802" s="1">
        <v>0.087655</v>
      </c>
      <c r="AX802" s="1">
        <v>0.191517</v>
      </c>
      <c r="AY802" s="1">
        <v>0.230728</v>
      </c>
      <c r="AZ802" s="1">
        <v>0.10634208</v>
      </c>
      <c r="BA802" s="1">
        <v>0.05228</v>
      </c>
      <c r="BB802" s="1">
        <v>0.007355</v>
      </c>
      <c r="BC802" s="1">
        <v>0.141666</v>
      </c>
      <c r="BD802" s="1">
        <v>0.0</v>
      </c>
      <c r="BE802" s="1">
        <v>0.112314</v>
      </c>
      <c r="BF802" s="1">
        <v>0.201254</v>
      </c>
      <c r="BG802" s="1">
        <v>0.069377</v>
      </c>
      <c r="BH802" s="1">
        <v>0.017985</v>
      </c>
      <c r="BI802" s="1">
        <v>0.085584</v>
      </c>
      <c r="BJ802" s="1">
        <v>0.051798</v>
      </c>
      <c r="BK802" s="1">
        <v>0.02662</v>
      </c>
      <c r="BL802" s="1">
        <v>0.012269</v>
      </c>
      <c r="BM802" s="1">
        <v>0.864</v>
      </c>
      <c r="BN802" s="1">
        <v>0.677</v>
      </c>
      <c r="BO802" s="1">
        <v>0.9061</v>
      </c>
      <c r="BP802" s="1">
        <v>0.953</v>
      </c>
      <c r="BQ802" s="1">
        <v>3.4001</v>
      </c>
      <c r="BR802" s="1">
        <v>0.8982</v>
      </c>
      <c r="BS802" s="1">
        <v>0.846</v>
      </c>
      <c r="BT802" s="1">
        <v>0.394</v>
      </c>
      <c r="BU802" s="1">
        <v>0.555</v>
      </c>
      <c r="BV802" s="1">
        <v>1.795</v>
      </c>
      <c r="BW802" s="1">
        <v>0.715</v>
      </c>
      <c r="BX802" s="1">
        <v>0.266</v>
      </c>
      <c r="BY802" s="1">
        <v>0.645</v>
      </c>
      <c r="BZ802" s="1">
        <v>0.911</v>
      </c>
      <c r="CA802" s="1">
        <v>0.475</v>
      </c>
      <c r="CB802" s="1">
        <v>0.0</v>
      </c>
      <c r="CC802" s="1">
        <v>0.9</v>
      </c>
      <c r="CD802" s="1">
        <v>0.646</v>
      </c>
      <c r="CE802" s="1">
        <v>0.499</v>
      </c>
      <c r="CF802" s="1">
        <v>0.608</v>
      </c>
      <c r="CG802" s="1">
        <v>2.653</v>
      </c>
      <c r="CH802" s="1">
        <v>0.625</v>
      </c>
      <c r="CI802" s="1">
        <v>8.7591</v>
      </c>
      <c r="CJ802" s="1">
        <v>0.8181</v>
      </c>
      <c r="CK802" s="1">
        <v>0.0</v>
      </c>
      <c r="CL802" s="1">
        <v>0.0</v>
      </c>
      <c r="CM802" s="1">
        <v>1.0</v>
      </c>
      <c r="CN802" s="1">
        <v>1.0</v>
      </c>
      <c r="CO802" s="1">
        <v>2.0</v>
      </c>
      <c r="CP802" s="1">
        <v>0.0</v>
      </c>
      <c r="CQ802" s="1">
        <v>0.0</v>
      </c>
      <c r="CR802" s="1">
        <v>0.0</v>
      </c>
      <c r="CS802" s="1">
        <v>0.0</v>
      </c>
      <c r="CT802" s="1">
        <v>0.0</v>
      </c>
      <c r="CU802" s="1">
        <v>0.0</v>
      </c>
      <c r="CV802" s="1">
        <v>0.0</v>
      </c>
      <c r="CW802" s="1">
        <v>0.0</v>
      </c>
      <c r="CX802" s="1">
        <v>1.0</v>
      </c>
      <c r="CY802" s="1">
        <v>0.0</v>
      </c>
      <c r="CZ802" s="1">
        <v>0.0</v>
      </c>
      <c r="DA802" s="1">
        <v>0.0</v>
      </c>
      <c r="DB802" s="1">
        <v>1.0</v>
      </c>
      <c r="DC802" s="1">
        <v>3.0</v>
      </c>
      <c r="DD802" s="1" t="s">
        <v>3755</v>
      </c>
      <c r="DE802" s="2" t="s">
        <v>3756</v>
      </c>
      <c r="DF802" s="2" t="s">
        <v>3757</v>
      </c>
    </row>
    <row r="803" ht="15.75" customHeight="1">
      <c r="A803" s="1" t="s">
        <v>3758</v>
      </c>
      <c r="B803" s="1">
        <v>29.0</v>
      </c>
      <c r="C803" s="1">
        <v>149.0</v>
      </c>
      <c r="D803" s="1">
        <v>480200.0</v>
      </c>
      <c r="E803" s="1">
        <v>121.114</v>
      </c>
      <c r="F803" s="1">
        <v>29149.0</v>
      </c>
      <c r="G803" s="1">
        <v>2.91494802E10</v>
      </c>
      <c r="H803" s="1" t="s">
        <v>112</v>
      </c>
      <c r="I803" s="1" t="s">
        <v>113</v>
      </c>
      <c r="J803" s="1" t="s">
        <v>3753</v>
      </c>
      <c r="K803" s="1" t="s">
        <v>3759</v>
      </c>
      <c r="L803" s="1">
        <v>4490.0</v>
      </c>
      <c r="M803" s="1">
        <v>4765.0</v>
      </c>
      <c r="N803" s="1">
        <v>318.0</v>
      </c>
      <c r="O803" s="1">
        <v>2183.0</v>
      </c>
      <c r="P803" s="1">
        <v>2285.0</v>
      </c>
      <c r="Q803" s="1">
        <v>88.0</v>
      </c>
      <c r="R803" s="1">
        <v>1847.0</v>
      </c>
      <c r="S803" s="1">
        <v>1076.0</v>
      </c>
      <c r="T803" s="1">
        <v>293.0</v>
      </c>
      <c r="U803" s="1">
        <v>163.0</v>
      </c>
      <c r="V803" s="1">
        <v>309.0</v>
      </c>
      <c r="W803" s="1">
        <v>14669.0</v>
      </c>
      <c r="X803" s="1">
        <v>1385.0</v>
      </c>
      <c r="Y803" s="1">
        <v>672.0</v>
      </c>
      <c r="Z803" s="1">
        <v>197.0</v>
      </c>
      <c r="AA803" s="1">
        <v>837.0</v>
      </c>
      <c r="AB803" s="1">
        <v>1051.0</v>
      </c>
      <c r="AC803" s="1">
        <v>163.0</v>
      </c>
      <c r="AD803" s="1">
        <v>180.0</v>
      </c>
      <c r="AE803" s="1">
        <v>6.0</v>
      </c>
      <c r="AF803" s="1">
        <v>442.0</v>
      </c>
      <c r="AG803" s="1">
        <v>31.0</v>
      </c>
      <c r="AH803" s="1">
        <v>121.0</v>
      </c>
      <c r="AI803" s="1">
        <v>290.0</v>
      </c>
      <c r="AJ803" s="1">
        <v>75.0</v>
      </c>
      <c r="AK803" s="1">
        <v>62.0</v>
      </c>
      <c r="AL803" s="1">
        <v>122.0</v>
      </c>
      <c r="AM803" s="1">
        <v>136.0</v>
      </c>
      <c r="AN803" s="1">
        <v>54.0</v>
      </c>
      <c r="AO803" s="1">
        <v>75.0</v>
      </c>
      <c r="AP803" s="1">
        <v>0.229033</v>
      </c>
      <c r="AQ803" s="1">
        <v>0.060556</v>
      </c>
      <c r="AR803" s="1">
        <v>0.08787</v>
      </c>
      <c r="AS803" s="1">
        <v>0.166279</v>
      </c>
      <c r="AT803" s="1">
        <v>14669.0</v>
      </c>
      <c r="AU803" s="1">
        <v>1385.0</v>
      </c>
      <c r="AV803" s="1">
        <v>0.20696</v>
      </c>
      <c r="AW803" s="1">
        <v>0.059028</v>
      </c>
      <c r="AX803" s="1">
        <v>0.186414</v>
      </c>
      <c r="AY803" s="1">
        <v>0.234075</v>
      </c>
      <c r="AZ803" s="1">
        <v>0.08825121</v>
      </c>
      <c r="BA803" s="1">
        <v>0.040089</v>
      </c>
      <c r="BB803" s="1">
        <v>0.001361</v>
      </c>
      <c r="BC803" s="1">
        <v>0.100294</v>
      </c>
      <c r="BD803" s="1">
        <v>0.013566</v>
      </c>
      <c r="BE803" s="1">
        <v>0.052951</v>
      </c>
      <c r="BF803" s="1">
        <v>0.126914</v>
      </c>
      <c r="BG803" s="1">
        <v>0.032456</v>
      </c>
      <c r="BH803" s="1">
        <v>0.031843</v>
      </c>
      <c r="BI803" s="1">
        <v>0.062632</v>
      </c>
      <c r="BJ803" s="1">
        <v>0.069851</v>
      </c>
      <c r="BK803" s="1">
        <v>0.027426</v>
      </c>
      <c r="BL803" s="1">
        <v>0.016703</v>
      </c>
      <c r="BM803" s="1">
        <v>0.789</v>
      </c>
      <c r="BN803" s="1">
        <v>0.664</v>
      </c>
      <c r="BO803" s="1">
        <v>0.8888</v>
      </c>
      <c r="BP803" s="1">
        <v>0.771</v>
      </c>
      <c r="BQ803" s="1">
        <v>3.1128</v>
      </c>
      <c r="BR803" s="1">
        <v>0.826</v>
      </c>
      <c r="BS803" s="1">
        <v>0.821</v>
      </c>
      <c r="BT803" s="1">
        <v>0.431</v>
      </c>
      <c r="BU803" s="1">
        <v>0.388</v>
      </c>
      <c r="BV803" s="1">
        <v>1.64</v>
      </c>
      <c r="BW803" s="1">
        <v>0.594</v>
      </c>
      <c r="BX803" s="1">
        <v>0.164</v>
      </c>
      <c r="BY803" s="1">
        <v>0.346</v>
      </c>
      <c r="BZ803" s="1">
        <v>0.51</v>
      </c>
      <c r="CA803" s="1">
        <v>0.214</v>
      </c>
      <c r="CB803" s="1">
        <v>0.414</v>
      </c>
      <c r="CC803" s="1">
        <v>0.769</v>
      </c>
      <c r="CD803" s="1">
        <v>0.829</v>
      </c>
      <c r="CE803" s="1">
        <v>0.625</v>
      </c>
      <c r="CF803" s="1">
        <v>0.671</v>
      </c>
      <c r="CG803" s="1">
        <v>3.308</v>
      </c>
      <c r="CH803" s="1">
        <v>0.874</v>
      </c>
      <c r="CI803" s="1">
        <v>8.5708</v>
      </c>
      <c r="CJ803" s="1">
        <v>0.7978</v>
      </c>
      <c r="CK803" s="1">
        <v>0.0</v>
      </c>
      <c r="CL803" s="1">
        <v>0.0</v>
      </c>
      <c r="CM803" s="1">
        <v>0.0</v>
      </c>
      <c r="CN803" s="1">
        <v>0.0</v>
      </c>
      <c r="CO803" s="1">
        <v>0.0</v>
      </c>
      <c r="CP803" s="1">
        <v>0.0</v>
      </c>
      <c r="CQ803" s="1">
        <v>0.0</v>
      </c>
      <c r="CR803" s="1">
        <v>0.0</v>
      </c>
      <c r="CS803" s="1">
        <v>0.0</v>
      </c>
      <c r="CT803" s="1">
        <v>0.0</v>
      </c>
      <c r="CU803" s="1">
        <v>0.0</v>
      </c>
      <c r="CV803" s="1">
        <v>0.0</v>
      </c>
      <c r="CW803" s="1">
        <v>0.0</v>
      </c>
      <c r="CX803" s="1">
        <v>0.0</v>
      </c>
      <c r="CY803" s="1">
        <v>0.0</v>
      </c>
      <c r="CZ803" s="1">
        <v>0.0</v>
      </c>
      <c r="DA803" s="1">
        <v>0.0</v>
      </c>
      <c r="DB803" s="1">
        <v>0.0</v>
      </c>
      <c r="DC803" s="1">
        <v>0.0</v>
      </c>
      <c r="DD803" s="1" t="s">
        <v>3760</v>
      </c>
      <c r="DE803" s="1">
        <v>0.0316240099168558</v>
      </c>
      <c r="DF803" s="2" t="s">
        <v>3761</v>
      </c>
    </row>
    <row r="804" ht="15.75" customHeight="1">
      <c r="A804" s="1" t="s">
        <v>3762</v>
      </c>
      <c r="B804" s="1">
        <v>29.0</v>
      </c>
      <c r="C804" s="1">
        <v>149.0</v>
      </c>
      <c r="D804" s="1">
        <v>480300.0</v>
      </c>
      <c r="E804" s="1">
        <v>264.484</v>
      </c>
      <c r="F804" s="1">
        <v>29149.0</v>
      </c>
      <c r="G804" s="1">
        <v>2.91494803E10</v>
      </c>
      <c r="H804" s="1" t="s">
        <v>112</v>
      </c>
      <c r="I804" s="1" t="s">
        <v>113</v>
      </c>
      <c r="J804" s="1" t="s">
        <v>3753</v>
      </c>
      <c r="K804" s="1" t="s">
        <v>3763</v>
      </c>
      <c r="L804" s="1">
        <v>2642.0</v>
      </c>
      <c r="M804" s="1">
        <v>2656.0</v>
      </c>
      <c r="N804" s="1">
        <v>305.0</v>
      </c>
      <c r="O804" s="1">
        <v>1410.0</v>
      </c>
      <c r="P804" s="1">
        <v>1414.0</v>
      </c>
      <c r="Q804" s="1">
        <v>88.0</v>
      </c>
      <c r="R804" s="1">
        <v>1119.0</v>
      </c>
      <c r="S804" s="1">
        <v>577.0</v>
      </c>
      <c r="T804" s="1">
        <v>198.0</v>
      </c>
      <c r="U804" s="1">
        <v>107.0</v>
      </c>
      <c r="V804" s="1">
        <v>399.0</v>
      </c>
      <c r="W804" s="1">
        <v>16918.0</v>
      </c>
      <c r="X804" s="1">
        <v>2650.0</v>
      </c>
      <c r="Y804" s="1">
        <v>359.0</v>
      </c>
      <c r="Z804" s="1">
        <v>245.0</v>
      </c>
      <c r="AA804" s="1">
        <v>598.0</v>
      </c>
      <c r="AB804" s="1">
        <v>510.0</v>
      </c>
      <c r="AC804" s="1">
        <v>62.0</v>
      </c>
      <c r="AD804" s="1">
        <v>98.0</v>
      </c>
      <c r="AE804" s="1">
        <v>0.0</v>
      </c>
      <c r="AF804" s="1">
        <v>456.0</v>
      </c>
      <c r="AG804" s="1">
        <v>18.0</v>
      </c>
      <c r="AH804" s="1">
        <v>116.0</v>
      </c>
      <c r="AI804" s="1">
        <v>302.0</v>
      </c>
      <c r="AJ804" s="1">
        <v>84.0</v>
      </c>
      <c r="AK804" s="1">
        <v>36.0</v>
      </c>
      <c r="AL804" s="1">
        <v>36.0</v>
      </c>
      <c r="AM804" s="1">
        <v>78.0</v>
      </c>
      <c r="AN804" s="1">
        <v>40.0</v>
      </c>
      <c r="AO804" s="1">
        <v>0.0</v>
      </c>
      <c r="AP804" s="1">
        <v>0.217243</v>
      </c>
      <c r="AQ804" s="1">
        <v>0.07025</v>
      </c>
      <c r="AR804" s="1">
        <v>0.114683</v>
      </c>
      <c r="AS804" s="1">
        <v>0.426692</v>
      </c>
      <c r="AT804" s="1">
        <v>16918.0</v>
      </c>
      <c r="AU804" s="1">
        <v>2650.0</v>
      </c>
      <c r="AV804" s="1">
        <v>0.179679</v>
      </c>
      <c r="AW804" s="1">
        <v>0.121336</v>
      </c>
      <c r="AX804" s="1">
        <v>0.226343</v>
      </c>
      <c r="AY804" s="1">
        <v>0.193035</v>
      </c>
      <c r="AZ804" s="1">
        <v>0.05540661</v>
      </c>
      <c r="BA804" s="1">
        <v>0.037093</v>
      </c>
      <c r="BB804" s="1">
        <v>0.0</v>
      </c>
      <c r="BC804" s="1">
        <v>0.177087</v>
      </c>
      <c r="BD804" s="1">
        <v>0.012729</v>
      </c>
      <c r="BE804" s="1">
        <v>0.082032</v>
      </c>
      <c r="BF804" s="1">
        <v>0.213578</v>
      </c>
      <c r="BG804" s="1">
        <v>0.057899</v>
      </c>
      <c r="BH804" s="1">
        <v>0.031774</v>
      </c>
      <c r="BI804" s="1">
        <v>0.031615</v>
      </c>
      <c r="BJ804" s="1">
        <v>0.068843</v>
      </c>
      <c r="BK804" s="1">
        <v>0.03463</v>
      </c>
      <c r="BL804" s="1">
        <v>0.0</v>
      </c>
      <c r="BM804" s="1">
        <v>0.768</v>
      </c>
      <c r="BN804" s="1">
        <v>0.802</v>
      </c>
      <c r="BO804" s="1">
        <v>0.7913</v>
      </c>
      <c r="BP804" s="1">
        <v>0.688</v>
      </c>
      <c r="BQ804" s="1">
        <v>3.0493</v>
      </c>
      <c r="BR804" s="1">
        <v>0.813</v>
      </c>
      <c r="BS804" s="1">
        <v>0.946</v>
      </c>
      <c r="BT804" s="1">
        <v>0.162</v>
      </c>
      <c r="BU804" s="1">
        <v>0.105</v>
      </c>
      <c r="BV804" s="1">
        <v>1.213</v>
      </c>
      <c r="BW804" s="1">
        <v>0.241</v>
      </c>
      <c r="BX804" s="1">
        <v>0.139</v>
      </c>
      <c r="BY804" s="1">
        <v>0.0</v>
      </c>
      <c r="BZ804" s="1">
        <v>0.139</v>
      </c>
      <c r="CA804" s="1">
        <v>0.066</v>
      </c>
      <c r="CB804" s="1">
        <v>0.406</v>
      </c>
      <c r="CC804" s="1">
        <v>0.914</v>
      </c>
      <c r="CD804" s="1">
        <v>0.828</v>
      </c>
      <c r="CE804" s="1">
        <v>0.618</v>
      </c>
      <c r="CF804" s="1">
        <v>0.0</v>
      </c>
      <c r="CG804" s="1">
        <v>2.766</v>
      </c>
      <c r="CH804" s="1">
        <v>0.672</v>
      </c>
      <c r="CI804" s="1">
        <v>7.1673</v>
      </c>
      <c r="CJ804" s="1">
        <v>0.5827</v>
      </c>
      <c r="CK804" s="1">
        <v>0.0</v>
      </c>
      <c r="CL804" s="1">
        <v>0.0</v>
      </c>
      <c r="CM804" s="1">
        <v>0.0</v>
      </c>
      <c r="CN804" s="1">
        <v>0.0</v>
      </c>
      <c r="CO804" s="1">
        <v>0.0</v>
      </c>
      <c r="CP804" s="1">
        <v>1.0</v>
      </c>
      <c r="CQ804" s="1">
        <v>0.0</v>
      </c>
      <c r="CR804" s="1">
        <v>0.0</v>
      </c>
      <c r="CS804" s="1">
        <v>1.0</v>
      </c>
      <c r="CT804" s="1">
        <v>0.0</v>
      </c>
      <c r="CU804" s="1">
        <v>0.0</v>
      </c>
      <c r="CV804" s="1">
        <v>0.0</v>
      </c>
      <c r="CW804" s="1">
        <v>0.0</v>
      </c>
      <c r="CX804" s="1">
        <v>1.0</v>
      </c>
      <c r="CY804" s="1">
        <v>0.0</v>
      </c>
      <c r="CZ804" s="1">
        <v>0.0</v>
      </c>
      <c r="DA804" s="1">
        <v>0.0</v>
      </c>
      <c r="DB804" s="1">
        <v>1.0</v>
      </c>
      <c r="DC804" s="1">
        <v>2.0</v>
      </c>
      <c r="DD804" s="1" t="s">
        <v>3764</v>
      </c>
      <c r="DE804" s="1">
        <v>0.0691448578498119</v>
      </c>
      <c r="DF804" s="2" t="s">
        <v>3765</v>
      </c>
    </row>
    <row r="805" ht="15.75" customHeight="1">
      <c r="A805" s="1" t="s">
        <v>3766</v>
      </c>
      <c r="B805" s="1">
        <v>29.0</v>
      </c>
      <c r="C805" s="1">
        <v>151.0</v>
      </c>
      <c r="D805" s="1">
        <v>490300.0</v>
      </c>
      <c r="E805" s="1">
        <v>147.97</v>
      </c>
      <c r="F805" s="1">
        <v>29151.0</v>
      </c>
      <c r="G805" s="1">
        <v>2.91514903E10</v>
      </c>
      <c r="H805" s="1" t="s">
        <v>112</v>
      </c>
      <c r="I805" s="1" t="s">
        <v>113</v>
      </c>
      <c r="J805" s="1" t="s">
        <v>3767</v>
      </c>
      <c r="K805" s="1" t="s">
        <v>3768</v>
      </c>
      <c r="L805" s="1">
        <v>3536.0</v>
      </c>
      <c r="M805" s="1">
        <v>3721.0</v>
      </c>
      <c r="N805" s="1">
        <v>369.0</v>
      </c>
      <c r="O805" s="1">
        <v>1498.0</v>
      </c>
      <c r="P805" s="1">
        <v>1507.0</v>
      </c>
      <c r="Q805" s="1">
        <v>76.0</v>
      </c>
      <c r="R805" s="1">
        <v>1307.0</v>
      </c>
      <c r="S805" s="1">
        <v>320.0</v>
      </c>
      <c r="T805" s="1">
        <v>269.0</v>
      </c>
      <c r="U805" s="1">
        <v>13.0</v>
      </c>
      <c r="V805" s="1">
        <v>484.0</v>
      </c>
      <c r="W805" s="1">
        <v>23726.0</v>
      </c>
      <c r="X805" s="1">
        <v>2187.0</v>
      </c>
      <c r="Y805" s="1">
        <v>293.0</v>
      </c>
      <c r="Z805" s="1">
        <v>294.0</v>
      </c>
      <c r="AA805" s="1">
        <v>561.0</v>
      </c>
      <c r="AB805" s="1">
        <v>928.0</v>
      </c>
      <c r="AC805" s="1">
        <v>57.0</v>
      </c>
      <c r="AD805" s="1">
        <v>55.0</v>
      </c>
      <c r="AE805" s="1">
        <v>0.0</v>
      </c>
      <c r="AF805" s="1">
        <v>456.0</v>
      </c>
      <c r="AG805" s="1">
        <v>3.0</v>
      </c>
      <c r="AH805" s="1">
        <v>161.0</v>
      </c>
      <c r="AI805" s="1">
        <v>27.0</v>
      </c>
      <c r="AJ805" s="1">
        <v>20.0</v>
      </c>
      <c r="AK805" s="1">
        <v>16.0</v>
      </c>
      <c r="AL805" s="1">
        <v>116.0</v>
      </c>
      <c r="AM805" s="1">
        <v>28.0</v>
      </c>
      <c r="AN805" s="1">
        <v>115.0</v>
      </c>
      <c r="AO805" s="1">
        <v>87.0</v>
      </c>
      <c r="AP805" s="1">
        <v>0.087839</v>
      </c>
      <c r="AQ805" s="1">
        <v>0.073331</v>
      </c>
      <c r="AR805" s="1">
        <v>0.006922</v>
      </c>
      <c r="AS805" s="1">
        <v>0.257719</v>
      </c>
      <c r="AT805" s="1">
        <v>23726.0</v>
      </c>
      <c r="AU805" s="1">
        <v>2187.0</v>
      </c>
      <c r="AV805" s="1">
        <v>0.120032</v>
      </c>
      <c r="AW805" s="1">
        <v>0.119986</v>
      </c>
      <c r="AX805" s="1">
        <v>0.158653</v>
      </c>
      <c r="AY805" s="1">
        <v>0.262443</v>
      </c>
      <c r="AZ805" s="1">
        <v>0.04361132</v>
      </c>
      <c r="BA805" s="1">
        <v>0.015554</v>
      </c>
      <c r="BB805" s="1">
        <v>0.0</v>
      </c>
      <c r="BC805" s="1">
        <v>0.128849</v>
      </c>
      <c r="BD805" s="1">
        <v>0.00199</v>
      </c>
      <c r="BE805" s="1">
        <v>0.106834</v>
      </c>
      <c r="BF805" s="1">
        <v>0.017916</v>
      </c>
      <c r="BG805" s="1">
        <v>0.01324</v>
      </c>
      <c r="BH805" s="1">
        <v>0.012422</v>
      </c>
      <c r="BI805" s="1">
        <v>0.090056</v>
      </c>
      <c r="BJ805" s="1">
        <v>0.021739</v>
      </c>
      <c r="BK805" s="1">
        <v>0.089267</v>
      </c>
      <c r="BL805" s="1">
        <v>0.024604</v>
      </c>
      <c r="BM805" s="1">
        <v>0.328</v>
      </c>
      <c r="BN805" s="1">
        <v>0.007</v>
      </c>
      <c r="BO805" s="1">
        <v>0.4094</v>
      </c>
      <c r="BP805" s="1">
        <v>0.429</v>
      </c>
      <c r="BQ805" s="1">
        <v>1.1734</v>
      </c>
      <c r="BR805" s="1">
        <v>0.2462</v>
      </c>
      <c r="BS805" s="1">
        <v>0.654</v>
      </c>
      <c r="BT805" s="1">
        <v>0.728</v>
      </c>
      <c r="BU805" s="1">
        <v>0.053</v>
      </c>
      <c r="BV805" s="1">
        <v>1.435</v>
      </c>
      <c r="BW805" s="1">
        <v>0.422</v>
      </c>
      <c r="BX805" s="1">
        <v>0.006</v>
      </c>
      <c r="BY805" s="1">
        <v>0.0</v>
      </c>
      <c r="BZ805" s="1">
        <v>0.006</v>
      </c>
      <c r="CA805" s="1">
        <v>0.003</v>
      </c>
      <c r="CB805" s="1">
        <v>0.271</v>
      </c>
      <c r="CC805" s="1">
        <v>0.502</v>
      </c>
      <c r="CD805" s="1">
        <v>0.537</v>
      </c>
      <c r="CE805" s="1">
        <v>0.199</v>
      </c>
      <c r="CF805" s="1">
        <v>0.765</v>
      </c>
      <c r="CG805" s="1">
        <v>2.274</v>
      </c>
      <c r="CH805" s="1">
        <v>0.448</v>
      </c>
      <c r="CI805" s="1">
        <v>4.8884</v>
      </c>
      <c r="CJ805" s="1">
        <v>0.1877</v>
      </c>
      <c r="CK805" s="1">
        <v>0.0</v>
      </c>
      <c r="CL805" s="1">
        <v>0.0</v>
      </c>
      <c r="CM805" s="1">
        <v>0.0</v>
      </c>
      <c r="CN805" s="1">
        <v>0.0</v>
      </c>
      <c r="CO805" s="1">
        <v>0.0</v>
      </c>
      <c r="CP805" s="1">
        <v>0.0</v>
      </c>
      <c r="CQ805" s="1">
        <v>0.0</v>
      </c>
      <c r="CR805" s="1">
        <v>0.0</v>
      </c>
      <c r="CS805" s="1">
        <v>0.0</v>
      </c>
      <c r="CT805" s="1">
        <v>0.0</v>
      </c>
      <c r="CU805" s="1">
        <v>0.0</v>
      </c>
      <c r="CV805" s="1">
        <v>0.0</v>
      </c>
      <c r="CW805" s="1">
        <v>0.0</v>
      </c>
      <c r="CX805" s="1">
        <v>0.0</v>
      </c>
      <c r="CY805" s="1">
        <v>0.0</v>
      </c>
      <c r="CZ805" s="1">
        <v>0.0</v>
      </c>
      <c r="DA805" s="1">
        <v>0.0</v>
      </c>
      <c r="DB805" s="1">
        <v>0.0</v>
      </c>
      <c r="DC805" s="1">
        <v>0.0</v>
      </c>
      <c r="DD805" s="1" t="s">
        <v>3769</v>
      </c>
      <c r="DE805" s="2" t="s">
        <v>3770</v>
      </c>
      <c r="DF805" s="2" t="s">
        <v>3771</v>
      </c>
    </row>
    <row r="806" ht="15.75" customHeight="1">
      <c r="A806" s="1" t="s">
        <v>3772</v>
      </c>
      <c r="B806" s="1">
        <v>29.0</v>
      </c>
      <c r="C806" s="1">
        <v>151.0</v>
      </c>
      <c r="D806" s="1">
        <v>490400.0</v>
      </c>
      <c r="E806" s="1">
        <v>152.978</v>
      </c>
      <c r="F806" s="1">
        <v>29151.0</v>
      </c>
      <c r="G806" s="1">
        <v>2.91514904E10</v>
      </c>
      <c r="H806" s="1" t="s">
        <v>112</v>
      </c>
      <c r="I806" s="1" t="s">
        <v>113</v>
      </c>
      <c r="J806" s="1" t="s">
        <v>3767</v>
      </c>
      <c r="K806" s="1" t="s">
        <v>3773</v>
      </c>
      <c r="L806" s="1">
        <v>2528.0</v>
      </c>
      <c r="M806" s="1">
        <v>2280.0</v>
      </c>
      <c r="N806" s="1">
        <v>382.0</v>
      </c>
      <c r="O806" s="1">
        <v>1331.0</v>
      </c>
      <c r="P806" s="1">
        <v>1163.0</v>
      </c>
      <c r="Q806" s="1">
        <v>81.0</v>
      </c>
      <c r="R806" s="1">
        <v>1023.0</v>
      </c>
      <c r="S806" s="1">
        <v>252.0</v>
      </c>
      <c r="T806" s="1">
        <v>133.0</v>
      </c>
      <c r="U806" s="1">
        <v>53.0</v>
      </c>
      <c r="V806" s="1">
        <v>443.0</v>
      </c>
      <c r="W806" s="1">
        <v>21027.0</v>
      </c>
      <c r="X806" s="1">
        <v>2995.0</v>
      </c>
      <c r="Y806" s="1">
        <v>263.0</v>
      </c>
      <c r="Z806" s="1">
        <v>290.0</v>
      </c>
      <c r="AA806" s="1">
        <v>395.0</v>
      </c>
      <c r="AB806" s="1">
        <v>613.0</v>
      </c>
      <c r="AC806" s="1">
        <v>54.0</v>
      </c>
      <c r="AD806" s="1">
        <v>33.0</v>
      </c>
      <c r="AE806" s="1">
        <v>11.0</v>
      </c>
      <c r="AF806" s="1">
        <v>427.0</v>
      </c>
      <c r="AG806" s="1">
        <v>3.0</v>
      </c>
      <c r="AH806" s="1">
        <v>161.0</v>
      </c>
      <c r="AI806" s="1">
        <v>132.0</v>
      </c>
      <c r="AJ806" s="1">
        <v>68.0</v>
      </c>
      <c r="AK806" s="1">
        <v>0.0</v>
      </c>
      <c r="AL806" s="1">
        <v>161.0</v>
      </c>
      <c r="AM806" s="1">
        <v>21.0</v>
      </c>
      <c r="AN806" s="1">
        <v>20.0</v>
      </c>
      <c r="AO806" s="1">
        <v>0.0</v>
      </c>
      <c r="AP806" s="1">
        <v>0.110526</v>
      </c>
      <c r="AQ806" s="1">
        <v>0.055316</v>
      </c>
      <c r="AR806" s="1">
        <v>0.053053</v>
      </c>
      <c r="AS806" s="1">
        <v>0.443346</v>
      </c>
      <c r="AT806" s="1">
        <v>21027.0</v>
      </c>
      <c r="AU806" s="1">
        <v>2995.0</v>
      </c>
      <c r="AV806" s="1">
        <v>0.15599</v>
      </c>
      <c r="AW806" s="1">
        <v>0.170625</v>
      </c>
      <c r="AX806" s="1">
        <v>0.15625</v>
      </c>
      <c r="AY806" s="1">
        <v>0.242484</v>
      </c>
      <c r="AZ806" s="1">
        <v>0.05278592</v>
      </c>
      <c r="BA806" s="1">
        <v>0.013053</v>
      </c>
      <c r="BB806" s="1">
        <v>0.005064</v>
      </c>
      <c r="BC806" s="1">
        <v>0.196591</v>
      </c>
      <c r="BD806" s="1">
        <v>0.002579</v>
      </c>
      <c r="BE806" s="1">
        <v>0.138434</v>
      </c>
      <c r="BF806" s="1">
        <v>0.113499</v>
      </c>
      <c r="BG806" s="1">
        <v>0.057932</v>
      </c>
      <c r="BH806" s="1">
        <v>0.0</v>
      </c>
      <c r="BI806" s="1">
        <v>0.16894</v>
      </c>
      <c r="BJ806" s="1">
        <v>0.022035</v>
      </c>
      <c r="BK806" s="1">
        <v>0.020789</v>
      </c>
      <c r="BL806" s="1">
        <v>0.0</v>
      </c>
      <c r="BM806" s="1">
        <v>0.42</v>
      </c>
      <c r="BN806" s="1">
        <v>0.324</v>
      </c>
      <c r="BO806" s="1">
        <v>0.5509</v>
      </c>
      <c r="BP806" s="1">
        <v>0.59</v>
      </c>
      <c r="BQ806" s="1">
        <v>1.8849</v>
      </c>
      <c r="BR806" s="1">
        <v>0.4578</v>
      </c>
      <c r="BS806" s="1">
        <v>0.637</v>
      </c>
      <c r="BT806" s="1">
        <v>0.519</v>
      </c>
      <c r="BU806" s="1">
        <v>0.089</v>
      </c>
      <c r="BV806" s="1">
        <v>1.245</v>
      </c>
      <c r="BW806" s="1">
        <v>0.262</v>
      </c>
      <c r="BX806" s="1">
        <v>0.002</v>
      </c>
      <c r="BY806" s="1">
        <v>0.564</v>
      </c>
      <c r="BZ806" s="1">
        <v>0.566</v>
      </c>
      <c r="CA806" s="1">
        <v>0.248</v>
      </c>
      <c r="CB806" s="1">
        <v>0.281</v>
      </c>
      <c r="CC806" s="1">
        <v>0.746</v>
      </c>
      <c r="CD806" s="1">
        <v>0.0</v>
      </c>
      <c r="CE806" s="1">
        <v>0.203</v>
      </c>
      <c r="CF806" s="1">
        <v>0.0</v>
      </c>
      <c r="CG806" s="1">
        <v>1.23</v>
      </c>
      <c r="CH806" s="1">
        <v>0.115</v>
      </c>
      <c r="CI806" s="1">
        <v>4.9259</v>
      </c>
      <c r="CJ806" s="1">
        <v>0.1935</v>
      </c>
      <c r="CK806" s="1">
        <v>0.0</v>
      </c>
      <c r="CL806" s="1">
        <v>0.0</v>
      </c>
      <c r="CM806" s="1">
        <v>0.0</v>
      </c>
      <c r="CN806" s="1">
        <v>0.0</v>
      </c>
      <c r="CO806" s="1">
        <v>0.0</v>
      </c>
      <c r="CP806" s="1">
        <v>0.0</v>
      </c>
      <c r="CQ806" s="1">
        <v>0.0</v>
      </c>
      <c r="CR806" s="1">
        <v>0.0</v>
      </c>
      <c r="CS806" s="1">
        <v>0.0</v>
      </c>
      <c r="CT806" s="1">
        <v>0.0</v>
      </c>
      <c r="CU806" s="1">
        <v>0.0</v>
      </c>
      <c r="CV806" s="1">
        <v>0.0</v>
      </c>
      <c r="CW806" s="1">
        <v>0.0</v>
      </c>
      <c r="CX806" s="1">
        <v>0.0</v>
      </c>
      <c r="CY806" s="1">
        <v>0.0</v>
      </c>
      <c r="CZ806" s="1">
        <v>0.0</v>
      </c>
      <c r="DA806" s="1">
        <v>0.0</v>
      </c>
      <c r="DB806" s="1">
        <v>0.0</v>
      </c>
      <c r="DC806" s="1">
        <v>0.0</v>
      </c>
      <c r="DD806" s="1" t="s">
        <v>3774</v>
      </c>
      <c r="DE806" s="2" t="s">
        <v>3775</v>
      </c>
      <c r="DF806" s="2" t="s">
        <v>3776</v>
      </c>
    </row>
    <row r="807" ht="15.75" customHeight="1">
      <c r="A807" s="1" t="s">
        <v>3777</v>
      </c>
      <c r="B807" s="1">
        <v>29.0</v>
      </c>
      <c r="C807" s="1">
        <v>151.0</v>
      </c>
      <c r="D807" s="1">
        <v>490100.0</v>
      </c>
      <c r="E807" s="1">
        <v>176.188</v>
      </c>
      <c r="F807" s="1">
        <v>29151.0</v>
      </c>
      <c r="G807" s="1">
        <v>2.91514901E10</v>
      </c>
      <c r="H807" s="1" t="s">
        <v>112</v>
      </c>
      <c r="I807" s="1" t="s">
        <v>113</v>
      </c>
      <c r="J807" s="1" t="s">
        <v>3767</v>
      </c>
      <c r="K807" s="1" t="s">
        <v>3778</v>
      </c>
      <c r="L807" s="1">
        <v>3381.0</v>
      </c>
      <c r="M807" s="1">
        <v>3801.0</v>
      </c>
      <c r="N807" s="1">
        <v>363.0</v>
      </c>
      <c r="O807" s="1">
        <v>1640.0</v>
      </c>
      <c r="P807" s="1">
        <v>1782.0</v>
      </c>
      <c r="Q807" s="1">
        <v>78.0</v>
      </c>
      <c r="R807" s="1">
        <v>1323.0</v>
      </c>
      <c r="S807" s="1">
        <v>349.0</v>
      </c>
      <c r="T807" s="1">
        <v>265.0</v>
      </c>
      <c r="U807" s="1">
        <v>49.0</v>
      </c>
      <c r="V807" s="1">
        <v>472.0</v>
      </c>
      <c r="W807" s="1">
        <v>20767.0</v>
      </c>
      <c r="X807" s="1">
        <v>2863.0</v>
      </c>
      <c r="Y807" s="1">
        <v>294.0</v>
      </c>
      <c r="Z807" s="1">
        <v>291.0</v>
      </c>
      <c r="AA807" s="1">
        <v>502.0</v>
      </c>
      <c r="AB807" s="1">
        <v>866.0</v>
      </c>
      <c r="AC807" s="1">
        <v>84.0</v>
      </c>
      <c r="AD807" s="1">
        <v>34.0</v>
      </c>
      <c r="AE807" s="1">
        <v>2.0</v>
      </c>
      <c r="AF807" s="1">
        <v>442.0</v>
      </c>
      <c r="AG807" s="1">
        <v>17.0</v>
      </c>
      <c r="AH807" s="1">
        <v>163.0</v>
      </c>
      <c r="AI807" s="1">
        <v>131.0</v>
      </c>
      <c r="AJ807" s="1">
        <v>79.0</v>
      </c>
      <c r="AK807" s="1">
        <v>17.0</v>
      </c>
      <c r="AL807" s="1">
        <v>117.0</v>
      </c>
      <c r="AM807" s="1">
        <v>66.0</v>
      </c>
      <c r="AN807" s="1">
        <v>44.0</v>
      </c>
      <c r="AO807" s="1">
        <v>0.0</v>
      </c>
      <c r="AP807" s="1">
        <v>0.092352</v>
      </c>
      <c r="AQ807" s="1">
        <v>0.069585</v>
      </c>
      <c r="AR807" s="1">
        <v>0.026063</v>
      </c>
      <c r="AS807" s="1">
        <v>0.251045</v>
      </c>
      <c r="AT807" s="1">
        <v>20767.0</v>
      </c>
      <c r="AU807" s="1">
        <v>2863.0</v>
      </c>
      <c r="AV807" s="1">
        <v>0.127993</v>
      </c>
      <c r="AW807" s="1">
        <v>0.12614</v>
      </c>
      <c r="AX807" s="1">
        <v>0.148476</v>
      </c>
      <c r="AY807" s="1">
        <v>0.256137</v>
      </c>
      <c r="AZ807" s="1">
        <v>0.06349206</v>
      </c>
      <c r="BA807" s="1">
        <v>0.010056</v>
      </c>
      <c r="BB807" s="1">
        <v>5.77E-4</v>
      </c>
      <c r="BC807" s="1">
        <v>0.127671</v>
      </c>
      <c r="BD807" s="1">
        <v>0.009539</v>
      </c>
      <c r="BE807" s="1">
        <v>0.091469</v>
      </c>
      <c r="BF807" s="1">
        <v>0.073512</v>
      </c>
      <c r="BG807" s="1">
        <v>0.044215</v>
      </c>
      <c r="BH807" s="1">
        <v>0.012301</v>
      </c>
      <c r="BI807" s="1">
        <v>0.084652</v>
      </c>
      <c r="BJ807" s="1">
        <v>0.047756</v>
      </c>
      <c r="BK807" s="1">
        <v>0.031543</v>
      </c>
      <c r="BL807" s="1">
        <v>0.0</v>
      </c>
      <c r="BM807" s="1">
        <v>0.348</v>
      </c>
      <c r="BN807" s="1">
        <v>0.058</v>
      </c>
      <c r="BO807" s="1">
        <v>0.5668</v>
      </c>
      <c r="BP807" s="1">
        <v>0.462</v>
      </c>
      <c r="BQ807" s="1">
        <v>1.4348</v>
      </c>
      <c r="BR807" s="1">
        <v>0.3249</v>
      </c>
      <c r="BS807" s="1">
        <v>0.564</v>
      </c>
      <c r="BT807" s="1">
        <v>0.662</v>
      </c>
      <c r="BU807" s="1">
        <v>0.16</v>
      </c>
      <c r="BV807" s="1">
        <v>1.386</v>
      </c>
      <c r="BW807" s="1">
        <v>0.376</v>
      </c>
      <c r="BX807" s="1">
        <v>0.001</v>
      </c>
      <c r="BY807" s="1">
        <v>0.321</v>
      </c>
      <c r="BZ807" s="1">
        <v>0.322</v>
      </c>
      <c r="CA807" s="1">
        <v>0.137</v>
      </c>
      <c r="CB807" s="1">
        <v>0.38</v>
      </c>
      <c r="CC807" s="1">
        <v>0.66</v>
      </c>
      <c r="CD807" s="1">
        <v>0.535</v>
      </c>
      <c r="CE807" s="1">
        <v>0.47</v>
      </c>
      <c r="CF807" s="1">
        <v>0.0</v>
      </c>
      <c r="CG807" s="1">
        <v>2.045</v>
      </c>
      <c r="CH807" s="1">
        <v>0.363</v>
      </c>
      <c r="CI807" s="1">
        <v>5.1878</v>
      </c>
      <c r="CJ807" s="1">
        <v>0.2282</v>
      </c>
      <c r="CK807" s="1">
        <v>0.0</v>
      </c>
      <c r="CL807" s="1">
        <v>0.0</v>
      </c>
      <c r="CM807" s="1">
        <v>0.0</v>
      </c>
      <c r="CN807" s="1">
        <v>0.0</v>
      </c>
      <c r="CO807" s="1">
        <v>0.0</v>
      </c>
      <c r="CP807" s="1">
        <v>0.0</v>
      </c>
      <c r="CQ807" s="1">
        <v>0.0</v>
      </c>
      <c r="CR807" s="1">
        <v>0.0</v>
      </c>
      <c r="CS807" s="1">
        <v>0.0</v>
      </c>
      <c r="CT807" s="1">
        <v>0.0</v>
      </c>
      <c r="CU807" s="1">
        <v>0.0</v>
      </c>
      <c r="CV807" s="1">
        <v>0.0</v>
      </c>
      <c r="CW807" s="1">
        <v>0.0</v>
      </c>
      <c r="CX807" s="1">
        <v>0.0</v>
      </c>
      <c r="CY807" s="1">
        <v>0.0</v>
      </c>
      <c r="CZ807" s="1">
        <v>0.0</v>
      </c>
      <c r="DA807" s="1">
        <v>0.0</v>
      </c>
      <c r="DB807" s="1">
        <v>0.0</v>
      </c>
      <c r="DC807" s="1">
        <v>0.0</v>
      </c>
      <c r="DD807" s="1" t="s">
        <v>3779</v>
      </c>
      <c r="DE807" s="2" t="s">
        <v>3780</v>
      </c>
      <c r="DF807" s="2" t="s">
        <v>3781</v>
      </c>
    </row>
    <row r="808" ht="15.75" customHeight="1">
      <c r="A808" s="1" t="s">
        <v>3782</v>
      </c>
      <c r="B808" s="1">
        <v>29.0</v>
      </c>
      <c r="C808" s="1">
        <v>151.0</v>
      </c>
      <c r="D808" s="1">
        <v>490200.0</v>
      </c>
      <c r="E808" s="1">
        <v>127.209</v>
      </c>
      <c r="F808" s="1">
        <v>29151.0</v>
      </c>
      <c r="G808" s="1">
        <v>2.91514902E10</v>
      </c>
      <c r="H808" s="1" t="s">
        <v>112</v>
      </c>
      <c r="I808" s="1" t="s">
        <v>113</v>
      </c>
      <c r="J808" s="1" t="s">
        <v>3767</v>
      </c>
      <c r="K808" s="1" t="s">
        <v>3783</v>
      </c>
      <c r="L808" s="1">
        <v>4433.0</v>
      </c>
      <c r="M808" s="1">
        <v>3966.0</v>
      </c>
      <c r="N808" s="1">
        <v>334.0</v>
      </c>
      <c r="O808" s="1">
        <v>2064.0</v>
      </c>
      <c r="P808" s="1">
        <v>2013.0</v>
      </c>
      <c r="Q808" s="1">
        <v>78.0</v>
      </c>
      <c r="R808" s="1">
        <v>1675.0</v>
      </c>
      <c r="S808" s="1">
        <v>569.0</v>
      </c>
      <c r="T808" s="1">
        <v>195.0</v>
      </c>
      <c r="U808" s="1">
        <v>79.0</v>
      </c>
      <c r="V808" s="1">
        <v>363.0</v>
      </c>
      <c r="W808" s="1">
        <v>20329.0</v>
      </c>
      <c r="X808" s="1">
        <v>2727.0</v>
      </c>
      <c r="Y808" s="1">
        <v>412.0</v>
      </c>
      <c r="Z808" s="1">
        <v>256.0</v>
      </c>
      <c r="AA808" s="1">
        <v>619.0</v>
      </c>
      <c r="AB808" s="1">
        <v>1026.0</v>
      </c>
      <c r="AC808" s="1">
        <v>152.0</v>
      </c>
      <c r="AD808" s="1">
        <v>102.0</v>
      </c>
      <c r="AE808" s="1">
        <v>0.0</v>
      </c>
      <c r="AF808" s="1">
        <v>456.0</v>
      </c>
      <c r="AG808" s="1">
        <v>0.0</v>
      </c>
      <c r="AH808" s="1">
        <v>197.0</v>
      </c>
      <c r="AI808" s="1">
        <v>220.0</v>
      </c>
      <c r="AJ808" s="1">
        <v>96.0</v>
      </c>
      <c r="AK808" s="1">
        <v>0.0</v>
      </c>
      <c r="AL808" s="1">
        <v>161.0</v>
      </c>
      <c r="AM808" s="1">
        <v>50.0</v>
      </c>
      <c r="AN808" s="1">
        <v>31.0</v>
      </c>
      <c r="AO808" s="1">
        <v>318.0</v>
      </c>
      <c r="AP808" s="1">
        <v>0.144123</v>
      </c>
      <c r="AQ808" s="1">
        <v>0.047826</v>
      </c>
      <c r="AR808" s="1">
        <v>0.041167</v>
      </c>
      <c r="AS808" s="1">
        <v>0.189108</v>
      </c>
      <c r="AT808" s="1">
        <v>20329.0</v>
      </c>
      <c r="AU808" s="1">
        <v>2727.0</v>
      </c>
      <c r="AV808" s="1">
        <v>0.1584</v>
      </c>
      <c r="AW808" s="1">
        <v>0.097726</v>
      </c>
      <c r="AX808" s="1">
        <v>0.139634</v>
      </c>
      <c r="AY808" s="1">
        <v>0.231445</v>
      </c>
      <c r="AZ808" s="1">
        <v>0.09074626</v>
      </c>
      <c r="BA808" s="1">
        <v>0.023009</v>
      </c>
      <c r="BB808" s="1">
        <v>0.0</v>
      </c>
      <c r="BC808" s="1">
        <v>0.12361</v>
      </c>
      <c r="BD808" s="1">
        <v>0.0</v>
      </c>
      <c r="BE808" s="1">
        <v>0.097863</v>
      </c>
      <c r="BF808" s="1">
        <v>0.109289</v>
      </c>
      <c r="BG808" s="1">
        <v>0.047501</v>
      </c>
      <c r="BH808" s="1">
        <v>0.0</v>
      </c>
      <c r="BI808" s="1">
        <v>0.095947</v>
      </c>
      <c r="BJ808" s="1">
        <v>0.029797</v>
      </c>
      <c r="BK808" s="1">
        <v>0.018344</v>
      </c>
      <c r="BL808" s="1">
        <v>0.071734</v>
      </c>
      <c r="BM808" s="1">
        <v>0.56</v>
      </c>
      <c r="BN808" s="1">
        <v>0.195</v>
      </c>
      <c r="BO808" s="1">
        <v>0.5935</v>
      </c>
      <c r="BP808" s="1">
        <v>0.604</v>
      </c>
      <c r="BQ808" s="1">
        <v>1.9525</v>
      </c>
      <c r="BR808" s="1">
        <v>0.4773</v>
      </c>
      <c r="BS808" s="1">
        <v>0.494</v>
      </c>
      <c r="BT808" s="1">
        <v>0.403</v>
      </c>
      <c r="BU808" s="1">
        <v>0.41</v>
      </c>
      <c r="BV808" s="1">
        <v>1.307</v>
      </c>
      <c r="BW808" s="1">
        <v>0.31</v>
      </c>
      <c r="BX808" s="1">
        <v>0.032</v>
      </c>
      <c r="BY808" s="1">
        <v>0.0</v>
      </c>
      <c r="BZ808" s="1">
        <v>0.032</v>
      </c>
      <c r="CA808" s="1">
        <v>0.018</v>
      </c>
      <c r="CB808" s="1">
        <v>0.0</v>
      </c>
      <c r="CC808" s="1">
        <v>0.738</v>
      </c>
      <c r="CD808" s="1">
        <v>0.0</v>
      </c>
      <c r="CE808" s="1">
        <v>0.284</v>
      </c>
      <c r="CF808" s="1">
        <v>0.925</v>
      </c>
      <c r="CG808" s="1">
        <v>1.947</v>
      </c>
      <c r="CH808" s="1">
        <v>0.323</v>
      </c>
      <c r="CI808" s="1">
        <v>5.2385</v>
      </c>
      <c r="CJ808" s="1">
        <v>0.2347</v>
      </c>
      <c r="CK808" s="1">
        <v>0.0</v>
      </c>
      <c r="CL808" s="1">
        <v>0.0</v>
      </c>
      <c r="CM808" s="1">
        <v>0.0</v>
      </c>
      <c r="CN808" s="1">
        <v>0.0</v>
      </c>
      <c r="CO808" s="1">
        <v>0.0</v>
      </c>
      <c r="CP808" s="1">
        <v>0.0</v>
      </c>
      <c r="CQ808" s="1">
        <v>0.0</v>
      </c>
      <c r="CR808" s="1">
        <v>0.0</v>
      </c>
      <c r="CS808" s="1">
        <v>0.0</v>
      </c>
      <c r="CT808" s="1">
        <v>0.0</v>
      </c>
      <c r="CU808" s="1">
        <v>0.0</v>
      </c>
      <c r="CV808" s="1">
        <v>0.0</v>
      </c>
      <c r="CW808" s="1">
        <v>0.0</v>
      </c>
      <c r="CX808" s="1">
        <v>0.0</v>
      </c>
      <c r="CY808" s="1">
        <v>0.0</v>
      </c>
      <c r="CZ808" s="1">
        <v>0.0</v>
      </c>
      <c r="DA808" s="1">
        <v>1.0</v>
      </c>
      <c r="DB808" s="1">
        <v>1.0</v>
      </c>
      <c r="DC808" s="1">
        <v>1.0</v>
      </c>
      <c r="DD808" s="1" t="s">
        <v>3784</v>
      </c>
      <c r="DE808" s="1">
        <v>0.0342093036408867</v>
      </c>
      <c r="DF808" s="2" t="s">
        <v>3785</v>
      </c>
    </row>
    <row r="809" ht="15.75" customHeight="1">
      <c r="A809" s="1" t="s">
        <v>3786</v>
      </c>
      <c r="B809" s="1">
        <v>29.0</v>
      </c>
      <c r="C809" s="1">
        <v>153.0</v>
      </c>
      <c r="D809" s="1">
        <v>470100.0</v>
      </c>
      <c r="E809" s="1">
        <v>342.643</v>
      </c>
      <c r="F809" s="1">
        <v>29153.0</v>
      </c>
      <c r="G809" s="1">
        <v>2.91534701E10</v>
      </c>
      <c r="H809" s="1" t="s">
        <v>112</v>
      </c>
      <c r="I809" s="1" t="s">
        <v>113</v>
      </c>
      <c r="J809" s="1" t="s">
        <v>3787</v>
      </c>
      <c r="K809" s="1" t="s">
        <v>3788</v>
      </c>
      <c r="L809" s="1">
        <v>4819.0</v>
      </c>
      <c r="M809" s="1">
        <v>4906.0</v>
      </c>
      <c r="N809" s="1">
        <v>342.0</v>
      </c>
      <c r="O809" s="1">
        <v>2989.0</v>
      </c>
      <c r="P809" s="1">
        <v>3000.0</v>
      </c>
      <c r="Q809" s="1">
        <v>75.0</v>
      </c>
      <c r="R809" s="1">
        <v>2143.0</v>
      </c>
      <c r="S809" s="1">
        <v>920.0</v>
      </c>
      <c r="T809" s="1">
        <v>249.0</v>
      </c>
      <c r="U809" s="1">
        <v>60.0</v>
      </c>
      <c r="V809" s="1">
        <v>362.0</v>
      </c>
      <c r="W809" s="1">
        <v>17348.0</v>
      </c>
      <c r="X809" s="1">
        <v>1463.0</v>
      </c>
      <c r="Y809" s="1">
        <v>956.0</v>
      </c>
      <c r="Z809" s="1">
        <v>160.0</v>
      </c>
      <c r="AA809" s="1">
        <v>1271.0</v>
      </c>
      <c r="AB809" s="1">
        <v>904.0</v>
      </c>
      <c r="AC809" s="1">
        <v>155.0</v>
      </c>
      <c r="AD809" s="1">
        <v>152.0</v>
      </c>
      <c r="AE809" s="1">
        <v>0.0</v>
      </c>
      <c r="AF809" s="1">
        <v>456.0</v>
      </c>
      <c r="AG809" s="1">
        <v>3.0</v>
      </c>
      <c r="AH809" s="1">
        <v>161.0</v>
      </c>
      <c r="AI809" s="1">
        <v>496.0</v>
      </c>
      <c r="AJ809" s="1">
        <v>99.0</v>
      </c>
      <c r="AK809" s="1">
        <v>10.0</v>
      </c>
      <c r="AL809" s="1">
        <v>115.0</v>
      </c>
      <c r="AM809" s="1">
        <v>109.0</v>
      </c>
      <c r="AN809" s="1">
        <v>57.0</v>
      </c>
      <c r="AO809" s="1">
        <v>57.0</v>
      </c>
      <c r="AP809" s="1">
        <v>0.18837</v>
      </c>
      <c r="AQ809" s="1">
        <v>0.049236</v>
      </c>
      <c r="AR809" s="1">
        <v>0.034822</v>
      </c>
      <c r="AS809" s="1">
        <v>0.210064</v>
      </c>
      <c r="AT809" s="1">
        <v>17348.0</v>
      </c>
      <c r="AU809" s="1">
        <v>1463.0</v>
      </c>
      <c r="AV809" s="1">
        <v>0.255273</v>
      </c>
      <c r="AW809" s="1">
        <v>0.039551</v>
      </c>
      <c r="AX809" s="1">
        <v>0.263747</v>
      </c>
      <c r="AY809" s="1">
        <v>0.18759</v>
      </c>
      <c r="AZ809" s="1">
        <v>0.07232851</v>
      </c>
      <c r="BA809" s="1">
        <v>0.031541</v>
      </c>
      <c r="BB809" s="1">
        <v>0.0</v>
      </c>
      <c r="BC809" s="1">
        <v>0.09853</v>
      </c>
      <c r="BD809" s="1">
        <v>0.001</v>
      </c>
      <c r="BE809" s="1">
        <v>0.053666</v>
      </c>
      <c r="BF809" s="1">
        <v>0.165333</v>
      </c>
      <c r="BG809" s="1">
        <v>0.03274</v>
      </c>
      <c r="BH809" s="1">
        <v>0.004861</v>
      </c>
      <c r="BI809" s="1">
        <v>0.055905</v>
      </c>
      <c r="BJ809" s="1">
        <v>0.052989</v>
      </c>
      <c r="BK809" s="1">
        <v>0.02751</v>
      </c>
      <c r="BL809" s="1">
        <v>0.011828</v>
      </c>
      <c r="BM809" s="1">
        <v>0.697</v>
      </c>
      <c r="BN809" s="1">
        <v>0.129</v>
      </c>
      <c r="BO809" s="1">
        <v>0.7617</v>
      </c>
      <c r="BP809" s="1">
        <v>0.879</v>
      </c>
      <c r="BQ809" s="1">
        <v>2.4667</v>
      </c>
      <c r="BR809" s="1">
        <v>0.6549</v>
      </c>
      <c r="BS809" s="1">
        <v>0.976</v>
      </c>
      <c r="BT809" s="1">
        <v>0.141</v>
      </c>
      <c r="BU809" s="1">
        <v>0.235</v>
      </c>
      <c r="BV809" s="1">
        <v>1.352</v>
      </c>
      <c r="BW809" s="1">
        <v>0.346</v>
      </c>
      <c r="BX809" s="1">
        <v>0.092</v>
      </c>
      <c r="BY809" s="1">
        <v>0.0</v>
      </c>
      <c r="BZ809" s="1">
        <v>0.092</v>
      </c>
      <c r="CA809" s="1">
        <v>0.043</v>
      </c>
      <c r="CB809" s="1">
        <v>0.256</v>
      </c>
      <c r="CC809" s="1">
        <v>0.845</v>
      </c>
      <c r="CD809" s="1">
        <v>0.331</v>
      </c>
      <c r="CE809" s="1">
        <v>0.512</v>
      </c>
      <c r="CF809" s="1">
        <v>0.604</v>
      </c>
      <c r="CG809" s="1">
        <v>2.548</v>
      </c>
      <c r="CH809" s="1">
        <v>0.581</v>
      </c>
      <c r="CI809" s="1">
        <v>6.4587</v>
      </c>
      <c r="CJ809" s="1">
        <v>0.4513</v>
      </c>
      <c r="CK809" s="1">
        <v>0.0</v>
      </c>
      <c r="CL809" s="1">
        <v>0.0</v>
      </c>
      <c r="CM809" s="1">
        <v>0.0</v>
      </c>
      <c r="CN809" s="1">
        <v>0.0</v>
      </c>
      <c r="CO809" s="1">
        <v>0.0</v>
      </c>
      <c r="CP809" s="1">
        <v>1.0</v>
      </c>
      <c r="CQ809" s="1">
        <v>0.0</v>
      </c>
      <c r="CR809" s="1">
        <v>0.0</v>
      </c>
      <c r="CS809" s="1">
        <v>1.0</v>
      </c>
      <c r="CT809" s="1">
        <v>0.0</v>
      </c>
      <c r="CU809" s="1">
        <v>0.0</v>
      </c>
      <c r="CV809" s="1">
        <v>0.0</v>
      </c>
      <c r="CW809" s="1">
        <v>0.0</v>
      </c>
      <c r="CX809" s="1">
        <v>0.0</v>
      </c>
      <c r="CY809" s="1">
        <v>0.0</v>
      </c>
      <c r="CZ809" s="1">
        <v>0.0</v>
      </c>
      <c r="DA809" s="1">
        <v>0.0</v>
      </c>
      <c r="DB809" s="1">
        <v>0.0</v>
      </c>
      <c r="DC809" s="1">
        <v>1.0</v>
      </c>
      <c r="DD809" s="1" t="s">
        <v>3789</v>
      </c>
      <c r="DE809" s="1">
        <v>0.0914147514712918</v>
      </c>
      <c r="DF809" s="2" t="s">
        <v>3790</v>
      </c>
    </row>
    <row r="810" ht="15.75" customHeight="1">
      <c r="A810" s="1" t="s">
        <v>3791</v>
      </c>
      <c r="B810" s="1">
        <v>29.0</v>
      </c>
      <c r="C810" s="1">
        <v>153.0</v>
      </c>
      <c r="D810" s="1">
        <v>470200.0</v>
      </c>
      <c r="E810" s="1">
        <v>402.329</v>
      </c>
      <c r="F810" s="1">
        <v>29153.0</v>
      </c>
      <c r="G810" s="1">
        <v>2.91534702E10</v>
      </c>
      <c r="H810" s="1" t="s">
        <v>112</v>
      </c>
      <c r="I810" s="1" t="s">
        <v>113</v>
      </c>
      <c r="J810" s="1" t="s">
        <v>3787</v>
      </c>
      <c r="K810" s="1" t="s">
        <v>3792</v>
      </c>
      <c r="L810" s="1">
        <v>4904.0</v>
      </c>
      <c r="M810" s="1">
        <v>4782.0</v>
      </c>
      <c r="N810" s="1">
        <v>342.0</v>
      </c>
      <c r="O810" s="1">
        <v>2663.0</v>
      </c>
      <c r="P810" s="1">
        <v>2604.0</v>
      </c>
      <c r="Q810" s="1">
        <v>69.0</v>
      </c>
      <c r="R810" s="1">
        <v>2051.0</v>
      </c>
      <c r="S810" s="1">
        <v>672.0</v>
      </c>
      <c r="T810" s="1">
        <v>223.0</v>
      </c>
      <c r="U810" s="1">
        <v>100.0</v>
      </c>
      <c r="V810" s="1">
        <v>380.0</v>
      </c>
      <c r="W810" s="1">
        <v>17247.0</v>
      </c>
      <c r="X810" s="1">
        <v>1459.0</v>
      </c>
      <c r="Y810" s="1">
        <v>571.0</v>
      </c>
      <c r="Z810" s="1">
        <v>225.0</v>
      </c>
      <c r="AA810" s="1">
        <v>1008.0</v>
      </c>
      <c r="AB810" s="1">
        <v>1045.0</v>
      </c>
      <c r="AC810" s="1">
        <v>155.0</v>
      </c>
      <c r="AD810" s="1">
        <v>184.0</v>
      </c>
      <c r="AE810" s="1">
        <v>0.0</v>
      </c>
      <c r="AF810" s="1">
        <v>456.0</v>
      </c>
      <c r="AG810" s="1">
        <v>7.0</v>
      </c>
      <c r="AH810" s="1">
        <v>114.0</v>
      </c>
      <c r="AI810" s="1">
        <v>504.0</v>
      </c>
      <c r="AJ810" s="1">
        <v>110.0</v>
      </c>
      <c r="AK810" s="1">
        <v>41.0</v>
      </c>
      <c r="AL810" s="1">
        <v>118.0</v>
      </c>
      <c r="AM810" s="1">
        <v>65.0</v>
      </c>
      <c r="AN810" s="1">
        <v>29.0</v>
      </c>
      <c r="AO810" s="1">
        <v>66.0</v>
      </c>
      <c r="AP810" s="1">
        <v>0.140674</v>
      </c>
      <c r="AQ810" s="1">
        <v>0.045582</v>
      </c>
      <c r="AR810" s="1">
        <v>0.058685</v>
      </c>
      <c r="AS810" s="1">
        <v>0.222922</v>
      </c>
      <c r="AT810" s="1">
        <v>17247.0</v>
      </c>
      <c r="AU810" s="1">
        <v>1459.0</v>
      </c>
      <c r="AV810" s="1">
        <v>0.167154</v>
      </c>
      <c r="AW810" s="1">
        <v>0.064802</v>
      </c>
      <c r="AX810" s="1">
        <v>0.205546</v>
      </c>
      <c r="AY810" s="1">
        <v>0.213091</v>
      </c>
      <c r="AZ810" s="1">
        <v>0.07557289</v>
      </c>
      <c r="BA810" s="1">
        <v>0.03752</v>
      </c>
      <c r="BB810" s="1">
        <v>0.0</v>
      </c>
      <c r="BC810" s="1">
        <v>0.099585</v>
      </c>
      <c r="BD810" s="1">
        <v>0.002688</v>
      </c>
      <c r="BE810" s="1">
        <v>0.043778</v>
      </c>
      <c r="BF810" s="1">
        <v>0.193548</v>
      </c>
      <c r="BG810" s="1">
        <v>0.04193</v>
      </c>
      <c r="BH810" s="1">
        <v>0.021499</v>
      </c>
      <c r="BI810" s="1">
        <v>0.061855</v>
      </c>
      <c r="BJ810" s="1">
        <v>0.034084</v>
      </c>
      <c r="BK810" s="1">
        <v>0.014981</v>
      </c>
      <c r="BL810" s="1">
        <v>0.013458</v>
      </c>
      <c r="BM810" s="1">
        <v>0.547</v>
      </c>
      <c r="BN810" s="1">
        <v>0.401</v>
      </c>
      <c r="BO810" s="1">
        <v>0.7704</v>
      </c>
      <c r="BP810" s="1">
        <v>0.645</v>
      </c>
      <c r="BQ810" s="1">
        <v>2.3634</v>
      </c>
      <c r="BR810" s="1">
        <v>0.6188</v>
      </c>
      <c r="BS810" s="1">
        <v>0.898</v>
      </c>
      <c r="BT810" s="1">
        <v>0.248</v>
      </c>
      <c r="BU810" s="1">
        <v>0.261</v>
      </c>
      <c r="BV810" s="1">
        <v>1.407</v>
      </c>
      <c r="BW810" s="1">
        <v>0.396</v>
      </c>
      <c r="BX810" s="1">
        <v>0.143</v>
      </c>
      <c r="BY810" s="1">
        <v>0.0</v>
      </c>
      <c r="BZ810" s="1">
        <v>0.143</v>
      </c>
      <c r="CA810" s="1">
        <v>0.067</v>
      </c>
      <c r="CB810" s="1">
        <v>0.283</v>
      </c>
      <c r="CC810" s="1">
        <v>0.888</v>
      </c>
      <c r="CD810" s="1">
        <v>0.702</v>
      </c>
      <c r="CE810" s="1">
        <v>0.326</v>
      </c>
      <c r="CF810" s="1">
        <v>0.628</v>
      </c>
      <c r="CG810" s="1">
        <v>2.827</v>
      </c>
      <c r="CH810" s="1">
        <v>0.7</v>
      </c>
      <c r="CI810" s="1">
        <v>6.7404</v>
      </c>
      <c r="CJ810" s="1">
        <v>0.4996</v>
      </c>
      <c r="CK810" s="1">
        <v>0.0</v>
      </c>
      <c r="CL810" s="1">
        <v>0.0</v>
      </c>
      <c r="CM810" s="1">
        <v>0.0</v>
      </c>
      <c r="CN810" s="1">
        <v>0.0</v>
      </c>
      <c r="CO810" s="1">
        <v>0.0</v>
      </c>
      <c r="CP810" s="1">
        <v>0.0</v>
      </c>
      <c r="CQ810" s="1">
        <v>0.0</v>
      </c>
      <c r="CR810" s="1">
        <v>0.0</v>
      </c>
      <c r="CS810" s="1">
        <v>0.0</v>
      </c>
      <c r="CT810" s="1">
        <v>0.0</v>
      </c>
      <c r="CU810" s="1">
        <v>0.0</v>
      </c>
      <c r="CV810" s="1">
        <v>0.0</v>
      </c>
      <c r="CW810" s="1">
        <v>0.0</v>
      </c>
      <c r="CX810" s="1">
        <v>0.0</v>
      </c>
      <c r="CY810" s="1">
        <v>0.0</v>
      </c>
      <c r="CZ810" s="1">
        <v>0.0</v>
      </c>
      <c r="DA810" s="1">
        <v>0.0</v>
      </c>
      <c r="DB810" s="1">
        <v>0.0</v>
      </c>
      <c r="DC810" s="1">
        <v>0.0</v>
      </c>
      <c r="DD810" s="1" t="s">
        <v>3793</v>
      </c>
      <c r="DE810" s="2" t="s">
        <v>3794</v>
      </c>
      <c r="DF810" s="2" t="s">
        <v>3795</v>
      </c>
    </row>
    <row r="811" ht="15.75" customHeight="1">
      <c r="A811" s="1" t="s">
        <v>3796</v>
      </c>
      <c r="B811" s="1">
        <v>29.0</v>
      </c>
      <c r="C811" s="1">
        <v>155.0</v>
      </c>
      <c r="D811" s="1">
        <v>470200.0</v>
      </c>
      <c r="E811" s="1">
        <v>6.887</v>
      </c>
      <c r="F811" s="1">
        <v>29155.0</v>
      </c>
      <c r="G811" s="1">
        <v>2.91554702E10</v>
      </c>
      <c r="H811" s="1" t="s">
        <v>112</v>
      </c>
      <c r="I811" s="1" t="s">
        <v>113</v>
      </c>
      <c r="J811" s="1" t="s">
        <v>3797</v>
      </c>
      <c r="K811" s="1" t="s">
        <v>3798</v>
      </c>
      <c r="L811" s="1">
        <v>3613.0</v>
      </c>
      <c r="M811" s="1">
        <v>3594.0</v>
      </c>
      <c r="N811" s="1">
        <v>217.0</v>
      </c>
      <c r="O811" s="1">
        <v>1637.0</v>
      </c>
      <c r="P811" s="1">
        <v>1760.0</v>
      </c>
      <c r="Q811" s="1">
        <v>155.0</v>
      </c>
      <c r="R811" s="1">
        <v>1485.0</v>
      </c>
      <c r="S811" s="1">
        <v>1528.0</v>
      </c>
      <c r="T811" s="1">
        <v>417.0</v>
      </c>
      <c r="U811" s="1">
        <v>244.0</v>
      </c>
      <c r="V811" s="1">
        <v>318.0</v>
      </c>
      <c r="W811" s="1">
        <v>12489.0</v>
      </c>
      <c r="X811" s="1">
        <v>1842.0</v>
      </c>
      <c r="Y811" s="1">
        <v>768.0</v>
      </c>
      <c r="Z811" s="1">
        <v>163.0</v>
      </c>
      <c r="AA811" s="1">
        <v>540.0</v>
      </c>
      <c r="AB811" s="1">
        <v>1086.0</v>
      </c>
      <c r="AC811" s="1">
        <v>365.0</v>
      </c>
      <c r="AD811" s="1">
        <v>2098.0</v>
      </c>
      <c r="AE811" s="1">
        <v>0.0</v>
      </c>
      <c r="AF811" s="1">
        <v>456.0</v>
      </c>
      <c r="AG811" s="1">
        <v>16.0</v>
      </c>
      <c r="AH811" s="1">
        <v>163.0</v>
      </c>
      <c r="AI811" s="1">
        <v>62.0</v>
      </c>
      <c r="AJ811" s="1">
        <v>35.0</v>
      </c>
      <c r="AK811" s="1">
        <v>38.0</v>
      </c>
      <c r="AL811" s="1">
        <v>120.0</v>
      </c>
      <c r="AM811" s="1">
        <v>276.0</v>
      </c>
      <c r="AN811" s="1">
        <v>96.0</v>
      </c>
      <c r="AO811" s="1">
        <v>36.0</v>
      </c>
      <c r="AP811" s="1">
        <v>0.436197</v>
      </c>
      <c r="AQ811" s="1">
        <v>0.115482</v>
      </c>
      <c r="AR811" s="1">
        <v>0.200328</v>
      </c>
      <c r="AS811" s="1">
        <v>0.258424</v>
      </c>
      <c r="AT811" s="1">
        <v>12489.0</v>
      </c>
      <c r="AU811" s="1">
        <v>1842.0</v>
      </c>
      <c r="AV811" s="1">
        <v>0.34657</v>
      </c>
      <c r="AW811" s="1">
        <v>0.067626</v>
      </c>
      <c r="AX811" s="1">
        <v>0.14946</v>
      </c>
      <c r="AY811" s="1">
        <v>0.300581</v>
      </c>
      <c r="AZ811" s="1">
        <v>0.24579124</v>
      </c>
      <c r="BA811" s="1">
        <v>0.58068</v>
      </c>
      <c r="BB811" s="1">
        <v>0.0</v>
      </c>
      <c r="BC811" s="1">
        <v>0.137266</v>
      </c>
      <c r="BD811" s="1">
        <v>0.00909</v>
      </c>
      <c r="BE811" s="1">
        <v>0.09261</v>
      </c>
      <c r="BF811" s="1">
        <v>0.035227</v>
      </c>
      <c r="BG811" s="1">
        <v>0.019642</v>
      </c>
      <c r="BH811" s="1">
        <v>0.02482</v>
      </c>
      <c r="BI811" s="1">
        <v>0.078351</v>
      </c>
      <c r="BJ811" s="1">
        <v>0.180274</v>
      </c>
      <c r="BK811" s="1">
        <v>0.060777</v>
      </c>
      <c r="BL811" s="1">
        <v>0.009964</v>
      </c>
      <c r="BM811" s="1">
        <v>0.976</v>
      </c>
      <c r="BN811" s="1">
        <v>0.953</v>
      </c>
      <c r="BO811" s="1">
        <v>0.9466</v>
      </c>
      <c r="BP811" s="1">
        <v>0.975</v>
      </c>
      <c r="BQ811" s="1">
        <v>3.8506</v>
      </c>
      <c r="BR811" s="1">
        <v>0.9884</v>
      </c>
      <c r="BS811" s="1">
        <v>0.573</v>
      </c>
      <c r="BT811" s="1">
        <v>0.923</v>
      </c>
      <c r="BU811" s="1">
        <v>0.943</v>
      </c>
      <c r="BV811" s="1">
        <v>2.439</v>
      </c>
      <c r="BW811" s="1">
        <v>0.995</v>
      </c>
      <c r="BX811" s="1">
        <v>0.879</v>
      </c>
      <c r="BY811" s="1">
        <v>0.0</v>
      </c>
      <c r="BZ811" s="1">
        <v>0.879</v>
      </c>
      <c r="CA811" s="1">
        <v>0.451</v>
      </c>
      <c r="CB811" s="1">
        <v>0.375</v>
      </c>
      <c r="CC811" s="1">
        <v>0.564</v>
      </c>
      <c r="CD811" s="1">
        <v>0.753</v>
      </c>
      <c r="CE811" s="1">
        <v>0.89</v>
      </c>
      <c r="CF811" s="1">
        <v>0.576</v>
      </c>
      <c r="CG811" s="1">
        <v>3.158</v>
      </c>
      <c r="CH811" s="1">
        <v>0.835</v>
      </c>
      <c r="CI811" s="1">
        <v>10.3266</v>
      </c>
      <c r="CJ811" s="1">
        <v>0.9661</v>
      </c>
      <c r="CK811" s="1">
        <v>1.0</v>
      </c>
      <c r="CL811" s="1">
        <v>1.0</v>
      </c>
      <c r="CM811" s="1">
        <v>1.0</v>
      </c>
      <c r="CN811" s="1">
        <v>1.0</v>
      </c>
      <c r="CO811" s="1">
        <v>4.0</v>
      </c>
      <c r="CP811" s="1">
        <v>0.0</v>
      </c>
      <c r="CQ811" s="1">
        <v>1.0</v>
      </c>
      <c r="CR811" s="1">
        <v>1.0</v>
      </c>
      <c r="CS811" s="1">
        <v>2.0</v>
      </c>
      <c r="CT811" s="1">
        <v>0.0</v>
      </c>
      <c r="CU811" s="1">
        <v>0.0</v>
      </c>
      <c r="CV811" s="1">
        <v>0.0</v>
      </c>
      <c r="CW811" s="1">
        <v>0.0</v>
      </c>
      <c r="CX811" s="1">
        <v>0.0</v>
      </c>
      <c r="CY811" s="1">
        <v>0.0</v>
      </c>
      <c r="CZ811" s="1">
        <v>0.0</v>
      </c>
      <c r="DA811" s="1">
        <v>0.0</v>
      </c>
      <c r="DB811" s="1">
        <v>0.0</v>
      </c>
      <c r="DC811" s="1">
        <v>6.0</v>
      </c>
      <c r="DD811" s="1" t="s">
        <v>3799</v>
      </c>
      <c r="DE811" s="1">
        <v>0.00180700245454184</v>
      </c>
      <c r="DF811" s="2" t="s">
        <v>3800</v>
      </c>
    </row>
    <row r="812" ht="15.75" customHeight="1">
      <c r="A812" s="1" t="s">
        <v>3801</v>
      </c>
      <c r="B812" s="1">
        <v>29.0</v>
      </c>
      <c r="C812" s="1">
        <v>155.0</v>
      </c>
      <c r="D812" s="1">
        <v>470300.0</v>
      </c>
      <c r="E812" s="1">
        <v>8.282</v>
      </c>
      <c r="F812" s="1">
        <v>29155.0</v>
      </c>
      <c r="G812" s="1">
        <v>2.91554703E10</v>
      </c>
      <c r="H812" s="1" t="s">
        <v>112</v>
      </c>
      <c r="I812" s="1" t="s">
        <v>113</v>
      </c>
      <c r="J812" s="1" t="s">
        <v>3797</v>
      </c>
      <c r="K812" s="1" t="s">
        <v>3802</v>
      </c>
      <c r="L812" s="1">
        <v>3057.0</v>
      </c>
      <c r="M812" s="1">
        <v>3742.0</v>
      </c>
      <c r="N812" s="1">
        <v>295.0</v>
      </c>
      <c r="O812" s="1">
        <v>1333.0</v>
      </c>
      <c r="P812" s="1">
        <v>1505.0</v>
      </c>
      <c r="Q812" s="1">
        <v>133.0</v>
      </c>
      <c r="R812" s="1">
        <v>1216.0</v>
      </c>
      <c r="S812" s="1">
        <v>1369.0</v>
      </c>
      <c r="T812" s="1">
        <v>472.0</v>
      </c>
      <c r="U812" s="1">
        <v>117.0</v>
      </c>
      <c r="V812" s="1">
        <v>418.0</v>
      </c>
      <c r="W812" s="1">
        <v>18052.0</v>
      </c>
      <c r="X812" s="1">
        <v>2839.0</v>
      </c>
      <c r="Y812" s="1">
        <v>573.0</v>
      </c>
      <c r="Z812" s="1">
        <v>256.0</v>
      </c>
      <c r="AA812" s="1">
        <v>480.0</v>
      </c>
      <c r="AB812" s="1">
        <v>882.0</v>
      </c>
      <c r="AC812" s="1">
        <v>259.0</v>
      </c>
      <c r="AD812" s="1">
        <v>954.0</v>
      </c>
      <c r="AE812" s="1">
        <v>0.0</v>
      </c>
      <c r="AF812" s="1">
        <v>456.0</v>
      </c>
      <c r="AG812" s="1">
        <v>96.0</v>
      </c>
      <c r="AH812" s="1">
        <v>173.0</v>
      </c>
      <c r="AI812" s="1">
        <v>29.0</v>
      </c>
      <c r="AJ812" s="1">
        <v>33.0</v>
      </c>
      <c r="AK812" s="1">
        <v>42.0</v>
      </c>
      <c r="AL812" s="1">
        <v>122.0</v>
      </c>
      <c r="AM812" s="1">
        <v>216.0</v>
      </c>
      <c r="AN812" s="1">
        <v>152.0</v>
      </c>
      <c r="AO812" s="1">
        <v>65.0</v>
      </c>
      <c r="AP812" s="1">
        <v>0.376098</v>
      </c>
      <c r="AQ812" s="1">
        <v>0.125808</v>
      </c>
      <c r="AR812" s="1">
        <v>0.083392</v>
      </c>
      <c r="AS812" s="1">
        <v>0.297547</v>
      </c>
      <c r="AT812" s="1">
        <v>18052.0</v>
      </c>
      <c r="AU812" s="1">
        <v>2839.0</v>
      </c>
      <c r="AV812" s="1">
        <v>0.251646</v>
      </c>
      <c r="AW812" s="1">
        <v>0.108839</v>
      </c>
      <c r="AX812" s="1">
        <v>0.157016</v>
      </c>
      <c r="AY812" s="1">
        <v>0.288518</v>
      </c>
      <c r="AZ812" s="1">
        <v>0.21299342</v>
      </c>
      <c r="BA812" s="1">
        <v>0.31207</v>
      </c>
      <c r="BB812" s="1">
        <v>0.0</v>
      </c>
      <c r="BC812" s="1">
        <v>0.139748</v>
      </c>
      <c r="BD812" s="1">
        <v>0.063787</v>
      </c>
      <c r="BE812" s="1">
        <v>0.114811</v>
      </c>
      <c r="BF812" s="1">
        <v>0.019269</v>
      </c>
      <c r="BG812" s="1">
        <v>0.02186</v>
      </c>
      <c r="BH812" s="1">
        <v>0.031019</v>
      </c>
      <c r="BI812" s="1">
        <v>0.090047</v>
      </c>
      <c r="BJ812" s="1">
        <v>0.159527</v>
      </c>
      <c r="BK812" s="1">
        <v>0.111076</v>
      </c>
      <c r="BL812" s="1">
        <v>0.021262</v>
      </c>
      <c r="BM812" s="1">
        <v>0.939</v>
      </c>
      <c r="BN812" s="1">
        <v>0.641</v>
      </c>
      <c r="BO812" s="1">
        <v>0.7292</v>
      </c>
      <c r="BP812" s="1">
        <v>0.871</v>
      </c>
      <c r="BQ812" s="1">
        <v>3.1802</v>
      </c>
      <c r="BR812" s="1">
        <v>0.8477</v>
      </c>
      <c r="BS812" s="1">
        <v>0.644</v>
      </c>
      <c r="BT812" s="1">
        <v>0.883</v>
      </c>
      <c r="BU812" s="1">
        <v>0.911</v>
      </c>
      <c r="BV812" s="1">
        <v>2.438</v>
      </c>
      <c r="BW812" s="1">
        <v>0.994</v>
      </c>
      <c r="BX812" s="1">
        <v>0.795</v>
      </c>
      <c r="BY812" s="1">
        <v>0.0</v>
      </c>
      <c r="BZ812" s="1">
        <v>0.795</v>
      </c>
      <c r="CA812" s="1">
        <v>0.396</v>
      </c>
      <c r="CB812" s="1">
        <v>0.694</v>
      </c>
      <c r="CC812" s="1">
        <v>0.507</v>
      </c>
      <c r="CD812" s="1">
        <v>0.82</v>
      </c>
      <c r="CE812" s="1">
        <v>0.871</v>
      </c>
      <c r="CF812" s="1">
        <v>0.723</v>
      </c>
      <c r="CG812" s="1">
        <v>3.615</v>
      </c>
      <c r="CH812" s="1">
        <v>0.961</v>
      </c>
      <c r="CI812" s="1">
        <v>10.0282</v>
      </c>
      <c r="CJ812" s="1">
        <v>0.9487</v>
      </c>
      <c r="CK812" s="1">
        <v>1.0</v>
      </c>
      <c r="CL812" s="1">
        <v>0.0</v>
      </c>
      <c r="CM812" s="1">
        <v>0.0</v>
      </c>
      <c r="CN812" s="1">
        <v>0.0</v>
      </c>
      <c r="CO812" s="1">
        <v>1.0</v>
      </c>
      <c r="CP812" s="1">
        <v>0.0</v>
      </c>
      <c r="CQ812" s="1">
        <v>0.0</v>
      </c>
      <c r="CR812" s="1">
        <v>1.0</v>
      </c>
      <c r="CS812" s="1">
        <v>1.0</v>
      </c>
      <c r="CT812" s="1">
        <v>0.0</v>
      </c>
      <c r="CU812" s="1">
        <v>0.0</v>
      </c>
      <c r="CV812" s="1">
        <v>0.0</v>
      </c>
      <c r="CW812" s="1">
        <v>0.0</v>
      </c>
      <c r="CX812" s="1">
        <v>0.0</v>
      </c>
      <c r="CY812" s="1">
        <v>0.0</v>
      </c>
      <c r="CZ812" s="1">
        <v>0.0</v>
      </c>
      <c r="DA812" s="1">
        <v>0.0</v>
      </c>
      <c r="DB812" s="1">
        <v>0.0</v>
      </c>
      <c r="DC812" s="1">
        <v>2.0</v>
      </c>
      <c r="DD812" s="1" t="s">
        <v>3803</v>
      </c>
      <c r="DE812" s="1">
        <v>0.00222845782034493</v>
      </c>
      <c r="DF812" s="2" t="s">
        <v>3804</v>
      </c>
    </row>
    <row r="813" ht="15.75" customHeight="1">
      <c r="A813" s="1" t="s">
        <v>3805</v>
      </c>
      <c r="B813" s="1">
        <v>29.0</v>
      </c>
      <c r="C813" s="1">
        <v>155.0</v>
      </c>
      <c r="D813" s="1">
        <v>470400.0</v>
      </c>
      <c r="E813" s="1">
        <v>7.76</v>
      </c>
      <c r="F813" s="1">
        <v>29155.0</v>
      </c>
      <c r="G813" s="1">
        <v>2.91554704E10</v>
      </c>
      <c r="H813" s="1" t="s">
        <v>112</v>
      </c>
      <c r="I813" s="1" t="s">
        <v>113</v>
      </c>
      <c r="J813" s="1" t="s">
        <v>3797</v>
      </c>
      <c r="K813" s="1" t="s">
        <v>3806</v>
      </c>
      <c r="L813" s="1">
        <v>3205.0</v>
      </c>
      <c r="M813" s="1">
        <v>2586.0</v>
      </c>
      <c r="N813" s="1">
        <v>294.0</v>
      </c>
      <c r="O813" s="1">
        <v>1449.0</v>
      </c>
      <c r="P813" s="1">
        <v>1501.0</v>
      </c>
      <c r="Q813" s="1">
        <v>129.0</v>
      </c>
      <c r="R813" s="1">
        <v>1282.0</v>
      </c>
      <c r="S813" s="1">
        <v>1057.0</v>
      </c>
      <c r="T813" s="1">
        <v>299.0</v>
      </c>
      <c r="U813" s="1">
        <v>141.0</v>
      </c>
      <c r="V813" s="1">
        <v>401.0</v>
      </c>
      <c r="W813" s="1">
        <v>12935.0</v>
      </c>
      <c r="X813" s="1">
        <v>2090.0</v>
      </c>
      <c r="Y813" s="1">
        <v>579.0</v>
      </c>
      <c r="Z813" s="1">
        <v>187.0</v>
      </c>
      <c r="AA813" s="1">
        <v>408.0</v>
      </c>
      <c r="AB813" s="1">
        <v>952.0</v>
      </c>
      <c r="AC813" s="1">
        <v>267.0</v>
      </c>
      <c r="AD813" s="1">
        <v>1356.0</v>
      </c>
      <c r="AE813" s="1">
        <v>0.0</v>
      </c>
      <c r="AF813" s="1">
        <v>456.0</v>
      </c>
      <c r="AG813" s="1">
        <v>91.0</v>
      </c>
      <c r="AH813" s="1">
        <v>45.0</v>
      </c>
      <c r="AI813" s="1">
        <v>26.0</v>
      </c>
      <c r="AJ813" s="1">
        <v>21.0</v>
      </c>
      <c r="AK813" s="1">
        <v>25.0</v>
      </c>
      <c r="AL813" s="1">
        <v>116.0</v>
      </c>
      <c r="AM813" s="1">
        <v>208.0</v>
      </c>
      <c r="AN813" s="1">
        <v>103.0</v>
      </c>
      <c r="AO813" s="1">
        <v>32.0</v>
      </c>
      <c r="AP813" s="1">
        <v>0.408739</v>
      </c>
      <c r="AQ813" s="1">
        <v>0.105873</v>
      </c>
      <c r="AR813" s="1">
        <v>0.135316</v>
      </c>
      <c r="AS813" s="1">
        <v>0.383508</v>
      </c>
      <c r="AT813" s="1">
        <v>12935.0</v>
      </c>
      <c r="AU813" s="1">
        <v>2090.0</v>
      </c>
      <c r="AV813" s="1">
        <v>0.354345</v>
      </c>
      <c r="AW813" s="1">
        <v>0.107736</v>
      </c>
      <c r="AX813" s="1">
        <v>0.127301</v>
      </c>
      <c r="AY813" s="1">
        <v>0.297035</v>
      </c>
      <c r="AZ813" s="1">
        <v>0.20826833</v>
      </c>
      <c r="BA813" s="1">
        <v>0.423088</v>
      </c>
      <c r="BB813" s="1">
        <v>0.0</v>
      </c>
      <c r="BC813" s="1">
        <v>0.1875</v>
      </c>
      <c r="BD813" s="1">
        <v>0.060626</v>
      </c>
      <c r="BE813" s="1">
        <v>0.029523</v>
      </c>
      <c r="BF813" s="1">
        <v>0.017321</v>
      </c>
      <c r="BG813" s="1">
        <v>0.013911</v>
      </c>
      <c r="BH813" s="1">
        <v>0.022583</v>
      </c>
      <c r="BI813" s="1">
        <v>0.104757</v>
      </c>
      <c r="BJ813" s="1">
        <v>0.187895</v>
      </c>
      <c r="BK813" s="1">
        <v>0.090671</v>
      </c>
      <c r="BL813" s="1">
        <v>0.009984</v>
      </c>
      <c r="BM813" s="1">
        <v>0.958</v>
      </c>
      <c r="BN813" s="1">
        <v>0.87</v>
      </c>
      <c r="BO813" s="1">
        <v>0.9372</v>
      </c>
      <c r="BP813" s="1">
        <v>0.979</v>
      </c>
      <c r="BQ813" s="1">
        <v>3.7442</v>
      </c>
      <c r="BR813" s="1">
        <v>0.969</v>
      </c>
      <c r="BS813" s="1">
        <v>0.398</v>
      </c>
      <c r="BT813" s="1">
        <v>0.912</v>
      </c>
      <c r="BU813" s="1">
        <v>0.905</v>
      </c>
      <c r="BV813" s="1">
        <v>2.215</v>
      </c>
      <c r="BW813" s="1">
        <v>0.965</v>
      </c>
      <c r="BX813" s="1">
        <v>0.848</v>
      </c>
      <c r="BY813" s="1">
        <v>0.0</v>
      </c>
      <c r="BZ813" s="1">
        <v>0.848</v>
      </c>
      <c r="CA813" s="1">
        <v>0.43</v>
      </c>
      <c r="CB813" s="1">
        <v>0.686</v>
      </c>
      <c r="CC813" s="1">
        <v>0.499</v>
      </c>
      <c r="CD813" s="1">
        <v>0.718</v>
      </c>
      <c r="CE813" s="1">
        <v>0.897</v>
      </c>
      <c r="CF813" s="1">
        <v>0.578</v>
      </c>
      <c r="CG813" s="1">
        <v>3.378</v>
      </c>
      <c r="CH813" s="1">
        <v>0.905</v>
      </c>
      <c r="CI813" s="1">
        <v>10.1852</v>
      </c>
      <c r="CJ813" s="1">
        <v>0.961</v>
      </c>
      <c r="CK813" s="1">
        <v>1.0</v>
      </c>
      <c r="CL813" s="1">
        <v>0.0</v>
      </c>
      <c r="CM813" s="1">
        <v>1.0</v>
      </c>
      <c r="CN813" s="1">
        <v>1.0</v>
      </c>
      <c r="CO813" s="1">
        <v>3.0</v>
      </c>
      <c r="CP813" s="1">
        <v>0.0</v>
      </c>
      <c r="CQ813" s="1">
        <v>1.0</v>
      </c>
      <c r="CR813" s="1">
        <v>1.0</v>
      </c>
      <c r="CS813" s="1">
        <v>2.0</v>
      </c>
      <c r="CT813" s="1">
        <v>0.0</v>
      </c>
      <c r="CU813" s="1">
        <v>0.0</v>
      </c>
      <c r="CV813" s="1">
        <v>0.0</v>
      </c>
      <c r="CW813" s="1">
        <v>0.0</v>
      </c>
      <c r="CX813" s="1">
        <v>0.0</v>
      </c>
      <c r="CY813" s="1">
        <v>0.0</v>
      </c>
      <c r="CZ813" s="1">
        <v>0.0</v>
      </c>
      <c r="DA813" s="1">
        <v>0.0</v>
      </c>
      <c r="DB813" s="1">
        <v>0.0</v>
      </c>
      <c r="DC813" s="1">
        <v>5.0</v>
      </c>
      <c r="DD813" s="1" t="s">
        <v>3807</v>
      </c>
      <c r="DE813" s="1">
        <v>0.00306643753257698</v>
      </c>
      <c r="DF813" s="2" t="s">
        <v>3808</v>
      </c>
    </row>
    <row r="814" ht="15.75" customHeight="1">
      <c r="A814" s="1" t="s">
        <v>3809</v>
      </c>
      <c r="B814" s="1">
        <v>29.0</v>
      </c>
      <c r="C814" s="1">
        <v>155.0</v>
      </c>
      <c r="D814" s="1">
        <v>470100.0</v>
      </c>
      <c r="E814" s="1">
        <v>221.684</v>
      </c>
      <c r="F814" s="1">
        <v>29155.0</v>
      </c>
      <c r="G814" s="1">
        <v>2.91554701E10</v>
      </c>
      <c r="H814" s="1" t="s">
        <v>112</v>
      </c>
      <c r="I814" s="1" t="s">
        <v>113</v>
      </c>
      <c r="J814" s="1" t="s">
        <v>3797</v>
      </c>
      <c r="K814" s="1" t="s">
        <v>3810</v>
      </c>
      <c r="L814" s="1">
        <v>2189.0</v>
      </c>
      <c r="M814" s="1">
        <v>2386.0</v>
      </c>
      <c r="N814" s="1">
        <v>216.0</v>
      </c>
      <c r="O814" s="1">
        <v>1003.0</v>
      </c>
      <c r="P814" s="1">
        <v>1066.0</v>
      </c>
      <c r="Q814" s="1">
        <v>68.0</v>
      </c>
      <c r="R814" s="1">
        <v>889.0</v>
      </c>
      <c r="S814" s="1">
        <v>442.0</v>
      </c>
      <c r="T814" s="1">
        <v>166.0</v>
      </c>
      <c r="U814" s="1">
        <v>90.0</v>
      </c>
      <c r="V814" s="1">
        <v>362.0</v>
      </c>
      <c r="W814" s="1">
        <v>16048.0</v>
      </c>
      <c r="X814" s="1">
        <v>1724.0</v>
      </c>
      <c r="Y814" s="1">
        <v>404.0</v>
      </c>
      <c r="Z814" s="1">
        <v>91.0</v>
      </c>
      <c r="AA814" s="1">
        <v>328.0</v>
      </c>
      <c r="AB814" s="1">
        <v>489.0</v>
      </c>
      <c r="AC814" s="1">
        <v>111.0</v>
      </c>
      <c r="AD814" s="1">
        <v>297.0</v>
      </c>
      <c r="AE814" s="1">
        <v>1.0</v>
      </c>
      <c r="AF814" s="1">
        <v>442.0</v>
      </c>
      <c r="AG814" s="1">
        <v>0.0</v>
      </c>
      <c r="AH814" s="1">
        <v>197.0</v>
      </c>
      <c r="AI814" s="1">
        <v>226.0</v>
      </c>
      <c r="AJ814" s="1">
        <v>63.0</v>
      </c>
      <c r="AK814" s="1">
        <v>44.0</v>
      </c>
      <c r="AL814" s="1">
        <v>121.0</v>
      </c>
      <c r="AM814" s="1">
        <v>54.0</v>
      </c>
      <c r="AN814" s="1">
        <v>26.0</v>
      </c>
      <c r="AO814" s="1">
        <v>24.0</v>
      </c>
      <c r="AP814" s="1">
        <v>0.185948</v>
      </c>
      <c r="AQ814" s="1">
        <v>0.067838</v>
      </c>
      <c r="AR814" s="1">
        <v>0.086289</v>
      </c>
      <c r="AS814" s="1">
        <v>0.346756</v>
      </c>
      <c r="AT814" s="1">
        <v>16048.0</v>
      </c>
      <c r="AU814" s="1">
        <v>1724.0</v>
      </c>
      <c r="AV814" s="1">
        <v>0.253291</v>
      </c>
      <c r="AW814" s="1">
        <v>0.051394</v>
      </c>
      <c r="AX814" s="1">
        <v>0.14984</v>
      </c>
      <c r="AY814" s="1">
        <v>0.223389</v>
      </c>
      <c r="AZ814" s="1">
        <v>0.12485939</v>
      </c>
      <c r="BA814" s="1">
        <v>0.135678</v>
      </c>
      <c r="BB814" s="1">
        <v>4.53E-4</v>
      </c>
      <c r="BC814" s="1">
        <v>0.200635</v>
      </c>
      <c r="BD814" s="1">
        <v>0.0</v>
      </c>
      <c r="BE814" s="1">
        <v>0.184803</v>
      </c>
      <c r="BF814" s="1">
        <v>0.212007</v>
      </c>
      <c r="BG814" s="1">
        <v>0.057531</v>
      </c>
      <c r="BH814" s="1">
        <v>0.050632</v>
      </c>
      <c r="BI814" s="1">
        <v>0.139158</v>
      </c>
      <c r="BJ814" s="1">
        <v>0.06214</v>
      </c>
      <c r="BK814" s="1">
        <v>0.029339</v>
      </c>
      <c r="BL814" s="1">
        <v>0.010963</v>
      </c>
      <c r="BM814" s="1">
        <v>0.691</v>
      </c>
      <c r="BN814" s="1">
        <v>0.656</v>
      </c>
      <c r="BO814" s="1">
        <v>0.8368</v>
      </c>
      <c r="BP814" s="1">
        <v>0.876</v>
      </c>
      <c r="BQ814" s="1">
        <v>3.0598</v>
      </c>
      <c r="BR814" s="1">
        <v>0.8159</v>
      </c>
      <c r="BS814" s="1">
        <v>0.577</v>
      </c>
      <c r="BT814" s="1">
        <v>0.329</v>
      </c>
      <c r="BU814" s="1">
        <v>0.696</v>
      </c>
      <c r="BV814" s="1">
        <v>1.602</v>
      </c>
      <c r="BW814" s="1">
        <v>0.566</v>
      </c>
      <c r="BX814" s="1">
        <v>0.578</v>
      </c>
      <c r="BY814" s="1">
        <v>0.316</v>
      </c>
      <c r="BZ814" s="1">
        <v>0.894</v>
      </c>
      <c r="CA814" s="1">
        <v>0.463</v>
      </c>
      <c r="CB814" s="1">
        <v>0.0</v>
      </c>
      <c r="CC814" s="1">
        <v>0.912</v>
      </c>
      <c r="CD814" s="1">
        <v>0.938</v>
      </c>
      <c r="CE814" s="1">
        <v>0.579</v>
      </c>
      <c r="CF814" s="1">
        <v>0.59</v>
      </c>
      <c r="CG814" s="1">
        <v>3.019</v>
      </c>
      <c r="CH814" s="1">
        <v>0.783</v>
      </c>
      <c r="CI814" s="1">
        <v>8.5748</v>
      </c>
      <c r="CJ814" s="1">
        <v>0.7986</v>
      </c>
      <c r="CK814" s="1">
        <v>0.0</v>
      </c>
      <c r="CL814" s="1">
        <v>0.0</v>
      </c>
      <c r="CM814" s="1">
        <v>0.0</v>
      </c>
      <c r="CN814" s="1">
        <v>0.0</v>
      </c>
      <c r="CO814" s="1">
        <v>0.0</v>
      </c>
      <c r="CP814" s="1">
        <v>0.0</v>
      </c>
      <c r="CQ814" s="1">
        <v>0.0</v>
      </c>
      <c r="CR814" s="1">
        <v>0.0</v>
      </c>
      <c r="CS814" s="1">
        <v>0.0</v>
      </c>
      <c r="CT814" s="1">
        <v>0.0</v>
      </c>
      <c r="CU814" s="1">
        <v>0.0</v>
      </c>
      <c r="CV814" s="1">
        <v>0.0</v>
      </c>
      <c r="CW814" s="1">
        <v>0.0</v>
      </c>
      <c r="CX814" s="1">
        <v>1.0</v>
      </c>
      <c r="CY814" s="1">
        <v>1.0</v>
      </c>
      <c r="CZ814" s="1">
        <v>0.0</v>
      </c>
      <c r="DA814" s="1">
        <v>0.0</v>
      </c>
      <c r="DB814" s="1">
        <v>2.0</v>
      </c>
      <c r="DC814" s="1">
        <v>2.0</v>
      </c>
      <c r="DD814" s="1" t="s">
        <v>3811</v>
      </c>
      <c r="DE814" s="1">
        <v>0.0602754504058715</v>
      </c>
      <c r="DF814" s="2" t="s">
        <v>3812</v>
      </c>
    </row>
    <row r="815" ht="15.75" customHeight="1">
      <c r="A815" s="1" t="s">
        <v>3813</v>
      </c>
      <c r="B815" s="1">
        <v>29.0</v>
      </c>
      <c r="C815" s="1">
        <v>155.0</v>
      </c>
      <c r="D815" s="1">
        <v>470600.0</v>
      </c>
      <c r="E815" s="1">
        <v>25.196</v>
      </c>
      <c r="F815" s="1">
        <v>29155.0</v>
      </c>
      <c r="G815" s="1">
        <v>2.91554706E10</v>
      </c>
      <c r="H815" s="1" t="s">
        <v>112</v>
      </c>
      <c r="I815" s="1" t="s">
        <v>113</v>
      </c>
      <c r="J815" s="1" t="s">
        <v>3797</v>
      </c>
      <c r="K815" s="1" t="s">
        <v>3814</v>
      </c>
      <c r="L815" s="1">
        <v>3137.0</v>
      </c>
      <c r="M815" s="1">
        <v>3064.0</v>
      </c>
      <c r="N815" s="1">
        <v>299.0</v>
      </c>
      <c r="O815" s="1">
        <v>1317.0</v>
      </c>
      <c r="P815" s="1">
        <v>1165.0</v>
      </c>
      <c r="Q815" s="1">
        <v>86.0</v>
      </c>
      <c r="R815" s="1">
        <v>1201.0</v>
      </c>
      <c r="S815" s="1">
        <v>1063.0</v>
      </c>
      <c r="T815" s="1">
        <v>307.0</v>
      </c>
      <c r="U815" s="1">
        <v>74.0</v>
      </c>
      <c r="V815" s="1">
        <v>397.0</v>
      </c>
      <c r="W815" s="1">
        <v>14884.0</v>
      </c>
      <c r="X815" s="1">
        <v>2058.0</v>
      </c>
      <c r="Y815" s="1">
        <v>641.0</v>
      </c>
      <c r="Z815" s="1">
        <v>121.0</v>
      </c>
      <c r="AA815" s="1">
        <v>438.0</v>
      </c>
      <c r="AB815" s="1">
        <v>908.0</v>
      </c>
      <c r="AC815" s="1">
        <v>210.0</v>
      </c>
      <c r="AD815" s="1">
        <v>587.0</v>
      </c>
      <c r="AE815" s="1">
        <v>0.0</v>
      </c>
      <c r="AF815" s="1">
        <v>456.0</v>
      </c>
      <c r="AG815" s="1">
        <v>20.0</v>
      </c>
      <c r="AH815" s="1">
        <v>115.0</v>
      </c>
      <c r="AI815" s="1">
        <v>101.0</v>
      </c>
      <c r="AJ815" s="1">
        <v>36.0</v>
      </c>
      <c r="AK815" s="1">
        <v>33.0</v>
      </c>
      <c r="AL815" s="1">
        <v>116.0</v>
      </c>
      <c r="AM815" s="1">
        <v>210.0</v>
      </c>
      <c r="AN815" s="1">
        <v>68.0</v>
      </c>
      <c r="AO815" s="1">
        <v>45.0</v>
      </c>
      <c r="AP815" s="1">
        <v>0.350593</v>
      </c>
      <c r="AQ815" s="1">
        <v>0.095375</v>
      </c>
      <c r="AR815" s="1">
        <v>0.075433</v>
      </c>
      <c r="AS815" s="1">
        <v>0.404555</v>
      </c>
      <c r="AT815" s="1">
        <v>14884.0</v>
      </c>
      <c r="AU815" s="1">
        <v>2058.0</v>
      </c>
      <c r="AV815" s="1">
        <v>0.345738</v>
      </c>
      <c r="AW815" s="1">
        <v>0.04853</v>
      </c>
      <c r="AX815" s="1">
        <v>0.139623</v>
      </c>
      <c r="AY815" s="1">
        <v>0.289448</v>
      </c>
      <c r="AZ815" s="1">
        <v>0.17485428</v>
      </c>
      <c r="BA815" s="1">
        <v>0.187121</v>
      </c>
      <c r="BB815" s="1">
        <v>0.0</v>
      </c>
      <c r="BC815" s="1">
        <v>0.161415</v>
      </c>
      <c r="BD815" s="1">
        <v>0.017167</v>
      </c>
      <c r="BE815" s="1">
        <v>0.098704</v>
      </c>
      <c r="BF815" s="1">
        <v>0.086695</v>
      </c>
      <c r="BG815" s="1">
        <v>0.030231</v>
      </c>
      <c r="BH815" s="1">
        <v>0.031161</v>
      </c>
      <c r="BI815" s="1">
        <v>0.109508</v>
      </c>
      <c r="BJ815" s="1">
        <v>0.1983</v>
      </c>
      <c r="BK815" s="1">
        <v>0.062159</v>
      </c>
      <c r="BL815" s="1">
        <v>0.014344</v>
      </c>
      <c r="BM815" s="1">
        <v>0.926</v>
      </c>
      <c r="BN815" s="1">
        <v>0.565</v>
      </c>
      <c r="BO815" s="1">
        <v>0.8801</v>
      </c>
      <c r="BP815" s="1">
        <v>0.974</v>
      </c>
      <c r="BQ815" s="1">
        <v>3.3451</v>
      </c>
      <c r="BR815" s="1">
        <v>0.8881</v>
      </c>
      <c r="BS815" s="1">
        <v>0.493</v>
      </c>
      <c r="BT815" s="1">
        <v>0.886</v>
      </c>
      <c r="BU815" s="1">
        <v>0.855</v>
      </c>
      <c r="BV815" s="1">
        <v>2.234</v>
      </c>
      <c r="BW815" s="1">
        <v>0.97</v>
      </c>
      <c r="BX815" s="1">
        <v>0.691</v>
      </c>
      <c r="BY815" s="1">
        <v>0.0</v>
      </c>
      <c r="BZ815" s="1">
        <v>0.691</v>
      </c>
      <c r="CA815" s="1">
        <v>0.33</v>
      </c>
      <c r="CB815" s="1">
        <v>0.442</v>
      </c>
      <c r="CC815" s="1">
        <v>0.692</v>
      </c>
      <c r="CD815" s="1">
        <v>0.821</v>
      </c>
      <c r="CE815" s="1">
        <v>0.906</v>
      </c>
      <c r="CF815" s="1">
        <v>0.641</v>
      </c>
      <c r="CG815" s="1">
        <v>3.502</v>
      </c>
      <c r="CH815" s="1">
        <v>0.935</v>
      </c>
      <c r="CI815" s="1">
        <v>9.7721</v>
      </c>
      <c r="CJ815" s="1">
        <v>0.9336</v>
      </c>
      <c r="CK815" s="1">
        <v>1.0</v>
      </c>
      <c r="CL815" s="1">
        <v>0.0</v>
      </c>
      <c r="CM815" s="1">
        <v>0.0</v>
      </c>
      <c r="CN815" s="1">
        <v>1.0</v>
      </c>
      <c r="CO815" s="1">
        <v>2.0</v>
      </c>
      <c r="CP815" s="1">
        <v>0.0</v>
      </c>
      <c r="CQ815" s="1">
        <v>0.0</v>
      </c>
      <c r="CR815" s="1">
        <v>0.0</v>
      </c>
      <c r="CS815" s="1">
        <v>0.0</v>
      </c>
      <c r="CT815" s="1">
        <v>0.0</v>
      </c>
      <c r="CU815" s="1">
        <v>0.0</v>
      </c>
      <c r="CV815" s="1">
        <v>0.0</v>
      </c>
      <c r="CW815" s="1">
        <v>0.0</v>
      </c>
      <c r="CX815" s="1">
        <v>0.0</v>
      </c>
      <c r="CY815" s="1">
        <v>0.0</v>
      </c>
      <c r="CZ815" s="1">
        <v>1.0</v>
      </c>
      <c r="DA815" s="1">
        <v>0.0</v>
      </c>
      <c r="DB815" s="1">
        <v>1.0</v>
      </c>
      <c r="DC815" s="1">
        <v>3.0</v>
      </c>
      <c r="DD815" s="1" t="s">
        <v>3815</v>
      </c>
      <c r="DE815" s="1">
        <v>0.00657890539624552</v>
      </c>
      <c r="DF815" s="2" t="s">
        <v>3816</v>
      </c>
    </row>
    <row r="816" ht="15.75" customHeight="1">
      <c r="A816" s="1" t="s">
        <v>3817</v>
      </c>
      <c r="B816" s="1">
        <v>29.0</v>
      </c>
      <c r="C816" s="1">
        <v>155.0</v>
      </c>
      <c r="D816" s="1">
        <v>470500.0</v>
      </c>
      <c r="E816" s="1">
        <v>222.735</v>
      </c>
      <c r="F816" s="1">
        <v>29155.0</v>
      </c>
      <c r="G816" s="1">
        <v>2.91554705E10</v>
      </c>
      <c r="H816" s="1" t="s">
        <v>112</v>
      </c>
      <c r="I816" s="1" t="s">
        <v>113</v>
      </c>
      <c r="J816" s="1" t="s">
        <v>3797</v>
      </c>
      <c r="K816" s="1" t="s">
        <v>3818</v>
      </c>
      <c r="L816" s="1">
        <v>3095.0</v>
      </c>
      <c r="M816" s="1">
        <v>3215.0</v>
      </c>
      <c r="N816" s="1">
        <v>238.0</v>
      </c>
      <c r="O816" s="1">
        <v>1422.0</v>
      </c>
      <c r="P816" s="1">
        <v>1315.0</v>
      </c>
      <c r="Q816" s="1">
        <v>73.0</v>
      </c>
      <c r="R816" s="1">
        <v>1277.0</v>
      </c>
      <c r="S816" s="1">
        <v>367.0</v>
      </c>
      <c r="T816" s="1">
        <v>162.0</v>
      </c>
      <c r="U816" s="1">
        <v>203.0</v>
      </c>
      <c r="V816" s="1">
        <v>392.0</v>
      </c>
      <c r="W816" s="1">
        <v>20113.0</v>
      </c>
      <c r="X816" s="1">
        <v>1978.0</v>
      </c>
      <c r="Y816" s="1">
        <v>544.0</v>
      </c>
      <c r="Z816" s="1">
        <v>157.0</v>
      </c>
      <c r="AA816" s="1">
        <v>499.0</v>
      </c>
      <c r="AB816" s="1">
        <v>717.0</v>
      </c>
      <c r="AC816" s="1">
        <v>121.0</v>
      </c>
      <c r="AD816" s="1">
        <v>263.0</v>
      </c>
      <c r="AE816" s="1">
        <v>24.0</v>
      </c>
      <c r="AF816" s="1">
        <v>412.0</v>
      </c>
      <c r="AG816" s="1">
        <v>0.0</v>
      </c>
      <c r="AH816" s="1">
        <v>197.0</v>
      </c>
      <c r="AI816" s="1">
        <v>264.0</v>
      </c>
      <c r="AJ816" s="1">
        <v>75.0</v>
      </c>
      <c r="AK816" s="1">
        <v>13.0</v>
      </c>
      <c r="AL816" s="1">
        <v>115.0</v>
      </c>
      <c r="AM816" s="1">
        <v>32.0</v>
      </c>
      <c r="AN816" s="1">
        <v>19.0</v>
      </c>
      <c r="AO816" s="1">
        <v>0.0</v>
      </c>
      <c r="AP816" s="1">
        <v>0.114687</v>
      </c>
      <c r="AQ816" s="1">
        <v>0.049901</v>
      </c>
      <c r="AR816" s="1">
        <v>0.143159</v>
      </c>
      <c r="AS816" s="1">
        <v>0.275786</v>
      </c>
      <c r="AT816" s="1">
        <v>20113.0</v>
      </c>
      <c r="AU816" s="1">
        <v>1978.0</v>
      </c>
      <c r="AV816" s="1">
        <v>0.251618</v>
      </c>
      <c r="AW816" s="1">
        <v>0.069424</v>
      </c>
      <c r="AX816" s="1">
        <v>0.161227</v>
      </c>
      <c r="AY816" s="1">
        <v>0.231663</v>
      </c>
      <c r="AZ816" s="1">
        <v>0.09475332</v>
      </c>
      <c r="BA816" s="1">
        <v>0.084975</v>
      </c>
      <c r="BB816" s="1">
        <v>0.007789</v>
      </c>
      <c r="BC816" s="1">
        <v>0.133721</v>
      </c>
      <c r="BD816" s="1">
        <v>0.0</v>
      </c>
      <c r="BE816" s="1">
        <v>0.149809</v>
      </c>
      <c r="BF816" s="1">
        <v>0.20076</v>
      </c>
      <c r="BG816" s="1">
        <v>0.055934</v>
      </c>
      <c r="BH816" s="1">
        <v>0.011754</v>
      </c>
      <c r="BI816" s="1">
        <v>0.103974</v>
      </c>
      <c r="BJ816" s="1">
        <v>0.028933</v>
      </c>
      <c r="BK816" s="1">
        <v>0.017037</v>
      </c>
      <c r="BL816" s="1">
        <v>0.0</v>
      </c>
      <c r="BM816" s="1">
        <v>0.432</v>
      </c>
      <c r="BN816" s="1">
        <v>0.882</v>
      </c>
      <c r="BO816" s="1">
        <v>0.6051</v>
      </c>
      <c r="BP816" s="1">
        <v>0.871</v>
      </c>
      <c r="BQ816" s="1">
        <v>2.7901</v>
      </c>
      <c r="BR816" s="1">
        <v>0.7473</v>
      </c>
      <c r="BS816" s="1">
        <v>0.676</v>
      </c>
      <c r="BT816" s="1">
        <v>0.405</v>
      </c>
      <c r="BU816" s="1">
        <v>0.447</v>
      </c>
      <c r="BV816" s="1">
        <v>1.528</v>
      </c>
      <c r="BW816" s="1">
        <v>0.505</v>
      </c>
      <c r="BX816" s="1">
        <v>0.412</v>
      </c>
      <c r="BY816" s="1">
        <v>0.661</v>
      </c>
      <c r="BZ816" s="1">
        <v>1.073</v>
      </c>
      <c r="CA816" s="1">
        <v>0.596</v>
      </c>
      <c r="CB816" s="1">
        <v>0.0</v>
      </c>
      <c r="CC816" s="1">
        <v>0.899</v>
      </c>
      <c r="CD816" s="1">
        <v>0.52</v>
      </c>
      <c r="CE816" s="1">
        <v>0.276</v>
      </c>
      <c r="CF816" s="1">
        <v>0.0</v>
      </c>
      <c r="CG816" s="1">
        <v>1.695</v>
      </c>
      <c r="CH816" s="1">
        <v>0.233</v>
      </c>
      <c r="CI816" s="1">
        <v>7.0861</v>
      </c>
      <c r="CJ816" s="1">
        <v>0.5668</v>
      </c>
      <c r="CK816" s="1">
        <v>0.0</v>
      </c>
      <c r="CL816" s="1">
        <v>0.0</v>
      </c>
      <c r="CM816" s="1">
        <v>0.0</v>
      </c>
      <c r="CN816" s="1">
        <v>0.0</v>
      </c>
      <c r="CO816" s="1">
        <v>0.0</v>
      </c>
      <c r="CP816" s="1">
        <v>0.0</v>
      </c>
      <c r="CQ816" s="1">
        <v>0.0</v>
      </c>
      <c r="CR816" s="1">
        <v>0.0</v>
      </c>
      <c r="CS816" s="1">
        <v>0.0</v>
      </c>
      <c r="CT816" s="1">
        <v>0.0</v>
      </c>
      <c r="CU816" s="1">
        <v>0.0</v>
      </c>
      <c r="CV816" s="1">
        <v>0.0</v>
      </c>
      <c r="CW816" s="1">
        <v>0.0</v>
      </c>
      <c r="CX816" s="1">
        <v>0.0</v>
      </c>
      <c r="CY816" s="1">
        <v>0.0</v>
      </c>
      <c r="CZ816" s="1">
        <v>0.0</v>
      </c>
      <c r="DA816" s="1">
        <v>0.0</v>
      </c>
      <c r="DB816" s="1">
        <v>0.0</v>
      </c>
      <c r="DC816" s="1">
        <v>0.0</v>
      </c>
      <c r="DD816" s="1" t="s">
        <v>3819</v>
      </c>
      <c r="DE816" s="1">
        <v>0.0593457777100725</v>
      </c>
      <c r="DF816" s="2" t="s">
        <v>3820</v>
      </c>
    </row>
    <row r="817" ht="15.75" customHeight="1">
      <c r="A817" s="1" t="s">
        <v>3821</v>
      </c>
      <c r="B817" s="1">
        <v>29.0</v>
      </c>
      <c r="C817" s="1">
        <v>157.0</v>
      </c>
      <c r="D817" s="1">
        <v>470100.0</v>
      </c>
      <c r="E817" s="1">
        <v>141.27</v>
      </c>
      <c r="F817" s="1">
        <v>29157.0</v>
      </c>
      <c r="G817" s="1">
        <v>2.91574701E10</v>
      </c>
      <c r="H817" s="1" t="s">
        <v>112</v>
      </c>
      <c r="I817" s="1" t="s">
        <v>113</v>
      </c>
      <c r="J817" s="1" t="s">
        <v>3822</v>
      </c>
      <c r="K817" s="1" t="s">
        <v>3823</v>
      </c>
      <c r="L817" s="1">
        <v>2520.0</v>
      </c>
      <c r="M817" s="1">
        <v>2372.0</v>
      </c>
      <c r="N817" s="1">
        <v>226.0</v>
      </c>
      <c r="O817" s="1">
        <v>1019.0</v>
      </c>
      <c r="P817" s="1">
        <v>1034.0</v>
      </c>
      <c r="Q817" s="1">
        <v>78.0</v>
      </c>
      <c r="R817" s="1">
        <v>916.0</v>
      </c>
      <c r="S817" s="1">
        <v>247.0</v>
      </c>
      <c r="T817" s="1">
        <v>187.0</v>
      </c>
      <c r="U817" s="1">
        <v>43.0</v>
      </c>
      <c r="V817" s="1">
        <v>487.0</v>
      </c>
      <c r="W817" s="1">
        <v>22286.0</v>
      </c>
      <c r="X817" s="1">
        <v>3225.0</v>
      </c>
      <c r="Y817" s="1">
        <v>260.0</v>
      </c>
      <c r="Z817" s="1">
        <v>369.0</v>
      </c>
      <c r="AA817" s="1">
        <v>332.0</v>
      </c>
      <c r="AB817" s="1">
        <v>659.0</v>
      </c>
      <c r="AC817" s="1">
        <v>67.0</v>
      </c>
      <c r="AD817" s="1">
        <v>40.0</v>
      </c>
      <c r="AE817" s="1">
        <v>0.0</v>
      </c>
      <c r="AF817" s="1">
        <v>456.0</v>
      </c>
      <c r="AG817" s="1">
        <v>0.0</v>
      </c>
      <c r="AH817" s="1">
        <v>197.0</v>
      </c>
      <c r="AI817" s="1">
        <v>155.0</v>
      </c>
      <c r="AJ817" s="1">
        <v>67.0</v>
      </c>
      <c r="AK817" s="1">
        <v>45.0</v>
      </c>
      <c r="AL817" s="1">
        <v>128.0</v>
      </c>
      <c r="AM817" s="1">
        <v>47.0</v>
      </c>
      <c r="AN817" s="1">
        <v>122.0</v>
      </c>
      <c r="AO817" s="1">
        <v>0.0</v>
      </c>
      <c r="AP817" s="1">
        <v>0.104131</v>
      </c>
      <c r="AQ817" s="1">
        <v>0.078209</v>
      </c>
      <c r="AR817" s="1">
        <v>0.040719</v>
      </c>
      <c r="AS817" s="1">
        <v>0.461094</v>
      </c>
      <c r="AT817" s="1">
        <v>22286.0</v>
      </c>
      <c r="AU817" s="1">
        <v>3225.0</v>
      </c>
      <c r="AV817" s="1">
        <v>0.166987</v>
      </c>
      <c r="AW817" s="1">
        <v>0.236332</v>
      </c>
      <c r="AX817" s="1">
        <v>0.131746</v>
      </c>
      <c r="AY817" s="1">
        <v>0.261507</v>
      </c>
      <c r="AZ817" s="1">
        <v>0.0731441</v>
      </c>
      <c r="BA817" s="1">
        <v>0.015873</v>
      </c>
      <c r="BB817" s="1">
        <v>0.0</v>
      </c>
      <c r="BC817" s="1">
        <v>0.206241</v>
      </c>
      <c r="BD817" s="1">
        <v>0.0</v>
      </c>
      <c r="BE817" s="1">
        <v>0.190522</v>
      </c>
      <c r="BF817" s="1">
        <v>0.149903</v>
      </c>
      <c r="BG817" s="1">
        <v>0.063802</v>
      </c>
      <c r="BH817" s="1">
        <v>0.049778</v>
      </c>
      <c r="BI817" s="1">
        <v>0.1415</v>
      </c>
      <c r="BJ817" s="1">
        <v>0.051991</v>
      </c>
      <c r="BK817" s="1">
        <v>0.134849</v>
      </c>
      <c r="BL817" s="1">
        <v>0.0</v>
      </c>
      <c r="BM817" s="1">
        <v>0.387</v>
      </c>
      <c r="BN817" s="1">
        <v>0.189</v>
      </c>
      <c r="BO817" s="1">
        <v>0.4794</v>
      </c>
      <c r="BP817" s="1">
        <v>0.644</v>
      </c>
      <c r="BQ817" s="1">
        <v>1.6994</v>
      </c>
      <c r="BR817" s="1">
        <v>0.4014</v>
      </c>
      <c r="BS817" s="1">
        <v>0.432</v>
      </c>
      <c r="BT817" s="1">
        <v>0.715</v>
      </c>
      <c r="BU817" s="1">
        <v>0.241</v>
      </c>
      <c r="BV817" s="1">
        <v>1.388</v>
      </c>
      <c r="BW817" s="1">
        <v>0.38</v>
      </c>
      <c r="BX817" s="1">
        <v>0.007</v>
      </c>
      <c r="BY817" s="1">
        <v>0.0</v>
      </c>
      <c r="BZ817" s="1">
        <v>0.007</v>
      </c>
      <c r="CA817" s="1">
        <v>0.004</v>
      </c>
      <c r="CB817" s="1">
        <v>0.0</v>
      </c>
      <c r="CC817" s="1">
        <v>0.817</v>
      </c>
      <c r="CD817" s="1">
        <v>0.935</v>
      </c>
      <c r="CE817" s="1">
        <v>0.5</v>
      </c>
      <c r="CF817" s="1">
        <v>0.0</v>
      </c>
      <c r="CG817" s="1">
        <v>2.252</v>
      </c>
      <c r="CH817" s="1">
        <v>0.438</v>
      </c>
      <c r="CI817" s="1">
        <v>5.3464</v>
      </c>
      <c r="CJ817" s="1">
        <v>0.2549</v>
      </c>
      <c r="CK817" s="1">
        <v>0.0</v>
      </c>
      <c r="CL817" s="1">
        <v>0.0</v>
      </c>
      <c r="CM817" s="1">
        <v>0.0</v>
      </c>
      <c r="CN817" s="1">
        <v>0.0</v>
      </c>
      <c r="CO817" s="1">
        <v>0.0</v>
      </c>
      <c r="CP817" s="1">
        <v>0.0</v>
      </c>
      <c r="CQ817" s="1">
        <v>0.0</v>
      </c>
      <c r="CR817" s="1">
        <v>0.0</v>
      </c>
      <c r="CS817" s="1">
        <v>0.0</v>
      </c>
      <c r="CT817" s="1">
        <v>0.0</v>
      </c>
      <c r="CU817" s="1">
        <v>0.0</v>
      </c>
      <c r="CV817" s="1">
        <v>0.0</v>
      </c>
      <c r="CW817" s="1">
        <v>0.0</v>
      </c>
      <c r="CX817" s="1">
        <v>0.0</v>
      </c>
      <c r="CY817" s="1">
        <v>1.0</v>
      </c>
      <c r="CZ817" s="1">
        <v>0.0</v>
      </c>
      <c r="DA817" s="1">
        <v>0.0</v>
      </c>
      <c r="DB817" s="1">
        <v>1.0</v>
      </c>
      <c r="DC817" s="1">
        <v>1.0</v>
      </c>
      <c r="DD817" s="1" t="s">
        <v>3824</v>
      </c>
      <c r="DE817" s="1">
        <v>0.0386775935624937</v>
      </c>
      <c r="DF817" s="2" t="s">
        <v>3825</v>
      </c>
    </row>
    <row r="818" ht="15.75" customHeight="1">
      <c r="A818" s="1" t="s">
        <v>3826</v>
      </c>
      <c r="B818" s="1">
        <v>29.0</v>
      </c>
      <c r="C818" s="1">
        <v>157.0</v>
      </c>
      <c r="D818" s="1">
        <v>470200.0</v>
      </c>
      <c r="E818" s="1">
        <v>153.556</v>
      </c>
      <c r="F818" s="1">
        <v>29157.0</v>
      </c>
      <c r="G818" s="1">
        <v>2.91574702E10</v>
      </c>
      <c r="H818" s="1" t="s">
        <v>112</v>
      </c>
      <c r="I818" s="1" t="s">
        <v>113</v>
      </c>
      <c r="J818" s="1" t="s">
        <v>3822</v>
      </c>
      <c r="K818" s="1" t="s">
        <v>3827</v>
      </c>
      <c r="L818" s="1">
        <v>4820.0</v>
      </c>
      <c r="M818" s="1">
        <v>5099.0</v>
      </c>
      <c r="N818" s="1">
        <v>387.0</v>
      </c>
      <c r="O818" s="1">
        <v>2461.0</v>
      </c>
      <c r="P818" s="1">
        <v>2418.0</v>
      </c>
      <c r="Q818" s="1">
        <v>115.0</v>
      </c>
      <c r="R818" s="1">
        <v>1861.0</v>
      </c>
      <c r="S818" s="1">
        <v>603.0</v>
      </c>
      <c r="T818" s="1">
        <v>292.0</v>
      </c>
      <c r="U818" s="1">
        <v>69.0</v>
      </c>
      <c r="V818" s="1">
        <v>459.0</v>
      </c>
      <c r="W818" s="1">
        <v>21853.0</v>
      </c>
      <c r="X818" s="1">
        <v>2115.0</v>
      </c>
      <c r="Y818" s="1">
        <v>640.0</v>
      </c>
      <c r="Z818" s="1">
        <v>271.0</v>
      </c>
      <c r="AA818" s="1">
        <v>651.0</v>
      </c>
      <c r="AB818" s="1">
        <v>1178.0</v>
      </c>
      <c r="AC818" s="1">
        <v>175.0</v>
      </c>
      <c r="AD818" s="1">
        <v>136.0</v>
      </c>
      <c r="AE818" s="1">
        <v>0.0</v>
      </c>
      <c r="AF818" s="1">
        <v>456.0</v>
      </c>
      <c r="AG818" s="1">
        <v>22.0</v>
      </c>
      <c r="AH818" s="1">
        <v>164.0</v>
      </c>
      <c r="AI818" s="1">
        <v>381.0</v>
      </c>
      <c r="AJ818" s="1">
        <v>122.0</v>
      </c>
      <c r="AK818" s="1">
        <v>67.0</v>
      </c>
      <c r="AL818" s="1">
        <v>127.0</v>
      </c>
      <c r="AM818" s="1">
        <v>23.0</v>
      </c>
      <c r="AN818" s="1">
        <v>117.0</v>
      </c>
      <c r="AO818" s="1">
        <v>0.0</v>
      </c>
      <c r="AP818" s="1">
        <v>0.120167</v>
      </c>
      <c r="AQ818" s="1">
        <v>0.057555</v>
      </c>
      <c r="AR818" s="1">
        <v>0.02662</v>
      </c>
      <c r="AS818" s="1">
        <v>0.177063</v>
      </c>
      <c r="AT818" s="1">
        <v>21853.0</v>
      </c>
      <c r="AU818" s="1">
        <v>2115.0</v>
      </c>
      <c r="AV818" s="1">
        <v>0.194469</v>
      </c>
      <c r="AW818" s="1">
        <v>0.081196</v>
      </c>
      <c r="AX818" s="1">
        <v>0.135062</v>
      </c>
      <c r="AY818" s="1">
        <v>0.244398</v>
      </c>
      <c r="AZ818" s="1">
        <v>0.09403546</v>
      </c>
      <c r="BA818" s="1">
        <v>0.028215</v>
      </c>
      <c r="BB818" s="1">
        <v>0.0</v>
      </c>
      <c r="BC818" s="1">
        <v>0.096283</v>
      </c>
      <c r="BD818" s="1">
        <v>0.009098</v>
      </c>
      <c r="BE818" s="1">
        <v>0.067823</v>
      </c>
      <c r="BF818" s="1">
        <v>0.157568</v>
      </c>
      <c r="BG818" s="1">
        <v>0.049895</v>
      </c>
      <c r="BH818" s="1">
        <v>0.034271</v>
      </c>
      <c r="BI818" s="1">
        <v>0.064908</v>
      </c>
      <c r="BJ818" s="1">
        <v>0.011764</v>
      </c>
      <c r="BK818" s="1">
        <v>0.059839</v>
      </c>
      <c r="BL818" s="1">
        <v>0.0</v>
      </c>
      <c r="BM818" s="1">
        <v>0.456</v>
      </c>
      <c r="BN818" s="1">
        <v>0.061</v>
      </c>
      <c r="BO818" s="1">
        <v>0.504</v>
      </c>
      <c r="BP818" s="1">
        <v>0.738</v>
      </c>
      <c r="BQ818" s="1">
        <v>1.759</v>
      </c>
      <c r="BR818" s="1">
        <v>0.4188</v>
      </c>
      <c r="BS818" s="1">
        <v>0.453</v>
      </c>
      <c r="BT818" s="1">
        <v>0.539</v>
      </c>
      <c r="BU818" s="1">
        <v>0.441</v>
      </c>
      <c r="BV818" s="1">
        <v>1.433</v>
      </c>
      <c r="BW818" s="1">
        <v>0.42</v>
      </c>
      <c r="BX818" s="1">
        <v>0.069</v>
      </c>
      <c r="BY818" s="1">
        <v>0.0</v>
      </c>
      <c r="BZ818" s="1">
        <v>0.069</v>
      </c>
      <c r="CA818" s="1">
        <v>0.033</v>
      </c>
      <c r="CB818" s="1">
        <v>0.376</v>
      </c>
      <c r="CC818" s="1">
        <v>0.833</v>
      </c>
      <c r="CD818" s="1">
        <v>0.854</v>
      </c>
      <c r="CE818" s="1">
        <v>0.105</v>
      </c>
      <c r="CF818" s="1">
        <v>0.0</v>
      </c>
      <c r="CG818" s="1">
        <v>2.168</v>
      </c>
      <c r="CH818" s="1">
        <v>0.406</v>
      </c>
      <c r="CI818" s="1">
        <v>5.429</v>
      </c>
      <c r="CJ818" s="1">
        <v>0.2693</v>
      </c>
      <c r="CK818" s="1">
        <v>0.0</v>
      </c>
      <c r="CL818" s="1">
        <v>0.0</v>
      </c>
      <c r="CM818" s="1">
        <v>0.0</v>
      </c>
      <c r="CN818" s="1">
        <v>0.0</v>
      </c>
      <c r="CO818" s="1">
        <v>0.0</v>
      </c>
      <c r="CP818" s="1">
        <v>0.0</v>
      </c>
      <c r="CQ818" s="1">
        <v>0.0</v>
      </c>
      <c r="CR818" s="1">
        <v>0.0</v>
      </c>
      <c r="CS818" s="1">
        <v>0.0</v>
      </c>
      <c r="CT818" s="1">
        <v>0.0</v>
      </c>
      <c r="CU818" s="1">
        <v>0.0</v>
      </c>
      <c r="CV818" s="1">
        <v>0.0</v>
      </c>
      <c r="CW818" s="1">
        <v>0.0</v>
      </c>
      <c r="CX818" s="1">
        <v>0.0</v>
      </c>
      <c r="CY818" s="1">
        <v>0.0</v>
      </c>
      <c r="CZ818" s="1">
        <v>0.0</v>
      </c>
      <c r="DA818" s="1">
        <v>0.0</v>
      </c>
      <c r="DB818" s="1">
        <v>0.0</v>
      </c>
      <c r="DC818" s="1">
        <v>0.0</v>
      </c>
      <c r="DD818" s="1" t="s">
        <v>3828</v>
      </c>
      <c r="DE818" s="2" t="s">
        <v>3829</v>
      </c>
      <c r="DF818" s="2" t="s">
        <v>3830</v>
      </c>
    </row>
    <row r="819" ht="15.75" customHeight="1">
      <c r="A819" s="1" t="s">
        <v>3831</v>
      </c>
      <c r="B819" s="1">
        <v>29.0</v>
      </c>
      <c r="C819" s="1">
        <v>157.0</v>
      </c>
      <c r="D819" s="1">
        <v>470500.0</v>
      </c>
      <c r="E819" s="1">
        <v>171.189</v>
      </c>
      <c r="F819" s="1">
        <v>29157.0</v>
      </c>
      <c r="G819" s="1">
        <v>2.91574705E10</v>
      </c>
      <c r="H819" s="1" t="s">
        <v>112</v>
      </c>
      <c r="I819" s="1" t="s">
        <v>113</v>
      </c>
      <c r="J819" s="1" t="s">
        <v>3822</v>
      </c>
      <c r="K819" s="1" t="s">
        <v>3832</v>
      </c>
      <c r="L819" s="1">
        <v>3829.0</v>
      </c>
      <c r="M819" s="1">
        <v>3865.0</v>
      </c>
      <c r="N819" s="1">
        <v>256.0</v>
      </c>
      <c r="O819" s="1">
        <v>1678.0</v>
      </c>
      <c r="P819" s="1">
        <v>1839.0</v>
      </c>
      <c r="Q819" s="1">
        <v>118.0</v>
      </c>
      <c r="R819" s="1">
        <v>1454.0</v>
      </c>
      <c r="S819" s="1">
        <v>266.0</v>
      </c>
      <c r="T819" s="1">
        <v>120.0</v>
      </c>
      <c r="U819" s="1">
        <v>123.0</v>
      </c>
      <c r="V819" s="1">
        <v>367.0</v>
      </c>
      <c r="W819" s="1">
        <v>22467.0</v>
      </c>
      <c r="X819" s="1">
        <v>1965.0</v>
      </c>
      <c r="Y819" s="1">
        <v>625.0</v>
      </c>
      <c r="Z819" s="1">
        <v>258.0</v>
      </c>
      <c r="AA819" s="1">
        <v>566.0</v>
      </c>
      <c r="AB819" s="1">
        <v>956.0</v>
      </c>
      <c r="AC819" s="1">
        <v>90.0</v>
      </c>
      <c r="AD819" s="1">
        <v>57.0</v>
      </c>
      <c r="AE819" s="1">
        <v>24.0</v>
      </c>
      <c r="AF819" s="1">
        <v>443.0</v>
      </c>
      <c r="AG819" s="1">
        <v>0.0</v>
      </c>
      <c r="AH819" s="1">
        <v>197.0</v>
      </c>
      <c r="AI819" s="1">
        <v>188.0</v>
      </c>
      <c r="AJ819" s="1">
        <v>88.0</v>
      </c>
      <c r="AK819" s="1">
        <v>19.0</v>
      </c>
      <c r="AL819" s="1">
        <v>115.0</v>
      </c>
      <c r="AM819" s="1">
        <v>131.0</v>
      </c>
      <c r="AN819" s="1">
        <v>73.0</v>
      </c>
      <c r="AO819" s="1">
        <v>9.0</v>
      </c>
      <c r="AP819" s="1">
        <v>0.06927</v>
      </c>
      <c r="AQ819" s="1">
        <v>0.030906</v>
      </c>
      <c r="AR819" s="1">
        <v>0.062947</v>
      </c>
      <c r="AS819" s="1">
        <v>0.187678</v>
      </c>
      <c r="AT819" s="1">
        <v>22467.0</v>
      </c>
      <c r="AU819" s="1">
        <v>1965.0</v>
      </c>
      <c r="AV819" s="1">
        <v>0.224901</v>
      </c>
      <c r="AW819" s="1">
        <v>0.091194</v>
      </c>
      <c r="AX819" s="1">
        <v>0.147819</v>
      </c>
      <c r="AY819" s="1">
        <v>0.249673</v>
      </c>
      <c r="AZ819" s="1">
        <v>0.06189821</v>
      </c>
      <c r="BA819" s="1">
        <v>0.014886</v>
      </c>
      <c r="BB819" s="1">
        <v>0.006575</v>
      </c>
      <c r="BC819" s="1">
        <v>0.121368</v>
      </c>
      <c r="BD819" s="1">
        <v>0.0</v>
      </c>
      <c r="BE819" s="1">
        <v>0.107123</v>
      </c>
      <c r="BF819" s="1">
        <v>0.102229</v>
      </c>
      <c r="BG819" s="1">
        <v>0.0474</v>
      </c>
      <c r="BH819" s="1">
        <v>0.011242</v>
      </c>
      <c r="BI819" s="1">
        <v>0.068042</v>
      </c>
      <c r="BJ819" s="1">
        <v>0.077514</v>
      </c>
      <c r="BK819" s="1">
        <v>0.042837</v>
      </c>
      <c r="BL819" s="1">
        <v>0.00235</v>
      </c>
      <c r="BM819" s="1">
        <v>0.248</v>
      </c>
      <c r="BN819" s="1">
        <v>0.448</v>
      </c>
      <c r="BO819" s="1">
        <v>0.4693</v>
      </c>
      <c r="BP819" s="1">
        <v>0.812</v>
      </c>
      <c r="BQ819" s="1">
        <v>1.9773</v>
      </c>
      <c r="BR819" s="1">
        <v>0.4874</v>
      </c>
      <c r="BS819" s="1">
        <v>0.561</v>
      </c>
      <c r="BT819" s="1">
        <v>0.592</v>
      </c>
      <c r="BU819" s="1">
        <v>0.146</v>
      </c>
      <c r="BV819" s="1">
        <v>1.299</v>
      </c>
      <c r="BW819" s="1">
        <v>0.304</v>
      </c>
      <c r="BX819" s="1">
        <v>0.004</v>
      </c>
      <c r="BY819" s="1">
        <v>0.618</v>
      </c>
      <c r="BZ819" s="1">
        <v>0.622</v>
      </c>
      <c r="CA819" s="1">
        <v>0.287</v>
      </c>
      <c r="CB819" s="1">
        <v>0.0</v>
      </c>
      <c r="CC819" s="1">
        <v>0.722</v>
      </c>
      <c r="CD819" s="1">
        <v>0.505</v>
      </c>
      <c r="CE819" s="1">
        <v>0.66</v>
      </c>
      <c r="CF819" s="1">
        <v>0.456</v>
      </c>
      <c r="CG819" s="1">
        <v>2.343</v>
      </c>
      <c r="CH819" s="1">
        <v>0.481</v>
      </c>
      <c r="CI819" s="1">
        <v>6.2413</v>
      </c>
      <c r="CJ819" s="1">
        <v>0.4173</v>
      </c>
      <c r="CK819" s="1">
        <v>0.0</v>
      </c>
      <c r="CL819" s="1">
        <v>0.0</v>
      </c>
      <c r="CM819" s="1">
        <v>0.0</v>
      </c>
      <c r="CN819" s="1">
        <v>0.0</v>
      </c>
      <c r="CO819" s="1">
        <v>0.0</v>
      </c>
      <c r="CP819" s="1">
        <v>0.0</v>
      </c>
      <c r="CQ819" s="1">
        <v>0.0</v>
      </c>
      <c r="CR819" s="1">
        <v>0.0</v>
      </c>
      <c r="CS819" s="1">
        <v>0.0</v>
      </c>
      <c r="CT819" s="1">
        <v>0.0</v>
      </c>
      <c r="CU819" s="1">
        <v>0.0</v>
      </c>
      <c r="CV819" s="1">
        <v>0.0</v>
      </c>
      <c r="CW819" s="1">
        <v>0.0</v>
      </c>
      <c r="CX819" s="1">
        <v>0.0</v>
      </c>
      <c r="CY819" s="1">
        <v>0.0</v>
      </c>
      <c r="CZ819" s="1">
        <v>0.0</v>
      </c>
      <c r="DA819" s="1">
        <v>0.0</v>
      </c>
      <c r="DB819" s="1">
        <v>0.0</v>
      </c>
      <c r="DC819" s="1">
        <v>0.0</v>
      </c>
      <c r="DD819" s="1" t="s">
        <v>3833</v>
      </c>
      <c r="DE819" s="1">
        <v>0.0463966033425664</v>
      </c>
      <c r="DF819" s="2" t="s">
        <v>3834</v>
      </c>
    </row>
    <row r="820" ht="15.75" customHeight="1">
      <c r="A820" s="1" t="s">
        <v>3835</v>
      </c>
      <c r="B820" s="1">
        <v>29.0</v>
      </c>
      <c r="C820" s="1">
        <v>157.0</v>
      </c>
      <c r="D820" s="1">
        <v>470300.0</v>
      </c>
      <c r="E820" s="1">
        <v>4.042</v>
      </c>
      <c r="F820" s="1">
        <v>29157.0</v>
      </c>
      <c r="G820" s="1">
        <v>2.91574703E10</v>
      </c>
      <c r="H820" s="1" t="s">
        <v>112</v>
      </c>
      <c r="I820" s="1" t="s">
        <v>113</v>
      </c>
      <c r="J820" s="1" t="s">
        <v>3822</v>
      </c>
      <c r="K820" s="1" t="s">
        <v>3836</v>
      </c>
      <c r="L820" s="1">
        <v>4022.0</v>
      </c>
      <c r="M820" s="1">
        <v>3937.0</v>
      </c>
      <c r="N820" s="1">
        <v>250.0</v>
      </c>
      <c r="O820" s="1">
        <v>1694.0</v>
      </c>
      <c r="P820" s="1">
        <v>1598.0</v>
      </c>
      <c r="Q820" s="1">
        <v>97.0</v>
      </c>
      <c r="R820" s="1">
        <v>1549.0</v>
      </c>
      <c r="S820" s="1">
        <v>592.0</v>
      </c>
      <c r="T820" s="1">
        <v>258.0</v>
      </c>
      <c r="U820" s="1">
        <v>129.0</v>
      </c>
      <c r="V820" s="1">
        <v>446.0</v>
      </c>
      <c r="W820" s="1">
        <v>19154.0</v>
      </c>
      <c r="X820" s="1">
        <v>1592.0</v>
      </c>
      <c r="Y820" s="1">
        <v>577.0</v>
      </c>
      <c r="Z820" s="1">
        <v>267.0</v>
      </c>
      <c r="AA820" s="1">
        <v>775.0</v>
      </c>
      <c r="AB820" s="1">
        <v>998.0</v>
      </c>
      <c r="AC820" s="1">
        <v>209.0</v>
      </c>
      <c r="AD820" s="1">
        <v>242.0</v>
      </c>
      <c r="AE820" s="1">
        <v>171.0</v>
      </c>
      <c r="AF820" s="1">
        <v>433.0</v>
      </c>
      <c r="AG820" s="1">
        <v>46.0</v>
      </c>
      <c r="AH820" s="1">
        <v>118.0</v>
      </c>
      <c r="AI820" s="1">
        <v>90.0</v>
      </c>
      <c r="AJ820" s="1">
        <v>68.0</v>
      </c>
      <c r="AK820" s="1">
        <v>46.0</v>
      </c>
      <c r="AL820" s="1">
        <v>123.0</v>
      </c>
      <c r="AM820" s="1">
        <v>67.0</v>
      </c>
      <c r="AN820" s="1">
        <v>121.0</v>
      </c>
      <c r="AO820" s="1">
        <v>234.0</v>
      </c>
      <c r="AP820" s="1">
        <v>0.153209</v>
      </c>
      <c r="AQ820" s="1">
        <v>0.066116</v>
      </c>
      <c r="AR820" s="1">
        <v>0.063142</v>
      </c>
      <c r="AS820" s="1">
        <v>0.218159</v>
      </c>
      <c r="AT820" s="1">
        <v>19154.0</v>
      </c>
      <c r="AU820" s="1">
        <v>1592.0</v>
      </c>
      <c r="AV820" s="1">
        <v>0.2308</v>
      </c>
      <c r="AW820" s="1">
        <v>0.105365</v>
      </c>
      <c r="AX820" s="1">
        <v>0.19269</v>
      </c>
      <c r="AY820" s="1">
        <v>0.248135</v>
      </c>
      <c r="AZ820" s="1">
        <v>0.13492575</v>
      </c>
      <c r="BA820" s="1">
        <v>0.060169</v>
      </c>
      <c r="BB820" s="1">
        <v>0.04699</v>
      </c>
      <c r="BC820" s="1">
        <v>0.118953</v>
      </c>
      <c r="BD820" s="1">
        <v>0.028785</v>
      </c>
      <c r="BE820" s="1">
        <v>0.073821</v>
      </c>
      <c r="BF820" s="1">
        <v>0.05632</v>
      </c>
      <c r="BG820" s="1">
        <v>0.042415</v>
      </c>
      <c r="BH820" s="1">
        <v>0.029487</v>
      </c>
      <c r="BI820" s="1">
        <v>0.078822</v>
      </c>
      <c r="BJ820" s="1">
        <v>0.042948</v>
      </c>
      <c r="BK820" s="1">
        <v>0.077513</v>
      </c>
      <c r="BL820" s="1">
        <v>0.05818</v>
      </c>
      <c r="BM820" s="1">
        <v>0.589</v>
      </c>
      <c r="BN820" s="1">
        <v>0.451</v>
      </c>
      <c r="BO820" s="1">
        <v>0.6599</v>
      </c>
      <c r="BP820" s="1">
        <v>0.828</v>
      </c>
      <c r="BQ820" s="1">
        <v>2.5279</v>
      </c>
      <c r="BR820" s="1">
        <v>0.6744</v>
      </c>
      <c r="BS820" s="1">
        <v>0.851</v>
      </c>
      <c r="BT820" s="1">
        <v>0.575</v>
      </c>
      <c r="BU820" s="1">
        <v>0.738</v>
      </c>
      <c r="BV820" s="1">
        <v>2.164</v>
      </c>
      <c r="BW820" s="1">
        <v>0.953</v>
      </c>
      <c r="BX820" s="1">
        <v>0.314</v>
      </c>
      <c r="BY820" s="1">
        <v>0.955</v>
      </c>
      <c r="BZ820" s="1">
        <v>1.269</v>
      </c>
      <c r="CA820" s="1">
        <v>0.695</v>
      </c>
      <c r="CB820" s="1">
        <v>0.542</v>
      </c>
      <c r="CC820" s="1">
        <v>0.623</v>
      </c>
      <c r="CD820" s="1">
        <v>0.8</v>
      </c>
      <c r="CE820" s="1">
        <v>0.421</v>
      </c>
      <c r="CF820" s="1">
        <v>0.908</v>
      </c>
      <c r="CG820" s="1">
        <v>3.294</v>
      </c>
      <c r="CH820" s="1">
        <v>0.869</v>
      </c>
      <c r="CI820" s="1">
        <v>9.2549</v>
      </c>
      <c r="CJ820" s="1">
        <v>0.8794</v>
      </c>
      <c r="CK820" s="1">
        <v>0.0</v>
      </c>
      <c r="CL820" s="1">
        <v>0.0</v>
      </c>
      <c r="CM820" s="1">
        <v>0.0</v>
      </c>
      <c r="CN820" s="1">
        <v>0.0</v>
      </c>
      <c r="CO820" s="1">
        <v>0.0</v>
      </c>
      <c r="CP820" s="1">
        <v>0.0</v>
      </c>
      <c r="CQ820" s="1">
        <v>0.0</v>
      </c>
      <c r="CR820" s="1">
        <v>0.0</v>
      </c>
      <c r="CS820" s="1">
        <v>0.0</v>
      </c>
      <c r="CT820" s="1">
        <v>0.0</v>
      </c>
      <c r="CU820" s="1">
        <v>1.0</v>
      </c>
      <c r="CV820" s="1">
        <v>1.0</v>
      </c>
      <c r="CW820" s="1">
        <v>0.0</v>
      </c>
      <c r="CX820" s="1">
        <v>0.0</v>
      </c>
      <c r="CY820" s="1">
        <v>0.0</v>
      </c>
      <c r="CZ820" s="1">
        <v>0.0</v>
      </c>
      <c r="DA820" s="1">
        <v>1.0</v>
      </c>
      <c r="DB820" s="1">
        <v>1.0</v>
      </c>
      <c r="DC820" s="1">
        <v>2.0</v>
      </c>
      <c r="DD820" s="1" t="s">
        <v>3837</v>
      </c>
      <c r="DE820" s="1">
        <v>0.00106976289193783</v>
      </c>
      <c r="DF820" s="2" t="s">
        <v>3838</v>
      </c>
    </row>
    <row r="821" ht="15.75" customHeight="1">
      <c r="A821" s="1" t="s">
        <v>3839</v>
      </c>
      <c r="B821" s="1">
        <v>29.0</v>
      </c>
      <c r="C821" s="1">
        <v>157.0</v>
      </c>
      <c r="D821" s="1">
        <v>470400.0</v>
      </c>
      <c r="E821" s="1">
        <v>4.297</v>
      </c>
      <c r="F821" s="1">
        <v>29157.0</v>
      </c>
      <c r="G821" s="1">
        <v>2.91574704E10</v>
      </c>
      <c r="H821" s="1" t="s">
        <v>112</v>
      </c>
      <c r="I821" s="1" t="s">
        <v>113</v>
      </c>
      <c r="J821" s="1" t="s">
        <v>3822</v>
      </c>
      <c r="K821" s="1" t="s">
        <v>3840</v>
      </c>
      <c r="L821" s="1">
        <v>3780.0</v>
      </c>
      <c r="M821" s="1">
        <v>3646.0</v>
      </c>
      <c r="N821" s="1">
        <v>265.0</v>
      </c>
      <c r="O821" s="1">
        <v>1716.0</v>
      </c>
      <c r="P821" s="1">
        <v>1594.0</v>
      </c>
      <c r="Q821" s="1">
        <v>123.0</v>
      </c>
      <c r="R821" s="1">
        <v>1577.0</v>
      </c>
      <c r="S821" s="1">
        <v>281.0</v>
      </c>
      <c r="T821" s="1">
        <v>120.0</v>
      </c>
      <c r="U821" s="1">
        <v>47.0</v>
      </c>
      <c r="V821" s="1">
        <v>443.0</v>
      </c>
      <c r="W821" s="1">
        <v>25636.0</v>
      </c>
      <c r="X821" s="1">
        <v>3243.0</v>
      </c>
      <c r="Y821" s="1">
        <v>359.0</v>
      </c>
      <c r="Z821" s="1">
        <v>317.0</v>
      </c>
      <c r="AA821" s="1">
        <v>636.0</v>
      </c>
      <c r="AB821" s="1">
        <v>971.0</v>
      </c>
      <c r="AC821" s="1">
        <v>182.0</v>
      </c>
      <c r="AD821" s="1">
        <v>197.0</v>
      </c>
      <c r="AE821" s="1">
        <v>0.0</v>
      </c>
      <c r="AF821" s="1">
        <v>456.0</v>
      </c>
      <c r="AG821" s="1">
        <v>31.0</v>
      </c>
      <c r="AH821" s="1">
        <v>118.0</v>
      </c>
      <c r="AI821" s="1">
        <v>0.0</v>
      </c>
      <c r="AJ821" s="1">
        <v>114.0</v>
      </c>
      <c r="AK821" s="1">
        <v>29.0</v>
      </c>
      <c r="AL821" s="1">
        <v>117.0</v>
      </c>
      <c r="AM821" s="1">
        <v>39.0</v>
      </c>
      <c r="AN821" s="1">
        <v>32.0</v>
      </c>
      <c r="AO821" s="1">
        <v>43.0</v>
      </c>
      <c r="AP821" s="1">
        <v>0.077389</v>
      </c>
      <c r="AQ821" s="1">
        <v>0.032569</v>
      </c>
      <c r="AR821" s="1">
        <v>0.02712</v>
      </c>
      <c r="AS821" s="1">
        <v>0.255596</v>
      </c>
      <c r="AT821" s="1">
        <v>25636.0</v>
      </c>
      <c r="AU821" s="1">
        <v>3243.0</v>
      </c>
      <c r="AV821" s="1">
        <v>0.144758</v>
      </c>
      <c r="AW821" s="1">
        <v>0.127501</v>
      </c>
      <c r="AX821" s="1">
        <v>0.168253</v>
      </c>
      <c r="AY821" s="1">
        <v>0.256878</v>
      </c>
      <c r="AZ821" s="1">
        <v>0.115409</v>
      </c>
      <c r="BA821" s="1">
        <v>0.052116</v>
      </c>
      <c r="BB821" s="1">
        <v>0.0</v>
      </c>
      <c r="BC821" s="1">
        <v>0.133606</v>
      </c>
      <c r="BD821" s="1">
        <v>0.019447</v>
      </c>
      <c r="BE821" s="1">
        <v>0.074012</v>
      </c>
      <c r="BF821" s="1">
        <v>0.0</v>
      </c>
      <c r="BG821" s="1">
        <v>0.071518</v>
      </c>
      <c r="BH821" s="1">
        <v>0.018331</v>
      </c>
      <c r="BI821" s="1">
        <v>0.073943</v>
      </c>
      <c r="BJ821" s="1">
        <v>0.024652</v>
      </c>
      <c r="BK821" s="1">
        <v>0.020138</v>
      </c>
      <c r="BL821" s="1">
        <v>0.011375</v>
      </c>
      <c r="BM821" s="1">
        <v>0.281</v>
      </c>
      <c r="BN821" s="1">
        <v>0.066</v>
      </c>
      <c r="BO821" s="1">
        <v>0.3227</v>
      </c>
      <c r="BP821" s="1">
        <v>0.546</v>
      </c>
      <c r="BQ821" s="1">
        <v>1.2157</v>
      </c>
      <c r="BR821" s="1">
        <v>0.2585</v>
      </c>
      <c r="BS821" s="1">
        <v>0.722</v>
      </c>
      <c r="BT821" s="1">
        <v>0.672</v>
      </c>
      <c r="BU821" s="1">
        <v>0.637</v>
      </c>
      <c r="BV821" s="1">
        <v>2.031</v>
      </c>
      <c r="BW821" s="1">
        <v>0.877</v>
      </c>
      <c r="BX821" s="1">
        <v>0.265</v>
      </c>
      <c r="BY821" s="1">
        <v>0.0</v>
      </c>
      <c r="BZ821" s="1">
        <v>0.265</v>
      </c>
      <c r="CA821" s="1">
        <v>0.116</v>
      </c>
      <c r="CB821" s="1">
        <v>0.458</v>
      </c>
      <c r="CC821" s="1">
        <v>0.0</v>
      </c>
      <c r="CD821" s="1">
        <v>0.648</v>
      </c>
      <c r="CE821" s="1">
        <v>0.234</v>
      </c>
      <c r="CF821" s="1">
        <v>0.599</v>
      </c>
      <c r="CG821" s="1">
        <v>1.939</v>
      </c>
      <c r="CH821" s="1">
        <v>0.321</v>
      </c>
      <c r="CI821" s="1">
        <v>5.4507</v>
      </c>
      <c r="CJ821" s="1">
        <v>0.2729</v>
      </c>
      <c r="CK821" s="1">
        <v>0.0</v>
      </c>
      <c r="CL821" s="1">
        <v>0.0</v>
      </c>
      <c r="CM821" s="1">
        <v>0.0</v>
      </c>
      <c r="CN821" s="1">
        <v>0.0</v>
      </c>
      <c r="CO821" s="1">
        <v>0.0</v>
      </c>
      <c r="CP821" s="1">
        <v>0.0</v>
      </c>
      <c r="CQ821" s="1">
        <v>0.0</v>
      </c>
      <c r="CR821" s="1">
        <v>0.0</v>
      </c>
      <c r="CS821" s="1">
        <v>0.0</v>
      </c>
      <c r="CT821" s="1">
        <v>0.0</v>
      </c>
      <c r="CU821" s="1">
        <v>0.0</v>
      </c>
      <c r="CV821" s="1">
        <v>0.0</v>
      </c>
      <c r="CW821" s="1">
        <v>0.0</v>
      </c>
      <c r="CX821" s="1">
        <v>0.0</v>
      </c>
      <c r="CY821" s="1">
        <v>0.0</v>
      </c>
      <c r="CZ821" s="1">
        <v>0.0</v>
      </c>
      <c r="DA821" s="1">
        <v>0.0</v>
      </c>
      <c r="DB821" s="1">
        <v>0.0</v>
      </c>
      <c r="DC821" s="1">
        <v>0.0</v>
      </c>
      <c r="DD821" s="1" t="s">
        <v>3841</v>
      </c>
      <c r="DE821" s="1">
        <v>0.00114094470808888</v>
      </c>
      <c r="DF821" s="2" t="s">
        <v>3842</v>
      </c>
    </row>
    <row r="822" ht="15.75" customHeight="1">
      <c r="A822" s="1" t="s">
        <v>3843</v>
      </c>
      <c r="B822" s="1">
        <v>29.0</v>
      </c>
      <c r="C822" s="1">
        <v>159.0</v>
      </c>
      <c r="D822" s="1">
        <v>480600.0</v>
      </c>
      <c r="E822" s="1">
        <v>3.35</v>
      </c>
      <c r="F822" s="1">
        <v>29159.0</v>
      </c>
      <c r="G822" s="1">
        <v>2.91594806E10</v>
      </c>
      <c r="H822" s="1" t="s">
        <v>112</v>
      </c>
      <c r="I822" s="1" t="s">
        <v>113</v>
      </c>
      <c r="J822" s="1" t="s">
        <v>3844</v>
      </c>
      <c r="K822" s="1" t="s">
        <v>3845</v>
      </c>
      <c r="L822" s="1">
        <v>2112.0</v>
      </c>
      <c r="M822" s="1">
        <v>2370.0</v>
      </c>
      <c r="N822" s="1">
        <v>380.0</v>
      </c>
      <c r="O822" s="1">
        <v>977.0</v>
      </c>
      <c r="P822" s="1">
        <v>1028.0</v>
      </c>
      <c r="Q822" s="1">
        <v>98.0</v>
      </c>
      <c r="R822" s="1">
        <v>804.0</v>
      </c>
      <c r="S822" s="1">
        <v>761.0</v>
      </c>
      <c r="T822" s="1">
        <v>363.0</v>
      </c>
      <c r="U822" s="1">
        <v>75.0</v>
      </c>
      <c r="V822" s="1">
        <v>460.0</v>
      </c>
      <c r="W822" s="1">
        <v>16213.0</v>
      </c>
      <c r="X822" s="1">
        <v>4333.0</v>
      </c>
      <c r="Y822" s="1">
        <v>427.0</v>
      </c>
      <c r="Z822" s="1">
        <v>213.0</v>
      </c>
      <c r="AA822" s="1">
        <v>261.0</v>
      </c>
      <c r="AB822" s="1">
        <v>634.0</v>
      </c>
      <c r="AC822" s="1">
        <v>159.0</v>
      </c>
      <c r="AD822" s="1">
        <v>824.0</v>
      </c>
      <c r="AE822" s="1">
        <v>48.0</v>
      </c>
      <c r="AF822" s="1">
        <v>414.0</v>
      </c>
      <c r="AG822" s="1">
        <v>0.0</v>
      </c>
      <c r="AH822" s="1">
        <v>197.0</v>
      </c>
      <c r="AI822" s="1">
        <v>10.0</v>
      </c>
      <c r="AJ822" s="1">
        <v>16.0</v>
      </c>
      <c r="AK822" s="1">
        <v>64.0</v>
      </c>
      <c r="AL822" s="1">
        <v>124.0</v>
      </c>
      <c r="AM822" s="1">
        <v>107.0</v>
      </c>
      <c r="AN822" s="1">
        <v>57.0</v>
      </c>
      <c r="AO822" s="1">
        <v>38.0</v>
      </c>
      <c r="AP822" s="1">
        <v>0.32689</v>
      </c>
      <c r="AQ822" s="1">
        <v>0.147067</v>
      </c>
      <c r="AR822" s="1">
        <v>0.076374</v>
      </c>
      <c r="AS822" s="1">
        <v>0.467842</v>
      </c>
      <c r="AT822" s="1">
        <v>16213.0</v>
      </c>
      <c r="AU822" s="1">
        <v>4333.0</v>
      </c>
      <c r="AV822" s="1">
        <v>0.288513</v>
      </c>
      <c r="AW822" s="1">
        <v>0.138914</v>
      </c>
      <c r="AX822" s="1">
        <v>0.123579</v>
      </c>
      <c r="AY822" s="1">
        <v>0.300189</v>
      </c>
      <c r="AZ822" s="1">
        <v>0.19776119</v>
      </c>
      <c r="BA822" s="1">
        <v>0.390151</v>
      </c>
      <c r="BB822" s="1">
        <v>0.02213</v>
      </c>
      <c r="BC822" s="1">
        <v>0.190838</v>
      </c>
      <c r="BD822" s="1">
        <v>0.0</v>
      </c>
      <c r="BE822" s="1">
        <v>0.191634</v>
      </c>
      <c r="BF822" s="1">
        <v>0.009727</v>
      </c>
      <c r="BG822" s="1">
        <v>0.015536</v>
      </c>
      <c r="BH822" s="1">
        <v>0.070484</v>
      </c>
      <c r="BI822" s="1">
        <v>0.136301</v>
      </c>
      <c r="BJ822" s="1">
        <v>0.117841</v>
      </c>
      <c r="BK822" s="1">
        <v>0.06116</v>
      </c>
      <c r="BL822" s="1">
        <v>0.017992</v>
      </c>
      <c r="BM822" s="1">
        <v>0.91</v>
      </c>
      <c r="BN822" s="1">
        <v>0.574</v>
      </c>
      <c r="BO822" s="1">
        <v>0.8274</v>
      </c>
      <c r="BP822" s="1">
        <v>0.929</v>
      </c>
      <c r="BQ822" s="1">
        <v>3.2404</v>
      </c>
      <c r="BR822" s="1">
        <v>0.8635</v>
      </c>
      <c r="BS822" s="1">
        <v>0.368</v>
      </c>
      <c r="BT822" s="1">
        <v>0.921</v>
      </c>
      <c r="BU822" s="1">
        <v>0.894</v>
      </c>
      <c r="BV822" s="1">
        <v>2.183</v>
      </c>
      <c r="BW822" s="1">
        <v>0.961</v>
      </c>
      <c r="BX822" s="1">
        <v>0.838</v>
      </c>
      <c r="BY822" s="1">
        <v>0.869</v>
      </c>
      <c r="BZ822" s="1">
        <v>1.707</v>
      </c>
      <c r="CA822" s="1">
        <v>0.926</v>
      </c>
      <c r="CB822" s="1">
        <v>0.0</v>
      </c>
      <c r="CC822" s="1">
        <v>0.456</v>
      </c>
      <c r="CD822" s="1">
        <v>0.976</v>
      </c>
      <c r="CE822" s="1">
        <v>0.801</v>
      </c>
      <c r="CF822" s="1">
        <v>0.685</v>
      </c>
      <c r="CG822" s="1">
        <v>2.918</v>
      </c>
      <c r="CH822" s="1">
        <v>0.738</v>
      </c>
      <c r="CI822" s="1">
        <v>10.0484</v>
      </c>
      <c r="CJ822" s="1">
        <v>0.9502</v>
      </c>
      <c r="CK822" s="1">
        <v>1.0</v>
      </c>
      <c r="CL822" s="1">
        <v>0.0</v>
      </c>
      <c r="CM822" s="1">
        <v>0.0</v>
      </c>
      <c r="CN822" s="1">
        <v>1.0</v>
      </c>
      <c r="CO822" s="1">
        <v>2.0</v>
      </c>
      <c r="CP822" s="1">
        <v>0.0</v>
      </c>
      <c r="CQ822" s="1">
        <v>1.0</v>
      </c>
      <c r="CR822" s="1">
        <v>0.0</v>
      </c>
      <c r="CS822" s="1">
        <v>1.0</v>
      </c>
      <c r="CT822" s="1">
        <v>0.0</v>
      </c>
      <c r="CU822" s="1">
        <v>0.0</v>
      </c>
      <c r="CV822" s="1">
        <v>0.0</v>
      </c>
      <c r="CW822" s="1">
        <v>0.0</v>
      </c>
      <c r="CX822" s="1">
        <v>0.0</v>
      </c>
      <c r="CY822" s="1">
        <v>1.0</v>
      </c>
      <c r="CZ822" s="1">
        <v>0.0</v>
      </c>
      <c r="DA822" s="1">
        <v>0.0</v>
      </c>
      <c r="DB822" s="1">
        <v>1.0</v>
      </c>
      <c r="DC822" s="1">
        <v>4.0</v>
      </c>
      <c r="DD822" s="1" t="s">
        <v>3846</v>
      </c>
      <c r="DE822" s="1">
        <v>9.07401803774019E-4</v>
      </c>
      <c r="DF822" s="2" t="s">
        <v>3847</v>
      </c>
    </row>
    <row r="823" ht="15.75" customHeight="1">
      <c r="A823" s="1" t="s">
        <v>3848</v>
      </c>
      <c r="B823" s="1">
        <v>29.0</v>
      </c>
      <c r="C823" s="1">
        <v>159.0</v>
      </c>
      <c r="D823" s="1">
        <v>481000.0</v>
      </c>
      <c r="E823" s="1">
        <v>3.673</v>
      </c>
      <c r="F823" s="1">
        <v>29159.0</v>
      </c>
      <c r="G823" s="1">
        <v>2.9159481E10</v>
      </c>
      <c r="H823" s="1" t="s">
        <v>112</v>
      </c>
      <c r="I823" s="1" t="s">
        <v>113</v>
      </c>
      <c r="J823" s="1" t="s">
        <v>3844</v>
      </c>
      <c r="K823" s="1" t="s">
        <v>3849</v>
      </c>
      <c r="L823" s="1">
        <v>4480.0</v>
      </c>
      <c r="M823" s="1">
        <v>4737.0</v>
      </c>
      <c r="N823" s="1">
        <v>395.0</v>
      </c>
      <c r="O823" s="1">
        <v>1942.0</v>
      </c>
      <c r="P823" s="1">
        <v>1945.0</v>
      </c>
      <c r="Q823" s="1">
        <v>99.0</v>
      </c>
      <c r="R823" s="1">
        <v>1787.0</v>
      </c>
      <c r="S823" s="1">
        <v>380.0</v>
      </c>
      <c r="T823" s="1">
        <v>151.0</v>
      </c>
      <c r="U823" s="1">
        <v>125.0</v>
      </c>
      <c r="V823" s="1">
        <v>400.0</v>
      </c>
      <c r="W823" s="1">
        <v>17916.0</v>
      </c>
      <c r="X823" s="1">
        <v>1562.0</v>
      </c>
      <c r="Y823" s="1">
        <v>422.0</v>
      </c>
      <c r="Z823" s="1">
        <v>279.0</v>
      </c>
      <c r="AA823" s="1">
        <v>675.0</v>
      </c>
      <c r="AB823" s="1">
        <v>1106.0</v>
      </c>
      <c r="AC823" s="1">
        <v>196.0</v>
      </c>
      <c r="AD823" s="1">
        <v>457.0</v>
      </c>
      <c r="AE823" s="1">
        <v>50.0</v>
      </c>
      <c r="AF823" s="1">
        <v>430.0</v>
      </c>
      <c r="AG823" s="1">
        <v>38.0</v>
      </c>
      <c r="AH823" s="1">
        <v>165.0</v>
      </c>
      <c r="AI823" s="1">
        <v>106.0</v>
      </c>
      <c r="AJ823" s="1">
        <v>59.0</v>
      </c>
      <c r="AK823" s="1">
        <v>42.0</v>
      </c>
      <c r="AL823" s="1">
        <v>121.0</v>
      </c>
      <c r="AM823" s="1">
        <v>83.0</v>
      </c>
      <c r="AN823" s="1">
        <v>48.0</v>
      </c>
      <c r="AO823" s="1">
        <v>47.0</v>
      </c>
      <c r="AP823" s="1">
        <v>0.081562</v>
      </c>
      <c r="AQ823" s="1">
        <v>0.031734</v>
      </c>
      <c r="AR823" s="1">
        <v>0.054969</v>
      </c>
      <c r="AS823" s="1">
        <v>0.175796</v>
      </c>
      <c r="AT823" s="1">
        <v>17916.0</v>
      </c>
      <c r="AU823" s="1">
        <v>1562.0</v>
      </c>
      <c r="AV823" s="1">
        <v>0.138724</v>
      </c>
      <c r="AW823" s="1">
        <v>0.091339</v>
      </c>
      <c r="AX823" s="1">
        <v>0.150669</v>
      </c>
      <c r="AY823" s="1">
        <v>0.246875</v>
      </c>
      <c r="AZ823" s="1">
        <v>0.10968102</v>
      </c>
      <c r="BA823" s="1">
        <v>0.102008</v>
      </c>
      <c r="BB823" s="1">
        <v>0.011684</v>
      </c>
      <c r="BC823" s="1">
        <v>0.100486</v>
      </c>
      <c r="BD823" s="1">
        <v>0.019537</v>
      </c>
      <c r="BE823" s="1">
        <v>0.084827</v>
      </c>
      <c r="BF823" s="1">
        <v>0.054498</v>
      </c>
      <c r="BG823" s="1">
        <v>0.030207</v>
      </c>
      <c r="BH823" s="1">
        <v>0.022471</v>
      </c>
      <c r="BI823" s="1">
        <v>0.064725</v>
      </c>
      <c r="BJ823" s="1">
        <v>0.044408</v>
      </c>
      <c r="BK823" s="1">
        <v>0.025531</v>
      </c>
      <c r="BL823" s="1">
        <v>0.010491</v>
      </c>
      <c r="BM823" s="1">
        <v>0.297</v>
      </c>
      <c r="BN823" s="1">
        <v>0.345</v>
      </c>
      <c r="BO823" s="1">
        <v>0.7343</v>
      </c>
      <c r="BP823" s="1">
        <v>0.517</v>
      </c>
      <c r="BQ823" s="1">
        <v>1.8933</v>
      </c>
      <c r="BR823" s="1">
        <v>0.4614</v>
      </c>
      <c r="BS823" s="1">
        <v>0.584</v>
      </c>
      <c r="BT823" s="1">
        <v>0.564</v>
      </c>
      <c r="BU823" s="1">
        <v>0.584</v>
      </c>
      <c r="BV823" s="1">
        <v>1.732</v>
      </c>
      <c r="BW823" s="1">
        <v>0.666</v>
      </c>
      <c r="BX823" s="1">
        <v>0.475</v>
      </c>
      <c r="BY823" s="1">
        <v>0.761</v>
      </c>
      <c r="BZ823" s="1">
        <v>1.236</v>
      </c>
      <c r="CA823" s="1">
        <v>0.68</v>
      </c>
      <c r="CB823" s="1">
        <v>0.459</v>
      </c>
      <c r="CC823" s="1">
        <v>0.617</v>
      </c>
      <c r="CD823" s="1">
        <v>0.717</v>
      </c>
      <c r="CE823" s="1">
        <v>0.437</v>
      </c>
      <c r="CF823" s="1">
        <v>0.586</v>
      </c>
      <c r="CG823" s="1">
        <v>2.816</v>
      </c>
      <c r="CH823" s="1">
        <v>0.694</v>
      </c>
      <c r="CI823" s="1">
        <v>7.6773</v>
      </c>
      <c r="CJ823" s="1">
        <v>0.6664</v>
      </c>
      <c r="CK823" s="1">
        <v>0.0</v>
      </c>
      <c r="CL823" s="1">
        <v>0.0</v>
      </c>
      <c r="CM823" s="1">
        <v>0.0</v>
      </c>
      <c r="CN823" s="1">
        <v>0.0</v>
      </c>
      <c r="CO823" s="1">
        <v>0.0</v>
      </c>
      <c r="CP823" s="1">
        <v>0.0</v>
      </c>
      <c r="CQ823" s="1">
        <v>0.0</v>
      </c>
      <c r="CR823" s="1">
        <v>0.0</v>
      </c>
      <c r="CS823" s="1">
        <v>0.0</v>
      </c>
      <c r="CT823" s="1">
        <v>0.0</v>
      </c>
      <c r="CU823" s="1">
        <v>0.0</v>
      </c>
      <c r="CV823" s="1">
        <v>0.0</v>
      </c>
      <c r="CW823" s="1">
        <v>0.0</v>
      </c>
      <c r="CX823" s="1">
        <v>0.0</v>
      </c>
      <c r="CY823" s="1">
        <v>0.0</v>
      </c>
      <c r="CZ823" s="1">
        <v>0.0</v>
      </c>
      <c r="DA823" s="1">
        <v>0.0</v>
      </c>
      <c r="DB823" s="1">
        <v>0.0</v>
      </c>
      <c r="DC823" s="1">
        <v>0.0</v>
      </c>
      <c r="DD823" s="1" t="s">
        <v>3850</v>
      </c>
      <c r="DE823" s="1">
        <v>9.88169713107501E-4</v>
      </c>
      <c r="DF823" s="2" t="s">
        <v>3851</v>
      </c>
    </row>
    <row r="824" ht="15.75" customHeight="1">
      <c r="A824" s="1" t="s">
        <v>3852</v>
      </c>
      <c r="B824" s="1">
        <v>29.0</v>
      </c>
      <c r="C824" s="1">
        <v>159.0</v>
      </c>
      <c r="D824" s="1">
        <v>481100.0</v>
      </c>
      <c r="E824" s="1">
        <v>2.822</v>
      </c>
      <c r="F824" s="1">
        <v>29159.0</v>
      </c>
      <c r="G824" s="1">
        <v>2.91594811E10</v>
      </c>
      <c r="H824" s="1" t="s">
        <v>112</v>
      </c>
      <c r="I824" s="1" t="s">
        <v>113</v>
      </c>
      <c r="J824" s="1" t="s">
        <v>3844</v>
      </c>
      <c r="K824" s="1" t="s">
        <v>3853</v>
      </c>
      <c r="L824" s="1">
        <v>4040.0</v>
      </c>
      <c r="M824" s="1">
        <v>4010.0</v>
      </c>
      <c r="N824" s="1">
        <v>323.0</v>
      </c>
      <c r="O824" s="1">
        <v>1758.0</v>
      </c>
      <c r="P824" s="1">
        <v>1867.0</v>
      </c>
      <c r="Q824" s="1">
        <v>64.0</v>
      </c>
      <c r="R824" s="1">
        <v>1592.0</v>
      </c>
      <c r="S824" s="1">
        <v>557.0</v>
      </c>
      <c r="T824" s="1">
        <v>228.0</v>
      </c>
      <c r="U824" s="1">
        <v>202.0</v>
      </c>
      <c r="V824" s="1">
        <v>410.0</v>
      </c>
      <c r="W824" s="1">
        <v>23129.0</v>
      </c>
      <c r="X824" s="1">
        <v>6328.0</v>
      </c>
      <c r="Y824" s="1">
        <v>326.0</v>
      </c>
      <c r="Z824" s="1">
        <v>230.0</v>
      </c>
      <c r="AA824" s="1">
        <v>577.0</v>
      </c>
      <c r="AB824" s="1">
        <v>1001.0</v>
      </c>
      <c r="AC824" s="1">
        <v>213.0</v>
      </c>
      <c r="AD824" s="1">
        <v>593.0</v>
      </c>
      <c r="AE824" s="1">
        <v>133.0</v>
      </c>
      <c r="AF824" s="1">
        <v>432.0</v>
      </c>
      <c r="AG824" s="1">
        <v>35.0</v>
      </c>
      <c r="AH824" s="1">
        <v>43.0</v>
      </c>
      <c r="AI824" s="1">
        <v>0.0</v>
      </c>
      <c r="AJ824" s="1">
        <v>114.0</v>
      </c>
      <c r="AK824" s="1">
        <v>29.0</v>
      </c>
      <c r="AL824" s="1">
        <v>119.0</v>
      </c>
      <c r="AM824" s="1">
        <v>49.0</v>
      </c>
      <c r="AN824" s="1">
        <v>118.0</v>
      </c>
      <c r="AO824" s="1">
        <v>165.0</v>
      </c>
      <c r="AP824" s="1">
        <v>0.138902</v>
      </c>
      <c r="AQ824" s="1">
        <v>0.055746</v>
      </c>
      <c r="AR824" s="1">
        <v>0.097162</v>
      </c>
      <c r="AS824" s="1">
        <v>0.196797</v>
      </c>
      <c r="AT824" s="1">
        <v>23129.0</v>
      </c>
      <c r="AU824" s="1">
        <v>6328.0</v>
      </c>
      <c r="AV824" s="1">
        <v>0.12865</v>
      </c>
      <c r="AW824" s="1">
        <v>0.090155</v>
      </c>
      <c r="AX824" s="1">
        <v>0.142821</v>
      </c>
      <c r="AY824" s="1">
        <v>0.247772</v>
      </c>
      <c r="AZ824" s="1">
        <v>0.13379396</v>
      </c>
      <c r="BA824" s="1">
        <v>0.146782</v>
      </c>
      <c r="BB824" s="1">
        <v>0.035438</v>
      </c>
      <c r="BC824" s="1">
        <v>0.11507</v>
      </c>
      <c r="BD824" s="1">
        <v>0.018746</v>
      </c>
      <c r="BE824" s="1">
        <v>0.023022</v>
      </c>
      <c r="BF824" s="1">
        <v>0.0</v>
      </c>
      <c r="BG824" s="1">
        <v>0.06106</v>
      </c>
      <c r="BH824" s="1">
        <v>0.017417</v>
      </c>
      <c r="BI824" s="1">
        <v>0.071462</v>
      </c>
      <c r="BJ824" s="1">
        <v>0.029429</v>
      </c>
      <c r="BK824" s="1">
        <v>0.070846</v>
      </c>
      <c r="BL824" s="1">
        <v>0.040841</v>
      </c>
      <c r="BM824" s="1">
        <v>0.538</v>
      </c>
      <c r="BN824" s="1">
        <v>0.715</v>
      </c>
      <c r="BO824" s="1">
        <v>0.4397</v>
      </c>
      <c r="BP824" s="1">
        <v>0.467</v>
      </c>
      <c r="BQ824" s="1">
        <v>2.1597</v>
      </c>
      <c r="BR824" s="1">
        <v>0.5495</v>
      </c>
      <c r="BS824" s="1">
        <v>0.524</v>
      </c>
      <c r="BT824" s="1">
        <v>0.571</v>
      </c>
      <c r="BU824" s="1">
        <v>0.734</v>
      </c>
      <c r="BV824" s="1">
        <v>1.829</v>
      </c>
      <c r="BW824" s="1">
        <v>0.75</v>
      </c>
      <c r="BX824" s="1">
        <v>0.617</v>
      </c>
      <c r="BY824" s="1">
        <v>0.936</v>
      </c>
      <c r="BZ824" s="1">
        <v>1.553</v>
      </c>
      <c r="CA824" s="1">
        <v>0.853</v>
      </c>
      <c r="CB824" s="1">
        <v>0.453</v>
      </c>
      <c r="CC824" s="1">
        <v>0.0</v>
      </c>
      <c r="CD824" s="1">
        <v>0.637</v>
      </c>
      <c r="CE824" s="1">
        <v>0.281</v>
      </c>
      <c r="CF824" s="1">
        <v>0.871</v>
      </c>
      <c r="CG824" s="1">
        <v>2.242</v>
      </c>
      <c r="CH824" s="1">
        <v>0.433</v>
      </c>
      <c r="CI824" s="1">
        <v>7.7837</v>
      </c>
      <c r="CJ824" s="1">
        <v>0.6787</v>
      </c>
      <c r="CK824" s="1">
        <v>0.0</v>
      </c>
      <c r="CL824" s="1">
        <v>0.0</v>
      </c>
      <c r="CM824" s="1">
        <v>0.0</v>
      </c>
      <c r="CN824" s="1">
        <v>0.0</v>
      </c>
      <c r="CO824" s="1">
        <v>0.0</v>
      </c>
      <c r="CP824" s="1">
        <v>0.0</v>
      </c>
      <c r="CQ824" s="1">
        <v>0.0</v>
      </c>
      <c r="CR824" s="1">
        <v>0.0</v>
      </c>
      <c r="CS824" s="1">
        <v>0.0</v>
      </c>
      <c r="CT824" s="1">
        <v>0.0</v>
      </c>
      <c r="CU824" s="1">
        <v>1.0</v>
      </c>
      <c r="CV824" s="1">
        <v>1.0</v>
      </c>
      <c r="CW824" s="1">
        <v>0.0</v>
      </c>
      <c r="CX824" s="1">
        <v>0.0</v>
      </c>
      <c r="CY824" s="1">
        <v>0.0</v>
      </c>
      <c r="CZ824" s="1">
        <v>0.0</v>
      </c>
      <c r="DA824" s="1">
        <v>0.0</v>
      </c>
      <c r="DB824" s="1">
        <v>0.0</v>
      </c>
      <c r="DC824" s="1">
        <v>1.0</v>
      </c>
      <c r="DD824" s="1" t="s">
        <v>3854</v>
      </c>
      <c r="DE824" s="1">
        <v>7.58548697108667E-4</v>
      </c>
      <c r="DF824" s="2" t="s">
        <v>3855</v>
      </c>
    </row>
    <row r="825" ht="15.75" customHeight="1">
      <c r="A825" s="1" t="s">
        <v>3856</v>
      </c>
      <c r="B825" s="1">
        <v>29.0</v>
      </c>
      <c r="C825" s="1">
        <v>159.0</v>
      </c>
      <c r="D825" s="1">
        <v>480100.0</v>
      </c>
      <c r="E825" s="1">
        <v>226.659</v>
      </c>
      <c r="F825" s="1">
        <v>29159.0</v>
      </c>
      <c r="G825" s="1">
        <v>2.91594801E10</v>
      </c>
      <c r="H825" s="1" t="s">
        <v>112</v>
      </c>
      <c r="I825" s="1" t="s">
        <v>113</v>
      </c>
      <c r="J825" s="1" t="s">
        <v>3844</v>
      </c>
      <c r="K825" s="1" t="s">
        <v>3857</v>
      </c>
      <c r="L825" s="1">
        <v>4061.0</v>
      </c>
      <c r="M825" s="1">
        <v>3847.0</v>
      </c>
      <c r="N825" s="1">
        <v>301.0</v>
      </c>
      <c r="O825" s="1">
        <v>1580.0</v>
      </c>
      <c r="P825" s="1">
        <v>1455.0</v>
      </c>
      <c r="Q825" s="1">
        <v>90.0</v>
      </c>
      <c r="R825" s="1">
        <v>1416.0</v>
      </c>
      <c r="S825" s="1">
        <v>463.0</v>
      </c>
      <c r="T825" s="1">
        <v>239.0</v>
      </c>
      <c r="U825" s="1">
        <v>98.0</v>
      </c>
      <c r="V825" s="1">
        <v>402.0</v>
      </c>
      <c r="W825" s="1">
        <v>19075.0</v>
      </c>
      <c r="X825" s="1">
        <v>1730.0</v>
      </c>
      <c r="Y825" s="1">
        <v>644.0</v>
      </c>
      <c r="Z825" s="1">
        <v>127.0</v>
      </c>
      <c r="AA825" s="1">
        <v>627.0</v>
      </c>
      <c r="AB825" s="1">
        <v>1077.0</v>
      </c>
      <c r="AC825" s="1">
        <v>88.0</v>
      </c>
      <c r="AD825" s="1">
        <v>156.0</v>
      </c>
      <c r="AE825" s="1">
        <v>67.0</v>
      </c>
      <c r="AF825" s="1">
        <v>413.0</v>
      </c>
      <c r="AG825" s="1">
        <v>0.0</v>
      </c>
      <c r="AH825" s="1">
        <v>197.0</v>
      </c>
      <c r="AI825" s="1">
        <v>317.0</v>
      </c>
      <c r="AJ825" s="1">
        <v>94.0</v>
      </c>
      <c r="AK825" s="1">
        <v>19.0</v>
      </c>
      <c r="AL825" s="1">
        <v>115.0</v>
      </c>
      <c r="AM825" s="1">
        <v>37.0</v>
      </c>
      <c r="AN825" s="1">
        <v>23.0</v>
      </c>
      <c r="AO825" s="1">
        <v>68.0</v>
      </c>
      <c r="AP825" s="1">
        <v>0.126675</v>
      </c>
      <c r="AQ825" s="1">
        <v>0.064746</v>
      </c>
      <c r="AR825" s="1">
        <v>0.057647</v>
      </c>
      <c r="AS825" s="1">
        <v>0.236384</v>
      </c>
      <c r="AT825" s="1">
        <v>19075.0</v>
      </c>
      <c r="AU825" s="1">
        <v>1730.0</v>
      </c>
      <c r="AV825" s="1">
        <v>0.234267</v>
      </c>
      <c r="AW825" s="1">
        <v>0.042185</v>
      </c>
      <c r="AX825" s="1">
        <v>0.154395</v>
      </c>
      <c r="AY825" s="1">
        <v>0.265205</v>
      </c>
      <c r="AZ825" s="1">
        <v>0.06214689</v>
      </c>
      <c r="BA825" s="1">
        <v>0.038414</v>
      </c>
      <c r="BB825" s="1">
        <v>0.018694</v>
      </c>
      <c r="BC825" s="1">
        <v>0.115224</v>
      </c>
      <c r="BD825" s="1">
        <v>0.0</v>
      </c>
      <c r="BE825" s="1">
        <v>0.135395</v>
      </c>
      <c r="BF825" s="1">
        <v>0.217869</v>
      </c>
      <c r="BG825" s="1">
        <v>0.063183</v>
      </c>
      <c r="BH825" s="1">
        <v>0.014157</v>
      </c>
      <c r="BI825" s="1">
        <v>0.085687</v>
      </c>
      <c r="BJ825" s="1">
        <v>0.02757</v>
      </c>
      <c r="BK825" s="1">
        <v>0.01704</v>
      </c>
      <c r="BL825" s="1">
        <v>0.016744</v>
      </c>
      <c r="BM825" s="1">
        <v>0.483</v>
      </c>
      <c r="BN825" s="1">
        <v>0.388</v>
      </c>
      <c r="BO825" s="1">
        <v>0.6643</v>
      </c>
      <c r="BP825" s="1">
        <v>0.833</v>
      </c>
      <c r="BQ825" s="1">
        <v>2.3683</v>
      </c>
      <c r="BR825" s="1">
        <v>0.6224</v>
      </c>
      <c r="BS825" s="1">
        <v>0.612</v>
      </c>
      <c r="BT825" s="1">
        <v>0.754</v>
      </c>
      <c r="BU825" s="1">
        <v>0.149</v>
      </c>
      <c r="BV825" s="1">
        <v>1.515</v>
      </c>
      <c r="BW825" s="1">
        <v>0.496</v>
      </c>
      <c r="BX825" s="1">
        <v>0.151</v>
      </c>
      <c r="BY825" s="1">
        <v>0.849</v>
      </c>
      <c r="BZ825" s="1">
        <v>1.0</v>
      </c>
      <c r="CA825" s="1">
        <v>0.561</v>
      </c>
      <c r="CB825" s="1">
        <v>0.0</v>
      </c>
      <c r="CC825" s="1">
        <v>0.917</v>
      </c>
      <c r="CD825" s="1">
        <v>0.575</v>
      </c>
      <c r="CE825" s="1">
        <v>0.264</v>
      </c>
      <c r="CF825" s="1">
        <v>0.672</v>
      </c>
      <c r="CG825" s="1">
        <v>2.428</v>
      </c>
      <c r="CH825" s="1">
        <v>0.53</v>
      </c>
      <c r="CI825" s="1">
        <v>7.3113</v>
      </c>
      <c r="CJ825" s="1">
        <v>0.6101</v>
      </c>
      <c r="CK825" s="1">
        <v>0.0</v>
      </c>
      <c r="CL825" s="1">
        <v>0.0</v>
      </c>
      <c r="CM825" s="1">
        <v>0.0</v>
      </c>
      <c r="CN825" s="1">
        <v>0.0</v>
      </c>
      <c r="CO825" s="1">
        <v>0.0</v>
      </c>
      <c r="CP825" s="1">
        <v>0.0</v>
      </c>
      <c r="CQ825" s="1">
        <v>0.0</v>
      </c>
      <c r="CR825" s="1">
        <v>0.0</v>
      </c>
      <c r="CS825" s="1">
        <v>0.0</v>
      </c>
      <c r="CT825" s="1">
        <v>0.0</v>
      </c>
      <c r="CU825" s="1">
        <v>0.0</v>
      </c>
      <c r="CV825" s="1">
        <v>0.0</v>
      </c>
      <c r="CW825" s="1">
        <v>0.0</v>
      </c>
      <c r="CX825" s="1">
        <v>1.0</v>
      </c>
      <c r="CY825" s="1">
        <v>0.0</v>
      </c>
      <c r="CZ825" s="1">
        <v>0.0</v>
      </c>
      <c r="DA825" s="1">
        <v>0.0</v>
      </c>
      <c r="DB825" s="1">
        <v>1.0</v>
      </c>
      <c r="DC825" s="1">
        <v>1.0</v>
      </c>
      <c r="DD825" s="1" t="s">
        <v>3858</v>
      </c>
      <c r="DE825" s="1">
        <v>0.0611777228391538</v>
      </c>
      <c r="DF825" s="2" t="s">
        <v>3859</v>
      </c>
    </row>
    <row r="826" ht="15.75" customHeight="1">
      <c r="A826" s="1" t="s">
        <v>3860</v>
      </c>
      <c r="B826" s="1">
        <v>29.0</v>
      </c>
      <c r="C826" s="1">
        <v>159.0</v>
      </c>
      <c r="D826" s="1">
        <v>480200.0</v>
      </c>
      <c r="E826" s="1">
        <v>203.798</v>
      </c>
      <c r="F826" s="1">
        <v>29159.0</v>
      </c>
      <c r="G826" s="1">
        <v>2.91594802E10</v>
      </c>
      <c r="H826" s="1" t="s">
        <v>112</v>
      </c>
      <c r="I826" s="1" t="s">
        <v>113</v>
      </c>
      <c r="J826" s="1" t="s">
        <v>3844</v>
      </c>
      <c r="K826" s="1" t="s">
        <v>3861</v>
      </c>
      <c r="L826" s="1">
        <v>5867.0</v>
      </c>
      <c r="M826" s="1">
        <v>5661.0</v>
      </c>
      <c r="N826" s="1">
        <v>349.0</v>
      </c>
      <c r="O826" s="1">
        <v>2348.0</v>
      </c>
      <c r="P826" s="1">
        <v>2195.0</v>
      </c>
      <c r="Q826" s="1">
        <v>112.0</v>
      </c>
      <c r="R826" s="1">
        <v>2156.0</v>
      </c>
      <c r="S826" s="1">
        <v>816.0</v>
      </c>
      <c r="T826" s="1">
        <v>207.0</v>
      </c>
      <c r="U826" s="1">
        <v>117.0</v>
      </c>
      <c r="V826" s="1">
        <v>231.0</v>
      </c>
      <c r="W826" s="1">
        <v>22215.0</v>
      </c>
      <c r="X826" s="1">
        <v>1801.0</v>
      </c>
      <c r="Y826" s="1">
        <v>750.0</v>
      </c>
      <c r="Z826" s="1">
        <v>135.0</v>
      </c>
      <c r="AA826" s="1">
        <v>818.0</v>
      </c>
      <c r="AB826" s="1">
        <v>1571.0</v>
      </c>
      <c r="AC826" s="1">
        <v>138.0</v>
      </c>
      <c r="AD826" s="1">
        <v>790.0</v>
      </c>
      <c r="AE826" s="1">
        <v>177.0</v>
      </c>
      <c r="AF826" s="1">
        <v>349.0</v>
      </c>
      <c r="AG826" s="1">
        <v>28.0</v>
      </c>
      <c r="AH826" s="1">
        <v>117.0</v>
      </c>
      <c r="AI826" s="1">
        <v>357.0</v>
      </c>
      <c r="AJ826" s="1">
        <v>70.0</v>
      </c>
      <c r="AK826" s="1">
        <v>63.0</v>
      </c>
      <c r="AL826" s="1">
        <v>119.0</v>
      </c>
      <c r="AM826" s="1">
        <v>71.0</v>
      </c>
      <c r="AN826" s="1">
        <v>38.0</v>
      </c>
      <c r="AO826" s="1">
        <v>49.0</v>
      </c>
      <c r="AP826" s="1">
        <v>0.144783</v>
      </c>
      <c r="AQ826" s="1">
        <v>0.035655</v>
      </c>
      <c r="AR826" s="1">
        <v>0.044486</v>
      </c>
      <c r="AS826" s="1">
        <v>0.087763</v>
      </c>
      <c r="AT826" s="1">
        <v>22215.0</v>
      </c>
      <c r="AU826" s="1">
        <v>1801.0</v>
      </c>
      <c r="AV826" s="1">
        <v>0.204415</v>
      </c>
      <c r="AW826" s="1">
        <v>0.034732</v>
      </c>
      <c r="AX826" s="1">
        <v>0.139423</v>
      </c>
      <c r="AY826" s="1">
        <v>0.267768</v>
      </c>
      <c r="AZ826" s="1">
        <v>0.06400742</v>
      </c>
      <c r="BA826" s="1">
        <v>0.134651</v>
      </c>
      <c r="BB826" s="1">
        <v>0.03365</v>
      </c>
      <c r="BC826" s="1">
        <v>0.066317</v>
      </c>
      <c r="BD826" s="1">
        <v>0.012756</v>
      </c>
      <c r="BE826" s="1">
        <v>0.053298</v>
      </c>
      <c r="BF826" s="1">
        <v>0.162642</v>
      </c>
      <c r="BG826" s="1">
        <v>0.030791</v>
      </c>
      <c r="BH826" s="1">
        <v>0.031111</v>
      </c>
      <c r="BI826" s="1">
        <v>0.058739</v>
      </c>
      <c r="BJ826" s="1">
        <v>0.035061</v>
      </c>
      <c r="BK826" s="1">
        <v>0.018661</v>
      </c>
      <c r="BL826" s="1">
        <v>0.008351</v>
      </c>
      <c r="BM826" s="1">
        <v>0.562</v>
      </c>
      <c r="BN826" s="1">
        <v>0.232</v>
      </c>
      <c r="BO826" s="1">
        <v>0.4852</v>
      </c>
      <c r="BP826" s="1">
        <v>0.761</v>
      </c>
      <c r="BQ826" s="1">
        <v>2.0402</v>
      </c>
      <c r="BR826" s="1">
        <v>0.5126</v>
      </c>
      <c r="BS826" s="1">
        <v>0.492</v>
      </c>
      <c r="BT826" s="1">
        <v>0.773</v>
      </c>
      <c r="BU826" s="1">
        <v>0.165</v>
      </c>
      <c r="BV826" s="1">
        <v>1.43</v>
      </c>
      <c r="BW826" s="1">
        <v>0.417</v>
      </c>
      <c r="BX826" s="1">
        <v>0.574</v>
      </c>
      <c r="BY826" s="1">
        <v>0.929</v>
      </c>
      <c r="BZ826" s="1">
        <v>1.503</v>
      </c>
      <c r="CA826" s="1">
        <v>0.828</v>
      </c>
      <c r="CB826" s="1">
        <v>0.407</v>
      </c>
      <c r="CC826" s="1">
        <v>0.843</v>
      </c>
      <c r="CD826" s="1">
        <v>0.82</v>
      </c>
      <c r="CE826" s="1">
        <v>0.335</v>
      </c>
      <c r="CF826" s="1">
        <v>0.555</v>
      </c>
      <c r="CG826" s="1">
        <v>2.96</v>
      </c>
      <c r="CH826" s="1">
        <v>0.758</v>
      </c>
      <c r="CI826" s="1">
        <v>7.9332</v>
      </c>
      <c r="CJ826" s="1">
        <v>0.7032</v>
      </c>
      <c r="CK826" s="1">
        <v>0.0</v>
      </c>
      <c r="CL826" s="1">
        <v>0.0</v>
      </c>
      <c r="CM826" s="1">
        <v>0.0</v>
      </c>
      <c r="CN826" s="1">
        <v>0.0</v>
      </c>
      <c r="CO826" s="1">
        <v>0.0</v>
      </c>
      <c r="CP826" s="1">
        <v>0.0</v>
      </c>
      <c r="CQ826" s="1">
        <v>0.0</v>
      </c>
      <c r="CR826" s="1">
        <v>0.0</v>
      </c>
      <c r="CS826" s="1">
        <v>0.0</v>
      </c>
      <c r="CT826" s="1">
        <v>0.0</v>
      </c>
      <c r="CU826" s="1">
        <v>1.0</v>
      </c>
      <c r="CV826" s="1">
        <v>1.0</v>
      </c>
      <c r="CW826" s="1">
        <v>0.0</v>
      </c>
      <c r="CX826" s="1">
        <v>0.0</v>
      </c>
      <c r="CY826" s="1">
        <v>0.0</v>
      </c>
      <c r="CZ826" s="1">
        <v>0.0</v>
      </c>
      <c r="DA826" s="1">
        <v>0.0</v>
      </c>
      <c r="DB826" s="1">
        <v>0.0</v>
      </c>
      <c r="DC826" s="1">
        <v>1.0</v>
      </c>
      <c r="DD826" s="1" t="s">
        <v>3862</v>
      </c>
      <c r="DE826" s="1">
        <v>0.0550488167760596</v>
      </c>
      <c r="DF826" s="2" t="s">
        <v>3863</v>
      </c>
    </row>
    <row r="827" ht="15.75" customHeight="1">
      <c r="A827" s="1" t="s">
        <v>3864</v>
      </c>
      <c r="B827" s="1">
        <v>29.0</v>
      </c>
      <c r="C827" s="1">
        <v>159.0</v>
      </c>
      <c r="D827" s="1">
        <v>480300.0</v>
      </c>
      <c r="E827" s="1">
        <v>152.268</v>
      </c>
      <c r="F827" s="1">
        <v>29159.0</v>
      </c>
      <c r="G827" s="1">
        <v>2.91594803E10</v>
      </c>
      <c r="H827" s="1" t="s">
        <v>112</v>
      </c>
      <c r="I827" s="1" t="s">
        <v>113</v>
      </c>
      <c r="J827" s="1" t="s">
        <v>3844</v>
      </c>
      <c r="K827" s="1" t="s">
        <v>3865</v>
      </c>
      <c r="L827" s="1">
        <v>4256.0</v>
      </c>
      <c r="M827" s="1">
        <v>4027.0</v>
      </c>
      <c r="N827" s="1">
        <v>277.0</v>
      </c>
      <c r="O827" s="1">
        <v>1755.0</v>
      </c>
      <c r="P827" s="1">
        <v>1703.0</v>
      </c>
      <c r="Q827" s="1">
        <v>100.0</v>
      </c>
      <c r="R827" s="1">
        <v>1613.0</v>
      </c>
      <c r="S827" s="1">
        <v>699.0</v>
      </c>
      <c r="T827" s="1">
        <v>279.0</v>
      </c>
      <c r="U827" s="1">
        <v>167.0</v>
      </c>
      <c r="V827" s="1">
        <v>287.0</v>
      </c>
      <c r="W827" s="1">
        <v>19122.0</v>
      </c>
      <c r="X827" s="1">
        <v>2118.0</v>
      </c>
      <c r="Y827" s="1">
        <v>481.0</v>
      </c>
      <c r="Z827" s="1">
        <v>225.0</v>
      </c>
      <c r="AA827" s="1">
        <v>630.0</v>
      </c>
      <c r="AB827" s="1">
        <v>1054.0</v>
      </c>
      <c r="AC827" s="1">
        <v>136.0</v>
      </c>
      <c r="AD827" s="1">
        <v>249.0</v>
      </c>
      <c r="AE827" s="1">
        <v>41.0</v>
      </c>
      <c r="AF827" s="1">
        <v>397.0</v>
      </c>
      <c r="AG827" s="1">
        <v>9.0</v>
      </c>
      <c r="AH827" s="1">
        <v>162.0</v>
      </c>
      <c r="AI827" s="1">
        <v>322.0</v>
      </c>
      <c r="AJ827" s="1">
        <v>86.0</v>
      </c>
      <c r="AK827" s="1">
        <v>35.0</v>
      </c>
      <c r="AL827" s="1">
        <v>117.0</v>
      </c>
      <c r="AM827" s="1">
        <v>115.0</v>
      </c>
      <c r="AN827" s="1">
        <v>50.0</v>
      </c>
      <c r="AO827" s="1">
        <v>4.0</v>
      </c>
      <c r="AP827" s="1">
        <v>0.173578</v>
      </c>
      <c r="AQ827" s="1">
        <v>0.068245</v>
      </c>
      <c r="AR827" s="1">
        <v>0.086933</v>
      </c>
      <c r="AS827" s="1">
        <v>0.14914</v>
      </c>
      <c r="AT827" s="1">
        <v>19122.0</v>
      </c>
      <c r="AU827" s="1">
        <v>2118.0</v>
      </c>
      <c r="AV827" s="1">
        <v>0.175997</v>
      </c>
      <c r="AW827" s="1">
        <v>0.081516</v>
      </c>
      <c r="AX827" s="1">
        <v>0.148026</v>
      </c>
      <c r="AY827" s="1">
        <v>0.24765</v>
      </c>
      <c r="AZ827" s="1">
        <v>0.08431494</v>
      </c>
      <c r="BA827" s="1">
        <v>0.058505</v>
      </c>
      <c r="BB827" s="1">
        <v>0.010817</v>
      </c>
      <c r="BC827" s="1">
        <v>0.104746</v>
      </c>
      <c r="BD827" s="1">
        <v>0.005284</v>
      </c>
      <c r="BE827" s="1">
        <v>0.095125</v>
      </c>
      <c r="BF827" s="1">
        <v>0.189078</v>
      </c>
      <c r="BG827" s="1">
        <v>0.049263</v>
      </c>
      <c r="BH827" s="1">
        <v>0.023364</v>
      </c>
      <c r="BI827" s="1">
        <v>0.078087</v>
      </c>
      <c r="BJ827" s="1">
        <v>0.076769</v>
      </c>
      <c r="BK827" s="1">
        <v>0.032965</v>
      </c>
      <c r="BL827" s="1">
        <v>9.39E-4</v>
      </c>
      <c r="BM827" s="1">
        <v>0.657</v>
      </c>
      <c r="BN827" s="1">
        <v>0.66</v>
      </c>
      <c r="BO827" s="1">
        <v>0.6621</v>
      </c>
      <c r="BP827" s="1">
        <v>0.672</v>
      </c>
      <c r="BQ827" s="1">
        <v>2.6511</v>
      </c>
      <c r="BR827" s="1">
        <v>0.7083</v>
      </c>
      <c r="BS827" s="1">
        <v>0.562</v>
      </c>
      <c r="BT827" s="1">
        <v>0.57</v>
      </c>
      <c r="BU827" s="1">
        <v>0.352</v>
      </c>
      <c r="BV827" s="1">
        <v>1.484</v>
      </c>
      <c r="BW827" s="1">
        <v>0.471</v>
      </c>
      <c r="BX827" s="1">
        <v>0.305</v>
      </c>
      <c r="BY827" s="1">
        <v>0.741</v>
      </c>
      <c r="BZ827" s="1">
        <v>1.046</v>
      </c>
      <c r="CA827" s="1">
        <v>0.58</v>
      </c>
      <c r="CB827" s="1">
        <v>0.323</v>
      </c>
      <c r="CC827" s="1">
        <v>0.876</v>
      </c>
      <c r="CD827" s="1">
        <v>0.735</v>
      </c>
      <c r="CE827" s="1">
        <v>0.656</v>
      </c>
      <c r="CF827" s="1">
        <v>0.393</v>
      </c>
      <c r="CG827" s="1">
        <v>2.983</v>
      </c>
      <c r="CH827" s="1">
        <v>0.769</v>
      </c>
      <c r="CI827" s="1">
        <v>8.1641</v>
      </c>
      <c r="CJ827" s="1">
        <v>0.7372</v>
      </c>
      <c r="CK827" s="1">
        <v>0.0</v>
      </c>
      <c r="CL827" s="1">
        <v>0.0</v>
      </c>
      <c r="CM827" s="1">
        <v>0.0</v>
      </c>
      <c r="CN827" s="1">
        <v>0.0</v>
      </c>
      <c r="CO827" s="1">
        <v>0.0</v>
      </c>
      <c r="CP827" s="1">
        <v>0.0</v>
      </c>
      <c r="CQ827" s="1">
        <v>0.0</v>
      </c>
      <c r="CR827" s="1">
        <v>0.0</v>
      </c>
      <c r="CS827" s="1">
        <v>0.0</v>
      </c>
      <c r="CT827" s="1">
        <v>0.0</v>
      </c>
      <c r="CU827" s="1">
        <v>0.0</v>
      </c>
      <c r="CV827" s="1">
        <v>0.0</v>
      </c>
      <c r="CW827" s="1">
        <v>0.0</v>
      </c>
      <c r="CX827" s="1">
        <v>0.0</v>
      </c>
      <c r="CY827" s="1">
        <v>0.0</v>
      </c>
      <c r="CZ827" s="1">
        <v>0.0</v>
      </c>
      <c r="DA827" s="1">
        <v>0.0</v>
      </c>
      <c r="DB827" s="1">
        <v>0.0</v>
      </c>
      <c r="DC827" s="1">
        <v>0.0</v>
      </c>
      <c r="DD827" s="1" t="s">
        <v>3866</v>
      </c>
      <c r="DE827" s="1">
        <v>0.0410740588480438</v>
      </c>
      <c r="DF827" s="1">
        <v>1.08241739441672</v>
      </c>
    </row>
    <row r="828" ht="15.75" customHeight="1">
      <c r="A828" s="1" t="s">
        <v>3867</v>
      </c>
      <c r="B828" s="1">
        <v>29.0</v>
      </c>
      <c r="C828" s="1">
        <v>159.0</v>
      </c>
      <c r="D828" s="1">
        <v>480400.0</v>
      </c>
      <c r="E828" s="1">
        <v>80.898</v>
      </c>
      <c r="F828" s="1">
        <v>29159.0</v>
      </c>
      <c r="G828" s="1">
        <v>2.91594804E10</v>
      </c>
      <c r="H828" s="1" t="s">
        <v>112</v>
      </c>
      <c r="I828" s="1" t="s">
        <v>113</v>
      </c>
      <c r="J828" s="1" t="s">
        <v>3844</v>
      </c>
      <c r="K828" s="1" t="s">
        <v>3868</v>
      </c>
      <c r="L828" s="1">
        <v>4554.0</v>
      </c>
      <c r="M828" s="1">
        <v>4324.0</v>
      </c>
      <c r="N828" s="1">
        <v>390.0</v>
      </c>
      <c r="O828" s="1">
        <v>1783.0</v>
      </c>
      <c r="P828" s="1">
        <v>1635.0</v>
      </c>
      <c r="Q828" s="1">
        <v>102.0</v>
      </c>
      <c r="R828" s="1">
        <v>1643.0</v>
      </c>
      <c r="S828" s="1">
        <v>314.0</v>
      </c>
      <c r="T828" s="1">
        <v>185.0</v>
      </c>
      <c r="U828" s="1">
        <v>105.0</v>
      </c>
      <c r="V828" s="1">
        <v>346.0</v>
      </c>
      <c r="W828" s="1">
        <v>18622.0</v>
      </c>
      <c r="X828" s="1">
        <v>1579.0</v>
      </c>
      <c r="Y828" s="1">
        <v>435.0</v>
      </c>
      <c r="Z828" s="1">
        <v>260.0</v>
      </c>
      <c r="AA828" s="1">
        <v>710.0</v>
      </c>
      <c r="AB828" s="1">
        <v>1156.0</v>
      </c>
      <c r="AC828" s="1">
        <v>150.0</v>
      </c>
      <c r="AD828" s="1">
        <v>262.0</v>
      </c>
      <c r="AE828" s="1">
        <v>44.0</v>
      </c>
      <c r="AF828" s="1">
        <v>413.0</v>
      </c>
      <c r="AG828" s="1">
        <v>0.0</v>
      </c>
      <c r="AH828" s="1">
        <v>197.0</v>
      </c>
      <c r="AI828" s="1">
        <v>124.0</v>
      </c>
      <c r="AJ828" s="1">
        <v>49.0</v>
      </c>
      <c r="AK828" s="1">
        <v>17.0</v>
      </c>
      <c r="AL828" s="1">
        <v>116.0</v>
      </c>
      <c r="AM828" s="1">
        <v>21.0</v>
      </c>
      <c r="AN828" s="1">
        <v>118.0</v>
      </c>
      <c r="AO828" s="1">
        <v>237.0</v>
      </c>
      <c r="AP828" s="1">
        <v>0.074425</v>
      </c>
      <c r="AQ828" s="1">
        <v>0.043384</v>
      </c>
      <c r="AR828" s="1">
        <v>0.050578</v>
      </c>
      <c r="AS828" s="1">
        <v>0.166564</v>
      </c>
      <c r="AT828" s="1">
        <v>18622.0</v>
      </c>
      <c r="AU828" s="1">
        <v>1579.0</v>
      </c>
      <c r="AV828" s="1">
        <v>0.156869</v>
      </c>
      <c r="AW828" s="1">
        <v>0.092423</v>
      </c>
      <c r="AX828" s="1">
        <v>0.155906</v>
      </c>
      <c r="AY828" s="1">
        <v>0.253842</v>
      </c>
      <c r="AZ828" s="1">
        <v>0.0912964</v>
      </c>
      <c r="BA828" s="1">
        <v>0.057531</v>
      </c>
      <c r="BB828" s="1">
        <v>0.011052</v>
      </c>
      <c r="BC828" s="1">
        <v>0.103737</v>
      </c>
      <c r="BD828" s="1">
        <v>0.0</v>
      </c>
      <c r="BE828" s="1">
        <v>0.120489</v>
      </c>
      <c r="BF828" s="1">
        <v>0.07584</v>
      </c>
      <c r="BG828" s="1">
        <v>0.029593</v>
      </c>
      <c r="BH828" s="1">
        <v>0.011074</v>
      </c>
      <c r="BI828" s="1">
        <v>0.075565</v>
      </c>
      <c r="BJ828" s="1">
        <v>0.01368</v>
      </c>
      <c r="BK828" s="1">
        <v>0.076866</v>
      </c>
      <c r="BL828" s="1">
        <v>0.052042</v>
      </c>
      <c r="BM828" s="1">
        <v>0.265</v>
      </c>
      <c r="BN828" s="1">
        <v>0.297</v>
      </c>
      <c r="BO828" s="1">
        <v>0.6989</v>
      </c>
      <c r="BP828" s="1">
        <v>0.595</v>
      </c>
      <c r="BQ828" s="1">
        <v>1.8559</v>
      </c>
      <c r="BR828" s="1">
        <v>0.4505</v>
      </c>
      <c r="BS828" s="1">
        <v>0.63</v>
      </c>
      <c r="BT828" s="1">
        <v>0.646</v>
      </c>
      <c r="BU828" s="1">
        <v>0.415</v>
      </c>
      <c r="BV828" s="1">
        <v>1.691</v>
      </c>
      <c r="BW828" s="1">
        <v>0.634</v>
      </c>
      <c r="BX828" s="1">
        <v>0.3</v>
      </c>
      <c r="BY828" s="1">
        <v>0.748</v>
      </c>
      <c r="BZ828" s="1">
        <v>1.048</v>
      </c>
      <c r="CA828" s="1">
        <v>0.582</v>
      </c>
      <c r="CB828" s="1">
        <v>0.0</v>
      </c>
      <c r="CC828" s="1">
        <v>0.666</v>
      </c>
      <c r="CD828" s="1">
        <v>0.5</v>
      </c>
      <c r="CE828" s="1">
        <v>0.123</v>
      </c>
      <c r="CF828" s="1">
        <v>0.898</v>
      </c>
      <c r="CG828" s="1">
        <v>2.187</v>
      </c>
      <c r="CH828" s="1">
        <v>0.414</v>
      </c>
      <c r="CI828" s="1">
        <v>6.7819</v>
      </c>
      <c r="CJ828" s="1">
        <v>0.509</v>
      </c>
      <c r="CK828" s="1">
        <v>0.0</v>
      </c>
      <c r="CL828" s="1">
        <v>0.0</v>
      </c>
      <c r="CM828" s="1">
        <v>0.0</v>
      </c>
      <c r="CN828" s="1">
        <v>0.0</v>
      </c>
      <c r="CO828" s="1">
        <v>0.0</v>
      </c>
      <c r="CP828" s="1">
        <v>0.0</v>
      </c>
      <c r="CQ828" s="1">
        <v>0.0</v>
      </c>
      <c r="CR828" s="1">
        <v>0.0</v>
      </c>
      <c r="CS828" s="1">
        <v>0.0</v>
      </c>
      <c r="CT828" s="1">
        <v>0.0</v>
      </c>
      <c r="CU828" s="1">
        <v>0.0</v>
      </c>
      <c r="CV828" s="1">
        <v>0.0</v>
      </c>
      <c r="CW828" s="1">
        <v>0.0</v>
      </c>
      <c r="CX828" s="1">
        <v>0.0</v>
      </c>
      <c r="CY828" s="1">
        <v>0.0</v>
      </c>
      <c r="CZ828" s="1">
        <v>0.0</v>
      </c>
      <c r="DA828" s="1">
        <v>0.0</v>
      </c>
      <c r="DB828" s="1">
        <v>0.0</v>
      </c>
      <c r="DC828" s="1">
        <v>0.0</v>
      </c>
      <c r="DD828" s="1" t="s">
        <v>3869</v>
      </c>
      <c r="DE828" s="1">
        <v>0.0218238595473426</v>
      </c>
      <c r="DF828" s="2" t="s">
        <v>3870</v>
      </c>
    </row>
    <row r="829" ht="15.75" customHeight="1">
      <c r="A829" s="1" t="s">
        <v>3871</v>
      </c>
      <c r="B829" s="1">
        <v>29.0</v>
      </c>
      <c r="C829" s="1">
        <v>159.0</v>
      </c>
      <c r="D829" s="1">
        <v>480500.0</v>
      </c>
      <c r="E829" s="1">
        <v>3.588</v>
      </c>
      <c r="F829" s="1">
        <v>29159.0</v>
      </c>
      <c r="G829" s="1">
        <v>2.91594805E10</v>
      </c>
      <c r="H829" s="1" t="s">
        <v>112</v>
      </c>
      <c r="I829" s="1" t="s">
        <v>113</v>
      </c>
      <c r="J829" s="1" t="s">
        <v>3844</v>
      </c>
      <c r="K829" s="1" t="s">
        <v>3872</v>
      </c>
      <c r="L829" s="1">
        <v>3030.0</v>
      </c>
      <c r="M829" s="1">
        <v>3010.0</v>
      </c>
      <c r="N829" s="1">
        <v>300.0</v>
      </c>
      <c r="O829" s="1">
        <v>1393.0</v>
      </c>
      <c r="P829" s="1">
        <v>1491.0</v>
      </c>
      <c r="Q829" s="1">
        <v>57.0</v>
      </c>
      <c r="R829" s="1">
        <v>1248.0</v>
      </c>
      <c r="S829" s="1">
        <v>318.0</v>
      </c>
      <c r="T829" s="1">
        <v>170.0</v>
      </c>
      <c r="U829" s="1">
        <v>141.0</v>
      </c>
      <c r="V829" s="1">
        <v>419.0</v>
      </c>
      <c r="W829" s="1">
        <v>18918.0</v>
      </c>
      <c r="X829" s="1">
        <v>2098.0</v>
      </c>
      <c r="Y829" s="1">
        <v>360.0</v>
      </c>
      <c r="Z829" s="1">
        <v>302.0</v>
      </c>
      <c r="AA829" s="1">
        <v>452.0</v>
      </c>
      <c r="AB829" s="1">
        <v>759.0</v>
      </c>
      <c r="AC829" s="1">
        <v>186.0</v>
      </c>
      <c r="AD829" s="1">
        <v>384.0</v>
      </c>
      <c r="AE829" s="1">
        <v>0.0</v>
      </c>
      <c r="AF829" s="1">
        <v>456.0</v>
      </c>
      <c r="AG829" s="1">
        <v>35.0</v>
      </c>
      <c r="AH829" s="1">
        <v>164.0</v>
      </c>
      <c r="AI829" s="1">
        <v>18.0</v>
      </c>
      <c r="AJ829" s="1">
        <v>25.0</v>
      </c>
      <c r="AK829" s="1">
        <v>51.0</v>
      </c>
      <c r="AL829" s="1">
        <v>130.0</v>
      </c>
      <c r="AM829" s="1">
        <v>62.0</v>
      </c>
      <c r="AN829" s="1">
        <v>52.0</v>
      </c>
      <c r="AO829" s="1">
        <v>0.0</v>
      </c>
      <c r="AP829" s="1">
        <v>0.105647</v>
      </c>
      <c r="AQ829" s="1">
        <v>0.055488</v>
      </c>
      <c r="AR829" s="1">
        <v>0.10262</v>
      </c>
      <c r="AS829" s="1">
        <v>0.304057</v>
      </c>
      <c r="AT829" s="1">
        <v>18918.0</v>
      </c>
      <c r="AU829" s="1">
        <v>2098.0</v>
      </c>
      <c r="AV829" s="1">
        <v>0.184143</v>
      </c>
      <c r="AW829" s="1">
        <v>0.153603</v>
      </c>
      <c r="AX829" s="1">
        <v>0.149174</v>
      </c>
      <c r="AY829" s="1">
        <v>0.250495</v>
      </c>
      <c r="AZ829" s="1">
        <v>0.14903846</v>
      </c>
      <c r="BA829" s="1">
        <v>0.126732</v>
      </c>
      <c r="BB829" s="1">
        <v>0.0</v>
      </c>
      <c r="BC829" s="1">
        <v>0.163148</v>
      </c>
      <c r="BD829" s="1">
        <v>0.023474</v>
      </c>
      <c r="BE829" s="1">
        <v>0.109989</v>
      </c>
      <c r="BF829" s="1">
        <v>0.012072</v>
      </c>
      <c r="BG829" s="1">
        <v>0.01676</v>
      </c>
      <c r="BH829" s="1">
        <v>0.038345</v>
      </c>
      <c r="BI829" s="1">
        <v>0.097701</v>
      </c>
      <c r="BJ829" s="1">
        <v>0.046616</v>
      </c>
      <c r="BK829" s="1">
        <v>0.03894</v>
      </c>
      <c r="BL829" s="1">
        <v>0.0</v>
      </c>
      <c r="BM829" s="1">
        <v>0.394</v>
      </c>
      <c r="BN829" s="1">
        <v>0.746</v>
      </c>
      <c r="BO829" s="1">
        <v>0.6765</v>
      </c>
      <c r="BP829" s="1">
        <v>0.7</v>
      </c>
      <c r="BQ829" s="1">
        <v>2.5165</v>
      </c>
      <c r="BR829" s="1">
        <v>0.6708</v>
      </c>
      <c r="BS829" s="1">
        <v>0.57</v>
      </c>
      <c r="BT829" s="1">
        <v>0.602</v>
      </c>
      <c r="BU829" s="1">
        <v>0.79</v>
      </c>
      <c r="BV829" s="1">
        <v>1.962</v>
      </c>
      <c r="BW829" s="1">
        <v>0.838</v>
      </c>
      <c r="BX829" s="1">
        <v>0.553</v>
      </c>
      <c r="BY829" s="1">
        <v>0.0</v>
      </c>
      <c r="BZ829" s="1">
        <v>0.553</v>
      </c>
      <c r="CA829" s="1">
        <v>0.241</v>
      </c>
      <c r="CB829" s="1">
        <v>0.502</v>
      </c>
      <c r="CC829" s="1">
        <v>0.474</v>
      </c>
      <c r="CD829" s="1">
        <v>0.882</v>
      </c>
      <c r="CE829" s="1">
        <v>0.456</v>
      </c>
      <c r="CF829" s="1">
        <v>0.0</v>
      </c>
      <c r="CG829" s="1">
        <v>2.314</v>
      </c>
      <c r="CH829" s="1">
        <v>0.461</v>
      </c>
      <c r="CI829" s="1">
        <v>7.3455</v>
      </c>
      <c r="CJ829" s="1">
        <v>0.6173</v>
      </c>
      <c r="CK829" s="1">
        <v>0.0</v>
      </c>
      <c r="CL829" s="1">
        <v>0.0</v>
      </c>
      <c r="CM829" s="1">
        <v>0.0</v>
      </c>
      <c r="CN829" s="1">
        <v>0.0</v>
      </c>
      <c r="CO829" s="1">
        <v>0.0</v>
      </c>
      <c r="CP829" s="1">
        <v>0.0</v>
      </c>
      <c r="CQ829" s="1">
        <v>0.0</v>
      </c>
      <c r="CR829" s="1">
        <v>0.0</v>
      </c>
      <c r="CS829" s="1">
        <v>0.0</v>
      </c>
      <c r="CT829" s="1">
        <v>0.0</v>
      </c>
      <c r="CU829" s="1">
        <v>0.0</v>
      </c>
      <c r="CV829" s="1">
        <v>0.0</v>
      </c>
      <c r="CW829" s="1">
        <v>0.0</v>
      </c>
      <c r="CX829" s="1">
        <v>0.0</v>
      </c>
      <c r="CY829" s="1">
        <v>0.0</v>
      </c>
      <c r="CZ829" s="1">
        <v>0.0</v>
      </c>
      <c r="DA829" s="1">
        <v>0.0</v>
      </c>
      <c r="DB829" s="1">
        <v>0.0</v>
      </c>
      <c r="DC829" s="1">
        <v>0.0</v>
      </c>
      <c r="DD829" s="1" t="s">
        <v>3873</v>
      </c>
      <c r="DE829" s="1">
        <v>9.71878141832603E-4</v>
      </c>
      <c r="DF829" s="2" t="s">
        <v>3874</v>
      </c>
    </row>
    <row r="830" ht="15.75" customHeight="1">
      <c r="A830" s="1" t="s">
        <v>3875</v>
      </c>
      <c r="B830" s="1">
        <v>29.0</v>
      </c>
      <c r="C830" s="1">
        <v>159.0</v>
      </c>
      <c r="D830" s="1">
        <v>480700.0</v>
      </c>
      <c r="E830" s="1">
        <v>3.399</v>
      </c>
      <c r="F830" s="1">
        <v>29159.0</v>
      </c>
      <c r="G830" s="1">
        <v>2.91594807E10</v>
      </c>
      <c r="H830" s="1" t="s">
        <v>112</v>
      </c>
      <c r="I830" s="1" t="s">
        <v>113</v>
      </c>
      <c r="J830" s="1" t="s">
        <v>3844</v>
      </c>
      <c r="K830" s="1" t="s">
        <v>3876</v>
      </c>
      <c r="L830" s="1">
        <v>3486.0</v>
      </c>
      <c r="M830" s="1">
        <v>3434.0</v>
      </c>
      <c r="N830" s="1">
        <v>394.0</v>
      </c>
      <c r="O830" s="1">
        <v>1749.0</v>
      </c>
      <c r="P830" s="1">
        <v>1701.0</v>
      </c>
      <c r="Q830" s="1">
        <v>96.0</v>
      </c>
      <c r="R830" s="1">
        <v>1652.0</v>
      </c>
      <c r="S830" s="1">
        <v>415.0</v>
      </c>
      <c r="T830" s="1">
        <v>174.0</v>
      </c>
      <c r="U830" s="1">
        <v>125.0</v>
      </c>
      <c r="V830" s="1">
        <v>401.0</v>
      </c>
      <c r="W830" s="1">
        <v>24784.0</v>
      </c>
      <c r="X830" s="1">
        <v>5196.0</v>
      </c>
      <c r="Y830" s="1">
        <v>318.0</v>
      </c>
      <c r="Z830" s="1">
        <v>277.0</v>
      </c>
      <c r="AA830" s="1">
        <v>785.0</v>
      </c>
      <c r="AB830" s="1">
        <v>741.0</v>
      </c>
      <c r="AC830" s="1">
        <v>164.0</v>
      </c>
      <c r="AD830" s="1">
        <v>481.0</v>
      </c>
      <c r="AE830" s="1">
        <v>4.0</v>
      </c>
      <c r="AF830" s="1">
        <v>442.0</v>
      </c>
      <c r="AG830" s="1">
        <v>377.0</v>
      </c>
      <c r="AH830" s="1">
        <v>102.0</v>
      </c>
      <c r="AI830" s="1">
        <v>5.0</v>
      </c>
      <c r="AJ830" s="1">
        <v>9.0</v>
      </c>
      <c r="AK830" s="1">
        <v>0.0</v>
      </c>
      <c r="AL830" s="1">
        <v>161.0</v>
      </c>
      <c r="AM830" s="1">
        <v>108.0</v>
      </c>
      <c r="AN830" s="1">
        <v>124.0</v>
      </c>
      <c r="AO830" s="1">
        <v>102.0</v>
      </c>
      <c r="AP830" s="1">
        <v>0.12515</v>
      </c>
      <c r="AQ830" s="1">
        <v>0.050139</v>
      </c>
      <c r="AR830" s="1">
        <v>0.079516</v>
      </c>
      <c r="AS830" s="1">
        <v>0.25476</v>
      </c>
      <c r="AT830" s="1">
        <v>24784.0</v>
      </c>
      <c r="AU830" s="1">
        <v>5196.0</v>
      </c>
      <c r="AV830" s="1">
        <v>0.131459</v>
      </c>
      <c r="AW830" s="1">
        <v>0.11372</v>
      </c>
      <c r="AX830" s="1">
        <v>0.225186</v>
      </c>
      <c r="AY830" s="1">
        <v>0.212564</v>
      </c>
      <c r="AZ830" s="1">
        <v>0.0992736</v>
      </c>
      <c r="BA830" s="1">
        <v>0.13798</v>
      </c>
      <c r="BB830" s="1">
        <v>0.001219</v>
      </c>
      <c r="BC830" s="1">
        <v>0.134797</v>
      </c>
      <c r="BD830" s="1">
        <v>0.221634</v>
      </c>
      <c r="BE830" s="1">
        <v>0.058645</v>
      </c>
      <c r="BF830" s="1">
        <v>0.002939</v>
      </c>
      <c r="BG830" s="1">
        <v>0.005288</v>
      </c>
      <c r="BH830" s="1">
        <v>0.0</v>
      </c>
      <c r="BI830" s="1">
        <v>0.104817</v>
      </c>
      <c r="BJ830" s="1">
        <v>0.070312</v>
      </c>
      <c r="BK830" s="1">
        <v>0.08056</v>
      </c>
      <c r="BL830" s="1">
        <v>0.029259</v>
      </c>
      <c r="BM830" s="1">
        <v>0.476</v>
      </c>
      <c r="BN830" s="1">
        <v>0.607</v>
      </c>
      <c r="BO830" s="1">
        <v>0.3581</v>
      </c>
      <c r="BP830" s="1">
        <v>0.476</v>
      </c>
      <c r="BQ830" s="1">
        <v>1.9171</v>
      </c>
      <c r="BR830" s="1">
        <v>0.4657</v>
      </c>
      <c r="BS830" s="1">
        <v>0.943</v>
      </c>
      <c r="BT830" s="1">
        <v>0.246</v>
      </c>
      <c r="BU830" s="1">
        <v>0.484</v>
      </c>
      <c r="BV830" s="1">
        <v>1.673</v>
      </c>
      <c r="BW830" s="1">
        <v>0.618</v>
      </c>
      <c r="BX830" s="1">
        <v>0.584</v>
      </c>
      <c r="BY830" s="1">
        <v>0.342</v>
      </c>
      <c r="BZ830" s="1">
        <v>0.926</v>
      </c>
      <c r="CA830" s="1">
        <v>0.489</v>
      </c>
      <c r="CB830" s="1">
        <v>0.905</v>
      </c>
      <c r="CC830" s="1">
        <v>0.37</v>
      </c>
      <c r="CD830" s="1">
        <v>0.0</v>
      </c>
      <c r="CE830" s="1">
        <v>0.628</v>
      </c>
      <c r="CF830" s="1">
        <v>0.802</v>
      </c>
      <c r="CG830" s="1">
        <v>2.705</v>
      </c>
      <c r="CH830" s="1">
        <v>0.643</v>
      </c>
      <c r="CI830" s="1">
        <v>7.2211</v>
      </c>
      <c r="CJ830" s="1">
        <v>0.5971</v>
      </c>
      <c r="CK830" s="1">
        <v>0.0</v>
      </c>
      <c r="CL830" s="1">
        <v>0.0</v>
      </c>
      <c r="CM830" s="1">
        <v>0.0</v>
      </c>
      <c r="CN830" s="1">
        <v>0.0</v>
      </c>
      <c r="CO830" s="1">
        <v>0.0</v>
      </c>
      <c r="CP830" s="1">
        <v>1.0</v>
      </c>
      <c r="CQ830" s="1">
        <v>0.0</v>
      </c>
      <c r="CR830" s="1">
        <v>0.0</v>
      </c>
      <c r="CS830" s="1">
        <v>1.0</v>
      </c>
      <c r="CT830" s="1">
        <v>0.0</v>
      </c>
      <c r="CU830" s="1">
        <v>0.0</v>
      </c>
      <c r="CV830" s="1">
        <v>0.0</v>
      </c>
      <c r="CW830" s="1">
        <v>1.0</v>
      </c>
      <c r="CX830" s="1">
        <v>0.0</v>
      </c>
      <c r="CY830" s="1">
        <v>0.0</v>
      </c>
      <c r="CZ830" s="1">
        <v>0.0</v>
      </c>
      <c r="DA830" s="1">
        <v>0.0</v>
      </c>
      <c r="DB830" s="1">
        <v>1.0</v>
      </c>
      <c r="DC830" s="1">
        <v>2.0</v>
      </c>
      <c r="DD830" s="1" t="s">
        <v>3877</v>
      </c>
      <c r="DE830" s="1">
        <v>9.17426545327511E-4</v>
      </c>
      <c r="DF830" s="2" t="s">
        <v>3878</v>
      </c>
    </row>
    <row r="831" ht="15.75" customHeight="1">
      <c r="A831" s="1" t="s">
        <v>3879</v>
      </c>
      <c r="B831" s="1">
        <v>29.0</v>
      </c>
      <c r="C831" s="1">
        <v>159.0</v>
      </c>
      <c r="D831" s="1">
        <v>480800.0</v>
      </c>
      <c r="E831" s="1">
        <v>1.013</v>
      </c>
      <c r="F831" s="1">
        <v>29159.0</v>
      </c>
      <c r="G831" s="1">
        <v>2.91594808E10</v>
      </c>
      <c r="H831" s="1" t="s">
        <v>112</v>
      </c>
      <c r="I831" s="1" t="s">
        <v>113</v>
      </c>
      <c r="J831" s="1" t="s">
        <v>3844</v>
      </c>
      <c r="K831" s="1" t="s">
        <v>3880</v>
      </c>
      <c r="L831" s="1">
        <v>3469.0</v>
      </c>
      <c r="M831" s="1">
        <v>3238.0</v>
      </c>
      <c r="N831" s="1">
        <v>315.0</v>
      </c>
      <c r="O831" s="1">
        <v>1634.0</v>
      </c>
      <c r="P831" s="1">
        <v>1740.0</v>
      </c>
      <c r="Q831" s="1">
        <v>64.0</v>
      </c>
      <c r="R831" s="1">
        <v>1433.0</v>
      </c>
      <c r="S831" s="1">
        <v>813.0</v>
      </c>
      <c r="T831" s="1">
        <v>312.0</v>
      </c>
      <c r="U831" s="1">
        <v>100.0</v>
      </c>
      <c r="V831" s="1">
        <v>430.0</v>
      </c>
      <c r="W831" s="1">
        <v>18028.0</v>
      </c>
      <c r="X831" s="1">
        <v>2696.0</v>
      </c>
      <c r="Y831" s="1">
        <v>449.0</v>
      </c>
      <c r="Z831" s="1">
        <v>219.0</v>
      </c>
      <c r="AA831" s="1">
        <v>441.0</v>
      </c>
      <c r="AB831" s="1">
        <v>884.0</v>
      </c>
      <c r="AC831" s="1">
        <v>197.0</v>
      </c>
      <c r="AD831" s="1">
        <v>628.0</v>
      </c>
      <c r="AE831" s="1">
        <v>51.0</v>
      </c>
      <c r="AF831" s="1">
        <v>413.0</v>
      </c>
      <c r="AG831" s="1">
        <v>203.0</v>
      </c>
      <c r="AH831" s="1">
        <v>139.0</v>
      </c>
      <c r="AI831" s="1">
        <v>21.0</v>
      </c>
      <c r="AJ831" s="1">
        <v>22.0</v>
      </c>
      <c r="AK831" s="1">
        <v>21.0</v>
      </c>
      <c r="AL831" s="1">
        <v>116.0</v>
      </c>
      <c r="AM831" s="1">
        <v>117.0</v>
      </c>
      <c r="AN831" s="1">
        <v>64.0</v>
      </c>
      <c r="AO831" s="1">
        <v>30.0</v>
      </c>
      <c r="AP831" s="1">
        <v>0.25108</v>
      </c>
      <c r="AQ831" s="1">
        <v>0.093208</v>
      </c>
      <c r="AR831" s="1">
        <v>0.061162</v>
      </c>
      <c r="AS831" s="1">
        <v>0.262804</v>
      </c>
      <c r="AT831" s="1">
        <v>18028.0</v>
      </c>
      <c r="AU831" s="1">
        <v>2696.0</v>
      </c>
      <c r="AV831" s="1">
        <v>0.219882</v>
      </c>
      <c r="AW831" s="1">
        <v>0.105598</v>
      </c>
      <c r="AX831" s="1">
        <v>0.127125</v>
      </c>
      <c r="AY831" s="1">
        <v>0.254828</v>
      </c>
      <c r="AZ831" s="1">
        <v>0.13747383</v>
      </c>
      <c r="BA831" s="1">
        <v>0.181032</v>
      </c>
      <c r="BB831" s="1">
        <v>0.017543</v>
      </c>
      <c r="BC831" s="1">
        <v>0.142061</v>
      </c>
      <c r="BD831" s="1">
        <v>0.116666</v>
      </c>
      <c r="BE831" s="1">
        <v>0.079769</v>
      </c>
      <c r="BF831" s="1">
        <v>0.012068</v>
      </c>
      <c r="BG831" s="1">
        <v>0.012635</v>
      </c>
      <c r="BH831" s="1">
        <v>0.014122</v>
      </c>
      <c r="BI831" s="1">
        <v>0.078001</v>
      </c>
      <c r="BJ831" s="1">
        <v>0.078681</v>
      </c>
      <c r="BK831" s="1">
        <v>0.042599</v>
      </c>
      <c r="BL831" s="1">
        <v>0.008648</v>
      </c>
      <c r="BM831" s="1">
        <v>0.827</v>
      </c>
      <c r="BN831" s="1">
        <v>0.426</v>
      </c>
      <c r="BO831" s="1">
        <v>0.7307</v>
      </c>
      <c r="BP831" s="1">
        <v>0.802</v>
      </c>
      <c r="BQ831" s="1">
        <v>2.7857</v>
      </c>
      <c r="BR831" s="1">
        <v>0.7444</v>
      </c>
      <c r="BS831" s="1">
        <v>0.397</v>
      </c>
      <c r="BT831" s="1">
        <v>0.653</v>
      </c>
      <c r="BU831" s="1">
        <v>0.75</v>
      </c>
      <c r="BV831" s="1">
        <v>1.8</v>
      </c>
      <c r="BW831" s="1">
        <v>0.72</v>
      </c>
      <c r="BX831" s="1">
        <v>0.682</v>
      </c>
      <c r="BY831" s="1">
        <v>0.842</v>
      </c>
      <c r="BZ831" s="1">
        <v>1.524</v>
      </c>
      <c r="CA831" s="1">
        <v>0.843</v>
      </c>
      <c r="CB831" s="1">
        <v>0.797</v>
      </c>
      <c r="CC831" s="1">
        <v>0.473</v>
      </c>
      <c r="CD831" s="1">
        <v>0.574</v>
      </c>
      <c r="CE831" s="1">
        <v>0.664</v>
      </c>
      <c r="CF831" s="1">
        <v>0.559</v>
      </c>
      <c r="CG831" s="1">
        <v>3.067</v>
      </c>
      <c r="CH831" s="1">
        <v>0.803</v>
      </c>
      <c r="CI831" s="1">
        <v>9.1767</v>
      </c>
      <c r="CJ831" s="1">
        <v>0.8736</v>
      </c>
      <c r="CK831" s="1">
        <v>0.0</v>
      </c>
      <c r="CL831" s="1">
        <v>0.0</v>
      </c>
      <c r="CM831" s="1">
        <v>0.0</v>
      </c>
      <c r="CN831" s="1">
        <v>0.0</v>
      </c>
      <c r="CO831" s="1">
        <v>0.0</v>
      </c>
      <c r="CP831" s="1">
        <v>0.0</v>
      </c>
      <c r="CQ831" s="1">
        <v>0.0</v>
      </c>
      <c r="CR831" s="1">
        <v>0.0</v>
      </c>
      <c r="CS831" s="1">
        <v>0.0</v>
      </c>
      <c r="CT831" s="1">
        <v>0.0</v>
      </c>
      <c r="CU831" s="1">
        <v>0.0</v>
      </c>
      <c r="CV831" s="1">
        <v>0.0</v>
      </c>
      <c r="CW831" s="1">
        <v>0.0</v>
      </c>
      <c r="CX831" s="1">
        <v>0.0</v>
      </c>
      <c r="CY831" s="1">
        <v>0.0</v>
      </c>
      <c r="CZ831" s="1">
        <v>0.0</v>
      </c>
      <c r="DA831" s="1">
        <v>0.0</v>
      </c>
      <c r="DB831" s="1">
        <v>0.0</v>
      </c>
      <c r="DC831" s="1">
        <v>0.0</v>
      </c>
      <c r="DD831" s="1" t="s">
        <v>3881</v>
      </c>
      <c r="DE831" s="1">
        <v>2.70983332994691E-4</v>
      </c>
      <c r="DF831" s="1">
        <v>0.0732587970395538</v>
      </c>
    </row>
    <row r="832" ht="15.75" customHeight="1">
      <c r="A832" s="1" t="s">
        <v>3882</v>
      </c>
      <c r="B832" s="1">
        <v>29.0</v>
      </c>
      <c r="C832" s="1">
        <v>159.0</v>
      </c>
      <c r="D832" s="1">
        <v>480900.0</v>
      </c>
      <c r="E832" s="1">
        <v>0.756</v>
      </c>
      <c r="F832" s="1">
        <v>29159.0</v>
      </c>
      <c r="G832" s="1">
        <v>2.91594809E10</v>
      </c>
      <c r="H832" s="1" t="s">
        <v>112</v>
      </c>
      <c r="I832" s="1" t="s">
        <v>113</v>
      </c>
      <c r="J832" s="1" t="s">
        <v>3844</v>
      </c>
      <c r="K832" s="1" t="s">
        <v>3883</v>
      </c>
      <c r="L832" s="1">
        <v>2846.0</v>
      </c>
      <c r="M832" s="1">
        <v>2929.0</v>
      </c>
      <c r="N832" s="1">
        <v>370.0</v>
      </c>
      <c r="O832" s="1">
        <v>1330.0</v>
      </c>
      <c r="P832" s="1">
        <v>1333.0</v>
      </c>
      <c r="Q832" s="1">
        <v>105.0</v>
      </c>
      <c r="R832" s="1">
        <v>1084.0</v>
      </c>
      <c r="S832" s="1">
        <v>1109.0</v>
      </c>
      <c r="T832" s="1">
        <v>440.0</v>
      </c>
      <c r="U832" s="1">
        <v>156.0</v>
      </c>
      <c r="V832" s="1">
        <v>418.0</v>
      </c>
      <c r="W832" s="1">
        <v>10797.0</v>
      </c>
      <c r="X832" s="1">
        <v>1365.0</v>
      </c>
      <c r="Y832" s="1">
        <v>434.0</v>
      </c>
      <c r="Z832" s="1">
        <v>298.0</v>
      </c>
      <c r="AA832" s="1">
        <v>227.0</v>
      </c>
      <c r="AB832" s="1">
        <v>801.0</v>
      </c>
      <c r="AC832" s="1">
        <v>218.0</v>
      </c>
      <c r="AD832" s="1">
        <v>676.0</v>
      </c>
      <c r="AE832" s="1">
        <v>0.0</v>
      </c>
      <c r="AF832" s="1">
        <v>456.0</v>
      </c>
      <c r="AG832" s="1">
        <v>55.0</v>
      </c>
      <c r="AH832" s="1">
        <v>172.0</v>
      </c>
      <c r="AI832" s="1">
        <v>0.0</v>
      </c>
      <c r="AJ832" s="1">
        <v>114.0</v>
      </c>
      <c r="AK832" s="1">
        <v>86.0</v>
      </c>
      <c r="AL832" s="1">
        <v>127.0</v>
      </c>
      <c r="AM832" s="1">
        <v>199.0</v>
      </c>
      <c r="AN832" s="1">
        <v>107.0</v>
      </c>
      <c r="AO832" s="1">
        <v>111.0</v>
      </c>
      <c r="AP832" s="1">
        <v>0.379015</v>
      </c>
      <c r="AQ832" s="1">
        <v>0.142533</v>
      </c>
      <c r="AR832" s="1">
        <v>0.128606</v>
      </c>
      <c r="AS832" s="1">
        <v>0.343391</v>
      </c>
      <c r="AT832" s="1">
        <v>10797.0</v>
      </c>
      <c r="AU832" s="1">
        <v>1365.0</v>
      </c>
      <c r="AV832" s="1">
        <v>0.27573</v>
      </c>
      <c r="AW832" s="1">
        <v>0.186251</v>
      </c>
      <c r="AX832" s="1">
        <v>0.079761</v>
      </c>
      <c r="AY832" s="1">
        <v>0.281447</v>
      </c>
      <c r="AZ832" s="1">
        <v>0.20110701</v>
      </c>
      <c r="BA832" s="1">
        <v>0.237526</v>
      </c>
      <c r="BB832" s="1">
        <v>0.0</v>
      </c>
      <c r="BC832" s="1">
        <v>0.170914</v>
      </c>
      <c r="BD832" s="1">
        <v>0.04126</v>
      </c>
      <c r="BE832" s="1">
        <v>0.128991</v>
      </c>
      <c r="BF832" s="1">
        <v>0.0</v>
      </c>
      <c r="BG832" s="1">
        <v>0.085521</v>
      </c>
      <c r="BH832" s="1">
        <v>0.078682</v>
      </c>
      <c r="BI832" s="1">
        <v>0.115957</v>
      </c>
      <c r="BJ832" s="1">
        <v>0.182067</v>
      </c>
      <c r="BK832" s="1">
        <v>0.09638</v>
      </c>
      <c r="BL832" s="1">
        <v>0.039002</v>
      </c>
      <c r="BM832" s="1">
        <v>0.943</v>
      </c>
      <c r="BN832" s="1">
        <v>0.853</v>
      </c>
      <c r="BO832" s="1">
        <v>0.9798</v>
      </c>
      <c r="BP832" s="1">
        <v>0.914</v>
      </c>
      <c r="BQ832" s="1">
        <v>3.6898</v>
      </c>
      <c r="BR832" s="1">
        <v>0.956</v>
      </c>
      <c r="BS832" s="1">
        <v>0.115</v>
      </c>
      <c r="BT832" s="1">
        <v>0.855</v>
      </c>
      <c r="BU832" s="1">
        <v>0.898</v>
      </c>
      <c r="BV832" s="1">
        <v>1.868</v>
      </c>
      <c r="BW832" s="1">
        <v>0.779</v>
      </c>
      <c r="BX832" s="1">
        <v>0.75</v>
      </c>
      <c r="BY832" s="1">
        <v>0.0</v>
      </c>
      <c r="BZ832" s="1">
        <v>0.75</v>
      </c>
      <c r="CA832" s="1">
        <v>0.36</v>
      </c>
      <c r="CB832" s="1">
        <v>0.616</v>
      </c>
      <c r="CC832" s="1">
        <v>0.0</v>
      </c>
      <c r="CD832" s="1">
        <v>0.986</v>
      </c>
      <c r="CE832" s="1">
        <v>0.893</v>
      </c>
      <c r="CF832" s="1">
        <v>0.864</v>
      </c>
      <c r="CG832" s="1">
        <v>3.359</v>
      </c>
      <c r="CH832" s="1">
        <v>0.897</v>
      </c>
      <c r="CI832" s="1">
        <v>9.6668</v>
      </c>
      <c r="CJ832" s="1">
        <v>0.9227</v>
      </c>
      <c r="CK832" s="1">
        <v>1.0</v>
      </c>
      <c r="CL832" s="1">
        <v>0.0</v>
      </c>
      <c r="CM832" s="1">
        <v>1.0</v>
      </c>
      <c r="CN832" s="1">
        <v>1.0</v>
      </c>
      <c r="CO832" s="1">
        <v>3.0</v>
      </c>
      <c r="CP832" s="1">
        <v>0.0</v>
      </c>
      <c r="CQ832" s="1">
        <v>0.0</v>
      </c>
      <c r="CR832" s="1">
        <v>0.0</v>
      </c>
      <c r="CS832" s="1">
        <v>0.0</v>
      </c>
      <c r="CT832" s="1">
        <v>0.0</v>
      </c>
      <c r="CU832" s="1">
        <v>0.0</v>
      </c>
      <c r="CV832" s="1">
        <v>0.0</v>
      </c>
      <c r="CW832" s="1">
        <v>0.0</v>
      </c>
      <c r="CX832" s="1">
        <v>0.0</v>
      </c>
      <c r="CY832" s="1">
        <v>1.0</v>
      </c>
      <c r="CZ832" s="1">
        <v>0.0</v>
      </c>
      <c r="DA832" s="1">
        <v>0.0</v>
      </c>
      <c r="DB832" s="1">
        <v>1.0</v>
      </c>
      <c r="DC832" s="1">
        <v>4.0</v>
      </c>
      <c r="DD832" s="1" t="s">
        <v>3884</v>
      </c>
      <c r="DE832" s="1">
        <v>2.02693557970024E-4</v>
      </c>
      <c r="DF832" s="1">
        <v>0.0731804309955745</v>
      </c>
    </row>
    <row r="833" ht="15.75" customHeight="1">
      <c r="A833" s="1" t="s">
        <v>3885</v>
      </c>
      <c r="B833" s="1">
        <v>29.0</v>
      </c>
      <c r="C833" s="1">
        <v>161.0</v>
      </c>
      <c r="D833" s="1">
        <v>890800.0</v>
      </c>
      <c r="E833" s="1">
        <v>2.751</v>
      </c>
      <c r="F833" s="1">
        <v>29161.0</v>
      </c>
      <c r="G833" s="1">
        <v>2.91618908E10</v>
      </c>
      <c r="H833" s="1" t="s">
        <v>112</v>
      </c>
      <c r="I833" s="1" t="s">
        <v>113</v>
      </c>
      <c r="J833" s="1" t="s">
        <v>3886</v>
      </c>
      <c r="K833" s="1" t="s">
        <v>3887</v>
      </c>
      <c r="L833" s="1">
        <v>3211.0</v>
      </c>
      <c r="M833" s="1">
        <v>3754.0</v>
      </c>
      <c r="N833" s="1">
        <v>524.0</v>
      </c>
      <c r="O833" s="1">
        <v>1282.0</v>
      </c>
      <c r="P833" s="1">
        <v>1339.0</v>
      </c>
      <c r="Q833" s="1">
        <v>112.0</v>
      </c>
      <c r="R833" s="1">
        <v>1100.0</v>
      </c>
      <c r="S833" s="1">
        <v>332.0</v>
      </c>
      <c r="T833" s="1">
        <v>122.0</v>
      </c>
      <c r="U833" s="1">
        <v>216.0</v>
      </c>
      <c r="V833" s="1">
        <v>409.0</v>
      </c>
      <c r="W833" s="1">
        <v>11799.0</v>
      </c>
      <c r="X833" s="1">
        <v>1884.0</v>
      </c>
      <c r="Y833" s="1">
        <v>180.0</v>
      </c>
      <c r="Z833" s="1">
        <v>263.0</v>
      </c>
      <c r="AA833" s="1">
        <v>366.0</v>
      </c>
      <c r="AB833" s="1">
        <v>482.0</v>
      </c>
      <c r="AC833" s="1">
        <v>118.0</v>
      </c>
      <c r="AD833" s="1">
        <v>369.0</v>
      </c>
      <c r="AE833" s="1">
        <v>0.0</v>
      </c>
      <c r="AF833" s="1">
        <v>456.0</v>
      </c>
      <c r="AG833" s="1">
        <v>75.0</v>
      </c>
      <c r="AH833" s="1">
        <v>67.0</v>
      </c>
      <c r="AI833" s="1">
        <v>69.0</v>
      </c>
      <c r="AJ833" s="1">
        <v>52.0</v>
      </c>
      <c r="AK833" s="1">
        <v>5.0</v>
      </c>
      <c r="AL833" s="1">
        <v>114.0</v>
      </c>
      <c r="AM833" s="1">
        <v>119.0</v>
      </c>
      <c r="AN833" s="1">
        <v>54.0</v>
      </c>
      <c r="AO833" s="1">
        <v>758.0</v>
      </c>
      <c r="AP833" s="1">
        <v>0.129839</v>
      </c>
      <c r="AQ833" s="1">
        <v>0.045366</v>
      </c>
      <c r="AR833" s="1">
        <v>0.128801</v>
      </c>
      <c r="AS833" s="1">
        <v>0.242359</v>
      </c>
      <c r="AT833" s="1">
        <v>11799.0</v>
      </c>
      <c r="AU833" s="1">
        <v>1884.0</v>
      </c>
      <c r="AV833" s="1">
        <v>0.108499</v>
      </c>
      <c r="AW833" s="1">
        <v>0.157704</v>
      </c>
      <c r="AX833" s="1">
        <v>0.113983</v>
      </c>
      <c r="AY833" s="1">
        <v>0.150109</v>
      </c>
      <c r="AZ833" s="1">
        <v>0.10727272</v>
      </c>
      <c r="BA833" s="1">
        <v>0.114917</v>
      </c>
      <c r="BB833" s="1">
        <v>0.0</v>
      </c>
      <c r="BC833" s="1">
        <v>0.126701</v>
      </c>
      <c r="BD833" s="1">
        <v>0.056011</v>
      </c>
      <c r="BE833" s="1">
        <v>0.049817</v>
      </c>
      <c r="BF833" s="1">
        <v>0.05153</v>
      </c>
      <c r="BG833" s="1">
        <v>0.038595</v>
      </c>
      <c r="BH833" s="1">
        <v>0.004244</v>
      </c>
      <c r="BI833" s="1">
        <v>0.096773</v>
      </c>
      <c r="BJ833" s="1">
        <v>0.101018</v>
      </c>
      <c r="BK833" s="1">
        <v>0.044485</v>
      </c>
      <c r="BL833" s="1">
        <v>0.236063</v>
      </c>
      <c r="BM833" s="1">
        <v>0.497</v>
      </c>
      <c r="BN833" s="1">
        <v>0.853</v>
      </c>
      <c r="BO833" s="1">
        <v>0.9625</v>
      </c>
      <c r="BP833" s="1">
        <v>0.375</v>
      </c>
      <c r="BQ833" s="1">
        <v>2.6875</v>
      </c>
      <c r="BR833" s="1">
        <v>0.717</v>
      </c>
      <c r="BS833" s="1">
        <v>0.303</v>
      </c>
      <c r="BT833" s="1">
        <v>0.069</v>
      </c>
      <c r="BU833" s="1">
        <v>0.561</v>
      </c>
      <c r="BV833" s="1">
        <v>0.933</v>
      </c>
      <c r="BW833" s="1">
        <v>0.094</v>
      </c>
      <c r="BX833" s="1">
        <v>0.523</v>
      </c>
      <c r="BY833" s="1">
        <v>0.0</v>
      </c>
      <c r="BZ833" s="1">
        <v>0.523</v>
      </c>
      <c r="CA833" s="1">
        <v>0.224</v>
      </c>
      <c r="CB833" s="1">
        <v>0.672</v>
      </c>
      <c r="CC833" s="1">
        <v>0.61</v>
      </c>
      <c r="CD833" s="1">
        <v>0.311</v>
      </c>
      <c r="CE833" s="1">
        <v>0.756</v>
      </c>
      <c r="CF833" s="1">
        <v>0.971</v>
      </c>
      <c r="CG833" s="1">
        <v>3.32</v>
      </c>
      <c r="CH833" s="1">
        <v>0.879</v>
      </c>
      <c r="CI833" s="1">
        <v>7.4635</v>
      </c>
      <c r="CJ833" s="1">
        <v>0.6339</v>
      </c>
      <c r="CK833" s="1">
        <v>0.0</v>
      </c>
      <c r="CL833" s="1">
        <v>0.0</v>
      </c>
      <c r="CM833" s="1">
        <v>1.0</v>
      </c>
      <c r="CN833" s="1">
        <v>0.0</v>
      </c>
      <c r="CO833" s="1">
        <v>1.0</v>
      </c>
      <c r="CP833" s="1">
        <v>0.0</v>
      </c>
      <c r="CQ833" s="1">
        <v>0.0</v>
      </c>
      <c r="CR833" s="1">
        <v>0.0</v>
      </c>
      <c r="CS833" s="1">
        <v>0.0</v>
      </c>
      <c r="CT833" s="1">
        <v>0.0</v>
      </c>
      <c r="CU833" s="1">
        <v>0.0</v>
      </c>
      <c r="CV833" s="1">
        <v>0.0</v>
      </c>
      <c r="CW833" s="1">
        <v>0.0</v>
      </c>
      <c r="CX833" s="1">
        <v>0.0</v>
      </c>
      <c r="CY833" s="1">
        <v>0.0</v>
      </c>
      <c r="CZ833" s="1">
        <v>0.0</v>
      </c>
      <c r="DA833" s="1">
        <v>1.0</v>
      </c>
      <c r="DB833" s="1">
        <v>1.0</v>
      </c>
      <c r="DC833" s="1">
        <v>2.0</v>
      </c>
      <c r="DD833" s="1" t="s">
        <v>3888</v>
      </c>
      <c r="DE833" s="1">
        <v>7.3531117359842E-4</v>
      </c>
      <c r="DF833" s="2" t="s">
        <v>3889</v>
      </c>
    </row>
    <row r="834" ht="15.75" customHeight="1">
      <c r="A834" s="1" t="s">
        <v>3890</v>
      </c>
      <c r="B834" s="1">
        <v>29.0</v>
      </c>
      <c r="C834" s="1">
        <v>161.0</v>
      </c>
      <c r="D834" s="1">
        <v>890100.0</v>
      </c>
      <c r="E834" s="1">
        <v>102.434</v>
      </c>
      <c r="F834" s="1">
        <v>29161.0</v>
      </c>
      <c r="G834" s="1">
        <v>2.91618901E10</v>
      </c>
      <c r="H834" s="1" t="s">
        <v>112</v>
      </c>
      <c r="I834" s="1" t="s">
        <v>113</v>
      </c>
      <c r="J834" s="1" t="s">
        <v>3886</v>
      </c>
      <c r="K834" s="1" t="s">
        <v>3891</v>
      </c>
      <c r="L834" s="1">
        <v>4475.0</v>
      </c>
      <c r="M834" s="1">
        <v>4024.0</v>
      </c>
      <c r="N834" s="1">
        <v>434.0</v>
      </c>
      <c r="O834" s="1">
        <v>1912.0</v>
      </c>
      <c r="P834" s="1">
        <v>1876.0</v>
      </c>
      <c r="Q834" s="1">
        <v>128.0</v>
      </c>
      <c r="R834" s="1">
        <v>1710.0</v>
      </c>
      <c r="S834" s="1">
        <v>331.0</v>
      </c>
      <c r="T834" s="1">
        <v>173.0</v>
      </c>
      <c r="U834" s="1">
        <v>63.0</v>
      </c>
      <c r="V834" s="1">
        <v>429.0</v>
      </c>
      <c r="W834" s="1">
        <v>24165.0</v>
      </c>
      <c r="X834" s="1">
        <v>2811.0</v>
      </c>
      <c r="Y834" s="1">
        <v>263.0</v>
      </c>
      <c r="Z834" s="1">
        <v>300.0</v>
      </c>
      <c r="AA834" s="1">
        <v>612.0</v>
      </c>
      <c r="AB834" s="1">
        <v>1038.0</v>
      </c>
      <c r="AC834" s="1">
        <v>158.0</v>
      </c>
      <c r="AD834" s="1">
        <v>183.0</v>
      </c>
      <c r="AE834" s="1">
        <v>0.0</v>
      </c>
      <c r="AF834" s="1">
        <v>456.0</v>
      </c>
      <c r="AG834" s="1">
        <v>0.0</v>
      </c>
      <c r="AH834" s="1">
        <v>197.0</v>
      </c>
      <c r="AI834" s="1">
        <v>454.0</v>
      </c>
      <c r="AJ834" s="1">
        <v>118.0</v>
      </c>
      <c r="AK834" s="1">
        <v>0.0</v>
      </c>
      <c r="AL834" s="1">
        <v>161.0</v>
      </c>
      <c r="AM834" s="1">
        <v>42.0</v>
      </c>
      <c r="AN834" s="1">
        <v>35.0</v>
      </c>
      <c r="AO834" s="1">
        <v>65.0</v>
      </c>
      <c r="AP834" s="1">
        <v>0.082667</v>
      </c>
      <c r="AQ834" s="1">
        <v>0.042267</v>
      </c>
      <c r="AR834" s="1">
        <v>0.030612</v>
      </c>
      <c r="AS834" s="1">
        <v>0.208414</v>
      </c>
      <c r="AT834" s="1">
        <v>24165.0</v>
      </c>
      <c r="AU834" s="1">
        <v>2811.0</v>
      </c>
      <c r="AV834" s="1">
        <v>0.091605</v>
      </c>
      <c r="AW834" s="1">
        <v>0.104195</v>
      </c>
      <c r="AX834" s="1">
        <v>0.136759</v>
      </c>
      <c r="AY834" s="1">
        <v>0.231955</v>
      </c>
      <c r="AZ834" s="1">
        <v>0.09239766</v>
      </c>
      <c r="BA834" s="1">
        <v>0.040893</v>
      </c>
      <c r="BB834" s="1">
        <v>0.0</v>
      </c>
      <c r="BC834" s="1">
        <v>0.118165</v>
      </c>
      <c r="BD834" s="1">
        <v>0.0</v>
      </c>
      <c r="BE834" s="1">
        <v>0.10501</v>
      </c>
      <c r="BF834" s="1">
        <v>0.242004</v>
      </c>
      <c r="BG834" s="1">
        <v>0.060693</v>
      </c>
      <c r="BH834" s="1">
        <v>0.0</v>
      </c>
      <c r="BI834" s="1">
        <v>0.097163</v>
      </c>
      <c r="BJ834" s="1">
        <v>0.025347</v>
      </c>
      <c r="BK834" s="1">
        <v>0.021028</v>
      </c>
      <c r="BL834" s="1">
        <v>0.014525</v>
      </c>
      <c r="BM834" s="1">
        <v>0.302</v>
      </c>
      <c r="BN834" s="1">
        <v>0.091</v>
      </c>
      <c r="BO834" s="1">
        <v>0.3863</v>
      </c>
      <c r="BP834" s="1">
        <v>0.3</v>
      </c>
      <c r="BQ834" s="1">
        <v>1.0793</v>
      </c>
      <c r="BR834" s="1">
        <v>0.2202</v>
      </c>
      <c r="BS834" s="1">
        <v>0.469</v>
      </c>
      <c r="BT834" s="1">
        <v>0.406</v>
      </c>
      <c r="BU834" s="1">
        <v>0.424</v>
      </c>
      <c r="BV834" s="1">
        <v>1.299</v>
      </c>
      <c r="BW834" s="1">
        <v>0.304</v>
      </c>
      <c r="BX834" s="1">
        <v>0.17</v>
      </c>
      <c r="BY834" s="1">
        <v>0.0</v>
      </c>
      <c r="BZ834" s="1">
        <v>0.17</v>
      </c>
      <c r="CA834" s="1">
        <v>0.079</v>
      </c>
      <c r="CB834" s="1">
        <v>0.0</v>
      </c>
      <c r="CC834" s="1">
        <v>0.941</v>
      </c>
      <c r="CD834" s="1">
        <v>0.0</v>
      </c>
      <c r="CE834" s="1">
        <v>0.242</v>
      </c>
      <c r="CF834" s="1">
        <v>0.642</v>
      </c>
      <c r="CG834" s="1">
        <v>1.825</v>
      </c>
      <c r="CH834" s="1">
        <v>0.273</v>
      </c>
      <c r="CI834" s="1">
        <v>4.3733</v>
      </c>
      <c r="CJ834" s="1">
        <v>0.1206</v>
      </c>
      <c r="CK834" s="1">
        <v>0.0</v>
      </c>
      <c r="CL834" s="1">
        <v>0.0</v>
      </c>
      <c r="CM834" s="1">
        <v>0.0</v>
      </c>
      <c r="CN834" s="1">
        <v>0.0</v>
      </c>
      <c r="CO834" s="1">
        <v>0.0</v>
      </c>
      <c r="CP834" s="1">
        <v>0.0</v>
      </c>
      <c r="CQ834" s="1">
        <v>0.0</v>
      </c>
      <c r="CR834" s="1">
        <v>0.0</v>
      </c>
      <c r="CS834" s="1">
        <v>0.0</v>
      </c>
      <c r="CT834" s="1">
        <v>0.0</v>
      </c>
      <c r="CU834" s="1">
        <v>0.0</v>
      </c>
      <c r="CV834" s="1">
        <v>0.0</v>
      </c>
      <c r="CW834" s="1">
        <v>0.0</v>
      </c>
      <c r="CX834" s="1">
        <v>1.0</v>
      </c>
      <c r="CY834" s="1">
        <v>0.0</v>
      </c>
      <c r="CZ834" s="1">
        <v>0.0</v>
      </c>
      <c r="DA834" s="1">
        <v>0.0</v>
      </c>
      <c r="DB834" s="1">
        <v>1.0</v>
      </c>
      <c r="DC834" s="1">
        <v>1.0</v>
      </c>
      <c r="DD834" s="1" t="s">
        <v>3892</v>
      </c>
      <c r="DE834" s="2" t="s">
        <v>3893</v>
      </c>
      <c r="DF834" s="2" t="s">
        <v>3894</v>
      </c>
    </row>
    <row r="835" ht="15.75" customHeight="1">
      <c r="A835" s="1" t="s">
        <v>3895</v>
      </c>
      <c r="B835" s="1">
        <v>29.0</v>
      </c>
      <c r="C835" s="1">
        <v>161.0</v>
      </c>
      <c r="D835" s="1">
        <v>890200.0</v>
      </c>
      <c r="E835" s="1">
        <v>13.426</v>
      </c>
      <c r="F835" s="1">
        <v>29161.0</v>
      </c>
      <c r="G835" s="1">
        <v>2.91618902E10</v>
      </c>
      <c r="H835" s="1" t="s">
        <v>112</v>
      </c>
      <c r="I835" s="1" t="s">
        <v>113</v>
      </c>
      <c r="J835" s="1" t="s">
        <v>3886</v>
      </c>
      <c r="K835" s="1" t="s">
        <v>3896</v>
      </c>
      <c r="L835" s="1">
        <v>5089.0</v>
      </c>
      <c r="M835" s="1">
        <v>4815.0</v>
      </c>
      <c r="N835" s="1">
        <v>312.0</v>
      </c>
      <c r="O835" s="1">
        <v>2132.0</v>
      </c>
      <c r="P835" s="1">
        <v>1970.0</v>
      </c>
      <c r="Q835" s="1">
        <v>333.0</v>
      </c>
      <c r="R835" s="1">
        <v>1964.0</v>
      </c>
      <c r="S835" s="1">
        <v>720.0</v>
      </c>
      <c r="T835" s="1">
        <v>296.0</v>
      </c>
      <c r="U835" s="1">
        <v>128.0</v>
      </c>
      <c r="V835" s="1">
        <v>451.0</v>
      </c>
      <c r="W835" s="1">
        <v>16736.0</v>
      </c>
      <c r="X835" s="1">
        <v>2048.0</v>
      </c>
      <c r="Y835" s="1">
        <v>835.0</v>
      </c>
      <c r="Z835" s="1">
        <v>418.0</v>
      </c>
      <c r="AA835" s="1">
        <v>923.0</v>
      </c>
      <c r="AB835" s="1">
        <v>1346.0</v>
      </c>
      <c r="AC835" s="1">
        <v>280.0</v>
      </c>
      <c r="AD835" s="1">
        <v>236.0</v>
      </c>
      <c r="AE835" s="1">
        <v>0.0</v>
      </c>
      <c r="AF835" s="1">
        <v>456.0</v>
      </c>
      <c r="AG835" s="1">
        <v>42.0</v>
      </c>
      <c r="AH835" s="1">
        <v>122.0</v>
      </c>
      <c r="AI835" s="1">
        <v>43.0</v>
      </c>
      <c r="AJ835" s="1">
        <v>44.0</v>
      </c>
      <c r="AK835" s="1">
        <v>8.0</v>
      </c>
      <c r="AL835" s="1">
        <v>115.0</v>
      </c>
      <c r="AM835" s="1">
        <v>82.0</v>
      </c>
      <c r="AN835" s="1">
        <v>65.0</v>
      </c>
      <c r="AO835" s="1">
        <v>351.0</v>
      </c>
      <c r="AP835" s="1">
        <v>0.168302</v>
      </c>
      <c r="AQ835" s="1">
        <v>0.064431</v>
      </c>
      <c r="AR835" s="1">
        <v>0.06554</v>
      </c>
      <c r="AS835" s="1">
        <v>0.230714</v>
      </c>
      <c r="AT835" s="1">
        <v>16736.0</v>
      </c>
      <c r="AU835" s="1">
        <v>2048.0</v>
      </c>
      <c r="AV835" s="1">
        <v>0.262248</v>
      </c>
      <c r="AW835" s="1">
        <v>0.128169</v>
      </c>
      <c r="AX835" s="1">
        <v>0.181371</v>
      </c>
      <c r="AY835" s="1">
        <v>0.264492</v>
      </c>
      <c r="AZ835" s="1">
        <v>0.14256619</v>
      </c>
      <c r="BA835" s="1">
        <v>0.046374</v>
      </c>
      <c r="BB835" s="1">
        <v>0.0</v>
      </c>
      <c r="BC835" s="1">
        <v>0.104157</v>
      </c>
      <c r="BD835" s="1">
        <v>0.021319</v>
      </c>
      <c r="BE835" s="1">
        <v>0.061823</v>
      </c>
      <c r="BF835" s="1">
        <v>0.021827</v>
      </c>
      <c r="BG835" s="1">
        <v>0.022028</v>
      </c>
      <c r="BH835" s="1">
        <v>0.004653</v>
      </c>
      <c r="BI835" s="1">
        <v>0.066894</v>
      </c>
      <c r="BJ835" s="1">
        <v>0.047702</v>
      </c>
      <c r="BK835" s="1">
        <v>0.036853</v>
      </c>
      <c r="BL835" s="1">
        <v>0.068972</v>
      </c>
      <c r="BM835" s="1">
        <v>0.634</v>
      </c>
      <c r="BN835" s="1">
        <v>0.475</v>
      </c>
      <c r="BO835" s="1">
        <v>0.8</v>
      </c>
      <c r="BP835" s="1">
        <v>0.893</v>
      </c>
      <c r="BQ835" s="1">
        <v>2.802</v>
      </c>
      <c r="BR835" s="1">
        <v>0.7487</v>
      </c>
      <c r="BS835" s="1">
        <v>0.798</v>
      </c>
      <c r="BT835" s="1">
        <v>0.744</v>
      </c>
      <c r="BU835" s="1">
        <v>0.771</v>
      </c>
      <c r="BV835" s="1">
        <v>2.313</v>
      </c>
      <c r="BW835" s="1">
        <v>0.982</v>
      </c>
      <c r="BX835" s="1">
        <v>0.223</v>
      </c>
      <c r="BY835" s="1">
        <v>0.0</v>
      </c>
      <c r="BZ835" s="1">
        <v>0.223</v>
      </c>
      <c r="CA835" s="1">
        <v>0.097</v>
      </c>
      <c r="CB835" s="1">
        <v>0.479</v>
      </c>
      <c r="CC835" s="1">
        <v>0.52</v>
      </c>
      <c r="CD835" s="1">
        <v>0.326</v>
      </c>
      <c r="CE835" s="1">
        <v>0.469</v>
      </c>
      <c r="CF835" s="1">
        <v>0.92</v>
      </c>
      <c r="CG835" s="1">
        <v>2.714</v>
      </c>
      <c r="CH835" s="1">
        <v>0.651</v>
      </c>
      <c r="CI835" s="1">
        <v>8.052</v>
      </c>
      <c r="CJ835" s="1">
        <v>0.7235</v>
      </c>
      <c r="CK835" s="1">
        <v>0.0</v>
      </c>
      <c r="CL835" s="1">
        <v>0.0</v>
      </c>
      <c r="CM835" s="1">
        <v>0.0</v>
      </c>
      <c r="CN835" s="1">
        <v>0.0</v>
      </c>
      <c r="CO835" s="1">
        <v>0.0</v>
      </c>
      <c r="CP835" s="1">
        <v>0.0</v>
      </c>
      <c r="CQ835" s="1">
        <v>0.0</v>
      </c>
      <c r="CR835" s="1">
        <v>0.0</v>
      </c>
      <c r="CS835" s="1">
        <v>0.0</v>
      </c>
      <c r="CT835" s="1">
        <v>0.0</v>
      </c>
      <c r="CU835" s="1">
        <v>0.0</v>
      </c>
      <c r="CV835" s="1">
        <v>0.0</v>
      </c>
      <c r="CW835" s="1">
        <v>0.0</v>
      </c>
      <c r="CX835" s="1">
        <v>0.0</v>
      </c>
      <c r="CY835" s="1">
        <v>0.0</v>
      </c>
      <c r="CZ835" s="1">
        <v>0.0</v>
      </c>
      <c r="DA835" s="1">
        <v>1.0</v>
      </c>
      <c r="DB835" s="1">
        <v>1.0</v>
      </c>
      <c r="DC835" s="1">
        <v>1.0</v>
      </c>
      <c r="DD835" s="1" t="s">
        <v>3897</v>
      </c>
      <c r="DE835" s="1">
        <v>0.00357872460655528</v>
      </c>
      <c r="DF835" s="2" t="s">
        <v>3898</v>
      </c>
    </row>
    <row r="836" ht="15.75" customHeight="1">
      <c r="A836" s="1" t="s">
        <v>3899</v>
      </c>
      <c r="B836" s="1">
        <v>29.0</v>
      </c>
      <c r="C836" s="1">
        <v>161.0</v>
      </c>
      <c r="D836" s="1">
        <v>890300.0</v>
      </c>
      <c r="E836" s="1">
        <v>4.517</v>
      </c>
      <c r="F836" s="1">
        <v>29161.0</v>
      </c>
      <c r="G836" s="1">
        <v>2.91618903E10</v>
      </c>
      <c r="H836" s="1" t="s">
        <v>112</v>
      </c>
      <c r="I836" s="1" t="s">
        <v>113</v>
      </c>
      <c r="J836" s="1" t="s">
        <v>3886</v>
      </c>
      <c r="K836" s="1" t="s">
        <v>3900</v>
      </c>
      <c r="L836" s="1">
        <v>7102.0</v>
      </c>
      <c r="M836" s="1">
        <v>6729.0</v>
      </c>
      <c r="N836" s="1">
        <v>619.0</v>
      </c>
      <c r="O836" s="1">
        <v>3553.0</v>
      </c>
      <c r="P836" s="1">
        <v>3518.0</v>
      </c>
      <c r="Q836" s="1">
        <v>221.0</v>
      </c>
      <c r="R836" s="1">
        <v>3254.0</v>
      </c>
      <c r="S836" s="1">
        <v>1892.0</v>
      </c>
      <c r="T836" s="1">
        <v>583.0</v>
      </c>
      <c r="U836" s="1">
        <v>166.0</v>
      </c>
      <c r="V836" s="1">
        <v>387.0</v>
      </c>
      <c r="W836" s="1">
        <v>20753.0</v>
      </c>
      <c r="X836" s="1">
        <v>2631.0</v>
      </c>
      <c r="Y836" s="1">
        <v>440.0</v>
      </c>
      <c r="Z836" s="1">
        <v>318.0</v>
      </c>
      <c r="AA836" s="1">
        <v>1058.0</v>
      </c>
      <c r="AB836" s="1">
        <v>1459.0</v>
      </c>
      <c r="AC836" s="1">
        <v>345.0</v>
      </c>
      <c r="AD836" s="1">
        <v>900.0</v>
      </c>
      <c r="AE836" s="1">
        <v>66.0</v>
      </c>
      <c r="AF836" s="1">
        <v>416.0</v>
      </c>
      <c r="AG836" s="1">
        <v>378.0</v>
      </c>
      <c r="AH836" s="1">
        <v>116.0</v>
      </c>
      <c r="AI836" s="1">
        <v>177.0</v>
      </c>
      <c r="AJ836" s="1">
        <v>119.0</v>
      </c>
      <c r="AK836" s="1">
        <v>23.0</v>
      </c>
      <c r="AL836" s="1">
        <v>119.0</v>
      </c>
      <c r="AM836" s="1">
        <v>267.0</v>
      </c>
      <c r="AN836" s="1">
        <v>124.0</v>
      </c>
      <c r="AO836" s="1">
        <v>150.0</v>
      </c>
      <c r="AP836" s="1">
        <v>0.291345</v>
      </c>
      <c r="AQ836" s="1">
        <v>0.08543</v>
      </c>
      <c r="AR836" s="1">
        <v>0.049611</v>
      </c>
      <c r="AS836" s="1">
        <v>0.115463</v>
      </c>
      <c r="AT836" s="1">
        <v>20753.0</v>
      </c>
      <c r="AU836" s="1">
        <v>2631.0</v>
      </c>
      <c r="AV836" s="1">
        <v>0.10891</v>
      </c>
      <c r="AW836" s="1">
        <v>0.078081</v>
      </c>
      <c r="AX836" s="1">
        <v>0.148972</v>
      </c>
      <c r="AY836" s="1">
        <v>0.205435</v>
      </c>
      <c r="AZ836" s="1">
        <v>0.10602335</v>
      </c>
      <c r="BA836" s="1">
        <v>0.126724</v>
      </c>
      <c r="BB836" s="1">
        <v>0.011023</v>
      </c>
      <c r="BC836" s="1">
        <v>0.069476</v>
      </c>
      <c r="BD836" s="1">
        <v>0.107447</v>
      </c>
      <c r="BE836" s="1">
        <v>0.032275</v>
      </c>
      <c r="BF836" s="1">
        <v>0.050312</v>
      </c>
      <c r="BG836" s="1">
        <v>0.033678</v>
      </c>
      <c r="BH836" s="1">
        <v>0.007778</v>
      </c>
      <c r="BI836" s="1">
        <v>0.040238</v>
      </c>
      <c r="BJ836" s="1">
        <v>0.090294</v>
      </c>
      <c r="BK836" s="1">
        <v>0.04131</v>
      </c>
      <c r="BL836" s="1">
        <v>0.02112</v>
      </c>
      <c r="BM836" s="1">
        <v>0.876</v>
      </c>
      <c r="BN836" s="1">
        <v>0.287</v>
      </c>
      <c r="BO836" s="1">
        <v>0.5675</v>
      </c>
      <c r="BP836" s="1">
        <v>0.376</v>
      </c>
      <c r="BQ836" s="1">
        <v>2.1065</v>
      </c>
      <c r="BR836" s="1">
        <v>0.5285</v>
      </c>
      <c r="BS836" s="1">
        <v>0.569</v>
      </c>
      <c r="BT836" s="1">
        <v>0.215</v>
      </c>
      <c r="BU836" s="1">
        <v>0.552</v>
      </c>
      <c r="BV836" s="1">
        <v>1.336</v>
      </c>
      <c r="BW836" s="1">
        <v>0.331</v>
      </c>
      <c r="BX836" s="1">
        <v>0.553</v>
      </c>
      <c r="BY836" s="1">
        <v>0.747</v>
      </c>
      <c r="BZ836" s="1">
        <v>1.3</v>
      </c>
      <c r="CA836" s="1">
        <v>0.712</v>
      </c>
      <c r="CB836" s="1">
        <v>0.783</v>
      </c>
      <c r="CC836" s="1">
        <v>0.607</v>
      </c>
      <c r="CD836" s="1">
        <v>0.428</v>
      </c>
      <c r="CE836" s="1">
        <v>0.719</v>
      </c>
      <c r="CF836" s="1">
        <v>0.721</v>
      </c>
      <c r="CG836" s="1">
        <v>3.258</v>
      </c>
      <c r="CH836" s="1">
        <v>0.861</v>
      </c>
      <c r="CI836" s="1">
        <v>8.0005</v>
      </c>
      <c r="CJ836" s="1">
        <v>0.7141</v>
      </c>
      <c r="CK836" s="1">
        <v>0.0</v>
      </c>
      <c r="CL836" s="1">
        <v>0.0</v>
      </c>
      <c r="CM836" s="1">
        <v>0.0</v>
      </c>
      <c r="CN836" s="1">
        <v>0.0</v>
      </c>
      <c r="CO836" s="1">
        <v>0.0</v>
      </c>
      <c r="CP836" s="1">
        <v>0.0</v>
      </c>
      <c r="CQ836" s="1">
        <v>0.0</v>
      </c>
      <c r="CR836" s="1">
        <v>0.0</v>
      </c>
      <c r="CS836" s="1">
        <v>0.0</v>
      </c>
      <c r="CT836" s="1">
        <v>0.0</v>
      </c>
      <c r="CU836" s="1">
        <v>0.0</v>
      </c>
      <c r="CV836" s="1">
        <v>0.0</v>
      </c>
      <c r="CW836" s="1">
        <v>0.0</v>
      </c>
      <c r="CX836" s="1">
        <v>0.0</v>
      </c>
      <c r="CY836" s="1">
        <v>0.0</v>
      </c>
      <c r="CZ836" s="1">
        <v>0.0</v>
      </c>
      <c r="DA836" s="1">
        <v>0.0</v>
      </c>
      <c r="DB836" s="1">
        <v>0.0</v>
      </c>
      <c r="DC836" s="1">
        <v>0.0</v>
      </c>
      <c r="DD836" s="1" t="s">
        <v>3901</v>
      </c>
      <c r="DE836" s="1">
        <v>0.00120251686073168</v>
      </c>
      <c r="DF836" s="2" t="s">
        <v>3902</v>
      </c>
    </row>
    <row r="837" ht="15.75" customHeight="1">
      <c r="A837" s="1" t="s">
        <v>3903</v>
      </c>
      <c r="B837" s="1">
        <v>29.0</v>
      </c>
      <c r="C837" s="1">
        <v>161.0</v>
      </c>
      <c r="D837" s="1">
        <v>890400.0</v>
      </c>
      <c r="E837" s="1">
        <v>4.406</v>
      </c>
      <c r="F837" s="1">
        <v>29161.0</v>
      </c>
      <c r="G837" s="1">
        <v>2.91618904E10</v>
      </c>
      <c r="H837" s="1" t="s">
        <v>112</v>
      </c>
      <c r="I837" s="1" t="s">
        <v>113</v>
      </c>
      <c r="J837" s="1" t="s">
        <v>3886</v>
      </c>
      <c r="K837" s="1" t="s">
        <v>3904</v>
      </c>
      <c r="L837" s="1">
        <v>5555.0</v>
      </c>
      <c r="M837" s="1">
        <v>4893.0</v>
      </c>
      <c r="N837" s="1">
        <v>716.0</v>
      </c>
      <c r="O837" s="1">
        <v>1957.0</v>
      </c>
      <c r="P837" s="1">
        <v>1852.0</v>
      </c>
      <c r="Q837" s="1">
        <v>211.0</v>
      </c>
      <c r="R837" s="1">
        <v>1796.0</v>
      </c>
      <c r="S837" s="1">
        <v>1378.0</v>
      </c>
      <c r="T837" s="1">
        <v>418.0</v>
      </c>
      <c r="U837" s="1">
        <v>430.0</v>
      </c>
      <c r="V837" s="1">
        <v>398.0</v>
      </c>
      <c r="W837" s="1">
        <v>10934.0</v>
      </c>
      <c r="X837" s="1">
        <v>1631.0</v>
      </c>
      <c r="Y837" s="1">
        <v>145.0</v>
      </c>
      <c r="Z837" s="1">
        <v>354.0</v>
      </c>
      <c r="AA837" s="1">
        <v>307.0</v>
      </c>
      <c r="AB837" s="1">
        <v>559.0</v>
      </c>
      <c r="AC837" s="1">
        <v>125.0</v>
      </c>
      <c r="AD837" s="1">
        <v>1204.0</v>
      </c>
      <c r="AE837" s="1">
        <v>23.0</v>
      </c>
      <c r="AF837" s="1">
        <v>427.0</v>
      </c>
      <c r="AG837" s="1">
        <v>294.0</v>
      </c>
      <c r="AH837" s="1">
        <v>117.0</v>
      </c>
      <c r="AI837" s="1">
        <v>240.0</v>
      </c>
      <c r="AJ837" s="1">
        <v>121.0</v>
      </c>
      <c r="AK837" s="1">
        <v>45.0</v>
      </c>
      <c r="AL837" s="1">
        <v>124.0</v>
      </c>
      <c r="AM837" s="1">
        <v>197.0</v>
      </c>
      <c r="AN837" s="1">
        <v>149.0</v>
      </c>
      <c r="AO837" s="1">
        <v>1637.0</v>
      </c>
      <c r="AP837" s="1">
        <v>0.399188</v>
      </c>
      <c r="AQ837" s="1">
        <v>0.106203</v>
      </c>
      <c r="AR837" s="1">
        <v>0.18951</v>
      </c>
      <c r="AS837" s="1">
        <v>0.171478</v>
      </c>
      <c r="AT837" s="1">
        <v>10934.0</v>
      </c>
      <c r="AU837" s="1">
        <v>1631.0</v>
      </c>
      <c r="AV837" s="1">
        <v>0.08863</v>
      </c>
      <c r="AW837" s="1">
        <v>0.216025</v>
      </c>
      <c r="AX837" s="1">
        <v>0.055265</v>
      </c>
      <c r="AY837" s="1">
        <v>0.10063</v>
      </c>
      <c r="AZ837" s="1">
        <v>0.0695991</v>
      </c>
      <c r="BA837" s="1">
        <v>0.216741</v>
      </c>
      <c r="BB837" s="1">
        <v>0.00492</v>
      </c>
      <c r="BC837" s="1">
        <v>0.091353</v>
      </c>
      <c r="BD837" s="1">
        <v>0.158747</v>
      </c>
      <c r="BE837" s="1">
        <v>0.06053</v>
      </c>
      <c r="BF837" s="1">
        <v>0.129589</v>
      </c>
      <c r="BG837" s="1">
        <v>0.063644</v>
      </c>
      <c r="BH837" s="1">
        <v>0.03004</v>
      </c>
      <c r="BI837" s="1">
        <v>0.082655</v>
      </c>
      <c r="BJ837" s="1">
        <v>0.131508</v>
      </c>
      <c r="BK837" s="1">
        <v>0.097502</v>
      </c>
      <c r="BL837" s="1">
        <v>0.294689</v>
      </c>
      <c r="BM837" s="1">
        <v>0.952</v>
      </c>
      <c r="BN837" s="1">
        <v>0.943</v>
      </c>
      <c r="BO837" s="1">
        <v>0.9776</v>
      </c>
      <c r="BP837" s="1">
        <v>0.287</v>
      </c>
      <c r="BQ837" s="1">
        <v>3.1596</v>
      </c>
      <c r="BR837" s="1">
        <v>0.8412</v>
      </c>
      <c r="BS837" s="1">
        <v>0.034</v>
      </c>
      <c r="BT837" s="1">
        <v>0.025</v>
      </c>
      <c r="BU837" s="1">
        <v>0.212</v>
      </c>
      <c r="BV837" s="1">
        <v>0.271</v>
      </c>
      <c r="BW837" s="1">
        <v>0.02</v>
      </c>
      <c r="BX837" s="1">
        <v>0.731</v>
      </c>
      <c r="BY837" s="1">
        <v>0.557</v>
      </c>
      <c r="BZ837" s="1">
        <v>1.288</v>
      </c>
      <c r="CA837" s="1">
        <v>0.707</v>
      </c>
      <c r="CB837" s="1">
        <v>0.851</v>
      </c>
      <c r="CC837" s="1">
        <v>0.777</v>
      </c>
      <c r="CD837" s="1">
        <v>0.805</v>
      </c>
      <c r="CE837" s="1">
        <v>0.832</v>
      </c>
      <c r="CF837" s="1">
        <v>0.977</v>
      </c>
      <c r="CG837" s="1">
        <v>4.242</v>
      </c>
      <c r="CH837" s="1">
        <v>1.0</v>
      </c>
      <c r="CI837" s="1">
        <v>8.9606</v>
      </c>
      <c r="CJ837" s="1">
        <v>0.8455</v>
      </c>
      <c r="CK837" s="1">
        <v>1.0</v>
      </c>
      <c r="CL837" s="1">
        <v>1.0</v>
      </c>
      <c r="CM837" s="1">
        <v>1.0</v>
      </c>
      <c r="CN837" s="1">
        <v>0.0</v>
      </c>
      <c r="CO837" s="1">
        <v>3.0</v>
      </c>
      <c r="CP837" s="1">
        <v>0.0</v>
      </c>
      <c r="CQ837" s="1">
        <v>0.0</v>
      </c>
      <c r="CR837" s="1">
        <v>0.0</v>
      </c>
      <c r="CS837" s="1">
        <v>0.0</v>
      </c>
      <c r="CT837" s="1">
        <v>0.0</v>
      </c>
      <c r="CU837" s="1">
        <v>0.0</v>
      </c>
      <c r="CV837" s="1">
        <v>0.0</v>
      </c>
      <c r="CW837" s="1">
        <v>0.0</v>
      </c>
      <c r="CX837" s="1">
        <v>0.0</v>
      </c>
      <c r="CY837" s="1">
        <v>0.0</v>
      </c>
      <c r="CZ837" s="1">
        <v>0.0</v>
      </c>
      <c r="DA837" s="1">
        <v>1.0</v>
      </c>
      <c r="DB837" s="1">
        <v>1.0</v>
      </c>
      <c r="DC837" s="1">
        <v>4.0</v>
      </c>
      <c r="DD837" s="1" t="s">
        <v>3905</v>
      </c>
      <c r="DE837" s="1">
        <v>0.00116834511584744</v>
      </c>
      <c r="DF837" s="2" t="s">
        <v>3906</v>
      </c>
    </row>
    <row r="838" ht="15.75" customHeight="1">
      <c r="A838" s="1" t="s">
        <v>3907</v>
      </c>
      <c r="B838" s="1">
        <v>29.0</v>
      </c>
      <c r="C838" s="1">
        <v>161.0</v>
      </c>
      <c r="D838" s="1">
        <v>890500.0</v>
      </c>
      <c r="E838" s="1">
        <v>81.894</v>
      </c>
      <c r="F838" s="1">
        <v>29161.0</v>
      </c>
      <c r="G838" s="1">
        <v>2.91618905E10</v>
      </c>
      <c r="H838" s="1" t="s">
        <v>112</v>
      </c>
      <c r="I838" s="1" t="s">
        <v>113</v>
      </c>
      <c r="J838" s="1" t="s">
        <v>3886</v>
      </c>
      <c r="K838" s="1" t="s">
        <v>3908</v>
      </c>
      <c r="L838" s="1">
        <v>3852.0</v>
      </c>
      <c r="M838" s="1">
        <v>4262.0</v>
      </c>
      <c r="N838" s="1">
        <v>323.0</v>
      </c>
      <c r="O838" s="1">
        <v>1747.0</v>
      </c>
      <c r="P838" s="1">
        <v>1890.0</v>
      </c>
      <c r="Q838" s="1">
        <v>112.0</v>
      </c>
      <c r="R838" s="1">
        <v>1514.0</v>
      </c>
      <c r="S838" s="1">
        <v>690.0</v>
      </c>
      <c r="T838" s="1">
        <v>223.0</v>
      </c>
      <c r="U838" s="1">
        <v>82.0</v>
      </c>
      <c r="V838" s="1">
        <v>431.0</v>
      </c>
      <c r="W838" s="1">
        <v>26140.0</v>
      </c>
      <c r="X838" s="1">
        <v>10162.0</v>
      </c>
      <c r="Y838" s="1">
        <v>482.0</v>
      </c>
      <c r="Z838" s="1">
        <v>228.0</v>
      </c>
      <c r="AA838" s="1">
        <v>575.0</v>
      </c>
      <c r="AB838" s="1">
        <v>925.0</v>
      </c>
      <c r="AC838" s="1">
        <v>147.0</v>
      </c>
      <c r="AD838" s="1">
        <v>167.0</v>
      </c>
      <c r="AE838" s="1">
        <v>13.0</v>
      </c>
      <c r="AF838" s="1">
        <v>442.0</v>
      </c>
      <c r="AG838" s="1">
        <v>26.0</v>
      </c>
      <c r="AH838" s="1">
        <v>166.0</v>
      </c>
      <c r="AI838" s="1">
        <v>333.0</v>
      </c>
      <c r="AJ838" s="1">
        <v>116.0</v>
      </c>
      <c r="AK838" s="1">
        <v>10.0</v>
      </c>
      <c r="AL838" s="1">
        <v>115.0</v>
      </c>
      <c r="AM838" s="1">
        <v>113.0</v>
      </c>
      <c r="AN838" s="1">
        <v>71.0</v>
      </c>
      <c r="AO838" s="1">
        <v>0.0</v>
      </c>
      <c r="AP838" s="1">
        <v>0.162391</v>
      </c>
      <c r="AQ838" s="1">
        <v>0.051028</v>
      </c>
      <c r="AR838" s="1">
        <v>0.044711</v>
      </c>
      <c r="AS838" s="1">
        <v>0.234944</v>
      </c>
      <c r="AT838" s="1">
        <v>26140.0</v>
      </c>
      <c r="AU838" s="1">
        <v>10162.0</v>
      </c>
      <c r="AV838" s="1">
        <v>0.173631</v>
      </c>
      <c r="AW838" s="1">
        <v>0.08095</v>
      </c>
      <c r="AX838" s="1">
        <v>0.149273</v>
      </c>
      <c r="AY838" s="1">
        <v>0.240134</v>
      </c>
      <c r="AZ838" s="1">
        <v>0.09709379</v>
      </c>
      <c r="BA838" s="1">
        <v>0.043354</v>
      </c>
      <c r="BB838" s="1">
        <v>0.003194</v>
      </c>
      <c r="BC838" s="1">
        <v>0.108625</v>
      </c>
      <c r="BD838" s="1">
        <v>0.013756</v>
      </c>
      <c r="BE838" s="1">
        <v>0.087826</v>
      </c>
      <c r="BF838" s="1">
        <v>0.17619</v>
      </c>
      <c r="BG838" s="1">
        <v>0.060481</v>
      </c>
      <c r="BH838" s="1">
        <v>0.006101</v>
      </c>
      <c r="BI838" s="1">
        <v>0.070162</v>
      </c>
      <c r="BJ838" s="1">
        <v>0.068944</v>
      </c>
      <c r="BK838" s="1">
        <v>0.04295</v>
      </c>
      <c r="BL838" s="1">
        <v>0.0</v>
      </c>
      <c r="BM838" s="1">
        <v>0.617</v>
      </c>
      <c r="BN838" s="1">
        <v>0.235</v>
      </c>
      <c r="BO838" s="1">
        <v>0.3069</v>
      </c>
      <c r="BP838" s="1">
        <v>0.664</v>
      </c>
      <c r="BQ838" s="1">
        <v>1.8229</v>
      </c>
      <c r="BR838" s="1">
        <v>0.4383</v>
      </c>
      <c r="BS838" s="1">
        <v>0.571</v>
      </c>
      <c r="BT838" s="1">
        <v>0.499</v>
      </c>
      <c r="BU838" s="1">
        <v>0.466</v>
      </c>
      <c r="BV838" s="1">
        <v>1.536</v>
      </c>
      <c r="BW838" s="1">
        <v>0.512</v>
      </c>
      <c r="BX838" s="1">
        <v>0.2</v>
      </c>
      <c r="BY838" s="1">
        <v>0.461</v>
      </c>
      <c r="BZ838" s="1">
        <v>0.661</v>
      </c>
      <c r="CA838" s="1">
        <v>0.311</v>
      </c>
      <c r="CB838" s="1">
        <v>0.417</v>
      </c>
      <c r="CC838" s="1">
        <v>0.86</v>
      </c>
      <c r="CD838" s="1">
        <v>0.36</v>
      </c>
      <c r="CE838" s="1">
        <v>0.62</v>
      </c>
      <c r="CF838" s="1">
        <v>0.0</v>
      </c>
      <c r="CG838" s="1">
        <v>2.257</v>
      </c>
      <c r="CH838" s="1">
        <v>0.441</v>
      </c>
      <c r="CI838" s="1">
        <v>6.2769</v>
      </c>
      <c r="CJ838" s="1">
        <v>0.4238</v>
      </c>
      <c r="CK838" s="1">
        <v>0.0</v>
      </c>
      <c r="CL838" s="1">
        <v>0.0</v>
      </c>
      <c r="CM838" s="1">
        <v>0.0</v>
      </c>
      <c r="CN838" s="1">
        <v>0.0</v>
      </c>
      <c r="CO838" s="1">
        <v>0.0</v>
      </c>
      <c r="CP838" s="1">
        <v>0.0</v>
      </c>
      <c r="CQ838" s="1">
        <v>0.0</v>
      </c>
      <c r="CR838" s="1">
        <v>0.0</v>
      </c>
      <c r="CS838" s="1">
        <v>0.0</v>
      </c>
      <c r="CT838" s="1">
        <v>0.0</v>
      </c>
      <c r="CU838" s="1">
        <v>0.0</v>
      </c>
      <c r="CV838" s="1">
        <v>0.0</v>
      </c>
      <c r="CW838" s="1">
        <v>0.0</v>
      </c>
      <c r="CX838" s="1">
        <v>0.0</v>
      </c>
      <c r="CY838" s="1">
        <v>0.0</v>
      </c>
      <c r="CZ838" s="1">
        <v>0.0</v>
      </c>
      <c r="DA838" s="1">
        <v>0.0</v>
      </c>
      <c r="DB838" s="1">
        <v>0.0</v>
      </c>
      <c r="DC838" s="1">
        <v>0.0</v>
      </c>
      <c r="DD838" s="1" t="s">
        <v>3909</v>
      </c>
      <c r="DE838" s="1">
        <v>0.0218381272533416</v>
      </c>
      <c r="DF838" s="2" t="s">
        <v>3910</v>
      </c>
    </row>
    <row r="839" ht="15.75" customHeight="1">
      <c r="A839" s="1" t="s">
        <v>3911</v>
      </c>
      <c r="B839" s="1">
        <v>29.0</v>
      </c>
      <c r="C839" s="1">
        <v>161.0</v>
      </c>
      <c r="D839" s="1">
        <v>890600.0</v>
      </c>
      <c r="E839" s="1">
        <v>246.878</v>
      </c>
      <c r="F839" s="1">
        <v>29161.0</v>
      </c>
      <c r="G839" s="1">
        <v>2.91618906E10</v>
      </c>
      <c r="H839" s="1" t="s">
        <v>112</v>
      </c>
      <c r="I839" s="1" t="s">
        <v>113</v>
      </c>
      <c r="J839" s="1" t="s">
        <v>3886</v>
      </c>
      <c r="K839" s="1" t="s">
        <v>3912</v>
      </c>
      <c r="L839" s="1">
        <v>3029.0</v>
      </c>
      <c r="M839" s="1">
        <v>2881.0</v>
      </c>
      <c r="N839" s="1">
        <v>267.0</v>
      </c>
      <c r="O839" s="1">
        <v>1447.0</v>
      </c>
      <c r="P839" s="1">
        <v>1477.0</v>
      </c>
      <c r="Q839" s="1">
        <v>114.0</v>
      </c>
      <c r="R839" s="1">
        <v>1217.0</v>
      </c>
      <c r="S839" s="1">
        <v>429.0</v>
      </c>
      <c r="T839" s="1">
        <v>142.0</v>
      </c>
      <c r="U839" s="1">
        <v>134.0</v>
      </c>
      <c r="V839" s="1">
        <v>327.0</v>
      </c>
      <c r="W839" s="1">
        <v>19382.0</v>
      </c>
      <c r="X839" s="1">
        <v>2093.0</v>
      </c>
      <c r="Y839" s="1">
        <v>451.0</v>
      </c>
      <c r="Z839" s="1">
        <v>187.0</v>
      </c>
      <c r="AA839" s="1">
        <v>445.0</v>
      </c>
      <c r="AB839" s="1">
        <v>713.0</v>
      </c>
      <c r="AC839" s="1">
        <v>99.0</v>
      </c>
      <c r="AD839" s="1">
        <v>152.0</v>
      </c>
      <c r="AE839" s="1">
        <v>0.0</v>
      </c>
      <c r="AF839" s="1">
        <v>456.0</v>
      </c>
      <c r="AG839" s="1">
        <v>10.0</v>
      </c>
      <c r="AH839" s="1">
        <v>162.0</v>
      </c>
      <c r="AI839" s="1">
        <v>432.0</v>
      </c>
      <c r="AJ839" s="1">
        <v>96.0</v>
      </c>
      <c r="AK839" s="1">
        <v>55.0</v>
      </c>
      <c r="AL839" s="1">
        <v>47.0</v>
      </c>
      <c r="AM839" s="1">
        <v>41.0</v>
      </c>
      <c r="AN839" s="1">
        <v>27.0</v>
      </c>
      <c r="AO839" s="1">
        <v>0.0</v>
      </c>
      <c r="AP839" s="1">
        <v>0.14979</v>
      </c>
      <c r="AQ839" s="1">
        <v>0.047604</v>
      </c>
      <c r="AR839" s="1">
        <v>0.104037</v>
      </c>
      <c r="AS839" s="1">
        <v>0.253536</v>
      </c>
      <c r="AT839" s="1">
        <v>19382.0</v>
      </c>
      <c r="AU839" s="1">
        <v>2093.0</v>
      </c>
      <c r="AV839" s="1">
        <v>0.208699</v>
      </c>
      <c r="AW839" s="1">
        <v>0.084394</v>
      </c>
      <c r="AX839" s="1">
        <v>0.146913</v>
      </c>
      <c r="AY839" s="1">
        <v>0.235391</v>
      </c>
      <c r="AZ839" s="1">
        <v>0.08134757</v>
      </c>
      <c r="BA839" s="1">
        <v>0.050181</v>
      </c>
      <c r="BB839" s="1">
        <v>0.0</v>
      </c>
      <c r="BC839" s="1">
        <v>0.164324</v>
      </c>
      <c r="BD839" s="1">
        <v>0.00677</v>
      </c>
      <c r="BE839" s="1">
        <v>0.10968</v>
      </c>
      <c r="BF839" s="1">
        <v>0.292484</v>
      </c>
      <c r="BG839" s="1">
        <v>0.06095</v>
      </c>
      <c r="BH839" s="1">
        <v>0.045454</v>
      </c>
      <c r="BI839" s="1">
        <v>0.038558</v>
      </c>
      <c r="BJ839" s="1">
        <v>0.033884</v>
      </c>
      <c r="BK839" s="1">
        <v>0.022037</v>
      </c>
      <c r="BL839" s="1">
        <v>0.0</v>
      </c>
      <c r="BM839" s="1">
        <v>0.578</v>
      </c>
      <c r="BN839" s="1">
        <v>0.756</v>
      </c>
      <c r="BO839" s="1">
        <v>0.6484</v>
      </c>
      <c r="BP839" s="1">
        <v>0.777</v>
      </c>
      <c r="BQ839" s="1">
        <v>2.7594</v>
      </c>
      <c r="BR839" s="1">
        <v>0.7365</v>
      </c>
      <c r="BS839" s="1">
        <v>0.553</v>
      </c>
      <c r="BT839" s="1">
        <v>0.443</v>
      </c>
      <c r="BU839" s="1">
        <v>0.318</v>
      </c>
      <c r="BV839" s="1">
        <v>1.314</v>
      </c>
      <c r="BW839" s="1">
        <v>0.315</v>
      </c>
      <c r="BX839" s="1">
        <v>0.246</v>
      </c>
      <c r="BY839" s="1">
        <v>0.0</v>
      </c>
      <c r="BZ839" s="1">
        <v>0.246</v>
      </c>
      <c r="CA839" s="1">
        <v>0.106</v>
      </c>
      <c r="CB839" s="1">
        <v>0.348</v>
      </c>
      <c r="CC839" s="1">
        <v>0.978</v>
      </c>
      <c r="CD839" s="1">
        <v>0.917</v>
      </c>
      <c r="CE839" s="1">
        <v>0.325</v>
      </c>
      <c r="CF839" s="1">
        <v>0.0</v>
      </c>
      <c r="CG839" s="1">
        <v>2.568</v>
      </c>
      <c r="CH839" s="1">
        <v>0.591</v>
      </c>
      <c r="CI839" s="1">
        <v>6.8874</v>
      </c>
      <c r="CJ839" s="1">
        <v>0.5278</v>
      </c>
      <c r="CK839" s="1">
        <v>0.0</v>
      </c>
      <c r="CL839" s="1">
        <v>0.0</v>
      </c>
      <c r="CM839" s="1">
        <v>0.0</v>
      </c>
      <c r="CN839" s="1">
        <v>0.0</v>
      </c>
      <c r="CO839" s="1">
        <v>0.0</v>
      </c>
      <c r="CP839" s="1">
        <v>0.0</v>
      </c>
      <c r="CQ839" s="1">
        <v>0.0</v>
      </c>
      <c r="CR839" s="1">
        <v>0.0</v>
      </c>
      <c r="CS839" s="1">
        <v>0.0</v>
      </c>
      <c r="CT839" s="1">
        <v>0.0</v>
      </c>
      <c r="CU839" s="1">
        <v>0.0</v>
      </c>
      <c r="CV839" s="1">
        <v>0.0</v>
      </c>
      <c r="CW839" s="1">
        <v>0.0</v>
      </c>
      <c r="CX839" s="1">
        <v>1.0</v>
      </c>
      <c r="CY839" s="1">
        <v>1.0</v>
      </c>
      <c r="CZ839" s="1">
        <v>0.0</v>
      </c>
      <c r="DA839" s="1">
        <v>0.0</v>
      </c>
      <c r="DB839" s="1">
        <v>2.0</v>
      </c>
      <c r="DC839" s="1">
        <v>2.0</v>
      </c>
      <c r="DD839" s="1" t="s">
        <v>3913</v>
      </c>
      <c r="DE839" s="1">
        <v>0.065559384695131</v>
      </c>
      <c r="DF839" s="2" t="s">
        <v>3914</v>
      </c>
    </row>
    <row r="840" ht="15.75" customHeight="1">
      <c r="A840" s="1" t="s">
        <v>3915</v>
      </c>
      <c r="B840" s="1">
        <v>29.0</v>
      </c>
      <c r="C840" s="1">
        <v>161.0</v>
      </c>
      <c r="D840" s="1">
        <v>890700.0</v>
      </c>
      <c r="E840" s="1">
        <v>43.915</v>
      </c>
      <c r="F840" s="1">
        <v>29161.0</v>
      </c>
      <c r="G840" s="1">
        <v>2.91618907E10</v>
      </c>
      <c r="H840" s="1" t="s">
        <v>112</v>
      </c>
      <c r="I840" s="1" t="s">
        <v>113</v>
      </c>
      <c r="J840" s="1" t="s">
        <v>3886</v>
      </c>
      <c r="K840" s="1" t="s">
        <v>3916</v>
      </c>
      <c r="L840" s="1">
        <v>3127.0</v>
      </c>
      <c r="M840" s="1">
        <v>3318.0</v>
      </c>
      <c r="N840" s="1">
        <v>282.0</v>
      </c>
      <c r="O840" s="1">
        <v>1351.0</v>
      </c>
      <c r="P840" s="1">
        <v>1352.0</v>
      </c>
      <c r="Q840" s="1">
        <v>105.0</v>
      </c>
      <c r="R840" s="1">
        <v>1230.0</v>
      </c>
      <c r="S840" s="1">
        <v>356.0</v>
      </c>
      <c r="T840" s="1">
        <v>241.0</v>
      </c>
      <c r="U840" s="1">
        <v>189.0</v>
      </c>
      <c r="V840" s="1">
        <v>369.0</v>
      </c>
      <c r="W840" s="1">
        <v>23387.0</v>
      </c>
      <c r="X840" s="1">
        <v>2287.0</v>
      </c>
      <c r="Y840" s="1">
        <v>323.0</v>
      </c>
      <c r="Z840" s="1">
        <v>278.0</v>
      </c>
      <c r="AA840" s="1">
        <v>424.0</v>
      </c>
      <c r="AB840" s="1">
        <v>778.0</v>
      </c>
      <c r="AC840" s="1">
        <v>128.0</v>
      </c>
      <c r="AD840" s="1">
        <v>244.0</v>
      </c>
      <c r="AE840" s="1">
        <v>0.0</v>
      </c>
      <c r="AF840" s="1">
        <v>456.0</v>
      </c>
      <c r="AG840" s="1">
        <v>0.0</v>
      </c>
      <c r="AH840" s="1">
        <v>197.0</v>
      </c>
      <c r="AI840" s="1">
        <v>304.0</v>
      </c>
      <c r="AJ840" s="1">
        <v>108.0</v>
      </c>
      <c r="AK840" s="1">
        <v>0.0</v>
      </c>
      <c r="AL840" s="1">
        <v>161.0</v>
      </c>
      <c r="AM840" s="1">
        <v>84.0</v>
      </c>
      <c r="AN840" s="1">
        <v>66.0</v>
      </c>
      <c r="AO840" s="1">
        <v>9.0</v>
      </c>
      <c r="AP840" s="1">
        <v>0.107293</v>
      </c>
      <c r="AQ840" s="1">
        <v>0.072059</v>
      </c>
      <c r="AR840" s="1">
        <v>0.105527</v>
      </c>
      <c r="AS840" s="1">
        <v>0.20554</v>
      </c>
      <c r="AT840" s="1">
        <v>23387.0</v>
      </c>
      <c r="AU840" s="1">
        <v>2287.0</v>
      </c>
      <c r="AV840" s="1">
        <v>0.141233</v>
      </c>
      <c r="AW840" s="1">
        <v>0.120856</v>
      </c>
      <c r="AX840" s="1">
        <v>0.135593</v>
      </c>
      <c r="AY840" s="1">
        <v>0.2488</v>
      </c>
      <c r="AZ840" s="1">
        <v>0.10406504</v>
      </c>
      <c r="BA840" s="1">
        <v>0.07803</v>
      </c>
      <c r="BB840" s="1">
        <v>0.0</v>
      </c>
      <c r="BC840" s="1">
        <v>0.148776</v>
      </c>
      <c r="BD840" s="1">
        <v>0.0</v>
      </c>
      <c r="BE840" s="1">
        <v>0.14571</v>
      </c>
      <c r="BF840" s="1">
        <v>0.224852</v>
      </c>
      <c r="BG840" s="1">
        <v>0.077949</v>
      </c>
      <c r="BH840" s="1">
        <v>0.0</v>
      </c>
      <c r="BI840" s="1">
        <v>0.125978</v>
      </c>
      <c r="BJ840" s="1">
        <v>0.065727</v>
      </c>
      <c r="BK840" s="1">
        <v>0.05126</v>
      </c>
      <c r="BL840" s="1">
        <v>0.002878</v>
      </c>
      <c r="BM840" s="1">
        <v>0.402</v>
      </c>
      <c r="BN840" s="1">
        <v>0.764</v>
      </c>
      <c r="BO840" s="1">
        <v>0.4289</v>
      </c>
      <c r="BP840" s="1">
        <v>0.528</v>
      </c>
      <c r="BQ840" s="1">
        <v>2.1229</v>
      </c>
      <c r="BR840" s="1">
        <v>0.5365</v>
      </c>
      <c r="BS840" s="1">
        <v>0.456</v>
      </c>
      <c r="BT840" s="1">
        <v>0.584</v>
      </c>
      <c r="BU840" s="1">
        <v>0.53</v>
      </c>
      <c r="BV840" s="1">
        <v>1.57</v>
      </c>
      <c r="BW840" s="1">
        <v>0.538</v>
      </c>
      <c r="BX840" s="1">
        <v>0.39</v>
      </c>
      <c r="BY840" s="1">
        <v>0.0</v>
      </c>
      <c r="BZ840" s="1">
        <v>0.39</v>
      </c>
      <c r="CA840" s="1">
        <v>0.159</v>
      </c>
      <c r="CB840" s="1">
        <v>0.0</v>
      </c>
      <c r="CC840" s="1">
        <v>0.925</v>
      </c>
      <c r="CD840" s="1">
        <v>0.0</v>
      </c>
      <c r="CE840" s="1">
        <v>0.604</v>
      </c>
      <c r="CF840" s="1">
        <v>0.472</v>
      </c>
      <c r="CG840" s="1">
        <v>2.001</v>
      </c>
      <c r="CH840" s="1">
        <v>0.348</v>
      </c>
      <c r="CI840" s="1">
        <v>6.0839</v>
      </c>
      <c r="CJ840" s="1">
        <v>0.3863</v>
      </c>
      <c r="CK840" s="1">
        <v>0.0</v>
      </c>
      <c r="CL840" s="1">
        <v>0.0</v>
      </c>
      <c r="CM840" s="1">
        <v>0.0</v>
      </c>
      <c r="CN840" s="1">
        <v>0.0</v>
      </c>
      <c r="CO840" s="1">
        <v>0.0</v>
      </c>
      <c r="CP840" s="1">
        <v>0.0</v>
      </c>
      <c r="CQ840" s="1">
        <v>0.0</v>
      </c>
      <c r="CR840" s="1">
        <v>0.0</v>
      </c>
      <c r="CS840" s="1">
        <v>0.0</v>
      </c>
      <c r="CT840" s="1">
        <v>0.0</v>
      </c>
      <c r="CU840" s="1">
        <v>0.0</v>
      </c>
      <c r="CV840" s="1">
        <v>0.0</v>
      </c>
      <c r="CW840" s="1">
        <v>0.0</v>
      </c>
      <c r="CX840" s="1">
        <v>1.0</v>
      </c>
      <c r="CY840" s="1">
        <v>0.0</v>
      </c>
      <c r="CZ840" s="1">
        <v>0.0</v>
      </c>
      <c r="DA840" s="1">
        <v>0.0</v>
      </c>
      <c r="DB840" s="1">
        <v>1.0</v>
      </c>
      <c r="DC840" s="1">
        <v>1.0</v>
      </c>
      <c r="DD840" s="1" t="s">
        <v>3917</v>
      </c>
      <c r="DE840" s="1">
        <v>0.0117243161166527</v>
      </c>
      <c r="DF840" s="2" t="s">
        <v>3918</v>
      </c>
    </row>
    <row r="841" ht="15.75" customHeight="1">
      <c r="A841" s="1" t="s">
        <v>3919</v>
      </c>
      <c r="B841" s="1">
        <v>29.0</v>
      </c>
      <c r="C841" s="1">
        <v>161.0</v>
      </c>
      <c r="D841" s="1">
        <v>890900.0</v>
      </c>
      <c r="E841" s="1">
        <v>1.967</v>
      </c>
      <c r="F841" s="1">
        <v>29161.0</v>
      </c>
      <c r="G841" s="1">
        <v>2.91618909E10</v>
      </c>
      <c r="H841" s="1" t="s">
        <v>112</v>
      </c>
      <c r="I841" s="1" t="s">
        <v>113</v>
      </c>
      <c r="J841" s="1" t="s">
        <v>3886</v>
      </c>
      <c r="K841" s="1" t="s">
        <v>3920</v>
      </c>
      <c r="L841" s="1">
        <v>4307.0</v>
      </c>
      <c r="M841" s="1">
        <v>4127.0</v>
      </c>
      <c r="N841" s="1">
        <v>377.0</v>
      </c>
      <c r="O841" s="1">
        <v>1834.0</v>
      </c>
      <c r="P841" s="1">
        <v>1740.0</v>
      </c>
      <c r="Q841" s="1">
        <v>130.0</v>
      </c>
      <c r="R841" s="1">
        <v>1706.0</v>
      </c>
      <c r="S841" s="1">
        <v>509.0</v>
      </c>
      <c r="T841" s="1">
        <v>263.0</v>
      </c>
      <c r="U841" s="1">
        <v>153.0</v>
      </c>
      <c r="V841" s="1">
        <v>404.0</v>
      </c>
      <c r="W841" s="1">
        <v>26273.0</v>
      </c>
      <c r="X841" s="1">
        <v>4660.0</v>
      </c>
      <c r="Y841" s="1">
        <v>186.0</v>
      </c>
      <c r="Z841" s="1">
        <v>351.0</v>
      </c>
      <c r="AA841" s="1">
        <v>579.0</v>
      </c>
      <c r="AB841" s="1">
        <v>1146.0</v>
      </c>
      <c r="AC841" s="1">
        <v>192.0</v>
      </c>
      <c r="AD841" s="1">
        <v>496.0</v>
      </c>
      <c r="AE841" s="1">
        <v>0.0</v>
      </c>
      <c r="AF841" s="1">
        <v>456.0</v>
      </c>
      <c r="AG841" s="1">
        <v>0.0</v>
      </c>
      <c r="AH841" s="1">
        <v>197.0</v>
      </c>
      <c r="AI841" s="1">
        <v>0.0</v>
      </c>
      <c r="AJ841" s="1">
        <v>114.0</v>
      </c>
      <c r="AK841" s="1">
        <v>10.0</v>
      </c>
      <c r="AL841" s="1">
        <v>115.0</v>
      </c>
      <c r="AM841" s="1">
        <v>90.0</v>
      </c>
      <c r="AN841" s="1">
        <v>54.0</v>
      </c>
      <c r="AO841" s="1">
        <v>31.0</v>
      </c>
      <c r="AP841" s="1">
        <v>0.124389</v>
      </c>
      <c r="AQ841" s="1">
        <v>0.063263</v>
      </c>
      <c r="AR841" s="1">
        <v>0.082926</v>
      </c>
      <c r="AS841" s="1">
        <v>0.218646</v>
      </c>
      <c r="AT841" s="1">
        <v>26273.0</v>
      </c>
      <c r="AU841" s="1">
        <v>4660.0</v>
      </c>
      <c r="AV841" s="1">
        <v>0.076637</v>
      </c>
      <c r="AW841" s="1">
        <v>0.144407</v>
      </c>
      <c r="AX841" s="1">
        <v>0.134432</v>
      </c>
      <c r="AY841" s="1">
        <v>0.266078</v>
      </c>
      <c r="AZ841" s="1">
        <v>0.11254396</v>
      </c>
      <c r="BA841" s="1">
        <v>0.115161</v>
      </c>
      <c r="BB841" s="1">
        <v>0.0</v>
      </c>
      <c r="BC841" s="1">
        <v>0.120158</v>
      </c>
      <c r="BD841" s="1">
        <v>0.0</v>
      </c>
      <c r="BE841" s="1">
        <v>0.113218</v>
      </c>
      <c r="BF841" s="1">
        <v>0.0</v>
      </c>
      <c r="BG841" s="1">
        <v>0.065517</v>
      </c>
      <c r="BH841" s="1">
        <v>0.006501</v>
      </c>
      <c r="BI841" s="1">
        <v>0.074769</v>
      </c>
      <c r="BJ841" s="1">
        <v>0.058517</v>
      </c>
      <c r="BK841" s="1">
        <v>0.034686</v>
      </c>
      <c r="BL841" s="1">
        <v>0.007197</v>
      </c>
      <c r="BM841" s="1">
        <v>0.472</v>
      </c>
      <c r="BN841" s="1">
        <v>0.638</v>
      </c>
      <c r="BO841" s="1">
        <v>0.3018</v>
      </c>
      <c r="BP841" s="1">
        <v>0.232</v>
      </c>
      <c r="BQ841" s="1">
        <v>1.6438</v>
      </c>
      <c r="BR841" s="1">
        <v>0.3877</v>
      </c>
      <c r="BS841" s="1">
        <v>0.452</v>
      </c>
      <c r="BT841" s="1">
        <v>0.761</v>
      </c>
      <c r="BU841" s="1">
        <v>0.609</v>
      </c>
      <c r="BV841" s="1">
        <v>1.822</v>
      </c>
      <c r="BW841" s="1">
        <v>0.739</v>
      </c>
      <c r="BX841" s="1">
        <v>0.524</v>
      </c>
      <c r="BY841" s="1">
        <v>0.0</v>
      </c>
      <c r="BZ841" s="1">
        <v>0.524</v>
      </c>
      <c r="CA841" s="1">
        <v>0.225</v>
      </c>
      <c r="CB841" s="1">
        <v>0.0</v>
      </c>
      <c r="CC841" s="1">
        <v>0.0</v>
      </c>
      <c r="CD841" s="1">
        <v>0.374</v>
      </c>
      <c r="CE841" s="1">
        <v>0.558</v>
      </c>
      <c r="CF841" s="1">
        <v>0.541</v>
      </c>
      <c r="CG841" s="1">
        <v>1.473</v>
      </c>
      <c r="CH841" s="1">
        <v>0.166</v>
      </c>
      <c r="CI841" s="1">
        <v>5.4628</v>
      </c>
      <c r="CJ841" s="1">
        <v>0.2744</v>
      </c>
      <c r="CK841" s="1">
        <v>0.0</v>
      </c>
      <c r="CL841" s="1">
        <v>0.0</v>
      </c>
      <c r="CM841" s="1">
        <v>0.0</v>
      </c>
      <c r="CN841" s="1">
        <v>0.0</v>
      </c>
      <c r="CO841" s="1">
        <v>0.0</v>
      </c>
      <c r="CP841" s="1">
        <v>0.0</v>
      </c>
      <c r="CQ841" s="1">
        <v>0.0</v>
      </c>
      <c r="CR841" s="1">
        <v>0.0</v>
      </c>
      <c r="CS841" s="1">
        <v>0.0</v>
      </c>
      <c r="CT841" s="1">
        <v>0.0</v>
      </c>
      <c r="CU841" s="1">
        <v>0.0</v>
      </c>
      <c r="CV841" s="1">
        <v>0.0</v>
      </c>
      <c r="CW841" s="1">
        <v>0.0</v>
      </c>
      <c r="CX841" s="1">
        <v>0.0</v>
      </c>
      <c r="CY841" s="1">
        <v>0.0</v>
      </c>
      <c r="CZ841" s="1">
        <v>0.0</v>
      </c>
      <c r="DA841" s="1">
        <v>0.0</v>
      </c>
      <c r="DB841" s="1">
        <v>0.0</v>
      </c>
      <c r="DC841" s="1">
        <v>0.0</v>
      </c>
      <c r="DD841" s="1" t="s">
        <v>3921</v>
      </c>
      <c r="DE841" s="1">
        <v>5.26053461933655E-4</v>
      </c>
      <c r="DF841" s="2" t="s">
        <v>3922</v>
      </c>
    </row>
    <row r="842" ht="15.75" customHeight="1">
      <c r="A842" s="1" t="s">
        <v>3923</v>
      </c>
      <c r="B842" s="1">
        <v>29.0</v>
      </c>
      <c r="C842" s="1">
        <v>161.0</v>
      </c>
      <c r="D842" s="1">
        <v>891000.0</v>
      </c>
      <c r="E842" s="1">
        <v>169.597</v>
      </c>
      <c r="F842" s="1">
        <v>29161.0</v>
      </c>
      <c r="G842" s="1">
        <v>2.9161891E10</v>
      </c>
      <c r="H842" s="1" t="s">
        <v>112</v>
      </c>
      <c r="I842" s="1" t="s">
        <v>113</v>
      </c>
      <c r="J842" s="1" t="s">
        <v>3886</v>
      </c>
      <c r="K842" s="1" t="s">
        <v>3924</v>
      </c>
      <c r="L842" s="1">
        <v>5409.0</v>
      </c>
      <c r="M842" s="1">
        <v>5670.0</v>
      </c>
      <c r="N842" s="1">
        <v>626.0</v>
      </c>
      <c r="O842" s="1">
        <v>2318.0</v>
      </c>
      <c r="P842" s="1">
        <v>2323.0</v>
      </c>
      <c r="Q842" s="1">
        <v>177.0</v>
      </c>
      <c r="R842" s="1">
        <v>2073.0</v>
      </c>
      <c r="S842" s="1">
        <v>644.0</v>
      </c>
      <c r="T842" s="1">
        <v>471.0</v>
      </c>
      <c r="U842" s="1">
        <v>57.0</v>
      </c>
      <c r="V842" s="1">
        <v>445.0</v>
      </c>
      <c r="W842" s="1">
        <v>27733.0</v>
      </c>
      <c r="X842" s="1">
        <v>5232.0</v>
      </c>
      <c r="Y842" s="1">
        <v>470.0</v>
      </c>
      <c r="Z842" s="1">
        <v>222.0</v>
      </c>
      <c r="AA842" s="1">
        <v>868.0</v>
      </c>
      <c r="AB842" s="1">
        <v>1346.0</v>
      </c>
      <c r="AC842" s="1">
        <v>139.0</v>
      </c>
      <c r="AD842" s="1">
        <v>413.0</v>
      </c>
      <c r="AE842" s="1">
        <v>15.0</v>
      </c>
      <c r="AF842" s="1">
        <v>442.0</v>
      </c>
      <c r="AG842" s="1">
        <v>0.0</v>
      </c>
      <c r="AH842" s="1">
        <v>197.0</v>
      </c>
      <c r="AI842" s="1">
        <v>329.0</v>
      </c>
      <c r="AJ842" s="1">
        <v>141.0</v>
      </c>
      <c r="AK842" s="1">
        <v>10.0</v>
      </c>
      <c r="AL842" s="1">
        <v>115.0</v>
      </c>
      <c r="AM842" s="1">
        <v>11.0</v>
      </c>
      <c r="AN842" s="1">
        <v>16.0</v>
      </c>
      <c r="AO842" s="1">
        <v>0.0</v>
      </c>
      <c r="AP842" s="1">
        <v>0.117754</v>
      </c>
      <c r="AQ842" s="1">
        <v>0.085224</v>
      </c>
      <c r="AR842" s="1">
        <v>0.022974</v>
      </c>
      <c r="AS842" s="1">
        <v>0.179338</v>
      </c>
      <c r="AT842" s="1">
        <v>27733.0</v>
      </c>
      <c r="AU842" s="1">
        <v>5232.0</v>
      </c>
      <c r="AV842" s="1">
        <v>0.126718</v>
      </c>
      <c r="AW842" s="1">
        <v>0.058612</v>
      </c>
      <c r="AX842" s="1">
        <v>0.160473</v>
      </c>
      <c r="AY842" s="1">
        <v>0.248844</v>
      </c>
      <c r="AZ842" s="1">
        <v>0.06705258</v>
      </c>
      <c r="BA842" s="1">
        <v>0.076354</v>
      </c>
      <c r="BB842" s="1">
        <v>0.002735</v>
      </c>
      <c r="BC842" s="1">
        <v>0.080612</v>
      </c>
      <c r="BD842" s="1">
        <v>0.0</v>
      </c>
      <c r="BE842" s="1">
        <v>0.084804</v>
      </c>
      <c r="BF842" s="1">
        <v>0.141627</v>
      </c>
      <c r="BG842" s="1">
        <v>0.05973</v>
      </c>
      <c r="BH842" s="1">
        <v>0.004873</v>
      </c>
      <c r="BI842" s="1">
        <v>0.05604</v>
      </c>
      <c r="BJ842" s="1">
        <v>0.00536</v>
      </c>
      <c r="BK842" s="1">
        <v>0.00778</v>
      </c>
      <c r="BL842" s="1">
        <v>0.0</v>
      </c>
      <c r="BM842" s="1">
        <v>0.443</v>
      </c>
      <c r="BN842" s="1">
        <v>0.042</v>
      </c>
      <c r="BO842" s="1">
        <v>0.2614</v>
      </c>
      <c r="BP842" s="1">
        <v>0.457</v>
      </c>
      <c r="BQ842" s="1">
        <v>1.2034</v>
      </c>
      <c r="BR842" s="1">
        <v>0.2578</v>
      </c>
      <c r="BS842" s="1">
        <v>0.669</v>
      </c>
      <c r="BT842" s="1">
        <v>0.585</v>
      </c>
      <c r="BU842" s="1">
        <v>0.189</v>
      </c>
      <c r="BV842" s="1">
        <v>1.443</v>
      </c>
      <c r="BW842" s="1">
        <v>0.431</v>
      </c>
      <c r="BX842" s="1">
        <v>0.384</v>
      </c>
      <c r="BY842" s="1">
        <v>0.431</v>
      </c>
      <c r="BZ842" s="1">
        <v>0.815</v>
      </c>
      <c r="CA842" s="1">
        <v>0.408</v>
      </c>
      <c r="CB842" s="1">
        <v>0.0</v>
      </c>
      <c r="CC842" s="1">
        <v>0.802</v>
      </c>
      <c r="CD842" s="1">
        <v>0.333</v>
      </c>
      <c r="CE842" s="1">
        <v>0.051</v>
      </c>
      <c r="CF842" s="1">
        <v>0.0</v>
      </c>
      <c r="CG842" s="1">
        <v>1.186</v>
      </c>
      <c r="CH842" s="1">
        <v>0.108</v>
      </c>
      <c r="CI842" s="1">
        <v>4.6474</v>
      </c>
      <c r="CJ842" s="1">
        <v>0.1502</v>
      </c>
      <c r="CK842" s="1">
        <v>0.0</v>
      </c>
      <c r="CL842" s="1">
        <v>0.0</v>
      </c>
      <c r="CM842" s="1">
        <v>0.0</v>
      </c>
      <c r="CN842" s="1">
        <v>0.0</v>
      </c>
      <c r="CO842" s="1">
        <v>0.0</v>
      </c>
      <c r="CP842" s="1">
        <v>0.0</v>
      </c>
      <c r="CQ842" s="1">
        <v>0.0</v>
      </c>
      <c r="CR842" s="1">
        <v>0.0</v>
      </c>
      <c r="CS842" s="1">
        <v>0.0</v>
      </c>
      <c r="CT842" s="1">
        <v>0.0</v>
      </c>
      <c r="CU842" s="1">
        <v>0.0</v>
      </c>
      <c r="CV842" s="1">
        <v>0.0</v>
      </c>
      <c r="CW842" s="1">
        <v>0.0</v>
      </c>
      <c r="CX842" s="1">
        <v>0.0</v>
      </c>
      <c r="CY842" s="1">
        <v>0.0</v>
      </c>
      <c r="CZ842" s="1">
        <v>0.0</v>
      </c>
      <c r="DA842" s="1">
        <v>0.0</v>
      </c>
      <c r="DB842" s="1">
        <v>0.0</v>
      </c>
      <c r="DC842" s="1">
        <v>0.0</v>
      </c>
      <c r="DD842" s="1" t="s">
        <v>3925</v>
      </c>
      <c r="DE842" s="1">
        <v>0.0451042196626328</v>
      </c>
      <c r="DF842" s="2" t="s">
        <v>3926</v>
      </c>
    </row>
    <row r="843" ht="15.75" customHeight="1">
      <c r="A843" s="1" t="s">
        <v>3927</v>
      </c>
      <c r="B843" s="1">
        <v>29.0</v>
      </c>
      <c r="C843" s="1">
        <v>163.0</v>
      </c>
      <c r="D843" s="1">
        <v>460200.0</v>
      </c>
      <c r="E843" s="1">
        <v>203.637</v>
      </c>
      <c r="F843" s="1">
        <v>29163.0</v>
      </c>
      <c r="G843" s="1">
        <v>2.91634602E10</v>
      </c>
      <c r="H843" s="1" t="s">
        <v>112</v>
      </c>
      <c r="I843" s="1" t="s">
        <v>113</v>
      </c>
      <c r="J843" s="1" t="s">
        <v>3928</v>
      </c>
      <c r="K843" s="1" t="s">
        <v>3929</v>
      </c>
      <c r="L843" s="1">
        <v>3261.0</v>
      </c>
      <c r="M843" s="1">
        <v>2665.0</v>
      </c>
      <c r="N843" s="1">
        <v>268.0</v>
      </c>
      <c r="O843" s="1">
        <v>1614.0</v>
      </c>
      <c r="P843" s="1">
        <v>1285.0</v>
      </c>
      <c r="Q843" s="1">
        <v>110.0</v>
      </c>
      <c r="R843" s="1">
        <v>1326.0</v>
      </c>
      <c r="S843" s="1">
        <v>274.0</v>
      </c>
      <c r="T843" s="1">
        <v>110.0</v>
      </c>
      <c r="U843" s="1">
        <v>63.0</v>
      </c>
      <c r="V843" s="1">
        <v>396.0</v>
      </c>
      <c r="W843" s="1">
        <v>26252.0</v>
      </c>
      <c r="X843" s="1">
        <v>4689.0</v>
      </c>
      <c r="Y843" s="1">
        <v>458.0</v>
      </c>
      <c r="Z843" s="1">
        <v>148.0</v>
      </c>
      <c r="AA843" s="1">
        <v>589.0</v>
      </c>
      <c r="AB843" s="1">
        <v>699.0</v>
      </c>
      <c r="AC843" s="1">
        <v>119.0</v>
      </c>
      <c r="AD843" s="1">
        <v>130.0</v>
      </c>
      <c r="AE843" s="1">
        <v>2.0</v>
      </c>
      <c r="AF843" s="1">
        <v>442.0</v>
      </c>
      <c r="AG843" s="1">
        <v>0.0</v>
      </c>
      <c r="AH843" s="1">
        <v>197.0</v>
      </c>
      <c r="AI843" s="1">
        <v>216.0</v>
      </c>
      <c r="AJ843" s="1">
        <v>66.0</v>
      </c>
      <c r="AK843" s="1">
        <v>0.0</v>
      </c>
      <c r="AL843" s="1">
        <v>161.0</v>
      </c>
      <c r="AM843" s="1">
        <v>22.0</v>
      </c>
      <c r="AN843" s="1">
        <v>21.0</v>
      </c>
      <c r="AO843" s="1">
        <v>0.0</v>
      </c>
      <c r="AP843" s="1">
        <v>0.103866</v>
      </c>
      <c r="AQ843" s="1">
        <v>0.040519</v>
      </c>
      <c r="AR843" s="1">
        <v>0.046875</v>
      </c>
      <c r="AS843" s="1">
        <v>0.294585</v>
      </c>
      <c r="AT843" s="1">
        <v>26252.0</v>
      </c>
      <c r="AU843" s="1">
        <v>4689.0</v>
      </c>
      <c r="AV843" s="1">
        <v>0.232841</v>
      </c>
      <c r="AW843" s="1">
        <v>0.071419</v>
      </c>
      <c r="AX843" s="1">
        <v>0.180619</v>
      </c>
      <c r="AY843" s="1">
        <v>0.214351</v>
      </c>
      <c r="AZ843" s="1">
        <v>0.08974358</v>
      </c>
      <c r="BA843" s="1">
        <v>0.039865</v>
      </c>
      <c r="BB843" s="1">
        <v>7.89E-4</v>
      </c>
      <c r="BC843" s="1">
        <v>0.174427</v>
      </c>
      <c r="BD843" s="1">
        <v>0.0</v>
      </c>
      <c r="BE843" s="1">
        <v>0.153307</v>
      </c>
      <c r="BF843" s="1">
        <v>0.168093</v>
      </c>
      <c r="BG843" s="1">
        <v>0.049305</v>
      </c>
      <c r="BH843" s="1">
        <v>0.0</v>
      </c>
      <c r="BI843" s="1">
        <v>0.148661</v>
      </c>
      <c r="BJ843" s="1">
        <v>0.020313</v>
      </c>
      <c r="BK843" s="1">
        <v>0.01928</v>
      </c>
      <c r="BL843" s="1">
        <v>0.0</v>
      </c>
      <c r="BM843" s="1">
        <v>0.385</v>
      </c>
      <c r="BN843" s="1">
        <v>0.261</v>
      </c>
      <c r="BO843" s="1">
        <v>0.304</v>
      </c>
      <c r="BP843" s="1">
        <v>0.83</v>
      </c>
      <c r="BQ843" s="1">
        <v>1.78</v>
      </c>
      <c r="BR843" s="1">
        <v>0.4238</v>
      </c>
      <c r="BS843" s="1">
        <v>0.793</v>
      </c>
      <c r="BT843" s="1">
        <v>0.26</v>
      </c>
      <c r="BU843" s="1">
        <v>0.396</v>
      </c>
      <c r="BV843" s="1">
        <v>1.449</v>
      </c>
      <c r="BW843" s="1">
        <v>0.437</v>
      </c>
      <c r="BX843" s="1">
        <v>0.163</v>
      </c>
      <c r="BY843" s="1">
        <v>0.327</v>
      </c>
      <c r="BZ843" s="1">
        <v>0.49</v>
      </c>
      <c r="CA843" s="1">
        <v>0.204</v>
      </c>
      <c r="CB843" s="1">
        <v>0.0</v>
      </c>
      <c r="CC843" s="1">
        <v>0.849</v>
      </c>
      <c r="CD843" s="1">
        <v>0.0</v>
      </c>
      <c r="CE843" s="1">
        <v>0.186</v>
      </c>
      <c r="CF843" s="1">
        <v>0.0</v>
      </c>
      <c r="CG843" s="1">
        <v>1.035</v>
      </c>
      <c r="CH843" s="1">
        <v>0.082</v>
      </c>
      <c r="CI843" s="1">
        <v>4.754</v>
      </c>
      <c r="CJ843" s="1">
        <v>0.169</v>
      </c>
      <c r="CK843" s="1">
        <v>0.0</v>
      </c>
      <c r="CL843" s="1">
        <v>0.0</v>
      </c>
      <c r="CM843" s="1">
        <v>0.0</v>
      </c>
      <c r="CN843" s="1">
        <v>0.0</v>
      </c>
      <c r="CO843" s="1">
        <v>0.0</v>
      </c>
      <c r="CP843" s="1">
        <v>0.0</v>
      </c>
      <c r="CQ843" s="1">
        <v>0.0</v>
      </c>
      <c r="CR843" s="1">
        <v>0.0</v>
      </c>
      <c r="CS843" s="1">
        <v>0.0</v>
      </c>
      <c r="CT843" s="1">
        <v>0.0</v>
      </c>
      <c r="CU843" s="1">
        <v>0.0</v>
      </c>
      <c r="CV843" s="1">
        <v>0.0</v>
      </c>
      <c r="CW843" s="1">
        <v>0.0</v>
      </c>
      <c r="CX843" s="1">
        <v>0.0</v>
      </c>
      <c r="CY843" s="1">
        <v>0.0</v>
      </c>
      <c r="CZ843" s="1">
        <v>0.0</v>
      </c>
      <c r="DA843" s="1">
        <v>0.0</v>
      </c>
      <c r="DB843" s="1">
        <v>0.0</v>
      </c>
      <c r="DC843" s="1">
        <v>0.0</v>
      </c>
      <c r="DD843" s="1" t="s">
        <v>3930</v>
      </c>
      <c r="DE843" s="1">
        <v>0.057501241188031</v>
      </c>
      <c r="DF843" s="2" t="s">
        <v>3931</v>
      </c>
    </row>
    <row r="844" ht="15.75" customHeight="1">
      <c r="A844" s="1" t="s">
        <v>3932</v>
      </c>
      <c r="B844" s="1">
        <v>29.0</v>
      </c>
      <c r="C844" s="1">
        <v>163.0</v>
      </c>
      <c r="D844" s="1">
        <v>460100.0</v>
      </c>
      <c r="E844" s="1">
        <v>3.688</v>
      </c>
      <c r="F844" s="1">
        <v>29163.0</v>
      </c>
      <c r="G844" s="1">
        <v>2.91634601E10</v>
      </c>
      <c r="H844" s="1" t="s">
        <v>112</v>
      </c>
      <c r="I844" s="1" t="s">
        <v>113</v>
      </c>
      <c r="J844" s="1" t="s">
        <v>3928</v>
      </c>
      <c r="K844" s="1" t="s">
        <v>3933</v>
      </c>
      <c r="L844" s="1">
        <v>3237.0</v>
      </c>
      <c r="M844" s="1">
        <v>3323.0</v>
      </c>
      <c r="N844" s="1">
        <v>159.0</v>
      </c>
      <c r="O844" s="1">
        <v>1661.0</v>
      </c>
      <c r="P844" s="1">
        <v>1859.0</v>
      </c>
      <c r="Q844" s="1">
        <v>171.0</v>
      </c>
      <c r="R844" s="1">
        <v>1364.0</v>
      </c>
      <c r="S844" s="1">
        <v>584.0</v>
      </c>
      <c r="T844" s="1">
        <v>244.0</v>
      </c>
      <c r="U844" s="1">
        <v>237.0</v>
      </c>
      <c r="V844" s="1">
        <v>391.0</v>
      </c>
      <c r="W844" s="1">
        <v>19625.0</v>
      </c>
      <c r="X844" s="1">
        <v>2909.0</v>
      </c>
      <c r="Y844" s="1">
        <v>452.0</v>
      </c>
      <c r="Z844" s="1">
        <v>214.0</v>
      </c>
      <c r="AA844" s="1">
        <v>669.0</v>
      </c>
      <c r="AB844" s="1">
        <v>776.0</v>
      </c>
      <c r="AC844" s="1">
        <v>182.0</v>
      </c>
      <c r="AD844" s="1">
        <v>354.0</v>
      </c>
      <c r="AE844" s="1">
        <v>96.0</v>
      </c>
      <c r="AF844" s="1">
        <v>431.0</v>
      </c>
      <c r="AG844" s="1">
        <v>70.0</v>
      </c>
      <c r="AH844" s="1">
        <v>125.0</v>
      </c>
      <c r="AI844" s="1">
        <v>201.0</v>
      </c>
      <c r="AJ844" s="1">
        <v>80.0</v>
      </c>
      <c r="AK844" s="1">
        <v>38.0</v>
      </c>
      <c r="AL844" s="1">
        <v>119.0</v>
      </c>
      <c r="AM844" s="1">
        <v>102.0</v>
      </c>
      <c r="AN844" s="1">
        <v>71.0</v>
      </c>
      <c r="AO844" s="1">
        <v>46.0</v>
      </c>
      <c r="AP844" s="1">
        <v>0.176115</v>
      </c>
      <c r="AQ844" s="1">
        <v>0.07309</v>
      </c>
      <c r="AR844" s="1">
        <v>0.154901</v>
      </c>
      <c r="AS844" s="1">
        <v>0.254196</v>
      </c>
      <c r="AT844" s="1">
        <v>19625.0</v>
      </c>
      <c r="AU844" s="1">
        <v>2909.0</v>
      </c>
      <c r="AV844" s="1">
        <v>0.19635</v>
      </c>
      <c r="AW844" s="1">
        <v>0.091569</v>
      </c>
      <c r="AX844" s="1">
        <v>0.206672</v>
      </c>
      <c r="AY844" s="1">
        <v>0.239728</v>
      </c>
      <c r="AZ844" s="1">
        <v>0.13343108</v>
      </c>
      <c r="BA844" s="1">
        <v>0.10936</v>
      </c>
      <c r="BB844" s="1">
        <v>0.030798</v>
      </c>
      <c r="BC844" s="1">
        <v>0.138264</v>
      </c>
      <c r="BD844" s="1">
        <v>0.037654</v>
      </c>
      <c r="BE844" s="1">
        <v>0.067151</v>
      </c>
      <c r="BF844" s="1">
        <v>0.108122</v>
      </c>
      <c r="BG844" s="1">
        <v>0.041868</v>
      </c>
      <c r="BH844" s="1">
        <v>0.024203</v>
      </c>
      <c r="BI844" s="1">
        <v>0.075766</v>
      </c>
      <c r="BJ844" s="1">
        <v>0.064968</v>
      </c>
      <c r="BK844" s="1">
        <v>0.044866</v>
      </c>
      <c r="BL844" s="1">
        <v>0.01421</v>
      </c>
      <c r="BM844" s="1">
        <v>0.668</v>
      </c>
      <c r="BN844" s="1">
        <v>0.906</v>
      </c>
      <c r="BO844" s="1">
        <v>0.6375</v>
      </c>
      <c r="BP844" s="1">
        <v>0.741</v>
      </c>
      <c r="BQ844" s="1">
        <v>2.9525</v>
      </c>
      <c r="BR844" s="1">
        <v>0.7957</v>
      </c>
      <c r="BS844" s="1">
        <v>0.901</v>
      </c>
      <c r="BT844" s="1">
        <v>0.495</v>
      </c>
      <c r="BU844" s="1">
        <v>0.733</v>
      </c>
      <c r="BV844" s="1">
        <v>2.129</v>
      </c>
      <c r="BW844" s="1">
        <v>0.936</v>
      </c>
      <c r="BX844" s="1">
        <v>0.501</v>
      </c>
      <c r="BY844" s="1">
        <v>0.918</v>
      </c>
      <c r="BZ844" s="1">
        <v>1.419</v>
      </c>
      <c r="CA844" s="1">
        <v>0.773</v>
      </c>
      <c r="CB844" s="1">
        <v>0.597</v>
      </c>
      <c r="CC844" s="1">
        <v>0.734</v>
      </c>
      <c r="CD844" s="1">
        <v>0.746</v>
      </c>
      <c r="CE844" s="1">
        <v>0.597</v>
      </c>
      <c r="CF844" s="1">
        <v>0.638</v>
      </c>
      <c r="CG844" s="1">
        <v>3.312</v>
      </c>
      <c r="CH844" s="1">
        <v>0.875</v>
      </c>
      <c r="CI844" s="1">
        <v>9.8125</v>
      </c>
      <c r="CJ844" s="1">
        <v>0.9357</v>
      </c>
      <c r="CK844" s="1">
        <v>0.0</v>
      </c>
      <c r="CL844" s="1">
        <v>1.0</v>
      </c>
      <c r="CM844" s="1">
        <v>0.0</v>
      </c>
      <c r="CN844" s="1">
        <v>0.0</v>
      </c>
      <c r="CO844" s="1">
        <v>1.0</v>
      </c>
      <c r="CP844" s="1">
        <v>1.0</v>
      </c>
      <c r="CQ844" s="1">
        <v>0.0</v>
      </c>
      <c r="CR844" s="1">
        <v>0.0</v>
      </c>
      <c r="CS844" s="1">
        <v>1.0</v>
      </c>
      <c r="CT844" s="1">
        <v>0.0</v>
      </c>
      <c r="CU844" s="1">
        <v>1.0</v>
      </c>
      <c r="CV844" s="1">
        <v>1.0</v>
      </c>
      <c r="CW844" s="1">
        <v>0.0</v>
      </c>
      <c r="CX844" s="1">
        <v>0.0</v>
      </c>
      <c r="CY844" s="1">
        <v>0.0</v>
      </c>
      <c r="CZ844" s="1">
        <v>0.0</v>
      </c>
      <c r="DA844" s="1">
        <v>0.0</v>
      </c>
      <c r="DB844" s="1">
        <v>0.0</v>
      </c>
      <c r="DC844" s="1">
        <v>3.0</v>
      </c>
      <c r="DD844" s="1" t="s">
        <v>3934</v>
      </c>
      <c r="DE844" s="1">
        <v>0.0010402015151734</v>
      </c>
      <c r="DF844" s="2" t="s">
        <v>3935</v>
      </c>
    </row>
    <row r="845" ht="15.75" customHeight="1">
      <c r="A845" s="1" t="s">
        <v>3936</v>
      </c>
      <c r="B845" s="1">
        <v>29.0</v>
      </c>
      <c r="C845" s="1">
        <v>163.0</v>
      </c>
      <c r="D845" s="1">
        <v>460300.0</v>
      </c>
      <c r="E845" s="1">
        <v>310.071</v>
      </c>
      <c r="F845" s="1">
        <v>29163.0</v>
      </c>
      <c r="G845" s="1">
        <v>2.91634603E10</v>
      </c>
      <c r="H845" s="1" t="s">
        <v>112</v>
      </c>
      <c r="I845" s="1" t="s">
        <v>113</v>
      </c>
      <c r="J845" s="1" t="s">
        <v>3928</v>
      </c>
      <c r="K845" s="1" t="s">
        <v>3937</v>
      </c>
      <c r="L845" s="1">
        <v>5984.0</v>
      </c>
      <c r="M845" s="1">
        <v>5590.0</v>
      </c>
      <c r="N845" s="1">
        <v>288.0</v>
      </c>
      <c r="O845" s="1">
        <v>1701.0</v>
      </c>
      <c r="P845" s="1">
        <v>1392.0</v>
      </c>
      <c r="Q845" s="1">
        <v>96.0</v>
      </c>
      <c r="R845" s="1">
        <v>1466.0</v>
      </c>
      <c r="S845" s="1">
        <v>379.0</v>
      </c>
      <c r="T845" s="1">
        <v>298.0</v>
      </c>
      <c r="U845" s="1">
        <v>86.0</v>
      </c>
      <c r="V845" s="1">
        <v>398.0</v>
      </c>
      <c r="W845" s="1">
        <v>12537.0</v>
      </c>
      <c r="X845" s="1">
        <v>1492.0</v>
      </c>
      <c r="Y845" s="1">
        <v>1124.0</v>
      </c>
      <c r="Z845" s="1">
        <v>250.0</v>
      </c>
      <c r="AA845" s="1">
        <v>658.0</v>
      </c>
      <c r="AB845" s="1">
        <v>1109.0</v>
      </c>
      <c r="AC845" s="1">
        <v>92.0</v>
      </c>
      <c r="AD845" s="1">
        <v>959.0</v>
      </c>
      <c r="AE845" s="1">
        <v>30.0</v>
      </c>
      <c r="AF845" s="1">
        <v>412.0</v>
      </c>
      <c r="AG845" s="1">
        <v>4.0</v>
      </c>
      <c r="AH845" s="1">
        <v>161.0</v>
      </c>
      <c r="AI845" s="1">
        <v>184.0</v>
      </c>
      <c r="AJ845" s="1">
        <v>71.0</v>
      </c>
      <c r="AK845" s="1">
        <v>24.0</v>
      </c>
      <c r="AL845" s="1">
        <v>116.0</v>
      </c>
      <c r="AM845" s="1">
        <v>125.0</v>
      </c>
      <c r="AN845" s="1">
        <v>74.0</v>
      </c>
      <c r="AO845" s="1">
        <v>1929.0</v>
      </c>
      <c r="AP845" s="1">
        <v>0.109823</v>
      </c>
      <c r="AQ845" s="1">
        <v>0.08592</v>
      </c>
      <c r="AR845" s="1">
        <v>0.059025</v>
      </c>
      <c r="AS845" s="1">
        <v>0.273045</v>
      </c>
      <c r="AT845" s="1">
        <v>12537.0</v>
      </c>
      <c r="AU845" s="1">
        <v>1492.0</v>
      </c>
      <c r="AV845" s="1">
        <v>0.281916</v>
      </c>
      <c r="AW845" s="1">
        <v>0.060595</v>
      </c>
      <c r="AX845" s="1">
        <v>0.109959</v>
      </c>
      <c r="AY845" s="1">
        <v>0.185327</v>
      </c>
      <c r="AZ845" s="1">
        <v>0.06275579</v>
      </c>
      <c r="BA845" s="1">
        <v>0.16026</v>
      </c>
      <c r="BB845" s="1">
        <v>0.005645</v>
      </c>
      <c r="BC845" s="1">
        <v>0.07753</v>
      </c>
      <c r="BD845" s="1">
        <v>0.002873</v>
      </c>
      <c r="BE845" s="1">
        <v>0.11566</v>
      </c>
      <c r="BF845" s="1">
        <v>0.132183</v>
      </c>
      <c r="BG845" s="1">
        <v>0.050184</v>
      </c>
      <c r="BH845" s="1">
        <v>0.019323</v>
      </c>
      <c r="BI845" s="1">
        <v>0.093382</v>
      </c>
      <c r="BJ845" s="1">
        <v>0.100644</v>
      </c>
      <c r="BK845" s="1">
        <v>0.058947</v>
      </c>
      <c r="BL845" s="1">
        <v>0.322359</v>
      </c>
      <c r="BM845" s="1">
        <v>0.415</v>
      </c>
      <c r="BN845" s="1">
        <v>0.405</v>
      </c>
      <c r="BO845" s="1">
        <v>0.9451</v>
      </c>
      <c r="BP845" s="1">
        <v>0.923</v>
      </c>
      <c r="BQ845" s="1">
        <v>2.6881</v>
      </c>
      <c r="BR845" s="1">
        <v>0.7177</v>
      </c>
      <c r="BS845" s="1">
        <v>0.271</v>
      </c>
      <c r="BT845" s="1">
        <v>0.134</v>
      </c>
      <c r="BU845" s="1">
        <v>0.155</v>
      </c>
      <c r="BV845" s="1">
        <v>0.56</v>
      </c>
      <c r="BW845" s="1">
        <v>0.038</v>
      </c>
      <c r="BX845" s="1">
        <v>0.65</v>
      </c>
      <c r="BY845" s="1">
        <v>0.584</v>
      </c>
      <c r="BZ845" s="1">
        <v>1.234</v>
      </c>
      <c r="CA845" s="1">
        <v>0.679</v>
      </c>
      <c r="CB845" s="1">
        <v>0.284</v>
      </c>
      <c r="CC845" s="1">
        <v>0.782</v>
      </c>
      <c r="CD845" s="1">
        <v>0.669</v>
      </c>
      <c r="CE845" s="1">
        <v>0.755</v>
      </c>
      <c r="CF845" s="1">
        <v>0.983</v>
      </c>
      <c r="CG845" s="1">
        <v>3.473</v>
      </c>
      <c r="CH845" s="1">
        <v>0.928</v>
      </c>
      <c r="CI845" s="1">
        <v>7.9551</v>
      </c>
      <c r="CJ845" s="1">
        <v>0.7083</v>
      </c>
      <c r="CK845" s="1">
        <v>0.0</v>
      </c>
      <c r="CL845" s="1">
        <v>0.0</v>
      </c>
      <c r="CM845" s="1">
        <v>1.0</v>
      </c>
      <c r="CN845" s="1">
        <v>1.0</v>
      </c>
      <c r="CO845" s="1">
        <v>2.0</v>
      </c>
      <c r="CP845" s="1">
        <v>0.0</v>
      </c>
      <c r="CQ845" s="1">
        <v>0.0</v>
      </c>
      <c r="CR845" s="1">
        <v>0.0</v>
      </c>
      <c r="CS845" s="1">
        <v>0.0</v>
      </c>
      <c r="CT845" s="1">
        <v>0.0</v>
      </c>
      <c r="CU845" s="1">
        <v>0.0</v>
      </c>
      <c r="CV845" s="1">
        <v>0.0</v>
      </c>
      <c r="CW845" s="1">
        <v>0.0</v>
      </c>
      <c r="CX845" s="1">
        <v>0.0</v>
      </c>
      <c r="CY845" s="1">
        <v>0.0</v>
      </c>
      <c r="CZ845" s="1">
        <v>0.0</v>
      </c>
      <c r="DA845" s="1">
        <v>1.0</v>
      </c>
      <c r="DB845" s="1">
        <v>1.0</v>
      </c>
      <c r="DC845" s="1">
        <v>3.0</v>
      </c>
      <c r="DD845" s="1" t="s">
        <v>3938</v>
      </c>
      <c r="DE845" s="1">
        <v>0.084297886469839</v>
      </c>
      <c r="DF845" s="2" t="s">
        <v>3939</v>
      </c>
    </row>
    <row r="846" ht="15.75" customHeight="1">
      <c r="A846" s="1" t="s">
        <v>3940</v>
      </c>
      <c r="B846" s="1">
        <v>29.0</v>
      </c>
      <c r="C846" s="1">
        <v>163.0</v>
      </c>
      <c r="D846" s="1">
        <v>460400.0</v>
      </c>
      <c r="E846" s="1">
        <v>10.525</v>
      </c>
      <c r="F846" s="1">
        <v>29163.0</v>
      </c>
      <c r="G846" s="1">
        <v>2.91634604E10</v>
      </c>
      <c r="H846" s="1" t="s">
        <v>112</v>
      </c>
      <c r="I846" s="1" t="s">
        <v>113</v>
      </c>
      <c r="J846" s="1" t="s">
        <v>3928</v>
      </c>
      <c r="K846" s="1" t="s">
        <v>3941</v>
      </c>
      <c r="L846" s="1">
        <v>3683.0</v>
      </c>
      <c r="M846" s="1">
        <v>5216.0</v>
      </c>
      <c r="N846" s="1">
        <v>139.0</v>
      </c>
      <c r="O846" s="1">
        <v>1591.0</v>
      </c>
      <c r="P846" s="1">
        <v>2218.0</v>
      </c>
      <c r="Q846" s="1">
        <v>159.0</v>
      </c>
      <c r="R846" s="1">
        <v>1424.0</v>
      </c>
      <c r="S846" s="1">
        <v>624.0</v>
      </c>
      <c r="T846" s="1">
        <v>296.0</v>
      </c>
      <c r="U846" s="1">
        <v>207.0</v>
      </c>
      <c r="V846" s="1">
        <v>408.0</v>
      </c>
      <c r="W846" s="1">
        <v>19786.0</v>
      </c>
      <c r="X846" s="1">
        <v>2075.0</v>
      </c>
      <c r="Y846" s="1">
        <v>428.0</v>
      </c>
      <c r="Z846" s="1">
        <v>291.0</v>
      </c>
      <c r="AA846" s="1">
        <v>574.0</v>
      </c>
      <c r="AB846" s="1">
        <v>964.0</v>
      </c>
      <c r="AC846" s="1">
        <v>220.0</v>
      </c>
      <c r="AD846" s="1">
        <v>360.0</v>
      </c>
      <c r="AE846" s="1">
        <v>0.0</v>
      </c>
      <c r="AF846" s="1">
        <v>456.0</v>
      </c>
      <c r="AG846" s="1">
        <v>174.0</v>
      </c>
      <c r="AH846" s="1">
        <v>76.0</v>
      </c>
      <c r="AI846" s="1">
        <v>77.0</v>
      </c>
      <c r="AJ846" s="1">
        <v>48.0</v>
      </c>
      <c r="AK846" s="1">
        <v>83.0</v>
      </c>
      <c r="AL846" s="1">
        <v>140.0</v>
      </c>
      <c r="AM846" s="1">
        <v>186.0</v>
      </c>
      <c r="AN846" s="1">
        <v>98.0</v>
      </c>
      <c r="AO846" s="1">
        <v>178.0</v>
      </c>
      <c r="AP846" s="1">
        <v>0.124949</v>
      </c>
      <c r="AQ846" s="1">
        <v>0.059112</v>
      </c>
      <c r="AR846" s="1">
        <v>0.080325</v>
      </c>
      <c r="AS846" s="1">
        <v>0.158024</v>
      </c>
      <c r="AT846" s="1">
        <v>19786.0</v>
      </c>
      <c r="AU846" s="1">
        <v>2075.0</v>
      </c>
      <c r="AV846" s="1">
        <v>0.127343</v>
      </c>
      <c r="AW846" s="1">
        <v>0.086235</v>
      </c>
      <c r="AX846" s="1">
        <v>0.155851</v>
      </c>
      <c r="AY846" s="1">
        <v>0.261743</v>
      </c>
      <c r="AZ846" s="1">
        <v>0.15449438</v>
      </c>
      <c r="BA846" s="1">
        <v>0.097746</v>
      </c>
      <c r="BB846" s="1">
        <v>0.0</v>
      </c>
      <c r="BC846" s="1">
        <v>0.094901</v>
      </c>
      <c r="BD846" s="1">
        <v>0.078449</v>
      </c>
      <c r="BE846" s="1">
        <v>0.0338</v>
      </c>
      <c r="BF846" s="1">
        <v>0.034715</v>
      </c>
      <c r="BG846" s="1">
        <v>0.021497</v>
      </c>
      <c r="BH846" s="1">
        <v>0.039923</v>
      </c>
      <c r="BI846" s="1">
        <v>0.067276</v>
      </c>
      <c r="BJ846" s="1">
        <v>0.089466</v>
      </c>
      <c r="BK846" s="1">
        <v>0.046682</v>
      </c>
      <c r="BL846" s="1">
        <v>0.04833</v>
      </c>
      <c r="BM846" s="1">
        <v>0.474</v>
      </c>
      <c r="BN846" s="1">
        <v>0.615</v>
      </c>
      <c r="BO846" s="1">
        <v>0.6282</v>
      </c>
      <c r="BP846" s="1">
        <v>0.459</v>
      </c>
      <c r="BQ846" s="1">
        <v>2.1762</v>
      </c>
      <c r="BR846" s="1">
        <v>0.556</v>
      </c>
      <c r="BS846" s="1">
        <v>0.63</v>
      </c>
      <c r="BT846" s="1">
        <v>0.717</v>
      </c>
      <c r="BU846" s="1">
        <v>0.808</v>
      </c>
      <c r="BV846" s="1">
        <v>2.155</v>
      </c>
      <c r="BW846" s="1">
        <v>0.951</v>
      </c>
      <c r="BX846" s="1">
        <v>0.462</v>
      </c>
      <c r="BY846" s="1">
        <v>0.0</v>
      </c>
      <c r="BZ846" s="1">
        <v>0.462</v>
      </c>
      <c r="CA846" s="1">
        <v>0.191</v>
      </c>
      <c r="CB846" s="1">
        <v>0.728</v>
      </c>
      <c r="CC846" s="1">
        <v>0.561</v>
      </c>
      <c r="CD846" s="1">
        <v>0.894</v>
      </c>
      <c r="CE846" s="1">
        <v>0.716</v>
      </c>
      <c r="CF846" s="1">
        <v>0.889</v>
      </c>
      <c r="CG846" s="1">
        <v>3.788</v>
      </c>
      <c r="CH846" s="1">
        <v>0.984</v>
      </c>
      <c r="CI846" s="1">
        <v>8.5812</v>
      </c>
      <c r="CJ846" s="1">
        <v>0.8</v>
      </c>
      <c r="CK846" s="1">
        <v>0.0</v>
      </c>
      <c r="CL846" s="1">
        <v>0.0</v>
      </c>
      <c r="CM846" s="1">
        <v>0.0</v>
      </c>
      <c r="CN846" s="1">
        <v>0.0</v>
      </c>
      <c r="CO846" s="1">
        <v>0.0</v>
      </c>
      <c r="CP846" s="1">
        <v>0.0</v>
      </c>
      <c r="CQ846" s="1">
        <v>0.0</v>
      </c>
      <c r="CR846" s="1">
        <v>0.0</v>
      </c>
      <c r="CS846" s="1">
        <v>0.0</v>
      </c>
      <c r="CT846" s="1">
        <v>0.0</v>
      </c>
      <c r="CU846" s="1">
        <v>0.0</v>
      </c>
      <c r="CV846" s="1">
        <v>0.0</v>
      </c>
      <c r="CW846" s="1">
        <v>0.0</v>
      </c>
      <c r="CX846" s="1">
        <v>0.0</v>
      </c>
      <c r="CY846" s="1">
        <v>0.0</v>
      </c>
      <c r="CZ846" s="1">
        <v>0.0</v>
      </c>
      <c r="DA846" s="1">
        <v>0.0</v>
      </c>
      <c r="DB846" s="1">
        <v>0.0</v>
      </c>
      <c r="DC846" s="1">
        <v>0.0</v>
      </c>
      <c r="DD846" s="1" t="s">
        <v>3942</v>
      </c>
      <c r="DE846" s="1">
        <v>0.00285258979316052</v>
      </c>
      <c r="DF846" s="2" t="s">
        <v>3943</v>
      </c>
    </row>
    <row r="847" ht="15.75" customHeight="1">
      <c r="A847" s="1" t="s">
        <v>3944</v>
      </c>
      <c r="B847" s="1">
        <v>29.0</v>
      </c>
      <c r="C847" s="1">
        <v>163.0</v>
      </c>
      <c r="D847" s="1">
        <v>460500.0</v>
      </c>
      <c r="E847" s="1">
        <v>142.516</v>
      </c>
      <c r="F847" s="1">
        <v>29163.0</v>
      </c>
      <c r="G847" s="1">
        <v>2.91634605E10</v>
      </c>
      <c r="H847" s="1" t="s">
        <v>112</v>
      </c>
      <c r="I847" s="1" t="s">
        <v>113</v>
      </c>
      <c r="J847" s="1" t="s">
        <v>3928</v>
      </c>
      <c r="K847" s="1" t="s">
        <v>3945</v>
      </c>
      <c r="L847" s="1">
        <v>2351.0</v>
      </c>
      <c r="M847" s="1">
        <v>1796.0</v>
      </c>
      <c r="N847" s="1">
        <v>187.0</v>
      </c>
      <c r="O847" s="1">
        <v>1308.0</v>
      </c>
      <c r="P847" s="1">
        <v>1092.0</v>
      </c>
      <c r="Q847" s="1">
        <v>87.0</v>
      </c>
      <c r="R847" s="1">
        <v>980.0</v>
      </c>
      <c r="S847" s="1">
        <v>236.0</v>
      </c>
      <c r="T847" s="1">
        <v>80.0</v>
      </c>
      <c r="U847" s="1">
        <v>69.0</v>
      </c>
      <c r="V847" s="1">
        <v>344.0</v>
      </c>
      <c r="W847" s="1">
        <v>22522.0</v>
      </c>
      <c r="X847" s="1">
        <v>2197.0</v>
      </c>
      <c r="Y847" s="1">
        <v>155.0</v>
      </c>
      <c r="Z847" s="1">
        <v>234.0</v>
      </c>
      <c r="AA847" s="1">
        <v>393.0</v>
      </c>
      <c r="AB847" s="1">
        <v>559.0</v>
      </c>
      <c r="AC847" s="1">
        <v>86.0</v>
      </c>
      <c r="AD847" s="1">
        <v>194.0</v>
      </c>
      <c r="AE847" s="1">
        <v>26.0</v>
      </c>
      <c r="AF847" s="1">
        <v>396.0</v>
      </c>
      <c r="AG847" s="1">
        <v>68.0</v>
      </c>
      <c r="AH847" s="1">
        <v>34.0</v>
      </c>
      <c r="AI847" s="1">
        <v>198.0</v>
      </c>
      <c r="AJ847" s="1">
        <v>72.0</v>
      </c>
      <c r="AK847" s="1">
        <v>32.0</v>
      </c>
      <c r="AL847" s="1">
        <v>117.0</v>
      </c>
      <c r="AM847" s="1">
        <v>31.0</v>
      </c>
      <c r="AN847" s="1">
        <v>18.0</v>
      </c>
      <c r="AO847" s="1">
        <v>9.0</v>
      </c>
      <c r="AP847" s="1">
        <v>0.131476</v>
      </c>
      <c r="AQ847" s="1">
        <v>0.042411</v>
      </c>
      <c r="AR847" s="1">
        <v>0.074918</v>
      </c>
      <c r="AS847" s="1">
        <v>0.373366</v>
      </c>
      <c r="AT847" s="1">
        <v>22522.0</v>
      </c>
      <c r="AU847" s="1">
        <v>2197.0</v>
      </c>
      <c r="AV847" s="1">
        <v>0.13339</v>
      </c>
      <c r="AW847" s="1">
        <v>0.20092</v>
      </c>
      <c r="AX847" s="1">
        <v>0.167162</v>
      </c>
      <c r="AY847" s="1">
        <v>0.237771</v>
      </c>
      <c r="AZ847" s="1">
        <v>0.0877551</v>
      </c>
      <c r="BA847" s="1">
        <v>0.082518</v>
      </c>
      <c r="BB847" s="1">
        <v>0.015815</v>
      </c>
      <c r="BC847" s="1">
        <v>0.240869</v>
      </c>
      <c r="BD847" s="1">
        <v>0.062271</v>
      </c>
      <c r="BE847" s="1">
        <v>0.030737</v>
      </c>
      <c r="BF847" s="1">
        <v>0.181318</v>
      </c>
      <c r="BG847" s="1">
        <v>0.064332</v>
      </c>
      <c r="BH847" s="1">
        <v>0.042838</v>
      </c>
      <c r="BI847" s="1">
        <v>0.156557</v>
      </c>
      <c r="BJ847" s="1">
        <v>0.041499</v>
      </c>
      <c r="BK847" s="1">
        <v>0.023672</v>
      </c>
      <c r="BL847" s="1">
        <v>0.003828</v>
      </c>
      <c r="BM847" s="1">
        <v>0.504</v>
      </c>
      <c r="BN847" s="1">
        <v>0.558</v>
      </c>
      <c r="BO847" s="1">
        <v>0.4664</v>
      </c>
      <c r="BP847" s="1">
        <v>0.487</v>
      </c>
      <c r="BQ847" s="1">
        <v>2.0154</v>
      </c>
      <c r="BR847" s="1">
        <v>0.5011</v>
      </c>
      <c r="BS847" s="1">
        <v>0.715</v>
      </c>
      <c r="BT847" s="1">
        <v>0.472</v>
      </c>
      <c r="BU847" s="1">
        <v>0.385</v>
      </c>
      <c r="BV847" s="1">
        <v>1.572</v>
      </c>
      <c r="BW847" s="1">
        <v>0.542</v>
      </c>
      <c r="BX847" s="1">
        <v>0.405</v>
      </c>
      <c r="BY847" s="1">
        <v>0.822</v>
      </c>
      <c r="BZ847" s="1">
        <v>1.227</v>
      </c>
      <c r="CA847" s="1">
        <v>0.674</v>
      </c>
      <c r="CB847" s="1">
        <v>0.689</v>
      </c>
      <c r="CC847" s="1">
        <v>0.87</v>
      </c>
      <c r="CD847" s="1">
        <v>0.905</v>
      </c>
      <c r="CE847" s="1">
        <v>0.407</v>
      </c>
      <c r="CF847" s="1">
        <v>0.49</v>
      </c>
      <c r="CG847" s="1">
        <v>3.361</v>
      </c>
      <c r="CH847" s="1">
        <v>0.899</v>
      </c>
      <c r="CI847" s="1">
        <v>8.1754</v>
      </c>
      <c r="CJ847" s="1">
        <v>0.7394</v>
      </c>
      <c r="CK847" s="1">
        <v>0.0</v>
      </c>
      <c r="CL847" s="1">
        <v>0.0</v>
      </c>
      <c r="CM847" s="1">
        <v>0.0</v>
      </c>
      <c r="CN847" s="1">
        <v>0.0</v>
      </c>
      <c r="CO847" s="1">
        <v>0.0</v>
      </c>
      <c r="CP847" s="1">
        <v>0.0</v>
      </c>
      <c r="CQ847" s="1">
        <v>0.0</v>
      </c>
      <c r="CR847" s="1">
        <v>0.0</v>
      </c>
      <c r="CS847" s="1">
        <v>0.0</v>
      </c>
      <c r="CT847" s="1">
        <v>0.0</v>
      </c>
      <c r="CU847" s="1">
        <v>0.0</v>
      </c>
      <c r="CV847" s="1">
        <v>0.0</v>
      </c>
      <c r="CW847" s="1">
        <v>0.0</v>
      </c>
      <c r="CX847" s="1">
        <v>0.0</v>
      </c>
      <c r="CY847" s="1">
        <v>1.0</v>
      </c>
      <c r="CZ847" s="1">
        <v>0.0</v>
      </c>
      <c r="DA847" s="1">
        <v>0.0</v>
      </c>
      <c r="DB847" s="1">
        <v>1.0</v>
      </c>
      <c r="DC847" s="1">
        <v>1.0</v>
      </c>
      <c r="DD847" s="1" t="s">
        <v>3946</v>
      </c>
      <c r="DE847" s="2" t="s">
        <v>3947</v>
      </c>
      <c r="DF847" s="2" t="s">
        <v>3948</v>
      </c>
    </row>
    <row r="848" ht="15.75" customHeight="1">
      <c r="A848" s="1" t="s">
        <v>3949</v>
      </c>
      <c r="B848" s="1">
        <v>29.0</v>
      </c>
      <c r="C848" s="1">
        <v>165.0</v>
      </c>
      <c r="D848" s="2" t="s">
        <v>3950</v>
      </c>
      <c r="E848" s="1">
        <v>3.402</v>
      </c>
      <c r="F848" s="1">
        <v>29165.0</v>
      </c>
      <c r="G848" s="1">
        <v>2.9165030001E10</v>
      </c>
      <c r="H848" s="1" t="s">
        <v>112</v>
      </c>
      <c r="I848" s="1" t="s">
        <v>113</v>
      </c>
      <c r="J848" s="1" t="s">
        <v>3951</v>
      </c>
      <c r="K848" s="1" t="s">
        <v>3952</v>
      </c>
      <c r="L848" s="1">
        <v>7735.0</v>
      </c>
      <c r="M848" s="1">
        <v>7644.0</v>
      </c>
      <c r="N848" s="1">
        <v>372.0</v>
      </c>
      <c r="O848" s="1">
        <v>3307.0</v>
      </c>
      <c r="P848" s="1">
        <v>3295.0</v>
      </c>
      <c r="Q848" s="1">
        <v>99.0</v>
      </c>
      <c r="R848" s="1">
        <v>3109.0</v>
      </c>
      <c r="S848" s="1">
        <v>919.0</v>
      </c>
      <c r="T848" s="1">
        <v>368.0</v>
      </c>
      <c r="U848" s="1">
        <v>200.0</v>
      </c>
      <c r="V848" s="1">
        <v>371.0</v>
      </c>
      <c r="W848" s="1">
        <v>33399.0</v>
      </c>
      <c r="X848" s="1">
        <v>3385.0</v>
      </c>
      <c r="Y848" s="1">
        <v>311.0</v>
      </c>
      <c r="Z848" s="1">
        <v>310.0</v>
      </c>
      <c r="AA848" s="1">
        <v>736.0</v>
      </c>
      <c r="AB848" s="1">
        <v>1958.0</v>
      </c>
      <c r="AC848" s="1">
        <v>345.0</v>
      </c>
      <c r="AD848" s="1">
        <v>1752.0</v>
      </c>
      <c r="AE848" s="1">
        <v>203.0</v>
      </c>
      <c r="AF848" s="1">
        <v>406.0</v>
      </c>
      <c r="AG848" s="1">
        <v>626.0</v>
      </c>
      <c r="AH848" s="1">
        <v>158.0</v>
      </c>
      <c r="AI848" s="1">
        <v>37.0</v>
      </c>
      <c r="AJ848" s="1">
        <v>58.0</v>
      </c>
      <c r="AK848" s="1">
        <v>49.0</v>
      </c>
      <c r="AL848" s="1">
        <v>119.0</v>
      </c>
      <c r="AM848" s="1">
        <v>142.0</v>
      </c>
      <c r="AN848" s="1">
        <v>79.0</v>
      </c>
      <c r="AO848" s="1">
        <v>0.0</v>
      </c>
      <c r="AP848" s="1">
        <v>0.121064</v>
      </c>
      <c r="AQ848" s="1">
        <v>0.048123</v>
      </c>
      <c r="AR848" s="1">
        <v>0.047938</v>
      </c>
      <c r="AS848" s="1">
        <v>0.088808</v>
      </c>
      <c r="AT848" s="1">
        <v>33399.0</v>
      </c>
      <c r="AU848" s="1">
        <v>3385.0</v>
      </c>
      <c r="AV848" s="1">
        <v>0.061657000000000003</v>
      </c>
      <c r="AW848" s="1">
        <v>0.061344</v>
      </c>
      <c r="AX848" s="1">
        <v>0.095151</v>
      </c>
      <c r="AY848" s="1">
        <v>0.253135</v>
      </c>
      <c r="AZ848" s="1">
        <v>0.11096815</v>
      </c>
      <c r="BA848" s="1">
        <v>0.226502</v>
      </c>
      <c r="BB848" s="1">
        <v>0.028962</v>
      </c>
      <c r="BC848" s="1">
        <v>0.057904</v>
      </c>
      <c r="BD848" s="1">
        <v>0.189984</v>
      </c>
      <c r="BE848" s="1">
        <v>0.04761</v>
      </c>
      <c r="BF848" s="1">
        <v>0.011229</v>
      </c>
      <c r="BG848" s="1">
        <v>0.017599</v>
      </c>
      <c r="BH848" s="1">
        <v>0.015801</v>
      </c>
      <c r="BI848" s="1">
        <v>0.038366</v>
      </c>
      <c r="BJ848" s="1">
        <v>0.045791</v>
      </c>
      <c r="BK848" s="1">
        <v>0.025375</v>
      </c>
      <c r="BL848" s="1">
        <v>0.0</v>
      </c>
      <c r="BM848" s="1">
        <v>0.458</v>
      </c>
      <c r="BN848" s="1">
        <v>0.274</v>
      </c>
      <c r="BO848" s="1">
        <v>0.1379</v>
      </c>
      <c r="BP848" s="1">
        <v>0.172</v>
      </c>
      <c r="BQ848" s="1">
        <v>1.0419</v>
      </c>
      <c r="BR848" s="1">
        <v>0.2123</v>
      </c>
      <c r="BS848" s="1">
        <v>0.181</v>
      </c>
      <c r="BT848" s="1">
        <v>0.643</v>
      </c>
      <c r="BU848" s="1">
        <v>0.594</v>
      </c>
      <c r="BV848" s="1">
        <v>1.418</v>
      </c>
      <c r="BW848" s="1">
        <v>0.407</v>
      </c>
      <c r="BX848" s="1">
        <v>0.739</v>
      </c>
      <c r="BY848" s="1">
        <v>0.908</v>
      </c>
      <c r="BZ848" s="1">
        <v>1.647</v>
      </c>
      <c r="CA848" s="1">
        <v>0.895</v>
      </c>
      <c r="CB848" s="1">
        <v>0.888</v>
      </c>
      <c r="CC848" s="1">
        <v>0.469</v>
      </c>
      <c r="CD848" s="1">
        <v>0.611</v>
      </c>
      <c r="CE848" s="1">
        <v>0.449</v>
      </c>
      <c r="CF848" s="1">
        <v>0.0</v>
      </c>
      <c r="CG848" s="1">
        <v>2.417</v>
      </c>
      <c r="CH848" s="1">
        <v>0.523</v>
      </c>
      <c r="CI848" s="1">
        <v>6.5239</v>
      </c>
      <c r="CJ848" s="1">
        <v>0.4628</v>
      </c>
      <c r="CK848" s="1">
        <v>0.0</v>
      </c>
      <c r="CL848" s="1">
        <v>0.0</v>
      </c>
      <c r="CM848" s="1">
        <v>0.0</v>
      </c>
      <c r="CN848" s="1">
        <v>0.0</v>
      </c>
      <c r="CO848" s="1">
        <v>0.0</v>
      </c>
      <c r="CP848" s="1">
        <v>0.0</v>
      </c>
      <c r="CQ848" s="1">
        <v>0.0</v>
      </c>
      <c r="CR848" s="1">
        <v>0.0</v>
      </c>
      <c r="CS848" s="1">
        <v>0.0</v>
      </c>
      <c r="CT848" s="1">
        <v>0.0</v>
      </c>
      <c r="CU848" s="1">
        <v>1.0</v>
      </c>
      <c r="CV848" s="1">
        <v>1.0</v>
      </c>
      <c r="CW848" s="1">
        <v>0.0</v>
      </c>
      <c r="CX848" s="1">
        <v>0.0</v>
      </c>
      <c r="CY848" s="1">
        <v>0.0</v>
      </c>
      <c r="CZ848" s="1">
        <v>0.0</v>
      </c>
      <c r="DA848" s="1">
        <v>0.0</v>
      </c>
      <c r="DB848" s="1">
        <v>0.0</v>
      </c>
      <c r="DC848" s="1">
        <v>1.0</v>
      </c>
      <c r="DD848" s="1" t="s">
        <v>3953</v>
      </c>
      <c r="DE848" s="1">
        <v>9.19775042856754E-4</v>
      </c>
      <c r="DF848" s="2" t="s">
        <v>3954</v>
      </c>
    </row>
    <row r="849" ht="15.75" customHeight="1">
      <c r="A849" s="1" t="s">
        <v>3955</v>
      </c>
      <c r="B849" s="1">
        <v>29.0</v>
      </c>
      <c r="C849" s="1">
        <v>165.0</v>
      </c>
      <c r="D849" s="2" t="s">
        <v>3956</v>
      </c>
      <c r="E849" s="1">
        <v>13.909</v>
      </c>
      <c r="F849" s="1">
        <v>29165.0</v>
      </c>
      <c r="G849" s="1">
        <v>2.9165030201E10</v>
      </c>
      <c r="H849" s="1" t="s">
        <v>112</v>
      </c>
      <c r="I849" s="1" t="s">
        <v>113</v>
      </c>
      <c r="J849" s="1" t="s">
        <v>3951</v>
      </c>
      <c r="K849" s="1" t="s">
        <v>3957</v>
      </c>
      <c r="L849" s="1">
        <v>1817.0</v>
      </c>
      <c r="M849" s="1">
        <v>1548.0</v>
      </c>
      <c r="N849" s="1">
        <v>173.0</v>
      </c>
      <c r="O849" s="1">
        <v>747.0</v>
      </c>
      <c r="P849" s="1">
        <v>818.0</v>
      </c>
      <c r="Q849" s="1">
        <v>97.0</v>
      </c>
      <c r="R849" s="1">
        <v>681.0</v>
      </c>
      <c r="S849" s="1">
        <v>90.0</v>
      </c>
      <c r="T849" s="1">
        <v>147.0</v>
      </c>
      <c r="U849" s="1">
        <v>41.0</v>
      </c>
      <c r="V849" s="1">
        <v>457.0</v>
      </c>
      <c r="W849" s="1">
        <v>54930.0</v>
      </c>
      <c r="X849" s="1">
        <v>11684.0</v>
      </c>
      <c r="Y849" s="1">
        <v>44.0</v>
      </c>
      <c r="Z849" s="1">
        <v>397.0</v>
      </c>
      <c r="AA849" s="1">
        <v>149.0</v>
      </c>
      <c r="AB849" s="1">
        <v>475.0</v>
      </c>
      <c r="AC849" s="1">
        <v>41.0</v>
      </c>
      <c r="AD849" s="1">
        <v>246.0</v>
      </c>
      <c r="AE849" s="1">
        <v>0.0</v>
      </c>
      <c r="AF849" s="1">
        <v>456.0</v>
      </c>
      <c r="AG849" s="1">
        <v>125.0</v>
      </c>
      <c r="AH849" s="1">
        <v>53.0</v>
      </c>
      <c r="AI849" s="1">
        <v>0.0</v>
      </c>
      <c r="AJ849" s="1">
        <v>114.0</v>
      </c>
      <c r="AK849" s="1">
        <v>0.0</v>
      </c>
      <c r="AL849" s="1">
        <v>161.0</v>
      </c>
      <c r="AM849" s="1">
        <v>55.0</v>
      </c>
      <c r="AN849" s="1">
        <v>41.0</v>
      </c>
      <c r="AO849" s="1">
        <v>0.0</v>
      </c>
      <c r="AP849" s="1">
        <v>0.058139</v>
      </c>
      <c r="AQ849" s="1">
        <v>0.094738</v>
      </c>
      <c r="AR849" s="1">
        <v>0.059334</v>
      </c>
      <c r="AS849" s="1">
        <v>0.661047</v>
      </c>
      <c r="AT849" s="1">
        <v>54930.0</v>
      </c>
      <c r="AU849" s="1">
        <v>11684.0</v>
      </c>
      <c r="AV849" s="1">
        <v>0.039391</v>
      </c>
      <c r="AW849" s="1">
        <v>0.355388</v>
      </c>
      <c r="AX849" s="1">
        <v>0.082003</v>
      </c>
      <c r="AY849" s="1">
        <v>0.261419</v>
      </c>
      <c r="AZ849" s="1">
        <v>0.06020558</v>
      </c>
      <c r="BA849" s="1">
        <v>0.135388</v>
      </c>
      <c r="BB849" s="1">
        <v>0.0</v>
      </c>
      <c r="BC849" s="1">
        <v>0.323175</v>
      </c>
      <c r="BD849" s="1">
        <v>0.152811</v>
      </c>
      <c r="BE849" s="1">
        <v>0.062206</v>
      </c>
      <c r="BF849" s="1">
        <v>0.0</v>
      </c>
      <c r="BG849" s="1">
        <v>0.139364</v>
      </c>
      <c r="BH849" s="1">
        <v>0.0</v>
      </c>
      <c r="BI849" s="1">
        <v>0.236417</v>
      </c>
      <c r="BJ849" s="1">
        <v>0.080763</v>
      </c>
      <c r="BK849" s="1">
        <v>0.059355</v>
      </c>
      <c r="BL849" s="1">
        <v>0.0</v>
      </c>
      <c r="BM849" s="1">
        <v>0.197</v>
      </c>
      <c r="BN849" s="1">
        <v>0.408</v>
      </c>
      <c r="BO849" s="1">
        <v>0.0188</v>
      </c>
      <c r="BP849" s="1">
        <v>0.096</v>
      </c>
      <c r="BQ849" s="1">
        <v>0.7198</v>
      </c>
      <c r="BR849" s="1">
        <v>0.1314</v>
      </c>
      <c r="BS849" s="1">
        <v>0.126</v>
      </c>
      <c r="BT849" s="1">
        <v>0.713</v>
      </c>
      <c r="BU849" s="1">
        <v>0.132</v>
      </c>
      <c r="BV849" s="1">
        <v>0.971</v>
      </c>
      <c r="BW849" s="1">
        <v>0.105</v>
      </c>
      <c r="BX849" s="1">
        <v>0.577</v>
      </c>
      <c r="BY849" s="1">
        <v>0.0</v>
      </c>
      <c r="BZ849" s="1">
        <v>0.577</v>
      </c>
      <c r="CA849" s="1">
        <v>0.258</v>
      </c>
      <c r="CB849" s="1">
        <v>0.843</v>
      </c>
      <c r="CC849" s="1">
        <v>0.0</v>
      </c>
      <c r="CD849" s="1">
        <v>0.0</v>
      </c>
      <c r="CE849" s="1">
        <v>0.677</v>
      </c>
      <c r="CF849" s="1">
        <v>0.0</v>
      </c>
      <c r="CG849" s="1">
        <v>1.52</v>
      </c>
      <c r="CH849" s="1">
        <v>0.181</v>
      </c>
      <c r="CI849" s="1">
        <v>3.7878</v>
      </c>
      <c r="CJ849" s="1">
        <v>0.0657</v>
      </c>
      <c r="CK849" s="1">
        <v>0.0</v>
      </c>
      <c r="CL849" s="1">
        <v>0.0</v>
      </c>
      <c r="CM849" s="1">
        <v>0.0</v>
      </c>
      <c r="CN849" s="1">
        <v>0.0</v>
      </c>
      <c r="CO849" s="1">
        <v>0.0</v>
      </c>
      <c r="CP849" s="1">
        <v>0.0</v>
      </c>
      <c r="CQ849" s="1">
        <v>0.0</v>
      </c>
      <c r="CR849" s="1">
        <v>0.0</v>
      </c>
      <c r="CS849" s="1">
        <v>0.0</v>
      </c>
      <c r="CT849" s="1">
        <v>0.0</v>
      </c>
      <c r="CU849" s="1">
        <v>0.0</v>
      </c>
      <c r="CV849" s="1">
        <v>0.0</v>
      </c>
      <c r="CW849" s="1">
        <v>0.0</v>
      </c>
      <c r="CX849" s="1">
        <v>0.0</v>
      </c>
      <c r="CY849" s="1">
        <v>0.0</v>
      </c>
      <c r="CZ849" s="1">
        <v>0.0</v>
      </c>
      <c r="DA849" s="1">
        <v>0.0</v>
      </c>
      <c r="DB849" s="1">
        <v>0.0</v>
      </c>
      <c r="DC849" s="1">
        <v>0.0</v>
      </c>
      <c r="DD849" s="1" t="s">
        <v>3958</v>
      </c>
      <c r="DE849" s="1">
        <v>0.00376280630908396</v>
      </c>
      <c r="DF849" s="2" t="s">
        <v>3959</v>
      </c>
    </row>
    <row r="850" ht="15.75" customHeight="1">
      <c r="A850" s="1" t="s">
        <v>3960</v>
      </c>
      <c r="B850" s="1">
        <v>29.0</v>
      </c>
      <c r="C850" s="1">
        <v>165.0</v>
      </c>
      <c r="D850" s="2" t="s">
        <v>3961</v>
      </c>
      <c r="E850" s="1">
        <v>4.216</v>
      </c>
      <c r="F850" s="1">
        <v>29165.0</v>
      </c>
      <c r="G850" s="1">
        <v>2.9165030205E10</v>
      </c>
      <c r="H850" s="1" t="s">
        <v>112</v>
      </c>
      <c r="I850" s="1" t="s">
        <v>113</v>
      </c>
      <c r="J850" s="1" t="s">
        <v>3951</v>
      </c>
      <c r="K850" s="1" t="s">
        <v>3962</v>
      </c>
      <c r="L850" s="1">
        <v>6689.0</v>
      </c>
      <c r="M850" s="1">
        <v>6635.0</v>
      </c>
      <c r="N850" s="1">
        <v>394.0</v>
      </c>
      <c r="O850" s="1">
        <v>3481.0</v>
      </c>
      <c r="P850" s="1">
        <v>3253.0</v>
      </c>
      <c r="Q850" s="1">
        <v>118.0</v>
      </c>
      <c r="R850" s="1">
        <v>3096.0</v>
      </c>
      <c r="S850" s="1">
        <v>502.0</v>
      </c>
      <c r="T850" s="1">
        <v>312.0</v>
      </c>
      <c r="U850" s="1">
        <v>154.0</v>
      </c>
      <c r="V850" s="1">
        <v>386.0</v>
      </c>
      <c r="W850" s="1">
        <v>34387.0</v>
      </c>
      <c r="X850" s="1">
        <v>2975.0</v>
      </c>
      <c r="Y850" s="1">
        <v>208.0</v>
      </c>
      <c r="Z850" s="1">
        <v>340.0</v>
      </c>
      <c r="AA850" s="1">
        <v>931.0</v>
      </c>
      <c r="AB850" s="1">
        <v>1388.0</v>
      </c>
      <c r="AC850" s="1">
        <v>331.0</v>
      </c>
      <c r="AD850" s="1">
        <v>1462.0</v>
      </c>
      <c r="AE850" s="1">
        <v>56.0</v>
      </c>
      <c r="AF850" s="1">
        <v>429.0</v>
      </c>
      <c r="AG850" s="1">
        <v>731.0</v>
      </c>
      <c r="AH850" s="1">
        <v>177.0</v>
      </c>
      <c r="AI850" s="1">
        <v>0.0</v>
      </c>
      <c r="AJ850" s="1">
        <v>114.0</v>
      </c>
      <c r="AK850" s="1">
        <v>99.0</v>
      </c>
      <c r="AL850" s="1">
        <v>143.0</v>
      </c>
      <c r="AM850" s="1">
        <v>119.0</v>
      </c>
      <c r="AN850" s="1">
        <v>58.0</v>
      </c>
      <c r="AO850" s="1">
        <v>133.0</v>
      </c>
      <c r="AP850" s="1">
        <v>0.076303</v>
      </c>
      <c r="AQ850" s="1">
        <v>0.04721</v>
      </c>
      <c r="AR850" s="1">
        <v>0.037949</v>
      </c>
      <c r="AS850" s="1">
        <v>0.095039</v>
      </c>
      <c r="AT850" s="1">
        <v>34387.0</v>
      </c>
      <c r="AU850" s="1">
        <v>2975.0</v>
      </c>
      <c r="AV850" s="1">
        <v>0.043928</v>
      </c>
      <c r="AW850" s="1">
        <v>0.07177</v>
      </c>
      <c r="AX850" s="1">
        <v>0.139183</v>
      </c>
      <c r="AY850" s="1">
        <v>0.207504</v>
      </c>
      <c r="AZ850" s="1">
        <v>0.10691214</v>
      </c>
      <c r="BA850" s="1">
        <v>0.218567</v>
      </c>
      <c r="BB850" s="1">
        <v>0.009038</v>
      </c>
      <c r="BC850" s="1">
        <v>0.069236</v>
      </c>
      <c r="BD850" s="1">
        <v>0.224715</v>
      </c>
      <c r="BE850" s="1">
        <v>0.053797</v>
      </c>
      <c r="BF850" s="1">
        <v>0.0</v>
      </c>
      <c r="BG850" s="1">
        <v>0.035044</v>
      </c>
      <c r="BH850" s="1">
        <v>0.031997</v>
      </c>
      <c r="BI850" s="1">
        <v>0.046195</v>
      </c>
      <c r="BJ850" s="1">
        <v>0.038461</v>
      </c>
      <c r="BK850" s="1">
        <v>0.018665</v>
      </c>
      <c r="BL850" s="1">
        <v>0.019883</v>
      </c>
      <c r="BM850" s="1">
        <v>0.275</v>
      </c>
      <c r="BN850" s="1">
        <v>0.163</v>
      </c>
      <c r="BO850" s="1">
        <v>0.122</v>
      </c>
      <c r="BP850" s="1">
        <v>0.108</v>
      </c>
      <c r="BQ850" s="1">
        <v>0.668</v>
      </c>
      <c r="BR850" s="1">
        <v>0.117</v>
      </c>
      <c r="BS850" s="1">
        <v>0.489</v>
      </c>
      <c r="BT850" s="1">
        <v>0.223</v>
      </c>
      <c r="BU850" s="1">
        <v>0.558</v>
      </c>
      <c r="BV850" s="1">
        <v>1.27</v>
      </c>
      <c r="BW850" s="1">
        <v>0.282</v>
      </c>
      <c r="BX850" s="1">
        <v>0.733</v>
      </c>
      <c r="BY850" s="1">
        <v>0.697</v>
      </c>
      <c r="BZ850" s="1">
        <v>1.43</v>
      </c>
      <c r="CA850" s="1">
        <v>0.78</v>
      </c>
      <c r="CB850" s="1">
        <v>0.908</v>
      </c>
      <c r="CC850" s="1">
        <v>0.0</v>
      </c>
      <c r="CD850" s="1">
        <v>0.832</v>
      </c>
      <c r="CE850" s="1">
        <v>0.374</v>
      </c>
      <c r="CF850" s="1">
        <v>0.708</v>
      </c>
      <c r="CG850" s="1">
        <v>2.822</v>
      </c>
      <c r="CH850" s="1">
        <v>0.697</v>
      </c>
      <c r="CI850" s="1">
        <v>6.19</v>
      </c>
      <c r="CJ850" s="1">
        <v>0.4058</v>
      </c>
      <c r="CK850" s="1">
        <v>0.0</v>
      </c>
      <c r="CL850" s="1">
        <v>0.0</v>
      </c>
      <c r="CM850" s="1">
        <v>0.0</v>
      </c>
      <c r="CN850" s="1">
        <v>0.0</v>
      </c>
      <c r="CO850" s="1">
        <v>0.0</v>
      </c>
      <c r="CP850" s="1">
        <v>0.0</v>
      </c>
      <c r="CQ850" s="1">
        <v>0.0</v>
      </c>
      <c r="CR850" s="1">
        <v>0.0</v>
      </c>
      <c r="CS850" s="1">
        <v>0.0</v>
      </c>
      <c r="CT850" s="1">
        <v>0.0</v>
      </c>
      <c r="CU850" s="1">
        <v>0.0</v>
      </c>
      <c r="CV850" s="1">
        <v>0.0</v>
      </c>
      <c r="CW850" s="1">
        <v>1.0</v>
      </c>
      <c r="CX850" s="1">
        <v>0.0</v>
      </c>
      <c r="CY850" s="1">
        <v>0.0</v>
      </c>
      <c r="CZ850" s="1">
        <v>0.0</v>
      </c>
      <c r="DA850" s="1">
        <v>0.0</v>
      </c>
      <c r="DB850" s="1">
        <v>1.0</v>
      </c>
      <c r="DC850" s="1">
        <v>1.0</v>
      </c>
      <c r="DD850" s="1" t="s">
        <v>3963</v>
      </c>
      <c r="DE850" s="1">
        <v>0.00114621907931812</v>
      </c>
      <c r="DF850" s="2" t="s">
        <v>3964</v>
      </c>
    </row>
    <row r="851" ht="15.75" customHeight="1">
      <c r="A851" s="1" t="s">
        <v>3965</v>
      </c>
      <c r="B851" s="1">
        <v>29.0</v>
      </c>
      <c r="C851" s="1">
        <v>165.0</v>
      </c>
      <c r="D851" s="2" t="s">
        <v>3966</v>
      </c>
      <c r="E851" s="1">
        <v>0.766</v>
      </c>
      <c r="F851" s="1">
        <v>29165.0</v>
      </c>
      <c r="G851" s="1">
        <v>2.916503021E10</v>
      </c>
      <c r="H851" s="1" t="s">
        <v>112</v>
      </c>
      <c r="I851" s="1" t="s">
        <v>113</v>
      </c>
      <c r="J851" s="1" t="s">
        <v>3951</v>
      </c>
      <c r="K851" s="1" t="s">
        <v>3967</v>
      </c>
      <c r="L851" s="1">
        <v>1720.0</v>
      </c>
      <c r="M851" s="1">
        <v>1582.0</v>
      </c>
      <c r="N851" s="1">
        <v>209.0</v>
      </c>
      <c r="O851" s="1">
        <v>622.0</v>
      </c>
      <c r="P851" s="1">
        <v>487.0</v>
      </c>
      <c r="Q851" s="1">
        <v>42.0</v>
      </c>
      <c r="R851" s="1">
        <v>587.0</v>
      </c>
      <c r="S851" s="1">
        <v>193.0</v>
      </c>
      <c r="T851" s="1">
        <v>220.0</v>
      </c>
      <c r="U851" s="1">
        <v>38.0</v>
      </c>
      <c r="V851" s="1">
        <v>485.0</v>
      </c>
      <c r="W851" s="1">
        <v>31408.0</v>
      </c>
      <c r="X851" s="1">
        <v>5499.0</v>
      </c>
      <c r="Y851" s="1">
        <v>50.0</v>
      </c>
      <c r="Z851" s="1">
        <v>413.0</v>
      </c>
      <c r="AA851" s="1">
        <v>58.0</v>
      </c>
      <c r="AB851" s="1">
        <v>584.0</v>
      </c>
      <c r="AC851" s="1">
        <v>62.0</v>
      </c>
      <c r="AD851" s="1">
        <v>369.0</v>
      </c>
      <c r="AE851" s="1">
        <v>11.0</v>
      </c>
      <c r="AF851" s="1">
        <v>442.0</v>
      </c>
      <c r="AG851" s="1">
        <v>0.0</v>
      </c>
      <c r="AH851" s="1">
        <v>197.0</v>
      </c>
      <c r="AI851" s="1">
        <v>11.0</v>
      </c>
      <c r="AJ851" s="1">
        <v>23.0</v>
      </c>
      <c r="AK851" s="1">
        <v>23.0</v>
      </c>
      <c r="AL851" s="1">
        <v>118.0</v>
      </c>
      <c r="AM851" s="1">
        <v>0.0</v>
      </c>
      <c r="AN851" s="1">
        <v>161.0</v>
      </c>
      <c r="AO851" s="1">
        <v>0.0</v>
      </c>
      <c r="AP851" s="1">
        <v>0.121997</v>
      </c>
      <c r="AQ851" s="1">
        <v>0.138127</v>
      </c>
      <c r="AR851" s="1">
        <v>0.048717</v>
      </c>
      <c r="AS851" s="1">
        <v>0.621603</v>
      </c>
      <c r="AT851" s="1">
        <v>31408.0</v>
      </c>
      <c r="AU851" s="1">
        <v>5499.0</v>
      </c>
      <c r="AV851" s="1">
        <v>0.058548</v>
      </c>
      <c r="AW851" s="1">
        <v>0.483571</v>
      </c>
      <c r="AX851" s="1">
        <v>0.03372</v>
      </c>
      <c r="AY851" s="1">
        <v>0.339534</v>
      </c>
      <c r="AZ851" s="1">
        <v>0.1056218</v>
      </c>
      <c r="BA851" s="1">
        <v>0.214534</v>
      </c>
      <c r="BB851" s="1">
        <v>0.008011</v>
      </c>
      <c r="BC851" s="1">
        <v>0.32192</v>
      </c>
      <c r="BD851" s="1">
        <v>0.0</v>
      </c>
      <c r="BE851" s="1">
        <v>0.404517</v>
      </c>
      <c r="BF851" s="1">
        <v>0.022587</v>
      </c>
      <c r="BG851" s="1">
        <v>0.047187</v>
      </c>
      <c r="BH851" s="1">
        <v>0.047227</v>
      </c>
      <c r="BI851" s="1">
        <v>0.242265</v>
      </c>
      <c r="BJ851" s="1">
        <v>0.0</v>
      </c>
      <c r="BK851" s="1">
        <v>0.330595</v>
      </c>
      <c r="BL851" s="1">
        <v>0.0</v>
      </c>
      <c r="BM851" s="1">
        <v>0.461</v>
      </c>
      <c r="BN851" s="1">
        <v>0.282</v>
      </c>
      <c r="BO851" s="1">
        <v>0.169</v>
      </c>
      <c r="BP851" s="1">
        <v>0.161</v>
      </c>
      <c r="BQ851" s="1">
        <v>1.073</v>
      </c>
      <c r="BR851" s="1">
        <v>0.2188</v>
      </c>
      <c r="BS851" s="1">
        <v>0.012</v>
      </c>
      <c r="BT851" s="1">
        <v>0.98</v>
      </c>
      <c r="BU851" s="1">
        <v>0.546</v>
      </c>
      <c r="BV851" s="1">
        <v>1.538</v>
      </c>
      <c r="BW851" s="1">
        <v>0.515</v>
      </c>
      <c r="BX851" s="1">
        <v>0.729</v>
      </c>
      <c r="BY851" s="1">
        <v>0.668</v>
      </c>
      <c r="BZ851" s="1">
        <v>1.397</v>
      </c>
      <c r="CA851" s="1">
        <v>0.765</v>
      </c>
      <c r="CB851" s="1">
        <v>0.0</v>
      </c>
      <c r="CC851" s="1">
        <v>0.525</v>
      </c>
      <c r="CD851" s="1">
        <v>0.924</v>
      </c>
      <c r="CE851" s="1">
        <v>0.0</v>
      </c>
      <c r="CF851" s="1">
        <v>0.0</v>
      </c>
      <c r="CG851" s="1">
        <v>1.449</v>
      </c>
      <c r="CH851" s="1">
        <v>0.16</v>
      </c>
      <c r="CI851" s="1">
        <v>5.457</v>
      </c>
      <c r="CJ851" s="1">
        <v>0.2736</v>
      </c>
      <c r="CK851" s="1">
        <v>0.0</v>
      </c>
      <c r="CL851" s="1">
        <v>0.0</v>
      </c>
      <c r="CM851" s="1">
        <v>0.0</v>
      </c>
      <c r="CN851" s="1">
        <v>0.0</v>
      </c>
      <c r="CO851" s="1">
        <v>0.0</v>
      </c>
      <c r="CP851" s="1">
        <v>0.0</v>
      </c>
      <c r="CQ851" s="1">
        <v>1.0</v>
      </c>
      <c r="CR851" s="1">
        <v>0.0</v>
      </c>
      <c r="CS851" s="1">
        <v>1.0</v>
      </c>
      <c r="CT851" s="1">
        <v>0.0</v>
      </c>
      <c r="CU851" s="1">
        <v>0.0</v>
      </c>
      <c r="CV851" s="1">
        <v>0.0</v>
      </c>
      <c r="CW851" s="1">
        <v>0.0</v>
      </c>
      <c r="CX851" s="1">
        <v>0.0</v>
      </c>
      <c r="CY851" s="1">
        <v>1.0</v>
      </c>
      <c r="CZ851" s="1">
        <v>0.0</v>
      </c>
      <c r="DA851" s="1">
        <v>0.0</v>
      </c>
      <c r="DB851" s="1">
        <v>1.0</v>
      </c>
      <c r="DC851" s="1">
        <v>2.0</v>
      </c>
      <c r="DD851" s="1" t="s">
        <v>3968</v>
      </c>
      <c r="DE851" s="1">
        <v>2.07219922607289E-4</v>
      </c>
      <c r="DF851" s="1">
        <v>0.0723302993309941</v>
      </c>
    </row>
    <row r="852" ht="15.75" customHeight="1">
      <c r="A852" s="1" t="s">
        <v>3969</v>
      </c>
      <c r="B852" s="1">
        <v>29.0</v>
      </c>
      <c r="C852" s="1">
        <v>165.0</v>
      </c>
      <c r="D852" s="2" t="s">
        <v>3970</v>
      </c>
      <c r="E852" s="1">
        <v>0.753</v>
      </c>
      <c r="F852" s="1">
        <v>29165.0</v>
      </c>
      <c r="G852" s="1">
        <v>2.9165030211E10</v>
      </c>
      <c r="H852" s="1" t="s">
        <v>112</v>
      </c>
      <c r="I852" s="1" t="s">
        <v>113</v>
      </c>
      <c r="J852" s="1" t="s">
        <v>3951</v>
      </c>
      <c r="K852" s="1" t="s">
        <v>3971</v>
      </c>
      <c r="L852" s="1">
        <v>2899.0</v>
      </c>
      <c r="M852" s="1">
        <v>3385.0</v>
      </c>
      <c r="N852" s="1">
        <v>419.0</v>
      </c>
      <c r="O852" s="1">
        <v>1454.0</v>
      </c>
      <c r="P852" s="1">
        <v>1946.0</v>
      </c>
      <c r="Q852" s="1">
        <v>113.0</v>
      </c>
      <c r="R852" s="1">
        <v>1363.0</v>
      </c>
      <c r="S852" s="1">
        <v>306.0</v>
      </c>
      <c r="T852" s="1">
        <v>174.0</v>
      </c>
      <c r="U852" s="1">
        <v>113.0</v>
      </c>
      <c r="V852" s="1">
        <v>445.0</v>
      </c>
      <c r="W852" s="1">
        <v>26320.0</v>
      </c>
      <c r="X852" s="1">
        <v>4265.0</v>
      </c>
      <c r="Y852" s="1">
        <v>227.0</v>
      </c>
      <c r="Z852" s="1">
        <v>358.0</v>
      </c>
      <c r="AA852" s="1">
        <v>258.0</v>
      </c>
      <c r="AB852" s="1">
        <v>632.0</v>
      </c>
      <c r="AC852" s="1">
        <v>181.0</v>
      </c>
      <c r="AD852" s="1">
        <v>947.0</v>
      </c>
      <c r="AE852" s="1">
        <v>52.0</v>
      </c>
      <c r="AF852" s="1">
        <v>414.0</v>
      </c>
      <c r="AG852" s="1">
        <v>243.0</v>
      </c>
      <c r="AH852" s="1">
        <v>183.0</v>
      </c>
      <c r="AI852" s="1">
        <v>0.0</v>
      </c>
      <c r="AJ852" s="1">
        <v>114.0</v>
      </c>
      <c r="AK852" s="1">
        <v>0.0</v>
      </c>
      <c r="AL852" s="1">
        <v>161.0</v>
      </c>
      <c r="AM852" s="1">
        <v>92.0</v>
      </c>
      <c r="AN852" s="1">
        <v>62.0</v>
      </c>
      <c r="AO852" s="1">
        <v>0.0</v>
      </c>
      <c r="AP852" s="1">
        <v>0.091479</v>
      </c>
      <c r="AQ852" s="1">
        <v>0.050819</v>
      </c>
      <c r="AR852" s="1">
        <v>0.055148</v>
      </c>
      <c r="AS852" s="1">
        <v>0.216979</v>
      </c>
      <c r="AT852" s="1">
        <v>26320.0</v>
      </c>
      <c r="AU852" s="1">
        <v>4265.0</v>
      </c>
      <c r="AV852" s="1">
        <v>0.109927</v>
      </c>
      <c r="AW852" s="1">
        <v>0.17282</v>
      </c>
      <c r="AX852" s="1">
        <v>0.088996</v>
      </c>
      <c r="AY852" s="1">
        <v>0.218006</v>
      </c>
      <c r="AZ852" s="1">
        <v>0.1327953</v>
      </c>
      <c r="BA852" s="1">
        <v>0.326664</v>
      </c>
      <c r="BB852" s="1">
        <v>0.016174</v>
      </c>
      <c r="BC852" s="1">
        <v>0.128754</v>
      </c>
      <c r="BD852" s="1">
        <v>0.124871</v>
      </c>
      <c r="BE852" s="1">
        <v>0.093759</v>
      </c>
      <c r="BF852" s="1">
        <v>0.0</v>
      </c>
      <c r="BG852" s="1">
        <v>0.058581</v>
      </c>
      <c r="BH852" s="1">
        <v>0.0</v>
      </c>
      <c r="BI852" s="1">
        <v>0.096812</v>
      </c>
      <c r="BJ852" s="1">
        <v>0.055321</v>
      </c>
      <c r="BK852" s="1">
        <v>0.036914</v>
      </c>
      <c r="BL852" s="1">
        <v>0.0</v>
      </c>
      <c r="BM852" s="1">
        <v>0.345</v>
      </c>
      <c r="BN852" s="1">
        <v>0.347</v>
      </c>
      <c r="BO852" s="1">
        <v>0.3011</v>
      </c>
      <c r="BP852" s="1">
        <v>0.383</v>
      </c>
      <c r="BQ852" s="1">
        <v>1.3761</v>
      </c>
      <c r="BR852" s="1">
        <v>0.304</v>
      </c>
      <c r="BS852" s="1">
        <v>0.153</v>
      </c>
      <c r="BT852" s="1">
        <v>0.289</v>
      </c>
      <c r="BU852" s="1">
        <v>0.728</v>
      </c>
      <c r="BV852" s="1">
        <v>1.17</v>
      </c>
      <c r="BW852" s="1">
        <v>0.209</v>
      </c>
      <c r="BX852" s="1">
        <v>0.806</v>
      </c>
      <c r="BY852" s="1">
        <v>0.827</v>
      </c>
      <c r="BZ852" s="1">
        <v>1.633</v>
      </c>
      <c r="CA852" s="1">
        <v>0.885</v>
      </c>
      <c r="CB852" s="1">
        <v>0.807</v>
      </c>
      <c r="CC852" s="1">
        <v>0.0</v>
      </c>
      <c r="CD852" s="1">
        <v>0.0</v>
      </c>
      <c r="CE852" s="1">
        <v>0.532</v>
      </c>
      <c r="CF852" s="1">
        <v>0.0</v>
      </c>
      <c r="CG852" s="1">
        <v>1.339</v>
      </c>
      <c r="CH852" s="1">
        <v>0.138</v>
      </c>
      <c r="CI852" s="1">
        <v>5.5181</v>
      </c>
      <c r="CJ852" s="1">
        <v>0.2859</v>
      </c>
      <c r="CK852" s="1">
        <v>0.0</v>
      </c>
      <c r="CL852" s="1">
        <v>0.0</v>
      </c>
      <c r="CM852" s="1">
        <v>0.0</v>
      </c>
      <c r="CN852" s="1">
        <v>0.0</v>
      </c>
      <c r="CO852" s="1">
        <v>0.0</v>
      </c>
      <c r="CP852" s="1">
        <v>0.0</v>
      </c>
      <c r="CQ852" s="1">
        <v>0.0</v>
      </c>
      <c r="CR852" s="1">
        <v>0.0</v>
      </c>
      <c r="CS852" s="1">
        <v>0.0</v>
      </c>
      <c r="CT852" s="1">
        <v>0.0</v>
      </c>
      <c r="CU852" s="1">
        <v>0.0</v>
      </c>
      <c r="CV852" s="1">
        <v>0.0</v>
      </c>
      <c r="CW852" s="1">
        <v>0.0</v>
      </c>
      <c r="CX852" s="1">
        <v>0.0</v>
      </c>
      <c r="CY852" s="1">
        <v>0.0</v>
      </c>
      <c r="CZ852" s="1">
        <v>0.0</v>
      </c>
      <c r="DA852" s="1">
        <v>0.0</v>
      </c>
      <c r="DB852" s="1">
        <v>0.0</v>
      </c>
      <c r="DC852" s="1">
        <v>0.0</v>
      </c>
      <c r="DD852" s="1" t="s">
        <v>3972</v>
      </c>
      <c r="DE852" s="1">
        <v>2.10625529358425E-4</v>
      </c>
      <c r="DF852" s="1">
        <v>0.0701093820581611</v>
      </c>
    </row>
    <row r="853" ht="15.75" customHeight="1">
      <c r="A853" s="1" t="s">
        <v>3973</v>
      </c>
      <c r="B853" s="1">
        <v>29.0</v>
      </c>
      <c r="C853" s="1">
        <v>165.0</v>
      </c>
      <c r="D853" s="2" t="s">
        <v>3974</v>
      </c>
      <c r="E853" s="1">
        <v>1.432</v>
      </c>
      <c r="F853" s="1">
        <v>29165.0</v>
      </c>
      <c r="G853" s="1">
        <v>2.9165030102E10</v>
      </c>
      <c r="H853" s="1" t="s">
        <v>112</v>
      </c>
      <c r="I853" s="1" t="s">
        <v>113</v>
      </c>
      <c r="J853" s="1" t="s">
        <v>3951</v>
      </c>
      <c r="K853" s="1" t="s">
        <v>3975</v>
      </c>
      <c r="L853" s="1">
        <v>3047.0</v>
      </c>
      <c r="M853" s="1">
        <v>3127.0</v>
      </c>
      <c r="N853" s="1">
        <v>330.0</v>
      </c>
      <c r="O853" s="1">
        <v>1284.0</v>
      </c>
      <c r="P853" s="1">
        <v>1253.0</v>
      </c>
      <c r="Q853" s="1">
        <v>82.0</v>
      </c>
      <c r="R853" s="1">
        <v>1187.0</v>
      </c>
      <c r="S853" s="1">
        <v>119.0</v>
      </c>
      <c r="T853" s="1">
        <v>114.0</v>
      </c>
      <c r="U853" s="1">
        <v>107.0</v>
      </c>
      <c r="V853" s="1">
        <v>399.0</v>
      </c>
      <c r="W853" s="1">
        <v>31355.0</v>
      </c>
      <c r="X853" s="1">
        <v>3941.0</v>
      </c>
      <c r="Y853" s="1">
        <v>44.0</v>
      </c>
      <c r="Z853" s="1">
        <v>413.0</v>
      </c>
      <c r="AA853" s="1">
        <v>292.0</v>
      </c>
      <c r="AB853" s="1">
        <v>841.0</v>
      </c>
      <c r="AC853" s="1">
        <v>154.0</v>
      </c>
      <c r="AD853" s="1">
        <v>713.0</v>
      </c>
      <c r="AE853" s="1">
        <v>33.0</v>
      </c>
      <c r="AF853" s="1">
        <v>428.0</v>
      </c>
      <c r="AG853" s="1">
        <v>99.0</v>
      </c>
      <c r="AH853" s="1">
        <v>59.0</v>
      </c>
      <c r="AI853" s="1">
        <v>0.0</v>
      </c>
      <c r="AJ853" s="1">
        <v>114.0</v>
      </c>
      <c r="AK853" s="1">
        <v>27.0</v>
      </c>
      <c r="AL853" s="1">
        <v>117.0</v>
      </c>
      <c r="AM853" s="1">
        <v>19.0</v>
      </c>
      <c r="AN853" s="1">
        <v>116.0</v>
      </c>
      <c r="AO853" s="1">
        <v>0.0</v>
      </c>
      <c r="AP853" s="1">
        <v>0.038055</v>
      </c>
      <c r="AQ853" s="1">
        <v>0.036234</v>
      </c>
      <c r="AR853" s="1">
        <v>0.065765</v>
      </c>
      <c r="AS853" s="1">
        <v>0.244954</v>
      </c>
      <c r="AT853" s="1">
        <v>31355.0</v>
      </c>
      <c r="AU853" s="1">
        <v>3941.0</v>
      </c>
      <c r="AV853" s="1">
        <v>0.024458</v>
      </c>
      <c r="AW853" s="1">
        <v>0.229553</v>
      </c>
      <c r="AX853" s="1">
        <v>0.095831</v>
      </c>
      <c r="AY853" s="1">
        <v>0.276009</v>
      </c>
      <c r="AZ853" s="1">
        <v>0.12973883</v>
      </c>
      <c r="BA853" s="1">
        <v>0.234</v>
      </c>
      <c r="BB853" s="1">
        <v>0.011133</v>
      </c>
      <c r="BC853" s="1">
        <v>0.144395</v>
      </c>
      <c r="BD853" s="1">
        <v>0.07901</v>
      </c>
      <c r="BE853" s="1">
        <v>0.046802</v>
      </c>
      <c r="BF853" s="1">
        <v>0.0</v>
      </c>
      <c r="BG853" s="1">
        <v>0.090981</v>
      </c>
      <c r="BH853" s="1">
        <v>0.024725</v>
      </c>
      <c r="BI853" s="1">
        <v>0.10711</v>
      </c>
      <c r="BJ853" s="1">
        <v>0.017399</v>
      </c>
      <c r="BK853" s="1">
        <v>0.10621</v>
      </c>
      <c r="BL853" s="1">
        <v>0.0</v>
      </c>
      <c r="BM853" s="1">
        <v>0.115</v>
      </c>
      <c r="BN853" s="1">
        <v>0.476</v>
      </c>
      <c r="BO853" s="1">
        <v>0.1704</v>
      </c>
      <c r="BP853" s="1">
        <v>0.045</v>
      </c>
      <c r="BQ853" s="1">
        <v>0.8064</v>
      </c>
      <c r="BR853" s="1">
        <v>0.1596</v>
      </c>
      <c r="BS853" s="1">
        <v>0.187</v>
      </c>
      <c r="BT853" s="1">
        <v>0.828</v>
      </c>
      <c r="BU853" s="1">
        <v>0.715</v>
      </c>
      <c r="BV853" s="1">
        <v>1.73</v>
      </c>
      <c r="BW853" s="1">
        <v>0.664</v>
      </c>
      <c r="BX853" s="1">
        <v>0.747</v>
      </c>
      <c r="BY853" s="1">
        <v>0.75</v>
      </c>
      <c r="BZ853" s="1">
        <v>1.497</v>
      </c>
      <c r="CA853" s="1">
        <v>0.823</v>
      </c>
      <c r="CB853" s="1">
        <v>0.73</v>
      </c>
      <c r="CC853" s="1">
        <v>0.0</v>
      </c>
      <c r="CD853" s="1">
        <v>0.752</v>
      </c>
      <c r="CE853" s="1">
        <v>0.156</v>
      </c>
      <c r="CF853" s="1">
        <v>0.0</v>
      </c>
      <c r="CG853" s="1">
        <v>1.638</v>
      </c>
      <c r="CH853" s="1">
        <v>0.213</v>
      </c>
      <c r="CI853" s="1">
        <v>5.6714</v>
      </c>
      <c r="CJ853" s="1">
        <v>0.3162</v>
      </c>
      <c r="CK853" s="1">
        <v>0.0</v>
      </c>
      <c r="CL853" s="1">
        <v>0.0</v>
      </c>
      <c r="CM853" s="1">
        <v>0.0</v>
      </c>
      <c r="CN853" s="1">
        <v>0.0</v>
      </c>
      <c r="CO853" s="1">
        <v>0.0</v>
      </c>
      <c r="CP853" s="1">
        <v>0.0</v>
      </c>
      <c r="CQ853" s="1">
        <v>0.0</v>
      </c>
      <c r="CR853" s="1">
        <v>0.0</v>
      </c>
      <c r="CS853" s="1">
        <v>0.0</v>
      </c>
      <c r="CT853" s="1">
        <v>0.0</v>
      </c>
      <c r="CU853" s="1">
        <v>0.0</v>
      </c>
      <c r="CV853" s="1">
        <v>0.0</v>
      </c>
      <c r="CW853" s="1">
        <v>0.0</v>
      </c>
      <c r="CX853" s="1">
        <v>0.0</v>
      </c>
      <c r="CY853" s="1">
        <v>0.0</v>
      </c>
      <c r="CZ853" s="1">
        <v>0.0</v>
      </c>
      <c r="DA853" s="1">
        <v>0.0</v>
      </c>
      <c r="DB853" s="1">
        <v>0.0</v>
      </c>
      <c r="DC853" s="1">
        <v>0.0</v>
      </c>
      <c r="DD853" s="1" t="s">
        <v>3976</v>
      </c>
      <c r="DE853" s="1">
        <v>3.86963743081945E-4</v>
      </c>
      <c r="DF853" s="1">
        <v>0.0982417110083456</v>
      </c>
    </row>
    <row r="854" ht="15.75" customHeight="1">
      <c r="A854" s="1" t="s">
        <v>3977</v>
      </c>
      <c r="B854" s="1">
        <v>29.0</v>
      </c>
      <c r="C854" s="1">
        <v>165.0</v>
      </c>
      <c r="D854" s="2" t="s">
        <v>3978</v>
      </c>
      <c r="E854" s="1">
        <v>2.204</v>
      </c>
      <c r="F854" s="1">
        <v>29165.0</v>
      </c>
      <c r="G854" s="1">
        <v>2.9165030207E10</v>
      </c>
      <c r="H854" s="1" t="s">
        <v>112</v>
      </c>
      <c r="I854" s="1" t="s">
        <v>113</v>
      </c>
      <c r="J854" s="1" t="s">
        <v>3951</v>
      </c>
      <c r="K854" s="1" t="s">
        <v>3979</v>
      </c>
      <c r="L854" s="1">
        <v>5283.0</v>
      </c>
      <c r="M854" s="1">
        <v>4830.0</v>
      </c>
      <c r="N854" s="1">
        <v>441.0</v>
      </c>
      <c r="O854" s="1">
        <v>2684.0</v>
      </c>
      <c r="P854" s="1">
        <v>2658.0</v>
      </c>
      <c r="Q854" s="1">
        <v>107.0</v>
      </c>
      <c r="R854" s="1">
        <v>2416.0</v>
      </c>
      <c r="S854" s="1">
        <v>398.0</v>
      </c>
      <c r="T854" s="1">
        <v>184.0</v>
      </c>
      <c r="U854" s="1">
        <v>173.0</v>
      </c>
      <c r="V854" s="1">
        <v>390.0</v>
      </c>
      <c r="W854" s="1">
        <v>38926.0</v>
      </c>
      <c r="X854" s="1">
        <v>4436.0</v>
      </c>
      <c r="Y854" s="1">
        <v>50.0</v>
      </c>
      <c r="Z854" s="1">
        <v>344.0</v>
      </c>
      <c r="AA854" s="1">
        <v>810.0</v>
      </c>
      <c r="AB854" s="1">
        <v>1010.0</v>
      </c>
      <c r="AC854" s="1">
        <v>145.0</v>
      </c>
      <c r="AD854" s="1">
        <v>774.0</v>
      </c>
      <c r="AE854" s="1">
        <v>74.0</v>
      </c>
      <c r="AF854" s="1">
        <v>398.0</v>
      </c>
      <c r="AG854" s="1">
        <v>745.0</v>
      </c>
      <c r="AH854" s="1">
        <v>152.0</v>
      </c>
      <c r="AI854" s="1">
        <v>0.0</v>
      </c>
      <c r="AJ854" s="1">
        <v>114.0</v>
      </c>
      <c r="AK854" s="1">
        <v>7.0</v>
      </c>
      <c r="AL854" s="1">
        <v>114.0</v>
      </c>
      <c r="AM854" s="1">
        <v>66.0</v>
      </c>
      <c r="AN854" s="1">
        <v>43.0</v>
      </c>
      <c r="AO854" s="1">
        <v>0.0</v>
      </c>
      <c r="AP854" s="1">
        <v>0.082401</v>
      </c>
      <c r="AQ854" s="1">
        <v>0.037344</v>
      </c>
      <c r="AR854" s="1">
        <v>0.06424</v>
      </c>
      <c r="AS854" s="1">
        <v>0.144589</v>
      </c>
      <c r="AT854" s="1">
        <v>38926.0</v>
      </c>
      <c r="AU854" s="1">
        <v>4436.0</v>
      </c>
      <c r="AV854" s="1">
        <v>0.013885</v>
      </c>
      <c r="AW854" s="1">
        <v>0.095523</v>
      </c>
      <c r="AX854" s="1">
        <v>0.153321</v>
      </c>
      <c r="AY854" s="1">
        <v>0.191179</v>
      </c>
      <c r="AZ854" s="1">
        <v>0.06001655</v>
      </c>
      <c r="BA854" s="1">
        <v>0.146507</v>
      </c>
      <c r="BB854" s="1">
        <v>0.015825</v>
      </c>
      <c r="BC854" s="1">
        <v>0.085103</v>
      </c>
      <c r="BD854" s="1">
        <v>0.280285</v>
      </c>
      <c r="BE854" s="1">
        <v>0.056061</v>
      </c>
      <c r="BF854" s="1">
        <v>0.0</v>
      </c>
      <c r="BG854" s="1">
        <v>0.042889</v>
      </c>
      <c r="BH854" s="1">
        <v>0.003014</v>
      </c>
      <c r="BI854" s="1">
        <v>0.049095</v>
      </c>
      <c r="BJ854" s="1">
        <v>0.028423</v>
      </c>
      <c r="BK854" s="1">
        <v>0.018388</v>
      </c>
      <c r="BL854" s="1">
        <v>0.0</v>
      </c>
      <c r="BM854" s="1">
        <v>0.3</v>
      </c>
      <c r="BN854" s="1">
        <v>0.463</v>
      </c>
      <c r="BO854" s="1">
        <v>0.0758</v>
      </c>
      <c r="BP854" s="1">
        <v>0.025</v>
      </c>
      <c r="BQ854" s="1">
        <v>0.8638</v>
      </c>
      <c r="BR854" s="1">
        <v>0.1733</v>
      </c>
      <c r="BS854" s="1">
        <v>0.605</v>
      </c>
      <c r="BT854" s="1">
        <v>0.153</v>
      </c>
      <c r="BU854" s="1">
        <v>0.129</v>
      </c>
      <c r="BV854" s="1">
        <v>0.887</v>
      </c>
      <c r="BW854" s="1">
        <v>0.091</v>
      </c>
      <c r="BX854" s="1">
        <v>0.614</v>
      </c>
      <c r="BY854" s="1">
        <v>0.823</v>
      </c>
      <c r="BZ854" s="1">
        <v>1.437</v>
      </c>
      <c r="CA854" s="1">
        <v>0.784</v>
      </c>
      <c r="CB854" s="1">
        <v>0.932</v>
      </c>
      <c r="CC854" s="1">
        <v>0.0</v>
      </c>
      <c r="CD854" s="1">
        <v>0.294</v>
      </c>
      <c r="CE854" s="1">
        <v>0.273</v>
      </c>
      <c r="CF854" s="1">
        <v>0.0</v>
      </c>
      <c r="CG854" s="1">
        <v>1.499</v>
      </c>
      <c r="CH854" s="1">
        <v>0.176</v>
      </c>
      <c r="CI854" s="1">
        <v>4.6868</v>
      </c>
      <c r="CJ854" s="1">
        <v>0.1588</v>
      </c>
      <c r="CK854" s="1">
        <v>0.0</v>
      </c>
      <c r="CL854" s="1">
        <v>0.0</v>
      </c>
      <c r="CM854" s="1">
        <v>0.0</v>
      </c>
      <c r="CN854" s="1">
        <v>0.0</v>
      </c>
      <c r="CO854" s="1">
        <v>0.0</v>
      </c>
      <c r="CP854" s="1">
        <v>0.0</v>
      </c>
      <c r="CQ854" s="1">
        <v>0.0</v>
      </c>
      <c r="CR854" s="1">
        <v>0.0</v>
      </c>
      <c r="CS854" s="1">
        <v>0.0</v>
      </c>
      <c r="CT854" s="1">
        <v>0.0</v>
      </c>
      <c r="CU854" s="1">
        <v>0.0</v>
      </c>
      <c r="CV854" s="1">
        <v>0.0</v>
      </c>
      <c r="CW854" s="1">
        <v>1.0</v>
      </c>
      <c r="CX854" s="1">
        <v>0.0</v>
      </c>
      <c r="CY854" s="1">
        <v>0.0</v>
      </c>
      <c r="CZ854" s="1">
        <v>0.0</v>
      </c>
      <c r="DA854" s="1">
        <v>0.0</v>
      </c>
      <c r="DB854" s="1">
        <v>1.0</v>
      </c>
      <c r="DC854" s="1">
        <v>1.0</v>
      </c>
      <c r="DD854" s="1" t="s">
        <v>3980</v>
      </c>
      <c r="DE854" s="1">
        <v>6.33017010619597E-4</v>
      </c>
      <c r="DF854" s="2" t="s">
        <v>3981</v>
      </c>
    </row>
    <row r="855" ht="15.75" customHeight="1">
      <c r="A855" s="1" t="s">
        <v>3982</v>
      </c>
      <c r="B855" s="1">
        <v>29.0</v>
      </c>
      <c r="C855" s="1">
        <v>165.0</v>
      </c>
      <c r="D855" s="2" t="s">
        <v>3983</v>
      </c>
      <c r="E855" s="1">
        <v>2.315</v>
      </c>
      <c r="F855" s="1">
        <v>29165.0</v>
      </c>
      <c r="G855" s="1">
        <v>2.9165030208E10</v>
      </c>
      <c r="H855" s="1" t="s">
        <v>112</v>
      </c>
      <c r="I855" s="1" t="s">
        <v>113</v>
      </c>
      <c r="J855" s="1" t="s">
        <v>3951</v>
      </c>
      <c r="K855" s="1" t="s">
        <v>3984</v>
      </c>
      <c r="L855" s="1">
        <v>2470.0</v>
      </c>
      <c r="M855" s="1">
        <v>2563.0</v>
      </c>
      <c r="N855" s="1">
        <v>205.0</v>
      </c>
      <c r="O855" s="1">
        <v>1011.0</v>
      </c>
      <c r="P855" s="1">
        <v>1022.0</v>
      </c>
      <c r="Q855" s="1">
        <v>35.0</v>
      </c>
      <c r="R855" s="1">
        <v>964.0</v>
      </c>
      <c r="S855" s="1">
        <v>110.0</v>
      </c>
      <c r="T855" s="1">
        <v>60.0</v>
      </c>
      <c r="U855" s="1">
        <v>58.0</v>
      </c>
      <c r="V855" s="1">
        <v>412.0</v>
      </c>
      <c r="W855" s="1">
        <v>41252.0</v>
      </c>
      <c r="X855" s="1">
        <v>5204.0</v>
      </c>
      <c r="Y855" s="1">
        <v>115.0</v>
      </c>
      <c r="Z855" s="1">
        <v>347.0</v>
      </c>
      <c r="AA855" s="1">
        <v>477.0</v>
      </c>
      <c r="AB855" s="1">
        <v>536.0</v>
      </c>
      <c r="AC855" s="1">
        <v>55.0</v>
      </c>
      <c r="AD855" s="1">
        <v>223.0</v>
      </c>
      <c r="AE855" s="1">
        <v>8.0</v>
      </c>
      <c r="AF855" s="1">
        <v>427.0</v>
      </c>
      <c r="AG855" s="1">
        <v>0.0</v>
      </c>
      <c r="AH855" s="1">
        <v>197.0</v>
      </c>
      <c r="AI855" s="1">
        <v>5.0</v>
      </c>
      <c r="AJ855" s="1">
        <v>8.0</v>
      </c>
      <c r="AK855" s="1">
        <v>0.0</v>
      </c>
      <c r="AL855" s="1">
        <v>161.0</v>
      </c>
      <c r="AM855" s="1">
        <v>4.0</v>
      </c>
      <c r="AN855" s="1">
        <v>114.0</v>
      </c>
      <c r="AO855" s="1">
        <v>8.0</v>
      </c>
      <c r="AP855" s="1">
        <v>0.042918</v>
      </c>
      <c r="AQ855" s="1">
        <v>0.023157</v>
      </c>
      <c r="AR855" s="1">
        <v>0.048053</v>
      </c>
      <c r="AS855" s="1">
        <v>0.341308</v>
      </c>
      <c r="AT855" s="1">
        <v>41252.0</v>
      </c>
      <c r="AU855" s="1">
        <v>5204.0</v>
      </c>
      <c r="AV855" s="1">
        <v>0.064752</v>
      </c>
      <c r="AW855" s="1">
        <v>0.195352</v>
      </c>
      <c r="AX855" s="1">
        <v>0.193117</v>
      </c>
      <c r="AY855" s="1">
        <v>0.217004</v>
      </c>
      <c r="AZ855" s="1">
        <v>0.05705394</v>
      </c>
      <c r="BA855" s="1">
        <v>0.090283</v>
      </c>
      <c r="BB855" s="1">
        <v>0.003322</v>
      </c>
      <c r="BC855" s="1">
        <v>0.177325</v>
      </c>
      <c r="BD855" s="1">
        <v>0.0</v>
      </c>
      <c r="BE855" s="1">
        <v>0.192759</v>
      </c>
      <c r="BF855" s="1">
        <v>0.004892</v>
      </c>
      <c r="BG855" s="1">
        <v>0.007825</v>
      </c>
      <c r="BH855" s="1">
        <v>0.0</v>
      </c>
      <c r="BI855" s="1">
        <v>0.167533</v>
      </c>
      <c r="BJ855" s="1">
        <v>0.004162</v>
      </c>
      <c r="BK855" s="1">
        <v>0.118626</v>
      </c>
      <c r="BL855" s="1">
        <v>0.003238</v>
      </c>
      <c r="BM855" s="1">
        <v>0.136</v>
      </c>
      <c r="BN855" s="1">
        <v>0.275</v>
      </c>
      <c r="BO855" s="1">
        <v>0.0563</v>
      </c>
      <c r="BP855" s="1">
        <v>0.182</v>
      </c>
      <c r="BQ855" s="1">
        <v>0.6493</v>
      </c>
      <c r="BR855" s="1">
        <v>0.1105</v>
      </c>
      <c r="BS855" s="1">
        <v>0.851</v>
      </c>
      <c r="BT855" s="1">
        <v>0.282</v>
      </c>
      <c r="BU855" s="1">
        <v>0.116</v>
      </c>
      <c r="BV855" s="1">
        <v>1.249</v>
      </c>
      <c r="BW855" s="1">
        <v>0.266</v>
      </c>
      <c r="BX855" s="1">
        <v>0.431</v>
      </c>
      <c r="BY855" s="1">
        <v>0.47</v>
      </c>
      <c r="BZ855" s="1">
        <v>0.901</v>
      </c>
      <c r="CA855" s="1">
        <v>0.469</v>
      </c>
      <c r="CB855" s="1">
        <v>0.0</v>
      </c>
      <c r="CC855" s="1">
        <v>0.392</v>
      </c>
      <c r="CD855" s="1">
        <v>0.0</v>
      </c>
      <c r="CE855" s="1">
        <v>0.044</v>
      </c>
      <c r="CF855" s="1">
        <v>0.482</v>
      </c>
      <c r="CG855" s="1">
        <v>0.918</v>
      </c>
      <c r="CH855" s="1">
        <v>0.069</v>
      </c>
      <c r="CI855" s="1">
        <v>3.7173</v>
      </c>
      <c r="CJ855" s="1">
        <v>0.0585</v>
      </c>
      <c r="CK855" s="1">
        <v>0.0</v>
      </c>
      <c r="CL855" s="1">
        <v>0.0</v>
      </c>
      <c r="CM855" s="1">
        <v>0.0</v>
      </c>
      <c r="CN855" s="1">
        <v>0.0</v>
      </c>
      <c r="CO855" s="1">
        <v>0.0</v>
      </c>
      <c r="CP855" s="1">
        <v>0.0</v>
      </c>
      <c r="CQ855" s="1">
        <v>0.0</v>
      </c>
      <c r="CR855" s="1">
        <v>0.0</v>
      </c>
      <c r="CS855" s="1">
        <v>0.0</v>
      </c>
      <c r="CT855" s="1">
        <v>0.0</v>
      </c>
      <c r="CU855" s="1">
        <v>0.0</v>
      </c>
      <c r="CV855" s="1">
        <v>0.0</v>
      </c>
      <c r="CW855" s="1">
        <v>0.0</v>
      </c>
      <c r="CX855" s="1">
        <v>0.0</v>
      </c>
      <c r="CY855" s="1">
        <v>0.0</v>
      </c>
      <c r="CZ855" s="1">
        <v>0.0</v>
      </c>
      <c r="DA855" s="1">
        <v>0.0</v>
      </c>
      <c r="DB855" s="1">
        <v>0.0</v>
      </c>
      <c r="DC855" s="1">
        <v>0.0</v>
      </c>
      <c r="DD855" s="1" t="s">
        <v>3985</v>
      </c>
      <c r="DE855" s="1">
        <v>7.05449702674207E-4</v>
      </c>
      <c r="DF855" s="2" t="s">
        <v>3986</v>
      </c>
    </row>
    <row r="856" ht="15.75" customHeight="1">
      <c r="A856" s="1" t="s">
        <v>3987</v>
      </c>
      <c r="B856" s="1">
        <v>29.0</v>
      </c>
      <c r="C856" s="1">
        <v>165.0</v>
      </c>
      <c r="D856" s="2" t="s">
        <v>3988</v>
      </c>
      <c r="E856" s="1">
        <v>2.431</v>
      </c>
      <c r="F856" s="1">
        <v>29165.0</v>
      </c>
      <c r="G856" s="1">
        <v>2.9165030209E10</v>
      </c>
      <c r="H856" s="1" t="s">
        <v>112</v>
      </c>
      <c r="I856" s="1" t="s">
        <v>113</v>
      </c>
      <c r="J856" s="1" t="s">
        <v>3951</v>
      </c>
      <c r="K856" s="1" t="s">
        <v>3989</v>
      </c>
      <c r="L856" s="1">
        <v>7799.0</v>
      </c>
      <c r="M856" s="1">
        <v>7594.0</v>
      </c>
      <c r="N856" s="1">
        <v>413.0</v>
      </c>
      <c r="O856" s="1">
        <v>3148.0</v>
      </c>
      <c r="P856" s="1">
        <v>2983.0</v>
      </c>
      <c r="Q856" s="1">
        <v>136.0</v>
      </c>
      <c r="R856" s="1">
        <v>2966.0</v>
      </c>
      <c r="S856" s="1">
        <v>408.0</v>
      </c>
      <c r="T856" s="1">
        <v>285.0</v>
      </c>
      <c r="U856" s="1">
        <v>183.0</v>
      </c>
      <c r="V856" s="1">
        <v>404.0</v>
      </c>
      <c r="W856" s="1">
        <v>28880.0</v>
      </c>
      <c r="X856" s="1">
        <v>2319.0</v>
      </c>
      <c r="Y856" s="1">
        <v>264.0</v>
      </c>
      <c r="Z856" s="1">
        <v>284.0</v>
      </c>
      <c r="AA856" s="1">
        <v>616.0</v>
      </c>
      <c r="AB856" s="1">
        <v>2190.0</v>
      </c>
      <c r="AC856" s="1">
        <v>409.0</v>
      </c>
      <c r="AD856" s="1">
        <v>1594.0</v>
      </c>
      <c r="AE856" s="1">
        <v>25.0</v>
      </c>
      <c r="AF856" s="1">
        <v>427.0</v>
      </c>
      <c r="AG856" s="1">
        <v>0.0</v>
      </c>
      <c r="AH856" s="1">
        <v>197.0</v>
      </c>
      <c r="AI856" s="1">
        <v>0.0</v>
      </c>
      <c r="AJ856" s="1">
        <v>114.0</v>
      </c>
      <c r="AK856" s="1">
        <v>30.0</v>
      </c>
      <c r="AL856" s="1">
        <v>119.0</v>
      </c>
      <c r="AM856" s="1">
        <v>128.0</v>
      </c>
      <c r="AN856" s="1">
        <v>89.0</v>
      </c>
      <c r="AO856" s="1">
        <v>4.0</v>
      </c>
      <c r="AP856" s="1">
        <v>0.053832</v>
      </c>
      <c r="AQ856" s="1">
        <v>0.037489</v>
      </c>
      <c r="AR856" s="1">
        <v>0.044798</v>
      </c>
      <c r="AS856" s="1">
        <v>0.098795</v>
      </c>
      <c r="AT856" s="1">
        <v>28880.0</v>
      </c>
      <c r="AU856" s="1">
        <v>2319.0</v>
      </c>
      <c r="AV856" s="1">
        <v>0.052101</v>
      </c>
      <c r="AW856" s="1">
        <v>0.055958</v>
      </c>
      <c r="AX856" s="1">
        <v>0.078984</v>
      </c>
      <c r="AY856" s="1">
        <v>0.280805</v>
      </c>
      <c r="AZ856" s="1">
        <v>0.13789615</v>
      </c>
      <c r="BA856" s="1">
        <v>0.204385</v>
      </c>
      <c r="BB856" s="1">
        <v>0.003576</v>
      </c>
      <c r="BC856" s="1">
        <v>0.061078</v>
      </c>
      <c r="BD856" s="1">
        <v>0.0</v>
      </c>
      <c r="BE856" s="1">
        <v>0.06604</v>
      </c>
      <c r="BF856" s="1">
        <v>0.0</v>
      </c>
      <c r="BG856" s="1">
        <v>0.038216</v>
      </c>
      <c r="BH856" s="1">
        <v>0.010067</v>
      </c>
      <c r="BI856" s="1">
        <v>0.03993</v>
      </c>
      <c r="BJ856" s="1">
        <v>0.042953</v>
      </c>
      <c r="BK856" s="1">
        <v>0.029801</v>
      </c>
      <c r="BL856" s="1">
        <v>5.12E-4</v>
      </c>
      <c r="BM856" s="1">
        <v>0.184</v>
      </c>
      <c r="BN856" s="1">
        <v>0.237</v>
      </c>
      <c r="BO856" s="1">
        <v>0.2238</v>
      </c>
      <c r="BP856" s="1">
        <v>0.135</v>
      </c>
      <c r="BQ856" s="1">
        <v>0.7798</v>
      </c>
      <c r="BR856" s="1">
        <v>0.1523</v>
      </c>
      <c r="BS856" s="1">
        <v>0.112</v>
      </c>
      <c r="BT856" s="1">
        <v>0.851</v>
      </c>
      <c r="BU856" s="1">
        <v>0.752</v>
      </c>
      <c r="BV856" s="1">
        <v>1.715</v>
      </c>
      <c r="BW856" s="1">
        <v>0.651</v>
      </c>
      <c r="BX856" s="1">
        <v>0.714</v>
      </c>
      <c r="BY856" s="1">
        <v>0.489</v>
      </c>
      <c r="BZ856" s="1">
        <v>1.203</v>
      </c>
      <c r="CA856" s="1">
        <v>0.663</v>
      </c>
      <c r="CB856" s="1">
        <v>0.0</v>
      </c>
      <c r="CC856" s="1">
        <v>0.0</v>
      </c>
      <c r="CD856" s="1">
        <v>0.476</v>
      </c>
      <c r="CE856" s="1">
        <v>0.422</v>
      </c>
      <c r="CF856" s="1">
        <v>0.37</v>
      </c>
      <c r="CG856" s="1">
        <v>1.268</v>
      </c>
      <c r="CH856" s="1">
        <v>0.121</v>
      </c>
      <c r="CI856" s="1">
        <v>4.9658</v>
      </c>
      <c r="CJ856" s="1">
        <v>0.1986</v>
      </c>
      <c r="CK856" s="1">
        <v>0.0</v>
      </c>
      <c r="CL856" s="1">
        <v>0.0</v>
      </c>
      <c r="CM856" s="1">
        <v>0.0</v>
      </c>
      <c r="CN856" s="1">
        <v>0.0</v>
      </c>
      <c r="CO856" s="1">
        <v>0.0</v>
      </c>
      <c r="CP856" s="1">
        <v>0.0</v>
      </c>
      <c r="CQ856" s="1">
        <v>0.0</v>
      </c>
      <c r="CR856" s="1">
        <v>0.0</v>
      </c>
      <c r="CS856" s="1">
        <v>0.0</v>
      </c>
      <c r="CT856" s="1">
        <v>0.0</v>
      </c>
      <c r="CU856" s="1">
        <v>0.0</v>
      </c>
      <c r="CV856" s="1">
        <v>0.0</v>
      </c>
      <c r="CW856" s="1">
        <v>0.0</v>
      </c>
      <c r="CX856" s="1">
        <v>0.0</v>
      </c>
      <c r="CY856" s="1">
        <v>0.0</v>
      </c>
      <c r="CZ856" s="1">
        <v>0.0</v>
      </c>
      <c r="DA856" s="1">
        <v>0.0</v>
      </c>
      <c r="DB856" s="1">
        <v>0.0</v>
      </c>
      <c r="DC856" s="1">
        <v>0.0</v>
      </c>
      <c r="DD856" s="1" t="s">
        <v>3990</v>
      </c>
      <c r="DE856" s="1">
        <v>6.59673439766829E-4</v>
      </c>
      <c r="DF856" s="2" t="s">
        <v>3991</v>
      </c>
    </row>
    <row r="857" ht="15.75" customHeight="1">
      <c r="A857" s="1" t="s">
        <v>3992</v>
      </c>
      <c r="B857" s="1">
        <v>29.0</v>
      </c>
      <c r="C857" s="1">
        <v>165.0</v>
      </c>
      <c r="D857" s="2" t="s">
        <v>3993</v>
      </c>
      <c r="E857" s="1">
        <v>7.803</v>
      </c>
      <c r="F857" s="1">
        <v>29165.0</v>
      </c>
      <c r="G857" s="1">
        <v>2.9165030305E10</v>
      </c>
      <c r="H857" s="1" t="s">
        <v>112</v>
      </c>
      <c r="I857" s="1" t="s">
        <v>113</v>
      </c>
      <c r="J857" s="1" t="s">
        <v>3951</v>
      </c>
      <c r="K857" s="1" t="s">
        <v>3994</v>
      </c>
      <c r="L857" s="1">
        <v>8221.0</v>
      </c>
      <c r="M857" s="1">
        <v>8342.0</v>
      </c>
      <c r="N857" s="1">
        <v>567.0</v>
      </c>
      <c r="O857" s="1">
        <v>3637.0</v>
      </c>
      <c r="P857" s="1">
        <v>3589.0</v>
      </c>
      <c r="Q857" s="1">
        <v>164.0</v>
      </c>
      <c r="R857" s="1">
        <v>3303.0</v>
      </c>
      <c r="S857" s="1">
        <v>312.0</v>
      </c>
      <c r="T857" s="1">
        <v>130.0</v>
      </c>
      <c r="U857" s="1">
        <v>298.0</v>
      </c>
      <c r="V857" s="1">
        <v>376.0</v>
      </c>
      <c r="W857" s="1">
        <v>37492.0</v>
      </c>
      <c r="X857" s="1">
        <v>4766.0</v>
      </c>
      <c r="Y857" s="1">
        <v>204.0</v>
      </c>
      <c r="Z857" s="1">
        <v>317.0</v>
      </c>
      <c r="AA857" s="1">
        <v>952.0</v>
      </c>
      <c r="AB857" s="1">
        <v>2058.0</v>
      </c>
      <c r="AC857" s="1">
        <v>358.0</v>
      </c>
      <c r="AD857" s="1">
        <v>1057.0</v>
      </c>
      <c r="AE857" s="1">
        <v>28.0</v>
      </c>
      <c r="AF857" s="1">
        <v>428.0</v>
      </c>
      <c r="AG857" s="1">
        <v>169.0</v>
      </c>
      <c r="AH857" s="1">
        <v>152.0</v>
      </c>
      <c r="AI857" s="1">
        <v>10.0</v>
      </c>
      <c r="AJ857" s="1">
        <v>17.0</v>
      </c>
      <c r="AK857" s="1">
        <v>60.0</v>
      </c>
      <c r="AL857" s="1">
        <v>135.0</v>
      </c>
      <c r="AM857" s="1">
        <v>65.0</v>
      </c>
      <c r="AN857" s="1">
        <v>43.0</v>
      </c>
      <c r="AO857" s="1">
        <v>9.0</v>
      </c>
      <c r="AP857" s="1">
        <v>0.037463</v>
      </c>
      <c r="AQ857" s="1">
        <v>0.015399</v>
      </c>
      <c r="AR857" s="1">
        <v>0.061468</v>
      </c>
      <c r="AS857" s="1">
        <v>0.07739</v>
      </c>
      <c r="AT857" s="1">
        <v>37492.0</v>
      </c>
      <c r="AU857" s="1">
        <v>4766.0</v>
      </c>
      <c r="AV857" s="1">
        <v>0.036253</v>
      </c>
      <c r="AW857" s="1">
        <v>0.056296</v>
      </c>
      <c r="AX857" s="1">
        <v>0.115801</v>
      </c>
      <c r="AY857" s="1">
        <v>0.250334</v>
      </c>
      <c r="AZ857" s="1">
        <v>0.10838631</v>
      </c>
      <c r="BA857" s="1">
        <v>0.128573</v>
      </c>
      <c r="BB857" s="1">
        <v>0.003572</v>
      </c>
      <c r="BC857" s="1">
        <v>0.054612</v>
      </c>
      <c r="BD857" s="1">
        <v>0.047088</v>
      </c>
      <c r="BE857" s="1">
        <v>0.042296</v>
      </c>
      <c r="BF857" s="1">
        <v>0.002786</v>
      </c>
      <c r="BG857" s="1">
        <v>0.004734</v>
      </c>
      <c r="BH857" s="1">
        <v>0.018639</v>
      </c>
      <c r="BI857" s="1">
        <v>0.041923</v>
      </c>
      <c r="BJ857" s="1">
        <v>0.020192</v>
      </c>
      <c r="BK857" s="1">
        <v>0.013302</v>
      </c>
      <c r="BL857" s="1">
        <v>0.001094</v>
      </c>
      <c r="BM857" s="1">
        <v>0.114</v>
      </c>
      <c r="BN857" s="1">
        <v>0.43</v>
      </c>
      <c r="BO857" s="1">
        <v>0.0888</v>
      </c>
      <c r="BP857" s="1">
        <v>0.085</v>
      </c>
      <c r="BQ857" s="1">
        <v>0.7178</v>
      </c>
      <c r="BR857" s="1">
        <v>0.1307</v>
      </c>
      <c r="BS857" s="1">
        <v>0.313</v>
      </c>
      <c r="BT857" s="1">
        <v>0.599</v>
      </c>
      <c r="BU857" s="1">
        <v>0.569</v>
      </c>
      <c r="BV857" s="1">
        <v>1.481</v>
      </c>
      <c r="BW857" s="1">
        <v>0.466</v>
      </c>
      <c r="BX857" s="1">
        <v>0.558</v>
      </c>
      <c r="BY857" s="1">
        <v>0.488</v>
      </c>
      <c r="BZ857" s="1">
        <v>1.046</v>
      </c>
      <c r="CA857" s="1">
        <v>0.58</v>
      </c>
      <c r="CB857" s="1">
        <v>0.644</v>
      </c>
      <c r="CC857" s="1">
        <v>0.369</v>
      </c>
      <c r="CD857" s="1">
        <v>0.656</v>
      </c>
      <c r="CE857" s="1">
        <v>0.184</v>
      </c>
      <c r="CF857" s="1">
        <v>0.405</v>
      </c>
      <c r="CG857" s="1">
        <v>2.258</v>
      </c>
      <c r="CH857" s="1">
        <v>0.443</v>
      </c>
      <c r="CI857" s="1">
        <v>5.5028</v>
      </c>
      <c r="CJ857" s="1">
        <v>0.2838</v>
      </c>
      <c r="CK857" s="1">
        <v>0.0</v>
      </c>
      <c r="CL857" s="1">
        <v>0.0</v>
      </c>
      <c r="CM857" s="1">
        <v>0.0</v>
      </c>
      <c r="CN857" s="1">
        <v>0.0</v>
      </c>
      <c r="CO857" s="1">
        <v>0.0</v>
      </c>
      <c r="CP857" s="1">
        <v>0.0</v>
      </c>
      <c r="CQ857" s="1">
        <v>0.0</v>
      </c>
      <c r="CR857" s="1">
        <v>0.0</v>
      </c>
      <c r="CS857" s="1">
        <v>0.0</v>
      </c>
      <c r="CT857" s="1">
        <v>0.0</v>
      </c>
      <c r="CU857" s="1">
        <v>0.0</v>
      </c>
      <c r="CV857" s="1">
        <v>0.0</v>
      </c>
      <c r="CW857" s="1">
        <v>0.0</v>
      </c>
      <c r="CX857" s="1">
        <v>0.0</v>
      </c>
      <c r="CY857" s="1">
        <v>0.0</v>
      </c>
      <c r="CZ857" s="1">
        <v>0.0</v>
      </c>
      <c r="DA857" s="1">
        <v>0.0</v>
      </c>
      <c r="DB857" s="1">
        <v>0.0</v>
      </c>
      <c r="DC857" s="1">
        <v>0.0</v>
      </c>
      <c r="DD857" s="1" t="s">
        <v>3995</v>
      </c>
      <c r="DE857" s="1">
        <v>0.0021289356251203</v>
      </c>
      <c r="DF857" s="2" t="s">
        <v>3996</v>
      </c>
    </row>
    <row r="858" ht="15.75" customHeight="1">
      <c r="A858" s="1" t="s">
        <v>3997</v>
      </c>
      <c r="B858" s="1">
        <v>29.0</v>
      </c>
      <c r="C858" s="1">
        <v>165.0</v>
      </c>
      <c r="D858" s="2" t="s">
        <v>3998</v>
      </c>
      <c r="E858" s="1">
        <v>2.265</v>
      </c>
      <c r="F858" s="1">
        <v>29165.0</v>
      </c>
      <c r="G858" s="1">
        <v>2.9165030002E10</v>
      </c>
      <c r="H858" s="1" t="s">
        <v>112</v>
      </c>
      <c r="I858" s="1" t="s">
        <v>113</v>
      </c>
      <c r="J858" s="1" t="s">
        <v>3951</v>
      </c>
      <c r="K858" s="1" t="s">
        <v>3999</v>
      </c>
      <c r="L858" s="1">
        <v>2828.0</v>
      </c>
      <c r="M858" s="1">
        <v>2747.0</v>
      </c>
      <c r="N858" s="1">
        <v>225.0</v>
      </c>
      <c r="O858" s="1">
        <v>1461.0</v>
      </c>
      <c r="P858" s="1">
        <v>1525.0</v>
      </c>
      <c r="Q858" s="1">
        <v>181.0</v>
      </c>
      <c r="R858" s="1">
        <v>1259.0</v>
      </c>
      <c r="S858" s="1">
        <v>557.0</v>
      </c>
      <c r="T858" s="1">
        <v>222.0</v>
      </c>
      <c r="U858" s="1">
        <v>193.0</v>
      </c>
      <c r="V858" s="1">
        <v>313.0</v>
      </c>
      <c r="W858" s="1">
        <v>19990.0</v>
      </c>
      <c r="X858" s="1">
        <v>2222.0</v>
      </c>
      <c r="Y858" s="1">
        <v>240.0</v>
      </c>
      <c r="Z858" s="1">
        <v>248.0</v>
      </c>
      <c r="AA858" s="1">
        <v>332.0</v>
      </c>
      <c r="AB858" s="1">
        <v>590.0</v>
      </c>
      <c r="AC858" s="1">
        <v>158.0</v>
      </c>
      <c r="AD858" s="1">
        <v>751.0</v>
      </c>
      <c r="AE858" s="1">
        <v>148.0</v>
      </c>
      <c r="AF858" s="1">
        <v>428.0</v>
      </c>
      <c r="AG858" s="1">
        <v>379.0</v>
      </c>
      <c r="AH858" s="1">
        <v>126.0</v>
      </c>
      <c r="AI858" s="1">
        <v>11.0</v>
      </c>
      <c r="AJ858" s="1">
        <v>11.0</v>
      </c>
      <c r="AK858" s="1">
        <v>63.0</v>
      </c>
      <c r="AL858" s="1">
        <v>134.0</v>
      </c>
      <c r="AM858" s="1">
        <v>58.0</v>
      </c>
      <c r="AN858" s="1">
        <v>51.0</v>
      </c>
      <c r="AO858" s="1">
        <v>123.0</v>
      </c>
      <c r="AP858" s="1">
        <v>0.210984</v>
      </c>
      <c r="AQ858" s="1">
        <v>0.081855</v>
      </c>
      <c r="AR858" s="1">
        <v>0.121155</v>
      </c>
      <c r="AS858" s="1">
        <v>0.195796</v>
      </c>
      <c r="AT858" s="1">
        <v>19990.0</v>
      </c>
      <c r="AU858" s="1">
        <v>2222.0</v>
      </c>
      <c r="AV858" s="1">
        <v>0.132158</v>
      </c>
      <c r="AW858" s="1">
        <v>0.13563</v>
      </c>
      <c r="AX858" s="1">
        <v>0.117397</v>
      </c>
      <c r="AY858" s="1">
        <v>0.208628</v>
      </c>
      <c r="AZ858" s="1">
        <v>0.12549642</v>
      </c>
      <c r="BA858" s="1">
        <v>0.265558</v>
      </c>
      <c r="BB858" s="1">
        <v>0.058359</v>
      </c>
      <c r="BC858" s="1">
        <v>0.168684</v>
      </c>
      <c r="BD858" s="1">
        <v>0.248524</v>
      </c>
      <c r="BE858" s="1">
        <v>0.077178</v>
      </c>
      <c r="BF858" s="1">
        <v>0.007213</v>
      </c>
      <c r="BG858" s="1">
        <v>0.007162</v>
      </c>
      <c r="BH858" s="1">
        <v>0.048989</v>
      </c>
      <c r="BI858" s="1">
        <v>0.10402</v>
      </c>
      <c r="BJ858" s="1">
        <v>0.045101</v>
      </c>
      <c r="BK858" s="1">
        <v>0.039258</v>
      </c>
      <c r="BL858" s="1">
        <v>0.043493</v>
      </c>
      <c r="BM858" s="1">
        <v>0.753</v>
      </c>
      <c r="BN858" s="1">
        <v>0.825</v>
      </c>
      <c r="BO858" s="1">
        <v>0.6159</v>
      </c>
      <c r="BP858" s="1">
        <v>0.48</v>
      </c>
      <c r="BQ858" s="1">
        <v>2.6739</v>
      </c>
      <c r="BR858" s="1">
        <v>0.7148</v>
      </c>
      <c r="BS858" s="1">
        <v>0.325</v>
      </c>
      <c r="BT858" s="1">
        <v>0.23</v>
      </c>
      <c r="BU858" s="1">
        <v>0.7</v>
      </c>
      <c r="BV858" s="1">
        <v>1.255</v>
      </c>
      <c r="BW858" s="1">
        <v>0.271</v>
      </c>
      <c r="BX858" s="1">
        <v>0.771</v>
      </c>
      <c r="BY858" s="1">
        <v>0.966</v>
      </c>
      <c r="BZ858" s="1">
        <v>1.737</v>
      </c>
      <c r="CA858" s="1">
        <v>0.941</v>
      </c>
      <c r="CB858" s="1">
        <v>0.92</v>
      </c>
      <c r="CC858" s="1">
        <v>0.429</v>
      </c>
      <c r="CD858" s="1">
        <v>0.933</v>
      </c>
      <c r="CE858" s="1">
        <v>0.444</v>
      </c>
      <c r="CF858" s="1">
        <v>0.876</v>
      </c>
      <c r="CG858" s="1">
        <v>3.602</v>
      </c>
      <c r="CH858" s="1">
        <v>0.956</v>
      </c>
      <c r="CI858" s="1">
        <v>9.2679</v>
      </c>
      <c r="CJ858" s="1">
        <v>0.8838</v>
      </c>
      <c r="CK858" s="1">
        <v>0.0</v>
      </c>
      <c r="CL858" s="1">
        <v>0.0</v>
      </c>
      <c r="CM858" s="1">
        <v>0.0</v>
      </c>
      <c r="CN858" s="1">
        <v>0.0</v>
      </c>
      <c r="CO858" s="1">
        <v>0.0</v>
      </c>
      <c r="CP858" s="1">
        <v>0.0</v>
      </c>
      <c r="CQ858" s="1">
        <v>0.0</v>
      </c>
      <c r="CR858" s="1">
        <v>0.0</v>
      </c>
      <c r="CS858" s="1">
        <v>0.0</v>
      </c>
      <c r="CT858" s="1">
        <v>0.0</v>
      </c>
      <c r="CU858" s="1">
        <v>1.0</v>
      </c>
      <c r="CV858" s="1">
        <v>1.0</v>
      </c>
      <c r="CW858" s="1">
        <v>1.0</v>
      </c>
      <c r="CX858" s="1">
        <v>0.0</v>
      </c>
      <c r="CY858" s="1">
        <v>1.0</v>
      </c>
      <c r="CZ858" s="1">
        <v>0.0</v>
      </c>
      <c r="DA858" s="1">
        <v>0.0</v>
      </c>
      <c r="DB858" s="1">
        <v>2.0</v>
      </c>
      <c r="DC858" s="1">
        <v>3.0</v>
      </c>
      <c r="DD858" s="1" t="s">
        <v>4000</v>
      </c>
      <c r="DE858" s="1">
        <v>6.35116157024797E-4</v>
      </c>
      <c r="DF858" s="2" t="s">
        <v>4001</v>
      </c>
    </row>
    <row r="859" ht="15.75" customHeight="1">
      <c r="A859" s="1" t="s">
        <v>4002</v>
      </c>
      <c r="B859" s="1">
        <v>29.0</v>
      </c>
      <c r="C859" s="1">
        <v>165.0</v>
      </c>
      <c r="D859" s="2" t="s">
        <v>4003</v>
      </c>
      <c r="E859" s="1">
        <v>5.93</v>
      </c>
      <c r="F859" s="1">
        <v>29165.0</v>
      </c>
      <c r="G859" s="1">
        <v>2.9165030101E10</v>
      </c>
      <c r="H859" s="1" t="s">
        <v>112</v>
      </c>
      <c r="I859" s="1" t="s">
        <v>113</v>
      </c>
      <c r="J859" s="1" t="s">
        <v>3951</v>
      </c>
      <c r="K859" s="1" t="s">
        <v>4004</v>
      </c>
      <c r="L859" s="1">
        <v>3194.0</v>
      </c>
      <c r="M859" s="1">
        <v>3229.0</v>
      </c>
      <c r="N859" s="1">
        <v>266.0</v>
      </c>
      <c r="O859" s="1">
        <v>1294.0</v>
      </c>
      <c r="P859" s="1">
        <v>1292.0</v>
      </c>
      <c r="Q859" s="1">
        <v>93.0</v>
      </c>
      <c r="R859" s="1">
        <v>1217.0</v>
      </c>
      <c r="S859" s="1">
        <v>178.0</v>
      </c>
      <c r="T859" s="1">
        <v>93.0</v>
      </c>
      <c r="U859" s="1">
        <v>88.0</v>
      </c>
      <c r="V859" s="1">
        <v>398.0</v>
      </c>
      <c r="W859" s="1">
        <v>36292.0</v>
      </c>
      <c r="X859" s="1">
        <v>3681.0</v>
      </c>
      <c r="Y859" s="1">
        <v>176.0</v>
      </c>
      <c r="Z859" s="1">
        <v>308.0</v>
      </c>
      <c r="AA859" s="1">
        <v>360.0</v>
      </c>
      <c r="AB859" s="1">
        <v>746.0</v>
      </c>
      <c r="AC859" s="1">
        <v>103.0</v>
      </c>
      <c r="AD859" s="1">
        <v>388.0</v>
      </c>
      <c r="AE859" s="1">
        <v>0.0</v>
      </c>
      <c r="AF859" s="1">
        <v>456.0</v>
      </c>
      <c r="AG859" s="1">
        <v>0.0</v>
      </c>
      <c r="AH859" s="1">
        <v>197.0</v>
      </c>
      <c r="AI859" s="1">
        <v>29.0</v>
      </c>
      <c r="AJ859" s="1">
        <v>25.0</v>
      </c>
      <c r="AK859" s="1">
        <v>36.0</v>
      </c>
      <c r="AL859" s="1">
        <v>119.0</v>
      </c>
      <c r="AM859" s="1">
        <v>10.0</v>
      </c>
      <c r="AN859" s="1">
        <v>10.0</v>
      </c>
      <c r="AO859" s="1">
        <v>24.0</v>
      </c>
      <c r="AP859" s="1">
        <v>0.055434</v>
      </c>
      <c r="AQ859" s="1">
        <v>0.028604</v>
      </c>
      <c r="AR859" s="1">
        <v>0.050837</v>
      </c>
      <c r="AS859" s="1">
        <v>0.229849</v>
      </c>
      <c r="AT859" s="1">
        <v>36292.0</v>
      </c>
      <c r="AU859" s="1">
        <v>3681.0</v>
      </c>
      <c r="AV859" s="1">
        <v>0.079566</v>
      </c>
      <c r="AW859" s="1">
        <v>0.139079</v>
      </c>
      <c r="AX859" s="1">
        <v>0.112711</v>
      </c>
      <c r="AY859" s="1">
        <v>0.233562</v>
      </c>
      <c r="AZ859" s="1">
        <v>0.08463434</v>
      </c>
      <c r="BA859" s="1">
        <v>0.121477</v>
      </c>
      <c r="BB859" s="1">
        <v>0.0</v>
      </c>
      <c r="BC859" s="1">
        <v>0.150395</v>
      </c>
      <c r="BD859" s="1">
        <v>0.0</v>
      </c>
      <c r="BE859" s="1">
        <v>0.152476</v>
      </c>
      <c r="BF859" s="1">
        <v>0.022445</v>
      </c>
      <c r="BG859" s="1">
        <v>0.019282</v>
      </c>
      <c r="BH859" s="1">
        <v>0.031358</v>
      </c>
      <c r="BI859" s="1">
        <v>0.103619</v>
      </c>
      <c r="BJ859" s="1">
        <v>0.00871</v>
      </c>
      <c r="BK859" s="1">
        <v>0.008674</v>
      </c>
      <c r="BL859" s="1">
        <v>0.007514</v>
      </c>
      <c r="BM859" s="1">
        <v>0.189</v>
      </c>
      <c r="BN859" s="1">
        <v>0.299</v>
      </c>
      <c r="BO859" s="1">
        <v>0.0989</v>
      </c>
      <c r="BP859" s="1">
        <v>0.245</v>
      </c>
      <c r="BQ859" s="1">
        <v>0.8319</v>
      </c>
      <c r="BR859" s="1">
        <v>0.1682</v>
      </c>
      <c r="BS859" s="1">
        <v>0.292</v>
      </c>
      <c r="BT859" s="1">
        <v>0.425</v>
      </c>
      <c r="BU859" s="1">
        <v>0.354</v>
      </c>
      <c r="BV859" s="1">
        <v>1.071</v>
      </c>
      <c r="BW859" s="1">
        <v>0.147</v>
      </c>
      <c r="BX859" s="1">
        <v>0.541</v>
      </c>
      <c r="BY859" s="1">
        <v>0.0</v>
      </c>
      <c r="BZ859" s="1">
        <v>0.541</v>
      </c>
      <c r="CA859" s="1">
        <v>0.235</v>
      </c>
      <c r="CB859" s="1">
        <v>0.0</v>
      </c>
      <c r="CC859" s="1">
        <v>0.524</v>
      </c>
      <c r="CD859" s="1">
        <v>0.823</v>
      </c>
      <c r="CE859" s="1">
        <v>0.071</v>
      </c>
      <c r="CF859" s="1">
        <v>0.543</v>
      </c>
      <c r="CG859" s="1">
        <v>1.961</v>
      </c>
      <c r="CH859" s="1">
        <v>0.331</v>
      </c>
      <c r="CI859" s="1">
        <v>4.4049</v>
      </c>
      <c r="CJ859" s="1">
        <v>0.1242</v>
      </c>
      <c r="CK859" s="1">
        <v>0.0</v>
      </c>
      <c r="CL859" s="1">
        <v>0.0</v>
      </c>
      <c r="CM859" s="1">
        <v>0.0</v>
      </c>
      <c r="CN859" s="1">
        <v>0.0</v>
      </c>
      <c r="CO859" s="1">
        <v>0.0</v>
      </c>
      <c r="CP859" s="1">
        <v>0.0</v>
      </c>
      <c r="CQ859" s="1">
        <v>0.0</v>
      </c>
      <c r="CR859" s="1">
        <v>0.0</v>
      </c>
      <c r="CS859" s="1">
        <v>0.0</v>
      </c>
      <c r="CT859" s="1">
        <v>0.0</v>
      </c>
      <c r="CU859" s="1">
        <v>0.0</v>
      </c>
      <c r="CV859" s="1">
        <v>0.0</v>
      </c>
      <c r="CW859" s="1">
        <v>0.0</v>
      </c>
      <c r="CX859" s="1">
        <v>0.0</v>
      </c>
      <c r="CY859" s="1">
        <v>0.0</v>
      </c>
      <c r="CZ859" s="1">
        <v>0.0</v>
      </c>
      <c r="DA859" s="1">
        <v>0.0</v>
      </c>
      <c r="DB859" s="1">
        <v>0.0</v>
      </c>
      <c r="DC859" s="1">
        <v>0.0</v>
      </c>
      <c r="DD859" s="1" t="s">
        <v>4005</v>
      </c>
      <c r="DE859" s="1">
        <v>0.00167642379744902</v>
      </c>
      <c r="DF859" s="2" t="s">
        <v>4006</v>
      </c>
    </row>
    <row r="860" ht="15.75" customHeight="1">
      <c r="A860" s="1" t="s">
        <v>4007</v>
      </c>
      <c r="B860" s="1">
        <v>29.0</v>
      </c>
      <c r="C860" s="1">
        <v>165.0</v>
      </c>
      <c r="D860" s="2" t="s">
        <v>4008</v>
      </c>
      <c r="E860" s="1">
        <v>3.194</v>
      </c>
      <c r="F860" s="1">
        <v>29165.0</v>
      </c>
      <c r="G860" s="1">
        <v>2.9165030103E10</v>
      </c>
      <c r="H860" s="1" t="s">
        <v>112</v>
      </c>
      <c r="I860" s="1" t="s">
        <v>113</v>
      </c>
      <c r="J860" s="1" t="s">
        <v>3951</v>
      </c>
      <c r="K860" s="1" t="s">
        <v>4009</v>
      </c>
      <c r="L860" s="1">
        <v>5365.0</v>
      </c>
      <c r="M860" s="1">
        <v>5210.0</v>
      </c>
      <c r="N860" s="1">
        <v>403.0</v>
      </c>
      <c r="O860" s="1">
        <v>2185.0</v>
      </c>
      <c r="P860" s="1">
        <v>2206.0</v>
      </c>
      <c r="Q860" s="1">
        <v>117.0</v>
      </c>
      <c r="R860" s="1">
        <v>2067.0</v>
      </c>
      <c r="S860" s="1">
        <v>258.0</v>
      </c>
      <c r="T860" s="1">
        <v>167.0</v>
      </c>
      <c r="U860" s="1">
        <v>73.0</v>
      </c>
      <c r="V860" s="1">
        <v>459.0</v>
      </c>
      <c r="W860" s="1">
        <v>43006.0</v>
      </c>
      <c r="X860" s="1">
        <v>5883.0</v>
      </c>
      <c r="Y860" s="1">
        <v>130.0</v>
      </c>
      <c r="Z860" s="1">
        <v>369.0</v>
      </c>
      <c r="AA860" s="1">
        <v>779.0</v>
      </c>
      <c r="AB860" s="1">
        <v>1253.0</v>
      </c>
      <c r="AC860" s="1">
        <v>164.0</v>
      </c>
      <c r="AD860" s="1">
        <v>864.0</v>
      </c>
      <c r="AE860" s="1">
        <v>33.0</v>
      </c>
      <c r="AF860" s="1">
        <v>428.0</v>
      </c>
      <c r="AG860" s="1">
        <v>435.0</v>
      </c>
      <c r="AH860" s="1">
        <v>106.0</v>
      </c>
      <c r="AI860" s="1">
        <v>23.0</v>
      </c>
      <c r="AJ860" s="1">
        <v>30.0</v>
      </c>
      <c r="AK860" s="1">
        <v>0.0</v>
      </c>
      <c r="AL860" s="1">
        <v>161.0</v>
      </c>
      <c r="AM860" s="1">
        <v>191.0</v>
      </c>
      <c r="AN860" s="1">
        <v>68.0</v>
      </c>
      <c r="AO860" s="1">
        <v>395.0</v>
      </c>
      <c r="AP860" s="1">
        <v>0.052364</v>
      </c>
      <c r="AQ860" s="1">
        <v>0.033619</v>
      </c>
      <c r="AR860" s="1">
        <v>0.029626</v>
      </c>
      <c r="AS860" s="1">
        <v>0.186246</v>
      </c>
      <c r="AT860" s="1">
        <v>43006.0</v>
      </c>
      <c r="AU860" s="1">
        <v>5883.0</v>
      </c>
      <c r="AV860" s="1">
        <v>0.038875</v>
      </c>
      <c r="AW860" s="1">
        <v>0.110297</v>
      </c>
      <c r="AX860" s="1">
        <v>0.1452</v>
      </c>
      <c r="AY860" s="1">
        <v>0.23355</v>
      </c>
      <c r="AZ860" s="1">
        <v>0.07934204</v>
      </c>
      <c r="BA860" s="1">
        <v>0.161043</v>
      </c>
      <c r="BB860" s="1">
        <v>0.006646</v>
      </c>
      <c r="BC860" s="1">
        <v>0.086201</v>
      </c>
      <c r="BD860" s="1">
        <v>0.197189</v>
      </c>
      <c r="BE860" s="1">
        <v>0.046898</v>
      </c>
      <c r="BF860" s="1">
        <v>0.010426</v>
      </c>
      <c r="BG860" s="1">
        <v>0.013588</v>
      </c>
      <c r="BH860" s="1">
        <v>0.0</v>
      </c>
      <c r="BI860" s="1">
        <v>0.078651</v>
      </c>
      <c r="BJ860" s="1">
        <v>0.093307</v>
      </c>
      <c r="BK860" s="1">
        <v>0.032419</v>
      </c>
      <c r="BL860" s="1">
        <v>0.073625</v>
      </c>
      <c r="BM860" s="1">
        <v>0.178</v>
      </c>
      <c r="BN860" s="1">
        <v>0.085</v>
      </c>
      <c r="BO860" s="1">
        <v>0.0477</v>
      </c>
      <c r="BP860" s="1">
        <v>0.092</v>
      </c>
      <c r="BQ860" s="1">
        <v>0.4027</v>
      </c>
      <c r="BR860" s="1">
        <v>0.0397</v>
      </c>
      <c r="BS860" s="1">
        <v>0.542</v>
      </c>
      <c r="BT860" s="1">
        <v>0.425</v>
      </c>
      <c r="BU860" s="1">
        <v>0.298</v>
      </c>
      <c r="BV860" s="1">
        <v>1.265</v>
      </c>
      <c r="BW860" s="1">
        <v>0.279</v>
      </c>
      <c r="BX860" s="1">
        <v>0.652</v>
      </c>
      <c r="BY860" s="1">
        <v>0.62</v>
      </c>
      <c r="BZ860" s="1">
        <v>1.272</v>
      </c>
      <c r="CA860" s="1">
        <v>0.699</v>
      </c>
      <c r="CB860" s="1">
        <v>0.892</v>
      </c>
      <c r="CC860" s="1">
        <v>0.461</v>
      </c>
      <c r="CD860" s="1">
        <v>0.0</v>
      </c>
      <c r="CE860" s="1">
        <v>0.732</v>
      </c>
      <c r="CF860" s="1">
        <v>0.928</v>
      </c>
      <c r="CG860" s="1">
        <v>3.013</v>
      </c>
      <c r="CH860" s="1">
        <v>0.782</v>
      </c>
      <c r="CI860" s="1">
        <v>5.9527</v>
      </c>
      <c r="CJ860" s="1">
        <v>0.3639</v>
      </c>
      <c r="CK860" s="1">
        <v>0.0</v>
      </c>
      <c r="CL860" s="1">
        <v>0.0</v>
      </c>
      <c r="CM860" s="1">
        <v>0.0</v>
      </c>
      <c r="CN860" s="1">
        <v>0.0</v>
      </c>
      <c r="CO860" s="1">
        <v>0.0</v>
      </c>
      <c r="CP860" s="1">
        <v>0.0</v>
      </c>
      <c r="CQ860" s="1">
        <v>0.0</v>
      </c>
      <c r="CR860" s="1">
        <v>0.0</v>
      </c>
      <c r="CS860" s="1">
        <v>0.0</v>
      </c>
      <c r="CT860" s="1">
        <v>0.0</v>
      </c>
      <c r="CU860" s="1">
        <v>0.0</v>
      </c>
      <c r="CV860" s="1">
        <v>0.0</v>
      </c>
      <c r="CW860" s="1">
        <v>0.0</v>
      </c>
      <c r="CX860" s="1">
        <v>0.0</v>
      </c>
      <c r="CY860" s="1">
        <v>0.0</v>
      </c>
      <c r="CZ860" s="1">
        <v>0.0</v>
      </c>
      <c r="DA860" s="1">
        <v>1.0</v>
      </c>
      <c r="DB860" s="1">
        <v>1.0</v>
      </c>
      <c r="DC860" s="1">
        <v>1.0</v>
      </c>
      <c r="DD860" s="1" t="s">
        <v>4010</v>
      </c>
      <c r="DE860" s="1">
        <v>9.72384751525374E-4</v>
      </c>
      <c r="DF860" s="2" t="s">
        <v>4011</v>
      </c>
    </row>
    <row r="861" ht="15.75" customHeight="1">
      <c r="A861" s="1" t="s">
        <v>4012</v>
      </c>
      <c r="B861" s="1">
        <v>29.0</v>
      </c>
      <c r="C861" s="1">
        <v>165.0</v>
      </c>
      <c r="D861" s="2" t="s">
        <v>4013</v>
      </c>
      <c r="E861" s="1">
        <v>10.866</v>
      </c>
      <c r="F861" s="1">
        <v>29165.0</v>
      </c>
      <c r="G861" s="1">
        <v>2.9165030306E10</v>
      </c>
      <c r="H861" s="1" t="s">
        <v>112</v>
      </c>
      <c r="I861" s="1" t="s">
        <v>113</v>
      </c>
      <c r="J861" s="1" t="s">
        <v>3951</v>
      </c>
      <c r="K861" s="1" t="s">
        <v>4014</v>
      </c>
      <c r="L861" s="1">
        <v>3504.0</v>
      </c>
      <c r="M861" s="1">
        <v>3522.0</v>
      </c>
      <c r="N861" s="1">
        <v>279.0</v>
      </c>
      <c r="O861" s="1">
        <v>1152.0</v>
      </c>
      <c r="P861" s="1">
        <v>1126.0</v>
      </c>
      <c r="Q861" s="1">
        <v>65.0</v>
      </c>
      <c r="R861" s="1">
        <v>1119.0</v>
      </c>
      <c r="S861" s="1">
        <v>103.0</v>
      </c>
      <c r="T861" s="1">
        <v>118.0</v>
      </c>
      <c r="U861" s="1">
        <v>75.0</v>
      </c>
      <c r="V861" s="1">
        <v>459.0</v>
      </c>
      <c r="W861" s="1">
        <v>42991.0</v>
      </c>
      <c r="X861" s="1">
        <v>5071.0</v>
      </c>
      <c r="Y861" s="1">
        <v>70.0</v>
      </c>
      <c r="Z861" s="1">
        <v>345.0</v>
      </c>
      <c r="AA861" s="1">
        <v>191.0</v>
      </c>
      <c r="AB861" s="1">
        <v>1172.0</v>
      </c>
      <c r="AC861" s="1">
        <v>55.0</v>
      </c>
      <c r="AD861" s="1">
        <v>243.0</v>
      </c>
      <c r="AE861" s="1">
        <v>59.0</v>
      </c>
      <c r="AF861" s="1">
        <v>429.0</v>
      </c>
      <c r="AG861" s="1">
        <v>0.0</v>
      </c>
      <c r="AH861" s="1">
        <v>197.0</v>
      </c>
      <c r="AI861" s="1">
        <v>33.0</v>
      </c>
      <c r="AJ861" s="1">
        <v>38.0</v>
      </c>
      <c r="AK861" s="1">
        <v>0.0</v>
      </c>
      <c r="AL861" s="1">
        <v>161.0</v>
      </c>
      <c r="AM861" s="1">
        <v>0.0</v>
      </c>
      <c r="AN861" s="1">
        <v>161.0</v>
      </c>
      <c r="AO861" s="1">
        <v>0.0</v>
      </c>
      <c r="AP861" s="1">
        <v>0.029244</v>
      </c>
      <c r="AQ861" s="1">
        <v>0.033423</v>
      </c>
      <c r="AR861" s="1">
        <v>0.038284</v>
      </c>
      <c r="AS861" s="1">
        <v>0.234259</v>
      </c>
      <c r="AT861" s="1">
        <v>42991.0</v>
      </c>
      <c r="AU861" s="1">
        <v>5071.0</v>
      </c>
      <c r="AV861" s="1">
        <v>0.032258</v>
      </c>
      <c r="AW861" s="1">
        <v>0.158971</v>
      </c>
      <c r="AX861" s="1">
        <v>0.054509</v>
      </c>
      <c r="AY861" s="1">
        <v>0.334474</v>
      </c>
      <c r="AZ861" s="1">
        <v>0.04915102</v>
      </c>
      <c r="BA861" s="1">
        <v>0.069349</v>
      </c>
      <c r="BB861" s="1">
        <v>0.018176</v>
      </c>
      <c r="BC861" s="1">
        <v>0.132154</v>
      </c>
      <c r="BD861" s="1">
        <v>0.0</v>
      </c>
      <c r="BE861" s="1">
        <v>0.174955</v>
      </c>
      <c r="BF861" s="1">
        <v>0.029307</v>
      </c>
      <c r="BG861" s="1">
        <v>0.033705</v>
      </c>
      <c r="BH861" s="1">
        <v>0.0</v>
      </c>
      <c r="BI861" s="1">
        <v>0.148936</v>
      </c>
      <c r="BJ861" s="1">
        <v>0.0</v>
      </c>
      <c r="BK861" s="1">
        <v>0.148936</v>
      </c>
      <c r="BL861" s="1">
        <v>0.0</v>
      </c>
      <c r="BM861" s="1">
        <v>0.086</v>
      </c>
      <c r="BN861" s="1">
        <v>0.166</v>
      </c>
      <c r="BO861" s="1">
        <v>0.0484</v>
      </c>
      <c r="BP861" s="1">
        <v>0.068</v>
      </c>
      <c r="BQ861" s="1">
        <v>0.3684</v>
      </c>
      <c r="BR861" s="1">
        <v>0.0325</v>
      </c>
      <c r="BS861" s="1">
        <v>0.032</v>
      </c>
      <c r="BT861" s="1">
        <v>0.979</v>
      </c>
      <c r="BU861" s="1">
        <v>0.068</v>
      </c>
      <c r="BV861" s="1">
        <v>1.079</v>
      </c>
      <c r="BW861" s="1">
        <v>0.153</v>
      </c>
      <c r="BX861" s="1">
        <v>0.359</v>
      </c>
      <c r="BY861" s="1">
        <v>0.846</v>
      </c>
      <c r="BZ861" s="1">
        <v>1.205</v>
      </c>
      <c r="CA861" s="1">
        <v>0.664</v>
      </c>
      <c r="CB861" s="1">
        <v>0.0</v>
      </c>
      <c r="CC861" s="1">
        <v>0.547</v>
      </c>
      <c r="CD861" s="1">
        <v>0.0</v>
      </c>
      <c r="CE861" s="1">
        <v>0.0</v>
      </c>
      <c r="CF861" s="1">
        <v>0.0</v>
      </c>
      <c r="CG861" s="1">
        <v>0.547</v>
      </c>
      <c r="CH861" s="1">
        <v>0.035</v>
      </c>
      <c r="CI861" s="1">
        <v>3.1994</v>
      </c>
      <c r="CJ861" s="1">
        <v>0.0289</v>
      </c>
      <c r="CK861" s="1">
        <v>0.0</v>
      </c>
      <c r="CL861" s="1">
        <v>0.0</v>
      </c>
      <c r="CM861" s="1">
        <v>0.0</v>
      </c>
      <c r="CN861" s="1">
        <v>0.0</v>
      </c>
      <c r="CO861" s="1">
        <v>0.0</v>
      </c>
      <c r="CP861" s="1">
        <v>0.0</v>
      </c>
      <c r="CQ861" s="1">
        <v>1.0</v>
      </c>
      <c r="CR861" s="1">
        <v>0.0</v>
      </c>
      <c r="CS861" s="1">
        <v>1.0</v>
      </c>
      <c r="CT861" s="1">
        <v>0.0</v>
      </c>
      <c r="CU861" s="1">
        <v>0.0</v>
      </c>
      <c r="CV861" s="1">
        <v>0.0</v>
      </c>
      <c r="CW861" s="1">
        <v>0.0</v>
      </c>
      <c r="CX861" s="1">
        <v>0.0</v>
      </c>
      <c r="CY861" s="1">
        <v>0.0</v>
      </c>
      <c r="CZ861" s="1">
        <v>0.0</v>
      </c>
      <c r="DA861" s="1">
        <v>0.0</v>
      </c>
      <c r="DB861" s="1">
        <v>0.0</v>
      </c>
      <c r="DC861" s="1">
        <v>1.0</v>
      </c>
      <c r="DD861" s="1" t="s">
        <v>4015</v>
      </c>
      <c r="DE861" s="1">
        <v>0.0030317556996063</v>
      </c>
      <c r="DF861" s="2" t="s">
        <v>4016</v>
      </c>
    </row>
    <row r="862" ht="15.75" customHeight="1">
      <c r="A862" s="1" t="s">
        <v>4017</v>
      </c>
      <c r="B862" s="1">
        <v>29.0</v>
      </c>
      <c r="C862" s="1">
        <v>165.0</v>
      </c>
      <c r="D862" s="2" t="s">
        <v>4018</v>
      </c>
      <c r="E862" s="1">
        <v>16.74</v>
      </c>
      <c r="F862" s="1">
        <v>29165.0</v>
      </c>
      <c r="G862" s="1">
        <v>2.9165030307E10</v>
      </c>
      <c r="H862" s="1" t="s">
        <v>112</v>
      </c>
      <c r="I862" s="1" t="s">
        <v>113</v>
      </c>
      <c r="J862" s="1" t="s">
        <v>3951</v>
      </c>
      <c r="K862" s="1" t="s">
        <v>4019</v>
      </c>
      <c r="L862" s="1">
        <v>11.0</v>
      </c>
      <c r="M862" s="1">
        <v>20.0</v>
      </c>
      <c r="N862" s="1">
        <v>28.0</v>
      </c>
      <c r="O862" s="1">
        <v>4.0</v>
      </c>
      <c r="P862" s="1">
        <v>10.0</v>
      </c>
      <c r="Q862" s="1">
        <v>13.0</v>
      </c>
      <c r="R862" s="1">
        <v>4.0</v>
      </c>
      <c r="S862" s="1">
        <v>0.0</v>
      </c>
      <c r="T862" s="1">
        <v>161.0</v>
      </c>
      <c r="U862" s="1">
        <v>0.0</v>
      </c>
      <c r="V862" s="1">
        <v>510.0</v>
      </c>
      <c r="W862" s="1">
        <v>-999.0</v>
      </c>
      <c r="X862" s="1">
        <v>-999.0</v>
      </c>
      <c r="Y862" s="1">
        <v>10.0</v>
      </c>
      <c r="Z862" s="1">
        <v>442.0</v>
      </c>
      <c r="AA862" s="1">
        <v>2.0</v>
      </c>
      <c r="AB862" s="1">
        <v>3.0</v>
      </c>
      <c r="AC862" s="1">
        <v>1.0</v>
      </c>
      <c r="AD862" s="1">
        <v>0.0</v>
      </c>
      <c r="AE862" s="1">
        <v>0.0</v>
      </c>
      <c r="AF862" s="1">
        <v>456.0</v>
      </c>
      <c r="AG862" s="1">
        <v>0.0</v>
      </c>
      <c r="AH862" s="1">
        <v>197.0</v>
      </c>
      <c r="AI862" s="1">
        <v>0.0</v>
      </c>
      <c r="AJ862" s="1">
        <v>114.0</v>
      </c>
      <c r="AK862" s="1">
        <v>0.0</v>
      </c>
      <c r="AL862" s="1">
        <v>161.0</v>
      </c>
      <c r="AM862" s="1">
        <v>0.0</v>
      </c>
      <c r="AN862" s="1">
        <v>161.0</v>
      </c>
      <c r="AO862" s="1">
        <v>0.0</v>
      </c>
      <c r="AP862" s="1">
        <v>0.0</v>
      </c>
      <c r="AQ862" s="1">
        <v>-999.0</v>
      </c>
      <c r="AR862" s="1">
        <v>0.0</v>
      </c>
      <c r="AS862" s="1">
        <v>-999.0</v>
      </c>
      <c r="AT862" s="1">
        <v>-999.0</v>
      </c>
      <c r="AU862" s="1">
        <v>-999.0</v>
      </c>
      <c r="AV862" s="1">
        <v>0.5</v>
      </c>
      <c r="AW862" s="1">
        <v>-999.0</v>
      </c>
      <c r="AX862" s="1">
        <v>0.181818</v>
      </c>
      <c r="AY862" s="1">
        <v>0.272727</v>
      </c>
      <c r="AZ862" s="1">
        <v>0.25</v>
      </c>
      <c r="BA862" s="1">
        <v>0.0</v>
      </c>
      <c r="BB862" s="1">
        <v>0.0</v>
      </c>
      <c r="BC862" s="1">
        <v>-999.0</v>
      </c>
      <c r="BD862" s="1">
        <v>0.0</v>
      </c>
      <c r="BE862" s="1">
        <v>-999.0</v>
      </c>
      <c r="BF862" s="1">
        <v>0.0</v>
      </c>
      <c r="BG862" s="1">
        <v>-999.0</v>
      </c>
      <c r="BH862" s="1">
        <v>0.0</v>
      </c>
      <c r="BI862" s="1">
        <v>-999.0</v>
      </c>
      <c r="BJ862" s="1">
        <v>0.0</v>
      </c>
      <c r="BK862" s="1">
        <v>-999.0</v>
      </c>
      <c r="BL862" s="1">
        <v>0.0</v>
      </c>
      <c r="BM862" s="1">
        <v>0.0</v>
      </c>
      <c r="BN862" s="1">
        <v>0.0</v>
      </c>
      <c r="BO862" s="1">
        <v>-999.0</v>
      </c>
      <c r="BP862" s="1">
        <v>0.999</v>
      </c>
      <c r="BQ862" s="1">
        <v>-999.0</v>
      </c>
      <c r="BR862" s="1">
        <v>-999.0</v>
      </c>
      <c r="BS862" s="1">
        <v>0.802</v>
      </c>
      <c r="BT862" s="1">
        <v>0.809</v>
      </c>
      <c r="BU862" s="1">
        <v>0.946</v>
      </c>
      <c r="BV862" s="1">
        <v>2.557</v>
      </c>
      <c r="BW862" s="1">
        <v>0.997</v>
      </c>
      <c r="BX862" s="1">
        <v>0.0</v>
      </c>
      <c r="BY862" s="1">
        <v>0.0</v>
      </c>
      <c r="BZ862" s="1">
        <v>0.0</v>
      </c>
      <c r="CA862" s="1">
        <v>0.0</v>
      </c>
      <c r="CB862" s="1">
        <v>0.0</v>
      </c>
      <c r="CC862" s="1">
        <v>0.0</v>
      </c>
      <c r="CD862" s="1">
        <v>0.0</v>
      </c>
      <c r="CE862" s="1">
        <v>0.0</v>
      </c>
      <c r="CF862" s="1">
        <v>0.0</v>
      </c>
      <c r="CG862" s="1">
        <v>0.0</v>
      </c>
      <c r="CH862" s="1">
        <v>0.0</v>
      </c>
      <c r="CI862" s="1">
        <v>-999.0</v>
      </c>
      <c r="CJ862" s="1">
        <v>-999.0</v>
      </c>
      <c r="CK862" s="1">
        <v>0.0</v>
      </c>
      <c r="CL862" s="1">
        <v>0.0</v>
      </c>
      <c r="CM862" s="1">
        <v>-999.0</v>
      </c>
      <c r="CN862" s="1">
        <v>1.0</v>
      </c>
      <c r="CO862" s="1">
        <v>-999.0</v>
      </c>
      <c r="CP862" s="1">
        <v>0.0</v>
      </c>
      <c r="CQ862" s="1">
        <v>0.0</v>
      </c>
      <c r="CR862" s="1">
        <v>1.0</v>
      </c>
      <c r="CS862" s="1">
        <v>1.0</v>
      </c>
      <c r="CT862" s="1">
        <v>0.0</v>
      </c>
      <c r="CU862" s="1">
        <v>0.0</v>
      </c>
      <c r="CV862" s="1">
        <v>0.0</v>
      </c>
      <c r="CW862" s="1">
        <v>0.0</v>
      </c>
      <c r="CX862" s="1">
        <v>0.0</v>
      </c>
      <c r="CY862" s="1">
        <v>0.0</v>
      </c>
      <c r="CZ862" s="1">
        <v>0.0</v>
      </c>
      <c r="DA862" s="1">
        <v>0.0</v>
      </c>
      <c r="DB862" s="1">
        <v>0.0</v>
      </c>
      <c r="DC862" s="1">
        <v>-999.0</v>
      </c>
      <c r="DD862" s="1" t="s">
        <v>4020</v>
      </c>
      <c r="DE862" s="1">
        <v>0.00455465389568521</v>
      </c>
      <c r="DF862" s="2" t="s">
        <v>4021</v>
      </c>
    </row>
    <row r="863" ht="15.75" customHeight="1">
      <c r="A863" s="1" t="s">
        <v>4022</v>
      </c>
      <c r="B863" s="1">
        <v>29.0</v>
      </c>
      <c r="C863" s="1">
        <v>165.0</v>
      </c>
      <c r="D863" s="2" t="s">
        <v>4023</v>
      </c>
      <c r="E863" s="1">
        <v>9.162</v>
      </c>
      <c r="F863" s="1">
        <v>29165.0</v>
      </c>
      <c r="G863" s="1">
        <v>2.9165030308E10</v>
      </c>
      <c r="H863" s="1" t="s">
        <v>112</v>
      </c>
      <c r="I863" s="1" t="s">
        <v>113</v>
      </c>
      <c r="J863" s="1" t="s">
        <v>3951</v>
      </c>
      <c r="K863" s="1" t="s">
        <v>4024</v>
      </c>
      <c r="L863" s="1">
        <v>5023.0</v>
      </c>
      <c r="M863" s="1">
        <v>4229.0</v>
      </c>
      <c r="N863" s="1">
        <v>265.0</v>
      </c>
      <c r="O863" s="1">
        <v>2492.0</v>
      </c>
      <c r="P863" s="1">
        <v>2086.0</v>
      </c>
      <c r="Q863" s="1">
        <v>74.0</v>
      </c>
      <c r="R863" s="1">
        <v>2268.0</v>
      </c>
      <c r="S863" s="1">
        <v>223.0</v>
      </c>
      <c r="T863" s="1">
        <v>187.0</v>
      </c>
      <c r="U863" s="1">
        <v>38.0</v>
      </c>
      <c r="V863" s="1">
        <v>472.0</v>
      </c>
      <c r="W863" s="1">
        <v>37095.0</v>
      </c>
      <c r="X863" s="1">
        <v>3185.0</v>
      </c>
      <c r="Y863" s="1">
        <v>111.0</v>
      </c>
      <c r="Z863" s="1">
        <v>307.0</v>
      </c>
      <c r="AA863" s="1">
        <v>403.0</v>
      </c>
      <c r="AB863" s="1">
        <v>1169.0</v>
      </c>
      <c r="AC863" s="1">
        <v>162.0</v>
      </c>
      <c r="AD863" s="1">
        <v>1129.0</v>
      </c>
      <c r="AE863" s="1">
        <v>82.0</v>
      </c>
      <c r="AF863" s="1">
        <v>416.0</v>
      </c>
      <c r="AG863" s="1">
        <v>673.0</v>
      </c>
      <c r="AH863" s="1">
        <v>161.0</v>
      </c>
      <c r="AI863" s="1">
        <v>0.0</v>
      </c>
      <c r="AJ863" s="1">
        <v>114.0</v>
      </c>
      <c r="AK863" s="1">
        <v>0.0</v>
      </c>
      <c r="AL863" s="1">
        <v>161.0</v>
      </c>
      <c r="AM863" s="1">
        <v>57.0</v>
      </c>
      <c r="AN863" s="1">
        <v>47.0</v>
      </c>
      <c r="AO863" s="1">
        <v>5.0</v>
      </c>
      <c r="AP863" s="1">
        <v>0.052731</v>
      </c>
      <c r="AQ863" s="1">
        <v>0.044094</v>
      </c>
      <c r="AR863" s="1">
        <v>0.015007</v>
      </c>
      <c r="AS863" s="1">
        <v>0.186406</v>
      </c>
      <c r="AT863" s="1">
        <v>37095.0</v>
      </c>
      <c r="AU863" s="1">
        <v>3185.0</v>
      </c>
      <c r="AV863" s="1">
        <v>0.039084</v>
      </c>
      <c r="AW863" s="1">
        <v>0.108066</v>
      </c>
      <c r="AX863" s="1">
        <v>0.08023</v>
      </c>
      <c r="AY863" s="1">
        <v>0.232729</v>
      </c>
      <c r="AZ863" s="1">
        <v>0.07142857</v>
      </c>
      <c r="BA863" s="1">
        <v>0.224766</v>
      </c>
      <c r="BB863" s="1">
        <v>0.020613</v>
      </c>
      <c r="BC863" s="1">
        <v>0.104566</v>
      </c>
      <c r="BD863" s="1">
        <v>0.322627</v>
      </c>
      <c r="BE863" s="1">
        <v>0.076327</v>
      </c>
      <c r="BF863" s="1">
        <v>0.0</v>
      </c>
      <c r="BG863" s="1">
        <v>0.05465</v>
      </c>
      <c r="BH863" s="1">
        <v>0.0</v>
      </c>
      <c r="BI863" s="1">
        <v>0.083766</v>
      </c>
      <c r="BJ863" s="1">
        <v>0.029656</v>
      </c>
      <c r="BK863" s="1">
        <v>0.024385</v>
      </c>
      <c r="BL863" s="1">
        <v>9.95E-4</v>
      </c>
      <c r="BM863" s="1">
        <v>0.18</v>
      </c>
      <c r="BN863" s="1">
        <v>0.016</v>
      </c>
      <c r="BO863" s="1">
        <v>0.0917</v>
      </c>
      <c r="BP863" s="1">
        <v>0.094</v>
      </c>
      <c r="BQ863" s="1">
        <v>0.3817</v>
      </c>
      <c r="BR863" s="1">
        <v>0.0361</v>
      </c>
      <c r="BS863" s="1">
        <v>0.117</v>
      </c>
      <c r="BT863" s="1">
        <v>0.415</v>
      </c>
      <c r="BU863" s="1">
        <v>0.229</v>
      </c>
      <c r="BV863" s="1">
        <v>0.761</v>
      </c>
      <c r="BW863" s="1">
        <v>0.069</v>
      </c>
      <c r="BX863" s="1">
        <v>0.738</v>
      </c>
      <c r="BY863" s="1">
        <v>0.865</v>
      </c>
      <c r="BZ863" s="1">
        <v>1.603</v>
      </c>
      <c r="CA863" s="1">
        <v>0.873</v>
      </c>
      <c r="CB863" s="1">
        <v>0.951</v>
      </c>
      <c r="CC863" s="1">
        <v>0.0</v>
      </c>
      <c r="CD863" s="1">
        <v>0.0</v>
      </c>
      <c r="CE863" s="1">
        <v>0.283</v>
      </c>
      <c r="CF863" s="1">
        <v>0.397</v>
      </c>
      <c r="CG863" s="1">
        <v>1.631</v>
      </c>
      <c r="CH863" s="1">
        <v>0.211</v>
      </c>
      <c r="CI863" s="1">
        <v>4.3767</v>
      </c>
      <c r="CJ863" s="1">
        <v>0.1213</v>
      </c>
      <c r="CK863" s="1">
        <v>0.0</v>
      </c>
      <c r="CL863" s="1">
        <v>0.0</v>
      </c>
      <c r="CM863" s="1">
        <v>0.0</v>
      </c>
      <c r="CN863" s="1">
        <v>0.0</v>
      </c>
      <c r="CO863" s="1">
        <v>0.0</v>
      </c>
      <c r="CP863" s="1">
        <v>0.0</v>
      </c>
      <c r="CQ863" s="1">
        <v>0.0</v>
      </c>
      <c r="CR863" s="1">
        <v>0.0</v>
      </c>
      <c r="CS863" s="1">
        <v>0.0</v>
      </c>
      <c r="CT863" s="1">
        <v>0.0</v>
      </c>
      <c r="CU863" s="1">
        <v>0.0</v>
      </c>
      <c r="CV863" s="1">
        <v>0.0</v>
      </c>
      <c r="CW863" s="1">
        <v>1.0</v>
      </c>
      <c r="CX863" s="1">
        <v>0.0</v>
      </c>
      <c r="CY863" s="1">
        <v>0.0</v>
      </c>
      <c r="CZ863" s="1">
        <v>0.0</v>
      </c>
      <c r="DA863" s="1">
        <v>0.0</v>
      </c>
      <c r="DB863" s="1">
        <v>1.0</v>
      </c>
      <c r="DC863" s="1">
        <v>1.0</v>
      </c>
      <c r="DD863" s="1" t="s">
        <v>4025</v>
      </c>
      <c r="DE863" s="1">
        <v>0.00247400699019126</v>
      </c>
      <c r="DF863" s="2" t="s">
        <v>4026</v>
      </c>
    </row>
    <row r="864" ht="15.75" customHeight="1">
      <c r="A864" s="1" t="s">
        <v>4027</v>
      </c>
      <c r="B864" s="1">
        <v>29.0</v>
      </c>
      <c r="C864" s="1">
        <v>165.0</v>
      </c>
      <c r="D864" s="2" t="s">
        <v>4028</v>
      </c>
      <c r="E864" s="1">
        <v>4.825</v>
      </c>
      <c r="F864" s="1">
        <v>29165.0</v>
      </c>
      <c r="G864" s="1">
        <v>2.91650305E10</v>
      </c>
      <c r="H864" s="1" t="s">
        <v>112</v>
      </c>
      <c r="I864" s="1" t="s">
        <v>113</v>
      </c>
      <c r="J864" s="1" t="s">
        <v>3951</v>
      </c>
      <c r="K864" s="1" t="s">
        <v>4029</v>
      </c>
      <c r="L864" s="1">
        <v>5953.0</v>
      </c>
      <c r="M864" s="1">
        <v>5502.0</v>
      </c>
      <c r="N864" s="1">
        <v>247.0</v>
      </c>
      <c r="O864" s="1">
        <v>2717.0</v>
      </c>
      <c r="P864" s="1">
        <v>2505.0</v>
      </c>
      <c r="Q864" s="1">
        <v>199.0</v>
      </c>
      <c r="R864" s="1">
        <v>2460.0</v>
      </c>
      <c r="S864" s="1">
        <v>588.0</v>
      </c>
      <c r="T864" s="1">
        <v>271.0</v>
      </c>
      <c r="U864" s="1">
        <v>162.0</v>
      </c>
      <c r="V864" s="1">
        <v>385.0</v>
      </c>
      <c r="W864" s="1">
        <v>27539.0</v>
      </c>
      <c r="X864" s="1">
        <v>2767.0</v>
      </c>
      <c r="Y864" s="1">
        <v>359.0</v>
      </c>
      <c r="Z864" s="1">
        <v>257.0</v>
      </c>
      <c r="AA864" s="1">
        <v>653.0</v>
      </c>
      <c r="AB864" s="1">
        <v>1492.0</v>
      </c>
      <c r="AC864" s="1">
        <v>310.0</v>
      </c>
      <c r="AD864" s="1">
        <v>754.0</v>
      </c>
      <c r="AE864" s="1">
        <v>31.0</v>
      </c>
      <c r="AF864" s="1">
        <v>443.0</v>
      </c>
      <c r="AG864" s="1">
        <v>327.0</v>
      </c>
      <c r="AH864" s="1">
        <v>114.0</v>
      </c>
      <c r="AI864" s="1">
        <v>13.0</v>
      </c>
      <c r="AJ864" s="1">
        <v>14.0</v>
      </c>
      <c r="AK864" s="1">
        <v>15.0</v>
      </c>
      <c r="AL864" s="1">
        <v>115.0</v>
      </c>
      <c r="AM864" s="1">
        <v>24.0</v>
      </c>
      <c r="AN864" s="1">
        <v>116.0</v>
      </c>
      <c r="AO864" s="1">
        <v>159.0</v>
      </c>
      <c r="AP864" s="1">
        <v>0.114285</v>
      </c>
      <c r="AQ864" s="1">
        <v>0.052159</v>
      </c>
      <c r="AR864" s="1">
        <v>0.057898</v>
      </c>
      <c r="AS864" s="1">
        <v>0.137475</v>
      </c>
      <c r="AT864" s="1">
        <v>27539.0</v>
      </c>
      <c r="AU864" s="1">
        <v>2767.0</v>
      </c>
      <c r="AV864" s="1">
        <v>0.099116</v>
      </c>
      <c r="AW864" s="1">
        <v>0.070682</v>
      </c>
      <c r="AX864" s="1">
        <v>0.109692</v>
      </c>
      <c r="AY864" s="1">
        <v>0.250629</v>
      </c>
      <c r="AZ864" s="1">
        <v>0.12601626</v>
      </c>
      <c r="BA864" s="1">
        <v>0.126658</v>
      </c>
      <c r="BB864" s="1">
        <v>0.006044</v>
      </c>
      <c r="BC864" s="1">
        <v>0.086371</v>
      </c>
      <c r="BD864" s="1">
        <v>0.130538</v>
      </c>
      <c r="BE864" s="1">
        <v>0.044311</v>
      </c>
      <c r="BF864" s="1">
        <v>0.005189</v>
      </c>
      <c r="BG864" s="1">
        <v>0.005573</v>
      </c>
      <c r="BH864" s="1">
        <v>0.007194</v>
      </c>
      <c r="BI864" s="1">
        <v>0.055152</v>
      </c>
      <c r="BJ864" s="1">
        <v>0.01151</v>
      </c>
      <c r="BK864" s="1">
        <v>0.055627</v>
      </c>
      <c r="BL864" s="1">
        <v>0.026709</v>
      </c>
      <c r="BM864" s="1">
        <v>0.43</v>
      </c>
      <c r="BN864" s="1">
        <v>0.391</v>
      </c>
      <c r="BO864" s="1">
        <v>0.2657</v>
      </c>
      <c r="BP864" s="1">
        <v>0.332</v>
      </c>
      <c r="BQ864" s="1">
        <v>1.4187</v>
      </c>
      <c r="BR864" s="1">
        <v>0.3177</v>
      </c>
      <c r="BS864" s="1">
        <v>0.269</v>
      </c>
      <c r="BT864" s="1">
        <v>0.605</v>
      </c>
      <c r="BU864" s="1">
        <v>0.702</v>
      </c>
      <c r="BV864" s="1">
        <v>1.576</v>
      </c>
      <c r="BW864" s="1">
        <v>0.546</v>
      </c>
      <c r="BX864" s="1">
        <v>0.552</v>
      </c>
      <c r="BY864" s="1">
        <v>0.601</v>
      </c>
      <c r="BZ864" s="1">
        <v>1.153</v>
      </c>
      <c r="CA864" s="1">
        <v>0.634</v>
      </c>
      <c r="CB864" s="1">
        <v>0.813</v>
      </c>
      <c r="CC864" s="1">
        <v>0.399</v>
      </c>
      <c r="CD864" s="1">
        <v>0.397</v>
      </c>
      <c r="CE864" s="1">
        <v>0.102</v>
      </c>
      <c r="CF864" s="1">
        <v>0.786</v>
      </c>
      <c r="CG864" s="1">
        <v>2.497</v>
      </c>
      <c r="CH864" s="1">
        <v>0.56</v>
      </c>
      <c r="CI864" s="1">
        <v>6.6447</v>
      </c>
      <c r="CJ864" s="1">
        <v>0.4823</v>
      </c>
      <c r="CK864" s="1">
        <v>0.0</v>
      </c>
      <c r="CL864" s="1">
        <v>0.0</v>
      </c>
      <c r="CM864" s="1">
        <v>0.0</v>
      </c>
      <c r="CN864" s="1">
        <v>0.0</v>
      </c>
      <c r="CO864" s="1">
        <v>0.0</v>
      </c>
      <c r="CP864" s="1">
        <v>0.0</v>
      </c>
      <c r="CQ864" s="1">
        <v>0.0</v>
      </c>
      <c r="CR864" s="1">
        <v>0.0</v>
      </c>
      <c r="CS864" s="1">
        <v>0.0</v>
      </c>
      <c r="CT864" s="1">
        <v>0.0</v>
      </c>
      <c r="CU864" s="1">
        <v>0.0</v>
      </c>
      <c r="CV864" s="1">
        <v>0.0</v>
      </c>
      <c r="CW864" s="1">
        <v>0.0</v>
      </c>
      <c r="CX864" s="1">
        <v>0.0</v>
      </c>
      <c r="CY864" s="1">
        <v>0.0</v>
      </c>
      <c r="CZ864" s="1">
        <v>0.0</v>
      </c>
      <c r="DA864" s="1">
        <v>0.0</v>
      </c>
      <c r="DB864" s="1">
        <v>0.0</v>
      </c>
      <c r="DC864" s="1">
        <v>0.0</v>
      </c>
      <c r="DD864" s="1" t="s">
        <v>4030</v>
      </c>
      <c r="DE864" s="1">
        <v>0.00131983737534859</v>
      </c>
      <c r="DF864" s="2" t="s">
        <v>4031</v>
      </c>
    </row>
    <row r="865" ht="15.75" customHeight="1">
      <c r="A865" s="1" t="s">
        <v>4032</v>
      </c>
      <c r="B865" s="1">
        <v>29.0</v>
      </c>
      <c r="C865" s="1">
        <v>165.0</v>
      </c>
      <c r="D865" s="2" t="s">
        <v>4033</v>
      </c>
      <c r="E865" s="1">
        <v>71.225</v>
      </c>
      <c r="F865" s="1">
        <v>29165.0</v>
      </c>
      <c r="G865" s="1">
        <v>2.9165030401E10</v>
      </c>
      <c r="H865" s="1" t="s">
        <v>112</v>
      </c>
      <c r="I865" s="1" t="s">
        <v>113</v>
      </c>
      <c r="J865" s="1" t="s">
        <v>3951</v>
      </c>
      <c r="K865" s="1" t="s">
        <v>4034</v>
      </c>
      <c r="L865" s="1">
        <v>5228.0</v>
      </c>
      <c r="M865" s="1">
        <v>4614.0</v>
      </c>
      <c r="N865" s="1">
        <v>282.0</v>
      </c>
      <c r="O865" s="1">
        <v>1905.0</v>
      </c>
      <c r="P865" s="1">
        <v>1665.0</v>
      </c>
      <c r="Q865" s="1">
        <v>92.0</v>
      </c>
      <c r="R865" s="1">
        <v>1812.0</v>
      </c>
      <c r="S865" s="1">
        <v>82.0</v>
      </c>
      <c r="T865" s="1">
        <v>77.0</v>
      </c>
      <c r="U865" s="1">
        <v>25.0</v>
      </c>
      <c r="V865" s="1">
        <v>457.0</v>
      </c>
      <c r="W865" s="1">
        <v>35629.0</v>
      </c>
      <c r="X865" s="1">
        <v>2942.0</v>
      </c>
      <c r="Y865" s="1">
        <v>188.0</v>
      </c>
      <c r="Z865" s="1">
        <v>353.0</v>
      </c>
      <c r="AA865" s="1">
        <v>436.0</v>
      </c>
      <c r="AB865" s="1">
        <v>1536.0</v>
      </c>
      <c r="AC865" s="1">
        <v>114.0</v>
      </c>
      <c r="AD865" s="1">
        <v>400.0</v>
      </c>
      <c r="AE865" s="1">
        <v>25.0</v>
      </c>
      <c r="AF865" s="1">
        <v>427.0</v>
      </c>
      <c r="AG865" s="1">
        <v>0.0</v>
      </c>
      <c r="AH865" s="1">
        <v>197.0</v>
      </c>
      <c r="AI865" s="1">
        <v>0.0</v>
      </c>
      <c r="AJ865" s="1">
        <v>114.0</v>
      </c>
      <c r="AK865" s="1">
        <v>28.0</v>
      </c>
      <c r="AL865" s="1">
        <v>118.0</v>
      </c>
      <c r="AM865" s="1">
        <v>27.0</v>
      </c>
      <c r="AN865" s="1">
        <v>117.0</v>
      </c>
      <c r="AO865" s="1">
        <v>9.0</v>
      </c>
      <c r="AP865" s="1">
        <v>0.017771</v>
      </c>
      <c r="AQ865" s="1">
        <v>0.016652</v>
      </c>
      <c r="AR865" s="1">
        <v>0.010403</v>
      </c>
      <c r="AS865" s="1">
        <v>0.190176</v>
      </c>
      <c r="AT865" s="1">
        <v>35629.0</v>
      </c>
      <c r="AU865" s="1">
        <v>2942.0</v>
      </c>
      <c r="AV865" s="1">
        <v>0.061781</v>
      </c>
      <c r="AW865" s="1">
        <v>0.115943</v>
      </c>
      <c r="AX865" s="1">
        <v>0.083397</v>
      </c>
      <c r="AY865" s="1">
        <v>0.293802</v>
      </c>
      <c r="AZ865" s="1">
        <v>0.0629139</v>
      </c>
      <c r="BA865" s="1">
        <v>0.076511</v>
      </c>
      <c r="BB865" s="1">
        <v>0.005841</v>
      </c>
      <c r="BC865" s="1">
        <v>0.099765</v>
      </c>
      <c r="BD865" s="1">
        <v>0.0</v>
      </c>
      <c r="BE865" s="1">
        <v>0.118318</v>
      </c>
      <c r="BF865" s="1">
        <v>0.0</v>
      </c>
      <c r="BG865" s="1">
        <v>0.068468</v>
      </c>
      <c r="BH865" s="1">
        <v>0.017094</v>
      </c>
      <c r="BI865" s="1">
        <v>0.072032</v>
      </c>
      <c r="BJ865" s="1">
        <v>0.016483</v>
      </c>
      <c r="BK865" s="1">
        <v>0.071422</v>
      </c>
      <c r="BL865" s="1">
        <v>0.001721</v>
      </c>
      <c r="BM865" s="1">
        <v>0.043</v>
      </c>
      <c r="BN865" s="1">
        <v>0.007</v>
      </c>
      <c r="BO865" s="1">
        <v>0.1105</v>
      </c>
      <c r="BP865" s="1">
        <v>0.173</v>
      </c>
      <c r="BQ865" s="1">
        <v>0.3335</v>
      </c>
      <c r="BR865" s="1">
        <v>0.026</v>
      </c>
      <c r="BS865" s="1">
        <v>0.128</v>
      </c>
      <c r="BT865" s="1">
        <v>0.899</v>
      </c>
      <c r="BU865" s="1">
        <v>0.156</v>
      </c>
      <c r="BV865" s="1">
        <v>1.183</v>
      </c>
      <c r="BW865" s="1">
        <v>0.215</v>
      </c>
      <c r="BX865" s="1">
        <v>0.385</v>
      </c>
      <c r="BY865" s="1">
        <v>0.589</v>
      </c>
      <c r="BZ865" s="1">
        <v>0.974</v>
      </c>
      <c r="CA865" s="1">
        <v>0.53</v>
      </c>
      <c r="CB865" s="1">
        <v>0.0</v>
      </c>
      <c r="CC865" s="1">
        <v>0.0</v>
      </c>
      <c r="CD865" s="1">
        <v>0.63</v>
      </c>
      <c r="CE865" s="1">
        <v>0.146</v>
      </c>
      <c r="CF865" s="1">
        <v>0.433</v>
      </c>
      <c r="CG865" s="1">
        <v>1.209</v>
      </c>
      <c r="CH865" s="1">
        <v>0.112</v>
      </c>
      <c r="CI865" s="1">
        <v>3.6995</v>
      </c>
      <c r="CJ865" s="1">
        <v>0.057</v>
      </c>
      <c r="CK865" s="1">
        <v>0.0</v>
      </c>
      <c r="CL865" s="1">
        <v>0.0</v>
      </c>
      <c r="CM865" s="1">
        <v>0.0</v>
      </c>
      <c r="CN865" s="1">
        <v>0.0</v>
      </c>
      <c r="CO865" s="1">
        <v>0.0</v>
      </c>
      <c r="CP865" s="1">
        <v>0.0</v>
      </c>
      <c r="CQ865" s="1">
        <v>0.0</v>
      </c>
      <c r="CR865" s="1">
        <v>0.0</v>
      </c>
      <c r="CS865" s="1">
        <v>0.0</v>
      </c>
      <c r="CT865" s="1">
        <v>0.0</v>
      </c>
      <c r="CU865" s="1">
        <v>0.0</v>
      </c>
      <c r="CV865" s="1">
        <v>0.0</v>
      </c>
      <c r="CW865" s="1">
        <v>0.0</v>
      </c>
      <c r="CX865" s="1">
        <v>0.0</v>
      </c>
      <c r="CY865" s="1">
        <v>0.0</v>
      </c>
      <c r="CZ865" s="1">
        <v>0.0</v>
      </c>
      <c r="DA865" s="1">
        <v>0.0</v>
      </c>
      <c r="DB865" s="1">
        <v>0.0</v>
      </c>
      <c r="DC865" s="1">
        <v>0.0</v>
      </c>
      <c r="DD865" s="1" t="s">
        <v>4035</v>
      </c>
      <c r="DE865" s="2" t="s">
        <v>4036</v>
      </c>
      <c r="DF865" s="2" t="s">
        <v>4037</v>
      </c>
    </row>
    <row r="866" ht="15.75" customHeight="1">
      <c r="A866" s="1" t="s">
        <v>4038</v>
      </c>
      <c r="B866" s="1">
        <v>29.0</v>
      </c>
      <c r="C866" s="1">
        <v>165.0</v>
      </c>
      <c r="D866" s="2" t="s">
        <v>4039</v>
      </c>
      <c r="E866" s="1">
        <v>140.435</v>
      </c>
      <c r="F866" s="1">
        <v>29165.0</v>
      </c>
      <c r="G866" s="1">
        <v>2.91650306E10</v>
      </c>
      <c r="H866" s="1" t="s">
        <v>112</v>
      </c>
      <c r="I866" s="1" t="s">
        <v>113</v>
      </c>
      <c r="J866" s="1" t="s">
        <v>3951</v>
      </c>
      <c r="K866" s="1" t="s">
        <v>4040</v>
      </c>
      <c r="L866" s="1">
        <v>7154.0</v>
      </c>
      <c r="M866" s="1">
        <v>7168.0</v>
      </c>
      <c r="N866" s="1">
        <v>337.0</v>
      </c>
      <c r="O866" s="1">
        <v>3093.0</v>
      </c>
      <c r="P866" s="1">
        <v>3065.0</v>
      </c>
      <c r="Q866" s="1">
        <v>147.0</v>
      </c>
      <c r="R866" s="1">
        <v>2842.0</v>
      </c>
      <c r="S866" s="1">
        <v>365.0</v>
      </c>
      <c r="T866" s="1">
        <v>140.0</v>
      </c>
      <c r="U866" s="1">
        <v>230.0</v>
      </c>
      <c r="V866" s="1">
        <v>290.0</v>
      </c>
      <c r="W866" s="1">
        <v>28261.0</v>
      </c>
      <c r="X866" s="1">
        <v>1668.0</v>
      </c>
      <c r="Y866" s="1">
        <v>417.0</v>
      </c>
      <c r="Z866" s="1">
        <v>257.0</v>
      </c>
      <c r="AA866" s="1">
        <v>983.0</v>
      </c>
      <c r="AB866" s="1">
        <v>1608.0</v>
      </c>
      <c r="AC866" s="1">
        <v>168.0</v>
      </c>
      <c r="AD866" s="1">
        <v>377.0</v>
      </c>
      <c r="AE866" s="1">
        <v>16.0</v>
      </c>
      <c r="AF866" s="1">
        <v>442.0</v>
      </c>
      <c r="AG866" s="1">
        <v>156.0</v>
      </c>
      <c r="AH866" s="1">
        <v>50.0</v>
      </c>
      <c r="AI866" s="1">
        <v>142.0</v>
      </c>
      <c r="AJ866" s="1">
        <v>52.0</v>
      </c>
      <c r="AK866" s="1">
        <v>18.0</v>
      </c>
      <c r="AL866" s="1">
        <v>115.0</v>
      </c>
      <c r="AM866" s="1">
        <v>47.0</v>
      </c>
      <c r="AN866" s="1">
        <v>29.0</v>
      </c>
      <c r="AO866" s="1">
        <v>0.0</v>
      </c>
      <c r="AP866" s="1">
        <v>0.050949</v>
      </c>
      <c r="AQ866" s="1">
        <v>0.019394</v>
      </c>
      <c r="AR866" s="1">
        <v>0.061219</v>
      </c>
      <c r="AS866" s="1">
        <v>0.077031</v>
      </c>
      <c r="AT866" s="1">
        <v>28261.0</v>
      </c>
      <c r="AU866" s="1">
        <v>1668.0</v>
      </c>
      <c r="AV866" s="1">
        <v>0.081144</v>
      </c>
      <c r="AW866" s="1">
        <v>0.049829</v>
      </c>
      <c r="AX866" s="1">
        <v>0.137405</v>
      </c>
      <c r="AY866" s="1">
        <v>0.224769</v>
      </c>
      <c r="AZ866" s="1">
        <v>0.0591133</v>
      </c>
      <c r="BA866" s="1">
        <v>0.052697</v>
      </c>
      <c r="BB866" s="1">
        <v>0.002336</v>
      </c>
      <c r="BC866" s="1">
        <v>0.064553</v>
      </c>
      <c r="BD866" s="1">
        <v>0.050897</v>
      </c>
      <c r="BE866" s="1">
        <v>0.016129</v>
      </c>
      <c r="BF866" s="1">
        <v>0.046329</v>
      </c>
      <c r="BG866" s="1">
        <v>0.016819</v>
      </c>
      <c r="BH866" s="1">
        <v>0.006239</v>
      </c>
      <c r="BI866" s="1">
        <v>0.039859</v>
      </c>
      <c r="BJ866" s="1">
        <v>0.016291</v>
      </c>
      <c r="BK866" s="1">
        <v>0.010012</v>
      </c>
      <c r="BL866" s="1">
        <v>0.0</v>
      </c>
      <c r="BM866" s="1">
        <v>0.167</v>
      </c>
      <c r="BN866" s="1">
        <v>0.427</v>
      </c>
      <c r="BO866" s="1">
        <v>0.2426</v>
      </c>
      <c r="BP866" s="1">
        <v>0.251</v>
      </c>
      <c r="BQ866" s="1">
        <v>1.0876</v>
      </c>
      <c r="BR866" s="1">
        <v>0.2231</v>
      </c>
      <c r="BS866" s="1">
        <v>0.474</v>
      </c>
      <c r="BT866" s="1">
        <v>0.339</v>
      </c>
      <c r="BU866" s="1">
        <v>0.124</v>
      </c>
      <c r="BV866" s="1">
        <v>0.937</v>
      </c>
      <c r="BW866" s="1">
        <v>0.097</v>
      </c>
      <c r="BX866" s="1">
        <v>0.269</v>
      </c>
      <c r="BY866" s="1">
        <v>0.402</v>
      </c>
      <c r="BZ866" s="1">
        <v>0.671</v>
      </c>
      <c r="CA866" s="1">
        <v>0.319</v>
      </c>
      <c r="CB866" s="1">
        <v>0.658</v>
      </c>
      <c r="CC866" s="1">
        <v>0.597</v>
      </c>
      <c r="CD866" s="1">
        <v>0.365</v>
      </c>
      <c r="CE866" s="1">
        <v>0.143</v>
      </c>
      <c r="CF866" s="1">
        <v>0.0</v>
      </c>
      <c r="CG866" s="1">
        <v>1.763</v>
      </c>
      <c r="CH866" s="1">
        <v>0.255</v>
      </c>
      <c r="CI866" s="1">
        <v>4.4586</v>
      </c>
      <c r="CJ866" s="1">
        <v>0.13</v>
      </c>
      <c r="CK866" s="1">
        <v>0.0</v>
      </c>
      <c r="CL866" s="1">
        <v>0.0</v>
      </c>
      <c r="CM866" s="1">
        <v>0.0</v>
      </c>
      <c r="CN866" s="1">
        <v>0.0</v>
      </c>
      <c r="CO866" s="1">
        <v>0.0</v>
      </c>
      <c r="CP866" s="1">
        <v>0.0</v>
      </c>
      <c r="CQ866" s="1">
        <v>0.0</v>
      </c>
      <c r="CR866" s="1">
        <v>0.0</v>
      </c>
      <c r="CS866" s="1">
        <v>0.0</v>
      </c>
      <c r="CT866" s="1">
        <v>0.0</v>
      </c>
      <c r="CU866" s="1">
        <v>0.0</v>
      </c>
      <c r="CV866" s="1">
        <v>0.0</v>
      </c>
      <c r="CW866" s="1">
        <v>0.0</v>
      </c>
      <c r="CX866" s="1">
        <v>0.0</v>
      </c>
      <c r="CY866" s="1">
        <v>0.0</v>
      </c>
      <c r="CZ866" s="1">
        <v>0.0</v>
      </c>
      <c r="DA866" s="1">
        <v>0.0</v>
      </c>
      <c r="DB866" s="1">
        <v>0.0</v>
      </c>
      <c r="DC866" s="1">
        <v>0.0</v>
      </c>
      <c r="DD866" s="1" t="s">
        <v>4041</v>
      </c>
      <c r="DE866" s="1">
        <v>0.0382325828041781</v>
      </c>
      <c r="DF866" s="2" t="s">
        <v>4042</v>
      </c>
    </row>
    <row r="867" ht="15.75" customHeight="1">
      <c r="A867" s="1" t="s">
        <v>4043</v>
      </c>
      <c r="B867" s="1">
        <v>29.0</v>
      </c>
      <c r="C867" s="1">
        <v>165.0</v>
      </c>
      <c r="D867" s="2" t="s">
        <v>4044</v>
      </c>
      <c r="E867" s="1">
        <v>116.316</v>
      </c>
      <c r="F867" s="1">
        <v>29165.0</v>
      </c>
      <c r="G867" s="1">
        <v>2.91650307E10</v>
      </c>
      <c r="H867" s="1" t="s">
        <v>112</v>
      </c>
      <c r="I867" s="1" t="s">
        <v>113</v>
      </c>
      <c r="J867" s="1" t="s">
        <v>3951</v>
      </c>
      <c r="K867" s="1" t="s">
        <v>4045</v>
      </c>
      <c r="L867" s="1">
        <v>3382.0</v>
      </c>
      <c r="M867" s="1">
        <v>3403.0</v>
      </c>
      <c r="N867" s="1">
        <v>250.0</v>
      </c>
      <c r="O867" s="1">
        <v>1545.0</v>
      </c>
      <c r="P867" s="1">
        <v>1512.0</v>
      </c>
      <c r="Q867" s="1">
        <v>76.0</v>
      </c>
      <c r="R867" s="1">
        <v>1383.0</v>
      </c>
      <c r="S867" s="1">
        <v>344.0</v>
      </c>
      <c r="T867" s="1">
        <v>131.0</v>
      </c>
      <c r="U867" s="1">
        <v>104.0</v>
      </c>
      <c r="V867" s="1">
        <v>363.0</v>
      </c>
      <c r="W867" s="1">
        <v>30194.0</v>
      </c>
      <c r="X867" s="1">
        <v>2728.0</v>
      </c>
      <c r="Y867" s="1">
        <v>227.0</v>
      </c>
      <c r="Z867" s="1">
        <v>237.0</v>
      </c>
      <c r="AA867" s="1">
        <v>549.0</v>
      </c>
      <c r="AB867" s="1">
        <v>755.0</v>
      </c>
      <c r="AC867" s="1">
        <v>121.0</v>
      </c>
      <c r="AD867" s="1">
        <v>144.0</v>
      </c>
      <c r="AE867" s="1">
        <v>3.0</v>
      </c>
      <c r="AF867" s="1">
        <v>427.0</v>
      </c>
      <c r="AG867" s="1">
        <v>1.0</v>
      </c>
      <c r="AH867" s="1">
        <v>161.0</v>
      </c>
      <c r="AI867" s="1">
        <v>48.0</v>
      </c>
      <c r="AJ867" s="1">
        <v>29.0</v>
      </c>
      <c r="AK867" s="1">
        <v>24.0</v>
      </c>
      <c r="AL867" s="1">
        <v>116.0</v>
      </c>
      <c r="AM867" s="1">
        <v>85.0</v>
      </c>
      <c r="AN867" s="1">
        <v>39.0</v>
      </c>
      <c r="AO867" s="1">
        <v>0.0</v>
      </c>
      <c r="AP867" s="1">
        <v>0.101325</v>
      </c>
      <c r="AQ867" s="1">
        <v>0.037875</v>
      </c>
      <c r="AR867" s="1">
        <v>0.061393</v>
      </c>
      <c r="AS867" s="1">
        <v>0.214219</v>
      </c>
      <c r="AT867" s="1">
        <v>30194.0</v>
      </c>
      <c r="AU867" s="1">
        <v>2728.0</v>
      </c>
      <c r="AV867" s="1">
        <v>0.097844</v>
      </c>
      <c r="AW867" s="1">
        <v>0.101971</v>
      </c>
      <c r="AX867" s="1">
        <v>0.162329</v>
      </c>
      <c r="AY867" s="1">
        <v>0.22324</v>
      </c>
      <c r="AZ867" s="1">
        <v>0.08749096</v>
      </c>
      <c r="BA867" s="1">
        <v>0.042578</v>
      </c>
      <c r="BB867" s="1">
        <v>9.45E-4</v>
      </c>
      <c r="BC867" s="1">
        <v>0.134615</v>
      </c>
      <c r="BD867" s="1">
        <v>6.61E-4</v>
      </c>
      <c r="BE867" s="1">
        <v>0.106481</v>
      </c>
      <c r="BF867" s="1">
        <v>0.031746</v>
      </c>
      <c r="BG867" s="1">
        <v>0.019113</v>
      </c>
      <c r="BH867" s="1">
        <v>0.017608</v>
      </c>
      <c r="BI867" s="1">
        <v>0.0851</v>
      </c>
      <c r="BJ867" s="1">
        <v>0.062362</v>
      </c>
      <c r="BK867" s="1">
        <v>0.028384</v>
      </c>
      <c r="BL867" s="1">
        <v>0.0</v>
      </c>
      <c r="BM867" s="1">
        <v>0.375</v>
      </c>
      <c r="BN867" s="1">
        <v>0.428</v>
      </c>
      <c r="BO867" s="1">
        <v>0.1928</v>
      </c>
      <c r="BP867" s="1">
        <v>0.328</v>
      </c>
      <c r="BQ867" s="1">
        <v>1.3238</v>
      </c>
      <c r="BR867" s="1">
        <v>0.2866</v>
      </c>
      <c r="BS867" s="1">
        <v>0.685</v>
      </c>
      <c r="BT867" s="1">
        <v>0.328</v>
      </c>
      <c r="BU867" s="1">
        <v>0.381</v>
      </c>
      <c r="BV867" s="1">
        <v>1.394</v>
      </c>
      <c r="BW867" s="1">
        <v>0.385</v>
      </c>
      <c r="BX867" s="1">
        <v>0.191</v>
      </c>
      <c r="BY867" s="1">
        <v>0.33</v>
      </c>
      <c r="BZ867" s="1">
        <v>0.521</v>
      </c>
      <c r="CA867" s="1">
        <v>0.222</v>
      </c>
      <c r="CB867" s="1">
        <v>0.25</v>
      </c>
      <c r="CC867" s="1">
        <v>0.556</v>
      </c>
      <c r="CD867" s="1">
        <v>0.64</v>
      </c>
      <c r="CE867" s="1">
        <v>0.579</v>
      </c>
      <c r="CF867" s="1">
        <v>0.0</v>
      </c>
      <c r="CG867" s="1">
        <v>2.025</v>
      </c>
      <c r="CH867" s="1">
        <v>0.356</v>
      </c>
      <c r="CI867" s="1">
        <v>5.2638</v>
      </c>
      <c r="CJ867" s="1">
        <v>0.2383</v>
      </c>
      <c r="CK867" s="1">
        <v>0.0</v>
      </c>
      <c r="CL867" s="1">
        <v>0.0</v>
      </c>
      <c r="CM867" s="1">
        <v>0.0</v>
      </c>
      <c r="CN867" s="1">
        <v>0.0</v>
      </c>
      <c r="CO867" s="1">
        <v>0.0</v>
      </c>
      <c r="CP867" s="1">
        <v>0.0</v>
      </c>
      <c r="CQ867" s="1">
        <v>0.0</v>
      </c>
      <c r="CR867" s="1">
        <v>0.0</v>
      </c>
      <c r="CS867" s="1">
        <v>0.0</v>
      </c>
      <c r="CT867" s="1">
        <v>0.0</v>
      </c>
      <c r="CU867" s="1">
        <v>0.0</v>
      </c>
      <c r="CV867" s="1">
        <v>0.0</v>
      </c>
      <c r="CW867" s="1">
        <v>0.0</v>
      </c>
      <c r="CX867" s="1">
        <v>0.0</v>
      </c>
      <c r="CY867" s="1">
        <v>0.0</v>
      </c>
      <c r="CZ867" s="1">
        <v>0.0</v>
      </c>
      <c r="DA867" s="1">
        <v>0.0</v>
      </c>
      <c r="DB867" s="1">
        <v>0.0</v>
      </c>
      <c r="DC867" s="1">
        <v>0.0</v>
      </c>
      <c r="DD867" s="1" t="s">
        <v>4046</v>
      </c>
      <c r="DE867" s="1">
        <v>0.0321623661732287</v>
      </c>
      <c r="DF867" s="2" t="s">
        <v>4047</v>
      </c>
    </row>
    <row r="868" ht="15.75" customHeight="1">
      <c r="A868" s="1" t="s">
        <v>4048</v>
      </c>
      <c r="B868" s="1">
        <v>29.0</v>
      </c>
      <c r="C868" s="1">
        <v>167.0</v>
      </c>
      <c r="D868" s="1">
        <v>960200.0</v>
      </c>
      <c r="E868" s="1">
        <v>183.125</v>
      </c>
      <c r="F868" s="1">
        <v>29167.0</v>
      </c>
      <c r="G868" s="1">
        <v>2.91679602E10</v>
      </c>
      <c r="H868" s="1" t="s">
        <v>112</v>
      </c>
      <c r="I868" s="1" t="s">
        <v>113</v>
      </c>
      <c r="J868" s="1" t="s">
        <v>4049</v>
      </c>
      <c r="K868" s="1" t="s">
        <v>4050</v>
      </c>
      <c r="L868" s="1">
        <v>7009.0</v>
      </c>
      <c r="M868" s="1">
        <v>6874.0</v>
      </c>
      <c r="N868" s="1">
        <v>550.0</v>
      </c>
      <c r="O868" s="1">
        <v>3218.0</v>
      </c>
      <c r="P868" s="1">
        <v>3132.0</v>
      </c>
      <c r="Q868" s="1">
        <v>109.0</v>
      </c>
      <c r="R868" s="1">
        <v>2724.0</v>
      </c>
      <c r="S868" s="1">
        <v>1515.0</v>
      </c>
      <c r="T868" s="1">
        <v>416.0</v>
      </c>
      <c r="U868" s="1">
        <v>159.0</v>
      </c>
      <c r="V868" s="1">
        <v>353.0</v>
      </c>
      <c r="W868" s="1">
        <v>19864.0</v>
      </c>
      <c r="X868" s="1">
        <v>2336.0</v>
      </c>
      <c r="Y868" s="1">
        <v>913.0</v>
      </c>
      <c r="Z868" s="1">
        <v>278.0</v>
      </c>
      <c r="AA868" s="1">
        <v>1317.0</v>
      </c>
      <c r="AB868" s="1">
        <v>1770.0</v>
      </c>
      <c r="AC868" s="1">
        <v>224.0</v>
      </c>
      <c r="AD868" s="1">
        <v>291.0</v>
      </c>
      <c r="AE868" s="1">
        <v>47.0</v>
      </c>
      <c r="AF868" s="1">
        <v>428.0</v>
      </c>
      <c r="AG868" s="1">
        <v>77.0</v>
      </c>
      <c r="AH868" s="1">
        <v>127.0</v>
      </c>
      <c r="AI868" s="1">
        <v>583.0</v>
      </c>
      <c r="AJ868" s="1">
        <v>139.0</v>
      </c>
      <c r="AK868" s="1">
        <v>57.0</v>
      </c>
      <c r="AL868" s="1">
        <v>125.0</v>
      </c>
      <c r="AM868" s="1">
        <v>164.0</v>
      </c>
      <c r="AN868" s="1">
        <v>112.0</v>
      </c>
      <c r="AO868" s="1">
        <v>165.0</v>
      </c>
      <c r="AP868" s="1">
        <v>0.225849</v>
      </c>
      <c r="AQ868" s="1">
        <v>0.059551</v>
      </c>
      <c r="AR868" s="1">
        <v>0.05822</v>
      </c>
      <c r="AS868" s="1">
        <v>0.129044</v>
      </c>
      <c r="AT868" s="1">
        <v>19864.0</v>
      </c>
      <c r="AU868" s="1">
        <v>2336.0</v>
      </c>
      <c r="AV868" s="1">
        <v>0.19588</v>
      </c>
      <c r="AW868" s="1">
        <v>0.058626</v>
      </c>
      <c r="AX868" s="1">
        <v>0.187901</v>
      </c>
      <c r="AY868" s="1">
        <v>0.252532</v>
      </c>
      <c r="AZ868" s="1">
        <v>0.08223201</v>
      </c>
      <c r="BA868" s="1">
        <v>0.041518</v>
      </c>
      <c r="BB868" s="1">
        <v>0.007221</v>
      </c>
      <c r="BC868" s="1">
        <v>0.065762</v>
      </c>
      <c r="BD868" s="1">
        <v>0.024584</v>
      </c>
      <c r="BE868" s="1">
        <v>0.04054</v>
      </c>
      <c r="BF868" s="1">
        <v>0.186143</v>
      </c>
      <c r="BG868" s="1">
        <v>0.043905</v>
      </c>
      <c r="BH868" s="1">
        <v>0.020848</v>
      </c>
      <c r="BI868" s="1">
        <v>0.045703</v>
      </c>
      <c r="BJ868" s="1">
        <v>0.059985</v>
      </c>
      <c r="BK868" s="1">
        <v>0.040805</v>
      </c>
      <c r="BL868" s="1">
        <v>0.023541</v>
      </c>
      <c r="BM868" s="1">
        <v>0.782</v>
      </c>
      <c r="BN868" s="1">
        <v>0.395</v>
      </c>
      <c r="BO868" s="1">
        <v>0.6224</v>
      </c>
      <c r="BP868" s="1">
        <v>0.74</v>
      </c>
      <c r="BQ868" s="1">
        <v>2.5394</v>
      </c>
      <c r="BR868" s="1">
        <v>0.6787</v>
      </c>
      <c r="BS868" s="1">
        <v>0.826</v>
      </c>
      <c r="BT868" s="1">
        <v>0.633</v>
      </c>
      <c r="BU868" s="1">
        <v>0.325</v>
      </c>
      <c r="BV868" s="1">
        <v>1.784</v>
      </c>
      <c r="BW868" s="1">
        <v>0.709</v>
      </c>
      <c r="BX868" s="1">
        <v>0.175</v>
      </c>
      <c r="BY868" s="1">
        <v>0.641</v>
      </c>
      <c r="BZ868" s="1">
        <v>0.816</v>
      </c>
      <c r="CA868" s="1">
        <v>0.41</v>
      </c>
      <c r="CB868" s="1">
        <v>0.51</v>
      </c>
      <c r="CC868" s="1">
        <v>0.873</v>
      </c>
      <c r="CD868" s="1">
        <v>0.693</v>
      </c>
      <c r="CE868" s="1">
        <v>0.568</v>
      </c>
      <c r="CF868" s="1">
        <v>0.753</v>
      </c>
      <c r="CG868" s="1">
        <v>3.397</v>
      </c>
      <c r="CH868" s="1">
        <v>0.91</v>
      </c>
      <c r="CI868" s="1">
        <v>8.5364</v>
      </c>
      <c r="CJ868" s="1">
        <v>0.7899</v>
      </c>
      <c r="CK868" s="1">
        <v>0.0</v>
      </c>
      <c r="CL868" s="1">
        <v>0.0</v>
      </c>
      <c r="CM868" s="1">
        <v>0.0</v>
      </c>
      <c r="CN868" s="1">
        <v>0.0</v>
      </c>
      <c r="CO868" s="1">
        <v>0.0</v>
      </c>
      <c r="CP868" s="1">
        <v>0.0</v>
      </c>
      <c r="CQ868" s="1">
        <v>0.0</v>
      </c>
      <c r="CR868" s="1">
        <v>0.0</v>
      </c>
      <c r="CS868" s="1">
        <v>0.0</v>
      </c>
      <c r="CT868" s="1">
        <v>0.0</v>
      </c>
      <c r="CU868" s="1">
        <v>0.0</v>
      </c>
      <c r="CV868" s="1">
        <v>0.0</v>
      </c>
      <c r="CW868" s="1">
        <v>0.0</v>
      </c>
      <c r="CX868" s="1">
        <v>0.0</v>
      </c>
      <c r="CY868" s="1">
        <v>0.0</v>
      </c>
      <c r="CZ868" s="1">
        <v>0.0</v>
      </c>
      <c r="DA868" s="1">
        <v>0.0</v>
      </c>
      <c r="DB868" s="1">
        <v>0.0</v>
      </c>
      <c r="DC868" s="1">
        <v>0.0</v>
      </c>
      <c r="DD868" s="1" t="s">
        <v>4051</v>
      </c>
      <c r="DE868" s="2" t="s">
        <v>4052</v>
      </c>
      <c r="DF868" s="1">
        <v>0.915777167483676</v>
      </c>
    </row>
    <row r="869" ht="15.75" customHeight="1">
      <c r="A869" s="1" t="s">
        <v>4053</v>
      </c>
      <c r="B869" s="1">
        <v>29.0</v>
      </c>
      <c r="C869" s="1">
        <v>167.0</v>
      </c>
      <c r="D869" s="1">
        <v>960400.0</v>
      </c>
      <c r="E869" s="1">
        <v>178.487</v>
      </c>
      <c r="F869" s="1">
        <v>29167.0</v>
      </c>
      <c r="G869" s="1">
        <v>2.91679604E10</v>
      </c>
      <c r="H869" s="1" t="s">
        <v>112</v>
      </c>
      <c r="I869" s="1" t="s">
        <v>113</v>
      </c>
      <c r="J869" s="1" t="s">
        <v>4049</v>
      </c>
      <c r="K869" s="1" t="s">
        <v>4054</v>
      </c>
      <c r="L869" s="1">
        <v>9400.0</v>
      </c>
      <c r="M869" s="1">
        <v>9370.0</v>
      </c>
      <c r="N869" s="1">
        <v>855.0</v>
      </c>
      <c r="O869" s="1">
        <v>3793.0</v>
      </c>
      <c r="P869" s="1">
        <v>3687.0</v>
      </c>
      <c r="Q869" s="1">
        <v>267.0</v>
      </c>
      <c r="R869" s="1">
        <v>3436.0</v>
      </c>
      <c r="S869" s="1">
        <v>1711.0</v>
      </c>
      <c r="T869" s="1">
        <v>539.0</v>
      </c>
      <c r="U869" s="1">
        <v>473.0</v>
      </c>
      <c r="V869" s="1">
        <v>356.0</v>
      </c>
      <c r="W869" s="1">
        <v>16422.0</v>
      </c>
      <c r="X869" s="1">
        <v>2114.0</v>
      </c>
      <c r="Y869" s="1">
        <v>1117.0</v>
      </c>
      <c r="Z869" s="1">
        <v>330.0</v>
      </c>
      <c r="AA869" s="1">
        <v>1447.0</v>
      </c>
      <c r="AB869" s="1">
        <v>2134.0</v>
      </c>
      <c r="AC869" s="1">
        <v>309.0</v>
      </c>
      <c r="AD869" s="1">
        <v>548.0</v>
      </c>
      <c r="AE869" s="1">
        <v>11.0</v>
      </c>
      <c r="AF869" s="1">
        <v>442.0</v>
      </c>
      <c r="AG869" s="1">
        <v>96.0</v>
      </c>
      <c r="AH869" s="1">
        <v>149.0</v>
      </c>
      <c r="AI869" s="1">
        <v>384.0</v>
      </c>
      <c r="AJ869" s="1">
        <v>144.0</v>
      </c>
      <c r="AK869" s="1">
        <v>112.0</v>
      </c>
      <c r="AL869" s="1">
        <v>143.0</v>
      </c>
      <c r="AM869" s="1">
        <v>198.0</v>
      </c>
      <c r="AN869" s="1">
        <v>120.0</v>
      </c>
      <c r="AO869" s="1">
        <v>828.0</v>
      </c>
      <c r="AP869" s="1">
        <v>0.207645</v>
      </c>
      <c r="AQ869" s="1">
        <v>0.063531</v>
      </c>
      <c r="AR869" s="1">
        <v>0.117021</v>
      </c>
      <c r="AS869" s="1">
        <v>0.087255</v>
      </c>
      <c r="AT869" s="1">
        <v>16422.0</v>
      </c>
      <c r="AU869" s="1">
        <v>2114.0</v>
      </c>
      <c r="AV869" s="1">
        <v>0.206622</v>
      </c>
      <c r="AW869" s="1">
        <v>0.059668</v>
      </c>
      <c r="AX869" s="1">
        <v>0.153936</v>
      </c>
      <c r="AY869" s="1">
        <v>0.227021</v>
      </c>
      <c r="AZ869" s="1">
        <v>0.08993015</v>
      </c>
      <c r="BA869" s="1">
        <v>0.058297</v>
      </c>
      <c r="BB869" s="1">
        <v>0.001265</v>
      </c>
      <c r="BC869" s="1">
        <v>0.050839</v>
      </c>
      <c r="BD869" s="1">
        <v>0.026037</v>
      </c>
      <c r="BE869" s="1">
        <v>0.040368</v>
      </c>
      <c r="BF869" s="1">
        <v>0.104149</v>
      </c>
      <c r="BG869" s="1">
        <v>0.03832</v>
      </c>
      <c r="BH869" s="1">
        <v>0.033482</v>
      </c>
      <c r="BI869" s="1">
        <v>0.042656</v>
      </c>
      <c r="BJ869" s="1">
        <v>0.059192</v>
      </c>
      <c r="BK869" s="1">
        <v>0.035523</v>
      </c>
      <c r="BL869" s="1">
        <v>0.088085</v>
      </c>
      <c r="BM869" s="1">
        <v>0.748</v>
      </c>
      <c r="BN869" s="1">
        <v>0.812</v>
      </c>
      <c r="BO869" s="1">
        <v>0.8159</v>
      </c>
      <c r="BP869" s="1">
        <v>0.77</v>
      </c>
      <c r="BQ869" s="1">
        <v>3.1459</v>
      </c>
      <c r="BR869" s="1">
        <v>0.8383</v>
      </c>
      <c r="BS869" s="1">
        <v>0.609</v>
      </c>
      <c r="BT869" s="1">
        <v>0.36</v>
      </c>
      <c r="BU869" s="1">
        <v>0.399</v>
      </c>
      <c r="BV869" s="1">
        <v>1.368</v>
      </c>
      <c r="BW869" s="1">
        <v>0.364</v>
      </c>
      <c r="BX869" s="1">
        <v>0.304</v>
      </c>
      <c r="BY869" s="1">
        <v>0.344</v>
      </c>
      <c r="BZ869" s="1">
        <v>0.648</v>
      </c>
      <c r="CA869" s="1">
        <v>0.302</v>
      </c>
      <c r="CB869" s="1">
        <v>0.52</v>
      </c>
      <c r="CC869" s="1">
        <v>0.725</v>
      </c>
      <c r="CD869" s="1">
        <v>0.848</v>
      </c>
      <c r="CE869" s="1">
        <v>0.563</v>
      </c>
      <c r="CF869" s="1">
        <v>0.938</v>
      </c>
      <c r="CG869" s="1">
        <v>3.594</v>
      </c>
      <c r="CH869" s="1">
        <v>0.953</v>
      </c>
      <c r="CI869" s="1">
        <v>8.7559</v>
      </c>
      <c r="CJ869" s="1">
        <v>0.8173</v>
      </c>
      <c r="CK869" s="1">
        <v>0.0</v>
      </c>
      <c r="CL869" s="1">
        <v>0.0</v>
      </c>
      <c r="CM869" s="1">
        <v>0.0</v>
      </c>
      <c r="CN869" s="1">
        <v>0.0</v>
      </c>
      <c r="CO869" s="1">
        <v>0.0</v>
      </c>
      <c r="CP869" s="1">
        <v>0.0</v>
      </c>
      <c r="CQ869" s="1">
        <v>0.0</v>
      </c>
      <c r="CR869" s="1">
        <v>0.0</v>
      </c>
      <c r="CS869" s="1">
        <v>0.0</v>
      </c>
      <c r="CT869" s="1">
        <v>0.0</v>
      </c>
      <c r="CU869" s="1">
        <v>0.0</v>
      </c>
      <c r="CV869" s="1">
        <v>0.0</v>
      </c>
      <c r="CW869" s="1">
        <v>0.0</v>
      </c>
      <c r="CX869" s="1">
        <v>0.0</v>
      </c>
      <c r="CY869" s="1">
        <v>0.0</v>
      </c>
      <c r="CZ869" s="1">
        <v>0.0</v>
      </c>
      <c r="DA869" s="1">
        <v>1.0</v>
      </c>
      <c r="DB869" s="1">
        <v>1.0</v>
      </c>
      <c r="DC869" s="1">
        <v>1.0</v>
      </c>
      <c r="DD869" s="1" t="s">
        <v>4055</v>
      </c>
      <c r="DE869" s="1">
        <v>0.0480919072887948</v>
      </c>
      <c r="DF869" s="2" t="s">
        <v>4056</v>
      </c>
    </row>
    <row r="870" ht="15.75" customHeight="1">
      <c r="A870" s="1" t="s">
        <v>4057</v>
      </c>
      <c r="B870" s="1">
        <v>29.0</v>
      </c>
      <c r="C870" s="1">
        <v>167.0</v>
      </c>
      <c r="D870" s="1">
        <v>960300.0</v>
      </c>
      <c r="E870" s="1">
        <v>140.524</v>
      </c>
      <c r="F870" s="1">
        <v>29167.0</v>
      </c>
      <c r="G870" s="1">
        <v>2.91679603E10</v>
      </c>
      <c r="H870" s="1" t="s">
        <v>112</v>
      </c>
      <c r="I870" s="1" t="s">
        <v>113</v>
      </c>
      <c r="J870" s="1" t="s">
        <v>4049</v>
      </c>
      <c r="K870" s="1" t="s">
        <v>4058</v>
      </c>
      <c r="L870" s="1">
        <v>8438.0</v>
      </c>
      <c r="M870" s="1">
        <v>8641.0</v>
      </c>
      <c r="N870" s="1">
        <v>625.0</v>
      </c>
      <c r="O870" s="1">
        <v>3557.0</v>
      </c>
      <c r="P870" s="1">
        <v>3569.0</v>
      </c>
      <c r="Q870" s="1">
        <v>239.0</v>
      </c>
      <c r="R870" s="1">
        <v>3142.0</v>
      </c>
      <c r="S870" s="1">
        <v>1636.0</v>
      </c>
      <c r="T870" s="1">
        <v>511.0</v>
      </c>
      <c r="U870" s="1">
        <v>380.0</v>
      </c>
      <c r="V870" s="1">
        <v>317.0</v>
      </c>
      <c r="W870" s="1">
        <v>18630.0</v>
      </c>
      <c r="X870" s="1">
        <v>1656.0</v>
      </c>
      <c r="Y870" s="1">
        <v>1057.0</v>
      </c>
      <c r="Z870" s="1">
        <v>315.0</v>
      </c>
      <c r="AA870" s="1">
        <v>1041.0</v>
      </c>
      <c r="AB870" s="1">
        <v>2184.0</v>
      </c>
      <c r="AC870" s="1">
        <v>335.0</v>
      </c>
      <c r="AD870" s="1">
        <v>472.0</v>
      </c>
      <c r="AE870" s="1">
        <v>56.0</v>
      </c>
      <c r="AF870" s="1">
        <v>397.0</v>
      </c>
      <c r="AG870" s="1">
        <v>4.0</v>
      </c>
      <c r="AH870" s="1">
        <v>161.0</v>
      </c>
      <c r="AI870" s="1">
        <v>600.0</v>
      </c>
      <c r="AJ870" s="1">
        <v>184.0</v>
      </c>
      <c r="AK870" s="1">
        <v>117.0</v>
      </c>
      <c r="AL870" s="1">
        <v>143.0</v>
      </c>
      <c r="AM870" s="1">
        <v>187.0</v>
      </c>
      <c r="AN870" s="1">
        <v>101.0</v>
      </c>
      <c r="AO870" s="1">
        <v>252.0</v>
      </c>
      <c r="AP870" s="1">
        <v>0.196163</v>
      </c>
      <c r="AQ870" s="1">
        <v>0.059612</v>
      </c>
      <c r="AR870" s="1">
        <v>0.096324</v>
      </c>
      <c r="AS870" s="1">
        <v>0.0798</v>
      </c>
      <c r="AT870" s="1">
        <v>18630.0</v>
      </c>
      <c r="AU870" s="1">
        <v>1656.0</v>
      </c>
      <c r="AV870" s="1">
        <v>0.201294</v>
      </c>
      <c r="AW870" s="1">
        <v>0.058791</v>
      </c>
      <c r="AX870" s="1">
        <v>0.12337</v>
      </c>
      <c r="AY870" s="1">
        <v>0.258829</v>
      </c>
      <c r="AZ870" s="1">
        <v>0.10661998</v>
      </c>
      <c r="BA870" s="1">
        <v>0.055937</v>
      </c>
      <c r="BB870" s="1">
        <v>0.006974</v>
      </c>
      <c r="BC870" s="1">
        <v>0.049443</v>
      </c>
      <c r="BD870" s="1">
        <v>0.00112</v>
      </c>
      <c r="BE870" s="1">
        <v>0.04511</v>
      </c>
      <c r="BF870" s="1">
        <v>0.168114</v>
      </c>
      <c r="BG870" s="1">
        <v>0.05031</v>
      </c>
      <c r="BH870" s="1">
        <v>0.034988</v>
      </c>
      <c r="BI870" s="1">
        <v>0.042681</v>
      </c>
      <c r="BJ870" s="1">
        <v>0.055921</v>
      </c>
      <c r="BK870" s="1">
        <v>0.029907</v>
      </c>
      <c r="BL870" s="1">
        <v>0.029864</v>
      </c>
      <c r="BM870" s="1">
        <v>0.719</v>
      </c>
      <c r="BN870" s="1">
        <v>0.712</v>
      </c>
      <c r="BO870" s="1">
        <v>0.6975</v>
      </c>
      <c r="BP870" s="1">
        <v>0.753</v>
      </c>
      <c r="BQ870" s="1">
        <v>2.8815</v>
      </c>
      <c r="BR870" s="1">
        <v>0.7733</v>
      </c>
      <c r="BS870" s="1">
        <v>0.365</v>
      </c>
      <c r="BT870" s="1">
        <v>0.694</v>
      </c>
      <c r="BU870" s="1">
        <v>0.556</v>
      </c>
      <c r="BV870" s="1">
        <v>1.615</v>
      </c>
      <c r="BW870" s="1">
        <v>0.578</v>
      </c>
      <c r="BX870" s="1">
        <v>0.29</v>
      </c>
      <c r="BY870" s="1">
        <v>0.632</v>
      </c>
      <c r="BZ870" s="1">
        <v>0.922</v>
      </c>
      <c r="CA870" s="1">
        <v>0.484</v>
      </c>
      <c r="CB870" s="1">
        <v>0.258</v>
      </c>
      <c r="CC870" s="1">
        <v>0.85</v>
      </c>
      <c r="CD870" s="1">
        <v>0.861</v>
      </c>
      <c r="CE870" s="1">
        <v>0.541</v>
      </c>
      <c r="CF870" s="1">
        <v>0.807</v>
      </c>
      <c r="CG870" s="1">
        <v>3.317</v>
      </c>
      <c r="CH870" s="1">
        <v>0.876</v>
      </c>
      <c r="CI870" s="1">
        <v>8.7355</v>
      </c>
      <c r="CJ870" s="1">
        <v>0.8152</v>
      </c>
      <c r="CK870" s="1">
        <v>0.0</v>
      </c>
      <c r="CL870" s="1">
        <v>0.0</v>
      </c>
      <c r="CM870" s="1">
        <v>0.0</v>
      </c>
      <c r="CN870" s="1">
        <v>0.0</v>
      </c>
      <c r="CO870" s="1">
        <v>0.0</v>
      </c>
      <c r="CP870" s="1">
        <v>0.0</v>
      </c>
      <c r="CQ870" s="1">
        <v>0.0</v>
      </c>
      <c r="CR870" s="1">
        <v>0.0</v>
      </c>
      <c r="CS870" s="1">
        <v>0.0</v>
      </c>
      <c r="CT870" s="1">
        <v>0.0</v>
      </c>
      <c r="CU870" s="1">
        <v>0.0</v>
      </c>
      <c r="CV870" s="1">
        <v>0.0</v>
      </c>
      <c r="CW870" s="1">
        <v>0.0</v>
      </c>
      <c r="CX870" s="1">
        <v>0.0</v>
      </c>
      <c r="CY870" s="1">
        <v>0.0</v>
      </c>
      <c r="CZ870" s="1">
        <v>0.0</v>
      </c>
      <c r="DA870" s="1">
        <v>0.0</v>
      </c>
      <c r="DB870" s="1">
        <v>0.0</v>
      </c>
      <c r="DC870" s="1">
        <v>0.0</v>
      </c>
      <c r="DD870" s="1" t="s">
        <v>4059</v>
      </c>
      <c r="DE870" s="2" t="s">
        <v>4060</v>
      </c>
      <c r="DF870" s="2" t="s">
        <v>4061</v>
      </c>
    </row>
    <row r="871" ht="15.75" customHeight="1">
      <c r="A871" s="1" t="s">
        <v>4062</v>
      </c>
      <c r="B871" s="1">
        <v>29.0</v>
      </c>
      <c r="C871" s="1">
        <v>167.0</v>
      </c>
      <c r="D871" s="1">
        <v>960100.0</v>
      </c>
      <c r="E871" s="1">
        <v>133.386</v>
      </c>
      <c r="F871" s="1">
        <v>29167.0</v>
      </c>
      <c r="G871" s="1">
        <v>2.91679601E10</v>
      </c>
      <c r="H871" s="1" t="s">
        <v>112</v>
      </c>
      <c r="I871" s="1" t="s">
        <v>113</v>
      </c>
      <c r="J871" s="1" t="s">
        <v>4049</v>
      </c>
      <c r="K871" s="1" t="s">
        <v>4063</v>
      </c>
      <c r="L871" s="1">
        <v>6290.0</v>
      </c>
      <c r="M871" s="1">
        <v>5844.0</v>
      </c>
      <c r="N871" s="1">
        <v>496.0</v>
      </c>
      <c r="O871" s="1">
        <v>2736.0</v>
      </c>
      <c r="P871" s="1">
        <v>2670.0</v>
      </c>
      <c r="Q871" s="1">
        <v>127.0</v>
      </c>
      <c r="R871" s="1">
        <v>2375.0</v>
      </c>
      <c r="S871" s="1">
        <v>1373.0</v>
      </c>
      <c r="T871" s="1">
        <v>274.0</v>
      </c>
      <c r="U871" s="1">
        <v>294.0</v>
      </c>
      <c r="V871" s="1">
        <v>342.0</v>
      </c>
      <c r="W871" s="1">
        <v>18129.0</v>
      </c>
      <c r="X871" s="1">
        <v>2236.0</v>
      </c>
      <c r="Y871" s="1">
        <v>916.0</v>
      </c>
      <c r="Z871" s="1">
        <v>247.0</v>
      </c>
      <c r="AA871" s="1">
        <v>1220.0</v>
      </c>
      <c r="AB871" s="1">
        <v>1578.0</v>
      </c>
      <c r="AC871" s="1">
        <v>232.0</v>
      </c>
      <c r="AD871" s="1">
        <v>261.0</v>
      </c>
      <c r="AE871" s="1">
        <v>20.0</v>
      </c>
      <c r="AF871" s="1">
        <v>427.0</v>
      </c>
      <c r="AG871" s="1">
        <v>16.0</v>
      </c>
      <c r="AH871" s="1">
        <v>116.0</v>
      </c>
      <c r="AI871" s="1">
        <v>559.0</v>
      </c>
      <c r="AJ871" s="1">
        <v>125.0</v>
      </c>
      <c r="AK871" s="1">
        <v>32.0</v>
      </c>
      <c r="AL871" s="1">
        <v>22.0</v>
      </c>
      <c r="AM871" s="1">
        <v>135.0</v>
      </c>
      <c r="AN871" s="1">
        <v>51.0</v>
      </c>
      <c r="AO871" s="1">
        <v>266.0</v>
      </c>
      <c r="AP871" s="1">
        <v>0.243439</v>
      </c>
      <c r="AQ871" s="1">
        <v>0.044377</v>
      </c>
      <c r="AR871" s="1">
        <v>0.123893</v>
      </c>
      <c r="AS871" s="1">
        <v>0.143495</v>
      </c>
      <c r="AT871" s="1">
        <v>18129.0</v>
      </c>
      <c r="AU871" s="1">
        <v>2236.0</v>
      </c>
      <c r="AV871" s="1">
        <v>0.215428</v>
      </c>
      <c r="AW871" s="1">
        <v>0.05493</v>
      </c>
      <c r="AX871" s="1">
        <v>0.193958</v>
      </c>
      <c r="AY871" s="1">
        <v>0.250874</v>
      </c>
      <c r="AZ871" s="1">
        <v>0.09768421</v>
      </c>
      <c r="BA871" s="1">
        <v>0.041494</v>
      </c>
      <c r="BB871" s="1">
        <v>0.0036</v>
      </c>
      <c r="BC871" s="1">
        <v>0.076867</v>
      </c>
      <c r="BD871" s="1">
        <v>0.005992</v>
      </c>
      <c r="BE871" s="1">
        <v>0.043444</v>
      </c>
      <c r="BF871" s="1">
        <v>0.209363</v>
      </c>
      <c r="BG871" s="1">
        <v>0.045745</v>
      </c>
      <c r="BH871" s="1">
        <v>0.013943</v>
      </c>
      <c r="BI871" s="1">
        <v>0.009548</v>
      </c>
      <c r="BJ871" s="1">
        <v>0.058823</v>
      </c>
      <c r="BK871" s="1">
        <v>0.02193</v>
      </c>
      <c r="BL871" s="1">
        <v>0.042289</v>
      </c>
      <c r="BM871" s="1">
        <v>0.817</v>
      </c>
      <c r="BN871" s="1">
        <v>0.835</v>
      </c>
      <c r="BO871" s="1">
        <v>0.7242</v>
      </c>
      <c r="BP871" s="1">
        <v>0.792</v>
      </c>
      <c r="BQ871" s="1">
        <v>3.1682</v>
      </c>
      <c r="BR871" s="1">
        <v>0.844</v>
      </c>
      <c r="BS871" s="1">
        <v>0.853</v>
      </c>
      <c r="BT871" s="1">
        <v>0.608</v>
      </c>
      <c r="BU871" s="1">
        <v>0.472</v>
      </c>
      <c r="BV871" s="1">
        <v>1.933</v>
      </c>
      <c r="BW871" s="1">
        <v>0.823</v>
      </c>
      <c r="BX871" s="1">
        <v>0.174</v>
      </c>
      <c r="BY871" s="1">
        <v>0.492</v>
      </c>
      <c r="BZ871" s="1">
        <v>0.666</v>
      </c>
      <c r="CA871" s="1">
        <v>0.314</v>
      </c>
      <c r="CB871" s="1">
        <v>0.338</v>
      </c>
      <c r="CC871" s="1">
        <v>0.91</v>
      </c>
      <c r="CD871" s="1">
        <v>0.569</v>
      </c>
      <c r="CE871" s="1">
        <v>0.561</v>
      </c>
      <c r="CF871" s="1">
        <v>0.875</v>
      </c>
      <c r="CG871" s="1">
        <v>3.253</v>
      </c>
      <c r="CH871" s="1">
        <v>0.858</v>
      </c>
      <c r="CI871" s="1">
        <v>9.0202</v>
      </c>
      <c r="CJ871" s="1">
        <v>0.8556</v>
      </c>
      <c r="CK871" s="1">
        <v>0.0</v>
      </c>
      <c r="CL871" s="1">
        <v>0.0</v>
      </c>
      <c r="CM871" s="1">
        <v>0.0</v>
      </c>
      <c r="CN871" s="1">
        <v>0.0</v>
      </c>
      <c r="CO871" s="1">
        <v>0.0</v>
      </c>
      <c r="CP871" s="1">
        <v>0.0</v>
      </c>
      <c r="CQ871" s="1">
        <v>0.0</v>
      </c>
      <c r="CR871" s="1">
        <v>0.0</v>
      </c>
      <c r="CS871" s="1">
        <v>0.0</v>
      </c>
      <c r="CT871" s="1">
        <v>0.0</v>
      </c>
      <c r="CU871" s="1">
        <v>0.0</v>
      </c>
      <c r="CV871" s="1">
        <v>0.0</v>
      </c>
      <c r="CW871" s="1">
        <v>0.0</v>
      </c>
      <c r="CX871" s="1">
        <v>1.0</v>
      </c>
      <c r="CY871" s="1">
        <v>0.0</v>
      </c>
      <c r="CZ871" s="1">
        <v>0.0</v>
      </c>
      <c r="DA871" s="1">
        <v>0.0</v>
      </c>
      <c r="DB871" s="1">
        <v>1.0</v>
      </c>
      <c r="DC871" s="1">
        <v>1.0</v>
      </c>
      <c r="DD871" s="1" t="s">
        <v>4064</v>
      </c>
      <c r="DE871" s="1">
        <v>0.0354204454726767</v>
      </c>
      <c r="DF871" s="2" t="s">
        <v>4065</v>
      </c>
    </row>
    <row r="872" ht="15.75" customHeight="1">
      <c r="A872" s="1" t="s">
        <v>4066</v>
      </c>
      <c r="B872" s="1">
        <v>29.0</v>
      </c>
      <c r="C872" s="1">
        <v>169.0</v>
      </c>
      <c r="D872" s="1">
        <v>470287.0</v>
      </c>
      <c r="E872" s="1">
        <v>13.364</v>
      </c>
      <c r="F872" s="1">
        <v>29169.0</v>
      </c>
      <c r="G872" s="1">
        <v>2.9169470287E10</v>
      </c>
      <c r="H872" s="1" t="s">
        <v>112</v>
      </c>
      <c r="I872" s="1" t="s">
        <v>113</v>
      </c>
      <c r="J872" s="1" t="s">
        <v>4067</v>
      </c>
      <c r="K872" s="1" t="s">
        <v>4068</v>
      </c>
      <c r="L872" s="1">
        <v>7707.0</v>
      </c>
      <c r="M872" s="1">
        <v>7182.0</v>
      </c>
      <c r="N872" s="1">
        <v>774.0</v>
      </c>
      <c r="O872" s="1">
        <v>3334.0</v>
      </c>
      <c r="P872" s="1">
        <v>2801.0</v>
      </c>
      <c r="Q872" s="1">
        <v>243.0</v>
      </c>
      <c r="R872" s="1">
        <v>3066.0</v>
      </c>
      <c r="S872" s="1">
        <v>797.0</v>
      </c>
      <c r="T872" s="1">
        <v>328.0</v>
      </c>
      <c r="U872" s="1">
        <v>120.0</v>
      </c>
      <c r="V872" s="1">
        <v>435.0</v>
      </c>
      <c r="W872" s="1">
        <v>20113.0</v>
      </c>
      <c r="X872" s="1">
        <v>1815.0</v>
      </c>
      <c r="Y872" s="1">
        <v>277.0</v>
      </c>
      <c r="Z872" s="1">
        <v>328.0</v>
      </c>
      <c r="AA872" s="1">
        <v>474.0</v>
      </c>
      <c r="AB872" s="1">
        <v>2185.0</v>
      </c>
      <c r="AC872" s="1">
        <v>401.0</v>
      </c>
      <c r="AD872" s="1">
        <v>3056.0</v>
      </c>
      <c r="AE872" s="1">
        <v>49.0</v>
      </c>
      <c r="AF872" s="1">
        <v>429.0</v>
      </c>
      <c r="AG872" s="1">
        <v>82.0</v>
      </c>
      <c r="AH872" s="1">
        <v>74.0</v>
      </c>
      <c r="AI872" s="1">
        <v>436.0</v>
      </c>
      <c r="AJ872" s="1">
        <v>170.0</v>
      </c>
      <c r="AK872" s="1">
        <v>19.0</v>
      </c>
      <c r="AL872" s="1">
        <v>118.0</v>
      </c>
      <c r="AM872" s="1">
        <v>78.0</v>
      </c>
      <c r="AN872" s="1">
        <v>132.0</v>
      </c>
      <c r="AO872" s="1">
        <v>31.0</v>
      </c>
      <c r="AP872" s="1">
        <v>0.110971</v>
      </c>
      <c r="AQ872" s="1">
        <v>0.044076</v>
      </c>
      <c r="AR872" s="1">
        <v>0.04206</v>
      </c>
      <c r="AS872" s="1">
        <v>0.152342</v>
      </c>
      <c r="AT872" s="1">
        <v>20113.0</v>
      </c>
      <c r="AU872" s="1">
        <v>1815.0</v>
      </c>
      <c r="AV872" s="1">
        <v>0.063517</v>
      </c>
      <c r="AW872" s="1">
        <v>0.074832</v>
      </c>
      <c r="AX872" s="1">
        <v>0.061502</v>
      </c>
      <c r="AY872" s="1">
        <v>0.283508</v>
      </c>
      <c r="AZ872" s="1">
        <v>0.1307893</v>
      </c>
      <c r="BA872" s="1">
        <v>0.396522</v>
      </c>
      <c r="BB872" s="1">
        <v>0.007395</v>
      </c>
      <c r="BC872" s="1">
        <v>0.06474</v>
      </c>
      <c r="BD872" s="1">
        <v>0.029275</v>
      </c>
      <c r="BE872" s="1">
        <v>0.026296</v>
      </c>
      <c r="BF872" s="1">
        <v>0.155658</v>
      </c>
      <c r="BG872" s="1">
        <v>0.059171</v>
      </c>
      <c r="BH872" s="1">
        <v>0.007421</v>
      </c>
      <c r="BI872" s="1">
        <v>0.046088</v>
      </c>
      <c r="BJ872" s="1">
        <v>0.030468</v>
      </c>
      <c r="BK872" s="1">
        <v>0.051487</v>
      </c>
      <c r="BL872" s="1">
        <v>0.004022</v>
      </c>
      <c r="BM872" s="1">
        <v>0.422</v>
      </c>
      <c r="BN872" s="1">
        <v>0.207</v>
      </c>
      <c r="BO872" s="1">
        <v>0.6051</v>
      </c>
      <c r="BP872" s="1">
        <v>0.179</v>
      </c>
      <c r="BQ872" s="1">
        <v>1.4131</v>
      </c>
      <c r="BR872" s="1">
        <v>0.3148</v>
      </c>
      <c r="BS872" s="1">
        <v>0.048</v>
      </c>
      <c r="BT872" s="1">
        <v>0.864</v>
      </c>
      <c r="BU872" s="1">
        <v>0.72</v>
      </c>
      <c r="BV872" s="1">
        <v>1.632</v>
      </c>
      <c r="BW872" s="1">
        <v>0.587</v>
      </c>
      <c r="BX872" s="1">
        <v>0.841</v>
      </c>
      <c r="BY872" s="1">
        <v>0.646</v>
      </c>
      <c r="BZ872" s="1">
        <v>1.487</v>
      </c>
      <c r="CA872" s="1">
        <v>0.815</v>
      </c>
      <c r="CB872" s="1">
        <v>0.546</v>
      </c>
      <c r="CC872" s="1">
        <v>0.83</v>
      </c>
      <c r="CD872" s="1">
        <v>0.41</v>
      </c>
      <c r="CE872" s="1">
        <v>0.288</v>
      </c>
      <c r="CF872" s="1">
        <v>0.498</v>
      </c>
      <c r="CG872" s="1">
        <v>2.572</v>
      </c>
      <c r="CH872" s="1">
        <v>0.592</v>
      </c>
      <c r="CI872" s="1">
        <v>7.1041</v>
      </c>
      <c r="CJ872" s="1">
        <v>0.5711</v>
      </c>
      <c r="CK872" s="1">
        <v>0.0</v>
      </c>
      <c r="CL872" s="1">
        <v>0.0</v>
      </c>
      <c r="CM872" s="1">
        <v>0.0</v>
      </c>
      <c r="CN872" s="1">
        <v>0.0</v>
      </c>
      <c r="CO872" s="1">
        <v>0.0</v>
      </c>
      <c r="CP872" s="1">
        <v>0.0</v>
      </c>
      <c r="CQ872" s="1">
        <v>0.0</v>
      </c>
      <c r="CR872" s="1">
        <v>0.0</v>
      </c>
      <c r="CS872" s="1">
        <v>0.0</v>
      </c>
      <c r="CT872" s="1">
        <v>0.0</v>
      </c>
      <c r="CU872" s="1">
        <v>0.0</v>
      </c>
      <c r="CV872" s="1">
        <v>0.0</v>
      </c>
      <c r="CW872" s="1">
        <v>0.0</v>
      </c>
      <c r="CX872" s="1">
        <v>0.0</v>
      </c>
      <c r="CY872" s="1">
        <v>0.0</v>
      </c>
      <c r="CZ872" s="1">
        <v>0.0</v>
      </c>
      <c r="DA872" s="1">
        <v>0.0</v>
      </c>
      <c r="DB872" s="1">
        <v>0.0</v>
      </c>
      <c r="DC872" s="1">
        <v>0.0</v>
      </c>
      <c r="DD872" s="1" t="s">
        <v>4069</v>
      </c>
      <c r="DE872" s="1">
        <v>0.0035449876451003</v>
      </c>
      <c r="DF872" s="2" t="s">
        <v>4070</v>
      </c>
    </row>
    <row r="873" ht="15.75" customHeight="1">
      <c r="A873" s="1" t="s">
        <v>4071</v>
      </c>
      <c r="B873" s="1">
        <v>29.0</v>
      </c>
      <c r="C873" s="1">
        <v>169.0</v>
      </c>
      <c r="D873" s="1">
        <v>470389.0</v>
      </c>
      <c r="E873" s="1">
        <v>2.338</v>
      </c>
      <c r="F873" s="1">
        <v>29169.0</v>
      </c>
      <c r="G873" s="1">
        <v>2.9169470389E10</v>
      </c>
      <c r="H873" s="1" t="s">
        <v>112</v>
      </c>
      <c r="I873" s="1" t="s">
        <v>113</v>
      </c>
      <c r="J873" s="1" t="s">
        <v>4067</v>
      </c>
      <c r="K873" s="1" t="s">
        <v>4072</v>
      </c>
      <c r="L873" s="1">
        <v>8245.0</v>
      </c>
      <c r="M873" s="1">
        <v>6569.0</v>
      </c>
      <c r="N873" s="1">
        <v>1201.0</v>
      </c>
      <c r="O873" s="1">
        <v>729.0</v>
      </c>
      <c r="P873" s="1">
        <v>620.0</v>
      </c>
      <c r="Q873" s="1">
        <v>89.0</v>
      </c>
      <c r="R873" s="1">
        <v>609.0</v>
      </c>
      <c r="S873" s="1">
        <v>77.0</v>
      </c>
      <c r="T873" s="1">
        <v>88.0</v>
      </c>
      <c r="U873" s="1">
        <v>95.0</v>
      </c>
      <c r="V873" s="1">
        <v>446.0</v>
      </c>
      <c r="W873" s="1">
        <v>16301.0</v>
      </c>
      <c r="X873" s="1">
        <v>1260.0</v>
      </c>
      <c r="Y873" s="1">
        <v>64.0</v>
      </c>
      <c r="Z873" s="1">
        <v>415.0</v>
      </c>
      <c r="AA873" s="1">
        <v>4.0</v>
      </c>
      <c r="AB873" s="1">
        <v>850.0</v>
      </c>
      <c r="AC873" s="1">
        <v>40.0</v>
      </c>
      <c r="AD873" s="1">
        <v>3211.0</v>
      </c>
      <c r="AE873" s="1">
        <v>41.0</v>
      </c>
      <c r="AF873" s="1">
        <v>443.0</v>
      </c>
      <c r="AG873" s="1">
        <v>13.0</v>
      </c>
      <c r="AH873" s="1">
        <v>163.0</v>
      </c>
      <c r="AI873" s="1">
        <v>0.0</v>
      </c>
      <c r="AJ873" s="1">
        <v>114.0</v>
      </c>
      <c r="AK873" s="1">
        <v>4.0</v>
      </c>
      <c r="AL873" s="1">
        <v>114.0</v>
      </c>
      <c r="AM873" s="1">
        <v>17.0</v>
      </c>
      <c r="AN873" s="1">
        <v>118.0</v>
      </c>
      <c r="AO873" s="1">
        <v>6270.0</v>
      </c>
      <c r="AP873" s="1">
        <v>0.042053</v>
      </c>
      <c r="AQ873" s="1">
        <v>0.047757</v>
      </c>
      <c r="AR873" s="1">
        <v>0.104166</v>
      </c>
      <c r="AS873" s="1">
        <v>0.486917</v>
      </c>
      <c r="AT873" s="1">
        <v>16301.0</v>
      </c>
      <c r="AU873" s="1">
        <v>1260.0</v>
      </c>
      <c r="AV873" s="1">
        <v>0.046142</v>
      </c>
      <c r="AW873" s="1">
        <v>0.299077</v>
      </c>
      <c r="AX873" s="1">
        <v>4.85E-4</v>
      </c>
      <c r="AY873" s="1">
        <v>0.103092</v>
      </c>
      <c r="AZ873" s="1">
        <v>0.06568144</v>
      </c>
      <c r="BA873" s="1">
        <v>0.389448</v>
      </c>
      <c r="BB873" s="1">
        <v>0.006511</v>
      </c>
      <c r="BC873" s="1">
        <v>0.070339</v>
      </c>
      <c r="BD873" s="1">
        <v>0.020967</v>
      </c>
      <c r="BE873" s="1">
        <v>0.262885</v>
      </c>
      <c r="BF873" s="1">
        <v>0.0</v>
      </c>
      <c r="BG873" s="1">
        <v>0.18387</v>
      </c>
      <c r="BH873" s="1">
        <v>0.006578</v>
      </c>
      <c r="BI873" s="1">
        <v>0.187497</v>
      </c>
      <c r="BJ873" s="1">
        <v>0.02796</v>
      </c>
      <c r="BK873" s="1">
        <v>0.194033</v>
      </c>
      <c r="BL873" s="1">
        <v>0.76046</v>
      </c>
      <c r="BM873" s="1">
        <v>0.128</v>
      </c>
      <c r="BN873" s="1">
        <v>0.757</v>
      </c>
      <c r="BO873" s="1">
        <v>0.8238</v>
      </c>
      <c r="BP873" s="1">
        <v>0.116</v>
      </c>
      <c r="BQ873" s="1">
        <v>1.8248</v>
      </c>
      <c r="BR873" s="1">
        <v>0.4397</v>
      </c>
      <c r="BS873" s="1">
        <v>0.0</v>
      </c>
      <c r="BT873" s="1">
        <v>0.025</v>
      </c>
      <c r="BU873" s="1">
        <v>0.177</v>
      </c>
      <c r="BV873" s="1">
        <v>0.202</v>
      </c>
      <c r="BW873" s="1">
        <v>0.014</v>
      </c>
      <c r="BX873" s="1">
        <v>0.838</v>
      </c>
      <c r="BY873" s="1">
        <v>0.616</v>
      </c>
      <c r="BZ873" s="1">
        <v>1.454</v>
      </c>
      <c r="CA873" s="1">
        <v>0.794</v>
      </c>
      <c r="CB873" s="1">
        <v>0.474</v>
      </c>
      <c r="CC873" s="1">
        <v>0.0</v>
      </c>
      <c r="CD873" s="1">
        <v>0.377</v>
      </c>
      <c r="CE873" s="1">
        <v>0.268</v>
      </c>
      <c r="CF873" s="1">
        <v>0.998</v>
      </c>
      <c r="CG873" s="1">
        <v>2.117</v>
      </c>
      <c r="CH873" s="1">
        <v>0.389</v>
      </c>
      <c r="CI873" s="1">
        <v>5.5978</v>
      </c>
      <c r="CJ873" s="1">
        <v>0.3025</v>
      </c>
      <c r="CK873" s="1">
        <v>0.0</v>
      </c>
      <c r="CL873" s="1">
        <v>0.0</v>
      </c>
      <c r="CM873" s="1">
        <v>0.0</v>
      </c>
      <c r="CN873" s="1">
        <v>0.0</v>
      </c>
      <c r="CO873" s="1">
        <v>0.0</v>
      </c>
      <c r="CP873" s="1">
        <v>0.0</v>
      </c>
      <c r="CQ873" s="1">
        <v>0.0</v>
      </c>
      <c r="CR873" s="1">
        <v>0.0</v>
      </c>
      <c r="CS873" s="1">
        <v>0.0</v>
      </c>
      <c r="CT873" s="1">
        <v>0.0</v>
      </c>
      <c r="CU873" s="1">
        <v>0.0</v>
      </c>
      <c r="CV873" s="1">
        <v>0.0</v>
      </c>
      <c r="CW873" s="1">
        <v>0.0</v>
      </c>
      <c r="CX873" s="1">
        <v>0.0</v>
      </c>
      <c r="CY873" s="1">
        <v>0.0</v>
      </c>
      <c r="CZ873" s="1">
        <v>0.0</v>
      </c>
      <c r="DA873" s="1">
        <v>1.0</v>
      </c>
      <c r="DB873" s="1">
        <v>1.0</v>
      </c>
      <c r="DC873" s="1">
        <v>1.0</v>
      </c>
      <c r="DD873" s="1" t="s">
        <v>4073</v>
      </c>
      <c r="DE873" s="1">
        <v>6.12940297812182E-4</v>
      </c>
      <c r="DF873" s="2" t="s">
        <v>4074</v>
      </c>
    </row>
    <row r="874" ht="15.75" customHeight="1">
      <c r="A874" s="1" t="s">
        <v>4075</v>
      </c>
      <c r="B874" s="1">
        <v>29.0</v>
      </c>
      <c r="C874" s="1">
        <v>169.0</v>
      </c>
      <c r="D874" s="1">
        <v>470101.0</v>
      </c>
      <c r="E874" s="1">
        <v>79.48</v>
      </c>
      <c r="F874" s="1">
        <v>29169.0</v>
      </c>
      <c r="G874" s="1">
        <v>2.9169470101E10</v>
      </c>
      <c r="H874" s="1" t="s">
        <v>112</v>
      </c>
      <c r="I874" s="1" t="s">
        <v>113</v>
      </c>
      <c r="J874" s="1" t="s">
        <v>4067</v>
      </c>
      <c r="K874" s="1" t="s">
        <v>4076</v>
      </c>
      <c r="L874" s="1">
        <v>4547.0</v>
      </c>
      <c r="M874" s="1">
        <v>4260.0</v>
      </c>
      <c r="N874" s="1">
        <v>409.0</v>
      </c>
      <c r="O874" s="1">
        <v>2045.0</v>
      </c>
      <c r="P874" s="1">
        <v>2006.0</v>
      </c>
      <c r="Q874" s="1">
        <v>130.0</v>
      </c>
      <c r="R874" s="1">
        <v>1801.0</v>
      </c>
      <c r="S874" s="1">
        <v>528.0</v>
      </c>
      <c r="T874" s="1">
        <v>212.0</v>
      </c>
      <c r="U874" s="1">
        <v>130.0</v>
      </c>
      <c r="V874" s="1">
        <v>386.0</v>
      </c>
      <c r="W874" s="1">
        <v>18888.0</v>
      </c>
      <c r="X874" s="1">
        <v>1682.0</v>
      </c>
      <c r="Y874" s="1">
        <v>421.0</v>
      </c>
      <c r="Z874" s="1">
        <v>259.0</v>
      </c>
      <c r="AA874" s="1">
        <v>669.0</v>
      </c>
      <c r="AB874" s="1">
        <v>1141.0</v>
      </c>
      <c r="AC874" s="1">
        <v>214.0</v>
      </c>
      <c r="AD874" s="1">
        <v>318.0</v>
      </c>
      <c r="AE874" s="1">
        <v>0.0</v>
      </c>
      <c r="AF874" s="1">
        <v>456.0</v>
      </c>
      <c r="AG874" s="1">
        <v>10.0</v>
      </c>
      <c r="AH874" s="1">
        <v>162.0</v>
      </c>
      <c r="AI874" s="1">
        <v>226.0</v>
      </c>
      <c r="AJ874" s="1">
        <v>88.0</v>
      </c>
      <c r="AK874" s="1">
        <v>6.0</v>
      </c>
      <c r="AL874" s="1">
        <v>115.0</v>
      </c>
      <c r="AM874" s="1">
        <v>175.0</v>
      </c>
      <c r="AN874" s="1">
        <v>94.0</v>
      </c>
      <c r="AO874" s="1">
        <v>48.0</v>
      </c>
      <c r="AP874" s="1">
        <v>0.123943</v>
      </c>
      <c r="AQ874" s="1">
        <v>0.048321</v>
      </c>
      <c r="AR874" s="1">
        <v>0.064676</v>
      </c>
      <c r="AS874" s="1">
        <v>0.191811</v>
      </c>
      <c r="AT874" s="1">
        <v>18888.0</v>
      </c>
      <c r="AU874" s="1">
        <v>1682.0</v>
      </c>
      <c r="AV874" s="1">
        <v>0.148763</v>
      </c>
      <c r="AW874" s="1">
        <v>0.09057</v>
      </c>
      <c r="AX874" s="1">
        <v>0.147129</v>
      </c>
      <c r="AY874" s="1">
        <v>0.250934</v>
      </c>
      <c r="AZ874" s="1">
        <v>0.11882287</v>
      </c>
      <c r="BA874" s="1">
        <v>0.069936</v>
      </c>
      <c r="BB874" s="1">
        <v>0.0</v>
      </c>
      <c r="BC874" s="1">
        <v>0.116178</v>
      </c>
      <c r="BD874" s="1">
        <v>0.004985</v>
      </c>
      <c r="BE874" s="1">
        <v>0.080757</v>
      </c>
      <c r="BF874" s="1">
        <v>0.112662</v>
      </c>
      <c r="BG874" s="1">
        <v>0.043256</v>
      </c>
      <c r="BH874" s="1">
        <v>0.003282</v>
      </c>
      <c r="BI874" s="1">
        <v>0.062909</v>
      </c>
      <c r="BJ874" s="1">
        <v>0.095733</v>
      </c>
      <c r="BK874" s="1">
        <v>0.050941</v>
      </c>
      <c r="BL874" s="1">
        <v>0.010556</v>
      </c>
      <c r="BM874" s="1">
        <v>0.469</v>
      </c>
      <c r="BN874" s="1">
        <v>0.466</v>
      </c>
      <c r="BO874" s="1">
        <v>0.6787</v>
      </c>
      <c r="BP874" s="1">
        <v>0.561</v>
      </c>
      <c r="BQ874" s="1">
        <v>2.1747</v>
      </c>
      <c r="BR874" s="1">
        <v>0.5545</v>
      </c>
      <c r="BS874" s="1">
        <v>0.556</v>
      </c>
      <c r="BT874" s="1">
        <v>0.61</v>
      </c>
      <c r="BU874" s="1">
        <v>0.664</v>
      </c>
      <c r="BV874" s="1">
        <v>1.83</v>
      </c>
      <c r="BW874" s="1">
        <v>0.751</v>
      </c>
      <c r="BX874" s="1">
        <v>0.364</v>
      </c>
      <c r="BY874" s="1">
        <v>0.0</v>
      </c>
      <c r="BZ874" s="1">
        <v>0.364</v>
      </c>
      <c r="CA874" s="1">
        <v>0.15</v>
      </c>
      <c r="CB874" s="1">
        <v>0.315</v>
      </c>
      <c r="CC874" s="1">
        <v>0.745</v>
      </c>
      <c r="CD874" s="1">
        <v>0.295</v>
      </c>
      <c r="CE874" s="1">
        <v>0.741</v>
      </c>
      <c r="CF874" s="1">
        <v>0.588</v>
      </c>
      <c r="CG874" s="1">
        <v>2.684</v>
      </c>
      <c r="CH874" s="1">
        <v>0.638</v>
      </c>
      <c r="CI874" s="1">
        <v>7.0527</v>
      </c>
      <c r="CJ874" s="1">
        <v>0.5574</v>
      </c>
      <c r="CK874" s="1">
        <v>0.0</v>
      </c>
      <c r="CL874" s="1">
        <v>0.0</v>
      </c>
      <c r="CM874" s="1">
        <v>0.0</v>
      </c>
      <c r="CN874" s="1">
        <v>0.0</v>
      </c>
      <c r="CO874" s="1">
        <v>0.0</v>
      </c>
      <c r="CP874" s="1">
        <v>0.0</v>
      </c>
      <c r="CQ874" s="1">
        <v>0.0</v>
      </c>
      <c r="CR874" s="1">
        <v>0.0</v>
      </c>
      <c r="CS874" s="1">
        <v>0.0</v>
      </c>
      <c r="CT874" s="1">
        <v>0.0</v>
      </c>
      <c r="CU874" s="1">
        <v>0.0</v>
      </c>
      <c r="CV874" s="1">
        <v>0.0</v>
      </c>
      <c r="CW874" s="1">
        <v>0.0</v>
      </c>
      <c r="CX874" s="1">
        <v>0.0</v>
      </c>
      <c r="CY874" s="1">
        <v>0.0</v>
      </c>
      <c r="CZ874" s="1">
        <v>0.0</v>
      </c>
      <c r="DA874" s="1">
        <v>0.0</v>
      </c>
      <c r="DB874" s="1">
        <v>0.0</v>
      </c>
      <c r="DC874" s="1">
        <v>0.0</v>
      </c>
      <c r="DD874" s="1" t="s">
        <v>4077</v>
      </c>
      <c r="DE874" s="2" t="s">
        <v>4078</v>
      </c>
      <c r="DF874" s="2" t="s">
        <v>4079</v>
      </c>
    </row>
    <row r="875" ht="15.75" customHeight="1">
      <c r="A875" s="1" t="s">
        <v>4080</v>
      </c>
      <c r="B875" s="1">
        <v>29.0</v>
      </c>
      <c r="C875" s="1">
        <v>169.0</v>
      </c>
      <c r="D875" s="1">
        <v>470102.0</v>
      </c>
      <c r="E875" s="1">
        <v>85.068</v>
      </c>
      <c r="F875" s="1">
        <v>29169.0</v>
      </c>
      <c r="G875" s="1">
        <v>2.9169470102E10</v>
      </c>
      <c r="H875" s="1" t="s">
        <v>112</v>
      </c>
      <c r="I875" s="1" t="s">
        <v>113</v>
      </c>
      <c r="J875" s="1" t="s">
        <v>4067</v>
      </c>
      <c r="K875" s="1" t="s">
        <v>4081</v>
      </c>
      <c r="L875" s="1">
        <v>3489.0</v>
      </c>
      <c r="M875" s="1">
        <v>3342.0</v>
      </c>
      <c r="N875" s="1">
        <v>344.0</v>
      </c>
      <c r="O875" s="1">
        <v>1561.0</v>
      </c>
      <c r="P875" s="1">
        <v>1485.0</v>
      </c>
      <c r="Q875" s="1">
        <v>130.0</v>
      </c>
      <c r="R875" s="1">
        <v>1364.0</v>
      </c>
      <c r="S875" s="1">
        <v>842.0</v>
      </c>
      <c r="T875" s="1">
        <v>331.0</v>
      </c>
      <c r="U875" s="1">
        <v>109.0</v>
      </c>
      <c r="V875" s="1">
        <v>364.0</v>
      </c>
      <c r="W875" s="1">
        <v>17187.0</v>
      </c>
      <c r="X875" s="1">
        <v>2699.0</v>
      </c>
      <c r="Y875" s="1">
        <v>383.0</v>
      </c>
      <c r="Z875" s="1">
        <v>191.0</v>
      </c>
      <c r="AA875" s="1">
        <v>504.0</v>
      </c>
      <c r="AB875" s="1">
        <v>904.0</v>
      </c>
      <c r="AC875" s="1">
        <v>136.0</v>
      </c>
      <c r="AD875" s="1">
        <v>236.0</v>
      </c>
      <c r="AE875" s="1">
        <v>32.0</v>
      </c>
      <c r="AF875" s="1">
        <v>428.0</v>
      </c>
      <c r="AG875" s="1">
        <v>36.0</v>
      </c>
      <c r="AH875" s="1">
        <v>116.0</v>
      </c>
      <c r="AI875" s="1">
        <v>254.0</v>
      </c>
      <c r="AJ875" s="1">
        <v>100.0</v>
      </c>
      <c r="AK875" s="1">
        <v>13.0</v>
      </c>
      <c r="AL875" s="1">
        <v>115.0</v>
      </c>
      <c r="AM875" s="1">
        <v>74.0</v>
      </c>
      <c r="AN875" s="1">
        <v>34.0</v>
      </c>
      <c r="AO875" s="1">
        <v>7.0</v>
      </c>
      <c r="AP875" s="1">
        <v>0.257965</v>
      </c>
      <c r="AQ875" s="1">
        <v>0.097428</v>
      </c>
      <c r="AR875" s="1">
        <v>0.077031</v>
      </c>
      <c r="AS875" s="1">
        <v>0.25692</v>
      </c>
      <c r="AT875" s="1">
        <v>17187.0</v>
      </c>
      <c r="AU875" s="1">
        <v>2699.0</v>
      </c>
      <c r="AV875" s="1">
        <v>0.184311</v>
      </c>
      <c r="AW875" s="1">
        <v>0.090204</v>
      </c>
      <c r="AX875" s="1">
        <v>0.144454</v>
      </c>
      <c r="AY875" s="1">
        <v>0.2591</v>
      </c>
      <c r="AZ875" s="1">
        <v>0.09970674</v>
      </c>
      <c r="BA875" s="1">
        <v>0.067641</v>
      </c>
      <c r="BB875" s="1">
        <v>0.010613</v>
      </c>
      <c r="BC875" s="1">
        <v>0.141952</v>
      </c>
      <c r="BD875" s="1">
        <v>0.024242</v>
      </c>
      <c r="BE875" s="1">
        <v>0.078085</v>
      </c>
      <c r="BF875" s="1">
        <v>0.171043</v>
      </c>
      <c r="BG875" s="1">
        <v>0.065654</v>
      </c>
      <c r="BH875" s="1">
        <v>0.009579</v>
      </c>
      <c r="BI875" s="1">
        <v>0.084739</v>
      </c>
      <c r="BJ875" s="1">
        <v>0.054532</v>
      </c>
      <c r="BK875" s="1">
        <v>0.024387</v>
      </c>
      <c r="BL875" s="1">
        <v>0.002006</v>
      </c>
      <c r="BM875" s="1">
        <v>0.841</v>
      </c>
      <c r="BN875" s="1">
        <v>0.58</v>
      </c>
      <c r="BO875" s="1">
        <v>0.7762</v>
      </c>
      <c r="BP875" s="1">
        <v>0.701</v>
      </c>
      <c r="BQ875" s="1">
        <v>2.8982</v>
      </c>
      <c r="BR875" s="1">
        <v>0.7783</v>
      </c>
      <c r="BS875" s="1">
        <v>0.535</v>
      </c>
      <c r="BT875" s="1">
        <v>0.697</v>
      </c>
      <c r="BU875" s="1">
        <v>0.491</v>
      </c>
      <c r="BV875" s="1">
        <v>1.723</v>
      </c>
      <c r="BW875" s="1">
        <v>0.658</v>
      </c>
      <c r="BX875" s="1">
        <v>0.351</v>
      </c>
      <c r="BY875" s="1">
        <v>0.736</v>
      </c>
      <c r="BZ875" s="1">
        <v>1.087</v>
      </c>
      <c r="CA875" s="1">
        <v>0.605</v>
      </c>
      <c r="CB875" s="1">
        <v>0.507</v>
      </c>
      <c r="CC875" s="1">
        <v>0.855</v>
      </c>
      <c r="CD875" s="1">
        <v>0.468</v>
      </c>
      <c r="CE875" s="1">
        <v>0.524</v>
      </c>
      <c r="CF875" s="1">
        <v>0.443</v>
      </c>
      <c r="CG875" s="1">
        <v>2.797</v>
      </c>
      <c r="CH875" s="1">
        <v>0.687</v>
      </c>
      <c r="CI875" s="1">
        <v>8.5052</v>
      </c>
      <c r="CJ875" s="1">
        <v>0.787</v>
      </c>
      <c r="CK875" s="1">
        <v>0.0</v>
      </c>
      <c r="CL875" s="1">
        <v>0.0</v>
      </c>
      <c r="CM875" s="1">
        <v>0.0</v>
      </c>
      <c r="CN875" s="1">
        <v>0.0</v>
      </c>
      <c r="CO875" s="1">
        <v>0.0</v>
      </c>
      <c r="CP875" s="1">
        <v>0.0</v>
      </c>
      <c r="CQ875" s="1">
        <v>0.0</v>
      </c>
      <c r="CR875" s="1">
        <v>0.0</v>
      </c>
      <c r="CS875" s="1">
        <v>0.0</v>
      </c>
      <c r="CT875" s="1">
        <v>0.0</v>
      </c>
      <c r="CU875" s="1">
        <v>0.0</v>
      </c>
      <c r="CV875" s="1">
        <v>0.0</v>
      </c>
      <c r="CW875" s="1">
        <v>0.0</v>
      </c>
      <c r="CX875" s="1">
        <v>0.0</v>
      </c>
      <c r="CY875" s="1">
        <v>0.0</v>
      </c>
      <c r="CZ875" s="1">
        <v>0.0</v>
      </c>
      <c r="DA875" s="1">
        <v>0.0</v>
      </c>
      <c r="DB875" s="1">
        <v>0.0</v>
      </c>
      <c r="DC875" s="1">
        <v>0.0</v>
      </c>
      <c r="DD875" s="1" t="s">
        <v>4082</v>
      </c>
      <c r="DE875" s="1">
        <v>0.0226725446028841</v>
      </c>
      <c r="DF875" s="2" t="s">
        <v>4083</v>
      </c>
    </row>
    <row r="876" ht="15.75" customHeight="1">
      <c r="A876" s="1" t="s">
        <v>4084</v>
      </c>
      <c r="B876" s="1">
        <v>29.0</v>
      </c>
      <c r="C876" s="1">
        <v>169.0</v>
      </c>
      <c r="D876" s="1">
        <v>470286.0</v>
      </c>
      <c r="E876" s="1">
        <v>87.944</v>
      </c>
      <c r="F876" s="1">
        <v>29169.0</v>
      </c>
      <c r="G876" s="1">
        <v>2.9169470286E10</v>
      </c>
      <c r="H876" s="1" t="s">
        <v>112</v>
      </c>
      <c r="I876" s="1" t="s">
        <v>113</v>
      </c>
      <c r="J876" s="1" t="s">
        <v>4067</v>
      </c>
      <c r="K876" s="1" t="s">
        <v>4085</v>
      </c>
      <c r="L876" s="1">
        <v>4238.0</v>
      </c>
      <c r="M876" s="1">
        <v>3632.0</v>
      </c>
      <c r="N876" s="1">
        <v>432.0</v>
      </c>
      <c r="O876" s="1">
        <v>1702.0</v>
      </c>
      <c r="P876" s="1">
        <v>1631.0</v>
      </c>
      <c r="Q876" s="1">
        <v>140.0</v>
      </c>
      <c r="R876" s="1">
        <v>1541.0</v>
      </c>
      <c r="S876" s="1">
        <v>423.0</v>
      </c>
      <c r="T876" s="1">
        <v>242.0</v>
      </c>
      <c r="U876" s="1">
        <v>204.0</v>
      </c>
      <c r="V876" s="1">
        <v>409.0</v>
      </c>
      <c r="W876" s="1">
        <v>21511.0</v>
      </c>
      <c r="X876" s="1">
        <v>2391.0</v>
      </c>
      <c r="Y876" s="1">
        <v>172.0</v>
      </c>
      <c r="Z876" s="1">
        <v>332.0</v>
      </c>
      <c r="AA876" s="1">
        <v>343.0</v>
      </c>
      <c r="AB876" s="1">
        <v>1201.0</v>
      </c>
      <c r="AC876" s="1">
        <v>168.0</v>
      </c>
      <c r="AD876" s="1">
        <v>1062.0</v>
      </c>
      <c r="AE876" s="1">
        <v>79.0</v>
      </c>
      <c r="AF876" s="1">
        <v>431.0</v>
      </c>
      <c r="AG876" s="1">
        <v>0.0</v>
      </c>
      <c r="AH876" s="1">
        <v>197.0</v>
      </c>
      <c r="AI876" s="1">
        <v>441.0</v>
      </c>
      <c r="AJ876" s="1">
        <v>175.0</v>
      </c>
      <c r="AK876" s="1">
        <v>8.0</v>
      </c>
      <c r="AL876" s="1">
        <v>115.0</v>
      </c>
      <c r="AM876" s="1">
        <v>78.0</v>
      </c>
      <c r="AN876" s="1">
        <v>87.0</v>
      </c>
      <c r="AO876" s="1">
        <v>0.0</v>
      </c>
      <c r="AP876" s="1">
        <v>0.116464</v>
      </c>
      <c r="AQ876" s="1">
        <v>0.065174</v>
      </c>
      <c r="AR876" s="1">
        <v>0.122596</v>
      </c>
      <c r="AS876" s="1">
        <v>0.244285</v>
      </c>
      <c r="AT876" s="1">
        <v>21511.0</v>
      </c>
      <c r="AU876" s="1">
        <v>2391.0</v>
      </c>
      <c r="AV876" s="1">
        <v>0.079777</v>
      </c>
      <c r="AW876" s="1">
        <v>0.153743</v>
      </c>
      <c r="AX876" s="1">
        <v>0.080934</v>
      </c>
      <c r="AY876" s="1">
        <v>0.283388</v>
      </c>
      <c r="AZ876" s="1">
        <v>0.10902011</v>
      </c>
      <c r="BA876" s="1">
        <v>0.250589</v>
      </c>
      <c r="BB876" s="1">
        <v>0.023652</v>
      </c>
      <c r="BC876" s="1">
        <v>0.129007</v>
      </c>
      <c r="BD876" s="1">
        <v>0.0</v>
      </c>
      <c r="BE876" s="1">
        <v>0.120784</v>
      </c>
      <c r="BF876" s="1">
        <v>0.270386</v>
      </c>
      <c r="BG876" s="1">
        <v>0.104755</v>
      </c>
      <c r="BH876" s="1">
        <v>0.00601</v>
      </c>
      <c r="BI876" s="1">
        <v>0.086397</v>
      </c>
      <c r="BJ876" s="1">
        <v>0.058602</v>
      </c>
      <c r="BK876" s="1">
        <v>0.064849</v>
      </c>
      <c r="BL876" s="1">
        <v>0.0</v>
      </c>
      <c r="BM876" s="1">
        <v>0.438</v>
      </c>
      <c r="BN876" s="1">
        <v>0.831</v>
      </c>
      <c r="BO876" s="1">
        <v>0.5199</v>
      </c>
      <c r="BP876" s="1">
        <v>0.246</v>
      </c>
      <c r="BQ876" s="1">
        <v>2.0349</v>
      </c>
      <c r="BR876" s="1">
        <v>0.5105</v>
      </c>
      <c r="BS876" s="1">
        <v>0.12</v>
      </c>
      <c r="BT876" s="1">
        <v>0.862</v>
      </c>
      <c r="BU876" s="1">
        <v>0.576</v>
      </c>
      <c r="BV876" s="1">
        <v>1.558</v>
      </c>
      <c r="BW876" s="1">
        <v>0.529</v>
      </c>
      <c r="BX876" s="1">
        <v>0.761</v>
      </c>
      <c r="BY876" s="1">
        <v>0.879</v>
      </c>
      <c r="BZ876" s="1">
        <v>1.64</v>
      </c>
      <c r="CA876" s="1">
        <v>0.889</v>
      </c>
      <c r="CB876" s="1">
        <v>0.0</v>
      </c>
      <c r="CC876" s="1">
        <v>0.969</v>
      </c>
      <c r="CD876" s="1">
        <v>0.357</v>
      </c>
      <c r="CE876" s="1">
        <v>0.56</v>
      </c>
      <c r="CF876" s="1">
        <v>0.0</v>
      </c>
      <c r="CG876" s="1">
        <v>1.886</v>
      </c>
      <c r="CH876" s="1">
        <v>0.297</v>
      </c>
      <c r="CI876" s="1">
        <v>7.1189</v>
      </c>
      <c r="CJ876" s="1">
        <v>0.5726</v>
      </c>
      <c r="CK876" s="1">
        <v>0.0</v>
      </c>
      <c r="CL876" s="1">
        <v>0.0</v>
      </c>
      <c r="CM876" s="1">
        <v>0.0</v>
      </c>
      <c r="CN876" s="1">
        <v>0.0</v>
      </c>
      <c r="CO876" s="1">
        <v>0.0</v>
      </c>
      <c r="CP876" s="1">
        <v>0.0</v>
      </c>
      <c r="CQ876" s="1">
        <v>0.0</v>
      </c>
      <c r="CR876" s="1">
        <v>0.0</v>
      </c>
      <c r="CS876" s="1">
        <v>0.0</v>
      </c>
      <c r="CT876" s="1">
        <v>0.0</v>
      </c>
      <c r="CU876" s="1">
        <v>0.0</v>
      </c>
      <c r="CV876" s="1">
        <v>0.0</v>
      </c>
      <c r="CW876" s="1">
        <v>0.0</v>
      </c>
      <c r="CX876" s="1">
        <v>1.0</v>
      </c>
      <c r="CY876" s="1">
        <v>0.0</v>
      </c>
      <c r="CZ876" s="1">
        <v>0.0</v>
      </c>
      <c r="DA876" s="1">
        <v>0.0</v>
      </c>
      <c r="DB876" s="1">
        <v>1.0</v>
      </c>
      <c r="DC876" s="1">
        <v>1.0</v>
      </c>
      <c r="DD876" s="1" t="s">
        <v>4086</v>
      </c>
      <c r="DE876" s="2" t="s">
        <v>4087</v>
      </c>
      <c r="DF876" s="2" t="s">
        <v>4088</v>
      </c>
    </row>
    <row r="877" ht="15.75" customHeight="1">
      <c r="A877" s="1" t="s">
        <v>4089</v>
      </c>
      <c r="B877" s="1">
        <v>29.0</v>
      </c>
      <c r="C877" s="1">
        <v>169.0</v>
      </c>
      <c r="D877" s="1">
        <v>470390.0</v>
      </c>
      <c r="E877" s="1">
        <v>4.123</v>
      </c>
      <c r="F877" s="1">
        <v>29169.0</v>
      </c>
      <c r="G877" s="1">
        <v>2.916947039E10</v>
      </c>
      <c r="H877" s="1" t="s">
        <v>112</v>
      </c>
      <c r="I877" s="1" t="s">
        <v>113</v>
      </c>
      <c r="J877" s="1" t="s">
        <v>4067</v>
      </c>
      <c r="K877" s="1" t="s">
        <v>4090</v>
      </c>
      <c r="L877" s="1">
        <v>1472.0</v>
      </c>
      <c r="M877" s="1">
        <v>1759.0</v>
      </c>
      <c r="N877" s="1">
        <v>442.0</v>
      </c>
      <c r="O877" s="1">
        <v>456.0</v>
      </c>
      <c r="P877" s="1">
        <v>991.0</v>
      </c>
      <c r="Q877" s="1">
        <v>164.0</v>
      </c>
      <c r="R877" s="1">
        <v>339.0</v>
      </c>
      <c r="S877" s="1">
        <v>313.0</v>
      </c>
      <c r="T877" s="1">
        <v>224.0</v>
      </c>
      <c r="U877" s="1">
        <v>25.0</v>
      </c>
      <c r="V877" s="1">
        <v>499.0</v>
      </c>
      <c r="W877" s="1">
        <v>13515.0</v>
      </c>
      <c r="X877" s="1">
        <v>2812.0</v>
      </c>
      <c r="Y877" s="1">
        <v>61.0</v>
      </c>
      <c r="Z877" s="1">
        <v>414.0</v>
      </c>
      <c r="AA877" s="1">
        <v>2.0</v>
      </c>
      <c r="AB877" s="1">
        <v>650.0</v>
      </c>
      <c r="AC877" s="1">
        <v>37.0</v>
      </c>
      <c r="AD877" s="1">
        <v>606.0</v>
      </c>
      <c r="AE877" s="1">
        <v>0.0</v>
      </c>
      <c r="AF877" s="1">
        <v>456.0</v>
      </c>
      <c r="AG877" s="1">
        <v>442.0</v>
      </c>
      <c r="AH877" s="1">
        <v>172.0</v>
      </c>
      <c r="AI877" s="1">
        <v>0.0</v>
      </c>
      <c r="AJ877" s="1">
        <v>114.0</v>
      </c>
      <c r="AK877" s="1">
        <v>0.0</v>
      </c>
      <c r="AL877" s="1">
        <v>161.0</v>
      </c>
      <c r="AM877" s="1">
        <v>216.0</v>
      </c>
      <c r="AN877" s="1">
        <v>169.0</v>
      </c>
      <c r="AO877" s="1">
        <v>146.0</v>
      </c>
      <c r="AP877" s="1">
        <v>0.177942</v>
      </c>
      <c r="AQ877" s="1">
        <v>0.119237</v>
      </c>
      <c r="AR877" s="1">
        <v>0.070224</v>
      </c>
      <c r="AS877" s="1">
        <v>1.399372</v>
      </c>
      <c r="AT877" s="1">
        <v>13515.0</v>
      </c>
      <c r="AU877" s="1">
        <v>2812.0</v>
      </c>
      <c r="AV877" s="1">
        <v>0.081769</v>
      </c>
      <c r="AW877" s="1">
        <v>0.554513</v>
      </c>
      <c r="AX877" s="1">
        <v>0.001358</v>
      </c>
      <c r="AY877" s="1">
        <v>0.441576</v>
      </c>
      <c r="AZ877" s="1">
        <v>0.10914454</v>
      </c>
      <c r="BA877" s="1">
        <v>0.411684</v>
      </c>
      <c r="BB877" s="1">
        <v>0.0</v>
      </c>
      <c r="BC877" s="1">
        <v>0.3079</v>
      </c>
      <c r="BD877" s="1">
        <v>0.446014</v>
      </c>
      <c r="BE877" s="1">
        <v>0.157085</v>
      </c>
      <c r="BF877" s="1">
        <v>0.0</v>
      </c>
      <c r="BG877" s="1">
        <v>0.115035</v>
      </c>
      <c r="BH877" s="1">
        <v>0.0</v>
      </c>
      <c r="BI877" s="1">
        <v>0.230989</v>
      </c>
      <c r="BJ877" s="1">
        <v>0.309899</v>
      </c>
      <c r="BK877" s="1">
        <v>0.230091</v>
      </c>
      <c r="BL877" s="1">
        <v>0.099184</v>
      </c>
      <c r="BM877" s="1">
        <v>0.672</v>
      </c>
      <c r="BN877" s="1">
        <v>0.517</v>
      </c>
      <c r="BO877" s="1">
        <v>0.9235</v>
      </c>
      <c r="BP877" s="1">
        <v>0.256</v>
      </c>
      <c r="BQ877" s="1">
        <v>2.3685</v>
      </c>
      <c r="BR877" s="1">
        <v>0.6231</v>
      </c>
      <c r="BS877" s="1">
        <v>0.001</v>
      </c>
      <c r="BT877" s="1">
        <v>0.999</v>
      </c>
      <c r="BU877" s="1">
        <v>0.579</v>
      </c>
      <c r="BV877" s="1">
        <v>1.579</v>
      </c>
      <c r="BW877" s="1">
        <v>0.549</v>
      </c>
      <c r="BX877" s="1">
        <v>0.845</v>
      </c>
      <c r="BY877" s="1">
        <v>0.0</v>
      </c>
      <c r="BZ877" s="1">
        <v>0.845</v>
      </c>
      <c r="CA877" s="1">
        <v>0.427</v>
      </c>
      <c r="CB877" s="1">
        <v>0.974</v>
      </c>
      <c r="CC877" s="1">
        <v>0.0</v>
      </c>
      <c r="CD877" s="1">
        <v>0.0</v>
      </c>
      <c r="CE877" s="1">
        <v>0.969</v>
      </c>
      <c r="CF877" s="1">
        <v>0.943</v>
      </c>
      <c r="CG877" s="1">
        <v>2.886</v>
      </c>
      <c r="CH877" s="1">
        <v>0.727</v>
      </c>
      <c r="CI877" s="1">
        <v>7.6785</v>
      </c>
      <c r="CJ877" s="1">
        <v>0.6671</v>
      </c>
      <c r="CK877" s="1">
        <v>0.0</v>
      </c>
      <c r="CL877" s="1">
        <v>0.0</v>
      </c>
      <c r="CM877" s="1">
        <v>1.0</v>
      </c>
      <c r="CN877" s="1">
        <v>0.0</v>
      </c>
      <c r="CO877" s="1">
        <v>1.0</v>
      </c>
      <c r="CP877" s="1">
        <v>0.0</v>
      </c>
      <c r="CQ877" s="1">
        <v>1.0</v>
      </c>
      <c r="CR877" s="1">
        <v>0.0</v>
      </c>
      <c r="CS877" s="1">
        <v>1.0</v>
      </c>
      <c r="CT877" s="1">
        <v>0.0</v>
      </c>
      <c r="CU877" s="1">
        <v>0.0</v>
      </c>
      <c r="CV877" s="1">
        <v>0.0</v>
      </c>
      <c r="CW877" s="1">
        <v>1.0</v>
      </c>
      <c r="CX877" s="1">
        <v>0.0</v>
      </c>
      <c r="CY877" s="1">
        <v>0.0</v>
      </c>
      <c r="CZ877" s="1">
        <v>1.0</v>
      </c>
      <c r="DA877" s="1">
        <v>1.0</v>
      </c>
      <c r="DB877" s="1">
        <v>3.0</v>
      </c>
      <c r="DC877" s="1">
        <v>5.0</v>
      </c>
      <c r="DD877" s="1" t="s">
        <v>4091</v>
      </c>
      <c r="DE877" s="1">
        <v>0.00109270428879566</v>
      </c>
      <c r="DF877" s="2" t="s">
        <v>4092</v>
      </c>
    </row>
    <row r="878" ht="15.75" customHeight="1">
      <c r="A878" s="1" t="s">
        <v>4093</v>
      </c>
      <c r="B878" s="1">
        <v>29.0</v>
      </c>
      <c r="C878" s="1">
        <v>169.0</v>
      </c>
      <c r="D878" s="1">
        <v>470400.0</v>
      </c>
      <c r="E878" s="1">
        <v>51.244</v>
      </c>
      <c r="F878" s="1">
        <v>29169.0</v>
      </c>
      <c r="G878" s="1">
        <v>2.91694704E10</v>
      </c>
      <c r="H878" s="1" t="s">
        <v>112</v>
      </c>
      <c r="I878" s="1" t="s">
        <v>113</v>
      </c>
      <c r="J878" s="1" t="s">
        <v>4067</v>
      </c>
      <c r="K878" s="1" t="s">
        <v>4094</v>
      </c>
      <c r="L878" s="1">
        <v>11451.0</v>
      </c>
      <c r="M878" s="1">
        <v>9899.0</v>
      </c>
      <c r="N878" s="1">
        <v>516.0</v>
      </c>
      <c r="O878" s="1">
        <v>4686.0</v>
      </c>
      <c r="P878" s="1">
        <v>4317.0</v>
      </c>
      <c r="Q878" s="1">
        <v>243.0</v>
      </c>
      <c r="R878" s="1">
        <v>4308.0</v>
      </c>
      <c r="S878" s="1">
        <v>1644.0</v>
      </c>
      <c r="T878" s="1">
        <v>517.0</v>
      </c>
      <c r="U878" s="1">
        <v>479.0</v>
      </c>
      <c r="V878" s="1">
        <v>365.0</v>
      </c>
      <c r="W878" s="1">
        <v>22293.0</v>
      </c>
      <c r="X878" s="1">
        <v>2184.0</v>
      </c>
      <c r="Y878" s="1">
        <v>926.0</v>
      </c>
      <c r="Z878" s="1">
        <v>275.0</v>
      </c>
      <c r="AA878" s="1">
        <v>967.0</v>
      </c>
      <c r="AB878" s="1">
        <v>3332.0</v>
      </c>
      <c r="AC878" s="1">
        <v>504.0</v>
      </c>
      <c r="AD878" s="1">
        <v>3515.0</v>
      </c>
      <c r="AE878" s="1">
        <v>221.0</v>
      </c>
      <c r="AF878" s="1">
        <v>359.0</v>
      </c>
      <c r="AG878" s="1">
        <v>49.0</v>
      </c>
      <c r="AH878" s="1">
        <v>33.0</v>
      </c>
      <c r="AI878" s="1">
        <v>592.0</v>
      </c>
      <c r="AJ878" s="1">
        <v>155.0</v>
      </c>
      <c r="AK878" s="1">
        <v>66.0</v>
      </c>
      <c r="AL878" s="1">
        <v>128.0</v>
      </c>
      <c r="AM878" s="1">
        <v>238.0</v>
      </c>
      <c r="AN878" s="1">
        <v>119.0</v>
      </c>
      <c r="AO878" s="1">
        <v>140.0</v>
      </c>
      <c r="AP878" s="1">
        <v>0.171966</v>
      </c>
      <c r="AQ878" s="1">
        <v>0.053196</v>
      </c>
      <c r="AR878" s="1">
        <v>0.132393</v>
      </c>
      <c r="AS878" s="1">
        <v>0.099597</v>
      </c>
      <c r="AT878" s="1">
        <v>22293.0</v>
      </c>
      <c r="AU878" s="1">
        <v>2184.0</v>
      </c>
      <c r="AV878" s="1">
        <v>0.147147</v>
      </c>
      <c r="AW878" s="1">
        <v>0.042742</v>
      </c>
      <c r="AX878" s="1">
        <v>0.084446</v>
      </c>
      <c r="AY878" s="1">
        <v>0.290978</v>
      </c>
      <c r="AZ878" s="1">
        <v>0.11699164</v>
      </c>
      <c r="BA878" s="1">
        <v>0.30696</v>
      </c>
      <c r="BB878" s="1">
        <v>0.02424</v>
      </c>
      <c r="BC878" s="1">
        <v>0.039354</v>
      </c>
      <c r="BD878" s="1">
        <v>0.01135</v>
      </c>
      <c r="BE878" s="1">
        <v>0.007617</v>
      </c>
      <c r="BF878" s="1">
        <v>0.137132</v>
      </c>
      <c r="BG878" s="1">
        <v>0.035064</v>
      </c>
      <c r="BH878" s="1">
        <v>0.017165</v>
      </c>
      <c r="BI878" s="1">
        <v>0.033266</v>
      </c>
      <c r="BJ878" s="1">
        <v>0.061898</v>
      </c>
      <c r="BK878" s="1">
        <v>0.030619</v>
      </c>
      <c r="BL878" s="1">
        <v>0.012226</v>
      </c>
      <c r="BM878" s="1">
        <v>0.653</v>
      </c>
      <c r="BN878" s="1">
        <v>0.862</v>
      </c>
      <c r="BO878" s="1">
        <v>0.4787</v>
      </c>
      <c r="BP878" s="1">
        <v>0.556</v>
      </c>
      <c r="BQ878" s="1">
        <v>2.5497</v>
      </c>
      <c r="BR878" s="1">
        <v>0.6823</v>
      </c>
      <c r="BS878" s="1">
        <v>0.135</v>
      </c>
      <c r="BT878" s="1">
        <v>0.889</v>
      </c>
      <c r="BU878" s="1">
        <v>0.651</v>
      </c>
      <c r="BV878" s="1">
        <v>1.675</v>
      </c>
      <c r="BW878" s="1">
        <v>0.623</v>
      </c>
      <c r="BX878" s="1">
        <v>0.792</v>
      </c>
      <c r="BY878" s="1">
        <v>0.884</v>
      </c>
      <c r="BZ878" s="1">
        <v>1.676</v>
      </c>
      <c r="CA878" s="1">
        <v>0.909</v>
      </c>
      <c r="CB878" s="1">
        <v>0.395</v>
      </c>
      <c r="CC878" s="1">
        <v>0.791</v>
      </c>
      <c r="CD878" s="1">
        <v>0.63</v>
      </c>
      <c r="CE878" s="1">
        <v>0.577</v>
      </c>
      <c r="CF878" s="1">
        <v>0.606</v>
      </c>
      <c r="CG878" s="1">
        <v>2.999</v>
      </c>
      <c r="CH878" s="1">
        <v>0.775</v>
      </c>
      <c r="CI878" s="1">
        <v>8.8997</v>
      </c>
      <c r="CJ878" s="1">
        <v>0.839</v>
      </c>
      <c r="CK878" s="1">
        <v>0.0</v>
      </c>
      <c r="CL878" s="1">
        <v>0.0</v>
      </c>
      <c r="CM878" s="1">
        <v>0.0</v>
      </c>
      <c r="CN878" s="1">
        <v>0.0</v>
      </c>
      <c r="CO878" s="1">
        <v>0.0</v>
      </c>
      <c r="CP878" s="1">
        <v>0.0</v>
      </c>
      <c r="CQ878" s="1">
        <v>0.0</v>
      </c>
      <c r="CR878" s="1">
        <v>0.0</v>
      </c>
      <c r="CS878" s="1">
        <v>0.0</v>
      </c>
      <c r="CT878" s="1">
        <v>0.0</v>
      </c>
      <c r="CU878" s="1">
        <v>0.0</v>
      </c>
      <c r="CV878" s="1">
        <v>0.0</v>
      </c>
      <c r="CW878" s="1">
        <v>0.0</v>
      </c>
      <c r="CX878" s="1">
        <v>0.0</v>
      </c>
      <c r="CY878" s="1">
        <v>0.0</v>
      </c>
      <c r="CZ878" s="1">
        <v>0.0</v>
      </c>
      <c r="DA878" s="1">
        <v>0.0</v>
      </c>
      <c r="DB878" s="1">
        <v>0.0</v>
      </c>
      <c r="DC878" s="1">
        <v>0.0</v>
      </c>
      <c r="DD878" s="1" t="s">
        <v>4095</v>
      </c>
      <c r="DE878" s="2" t="s">
        <v>4096</v>
      </c>
      <c r="DF878" s="2" t="s">
        <v>4097</v>
      </c>
    </row>
    <row r="879" ht="15.75" customHeight="1">
      <c r="A879" s="1" t="s">
        <v>4098</v>
      </c>
      <c r="B879" s="1">
        <v>29.0</v>
      </c>
      <c r="C879" s="1">
        <v>169.0</v>
      </c>
      <c r="D879" s="1">
        <v>470500.0</v>
      </c>
      <c r="E879" s="1">
        <v>132.835</v>
      </c>
      <c r="F879" s="1">
        <v>29169.0</v>
      </c>
      <c r="G879" s="1">
        <v>2.91694705E10</v>
      </c>
      <c r="H879" s="1" t="s">
        <v>112</v>
      </c>
      <c r="I879" s="1" t="s">
        <v>113</v>
      </c>
      <c r="J879" s="1" t="s">
        <v>4067</v>
      </c>
      <c r="K879" s="1" t="s">
        <v>4099</v>
      </c>
      <c r="L879" s="1">
        <v>5754.0</v>
      </c>
      <c r="M879" s="1">
        <v>5564.0</v>
      </c>
      <c r="N879" s="1">
        <v>458.0</v>
      </c>
      <c r="O879" s="1">
        <v>2546.0</v>
      </c>
      <c r="P879" s="1">
        <v>2561.0</v>
      </c>
      <c r="Q879" s="1">
        <v>155.0</v>
      </c>
      <c r="R879" s="1">
        <v>2275.0</v>
      </c>
      <c r="S879" s="1">
        <v>647.0</v>
      </c>
      <c r="T879" s="1">
        <v>263.0</v>
      </c>
      <c r="U879" s="1">
        <v>132.0</v>
      </c>
      <c r="V879" s="1">
        <v>328.0</v>
      </c>
      <c r="W879" s="1">
        <v>21881.0</v>
      </c>
      <c r="X879" s="1">
        <v>2011.0</v>
      </c>
      <c r="Y879" s="1">
        <v>738.0</v>
      </c>
      <c r="Z879" s="1">
        <v>250.0</v>
      </c>
      <c r="AA879" s="1">
        <v>789.0</v>
      </c>
      <c r="AB879" s="1">
        <v>1481.0</v>
      </c>
      <c r="AC879" s="1">
        <v>269.0</v>
      </c>
      <c r="AD879" s="1">
        <v>557.0</v>
      </c>
      <c r="AE879" s="1">
        <v>7.0</v>
      </c>
      <c r="AF879" s="1">
        <v>442.0</v>
      </c>
      <c r="AG879" s="1">
        <v>11.0</v>
      </c>
      <c r="AH879" s="1">
        <v>115.0</v>
      </c>
      <c r="AI879" s="1">
        <v>522.0</v>
      </c>
      <c r="AJ879" s="1">
        <v>162.0</v>
      </c>
      <c r="AK879" s="1">
        <v>106.0</v>
      </c>
      <c r="AL879" s="1">
        <v>156.0</v>
      </c>
      <c r="AM879" s="1">
        <v>161.0</v>
      </c>
      <c r="AN879" s="1">
        <v>86.0</v>
      </c>
      <c r="AO879" s="1">
        <v>56.0</v>
      </c>
      <c r="AP879" s="1">
        <v>0.117915</v>
      </c>
      <c r="AQ879" s="1">
        <v>0.046967</v>
      </c>
      <c r="AR879" s="1">
        <v>0.051242</v>
      </c>
      <c r="AS879" s="1">
        <v>0.127163</v>
      </c>
      <c r="AT879" s="1">
        <v>21881.0</v>
      </c>
      <c r="AU879" s="1">
        <v>2011.0</v>
      </c>
      <c r="AV879" s="1">
        <v>0.191588</v>
      </c>
      <c r="AW879" s="1">
        <v>0.063232</v>
      </c>
      <c r="AX879" s="1">
        <v>0.137122</v>
      </c>
      <c r="AY879" s="1">
        <v>0.257386</v>
      </c>
      <c r="AZ879" s="1">
        <v>0.11824175</v>
      </c>
      <c r="BA879" s="1">
        <v>0.096802</v>
      </c>
      <c r="BB879" s="1">
        <v>0.001361</v>
      </c>
      <c r="BC879" s="1">
        <v>0.085941</v>
      </c>
      <c r="BD879" s="1">
        <v>0.004295</v>
      </c>
      <c r="BE879" s="1">
        <v>0.044903</v>
      </c>
      <c r="BF879" s="1">
        <v>0.203826</v>
      </c>
      <c r="BG879" s="1">
        <v>0.062041</v>
      </c>
      <c r="BH879" s="1">
        <v>0.045927</v>
      </c>
      <c r="BI879" s="1">
        <v>0.067511</v>
      </c>
      <c r="BJ879" s="1">
        <v>0.069757</v>
      </c>
      <c r="BK879" s="1">
        <v>0.036926</v>
      </c>
      <c r="BL879" s="1">
        <v>0.009732</v>
      </c>
      <c r="BM879" s="1">
        <v>0.444</v>
      </c>
      <c r="BN879" s="1">
        <v>0.308</v>
      </c>
      <c r="BO879" s="1">
        <v>0.5018</v>
      </c>
      <c r="BP879" s="1">
        <v>0.728</v>
      </c>
      <c r="BQ879" s="1">
        <v>1.9818</v>
      </c>
      <c r="BR879" s="1">
        <v>0.4881</v>
      </c>
      <c r="BS879" s="1">
        <v>0.473</v>
      </c>
      <c r="BT879" s="1">
        <v>0.676</v>
      </c>
      <c r="BU879" s="1">
        <v>0.657</v>
      </c>
      <c r="BV879" s="1">
        <v>1.806</v>
      </c>
      <c r="BW879" s="1">
        <v>0.725</v>
      </c>
      <c r="BX879" s="1">
        <v>0.458</v>
      </c>
      <c r="BY879" s="1">
        <v>0.346</v>
      </c>
      <c r="BZ879" s="1">
        <v>0.804</v>
      </c>
      <c r="CA879" s="1">
        <v>0.403</v>
      </c>
      <c r="CB879" s="1">
        <v>0.305</v>
      </c>
      <c r="CC879" s="1">
        <v>0.902</v>
      </c>
      <c r="CD879" s="1">
        <v>0.921</v>
      </c>
      <c r="CE879" s="1">
        <v>0.623</v>
      </c>
      <c r="CF879" s="1">
        <v>0.571</v>
      </c>
      <c r="CG879" s="1">
        <v>3.322</v>
      </c>
      <c r="CH879" s="1">
        <v>0.881</v>
      </c>
      <c r="CI879" s="1">
        <v>7.9138</v>
      </c>
      <c r="CJ879" s="1">
        <v>0.7018</v>
      </c>
      <c r="CK879" s="1">
        <v>0.0</v>
      </c>
      <c r="CL879" s="1">
        <v>0.0</v>
      </c>
      <c r="CM879" s="1">
        <v>0.0</v>
      </c>
      <c r="CN879" s="1">
        <v>0.0</v>
      </c>
      <c r="CO879" s="1">
        <v>0.0</v>
      </c>
      <c r="CP879" s="1">
        <v>0.0</v>
      </c>
      <c r="CQ879" s="1">
        <v>0.0</v>
      </c>
      <c r="CR879" s="1">
        <v>0.0</v>
      </c>
      <c r="CS879" s="1">
        <v>0.0</v>
      </c>
      <c r="CT879" s="1">
        <v>0.0</v>
      </c>
      <c r="CU879" s="1">
        <v>0.0</v>
      </c>
      <c r="CV879" s="1">
        <v>0.0</v>
      </c>
      <c r="CW879" s="1">
        <v>0.0</v>
      </c>
      <c r="CX879" s="1">
        <v>1.0</v>
      </c>
      <c r="CY879" s="1">
        <v>1.0</v>
      </c>
      <c r="CZ879" s="1">
        <v>0.0</v>
      </c>
      <c r="DA879" s="1">
        <v>0.0</v>
      </c>
      <c r="DB879" s="1">
        <v>2.0</v>
      </c>
      <c r="DC879" s="1">
        <v>2.0</v>
      </c>
      <c r="DD879" s="1" t="s">
        <v>4100</v>
      </c>
      <c r="DE879" s="2" t="s">
        <v>4101</v>
      </c>
      <c r="DF879" s="2" t="s">
        <v>4102</v>
      </c>
    </row>
    <row r="880" ht="15.75" customHeight="1">
      <c r="A880" s="1" t="s">
        <v>4103</v>
      </c>
      <c r="B880" s="1">
        <v>29.0</v>
      </c>
      <c r="C880" s="1">
        <v>169.0</v>
      </c>
      <c r="D880" s="1">
        <v>470600.0</v>
      </c>
      <c r="E880" s="1">
        <v>90.703</v>
      </c>
      <c r="F880" s="1">
        <v>29169.0</v>
      </c>
      <c r="G880" s="1">
        <v>2.91694706E10</v>
      </c>
      <c r="H880" s="1" t="s">
        <v>112</v>
      </c>
      <c r="I880" s="1" t="s">
        <v>113</v>
      </c>
      <c r="J880" s="1" t="s">
        <v>4067</v>
      </c>
      <c r="K880" s="1" t="s">
        <v>4104</v>
      </c>
      <c r="L880" s="1">
        <v>5371.0</v>
      </c>
      <c r="M880" s="1">
        <v>6907.0</v>
      </c>
      <c r="N880" s="1">
        <v>1271.0</v>
      </c>
      <c r="O880" s="1">
        <v>845.0</v>
      </c>
      <c r="P880" s="1">
        <v>1120.0</v>
      </c>
      <c r="Q880" s="1">
        <v>220.0</v>
      </c>
      <c r="R880" s="1">
        <v>701.0</v>
      </c>
      <c r="S880" s="1">
        <v>413.0</v>
      </c>
      <c r="T880" s="1">
        <v>245.0</v>
      </c>
      <c r="U880" s="1">
        <v>175.0</v>
      </c>
      <c r="V880" s="1">
        <v>443.0</v>
      </c>
      <c r="W880" s="1">
        <v>20077.0</v>
      </c>
      <c r="X880" s="1">
        <v>2835.0</v>
      </c>
      <c r="Y880" s="1">
        <v>56.0</v>
      </c>
      <c r="Z880" s="1">
        <v>431.0</v>
      </c>
      <c r="AA880" s="1">
        <v>16.0</v>
      </c>
      <c r="AB880" s="1">
        <v>793.0</v>
      </c>
      <c r="AC880" s="1">
        <v>38.0</v>
      </c>
      <c r="AD880" s="1">
        <v>1850.0</v>
      </c>
      <c r="AE880" s="1">
        <v>29.0</v>
      </c>
      <c r="AF880" s="1">
        <v>428.0</v>
      </c>
      <c r="AG880" s="1">
        <v>151.0</v>
      </c>
      <c r="AH880" s="1">
        <v>166.0</v>
      </c>
      <c r="AI880" s="1">
        <v>0.0</v>
      </c>
      <c r="AJ880" s="1">
        <v>114.0</v>
      </c>
      <c r="AK880" s="1">
        <v>0.0</v>
      </c>
      <c r="AL880" s="1">
        <v>161.0</v>
      </c>
      <c r="AM880" s="1">
        <v>4.0</v>
      </c>
      <c r="AN880" s="1">
        <v>115.0</v>
      </c>
      <c r="AO880" s="1">
        <v>3291.0</v>
      </c>
      <c r="AP880" s="1">
        <v>0.152793</v>
      </c>
      <c r="AQ880" s="1">
        <v>0.087013</v>
      </c>
      <c r="AR880" s="1">
        <v>0.256598</v>
      </c>
      <c r="AS880" s="1">
        <v>0.634467</v>
      </c>
      <c r="AT880" s="1">
        <v>20077.0</v>
      </c>
      <c r="AU880" s="1">
        <v>2835.0</v>
      </c>
      <c r="AV880" s="1">
        <v>0.023236</v>
      </c>
      <c r="AW880" s="1">
        <v>0.178624</v>
      </c>
      <c r="AX880" s="1">
        <v>0.002978</v>
      </c>
      <c r="AY880" s="1">
        <v>0.147644</v>
      </c>
      <c r="AZ880" s="1">
        <v>0.05420827</v>
      </c>
      <c r="BA880" s="1">
        <v>0.344442</v>
      </c>
      <c r="BB880" s="1">
        <v>0.00433</v>
      </c>
      <c r="BC880" s="1">
        <v>0.063913</v>
      </c>
      <c r="BD880" s="1">
        <v>0.134821</v>
      </c>
      <c r="BE880" s="1">
        <v>0.145829</v>
      </c>
      <c r="BF880" s="1">
        <v>0.0</v>
      </c>
      <c r="BG880" s="1">
        <v>0.101785</v>
      </c>
      <c r="BH880" s="1">
        <v>0.0</v>
      </c>
      <c r="BI880" s="1">
        <v>0.183371</v>
      </c>
      <c r="BJ880" s="1">
        <v>0.004555</v>
      </c>
      <c r="BK880" s="1">
        <v>0.130975</v>
      </c>
      <c r="BL880" s="1">
        <v>0.612735</v>
      </c>
      <c r="BM880" s="1">
        <v>0.587</v>
      </c>
      <c r="BN880" s="1">
        <v>0.981</v>
      </c>
      <c r="BO880" s="1">
        <v>0.6079</v>
      </c>
      <c r="BP880" s="1">
        <v>0.041</v>
      </c>
      <c r="BQ880" s="1">
        <v>2.2169</v>
      </c>
      <c r="BR880" s="1">
        <v>0.574</v>
      </c>
      <c r="BS880" s="1">
        <v>0.002</v>
      </c>
      <c r="BT880" s="1">
        <v>0.066</v>
      </c>
      <c r="BU880" s="1">
        <v>0.1</v>
      </c>
      <c r="BV880" s="1">
        <v>0.168</v>
      </c>
      <c r="BW880" s="1">
        <v>0.012</v>
      </c>
      <c r="BX880" s="1">
        <v>0.814</v>
      </c>
      <c r="BY880" s="1">
        <v>0.529</v>
      </c>
      <c r="BZ880" s="1">
        <v>1.343</v>
      </c>
      <c r="CA880" s="1">
        <v>0.733</v>
      </c>
      <c r="CB880" s="1">
        <v>0.818</v>
      </c>
      <c r="CC880" s="1">
        <v>0.0</v>
      </c>
      <c r="CD880" s="1">
        <v>0.0</v>
      </c>
      <c r="CE880" s="1">
        <v>0.046</v>
      </c>
      <c r="CF880" s="1">
        <v>0.995</v>
      </c>
      <c r="CG880" s="1">
        <v>1.859</v>
      </c>
      <c r="CH880" s="1">
        <v>0.287</v>
      </c>
      <c r="CI880" s="1">
        <v>5.5869</v>
      </c>
      <c r="CJ880" s="1">
        <v>0.2975</v>
      </c>
      <c r="CK880" s="1">
        <v>0.0</v>
      </c>
      <c r="CL880" s="1">
        <v>1.0</v>
      </c>
      <c r="CM880" s="1">
        <v>0.0</v>
      </c>
      <c r="CN880" s="1">
        <v>0.0</v>
      </c>
      <c r="CO880" s="1">
        <v>1.0</v>
      </c>
      <c r="CP880" s="1">
        <v>0.0</v>
      </c>
      <c r="CQ880" s="1">
        <v>0.0</v>
      </c>
      <c r="CR880" s="1">
        <v>0.0</v>
      </c>
      <c r="CS880" s="1">
        <v>0.0</v>
      </c>
      <c r="CT880" s="1">
        <v>0.0</v>
      </c>
      <c r="CU880" s="1">
        <v>0.0</v>
      </c>
      <c r="CV880" s="1">
        <v>0.0</v>
      </c>
      <c r="CW880" s="1">
        <v>0.0</v>
      </c>
      <c r="CX880" s="1">
        <v>0.0</v>
      </c>
      <c r="CY880" s="1">
        <v>0.0</v>
      </c>
      <c r="CZ880" s="1">
        <v>0.0</v>
      </c>
      <c r="DA880" s="1">
        <v>1.0</v>
      </c>
      <c r="DB880" s="1">
        <v>1.0</v>
      </c>
      <c r="DC880" s="1">
        <v>2.0</v>
      </c>
      <c r="DD880" s="1" t="s">
        <v>4105</v>
      </c>
      <c r="DE880" s="1">
        <v>0.0241580923665783</v>
      </c>
      <c r="DF880" s="2" t="s">
        <v>4106</v>
      </c>
    </row>
    <row r="881" ht="15.75" customHeight="1">
      <c r="A881" s="1" t="s">
        <v>4107</v>
      </c>
      <c r="B881" s="1">
        <v>29.0</v>
      </c>
      <c r="C881" s="1">
        <v>171.0</v>
      </c>
      <c r="D881" s="1">
        <v>960100.0</v>
      </c>
      <c r="E881" s="1">
        <v>471.277</v>
      </c>
      <c r="F881" s="1">
        <v>29171.0</v>
      </c>
      <c r="G881" s="1">
        <v>2.91719601E10</v>
      </c>
      <c r="H881" s="1" t="s">
        <v>112</v>
      </c>
      <c r="I881" s="1" t="s">
        <v>113</v>
      </c>
      <c r="J881" s="1" t="s">
        <v>4108</v>
      </c>
      <c r="K881" s="1" t="s">
        <v>4109</v>
      </c>
      <c r="L881" s="1">
        <v>2725.0</v>
      </c>
      <c r="M881" s="1">
        <v>2822.0</v>
      </c>
      <c r="N881" s="1">
        <v>207.0</v>
      </c>
      <c r="O881" s="1">
        <v>1771.0</v>
      </c>
      <c r="P881" s="1">
        <v>1661.0</v>
      </c>
      <c r="Q881" s="1">
        <v>110.0</v>
      </c>
      <c r="R881" s="1">
        <v>1118.0</v>
      </c>
      <c r="S881" s="1">
        <v>411.0</v>
      </c>
      <c r="T881" s="1">
        <v>153.0</v>
      </c>
      <c r="U881" s="1">
        <v>19.0</v>
      </c>
      <c r="V881" s="1">
        <v>484.0</v>
      </c>
      <c r="W881" s="1">
        <v>21061.0</v>
      </c>
      <c r="X881" s="1">
        <v>3870.0</v>
      </c>
      <c r="Y881" s="1">
        <v>269.0</v>
      </c>
      <c r="Z881" s="1">
        <v>292.0</v>
      </c>
      <c r="AA881" s="1">
        <v>545.0</v>
      </c>
      <c r="AB881" s="1">
        <v>635.0</v>
      </c>
      <c r="AC881" s="1">
        <v>52.0</v>
      </c>
      <c r="AD881" s="1">
        <v>42.0</v>
      </c>
      <c r="AE881" s="1">
        <v>0.0</v>
      </c>
      <c r="AF881" s="1">
        <v>456.0</v>
      </c>
      <c r="AG881" s="1">
        <v>7.0</v>
      </c>
      <c r="AH881" s="1">
        <v>162.0</v>
      </c>
      <c r="AI881" s="1">
        <v>324.0</v>
      </c>
      <c r="AJ881" s="1">
        <v>92.0</v>
      </c>
      <c r="AK881" s="1">
        <v>36.0</v>
      </c>
      <c r="AL881" s="1">
        <v>28.0</v>
      </c>
      <c r="AM881" s="1">
        <v>64.0</v>
      </c>
      <c r="AN881" s="1">
        <v>38.0</v>
      </c>
      <c r="AO881" s="1">
        <v>0.0</v>
      </c>
      <c r="AP881" s="1">
        <v>0.145641</v>
      </c>
      <c r="AQ881" s="1">
        <v>0.053153</v>
      </c>
      <c r="AR881" s="1">
        <v>0.015676</v>
      </c>
      <c r="AS881" s="1">
        <v>0.399331</v>
      </c>
      <c r="AT881" s="1">
        <v>21061.0</v>
      </c>
      <c r="AU881" s="1">
        <v>3870.0</v>
      </c>
      <c r="AV881" s="1">
        <v>0.137666</v>
      </c>
      <c r="AW881" s="1">
        <v>0.149134</v>
      </c>
      <c r="AX881" s="1">
        <v>0.2</v>
      </c>
      <c r="AY881" s="1">
        <v>0.233027</v>
      </c>
      <c r="AZ881" s="1">
        <v>0.04651162</v>
      </c>
      <c r="BA881" s="1">
        <v>0.015412</v>
      </c>
      <c r="BB881" s="1">
        <v>0.0</v>
      </c>
      <c r="BC881" s="1">
        <v>0.165038</v>
      </c>
      <c r="BD881" s="1">
        <v>0.004214</v>
      </c>
      <c r="BE881" s="1">
        <v>0.097531</v>
      </c>
      <c r="BF881" s="1">
        <v>0.195063</v>
      </c>
      <c r="BG881" s="1">
        <v>0.05386</v>
      </c>
      <c r="BH881" s="1">
        <v>0.029435</v>
      </c>
      <c r="BI881" s="1">
        <v>0.022757</v>
      </c>
      <c r="BJ881" s="1">
        <v>0.05233</v>
      </c>
      <c r="BK881" s="1">
        <v>0.03075</v>
      </c>
      <c r="BL881" s="1">
        <v>0.0</v>
      </c>
      <c r="BM881" s="1">
        <v>0.567</v>
      </c>
      <c r="BN881" s="1">
        <v>0.018</v>
      </c>
      <c r="BO881" s="1">
        <v>0.5466</v>
      </c>
      <c r="BP881" s="1">
        <v>0.51</v>
      </c>
      <c r="BQ881" s="1">
        <v>1.6416</v>
      </c>
      <c r="BR881" s="1">
        <v>0.3856</v>
      </c>
      <c r="BS881" s="1">
        <v>0.871</v>
      </c>
      <c r="BT881" s="1">
        <v>0.42</v>
      </c>
      <c r="BU881" s="1">
        <v>0.06</v>
      </c>
      <c r="BV881" s="1">
        <v>1.351</v>
      </c>
      <c r="BW881" s="1">
        <v>0.343</v>
      </c>
      <c r="BX881" s="1">
        <v>0.005</v>
      </c>
      <c r="BY881" s="1">
        <v>0.0</v>
      </c>
      <c r="BZ881" s="1">
        <v>0.005</v>
      </c>
      <c r="CA881" s="1">
        <v>0.002</v>
      </c>
      <c r="CB881" s="1">
        <v>0.305</v>
      </c>
      <c r="CC881" s="1">
        <v>0.891</v>
      </c>
      <c r="CD881" s="1">
        <v>0.798</v>
      </c>
      <c r="CE881" s="1">
        <v>0.507</v>
      </c>
      <c r="CF881" s="1">
        <v>0.0</v>
      </c>
      <c r="CG881" s="1">
        <v>2.501</v>
      </c>
      <c r="CH881" s="1">
        <v>0.561</v>
      </c>
      <c r="CI881" s="1">
        <v>5.4986</v>
      </c>
      <c r="CJ881" s="1">
        <v>0.283</v>
      </c>
      <c r="CK881" s="1">
        <v>0.0</v>
      </c>
      <c r="CL881" s="1">
        <v>0.0</v>
      </c>
      <c r="CM881" s="1">
        <v>0.0</v>
      </c>
      <c r="CN881" s="1">
        <v>0.0</v>
      </c>
      <c r="CO881" s="1">
        <v>0.0</v>
      </c>
      <c r="CP881" s="1">
        <v>0.0</v>
      </c>
      <c r="CQ881" s="1">
        <v>0.0</v>
      </c>
      <c r="CR881" s="1">
        <v>0.0</v>
      </c>
      <c r="CS881" s="1">
        <v>0.0</v>
      </c>
      <c r="CT881" s="1">
        <v>0.0</v>
      </c>
      <c r="CU881" s="1">
        <v>0.0</v>
      </c>
      <c r="CV881" s="1">
        <v>0.0</v>
      </c>
      <c r="CW881" s="1">
        <v>0.0</v>
      </c>
      <c r="CX881" s="1">
        <v>0.0</v>
      </c>
      <c r="CY881" s="1">
        <v>0.0</v>
      </c>
      <c r="CZ881" s="1">
        <v>0.0</v>
      </c>
      <c r="DA881" s="1">
        <v>0.0</v>
      </c>
      <c r="DB881" s="1">
        <v>0.0</v>
      </c>
      <c r="DC881" s="1">
        <v>0.0</v>
      </c>
      <c r="DD881" s="1" t="s">
        <v>4110</v>
      </c>
      <c r="DE881" s="2" t="s">
        <v>4111</v>
      </c>
      <c r="DF881" s="2" t="s">
        <v>4112</v>
      </c>
    </row>
    <row r="882" ht="15.75" customHeight="1">
      <c r="A882" s="1" t="s">
        <v>4113</v>
      </c>
      <c r="B882" s="1">
        <v>29.0</v>
      </c>
      <c r="C882" s="1">
        <v>171.0</v>
      </c>
      <c r="D882" s="1">
        <v>960200.0</v>
      </c>
      <c r="E882" s="1">
        <v>46.04</v>
      </c>
      <c r="F882" s="1">
        <v>29171.0</v>
      </c>
      <c r="G882" s="1">
        <v>2.91719602E10</v>
      </c>
      <c r="H882" s="1" t="s">
        <v>112</v>
      </c>
      <c r="I882" s="1" t="s">
        <v>113</v>
      </c>
      <c r="J882" s="1" t="s">
        <v>4108</v>
      </c>
      <c r="K882" s="1" t="s">
        <v>4114</v>
      </c>
      <c r="L882" s="1">
        <v>2254.0</v>
      </c>
      <c r="M882" s="1">
        <v>2218.0</v>
      </c>
      <c r="N882" s="1">
        <v>207.0</v>
      </c>
      <c r="O882" s="1">
        <v>1211.0</v>
      </c>
      <c r="P882" s="1">
        <v>1165.0</v>
      </c>
      <c r="Q882" s="1">
        <v>78.0</v>
      </c>
      <c r="R882" s="1">
        <v>1014.0</v>
      </c>
      <c r="S882" s="1">
        <v>498.0</v>
      </c>
      <c r="T882" s="1">
        <v>166.0</v>
      </c>
      <c r="U882" s="1">
        <v>44.0</v>
      </c>
      <c r="V882" s="1">
        <v>443.0</v>
      </c>
      <c r="W882" s="1">
        <v>18661.0</v>
      </c>
      <c r="X882" s="1">
        <v>3571.0</v>
      </c>
      <c r="Y882" s="1">
        <v>223.0</v>
      </c>
      <c r="Z882" s="1">
        <v>128.0</v>
      </c>
      <c r="AA882" s="1">
        <v>531.0</v>
      </c>
      <c r="AB882" s="1">
        <v>525.0</v>
      </c>
      <c r="AC882" s="1">
        <v>114.0</v>
      </c>
      <c r="AD882" s="1">
        <v>72.0</v>
      </c>
      <c r="AE882" s="1">
        <v>5.0</v>
      </c>
      <c r="AF882" s="1">
        <v>442.0</v>
      </c>
      <c r="AG882" s="1">
        <v>3.0</v>
      </c>
      <c r="AH882" s="1">
        <v>161.0</v>
      </c>
      <c r="AI882" s="1">
        <v>64.0</v>
      </c>
      <c r="AJ882" s="1">
        <v>32.0</v>
      </c>
      <c r="AK882" s="1">
        <v>20.0</v>
      </c>
      <c r="AL882" s="1">
        <v>117.0</v>
      </c>
      <c r="AM882" s="1">
        <v>73.0</v>
      </c>
      <c r="AN882" s="1">
        <v>32.0</v>
      </c>
      <c r="AO882" s="1">
        <v>57.0</v>
      </c>
      <c r="AP882" s="1">
        <v>0.227501</v>
      </c>
      <c r="AQ882" s="1">
        <v>0.072809</v>
      </c>
      <c r="AR882" s="1">
        <v>0.041237</v>
      </c>
      <c r="AS882" s="1">
        <v>0.415063</v>
      </c>
      <c r="AT882" s="1">
        <v>18661.0</v>
      </c>
      <c r="AU882" s="1">
        <v>3571.0</v>
      </c>
      <c r="AV882" s="1">
        <v>0.147682</v>
      </c>
      <c r="AW882" s="1">
        <v>0.083733</v>
      </c>
      <c r="AX882" s="1">
        <v>0.235581</v>
      </c>
      <c r="AY882" s="1">
        <v>0.232919</v>
      </c>
      <c r="AZ882" s="1">
        <v>0.11242603</v>
      </c>
      <c r="BA882" s="1">
        <v>0.031943</v>
      </c>
      <c r="BB882" s="1">
        <v>0.002483</v>
      </c>
      <c r="BC882" s="1">
        <v>0.219572</v>
      </c>
      <c r="BD882" s="1">
        <v>0.002575</v>
      </c>
      <c r="BE882" s="1">
        <v>0.138197</v>
      </c>
      <c r="BF882" s="1">
        <v>0.054935</v>
      </c>
      <c r="BG882" s="1">
        <v>0.02722</v>
      </c>
      <c r="BH882" s="1">
        <v>0.01998</v>
      </c>
      <c r="BI882" s="1">
        <v>0.116865</v>
      </c>
      <c r="BJ882" s="1">
        <v>0.072927</v>
      </c>
      <c r="BK882" s="1">
        <v>0.031092</v>
      </c>
      <c r="BL882" s="1">
        <v>0.025288</v>
      </c>
      <c r="BM882" s="1">
        <v>0.785</v>
      </c>
      <c r="BN882" s="1">
        <v>0.196</v>
      </c>
      <c r="BO882" s="1">
        <v>0.6953</v>
      </c>
      <c r="BP882" s="1">
        <v>0.558</v>
      </c>
      <c r="BQ882" s="1">
        <v>2.2343</v>
      </c>
      <c r="BR882" s="1">
        <v>0.5805</v>
      </c>
      <c r="BS882" s="1">
        <v>0.959</v>
      </c>
      <c r="BT882" s="1">
        <v>0.419</v>
      </c>
      <c r="BU882" s="1">
        <v>0.608</v>
      </c>
      <c r="BV882" s="1">
        <v>1.986</v>
      </c>
      <c r="BW882" s="1">
        <v>0.851</v>
      </c>
      <c r="BX882" s="1">
        <v>0.094</v>
      </c>
      <c r="BY882" s="1">
        <v>0.412</v>
      </c>
      <c r="BZ882" s="1">
        <v>0.506</v>
      </c>
      <c r="CA882" s="1">
        <v>0.211</v>
      </c>
      <c r="CB882" s="1">
        <v>0.28</v>
      </c>
      <c r="CC882" s="1">
        <v>0.619</v>
      </c>
      <c r="CD882" s="1">
        <v>0.684</v>
      </c>
      <c r="CE882" s="1">
        <v>0.639</v>
      </c>
      <c r="CF882" s="1">
        <v>0.775</v>
      </c>
      <c r="CG882" s="1">
        <v>2.997</v>
      </c>
      <c r="CH882" s="1">
        <v>0.774</v>
      </c>
      <c r="CI882" s="1">
        <v>7.7233</v>
      </c>
      <c r="CJ882" s="1">
        <v>0.6744</v>
      </c>
      <c r="CK882" s="1">
        <v>0.0</v>
      </c>
      <c r="CL882" s="1">
        <v>0.0</v>
      </c>
      <c r="CM882" s="1">
        <v>0.0</v>
      </c>
      <c r="CN882" s="1">
        <v>0.0</v>
      </c>
      <c r="CO882" s="1">
        <v>0.0</v>
      </c>
      <c r="CP882" s="1">
        <v>1.0</v>
      </c>
      <c r="CQ882" s="1">
        <v>0.0</v>
      </c>
      <c r="CR882" s="1">
        <v>0.0</v>
      </c>
      <c r="CS882" s="1">
        <v>1.0</v>
      </c>
      <c r="CT882" s="1">
        <v>0.0</v>
      </c>
      <c r="CU882" s="1">
        <v>0.0</v>
      </c>
      <c r="CV882" s="1">
        <v>0.0</v>
      </c>
      <c r="CW882" s="1">
        <v>0.0</v>
      </c>
      <c r="CX882" s="1">
        <v>0.0</v>
      </c>
      <c r="CY882" s="1">
        <v>0.0</v>
      </c>
      <c r="CZ882" s="1">
        <v>0.0</v>
      </c>
      <c r="DA882" s="1">
        <v>0.0</v>
      </c>
      <c r="DB882" s="1">
        <v>0.0</v>
      </c>
      <c r="DC882" s="1">
        <v>1.0</v>
      </c>
      <c r="DD882" s="1" t="s">
        <v>4115</v>
      </c>
      <c r="DE882" s="2" t="s">
        <v>4116</v>
      </c>
      <c r="DF882" s="2" t="s">
        <v>4117</v>
      </c>
    </row>
    <row r="883" ht="15.75" customHeight="1">
      <c r="A883" s="1" t="s">
        <v>4118</v>
      </c>
      <c r="B883" s="1">
        <v>29.0</v>
      </c>
      <c r="C883" s="1">
        <v>173.0</v>
      </c>
      <c r="D883" s="1">
        <v>470100.0</v>
      </c>
      <c r="E883" s="1">
        <v>72.107</v>
      </c>
      <c r="F883" s="1">
        <v>29173.0</v>
      </c>
      <c r="G883" s="1">
        <v>2.91734701E10</v>
      </c>
      <c r="H883" s="1" t="s">
        <v>112</v>
      </c>
      <c r="I883" s="1" t="s">
        <v>113</v>
      </c>
      <c r="J883" s="1" t="s">
        <v>4119</v>
      </c>
      <c r="K883" s="1" t="s">
        <v>4120</v>
      </c>
      <c r="L883" s="1">
        <v>3243.0</v>
      </c>
      <c r="M883" s="1">
        <v>3372.0</v>
      </c>
      <c r="N883" s="1">
        <v>274.0</v>
      </c>
      <c r="O883" s="1">
        <v>1426.0</v>
      </c>
      <c r="P883" s="1">
        <v>1515.0</v>
      </c>
      <c r="Q883" s="1">
        <v>81.0</v>
      </c>
      <c r="R883" s="1">
        <v>1280.0</v>
      </c>
      <c r="S883" s="1">
        <v>394.0</v>
      </c>
      <c r="T883" s="1">
        <v>187.0</v>
      </c>
      <c r="U883" s="1">
        <v>57.0</v>
      </c>
      <c r="V883" s="1">
        <v>428.0</v>
      </c>
      <c r="W883" s="1">
        <v>22874.0</v>
      </c>
      <c r="X883" s="1">
        <v>2653.0</v>
      </c>
      <c r="Y883" s="1">
        <v>418.0</v>
      </c>
      <c r="Z883" s="1">
        <v>285.0</v>
      </c>
      <c r="AA883" s="1">
        <v>478.0</v>
      </c>
      <c r="AB883" s="1">
        <v>824.0</v>
      </c>
      <c r="AC883" s="1">
        <v>112.0</v>
      </c>
      <c r="AD883" s="1">
        <v>146.0</v>
      </c>
      <c r="AE883" s="1">
        <v>0.0</v>
      </c>
      <c r="AF883" s="1">
        <v>456.0</v>
      </c>
      <c r="AG883" s="1">
        <v>0.0</v>
      </c>
      <c r="AH883" s="1">
        <v>197.0</v>
      </c>
      <c r="AI883" s="1">
        <v>309.0</v>
      </c>
      <c r="AJ883" s="1">
        <v>91.0</v>
      </c>
      <c r="AK883" s="1">
        <v>22.0</v>
      </c>
      <c r="AL883" s="1">
        <v>117.0</v>
      </c>
      <c r="AM883" s="1">
        <v>105.0</v>
      </c>
      <c r="AN883" s="1">
        <v>71.0</v>
      </c>
      <c r="AO883" s="1">
        <v>0.0</v>
      </c>
      <c r="AP883" s="1">
        <v>0.116844</v>
      </c>
      <c r="AQ883" s="1">
        <v>0.054637</v>
      </c>
      <c r="AR883" s="1">
        <v>0.035098</v>
      </c>
      <c r="AS883" s="1">
        <v>0.2635</v>
      </c>
      <c r="AT883" s="1">
        <v>22874.0</v>
      </c>
      <c r="AU883" s="1">
        <v>2653.0</v>
      </c>
      <c r="AV883" s="1">
        <v>0.183333</v>
      </c>
      <c r="AW883" s="1">
        <v>0.124319</v>
      </c>
      <c r="AX883" s="1">
        <v>0.147394</v>
      </c>
      <c r="AY883" s="1">
        <v>0.254085</v>
      </c>
      <c r="AZ883" s="1">
        <v>0.0875</v>
      </c>
      <c r="BA883" s="1">
        <v>0.04502</v>
      </c>
      <c r="BB883" s="1">
        <v>0.0</v>
      </c>
      <c r="BC883" s="1">
        <v>0.147764</v>
      </c>
      <c r="BD883" s="1">
        <v>0.0</v>
      </c>
      <c r="BE883" s="1">
        <v>0.130033</v>
      </c>
      <c r="BF883" s="1">
        <v>0.20396</v>
      </c>
      <c r="BG883" s="1">
        <v>0.059067</v>
      </c>
      <c r="BH883" s="1">
        <v>0.016058</v>
      </c>
      <c r="BI883" s="1">
        <v>0.085393</v>
      </c>
      <c r="BJ883" s="1">
        <v>0.076642</v>
      </c>
      <c r="BK883" s="1">
        <v>0.051515</v>
      </c>
      <c r="BL883" s="1">
        <v>0.0</v>
      </c>
      <c r="BM883" s="1">
        <v>0.441</v>
      </c>
      <c r="BN883" s="1">
        <v>0.133</v>
      </c>
      <c r="BO883" s="1">
        <v>0.452</v>
      </c>
      <c r="BP883" s="1">
        <v>0.697</v>
      </c>
      <c r="BQ883" s="1">
        <v>1.723</v>
      </c>
      <c r="BR883" s="1">
        <v>0.4094</v>
      </c>
      <c r="BS883" s="1">
        <v>0.558</v>
      </c>
      <c r="BT883" s="1">
        <v>0.648</v>
      </c>
      <c r="BU883" s="1">
        <v>0.382</v>
      </c>
      <c r="BV883" s="1">
        <v>1.588</v>
      </c>
      <c r="BW883" s="1">
        <v>0.559</v>
      </c>
      <c r="BX883" s="1">
        <v>0.212</v>
      </c>
      <c r="BY883" s="1">
        <v>0.0</v>
      </c>
      <c r="BZ883" s="1">
        <v>0.212</v>
      </c>
      <c r="CA883" s="1">
        <v>0.094</v>
      </c>
      <c r="CB883" s="1">
        <v>0.0</v>
      </c>
      <c r="CC883" s="1">
        <v>0.903</v>
      </c>
      <c r="CD883" s="1">
        <v>0.617</v>
      </c>
      <c r="CE883" s="1">
        <v>0.656</v>
      </c>
      <c r="CF883" s="1">
        <v>0.0</v>
      </c>
      <c r="CG883" s="1">
        <v>2.176</v>
      </c>
      <c r="CH883" s="1">
        <v>0.41</v>
      </c>
      <c r="CI883" s="1">
        <v>5.699</v>
      </c>
      <c r="CJ883" s="1">
        <v>0.3199</v>
      </c>
      <c r="CK883" s="1">
        <v>0.0</v>
      </c>
      <c r="CL883" s="1">
        <v>0.0</v>
      </c>
      <c r="CM883" s="1">
        <v>0.0</v>
      </c>
      <c r="CN883" s="1">
        <v>0.0</v>
      </c>
      <c r="CO883" s="1">
        <v>0.0</v>
      </c>
      <c r="CP883" s="1">
        <v>0.0</v>
      </c>
      <c r="CQ883" s="1">
        <v>0.0</v>
      </c>
      <c r="CR883" s="1">
        <v>0.0</v>
      </c>
      <c r="CS883" s="1">
        <v>0.0</v>
      </c>
      <c r="CT883" s="1">
        <v>0.0</v>
      </c>
      <c r="CU883" s="1">
        <v>0.0</v>
      </c>
      <c r="CV883" s="1">
        <v>0.0</v>
      </c>
      <c r="CW883" s="1">
        <v>0.0</v>
      </c>
      <c r="CX883" s="1">
        <v>1.0</v>
      </c>
      <c r="CY883" s="1">
        <v>0.0</v>
      </c>
      <c r="CZ883" s="1">
        <v>0.0</v>
      </c>
      <c r="DA883" s="1">
        <v>0.0</v>
      </c>
      <c r="DB883" s="1">
        <v>1.0</v>
      </c>
      <c r="DC883" s="1">
        <v>1.0</v>
      </c>
      <c r="DD883" s="1" t="s">
        <v>4121</v>
      </c>
      <c r="DE883" s="1">
        <v>0.0203968862237737</v>
      </c>
      <c r="DF883" s="2" t="s">
        <v>4122</v>
      </c>
    </row>
    <row r="884" ht="15.75" customHeight="1">
      <c r="A884" s="1" t="s">
        <v>4123</v>
      </c>
      <c r="B884" s="1">
        <v>29.0</v>
      </c>
      <c r="C884" s="1">
        <v>173.0</v>
      </c>
      <c r="D884" s="1">
        <v>470200.0</v>
      </c>
      <c r="E884" s="1">
        <v>124.678</v>
      </c>
      <c r="F884" s="1">
        <v>29173.0</v>
      </c>
      <c r="G884" s="1">
        <v>2.91734702E10</v>
      </c>
      <c r="H884" s="1" t="s">
        <v>112</v>
      </c>
      <c r="I884" s="1" t="s">
        <v>113</v>
      </c>
      <c r="J884" s="1" t="s">
        <v>4119</v>
      </c>
      <c r="K884" s="1" t="s">
        <v>4124</v>
      </c>
      <c r="L884" s="1">
        <v>3801.0</v>
      </c>
      <c r="M884" s="1">
        <v>3510.0</v>
      </c>
      <c r="N884" s="1">
        <v>282.0</v>
      </c>
      <c r="O884" s="1">
        <v>1679.0</v>
      </c>
      <c r="P884" s="1">
        <v>1718.0</v>
      </c>
      <c r="Q884" s="1">
        <v>97.0</v>
      </c>
      <c r="R884" s="1">
        <v>1492.0</v>
      </c>
      <c r="S884" s="1">
        <v>265.0</v>
      </c>
      <c r="T884" s="1">
        <v>114.0</v>
      </c>
      <c r="U884" s="1">
        <v>77.0</v>
      </c>
      <c r="V884" s="1">
        <v>431.0</v>
      </c>
      <c r="W884" s="1">
        <v>25022.0</v>
      </c>
      <c r="X884" s="1">
        <v>3076.0</v>
      </c>
      <c r="Y884" s="1">
        <v>334.0</v>
      </c>
      <c r="Z884" s="1">
        <v>259.0</v>
      </c>
      <c r="AA884" s="1">
        <v>590.0</v>
      </c>
      <c r="AB884" s="1">
        <v>918.0</v>
      </c>
      <c r="AC884" s="1">
        <v>112.0</v>
      </c>
      <c r="AD884" s="1">
        <v>111.0</v>
      </c>
      <c r="AE884" s="1">
        <v>0.0</v>
      </c>
      <c r="AF884" s="1">
        <v>456.0</v>
      </c>
      <c r="AG884" s="1">
        <v>18.0</v>
      </c>
      <c r="AH884" s="1">
        <v>162.0</v>
      </c>
      <c r="AI884" s="1">
        <v>227.0</v>
      </c>
      <c r="AJ884" s="1">
        <v>84.0</v>
      </c>
      <c r="AK884" s="1">
        <v>0.0</v>
      </c>
      <c r="AL884" s="1">
        <v>161.0</v>
      </c>
      <c r="AM884" s="1">
        <v>89.0</v>
      </c>
      <c r="AN884" s="1">
        <v>52.0</v>
      </c>
      <c r="AO884" s="1">
        <v>39.0</v>
      </c>
      <c r="AP884" s="1">
        <v>0.076789</v>
      </c>
      <c r="AQ884" s="1">
        <v>0.032458</v>
      </c>
      <c r="AR884" s="1">
        <v>0.042191</v>
      </c>
      <c r="AS884" s="1">
        <v>0.236116</v>
      </c>
      <c r="AT884" s="1">
        <v>25022.0</v>
      </c>
      <c r="AU884" s="1">
        <v>3076.0</v>
      </c>
      <c r="AV884" s="1">
        <v>0.13275</v>
      </c>
      <c r="AW884" s="1">
        <v>0.102545</v>
      </c>
      <c r="AX884" s="1">
        <v>0.155222</v>
      </c>
      <c r="AY884" s="1">
        <v>0.241515</v>
      </c>
      <c r="AZ884" s="1">
        <v>0.07506702</v>
      </c>
      <c r="BA884" s="1">
        <v>0.029202</v>
      </c>
      <c r="BB884" s="1">
        <v>0.0</v>
      </c>
      <c r="BC884" s="1">
        <v>0.136119</v>
      </c>
      <c r="BD884" s="1">
        <v>0.010477</v>
      </c>
      <c r="BE884" s="1">
        <v>0.094293</v>
      </c>
      <c r="BF884" s="1">
        <v>0.13213</v>
      </c>
      <c r="BG884" s="1">
        <v>0.048321</v>
      </c>
      <c r="BH884" s="1">
        <v>0.0</v>
      </c>
      <c r="BI884" s="1">
        <v>0.1133</v>
      </c>
      <c r="BJ884" s="1">
        <v>0.062631</v>
      </c>
      <c r="BK884" s="1">
        <v>0.036277</v>
      </c>
      <c r="BL884" s="1">
        <v>0.01026</v>
      </c>
      <c r="BM884" s="1">
        <v>0.279</v>
      </c>
      <c r="BN884" s="1">
        <v>0.209</v>
      </c>
      <c r="BO884" s="1">
        <v>0.3487</v>
      </c>
      <c r="BP884" s="1">
        <v>0.483</v>
      </c>
      <c r="BQ884" s="1">
        <v>1.3197</v>
      </c>
      <c r="BR884" s="1">
        <v>0.2838</v>
      </c>
      <c r="BS884" s="1">
        <v>0.621</v>
      </c>
      <c r="BT884" s="1">
        <v>0.509</v>
      </c>
      <c r="BU884" s="1">
        <v>0.257</v>
      </c>
      <c r="BV884" s="1">
        <v>1.387</v>
      </c>
      <c r="BW884" s="1">
        <v>0.379</v>
      </c>
      <c r="BX884" s="1">
        <v>0.074</v>
      </c>
      <c r="BY884" s="1">
        <v>0.0</v>
      </c>
      <c r="BZ884" s="1">
        <v>0.074</v>
      </c>
      <c r="CA884" s="1">
        <v>0.036</v>
      </c>
      <c r="CB884" s="1">
        <v>0.387</v>
      </c>
      <c r="CC884" s="1">
        <v>0.781</v>
      </c>
      <c r="CD884" s="1">
        <v>0.0</v>
      </c>
      <c r="CE884" s="1">
        <v>0.582</v>
      </c>
      <c r="CF884" s="1">
        <v>0.584</v>
      </c>
      <c r="CG884" s="1">
        <v>2.334</v>
      </c>
      <c r="CH884" s="1">
        <v>0.473</v>
      </c>
      <c r="CI884" s="1">
        <v>5.1147</v>
      </c>
      <c r="CJ884" s="1">
        <v>0.2195</v>
      </c>
      <c r="CK884" s="1">
        <v>0.0</v>
      </c>
      <c r="CL884" s="1">
        <v>0.0</v>
      </c>
      <c r="CM884" s="1">
        <v>0.0</v>
      </c>
      <c r="CN884" s="1">
        <v>0.0</v>
      </c>
      <c r="CO884" s="1">
        <v>0.0</v>
      </c>
      <c r="CP884" s="1">
        <v>0.0</v>
      </c>
      <c r="CQ884" s="1">
        <v>0.0</v>
      </c>
      <c r="CR884" s="1">
        <v>0.0</v>
      </c>
      <c r="CS884" s="1">
        <v>0.0</v>
      </c>
      <c r="CT884" s="1">
        <v>0.0</v>
      </c>
      <c r="CU884" s="1">
        <v>0.0</v>
      </c>
      <c r="CV884" s="1">
        <v>0.0</v>
      </c>
      <c r="CW884" s="1">
        <v>0.0</v>
      </c>
      <c r="CX884" s="1">
        <v>0.0</v>
      </c>
      <c r="CY884" s="1">
        <v>0.0</v>
      </c>
      <c r="CZ884" s="1">
        <v>0.0</v>
      </c>
      <c r="DA884" s="1">
        <v>0.0</v>
      </c>
      <c r="DB884" s="1">
        <v>0.0</v>
      </c>
      <c r="DC884" s="1">
        <v>0.0</v>
      </c>
      <c r="DD884" s="1" t="s">
        <v>4125</v>
      </c>
      <c r="DE884" s="2" t="s">
        <v>4126</v>
      </c>
      <c r="DF884" s="2" t="s">
        <v>4127</v>
      </c>
    </row>
    <row r="885" ht="15.75" customHeight="1">
      <c r="A885" s="1" t="s">
        <v>4128</v>
      </c>
      <c r="B885" s="1">
        <v>29.0</v>
      </c>
      <c r="C885" s="1">
        <v>173.0</v>
      </c>
      <c r="D885" s="1">
        <v>470300.0</v>
      </c>
      <c r="E885" s="1">
        <v>272.995</v>
      </c>
      <c r="F885" s="1">
        <v>29173.0</v>
      </c>
      <c r="G885" s="1">
        <v>2.91734703E10</v>
      </c>
      <c r="H885" s="1" t="s">
        <v>112</v>
      </c>
      <c r="I885" s="1" t="s">
        <v>113</v>
      </c>
      <c r="J885" s="1" t="s">
        <v>4119</v>
      </c>
      <c r="K885" s="1" t="s">
        <v>4129</v>
      </c>
      <c r="L885" s="1">
        <v>3123.0</v>
      </c>
      <c r="M885" s="1">
        <v>3245.0</v>
      </c>
      <c r="N885" s="1">
        <v>306.0</v>
      </c>
      <c r="O885" s="1">
        <v>2078.0</v>
      </c>
      <c r="P885" s="1">
        <v>1869.0</v>
      </c>
      <c r="Q885" s="1">
        <v>81.0</v>
      </c>
      <c r="R885" s="1">
        <v>1319.0</v>
      </c>
      <c r="S885" s="1">
        <v>277.0</v>
      </c>
      <c r="T885" s="1">
        <v>193.0</v>
      </c>
      <c r="U885" s="1">
        <v>44.0</v>
      </c>
      <c r="V885" s="1">
        <v>428.0</v>
      </c>
      <c r="W885" s="1">
        <v>19711.0</v>
      </c>
      <c r="X885" s="1">
        <v>2317.0</v>
      </c>
      <c r="Y885" s="1">
        <v>354.0</v>
      </c>
      <c r="Z885" s="1">
        <v>295.0</v>
      </c>
      <c r="AA885" s="1">
        <v>608.0</v>
      </c>
      <c r="AB885" s="1">
        <v>636.0</v>
      </c>
      <c r="AC885" s="1">
        <v>83.0</v>
      </c>
      <c r="AD885" s="1">
        <v>82.0</v>
      </c>
      <c r="AE885" s="1">
        <v>5.0</v>
      </c>
      <c r="AF885" s="1">
        <v>427.0</v>
      </c>
      <c r="AG885" s="1">
        <v>74.0</v>
      </c>
      <c r="AH885" s="1">
        <v>172.0</v>
      </c>
      <c r="AI885" s="1">
        <v>279.0</v>
      </c>
      <c r="AJ885" s="1">
        <v>75.0</v>
      </c>
      <c r="AK885" s="1">
        <v>0.0</v>
      </c>
      <c r="AL885" s="1">
        <v>161.0</v>
      </c>
      <c r="AM885" s="1">
        <v>23.0</v>
      </c>
      <c r="AN885" s="1">
        <v>116.0</v>
      </c>
      <c r="AO885" s="1">
        <v>15.0</v>
      </c>
      <c r="AP885" s="1">
        <v>0.086319</v>
      </c>
      <c r="AQ885" s="1">
        <v>0.059577</v>
      </c>
      <c r="AR885" s="1">
        <v>0.031631</v>
      </c>
      <c r="AS885" s="1">
        <v>0.307656</v>
      </c>
      <c r="AT885" s="1">
        <v>19711.0</v>
      </c>
      <c r="AU885" s="1">
        <v>2317.0</v>
      </c>
      <c r="AV885" s="1">
        <v>0.151282</v>
      </c>
      <c r="AW885" s="1">
        <v>0.125505</v>
      </c>
      <c r="AX885" s="1">
        <v>0.194684</v>
      </c>
      <c r="AY885" s="1">
        <v>0.20365</v>
      </c>
      <c r="AZ885" s="1">
        <v>0.06292645</v>
      </c>
      <c r="BA885" s="1">
        <v>0.026256</v>
      </c>
      <c r="BB885" s="1">
        <v>0.001601</v>
      </c>
      <c r="BC885" s="1">
        <v>0.136727</v>
      </c>
      <c r="BD885" s="1">
        <v>0.039593</v>
      </c>
      <c r="BE885" s="1">
        <v>0.092011</v>
      </c>
      <c r="BF885" s="1">
        <v>0.149277</v>
      </c>
      <c r="BG885" s="1">
        <v>0.039603</v>
      </c>
      <c r="BH885" s="1">
        <v>0.0</v>
      </c>
      <c r="BI885" s="1">
        <v>0.119436</v>
      </c>
      <c r="BJ885" s="1">
        <v>0.017062</v>
      </c>
      <c r="BK885" s="1">
        <v>0.086037</v>
      </c>
      <c r="BL885" s="1">
        <v>0.004803</v>
      </c>
      <c r="BM885" s="1">
        <v>0.321</v>
      </c>
      <c r="BN885" s="1">
        <v>0.1</v>
      </c>
      <c r="BO885" s="1">
        <v>0.6325</v>
      </c>
      <c r="BP885" s="1">
        <v>0.573</v>
      </c>
      <c r="BQ885" s="1">
        <v>1.6265</v>
      </c>
      <c r="BR885" s="1">
        <v>0.3827</v>
      </c>
      <c r="BS885" s="1">
        <v>0.856</v>
      </c>
      <c r="BT885" s="1">
        <v>0.207</v>
      </c>
      <c r="BU885" s="1">
        <v>0.158</v>
      </c>
      <c r="BV885" s="1">
        <v>1.221</v>
      </c>
      <c r="BW885" s="1">
        <v>0.248</v>
      </c>
      <c r="BX885" s="1">
        <v>0.053</v>
      </c>
      <c r="BY885" s="1">
        <v>0.358</v>
      </c>
      <c r="BZ885" s="1">
        <v>0.411</v>
      </c>
      <c r="CA885" s="1">
        <v>0.169</v>
      </c>
      <c r="CB885" s="1">
        <v>0.61</v>
      </c>
      <c r="CC885" s="1">
        <v>0.815</v>
      </c>
      <c r="CD885" s="1">
        <v>0.0</v>
      </c>
      <c r="CE885" s="1">
        <v>0.151</v>
      </c>
      <c r="CF885" s="1">
        <v>0.505</v>
      </c>
      <c r="CG885" s="1">
        <v>2.081</v>
      </c>
      <c r="CH885" s="1">
        <v>0.375</v>
      </c>
      <c r="CI885" s="1">
        <v>5.3395</v>
      </c>
      <c r="CJ885" s="1">
        <v>0.2527</v>
      </c>
      <c r="CK885" s="1">
        <v>0.0</v>
      </c>
      <c r="CL885" s="1">
        <v>0.0</v>
      </c>
      <c r="CM885" s="1">
        <v>0.0</v>
      </c>
      <c r="CN885" s="1">
        <v>0.0</v>
      </c>
      <c r="CO885" s="1">
        <v>0.0</v>
      </c>
      <c r="CP885" s="1">
        <v>0.0</v>
      </c>
      <c r="CQ885" s="1">
        <v>0.0</v>
      </c>
      <c r="CR885" s="1">
        <v>0.0</v>
      </c>
      <c r="CS885" s="1">
        <v>0.0</v>
      </c>
      <c r="CT885" s="1">
        <v>0.0</v>
      </c>
      <c r="CU885" s="1">
        <v>0.0</v>
      </c>
      <c r="CV885" s="1">
        <v>0.0</v>
      </c>
      <c r="CW885" s="1">
        <v>0.0</v>
      </c>
      <c r="CX885" s="1">
        <v>0.0</v>
      </c>
      <c r="CY885" s="1">
        <v>0.0</v>
      </c>
      <c r="CZ885" s="1">
        <v>0.0</v>
      </c>
      <c r="DA885" s="1">
        <v>0.0</v>
      </c>
      <c r="DB885" s="1">
        <v>0.0</v>
      </c>
      <c r="DC885" s="1">
        <v>0.0</v>
      </c>
      <c r="DD885" s="1" t="s">
        <v>4130</v>
      </c>
      <c r="DE885" s="1">
        <v>0.0767244385542298</v>
      </c>
      <c r="DF885" s="2" t="s">
        <v>4131</v>
      </c>
    </row>
    <row r="886" ht="15.75" customHeight="1">
      <c r="A886" s="1" t="s">
        <v>4132</v>
      </c>
      <c r="B886" s="1">
        <v>29.0</v>
      </c>
      <c r="C886" s="1">
        <v>175.0</v>
      </c>
      <c r="D886" s="1">
        <v>490300.0</v>
      </c>
      <c r="E886" s="1">
        <v>5.675</v>
      </c>
      <c r="F886" s="1">
        <v>29175.0</v>
      </c>
      <c r="G886" s="1">
        <v>2.91754903E10</v>
      </c>
      <c r="H886" s="1" t="s">
        <v>112</v>
      </c>
      <c r="I886" s="1" t="s">
        <v>113</v>
      </c>
      <c r="J886" s="1" t="s">
        <v>4133</v>
      </c>
      <c r="K886" s="1" t="s">
        <v>4134</v>
      </c>
      <c r="L886" s="1">
        <v>4774.0</v>
      </c>
      <c r="M886" s="1">
        <v>4686.0</v>
      </c>
      <c r="N886" s="1">
        <v>397.0</v>
      </c>
      <c r="O886" s="1">
        <v>2386.0</v>
      </c>
      <c r="P886" s="1">
        <v>2418.0</v>
      </c>
      <c r="Q886" s="1">
        <v>140.0</v>
      </c>
      <c r="R886" s="1">
        <v>2036.0</v>
      </c>
      <c r="S886" s="1">
        <v>1621.0</v>
      </c>
      <c r="T886" s="1">
        <v>713.0</v>
      </c>
      <c r="U886" s="1">
        <v>169.0</v>
      </c>
      <c r="V886" s="1">
        <v>406.0</v>
      </c>
      <c r="W886" s="1">
        <v>12028.0</v>
      </c>
      <c r="X886" s="1">
        <v>1287.0</v>
      </c>
      <c r="Y886" s="1">
        <v>627.0</v>
      </c>
      <c r="Z886" s="1">
        <v>287.0</v>
      </c>
      <c r="AA886" s="1">
        <v>771.0</v>
      </c>
      <c r="AB886" s="1">
        <v>1197.0</v>
      </c>
      <c r="AC886" s="1">
        <v>368.0</v>
      </c>
      <c r="AD886" s="1">
        <v>729.0</v>
      </c>
      <c r="AE886" s="1">
        <v>0.0</v>
      </c>
      <c r="AF886" s="1">
        <v>456.0</v>
      </c>
      <c r="AG886" s="1">
        <v>167.0</v>
      </c>
      <c r="AH886" s="1">
        <v>63.0</v>
      </c>
      <c r="AI886" s="1">
        <v>244.0</v>
      </c>
      <c r="AJ886" s="1">
        <v>89.0</v>
      </c>
      <c r="AK886" s="1">
        <v>49.0</v>
      </c>
      <c r="AL886" s="1">
        <v>125.0</v>
      </c>
      <c r="AM886" s="1">
        <v>271.0</v>
      </c>
      <c r="AN886" s="1">
        <v>84.0</v>
      </c>
      <c r="AO886" s="1">
        <v>183.0</v>
      </c>
      <c r="AP886" s="1">
        <v>0.357915</v>
      </c>
      <c r="AQ886" s="1">
        <v>0.154255</v>
      </c>
      <c r="AR886" s="1">
        <v>0.093732</v>
      </c>
      <c r="AS886" s="1">
        <v>0.224572</v>
      </c>
      <c r="AT886" s="1">
        <v>12028.0</v>
      </c>
      <c r="AU886" s="1">
        <v>1287.0</v>
      </c>
      <c r="AV886" s="1">
        <v>0.219845</v>
      </c>
      <c r="AW886" s="1">
        <v>0.098798</v>
      </c>
      <c r="AX886" s="1">
        <v>0.161499</v>
      </c>
      <c r="AY886" s="1">
        <v>0.250733</v>
      </c>
      <c r="AZ886" s="1">
        <v>0.18074656</v>
      </c>
      <c r="BA886" s="1">
        <v>0.152702</v>
      </c>
      <c r="BB886" s="1">
        <v>0.0</v>
      </c>
      <c r="BC886" s="1">
        <v>0.108726</v>
      </c>
      <c r="BD886" s="1">
        <v>0.069065</v>
      </c>
      <c r="BE886" s="1">
        <v>0.025745</v>
      </c>
      <c r="BF886" s="1">
        <v>0.100909</v>
      </c>
      <c r="BG886" s="1">
        <v>0.03634</v>
      </c>
      <c r="BH886" s="1">
        <v>0.025414</v>
      </c>
      <c r="BI886" s="1">
        <v>0.064803</v>
      </c>
      <c r="BJ886" s="1">
        <v>0.14056</v>
      </c>
      <c r="BK886" s="1">
        <v>0.042154</v>
      </c>
      <c r="BL886" s="1">
        <v>0.038332</v>
      </c>
      <c r="BM886" s="1">
        <v>0.928</v>
      </c>
      <c r="BN886" s="1">
        <v>0.7</v>
      </c>
      <c r="BO886" s="1">
        <v>0.9603</v>
      </c>
      <c r="BP886" s="1">
        <v>0.802</v>
      </c>
      <c r="BQ886" s="1">
        <v>3.3903</v>
      </c>
      <c r="BR886" s="1">
        <v>0.8968</v>
      </c>
      <c r="BS886" s="1">
        <v>0.678</v>
      </c>
      <c r="BT886" s="1">
        <v>0.605</v>
      </c>
      <c r="BU886" s="1">
        <v>0.868</v>
      </c>
      <c r="BV886" s="1">
        <v>2.151</v>
      </c>
      <c r="BW886" s="1">
        <v>0.948</v>
      </c>
      <c r="BX886" s="1">
        <v>0.633</v>
      </c>
      <c r="BY886" s="1">
        <v>0.0</v>
      </c>
      <c r="BZ886" s="1">
        <v>0.633</v>
      </c>
      <c r="CA886" s="1">
        <v>0.292</v>
      </c>
      <c r="CB886" s="1">
        <v>0.712</v>
      </c>
      <c r="CC886" s="1">
        <v>0.717</v>
      </c>
      <c r="CD886" s="1">
        <v>0.764</v>
      </c>
      <c r="CE886" s="1">
        <v>0.849</v>
      </c>
      <c r="CF886" s="1">
        <v>0.86</v>
      </c>
      <c r="CG886" s="1">
        <v>3.902</v>
      </c>
      <c r="CH886" s="1">
        <v>0.994</v>
      </c>
      <c r="CI886" s="1">
        <v>10.0763</v>
      </c>
      <c r="CJ886" s="1">
        <v>0.9545</v>
      </c>
      <c r="CK886" s="1">
        <v>1.0</v>
      </c>
      <c r="CL886" s="1">
        <v>0.0</v>
      </c>
      <c r="CM886" s="1">
        <v>1.0</v>
      </c>
      <c r="CN886" s="1">
        <v>0.0</v>
      </c>
      <c r="CO886" s="1">
        <v>2.0</v>
      </c>
      <c r="CP886" s="1">
        <v>0.0</v>
      </c>
      <c r="CQ886" s="1">
        <v>0.0</v>
      </c>
      <c r="CR886" s="1">
        <v>0.0</v>
      </c>
      <c r="CS886" s="1">
        <v>0.0</v>
      </c>
      <c r="CT886" s="1">
        <v>0.0</v>
      </c>
      <c r="CU886" s="1">
        <v>0.0</v>
      </c>
      <c r="CV886" s="1">
        <v>0.0</v>
      </c>
      <c r="CW886" s="1">
        <v>0.0</v>
      </c>
      <c r="CX886" s="1">
        <v>0.0</v>
      </c>
      <c r="CY886" s="1">
        <v>0.0</v>
      </c>
      <c r="CZ886" s="1">
        <v>0.0</v>
      </c>
      <c r="DA886" s="1">
        <v>0.0</v>
      </c>
      <c r="DB886" s="1">
        <v>0.0</v>
      </c>
      <c r="DC886" s="1">
        <v>2.0</v>
      </c>
      <c r="DD886" s="1" t="s">
        <v>4135</v>
      </c>
      <c r="DE886" s="1">
        <v>0.00154006278108364</v>
      </c>
      <c r="DF886" s="2" t="s">
        <v>4136</v>
      </c>
    </row>
    <row r="887" ht="15.75" customHeight="1">
      <c r="A887" s="1" t="s">
        <v>4137</v>
      </c>
      <c r="B887" s="1">
        <v>29.0</v>
      </c>
      <c r="C887" s="1">
        <v>175.0</v>
      </c>
      <c r="D887" s="1">
        <v>490400.0</v>
      </c>
      <c r="E887" s="1">
        <v>3.649</v>
      </c>
      <c r="F887" s="1">
        <v>29175.0</v>
      </c>
      <c r="G887" s="1">
        <v>2.91754904E10</v>
      </c>
      <c r="H887" s="1" t="s">
        <v>112</v>
      </c>
      <c r="I887" s="1" t="s">
        <v>113</v>
      </c>
      <c r="J887" s="1" t="s">
        <v>4133</v>
      </c>
      <c r="K887" s="1" t="s">
        <v>4138</v>
      </c>
      <c r="L887" s="1">
        <v>3163.0</v>
      </c>
      <c r="M887" s="1">
        <v>3230.0</v>
      </c>
      <c r="N887" s="1">
        <v>338.0</v>
      </c>
      <c r="O887" s="1">
        <v>1447.0</v>
      </c>
      <c r="P887" s="1">
        <v>1405.0</v>
      </c>
      <c r="Q887" s="1">
        <v>88.0</v>
      </c>
      <c r="R887" s="1">
        <v>1249.0</v>
      </c>
      <c r="S887" s="1">
        <v>280.0</v>
      </c>
      <c r="T887" s="1">
        <v>131.0</v>
      </c>
      <c r="U887" s="1">
        <v>51.0</v>
      </c>
      <c r="V887" s="1">
        <v>428.0</v>
      </c>
      <c r="W887" s="1">
        <v>24568.0</v>
      </c>
      <c r="X887" s="1">
        <v>3661.0</v>
      </c>
      <c r="Y887" s="1">
        <v>116.0</v>
      </c>
      <c r="Z887" s="1">
        <v>327.0</v>
      </c>
      <c r="AA887" s="1">
        <v>410.0</v>
      </c>
      <c r="AB887" s="1">
        <v>829.0</v>
      </c>
      <c r="AC887" s="1">
        <v>165.0</v>
      </c>
      <c r="AD887" s="1">
        <v>352.0</v>
      </c>
      <c r="AE887" s="1">
        <v>14.0</v>
      </c>
      <c r="AF887" s="1">
        <v>442.0</v>
      </c>
      <c r="AG887" s="1">
        <v>22.0</v>
      </c>
      <c r="AH887" s="1">
        <v>118.0</v>
      </c>
      <c r="AI887" s="1">
        <v>37.0</v>
      </c>
      <c r="AJ887" s="1">
        <v>45.0</v>
      </c>
      <c r="AK887" s="1">
        <v>9.0</v>
      </c>
      <c r="AL887" s="1">
        <v>115.0</v>
      </c>
      <c r="AM887" s="1">
        <v>97.0</v>
      </c>
      <c r="AN887" s="1">
        <v>53.0</v>
      </c>
      <c r="AO887" s="1">
        <v>52.0</v>
      </c>
      <c r="AP887" s="1">
        <v>0.086902</v>
      </c>
      <c r="AQ887" s="1">
        <v>0.039628</v>
      </c>
      <c r="AR887" s="1">
        <v>0.032319</v>
      </c>
      <c r="AS887" s="1">
        <v>0.271187</v>
      </c>
      <c r="AT887" s="1">
        <v>24568.0</v>
      </c>
      <c r="AU887" s="1">
        <v>3661.0</v>
      </c>
      <c r="AV887" s="1">
        <v>0.058853</v>
      </c>
      <c r="AW887" s="1">
        <v>0.165821</v>
      </c>
      <c r="AX887" s="1">
        <v>0.129623</v>
      </c>
      <c r="AY887" s="1">
        <v>0.262092</v>
      </c>
      <c r="AZ887" s="1">
        <v>0.13210568</v>
      </c>
      <c r="BA887" s="1">
        <v>0.111286</v>
      </c>
      <c r="BB887" s="1">
        <v>0.004732</v>
      </c>
      <c r="BC887" s="1">
        <v>0.149424</v>
      </c>
      <c r="BD887" s="1">
        <v>0.015658</v>
      </c>
      <c r="BE887" s="1">
        <v>0.08398</v>
      </c>
      <c r="BF887" s="1">
        <v>0.026334</v>
      </c>
      <c r="BG887" s="1">
        <v>0.031985</v>
      </c>
      <c r="BH887" s="1">
        <v>0.007358</v>
      </c>
      <c r="BI887" s="1">
        <v>0.094029</v>
      </c>
      <c r="BJ887" s="1">
        <v>0.079313</v>
      </c>
      <c r="BK887" s="1">
        <v>0.042857</v>
      </c>
      <c r="BL887" s="1">
        <v>0.01644</v>
      </c>
      <c r="BM887" s="1">
        <v>0.323</v>
      </c>
      <c r="BN887" s="1">
        <v>0.107</v>
      </c>
      <c r="BO887" s="1">
        <v>0.3675</v>
      </c>
      <c r="BP887" s="1">
        <v>0.163</v>
      </c>
      <c r="BQ887" s="1">
        <v>0.9605</v>
      </c>
      <c r="BR887" s="1">
        <v>0.1913</v>
      </c>
      <c r="BS887" s="1">
        <v>0.417</v>
      </c>
      <c r="BT887" s="1">
        <v>0.722</v>
      </c>
      <c r="BU887" s="1">
        <v>0.725</v>
      </c>
      <c r="BV887" s="1">
        <v>1.864</v>
      </c>
      <c r="BW887" s="1">
        <v>0.776</v>
      </c>
      <c r="BX887" s="1">
        <v>0.509</v>
      </c>
      <c r="BY887" s="1">
        <v>0.548</v>
      </c>
      <c r="BZ887" s="1">
        <v>1.057</v>
      </c>
      <c r="CA887" s="1">
        <v>0.588</v>
      </c>
      <c r="CB887" s="1">
        <v>0.43</v>
      </c>
      <c r="CC887" s="1">
        <v>0.536</v>
      </c>
      <c r="CD887" s="1">
        <v>0.406</v>
      </c>
      <c r="CE887" s="1">
        <v>0.669</v>
      </c>
      <c r="CF887" s="1">
        <v>0.664</v>
      </c>
      <c r="CG887" s="1">
        <v>2.705</v>
      </c>
      <c r="CH887" s="1">
        <v>0.643</v>
      </c>
      <c r="CI887" s="1">
        <v>6.5865</v>
      </c>
      <c r="CJ887" s="1">
        <v>0.4765</v>
      </c>
      <c r="CK887" s="1">
        <v>0.0</v>
      </c>
      <c r="CL887" s="1">
        <v>0.0</v>
      </c>
      <c r="CM887" s="1">
        <v>0.0</v>
      </c>
      <c r="CN887" s="1">
        <v>0.0</v>
      </c>
      <c r="CO887" s="1">
        <v>0.0</v>
      </c>
      <c r="CP887" s="1">
        <v>0.0</v>
      </c>
      <c r="CQ887" s="1">
        <v>0.0</v>
      </c>
      <c r="CR887" s="1">
        <v>0.0</v>
      </c>
      <c r="CS887" s="1">
        <v>0.0</v>
      </c>
      <c r="CT887" s="1">
        <v>0.0</v>
      </c>
      <c r="CU887" s="1">
        <v>0.0</v>
      </c>
      <c r="CV887" s="1">
        <v>0.0</v>
      </c>
      <c r="CW887" s="1">
        <v>0.0</v>
      </c>
      <c r="CX887" s="1">
        <v>0.0</v>
      </c>
      <c r="CY887" s="1">
        <v>0.0</v>
      </c>
      <c r="CZ887" s="1">
        <v>0.0</v>
      </c>
      <c r="DA887" s="1">
        <v>0.0</v>
      </c>
      <c r="DB887" s="1">
        <v>0.0</v>
      </c>
      <c r="DC887" s="1">
        <v>0.0</v>
      </c>
      <c r="DD887" s="1" t="s">
        <v>4139</v>
      </c>
      <c r="DE887" s="1">
        <v>0.00100139389470931</v>
      </c>
      <c r="DF887" s="2" t="s">
        <v>4140</v>
      </c>
    </row>
    <row r="888" ht="15.75" customHeight="1">
      <c r="A888" s="1" t="s">
        <v>4141</v>
      </c>
      <c r="B888" s="1">
        <v>29.0</v>
      </c>
      <c r="C888" s="1">
        <v>175.0</v>
      </c>
      <c r="D888" s="1">
        <v>490100.0</v>
      </c>
      <c r="E888" s="1">
        <v>196.286</v>
      </c>
      <c r="F888" s="1">
        <v>29175.0</v>
      </c>
      <c r="G888" s="1">
        <v>2.91754901E10</v>
      </c>
      <c r="H888" s="1" t="s">
        <v>112</v>
      </c>
      <c r="I888" s="1" t="s">
        <v>113</v>
      </c>
      <c r="J888" s="1" t="s">
        <v>4133</v>
      </c>
      <c r="K888" s="1" t="s">
        <v>4142</v>
      </c>
      <c r="L888" s="1">
        <v>3783.0</v>
      </c>
      <c r="M888" s="1">
        <v>3464.0</v>
      </c>
      <c r="N888" s="1">
        <v>256.0</v>
      </c>
      <c r="O888" s="1">
        <v>1695.0</v>
      </c>
      <c r="P888" s="1">
        <v>1752.0</v>
      </c>
      <c r="Q888" s="1">
        <v>100.0</v>
      </c>
      <c r="R888" s="1">
        <v>1455.0</v>
      </c>
      <c r="S888" s="1">
        <v>415.0</v>
      </c>
      <c r="T888" s="1">
        <v>156.0</v>
      </c>
      <c r="U888" s="1">
        <v>93.0</v>
      </c>
      <c r="V888" s="1">
        <v>325.0</v>
      </c>
      <c r="W888" s="1">
        <v>19950.0</v>
      </c>
      <c r="X888" s="1">
        <v>1603.0</v>
      </c>
      <c r="Y888" s="1">
        <v>353.0</v>
      </c>
      <c r="Z888" s="1">
        <v>243.0</v>
      </c>
      <c r="AA888" s="1">
        <v>585.0</v>
      </c>
      <c r="AB888" s="1">
        <v>921.0</v>
      </c>
      <c r="AC888" s="1">
        <v>121.0</v>
      </c>
      <c r="AD888" s="1">
        <v>94.0</v>
      </c>
      <c r="AE888" s="1">
        <v>0.0</v>
      </c>
      <c r="AF888" s="1">
        <v>456.0</v>
      </c>
      <c r="AG888" s="1">
        <v>0.0</v>
      </c>
      <c r="AH888" s="1">
        <v>197.0</v>
      </c>
      <c r="AI888" s="1">
        <v>534.0</v>
      </c>
      <c r="AJ888" s="1">
        <v>102.0</v>
      </c>
      <c r="AK888" s="1">
        <v>10.0</v>
      </c>
      <c r="AL888" s="1">
        <v>115.0</v>
      </c>
      <c r="AM888" s="1">
        <v>15.0</v>
      </c>
      <c r="AN888" s="1">
        <v>11.0</v>
      </c>
      <c r="AO888" s="1">
        <v>0.0</v>
      </c>
      <c r="AP888" s="1">
        <v>0.119942</v>
      </c>
      <c r="AQ888" s="1">
        <v>0.044197</v>
      </c>
      <c r="AR888" s="1">
        <v>0.0595</v>
      </c>
      <c r="AS888" s="1">
        <v>0.207815</v>
      </c>
      <c r="AT888" s="1">
        <v>19950.0</v>
      </c>
      <c r="AU888" s="1">
        <v>1603.0</v>
      </c>
      <c r="AV888" s="1">
        <v>0.141313</v>
      </c>
      <c r="AW888" s="1">
        <v>0.096556</v>
      </c>
      <c r="AX888" s="1">
        <v>0.154639</v>
      </c>
      <c r="AY888" s="1">
        <v>0.243457</v>
      </c>
      <c r="AZ888" s="1">
        <v>0.08316151</v>
      </c>
      <c r="BA888" s="1">
        <v>0.024848</v>
      </c>
      <c r="BB888" s="1">
        <v>0.0</v>
      </c>
      <c r="BC888" s="1">
        <v>0.140178</v>
      </c>
      <c r="BD888" s="1">
        <v>0.0</v>
      </c>
      <c r="BE888" s="1">
        <v>0.112442</v>
      </c>
      <c r="BF888" s="1">
        <v>0.304794</v>
      </c>
      <c r="BG888" s="1">
        <v>0.055559</v>
      </c>
      <c r="BH888" s="1">
        <v>0.007278</v>
      </c>
      <c r="BI888" s="1">
        <v>0.083695</v>
      </c>
      <c r="BJ888" s="1">
        <v>0.010917</v>
      </c>
      <c r="BK888" s="1">
        <v>0.00796</v>
      </c>
      <c r="BL888" s="1">
        <v>0.0</v>
      </c>
      <c r="BM888" s="1">
        <v>0.454</v>
      </c>
      <c r="BN888" s="1">
        <v>0.411</v>
      </c>
      <c r="BO888" s="1">
        <v>0.6181</v>
      </c>
      <c r="BP888" s="1">
        <v>0.529</v>
      </c>
      <c r="BQ888" s="1">
        <v>2.0121</v>
      </c>
      <c r="BR888" s="1">
        <v>0.4975</v>
      </c>
      <c r="BS888" s="1">
        <v>0.615</v>
      </c>
      <c r="BT888" s="1">
        <v>0.529</v>
      </c>
      <c r="BU888" s="1">
        <v>0.339</v>
      </c>
      <c r="BV888" s="1">
        <v>1.483</v>
      </c>
      <c r="BW888" s="1">
        <v>0.469</v>
      </c>
      <c r="BX888" s="1">
        <v>0.043</v>
      </c>
      <c r="BY888" s="1">
        <v>0.0</v>
      </c>
      <c r="BZ888" s="1">
        <v>0.043</v>
      </c>
      <c r="CA888" s="1">
        <v>0.021</v>
      </c>
      <c r="CB888" s="1">
        <v>0.0</v>
      </c>
      <c r="CC888" s="1">
        <v>0.982</v>
      </c>
      <c r="CD888" s="1">
        <v>0.403</v>
      </c>
      <c r="CE888" s="1">
        <v>0.099</v>
      </c>
      <c r="CF888" s="1">
        <v>0.0</v>
      </c>
      <c r="CG888" s="1">
        <v>1.484</v>
      </c>
      <c r="CH888" s="1">
        <v>0.171</v>
      </c>
      <c r="CI888" s="1">
        <v>5.0221</v>
      </c>
      <c r="CJ888" s="1">
        <v>0.2058</v>
      </c>
      <c r="CK888" s="1">
        <v>0.0</v>
      </c>
      <c r="CL888" s="1">
        <v>0.0</v>
      </c>
      <c r="CM888" s="1">
        <v>0.0</v>
      </c>
      <c r="CN888" s="1">
        <v>0.0</v>
      </c>
      <c r="CO888" s="1">
        <v>0.0</v>
      </c>
      <c r="CP888" s="1">
        <v>0.0</v>
      </c>
      <c r="CQ888" s="1">
        <v>0.0</v>
      </c>
      <c r="CR888" s="1">
        <v>0.0</v>
      </c>
      <c r="CS888" s="1">
        <v>0.0</v>
      </c>
      <c r="CT888" s="1">
        <v>0.0</v>
      </c>
      <c r="CU888" s="1">
        <v>0.0</v>
      </c>
      <c r="CV888" s="1">
        <v>0.0</v>
      </c>
      <c r="CW888" s="1">
        <v>0.0</v>
      </c>
      <c r="CX888" s="1">
        <v>1.0</v>
      </c>
      <c r="CY888" s="1">
        <v>0.0</v>
      </c>
      <c r="CZ888" s="1">
        <v>0.0</v>
      </c>
      <c r="DA888" s="1">
        <v>0.0</v>
      </c>
      <c r="DB888" s="1">
        <v>1.0</v>
      </c>
      <c r="DC888" s="1">
        <v>1.0</v>
      </c>
      <c r="DD888" s="1" t="s">
        <v>4143</v>
      </c>
      <c r="DE888" s="1">
        <v>0.0544969180280606</v>
      </c>
      <c r="DF888" s="2" t="s">
        <v>4144</v>
      </c>
    </row>
    <row r="889" ht="15.75" customHeight="1">
      <c r="A889" s="1" t="s">
        <v>4145</v>
      </c>
      <c r="B889" s="1">
        <v>29.0</v>
      </c>
      <c r="C889" s="1">
        <v>175.0</v>
      </c>
      <c r="D889" s="1">
        <v>490200.0</v>
      </c>
      <c r="E889" s="1">
        <v>101.998</v>
      </c>
      <c r="F889" s="1">
        <v>29175.0</v>
      </c>
      <c r="G889" s="1">
        <v>2.91754902E10</v>
      </c>
      <c r="H889" s="1" t="s">
        <v>112</v>
      </c>
      <c r="I889" s="1" t="s">
        <v>113</v>
      </c>
      <c r="J889" s="1" t="s">
        <v>4133</v>
      </c>
      <c r="K889" s="1" t="s">
        <v>4146</v>
      </c>
      <c r="L889" s="1">
        <v>3456.0</v>
      </c>
      <c r="M889" s="1">
        <v>3543.0</v>
      </c>
      <c r="N889" s="1">
        <v>372.0</v>
      </c>
      <c r="O889" s="1">
        <v>1499.0</v>
      </c>
      <c r="P889" s="1">
        <v>1560.0</v>
      </c>
      <c r="Q889" s="1">
        <v>119.0</v>
      </c>
      <c r="R889" s="1">
        <v>1314.0</v>
      </c>
      <c r="S889" s="1">
        <v>514.0</v>
      </c>
      <c r="T889" s="1">
        <v>179.0</v>
      </c>
      <c r="U889" s="1">
        <v>56.0</v>
      </c>
      <c r="V889" s="1">
        <v>412.0</v>
      </c>
      <c r="W889" s="1">
        <v>18433.0</v>
      </c>
      <c r="X889" s="1">
        <v>2757.0</v>
      </c>
      <c r="Y889" s="1">
        <v>421.0</v>
      </c>
      <c r="Z889" s="1">
        <v>260.0</v>
      </c>
      <c r="AA889" s="1">
        <v>473.0</v>
      </c>
      <c r="AB889" s="1">
        <v>863.0</v>
      </c>
      <c r="AC889" s="1">
        <v>161.0</v>
      </c>
      <c r="AD889" s="1">
        <v>216.0</v>
      </c>
      <c r="AE889" s="1">
        <v>0.0</v>
      </c>
      <c r="AF889" s="1">
        <v>456.0</v>
      </c>
      <c r="AG889" s="1">
        <v>34.0</v>
      </c>
      <c r="AH889" s="1">
        <v>117.0</v>
      </c>
      <c r="AI889" s="1">
        <v>341.0</v>
      </c>
      <c r="AJ889" s="1">
        <v>90.0</v>
      </c>
      <c r="AK889" s="1">
        <v>10.0</v>
      </c>
      <c r="AL889" s="1">
        <v>115.0</v>
      </c>
      <c r="AM889" s="1">
        <v>74.0</v>
      </c>
      <c r="AN889" s="1">
        <v>37.0</v>
      </c>
      <c r="AO889" s="1">
        <v>113.0</v>
      </c>
      <c r="AP889" s="1">
        <v>0.158739</v>
      </c>
      <c r="AQ889" s="1">
        <v>0.053206</v>
      </c>
      <c r="AR889" s="1">
        <v>0.034042</v>
      </c>
      <c r="AS889" s="1">
        <v>0.250424</v>
      </c>
      <c r="AT889" s="1">
        <v>18433.0</v>
      </c>
      <c r="AU889" s="1">
        <v>2757.0</v>
      </c>
      <c r="AV889" s="1">
        <v>0.174327</v>
      </c>
      <c r="AW889" s="1">
        <v>0.106075</v>
      </c>
      <c r="AX889" s="1">
        <v>0.136863</v>
      </c>
      <c r="AY889" s="1">
        <v>0.24971</v>
      </c>
      <c r="AZ889" s="1">
        <v>0.12252663</v>
      </c>
      <c r="BA889" s="1">
        <v>0.0625</v>
      </c>
      <c r="BB889" s="1">
        <v>0.0</v>
      </c>
      <c r="BC889" s="1">
        <v>0.134236</v>
      </c>
      <c r="BD889" s="1">
        <v>0.021794</v>
      </c>
      <c r="BE889" s="1">
        <v>0.074981</v>
      </c>
      <c r="BF889" s="1">
        <v>0.218589</v>
      </c>
      <c r="BG889" s="1">
        <v>0.05523</v>
      </c>
      <c r="BH889" s="1">
        <v>0.00749</v>
      </c>
      <c r="BI889" s="1">
        <v>0.086139</v>
      </c>
      <c r="BJ889" s="1">
        <v>0.05543</v>
      </c>
      <c r="BK889" s="1">
        <v>0.027256</v>
      </c>
      <c r="BL889" s="1">
        <v>0.032696</v>
      </c>
      <c r="BM889" s="1">
        <v>0.607</v>
      </c>
      <c r="BN889" s="1">
        <v>0.121</v>
      </c>
      <c r="BO889" s="1">
        <v>0.7119</v>
      </c>
      <c r="BP889" s="1">
        <v>0.666</v>
      </c>
      <c r="BQ889" s="1">
        <v>2.1059</v>
      </c>
      <c r="BR889" s="1">
        <v>0.5278</v>
      </c>
      <c r="BS889" s="1">
        <v>0.472</v>
      </c>
      <c r="BT889" s="1">
        <v>0.592</v>
      </c>
      <c r="BU889" s="1">
        <v>0.683</v>
      </c>
      <c r="BV889" s="1">
        <v>1.747</v>
      </c>
      <c r="BW889" s="1">
        <v>0.679</v>
      </c>
      <c r="BX889" s="1">
        <v>0.325</v>
      </c>
      <c r="BY889" s="1">
        <v>0.0</v>
      </c>
      <c r="BZ889" s="1">
        <v>0.325</v>
      </c>
      <c r="CA889" s="1">
        <v>0.139</v>
      </c>
      <c r="CB889" s="1">
        <v>0.487</v>
      </c>
      <c r="CC889" s="1">
        <v>0.919</v>
      </c>
      <c r="CD889" s="1">
        <v>0.413</v>
      </c>
      <c r="CE889" s="1">
        <v>0.534</v>
      </c>
      <c r="CF889" s="1">
        <v>0.821</v>
      </c>
      <c r="CG889" s="1">
        <v>3.174</v>
      </c>
      <c r="CH889" s="1">
        <v>0.839</v>
      </c>
      <c r="CI889" s="1">
        <v>7.3519</v>
      </c>
      <c r="CJ889" s="1">
        <v>0.6188</v>
      </c>
      <c r="CK889" s="1">
        <v>0.0</v>
      </c>
      <c r="CL889" s="1">
        <v>0.0</v>
      </c>
      <c r="CM889" s="1">
        <v>0.0</v>
      </c>
      <c r="CN889" s="1">
        <v>0.0</v>
      </c>
      <c r="CO889" s="1">
        <v>0.0</v>
      </c>
      <c r="CP889" s="1">
        <v>0.0</v>
      </c>
      <c r="CQ889" s="1">
        <v>0.0</v>
      </c>
      <c r="CR889" s="1">
        <v>0.0</v>
      </c>
      <c r="CS889" s="1">
        <v>0.0</v>
      </c>
      <c r="CT889" s="1">
        <v>0.0</v>
      </c>
      <c r="CU889" s="1">
        <v>0.0</v>
      </c>
      <c r="CV889" s="1">
        <v>0.0</v>
      </c>
      <c r="CW889" s="1">
        <v>0.0</v>
      </c>
      <c r="CX889" s="1">
        <v>1.0</v>
      </c>
      <c r="CY889" s="1">
        <v>0.0</v>
      </c>
      <c r="CZ889" s="1">
        <v>0.0</v>
      </c>
      <c r="DA889" s="1">
        <v>0.0</v>
      </c>
      <c r="DB889" s="1">
        <v>1.0</v>
      </c>
      <c r="DC889" s="1">
        <v>1.0</v>
      </c>
      <c r="DD889" s="1" t="s">
        <v>4147</v>
      </c>
      <c r="DE889" s="1">
        <v>0.0276884905155162</v>
      </c>
      <c r="DF889" s="2" t="s">
        <v>4148</v>
      </c>
    </row>
    <row r="890" ht="15.75" customHeight="1">
      <c r="A890" s="1" t="s">
        <v>4149</v>
      </c>
      <c r="B890" s="1">
        <v>29.0</v>
      </c>
      <c r="C890" s="1">
        <v>175.0</v>
      </c>
      <c r="D890" s="1">
        <v>490500.0</v>
      </c>
      <c r="E890" s="1">
        <v>3.88</v>
      </c>
      <c r="F890" s="1">
        <v>29175.0</v>
      </c>
      <c r="G890" s="1">
        <v>2.91754905E10</v>
      </c>
      <c r="H890" s="1" t="s">
        <v>112</v>
      </c>
      <c r="I890" s="1" t="s">
        <v>113</v>
      </c>
      <c r="J890" s="1" t="s">
        <v>4133</v>
      </c>
      <c r="K890" s="1" t="s">
        <v>4150</v>
      </c>
      <c r="L890" s="1">
        <v>4540.0</v>
      </c>
      <c r="M890" s="1">
        <v>4281.0</v>
      </c>
      <c r="N890" s="1">
        <v>338.0</v>
      </c>
      <c r="O890" s="1">
        <v>1961.0</v>
      </c>
      <c r="P890" s="1">
        <v>1895.0</v>
      </c>
      <c r="Q890" s="1">
        <v>107.0</v>
      </c>
      <c r="R890" s="1">
        <v>1773.0</v>
      </c>
      <c r="S890" s="1">
        <v>717.0</v>
      </c>
      <c r="T890" s="1">
        <v>288.0</v>
      </c>
      <c r="U890" s="1">
        <v>116.0</v>
      </c>
      <c r="V890" s="1">
        <v>417.0</v>
      </c>
      <c r="W890" s="1">
        <v>17584.0</v>
      </c>
      <c r="X890" s="1">
        <v>2495.0</v>
      </c>
      <c r="Y890" s="1">
        <v>467.0</v>
      </c>
      <c r="Z890" s="1">
        <v>283.0</v>
      </c>
      <c r="AA890" s="1">
        <v>795.0</v>
      </c>
      <c r="AB890" s="1">
        <v>1084.0</v>
      </c>
      <c r="AC890" s="1">
        <v>230.0</v>
      </c>
      <c r="AD890" s="1">
        <v>487.0</v>
      </c>
      <c r="AE890" s="1">
        <v>32.0</v>
      </c>
      <c r="AF890" s="1">
        <v>428.0</v>
      </c>
      <c r="AG890" s="1">
        <v>0.0</v>
      </c>
      <c r="AH890" s="1">
        <v>197.0</v>
      </c>
      <c r="AI890" s="1">
        <v>93.0</v>
      </c>
      <c r="AJ890" s="1">
        <v>67.0</v>
      </c>
      <c r="AK890" s="1">
        <v>19.0</v>
      </c>
      <c r="AL890" s="1">
        <v>116.0</v>
      </c>
      <c r="AM890" s="1">
        <v>46.0</v>
      </c>
      <c r="AN890" s="1">
        <v>34.0</v>
      </c>
      <c r="AO890" s="1">
        <v>394.0</v>
      </c>
      <c r="AP890" s="1">
        <v>0.185127</v>
      </c>
      <c r="AQ890" s="1">
        <v>0.07282</v>
      </c>
      <c r="AR890" s="1">
        <v>0.066172</v>
      </c>
      <c r="AS890" s="1">
        <v>0.237727</v>
      </c>
      <c r="AT890" s="1">
        <v>17584.0</v>
      </c>
      <c r="AU890" s="1">
        <v>2495.0</v>
      </c>
      <c r="AV890" s="1">
        <v>0.172261</v>
      </c>
      <c r="AW890" s="1">
        <v>0.103084</v>
      </c>
      <c r="AX890" s="1">
        <v>0.17511</v>
      </c>
      <c r="AY890" s="1">
        <v>0.238766</v>
      </c>
      <c r="AZ890" s="1">
        <v>0.12972363</v>
      </c>
      <c r="BA890" s="1">
        <v>0.107268</v>
      </c>
      <c r="BB890" s="1">
        <v>0.007901</v>
      </c>
      <c r="BC890" s="1">
        <v>0.105677</v>
      </c>
      <c r="BD890" s="1">
        <v>0.0</v>
      </c>
      <c r="BE890" s="1">
        <v>0.103957</v>
      </c>
      <c r="BF890" s="1">
        <v>0.049076</v>
      </c>
      <c r="BG890" s="1">
        <v>0.035247</v>
      </c>
      <c r="BH890" s="1">
        <v>0.011487</v>
      </c>
      <c r="BI890" s="1">
        <v>0.070127</v>
      </c>
      <c r="BJ890" s="1">
        <v>0.027811</v>
      </c>
      <c r="BK890" s="1">
        <v>0.020451</v>
      </c>
      <c r="BL890" s="1">
        <v>0.086784</v>
      </c>
      <c r="BM890" s="1">
        <v>0.689</v>
      </c>
      <c r="BN890" s="1">
        <v>0.479</v>
      </c>
      <c r="BO890" s="1">
        <v>0.7523</v>
      </c>
      <c r="BP890" s="1">
        <v>0.659</v>
      </c>
      <c r="BQ890" s="1">
        <v>2.5793</v>
      </c>
      <c r="BR890" s="1">
        <v>0.6946</v>
      </c>
      <c r="BS890" s="1">
        <v>0.764</v>
      </c>
      <c r="BT890" s="1">
        <v>0.484</v>
      </c>
      <c r="BU890" s="1">
        <v>0.715</v>
      </c>
      <c r="BV890" s="1">
        <v>1.963</v>
      </c>
      <c r="BW890" s="1">
        <v>0.84</v>
      </c>
      <c r="BX890" s="1">
        <v>0.498</v>
      </c>
      <c r="BY890" s="1">
        <v>0.663</v>
      </c>
      <c r="BZ890" s="1">
        <v>1.161</v>
      </c>
      <c r="CA890" s="1">
        <v>0.641</v>
      </c>
      <c r="CB890" s="1">
        <v>0.0</v>
      </c>
      <c r="CC890" s="1">
        <v>0.602</v>
      </c>
      <c r="CD890" s="1">
        <v>0.514</v>
      </c>
      <c r="CE890" s="1">
        <v>0.266</v>
      </c>
      <c r="CF890" s="1">
        <v>0.937</v>
      </c>
      <c r="CG890" s="1">
        <v>2.319</v>
      </c>
      <c r="CH890" s="1">
        <v>0.464</v>
      </c>
      <c r="CI890" s="1">
        <v>8.0223</v>
      </c>
      <c r="CJ890" s="1">
        <v>0.717</v>
      </c>
      <c r="CK890" s="1">
        <v>0.0</v>
      </c>
      <c r="CL890" s="1">
        <v>0.0</v>
      </c>
      <c r="CM890" s="1">
        <v>0.0</v>
      </c>
      <c r="CN890" s="1">
        <v>0.0</v>
      </c>
      <c r="CO890" s="1">
        <v>0.0</v>
      </c>
      <c r="CP890" s="1">
        <v>0.0</v>
      </c>
      <c r="CQ890" s="1">
        <v>0.0</v>
      </c>
      <c r="CR890" s="1">
        <v>0.0</v>
      </c>
      <c r="CS890" s="1">
        <v>0.0</v>
      </c>
      <c r="CT890" s="1">
        <v>0.0</v>
      </c>
      <c r="CU890" s="1">
        <v>0.0</v>
      </c>
      <c r="CV890" s="1">
        <v>0.0</v>
      </c>
      <c r="CW890" s="1">
        <v>0.0</v>
      </c>
      <c r="CX890" s="1">
        <v>0.0</v>
      </c>
      <c r="CY890" s="1">
        <v>0.0</v>
      </c>
      <c r="CZ890" s="1">
        <v>0.0</v>
      </c>
      <c r="DA890" s="1">
        <v>1.0</v>
      </c>
      <c r="DB890" s="1">
        <v>1.0</v>
      </c>
      <c r="DC890" s="1">
        <v>1.0</v>
      </c>
      <c r="DD890" s="1" t="s">
        <v>4151</v>
      </c>
      <c r="DE890" s="1">
        <v>0.00105493841895931</v>
      </c>
      <c r="DF890" s="2" t="s">
        <v>4152</v>
      </c>
    </row>
    <row r="891" ht="15.75" customHeight="1">
      <c r="A891" s="1" t="s">
        <v>4153</v>
      </c>
      <c r="B891" s="1">
        <v>29.0</v>
      </c>
      <c r="C891" s="1">
        <v>175.0</v>
      </c>
      <c r="D891" s="1">
        <v>490600.0</v>
      </c>
      <c r="E891" s="1">
        <v>171.196</v>
      </c>
      <c r="F891" s="1">
        <v>29175.0</v>
      </c>
      <c r="G891" s="1">
        <v>2.91754906E10</v>
      </c>
      <c r="H891" s="1" t="s">
        <v>112</v>
      </c>
      <c r="I891" s="1" t="s">
        <v>113</v>
      </c>
      <c r="J891" s="1" t="s">
        <v>4133</v>
      </c>
      <c r="K891" s="1" t="s">
        <v>4154</v>
      </c>
      <c r="L891" s="1">
        <v>5698.0</v>
      </c>
      <c r="M891" s="1">
        <v>6291.0</v>
      </c>
      <c r="N891" s="1">
        <v>325.0</v>
      </c>
      <c r="O891" s="1">
        <v>1726.0</v>
      </c>
      <c r="P891" s="1">
        <v>1736.0</v>
      </c>
      <c r="Q891" s="1">
        <v>93.0</v>
      </c>
      <c r="R891" s="1">
        <v>1515.0</v>
      </c>
      <c r="S891" s="1">
        <v>556.0</v>
      </c>
      <c r="T891" s="1">
        <v>177.0</v>
      </c>
      <c r="U891" s="1">
        <v>153.0</v>
      </c>
      <c r="V891" s="1">
        <v>306.0</v>
      </c>
      <c r="W891" s="1">
        <v>14186.0</v>
      </c>
      <c r="X891" s="1">
        <v>1170.0</v>
      </c>
      <c r="Y891" s="1">
        <v>1083.0</v>
      </c>
      <c r="Z891" s="1">
        <v>168.0</v>
      </c>
      <c r="AA891" s="1">
        <v>571.0</v>
      </c>
      <c r="AB891" s="1">
        <v>985.0</v>
      </c>
      <c r="AC891" s="1">
        <v>148.0</v>
      </c>
      <c r="AD891" s="1">
        <v>671.0</v>
      </c>
      <c r="AE891" s="1">
        <v>3.0</v>
      </c>
      <c r="AF891" s="1">
        <v>442.0</v>
      </c>
      <c r="AG891" s="1">
        <v>6.0</v>
      </c>
      <c r="AH891" s="1">
        <v>161.0</v>
      </c>
      <c r="AI891" s="1">
        <v>444.0</v>
      </c>
      <c r="AJ891" s="1">
        <v>81.0</v>
      </c>
      <c r="AK891" s="1">
        <v>31.0</v>
      </c>
      <c r="AL891" s="1">
        <v>116.0</v>
      </c>
      <c r="AM891" s="1">
        <v>81.0</v>
      </c>
      <c r="AN891" s="1">
        <v>39.0</v>
      </c>
      <c r="AO891" s="1">
        <v>1713.0</v>
      </c>
      <c r="AP891" s="1">
        <v>0.131628</v>
      </c>
      <c r="AQ891" s="1">
        <v>0.04103</v>
      </c>
      <c r="AR891" s="1">
        <v>0.074634</v>
      </c>
      <c r="AS891" s="1">
        <v>0.149104</v>
      </c>
      <c r="AT891" s="1">
        <v>14186.0</v>
      </c>
      <c r="AU891" s="1">
        <v>1170.0</v>
      </c>
      <c r="AV891" s="1">
        <v>0.228144</v>
      </c>
      <c r="AW891" s="1">
        <v>0.033093</v>
      </c>
      <c r="AX891" s="1">
        <v>0.10021</v>
      </c>
      <c r="AY891" s="1">
        <v>0.172867</v>
      </c>
      <c r="AZ891" s="1">
        <v>0.09768976</v>
      </c>
      <c r="BA891" s="1">
        <v>0.11776</v>
      </c>
      <c r="BB891" s="1">
        <v>4.99E-4</v>
      </c>
      <c r="BC891" s="1">
        <v>0.073544</v>
      </c>
      <c r="BD891" s="1">
        <v>0.003456</v>
      </c>
      <c r="BE891" s="1">
        <v>0.092741</v>
      </c>
      <c r="BF891" s="1">
        <v>0.25576</v>
      </c>
      <c r="BG891" s="1">
        <v>0.044601</v>
      </c>
      <c r="BH891" s="1">
        <v>0.019922</v>
      </c>
      <c r="BI891" s="1">
        <v>0.074538</v>
      </c>
      <c r="BJ891" s="1">
        <v>0.052056</v>
      </c>
      <c r="BK891" s="1">
        <v>0.024821</v>
      </c>
      <c r="BL891" s="1">
        <v>0.300631</v>
      </c>
      <c r="BM891" s="1">
        <v>0.505</v>
      </c>
      <c r="BN891" s="1">
        <v>0.552</v>
      </c>
      <c r="BO891" s="1">
        <v>0.9076</v>
      </c>
      <c r="BP891" s="1">
        <v>0.824</v>
      </c>
      <c r="BQ891" s="1">
        <v>2.7886</v>
      </c>
      <c r="BR891" s="1">
        <v>0.7458</v>
      </c>
      <c r="BS891" s="1">
        <v>0.212</v>
      </c>
      <c r="BT891" s="1">
        <v>0.109</v>
      </c>
      <c r="BU891" s="1">
        <v>0.473</v>
      </c>
      <c r="BV891" s="1">
        <v>0.794</v>
      </c>
      <c r="BW891" s="1">
        <v>0.076</v>
      </c>
      <c r="BX891" s="1">
        <v>0.532</v>
      </c>
      <c r="BY891" s="1">
        <v>0.318</v>
      </c>
      <c r="BZ891" s="1">
        <v>0.85</v>
      </c>
      <c r="CA891" s="1">
        <v>0.433</v>
      </c>
      <c r="CB891" s="1">
        <v>0.293</v>
      </c>
      <c r="CC891" s="1">
        <v>0.957</v>
      </c>
      <c r="CD891" s="1">
        <v>0.683</v>
      </c>
      <c r="CE891" s="1">
        <v>0.502</v>
      </c>
      <c r="CF891" s="1">
        <v>0.979</v>
      </c>
      <c r="CG891" s="1">
        <v>3.414</v>
      </c>
      <c r="CH891" s="1">
        <v>0.92</v>
      </c>
      <c r="CI891" s="1">
        <v>7.8466</v>
      </c>
      <c r="CJ891" s="1">
        <v>0.6881</v>
      </c>
      <c r="CK891" s="1">
        <v>0.0</v>
      </c>
      <c r="CL891" s="1">
        <v>0.0</v>
      </c>
      <c r="CM891" s="1">
        <v>1.0</v>
      </c>
      <c r="CN891" s="1">
        <v>0.0</v>
      </c>
      <c r="CO891" s="1">
        <v>1.0</v>
      </c>
      <c r="CP891" s="1">
        <v>0.0</v>
      </c>
      <c r="CQ891" s="1">
        <v>0.0</v>
      </c>
      <c r="CR891" s="1">
        <v>0.0</v>
      </c>
      <c r="CS891" s="1">
        <v>0.0</v>
      </c>
      <c r="CT891" s="1">
        <v>0.0</v>
      </c>
      <c r="CU891" s="1">
        <v>0.0</v>
      </c>
      <c r="CV891" s="1">
        <v>0.0</v>
      </c>
      <c r="CW891" s="1">
        <v>0.0</v>
      </c>
      <c r="CX891" s="1">
        <v>1.0</v>
      </c>
      <c r="CY891" s="1">
        <v>0.0</v>
      </c>
      <c r="CZ891" s="1">
        <v>0.0</v>
      </c>
      <c r="DA891" s="1">
        <v>1.0</v>
      </c>
      <c r="DB891" s="1">
        <v>2.0</v>
      </c>
      <c r="DC891" s="1">
        <v>3.0</v>
      </c>
      <c r="DD891" s="1" t="s">
        <v>4155</v>
      </c>
      <c r="DE891" s="2" t="s">
        <v>4156</v>
      </c>
      <c r="DF891" s="2" t="s">
        <v>4157</v>
      </c>
    </row>
    <row r="892" ht="15.75" customHeight="1">
      <c r="A892" s="1" t="s">
        <v>4158</v>
      </c>
      <c r="B892" s="1">
        <v>29.0</v>
      </c>
      <c r="C892" s="1">
        <v>177.0</v>
      </c>
      <c r="D892" s="2" t="s">
        <v>1408</v>
      </c>
      <c r="E892" s="1">
        <v>15.899</v>
      </c>
      <c r="F892" s="1">
        <v>29177.0</v>
      </c>
      <c r="G892" s="1">
        <v>2.91770802E10</v>
      </c>
      <c r="H892" s="1" t="s">
        <v>112</v>
      </c>
      <c r="I892" s="1" t="s">
        <v>113</v>
      </c>
      <c r="J892" s="1" t="s">
        <v>4159</v>
      </c>
      <c r="K892" s="1" t="s">
        <v>4160</v>
      </c>
      <c r="L892" s="1">
        <v>6433.0</v>
      </c>
      <c r="M892" s="1">
        <v>6499.0</v>
      </c>
      <c r="N892" s="1">
        <v>210.0</v>
      </c>
      <c r="O892" s="1">
        <v>3038.0</v>
      </c>
      <c r="P892" s="1">
        <v>3220.0</v>
      </c>
      <c r="Q892" s="1">
        <v>190.0</v>
      </c>
      <c r="R892" s="1">
        <v>2667.0</v>
      </c>
      <c r="S892" s="1">
        <v>787.0</v>
      </c>
      <c r="T892" s="1">
        <v>296.0</v>
      </c>
      <c r="U892" s="1">
        <v>279.0</v>
      </c>
      <c r="V892" s="1">
        <v>395.0</v>
      </c>
      <c r="W892" s="1">
        <v>22424.0</v>
      </c>
      <c r="X892" s="1">
        <v>2441.0</v>
      </c>
      <c r="Y892" s="1">
        <v>837.0</v>
      </c>
      <c r="Z892" s="1">
        <v>283.0</v>
      </c>
      <c r="AA892" s="1">
        <v>1120.0</v>
      </c>
      <c r="AB892" s="1">
        <v>1529.0</v>
      </c>
      <c r="AC892" s="1">
        <v>341.0</v>
      </c>
      <c r="AD892" s="1">
        <v>484.0</v>
      </c>
      <c r="AE892" s="1">
        <v>0.0</v>
      </c>
      <c r="AF892" s="1">
        <v>456.0</v>
      </c>
      <c r="AG892" s="1">
        <v>171.0</v>
      </c>
      <c r="AH892" s="1">
        <v>77.0</v>
      </c>
      <c r="AI892" s="1">
        <v>0.0</v>
      </c>
      <c r="AJ892" s="1">
        <v>114.0</v>
      </c>
      <c r="AK892" s="1">
        <v>29.0</v>
      </c>
      <c r="AL892" s="1">
        <v>119.0</v>
      </c>
      <c r="AM892" s="1">
        <v>290.0</v>
      </c>
      <c r="AN892" s="1">
        <v>104.0</v>
      </c>
      <c r="AO892" s="1">
        <v>193.0</v>
      </c>
      <c r="AP892" s="1">
        <v>0.125378</v>
      </c>
      <c r="AQ892" s="1">
        <v>0.046794</v>
      </c>
      <c r="AR892" s="1">
        <v>0.082373</v>
      </c>
      <c r="AS892" s="1">
        <v>0.116274</v>
      </c>
      <c r="AT892" s="1">
        <v>22424.0</v>
      </c>
      <c r="AU892" s="1">
        <v>2441.0</v>
      </c>
      <c r="AV892" s="1">
        <v>0.181483</v>
      </c>
      <c r="AW892" s="1">
        <v>0.060469</v>
      </c>
      <c r="AX892" s="1">
        <v>0.174102</v>
      </c>
      <c r="AY892" s="1">
        <v>0.23768</v>
      </c>
      <c r="AZ892" s="1">
        <v>0.12785901</v>
      </c>
      <c r="BA892" s="1">
        <v>0.075237</v>
      </c>
      <c r="BB892" s="1">
        <v>0.0</v>
      </c>
      <c r="BC892" s="1">
        <v>0.074158</v>
      </c>
      <c r="BD892" s="1">
        <v>0.053105</v>
      </c>
      <c r="BE892" s="1">
        <v>0.023706</v>
      </c>
      <c r="BF892" s="1">
        <v>0.0</v>
      </c>
      <c r="BG892" s="1">
        <v>0.035403</v>
      </c>
      <c r="BH892" s="1">
        <v>0.009884</v>
      </c>
      <c r="BI892" s="1">
        <v>0.040554</v>
      </c>
      <c r="BJ892" s="1">
        <v>0.098841</v>
      </c>
      <c r="BK892" s="1">
        <v>0.034952</v>
      </c>
      <c r="BL892" s="1">
        <v>0.030001</v>
      </c>
      <c r="BM892" s="1">
        <v>0.478</v>
      </c>
      <c r="BN892" s="1">
        <v>0.632</v>
      </c>
      <c r="BO892" s="1">
        <v>0.4736</v>
      </c>
      <c r="BP892" s="1">
        <v>0.692</v>
      </c>
      <c r="BQ892" s="1">
        <v>2.2756</v>
      </c>
      <c r="BR892" s="1">
        <v>0.5921</v>
      </c>
      <c r="BS892" s="1">
        <v>0.758</v>
      </c>
      <c r="BT892" s="1">
        <v>0.47</v>
      </c>
      <c r="BU892" s="1">
        <v>0.707</v>
      </c>
      <c r="BV892" s="1">
        <v>1.935</v>
      </c>
      <c r="BW892" s="1">
        <v>0.824</v>
      </c>
      <c r="BX892" s="1">
        <v>0.379</v>
      </c>
      <c r="BY892" s="1">
        <v>0.0</v>
      </c>
      <c r="BZ892" s="1">
        <v>0.379</v>
      </c>
      <c r="CA892" s="1">
        <v>0.153</v>
      </c>
      <c r="CB892" s="1">
        <v>0.664</v>
      </c>
      <c r="CC892" s="1">
        <v>0.0</v>
      </c>
      <c r="CD892" s="1">
        <v>0.471</v>
      </c>
      <c r="CE892" s="1">
        <v>0.751</v>
      </c>
      <c r="CF892" s="1">
        <v>0.808</v>
      </c>
      <c r="CG892" s="1">
        <v>2.694</v>
      </c>
      <c r="CH892" s="1">
        <v>0.641</v>
      </c>
      <c r="CI892" s="1">
        <v>7.2836</v>
      </c>
      <c r="CJ892" s="1">
        <v>0.6051</v>
      </c>
      <c r="CK892" s="1">
        <v>0.0</v>
      </c>
      <c r="CL892" s="1">
        <v>0.0</v>
      </c>
      <c r="CM892" s="1">
        <v>0.0</v>
      </c>
      <c r="CN892" s="1">
        <v>0.0</v>
      </c>
      <c r="CO892" s="1">
        <v>0.0</v>
      </c>
      <c r="CP892" s="1">
        <v>0.0</v>
      </c>
      <c r="CQ892" s="1">
        <v>0.0</v>
      </c>
      <c r="CR892" s="1">
        <v>0.0</v>
      </c>
      <c r="CS892" s="1">
        <v>0.0</v>
      </c>
      <c r="CT892" s="1">
        <v>0.0</v>
      </c>
      <c r="CU892" s="1">
        <v>0.0</v>
      </c>
      <c r="CV892" s="1">
        <v>0.0</v>
      </c>
      <c r="CW892" s="1">
        <v>0.0</v>
      </c>
      <c r="CX892" s="1">
        <v>0.0</v>
      </c>
      <c r="CY892" s="1">
        <v>0.0</v>
      </c>
      <c r="CZ892" s="1">
        <v>0.0</v>
      </c>
      <c r="DA892" s="1">
        <v>0.0</v>
      </c>
      <c r="DB892" s="1">
        <v>0.0</v>
      </c>
      <c r="DC892" s="1">
        <v>0.0</v>
      </c>
      <c r="DD892" s="1" t="s">
        <v>4161</v>
      </c>
      <c r="DE892" s="1">
        <v>0.0043264897340303</v>
      </c>
      <c r="DF892" s="2" t="s">
        <v>4162</v>
      </c>
    </row>
    <row r="893" ht="15.75" customHeight="1">
      <c r="A893" s="1" t="s">
        <v>4163</v>
      </c>
      <c r="B893" s="1">
        <v>29.0</v>
      </c>
      <c r="C893" s="1">
        <v>177.0</v>
      </c>
      <c r="D893" s="2" t="s">
        <v>4164</v>
      </c>
      <c r="E893" s="1">
        <v>148.643</v>
      </c>
      <c r="F893" s="1">
        <v>29177.0</v>
      </c>
      <c r="G893" s="1">
        <v>2.917708E10</v>
      </c>
      <c r="H893" s="1" t="s">
        <v>112</v>
      </c>
      <c r="I893" s="1" t="s">
        <v>113</v>
      </c>
      <c r="J893" s="1" t="s">
        <v>4159</v>
      </c>
      <c r="K893" s="1" t="s">
        <v>4165</v>
      </c>
      <c r="L893" s="1">
        <v>7396.0</v>
      </c>
      <c r="M893" s="1">
        <v>7570.0</v>
      </c>
      <c r="N893" s="1">
        <v>314.0</v>
      </c>
      <c r="O893" s="1">
        <v>2931.0</v>
      </c>
      <c r="P893" s="1">
        <v>2804.0</v>
      </c>
      <c r="Q893" s="1">
        <v>113.0</v>
      </c>
      <c r="R893" s="1">
        <v>2706.0</v>
      </c>
      <c r="S893" s="1">
        <v>708.0</v>
      </c>
      <c r="T893" s="1">
        <v>296.0</v>
      </c>
      <c r="U893" s="1">
        <v>132.0</v>
      </c>
      <c r="V893" s="1">
        <v>327.0</v>
      </c>
      <c r="W893" s="1">
        <v>27439.0</v>
      </c>
      <c r="X893" s="1">
        <v>5787.0</v>
      </c>
      <c r="Y893" s="1">
        <v>525.0</v>
      </c>
      <c r="Z893" s="1">
        <v>204.0</v>
      </c>
      <c r="AA893" s="1">
        <v>1021.0</v>
      </c>
      <c r="AB893" s="1">
        <v>1955.0</v>
      </c>
      <c r="AC893" s="1">
        <v>242.0</v>
      </c>
      <c r="AD893" s="1">
        <v>277.0</v>
      </c>
      <c r="AE893" s="1">
        <v>20.0</v>
      </c>
      <c r="AF893" s="1">
        <v>427.0</v>
      </c>
      <c r="AG893" s="1">
        <v>0.0</v>
      </c>
      <c r="AH893" s="1">
        <v>197.0</v>
      </c>
      <c r="AI893" s="1">
        <v>245.0</v>
      </c>
      <c r="AJ893" s="1">
        <v>85.0</v>
      </c>
      <c r="AK893" s="1">
        <v>1.0</v>
      </c>
      <c r="AL893" s="1">
        <v>114.0</v>
      </c>
      <c r="AM893" s="1">
        <v>77.0</v>
      </c>
      <c r="AN893" s="1">
        <v>36.0</v>
      </c>
      <c r="AO893" s="1">
        <v>30.0</v>
      </c>
      <c r="AP893" s="1">
        <v>0.093527</v>
      </c>
      <c r="AQ893" s="1">
        <v>0.038908</v>
      </c>
      <c r="AR893" s="1">
        <v>0.038675</v>
      </c>
      <c r="AS893" s="1">
        <v>0.09576</v>
      </c>
      <c r="AT893" s="1">
        <v>27439.0</v>
      </c>
      <c r="AU893" s="1">
        <v>5787.0</v>
      </c>
      <c r="AV893" s="1">
        <v>0.10778</v>
      </c>
      <c r="AW893" s="1">
        <v>0.041692</v>
      </c>
      <c r="AX893" s="1">
        <v>0.138047</v>
      </c>
      <c r="AY893" s="1">
        <v>0.264332</v>
      </c>
      <c r="AZ893" s="1">
        <v>0.08943089</v>
      </c>
      <c r="BA893" s="1">
        <v>0.037452</v>
      </c>
      <c r="BB893" s="1">
        <v>0.002845</v>
      </c>
      <c r="BC893" s="1">
        <v>0.060748</v>
      </c>
      <c r="BD893" s="1">
        <v>0.0</v>
      </c>
      <c r="BE893" s="1">
        <v>0.070256</v>
      </c>
      <c r="BF893" s="1">
        <v>0.087375</v>
      </c>
      <c r="BG893" s="1">
        <v>0.030108</v>
      </c>
      <c r="BH893" s="1">
        <v>3.71E-4</v>
      </c>
      <c r="BI893" s="1">
        <v>0.042394</v>
      </c>
      <c r="BJ893" s="1">
        <v>0.028635</v>
      </c>
      <c r="BK893" s="1">
        <v>0.013331</v>
      </c>
      <c r="BL893" s="1">
        <v>0.004056</v>
      </c>
      <c r="BM893" s="1">
        <v>0.351</v>
      </c>
      <c r="BN893" s="1">
        <v>0.171</v>
      </c>
      <c r="BO893" s="1">
        <v>0.2722</v>
      </c>
      <c r="BP893" s="1">
        <v>0.371</v>
      </c>
      <c r="BQ893" s="1">
        <v>1.1652</v>
      </c>
      <c r="BR893" s="1">
        <v>0.244</v>
      </c>
      <c r="BS893" s="1">
        <v>0.483</v>
      </c>
      <c r="BT893" s="1">
        <v>0.743</v>
      </c>
      <c r="BU893" s="1">
        <v>0.394</v>
      </c>
      <c r="BV893" s="1">
        <v>1.62</v>
      </c>
      <c r="BW893" s="1">
        <v>0.58</v>
      </c>
      <c r="BX893" s="1">
        <v>0.142</v>
      </c>
      <c r="BY893" s="1">
        <v>0.441</v>
      </c>
      <c r="BZ893" s="1">
        <v>0.583</v>
      </c>
      <c r="CA893" s="1">
        <v>0.26</v>
      </c>
      <c r="CB893" s="1">
        <v>0.0</v>
      </c>
      <c r="CC893" s="1">
        <v>0.694</v>
      </c>
      <c r="CD893" s="1">
        <v>0.274</v>
      </c>
      <c r="CE893" s="1">
        <v>0.274</v>
      </c>
      <c r="CF893" s="1">
        <v>0.499</v>
      </c>
      <c r="CG893" s="1">
        <v>1.741</v>
      </c>
      <c r="CH893" s="1">
        <v>0.248</v>
      </c>
      <c r="CI893" s="1">
        <v>5.1092</v>
      </c>
      <c r="CJ893" s="1">
        <v>0.2173</v>
      </c>
      <c r="CK893" s="1">
        <v>0.0</v>
      </c>
      <c r="CL893" s="1">
        <v>0.0</v>
      </c>
      <c r="CM893" s="1">
        <v>0.0</v>
      </c>
      <c r="CN893" s="1">
        <v>0.0</v>
      </c>
      <c r="CO893" s="1">
        <v>0.0</v>
      </c>
      <c r="CP893" s="1">
        <v>0.0</v>
      </c>
      <c r="CQ893" s="1">
        <v>0.0</v>
      </c>
      <c r="CR893" s="1">
        <v>0.0</v>
      </c>
      <c r="CS893" s="1">
        <v>0.0</v>
      </c>
      <c r="CT893" s="1">
        <v>0.0</v>
      </c>
      <c r="CU893" s="1">
        <v>0.0</v>
      </c>
      <c r="CV893" s="1">
        <v>0.0</v>
      </c>
      <c r="CW893" s="1">
        <v>0.0</v>
      </c>
      <c r="CX893" s="1">
        <v>0.0</v>
      </c>
      <c r="CY893" s="1">
        <v>0.0</v>
      </c>
      <c r="CZ893" s="1">
        <v>0.0</v>
      </c>
      <c r="DA893" s="1">
        <v>0.0</v>
      </c>
      <c r="DB893" s="1">
        <v>0.0</v>
      </c>
      <c r="DC893" s="1">
        <v>0.0</v>
      </c>
      <c r="DD893" s="1" t="s">
        <v>4166</v>
      </c>
      <c r="DE893" s="2" t="s">
        <v>4167</v>
      </c>
      <c r="DF893" s="2" t="s">
        <v>4168</v>
      </c>
    </row>
    <row r="894" ht="15.75" customHeight="1">
      <c r="A894" s="1" t="s">
        <v>4169</v>
      </c>
      <c r="B894" s="1">
        <v>29.0</v>
      </c>
      <c r="C894" s="1">
        <v>177.0</v>
      </c>
      <c r="D894" s="2" t="s">
        <v>1414</v>
      </c>
      <c r="E894" s="1">
        <v>283.277</v>
      </c>
      <c r="F894" s="1">
        <v>29177.0</v>
      </c>
      <c r="G894" s="1">
        <v>2.91770801E10</v>
      </c>
      <c r="H894" s="1" t="s">
        <v>112</v>
      </c>
      <c r="I894" s="1" t="s">
        <v>113</v>
      </c>
      <c r="J894" s="1" t="s">
        <v>4159</v>
      </c>
      <c r="K894" s="1" t="s">
        <v>4170</v>
      </c>
      <c r="L894" s="1">
        <v>3450.0</v>
      </c>
      <c r="M894" s="1">
        <v>3652.0</v>
      </c>
      <c r="N894" s="1">
        <v>206.0</v>
      </c>
      <c r="O894" s="1">
        <v>1467.0</v>
      </c>
      <c r="P894" s="1">
        <v>1493.0</v>
      </c>
      <c r="Q894" s="1">
        <v>72.0</v>
      </c>
      <c r="R894" s="1">
        <v>1269.0</v>
      </c>
      <c r="S894" s="1">
        <v>353.0</v>
      </c>
      <c r="T894" s="1">
        <v>121.0</v>
      </c>
      <c r="U894" s="1">
        <v>126.0</v>
      </c>
      <c r="V894" s="1">
        <v>306.0</v>
      </c>
      <c r="W894" s="1">
        <v>23108.0</v>
      </c>
      <c r="X894" s="1">
        <v>2057.0</v>
      </c>
      <c r="Y894" s="1">
        <v>340.0</v>
      </c>
      <c r="Z894" s="1">
        <v>241.0</v>
      </c>
      <c r="AA894" s="1">
        <v>485.0</v>
      </c>
      <c r="AB894" s="1">
        <v>866.0</v>
      </c>
      <c r="AC894" s="1">
        <v>105.0</v>
      </c>
      <c r="AD894" s="1">
        <v>149.0</v>
      </c>
      <c r="AE894" s="1">
        <v>0.0</v>
      </c>
      <c r="AF894" s="1">
        <v>456.0</v>
      </c>
      <c r="AG894" s="1">
        <v>0.0</v>
      </c>
      <c r="AH894" s="1">
        <v>197.0</v>
      </c>
      <c r="AI894" s="1">
        <v>193.0</v>
      </c>
      <c r="AJ894" s="1">
        <v>67.0</v>
      </c>
      <c r="AK894" s="1">
        <v>31.0</v>
      </c>
      <c r="AL894" s="1">
        <v>117.0</v>
      </c>
      <c r="AM894" s="1">
        <v>52.0</v>
      </c>
      <c r="AN894" s="1">
        <v>42.0</v>
      </c>
      <c r="AO894" s="1">
        <v>81.0</v>
      </c>
      <c r="AP894" s="1">
        <v>0.097325</v>
      </c>
      <c r="AQ894" s="1">
        <v>0.032872</v>
      </c>
      <c r="AR894" s="1">
        <v>0.073001</v>
      </c>
      <c r="AS894" s="1">
        <v>0.177151</v>
      </c>
      <c r="AT894" s="1">
        <v>23108.0</v>
      </c>
      <c r="AU894" s="1">
        <v>2057.0</v>
      </c>
      <c r="AV894" s="1">
        <v>0.144742</v>
      </c>
      <c r="AW894" s="1">
        <v>0.102316</v>
      </c>
      <c r="AX894" s="1">
        <v>0.140579</v>
      </c>
      <c r="AY894" s="1">
        <v>0.251014</v>
      </c>
      <c r="AZ894" s="1">
        <v>0.08274231</v>
      </c>
      <c r="BA894" s="1">
        <v>0.043188</v>
      </c>
      <c r="BB894" s="1">
        <v>0.0</v>
      </c>
      <c r="BC894" s="1">
        <v>0.132558</v>
      </c>
      <c r="BD894" s="1">
        <v>0.0</v>
      </c>
      <c r="BE894" s="1">
        <v>0.131949</v>
      </c>
      <c r="BF894" s="1">
        <v>0.129269</v>
      </c>
      <c r="BG894" s="1">
        <v>0.04444</v>
      </c>
      <c r="BH894" s="1">
        <v>0.023718</v>
      </c>
      <c r="BI894" s="1">
        <v>0.089507</v>
      </c>
      <c r="BJ894" s="1">
        <v>0.039785</v>
      </c>
      <c r="BK894" s="1">
        <v>0.032051</v>
      </c>
      <c r="BL894" s="1">
        <v>0.023478</v>
      </c>
      <c r="BM894" s="1">
        <v>0.361</v>
      </c>
      <c r="BN894" s="1">
        <v>0.538</v>
      </c>
      <c r="BO894" s="1">
        <v>0.4412</v>
      </c>
      <c r="BP894" s="1">
        <v>0.546</v>
      </c>
      <c r="BQ894" s="1">
        <v>1.8862</v>
      </c>
      <c r="BR894" s="1">
        <v>0.4592</v>
      </c>
      <c r="BS894" s="1">
        <v>0.502</v>
      </c>
      <c r="BT894" s="1">
        <v>0.612</v>
      </c>
      <c r="BU894" s="1">
        <v>0.333</v>
      </c>
      <c r="BV894" s="1">
        <v>1.447</v>
      </c>
      <c r="BW894" s="1">
        <v>0.435</v>
      </c>
      <c r="BX894" s="1">
        <v>0.198</v>
      </c>
      <c r="BY894" s="1">
        <v>0.0</v>
      </c>
      <c r="BZ894" s="1">
        <v>0.198</v>
      </c>
      <c r="CA894" s="1">
        <v>0.09</v>
      </c>
      <c r="CB894" s="1">
        <v>0.0</v>
      </c>
      <c r="CC894" s="1">
        <v>0.776</v>
      </c>
      <c r="CD894" s="1">
        <v>0.739</v>
      </c>
      <c r="CE894" s="1">
        <v>0.388</v>
      </c>
      <c r="CF894" s="1">
        <v>0.751</v>
      </c>
      <c r="CG894" s="1">
        <v>2.654</v>
      </c>
      <c r="CH894" s="1">
        <v>0.625</v>
      </c>
      <c r="CI894" s="1">
        <v>6.1852</v>
      </c>
      <c r="CJ894" s="1">
        <v>0.4036</v>
      </c>
      <c r="CK894" s="1">
        <v>0.0</v>
      </c>
      <c r="CL894" s="1">
        <v>0.0</v>
      </c>
      <c r="CM894" s="1">
        <v>0.0</v>
      </c>
      <c r="CN894" s="1">
        <v>0.0</v>
      </c>
      <c r="CO894" s="1">
        <v>0.0</v>
      </c>
      <c r="CP894" s="1">
        <v>0.0</v>
      </c>
      <c r="CQ894" s="1">
        <v>0.0</v>
      </c>
      <c r="CR894" s="1">
        <v>0.0</v>
      </c>
      <c r="CS894" s="1">
        <v>0.0</v>
      </c>
      <c r="CT894" s="1">
        <v>0.0</v>
      </c>
      <c r="CU894" s="1">
        <v>0.0</v>
      </c>
      <c r="CV894" s="1">
        <v>0.0</v>
      </c>
      <c r="CW894" s="1">
        <v>0.0</v>
      </c>
      <c r="CX894" s="1">
        <v>0.0</v>
      </c>
      <c r="CY894" s="1">
        <v>0.0</v>
      </c>
      <c r="CZ894" s="1">
        <v>0.0</v>
      </c>
      <c r="DA894" s="1">
        <v>0.0</v>
      </c>
      <c r="DB894" s="1">
        <v>0.0</v>
      </c>
      <c r="DC894" s="1">
        <v>0.0</v>
      </c>
      <c r="DD894" s="1" t="s">
        <v>4171</v>
      </c>
      <c r="DE894" s="1">
        <v>0.0774394758796069</v>
      </c>
      <c r="DF894" s="2" t="s">
        <v>4172</v>
      </c>
    </row>
    <row r="895" ht="15.75" customHeight="1">
      <c r="A895" s="1" t="s">
        <v>4173</v>
      </c>
      <c r="B895" s="1">
        <v>29.0</v>
      </c>
      <c r="C895" s="1">
        <v>177.0</v>
      </c>
      <c r="D895" s="2" t="s">
        <v>4174</v>
      </c>
      <c r="E895" s="1">
        <v>120.987</v>
      </c>
      <c r="F895" s="1">
        <v>29177.0</v>
      </c>
      <c r="G895" s="1">
        <v>2.91770803E10</v>
      </c>
      <c r="H895" s="1" t="s">
        <v>112</v>
      </c>
      <c r="I895" s="1" t="s">
        <v>113</v>
      </c>
      <c r="J895" s="1" t="s">
        <v>4159</v>
      </c>
      <c r="K895" s="1" t="s">
        <v>4175</v>
      </c>
      <c r="L895" s="1">
        <v>6215.0</v>
      </c>
      <c r="M895" s="1">
        <v>5946.0</v>
      </c>
      <c r="N895" s="1">
        <v>280.0</v>
      </c>
      <c r="O895" s="1">
        <v>2548.0</v>
      </c>
      <c r="P895" s="1">
        <v>2491.0</v>
      </c>
      <c r="Q895" s="1">
        <v>107.0</v>
      </c>
      <c r="R895" s="1">
        <v>2315.0</v>
      </c>
      <c r="S895" s="1">
        <v>348.0</v>
      </c>
      <c r="T895" s="1">
        <v>111.0</v>
      </c>
      <c r="U895" s="1">
        <v>109.0</v>
      </c>
      <c r="V895" s="1">
        <v>258.0</v>
      </c>
      <c r="W895" s="1">
        <v>26843.0</v>
      </c>
      <c r="X895" s="1">
        <v>3065.0</v>
      </c>
      <c r="Y895" s="1">
        <v>490.0</v>
      </c>
      <c r="Z895" s="1">
        <v>199.0</v>
      </c>
      <c r="AA895" s="1">
        <v>857.0</v>
      </c>
      <c r="AB895" s="1">
        <v>1517.0</v>
      </c>
      <c r="AC895" s="1">
        <v>194.0</v>
      </c>
      <c r="AD895" s="1">
        <v>246.0</v>
      </c>
      <c r="AE895" s="1">
        <v>5.0</v>
      </c>
      <c r="AF895" s="1">
        <v>427.0</v>
      </c>
      <c r="AG895" s="1">
        <v>2.0</v>
      </c>
      <c r="AH895" s="1">
        <v>161.0</v>
      </c>
      <c r="AI895" s="1">
        <v>264.0</v>
      </c>
      <c r="AJ895" s="1">
        <v>81.0</v>
      </c>
      <c r="AK895" s="1">
        <v>70.0</v>
      </c>
      <c r="AL895" s="1">
        <v>44.0</v>
      </c>
      <c r="AM895" s="1">
        <v>37.0</v>
      </c>
      <c r="AN895" s="1">
        <v>23.0</v>
      </c>
      <c r="AO895" s="1">
        <v>7.0</v>
      </c>
      <c r="AP895" s="1">
        <v>0.058674</v>
      </c>
      <c r="AQ895" s="1">
        <v>0.01851</v>
      </c>
      <c r="AR895" s="1">
        <v>0.038817</v>
      </c>
      <c r="AS895" s="1">
        <v>0.091828</v>
      </c>
      <c r="AT895" s="1">
        <v>26843.0</v>
      </c>
      <c r="AU895" s="1">
        <v>3065.0</v>
      </c>
      <c r="AV895" s="1">
        <v>0.124586</v>
      </c>
      <c r="AW895" s="1">
        <v>0.050316</v>
      </c>
      <c r="AX895" s="1">
        <v>0.137892</v>
      </c>
      <c r="AY895" s="1">
        <v>0.244086</v>
      </c>
      <c r="AZ895" s="1">
        <v>0.08380129</v>
      </c>
      <c r="BA895" s="1">
        <v>0.039581</v>
      </c>
      <c r="BB895" s="1">
        <v>9.01E-4</v>
      </c>
      <c r="BC895" s="1">
        <v>0.07702</v>
      </c>
      <c r="BD895" s="1">
        <v>8.02E-4</v>
      </c>
      <c r="BE895" s="1">
        <v>0.064632</v>
      </c>
      <c r="BF895" s="1">
        <v>0.105981</v>
      </c>
      <c r="BG895" s="1">
        <v>0.032196</v>
      </c>
      <c r="BH895" s="1">
        <v>0.030891</v>
      </c>
      <c r="BI895" s="1">
        <v>0.019361</v>
      </c>
      <c r="BJ895" s="1">
        <v>0.016328</v>
      </c>
      <c r="BK895" s="1">
        <v>0.01012</v>
      </c>
      <c r="BL895" s="1">
        <v>0.001126</v>
      </c>
      <c r="BM895" s="1">
        <v>0.2</v>
      </c>
      <c r="BN895" s="1">
        <v>0.172</v>
      </c>
      <c r="BO895" s="1">
        <v>0.2888</v>
      </c>
      <c r="BP895" s="1">
        <v>0.449</v>
      </c>
      <c r="BQ895" s="1">
        <v>1.1098</v>
      </c>
      <c r="BR895" s="1">
        <v>0.2303</v>
      </c>
      <c r="BS895" s="1">
        <v>0.481</v>
      </c>
      <c r="BT895" s="1">
        <v>0.534</v>
      </c>
      <c r="BU895" s="1">
        <v>0.348</v>
      </c>
      <c r="BV895" s="1">
        <v>1.363</v>
      </c>
      <c r="BW895" s="1">
        <v>0.358</v>
      </c>
      <c r="BX895" s="1">
        <v>0.16</v>
      </c>
      <c r="BY895" s="1">
        <v>0.329</v>
      </c>
      <c r="BZ895" s="1">
        <v>0.489</v>
      </c>
      <c r="CA895" s="1">
        <v>0.202</v>
      </c>
      <c r="CB895" s="1">
        <v>0.251</v>
      </c>
      <c r="CC895" s="1">
        <v>0.729</v>
      </c>
      <c r="CD895" s="1">
        <v>0.819</v>
      </c>
      <c r="CE895" s="1">
        <v>0.144</v>
      </c>
      <c r="CF895" s="1">
        <v>0.406</v>
      </c>
      <c r="CG895" s="1">
        <v>2.349</v>
      </c>
      <c r="CH895" s="1">
        <v>0.485</v>
      </c>
      <c r="CI895" s="1">
        <v>5.3108</v>
      </c>
      <c r="CJ895" s="1">
        <v>0.2484</v>
      </c>
      <c r="CK895" s="1">
        <v>0.0</v>
      </c>
      <c r="CL895" s="1">
        <v>0.0</v>
      </c>
      <c r="CM895" s="1">
        <v>0.0</v>
      </c>
      <c r="CN895" s="1">
        <v>0.0</v>
      </c>
      <c r="CO895" s="1">
        <v>0.0</v>
      </c>
      <c r="CP895" s="1">
        <v>0.0</v>
      </c>
      <c r="CQ895" s="1">
        <v>0.0</v>
      </c>
      <c r="CR895" s="1">
        <v>0.0</v>
      </c>
      <c r="CS895" s="1">
        <v>0.0</v>
      </c>
      <c r="CT895" s="1">
        <v>0.0</v>
      </c>
      <c r="CU895" s="1">
        <v>0.0</v>
      </c>
      <c r="CV895" s="1">
        <v>0.0</v>
      </c>
      <c r="CW895" s="1">
        <v>0.0</v>
      </c>
      <c r="CX895" s="1">
        <v>0.0</v>
      </c>
      <c r="CY895" s="1">
        <v>0.0</v>
      </c>
      <c r="CZ895" s="1">
        <v>0.0</v>
      </c>
      <c r="DA895" s="1">
        <v>0.0</v>
      </c>
      <c r="DB895" s="1">
        <v>0.0</v>
      </c>
      <c r="DC895" s="1">
        <v>0.0</v>
      </c>
      <c r="DD895" s="1" t="s">
        <v>4176</v>
      </c>
      <c r="DE895" s="1">
        <v>0.0332117380629791</v>
      </c>
      <c r="DF895" s="2" t="s">
        <v>4177</v>
      </c>
    </row>
    <row r="896" ht="15.75" customHeight="1">
      <c r="A896" s="1" t="s">
        <v>4178</v>
      </c>
      <c r="B896" s="1">
        <v>29.0</v>
      </c>
      <c r="C896" s="1">
        <v>179.0</v>
      </c>
      <c r="D896" s="1">
        <v>380100.0</v>
      </c>
      <c r="E896" s="1">
        <v>445.554</v>
      </c>
      <c r="F896" s="1">
        <v>29179.0</v>
      </c>
      <c r="G896" s="1">
        <v>2.91793801E10</v>
      </c>
      <c r="H896" s="1" t="s">
        <v>112</v>
      </c>
      <c r="I896" s="1" t="s">
        <v>113</v>
      </c>
      <c r="J896" s="1" t="s">
        <v>4179</v>
      </c>
      <c r="K896" s="1" t="s">
        <v>4180</v>
      </c>
      <c r="L896" s="1">
        <v>3058.0</v>
      </c>
      <c r="M896" s="1">
        <v>3164.0</v>
      </c>
      <c r="N896" s="1">
        <v>238.0</v>
      </c>
      <c r="O896" s="1">
        <v>1712.0</v>
      </c>
      <c r="P896" s="1">
        <v>1742.0</v>
      </c>
      <c r="Q896" s="1">
        <v>83.0</v>
      </c>
      <c r="R896" s="1">
        <v>1274.0</v>
      </c>
      <c r="S896" s="1">
        <v>765.0</v>
      </c>
      <c r="T896" s="1">
        <v>205.0</v>
      </c>
      <c r="U896" s="1">
        <v>161.0</v>
      </c>
      <c r="V896" s="1">
        <v>234.0</v>
      </c>
      <c r="W896" s="1">
        <v>15691.0</v>
      </c>
      <c r="X896" s="1">
        <v>1580.0</v>
      </c>
      <c r="Y896" s="1">
        <v>568.0</v>
      </c>
      <c r="Z896" s="1">
        <v>154.0</v>
      </c>
      <c r="AA896" s="1">
        <v>623.0</v>
      </c>
      <c r="AB896" s="1">
        <v>669.0</v>
      </c>
      <c r="AC896" s="1">
        <v>101.0</v>
      </c>
      <c r="AD896" s="1">
        <v>172.0</v>
      </c>
      <c r="AE896" s="1">
        <v>0.0</v>
      </c>
      <c r="AF896" s="1">
        <v>456.0</v>
      </c>
      <c r="AG896" s="1">
        <v>3.0</v>
      </c>
      <c r="AH896" s="1">
        <v>161.0</v>
      </c>
      <c r="AI896" s="1">
        <v>457.0</v>
      </c>
      <c r="AJ896" s="1">
        <v>82.0</v>
      </c>
      <c r="AK896" s="1">
        <v>59.0</v>
      </c>
      <c r="AL896" s="1">
        <v>30.0</v>
      </c>
      <c r="AM896" s="1">
        <v>95.0</v>
      </c>
      <c r="AN896" s="1">
        <v>39.0</v>
      </c>
      <c r="AO896" s="1">
        <v>66.0</v>
      </c>
      <c r="AP896" s="1">
        <v>0.261449</v>
      </c>
      <c r="AQ896" s="1">
        <v>0.066524</v>
      </c>
      <c r="AR896" s="1">
        <v>0.129838</v>
      </c>
      <c r="AS896" s="1">
        <v>0.188114</v>
      </c>
      <c r="AT896" s="1">
        <v>15691.0</v>
      </c>
      <c r="AU896" s="1">
        <v>1580.0</v>
      </c>
      <c r="AV896" s="1">
        <v>0.282587</v>
      </c>
      <c r="AW896" s="1">
        <v>0.073452</v>
      </c>
      <c r="AX896" s="1">
        <v>0.203727</v>
      </c>
      <c r="AY896" s="1">
        <v>0.21877</v>
      </c>
      <c r="AZ896" s="1">
        <v>0.07927786</v>
      </c>
      <c r="BA896" s="1">
        <v>0.056245</v>
      </c>
      <c r="BB896" s="1">
        <v>0.0</v>
      </c>
      <c r="BC896" s="1">
        <v>0.154628</v>
      </c>
      <c r="BD896" s="1">
        <v>0.001722</v>
      </c>
      <c r="BE896" s="1">
        <v>0.092422</v>
      </c>
      <c r="BF896" s="1">
        <v>0.262342</v>
      </c>
      <c r="BG896" s="1">
        <v>0.045382</v>
      </c>
      <c r="BH896" s="1">
        <v>0.04642</v>
      </c>
      <c r="BI896" s="1">
        <v>0.023313</v>
      </c>
      <c r="BJ896" s="1">
        <v>0.074744</v>
      </c>
      <c r="BK896" s="1">
        <v>0.030104</v>
      </c>
      <c r="BL896" s="1">
        <v>0.021582</v>
      </c>
      <c r="BM896" s="1">
        <v>0.843</v>
      </c>
      <c r="BN896" s="1">
        <v>0.856</v>
      </c>
      <c r="BO896" s="1">
        <v>0.8491</v>
      </c>
      <c r="BP896" s="1">
        <v>0.923</v>
      </c>
      <c r="BQ896" s="1">
        <v>3.4711</v>
      </c>
      <c r="BR896" s="1">
        <v>0.9184</v>
      </c>
      <c r="BS896" s="1">
        <v>0.889</v>
      </c>
      <c r="BT896" s="1">
        <v>0.296</v>
      </c>
      <c r="BU896" s="1">
        <v>0.295</v>
      </c>
      <c r="BV896" s="1">
        <v>1.48</v>
      </c>
      <c r="BW896" s="1">
        <v>0.465</v>
      </c>
      <c r="BX896" s="1">
        <v>0.291</v>
      </c>
      <c r="BY896" s="1">
        <v>0.0</v>
      </c>
      <c r="BZ896" s="1">
        <v>0.291</v>
      </c>
      <c r="CA896" s="1">
        <v>0.124</v>
      </c>
      <c r="CB896" s="1">
        <v>0.267</v>
      </c>
      <c r="CC896" s="1">
        <v>0.965</v>
      </c>
      <c r="CD896" s="1">
        <v>0.923</v>
      </c>
      <c r="CE896" s="1">
        <v>0.647</v>
      </c>
      <c r="CF896" s="1">
        <v>0.729</v>
      </c>
      <c r="CG896" s="1">
        <v>3.531</v>
      </c>
      <c r="CH896" s="1">
        <v>0.942</v>
      </c>
      <c r="CI896" s="1">
        <v>8.7731</v>
      </c>
      <c r="CJ896" s="1">
        <v>0.8238</v>
      </c>
      <c r="CK896" s="1">
        <v>0.0</v>
      </c>
      <c r="CL896" s="1">
        <v>0.0</v>
      </c>
      <c r="CM896" s="1">
        <v>0.0</v>
      </c>
      <c r="CN896" s="1">
        <v>1.0</v>
      </c>
      <c r="CO896" s="1">
        <v>1.0</v>
      </c>
      <c r="CP896" s="1">
        <v>0.0</v>
      </c>
      <c r="CQ896" s="1">
        <v>0.0</v>
      </c>
      <c r="CR896" s="1">
        <v>0.0</v>
      </c>
      <c r="CS896" s="1">
        <v>0.0</v>
      </c>
      <c r="CT896" s="1">
        <v>0.0</v>
      </c>
      <c r="CU896" s="1">
        <v>0.0</v>
      </c>
      <c r="CV896" s="1">
        <v>0.0</v>
      </c>
      <c r="CW896" s="1">
        <v>0.0</v>
      </c>
      <c r="CX896" s="1">
        <v>1.0</v>
      </c>
      <c r="CY896" s="1">
        <v>1.0</v>
      </c>
      <c r="CZ896" s="1">
        <v>0.0</v>
      </c>
      <c r="DA896" s="1">
        <v>0.0</v>
      </c>
      <c r="DB896" s="1">
        <v>2.0</v>
      </c>
      <c r="DC896" s="1">
        <v>3.0</v>
      </c>
      <c r="DD896" s="1" t="s">
        <v>4181</v>
      </c>
      <c r="DE896" s="2" t="s">
        <v>4182</v>
      </c>
      <c r="DF896" s="2" t="s">
        <v>4183</v>
      </c>
    </row>
    <row r="897" ht="15.75" customHeight="1">
      <c r="A897" s="1" t="s">
        <v>4184</v>
      </c>
      <c r="B897" s="1">
        <v>29.0</v>
      </c>
      <c r="C897" s="1">
        <v>179.0</v>
      </c>
      <c r="D897" s="1">
        <v>380200.0</v>
      </c>
      <c r="E897" s="1">
        <v>362.924</v>
      </c>
      <c r="F897" s="1">
        <v>29179.0</v>
      </c>
      <c r="G897" s="1">
        <v>2.91793802E10</v>
      </c>
      <c r="H897" s="1" t="s">
        <v>112</v>
      </c>
      <c r="I897" s="1" t="s">
        <v>113</v>
      </c>
      <c r="J897" s="1" t="s">
        <v>4179</v>
      </c>
      <c r="K897" s="1" t="s">
        <v>4185</v>
      </c>
      <c r="L897" s="1">
        <v>3638.0</v>
      </c>
      <c r="M897" s="1">
        <v>3534.0</v>
      </c>
      <c r="N897" s="1">
        <v>238.0</v>
      </c>
      <c r="O897" s="1">
        <v>2321.0</v>
      </c>
      <c r="P897" s="1">
        <v>2281.0</v>
      </c>
      <c r="Q897" s="1">
        <v>84.0</v>
      </c>
      <c r="R897" s="1">
        <v>1504.0</v>
      </c>
      <c r="S897" s="1">
        <v>586.0</v>
      </c>
      <c r="T897" s="1">
        <v>169.0</v>
      </c>
      <c r="U897" s="1">
        <v>114.0</v>
      </c>
      <c r="V897" s="1">
        <v>399.0</v>
      </c>
      <c r="W897" s="1">
        <v>18103.0</v>
      </c>
      <c r="X897" s="1">
        <v>1586.0</v>
      </c>
      <c r="Y897" s="1">
        <v>711.0</v>
      </c>
      <c r="Z897" s="1">
        <v>235.0</v>
      </c>
      <c r="AA897" s="1">
        <v>720.0</v>
      </c>
      <c r="AB897" s="1">
        <v>863.0</v>
      </c>
      <c r="AC897" s="1">
        <v>150.0</v>
      </c>
      <c r="AD897" s="1">
        <v>91.0</v>
      </c>
      <c r="AE897" s="1">
        <v>0.0</v>
      </c>
      <c r="AF897" s="1">
        <v>456.0</v>
      </c>
      <c r="AG897" s="1">
        <v>0.0</v>
      </c>
      <c r="AH897" s="1">
        <v>197.0</v>
      </c>
      <c r="AI897" s="1">
        <v>408.0</v>
      </c>
      <c r="AJ897" s="1">
        <v>108.0</v>
      </c>
      <c r="AK897" s="1">
        <v>4.0</v>
      </c>
      <c r="AL897" s="1">
        <v>114.0</v>
      </c>
      <c r="AM897" s="1">
        <v>132.0</v>
      </c>
      <c r="AN897" s="1">
        <v>57.0</v>
      </c>
      <c r="AO897" s="1">
        <v>35.0</v>
      </c>
      <c r="AP897" s="1">
        <v>0.170795</v>
      </c>
      <c r="AQ897" s="1">
        <v>0.048068</v>
      </c>
      <c r="AR897" s="1">
        <v>0.082132</v>
      </c>
      <c r="AS897" s="1">
        <v>0.287302</v>
      </c>
      <c r="AT897" s="1">
        <v>18103.0</v>
      </c>
      <c r="AU897" s="1">
        <v>1586.0</v>
      </c>
      <c r="AV897" s="1">
        <v>0.263626</v>
      </c>
      <c r="AW897" s="1">
        <v>0.085806</v>
      </c>
      <c r="AX897" s="1">
        <v>0.19791</v>
      </c>
      <c r="AY897" s="1">
        <v>0.237218</v>
      </c>
      <c r="AZ897" s="1">
        <v>0.09973404</v>
      </c>
      <c r="BA897" s="1">
        <v>0.025013</v>
      </c>
      <c r="BB897" s="1">
        <v>0.0</v>
      </c>
      <c r="BC897" s="1">
        <v>0.134991</v>
      </c>
      <c r="BD897" s="1">
        <v>0.0</v>
      </c>
      <c r="BE897" s="1">
        <v>0.086365</v>
      </c>
      <c r="BF897" s="1">
        <v>0.178868</v>
      </c>
      <c r="BG897" s="1">
        <v>0.046887</v>
      </c>
      <c r="BH897" s="1">
        <v>0.002489</v>
      </c>
      <c r="BI897" s="1">
        <v>0.070939</v>
      </c>
      <c r="BJ897" s="1">
        <v>0.08214</v>
      </c>
      <c r="BK897" s="1">
        <v>0.034664</v>
      </c>
      <c r="BL897" s="1">
        <v>0.00962</v>
      </c>
      <c r="BM897" s="1">
        <v>0.646</v>
      </c>
      <c r="BN897" s="1">
        <v>0.629</v>
      </c>
      <c r="BO897" s="1">
        <v>0.7256</v>
      </c>
      <c r="BP897" s="1">
        <v>0.895</v>
      </c>
      <c r="BQ897" s="1">
        <v>2.8956</v>
      </c>
      <c r="BR897" s="1">
        <v>0.7776</v>
      </c>
      <c r="BS897" s="1">
        <v>0.863</v>
      </c>
      <c r="BT897" s="1">
        <v>0.465</v>
      </c>
      <c r="BU897" s="1">
        <v>0.492</v>
      </c>
      <c r="BV897" s="1">
        <v>1.82</v>
      </c>
      <c r="BW897" s="1">
        <v>0.737</v>
      </c>
      <c r="BX897" s="1">
        <v>0.046</v>
      </c>
      <c r="BY897" s="1">
        <v>0.0</v>
      </c>
      <c r="BZ897" s="1">
        <v>0.046</v>
      </c>
      <c r="CA897" s="1">
        <v>0.024</v>
      </c>
      <c r="CB897" s="1">
        <v>0.0</v>
      </c>
      <c r="CC897" s="1">
        <v>0.866</v>
      </c>
      <c r="CD897" s="1">
        <v>0.287</v>
      </c>
      <c r="CE897" s="1">
        <v>0.689</v>
      </c>
      <c r="CF897" s="1">
        <v>0.57</v>
      </c>
      <c r="CG897" s="1">
        <v>2.412</v>
      </c>
      <c r="CH897" s="1">
        <v>0.521</v>
      </c>
      <c r="CI897" s="1">
        <v>7.1736</v>
      </c>
      <c r="CJ897" s="1">
        <v>0.5856</v>
      </c>
      <c r="CK897" s="1">
        <v>0.0</v>
      </c>
      <c r="CL897" s="1">
        <v>0.0</v>
      </c>
      <c r="CM897" s="1">
        <v>0.0</v>
      </c>
      <c r="CN897" s="1">
        <v>0.0</v>
      </c>
      <c r="CO897" s="1">
        <v>0.0</v>
      </c>
      <c r="CP897" s="1">
        <v>0.0</v>
      </c>
      <c r="CQ897" s="1">
        <v>0.0</v>
      </c>
      <c r="CR897" s="1">
        <v>0.0</v>
      </c>
      <c r="CS897" s="1">
        <v>0.0</v>
      </c>
      <c r="CT897" s="1">
        <v>0.0</v>
      </c>
      <c r="CU897" s="1">
        <v>0.0</v>
      </c>
      <c r="CV897" s="1">
        <v>0.0</v>
      </c>
      <c r="CW897" s="1">
        <v>0.0</v>
      </c>
      <c r="CX897" s="1">
        <v>0.0</v>
      </c>
      <c r="CY897" s="1">
        <v>0.0</v>
      </c>
      <c r="CZ897" s="1">
        <v>0.0</v>
      </c>
      <c r="DA897" s="1">
        <v>0.0</v>
      </c>
      <c r="DB897" s="1">
        <v>0.0</v>
      </c>
      <c r="DC897" s="1">
        <v>0.0</v>
      </c>
      <c r="DD897" s="1" t="s">
        <v>4186</v>
      </c>
      <c r="DE897" s="1">
        <v>0.0962352303117621</v>
      </c>
      <c r="DF897" s="2" t="s">
        <v>4187</v>
      </c>
    </row>
    <row r="898" ht="15.75" customHeight="1">
      <c r="A898" s="1" t="s">
        <v>4188</v>
      </c>
      <c r="B898" s="1">
        <v>29.0</v>
      </c>
      <c r="C898" s="1">
        <v>181.0</v>
      </c>
      <c r="D898" s="1">
        <v>870100.0</v>
      </c>
      <c r="E898" s="1">
        <v>193.669</v>
      </c>
      <c r="F898" s="1">
        <v>29181.0</v>
      </c>
      <c r="G898" s="1">
        <v>2.91818701E10</v>
      </c>
      <c r="H898" s="1" t="s">
        <v>112</v>
      </c>
      <c r="I898" s="1" t="s">
        <v>113</v>
      </c>
      <c r="J898" s="1" t="s">
        <v>4189</v>
      </c>
      <c r="K898" s="1" t="s">
        <v>4190</v>
      </c>
      <c r="L898" s="1">
        <v>4291.0</v>
      </c>
      <c r="M898" s="1">
        <v>4233.0</v>
      </c>
      <c r="N898" s="1">
        <v>365.0</v>
      </c>
      <c r="O898" s="1">
        <v>1868.0</v>
      </c>
      <c r="P898" s="1">
        <v>1947.0</v>
      </c>
      <c r="Q898" s="1">
        <v>74.0</v>
      </c>
      <c r="R898" s="1">
        <v>1660.0</v>
      </c>
      <c r="S898" s="1">
        <v>712.0</v>
      </c>
      <c r="T898" s="1">
        <v>351.0</v>
      </c>
      <c r="U898" s="1">
        <v>277.0</v>
      </c>
      <c r="V898" s="1">
        <v>399.0</v>
      </c>
      <c r="W898" s="1">
        <v>14662.0</v>
      </c>
      <c r="X898" s="1">
        <v>1832.0</v>
      </c>
      <c r="Y898" s="1">
        <v>902.0</v>
      </c>
      <c r="Z898" s="1">
        <v>310.0</v>
      </c>
      <c r="AA898" s="1">
        <v>727.0</v>
      </c>
      <c r="AB898" s="1">
        <v>1027.0</v>
      </c>
      <c r="AC898" s="1">
        <v>171.0</v>
      </c>
      <c r="AD898" s="1">
        <v>166.0</v>
      </c>
      <c r="AE898" s="1">
        <v>24.0</v>
      </c>
      <c r="AF898" s="1">
        <v>443.0</v>
      </c>
      <c r="AG898" s="1">
        <v>0.0</v>
      </c>
      <c r="AH898" s="1">
        <v>197.0</v>
      </c>
      <c r="AI898" s="1">
        <v>416.0</v>
      </c>
      <c r="AJ898" s="1">
        <v>128.0</v>
      </c>
      <c r="AK898" s="1">
        <v>0.0</v>
      </c>
      <c r="AL898" s="1">
        <v>161.0</v>
      </c>
      <c r="AM898" s="1">
        <v>58.0</v>
      </c>
      <c r="AN898" s="1">
        <v>49.0</v>
      </c>
      <c r="AO898" s="1">
        <v>0.0</v>
      </c>
      <c r="AP898" s="1">
        <v>0.168202</v>
      </c>
      <c r="AQ898" s="1">
        <v>0.081641</v>
      </c>
      <c r="AR898" s="1">
        <v>0.1512</v>
      </c>
      <c r="AS898" s="1">
        <v>0.216529</v>
      </c>
      <c r="AT898" s="1">
        <v>14662.0</v>
      </c>
      <c r="AU898" s="1">
        <v>1832.0</v>
      </c>
      <c r="AV898" s="1">
        <v>0.317941</v>
      </c>
      <c r="AW898" s="1">
        <v>0.104634</v>
      </c>
      <c r="AX898" s="1">
        <v>0.169424</v>
      </c>
      <c r="AY898" s="1">
        <v>0.239338</v>
      </c>
      <c r="AZ898" s="1">
        <v>0.10301204</v>
      </c>
      <c r="BA898" s="1">
        <v>0.038685</v>
      </c>
      <c r="BB898" s="1">
        <v>0.006127</v>
      </c>
      <c r="BC898" s="1">
        <v>0.113095</v>
      </c>
      <c r="BD898" s="1">
        <v>0.0</v>
      </c>
      <c r="BE898" s="1">
        <v>0.101181</v>
      </c>
      <c r="BF898" s="1">
        <v>0.213662</v>
      </c>
      <c r="BG898" s="1">
        <v>0.065238</v>
      </c>
      <c r="BH898" s="1">
        <v>0.0</v>
      </c>
      <c r="BI898" s="1">
        <v>0.096234</v>
      </c>
      <c r="BJ898" s="1">
        <v>0.034668</v>
      </c>
      <c r="BK898" s="1">
        <v>0.029175</v>
      </c>
      <c r="BL898" s="1">
        <v>0.0</v>
      </c>
      <c r="BM898" s="1">
        <v>0.633</v>
      </c>
      <c r="BN898" s="1">
        <v>0.902</v>
      </c>
      <c r="BO898" s="1">
        <v>0.8895</v>
      </c>
      <c r="BP898" s="1">
        <v>0.956</v>
      </c>
      <c r="BQ898" s="1">
        <v>3.3805</v>
      </c>
      <c r="BR898" s="1">
        <v>0.8953</v>
      </c>
      <c r="BS898" s="1">
        <v>0.733</v>
      </c>
      <c r="BT898" s="1">
        <v>0.491</v>
      </c>
      <c r="BU898" s="1">
        <v>0.52</v>
      </c>
      <c r="BV898" s="1">
        <v>1.744</v>
      </c>
      <c r="BW898" s="1">
        <v>0.676</v>
      </c>
      <c r="BX898" s="1">
        <v>0.153</v>
      </c>
      <c r="BY898" s="1">
        <v>0.603</v>
      </c>
      <c r="BZ898" s="1">
        <v>0.756</v>
      </c>
      <c r="CA898" s="1">
        <v>0.364</v>
      </c>
      <c r="CB898" s="1">
        <v>0.0</v>
      </c>
      <c r="CC898" s="1">
        <v>0.915</v>
      </c>
      <c r="CD898" s="1">
        <v>0.0</v>
      </c>
      <c r="CE898" s="1">
        <v>0.33</v>
      </c>
      <c r="CF898" s="1">
        <v>0.0</v>
      </c>
      <c r="CG898" s="1">
        <v>1.245</v>
      </c>
      <c r="CH898" s="1">
        <v>0.119</v>
      </c>
      <c r="CI898" s="1">
        <v>7.1255</v>
      </c>
      <c r="CJ898" s="1">
        <v>0.5762</v>
      </c>
      <c r="CK898" s="1">
        <v>0.0</v>
      </c>
      <c r="CL898" s="1">
        <v>1.0</v>
      </c>
      <c r="CM898" s="1">
        <v>0.0</v>
      </c>
      <c r="CN898" s="1">
        <v>1.0</v>
      </c>
      <c r="CO898" s="1">
        <v>2.0</v>
      </c>
      <c r="CP898" s="1">
        <v>0.0</v>
      </c>
      <c r="CQ898" s="1">
        <v>0.0</v>
      </c>
      <c r="CR898" s="1">
        <v>0.0</v>
      </c>
      <c r="CS898" s="1">
        <v>0.0</v>
      </c>
      <c r="CT898" s="1">
        <v>0.0</v>
      </c>
      <c r="CU898" s="1">
        <v>0.0</v>
      </c>
      <c r="CV898" s="1">
        <v>0.0</v>
      </c>
      <c r="CW898" s="1">
        <v>0.0</v>
      </c>
      <c r="CX898" s="1">
        <v>1.0</v>
      </c>
      <c r="CY898" s="1">
        <v>0.0</v>
      </c>
      <c r="CZ898" s="1">
        <v>0.0</v>
      </c>
      <c r="DA898" s="1">
        <v>0.0</v>
      </c>
      <c r="DB898" s="1">
        <v>1.0</v>
      </c>
      <c r="DC898" s="1">
        <v>3.0</v>
      </c>
      <c r="DD898" s="1" t="s">
        <v>4191</v>
      </c>
      <c r="DE898" s="1">
        <v>0.0507207529335972</v>
      </c>
      <c r="DF898" s="2" t="s">
        <v>4192</v>
      </c>
    </row>
    <row r="899" ht="15.75" customHeight="1">
      <c r="A899" s="1" t="s">
        <v>4193</v>
      </c>
      <c r="B899" s="1">
        <v>29.0</v>
      </c>
      <c r="C899" s="1">
        <v>181.0</v>
      </c>
      <c r="D899" s="1">
        <v>870200.0</v>
      </c>
      <c r="E899" s="1">
        <v>301.496</v>
      </c>
      <c r="F899" s="1">
        <v>29181.0</v>
      </c>
      <c r="G899" s="1">
        <v>2.91818702E10</v>
      </c>
      <c r="H899" s="1" t="s">
        <v>112</v>
      </c>
      <c r="I899" s="1" t="s">
        <v>113</v>
      </c>
      <c r="J899" s="1" t="s">
        <v>4189</v>
      </c>
      <c r="K899" s="1" t="s">
        <v>4194</v>
      </c>
      <c r="L899" s="1">
        <v>2958.0</v>
      </c>
      <c r="M899" s="1">
        <v>2953.0</v>
      </c>
      <c r="N899" s="1">
        <v>286.0</v>
      </c>
      <c r="O899" s="1">
        <v>1493.0</v>
      </c>
      <c r="P899" s="1">
        <v>1402.0</v>
      </c>
      <c r="Q899" s="1">
        <v>79.0</v>
      </c>
      <c r="R899" s="1">
        <v>1160.0</v>
      </c>
      <c r="S899" s="1">
        <v>804.0</v>
      </c>
      <c r="T899" s="1">
        <v>263.0</v>
      </c>
      <c r="U899" s="1">
        <v>133.0</v>
      </c>
      <c r="V899" s="1">
        <v>366.0</v>
      </c>
      <c r="W899" s="1">
        <v>13054.0</v>
      </c>
      <c r="X899" s="1">
        <v>1338.0</v>
      </c>
      <c r="Y899" s="1">
        <v>528.0</v>
      </c>
      <c r="Z899" s="1">
        <v>225.0</v>
      </c>
      <c r="AA899" s="1">
        <v>530.0</v>
      </c>
      <c r="AB899" s="1">
        <v>682.0</v>
      </c>
      <c r="AC899" s="1">
        <v>122.0</v>
      </c>
      <c r="AD899" s="1">
        <v>108.0</v>
      </c>
      <c r="AE899" s="1">
        <v>0.0</v>
      </c>
      <c r="AF899" s="1">
        <v>456.0</v>
      </c>
      <c r="AG899" s="1">
        <v>0.0</v>
      </c>
      <c r="AH899" s="1">
        <v>197.0</v>
      </c>
      <c r="AI899" s="1">
        <v>320.0</v>
      </c>
      <c r="AJ899" s="1">
        <v>75.0</v>
      </c>
      <c r="AK899" s="1">
        <v>88.0</v>
      </c>
      <c r="AL899" s="1">
        <v>128.0</v>
      </c>
      <c r="AM899" s="1">
        <v>63.0</v>
      </c>
      <c r="AN899" s="1">
        <v>37.0</v>
      </c>
      <c r="AO899" s="1">
        <v>0.0</v>
      </c>
      <c r="AP899" s="1">
        <v>0.272265</v>
      </c>
      <c r="AQ899" s="1">
        <v>0.085068</v>
      </c>
      <c r="AR899" s="1">
        <v>0.125353</v>
      </c>
      <c r="AS899" s="1">
        <v>0.344572</v>
      </c>
      <c r="AT899" s="1">
        <v>13054.0</v>
      </c>
      <c r="AU899" s="1">
        <v>1338.0</v>
      </c>
      <c r="AV899" s="1">
        <v>0.257686</v>
      </c>
      <c r="AW899" s="1">
        <v>0.107261</v>
      </c>
      <c r="AX899" s="1">
        <v>0.179175</v>
      </c>
      <c r="AY899" s="1">
        <v>0.230561</v>
      </c>
      <c r="AZ899" s="1">
        <v>0.10517241</v>
      </c>
      <c r="BA899" s="1">
        <v>0.036511</v>
      </c>
      <c r="BB899" s="1">
        <v>0.0</v>
      </c>
      <c r="BC899" s="1">
        <v>0.161358</v>
      </c>
      <c r="BD899" s="1">
        <v>0.0</v>
      </c>
      <c r="BE899" s="1">
        <v>0.140513</v>
      </c>
      <c r="BF899" s="1">
        <v>0.228245</v>
      </c>
      <c r="BG899" s="1">
        <v>0.051925</v>
      </c>
      <c r="BH899" s="1">
        <v>0.080072</v>
      </c>
      <c r="BI899" s="1">
        <v>0.116272</v>
      </c>
      <c r="BJ899" s="1">
        <v>0.057324</v>
      </c>
      <c r="BK899" s="1">
        <v>0.033315</v>
      </c>
      <c r="BL899" s="1">
        <v>0.0</v>
      </c>
      <c r="BM899" s="1">
        <v>0.858</v>
      </c>
      <c r="BN899" s="1">
        <v>0.841</v>
      </c>
      <c r="BO899" s="1">
        <v>0.9357</v>
      </c>
      <c r="BP899" s="1">
        <v>0.887</v>
      </c>
      <c r="BQ899" s="1">
        <v>3.5217</v>
      </c>
      <c r="BR899" s="1">
        <v>0.9256</v>
      </c>
      <c r="BS899" s="1">
        <v>0.784</v>
      </c>
      <c r="BT899" s="1">
        <v>0.391</v>
      </c>
      <c r="BU899" s="1">
        <v>0.541</v>
      </c>
      <c r="BV899" s="1">
        <v>1.716</v>
      </c>
      <c r="BW899" s="1">
        <v>0.654</v>
      </c>
      <c r="BX899" s="1">
        <v>0.13</v>
      </c>
      <c r="BY899" s="1">
        <v>0.0</v>
      </c>
      <c r="BZ899" s="1">
        <v>0.13</v>
      </c>
      <c r="CA899" s="1">
        <v>0.064</v>
      </c>
      <c r="CB899" s="1">
        <v>0.0</v>
      </c>
      <c r="CC899" s="1">
        <v>0.929</v>
      </c>
      <c r="CD899" s="1">
        <v>0.988</v>
      </c>
      <c r="CE899" s="1">
        <v>0.551</v>
      </c>
      <c r="CF899" s="1">
        <v>0.0</v>
      </c>
      <c r="CG899" s="1">
        <v>2.468</v>
      </c>
      <c r="CH899" s="1">
        <v>0.549</v>
      </c>
      <c r="CI899" s="1">
        <v>7.8357</v>
      </c>
      <c r="CJ899" s="1">
        <v>0.6852</v>
      </c>
      <c r="CK899" s="1">
        <v>0.0</v>
      </c>
      <c r="CL899" s="1">
        <v>0.0</v>
      </c>
      <c r="CM899" s="1">
        <v>1.0</v>
      </c>
      <c r="CN899" s="1">
        <v>0.0</v>
      </c>
      <c r="CO899" s="1">
        <v>1.0</v>
      </c>
      <c r="CP899" s="1">
        <v>0.0</v>
      </c>
      <c r="CQ899" s="1">
        <v>0.0</v>
      </c>
      <c r="CR899" s="1">
        <v>0.0</v>
      </c>
      <c r="CS899" s="1">
        <v>0.0</v>
      </c>
      <c r="CT899" s="1">
        <v>0.0</v>
      </c>
      <c r="CU899" s="1">
        <v>0.0</v>
      </c>
      <c r="CV899" s="1">
        <v>0.0</v>
      </c>
      <c r="CW899" s="1">
        <v>0.0</v>
      </c>
      <c r="CX899" s="1">
        <v>1.0</v>
      </c>
      <c r="CY899" s="1">
        <v>1.0</v>
      </c>
      <c r="CZ899" s="1">
        <v>0.0</v>
      </c>
      <c r="DA899" s="1">
        <v>0.0</v>
      </c>
      <c r="DB899" s="1">
        <v>2.0</v>
      </c>
      <c r="DC899" s="1">
        <v>3.0</v>
      </c>
      <c r="DD899" s="1" t="s">
        <v>4195</v>
      </c>
      <c r="DE899" s="1">
        <v>0.0789032059794571</v>
      </c>
      <c r="DF899" s="2" t="s">
        <v>4196</v>
      </c>
    </row>
    <row r="900" ht="15.75" customHeight="1">
      <c r="A900" s="1" t="s">
        <v>4197</v>
      </c>
      <c r="B900" s="1">
        <v>29.0</v>
      </c>
      <c r="C900" s="1">
        <v>181.0</v>
      </c>
      <c r="D900" s="1">
        <v>870300.0</v>
      </c>
      <c r="E900" s="1">
        <v>38.956</v>
      </c>
      <c r="F900" s="1">
        <v>29181.0</v>
      </c>
      <c r="G900" s="1">
        <v>2.91818703E10</v>
      </c>
      <c r="H900" s="1" t="s">
        <v>112</v>
      </c>
      <c r="I900" s="1" t="s">
        <v>113</v>
      </c>
      <c r="J900" s="1" t="s">
        <v>4189</v>
      </c>
      <c r="K900" s="1" t="s">
        <v>4198</v>
      </c>
      <c r="L900" s="1">
        <v>4329.0</v>
      </c>
      <c r="M900" s="1">
        <v>4122.0</v>
      </c>
      <c r="N900" s="1">
        <v>371.0</v>
      </c>
      <c r="O900" s="1">
        <v>2095.0</v>
      </c>
      <c r="P900" s="1">
        <v>2093.0</v>
      </c>
      <c r="Q900" s="1">
        <v>86.0</v>
      </c>
      <c r="R900" s="1">
        <v>1787.0</v>
      </c>
      <c r="S900" s="1">
        <v>1247.0</v>
      </c>
      <c r="T900" s="1">
        <v>416.0</v>
      </c>
      <c r="U900" s="1">
        <v>170.0</v>
      </c>
      <c r="V900" s="1">
        <v>333.0</v>
      </c>
      <c r="W900" s="1">
        <v>17314.0</v>
      </c>
      <c r="X900" s="1">
        <v>2857.0</v>
      </c>
      <c r="Y900" s="1">
        <v>945.0</v>
      </c>
      <c r="Z900" s="1">
        <v>301.0</v>
      </c>
      <c r="AA900" s="1">
        <v>879.0</v>
      </c>
      <c r="AB900" s="1">
        <v>1008.0</v>
      </c>
      <c r="AC900" s="1">
        <v>238.0</v>
      </c>
      <c r="AD900" s="1">
        <v>138.0</v>
      </c>
      <c r="AE900" s="1">
        <v>16.0</v>
      </c>
      <c r="AF900" s="1">
        <v>442.0</v>
      </c>
      <c r="AG900" s="1">
        <v>33.0</v>
      </c>
      <c r="AH900" s="1">
        <v>117.0</v>
      </c>
      <c r="AI900" s="1">
        <v>243.0</v>
      </c>
      <c r="AJ900" s="1">
        <v>108.0</v>
      </c>
      <c r="AK900" s="1">
        <v>23.0</v>
      </c>
      <c r="AL900" s="1">
        <v>116.0</v>
      </c>
      <c r="AM900" s="1">
        <v>147.0</v>
      </c>
      <c r="AN900" s="1">
        <v>65.0</v>
      </c>
      <c r="AO900" s="1">
        <v>63.0</v>
      </c>
      <c r="AP900" s="1">
        <v>0.319579</v>
      </c>
      <c r="AQ900" s="1">
        <v>0.102844</v>
      </c>
      <c r="AR900" s="1">
        <v>0.108005</v>
      </c>
      <c r="AS900" s="1">
        <v>0.211013</v>
      </c>
      <c r="AT900" s="1">
        <v>17314.0</v>
      </c>
      <c r="AU900" s="1">
        <v>2857.0</v>
      </c>
      <c r="AV900" s="1">
        <v>0.326537</v>
      </c>
      <c r="AW900" s="1">
        <v>0.100421</v>
      </c>
      <c r="AX900" s="1">
        <v>0.203049</v>
      </c>
      <c r="AY900" s="1">
        <v>0.232848</v>
      </c>
      <c r="AZ900" s="1">
        <v>0.1331841</v>
      </c>
      <c r="BA900" s="1">
        <v>0.031878</v>
      </c>
      <c r="BB900" s="1">
        <v>0.004089</v>
      </c>
      <c r="BC900" s="1">
        <v>0.112985</v>
      </c>
      <c r="BD900" s="1">
        <v>0.015766</v>
      </c>
      <c r="BE900" s="1">
        <v>0.055896</v>
      </c>
      <c r="BF900" s="1">
        <v>0.116101</v>
      </c>
      <c r="BG900" s="1">
        <v>0.051379</v>
      </c>
      <c r="BH900" s="1">
        <v>0.013287</v>
      </c>
      <c r="BI900" s="1">
        <v>0.067007</v>
      </c>
      <c r="BJ900" s="1">
        <v>0.084922</v>
      </c>
      <c r="BK900" s="1">
        <v>0.03716</v>
      </c>
      <c r="BL900" s="1">
        <v>0.014553</v>
      </c>
      <c r="BM900" s="1">
        <v>0.9</v>
      </c>
      <c r="BN900" s="1">
        <v>0.778</v>
      </c>
      <c r="BO900" s="1">
        <v>0.7646</v>
      </c>
      <c r="BP900" s="1">
        <v>0.966</v>
      </c>
      <c r="BQ900" s="1">
        <v>3.4086</v>
      </c>
      <c r="BR900" s="1">
        <v>0.9011</v>
      </c>
      <c r="BS900" s="1">
        <v>0.887</v>
      </c>
      <c r="BT900" s="1">
        <v>0.418</v>
      </c>
      <c r="BU900" s="1">
        <v>0.73</v>
      </c>
      <c r="BV900" s="1">
        <v>2.035</v>
      </c>
      <c r="BW900" s="1">
        <v>0.882</v>
      </c>
      <c r="BX900" s="1">
        <v>0.094</v>
      </c>
      <c r="BY900" s="1">
        <v>0.52</v>
      </c>
      <c r="BZ900" s="1">
        <v>0.614</v>
      </c>
      <c r="CA900" s="1">
        <v>0.282</v>
      </c>
      <c r="CB900" s="1">
        <v>0.433</v>
      </c>
      <c r="CC900" s="1">
        <v>0.751</v>
      </c>
      <c r="CD900" s="1">
        <v>0.558</v>
      </c>
      <c r="CE900" s="1">
        <v>0.702</v>
      </c>
      <c r="CF900" s="1">
        <v>0.643</v>
      </c>
      <c r="CG900" s="1">
        <v>3.087</v>
      </c>
      <c r="CH900" s="1">
        <v>0.81</v>
      </c>
      <c r="CI900" s="1">
        <v>9.1446</v>
      </c>
      <c r="CJ900" s="1">
        <v>0.87</v>
      </c>
      <c r="CK900" s="1">
        <v>1.0</v>
      </c>
      <c r="CL900" s="1">
        <v>0.0</v>
      </c>
      <c r="CM900" s="1">
        <v>0.0</v>
      </c>
      <c r="CN900" s="1">
        <v>1.0</v>
      </c>
      <c r="CO900" s="1">
        <v>2.0</v>
      </c>
      <c r="CP900" s="1">
        <v>0.0</v>
      </c>
      <c r="CQ900" s="1">
        <v>0.0</v>
      </c>
      <c r="CR900" s="1">
        <v>0.0</v>
      </c>
      <c r="CS900" s="1">
        <v>0.0</v>
      </c>
      <c r="CT900" s="1">
        <v>0.0</v>
      </c>
      <c r="CU900" s="1">
        <v>0.0</v>
      </c>
      <c r="CV900" s="1">
        <v>0.0</v>
      </c>
      <c r="CW900" s="1">
        <v>0.0</v>
      </c>
      <c r="CX900" s="1">
        <v>0.0</v>
      </c>
      <c r="CY900" s="1">
        <v>0.0</v>
      </c>
      <c r="CZ900" s="1">
        <v>0.0</v>
      </c>
      <c r="DA900" s="1">
        <v>0.0</v>
      </c>
      <c r="DB900" s="1">
        <v>0.0</v>
      </c>
      <c r="DC900" s="1">
        <v>2.0</v>
      </c>
      <c r="DD900" s="1" t="s">
        <v>4199</v>
      </c>
      <c r="DE900" s="2" t="s">
        <v>4200</v>
      </c>
      <c r="DF900" s="2" t="s">
        <v>4201</v>
      </c>
    </row>
    <row r="901" ht="15.75" customHeight="1">
      <c r="A901" s="1" t="s">
        <v>4202</v>
      </c>
      <c r="B901" s="1">
        <v>29.0</v>
      </c>
      <c r="C901" s="1">
        <v>181.0</v>
      </c>
      <c r="D901" s="1">
        <v>870400.0</v>
      </c>
      <c r="E901" s="1">
        <v>95.415</v>
      </c>
      <c r="F901" s="1">
        <v>29181.0</v>
      </c>
      <c r="G901" s="1">
        <v>2.91818704E10</v>
      </c>
      <c r="H901" s="1" t="s">
        <v>112</v>
      </c>
      <c r="I901" s="1" t="s">
        <v>113</v>
      </c>
      <c r="J901" s="1" t="s">
        <v>4189</v>
      </c>
      <c r="K901" s="1" t="s">
        <v>4203</v>
      </c>
      <c r="L901" s="1">
        <v>2522.0</v>
      </c>
      <c r="M901" s="1">
        <v>2749.0</v>
      </c>
      <c r="N901" s="1">
        <v>299.0</v>
      </c>
      <c r="O901" s="1">
        <v>1141.0</v>
      </c>
      <c r="P901" s="1">
        <v>1176.0</v>
      </c>
      <c r="Q901" s="1">
        <v>70.0</v>
      </c>
      <c r="R901" s="1">
        <v>1030.0</v>
      </c>
      <c r="S901" s="1">
        <v>560.0</v>
      </c>
      <c r="T901" s="1">
        <v>225.0</v>
      </c>
      <c r="U901" s="1">
        <v>156.0</v>
      </c>
      <c r="V901" s="1">
        <v>331.0</v>
      </c>
      <c r="W901" s="1">
        <v>14727.0</v>
      </c>
      <c r="X901" s="1">
        <v>1747.0</v>
      </c>
      <c r="Y901" s="1">
        <v>458.0</v>
      </c>
      <c r="Z901" s="1">
        <v>259.0</v>
      </c>
      <c r="AA901" s="1">
        <v>510.0</v>
      </c>
      <c r="AB901" s="1">
        <v>590.0</v>
      </c>
      <c r="AC901" s="1">
        <v>103.0</v>
      </c>
      <c r="AD901" s="1">
        <v>125.0</v>
      </c>
      <c r="AE901" s="1">
        <v>0.0</v>
      </c>
      <c r="AF901" s="1">
        <v>456.0</v>
      </c>
      <c r="AG901" s="1">
        <v>0.0</v>
      </c>
      <c r="AH901" s="1">
        <v>197.0</v>
      </c>
      <c r="AI901" s="1">
        <v>295.0</v>
      </c>
      <c r="AJ901" s="1">
        <v>80.0</v>
      </c>
      <c r="AK901" s="1">
        <v>47.0</v>
      </c>
      <c r="AL901" s="1">
        <v>121.0</v>
      </c>
      <c r="AM901" s="1">
        <v>51.0</v>
      </c>
      <c r="AN901" s="1">
        <v>41.0</v>
      </c>
      <c r="AO901" s="1">
        <v>0.0</v>
      </c>
      <c r="AP901" s="1">
        <v>0.203784</v>
      </c>
      <c r="AQ901" s="1">
        <v>0.078818</v>
      </c>
      <c r="AR901" s="1">
        <v>0.131645</v>
      </c>
      <c r="AS901" s="1">
        <v>0.278263</v>
      </c>
      <c r="AT901" s="1">
        <v>14727.0</v>
      </c>
      <c r="AU901" s="1">
        <v>1747.0</v>
      </c>
      <c r="AV901" s="1">
        <v>0.2473</v>
      </c>
      <c r="AW901" s="1">
        <v>0.137196</v>
      </c>
      <c r="AX901" s="1">
        <v>0.20222</v>
      </c>
      <c r="AY901" s="1">
        <v>0.233941</v>
      </c>
      <c r="AZ901" s="1">
        <v>0.1</v>
      </c>
      <c r="BA901" s="1">
        <v>0.049563</v>
      </c>
      <c r="BB901" s="1">
        <v>0.0</v>
      </c>
      <c r="BC901" s="1">
        <v>0.177777</v>
      </c>
      <c r="BD901" s="1">
        <v>0.0</v>
      </c>
      <c r="BE901" s="1">
        <v>0.167517</v>
      </c>
      <c r="BF901" s="1">
        <v>0.25085</v>
      </c>
      <c r="BG901" s="1">
        <v>0.066368</v>
      </c>
      <c r="BH901" s="1">
        <v>0.044549</v>
      </c>
      <c r="BI901" s="1">
        <v>0.114644</v>
      </c>
      <c r="BJ901" s="1">
        <v>0.048341</v>
      </c>
      <c r="BK901" s="1">
        <v>0.038697</v>
      </c>
      <c r="BL901" s="1">
        <v>0.0</v>
      </c>
      <c r="BM901" s="1">
        <v>0.741</v>
      </c>
      <c r="BN901" s="1">
        <v>0.861</v>
      </c>
      <c r="BO901" s="1">
        <v>0.8866</v>
      </c>
      <c r="BP901" s="1">
        <v>0.861</v>
      </c>
      <c r="BQ901" s="1">
        <v>3.3496</v>
      </c>
      <c r="BR901" s="1">
        <v>0.8888</v>
      </c>
      <c r="BS901" s="1">
        <v>0.881</v>
      </c>
      <c r="BT901" s="1">
        <v>0.428</v>
      </c>
      <c r="BU901" s="1">
        <v>0.494</v>
      </c>
      <c r="BV901" s="1">
        <v>1.803</v>
      </c>
      <c r="BW901" s="1">
        <v>0.723</v>
      </c>
      <c r="BX901" s="1">
        <v>0.242</v>
      </c>
      <c r="BY901" s="1">
        <v>0.0</v>
      </c>
      <c r="BZ901" s="1">
        <v>0.242</v>
      </c>
      <c r="CA901" s="1">
        <v>0.105</v>
      </c>
      <c r="CB901" s="1">
        <v>0.0</v>
      </c>
      <c r="CC901" s="1">
        <v>0.951</v>
      </c>
      <c r="CD901" s="1">
        <v>0.912</v>
      </c>
      <c r="CE901" s="1">
        <v>0.474</v>
      </c>
      <c r="CF901" s="1">
        <v>0.0</v>
      </c>
      <c r="CG901" s="1">
        <v>2.337</v>
      </c>
      <c r="CH901" s="1">
        <v>0.477</v>
      </c>
      <c r="CI901" s="1">
        <v>7.7316</v>
      </c>
      <c r="CJ901" s="1">
        <v>0.6751</v>
      </c>
      <c r="CK901" s="1">
        <v>0.0</v>
      </c>
      <c r="CL901" s="1">
        <v>0.0</v>
      </c>
      <c r="CM901" s="1">
        <v>0.0</v>
      </c>
      <c r="CN901" s="1">
        <v>0.0</v>
      </c>
      <c r="CO901" s="1">
        <v>0.0</v>
      </c>
      <c r="CP901" s="1">
        <v>0.0</v>
      </c>
      <c r="CQ901" s="1">
        <v>0.0</v>
      </c>
      <c r="CR901" s="1">
        <v>0.0</v>
      </c>
      <c r="CS901" s="1">
        <v>0.0</v>
      </c>
      <c r="CT901" s="1">
        <v>0.0</v>
      </c>
      <c r="CU901" s="1">
        <v>0.0</v>
      </c>
      <c r="CV901" s="1">
        <v>0.0</v>
      </c>
      <c r="CW901" s="1">
        <v>0.0</v>
      </c>
      <c r="CX901" s="1">
        <v>1.0</v>
      </c>
      <c r="CY901" s="1">
        <v>1.0</v>
      </c>
      <c r="CZ901" s="1">
        <v>0.0</v>
      </c>
      <c r="DA901" s="1">
        <v>0.0</v>
      </c>
      <c r="DB901" s="1">
        <v>2.0</v>
      </c>
      <c r="DC901" s="1">
        <v>2.0</v>
      </c>
      <c r="DD901" s="1" t="s">
        <v>4204</v>
      </c>
      <c r="DE901" s="2" t="s">
        <v>4205</v>
      </c>
      <c r="DF901" s="1">
        <v>0.760290560728867</v>
      </c>
    </row>
    <row r="902" ht="15.75" customHeight="1">
      <c r="A902" s="1" t="s">
        <v>4206</v>
      </c>
      <c r="B902" s="1">
        <v>29.0</v>
      </c>
      <c r="C902" s="1">
        <v>183.0</v>
      </c>
      <c r="D902" s="1">
        <v>311221.0</v>
      </c>
      <c r="E902" s="1">
        <v>1.169</v>
      </c>
      <c r="F902" s="1">
        <v>29183.0</v>
      </c>
      <c r="G902" s="1">
        <v>2.9183311221E10</v>
      </c>
      <c r="H902" s="1" t="s">
        <v>112</v>
      </c>
      <c r="I902" s="1" t="s">
        <v>113</v>
      </c>
      <c r="J902" s="1" t="s">
        <v>4207</v>
      </c>
      <c r="K902" s="1" t="s">
        <v>4208</v>
      </c>
      <c r="L902" s="1">
        <v>3683.0</v>
      </c>
      <c r="M902" s="1">
        <v>3950.0</v>
      </c>
      <c r="N902" s="1">
        <v>215.0</v>
      </c>
      <c r="O902" s="1">
        <v>1411.0</v>
      </c>
      <c r="P902" s="1">
        <v>1465.0</v>
      </c>
      <c r="Q902" s="1">
        <v>52.0</v>
      </c>
      <c r="R902" s="1">
        <v>1376.0</v>
      </c>
      <c r="S902" s="1">
        <v>354.0</v>
      </c>
      <c r="T902" s="1">
        <v>181.0</v>
      </c>
      <c r="U902" s="1">
        <v>67.0</v>
      </c>
      <c r="V902" s="1">
        <v>444.0</v>
      </c>
      <c r="W902" s="1">
        <v>35648.0</v>
      </c>
      <c r="X902" s="1">
        <v>9190.0</v>
      </c>
      <c r="Y902" s="1">
        <v>214.0</v>
      </c>
      <c r="Z902" s="1">
        <v>336.0</v>
      </c>
      <c r="AA902" s="1">
        <v>416.0</v>
      </c>
      <c r="AB902" s="1">
        <v>849.0</v>
      </c>
      <c r="AC902" s="1">
        <v>114.0</v>
      </c>
      <c r="AD902" s="1">
        <v>329.0</v>
      </c>
      <c r="AE902" s="1">
        <v>0.0</v>
      </c>
      <c r="AF902" s="1">
        <v>456.0</v>
      </c>
      <c r="AG902" s="1">
        <v>45.0</v>
      </c>
      <c r="AH902" s="1">
        <v>168.0</v>
      </c>
      <c r="AI902" s="1">
        <v>0.0</v>
      </c>
      <c r="AJ902" s="1">
        <v>114.0</v>
      </c>
      <c r="AK902" s="1">
        <v>13.0</v>
      </c>
      <c r="AL902" s="1">
        <v>116.0</v>
      </c>
      <c r="AM902" s="1">
        <v>41.0</v>
      </c>
      <c r="AN902" s="1">
        <v>31.0</v>
      </c>
      <c r="AO902" s="1">
        <v>3.0</v>
      </c>
      <c r="AP902" s="1">
        <v>0.089961</v>
      </c>
      <c r="AQ902" s="1">
        <v>0.045726</v>
      </c>
      <c r="AR902" s="1">
        <v>0.030875</v>
      </c>
      <c r="AS902" s="1">
        <v>0.204582</v>
      </c>
      <c r="AT902" s="1">
        <v>35648.0</v>
      </c>
      <c r="AU902" s="1">
        <v>9190.0</v>
      </c>
      <c r="AV902" s="1">
        <v>0.084451</v>
      </c>
      <c r="AW902" s="1">
        <v>0.132508</v>
      </c>
      <c r="AX902" s="1">
        <v>0.112951</v>
      </c>
      <c r="AY902" s="1">
        <v>0.230518</v>
      </c>
      <c r="AZ902" s="1">
        <v>0.08284883</v>
      </c>
      <c r="BA902" s="1">
        <v>0.089329</v>
      </c>
      <c r="BB902" s="1">
        <v>0.0</v>
      </c>
      <c r="BC902" s="1">
        <v>0.123913</v>
      </c>
      <c r="BD902" s="1">
        <v>0.030716</v>
      </c>
      <c r="BE902" s="1">
        <v>0.11467</v>
      </c>
      <c r="BF902" s="1">
        <v>0.0</v>
      </c>
      <c r="BG902" s="1">
        <v>0.077815</v>
      </c>
      <c r="BH902" s="1">
        <v>0.009027</v>
      </c>
      <c r="BI902" s="1">
        <v>0.080554</v>
      </c>
      <c r="BJ902" s="1">
        <v>0.028472</v>
      </c>
      <c r="BK902" s="1">
        <v>0.021491</v>
      </c>
      <c r="BL902" s="1">
        <v>8.14E-4</v>
      </c>
      <c r="BM902" s="1">
        <v>0.337</v>
      </c>
      <c r="BN902" s="1">
        <v>0.094</v>
      </c>
      <c r="BO902" s="1">
        <v>0.1083</v>
      </c>
      <c r="BP902" s="1">
        <v>0.266</v>
      </c>
      <c r="BQ902" s="1">
        <v>0.8053</v>
      </c>
      <c r="BR902" s="1">
        <v>0.1588</v>
      </c>
      <c r="BS902" s="1">
        <v>0.294</v>
      </c>
      <c r="BT902" s="1">
        <v>0.39</v>
      </c>
      <c r="BU902" s="1">
        <v>0.335</v>
      </c>
      <c r="BV902" s="1">
        <v>1.019</v>
      </c>
      <c r="BW902" s="1">
        <v>0.122</v>
      </c>
      <c r="BX902" s="1">
        <v>0.425</v>
      </c>
      <c r="BY902" s="1">
        <v>0.0</v>
      </c>
      <c r="BZ902" s="1">
        <v>0.425</v>
      </c>
      <c r="CA902" s="1">
        <v>0.176</v>
      </c>
      <c r="CB902" s="1">
        <v>0.553</v>
      </c>
      <c r="CC902" s="1">
        <v>0.0</v>
      </c>
      <c r="CD902" s="1">
        <v>0.457</v>
      </c>
      <c r="CE902" s="1">
        <v>0.274</v>
      </c>
      <c r="CF902" s="1">
        <v>0.386</v>
      </c>
      <c r="CG902" s="1">
        <v>1.67</v>
      </c>
      <c r="CH902" s="1">
        <v>0.223</v>
      </c>
      <c r="CI902" s="1">
        <v>3.9193</v>
      </c>
      <c r="CJ902" s="1">
        <v>0.078</v>
      </c>
      <c r="CK902" s="1">
        <v>0.0</v>
      </c>
      <c r="CL902" s="1">
        <v>0.0</v>
      </c>
      <c r="CM902" s="1">
        <v>0.0</v>
      </c>
      <c r="CN902" s="1">
        <v>0.0</v>
      </c>
      <c r="CO902" s="1">
        <v>0.0</v>
      </c>
      <c r="CP902" s="1">
        <v>0.0</v>
      </c>
      <c r="CQ902" s="1">
        <v>0.0</v>
      </c>
      <c r="CR902" s="1">
        <v>0.0</v>
      </c>
      <c r="CS902" s="1">
        <v>0.0</v>
      </c>
      <c r="CT902" s="1">
        <v>0.0</v>
      </c>
      <c r="CU902" s="1">
        <v>0.0</v>
      </c>
      <c r="CV902" s="1">
        <v>0.0</v>
      </c>
      <c r="CW902" s="1">
        <v>0.0</v>
      </c>
      <c r="CX902" s="1">
        <v>0.0</v>
      </c>
      <c r="CY902" s="1">
        <v>0.0</v>
      </c>
      <c r="CZ902" s="1">
        <v>0.0</v>
      </c>
      <c r="DA902" s="1">
        <v>0.0</v>
      </c>
      <c r="DB902" s="1">
        <v>0.0</v>
      </c>
      <c r="DC902" s="1">
        <v>0.0</v>
      </c>
      <c r="DD902" s="1" t="s">
        <v>4209</v>
      </c>
      <c r="DE902" s="1">
        <v>3.14928310753271E-4</v>
      </c>
      <c r="DF902" s="1">
        <v>0.0888025321585397</v>
      </c>
    </row>
    <row r="903" ht="15.75" customHeight="1">
      <c r="A903" s="1" t="s">
        <v>4210</v>
      </c>
      <c r="B903" s="1">
        <v>29.0</v>
      </c>
      <c r="C903" s="1">
        <v>183.0</v>
      </c>
      <c r="D903" s="1">
        <v>311331.0</v>
      </c>
      <c r="E903" s="1">
        <v>1.254</v>
      </c>
      <c r="F903" s="1">
        <v>29183.0</v>
      </c>
      <c r="G903" s="1">
        <v>2.9183311331E10</v>
      </c>
      <c r="H903" s="1" t="s">
        <v>112</v>
      </c>
      <c r="I903" s="1" t="s">
        <v>113</v>
      </c>
      <c r="J903" s="1" t="s">
        <v>4207</v>
      </c>
      <c r="K903" s="1" t="s">
        <v>4211</v>
      </c>
      <c r="L903" s="1">
        <v>4631.0</v>
      </c>
      <c r="M903" s="1">
        <v>4726.0</v>
      </c>
      <c r="N903" s="1">
        <v>375.0</v>
      </c>
      <c r="O903" s="1">
        <v>1715.0</v>
      </c>
      <c r="P903" s="1">
        <v>1741.0</v>
      </c>
      <c r="Q903" s="1">
        <v>61.0</v>
      </c>
      <c r="R903" s="1">
        <v>1682.0</v>
      </c>
      <c r="S903" s="1">
        <v>215.0</v>
      </c>
      <c r="T903" s="1">
        <v>290.0</v>
      </c>
      <c r="U903" s="1">
        <v>104.0</v>
      </c>
      <c r="V903" s="1">
        <v>430.0</v>
      </c>
      <c r="W903" s="1">
        <v>27847.0</v>
      </c>
      <c r="X903" s="1">
        <v>2410.0</v>
      </c>
      <c r="Y903" s="1">
        <v>140.0</v>
      </c>
      <c r="Z903" s="1">
        <v>331.0</v>
      </c>
      <c r="AA903" s="1">
        <v>527.0</v>
      </c>
      <c r="AB903" s="1">
        <v>1087.0</v>
      </c>
      <c r="AC903" s="1">
        <v>137.0</v>
      </c>
      <c r="AD903" s="1">
        <v>354.0</v>
      </c>
      <c r="AE903" s="1">
        <v>11.0</v>
      </c>
      <c r="AF903" s="1">
        <v>442.0</v>
      </c>
      <c r="AG903" s="1">
        <v>0.0</v>
      </c>
      <c r="AH903" s="1">
        <v>197.0</v>
      </c>
      <c r="AI903" s="1">
        <v>0.0</v>
      </c>
      <c r="AJ903" s="1">
        <v>114.0</v>
      </c>
      <c r="AK903" s="1">
        <v>52.0</v>
      </c>
      <c r="AL903" s="1">
        <v>130.0</v>
      </c>
      <c r="AM903" s="1">
        <v>40.0</v>
      </c>
      <c r="AN903" s="1">
        <v>120.0</v>
      </c>
      <c r="AO903" s="1">
        <v>0.0</v>
      </c>
      <c r="AP903" s="1">
        <v>0.045493</v>
      </c>
      <c r="AQ903" s="1">
        <v>0.061256</v>
      </c>
      <c r="AR903" s="1">
        <v>0.038995</v>
      </c>
      <c r="AS903" s="1">
        <v>0.161175</v>
      </c>
      <c r="AT903" s="1">
        <v>27847.0</v>
      </c>
      <c r="AU903" s="1">
        <v>2410.0</v>
      </c>
      <c r="AV903" s="1">
        <v>0.045336</v>
      </c>
      <c r="AW903" s="1">
        <v>0.10715</v>
      </c>
      <c r="AX903" s="1">
        <v>0.113798</v>
      </c>
      <c r="AY903" s="1">
        <v>0.234722</v>
      </c>
      <c r="AZ903" s="1">
        <v>0.08145065</v>
      </c>
      <c r="BA903" s="1">
        <v>0.076441</v>
      </c>
      <c r="BB903" s="1">
        <v>0.002496</v>
      </c>
      <c r="BC903" s="1">
        <v>0.100294</v>
      </c>
      <c r="BD903" s="1">
        <v>0.0</v>
      </c>
      <c r="BE903" s="1">
        <v>0.113153</v>
      </c>
      <c r="BF903" s="1">
        <v>0.0</v>
      </c>
      <c r="BG903" s="1">
        <v>0.065479</v>
      </c>
      <c r="BH903" s="1">
        <v>0.03254</v>
      </c>
      <c r="BI903" s="1">
        <v>0.081326</v>
      </c>
      <c r="BJ903" s="1">
        <v>0.025031</v>
      </c>
      <c r="BK903" s="1">
        <v>0.075077</v>
      </c>
      <c r="BL903" s="1">
        <v>0.0</v>
      </c>
      <c r="BM903" s="1">
        <v>0.145</v>
      </c>
      <c r="BN903" s="1">
        <v>0.174</v>
      </c>
      <c r="BO903" s="1">
        <v>0.257</v>
      </c>
      <c r="BP903" s="1">
        <v>0.113</v>
      </c>
      <c r="BQ903" s="1">
        <v>0.689</v>
      </c>
      <c r="BR903" s="1">
        <v>0.1206</v>
      </c>
      <c r="BS903" s="1">
        <v>0.301</v>
      </c>
      <c r="BT903" s="1">
        <v>0.435</v>
      </c>
      <c r="BU903" s="1">
        <v>0.32</v>
      </c>
      <c r="BV903" s="1">
        <v>1.056</v>
      </c>
      <c r="BW903" s="1">
        <v>0.138</v>
      </c>
      <c r="BX903" s="1">
        <v>0.384</v>
      </c>
      <c r="BY903" s="1">
        <v>0.414</v>
      </c>
      <c r="BZ903" s="1">
        <v>0.798</v>
      </c>
      <c r="CA903" s="1">
        <v>0.399</v>
      </c>
      <c r="CB903" s="1">
        <v>0.0</v>
      </c>
      <c r="CC903" s="1">
        <v>0.0</v>
      </c>
      <c r="CD903" s="1">
        <v>0.837</v>
      </c>
      <c r="CE903" s="1">
        <v>0.238</v>
      </c>
      <c r="CF903" s="1">
        <v>0.0</v>
      </c>
      <c r="CG903" s="1">
        <v>1.075</v>
      </c>
      <c r="CH903" s="1">
        <v>0.089</v>
      </c>
      <c r="CI903" s="1">
        <v>3.618</v>
      </c>
      <c r="CJ903" s="1">
        <v>0.0491</v>
      </c>
      <c r="CK903" s="1">
        <v>0.0</v>
      </c>
      <c r="CL903" s="1">
        <v>0.0</v>
      </c>
      <c r="CM903" s="1">
        <v>0.0</v>
      </c>
      <c r="CN903" s="1">
        <v>0.0</v>
      </c>
      <c r="CO903" s="1">
        <v>0.0</v>
      </c>
      <c r="CP903" s="1">
        <v>0.0</v>
      </c>
      <c r="CQ903" s="1">
        <v>0.0</v>
      </c>
      <c r="CR903" s="1">
        <v>0.0</v>
      </c>
      <c r="CS903" s="1">
        <v>0.0</v>
      </c>
      <c r="CT903" s="1">
        <v>0.0</v>
      </c>
      <c r="CU903" s="1">
        <v>0.0</v>
      </c>
      <c r="CV903" s="1">
        <v>0.0</v>
      </c>
      <c r="CW903" s="1">
        <v>0.0</v>
      </c>
      <c r="CX903" s="1">
        <v>0.0</v>
      </c>
      <c r="CY903" s="1">
        <v>0.0</v>
      </c>
      <c r="CZ903" s="1">
        <v>0.0</v>
      </c>
      <c r="DA903" s="1">
        <v>0.0</v>
      </c>
      <c r="DB903" s="1">
        <v>0.0</v>
      </c>
      <c r="DC903" s="1">
        <v>0.0</v>
      </c>
      <c r="DD903" s="1" t="s">
        <v>4212</v>
      </c>
      <c r="DE903" s="1">
        <v>3.35545116335587E-4</v>
      </c>
      <c r="DF903" s="1">
        <v>0.0713613068333109</v>
      </c>
    </row>
    <row r="904" ht="15.75" customHeight="1">
      <c r="A904" s="1" t="s">
        <v>4213</v>
      </c>
      <c r="B904" s="1">
        <v>29.0</v>
      </c>
      <c r="C904" s="1">
        <v>183.0</v>
      </c>
      <c r="D904" s="1">
        <v>310901.0</v>
      </c>
      <c r="E904" s="1">
        <v>0.641</v>
      </c>
      <c r="F904" s="1">
        <v>29183.0</v>
      </c>
      <c r="G904" s="1">
        <v>2.9183310901E10</v>
      </c>
      <c r="H904" s="1" t="s">
        <v>112</v>
      </c>
      <c r="I904" s="1" t="s">
        <v>113</v>
      </c>
      <c r="J904" s="1" t="s">
        <v>4207</v>
      </c>
      <c r="K904" s="1" t="s">
        <v>4214</v>
      </c>
      <c r="L904" s="1">
        <v>2263.0</v>
      </c>
      <c r="M904" s="1">
        <v>2536.0</v>
      </c>
      <c r="N904" s="1">
        <v>173.0</v>
      </c>
      <c r="O904" s="1">
        <v>1147.0</v>
      </c>
      <c r="P904" s="1">
        <v>1195.0</v>
      </c>
      <c r="Q904" s="1">
        <v>48.0</v>
      </c>
      <c r="R904" s="1">
        <v>1083.0</v>
      </c>
      <c r="S904" s="1">
        <v>523.0</v>
      </c>
      <c r="T904" s="1">
        <v>282.0</v>
      </c>
      <c r="U904" s="1">
        <v>40.0</v>
      </c>
      <c r="V904" s="1">
        <v>443.0</v>
      </c>
      <c r="W904" s="1">
        <v>27938.0</v>
      </c>
      <c r="X904" s="1">
        <v>4167.0</v>
      </c>
      <c r="Y904" s="1">
        <v>266.0</v>
      </c>
      <c r="Z904" s="1">
        <v>328.0</v>
      </c>
      <c r="AA904" s="1">
        <v>366.0</v>
      </c>
      <c r="AB904" s="1">
        <v>471.0</v>
      </c>
      <c r="AC904" s="1">
        <v>147.0</v>
      </c>
      <c r="AD904" s="1">
        <v>434.0</v>
      </c>
      <c r="AE904" s="1">
        <v>0.0</v>
      </c>
      <c r="AF904" s="1">
        <v>456.0</v>
      </c>
      <c r="AG904" s="1">
        <v>80.0</v>
      </c>
      <c r="AH904" s="1">
        <v>123.0</v>
      </c>
      <c r="AI904" s="1">
        <v>0.0</v>
      </c>
      <c r="AJ904" s="1">
        <v>114.0</v>
      </c>
      <c r="AK904" s="1">
        <v>0.0</v>
      </c>
      <c r="AL904" s="1">
        <v>161.0</v>
      </c>
      <c r="AM904" s="1">
        <v>42.0</v>
      </c>
      <c r="AN904" s="1">
        <v>33.0</v>
      </c>
      <c r="AO904" s="1">
        <v>0.0</v>
      </c>
      <c r="AP904" s="1">
        <v>0.20623</v>
      </c>
      <c r="AQ904" s="1">
        <v>0.110305</v>
      </c>
      <c r="AR904" s="1">
        <v>0.027118</v>
      </c>
      <c r="AS904" s="1">
        <v>0.300272</v>
      </c>
      <c r="AT904" s="1">
        <v>27938.0</v>
      </c>
      <c r="AU904" s="1">
        <v>4167.0</v>
      </c>
      <c r="AV904" s="1">
        <v>0.157117</v>
      </c>
      <c r="AW904" s="1">
        <v>0.193444</v>
      </c>
      <c r="AX904" s="1">
        <v>0.161732</v>
      </c>
      <c r="AY904" s="1">
        <v>0.20813</v>
      </c>
      <c r="AZ904" s="1">
        <v>0.13573407</v>
      </c>
      <c r="BA904" s="1">
        <v>0.19178</v>
      </c>
      <c r="BB904" s="1">
        <v>0.0</v>
      </c>
      <c r="BC904" s="1">
        <v>0.191757</v>
      </c>
      <c r="BD904" s="1">
        <v>0.066945</v>
      </c>
      <c r="BE904" s="1">
        <v>0.102893</v>
      </c>
      <c r="BF904" s="1">
        <v>0.0</v>
      </c>
      <c r="BG904" s="1">
        <v>0.095397</v>
      </c>
      <c r="BH904" s="1">
        <v>0.0</v>
      </c>
      <c r="BI904" s="1">
        <v>0.134728</v>
      </c>
      <c r="BJ904" s="1">
        <v>0.035146</v>
      </c>
      <c r="BK904" s="1">
        <v>0.027578</v>
      </c>
      <c r="BL904" s="1">
        <v>0.0</v>
      </c>
      <c r="BM904" s="1">
        <v>0.746</v>
      </c>
      <c r="BN904" s="1">
        <v>0.066</v>
      </c>
      <c r="BO904" s="1">
        <v>0.2491</v>
      </c>
      <c r="BP904" s="1">
        <v>0.597</v>
      </c>
      <c r="BQ904" s="1">
        <v>1.6581</v>
      </c>
      <c r="BR904" s="1">
        <v>0.3899</v>
      </c>
      <c r="BS904" s="1">
        <v>0.679</v>
      </c>
      <c r="BT904" s="1">
        <v>0.226</v>
      </c>
      <c r="BU904" s="1">
        <v>0.743</v>
      </c>
      <c r="BV904" s="1">
        <v>1.648</v>
      </c>
      <c r="BW904" s="1">
        <v>0.602</v>
      </c>
      <c r="BX904" s="1">
        <v>0.7</v>
      </c>
      <c r="BY904" s="1">
        <v>0.0</v>
      </c>
      <c r="BZ904" s="1">
        <v>0.7</v>
      </c>
      <c r="CA904" s="1">
        <v>0.337</v>
      </c>
      <c r="CB904" s="1">
        <v>0.709</v>
      </c>
      <c r="CC904" s="1">
        <v>0.0</v>
      </c>
      <c r="CD904" s="1">
        <v>0.0</v>
      </c>
      <c r="CE904" s="1">
        <v>0.338</v>
      </c>
      <c r="CF904" s="1">
        <v>0.0</v>
      </c>
      <c r="CG904" s="1">
        <v>1.047</v>
      </c>
      <c r="CH904" s="1">
        <v>0.084</v>
      </c>
      <c r="CI904" s="1">
        <v>5.0531</v>
      </c>
      <c r="CJ904" s="1">
        <v>0.2108</v>
      </c>
      <c r="CK904" s="1">
        <v>0.0</v>
      </c>
      <c r="CL904" s="1">
        <v>0.0</v>
      </c>
      <c r="CM904" s="1">
        <v>0.0</v>
      </c>
      <c r="CN904" s="1">
        <v>0.0</v>
      </c>
      <c r="CO904" s="1">
        <v>0.0</v>
      </c>
      <c r="CP904" s="1">
        <v>0.0</v>
      </c>
      <c r="CQ904" s="1">
        <v>0.0</v>
      </c>
      <c r="CR904" s="1">
        <v>0.0</v>
      </c>
      <c r="CS904" s="1">
        <v>0.0</v>
      </c>
      <c r="CT904" s="1">
        <v>0.0</v>
      </c>
      <c r="CU904" s="1">
        <v>0.0</v>
      </c>
      <c r="CV904" s="1">
        <v>0.0</v>
      </c>
      <c r="CW904" s="1">
        <v>0.0</v>
      </c>
      <c r="CX904" s="1">
        <v>0.0</v>
      </c>
      <c r="CY904" s="1">
        <v>0.0</v>
      </c>
      <c r="CZ904" s="1">
        <v>0.0</v>
      </c>
      <c r="DA904" s="1">
        <v>0.0</v>
      </c>
      <c r="DB904" s="1">
        <v>0.0</v>
      </c>
      <c r="DC904" s="1">
        <v>0.0</v>
      </c>
      <c r="DD904" s="1" t="s">
        <v>4215</v>
      </c>
      <c r="DE904" s="1">
        <v>1.72038864054544E-4</v>
      </c>
      <c r="DF904" s="1">
        <v>0.058862892213517</v>
      </c>
    </row>
    <row r="905" ht="15.75" customHeight="1">
      <c r="A905" s="1" t="s">
        <v>4216</v>
      </c>
      <c r="B905" s="1">
        <v>29.0</v>
      </c>
      <c r="C905" s="1">
        <v>183.0</v>
      </c>
      <c r="D905" s="1">
        <v>310902.0</v>
      </c>
      <c r="E905" s="1">
        <v>1.556</v>
      </c>
      <c r="F905" s="1">
        <v>29183.0</v>
      </c>
      <c r="G905" s="1">
        <v>2.9183310902E10</v>
      </c>
      <c r="H905" s="1" t="s">
        <v>112</v>
      </c>
      <c r="I905" s="1" t="s">
        <v>113</v>
      </c>
      <c r="J905" s="1" t="s">
        <v>4207</v>
      </c>
      <c r="K905" s="1" t="s">
        <v>4217</v>
      </c>
      <c r="L905" s="1">
        <v>5144.0</v>
      </c>
      <c r="M905" s="1">
        <v>5549.0</v>
      </c>
      <c r="N905" s="1">
        <v>486.0</v>
      </c>
      <c r="O905" s="1">
        <v>2327.0</v>
      </c>
      <c r="P905" s="1">
        <v>2377.0</v>
      </c>
      <c r="Q905" s="1">
        <v>125.0</v>
      </c>
      <c r="R905" s="1">
        <v>2219.0</v>
      </c>
      <c r="S905" s="1">
        <v>468.0</v>
      </c>
      <c r="T905" s="1">
        <v>304.0</v>
      </c>
      <c r="U905" s="1">
        <v>213.0</v>
      </c>
      <c r="V905" s="1">
        <v>400.0</v>
      </c>
      <c r="W905" s="1">
        <v>28687.0</v>
      </c>
      <c r="X905" s="1">
        <v>3216.0</v>
      </c>
      <c r="Y905" s="1">
        <v>357.0</v>
      </c>
      <c r="Z905" s="1">
        <v>321.0</v>
      </c>
      <c r="AA905" s="1">
        <v>615.0</v>
      </c>
      <c r="AB905" s="1">
        <v>1067.0</v>
      </c>
      <c r="AC905" s="1">
        <v>227.0</v>
      </c>
      <c r="AD905" s="1">
        <v>709.0</v>
      </c>
      <c r="AE905" s="1">
        <v>62.0</v>
      </c>
      <c r="AF905" s="1">
        <v>436.0</v>
      </c>
      <c r="AG905" s="1">
        <v>389.0</v>
      </c>
      <c r="AH905" s="1">
        <v>171.0</v>
      </c>
      <c r="AI905" s="1">
        <v>527.0</v>
      </c>
      <c r="AJ905" s="1">
        <v>114.0</v>
      </c>
      <c r="AK905" s="1">
        <v>78.0</v>
      </c>
      <c r="AL905" s="1">
        <v>133.0</v>
      </c>
      <c r="AM905" s="1">
        <v>53.0</v>
      </c>
      <c r="AN905" s="1">
        <v>72.0</v>
      </c>
      <c r="AO905" s="1">
        <v>23.0</v>
      </c>
      <c r="AP905" s="1">
        <v>0.085557</v>
      </c>
      <c r="AQ905" s="1">
        <v>0.055081</v>
      </c>
      <c r="AR905" s="1">
        <v>0.064939</v>
      </c>
      <c r="AS905" s="1">
        <v>0.121707</v>
      </c>
      <c r="AT905" s="1">
        <v>28687.0</v>
      </c>
      <c r="AU905" s="1">
        <v>3216.0</v>
      </c>
      <c r="AV905" s="1">
        <v>0.096538</v>
      </c>
      <c r="AW905" s="1">
        <v>0.086604</v>
      </c>
      <c r="AX905" s="1">
        <v>0.119556</v>
      </c>
      <c r="AY905" s="1">
        <v>0.207426</v>
      </c>
      <c r="AZ905" s="1">
        <v>0.10229833</v>
      </c>
      <c r="BA905" s="1">
        <v>0.13783</v>
      </c>
      <c r="BB905" s="1">
        <v>0.0119</v>
      </c>
      <c r="BC905" s="1">
        <v>0.083678</v>
      </c>
      <c r="BD905" s="1">
        <v>0.163651</v>
      </c>
      <c r="BE905" s="1">
        <v>0.071422</v>
      </c>
      <c r="BF905" s="1">
        <v>0.221708</v>
      </c>
      <c r="BG905" s="1">
        <v>0.04652</v>
      </c>
      <c r="BH905" s="1">
        <v>0.034376</v>
      </c>
      <c r="BI905" s="1">
        <v>0.058574</v>
      </c>
      <c r="BJ905" s="1">
        <v>0.023358</v>
      </c>
      <c r="BK905" s="1">
        <v>0.031696</v>
      </c>
      <c r="BL905" s="1">
        <v>0.004471</v>
      </c>
      <c r="BM905" s="1">
        <v>0.318</v>
      </c>
      <c r="BN905" s="1">
        <v>0.469</v>
      </c>
      <c r="BO905" s="1">
        <v>0.2296</v>
      </c>
      <c r="BP905" s="1">
        <v>0.321</v>
      </c>
      <c r="BQ905" s="1">
        <v>1.3376</v>
      </c>
      <c r="BR905" s="1">
        <v>0.291</v>
      </c>
      <c r="BS905" s="1">
        <v>0.341</v>
      </c>
      <c r="BT905" s="1">
        <v>0.223</v>
      </c>
      <c r="BU905" s="1">
        <v>0.512</v>
      </c>
      <c r="BV905" s="1">
        <v>1.076</v>
      </c>
      <c r="BW905" s="1">
        <v>0.15</v>
      </c>
      <c r="BX905" s="1">
        <v>0.583</v>
      </c>
      <c r="BY905" s="1">
        <v>0.767</v>
      </c>
      <c r="BZ905" s="1">
        <v>1.35</v>
      </c>
      <c r="CA905" s="1">
        <v>0.737</v>
      </c>
      <c r="CB905" s="1">
        <v>0.857</v>
      </c>
      <c r="CC905" s="1">
        <v>0.923</v>
      </c>
      <c r="CD905" s="1">
        <v>0.855</v>
      </c>
      <c r="CE905" s="1">
        <v>0.222</v>
      </c>
      <c r="CF905" s="1">
        <v>0.502</v>
      </c>
      <c r="CG905" s="1">
        <v>3.359</v>
      </c>
      <c r="CH905" s="1">
        <v>0.897</v>
      </c>
      <c r="CI905" s="1">
        <v>7.1226</v>
      </c>
      <c r="CJ905" s="1">
        <v>0.5747</v>
      </c>
      <c r="CK905" s="1">
        <v>0.0</v>
      </c>
      <c r="CL905" s="1">
        <v>0.0</v>
      </c>
      <c r="CM905" s="1">
        <v>0.0</v>
      </c>
      <c r="CN905" s="1">
        <v>0.0</v>
      </c>
      <c r="CO905" s="1">
        <v>0.0</v>
      </c>
      <c r="CP905" s="1">
        <v>0.0</v>
      </c>
      <c r="CQ905" s="1">
        <v>0.0</v>
      </c>
      <c r="CR905" s="1">
        <v>0.0</v>
      </c>
      <c r="CS905" s="1">
        <v>0.0</v>
      </c>
      <c r="CT905" s="1">
        <v>0.0</v>
      </c>
      <c r="CU905" s="1">
        <v>0.0</v>
      </c>
      <c r="CV905" s="1">
        <v>0.0</v>
      </c>
      <c r="CW905" s="1">
        <v>0.0</v>
      </c>
      <c r="CX905" s="1">
        <v>1.0</v>
      </c>
      <c r="CY905" s="1">
        <v>0.0</v>
      </c>
      <c r="CZ905" s="1">
        <v>0.0</v>
      </c>
      <c r="DA905" s="1">
        <v>0.0</v>
      </c>
      <c r="DB905" s="1">
        <v>1.0</v>
      </c>
      <c r="DC905" s="1">
        <v>1.0</v>
      </c>
      <c r="DD905" s="1" t="s">
        <v>4218</v>
      </c>
      <c r="DE905" s="1">
        <v>4.17606955308684E-4</v>
      </c>
      <c r="DF905" s="1">
        <v>0.0872152620517846</v>
      </c>
    </row>
    <row r="906" ht="15.75" customHeight="1">
      <c r="A906" s="1" t="s">
        <v>4219</v>
      </c>
      <c r="B906" s="1">
        <v>29.0</v>
      </c>
      <c r="C906" s="1">
        <v>183.0</v>
      </c>
      <c r="D906" s="1">
        <v>310903.0</v>
      </c>
      <c r="E906" s="1">
        <v>0.954</v>
      </c>
      <c r="F906" s="1">
        <v>29183.0</v>
      </c>
      <c r="G906" s="1">
        <v>2.9183310903E10</v>
      </c>
      <c r="H906" s="1" t="s">
        <v>112</v>
      </c>
      <c r="I906" s="1" t="s">
        <v>113</v>
      </c>
      <c r="J906" s="1" t="s">
        <v>4207</v>
      </c>
      <c r="K906" s="1" t="s">
        <v>4220</v>
      </c>
      <c r="L906" s="1">
        <v>4086.0</v>
      </c>
      <c r="M906" s="1">
        <v>4305.0</v>
      </c>
      <c r="N906" s="1">
        <v>254.0</v>
      </c>
      <c r="O906" s="1">
        <v>1801.0</v>
      </c>
      <c r="P906" s="1">
        <v>1879.0</v>
      </c>
      <c r="Q906" s="1">
        <v>83.0</v>
      </c>
      <c r="R906" s="1">
        <v>1753.0</v>
      </c>
      <c r="S906" s="1">
        <v>187.0</v>
      </c>
      <c r="T906" s="1">
        <v>121.0</v>
      </c>
      <c r="U906" s="1">
        <v>152.0</v>
      </c>
      <c r="V906" s="1">
        <v>367.0</v>
      </c>
      <c r="W906" s="1">
        <v>35228.0</v>
      </c>
      <c r="X906" s="1">
        <v>3978.0</v>
      </c>
      <c r="Y906" s="1">
        <v>95.0</v>
      </c>
      <c r="Z906" s="1">
        <v>346.0</v>
      </c>
      <c r="AA906" s="1">
        <v>412.0</v>
      </c>
      <c r="AB906" s="1">
        <v>829.0</v>
      </c>
      <c r="AC906" s="1">
        <v>146.0</v>
      </c>
      <c r="AD906" s="1">
        <v>468.0</v>
      </c>
      <c r="AE906" s="1">
        <v>0.0</v>
      </c>
      <c r="AF906" s="1">
        <v>456.0</v>
      </c>
      <c r="AG906" s="1">
        <v>541.0</v>
      </c>
      <c r="AH906" s="1">
        <v>128.0</v>
      </c>
      <c r="AI906" s="1">
        <v>10.0</v>
      </c>
      <c r="AJ906" s="1">
        <v>15.0</v>
      </c>
      <c r="AK906" s="1">
        <v>12.0</v>
      </c>
      <c r="AL906" s="1">
        <v>116.0</v>
      </c>
      <c r="AM906" s="1">
        <v>59.0</v>
      </c>
      <c r="AN906" s="1">
        <v>42.0</v>
      </c>
      <c r="AO906" s="1">
        <v>6.0</v>
      </c>
      <c r="AP906" s="1">
        <v>0.043437</v>
      </c>
      <c r="AQ906" s="1">
        <v>0.027989</v>
      </c>
      <c r="AR906" s="1">
        <v>0.055698</v>
      </c>
      <c r="AS906" s="1">
        <v>0.134339</v>
      </c>
      <c r="AT906" s="1">
        <v>35228.0</v>
      </c>
      <c r="AU906" s="1">
        <v>3978.0</v>
      </c>
      <c r="AV906" s="1">
        <v>0.034221</v>
      </c>
      <c r="AW906" s="1">
        <v>0.124613</v>
      </c>
      <c r="AX906" s="1">
        <v>0.100832</v>
      </c>
      <c r="AY906" s="1">
        <v>0.202887</v>
      </c>
      <c r="AZ906" s="1">
        <v>0.08328579</v>
      </c>
      <c r="BA906" s="1">
        <v>0.114537</v>
      </c>
      <c r="BB906" s="1">
        <v>0.0</v>
      </c>
      <c r="BC906" s="1">
        <v>0.110411</v>
      </c>
      <c r="BD906" s="1">
        <v>0.287919</v>
      </c>
      <c r="BE906" s="1">
        <v>0.066923</v>
      </c>
      <c r="BF906" s="1">
        <v>0.005321</v>
      </c>
      <c r="BG906" s="1">
        <v>0.007979</v>
      </c>
      <c r="BH906" s="1">
        <v>0.006655</v>
      </c>
      <c r="BI906" s="1">
        <v>0.064335</v>
      </c>
      <c r="BJ906" s="1">
        <v>0.032723</v>
      </c>
      <c r="BK906" s="1">
        <v>0.0232</v>
      </c>
      <c r="BL906" s="1">
        <v>0.001468</v>
      </c>
      <c r="BM906" s="1">
        <v>0.138</v>
      </c>
      <c r="BN906" s="1">
        <v>0.359</v>
      </c>
      <c r="BO906" s="1">
        <v>0.1126</v>
      </c>
      <c r="BP906" s="1">
        <v>0.079</v>
      </c>
      <c r="BQ906" s="1">
        <v>0.6886</v>
      </c>
      <c r="BR906" s="1">
        <v>0.1199</v>
      </c>
      <c r="BS906" s="1">
        <v>0.215</v>
      </c>
      <c r="BT906" s="1">
        <v>0.198</v>
      </c>
      <c r="BU906" s="1">
        <v>0.342</v>
      </c>
      <c r="BV906" s="1">
        <v>0.755</v>
      </c>
      <c r="BW906" s="1">
        <v>0.069</v>
      </c>
      <c r="BX906" s="1">
        <v>0.519</v>
      </c>
      <c r="BY906" s="1">
        <v>0.0</v>
      </c>
      <c r="BZ906" s="1">
        <v>0.519</v>
      </c>
      <c r="CA906" s="1">
        <v>0.218</v>
      </c>
      <c r="CB906" s="1">
        <v>0.938</v>
      </c>
      <c r="CC906" s="1">
        <v>0.402</v>
      </c>
      <c r="CD906" s="1">
        <v>0.38</v>
      </c>
      <c r="CE906" s="1">
        <v>0.31</v>
      </c>
      <c r="CF906" s="1">
        <v>0.423</v>
      </c>
      <c r="CG906" s="1">
        <v>2.453</v>
      </c>
      <c r="CH906" s="1">
        <v>0.54</v>
      </c>
      <c r="CI906" s="1">
        <v>4.4156</v>
      </c>
      <c r="CJ906" s="1">
        <v>0.1249</v>
      </c>
      <c r="CK906" s="1">
        <v>0.0</v>
      </c>
      <c r="CL906" s="1">
        <v>0.0</v>
      </c>
      <c r="CM906" s="1">
        <v>0.0</v>
      </c>
      <c r="CN906" s="1">
        <v>0.0</v>
      </c>
      <c r="CO906" s="1">
        <v>0.0</v>
      </c>
      <c r="CP906" s="1">
        <v>0.0</v>
      </c>
      <c r="CQ906" s="1">
        <v>0.0</v>
      </c>
      <c r="CR906" s="1">
        <v>0.0</v>
      </c>
      <c r="CS906" s="1">
        <v>0.0</v>
      </c>
      <c r="CT906" s="1">
        <v>0.0</v>
      </c>
      <c r="CU906" s="1">
        <v>0.0</v>
      </c>
      <c r="CV906" s="1">
        <v>0.0</v>
      </c>
      <c r="CW906" s="1">
        <v>1.0</v>
      </c>
      <c r="CX906" s="1">
        <v>0.0</v>
      </c>
      <c r="CY906" s="1">
        <v>0.0</v>
      </c>
      <c r="CZ906" s="1">
        <v>0.0</v>
      </c>
      <c r="DA906" s="1">
        <v>0.0</v>
      </c>
      <c r="DB906" s="1">
        <v>1.0</v>
      </c>
      <c r="DC906" s="1">
        <v>1.0</v>
      </c>
      <c r="DD906" s="1" t="s">
        <v>4221</v>
      </c>
      <c r="DE906" s="1">
        <v>2.54567176928934E-4</v>
      </c>
      <c r="DF906" s="1">
        <v>0.0785371801138647</v>
      </c>
    </row>
    <row r="907" ht="15.75" customHeight="1">
      <c r="A907" s="1" t="s">
        <v>4222</v>
      </c>
      <c r="B907" s="1">
        <v>29.0</v>
      </c>
      <c r="C907" s="1">
        <v>183.0</v>
      </c>
      <c r="D907" s="1">
        <v>310201.0</v>
      </c>
      <c r="E907" s="1">
        <v>2.159</v>
      </c>
      <c r="F907" s="1">
        <v>29183.0</v>
      </c>
      <c r="G907" s="1">
        <v>2.9183310201E10</v>
      </c>
      <c r="H907" s="1" t="s">
        <v>112</v>
      </c>
      <c r="I907" s="1" t="s">
        <v>113</v>
      </c>
      <c r="J907" s="1" t="s">
        <v>4207</v>
      </c>
      <c r="K907" s="1" t="s">
        <v>4223</v>
      </c>
      <c r="L907" s="1">
        <v>2679.0</v>
      </c>
      <c r="M907" s="1">
        <v>2031.0</v>
      </c>
      <c r="N907" s="1">
        <v>343.0</v>
      </c>
      <c r="O907" s="1">
        <v>1298.0</v>
      </c>
      <c r="P907" s="1">
        <v>913.0</v>
      </c>
      <c r="Q907" s="1">
        <v>104.0</v>
      </c>
      <c r="R907" s="1">
        <v>1131.0</v>
      </c>
      <c r="S907" s="1">
        <v>0.0</v>
      </c>
      <c r="T907" s="1">
        <v>161.0</v>
      </c>
      <c r="U907" s="1">
        <v>68.0</v>
      </c>
      <c r="V907" s="1">
        <v>474.0</v>
      </c>
      <c r="W907" s="1">
        <v>35497.0</v>
      </c>
      <c r="X907" s="1">
        <v>6258.0</v>
      </c>
      <c r="Y907" s="1">
        <v>51.0</v>
      </c>
      <c r="Z907" s="1">
        <v>413.0</v>
      </c>
      <c r="AA907" s="1">
        <v>139.0</v>
      </c>
      <c r="AB907" s="1">
        <v>691.0</v>
      </c>
      <c r="AC907" s="1">
        <v>102.0</v>
      </c>
      <c r="AD907" s="1">
        <v>233.0</v>
      </c>
      <c r="AE907" s="1">
        <v>12.0</v>
      </c>
      <c r="AF907" s="1">
        <v>442.0</v>
      </c>
      <c r="AG907" s="1">
        <v>0.0</v>
      </c>
      <c r="AH907" s="1">
        <v>197.0</v>
      </c>
      <c r="AI907" s="1">
        <v>0.0</v>
      </c>
      <c r="AJ907" s="1">
        <v>114.0</v>
      </c>
      <c r="AK907" s="1">
        <v>12.0</v>
      </c>
      <c r="AL907" s="1">
        <v>116.0</v>
      </c>
      <c r="AM907" s="1">
        <v>42.0</v>
      </c>
      <c r="AN907" s="1">
        <v>127.0</v>
      </c>
      <c r="AO907" s="1">
        <v>0.0</v>
      </c>
      <c r="AP907" s="1">
        <v>0.0</v>
      </c>
      <c r="AQ907" s="1">
        <v>0.079271</v>
      </c>
      <c r="AR907" s="1">
        <v>0.058671</v>
      </c>
      <c r="AS907" s="1">
        <v>0.408534</v>
      </c>
      <c r="AT907" s="1">
        <v>35497.0</v>
      </c>
      <c r="AU907" s="1">
        <v>6258.0</v>
      </c>
      <c r="AV907" s="1">
        <v>0.037749</v>
      </c>
      <c r="AW907" s="1">
        <v>0.30565</v>
      </c>
      <c r="AX907" s="1">
        <v>0.051885</v>
      </c>
      <c r="AY907" s="1">
        <v>0.257932</v>
      </c>
      <c r="AZ907" s="1">
        <v>0.09018567</v>
      </c>
      <c r="BA907" s="1">
        <v>0.086972</v>
      </c>
      <c r="BB907" s="1">
        <v>0.006956</v>
      </c>
      <c r="BC907" s="1">
        <v>0.256229</v>
      </c>
      <c r="BD907" s="1">
        <v>0.0</v>
      </c>
      <c r="BE907" s="1">
        <v>0.215772</v>
      </c>
      <c r="BF907" s="1">
        <v>0.0</v>
      </c>
      <c r="BG907" s="1">
        <v>0.124863</v>
      </c>
      <c r="BH907" s="1">
        <v>0.015018</v>
      </c>
      <c r="BI907" s="1">
        <v>0.14517</v>
      </c>
      <c r="BJ907" s="1">
        <v>0.052565</v>
      </c>
      <c r="BK907" s="1">
        <v>0.15882</v>
      </c>
      <c r="BL907" s="1">
        <v>0.0</v>
      </c>
      <c r="BM907" s="1">
        <v>0.0</v>
      </c>
      <c r="BN907" s="1">
        <v>0.4</v>
      </c>
      <c r="BO907" s="1">
        <v>0.1112</v>
      </c>
      <c r="BP907" s="1">
        <v>0.089</v>
      </c>
      <c r="BQ907" s="1">
        <v>0.6002</v>
      </c>
      <c r="BR907" s="1">
        <v>0.0946</v>
      </c>
      <c r="BS907" s="1">
        <v>0.025</v>
      </c>
      <c r="BT907" s="1">
        <v>0.684</v>
      </c>
      <c r="BU907" s="1">
        <v>0.404</v>
      </c>
      <c r="BV907" s="1">
        <v>1.113</v>
      </c>
      <c r="BW907" s="1">
        <v>0.175</v>
      </c>
      <c r="BX907" s="1">
        <v>0.42</v>
      </c>
      <c r="BY907" s="1">
        <v>0.63</v>
      </c>
      <c r="BZ907" s="1">
        <v>1.05</v>
      </c>
      <c r="CA907" s="1">
        <v>0.584</v>
      </c>
      <c r="CB907" s="1">
        <v>0.0</v>
      </c>
      <c r="CC907" s="1">
        <v>0.0</v>
      </c>
      <c r="CD907" s="1">
        <v>0.597</v>
      </c>
      <c r="CE907" s="1">
        <v>0.509</v>
      </c>
      <c r="CF907" s="1">
        <v>0.0</v>
      </c>
      <c r="CG907" s="1">
        <v>1.106</v>
      </c>
      <c r="CH907" s="1">
        <v>0.094</v>
      </c>
      <c r="CI907" s="1">
        <v>3.8692</v>
      </c>
      <c r="CJ907" s="1">
        <v>0.0729</v>
      </c>
      <c r="CK907" s="1">
        <v>0.0</v>
      </c>
      <c r="CL907" s="1">
        <v>0.0</v>
      </c>
      <c r="CM907" s="1">
        <v>0.0</v>
      </c>
      <c r="CN907" s="1">
        <v>0.0</v>
      </c>
      <c r="CO907" s="1">
        <v>0.0</v>
      </c>
      <c r="CP907" s="1">
        <v>0.0</v>
      </c>
      <c r="CQ907" s="1">
        <v>0.0</v>
      </c>
      <c r="CR907" s="1">
        <v>0.0</v>
      </c>
      <c r="CS907" s="1">
        <v>0.0</v>
      </c>
      <c r="CT907" s="1">
        <v>0.0</v>
      </c>
      <c r="CU907" s="1">
        <v>0.0</v>
      </c>
      <c r="CV907" s="1">
        <v>0.0</v>
      </c>
      <c r="CW907" s="1">
        <v>0.0</v>
      </c>
      <c r="CX907" s="1">
        <v>0.0</v>
      </c>
      <c r="CY907" s="1">
        <v>0.0</v>
      </c>
      <c r="CZ907" s="1">
        <v>0.0</v>
      </c>
      <c r="DA907" s="1">
        <v>0.0</v>
      </c>
      <c r="DB907" s="1">
        <v>0.0</v>
      </c>
      <c r="DC907" s="1">
        <v>0.0</v>
      </c>
      <c r="DD907" s="1" t="s">
        <v>4224</v>
      </c>
      <c r="DE907" s="1">
        <v>5.80800809087394E-4</v>
      </c>
      <c r="DF907" s="2" t="s">
        <v>4225</v>
      </c>
    </row>
    <row r="908" ht="15.75" customHeight="1">
      <c r="A908" s="1" t="s">
        <v>4226</v>
      </c>
      <c r="B908" s="1">
        <v>29.0</v>
      </c>
      <c r="C908" s="1">
        <v>183.0</v>
      </c>
      <c r="D908" s="1">
        <v>310302.0</v>
      </c>
      <c r="E908" s="1">
        <v>0.993</v>
      </c>
      <c r="F908" s="1">
        <v>29183.0</v>
      </c>
      <c r="G908" s="1">
        <v>2.9183310302E10</v>
      </c>
      <c r="H908" s="1" t="s">
        <v>112</v>
      </c>
      <c r="I908" s="1" t="s">
        <v>113</v>
      </c>
      <c r="J908" s="1" t="s">
        <v>4207</v>
      </c>
      <c r="K908" s="1" t="s">
        <v>4227</v>
      </c>
      <c r="L908" s="1">
        <v>3666.0</v>
      </c>
      <c r="M908" s="1">
        <v>3639.0</v>
      </c>
      <c r="N908" s="1">
        <v>378.0</v>
      </c>
      <c r="O908" s="1">
        <v>1673.0</v>
      </c>
      <c r="P908" s="1">
        <v>1761.0</v>
      </c>
      <c r="Q908" s="1">
        <v>108.0</v>
      </c>
      <c r="R908" s="1">
        <v>1524.0</v>
      </c>
      <c r="S908" s="1">
        <v>915.0</v>
      </c>
      <c r="T908" s="1">
        <v>393.0</v>
      </c>
      <c r="U908" s="1">
        <v>267.0</v>
      </c>
      <c r="V908" s="1">
        <v>433.0</v>
      </c>
      <c r="W908" s="1">
        <v>24914.0</v>
      </c>
      <c r="X908" s="1">
        <v>3884.0</v>
      </c>
      <c r="Y908" s="1">
        <v>347.0</v>
      </c>
      <c r="Z908" s="1">
        <v>316.0</v>
      </c>
      <c r="AA908" s="1">
        <v>799.0</v>
      </c>
      <c r="AB908" s="1">
        <v>799.0</v>
      </c>
      <c r="AC908" s="1">
        <v>157.0</v>
      </c>
      <c r="AD908" s="1">
        <v>492.0</v>
      </c>
      <c r="AE908" s="1">
        <v>0.0</v>
      </c>
      <c r="AF908" s="1">
        <v>456.0</v>
      </c>
      <c r="AG908" s="1">
        <v>197.0</v>
      </c>
      <c r="AH908" s="1">
        <v>156.0</v>
      </c>
      <c r="AI908" s="1">
        <v>0.0</v>
      </c>
      <c r="AJ908" s="1">
        <v>114.0</v>
      </c>
      <c r="AK908" s="1">
        <v>0.0</v>
      </c>
      <c r="AL908" s="1">
        <v>161.0</v>
      </c>
      <c r="AM908" s="1">
        <v>376.0</v>
      </c>
      <c r="AN908" s="1">
        <v>171.0</v>
      </c>
      <c r="AO908" s="1">
        <v>133.0</v>
      </c>
      <c r="AP908" s="1">
        <v>0.251996</v>
      </c>
      <c r="AQ908" s="1">
        <v>0.105059</v>
      </c>
      <c r="AR908" s="1">
        <v>0.166044</v>
      </c>
      <c r="AS908" s="1">
        <v>0.267268</v>
      </c>
      <c r="AT908" s="1">
        <v>24914.0</v>
      </c>
      <c r="AU908" s="1">
        <v>3884.0</v>
      </c>
      <c r="AV908" s="1">
        <v>0.128138</v>
      </c>
      <c r="AW908" s="1">
        <v>0.115847</v>
      </c>
      <c r="AX908" s="1">
        <v>0.217948</v>
      </c>
      <c r="AY908" s="1">
        <v>0.217948</v>
      </c>
      <c r="AZ908" s="1">
        <v>0.10301837</v>
      </c>
      <c r="BA908" s="1">
        <v>0.134206</v>
      </c>
      <c r="BB908" s="1">
        <v>0.0</v>
      </c>
      <c r="BC908" s="1">
        <v>0.132212</v>
      </c>
      <c r="BD908" s="1">
        <v>0.111868</v>
      </c>
      <c r="BE908" s="1">
        <v>0.088319</v>
      </c>
      <c r="BF908" s="1">
        <v>0.0</v>
      </c>
      <c r="BG908" s="1">
        <v>0.064735</v>
      </c>
      <c r="BH908" s="1">
        <v>0.0</v>
      </c>
      <c r="BI908" s="1">
        <v>0.093768</v>
      </c>
      <c r="BJ908" s="1">
        <v>0.218986</v>
      </c>
      <c r="BK908" s="1">
        <v>0.098487</v>
      </c>
      <c r="BL908" s="1">
        <v>0.036279</v>
      </c>
      <c r="BM908" s="1">
        <v>0.828</v>
      </c>
      <c r="BN908" s="1">
        <v>0.917</v>
      </c>
      <c r="BO908" s="1">
        <v>0.3531</v>
      </c>
      <c r="BP908" s="1">
        <v>0.463</v>
      </c>
      <c r="BQ908" s="1">
        <v>2.5611</v>
      </c>
      <c r="BR908" s="1">
        <v>0.6866</v>
      </c>
      <c r="BS908" s="1">
        <v>0.928</v>
      </c>
      <c r="BT908" s="1">
        <v>0.288</v>
      </c>
      <c r="BU908" s="1">
        <v>0.521</v>
      </c>
      <c r="BV908" s="1">
        <v>1.737</v>
      </c>
      <c r="BW908" s="1">
        <v>0.672</v>
      </c>
      <c r="BX908" s="1">
        <v>0.572</v>
      </c>
      <c r="BY908" s="1">
        <v>0.0</v>
      </c>
      <c r="BZ908" s="1">
        <v>0.572</v>
      </c>
      <c r="CA908" s="1">
        <v>0.255</v>
      </c>
      <c r="CB908" s="1">
        <v>0.789</v>
      </c>
      <c r="CC908" s="1">
        <v>0.0</v>
      </c>
      <c r="CD908" s="1">
        <v>0.0</v>
      </c>
      <c r="CE908" s="1">
        <v>0.923</v>
      </c>
      <c r="CF908" s="1">
        <v>0.848</v>
      </c>
      <c r="CG908" s="1">
        <v>2.56</v>
      </c>
      <c r="CH908" s="1">
        <v>0.586</v>
      </c>
      <c r="CI908" s="1">
        <v>7.4301</v>
      </c>
      <c r="CJ908" s="1">
        <v>0.6296</v>
      </c>
      <c r="CK908" s="1">
        <v>0.0</v>
      </c>
      <c r="CL908" s="1">
        <v>1.0</v>
      </c>
      <c r="CM908" s="1">
        <v>0.0</v>
      </c>
      <c r="CN908" s="1">
        <v>0.0</v>
      </c>
      <c r="CO908" s="1">
        <v>1.0</v>
      </c>
      <c r="CP908" s="1">
        <v>1.0</v>
      </c>
      <c r="CQ908" s="1">
        <v>0.0</v>
      </c>
      <c r="CR908" s="1">
        <v>0.0</v>
      </c>
      <c r="CS908" s="1">
        <v>1.0</v>
      </c>
      <c r="CT908" s="1">
        <v>0.0</v>
      </c>
      <c r="CU908" s="1">
        <v>0.0</v>
      </c>
      <c r="CV908" s="1">
        <v>0.0</v>
      </c>
      <c r="CW908" s="1">
        <v>0.0</v>
      </c>
      <c r="CX908" s="1">
        <v>0.0</v>
      </c>
      <c r="CY908" s="1">
        <v>0.0</v>
      </c>
      <c r="CZ908" s="1">
        <v>1.0</v>
      </c>
      <c r="DA908" s="1">
        <v>0.0</v>
      </c>
      <c r="DB908" s="1">
        <v>1.0</v>
      </c>
      <c r="DC908" s="1">
        <v>3.0</v>
      </c>
      <c r="DD908" s="1" t="s">
        <v>4228</v>
      </c>
      <c r="DE908" s="1">
        <v>2.66521222977946E-4</v>
      </c>
      <c r="DF908" s="1">
        <v>0.0675040177667357</v>
      </c>
    </row>
    <row r="909" ht="15.75" customHeight="1">
      <c r="A909" s="1" t="s">
        <v>4229</v>
      </c>
      <c r="B909" s="1">
        <v>29.0</v>
      </c>
      <c r="C909" s="1">
        <v>183.0</v>
      </c>
      <c r="D909" s="1">
        <v>310801.0</v>
      </c>
      <c r="E909" s="1">
        <v>1.129</v>
      </c>
      <c r="F909" s="1">
        <v>29183.0</v>
      </c>
      <c r="G909" s="1">
        <v>2.9183310801E10</v>
      </c>
      <c r="H909" s="1" t="s">
        <v>112</v>
      </c>
      <c r="I909" s="1" t="s">
        <v>113</v>
      </c>
      <c r="J909" s="1" t="s">
        <v>4207</v>
      </c>
      <c r="K909" s="1" t="s">
        <v>4230</v>
      </c>
      <c r="L909" s="1">
        <v>2187.0</v>
      </c>
      <c r="M909" s="1">
        <v>2092.0</v>
      </c>
      <c r="N909" s="1">
        <v>125.0</v>
      </c>
      <c r="O909" s="1">
        <v>1041.0</v>
      </c>
      <c r="P909" s="1">
        <v>1060.0</v>
      </c>
      <c r="Q909" s="1">
        <v>73.0</v>
      </c>
      <c r="R909" s="1">
        <v>973.0</v>
      </c>
      <c r="S909" s="1">
        <v>32.0</v>
      </c>
      <c r="T909" s="1">
        <v>30.0</v>
      </c>
      <c r="U909" s="1">
        <v>71.0</v>
      </c>
      <c r="V909" s="1">
        <v>429.0</v>
      </c>
      <c r="W909" s="1">
        <v>40830.0</v>
      </c>
      <c r="X909" s="1">
        <v>4476.0</v>
      </c>
      <c r="Y909" s="1">
        <v>70.0</v>
      </c>
      <c r="Z909" s="1">
        <v>382.0</v>
      </c>
      <c r="AA909" s="1">
        <v>330.0</v>
      </c>
      <c r="AB909" s="1">
        <v>424.0</v>
      </c>
      <c r="AC909" s="1">
        <v>76.0</v>
      </c>
      <c r="AD909" s="1">
        <v>289.0</v>
      </c>
      <c r="AE909" s="1">
        <v>27.0</v>
      </c>
      <c r="AF909" s="1">
        <v>428.0</v>
      </c>
      <c r="AG909" s="1">
        <v>455.0</v>
      </c>
      <c r="AH909" s="1">
        <v>132.0</v>
      </c>
      <c r="AI909" s="1">
        <v>0.0</v>
      </c>
      <c r="AJ909" s="1">
        <v>114.0</v>
      </c>
      <c r="AK909" s="1">
        <v>0.0</v>
      </c>
      <c r="AL909" s="1">
        <v>161.0</v>
      </c>
      <c r="AM909" s="1">
        <v>24.0</v>
      </c>
      <c r="AN909" s="1">
        <v>28.0</v>
      </c>
      <c r="AO909" s="1">
        <v>0.0</v>
      </c>
      <c r="AP909" s="1">
        <v>0.015296</v>
      </c>
      <c r="AQ909" s="1">
        <v>0.014311</v>
      </c>
      <c r="AR909" s="1">
        <v>0.057028</v>
      </c>
      <c r="AS909" s="1">
        <v>0.344392</v>
      </c>
      <c r="AT909" s="1">
        <v>40830.0</v>
      </c>
      <c r="AU909" s="1">
        <v>4476.0</v>
      </c>
      <c r="AV909" s="1">
        <v>0.046082</v>
      </c>
      <c r="AW909" s="1">
        <v>0.251457</v>
      </c>
      <c r="AX909" s="1">
        <v>0.150891</v>
      </c>
      <c r="AY909" s="1">
        <v>0.193872</v>
      </c>
      <c r="AZ909" s="1">
        <v>0.07810894</v>
      </c>
      <c r="BA909" s="1">
        <v>0.132144</v>
      </c>
      <c r="BB909" s="1">
        <v>0.013157</v>
      </c>
      <c r="BC909" s="1">
        <v>0.208575</v>
      </c>
      <c r="BD909" s="1">
        <v>0.429245</v>
      </c>
      <c r="BE909" s="1">
        <v>0.120968</v>
      </c>
      <c r="BF909" s="1">
        <v>0.0</v>
      </c>
      <c r="BG909" s="1">
        <v>0.107547</v>
      </c>
      <c r="BH909" s="1">
        <v>0.0</v>
      </c>
      <c r="BI909" s="1">
        <v>0.161809</v>
      </c>
      <c r="BJ909" s="1">
        <v>0.02412</v>
      </c>
      <c r="BK909" s="1">
        <v>0.02807</v>
      </c>
      <c r="BL909" s="1">
        <v>0.0</v>
      </c>
      <c r="BM909" s="1">
        <v>0.038</v>
      </c>
      <c r="BN909" s="1">
        <v>0.382</v>
      </c>
      <c r="BO909" s="1">
        <v>0.0592</v>
      </c>
      <c r="BP909" s="1">
        <v>0.115</v>
      </c>
      <c r="BQ909" s="1">
        <v>0.5942</v>
      </c>
      <c r="BR909" s="1">
        <v>0.0917</v>
      </c>
      <c r="BS909" s="1">
        <v>0.588</v>
      </c>
      <c r="BT909" s="1">
        <v>0.164</v>
      </c>
      <c r="BU909" s="1">
        <v>0.285</v>
      </c>
      <c r="BV909" s="1">
        <v>1.037</v>
      </c>
      <c r="BW909" s="1">
        <v>0.128</v>
      </c>
      <c r="BX909" s="1">
        <v>0.566</v>
      </c>
      <c r="BY909" s="1">
        <v>0.787</v>
      </c>
      <c r="BZ909" s="1">
        <v>1.353</v>
      </c>
      <c r="CA909" s="1">
        <v>0.74</v>
      </c>
      <c r="CB909" s="1">
        <v>0.971</v>
      </c>
      <c r="CC909" s="1">
        <v>0.0</v>
      </c>
      <c r="CD909" s="1">
        <v>0.0</v>
      </c>
      <c r="CE909" s="1">
        <v>0.231</v>
      </c>
      <c r="CF909" s="1">
        <v>0.0</v>
      </c>
      <c r="CG909" s="1">
        <v>1.202</v>
      </c>
      <c r="CH909" s="1">
        <v>0.11</v>
      </c>
      <c r="CI909" s="1">
        <v>4.1862</v>
      </c>
      <c r="CJ909" s="1">
        <v>0.1032</v>
      </c>
      <c r="CK909" s="1">
        <v>0.0</v>
      </c>
      <c r="CL909" s="1">
        <v>0.0</v>
      </c>
      <c r="CM909" s="1">
        <v>0.0</v>
      </c>
      <c r="CN909" s="1">
        <v>0.0</v>
      </c>
      <c r="CO909" s="1">
        <v>0.0</v>
      </c>
      <c r="CP909" s="1">
        <v>0.0</v>
      </c>
      <c r="CQ909" s="1">
        <v>0.0</v>
      </c>
      <c r="CR909" s="1">
        <v>0.0</v>
      </c>
      <c r="CS909" s="1">
        <v>0.0</v>
      </c>
      <c r="CT909" s="1">
        <v>0.0</v>
      </c>
      <c r="CU909" s="1">
        <v>0.0</v>
      </c>
      <c r="CV909" s="1">
        <v>0.0</v>
      </c>
      <c r="CW909" s="1">
        <v>1.0</v>
      </c>
      <c r="CX909" s="1">
        <v>0.0</v>
      </c>
      <c r="CY909" s="1">
        <v>0.0</v>
      </c>
      <c r="CZ909" s="1">
        <v>0.0</v>
      </c>
      <c r="DA909" s="1">
        <v>0.0</v>
      </c>
      <c r="DB909" s="1">
        <v>1.0</v>
      </c>
      <c r="DC909" s="1">
        <v>1.0</v>
      </c>
      <c r="DD909" s="1" t="s">
        <v>4231</v>
      </c>
      <c r="DE909" s="1">
        <v>2.98365334092065E-4</v>
      </c>
      <c r="DF909" s="1">
        <v>0.0886547190408637</v>
      </c>
    </row>
    <row r="910" ht="15.75" customHeight="1">
      <c r="A910" s="1" t="s">
        <v>4232</v>
      </c>
      <c r="B910" s="1">
        <v>29.0</v>
      </c>
      <c r="C910" s="1">
        <v>183.0</v>
      </c>
      <c r="D910" s="1">
        <v>311003.0</v>
      </c>
      <c r="E910" s="1">
        <v>0.885</v>
      </c>
      <c r="F910" s="1">
        <v>29183.0</v>
      </c>
      <c r="G910" s="1">
        <v>2.9183311003E10</v>
      </c>
      <c r="H910" s="1" t="s">
        <v>112</v>
      </c>
      <c r="I910" s="1" t="s">
        <v>113</v>
      </c>
      <c r="J910" s="1" t="s">
        <v>4207</v>
      </c>
      <c r="K910" s="1" t="s">
        <v>4233</v>
      </c>
      <c r="L910" s="1">
        <v>3207.0</v>
      </c>
      <c r="M910" s="1">
        <v>2575.0</v>
      </c>
      <c r="N910" s="1">
        <v>378.0</v>
      </c>
      <c r="O910" s="1">
        <v>1633.0</v>
      </c>
      <c r="P910" s="1">
        <v>1302.0</v>
      </c>
      <c r="Q910" s="1">
        <v>77.0</v>
      </c>
      <c r="R910" s="1">
        <v>1522.0</v>
      </c>
      <c r="S910" s="1">
        <v>153.0</v>
      </c>
      <c r="T910" s="1">
        <v>136.0</v>
      </c>
      <c r="U910" s="1">
        <v>66.0</v>
      </c>
      <c r="V910" s="1">
        <v>490.0</v>
      </c>
      <c r="W910" s="1">
        <v>24978.0</v>
      </c>
      <c r="X910" s="1">
        <v>2614.0</v>
      </c>
      <c r="Y910" s="1">
        <v>88.0</v>
      </c>
      <c r="Z910" s="1">
        <v>430.0</v>
      </c>
      <c r="AA910" s="1">
        <v>334.0</v>
      </c>
      <c r="AB910" s="1">
        <v>606.0</v>
      </c>
      <c r="AC910" s="1">
        <v>140.0</v>
      </c>
      <c r="AD910" s="1">
        <v>812.0</v>
      </c>
      <c r="AE910" s="1">
        <v>19.0</v>
      </c>
      <c r="AF910" s="1">
        <v>443.0</v>
      </c>
      <c r="AG910" s="1">
        <v>439.0</v>
      </c>
      <c r="AH910" s="1">
        <v>170.0</v>
      </c>
      <c r="AI910" s="1">
        <v>0.0</v>
      </c>
      <c r="AJ910" s="1">
        <v>114.0</v>
      </c>
      <c r="AK910" s="1">
        <v>0.0</v>
      </c>
      <c r="AL910" s="1">
        <v>161.0</v>
      </c>
      <c r="AM910" s="1">
        <v>44.0</v>
      </c>
      <c r="AN910" s="1">
        <v>125.0</v>
      </c>
      <c r="AO910" s="1">
        <v>85.0</v>
      </c>
      <c r="AP910" s="1">
        <v>0.059417</v>
      </c>
      <c r="AQ910" s="1">
        <v>0.05209</v>
      </c>
      <c r="AR910" s="1">
        <v>0.04064</v>
      </c>
      <c r="AS910" s="1">
        <v>0.301583</v>
      </c>
      <c r="AT910" s="1">
        <v>24978.0</v>
      </c>
      <c r="AU910" s="1">
        <v>2614.0</v>
      </c>
      <c r="AV910" s="1">
        <v>0.054421</v>
      </c>
      <c r="AW910" s="1">
        <v>0.265799</v>
      </c>
      <c r="AX910" s="1">
        <v>0.104147</v>
      </c>
      <c r="AY910" s="1">
        <v>0.188961</v>
      </c>
      <c r="AZ910" s="1">
        <v>0.09198423</v>
      </c>
      <c r="BA910" s="1">
        <v>0.253196</v>
      </c>
      <c r="BB910" s="1">
        <v>0.007983</v>
      </c>
      <c r="BC910" s="1">
        <v>0.18613</v>
      </c>
      <c r="BD910" s="1">
        <v>0.337173</v>
      </c>
      <c r="BE910" s="1">
        <v>0.129036</v>
      </c>
      <c r="BF910" s="1">
        <v>0.0</v>
      </c>
      <c r="BG910" s="1">
        <v>0.087557</v>
      </c>
      <c r="BH910" s="1">
        <v>0.0</v>
      </c>
      <c r="BI910" s="1">
        <v>0.138078</v>
      </c>
      <c r="BJ910" s="1">
        <v>0.037735</v>
      </c>
      <c r="BK910" s="1">
        <v>0.107102</v>
      </c>
      <c r="BL910" s="1">
        <v>0.026504</v>
      </c>
      <c r="BM910" s="1">
        <v>0.202</v>
      </c>
      <c r="BN910" s="1">
        <v>0.187</v>
      </c>
      <c r="BO910" s="1">
        <v>0.3502</v>
      </c>
      <c r="BP910" s="1">
        <v>0.144</v>
      </c>
      <c r="BQ910" s="1">
        <v>0.8832</v>
      </c>
      <c r="BR910" s="1">
        <v>0.1769</v>
      </c>
      <c r="BS910" s="1">
        <v>0.238</v>
      </c>
      <c r="BT910" s="1">
        <v>0.146</v>
      </c>
      <c r="BU910" s="1">
        <v>0.419</v>
      </c>
      <c r="BV910" s="1">
        <v>0.803</v>
      </c>
      <c r="BW910" s="1">
        <v>0.078</v>
      </c>
      <c r="BX910" s="1">
        <v>0.763</v>
      </c>
      <c r="BY910" s="1">
        <v>0.665</v>
      </c>
      <c r="BZ910" s="1">
        <v>1.428</v>
      </c>
      <c r="CA910" s="1">
        <v>0.778</v>
      </c>
      <c r="CB910" s="1">
        <v>0.955</v>
      </c>
      <c r="CC910" s="1">
        <v>0.0</v>
      </c>
      <c r="CD910" s="1">
        <v>0.0</v>
      </c>
      <c r="CE910" s="1">
        <v>0.37</v>
      </c>
      <c r="CF910" s="1">
        <v>0.784</v>
      </c>
      <c r="CG910" s="1">
        <v>2.109</v>
      </c>
      <c r="CH910" s="1">
        <v>0.384</v>
      </c>
      <c r="CI910" s="1">
        <v>5.2232</v>
      </c>
      <c r="CJ910" s="1">
        <v>0.2332</v>
      </c>
      <c r="CK910" s="1">
        <v>0.0</v>
      </c>
      <c r="CL910" s="1">
        <v>0.0</v>
      </c>
      <c r="CM910" s="1">
        <v>0.0</v>
      </c>
      <c r="CN910" s="1">
        <v>0.0</v>
      </c>
      <c r="CO910" s="1">
        <v>0.0</v>
      </c>
      <c r="CP910" s="1">
        <v>0.0</v>
      </c>
      <c r="CQ910" s="1">
        <v>0.0</v>
      </c>
      <c r="CR910" s="1">
        <v>0.0</v>
      </c>
      <c r="CS910" s="1">
        <v>0.0</v>
      </c>
      <c r="CT910" s="1">
        <v>0.0</v>
      </c>
      <c r="CU910" s="1">
        <v>0.0</v>
      </c>
      <c r="CV910" s="1">
        <v>0.0</v>
      </c>
      <c r="CW910" s="1">
        <v>1.0</v>
      </c>
      <c r="CX910" s="1">
        <v>0.0</v>
      </c>
      <c r="CY910" s="1">
        <v>0.0</v>
      </c>
      <c r="CZ910" s="1">
        <v>0.0</v>
      </c>
      <c r="DA910" s="1">
        <v>0.0</v>
      </c>
      <c r="DB910" s="1">
        <v>1.0</v>
      </c>
      <c r="DC910" s="1">
        <v>1.0</v>
      </c>
      <c r="DD910" s="1" t="s">
        <v>4234</v>
      </c>
      <c r="DE910" s="1">
        <v>2.72377717947157E-4</v>
      </c>
      <c r="DF910" s="1">
        <v>0.0677971928373947</v>
      </c>
    </row>
    <row r="911" ht="15.75" customHeight="1">
      <c r="A911" s="1" t="s">
        <v>4235</v>
      </c>
      <c r="B911" s="1">
        <v>29.0</v>
      </c>
      <c r="C911" s="1">
        <v>183.0</v>
      </c>
      <c r="D911" s="1">
        <v>311147.0</v>
      </c>
      <c r="E911" s="1">
        <v>0.997</v>
      </c>
      <c r="F911" s="1">
        <v>29183.0</v>
      </c>
      <c r="G911" s="1">
        <v>2.9183311147E10</v>
      </c>
      <c r="H911" s="1" t="s">
        <v>112</v>
      </c>
      <c r="I911" s="1" t="s">
        <v>113</v>
      </c>
      <c r="J911" s="1" t="s">
        <v>4207</v>
      </c>
      <c r="K911" s="1" t="s">
        <v>4236</v>
      </c>
      <c r="L911" s="1">
        <v>4039.0</v>
      </c>
      <c r="M911" s="1">
        <v>3898.0</v>
      </c>
      <c r="N911" s="1">
        <v>229.0</v>
      </c>
      <c r="O911" s="1">
        <v>1664.0</v>
      </c>
      <c r="P911" s="1">
        <v>1674.0</v>
      </c>
      <c r="Q911" s="1">
        <v>47.0</v>
      </c>
      <c r="R911" s="1">
        <v>1616.0</v>
      </c>
      <c r="S911" s="1">
        <v>20.0</v>
      </c>
      <c r="T911" s="1">
        <v>117.0</v>
      </c>
      <c r="U911" s="1">
        <v>55.0</v>
      </c>
      <c r="V911" s="1">
        <v>458.0</v>
      </c>
      <c r="W911" s="1">
        <v>31549.0</v>
      </c>
      <c r="X911" s="1">
        <v>2760.0</v>
      </c>
      <c r="Y911" s="1">
        <v>159.0</v>
      </c>
      <c r="Z911" s="1">
        <v>331.0</v>
      </c>
      <c r="AA911" s="1">
        <v>438.0</v>
      </c>
      <c r="AB911" s="1">
        <v>949.0</v>
      </c>
      <c r="AC911" s="1">
        <v>132.0</v>
      </c>
      <c r="AD911" s="1">
        <v>400.0</v>
      </c>
      <c r="AE911" s="1">
        <v>38.0</v>
      </c>
      <c r="AF911" s="1">
        <v>445.0</v>
      </c>
      <c r="AG911" s="1">
        <v>158.0</v>
      </c>
      <c r="AH911" s="1">
        <v>150.0</v>
      </c>
      <c r="AI911" s="1">
        <v>0.0</v>
      </c>
      <c r="AJ911" s="1">
        <v>114.0</v>
      </c>
      <c r="AK911" s="1">
        <v>0.0</v>
      </c>
      <c r="AL911" s="1">
        <v>161.0</v>
      </c>
      <c r="AM911" s="1">
        <v>13.0</v>
      </c>
      <c r="AN911" s="1">
        <v>116.0</v>
      </c>
      <c r="AO911" s="1">
        <v>0.0</v>
      </c>
      <c r="AP911" s="1">
        <v>0.00513</v>
      </c>
      <c r="AQ911" s="1">
        <v>0.030013</v>
      </c>
      <c r="AR911" s="1">
        <v>0.024487</v>
      </c>
      <c r="AS911" s="1">
        <v>0.203889</v>
      </c>
      <c r="AT911" s="1">
        <v>31549.0</v>
      </c>
      <c r="AU911" s="1">
        <v>2760.0</v>
      </c>
      <c r="AV911" s="1">
        <v>0.059864</v>
      </c>
      <c r="AW911" s="1">
        <v>0.124556</v>
      </c>
      <c r="AX911" s="1">
        <v>0.108442</v>
      </c>
      <c r="AY911" s="1">
        <v>0.234959</v>
      </c>
      <c r="AZ911" s="1">
        <v>0.08168316</v>
      </c>
      <c r="BA911" s="1">
        <v>0.099034</v>
      </c>
      <c r="BB911" s="1">
        <v>0.010359</v>
      </c>
      <c r="BC911" s="1">
        <v>0.121317</v>
      </c>
      <c r="BD911" s="1">
        <v>0.094384</v>
      </c>
      <c r="BE911" s="1">
        <v>0.089566</v>
      </c>
      <c r="BF911" s="1">
        <v>0.0</v>
      </c>
      <c r="BG911" s="1">
        <v>0.0681</v>
      </c>
      <c r="BH911" s="1">
        <v>0.0</v>
      </c>
      <c r="BI911" s="1">
        <v>0.103403</v>
      </c>
      <c r="BJ911" s="1">
        <v>0.008349</v>
      </c>
      <c r="BK911" s="1">
        <v>0.0745</v>
      </c>
      <c r="BL911" s="1">
        <v>0.0</v>
      </c>
      <c r="BM911" s="1">
        <v>0.01</v>
      </c>
      <c r="BN911" s="1">
        <v>0.048</v>
      </c>
      <c r="BO911" s="1">
        <v>0.1653</v>
      </c>
      <c r="BP911" s="1">
        <v>0.168</v>
      </c>
      <c r="BQ911" s="1">
        <v>0.3913</v>
      </c>
      <c r="BR911" s="1">
        <v>0.0383</v>
      </c>
      <c r="BS911" s="1">
        <v>0.261</v>
      </c>
      <c r="BT911" s="1">
        <v>0.437</v>
      </c>
      <c r="BU911" s="1">
        <v>0.322</v>
      </c>
      <c r="BV911" s="1">
        <v>1.02</v>
      </c>
      <c r="BW911" s="1">
        <v>0.123</v>
      </c>
      <c r="BX911" s="1">
        <v>0.465</v>
      </c>
      <c r="BY911" s="1">
        <v>0.73</v>
      </c>
      <c r="BZ911" s="1">
        <v>1.195</v>
      </c>
      <c r="CA911" s="1">
        <v>0.66</v>
      </c>
      <c r="CB911" s="1">
        <v>0.758</v>
      </c>
      <c r="CC911" s="1">
        <v>0.0</v>
      </c>
      <c r="CD911" s="1">
        <v>0.0</v>
      </c>
      <c r="CE911" s="1">
        <v>0.066</v>
      </c>
      <c r="CF911" s="1">
        <v>0.0</v>
      </c>
      <c r="CG911" s="1">
        <v>0.824</v>
      </c>
      <c r="CH911" s="1">
        <v>0.058</v>
      </c>
      <c r="CI911" s="1">
        <v>3.4303</v>
      </c>
      <c r="CJ911" s="1">
        <v>0.0404</v>
      </c>
      <c r="CK911" s="1">
        <v>0.0</v>
      </c>
      <c r="CL911" s="1">
        <v>0.0</v>
      </c>
      <c r="CM911" s="1">
        <v>0.0</v>
      </c>
      <c r="CN911" s="1">
        <v>0.0</v>
      </c>
      <c r="CO911" s="1">
        <v>0.0</v>
      </c>
      <c r="CP911" s="1">
        <v>0.0</v>
      </c>
      <c r="CQ911" s="1">
        <v>0.0</v>
      </c>
      <c r="CR911" s="1">
        <v>0.0</v>
      </c>
      <c r="CS911" s="1">
        <v>0.0</v>
      </c>
      <c r="CT911" s="1">
        <v>0.0</v>
      </c>
      <c r="CU911" s="1">
        <v>0.0</v>
      </c>
      <c r="CV911" s="1">
        <v>0.0</v>
      </c>
      <c r="CW911" s="1">
        <v>0.0</v>
      </c>
      <c r="CX911" s="1">
        <v>0.0</v>
      </c>
      <c r="CY911" s="1">
        <v>0.0</v>
      </c>
      <c r="CZ911" s="1">
        <v>0.0</v>
      </c>
      <c r="DA911" s="1">
        <v>0.0</v>
      </c>
      <c r="DB911" s="1">
        <v>0.0</v>
      </c>
      <c r="DC911" s="1">
        <v>0.0</v>
      </c>
      <c r="DD911" s="1" t="s">
        <v>4237</v>
      </c>
      <c r="DE911" s="1">
        <v>2.69144674550167E-4</v>
      </c>
      <c r="DF911" s="1">
        <v>0.0709473733408637</v>
      </c>
    </row>
    <row r="912" ht="15.75" customHeight="1">
      <c r="A912" s="1" t="s">
        <v>4238</v>
      </c>
      <c r="B912" s="1">
        <v>29.0</v>
      </c>
      <c r="C912" s="1">
        <v>183.0</v>
      </c>
      <c r="D912" s="1">
        <v>311712.0</v>
      </c>
      <c r="E912" s="1">
        <v>1.909</v>
      </c>
      <c r="F912" s="1">
        <v>29183.0</v>
      </c>
      <c r="G912" s="1">
        <v>2.9183311712E10</v>
      </c>
      <c r="H912" s="1" t="s">
        <v>112</v>
      </c>
      <c r="I912" s="1" t="s">
        <v>113</v>
      </c>
      <c r="J912" s="1" t="s">
        <v>4207</v>
      </c>
      <c r="K912" s="1" t="s">
        <v>4239</v>
      </c>
      <c r="L912" s="1">
        <v>4603.0</v>
      </c>
      <c r="M912" s="1">
        <v>3875.0</v>
      </c>
      <c r="N912" s="1">
        <v>297.0</v>
      </c>
      <c r="O912" s="1">
        <v>1907.0</v>
      </c>
      <c r="P912" s="1">
        <v>1833.0</v>
      </c>
      <c r="Q912" s="1">
        <v>97.0</v>
      </c>
      <c r="R912" s="1">
        <v>1844.0</v>
      </c>
      <c r="S912" s="1">
        <v>176.0</v>
      </c>
      <c r="T912" s="1">
        <v>113.0</v>
      </c>
      <c r="U912" s="1">
        <v>128.0</v>
      </c>
      <c r="V912" s="1">
        <v>384.0</v>
      </c>
      <c r="W912" s="1">
        <v>33505.0</v>
      </c>
      <c r="X912" s="1">
        <v>3600.0</v>
      </c>
      <c r="Y912" s="1">
        <v>385.0</v>
      </c>
      <c r="Z912" s="1">
        <v>236.0</v>
      </c>
      <c r="AA912" s="1">
        <v>520.0</v>
      </c>
      <c r="AB912" s="1">
        <v>1146.0</v>
      </c>
      <c r="AC912" s="1">
        <v>187.0</v>
      </c>
      <c r="AD912" s="1">
        <v>598.0</v>
      </c>
      <c r="AE912" s="1">
        <v>106.0</v>
      </c>
      <c r="AF912" s="1">
        <v>389.0</v>
      </c>
      <c r="AG912" s="1">
        <v>193.0</v>
      </c>
      <c r="AH912" s="1">
        <v>98.0</v>
      </c>
      <c r="AI912" s="1">
        <v>469.0</v>
      </c>
      <c r="AJ912" s="1">
        <v>105.0</v>
      </c>
      <c r="AK912" s="1">
        <v>30.0</v>
      </c>
      <c r="AL912" s="1">
        <v>123.0</v>
      </c>
      <c r="AM912" s="1">
        <v>19.0</v>
      </c>
      <c r="AN912" s="1">
        <v>116.0</v>
      </c>
      <c r="AO912" s="1">
        <v>0.0</v>
      </c>
      <c r="AP912" s="1">
        <v>0.045572</v>
      </c>
      <c r="AQ912" s="1">
        <v>0.029048</v>
      </c>
      <c r="AR912" s="1">
        <v>0.05842</v>
      </c>
      <c r="AS912" s="1">
        <v>0.175129</v>
      </c>
      <c r="AT912" s="1">
        <v>33505.0</v>
      </c>
      <c r="AU912" s="1">
        <v>3600.0</v>
      </c>
      <c r="AV912" s="1">
        <v>0.146276</v>
      </c>
      <c r="AW912" s="1">
        <v>0.089015</v>
      </c>
      <c r="AX912" s="1">
        <v>0.112969</v>
      </c>
      <c r="AY912" s="1">
        <v>0.248968</v>
      </c>
      <c r="AZ912" s="1">
        <v>0.10140997</v>
      </c>
      <c r="BA912" s="1">
        <v>0.129915</v>
      </c>
      <c r="BB912" s="1">
        <v>0.028788</v>
      </c>
      <c r="BC912" s="1">
        <v>0.105624</v>
      </c>
      <c r="BD912" s="1">
        <v>0.105291</v>
      </c>
      <c r="BE912" s="1">
        <v>0.053173</v>
      </c>
      <c r="BF912" s="1">
        <v>0.255864</v>
      </c>
      <c r="BG912" s="1">
        <v>0.055659</v>
      </c>
      <c r="BH912" s="1">
        <v>0.018348</v>
      </c>
      <c r="BI912" s="1">
        <v>0.075217</v>
      </c>
      <c r="BJ912" s="1">
        <v>0.01162</v>
      </c>
      <c r="BK912" s="1">
        <v>0.070942</v>
      </c>
      <c r="BL912" s="1">
        <v>0.0</v>
      </c>
      <c r="BM912" s="1">
        <v>0.146</v>
      </c>
      <c r="BN912" s="1">
        <v>0.397</v>
      </c>
      <c r="BO912" s="1">
        <v>0.1365</v>
      </c>
      <c r="BP912" s="1">
        <v>0.55</v>
      </c>
      <c r="BQ912" s="1">
        <v>1.2295</v>
      </c>
      <c r="BR912" s="1">
        <v>0.2628</v>
      </c>
      <c r="BS912" s="1">
        <v>0.294</v>
      </c>
      <c r="BT912" s="1">
        <v>0.586</v>
      </c>
      <c r="BU912" s="1">
        <v>0.502</v>
      </c>
      <c r="BV912" s="1">
        <v>1.382</v>
      </c>
      <c r="BW912" s="1">
        <v>0.375</v>
      </c>
      <c r="BX912" s="1">
        <v>0.561</v>
      </c>
      <c r="BY912" s="1">
        <v>0.906</v>
      </c>
      <c r="BZ912" s="1">
        <v>1.467</v>
      </c>
      <c r="CA912" s="1">
        <v>0.802</v>
      </c>
      <c r="CB912" s="1">
        <v>0.779</v>
      </c>
      <c r="CC912" s="1">
        <v>0.958</v>
      </c>
      <c r="CD912" s="1">
        <v>0.649</v>
      </c>
      <c r="CE912" s="1">
        <v>0.103</v>
      </c>
      <c r="CF912" s="1">
        <v>0.0</v>
      </c>
      <c r="CG912" s="1">
        <v>2.489</v>
      </c>
      <c r="CH912" s="1">
        <v>0.558</v>
      </c>
      <c r="CI912" s="1">
        <v>6.5675</v>
      </c>
      <c r="CJ912" s="1">
        <v>0.4693</v>
      </c>
      <c r="CK912" s="1">
        <v>0.0</v>
      </c>
      <c r="CL912" s="1">
        <v>0.0</v>
      </c>
      <c r="CM912" s="1">
        <v>0.0</v>
      </c>
      <c r="CN912" s="1">
        <v>0.0</v>
      </c>
      <c r="CO912" s="1">
        <v>0.0</v>
      </c>
      <c r="CP912" s="1">
        <v>0.0</v>
      </c>
      <c r="CQ912" s="1">
        <v>0.0</v>
      </c>
      <c r="CR912" s="1">
        <v>0.0</v>
      </c>
      <c r="CS912" s="1">
        <v>0.0</v>
      </c>
      <c r="CT912" s="1">
        <v>0.0</v>
      </c>
      <c r="CU912" s="1">
        <v>1.0</v>
      </c>
      <c r="CV912" s="1">
        <v>1.0</v>
      </c>
      <c r="CW912" s="1">
        <v>0.0</v>
      </c>
      <c r="CX912" s="1">
        <v>1.0</v>
      </c>
      <c r="CY912" s="1">
        <v>0.0</v>
      </c>
      <c r="CZ912" s="1">
        <v>0.0</v>
      </c>
      <c r="DA912" s="1">
        <v>0.0</v>
      </c>
      <c r="DB912" s="1">
        <v>1.0</v>
      </c>
      <c r="DC912" s="1">
        <v>2.0</v>
      </c>
      <c r="DD912" s="1" t="s">
        <v>4240</v>
      </c>
      <c r="DE912" s="1">
        <v>5.11892308006306E-4</v>
      </c>
      <c r="DF912" s="1">
        <v>0.0988072079287292</v>
      </c>
    </row>
    <row r="913" ht="15.75" customHeight="1">
      <c r="A913" s="1" t="s">
        <v>4241</v>
      </c>
      <c r="B913" s="1">
        <v>29.0</v>
      </c>
      <c r="C913" s="1">
        <v>183.0</v>
      </c>
      <c r="D913" s="1">
        <v>311903.0</v>
      </c>
      <c r="E913" s="1">
        <v>2.172</v>
      </c>
      <c r="F913" s="1">
        <v>29183.0</v>
      </c>
      <c r="G913" s="1">
        <v>2.9183311903E10</v>
      </c>
      <c r="H913" s="1" t="s">
        <v>112</v>
      </c>
      <c r="I913" s="1" t="s">
        <v>113</v>
      </c>
      <c r="J913" s="1" t="s">
        <v>4207</v>
      </c>
      <c r="K913" s="1" t="s">
        <v>4242</v>
      </c>
      <c r="L913" s="1">
        <v>5882.0</v>
      </c>
      <c r="M913" s="1">
        <v>5624.0</v>
      </c>
      <c r="N913" s="1">
        <v>375.0</v>
      </c>
      <c r="O913" s="1">
        <v>2625.0</v>
      </c>
      <c r="P913" s="1">
        <v>2667.0</v>
      </c>
      <c r="Q913" s="1">
        <v>137.0</v>
      </c>
      <c r="R913" s="1">
        <v>2441.0</v>
      </c>
      <c r="S913" s="1">
        <v>341.0</v>
      </c>
      <c r="T913" s="1">
        <v>220.0</v>
      </c>
      <c r="U913" s="1">
        <v>261.0</v>
      </c>
      <c r="V913" s="1">
        <v>386.0</v>
      </c>
      <c r="W913" s="1">
        <v>33965.0</v>
      </c>
      <c r="X913" s="1">
        <v>2910.0</v>
      </c>
      <c r="Y913" s="1">
        <v>331.0</v>
      </c>
      <c r="Z913" s="1">
        <v>316.0</v>
      </c>
      <c r="AA913" s="1">
        <v>885.0</v>
      </c>
      <c r="AB913" s="1">
        <v>1255.0</v>
      </c>
      <c r="AC913" s="1">
        <v>226.0</v>
      </c>
      <c r="AD913" s="1">
        <v>585.0</v>
      </c>
      <c r="AE913" s="1">
        <v>0.0</v>
      </c>
      <c r="AF913" s="1">
        <v>456.0</v>
      </c>
      <c r="AG913" s="1">
        <v>211.0</v>
      </c>
      <c r="AH913" s="1">
        <v>166.0</v>
      </c>
      <c r="AI913" s="1">
        <v>0.0</v>
      </c>
      <c r="AJ913" s="1">
        <v>114.0</v>
      </c>
      <c r="AK913" s="1">
        <v>42.0</v>
      </c>
      <c r="AL913" s="1">
        <v>120.0</v>
      </c>
      <c r="AM913" s="1">
        <v>54.0</v>
      </c>
      <c r="AN913" s="1">
        <v>44.0</v>
      </c>
      <c r="AO913" s="1">
        <v>0.0</v>
      </c>
      <c r="AP913" s="1">
        <v>0.060633</v>
      </c>
      <c r="AQ913" s="1">
        <v>0.038908</v>
      </c>
      <c r="AR913" s="1">
        <v>0.079186</v>
      </c>
      <c r="AS913" s="1">
        <v>0.116734</v>
      </c>
      <c r="AT913" s="1">
        <v>33965.0</v>
      </c>
      <c r="AU913" s="1">
        <v>2910.0</v>
      </c>
      <c r="AV913" s="1">
        <v>0.078158</v>
      </c>
      <c r="AW913" s="1">
        <v>0.074385</v>
      </c>
      <c r="AX913" s="1">
        <v>0.150459</v>
      </c>
      <c r="AY913" s="1">
        <v>0.213362</v>
      </c>
      <c r="AZ913" s="1">
        <v>0.092585</v>
      </c>
      <c r="BA913" s="1">
        <v>0.099455</v>
      </c>
      <c r="BB913" s="1">
        <v>0.0</v>
      </c>
      <c r="BC913" s="1">
        <v>0.085698</v>
      </c>
      <c r="BD913" s="1">
        <v>0.079115</v>
      </c>
      <c r="BE913" s="1">
        <v>0.062109</v>
      </c>
      <c r="BF913" s="1">
        <v>0.0</v>
      </c>
      <c r="BG913" s="1">
        <v>0.042744</v>
      </c>
      <c r="BH913" s="1">
        <v>0.0166</v>
      </c>
      <c r="BI913" s="1">
        <v>0.047419</v>
      </c>
      <c r="BJ913" s="1">
        <v>0.021343</v>
      </c>
      <c r="BK913" s="1">
        <v>0.01734</v>
      </c>
      <c r="BL913" s="1">
        <v>0.0</v>
      </c>
      <c r="BM913" s="1">
        <v>0.206</v>
      </c>
      <c r="BN913" s="1">
        <v>0.606</v>
      </c>
      <c r="BO913" s="1">
        <v>0.1278</v>
      </c>
      <c r="BP913" s="1">
        <v>0.238</v>
      </c>
      <c r="BQ913" s="1">
        <v>1.1778</v>
      </c>
      <c r="BR913" s="1">
        <v>0.2498</v>
      </c>
      <c r="BS913" s="1">
        <v>0.581</v>
      </c>
      <c r="BT913" s="1">
        <v>0.252</v>
      </c>
      <c r="BU913" s="1">
        <v>0.425</v>
      </c>
      <c r="BV913" s="1">
        <v>1.258</v>
      </c>
      <c r="BW913" s="1">
        <v>0.273</v>
      </c>
      <c r="BX913" s="1">
        <v>0.466</v>
      </c>
      <c r="BY913" s="1">
        <v>0.0</v>
      </c>
      <c r="BZ913" s="1">
        <v>0.466</v>
      </c>
      <c r="CA913" s="1">
        <v>0.192</v>
      </c>
      <c r="CB913" s="1">
        <v>0.731</v>
      </c>
      <c r="CC913" s="1">
        <v>0.0</v>
      </c>
      <c r="CD913" s="1">
        <v>0.623</v>
      </c>
      <c r="CE913" s="1">
        <v>0.196</v>
      </c>
      <c r="CF913" s="1">
        <v>0.0</v>
      </c>
      <c r="CG913" s="1">
        <v>1.55</v>
      </c>
      <c r="CH913" s="1">
        <v>0.184</v>
      </c>
      <c r="CI913" s="1">
        <v>4.4518</v>
      </c>
      <c r="CJ913" s="1">
        <v>0.1285</v>
      </c>
      <c r="CK913" s="1">
        <v>0.0</v>
      </c>
      <c r="CL913" s="1">
        <v>0.0</v>
      </c>
      <c r="CM913" s="1">
        <v>0.0</v>
      </c>
      <c r="CN913" s="1">
        <v>0.0</v>
      </c>
      <c r="CO913" s="1">
        <v>0.0</v>
      </c>
      <c r="CP913" s="1">
        <v>0.0</v>
      </c>
      <c r="CQ913" s="1">
        <v>0.0</v>
      </c>
      <c r="CR913" s="1">
        <v>0.0</v>
      </c>
      <c r="CS913" s="1">
        <v>0.0</v>
      </c>
      <c r="CT913" s="1">
        <v>0.0</v>
      </c>
      <c r="CU913" s="1">
        <v>0.0</v>
      </c>
      <c r="CV913" s="1">
        <v>0.0</v>
      </c>
      <c r="CW913" s="1">
        <v>0.0</v>
      </c>
      <c r="CX913" s="1">
        <v>0.0</v>
      </c>
      <c r="CY913" s="1">
        <v>0.0</v>
      </c>
      <c r="CZ913" s="1">
        <v>0.0</v>
      </c>
      <c r="DA913" s="1">
        <v>0.0</v>
      </c>
      <c r="DB913" s="1">
        <v>0.0</v>
      </c>
      <c r="DC913" s="1">
        <v>0.0</v>
      </c>
      <c r="DD913" s="1" t="s">
        <v>4243</v>
      </c>
      <c r="DE913" s="1">
        <v>7.03938089250115E-4</v>
      </c>
      <c r="DF913" s="2" t="s">
        <v>4244</v>
      </c>
    </row>
    <row r="914" ht="15.75" customHeight="1">
      <c r="A914" s="1" t="s">
        <v>4245</v>
      </c>
      <c r="B914" s="1">
        <v>29.0</v>
      </c>
      <c r="C914" s="1">
        <v>183.0</v>
      </c>
      <c r="D914" s="1">
        <v>312094.0</v>
      </c>
      <c r="E914" s="1">
        <v>3.678</v>
      </c>
      <c r="F914" s="1">
        <v>29183.0</v>
      </c>
      <c r="G914" s="1">
        <v>2.9183312094E10</v>
      </c>
      <c r="H914" s="1" t="s">
        <v>112</v>
      </c>
      <c r="I914" s="1" t="s">
        <v>113</v>
      </c>
      <c r="J914" s="1" t="s">
        <v>4207</v>
      </c>
      <c r="K914" s="1" t="s">
        <v>4246</v>
      </c>
      <c r="L914" s="1">
        <v>4372.0</v>
      </c>
      <c r="M914" s="1">
        <v>3895.0</v>
      </c>
      <c r="N914" s="1">
        <v>307.0</v>
      </c>
      <c r="O914" s="1">
        <v>1517.0</v>
      </c>
      <c r="P914" s="1">
        <v>1265.0</v>
      </c>
      <c r="Q914" s="1">
        <v>102.0</v>
      </c>
      <c r="R914" s="1">
        <v>1489.0</v>
      </c>
      <c r="S914" s="1">
        <v>466.0</v>
      </c>
      <c r="T914" s="1">
        <v>289.0</v>
      </c>
      <c r="U914" s="1">
        <v>116.0</v>
      </c>
      <c r="V914" s="1">
        <v>417.0</v>
      </c>
      <c r="W914" s="1">
        <v>23957.0</v>
      </c>
      <c r="X914" s="1">
        <v>1911.0</v>
      </c>
      <c r="Y914" s="1">
        <v>269.0</v>
      </c>
      <c r="Z914" s="1">
        <v>242.0</v>
      </c>
      <c r="AA914" s="1">
        <v>226.0</v>
      </c>
      <c r="AB914" s="1">
        <v>1529.0</v>
      </c>
      <c r="AC914" s="1">
        <v>249.0</v>
      </c>
      <c r="AD914" s="1">
        <v>756.0</v>
      </c>
      <c r="AE914" s="1">
        <v>10.0</v>
      </c>
      <c r="AF914" s="1">
        <v>442.0</v>
      </c>
      <c r="AG914" s="1">
        <v>0.0</v>
      </c>
      <c r="AH914" s="1">
        <v>197.0</v>
      </c>
      <c r="AI914" s="1">
        <v>0.0</v>
      </c>
      <c r="AJ914" s="1">
        <v>114.0</v>
      </c>
      <c r="AK914" s="1">
        <v>32.0</v>
      </c>
      <c r="AL914" s="1">
        <v>117.0</v>
      </c>
      <c r="AM914" s="1">
        <v>62.0</v>
      </c>
      <c r="AN914" s="1">
        <v>61.0</v>
      </c>
      <c r="AO914" s="1">
        <v>0.0</v>
      </c>
      <c r="AP914" s="1">
        <v>0.12032</v>
      </c>
      <c r="AQ914" s="1">
        <v>0.074019</v>
      </c>
      <c r="AR914" s="1">
        <v>0.057114</v>
      </c>
      <c r="AS914" s="1">
        <v>0.205239</v>
      </c>
      <c r="AT914" s="1">
        <v>23957.0</v>
      </c>
      <c r="AU914" s="1">
        <v>1911.0</v>
      </c>
      <c r="AV914" s="1">
        <v>0.125818</v>
      </c>
      <c r="AW914" s="1">
        <v>0.112831</v>
      </c>
      <c r="AX914" s="1">
        <v>0.051692</v>
      </c>
      <c r="AY914" s="1">
        <v>0.349725</v>
      </c>
      <c r="AZ914" s="1">
        <v>0.16722632</v>
      </c>
      <c r="BA914" s="1">
        <v>0.172918</v>
      </c>
      <c r="BB914" s="1">
        <v>0.00291</v>
      </c>
      <c r="BC914" s="1">
        <v>0.128637</v>
      </c>
      <c r="BD914" s="1">
        <v>0.0</v>
      </c>
      <c r="BE914" s="1">
        <v>0.155731</v>
      </c>
      <c r="BF914" s="1">
        <v>0.0</v>
      </c>
      <c r="BG914" s="1">
        <v>0.090118</v>
      </c>
      <c r="BH914" s="1">
        <v>0.025376</v>
      </c>
      <c r="BI914" s="1">
        <v>0.09276</v>
      </c>
      <c r="BJ914" s="1">
        <v>0.049167</v>
      </c>
      <c r="BK914" s="1">
        <v>0.04821</v>
      </c>
      <c r="BL914" s="1">
        <v>0.0</v>
      </c>
      <c r="BM914" s="1">
        <v>0.456</v>
      </c>
      <c r="BN914" s="1">
        <v>0.383</v>
      </c>
      <c r="BO914" s="1">
        <v>0.3986</v>
      </c>
      <c r="BP914" s="1">
        <v>0.452</v>
      </c>
      <c r="BQ914" s="1">
        <v>1.6896</v>
      </c>
      <c r="BR914" s="1">
        <v>0.3986</v>
      </c>
      <c r="BS914" s="1">
        <v>0.025</v>
      </c>
      <c r="BT914" s="1">
        <v>0.984</v>
      </c>
      <c r="BU914" s="1">
        <v>0.841</v>
      </c>
      <c r="BV914" s="1">
        <v>1.85</v>
      </c>
      <c r="BW914" s="1">
        <v>0.769</v>
      </c>
      <c r="BX914" s="1">
        <v>0.668</v>
      </c>
      <c r="BY914" s="1">
        <v>0.444</v>
      </c>
      <c r="BZ914" s="1">
        <v>1.112</v>
      </c>
      <c r="CA914" s="1">
        <v>0.622</v>
      </c>
      <c r="CB914" s="1">
        <v>0.0</v>
      </c>
      <c r="CC914" s="1">
        <v>0.0</v>
      </c>
      <c r="CD914" s="1">
        <v>0.762</v>
      </c>
      <c r="CE914" s="1">
        <v>0.48</v>
      </c>
      <c r="CF914" s="1">
        <v>0.0</v>
      </c>
      <c r="CG914" s="1">
        <v>1.242</v>
      </c>
      <c r="CH914" s="1">
        <v>0.118</v>
      </c>
      <c r="CI914" s="1">
        <v>5.8936</v>
      </c>
      <c r="CJ914" s="1">
        <v>0.3545</v>
      </c>
      <c r="CK914" s="1">
        <v>0.0</v>
      </c>
      <c r="CL914" s="1">
        <v>0.0</v>
      </c>
      <c r="CM914" s="1">
        <v>0.0</v>
      </c>
      <c r="CN914" s="1">
        <v>0.0</v>
      </c>
      <c r="CO914" s="1">
        <v>0.0</v>
      </c>
      <c r="CP914" s="1">
        <v>0.0</v>
      </c>
      <c r="CQ914" s="1">
        <v>1.0</v>
      </c>
      <c r="CR914" s="1">
        <v>0.0</v>
      </c>
      <c r="CS914" s="1">
        <v>1.0</v>
      </c>
      <c r="CT914" s="1">
        <v>0.0</v>
      </c>
      <c r="CU914" s="1">
        <v>0.0</v>
      </c>
      <c r="CV914" s="1">
        <v>0.0</v>
      </c>
      <c r="CW914" s="1">
        <v>0.0</v>
      </c>
      <c r="CX914" s="1">
        <v>0.0</v>
      </c>
      <c r="CY914" s="1">
        <v>0.0</v>
      </c>
      <c r="CZ914" s="1">
        <v>0.0</v>
      </c>
      <c r="DA914" s="1">
        <v>0.0</v>
      </c>
      <c r="DB914" s="1">
        <v>0.0</v>
      </c>
      <c r="DC914" s="1">
        <v>1.0</v>
      </c>
      <c r="DD914" s="1" t="s">
        <v>4247</v>
      </c>
      <c r="DE914" s="1">
        <v>9.89899855956867E-4</v>
      </c>
      <c r="DF914" s="2" t="s">
        <v>4248</v>
      </c>
    </row>
    <row r="915" ht="15.75" customHeight="1">
      <c r="A915" s="1" t="s">
        <v>4249</v>
      </c>
      <c r="B915" s="1">
        <v>29.0</v>
      </c>
      <c r="C915" s="1">
        <v>183.0</v>
      </c>
      <c r="D915" s="1">
        <v>312194.0</v>
      </c>
      <c r="E915" s="1">
        <v>2.103</v>
      </c>
      <c r="F915" s="1">
        <v>29183.0</v>
      </c>
      <c r="G915" s="1">
        <v>2.9183312194E10</v>
      </c>
      <c r="H915" s="1" t="s">
        <v>112</v>
      </c>
      <c r="I915" s="1" t="s">
        <v>113</v>
      </c>
      <c r="J915" s="1" t="s">
        <v>4207</v>
      </c>
      <c r="K915" s="1" t="s">
        <v>4250</v>
      </c>
      <c r="L915" s="1">
        <v>2947.0</v>
      </c>
      <c r="M915" s="1">
        <v>2636.0</v>
      </c>
      <c r="N915" s="1">
        <v>214.0</v>
      </c>
      <c r="O915" s="1">
        <v>1136.0</v>
      </c>
      <c r="P915" s="1">
        <v>1059.0</v>
      </c>
      <c r="Q915" s="1">
        <v>49.0</v>
      </c>
      <c r="R915" s="1">
        <v>1078.0</v>
      </c>
      <c r="S915" s="1">
        <v>85.0</v>
      </c>
      <c r="T915" s="1">
        <v>171.0</v>
      </c>
      <c r="U915" s="1">
        <v>54.0</v>
      </c>
      <c r="V915" s="1">
        <v>458.0</v>
      </c>
      <c r="W915" s="1">
        <v>36019.0</v>
      </c>
      <c r="X915" s="1">
        <v>3472.0</v>
      </c>
      <c r="Y915" s="1">
        <v>177.0</v>
      </c>
      <c r="Z915" s="1">
        <v>391.0</v>
      </c>
      <c r="AA915" s="1">
        <v>423.0</v>
      </c>
      <c r="AB915" s="1">
        <v>765.0</v>
      </c>
      <c r="AC915" s="1">
        <v>48.0</v>
      </c>
      <c r="AD915" s="1">
        <v>183.0</v>
      </c>
      <c r="AE915" s="1">
        <v>0.0</v>
      </c>
      <c r="AF915" s="1">
        <v>456.0</v>
      </c>
      <c r="AG915" s="1">
        <v>0.0</v>
      </c>
      <c r="AH915" s="1">
        <v>197.0</v>
      </c>
      <c r="AI915" s="1">
        <v>0.0</v>
      </c>
      <c r="AJ915" s="1">
        <v>114.0</v>
      </c>
      <c r="AK915" s="1">
        <v>0.0</v>
      </c>
      <c r="AL915" s="1">
        <v>161.0</v>
      </c>
      <c r="AM915" s="1">
        <v>82.0</v>
      </c>
      <c r="AN915" s="1">
        <v>75.0</v>
      </c>
      <c r="AO915" s="1">
        <v>0.0</v>
      </c>
      <c r="AP915" s="1">
        <v>0.032245</v>
      </c>
      <c r="AQ915" s="1">
        <v>0.064818</v>
      </c>
      <c r="AR915" s="1">
        <v>0.042253</v>
      </c>
      <c r="AS915" s="1">
        <v>0.358314</v>
      </c>
      <c r="AT915" s="1">
        <v>36019.0</v>
      </c>
      <c r="AU915" s="1">
        <v>3472.0</v>
      </c>
      <c r="AV915" s="1">
        <v>0.098497</v>
      </c>
      <c r="AW915" s="1">
        <v>0.217496</v>
      </c>
      <c r="AX915" s="1">
        <v>0.143535</v>
      </c>
      <c r="AY915" s="1">
        <v>0.259586</v>
      </c>
      <c r="AZ915" s="1">
        <v>0.0445269</v>
      </c>
      <c r="BA915" s="1">
        <v>0.062097</v>
      </c>
      <c r="BB915" s="1">
        <v>0.0</v>
      </c>
      <c r="BC915" s="1">
        <v>0.19208</v>
      </c>
      <c r="BD915" s="1">
        <v>0.0</v>
      </c>
      <c r="BE915" s="1">
        <v>0.186024</v>
      </c>
      <c r="BF915" s="1">
        <v>0.0</v>
      </c>
      <c r="BG915" s="1">
        <v>0.107648</v>
      </c>
      <c r="BH915" s="1">
        <v>0.0</v>
      </c>
      <c r="BI915" s="1">
        <v>0.15203</v>
      </c>
      <c r="BJ915" s="1">
        <v>0.077431</v>
      </c>
      <c r="BK915" s="1">
        <v>0.07073</v>
      </c>
      <c r="BL915" s="1">
        <v>0.0</v>
      </c>
      <c r="BM915" s="1">
        <v>0.094</v>
      </c>
      <c r="BN915" s="1">
        <v>0.21</v>
      </c>
      <c r="BO915" s="1">
        <v>0.1018</v>
      </c>
      <c r="BP915" s="1">
        <v>0.329</v>
      </c>
      <c r="BQ915" s="1">
        <v>0.7348</v>
      </c>
      <c r="BR915" s="1">
        <v>0.1386</v>
      </c>
      <c r="BS915" s="1">
        <v>0.529</v>
      </c>
      <c r="BT915" s="1">
        <v>0.7</v>
      </c>
      <c r="BU915" s="1">
        <v>0.056</v>
      </c>
      <c r="BV915" s="1">
        <v>1.285</v>
      </c>
      <c r="BW915" s="1">
        <v>0.292</v>
      </c>
      <c r="BX915" s="1">
        <v>0.323</v>
      </c>
      <c r="BY915" s="1">
        <v>0.0</v>
      </c>
      <c r="BZ915" s="1">
        <v>0.323</v>
      </c>
      <c r="CA915" s="1">
        <v>0.138</v>
      </c>
      <c r="CB915" s="1">
        <v>0.0</v>
      </c>
      <c r="CC915" s="1">
        <v>0.0</v>
      </c>
      <c r="CD915" s="1">
        <v>0.0</v>
      </c>
      <c r="CE915" s="1">
        <v>0.659</v>
      </c>
      <c r="CF915" s="1">
        <v>0.0</v>
      </c>
      <c r="CG915" s="1">
        <v>0.659</v>
      </c>
      <c r="CH915" s="1">
        <v>0.043</v>
      </c>
      <c r="CI915" s="1">
        <v>3.0018</v>
      </c>
      <c r="CJ915" s="1">
        <v>0.0188</v>
      </c>
      <c r="CK915" s="1">
        <v>0.0</v>
      </c>
      <c r="CL915" s="1">
        <v>0.0</v>
      </c>
      <c r="CM915" s="1">
        <v>0.0</v>
      </c>
      <c r="CN915" s="1">
        <v>0.0</v>
      </c>
      <c r="CO915" s="1">
        <v>0.0</v>
      </c>
      <c r="CP915" s="1">
        <v>0.0</v>
      </c>
      <c r="CQ915" s="1">
        <v>0.0</v>
      </c>
      <c r="CR915" s="1">
        <v>0.0</v>
      </c>
      <c r="CS915" s="1">
        <v>0.0</v>
      </c>
      <c r="CT915" s="1">
        <v>0.0</v>
      </c>
      <c r="CU915" s="1">
        <v>0.0</v>
      </c>
      <c r="CV915" s="1">
        <v>0.0</v>
      </c>
      <c r="CW915" s="1">
        <v>0.0</v>
      </c>
      <c r="CX915" s="1">
        <v>0.0</v>
      </c>
      <c r="CY915" s="1">
        <v>0.0</v>
      </c>
      <c r="CZ915" s="1">
        <v>0.0</v>
      </c>
      <c r="DA915" s="1">
        <v>0.0</v>
      </c>
      <c r="DB915" s="1">
        <v>0.0</v>
      </c>
      <c r="DC915" s="1">
        <v>0.0</v>
      </c>
      <c r="DD915" s="1" t="s">
        <v>4251</v>
      </c>
      <c r="DE915" s="1">
        <v>5.65079547867226E-4</v>
      </c>
      <c r="DF915" s="1">
        <v>0.0964133886482414</v>
      </c>
    </row>
    <row r="916" ht="15.75" customHeight="1">
      <c r="A916" s="1" t="s">
        <v>4252</v>
      </c>
      <c r="B916" s="1">
        <v>29.0</v>
      </c>
      <c r="C916" s="1">
        <v>183.0</v>
      </c>
      <c r="D916" s="1">
        <v>310602.0</v>
      </c>
      <c r="E916" s="1">
        <v>1.954</v>
      </c>
      <c r="F916" s="1">
        <v>29183.0</v>
      </c>
      <c r="G916" s="1">
        <v>2.9183310602E10</v>
      </c>
      <c r="H916" s="1" t="s">
        <v>112</v>
      </c>
      <c r="I916" s="1" t="s">
        <v>113</v>
      </c>
      <c r="J916" s="1" t="s">
        <v>4207</v>
      </c>
      <c r="K916" s="1" t="s">
        <v>4253</v>
      </c>
      <c r="L916" s="1">
        <v>5787.0</v>
      </c>
      <c r="M916" s="1">
        <v>6210.0</v>
      </c>
      <c r="N916" s="1">
        <v>300.0</v>
      </c>
      <c r="O916" s="1">
        <v>2400.0</v>
      </c>
      <c r="P916" s="1">
        <v>2461.0</v>
      </c>
      <c r="Q916" s="1">
        <v>100.0</v>
      </c>
      <c r="R916" s="1">
        <v>2322.0</v>
      </c>
      <c r="S916" s="1">
        <v>218.0</v>
      </c>
      <c r="T916" s="1">
        <v>197.0</v>
      </c>
      <c r="U916" s="1">
        <v>171.0</v>
      </c>
      <c r="V916" s="1">
        <v>439.0</v>
      </c>
      <c r="W916" s="1">
        <v>37420.0</v>
      </c>
      <c r="X916" s="1">
        <v>4173.0</v>
      </c>
      <c r="Y916" s="1">
        <v>133.0</v>
      </c>
      <c r="Z916" s="1">
        <v>309.0</v>
      </c>
      <c r="AA916" s="1">
        <v>1051.0</v>
      </c>
      <c r="AB916" s="1">
        <v>1133.0</v>
      </c>
      <c r="AC916" s="1">
        <v>148.0</v>
      </c>
      <c r="AD916" s="1">
        <v>428.0</v>
      </c>
      <c r="AE916" s="1">
        <v>17.0</v>
      </c>
      <c r="AF916" s="1">
        <v>442.0</v>
      </c>
      <c r="AG916" s="1">
        <v>101.0</v>
      </c>
      <c r="AH916" s="1">
        <v>64.0</v>
      </c>
      <c r="AI916" s="1">
        <v>0.0</v>
      </c>
      <c r="AJ916" s="1">
        <v>114.0</v>
      </c>
      <c r="AK916" s="1">
        <v>25.0</v>
      </c>
      <c r="AL916" s="1">
        <v>120.0</v>
      </c>
      <c r="AM916" s="1">
        <v>53.0</v>
      </c>
      <c r="AN916" s="1">
        <v>54.0</v>
      </c>
      <c r="AO916" s="1">
        <v>0.0</v>
      </c>
      <c r="AP916" s="1">
        <v>0.03524</v>
      </c>
      <c r="AQ916" s="1">
        <v>0.031799</v>
      </c>
      <c r="AR916" s="1">
        <v>0.051197</v>
      </c>
      <c r="AS916" s="1">
        <v>0.131331</v>
      </c>
      <c r="AT916" s="1">
        <v>37420.0</v>
      </c>
      <c r="AU916" s="1">
        <v>4173.0</v>
      </c>
      <c r="AV916" s="1">
        <v>0.031629</v>
      </c>
      <c r="AW916" s="1">
        <v>0.073466</v>
      </c>
      <c r="AX916" s="1">
        <v>0.181613</v>
      </c>
      <c r="AY916" s="1">
        <v>0.195783</v>
      </c>
      <c r="AZ916" s="1">
        <v>0.06373815</v>
      </c>
      <c r="BA916" s="1">
        <v>0.073958</v>
      </c>
      <c r="BB916" s="1">
        <v>0.002809</v>
      </c>
      <c r="BC916" s="1">
        <v>0.073045</v>
      </c>
      <c r="BD916" s="1">
        <v>0.04104</v>
      </c>
      <c r="BE916" s="1">
        <v>0.025952</v>
      </c>
      <c r="BF916" s="1">
        <v>0.0</v>
      </c>
      <c r="BG916" s="1">
        <v>0.046322</v>
      </c>
      <c r="BH916" s="1">
        <v>0.010477</v>
      </c>
      <c r="BI916" s="1">
        <v>0.05029</v>
      </c>
      <c r="BJ916" s="1">
        <v>0.022212</v>
      </c>
      <c r="BK916" s="1">
        <v>0.022606</v>
      </c>
      <c r="BL916" s="1">
        <v>0.0</v>
      </c>
      <c r="BM916" s="1">
        <v>0.104</v>
      </c>
      <c r="BN916" s="1">
        <v>0.307</v>
      </c>
      <c r="BO916" s="1">
        <v>0.0895</v>
      </c>
      <c r="BP916" s="1">
        <v>0.066</v>
      </c>
      <c r="BQ916" s="1">
        <v>0.5665</v>
      </c>
      <c r="BR916" s="1">
        <v>0.0852</v>
      </c>
      <c r="BS916" s="1">
        <v>0.8</v>
      </c>
      <c r="BT916" s="1">
        <v>0.171</v>
      </c>
      <c r="BU916" s="1">
        <v>0.164</v>
      </c>
      <c r="BV916" s="1">
        <v>1.135</v>
      </c>
      <c r="BW916" s="1">
        <v>0.189</v>
      </c>
      <c r="BX916" s="1">
        <v>0.373</v>
      </c>
      <c r="BY916" s="1">
        <v>0.436</v>
      </c>
      <c r="BZ916" s="1">
        <v>0.809</v>
      </c>
      <c r="CA916" s="1">
        <v>0.406</v>
      </c>
      <c r="CB916" s="1">
        <v>0.614</v>
      </c>
      <c r="CC916" s="1">
        <v>0.0</v>
      </c>
      <c r="CD916" s="1">
        <v>0.486</v>
      </c>
      <c r="CE916" s="1">
        <v>0.206</v>
      </c>
      <c r="CF916" s="1">
        <v>0.0</v>
      </c>
      <c r="CG916" s="1">
        <v>1.306</v>
      </c>
      <c r="CH916" s="1">
        <v>0.129</v>
      </c>
      <c r="CI916" s="1">
        <v>3.8165</v>
      </c>
      <c r="CJ916" s="1">
        <v>0.07</v>
      </c>
      <c r="CK916" s="1">
        <v>0.0</v>
      </c>
      <c r="CL916" s="1">
        <v>0.0</v>
      </c>
      <c r="CM916" s="1">
        <v>0.0</v>
      </c>
      <c r="CN916" s="1">
        <v>0.0</v>
      </c>
      <c r="CO916" s="1">
        <v>0.0</v>
      </c>
      <c r="CP916" s="1">
        <v>0.0</v>
      </c>
      <c r="CQ916" s="1">
        <v>0.0</v>
      </c>
      <c r="CR916" s="1">
        <v>0.0</v>
      </c>
      <c r="CS916" s="1">
        <v>0.0</v>
      </c>
      <c r="CT916" s="1">
        <v>0.0</v>
      </c>
      <c r="CU916" s="1">
        <v>0.0</v>
      </c>
      <c r="CV916" s="1">
        <v>0.0</v>
      </c>
      <c r="CW916" s="1">
        <v>0.0</v>
      </c>
      <c r="CX916" s="1">
        <v>0.0</v>
      </c>
      <c r="CY916" s="1">
        <v>0.0</v>
      </c>
      <c r="CZ916" s="1">
        <v>0.0</v>
      </c>
      <c r="DA916" s="1">
        <v>0.0</v>
      </c>
      <c r="DB916" s="1">
        <v>0.0</v>
      </c>
      <c r="DC916" s="1">
        <v>0.0</v>
      </c>
      <c r="DD916" s="1" t="s">
        <v>4254</v>
      </c>
      <c r="DE916" s="1">
        <v>5.27813110833674E-4</v>
      </c>
      <c r="DF916" s="2" t="s">
        <v>4255</v>
      </c>
    </row>
    <row r="917" ht="15.75" customHeight="1">
      <c r="A917" s="1" t="s">
        <v>4256</v>
      </c>
      <c r="B917" s="1">
        <v>29.0</v>
      </c>
      <c r="C917" s="1">
        <v>183.0</v>
      </c>
      <c r="D917" s="1">
        <v>310700.0</v>
      </c>
      <c r="E917" s="1">
        <v>1.283</v>
      </c>
      <c r="F917" s="1">
        <v>29183.0</v>
      </c>
      <c r="G917" s="1">
        <v>2.91833107E10</v>
      </c>
      <c r="H917" s="1" t="s">
        <v>112</v>
      </c>
      <c r="I917" s="1" t="s">
        <v>113</v>
      </c>
      <c r="J917" s="1" t="s">
        <v>4207</v>
      </c>
      <c r="K917" s="1" t="s">
        <v>4257</v>
      </c>
      <c r="L917" s="1">
        <v>5261.0</v>
      </c>
      <c r="M917" s="1">
        <v>5976.0</v>
      </c>
      <c r="N917" s="1">
        <v>717.0</v>
      </c>
      <c r="O917" s="1">
        <v>2730.0</v>
      </c>
      <c r="P917" s="1">
        <v>2854.0</v>
      </c>
      <c r="Q917" s="1">
        <v>127.0</v>
      </c>
      <c r="R917" s="1">
        <v>2492.0</v>
      </c>
      <c r="S917" s="1">
        <v>345.0</v>
      </c>
      <c r="T917" s="1">
        <v>246.0</v>
      </c>
      <c r="U917" s="1">
        <v>284.0</v>
      </c>
      <c r="V917" s="1">
        <v>397.0</v>
      </c>
      <c r="W917" s="1">
        <v>22607.0</v>
      </c>
      <c r="X917" s="1">
        <v>2490.0</v>
      </c>
      <c r="Y917" s="1">
        <v>558.0</v>
      </c>
      <c r="Z917" s="1">
        <v>268.0</v>
      </c>
      <c r="AA917" s="1">
        <v>839.0</v>
      </c>
      <c r="AB917" s="1">
        <v>946.0</v>
      </c>
      <c r="AC917" s="1">
        <v>288.0</v>
      </c>
      <c r="AD917" s="1">
        <v>871.0</v>
      </c>
      <c r="AE917" s="1">
        <v>14.0</v>
      </c>
      <c r="AF917" s="1">
        <v>442.0</v>
      </c>
      <c r="AG917" s="1">
        <v>840.0</v>
      </c>
      <c r="AH917" s="1">
        <v>202.0</v>
      </c>
      <c r="AI917" s="1">
        <v>288.0</v>
      </c>
      <c r="AJ917" s="1">
        <v>127.0</v>
      </c>
      <c r="AK917" s="1">
        <v>0.0</v>
      </c>
      <c r="AL917" s="1">
        <v>161.0</v>
      </c>
      <c r="AM917" s="1">
        <v>131.0</v>
      </c>
      <c r="AN917" s="1">
        <v>62.0</v>
      </c>
      <c r="AO917" s="1">
        <v>132.0</v>
      </c>
      <c r="AP917" s="1">
        <v>0.064522</v>
      </c>
      <c r="AQ917" s="1">
        <v>0.045686</v>
      </c>
      <c r="AR917" s="1">
        <v>0.096075</v>
      </c>
      <c r="AS917" s="1">
        <v>0.133637</v>
      </c>
      <c r="AT917" s="1">
        <v>22607.0</v>
      </c>
      <c r="AU917" s="1">
        <v>2490.0</v>
      </c>
      <c r="AV917" s="1">
        <v>0.134782</v>
      </c>
      <c r="AW917" s="1">
        <v>0.061233</v>
      </c>
      <c r="AX917" s="1">
        <v>0.159475</v>
      </c>
      <c r="AY917" s="1">
        <v>0.179813</v>
      </c>
      <c r="AZ917" s="1">
        <v>0.11556982</v>
      </c>
      <c r="BA917" s="1">
        <v>0.165557</v>
      </c>
      <c r="BB917" s="1">
        <v>0.002469</v>
      </c>
      <c r="BC917" s="1">
        <v>0.077967</v>
      </c>
      <c r="BD917" s="1">
        <v>0.294323</v>
      </c>
      <c r="BE917" s="1">
        <v>0.069555</v>
      </c>
      <c r="BF917" s="1">
        <v>0.100911</v>
      </c>
      <c r="BG917" s="1">
        <v>0.044271</v>
      </c>
      <c r="BH917" s="1">
        <v>0.0</v>
      </c>
      <c r="BI917" s="1">
        <v>0.064117</v>
      </c>
      <c r="BJ917" s="1">
        <v>0.05217</v>
      </c>
      <c r="BK917" s="1">
        <v>0.02436</v>
      </c>
      <c r="BL917" s="1">
        <v>0.02509</v>
      </c>
      <c r="BM917" s="1">
        <v>0.223</v>
      </c>
      <c r="BN917" s="1">
        <v>0.709</v>
      </c>
      <c r="BO917" s="1">
        <v>0.4643</v>
      </c>
      <c r="BP917" s="1">
        <v>0.499</v>
      </c>
      <c r="BQ917" s="1">
        <v>1.8953</v>
      </c>
      <c r="BR917" s="1">
        <v>0.4628</v>
      </c>
      <c r="BS917" s="1">
        <v>0.658</v>
      </c>
      <c r="BT917" s="1">
        <v>0.12</v>
      </c>
      <c r="BU917" s="1">
        <v>0.638</v>
      </c>
      <c r="BV917" s="1">
        <v>1.416</v>
      </c>
      <c r="BW917" s="1">
        <v>0.404</v>
      </c>
      <c r="BX917" s="1">
        <v>0.66</v>
      </c>
      <c r="BY917" s="1">
        <v>0.411</v>
      </c>
      <c r="BZ917" s="1">
        <v>1.071</v>
      </c>
      <c r="CA917" s="1">
        <v>0.595</v>
      </c>
      <c r="CB917" s="1">
        <v>0.943</v>
      </c>
      <c r="CC917" s="1">
        <v>0.717</v>
      </c>
      <c r="CD917" s="1">
        <v>0.0</v>
      </c>
      <c r="CE917" s="1">
        <v>0.504</v>
      </c>
      <c r="CF917" s="1">
        <v>0.771</v>
      </c>
      <c r="CG917" s="1">
        <v>2.935</v>
      </c>
      <c r="CH917" s="1">
        <v>0.743</v>
      </c>
      <c r="CI917" s="1">
        <v>7.3173</v>
      </c>
      <c r="CJ917" s="1">
        <v>0.6116</v>
      </c>
      <c r="CK917" s="1">
        <v>0.0</v>
      </c>
      <c r="CL917" s="1">
        <v>0.0</v>
      </c>
      <c r="CM917" s="1">
        <v>0.0</v>
      </c>
      <c r="CN917" s="1">
        <v>0.0</v>
      </c>
      <c r="CO917" s="1">
        <v>0.0</v>
      </c>
      <c r="CP917" s="1">
        <v>0.0</v>
      </c>
      <c r="CQ917" s="1">
        <v>0.0</v>
      </c>
      <c r="CR917" s="1">
        <v>0.0</v>
      </c>
      <c r="CS917" s="1">
        <v>0.0</v>
      </c>
      <c r="CT917" s="1">
        <v>0.0</v>
      </c>
      <c r="CU917" s="1">
        <v>0.0</v>
      </c>
      <c r="CV917" s="1">
        <v>0.0</v>
      </c>
      <c r="CW917" s="1">
        <v>1.0</v>
      </c>
      <c r="CX917" s="1">
        <v>0.0</v>
      </c>
      <c r="CY917" s="1">
        <v>0.0</v>
      </c>
      <c r="CZ917" s="1">
        <v>0.0</v>
      </c>
      <c r="DA917" s="1">
        <v>0.0</v>
      </c>
      <c r="DB917" s="1">
        <v>1.0</v>
      </c>
      <c r="DC917" s="1">
        <v>1.0</v>
      </c>
      <c r="DD917" s="1" t="s">
        <v>4258</v>
      </c>
      <c r="DE917" s="1">
        <v>3.45163626133939E-4</v>
      </c>
      <c r="DF917" s="1">
        <v>0.0926065150550557</v>
      </c>
    </row>
    <row r="918" ht="15.75" customHeight="1">
      <c r="A918" s="1" t="s">
        <v>4259</v>
      </c>
      <c r="B918" s="1">
        <v>29.0</v>
      </c>
      <c r="C918" s="1">
        <v>183.0</v>
      </c>
      <c r="D918" s="1">
        <v>310802.0</v>
      </c>
      <c r="E918" s="1">
        <v>1.699</v>
      </c>
      <c r="F918" s="1">
        <v>29183.0</v>
      </c>
      <c r="G918" s="1">
        <v>2.9183310802E10</v>
      </c>
      <c r="H918" s="1" t="s">
        <v>112</v>
      </c>
      <c r="I918" s="1" t="s">
        <v>113</v>
      </c>
      <c r="J918" s="1" t="s">
        <v>4207</v>
      </c>
      <c r="K918" s="1" t="s">
        <v>4260</v>
      </c>
      <c r="L918" s="1">
        <v>5775.0</v>
      </c>
      <c r="M918" s="1">
        <v>5459.0</v>
      </c>
      <c r="N918" s="1">
        <v>402.0</v>
      </c>
      <c r="O918" s="1">
        <v>2616.0</v>
      </c>
      <c r="P918" s="1">
        <v>2641.0</v>
      </c>
      <c r="Q918" s="1">
        <v>91.0</v>
      </c>
      <c r="R918" s="1">
        <v>2499.0</v>
      </c>
      <c r="S918" s="1">
        <v>332.0</v>
      </c>
      <c r="T918" s="1">
        <v>164.0</v>
      </c>
      <c r="U918" s="1">
        <v>248.0</v>
      </c>
      <c r="V918" s="1">
        <v>357.0</v>
      </c>
      <c r="W918" s="1">
        <v>29627.0</v>
      </c>
      <c r="X918" s="1">
        <v>2800.0</v>
      </c>
      <c r="Y918" s="1">
        <v>454.0</v>
      </c>
      <c r="Z918" s="1">
        <v>370.0</v>
      </c>
      <c r="AA918" s="1">
        <v>869.0</v>
      </c>
      <c r="AB918" s="1">
        <v>1180.0</v>
      </c>
      <c r="AC918" s="1">
        <v>249.0</v>
      </c>
      <c r="AD918" s="1">
        <v>677.0</v>
      </c>
      <c r="AE918" s="1">
        <v>0.0</v>
      </c>
      <c r="AF918" s="1">
        <v>456.0</v>
      </c>
      <c r="AG918" s="1">
        <v>325.0</v>
      </c>
      <c r="AH918" s="1">
        <v>135.0</v>
      </c>
      <c r="AI918" s="1">
        <v>0.0</v>
      </c>
      <c r="AJ918" s="1">
        <v>114.0</v>
      </c>
      <c r="AK918" s="1">
        <v>34.0</v>
      </c>
      <c r="AL918" s="1">
        <v>123.0</v>
      </c>
      <c r="AM918" s="1">
        <v>65.0</v>
      </c>
      <c r="AN918" s="1">
        <v>46.0</v>
      </c>
      <c r="AO918" s="1">
        <v>0.0</v>
      </c>
      <c r="AP918" s="1">
        <v>0.060816</v>
      </c>
      <c r="AQ918" s="1">
        <v>0.029706</v>
      </c>
      <c r="AR918" s="1">
        <v>0.076851</v>
      </c>
      <c r="AS918" s="1">
        <v>0.110258</v>
      </c>
      <c r="AT918" s="1">
        <v>29627.0</v>
      </c>
      <c r="AU918" s="1">
        <v>2800.0</v>
      </c>
      <c r="AV918" s="1">
        <v>0.114213</v>
      </c>
      <c r="AW918" s="1">
        <v>0.092772</v>
      </c>
      <c r="AX918" s="1">
        <v>0.150476</v>
      </c>
      <c r="AY918" s="1">
        <v>0.204329</v>
      </c>
      <c r="AZ918" s="1">
        <v>0.09963985</v>
      </c>
      <c r="BA918" s="1">
        <v>0.117229</v>
      </c>
      <c r="BB918" s="1">
        <v>0.0</v>
      </c>
      <c r="BC918" s="1">
        <v>0.086757</v>
      </c>
      <c r="BD918" s="1">
        <v>0.123059</v>
      </c>
      <c r="BE918" s="1">
        <v>0.05094</v>
      </c>
      <c r="BF918" s="1">
        <v>0.0</v>
      </c>
      <c r="BG918" s="1">
        <v>0.043165</v>
      </c>
      <c r="BH918" s="1">
        <v>0.013535</v>
      </c>
      <c r="BI918" s="1">
        <v>0.048959</v>
      </c>
      <c r="BJ918" s="1">
        <v>0.025875</v>
      </c>
      <c r="BK918" s="1">
        <v>0.01826</v>
      </c>
      <c r="BL918" s="1">
        <v>0.0</v>
      </c>
      <c r="BM918" s="1">
        <v>0.208</v>
      </c>
      <c r="BN918" s="1">
        <v>0.577</v>
      </c>
      <c r="BO918" s="1">
        <v>0.2058</v>
      </c>
      <c r="BP918" s="1">
        <v>0.402</v>
      </c>
      <c r="BQ918" s="1">
        <v>1.3928</v>
      </c>
      <c r="BR918" s="1">
        <v>0.3083</v>
      </c>
      <c r="BS918" s="1">
        <v>0.582</v>
      </c>
      <c r="BT918" s="1">
        <v>0.209</v>
      </c>
      <c r="BU918" s="1">
        <v>0.49</v>
      </c>
      <c r="BV918" s="1">
        <v>1.281</v>
      </c>
      <c r="BW918" s="1">
        <v>0.288</v>
      </c>
      <c r="BX918" s="1">
        <v>0.529</v>
      </c>
      <c r="BY918" s="1">
        <v>0.0</v>
      </c>
      <c r="BZ918" s="1">
        <v>0.529</v>
      </c>
      <c r="CA918" s="1">
        <v>0.226</v>
      </c>
      <c r="CB918" s="1">
        <v>0.803</v>
      </c>
      <c r="CC918" s="1">
        <v>0.0</v>
      </c>
      <c r="CD918" s="1">
        <v>0.564</v>
      </c>
      <c r="CE918" s="1">
        <v>0.248</v>
      </c>
      <c r="CF918" s="1">
        <v>0.0</v>
      </c>
      <c r="CG918" s="1">
        <v>1.615</v>
      </c>
      <c r="CH918" s="1">
        <v>0.205</v>
      </c>
      <c r="CI918" s="1">
        <v>4.8178</v>
      </c>
      <c r="CJ918" s="1">
        <v>0.1791</v>
      </c>
      <c r="CK918" s="1">
        <v>0.0</v>
      </c>
      <c r="CL918" s="1">
        <v>0.0</v>
      </c>
      <c r="CM918" s="1">
        <v>0.0</v>
      </c>
      <c r="CN918" s="1">
        <v>0.0</v>
      </c>
      <c r="CO918" s="1">
        <v>0.0</v>
      </c>
      <c r="CP918" s="1">
        <v>0.0</v>
      </c>
      <c r="CQ918" s="1">
        <v>0.0</v>
      </c>
      <c r="CR918" s="1">
        <v>0.0</v>
      </c>
      <c r="CS918" s="1">
        <v>0.0</v>
      </c>
      <c r="CT918" s="1">
        <v>0.0</v>
      </c>
      <c r="CU918" s="1">
        <v>0.0</v>
      </c>
      <c r="CV918" s="1">
        <v>0.0</v>
      </c>
      <c r="CW918" s="1">
        <v>0.0</v>
      </c>
      <c r="CX918" s="1">
        <v>0.0</v>
      </c>
      <c r="CY918" s="1">
        <v>0.0</v>
      </c>
      <c r="CZ918" s="1">
        <v>0.0</v>
      </c>
      <c r="DA918" s="1">
        <v>0.0</v>
      </c>
      <c r="DB918" s="1">
        <v>0.0</v>
      </c>
      <c r="DC918" s="1">
        <v>0.0</v>
      </c>
      <c r="DD918" s="1" t="s">
        <v>4261</v>
      </c>
      <c r="DE918" s="1">
        <v>4.62498839068827E-4</v>
      </c>
      <c r="DF918" s="1">
        <v>0.0948852111207592</v>
      </c>
    </row>
    <row r="919" ht="15.75" customHeight="1">
      <c r="A919" s="1" t="s">
        <v>4262</v>
      </c>
      <c r="B919" s="1">
        <v>29.0</v>
      </c>
      <c r="C919" s="1">
        <v>183.0</v>
      </c>
      <c r="D919" s="1">
        <v>311152.0</v>
      </c>
      <c r="E919" s="1">
        <v>1.779</v>
      </c>
      <c r="F919" s="1">
        <v>29183.0</v>
      </c>
      <c r="G919" s="1">
        <v>2.9183311152E10</v>
      </c>
      <c r="H919" s="1" t="s">
        <v>112</v>
      </c>
      <c r="I919" s="1" t="s">
        <v>113</v>
      </c>
      <c r="J919" s="1" t="s">
        <v>4207</v>
      </c>
      <c r="K919" s="1" t="s">
        <v>4263</v>
      </c>
      <c r="L919" s="1">
        <v>4753.0</v>
      </c>
      <c r="M919" s="1">
        <v>4794.0</v>
      </c>
      <c r="N919" s="1">
        <v>182.0</v>
      </c>
      <c r="O919" s="1">
        <v>1601.0</v>
      </c>
      <c r="P919" s="1">
        <v>1721.0</v>
      </c>
      <c r="Q919" s="1">
        <v>56.0</v>
      </c>
      <c r="R919" s="1">
        <v>1576.0</v>
      </c>
      <c r="S919" s="1">
        <v>87.0</v>
      </c>
      <c r="T919" s="1">
        <v>120.0</v>
      </c>
      <c r="U919" s="1">
        <v>148.0</v>
      </c>
      <c r="V919" s="1">
        <v>368.0</v>
      </c>
      <c r="W919" s="1">
        <v>36490.0</v>
      </c>
      <c r="X919" s="1">
        <v>5893.0</v>
      </c>
      <c r="Y919" s="1">
        <v>137.0</v>
      </c>
      <c r="Z919" s="1">
        <v>329.0</v>
      </c>
      <c r="AA919" s="1">
        <v>607.0</v>
      </c>
      <c r="AB919" s="1">
        <v>1622.0</v>
      </c>
      <c r="AC919" s="1">
        <v>79.0</v>
      </c>
      <c r="AD919" s="1">
        <v>368.0</v>
      </c>
      <c r="AE919" s="1">
        <v>34.0</v>
      </c>
      <c r="AF919" s="1">
        <v>428.0</v>
      </c>
      <c r="AG919" s="1">
        <v>99.0</v>
      </c>
      <c r="AH919" s="1">
        <v>119.0</v>
      </c>
      <c r="AI919" s="1">
        <v>0.0</v>
      </c>
      <c r="AJ919" s="1">
        <v>114.0</v>
      </c>
      <c r="AK919" s="1">
        <v>0.0</v>
      </c>
      <c r="AL919" s="1">
        <v>161.0</v>
      </c>
      <c r="AM919" s="1">
        <v>101.0</v>
      </c>
      <c r="AN919" s="1">
        <v>48.0</v>
      </c>
      <c r="AO919" s="1">
        <v>0.0</v>
      </c>
      <c r="AP919" s="1">
        <v>0.018147</v>
      </c>
      <c r="AQ919" s="1">
        <v>0.025021</v>
      </c>
      <c r="AR919" s="1">
        <v>0.073231</v>
      </c>
      <c r="AS919" s="1">
        <v>0.181774</v>
      </c>
      <c r="AT919" s="1">
        <v>36490.0</v>
      </c>
      <c r="AU919" s="1">
        <v>5893.0</v>
      </c>
      <c r="AV919" s="1">
        <v>0.044815</v>
      </c>
      <c r="AW919" s="1">
        <v>0.107604</v>
      </c>
      <c r="AX919" s="1">
        <v>0.127708</v>
      </c>
      <c r="AY919" s="1">
        <v>0.341258</v>
      </c>
      <c r="AZ919" s="1">
        <v>0.0501269</v>
      </c>
      <c r="BA919" s="1">
        <v>0.077424</v>
      </c>
      <c r="BB919" s="1">
        <v>0.00775</v>
      </c>
      <c r="BC919" s="1">
        <v>0.09756</v>
      </c>
      <c r="BD919" s="1">
        <v>0.057524</v>
      </c>
      <c r="BE919" s="1">
        <v>0.06912</v>
      </c>
      <c r="BF919" s="1">
        <v>0.0</v>
      </c>
      <c r="BG919" s="1">
        <v>0.06624</v>
      </c>
      <c r="BH919" s="1">
        <v>0.0</v>
      </c>
      <c r="BI919" s="1">
        <v>0.095776</v>
      </c>
      <c r="BJ919" s="1">
        <v>0.060083</v>
      </c>
      <c r="BK919" s="1">
        <v>0.028434</v>
      </c>
      <c r="BL919" s="1">
        <v>0.0</v>
      </c>
      <c r="BM919" s="1">
        <v>0.045</v>
      </c>
      <c r="BN919" s="1">
        <v>0.54</v>
      </c>
      <c r="BO919" s="1">
        <v>0.096</v>
      </c>
      <c r="BP919" s="1">
        <v>0.112</v>
      </c>
      <c r="BQ919" s="1">
        <v>0.793</v>
      </c>
      <c r="BR919" s="1">
        <v>0.1538</v>
      </c>
      <c r="BS919" s="1">
        <v>0.4</v>
      </c>
      <c r="BT919" s="1">
        <v>0.982</v>
      </c>
      <c r="BU919" s="1">
        <v>0.073</v>
      </c>
      <c r="BV919" s="1">
        <v>1.455</v>
      </c>
      <c r="BW919" s="1">
        <v>0.441</v>
      </c>
      <c r="BX919" s="1">
        <v>0.386</v>
      </c>
      <c r="BY919" s="1">
        <v>0.659</v>
      </c>
      <c r="BZ919" s="1">
        <v>1.045</v>
      </c>
      <c r="CA919" s="1">
        <v>0.579</v>
      </c>
      <c r="CB919" s="1">
        <v>0.679</v>
      </c>
      <c r="CC919" s="1">
        <v>0.0</v>
      </c>
      <c r="CD919" s="1">
        <v>0.0</v>
      </c>
      <c r="CE919" s="1">
        <v>0.569</v>
      </c>
      <c r="CF919" s="1">
        <v>0.0</v>
      </c>
      <c r="CG919" s="1">
        <v>1.248</v>
      </c>
      <c r="CH919" s="1">
        <v>0.12</v>
      </c>
      <c r="CI919" s="1">
        <v>4.541</v>
      </c>
      <c r="CJ919" s="1">
        <v>0.1386</v>
      </c>
      <c r="CK919" s="1">
        <v>0.0</v>
      </c>
      <c r="CL919" s="1">
        <v>0.0</v>
      </c>
      <c r="CM919" s="1">
        <v>0.0</v>
      </c>
      <c r="CN919" s="1">
        <v>0.0</v>
      </c>
      <c r="CO919" s="1">
        <v>0.0</v>
      </c>
      <c r="CP919" s="1">
        <v>0.0</v>
      </c>
      <c r="CQ919" s="1">
        <v>1.0</v>
      </c>
      <c r="CR919" s="1">
        <v>0.0</v>
      </c>
      <c r="CS919" s="1">
        <v>1.0</v>
      </c>
      <c r="CT919" s="1">
        <v>0.0</v>
      </c>
      <c r="CU919" s="1">
        <v>0.0</v>
      </c>
      <c r="CV919" s="1">
        <v>0.0</v>
      </c>
      <c r="CW919" s="1">
        <v>0.0</v>
      </c>
      <c r="CX919" s="1">
        <v>0.0</v>
      </c>
      <c r="CY919" s="1">
        <v>0.0</v>
      </c>
      <c r="CZ919" s="1">
        <v>0.0</v>
      </c>
      <c r="DA919" s="1">
        <v>0.0</v>
      </c>
      <c r="DB919" s="1">
        <v>0.0</v>
      </c>
      <c r="DC919" s="1">
        <v>1.0</v>
      </c>
      <c r="DD919" s="1" t="s">
        <v>4264</v>
      </c>
      <c r="DE919" s="1">
        <v>4.78235151136075E-4</v>
      </c>
      <c r="DF919" s="1">
        <v>0.100441774846212</v>
      </c>
    </row>
    <row r="920" ht="15.75" customHeight="1">
      <c r="A920" s="1" t="s">
        <v>4265</v>
      </c>
      <c r="B920" s="1">
        <v>29.0</v>
      </c>
      <c r="C920" s="1">
        <v>183.0</v>
      </c>
      <c r="D920" s="1">
        <v>311153.0</v>
      </c>
      <c r="E920" s="1">
        <v>2.459</v>
      </c>
      <c r="F920" s="1">
        <v>29183.0</v>
      </c>
      <c r="G920" s="1">
        <v>2.9183311153E10</v>
      </c>
      <c r="H920" s="1" t="s">
        <v>112</v>
      </c>
      <c r="I920" s="1" t="s">
        <v>113</v>
      </c>
      <c r="J920" s="1" t="s">
        <v>4207</v>
      </c>
      <c r="K920" s="1" t="s">
        <v>4266</v>
      </c>
      <c r="L920" s="1">
        <v>6437.0</v>
      </c>
      <c r="M920" s="1">
        <v>5958.0</v>
      </c>
      <c r="N920" s="1">
        <v>459.0</v>
      </c>
      <c r="O920" s="1">
        <v>2569.0</v>
      </c>
      <c r="P920" s="1">
        <v>2463.0</v>
      </c>
      <c r="Q920" s="1">
        <v>84.0</v>
      </c>
      <c r="R920" s="1">
        <v>2478.0</v>
      </c>
      <c r="S920" s="1">
        <v>290.0</v>
      </c>
      <c r="T920" s="1">
        <v>148.0</v>
      </c>
      <c r="U920" s="1">
        <v>188.0</v>
      </c>
      <c r="V920" s="1">
        <v>390.0</v>
      </c>
      <c r="W920" s="1">
        <v>37275.0</v>
      </c>
      <c r="X920" s="1">
        <v>3412.0</v>
      </c>
      <c r="Y920" s="1">
        <v>139.0</v>
      </c>
      <c r="Z920" s="1">
        <v>348.0</v>
      </c>
      <c r="AA920" s="1">
        <v>703.0</v>
      </c>
      <c r="AB920" s="1">
        <v>1934.0</v>
      </c>
      <c r="AC920" s="1">
        <v>197.0</v>
      </c>
      <c r="AD920" s="1">
        <v>835.0</v>
      </c>
      <c r="AE920" s="1">
        <v>8.0</v>
      </c>
      <c r="AF920" s="1">
        <v>442.0</v>
      </c>
      <c r="AG920" s="1">
        <v>427.0</v>
      </c>
      <c r="AH920" s="1">
        <v>124.0</v>
      </c>
      <c r="AI920" s="1">
        <v>0.0</v>
      </c>
      <c r="AJ920" s="1">
        <v>114.0</v>
      </c>
      <c r="AK920" s="1">
        <v>8.0</v>
      </c>
      <c r="AL920" s="1">
        <v>115.0</v>
      </c>
      <c r="AM920" s="1">
        <v>85.0</v>
      </c>
      <c r="AN920" s="1">
        <v>63.0</v>
      </c>
      <c r="AO920" s="1">
        <v>0.0</v>
      </c>
      <c r="AP920" s="1">
        <v>0.04878</v>
      </c>
      <c r="AQ920" s="1">
        <v>0.024614</v>
      </c>
      <c r="AR920" s="1">
        <v>0.057668</v>
      </c>
      <c r="AS920" s="1">
        <v>0.119477</v>
      </c>
      <c r="AT920" s="1">
        <v>37275.0</v>
      </c>
      <c r="AU920" s="1">
        <v>3412.0</v>
      </c>
      <c r="AV920" s="1">
        <v>0.037305</v>
      </c>
      <c r="AW920" s="1">
        <v>0.093367</v>
      </c>
      <c r="AX920" s="1">
        <v>0.109212</v>
      </c>
      <c r="AY920" s="1">
        <v>0.30045</v>
      </c>
      <c r="AZ920" s="1">
        <v>0.07949959</v>
      </c>
      <c r="BA920" s="1">
        <v>0.129718</v>
      </c>
      <c r="BB920" s="1">
        <v>0.001499</v>
      </c>
      <c r="BC920" s="1">
        <v>0.082864</v>
      </c>
      <c r="BD920" s="1">
        <v>0.173365</v>
      </c>
      <c r="BE920" s="1">
        <v>0.049996</v>
      </c>
      <c r="BF920" s="1">
        <v>0.0</v>
      </c>
      <c r="BG920" s="1">
        <v>0.046285</v>
      </c>
      <c r="BH920" s="1">
        <v>0.003527</v>
      </c>
      <c r="BI920" s="1">
        <v>0.050705</v>
      </c>
      <c r="BJ920" s="1">
        <v>0.037477</v>
      </c>
      <c r="BK920" s="1">
        <v>0.027689</v>
      </c>
      <c r="BL920" s="1">
        <v>0.0</v>
      </c>
      <c r="BM920" s="1">
        <v>0.161</v>
      </c>
      <c r="BN920" s="1">
        <v>0.389</v>
      </c>
      <c r="BO920" s="1">
        <v>0.0903</v>
      </c>
      <c r="BP920" s="1">
        <v>0.088</v>
      </c>
      <c r="BQ920" s="1">
        <v>0.7283</v>
      </c>
      <c r="BR920" s="1">
        <v>0.1343</v>
      </c>
      <c r="BS920" s="1">
        <v>0.266</v>
      </c>
      <c r="BT920" s="1">
        <v>0.922</v>
      </c>
      <c r="BU920" s="1">
        <v>0.3</v>
      </c>
      <c r="BV920" s="1">
        <v>1.488</v>
      </c>
      <c r="BW920" s="1">
        <v>0.479</v>
      </c>
      <c r="BX920" s="1">
        <v>0.561</v>
      </c>
      <c r="BY920" s="1">
        <v>0.354</v>
      </c>
      <c r="BZ920" s="1">
        <v>0.915</v>
      </c>
      <c r="CA920" s="1">
        <v>0.478</v>
      </c>
      <c r="CB920" s="1">
        <v>0.872</v>
      </c>
      <c r="CC920" s="1">
        <v>0.0</v>
      </c>
      <c r="CD920" s="1">
        <v>0.301</v>
      </c>
      <c r="CE920" s="1">
        <v>0.366</v>
      </c>
      <c r="CF920" s="1">
        <v>0.0</v>
      </c>
      <c r="CG920" s="1">
        <v>1.539</v>
      </c>
      <c r="CH920" s="1">
        <v>0.184</v>
      </c>
      <c r="CI920" s="1">
        <v>4.6703</v>
      </c>
      <c r="CJ920" s="1">
        <v>0.1545</v>
      </c>
      <c r="CK920" s="1">
        <v>0.0</v>
      </c>
      <c r="CL920" s="1">
        <v>0.0</v>
      </c>
      <c r="CM920" s="1">
        <v>0.0</v>
      </c>
      <c r="CN920" s="1">
        <v>0.0</v>
      </c>
      <c r="CO920" s="1">
        <v>0.0</v>
      </c>
      <c r="CP920" s="1">
        <v>0.0</v>
      </c>
      <c r="CQ920" s="1">
        <v>1.0</v>
      </c>
      <c r="CR920" s="1">
        <v>0.0</v>
      </c>
      <c r="CS920" s="1">
        <v>1.0</v>
      </c>
      <c r="CT920" s="1">
        <v>0.0</v>
      </c>
      <c r="CU920" s="1">
        <v>0.0</v>
      </c>
      <c r="CV920" s="1">
        <v>0.0</v>
      </c>
      <c r="CW920" s="1">
        <v>0.0</v>
      </c>
      <c r="CX920" s="1">
        <v>0.0</v>
      </c>
      <c r="CY920" s="1">
        <v>0.0</v>
      </c>
      <c r="CZ920" s="1">
        <v>0.0</v>
      </c>
      <c r="DA920" s="1">
        <v>0.0</v>
      </c>
      <c r="DB920" s="1">
        <v>0.0</v>
      </c>
      <c r="DC920" s="1">
        <v>1.0</v>
      </c>
      <c r="DD920" s="1" t="s">
        <v>4267</v>
      </c>
      <c r="DE920" s="1">
        <v>6.61942305825612E-4</v>
      </c>
      <c r="DF920" s="2" t="s">
        <v>4268</v>
      </c>
    </row>
    <row r="921" ht="15.75" customHeight="1">
      <c r="A921" s="1" t="s">
        <v>4269</v>
      </c>
      <c r="B921" s="1">
        <v>29.0</v>
      </c>
      <c r="C921" s="1">
        <v>183.0</v>
      </c>
      <c r="D921" s="1">
        <v>311154.0</v>
      </c>
      <c r="E921" s="1">
        <v>1.225</v>
      </c>
      <c r="F921" s="1">
        <v>29183.0</v>
      </c>
      <c r="G921" s="1">
        <v>2.9183311154E10</v>
      </c>
      <c r="H921" s="1" t="s">
        <v>112</v>
      </c>
      <c r="I921" s="1" t="s">
        <v>113</v>
      </c>
      <c r="J921" s="1" t="s">
        <v>4207</v>
      </c>
      <c r="K921" s="1" t="s">
        <v>4270</v>
      </c>
      <c r="L921" s="1">
        <v>4970.0</v>
      </c>
      <c r="M921" s="1">
        <v>4851.0</v>
      </c>
      <c r="N921" s="1">
        <v>213.0</v>
      </c>
      <c r="O921" s="1">
        <v>1616.0</v>
      </c>
      <c r="P921" s="1">
        <v>1444.0</v>
      </c>
      <c r="Q921" s="1">
        <v>66.0</v>
      </c>
      <c r="R921" s="1">
        <v>1489.0</v>
      </c>
      <c r="S921" s="1">
        <v>141.0</v>
      </c>
      <c r="T921" s="1">
        <v>170.0</v>
      </c>
      <c r="U921" s="1">
        <v>107.0</v>
      </c>
      <c r="V921" s="1">
        <v>431.0</v>
      </c>
      <c r="W921" s="1">
        <v>31453.0</v>
      </c>
      <c r="X921" s="1">
        <v>2854.0</v>
      </c>
      <c r="Y921" s="1">
        <v>51.0</v>
      </c>
      <c r="Z921" s="1">
        <v>413.0</v>
      </c>
      <c r="AA921" s="1">
        <v>484.0</v>
      </c>
      <c r="AB921" s="1">
        <v>1658.0</v>
      </c>
      <c r="AC921" s="1">
        <v>117.0</v>
      </c>
      <c r="AD921" s="1">
        <v>497.0</v>
      </c>
      <c r="AE921" s="1">
        <v>44.0</v>
      </c>
      <c r="AF921" s="1">
        <v>443.0</v>
      </c>
      <c r="AG921" s="1">
        <v>45.0</v>
      </c>
      <c r="AH921" s="1">
        <v>165.0</v>
      </c>
      <c r="AI921" s="1">
        <v>0.0</v>
      </c>
      <c r="AJ921" s="1">
        <v>114.0</v>
      </c>
      <c r="AK921" s="1">
        <v>0.0</v>
      </c>
      <c r="AL921" s="1">
        <v>161.0</v>
      </c>
      <c r="AM921" s="1">
        <v>45.0</v>
      </c>
      <c r="AN921" s="1">
        <v>120.0</v>
      </c>
      <c r="AO921" s="1">
        <v>164.0</v>
      </c>
      <c r="AP921" s="1">
        <v>0.029066</v>
      </c>
      <c r="AQ921" s="1">
        <v>0.035021</v>
      </c>
      <c r="AR921" s="1">
        <v>0.043319</v>
      </c>
      <c r="AS921" s="1">
        <v>0.174415</v>
      </c>
      <c r="AT921" s="1">
        <v>31453.0</v>
      </c>
      <c r="AU921" s="1">
        <v>2854.0</v>
      </c>
      <c r="AV921" s="1">
        <v>0.018708</v>
      </c>
      <c r="AW921" s="1">
        <v>0.1515</v>
      </c>
      <c r="AX921" s="1">
        <v>0.097384</v>
      </c>
      <c r="AY921" s="1">
        <v>0.333601</v>
      </c>
      <c r="AZ921" s="1">
        <v>0.07857622</v>
      </c>
      <c r="BA921" s="1">
        <v>0.1</v>
      </c>
      <c r="BB921" s="1">
        <v>0.009903</v>
      </c>
      <c r="BC921" s="1">
        <v>0.099706</v>
      </c>
      <c r="BD921" s="1">
        <v>0.031163</v>
      </c>
      <c r="BE921" s="1">
        <v>0.114257</v>
      </c>
      <c r="BF921" s="1">
        <v>0.0</v>
      </c>
      <c r="BG921" s="1">
        <v>0.078947</v>
      </c>
      <c r="BH921" s="1">
        <v>0.0</v>
      </c>
      <c r="BI921" s="1">
        <v>0.111495</v>
      </c>
      <c r="BJ921" s="1">
        <v>0.031163</v>
      </c>
      <c r="BK921" s="1">
        <v>0.08309</v>
      </c>
      <c r="BL921" s="1">
        <v>0.032997</v>
      </c>
      <c r="BM921" s="1">
        <v>0.085</v>
      </c>
      <c r="BN921" s="1">
        <v>0.225</v>
      </c>
      <c r="BO921" s="1">
        <v>0.1675</v>
      </c>
      <c r="BP921" s="1">
        <v>0.031</v>
      </c>
      <c r="BQ921" s="1">
        <v>0.5085</v>
      </c>
      <c r="BR921" s="1">
        <v>0.07</v>
      </c>
      <c r="BS921" s="1">
        <v>0.194</v>
      </c>
      <c r="BT921" s="1">
        <v>0.976</v>
      </c>
      <c r="BU921" s="1">
        <v>0.29</v>
      </c>
      <c r="BV921" s="1">
        <v>1.46</v>
      </c>
      <c r="BW921" s="1">
        <v>0.445</v>
      </c>
      <c r="BX921" s="1">
        <v>0.469</v>
      </c>
      <c r="BY921" s="1">
        <v>0.72</v>
      </c>
      <c r="BZ921" s="1">
        <v>1.189</v>
      </c>
      <c r="CA921" s="1">
        <v>0.656</v>
      </c>
      <c r="CB921" s="1">
        <v>0.554</v>
      </c>
      <c r="CC921" s="1">
        <v>0.0</v>
      </c>
      <c r="CD921" s="1">
        <v>0.0</v>
      </c>
      <c r="CE921" s="1">
        <v>0.293</v>
      </c>
      <c r="CF921" s="1">
        <v>0.823</v>
      </c>
      <c r="CG921" s="1">
        <v>1.67</v>
      </c>
      <c r="CH921" s="1">
        <v>0.223</v>
      </c>
      <c r="CI921" s="1">
        <v>4.8275</v>
      </c>
      <c r="CJ921" s="1">
        <v>0.1819</v>
      </c>
      <c r="CK921" s="1">
        <v>0.0</v>
      </c>
      <c r="CL921" s="1">
        <v>0.0</v>
      </c>
      <c r="CM921" s="1">
        <v>0.0</v>
      </c>
      <c r="CN921" s="1">
        <v>0.0</v>
      </c>
      <c r="CO921" s="1">
        <v>0.0</v>
      </c>
      <c r="CP921" s="1">
        <v>0.0</v>
      </c>
      <c r="CQ921" s="1">
        <v>1.0</v>
      </c>
      <c r="CR921" s="1">
        <v>0.0</v>
      </c>
      <c r="CS921" s="1">
        <v>1.0</v>
      </c>
      <c r="CT921" s="1">
        <v>0.0</v>
      </c>
      <c r="CU921" s="1">
        <v>0.0</v>
      </c>
      <c r="CV921" s="1">
        <v>0.0</v>
      </c>
      <c r="CW921" s="1">
        <v>0.0</v>
      </c>
      <c r="CX921" s="1">
        <v>0.0</v>
      </c>
      <c r="CY921" s="1">
        <v>0.0</v>
      </c>
      <c r="CZ921" s="1">
        <v>0.0</v>
      </c>
      <c r="DA921" s="1">
        <v>0.0</v>
      </c>
      <c r="DB921" s="1">
        <v>0.0</v>
      </c>
      <c r="DC921" s="1">
        <v>1.0</v>
      </c>
      <c r="DD921" s="1" t="s">
        <v>4271</v>
      </c>
      <c r="DE921" s="1">
        <v>3.2765681071465E-4</v>
      </c>
      <c r="DF921" s="1">
        <v>0.0725408342545154</v>
      </c>
    </row>
    <row r="922" ht="15.75" customHeight="1">
      <c r="A922" s="1" t="s">
        <v>4272</v>
      </c>
      <c r="B922" s="1">
        <v>29.0</v>
      </c>
      <c r="C922" s="1">
        <v>183.0</v>
      </c>
      <c r="D922" s="1">
        <v>311203.0</v>
      </c>
      <c r="E922" s="1">
        <v>1.581</v>
      </c>
      <c r="F922" s="1">
        <v>29183.0</v>
      </c>
      <c r="G922" s="1">
        <v>2.9183311203E10</v>
      </c>
      <c r="H922" s="1" t="s">
        <v>112</v>
      </c>
      <c r="I922" s="1" t="s">
        <v>113</v>
      </c>
      <c r="J922" s="1" t="s">
        <v>4207</v>
      </c>
      <c r="K922" s="1" t="s">
        <v>4273</v>
      </c>
      <c r="L922" s="1">
        <v>6135.0</v>
      </c>
      <c r="M922" s="1">
        <v>5991.0</v>
      </c>
      <c r="N922" s="1">
        <v>341.0</v>
      </c>
      <c r="O922" s="1">
        <v>2530.0</v>
      </c>
      <c r="P922" s="1">
        <v>2401.0</v>
      </c>
      <c r="Q922" s="1">
        <v>103.0</v>
      </c>
      <c r="R922" s="1">
        <v>2404.0</v>
      </c>
      <c r="S922" s="1">
        <v>153.0</v>
      </c>
      <c r="T922" s="1">
        <v>136.0</v>
      </c>
      <c r="U922" s="1">
        <v>149.0</v>
      </c>
      <c r="V922" s="1">
        <v>449.0</v>
      </c>
      <c r="W922" s="1">
        <v>34331.0</v>
      </c>
      <c r="X922" s="1">
        <v>5331.0</v>
      </c>
      <c r="Y922" s="1">
        <v>227.0</v>
      </c>
      <c r="Z922" s="1">
        <v>320.0</v>
      </c>
      <c r="AA922" s="1">
        <v>661.0</v>
      </c>
      <c r="AB922" s="1">
        <v>1392.0</v>
      </c>
      <c r="AC922" s="1">
        <v>249.0</v>
      </c>
      <c r="AD922" s="1">
        <v>618.0</v>
      </c>
      <c r="AE922" s="1">
        <v>47.0</v>
      </c>
      <c r="AF922" s="1">
        <v>414.0</v>
      </c>
      <c r="AG922" s="1">
        <v>104.0</v>
      </c>
      <c r="AH922" s="1">
        <v>133.0</v>
      </c>
      <c r="AI922" s="1">
        <v>0.0</v>
      </c>
      <c r="AJ922" s="1">
        <v>114.0</v>
      </c>
      <c r="AK922" s="1">
        <v>13.0</v>
      </c>
      <c r="AL922" s="1">
        <v>116.0</v>
      </c>
      <c r="AM922" s="1">
        <v>53.0</v>
      </c>
      <c r="AN922" s="1">
        <v>41.0</v>
      </c>
      <c r="AO922" s="1">
        <v>0.0</v>
      </c>
      <c r="AP922" s="1">
        <v>0.025538</v>
      </c>
      <c r="AQ922" s="1">
        <v>0.022654</v>
      </c>
      <c r="AR922" s="1">
        <v>0.043389</v>
      </c>
      <c r="AS922" s="1">
        <v>0.130668</v>
      </c>
      <c r="AT922" s="1">
        <v>34331.0</v>
      </c>
      <c r="AU922" s="1">
        <v>5331.0</v>
      </c>
      <c r="AV922" s="1">
        <v>0.055217</v>
      </c>
      <c r="AW922" s="1">
        <v>0.077752</v>
      </c>
      <c r="AX922" s="1">
        <v>0.107742</v>
      </c>
      <c r="AY922" s="1">
        <v>0.226894</v>
      </c>
      <c r="AZ922" s="1">
        <v>0.10357737</v>
      </c>
      <c r="BA922" s="1">
        <v>0.100733</v>
      </c>
      <c r="BB922" s="1">
        <v>0.008392</v>
      </c>
      <c r="BC922" s="1">
        <v>0.073926</v>
      </c>
      <c r="BD922" s="1">
        <v>0.043315</v>
      </c>
      <c r="BE922" s="1">
        <v>0.055362</v>
      </c>
      <c r="BF922" s="1">
        <v>0.0</v>
      </c>
      <c r="BG922" s="1">
        <v>0.04748</v>
      </c>
      <c r="BH922" s="1">
        <v>0.005726</v>
      </c>
      <c r="BI922" s="1">
        <v>0.0511</v>
      </c>
      <c r="BJ922" s="1">
        <v>0.023348</v>
      </c>
      <c r="BK922" s="1">
        <v>0.01801</v>
      </c>
      <c r="BL922" s="1">
        <v>0.0</v>
      </c>
      <c r="BM922" s="1">
        <v>0.075</v>
      </c>
      <c r="BN922" s="1">
        <v>0.226</v>
      </c>
      <c r="BO922" s="1">
        <v>0.1227</v>
      </c>
      <c r="BP922" s="1">
        <v>0.148</v>
      </c>
      <c r="BQ922" s="1">
        <v>0.5717</v>
      </c>
      <c r="BR922" s="1">
        <v>0.0866</v>
      </c>
      <c r="BS922" s="1">
        <v>0.257</v>
      </c>
      <c r="BT922" s="1">
        <v>0.358</v>
      </c>
      <c r="BU922" s="1">
        <v>0.528</v>
      </c>
      <c r="BV922" s="1">
        <v>1.143</v>
      </c>
      <c r="BW922" s="1">
        <v>0.195</v>
      </c>
      <c r="BX922" s="1">
        <v>0.47</v>
      </c>
      <c r="BY922" s="1">
        <v>0.679</v>
      </c>
      <c r="BZ922" s="1">
        <v>1.149</v>
      </c>
      <c r="CA922" s="1">
        <v>0.632</v>
      </c>
      <c r="CB922" s="1">
        <v>0.624</v>
      </c>
      <c r="CC922" s="1">
        <v>0.0</v>
      </c>
      <c r="CD922" s="1">
        <v>0.353</v>
      </c>
      <c r="CE922" s="1">
        <v>0.221</v>
      </c>
      <c r="CF922" s="1">
        <v>0.0</v>
      </c>
      <c r="CG922" s="1">
        <v>1.198</v>
      </c>
      <c r="CH922" s="1">
        <v>0.11</v>
      </c>
      <c r="CI922" s="1">
        <v>4.0617</v>
      </c>
      <c r="CJ922" s="1">
        <v>0.0917</v>
      </c>
      <c r="CK922" s="1">
        <v>0.0</v>
      </c>
      <c r="CL922" s="1">
        <v>0.0</v>
      </c>
      <c r="CM922" s="1">
        <v>0.0</v>
      </c>
      <c r="CN922" s="1">
        <v>0.0</v>
      </c>
      <c r="CO922" s="1">
        <v>0.0</v>
      </c>
      <c r="CP922" s="1">
        <v>0.0</v>
      </c>
      <c r="CQ922" s="1">
        <v>0.0</v>
      </c>
      <c r="CR922" s="1">
        <v>0.0</v>
      </c>
      <c r="CS922" s="1">
        <v>0.0</v>
      </c>
      <c r="CT922" s="1">
        <v>0.0</v>
      </c>
      <c r="CU922" s="1">
        <v>0.0</v>
      </c>
      <c r="CV922" s="1">
        <v>0.0</v>
      </c>
      <c r="CW922" s="1">
        <v>0.0</v>
      </c>
      <c r="CX922" s="1">
        <v>0.0</v>
      </c>
      <c r="CY922" s="1">
        <v>0.0</v>
      </c>
      <c r="CZ922" s="1">
        <v>0.0</v>
      </c>
      <c r="DA922" s="1">
        <v>0.0</v>
      </c>
      <c r="DB922" s="1">
        <v>0.0</v>
      </c>
      <c r="DC922" s="1">
        <v>0.0</v>
      </c>
      <c r="DD922" s="1" t="s">
        <v>4274</v>
      </c>
      <c r="DE922" s="1">
        <v>4.2441484611433E-4</v>
      </c>
      <c r="DF922" s="1">
        <v>0.084007135157246</v>
      </c>
    </row>
    <row r="923" ht="15.75" customHeight="1">
      <c r="A923" s="1" t="s">
        <v>4275</v>
      </c>
      <c r="B923" s="1">
        <v>29.0</v>
      </c>
      <c r="C923" s="1">
        <v>183.0</v>
      </c>
      <c r="D923" s="1">
        <v>312001.0</v>
      </c>
      <c r="E923" s="1">
        <v>27.912</v>
      </c>
      <c r="F923" s="1">
        <v>29183.0</v>
      </c>
      <c r="G923" s="1">
        <v>2.9183312001E10</v>
      </c>
      <c r="H923" s="1" t="s">
        <v>112</v>
      </c>
      <c r="I923" s="1" t="s">
        <v>113</v>
      </c>
      <c r="J923" s="1" t="s">
        <v>4207</v>
      </c>
      <c r="K923" s="1" t="s">
        <v>4276</v>
      </c>
      <c r="L923" s="1">
        <v>2312.0</v>
      </c>
      <c r="M923" s="1">
        <v>2266.0</v>
      </c>
      <c r="N923" s="1">
        <v>154.0</v>
      </c>
      <c r="O923" s="1">
        <v>826.0</v>
      </c>
      <c r="P923" s="1">
        <v>827.0</v>
      </c>
      <c r="Q923" s="1">
        <v>71.0</v>
      </c>
      <c r="R923" s="1">
        <v>790.0</v>
      </c>
      <c r="S923" s="1">
        <v>81.0</v>
      </c>
      <c r="T923" s="1">
        <v>54.0</v>
      </c>
      <c r="U923" s="1">
        <v>45.0</v>
      </c>
      <c r="V923" s="1">
        <v>427.0</v>
      </c>
      <c r="W923" s="1">
        <v>30818.0</v>
      </c>
      <c r="X923" s="1">
        <v>2946.0</v>
      </c>
      <c r="Y923" s="1">
        <v>122.0</v>
      </c>
      <c r="Z923" s="1">
        <v>348.0</v>
      </c>
      <c r="AA923" s="1">
        <v>304.0</v>
      </c>
      <c r="AB923" s="1">
        <v>617.0</v>
      </c>
      <c r="AC923" s="1">
        <v>37.0</v>
      </c>
      <c r="AD923" s="1">
        <v>55.0</v>
      </c>
      <c r="AE923" s="1">
        <v>1.0</v>
      </c>
      <c r="AF923" s="1">
        <v>442.0</v>
      </c>
      <c r="AG923" s="1">
        <v>0.0</v>
      </c>
      <c r="AH923" s="1">
        <v>197.0</v>
      </c>
      <c r="AI923" s="1">
        <v>0.0</v>
      </c>
      <c r="AJ923" s="1">
        <v>114.0</v>
      </c>
      <c r="AK923" s="1">
        <v>6.0</v>
      </c>
      <c r="AL923" s="1">
        <v>114.0</v>
      </c>
      <c r="AM923" s="1">
        <v>4.0</v>
      </c>
      <c r="AN923" s="1">
        <v>114.0</v>
      </c>
      <c r="AO923" s="1">
        <v>0.0</v>
      </c>
      <c r="AP923" s="1">
        <v>0.03584</v>
      </c>
      <c r="AQ923" s="1">
        <v>0.023771</v>
      </c>
      <c r="AR923" s="1">
        <v>0.038006</v>
      </c>
      <c r="AS923" s="1">
        <v>0.360601</v>
      </c>
      <c r="AT923" s="1">
        <v>30818.0</v>
      </c>
      <c r="AU923" s="1">
        <v>2946.0</v>
      </c>
      <c r="AV923" s="1">
        <v>0.080741</v>
      </c>
      <c r="AW923" s="1">
        <v>0.230234</v>
      </c>
      <c r="AX923" s="1">
        <v>0.131487</v>
      </c>
      <c r="AY923" s="1">
        <v>0.266868</v>
      </c>
      <c r="AZ923" s="1">
        <v>0.04683544</v>
      </c>
      <c r="BA923" s="1">
        <v>0.023788</v>
      </c>
      <c r="BB923" s="1">
        <v>4.71E-4</v>
      </c>
      <c r="BC923" s="1">
        <v>0.208294</v>
      </c>
      <c r="BD923" s="1">
        <v>0.0</v>
      </c>
      <c r="BE923" s="1">
        <v>0.23821</v>
      </c>
      <c r="BF923" s="1">
        <v>0.0</v>
      </c>
      <c r="BG923" s="1">
        <v>0.137847</v>
      </c>
      <c r="BH923" s="1">
        <v>0.007481</v>
      </c>
      <c r="BI923" s="1">
        <v>0.142143</v>
      </c>
      <c r="BJ923" s="1">
        <v>0.004987</v>
      </c>
      <c r="BK923" s="1">
        <v>0.142144</v>
      </c>
      <c r="BL923" s="1">
        <v>0.0</v>
      </c>
      <c r="BM923" s="1">
        <v>0.107</v>
      </c>
      <c r="BN923" s="1">
        <v>0.164</v>
      </c>
      <c r="BO923" s="1">
        <v>0.1805</v>
      </c>
      <c r="BP923" s="1">
        <v>0.25</v>
      </c>
      <c r="BQ923" s="1">
        <v>0.7015</v>
      </c>
      <c r="BR923" s="1">
        <v>0.1227</v>
      </c>
      <c r="BS923" s="1">
        <v>0.43</v>
      </c>
      <c r="BT923" s="1">
        <v>0.769</v>
      </c>
      <c r="BU923" s="1">
        <v>0.061</v>
      </c>
      <c r="BV923" s="1">
        <v>1.26</v>
      </c>
      <c r="BW923" s="1">
        <v>0.274</v>
      </c>
      <c r="BX923" s="1">
        <v>0.036</v>
      </c>
      <c r="BY923" s="1">
        <v>0.317</v>
      </c>
      <c r="BZ923" s="1">
        <v>0.353</v>
      </c>
      <c r="CA923" s="1">
        <v>0.147</v>
      </c>
      <c r="CB923" s="1">
        <v>0.0</v>
      </c>
      <c r="CC923" s="1">
        <v>0.0</v>
      </c>
      <c r="CD923" s="1">
        <v>0.411</v>
      </c>
      <c r="CE923" s="1">
        <v>0.05</v>
      </c>
      <c r="CF923" s="1">
        <v>0.0</v>
      </c>
      <c r="CG923" s="1">
        <v>0.461</v>
      </c>
      <c r="CH923" s="1">
        <v>0.024</v>
      </c>
      <c r="CI923" s="1">
        <v>2.7755</v>
      </c>
      <c r="CJ923" s="1">
        <v>0.0123</v>
      </c>
      <c r="CK923" s="1">
        <v>0.0</v>
      </c>
      <c r="CL923" s="1">
        <v>0.0</v>
      </c>
      <c r="CM923" s="1">
        <v>0.0</v>
      </c>
      <c r="CN923" s="1">
        <v>0.0</v>
      </c>
      <c r="CO923" s="1">
        <v>0.0</v>
      </c>
      <c r="CP923" s="1">
        <v>0.0</v>
      </c>
      <c r="CQ923" s="1">
        <v>0.0</v>
      </c>
      <c r="CR923" s="1">
        <v>0.0</v>
      </c>
      <c r="CS923" s="1">
        <v>0.0</v>
      </c>
      <c r="CT923" s="1">
        <v>0.0</v>
      </c>
      <c r="CU923" s="1">
        <v>0.0</v>
      </c>
      <c r="CV923" s="1">
        <v>0.0</v>
      </c>
      <c r="CW923" s="1">
        <v>0.0</v>
      </c>
      <c r="CX923" s="1">
        <v>0.0</v>
      </c>
      <c r="CY923" s="1">
        <v>0.0</v>
      </c>
      <c r="CZ923" s="1">
        <v>0.0</v>
      </c>
      <c r="DA923" s="1">
        <v>0.0</v>
      </c>
      <c r="DB923" s="1">
        <v>0.0</v>
      </c>
      <c r="DC923" s="1">
        <v>0.0</v>
      </c>
      <c r="DD923" s="1" t="s">
        <v>4277</v>
      </c>
      <c r="DE923" s="1">
        <v>0.00750787516650436</v>
      </c>
      <c r="DF923" s="2" t="s">
        <v>4278</v>
      </c>
    </row>
    <row r="924" ht="15.75" customHeight="1">
      <c r="A924" s="1" t="s">
        <v>4279</v>
      </c>
      <c r="B924" s="1">
        <v>29.0</v>
      </c>
      <c r="C924" s="1">
        <v>183.0</v>
      </c>
      <c r="D924" s="1">
        <v>312095.0</v>
      </c>
      <c r="E924" s="1">
        <v>14.8</v>
      </c>
      <c r="F924" s="1">
        <v>29183.0</v>
      </c>
      <c r="G924" s="1">
        <v>2.9183312095E10</v>
      </c>
      <c r="H924" s="1" t="s">
        <v>112</v>
      </c>
      <c r="I924" s="1" t="s">
        <v>113</v>
      </c>
      <c r="J924" s="1" t="s">
        <v>4207</v>
      </c>
      <c r="K924" s="1" t="s">
        <v>4280</v>
      </c>
      <c r="L924" s="1">
        <v>3542.0</v>
      </c>
      <c r="M924" s="1">
        <v>3219.0</v>
      </c>
      <c r="N924" s="1">
        <v>306.0</v>
      </c>
      <c r="O924" s="1">
        <v>1324.0</v>
      </c>
      <c r="P924" s="1">
        <v>1231.0</v>
      </c>
      <c r="Q924" s="1">
        <v>136.0</v>
      </c>
      <c r="R924" s="1">
        <v>1228.0</v>
      </c>
      <c r="S924" s="1">
        <v>91.0</v>
      </c>
      <c r="T924" s="1">
        <v>62.0</v>
      </c>
      <c r="U924" s="1">
        <v>56.0</v>
      </c>
      <c r="V924" s="1">
        <v>396.0</v>
      </c>
      <c r="W924" s="1">
        <v>28321.0</v>
      </c>
      <c r="X924" s="1">
        <v>2720.0</v>
      </c>
      <c r="Y924" s="1">
        <v>209.0</v>
      </c>
      <c r="Z924" s="1">
        <v>287.0</v>
      </c>
      <c r="AA924" s="1">
        <v>279.0</v>
      </c>
      <c r="AB924" s="1">
        <v>1008.0</v>
      </c>
      <c r="AC924" s="1">
        <v>127.0</v>
      </c>
      <c r="AD924" s="1">
        <v>410.0</v>
      </c>
      <c r="AE924" s="1">
        <v>2.0</v>
      </c>
      <c r="AF924" s="1">
        <v>442.0</v>
      </c>
      <c r="AG924" s="1">
        <v>0.0</v>
      </c>
      <c r="AH924" s="1">
        <v>197.0</v>
      </c>
      <c r="AI924" s="1">
        <v>51.0</v>
      </c>
      <c r="AJ924" s="1">
        <v>38.0</v>
      </c>
      <c r="AK924" s="1">
        <v>7.0</v>
      </c>
      <c r="AL924" s="1">
        <v>115.0</v>
      </c>
      <c r="AM924" s="1">
        <v>20.0</v>
      </c>
      <c r="AN924" s="1">
        <v>116.0</v>
      </c>
      <c r="AO924" s="1">
        <v>0.0</v>
      </c>
      <c r="AP924" s="1">
        <v>0.028269</v>
      </c>
      <c r="AQ924" s="1">
        <v>0.019072</v>
      </c>
      <c r="AR924" s="1">
        <v>0.033796</v>
      </c>
      <c r="AS924" s="1">
        <v>0.238947</v>
      </c>
      <c r="AT924" s="1">
        <v>28321.0</v>
      </c>
      <c r="AU924" s="1">
        <v>2720.0</v>
      </c>
      <c r="AV924" s="1">
        <v>0.110757</v>
      </c>
      <c r="AW924" s="1">
        <v>0.151734</v>
      </c>
      <c r="AX924" s="1">
        <v>0.078769</v>
      </c>
      <c r="AY924" s="1">
        <v>0.284584</v>
      </c>
      <c r="AZ924" s="1">
        <v>0.10342019</v>
      </c>
      <c r="BA924" s="1">
        <v>0.115753</v>
      </c>
      <c r="BB924" s="1">
        <v>6.81E-4</v>
      </c>
      <c r="BC924" s="1">
        <v>0.150698</v>
      </c>
      <c r="BD924" s="1">
        <v>0.0</v>
      </c>
      <c r="BE924" s="1">
        <v>0.160032</v>
      </c>
      <c r="BF924" s="1">
        <v>0.041429</v>
      </c>
      <c r="BG924" s="1">
        <v>0.030527</v>
      </c>
      <c r="BH924" s="1">
        <v>0.006039</v>
      </c>
      <c r="BI924" s="1">
        <v>0.099221</v>
      </c>
      <c r="BJ924" s="1">
        <v>0.017256</v>
      </c>
      <c r="BK924" s="1">
        <v>0.100067</v>
      </c>
      <c r="BL924" s="1">
        <v>0.0</v>
      </c>
      <c r="BM924" s="1">
        <v>0.082</v>
      </c>
      <c r="BN924" s="1">
        <v>0.12</v>
      </c>
      <c r="BO924" s="1">
        <v>0.2383</v>
      </c>
      <c r="BP924" s="1">
        <v>0.385</v>
      </c>
      <c r="BQ924" s="1">
        <v>0.8253</v>
      </c>
      <c r="BR924" s="1">
        <v>0.1646</v>
      </c>
      <c r="BS924" s="1">
        <v>0.11</v>
      </c>
      <c r="BT924" s="1">
        <v>0.867</v>
      </c>
      <c r="BU924" s="1">
        <v>0.526</v>
      </c>
      <c r="BV924" s="1">
        <v>1.503</v>
      </c>
      <c r="BW924" s="1">
        <v>0.487</v>
      </c>
      <c r="BX924" s="1">
        <v>0.527</v>
      </c>
      <c r="BY924" s="1">
        <v>0.325</v>
      </c>
      <c r="BZ924" s="1">
        <v>0.852</v>
      </c>
      <c r="CA924" s="1">
        <v>0.437</v>
      </c>
      <c r="CB924" s="1">
        <v>0.0</v>
      </c>
      <c r="CC924" s="1">
        <v>0.583</v>
      </c>
      <c r="CD924" s="1">
        <v>0.359</v>
      </c>
      <c r="CE924" s="1">
        <v>0.154</v>
      </c>
      <c r="CF924" s="1">
        <v>0.0</v>
      </c>
      <c r="CG924" s="1">
        <v>1.096</v>
      </c>
      <c r="CH924" s="1">
        <v>0.092</v>
      </c>
      <c r="CI924" s="1">
        <v>4.2763</v>
      </c>
      <c r="CJ924" s="1">
        <v>0.1141</v>
      </c>
      <c r="CK924" s="1">
        <v>0.0</v>
      </c>
      <c r="CL924" s="1">
        <v>0.0</v>
      </c>
      <c r="CM924" s="1">
        <v>0.0</v>
      </c>
      <c r="CN924" s="1">
        <v>0.0</v>
      </c>
      <c r="CO924" s="1">
        <v>0.0</v>
      </c>
      <c r="CP924" s="1">
        <v>0.0</v>
      </c>
      <c r="CQ924" s="1">
        <v>0.0</v>
      </c>
      <c r="CR924" s="1">
        <v>0.0</v>
      </c>
      <c r="CS924" s="1">
        <v>0.0</v>
      </c>
      <c r="CT924" s="1">
        <v>0.0</v>
      </c>
      <c r="CU924" s="1">
        <v>0.0</v>
      </c>
      <c r="CV924" s="1">
        <v>0.0</v>
      </c>
      <c r="CW924" s="1">
        <v>0.0</v>
      </c>
      <c r="CX924" s="1">
        <v>0.0</v>
      </c>
      <c r="CY924" s="1">
        <v>0.0</v>
      </c>
      <c r="CZ924" s="1">
        <v>0.0</v>
      </c>
      <c r="DA924" s="1">
        <v>0.0</v>
      </c>
      <c r="DB924" s="1">
        <v>0.0</v>
      </c>
      <c r="DC924" s="1">
        <v>0.0</v>
      </c>
      <c r="DD924" s="1" t="s">
        <v>4281</v>
      </c>
      <c r="DE924" s="1">
        <v>0.00397302546287304</v>
      </c>
      <c r="DF924" s="2" t="s">
        <v>4282</v>
      </c>
    </row>
    <row r="925" ht="15.75" customHeight="1">
      <c r="A925" s="1" t="s">
        <v>4283</v>
      </c>
      <c r="B925" s="1">
        <v>29.0</v>
      </c>
      <c r="C925" s="1">
        <v>183.0</v>
      </c>
      <c r="D925" s="1">
        <v>310202.0</v>
      </c>
      <c r="E925" s="1">
        <v>1.431</v>
      </c>
      <c r="F925" s="1">
        <v>29183.0</v>
      </c>
      <c r="G925" s="1">
        <v>2.9183310202E10</v>
      </c>
      <c r="H925" s="1" t="s">
        <v>112</v>
      </c>
      <c r="I925" s="1" t="s">
        <v>113</v>
      </c>
      <c r="J925" s="1" t="s">
        <v>4207</v>
      </c>
      <c r="K925" s="1" t="s">
        <v>4284</v>
      </c>
      <c r="L925" s="1">
        <v>3747.0</v>
      </c>
      <c r="M925" s="1">
        <v>3679.0</v>
      </c>
      <c r="N925" s="1">
        <v>250.0</v>
      </c>
      <c r="O925" s="1">
        <v>1612.0</v>
      </c>
      <c r="P925" s="1">
        <v>1663.0</v>
      </c>
      <c r="Q925" s="1">
        <v>55.0</v>
      </c>
      <c r="R925" s="1">
        <v>1543.0</v>
      </c>
      <c r="S925" s="1">
        <v>425.0</v>
      </c>
      <c r="T925" s="1">
        <v>264.0</v>
      </c>
      <c r="U925" s="1">
        <v>52.0</v>
      </c>
      <c r="V925" s="1">
        <v>472.0</v>
      </c>
      <c r="W925" s="1">
        <v>30977.0</v>
      </c>
      <c r="X925" s="1">
        <v>3139.0</v>
      </c>
      <c r="Y925" s="1">
        <v>280.0</v>
      </c>
      <c r="Z925" s="1">
        <v>303.0</v>
      </c>
      <c r="AA925" s="1">
        <v>715.0</v>
      </c>
      <c r="AB925" s="1">
        <v>884.0</v>
      </c>
      <c r="AC925" s="1">
        <v>165.0</v>
      </c>
      <c r="AD925" s="1">
        <v>350.0</v>
      </c>
      <c r="AE925" s="1">
        <v>25.0</v>
      </c>
      <c r="AF925" s="1">
        <v>427.0</v>
      </c>
      <c r="AG925" s="1">
        <v>292.0</v>
      </c>
      <c r="AH925" s="1">
        <v>119.0</v>
      </c>
      <c r="AI925" s="1">
        <v>0.0</v>
      </c>
      <c r="AJ925" s="1">
        <v>114.0</v>
      </c>
      <c r="AK925" s="1">
        <v>0.0</v>
      </c>
      <c r="AL925" s="1">
        <v>161.0</v>
      </c>
      <c r="AM925" s="1">
        <v>51.0</v>
      </c>
      <c r="AN925" s="1">
        <v>40.0</v>
      </c>
      <c r="AO925" s="1">
        <v>0.0</v>
      </c>
      <c r="AP925" s="1">
        <v>0.11552</v>
      </c>
      <c r="AQ925" s="1">
        <v>0.071327</v>
      </c>
      <c r="AR925" s="1">
        <v>0.030462</v>
      </c>
      <c r="AS925" s="1">
        <v>0.276459</v>
      </c>
      <c r="AT925" s="1">
        <v>30977.0</v>
      </c>
      <c r="AU925" s="1">
        <v>3139.0</v>
      </c>
      <c r="AV925" s="1">
        <v>0.109375</v>
      </c>
      <c r="AW925" s="1">
        <v>0.118022</v>
      </c>
      <c r="AX925" s="1">
        <v>0.190819</v>
      </c>
      <c r="AY925" s="1">
        <v>0.235922</v>
      </c>
      <c r="AZ925" s="1">
        <v>0.10693454</v>
      </c>
      <c r="BA925" s="1">
        <v>0.093408</v>
      </c>
      <c r="BB925" s="1">
        <v>0.00735</v>
      </c>
      <c r="BC925" s="1">
        <v>0.125549</v>
      </c>
      <c r="BD925" s="1">
        <v>0.175586</v>
      </c>
      <c r="BE925" s="1">
        <v>0.071321</v>
      </c>
      <c r="BF925" s="1">
        <v>0.0</v>
      </c>
      <c r="BG925" s="1">
        <v>0.06855</v>
      </c>
      <c r="BH925" s="1">
        <v>0.0</v>
      </c>
      <c r="BI925" s="1">
        <v>0.103072</v>
      </c>
      <c r="BJ925" s="1">
        <v>0.03265</v>
      </c>
      <c r="BK925" s="1">
        <v>0.025508</v>
      </c>
      <c r="BL925" s="1">
        <v>0.0</v>
      </c>
      <c r="BM925" s="1">
        <v>0.435</v>
      </c>
      <c r="BN925" s="1">
        <v>0.09</v>
      </c>
      <c r="BO925" s="1">
        <v>0.1762</v>
      </c>
      <c r="BP925" s="1">
        <v>0.38</v>
      </c>
      <c r="BQ925" s="1">
        <v>1.0812</v>
      </c>
      <c r="BR925" s="1">
        <v>0.2217</v>
      </c>
      <c r="BS925" s="1">
        <v>0.841</v>
      </c>
      <c r="BT925" s="1">
        <v>0.449</v>
      </c>
      <c r="BU925" s="1">
        <v>0.558</v>
      </c>
      <c r="BV925" s="1">
        <v>1.848</v>
      </c>
      <c r="BW925" s="1">
        <v>0.767</v>
      </c>
      <c r="BX925" s="1">
        <v>0.443</v>
      </c>
      <c r="BY925" s="1">
        <v>0.643</v>
      </c>
      <c r="BZ925" s="1">
        <v>1.086</v>
      </c>
      <c r="CA925" s="1">
        <v>0.604</v>
      </c>
      <c r="CB925" s="1">
        <v>0.875</v>
      </c>
      <c r="CC925" s="1">
        <v>0.0</v>
      </c>
      <c r="CD925" s="1">
        <v>0.0</v>
      </c>
      <c r="CE925" s="1">
        <v>0.307</v>
      </c>
      <c r="CF925" s="1">
        <v>0.0</v>
      </c>
      <c r="CG925" s="1">
        <v>1.182</v>
      </c>
      <c r="CH925" s="1">
        <v>0.106</v>
      </c>
      <c r="CI925" s="1">
        <v>5.1972</v>
      </c>
      <c r="CJ925" s="1">
        <v>0.2296</v>
      </c>
      <c r="CK925" s="1">
        <v>0.0</v>
      </c>
      <c r="CL925" s="1">
        <v>0.0</v>
      </c>
      <c r="CM925" s="1">
        <v>0.0</v>
      </c>
      <c r="CN925" s="1">
        <v>0.0</v>
      </c>
      <c r="CO925" s="1">
        <v>0.0</v>
      </c>
      <c r="CP925" s="1">
        <v>0.0</v>
      </c>
      <c r="CQ925" s="1">
        <v>0.0</v>
      </c>
      <c r="CR925" s="1">
        <v>0.0</v>
      </c>
      <c r="CS925" s="1">
        <v>0.0</v>
      </c>
      <c r="CT925" s="1">
        <v>0.0</v>
      </c>
      <c r="CU925" s="1">
        <v>0.0</v>
      </c>
      <c r="CV925" s="1">
        <v>0.0</v>
      </c>
      <c r="CW925" s="1">
        <v>0.0</v>
      </c>
      <c r="CX925" s="1">
        <v>0.0</v>
      </c>
      <c r="CY925" s="1">
        <v>0.0</v>
      </c>
      <c r="CZ925" s="1">
        <v>0.0</v>
      </c>
      <c r="DA925" s="1">
        <v>0.0</v>
      </c>
      <c r="DB925" s="1">
        <v>0.0</v>
      </c>
      <c r="DC925" s="1">
        <v>0.0</v>
      </c>
      <c r="DD925" s="1" t="s">
        <v>4285</v>
      </c>
      <c r="DE925" s="1">
        <v>3.83611565309748E-4</v>
      </c>
      <c r="DF925" s="1">
        <v>0.0931839768602048</v>
      </c>
    </row>
    <row r="926" ht="15.75" customHeight="1">
      <c r="A926" s="1" t="s">
        <v>4286</v>
      </c>
      <c r="B926" s="1">
        <v>29.0</v>
      </c>
      <c r="C926" s="1">
        <v>183.0</v>
      </c>
      <c r="D926" s="1">
        <v>310100.0</v>
      </c>
      <c r="E926" s="1">
        <v>108.616</v>
      </c>
      <c r="F926" s="1">
        <v>29183.0</v>
      </c>
      <c r="G926" s="1">
        <v>2.91833101E10</v>
      </c>
      <c r="H926" s="1" t="s">
        <v>112</v>
      </c>
      <c r="I926" s="1" t="s">
        <v>113</v>
      </c>
      <c r="J926" s="1" t="s">
        <v>4207</v>
      </c>
      <c r="K926" s="1" t="s">
        <v>4287</v>
      </c>
      <c r="L926" s="1">
        <v>2342.0</v>
      </c>
      <c r="M926" s="1">
        <v>2289.0</v>
      </c>
      <c r="N926" s="1">
        <v>287.0</v>
      </c>
      <c r="O926" s="1">
        <v>1160.0</v>
      </c>
      <c r="P926" s="1">
        <v>1162.0</v>
      </c>
      <c r="Q926" s="1">
        <v>79.0</v>
      </c>
      <c r="R926" s="1">
        <v>916.0</v>
      </c>
      <c r="S926" s="1">
        <v>227.0</v>
      </c>
      <c r="T926" s="1">
        <v>98.0</v>
      </c>
      <c r="U926" s="1">
        <v>137.0</v>
      </c>
      <c r="V926" s="1">
        <v>367.0</v>
      </c>
      <c r="W926" s="1">
        <v>22966.0</v>
      </c>
      <c r="X926" s="1">
        <v>2336.0</v>
      </c>
      <c r="Y926" s="1">
        <v>293.0</v>
      </c>
      <c r="Z926" s="1">
        <v>211.0</v>
      </c>
      <c r="AA926" s="1">
        <v>310.0</v>
      </c>
      <c r="AB926" s="1">
        <v>516.0</v>
      </c>
      <c r="AC926" s="1">
        <v>75.0</v>
      </c>
      <c r="AD926" s="1">
        <v>83.0</v>
      </c>
      <c r="AE926" s="1">
        <v>0.0</v>
      </c>
      <c r="AF926" s="1">
        <v>456.0</v>
      </c>
      <c r="AG926" s="1">
        <v>0.0</v>
      </c>
      <c r="AH926" s="1">
        <v>197.0</v>
      </c>
      <c r="AI926" s="1">
        <v>33.0</v>
      </c>
      <c r="AJ926" s="1">
        <v>26.0</v>
      </c>
      <c r="AK926" s="1">
        <v>8.0</v>
      </c>
      <c r="AL926" s="1">
        <v>114.0</v>
      </c>
      <c r="AM926" s="1">
        <v>45.0</v>
      </c>
      <c r="AN926" s="1">
        <v>37.0</v>
      </c>
      <c r="AO926" s="1">
        <v>2.0</v>
      </c>
      <c r="AP926" s="1">
        <v>0.100575</v>
      </c>
      <c r="AQ926" s="1">
        <v>0.041615</v>
      </c>
      <c r="AR926" s="1">
        <v>0.117596</v>
      </c>
      <c r="AS926" s="1">
        <v>0.314596</v>
      </c>
      <c r="AT926" s="1">
        <v>22966.0</v>
      </c>
      <c r="AU926" s="1">
        <v>2336.0</v>
      </c>
      <c r="AV926" s="1">
        <v>0.190383</v>
      </c>
      <c r="AW926" s="1">
        <v>0.135498</v>
      </c>
      <c r="AX926" s="1">
        <v>0.132365</v>
      </c>
      <c r="AY926" s="1">
        <v>0.220324</v>
      </c>
      <c r="AZ926" s="1">
        <v>0.08187772</v>
      </c>
      <c r="BA926" s="1">
        <v>0.035439</v>
      </c>
      <c r="BB926" s="1">
        <v>0.0</v>
      </c>
      <c r="BC926" s="1">
        <v>0.2155</v>
      </c>
      <c r="BD926" s="1">
        <v>0.0</v>
      </c>
      <c r="BE926" s="1">
        <v>0.169535</v>
      </c>
      <c r="BF926" s="1">
        <v>0.028399</v>
      </c>
      <c r="BG926" s="1">
        <v>0.022291</v>
      </c>
      <c r="BH926" s="1">
        <v>0.008556</v>
      </c>
      <c r="BI926" s="1">
        <v>0.121921</v>
      </c>
      <c r="BJ926" s="1">
        <v>0.048128</v>
      </c>
      <c r="BK926" s="1">
        <v>0.039255</v>
      </c>
      <c r="BL926" s="1">
        <v>8.53E-4</v>
      </c>
      <c r="BM926" s="1">
        <v>0.372</v>
      </c>
      <c r="BN926" s="1">
        <v>0.814</v>
      </c>
      <c r="BO926" s="1">
        <v>0.4477</v>
      </c>
      <c r="BP926" s="1">
        <v>0.725</v>
      </c>
      <c r="BQ926" s="1">
        <v>2.3587</v>
      </c>
      <c r="BR926" s="1">
        <v>0.6159</v>
      </c>
      <c r="BS926" s="1">
        <v>0.437</v>
      </c>
      <c r="BT926" s="1">
        <v>0.301</v>
      </c>
      <c r="BU926" s="1">
        <v>0.323</v>
      </c>
      <c r="BV926" s="1">
        <v>1.061</v>
      </c>
      <c r="BW926" s="1">
        <v>0.142</v>
      </c>
      <c r="BX926" s="1">
        <v>0.123</v>
      </c>
      <c r="BY926" s="1">
        <v>0.0</v>
      </c>
      <c r="BZ926" s="1">
        <v>0.123</v>
      </c>
      <c r="CA926" s="1">
        <v>0.059</v>
      </c>
      <c r="CB926" s="1">
        <v>0.0</v>
      </c>
      <c r="CC926" s="1">
        <v>0.543</v>
      </c>
      <c r="CD926" s="1">
        <v>0.446</v>
      </c>
      <c r="CE926" s="1">
        <v>0.472</v>
      </c>
      <c r="CF926" s="1">
        <v>0.387</v>
      </c>
      <c r="CG926" s="1">
        <v>1.848</v>
      </c>
      <c r="CH926" s="1">
        <v>0.286</v>
      </c>
      <c r="CI926" s="1">
        <v>5.3907</v>
      </c>
      <c r="CJ926" s="1">
        <v>0.2614</v>
      </c>
      <c r="CK926" s="1">
        <v>0.0</v>
      </c>
      <c r="CL926" s="1">
        <v>0.0</v>
      </c>
      <c r="CM926" s="1">
        <v>0.0</v>
      </c>
      <c r="CN926" s="1">
        <v>0.0</v>
      </c>
      <c r="CO926" s="1">
        <v>0.0</v>
      </c>
      <c r="CP926" s="1">
        <v>0.0</v>
      </c>
      <c r="CQ926" s="1">
        <v>0.0</v>
      </c>
      <c r="CR926" s="1">
        <v>0.0</v>
      </c>
      <c r="CS926" s="1">
        <v>0.0</v>
      </c>
      <c r="CT926" s="1">
        <v>0.0</v>
      </c>
      <c r="CU926" s="1">
        <v>0.0</v>
      </c>
      <c r="CV926" s="1">
        <v>0.0</v>
      </c>
      <c r="CW926" s="1">
        <v>0.0</v>
      </c>
      <c r="CX926" s="1">
        <v>0.0</v>
      </c>
      <c r="CY926" s="1">
        <v>0.0</v>
      </c>
      <c r="CZ926" s="1">
        <v>0.0</v>
      </c>
      <c r="DA926" s="1">
        <v>0.0</v>
      </c>
      <c r="DB926" s="1">
        <v>0.0</v>
      </c>
      <c r="DC926" s="1">
        <v>0.0</v>
      </c>
      <c r="DD926" s="1" t="s">
        <v>4288</v>
      </c>
      <c r="DE926" s="1">
        <v>0.0340823264377032</v>
      </c>
      <c r="DF926" s="2" t="s">
        <v>4289</v>
      </c>
    </row>
    <row r="927" ht="15.75" customHeight="1">
      <c r="A927" s="1" t="s">
        <v>4290</v>
      </c>
      <c r="B927" s="1">
        <v>29.0</v>
      </c>
      <c r="C927" s="1">
        <v>183.0</v>
      </c>
      <c r="D927" s="1">
        <v>310301.0</v>
      </c>
      <c r="E927" s="1">
        <v>1.253</v>
      </c>
      <c r="F927" s="1">
        <v>29183.0</v>
      </c>
      <c r="G927" s="1">
        <v>2.9183310301E10</v>
      </c>
      <c r="H927" s="1" t="s">
        <v>112</v>
      </c>
      <c r="I927" s="1" t="s">
        <v>113</v>
      </c>
      <c r="J927" s="1" t="s">
        <v>4207</v>
      </c>
      <c r="K927" s="1" t="s">
        <v>4291</v>
      </c>
      <c r="L927" s="1">
        <v>4142.0</v>
      </c>
      <c r="M927" s="1">
        <v>4370.0</v>
      </c>
      <c r="N927" s="1">
        <v>265.0</v>
      </c>
      <c r="O927" s="1">
        <v>1760.0</v>
      </c>
      <c r="P927" s="1">
        <v>1824.0</v>
      </c>
      <c r="Q927" s="1">
        <v>71.0</v>
      </c>
      <c r="R927" s="1">
        <v>1708.0</v>
      </c>
      <c r="S927" s="1">
        <v>176.0</v>
      </c>
      <c r="T927" s="1">
        <v>118.0</v>
      </c>
      <c r="U927" s="1">
        <v>106.0</v>
      </c>
      <c r="V927" s="1">
        <v>431.0</v>
      </c>
      <c r="W927" s="1">
        <v>29181.0</v>
      </c>
      <c r="X927" s="1">
        <v>2147.0</v>
      </c>
      <c r="Y927" s="1">
        <v>280.0</v>
      </c>
      <c r="Z927" s="1">
        <v>297.0</v>
      </c>
      <c r="AA927" s="1">
        <v>922.0</v>
      </c>
      <c r="AB927" s="1">
        <v>791.0</v>
      </c>
      <c r="AC927" s="1">
        <v>107.0</v>
      </c>
      <c r="AD927" s="1">
        <v>245.0</v>
      </c>
      <c r="AE927" s="1">
        <v>11.0</v>
      </c>
      <c r="AF927" s="1">
        <v>442.0</v>
      </c>
      <c r="AG927" s="1">
        <v>0.0</v>
      </c>
      <c r="AH927" s="1">
        <v>197.0</v>
      </c>
      <c r="AI927" s="1">
        <v>0.0</v>
      </c>
      <c r="AJ927" s="1">
        <v>114.0</v>
      </c>
      <c r="AK927" s="1">
        <v>31.0</v>
      </c>
      <c r="AL927" s="1">
        <v>120.0</v>
      </c>
      <c r="AM927" s="1">
        <v>16.0</v>
      </c>
      <c r="AN927" s="1">
        <v>117.0</v>
      </c>
      <c r="AO927" s="1">
        <v>6.0</v>
      </c>
      <c r="AP927" s="1">
        <v>0.040274</v>
      </c>
      <c r="AQ927" s="1">
        <v>0.026891</v>
      </c>
      <c r="AR927" s="1">
        <v>0.05062</v>
      </c>
      <c r="AS927" s="1">
        <v>0.205738</v>
      </c>
      <c r="AT927" s="1">
        <v>29181.0</v>
      </c>
      <c r="AU927" s="1">
        <v>2147.0</v>
      </c>
      <c r="AV927" s="1">
        <v>0.088832</v>
      </c>
      <c r="AW927" s="1">
        <v>0.094106</v>
      </c>
      <c r="AX927" s="1">
        <v>0.222597</v>
      </c>
      <c r="AY927" s="1">
        <v>0.19097</v>
      </c>
      <c r="AZ927" s="1">
        <v>0.06264637</v>
      </c>
      <c r="BA927" s="1">
        <v>0.05915</v>
      </c>
      <c r="BB927" s="1">
        <v>0.002616</v>
      </c>
      <c r="BC927" s="1">
        <v>0.105137</v>
      </c>
      <c r="BD927" s="1">
        <v>0.0</v>
      </c>
      <c r="BE927" s="1">
        <v>0.108004</v>
      </c>
      <c r="BF927" s="1">
        <v>0.0</v>
      </c>
      <c r="BG927" s="1">
        <v>0.0625</v>
      </c>
      <c r="BH927" s="1">
        <v>0.017165</v>
      </c>
      <c r="BI927" s="1">
        <v>0.066441</v>
      </c>
      <c r="BJ927" s="1">
        <v>0.008859</v>
      </c>
      <c r="BK927" s="1">
        <v>0.064782</v>
      </c>
      <c r="BL927" s="1">
        <v>0.001448</v>
      </c>
      <c r="BM927" s="1">
        <v>0.124</v>
      </c>
      <c r="BN927" s="1">
        <v>0.298</v>
      </c>
      <c r="BO927" s="1">
        <v>0.2166</v>
      </c>
      <c r="BP927" s="1">
        <v>0.287</v>
      </c>
      <c r="BQ927" s="1">
        <v>0.9256</v>
      </c>
      <c r="BR927" s="1">
        <v>0.1856</v>
      </c>
      <c r="BS927" s="1">
        <v>0.938</v>
      </c>
      <c r="BT927" s="1">
        <v>0.153</v>
      </c>
      <c r="BU927" s="1">
        <v>0.153</v>
      </c>
      <c r="BV927" s="1">
        <v>1.244</v>
      </c>
      <c r="BW927" s="1">
        <v>0.261</v>
      </c>
      <c r="BX927" s="1">
        <v>0.31</v>
      </c>
      <c r="BY927" s="1">
        <v>0.424</v>
      </c>
      <c r="BZ927" s="1">
        <v>0.734</v>
      </c>
      <c r="CA927" s="1">
        <v>0.354</v>
      </c>
      <c r="CB927" s="1">
        <v>0.0</v>
      </c>
      <c r="CC927" s="1">
        <v>0.0</v>
      </c>
      <c r="CD927" s="1">
        <v>0.63</v>
      </c>
      <c r="CE927" s="1">
        <v>0.074</v>
      </c>
      <c r="CF927" s="1">
        <v>0.422</v>
      </c>
      <c r="CG927" s="1">
        <v>1.126</v>
      </c>
      <c r="CH927" s="1">
        <v>0.097</v>
      </c>
      <c r="CI927" s="1">
        <v>4.0296</v>
      </c>
      <c r="CJ927" s="1">
        <v>0.0895</v>
      </c>
      <c r="CK927" s="1">
        <v>0.0</v>
      </c>
      <c r="CL927" s="1">
        <v>0.0</v>
      </c>
      <c r="CM927" s="1">
        <v>0.0</v>
      </c>
      <c r="CN927" s="1">
        <v>0.0</v>
      </c>
      <c r="CO927" s="1">
        <v>0.0</v>
      </c>
      <c r="CP927" s="1">
        <v>1.0</v>
      </c>
      <c r="CQ927" s="1">
        <v>0.0</v>
      </c>
      <c r="CR927" s="1">
        <v>0.0</v>
      </c>
      <c r="CS927" s="1">
        <v>1.0</v>
      </c>
      <c r="CT927" s="1">
        <v>0.0</v>
      </c>
      <c r="CU927" s="1">
        <v>0.0</v>
      </c>
      <c r="CV927" s="1">
        <v>0.0</v>
      </c>
      <c r="CW927" s="1">
        <v>0.0</v>
      </c>
      <c r="CX927" s="1">
        <v>0.0</v>
      </c>
      <c r="CY927" s="1">
        <v>0.0</v>
      </c>
      <c r="CZ927" s="1">
        <v>0.0</v>
      </c>
      <c r="DA927" s="1">
        <v>0.0</v>
      </c>
      <c r="DB927" s="1">
        <v>0.0</v>
      </c>
      <c r="DC927" s="1">
        <v>1.0</v>
      </c>
      <c r="DD927" s="1" t="s">
        <v>4292</v>
      </c>
      <c r="DE927" s="1">
        <v>3.35127244907124E-4</v>
      </c>
      <c r="DF927" s="1">
        <v>0.0760074599386813</v>
      </c>
    </row>
    <row r="928" ht="15.75" customHeight="1">
      <c r="A928" s="1" t="s">
        <v>4293</v>
      </c>
      <c r="B928" s="1">
        <v>29.0</v>
      </c>
      <c r="C928" s="1">
        <v>183.0</v>
      </c>
      <c r="D928" s="1">
        <v>310400.0</v>
      </c>
      <c r="E928" s="1">
        <v>0.646</v>
      </c>
      <c r="F928" s="1">
        <v>29183.0</v>
      </c>
      <c r="G928" s="1">
        <v>2.91833104E10</v>
      </c>
      <c r="H928" s="1" t="s">
        <v>112</v>
      </c>
      <c r="I928" s="1" t="s">
        <v>113</v>
      </c>
      <c r="J928" s="1" t="s">
        <v>4207</v>
      </c>
      <c r="K928" s="1" t="s">
        <v>4294</v>
      </c>
      <c r="L928" s="1">
        <v>2117.0</v>
      </c>
      <c r="M928" s="1">
        <v>2251.0</v>
      </c>
      <c r="N928" s="1">
        <v>270.0</v>
      </c>
      <c r="O928" s="1">
        <v>1117.0</v>
      </c>
      <c r="P928" s="1">
        <v>1209.0</v>
      </c>
      <c r="Q928" s="1">
        <v>47.0</v>
      </c>
      <c r="R928" s="1">
        <v>963.0</v>
      </c>
      <c r="S928" s="1">
        <v>501.0</v>
      </c>
      <c r="T928" s="1">
        <v>233.0</v>
      </c>
      <c r="U928" s="1">
        <v>165.0</v>
      </c>
      <c r="V928" s="1">
        <v>419.0</v>
      </c>
      <c r="W928" s="1">
        <v>22691.0</v>
      </c>
      <c r="X928" s="1">
        <v>3459.0</v>
      </c>
      <c r="Y928" s="1">
        <v>431.0</v>
      </c>
      <c r="Z928" s="1">
        <v>312.0</v>
      </c>
      <c r="AA928" s="1">
        <v>209.0</v>
      </c>
      <c r="AB928" s="1">
        <v>411.0</v>
      </c>
      <c r="AC928" s="1">
        <v>115.0</v>
      </c>
      <c r="AD928" s="1">
        <v>223.0</v>
      </c>
      <c r="AE928" s="1">
        <v>0.0</v>
      </c>
      <c r="AF928" s="1">
        <v>456.0</v>
      </c>
      <c r="AG928" s="1">
        <v>16.0</v>
      </c>
      <c r="AH928" s="1">
        <v>116.0</v>
      </c>
      <c r="AI928" s="1">
        <v>62.0</v>
      </c>
      <c r="AJ928" s="1">
        <v>64.0</v>
      </c>
      <c r="AK928" s="1">
        <v>70.0</v>
      </c>
      <c r="AL928" s="1">
        <v>126.0</v>
      </c>
      <c r="AM928" s="1">
        <v>132.0</v>
      </c>
      <c r="AN928" s="1">
        <v>76.0</v>
      </c>
      <c r="AO928" s="1">
        <v>44.0</v>
      </c>
      <c r="AP928" s="1">
        <v>0.222567</v>
      </c>
      <c r="AQ928" s="1">
        <v>0.100007</v>
      </c>
      <c r="AR928" s="1">
        <v>0.125</v>
      </c>
      <c r="AS928" s="1">
        <v>0.316864</v>
      </c>
      <c r="AT928" s="1">
        <v>22691.0</v>
      </c>
      <c r="AU928" s="1">
        <v>3459.0</v>
      </c>
      <c r="AV928" s="1">
        <v>0.266049</v>
      </c>
      <c r="AW928" s="1">
        <v>0.190101</v>
      </c>
      <c r="AX928" s="1">
        <v>0.098724</v>
      </c>
      <c r="AY928" s="1">
        <v>0.194142</v>
      </c>
      <c r="AZ928" s="1">
        <v>0.11941848</v>
      </c>
      <c r="BA928" s="1">
        <v>0.105337</v>
      </c>
      <c r="BB928" s="1">
        <v>0.0</v>
      </c>
      <c r="BC928" s="1">
        <v>0.218705</v>
      </c>
      <c r="BD928" s="1">
        <v>0.013234</v>
      </c>
      <c r="BE928" s="1">
        <v>0.095945</v>
      </c>
      <c r="BF928" s="1">
        <v>0.051282</v>
      </c>
      <c r="BG928" s="1">
        <v>0.052898</v>
      </c>
      <c r="BH928" s="1">
        <v>0.066413</v>
      </c>
      <c r="BI928" s="1">
        <v>0.119364</v>
      </c>
      <c r="BJ928" s="1">
        <v>0.125237</v>
      </c>
      <c r="BK928" s="1">
        <v>0.071039</v>
      </c>
      <c r="BL928" s="1">
        <v>0.020784</v>
      </c>
      <c r="BM928" s="1">
        <v>0.776</v>
      </c>
      <c r="BN928" s="1">
        <v>0.839</v>
      </c>
      <c r="BO928" s="1">
        <v>0.4614</v>
      </c>
      <c r="BP928" s="1">
        <v>0.901</v>
      </c>
      <c r="BQ928" s="1">
        <v>2.9774</v>
      </c>
      <c r="BR928" s="1">
        <v>0.8007</v>
      </c>
      <c r="BS928" s="1">
        <v>0.205</v>
      </c>
      <c r="BT928" s="1">
        <v>0.165</v>
      </c>
      <c r="BU928" s="1">
        <v>0.667</v>
      </c>
      <c r="BV928" s="1">
        <v>1.037</v>
      </c>
      <c r="BW928" s="1">
        <v>0.128</v>
      </c>
      <c r="BX928" s="1">
        <v>0.489</v>
      </c>
      <c r="BY928" s="1">
        <v>0.0</v>
      </c>
      <c r="BZ928" s="1">
        <v>0.489</v>
      </c>
      <c r="CA928" s="1">
        <v>0.202</v>
      </c>
      <c r="CB928" s="1">
        <v>0.412</v>
      </c>
      <c r="CC928" s="1">
        <v>0.609</v>
      </c>
      <c r="CD928" s="1">
        <v>0.973</v>
      </c>
      <c r="CE928" s="1">
        <v>0.818</v>
      </c>
      <c r="CF928" s="1">
        <v>0.718</v>
      </c>
      <c r="CG928" s="1">
        <v>3.53</v>
      </c>
      <c r="CH928" s="1">
        <v>0.941</v>
      </c>
      <c r="CI928" s="1">
        <v>8.0334</v>
      </c>
      <c r="CJ928" s="1">
        <v>0.7213</v>
      </c>
      <c r="CK928" s="1">
        <v>0.0</v>
      </c>
      <c r="CL928" s="1">
        <v>0.0</v>
      </c>
      <c r="CM928" s="1">
        <v>0.0</v>
      </c>
      <c r="CN928" s="1">
        <v>1.0</v>
      </c>
      <c r="CO928" s="1">
        <v>1.0</v>
      </c>
      <c r="CP928" s="1">
        <v>0.0</v>
      </c>
      <c r="CQ928" s="1">
        <v>0.0</v>
      </c>
      <c r="CR928" s="1">
        <v>0.0</v>
      </c>
      <c r="CS928" s="1">
        <v>0.0</v>
      </c>
      <c r="CT928" s="1">
        <v>0.0</v>
      </c>
      <c r="CU928" s="1">
        <v>0.0</v>
      </c>
      <c r="CV928" s="1">
        <v>0.0</v>
      </c>
      <c r="CW928" s="1">
        <v>0.0</v>
      </c>
      <c r="CX928" s="1">
        <v>0.0</v>
      </c>
      <c r="CY928" s="1">
        <v>1.0</v>
      </c>
      <c r="CZ928" s="1">
        <v>0.0</v>
      </c>
      <c r="DA928" s="1">
        <v>0.0</v>
      </c>
      <c r="DB928" s="1">
        <v>1.0</v>
      </c>
      <c r="DC928" s="1">
        <v>2.0</v>
      </c>
      <c r="DD928" s="1" t="s">
        <v>4295</v>
      </c>
      <c r="DE928" s="1">
        <v>2.09493229271985E-4</v>
      </c>
      <c r="DF928" s="1">
        <v>0.076337897125022</v>
      </c>
    </row>
    <row r="929" ht="15.75" customHeight="1">
      <c r="A929" s="1" t="s">
        <v>4296</v>
      </c>
      <c r="B929" s="1">
        <v>29.0</v>
      </c>
      <c r="C929" s="1">
        <v>183.0</v>
      </c>
      <c r="D929" s="1">
        <v>310502.0</v>
      </c>
      <c r="E929" s="1">
        <v>0.822</v>
      </c>
      <c r="F929" s="1">
        <v>29183.0</v>
      </c>
      <c r="G929" s="1">
        <v>2.9183310502E10</v>
      </c>
      <c r="H929" s="1" t="s">
        <v>112</v>
      </c>
      <c r="I929" s="1" t="s">
        <v>113</v>
      </c>
      <c r="J929" s="1" t="s">
        <v>4207</v>
      </c>
      <c r="K929" s="1" t="s">
        <v>4297</v>
      </c>
      <c r="L929" s="1">
        <v>2865.0</v>
      </c>
      <c r="M929" s="1">
        <v>4603.0</v>
      </c>
      <c r="N929" s="1">
        <v>1394.0</v>
      </c>
      <c r="O929" s="1">
        <v>1296.0</v>
      </c>
      <c r="P929" s="1">
        <v>1389.0</v>
      </c>
      <c r="Q929" s="1">
        <v>112.0</v>
      </c>
      <c r="R929" s="1">
        <v>1196.0</v>
      </c>
      <c r="S929" s="1">
        <v>345.0</v>
      </c>
      <c r="T929" s="1">
        <v>197.0</v>
      </c>
      <c r="U929" s="1">
        <v>274.0</v>
      </c>
      <c r="V929" s="1">
        <v>421.0</v>
      </c>
      <c r="W929" s="1">
        <v>20403.0</v>
      </c>
      <c r="X929" s="1">
        <v>3331.0</v>
      </c>
      <c r="Y929" s="1">
        <v>600.0</v>
      </c>
      <c r="Z929" s="1">
        <v>416.0</v>
      </c>
      <c r="AA929" s="1">
        <v>272.0</v>
      </c>
      <c r="AB929" s="1">
        <v>473.0</v>
      </c>
      <c r="AC929" s="1">
        <v>111.0</v>
      </c>
      <c r="AD929" s="1">
        <v>413.0</v>
      </c>
      <c r="AE929" s="1">
        <v>0.0</v>
      </c>
      <c r="AF929" s="1">
        <v>456.0</v>
      </c>
      <c r="AG929" s="1">
        <v>400.0</v>
      </c>
      <c r="AH929" s="1">
        <v>148.0</v>
      </c>
      <c r="AI929" s="1">
        <v>15.0</v>
      </c>
      <c r="AJ929" s="1">
        <v>24.0</v>
      </c>
      <c r="AK929" s="1">
        <v>0.0</v>
      </c>
      <c r="AL929" s="1">
        <v>161.0</v>
      </c>
      <c r="AM929" s="1">
        <v>115.0</v>
      </c>
      <c r="AN929" s="1">
        <v>85.0</v>
      </c>
      <c r="AO929" s="1">
        <v>454.0</v>
      </c>
      <c r="AP929" s="1">
        <v>0.122775</v>
      </c>
      <c r="AQ929" s="1">
        <v>0.068467</v>
      </c>
      <c r="AR929" s="1">
        <v>0.166161</v>
      </c>
      <c r="AS929" s="1">
        <v>0.252326</v>
      </c>
      <c r="AT929" s="1">
        <v>20403.0</v>
      </c>
      <c r="AU929" s="1">
        <v>3331.0</v>
      </c>
      <c r="AV929" s="1">
        <v>0.188383</v>
      </c>
      <c r="AW929" s="1">
        <v>0.118132</v>
      </c>
      <c r="AX929" s="1">
        <v>0.094938</v>
      </c>
      <c r="AY929" s="1">
        <v>0.165095</v>
      </c>
      <c r="AZ929" s="1">
        <v>0.09280936</v>
      </c>
      <c r="BA929" s="1">
        <v>0.144153</v>
      </c>
      <c r="BB929" s="1">
        <v>0.0</v>
      </c>
      <c r="BC929" s="1">
        <v>0.100795</v>
      </c>
      <c r="BD929" s="1">
        <v>0.287976</v>
      </c>
      <c r="BE929" s="1">
        <v>0.10399</v>
      </c>
      <c r="BF929" s="1">
        <v>0.010799</v>
      </c>
      <c r="BG929" s="1">
        <v>0.017256</v>
      </c>
      <c r="BH929" s="1">
        <v>0.0</v>
      </c>
      <c r="BI929" s="1">
        <v>0.129213</v>
      </c>
      <c r="BJ929" s="1">
        <v>0.092295</v>
      </c>
      <c r="BK929" s="1">
        <v>0.067524</v>
      </c>
      <c r="BL929" s="1">
        <v>0.158464</v>
      </c>
      <c r="BM929" s="1">
        <v>0.463</v>
      </c>
      <c r="BN929" s="1">
        <v>0.918</v>
      </c>
      <c r="BO929" s="1">
        <v>0.587</v>
      </c>
      <c r="BP929" s="1">
        <v>0.721</v>
      </c>
      <c r="BQ929" s="1">
        <v>2.689</v>
      </c>
      <c r="BR929" s="1">
        <v>0.7184</v>
      </c>
      <c r="BS929" s="1">
        <v>0.18</v>
      </c>
      <c r="BT929" s="1">
        <v>0.094</v>
      </c>
      <c r="BU929" s="1">
        <v>0.427</v>
      </c>
      <c r="BV929" s="1">
        <v>0.701</v>
      </c>
      <c r="BW929" s="1">
        <v>0.056</v>
      </c>
      <c r="BX929" s="1">
        <v>0.602</v>
      </c>
      <c r="BY929" s="1">
        <v>0.0</v>
      </c>
      <c r="BZ929" s="1">
        <v>0.602</v>
      </c>
      <c r="CA929" s="1">
        <v>0.27</v>
      </c>
      <c r="CB929" s="1">
        <v>0.938</v>
      </c>
      <c r="CC929" s="1">
        <v>0.464</v>
      </c>
      <c r="CD929" s="1">
        <v>0.0</v>
      </c>
      <c r="CE929" s="1">
        <v>0.727</v>
      </c>
      <c r="CF929" s="1">
        <v>0.958</v>
      </c>
      <c r="CG929" s="1">
        <v>3.087</v>
      </c>
      <c r="CH929" s="1">
        <v>0.81</v>
      </c>
      <c r="CI929" s="1">
        <v>7.079</v>
      </c>
      <c r="CJ929" s="1">
        <v>0.5653</v>
      </c>
      <c r="CK929" s="1">
        <v>0.0</v>
      </c>
      <c r="CL929" s="1">
        <v>1.0</v>
      </c>
      <c r="CM929" s="1">
        <v>0.0</v>
      </c>
      <c r="CN929" s="1">
        <v>0.0</v>
      </c>
      <c r="CO929" s="1">
        <v>1.0</v>
      </c>
      <c r="CP929" s="1">
        <v>0.0</v>
      </c>
      <c r="CQ929" s="1">
        <v>0.0</v>
      </c>
      <c r="CR929" s="1">
        <v>0.0</v>
      </c>
      <c r="CS929" s="1">
        <v>0.0</v>
      </c>
      <c r="CT929" s="1">
        <v>0.0</v>
      </c>
      <c r="CU929" s="1">
        <v>0.0</v>
      </c>
      <c r="CV929" s="1">
        <v>0.0</v>
      </c>
      <c r="CW929" s="1">
        <v>1.0</v>
      </c>
      <c r="CX929" s="1">
        <v>0.0</v>
      </c>
      <c r="CY929" s="1">
        <v>0.0</v>
      </c>
      <c r="CZ929" s="1">
        <v>0.0</v>
      </c>
      <c r="DA929" s="1">
        <v>1.0</v>
      </c>
      <c r="DB929" s="1">
        <v>2.0</v>
      </c>
      <c r="DC929" s="1">
        <v>3.0</v>
      </c>
      <c r="DD929" s="1" t="s">
        <v>4298</v>
      </c>
      <c r="DE929" s="1">
        <v>2.73937467862205E-4</v>
      </c>
      <c r="DF929" s="1">
        <v>0.0860441452503465</v>
      </c>
    </row>
    <row r="930" ht="15.75" customHeight="1">
      <c r="A930" s="1" t="s">
        <v>4299</v>
      </c>
      <c r="B930" s="1">
        <v>29.0</v>
      </c>
      <c r="C930" s="1">
        <v>183.0</v>
      </c>
      <c r="D930" s="1">
        <v>310601.0</v>
      </c>
      <c r="E930" s="1">
        <v>0.718</v>
      </c>
      <c r="F930" s="1">
        <v>29183.0</v>
      </c>
      <c r="G930" s="1">
        <v>2.9183310601E10</v>
      </c>
      <c r="H930" s="1" t="s">
        <v>112</v>
      </c>
      <c r="I930" s="1" t="s">
        <v>113</v>
      </c>
      <c r="J930" s="1" t="s">
        <v>4207</v>
      </c>
      <c r="K930" s="1" t="s">
        <v>4300</v>
      </c>
      <c r="L930" s="1">
        <v>2060.0</v>
      </c>
      <c r="M930" s="1">
        <v>3495.0</v>
      </c>
      <c r="N930" s="1">
        <v>715.0</v>
      </c>
      <c r="O930" s="1">
        <v>689.0</v>
      </c>
      <c r="P930" s="1">
        <v>789.0</v>
      </c>
      <c r="Q930" s="1">
        <v>47.0</v>
      </c>
      <c r="R930" s="1">
        <v>661.0</v>
      </c>
      <c r="S930" s="1">
        <v>505.0</v>
      </c>
      <c r="T930" s="1">
        <v>344.0</v>
      </c>
      <c r="U930" s="1">
        <v>126.0</v>
      </c>
      <c r="V930" s="1">
        <v>435.0</v>
      </c>
      <c r="W930" s="1">
        <v>14754.0</v>
      </c>
      <c r="X930" s="1">
        <v>2981.0</v>
      </c>
      <c r="Y930" s="1">
        <v>145.0</v>
      </c>
      <c r="Z930" s="1">
        <v>350.0</v>
      </c>
      <c r="AA930" s="1">
        <v>371.0</v>
      </c>
      <c r="AB930" s="1">
        <v>275.0</v>
      </c>
      <c r="AC930" s="1">
        <v>44.0</v>
      </c>
      <c r="AD930" s="1">
        <v>218.0</v>
      </c>
      <c r="AE930" s="1">
        <v>52.0</v>
      </c>
      <c r="AF930" s="1">
        <v>430.0</v>
      </c>
      <c r="AG930" s="1">
        <v>0.0</v>
      </c>
      <c r="AH930" s="1">
        <v>197.0</v>
      </c>
      <c r="AI930" s="1">
        <v>0.0</v>
      </c>
      <c r="AJ930" s="1">
        <v>114.0</v>
      </c>
      <c r="AK930" s="1">
        <v>0.0</v>
      </c>
      <c r="AL930" s="1">
        <v>161.0</v>
      </c>
      <c r="AM930" s="1">
        <v>13.0</v>
      </c>
      <c r="AN930" s="1">
        <v>116.0</v>
      </c>
      <c r="AO930" s="1">
        <v>534.0</v>
      </c>
      <c r="AP930" s="1">
        <v>0.273416</v>
      </c>
      <c r="AQ930" s="1">
        <v>0.180045</v>
      </c>
      <c r="AR930" s="1">
        <v>0.075178</v>
      </c>
      <c r="AS930" s="1">
        <v>0.258865</v>
      </c>
      <c r="AT930" s="1">
        <v>14754.0</v>
      </c>
      <c r="AU930" s="1">
        <v>2981.0</v>
      </c>
      <c r="AV930" s="1">
        <v>0.113369</v>
      </c>
      <c r="AW930" s="1">
        <v>0.273288</v>
      </c>
      <c r="AX930" s="1">
        <v>0.180097</v>
      </c>
      <c r="AY930" s="1">
        <v>0.133495</v>
      </c>
      <c r="AZ930" s="1">
        <v>0.0665658</v>
      </c>
      <c r="BA930" s="1">
        <v>0.105825</v>
      </c>
      <c r="BB930" s="1">
        <v>0.015063</v>
      </c>
      <c r="BC930" s="1">
        <v>0.124526</v>
      </c>
      <c r="BD930" s="1">
        <v>0.0</v>
      </c>
      <c r="BE930" s="1">
        <v>0.249683</v>
      </c>
      <c r="BF930" s="1">
        <v>0.0</v>
      </c>
      <c r="BG930" s="1">
        <v>0.144486</v>
      </c>
      <c r="BH930" s="1">
        <v>0.0</v>
      </c>
      <c r="BI930" s="1">
        <v>0.227401</v>
      </c>
      <c r="BJ930" s="1">
        <v>0.018361</v>
      </c>
      <c r="BK930" s="1">
        <v>0.163824</v>
      </c>
      <c r="BL930" s="1">
        <v>0.259223</v>
      </c>
      <c r="BM930" s="1">
        <v>0.861</v>
      </c>
      <c r="BN930" s="1">
        <v>0.561</v>
      </c>
      <c r="BO930" s="1">
        <v>0.8859</v>
      </c>
      <c r="BP930" s="1">
        <v>0.396</v>
      </c>
      <c r="BQ930" s="1">
        <v>2.7039</v>
      </c>
      <c r="BR930" s="1">
        <v>0.7227</v>
      </c>
      <c r="BS930" s="1">
        <v>0.788</v>
      </c>
      <c r="BT930" s="1">
        <v>0.046</v>
      </c>
      <c r="BU930" s="1">
        <v>0.185</v>
      </c>
      <c r="BV930" s="1">
        <v>1.019</v>
      </c>
      <c r="BW930" s="1">
        <v>0.123</v>
      </c>
      <c r="BX930" s="1">
        <v>0.493</v>
      </c>
      <c r="BY930" s="1">
        <v>0.811</v>
      </c>
      <c r="BZ930" s="1">
        <v>1.304</v>
      </c>
      <c r="CA930" s="1">
        <v>0.715</v>
      </c>
      <c r="CB930" s="1">
        <v>0.0</v>
      </c>
      <c r="CC930" s="1">
        <v>0.0</v>
      </c>
      <c r="CD930" s="1">
        <v>0.0</v>
      </c>
      <c r="CE930" s="1">
        <v>0.168</v>
      </c>
      <c r="CF930" s="1">
        <v>0.974</v>
      </c>
      <c r="CG930" s="1">
        <v>1.142</v>
      </c>
      <c r="CH930" s="1">
        <v>0.1</v>
      </c>
      <c r="CI930" s="1">
        <v>6.1689</v>
      </c>
      <c r="CJ930" s="1">
        <v>0.3993</v>
      </c>
      <c r="CK930" s="1">
        <v>0.0</v>
      </c>
      <c r="CL930" s="1">
        <v>0.0</v>
      </c>
      <c r="CM930" s="1">
        <v>0.0</v>
      </c>
      <c r="CN930" s="1">
        <v>0.0</v>
      </c>
      <c r="CO930" s="1">
        <v>0.0</v>
      </c>
      <c r="CP930" s="1">
        <v>0.0</v>
      </c>
      <c r="CQ930" s="1">
        <v>0.0</v>
      </c>
      <c r="CR930" s="1">
        <v>0.0</v>
      </c>
      <c r="CS930" s="1">
        <v>0.0</v>
      </c>
      <c r="CT930" s="1">
        <v>0.0</v>
      </c>
      <c r="CU930" s="1">
        <v>0.0</v>
      </c>
      <c r="CV930" s="1">
        <v>0.0</v>
      </c>
      <c r="CW930" s="1">
        <v>0.0</v>
      </c>
      <c r="CX930" s="1">
        <v>0.0</v>
      </c>
      <c r="CY930" s="1">
        <v>0.0</v>
      </c>
      <c r="CZ930" s="1">
        <v>0.0</v>
      </c>
      <c r="DA930" s="1">
        <v>1.0</v>
      </c>
      <c r="DB930" s="1">
        <v>1.0</v>
      </c>
      <c r="DC930" s="1">
        <v>1.0</v>
      </c>
      <c r="DD930" s="1" t="s">
        <v>4301</v>
      </c>
      <c r="DE930" s="1">
        <v>1.9435394371684E-4</v>
      </c>
      <c r="DF930" s="1">
        <v>0.0546896470874519</v>
      </c>
    </row>
    <row r="931" ht="15.75" customHeight="1">
      <c r="A931" s="1" t="s">
        <v>4302</v>
      </c>
      <c r="B931" s="1">
        <v>29.0</v>
      </c>
      <c r="C931" s="1">
        <v>183.0</v>
      </c>
      <c r="D931" s="1">
        <v>310501.0</v>
      </c>
      <c r="E931" s="1">
        <v>0.876</v>
      </c>
      <c r="F931" s="1">
        <v>29183.0</v>
      </c>
      <c r="G931" s="1">
        <v>2.9183310501E10</v>
      </c>
      <c r="H931" s="1" t="s">
        <v>112</v>
      </c>
      <c r="I931" s="1" t="s">
        <v>113</v>
      </c>
      <c r="J931" s="1" t="s">
        <v>4207</v>
      </c>
      <c r="K931" s="1" t="s">
        <v>4303</v>
      </c>
      <c r="L931" s="1">
        <v>6750.0</v>
      </c>
      <c r="M931" s="1">
        <v>4031.0</v>
      </c>
      <c r="N931" s="1">
        <v>538.0</v>
      </c>
      <c r="O931" s="1">
        <v>1777.0</v>
      </c>
      <c r="P931" s="1">
        <v>1825.0</v>
      </c>
      <c r="Q931" s="1">
        <v>147.0</v>
      </c>
      <c r="R931" s="1">
        <v>1615.0</v>
      </c>
      <c r="S931" s="1">
        <v>977.0</v>
      </c>
      <c r="T931" s="1">
        <v>309.0</v>
      </c>
      <c r="U931" s="1">
        <v>215.0</v>
      </c>
      <c r="V931" s="1">
        <v>425.0</v>
      </c>
      <c r="W931" s="1">
        <v>17653.0</v>
      </c>
      <c r="X931" s="1">
        <v>2209.0</v>
      </c>
      <c r="Y931" s="1">
        <v>517.0</v>
      </c>
      <c r="Z931" s="1">
        <v>255.0</v>
      </c>
      <c r="AA931" s="1">
        <v>665.0</v>
      </c>
      <c r="AB931" s="1">
        <v>936.0</v>
      </c>
      <c r="AC931" s="1">
        <v>229.0</v>
      </c>
      <c r="AD931" s="1">
        <v>1703.0</v>
      </c>
      <c r="AE931" s="1">
        <v>120.0</v>
      </c>
      <c r="AF931" s="1">
        <v>437.0</v>
      </c>
      <c r="AG931" s="1">
        <v>301.0</v>
      </c>
      <c r="AH931" s="1">
        <v>87.0</v>
      </c>
      <c r="AI931" s="1">
        <v>16.0</v>
      </c>
      <c r="AJ931" s="1">
        <v>29.0</v>
      </c>
      <c r="AK931" s="1">
        <v>73.0</v>
      </c>
      <c r="AL931" s="1">
        <v>129.0</v>
      </c>
      <c r="AM931" s="1">
        <v>178.0</v>
      </c>
      <c r="AN931" s="1">
        <v>96.0</v>
      </c>
      <c r="AO931" s="1">
        <v>2990.0</v>
      </c>
      <c r="AP931" s="1">
        <v>0.248032</v>
      </c>
      <c r="AQ931" s="1">
        <v>0.070844</v>
      </c>
      <c r="AR931" s="1">
        <v>0.10534</v>
      </c>
      <c r="AS931" s="1">
        <v>0.20732</v>
      </c>
      <c r="AT931" s="1">
        <v>17653.0</v>
      </c>
      <c r="AU931" s="1">
        <v>2209.0</v>
      </c>
      <c r="AV931" s="1">
        <v>0.208467</v>
      </c>
      <c r="AW931" s="1">
        <v>0.098422</v>
      </c>
      <c r="AX931" s="1">
        <v>0.098518</v>
      </c>
      <c r="AY931" s="1">
        <v>0.138666</v>
      </c>
      <c r="AZ931" s="1">
        <v>0.14179566</v>
      </c>
      <c r="BA931" s="1">
        <v>0.252296</v>
      </c>
      <c r="BB931" s="1">
        <v>0.032327</v>
      </c>
      <c r="BC931" s="1">
        <v>0.11765</v>
      </c>
      <c r="BD931" s="1">
        <v>0.164931</v>
      </c>
      <c r="BE931" s="1">
        <v>0.045782</v>
      </c>
      <c r="BF931" s="1">
        <v>0.008767</v>
      </c>
      <c r="BG931" s="1">
        <v>0.015874</v>
      </c>
      <c r="BH931" s="1">
        <v>0.041785</v>
      </c>
      <c r="BI931" s="1">
        <v>0.07374</v>
      </c>
      <c r="BJ931" s="1">
        <v>0.101888</v>
      </c>
      <c r="BK931" s="1">
        <v>0.054143</v>
      </c>
      <c r="BL931" s="1">
        <v>0.442962</v>
      </c>
      <c r="BM931" s="1">
        <v>0.823</v>
      </c>
      <c r="BN931" s="1">
        <v>0.763</v>
      </c>
      <c r="BO931" s="1">
        <v>0.7495</v>
      </c>
      <c r="BP931" s="1">
        <v>0.776</v>
      </c>
      <c r="BQ931" s="1">
        <v>3.1115</v>
      </c>
      <c r="BR931" s="1">
        <v>0.8253</v>
      </c>
      <c r="BS931" s="1">
        <v>0.205</v>
      </c>
      <c r="BT931" s="1">
        <v>0.051</v>
      </c>
      <c r="BU931" s="1">
        <v>0.768</v>
      </c>
      <c r="BV931" s="1">
        <v>1.024</v>
      </c>
      <c r="BW931" s="1">
        <v>0.124</v>
      </c>
      <c r="BX931" s="1">
        <v>0.762</v>
      </c>
      <c r="BY931" s="1">
        <v>0.924</v>
      </c>
      <c r="BZ931" s="1">
        <v>1.686</v>
      </c>
      <c r="CA931" s="1">
        <v>0.914</v>
      </c>
      <c r="CB931" s="1">
        <v>0.859</v>
      </c>
      <c r="CC931" s="1">
        <v>0.446</v>
      </c>
      <c r="CD931" s="1">
        <v>0.902</v>
      </c>
      <c r="CE931" s="1">
        <v>0.761</v>
      </c>
      <c r="CF931" s="1">
        <v>0.992</v>
      </c>
      <c r="CG931" s="1">
        <v>3.96</v>
      </c>
      <c r="CH931" s="1">
        <v>0.997</v>
      </c>
      <c r="CI931" s="1">
        <v>9.7815</v>
      </c>
      <c r="CJ931" s="1">
        <v>0.9343</v>
      </c>
      <c r="CK931" s="1">
        <v>0.0</v>
      </c>
      <c r="CL931" s="1">
        <v>0.0</v>
      </c>
      <c r="CM931" s="1">
        <v>0.0</v>
      </c>
      <c r="CN931" s="1">
        <v>0.0</v>
      </c>
      <c r="CO931" s="1">
        <v>0.0</v>
      </c>
      <c r="CP931" s="1">
        <v>0.0</v>
      </c>
      <c r="CQ931" s="1">
        <v>0.0</v>
      </c>
      <c r="CR931" s="1">
        <v>0.0</v>
      </c>
      <c r="CS931" s="1">
        <v>0.0</v>
      </c>
      <c r="CT931" s="1">
        <v>0.0</v>
      </c>
      <c r="CU931" s="1">
        <v>1.0</v>
      </c>
      <c r="CV931" s="1">
        <v>1.0</v>
      </c>
      <c r="CW931" s="1">
        <v>0.0</v>
      </c>
      <c r="CX931" s="1">
        <v>0.0</v>
      </c>
      <c r="CY931" s="1">
        <v>1.0</v>
      </c>
      <c r="CZ931" s="1">
        <v>0.0</v>
      </c>
      <c r="DA931" s="1">
        <v>1.0</v>
      </c>
      <c r="DB931" s="1">
        <v>2.0</v>
      </c>
      <c r="DC931" s="1">
        <v>3.0</v>
      </c>
      <c r="DD931" s="1" t="s">
        <v>4304</v>
      </c>
      <c r="DE931" s="1">
        <v>2.31729202629109E-4</v>
      </c>
      <c r="DF931" s="1">
        <v>0.0622038837321315</v>
      </c>
    </row>
    <row r="932" ht="15.75" customHeight="1">
      <c r="A932" s="1" t="s">
        <v>4305</v>
      </c>
      <c r="B932" s="1">
        <v>29.0</v>
      </c>
      <c r="C932" s="1">
        <v>183.0</v>
      </c>
      <c r="D932" s="1">
        <v>311001.0</v>
      </c>
      <c r="E932" s="1">
        <v>2.065</v>
      </c>
      <c r="F932" s="1">
        <v>29183.0</v>
      </c>
      <c r="G932" s="1">
        <v>2.9183311001E10</v>
      </c>
      <c r="H932" s="1" t="s">
        <v>112</v>
      </c>
      <c r="I932" s="1" t="s">
        <v>113</v>
      </c>
      <c r="J932" s="1" t="s">
        <v>4207</v>
      </c>
      <c r="K932" s="1" t="s">
        <v>4306</v>
      </c>
      <c r="L932" s="1">
        <v>4049.0</v>
      </c>
      <c r="M932" s="1">
        <v>3880.0</v>
      </c>
      <c r="N932" s="1">
        <v>322.0</v>
      </c>
      <c r="O932" s="1">
        <v>1805.0</v>
      </c>
      <c r="P932" s="1">
        <v>1715.0</v>
      </c>
      <c r="Q932" s="1">
        <v>132.0</v>
      </c>
      <c r="R932" s="1">
        <v>1683.0</v>
      </c>
      <c r="S932" s="1">
        <v>268.0</v>
      </c>
      <c r="T932" s="1">
        <v>171.0</v>
      </c>
      <c r="U932" s="1">
        <v>111.0</v>
      </c>
      <c r="V932" s="1">
        <v>450.0</v>
      </c>
      <c r="W932" s="1">
        <v>30666.0</v>
      </c>
      <c r="X932" s="1">
        <v>3759.0</v>
      </c>
      <c r="Y932" s="1">
        <v>214.0</v>
      </c>
      <c r="Z932" s="1">
        <v>359.0</v>
      </c>
      <c r="AA932" s="1">
        <v>636.0</v>
      </c>
      <c r="AB932" s="1">
        <v>884.0</v>
      </c>
      <c r="AC932" s="1">
        <v>150.0</v>
      </c>
      <c r="AD932" s="1">
        <v>708.0</v>
      </c>
      <c r="AE932" s="1">
        <v>171.0</v>
      </c>
      <c r="AF932" s="1">
        <v>428.0</v>
      </c>
      <c r="AG932" s="1">
        <v>399.0</v>
      </c>
      <c r="AH932" s="1">
        <v>121.0</v>
      </c>
      <c r="AI932" s="1">
        <v>0.0</v>
      </c>
      <c r="AJ932" s="1">
        <v>114.0</v>
      </c>
      <c r="AK932" s="1">
        <v>19.0</v>
      </c>
      <c r="AL932" s="1">
        <v>117.0</v>
      </c>
      <c r="AM932" s="1">
        <v>154.0</v>
      </c>
      <c r="AN932" s="1">
        <v>85.0</v>
      </c>
      <c r="AO932" s="1">
        <v>145.0</v>
      </c>
      <c r="AP932" s="1">
        <v>0.069072</v>
      </c>
      <c r="AQ932" s="1">
        <v>0.043697</v>
      </c>
      <c r="AR932" s="1">
        <v>0.048156</v>
      </c>
      <c r="AS932" s="1">
        <v>0.195127</v>
      </c>
      <c r="AT932" s="1">
        <v>30666.0</v>
      </c>
      <c r="AU932" s="1">
        <v>3759.0</v>
      </c>
      <c r="AV932" s="1">
        <v>0.077368</v>
      </c>
      <c r="AW932" s="1">
        <v>0.129625</v>
      </c>
      <c r="AX932" s="1">
        <v>0.157075</v>
      </c>
      <c r="AY932" s="1">
        <v>0.218325</v>
      </c>
      <c r="AZ932" s="1">
        <v>0.08912655</v>
      </c>
      <c r="BA932" s="1">
        <v>0.174857</v>
      </c>
      <c r="BB932" s="1">
        <v>0.04712</v>
      </c>
      <c r="BC932" s="1">
        <v>0.117879</v>
      </c>
      <c r="BD932" s="1">
        <v>0.232653</v>
      </c>
      <c r="BE932" s="1">
        <v>0.068243</v>
      </c>
      <c r="BF932" s="1">
        <v>0.0</v>
      </c>
      <c r="BG932" s="1">
        <v>0.066472</v>
      </c>
      <c r="BH932" s="1">
        <v>0.011143</v>
      </c>
      <c r="BI932" s="1">
        <v>0.068616</v>
      </c>
      <c r="BJ932" s="1">
        <v>0.090322</v>
      </c>
      <c r="BK932" s="1">
        <v>0.049382</v>
      </c>
      <c r="BL932" s="1">
        <v>0.035811</v>
      </c>
      <c r="BM932" s="1">
        <v>0.246</v>
      </c>
      <c r="BN932" s="1">
        <v>0.276</v>
      </c>
      <c r="BO932" s="1">
        <v>0.1834</v>
      </c>
      <c r="BP932" s="1">
        <v>0.235</v>
      </c>
      <c r="BQ932" s="1">
        <v>0.9404</v>
      </c>
      <c r="BR932" s="1">
        <v>0.187</v>
      </c>
      <c r="BS932" s="1">
        <v>0.645</v>
      </c>
      <c r="BT932" s="1">
        <v>0.29</v>
      </c>
      <c r="BU932" s="1">
        <v>0.394</v>
      </c>
      <c r="BV932" s="1">
        <v>1.329</v>
      </c>
      <c r="BW932" s="1">
        <v>0.326</v>
      </c>
      <c r="BX932" s="1">
        <v>0.67</v>
      </c>
      <c r="BY932" s="1">
        <v>0.956</v>
      </c>
      <c r="BZ932" s="1">
        <v>1.626</v>
      </c>
      <c r="CA932" s="1">
        <v>0.882</v>
      </c>
      <c r="CB932" s="1">
        <v>0.91</v>
      </c>
      <c r="CC932" s="1">
        <v>0.0</v>
      </c>
      <c r="CD932" s="1">
        <v>0.501</v>
      </c>
      <c r="CE932" s="1">
        <v>0.72</v>
      </c>
      <c r="CF932" s="1">
        <v>0.844</v>
      </c>
      <c r="CG932" s="1">
        <v>2.975</v>
      </c>
      <c r="CH932" s="1">
        <v>0.766</v>
      </c>
      <c r="CI932" s="1">
        <v>6.8704</v>
      </c>
      <c r="CJ932" s="1">
        <v>0.5249</v>
      </c>
      <c r="CK932" s="1">
        <v>0.0</v>
      </c>
      <c r="CL932" s="1">
        <v>0.0</v>
      </c>
      <c r="CM932" s="1">
        <v>0.0</v>
      </c>
      <c r="CN932" s="1">
        <v>0.0</v>
      </c>
      <c r="CO932" s="1">
        <v>0.0</v>
      </c>
      <c r="CP932" s="1">
        <v>0.0</v>
      </c>
      <c r="CQ932" s="1">
        <v>0.0</v>
      </c>
      <c r="CR932" s="1">
        <v>0.0</v>
      </c>
      <c r="CS932" s="1">
        <v>0.0</v>
      </c>
      <c r="CT932" s="1">
        <v>0.0</v>
      </c>
      <c r="CU932" s="1">
        <v>1.0</v>
      </c>
      <c r="CV932" s="1">
        <v>1.0</v>
      </c>
      <c r="CW932" s="1">
        <v>1.0</v>
      </c>
      <c r="CX932" s="1">
        <v>0.0</v>
      </c>
      <c r="CY932" s="1">
        <v>0.0</v>
      </c>
      <c r="CZ932" s="1">
        <v>0.0</v>
      </c>
      <c r="DA932" s="1">
        <v>0.0</v>
      </c>
      <c r="DB932" s="1">
        <v>1.0</v>
      </c>
      <c r="DC932" s="1">
        <v>2.0</v>
      </c>
      <c r="DD932" s="1" t="s">
        <v>4307</v>
      </c>
      <c r="DE932" s="1">
        <v>6.45200209614775E-4</v>
      </c>
      <c r="DF932" s="2" t="s">
        <v>4308</v>
      </c>
    </row>
    <row r="933" ht="15.75" customHeight="1">
      <c r="A933" s="1" t="s">
        <v>4309</v>
      </c>
      <c r="B933" s="1">
        <v>29.0</v>
      </c>
      <c r="C933" s="1">
        <v>183.0</v>
      </c>
      <c r="D933" s="1">
        <v>311004.0</v>
      </c>
      <c r="E933" s="1">
        <v>1.075</v>
      </c>
      <c r="F933" s="1">
        <v>29183.0</v>
      </c>
      <c r="G933" s="1">
        <v>2.9183311004E10</v>
      </c>
      <c r="H933" s="1" t="s">
        <v>112</v>
      </c>
      <c r="I933" s="1" t="s">
        <v>113</v>
      </c>
      <c r="J933" s="1" t="s">
        <v>4207</v>
      </c>
      <c r="K933" s="1" t="s">
        <v>4310</v>
      </c>
      <c r="L933" s="1">
        <v>5144.0</v>
      </c>
      <c r="M933" s="1">
        <v>4471.0</v>
      </c>
      <c r="N933" s="1">
        <v>345.0</v>
      </c>
      <c r="O933" s="1">
        <v>2472.0</v>
      </c>
      <c r="P933" s="1">
        <v>2524.0</v>
      </c>
      <c r="Q933" s="1">
        <v>95.0</v>
      </c>
      <c r="R933" s="1">
        <v>2343.0</v>
      </c>
      <c r="S933" s="1">
        <v>294.0</v>
      </c>
      <c r="T933" s="1">
        <v>141.0</v>
      </c>
      <c r="U933" s="1">
        <v>147.0</v>
      </c>
      <c r="V933" s="1">
        <v>421.0</v>
      </c>
      <c r="W933" s="1">
        <v>31872.0</v>
      </c>
      <c r="X933" s="1">
        <v>3511.0</v>
      </c>
      <c r="Y933" s="1">
        <v>271.0</v>
      </c>
      <c r="Z933" s="1">
        <v>351.0</v>
      </c>
      <c r="AA933" s="1">
        <v>719.0</v>
      </c>
      <c r="AB933" s="1">
        <v>1058.0</v>
      </c>
      <c r="AC933" s="1">
        <v>234.0</v>
      </c>
      <c r="AD933" s="1">
        <v>1074.0</v>
      </c>
      <c r="AE933" s="1">
        <v>23.0</v>
      </c>
      <c r="AF933" s="1">
        <v>427.0</v>
      </c>
      <c r="AG933" s="1">
        <v>785.0</v>
      </c>
      <c r="AH933" s="1">
        <v>202.0</v>
      </c>
      <c r="AI933" s="1">
        <v>163.0</v>
      </c>
      <c r="AJ933" s="1">
        <v>91.0</v>
      </c>
      <c r="AK933" s="1">
        <v>0.0</v>
      </c>
      <c r="AL933" s="1">
        <v>161.0</v>
      </c>
      <c r="AM933" s="1">
        <v>262.0</v>
      </c>
      <c r="AN933" s="1">
        <v>125.0</v>
      </c>
      <c r="AO933" s="1">
        <v>0.0</v>
      </c>
      <c r="AP933" s="1">
        <v>0.065904</v>
      </c>
      <c r="AQ933" s="1">
        <v>0.031191</v>
      </c>
      <c r="AR933" s="1">
        <v>0.055576</v>
      </c>
      <c r="AS933" s="1">
        <v>0.15901</v>
      </c>
      <c r="AT933" s="1">
        <v>31872.0</v>
      </c>
      <c r="AU933" s="1">
        <v>3511.0</v>
      </c>
      <c r="AV933" s="1">
        <v>0.081675</v>
      </c>
      <c r="AW933" s="1">
        <v>0.105528</v>
      </c>
      <c r="AX933" s="1">
        <v>0.139774</v>
      </c>
      <c r="AY933" s="1">
        <v>0.205676</v>
      </c>
      <c r="AZ933" s="1">
        <v>0.09987195</v>
      </c>
      <c r="BA933" s="1">
        <v>0.208786</v>
      </c>
      <c r="BB933" s="1">
        <v>0.00548</v>
      </c>
      <c r="BC933" s="1">
        <v>0.101738</v>
      </c>
      <c r="BD933" s="1">
        <v>0.311014</v>
      </c>
      <c r="BE933" s="1">
        <v>0.07917</v>
      </c>
      <c r="BF933" s="1">
        <v>0.06458</v>
      </c>
      <c r="BG933" s="1">
        <v>0.035971</v>
      </c>
      <c r="BH933" s="1">
        <v>0.0</v>
      </c>
      <c r="BI933" s="1">
        <v>0.069366</v>
      </c>
      <c r="BJ933" s="1">
        <v>0.112882</v>
      </c>
      <c r="BK933" s="1">
        <v>0.053346</v>
      </c>
      <c r="BL933" s="1">
        <v>0.0</v>
      </c>
      <c r="BM933" s="1">
        <v>0.229</v>
      </c>
      <c r="BN933" s="1">
        <v>0.357</v>
      </c>
      <c r="BO933" s="1">
        <v>0.1567</v>
      </c>
      <c r="BP933" s="1">
        <v>0.255</v>
      </c>
      <c r="BQ933" s="1">
        <v>0.9977</v>
      </c>
      <c r="BR933" s="1">
        <v>0.2007</v>
      </c>
      <c r="BS933" s="1">
        <v>0.496</v>
      </c>
      <c r="BT933" s="1">
        <v>0.217</v>
      </c>
      <c r="BU933" s="1">
        <v>0.494</v>
      </c>
      <c r="BV933" s="1">
        <v>1.207</v>
      </c>
      <c r="BW933" s="1">
        <v>0.235</v>
      </c>
      <c r="BX933" s="1">
        <v>0.72</v>
      </c>
      <c r="BY933" s="1">
        <v>0.58</v>
      </c>
      <c r="BZ933" s="1">
        <v>1.3</v>
      </c>
      <c r="CA933" s="1">
        <v>0.712</v>
      </c>
      <c r="CB933" s="1">
        <v>0.948</v>
      </c>
      <c r="CC933" s="1">
        <v>0.638</v>
      </c>
      <c r="CD933" s="1">
        <v>0.0</v>
      </c>
      <c r="CE933" s="1">
        <v>0.789</v>
      </c>
      <c r="CF933" s="1">
        <v>0.0</v>
      </c>
      <c r="CG933" s="1">
        <v>2.375</v>
      </c>
      <c r="CH933" s="1">
        <v>0.5</v>
      </c>
      <c r="CI933" s="1">
        <v>5.8797</v>
      </c>
      <c r="CJ933" s="1">
        <v>0.3516</v>
      </c>
      <c r="CK933" s="1">
        <v>0.0</v>
      </c>
      <c r="CL933" s="1">
        <v>0.0</v>
      </c>
      <c r="CM933" s="1">
        <v>0.0</v>
      </c>
      <c r="CN933" s="1">
        <v>0.0</v>
      </c>
      <c r="CO933" s="1">
        <v>0.0</v>
      </c>
      <c r="CP933" s="1">
        <v>0.0</v>
      </c>
      <c r="CQ933" s="1">
        <v>0.0</v>
      </c>
      <c r="CR933" s="1">
        <v>0.0</v>
      </c>
      <c r="CS933" s="1">
        <v>0.0</v>
      </c>
      <c r="CT933" s="1">
        <v>0.0</v>
      </c>
      <c r="CU933" s="1">
        <v>0.0</v>
      </c>
      <c r="CV933" s="1">
        <v>0.0</v>
      </c>
      <c r="CW933" s="1">
        <v>1.0</v>
      </c>
      <c r="CX933" s="1">
        <v>0.0</v>
      </c>
      <c r="CY933" s="1">
        <v>0.0</v>
      </c>
      <c r="CZ933" s="1">
        <v>0.0</v>
      </c>
      <c r="DA933" s="1">
        <v>0.0</v>
      </c>
      <c r="DB933" s="1">
        <v>1.0</v>
      </c>
      <c r="DC933" s="1">
        <v>1.0</v>
      </c>
      <c r="DD933" s="1" t="s">
        <v>4311</v>
      </c>
      <c r="DE933" s="1">
        <v>2.88152520457515E-4</v>
      </c>
      <c r="DF933" s="1">
        <v>0.0660628532816604</v>
      </c>
    </row>
    <row r="934" ht="15.75" customHeight="1">
      <c r="A934" s="1" t="s">
        <v>4312</v>
      </c>
      <c r="B934" s="1">
        <v>29.0</v>
      </c>
      <c r="C934" s="1">
        <v>183.0</v>
      </c>
      <c r="D934" s="1">
        <v>311103.0</v>
      </c>
      <c r="E934" s="1">
        <v>8.253</v>
      </c>
      <c r="F934" s="1">
        <v>29183.0</v>
      </c>
      <c r="G934" s="1">
        <v>2.9183311103E10</v>
      </c>
      <c r="H934" s="1" t="s">
        <v>112</v>
      </c>
      <c r="I934" s="1" t="s">
        <v>113</v>
      </c>
      <c r="J934" s="1" t="s">
        <v>4207</v>
      </c>
      <c r="K934" s="1" t="s">
        <v>4313</v>
      </c>
      <c r="L934" s="1">
        <v>6622.0</v>
      </c>
      <c r="M934" s="1">
        <v>6666.0</v>
      </c>
      <c r="N934" s="1">
        <v>351.0</v>
      </c>
      <c r="O934" s="1">
        <v>2559.0</v>
      </c>
      <c r="P934" s="1">
        <v>2678.0</v>
      </c>
      <c r="Q934" s="1">
        <v>156.0</v>
      </c>
      <c r="R934" s="1">
        <v>2438.0</v>
      </c>
      <c r="S934" s="1">
        <v>311.0</v>
      </c>
      <c r="T934" s="1">
        <v>253.0</v>
      </c>
      <c r="U934" s="1">
        <v>172.0</v>
      </c>
      <c r="V934" s="1">
        <v>405.0</v>
      </c>
      <c r="W934" s="1">
        <v>46684.0</v>
      </c>
      <c r="X934" s="1">
        <v>4668.0</v>
      </c>
      <c r="Y934" s="1">
        <v>199.0</v>
      </c>
      <c r="Z934" s="1">
        <v>335.0</v>
      </c>
      <c r="AA934" s="1">
        <v>1192.0</v>
      </c>
      <c r="AB934" s="1">
        <v>1600.0</v>
      </c>
      <c r="AC934" s="1">
        <v>110.0</v>
      </c>
      <c r="AD934" s="1">
        <v>382.0</v>
      </c>
      <c r="AE934" s="1">
        <v>44.0</v>
      </c>
      <c r="AF934" s="1">
        <v>413.0</v>
      </c>
      <c r="AG934" s="1">
        <v>220.0</v>
      </c>
      <c r="AH934" s="1">
        <v>131.0</v>
      </c>
      <c r="AI934" s="1">
        <v>37.0</v>
      </c>
      <c r="AJ934" s="1">
        <v>38.0</v>
      </c>
      <c r="AK934" s="1">
        <v>0.0</v>
      </c>
      <c r="AL934" s="1">
        <v>161.0</v>
      </c>
      <c r="AM934" s="1">
        <v>165.0</v>
      </c>
      <c r="AN934" s="1">
        <v>57.0</v>
      </c>
      <c r="AO934" s="1">
        <v>133.0</v>
      </c>
      <c r="AP934" s="1">
        <v>0.046654</v>
      </c>
      <c r="AQ934" s="1">
        <v>0.037874</v>
      </c>
      <c r="AR934" s="1">
        <v>0.052137</v>
      </c>
      <c r="AS934" s="1">
        <v>0.122658</v>
      </c>
      <c r="AT934" s="1">
        <v>46684.0</v>
      </c>
      <c r="AU934" s="1">
        <v>4668.0</v>
      </c>
      <c r="AV934" s="1">
        <v>0.044007</v>
      </c>
      <c r="AW934" s="1">
        <v>0.074024</v>
      </c>
      <c r="AX934" s="1">
        <v>0.180006</v>
      </c>
      <c r="AY934" s="1">
        <v>0.241618</v>
      </c>
      <c r="AZ934" s="1">
        <v>0.04511894</v>
      </c>
      <c r="BA934" s="1">
        <v>0.057686</v>
      </c>
      <c r="BB934" s="1">
        <v>0.006781</v>
      </c>
      <c r="BC934" s="1">
        <v>0.063654</v>
      </c>
      <c r="BD934" s="1">
        <v>0.08215</v>
      </c>
      <c r="BE934" s="1">
        <v>0.048682</v>
      </c>
      <c r="BF934" s="1">
        <v>0.013816</v>
      </c>
      <c r="BG934" s="1">
        <v>0.014166</v>
      </c>
      <c r="BH934" s="1">
        <v>0.0</v>
      </c>
      <c r="BI934" s="1">
        <v>0.064092</v>
      </c>
      <c r="BJ934" s="1">
        <v>0.065684</v>
      </c>
      <c r="BK934" s="1">
        <v>0.022297</v>
      </c>
      <c r="BL934" s="1">
        <v>0.020084</v>
      </c>
      <c r="BM934" s="1">
        <v>0.151</v>
      </c>
      <c r="BN934" s="1">
        <v>0.318</v>
      </c>
      <c r="BO934" s="1">
        <v>0.0339</v>
      </c>
      <c r="BP934" s="1">
        <v>0.109</v>
      </c>
      <c r="BQ934" s="1">
        <v>0.6119</v>
      </c>
      <c r="BR934" s="1">
        <v>0.1018</v>
      </c>
      <c r="BS934" s="1">
        <v>0.787</v>
      </c>
      <c r="BT934" s="1">
        <v>0.511</v>
      </c>
      <c r="BU934" s="1">
        <v>0.058</v>
      </c>
      <c r="BV934" s="1">
        <v>1.356</v>
      </c>
      <c r="BW934" s="1">
        <v>0.353</v>
      </c>
      <c r="BX934" s="1">
        <v>0.301</v>
      </c>
      <c r="BY934" s="1">
        <v>0.624</v>
      </c>
      <c r="BZ934" s="1">
        <v>0.925</v>
      </c>
      <c r="CA934" s="1">
        <v>0.487</v>
      </c>
      <c r="CB934" s="1">
        <v>0.734</v>
      </c>
      <c r="CC934" s="1">
        <v>0.484</v>
      </c>
      <c r="CD934" s="1">
        <v>0.0</v>
      </c>
      <c r="CE934" s="1">
        <v>0.603</v>
      </c>
      <c r="CF934" s="1">
        <v>0.712</v>
      </c>
      <c r="CG934" s="1">
        <v>2.533</v>
      </c>
      <c r="CH934" s="1">
        <v>0.574</v>
      </c>
      <c r="CI934" s="1">
        <v>5.4259</v>
      </c>
      <c r="CJ934" s="1">
        <v>0.2686</v>
      </c>
      <c r="CK934" s="1">
        <v>0.0</v>
      </c>
      <c r="CL934" s="1">
        <v>0.0</v>
      </c>
      <c r="CM934" s="1">
        <v>0.0</v>
      </c>
      <c r="CN934" s="1">
        <v>0.0</v>
      </c>
      <c r="CO934" s="1">
        <v>0.0</v>
      </c>
      <c r="CP934" s="1">
        <v>0.0</v>
      </c>
      <c r="CQ934" s="1">
        <v>0.0</v>
      </c>
      <c r="CR934" s="1">
        <v>0.0</v>
      </c>
      <c r="CS934" s="1">
        <v>0.0</v>
      </c>
      <c r="CT934" s="1">
        <v>0.0</v>
      </c>
      <c r="CU934" s="1">
        <v>0.0</v>
      </c>
      <c r="CV934" s="1">
        <v>0.0</v>
      </c>
      <c r="CW934" s="1">
        <v>0.0</v>
      </c>
      <c r="CX934" s="1">
        <v>0.0</v>
      </c>
      <c r="CY934" s="1">
        <v>0.0</v>
      </c>
      <c r="CZ934" s="1">
        <v>0.0</v>
      </c>
      <c r="DA934" s="1">
        <v>0.0</v>
      </c>
      <c r="DB934" s="1">
        <v>0.0</v>
      </c>
      <c r="DC934" s="1">
        <v>0.0</v>
      </c>
      <c r="DD934" s="1" t="s">
        <v>4314</v>
      </c>
      <c r="DE934" s="1">
        <v>0.00234784172073472</v>
      </c>
      <c r="DF934" s="2" t="s">
        <v>4315</v>
      </c>
    </row>
    <row r="935" ht="15.75" customHeight="1">
      <c r="A935" s="1" t="s">
        <v>4316</v>
      </c>
      <c r="B935" s="1">
        <v>29.0</v>
      </c>
      <c r="C935" s="1">
        <v>183.0</v>
      </c>
      <c r="D935" s="1">
        <v>311114.0</v>
      </c>
      <c r="E935" s="1">
        <v>2.187</v>
      </c>
      <c r="F935" s="1">
        <v>29183.0</v>
      </c>
      <c r="G935" s="1">
        <v>2.9183311114E10</v>
      </c>
      <c r="H935" s="1" t="s">
        <v>112</v>
      </c>
      <c r="I935" s="1" t="s">
        <v>113</v>
      </c>
      <c r="J935" s="1" t="s">
        <v>4207</v>
      </c>
      <c r="K935" s="1" t="s">
        <v>4317</v>
      </c>
      <c r="L935" s="1">
        <v>4550.0</v>
      </c>
      <c r="M935" s="1">
        <v>4455.0</v>
      </c>
      <c r="N935" s="1">
        <v>286.0</v>
      </c>
      <c r="O935" s="1">
        <v>1603.0</v>
      </c>
      <c r="P935" s="1">
        <v>1569.0</v>
      </c>
      <c r="Q935" s="1">
        <v>72.0</v>
      </c>
      <c r="R935" s="1">
        <v>1513.0</v>
      </c>
      <c r="S935" s="1">
        <v>234.0</v>
      </c>
      <c r="T935" s="1">
        <v>237.0</v>
      </c>
      <c r="U935" s="1">
        <v>130.0</v>
      </c>
      <c r="V935" s="1">
        <v>399.0</v>
      </c>
      <c r="W935" s="1">
        <v>34815.0</v>
      </c>
      <c r="X935" s="1">
        <v>3729.0</v>
      </c>
      <c r="Y935" s="1">
        <v>109.0</v>
      </c>
      <c r="Z935" s="1">
        <v>346.0</v>
      </c>
      <c r="AA935" s="1">
        <v>423.0</v>
      </c>
      <c r="AB935" s="1">
        <v>1308.0</v>
      </c>
      <c r="AC935" s="1">
        <v>83.0</v>
      </c>
      <c r="AD935" s="1">
        <v>397.0</v>
      </c>
      <c r="AE935" s="1">
        <v>16.0</v>
      </c>
      <c r="AF935" s="1">
        <v>442.0</v>
      </c>
      <c r="AG935" s="1">
        <v>0.0</v>
      </c>
      <c r="AH935" s="1">
        <v>197.0</v>
      </c>
      <c r="AI935" s="1">
        <v>0.0</v>
      </c>
      <c r="AJ935" s="1">
        <v>114.0</v>
      </c>
      <c r="AK935" s="1">
        <v>22.0</v>
      </c>
      <c r="AL935" s="1">
        <v>117.0</v>
      </c>
      <c r="AM935" s="1">
        <v>0.0</v>
      </c>
      <c r="AN935" s="1">
        <v>161.0</v>
      </c>
      <c r="AO935" s="1">
        <v>0.0</v>
      </c>
      <c r="AP935" s="1">
        <v>0.052702</v>
      </c>
      <c r="AQ935" s="1">
        <v>0.053273</v>
      </c>
      <c r="AR935" s="1">
        <v>0.05662</v>
      </c>
      <c r="AS935" s="1">
        <v>0.173686</v>
      </c>
      <c r="AT935" s="1">
        <v>34815.0</v>
      </c>
      <c r="AU935" s="1">
        <v>3729.0</v>
      </c>
      <c r="AV935" s="1">
        <v>0.03904</v>
      </c>
      <c r="AW935" s="1">
        <v>0.123912</v>
      </c>
      <c r="AX935" s="1">
        <v>0.092967</v>
      </c>
      <c r="AY935" s="1">
        <v>0.287472</v>
      </c>
      <c r="AZ935" s="1">
        <v>0.05485789</v>
      </c>
      <c r="BA935" s="1">
        <v>0.087252</v>
      </c>
      <c r="BB935" s="1">
        <v>0.00381</v>
      </c>
      <c r="BC935" s="1">
        <v>0.105262</v>
      </c>
      <c r="BD935" s="1">
        <v>0.0</v>
      </c>
      <c r="BE935" s="1">
        <v>0.125557</v>
      </c>
      <c r="BF935" s="1">
        <v>0.0</v>
      </c>
      <c r="BG935" s="1">
        <v>0.072657</v>
      </c>
      <c r="BH935" s="1">
        <v>0.01435</v>
      </c>
      <c r="BI935" s="1">
        <v>0.076317</v>
      </c>
      <c r="BJ935" s="1">
        <v>0.0</v>
      </c>
      <c r="BK935" s="1">
        <v>0.105022</v>
      </c>
      <c r="BL935" s="1">
        <v>0.0</v>
      </c>
      <c r="BM935" s="1">
        <v>0.179</v>
      </c>
      <c r="BN935" s="1">
        <v>0.376</v>
      </c>
      <c r="BO935" s="1">
        <v>0.1148</v>
      </c>
      <c r="BP935" s="1">
        <v>0.093</v>
      </c>
      <c r="BQ935" s="1">
        <v>0.7628</v>
      </c>
      <c r="BR935" s="1">
        <v>0.1466</v>
      </c>
      <c r="BS935" s="1">
        <v>0.174</v>
      </c>
      <c r="BT935" s="1">
        <v>0.879</v>
      </c>
      <c r="BU935" s="1">
        <v>0.104</v>
      </c>
      <c r="BV935" s="1">
        <v>1.157</v>
      </c>
      <c r="BW935" s="1">
        <v>0.202</v>
      </c>
      <c r="BX935" s="1">
        <v>0.421</v>
      </c>
      <c r="BY935" s="1">
        <v>0.502</v>
      </c>
      <c r="BZ935" s="1">
        <v>0.923</v>
      </c>
      <c r="CA935" s="1">
        <v>0.485</v>
      </c>
      <c r="CB935" s="1">
        <v>0.0</v>
      </c>
      <c r="CC935" s="1">
        <v>0.0</v>
      </c>
      <c r="CD935" s="1">
        <v>0.579</v>
      </c>
      <c r="CE935" s="1">
        <v>0.0</v>
      </c>
      <c r="CF935" s="1">
        <v>0.0</v>
      </c>
      <c r="CG935" s="1">
        <v>0.579</v>
      </c>
      <c r="CH935" s="1">
        <v>0.038</v>
      </c>
      <c r="CI935" s="1">
        <v>3.4218</v>
      </c>
      <c r="CJ935" s="1">
        <v>0.0375</v>
      </c>
      <c r="CK935" s="1">
        <v>0.0</v>
      </c>
      <c r="CL935" s="1">
        <v>0.0</v>
      </c>
      <c r="CM935" s="1">
        <v>0.0</v>
      </c>
      <c r="CN935" s="1">
        <v>0.0</v>
      </c>
      <c r="CO935" s="1">
        <v>0.0</v>
      </c>
      <c r="CP935" s="1">
        <v>0.0</v>
      </c>
      <c r="CQ935" s="1">
        <v>0.0</v>
      </c>
      <c r="CR935" s="1">
        <v>0.0</v>
      </c>
      <c r="CS935" s="1">
        <v>0.0</v>
      </c>
      <c r="CT935" s="1">
        <v>0.0</v>
      </c>
      <c r="CU935" s="1">
        <v>0.0</v>
      </c>
      <c r="CV935" s="1">
        <v>0.0</v>
      </c>
      <c r="CW935" s="1">
        <v>0.0</v>
      </c>
      <c r="CX935" s="1">
        <v>0.0</v>
      </c>
      <c r="CY935" s="1">
        <v>0.0</v>
      </c>
      <c r="CZ935" s="1">
        <v>0.0</v>
      </c>
      <c r="DA935" s="1">
        <v>0.0</v>
      </c>
      <c r="DB935" s="1">
        <v>0.0</v>
      </c>
      <c r="DC935" s="1">
        <v>0.0</v>
      </c>
      <c r="DD935" s="1" t="s">
        <v>4318</v>
      </c>
      <c r="DE935" s="1">
        <v>5.82743702288383E-4</v>
      </c>
      <c r="DF935" s="2" t="s">
        <v>4319</v>
      </c>
    </row>
    <row r="936" ht="15.75" customHeight="1">
      <c r="A936" s="1" t="s">
        <v>4320</v>
      </c>
      <c r="B936" s="1">
        <v>29.0</v>
      </c>
      <c r="C936" s="1">
        <v>183.0</v>
      </c>
      <c r="D936" s="1">
        <v>311122.0</v>
      </c>
      <c r="E936" s="1">
        <v>1.831</v>
      </c>
      <c r="F936" s="1">
        <v>29183.0</v>
      </c>
      <c r="G936" s="1">
        <v>2.9183311122E10</v>
      </c>
      <c r="H936" s="1" t="s">
        <v>112</v>
      </c>
      <c r="I936" s="1" t="s">
        <v>113</v>
      </c>
      <c r="J936" s="1" t="s">
        <v>4207</v>
      </c>
      <c r="K936" s="1" t="s">
        <v>4321</v>
      </c>
      <c r="L936" s="1">
        <v>6773.0</v>
      </c>
      <c r="M936" s="1">
        <v>7337.0</v>
      </c>
      <c r="N936" s="1">
        <v>526.0</v>
      </c>
      <c r="O936" s="1">
        <v>2585.0</v>
      </c>
      <c r="P936" s="1">
        <v>2596.0</v>
      </c>
      <c r="Q936" s="1">
        <v>70.0</v>
      </c>
      <c r="R936" s="1">
        <v>2508.0</v>
      </c>
      <c r="S936" s="1">
        <v>667.0</v>
      </c>
      <c r="T936" s="1">
        <v>408.0</v>
      </c>
      <c r="U936" s="1">
        <v>159.0</v>
      </c>
      <c r="V936" s="1">
        <v>437.0</v>
      </c>
      <c r="W936" s="1">
        <v>28652.0</v>
      </c>
      <c r="X936" s="1">
        <v>2713.0</v>
      </c>
      <c r="Y936" s="1">
        <v>271.0</v>
      </c>
      <c r="Z936" s="1">
        <v>345.0</v>
      </c>
      <c r="AA936" s="1">
        <v>579.0</v>
      </c>
      <c r="AB936" s="1">
        <v>1906.0</v>
      </c>
      <c r="AC936" s="1">
        <v>353.0</v>
      </c>
      <c r="AD936" s="1">
        <v>1157.0</v>
      </c>
      <c r="AE936" s="1">
        <v>34.0</v>
      </c>
      <c r="AF936" s="1">
        <v>428.0</v>
      </c>
      <c r="AG936" s="1">
        <v>282.0</v>
      </c>
      <c r="AH936" s="1">
        <v>111.0</v>
      </c>
      <c r="AI936" s="1">
        <v>0.0</v>
      </c>
      <c r="AJ936" s="1">
        <v>114.0</v>
      </c>
      <c r="AK936" s="1">
        <v>87.0</v>
      </c>
      <c r="AL936" s="1">
        <v>134.0</v>
      </c>
      <c r="AM936" s="1">
        <v>112.0</v>
      </c>
      <c r="AN936" s="1">
        <v>95.0</v>
      </c>
      <c r="AO936" s="1">
        <v>0.0</v>
      </c>
      <c r="AP936" s="1">
        <v>0.090909</v>
      </c>
      <c r="AQ936" s="1">
        <v>0.055225</v>
      </c>
      <c r="AR936" s="1">
        <v>0.044612</v>
      </c>
      <c r="AS936" s="1">
        <v>0.122527</v>
      </c>
      <c r="AT936" s="1">
        <v>28652.0</v>
      </c>
      <c r="AU936" s="1">
        <v>2713.0</v>
      </c>
      <c r="AV936" s="1">
        <v>0.06317</v>
      </c>
      <c r="AW936" s="1">
        <v>0.080356</v>
      </c>
      <c r="AX936" s="1">
        <v>0.085486</v>
      </c>
      <c r="AY936" s="1">
        <v>0.281411</v>
      </c>
      <c r="AZ936" s="1">
        <v>0.1407496</v>
      </c>
      <c r="BA936" s="1">
        <v>0.170825</v>
      </c>
      <c r="BB936" s="1">
        <v>0.005208</v>
      </c>
      <c r="BC936" s="1">
        <v>0.065562</v>
      </c>
      <c r="BD936" s="1">
        <v>0.108628</v>
      </c>
      <c r="BE936" s="1">
        <v>0.042657</v>
      </c>
      <c r="BF936" s="1">
        <v>0.0</v>
      </c>
      <c r="BG936" s="1">
        <v>0.043913</v>
      </c>
      <c r="BH936" s="1">
        <v>0.034606</v>
      </c>
      <c r="BI936" s="1">
        <v>0.053283</v>
      </c>
      <c r="BJ936" s="1">
        <v>0.04455</v>
      </c>
      <c r="BK936" s="1">
        <v>0.037745</v>
      </c>
      <c r="BL936" s="1">
        <v>0.0</v>
      </c>
      <c r="BM936" s="1">
        <v>0.341</v>
      </c>
      <c r="BN936" s="1">
        <v>0.233</v>
      </c>
      <c r="BO936" s="1">
        <v>0.2303</v>
      </c>
      <c r="BP936" s="1">
        <v>0.179</v>
      </c>
      <c r="BQ936" s="1">
        <v>0.9833</v>
      </c>
      <c r="BR936" s="1">
        <v>0.1971</v>
      </c>
      <c r="BS936" s="1">
        <v>0.141</v>
      </c>
      <c r="BT936" s="1">
        <v>0.854</v>
      </c>
      <c r="BU936" s="1">
        <v>0.761</v>
      </c>
      <c r="BV936" s="1">
        <v>1.756</v>
      </c>
      <c r="BW936" s="1">
        <v>0.687</v>
      </c>
      <c r="BX936" s="1">
        <v>0.666</v>
      </c>
      <c r="BY936" s="1">
        <v>0.571</v>
      </c>
      <c r="BZ936" s="1">
        <v>1.237</v>
      </c>
      <c r="CA936" s="1">
        <v>0.681</v>
      </c>
      <c r="CB936" s="1">
        <v>0.784</v>
      </c>
      <c r="CC936" s="1">
        <v>0.0</v>
      </c>
      <c r="CD936" s="1">
        <v>0.856</v>
      </c>
      <c r="CE936" s="1">
        <v>0.438</v>
      </c>
      <c r="CF936" s="1">
        <v>0.0</v>
      </c>
      <c r="CG936" s="1">
        <v>2.078</v>
      </c>
      <c r="CH936" s="1">
        <v>0.373</v>
      </c>
      <c r="CI936" s="1">
        <v>6.0543</v>
      </c>
      <c r="CJ936" s="1">
        <v>0.3805</v>
      </c>
      <c r="CK936" s="1">
        <v>0.0</v>
      </c>
      <c r="CL936" s="1">
        <v>0.0</v>
      </c>
      <c r="CM936" s="1">
        <v>0.0</v>
      </c>
      <c r="CN936" s="1">
        <v>0.0</v>
      </c>
      <c r="CO936" s="1">
        <v>0.0</v>
      </c>
      <c r="CP936" s="1">
        <v>0.0</v>
      </c>
      <c r="CQ936" s="1">
        <v>0.0</v>
      </c>
      <c r="CR936" s="1">
        <v>0.0</v>
      </c>
      <c r="CS936" s="1">
        <v>0.0</v>
      </c>
      <c r="CT936" s="1">
        <v>0.0</v>
      </c>
      <c r="CU936" s="1">
        <v>0.0</v>
      </c>
      <c r="CV936" s="1">
        <v>0.0</v>
      </c>
      <c r="CW936" s="1">
        <v>0.0</v>
      </c>
      <c r="CX936" s="1">
        <v>0.0</v>
      </c>
      <c r="CY936" s="1">
        <v>0.0</v>
      </c>
      <c r="CZ936" s="1">
        <v>0.0</v>
      </c>
      <c r="DA936" s="1">
        <v>0.0</v>
      </c>
      <c r="DB936" s="1">
        <v>0.0</v>
      </c>
      <c r="DC936" s="1">
        <v>0.0</v>
      </c>
      <c r="DD936" s="1" t="s">
        <v>4322</v>
      </c>
      <c r="DE936" s="1">
        <v>4.88486135021034E-4</v>
      </c>
      <c r="DF936" s="2" t="s">
        <v>4323</v>
      </c>
    </row>
    <row r="937" ht="15.75" customHeight="1">
      <c r="A937" s="1" t="s">
        <v>4324</v>
      </c>
      <c r="B937" s="1">
        <v>29.0</v>
      </c>
      <c r="C937" s="1">
        <v>183.0</v>
      </c>
      <c r="D937" s="1">
        <v>311124.0</v>
      </c>
      <c r="E937" s="1">
        <v>4.541</v>
      </c>
      <c r="F937" s="1">
        <v>29183.0</v>
      </c>
      <c r="G937" s="1">
        <v>2.9183311124E10</v>
      </c>
      <c r="H937" s="1" t="s">
        <v>112</v>
      </c>
      <c r="I937" s="1" t="s">
        <v>113</v>
      </c>
      <c r="J937" s="1" t="s">
        <v>4207</v>
      </c>
      <c r="K937" s="1" t="s">
        <v>4325</v>
      </c>
      <c r="L937" s="1">
        <v>6581.0</v>
      </c>
      <c r="M937" s="1">
        <v>6190.0</v>
      </c>
      <c r="N937" s="1">
        <v>356.0</v>
      </c>
      <c r="O937" s="1">
        <v>2423.0</v>
      </c>
      <c r="P937" s="1">
        <v>2388.0</v>
      </c>
      <c r="Q937" s="1">
        <v>66.0</v>
      </c>
      <c r="R937" s="1">
        <v>2341.0</v>
      </c>
      <c r="S937" s="1">
        <v>122.0</v>
      </c>
      <c r="T937" s="1">
        <v>85.0</v>
      </c>
      <c r="U937" s="1">
        <v>72.0</v>
      </c>
      <c r="V937" s="1">
        <v>429.0</v>
      </c>
      <c r="W937" s="1">
        <v>36627.0</v>
      </c>
      <c r="X937" s="1">
        <v>3184.0</v>
      </c>
      <c r="Y937" s="1">
        <v>158.0</v>
      </c>
      <c r="Z937" s="1">
        <v>309.0</v>
      </c>
      <c r="AA937" s="1">
        <v>519.0</v>
      </c>
      <c r="AB937" s="1">
        <v>1909.0</v>
      </c>
      <c r="AC937" s="1">
        <v>204.0</v>
      </c>
      <c r="AD937" s="1">
        <v>707.0</v>
      </c>
      <c r="AE937" s="1">
        <v>47.0</v>
      </c>
      <c r="AF937" s="1">
        <v>414.0</v>
      </c>
      <c r="AG937" s="1">
        <v>154.0</v>
      </c>
      <c r="AH937" s="1">
        <v>140.0</v>
      </c>
      <c r="AI937" s="1">
        <v>0.0</v>
      </c>
      <c r="AJ937" s="1">
        <v>114.0</v>
      </c>
      <c r="AK937" s="1">
        <v>0.0</v>
      </c>
      <c r="AL937" s="1">
        <v>161.0</v>
      </c>
      <c r="AM937" s="1">
        <v>51.0</v>
      </c>
      <c r="AN937" s="1">
        <v>47.0</v>
      </c>
      <c r="AO937" s="1">
        <v>14.0</v>
      </c>
      <c r="AP937" s="1">
        <v>0.019766</v>
      </c>
      <c r="AQ937" s="1">
        <v>0.013724</v>
      </c>
      <c r="AR937" s="1">
        <v>0.020565</v>
      </c>
      <c r="AS937" s="1">
        <v>0.122522</v>
      </c>
      <c r="AT937" s="1">
        <v>36627.0</v>
      </c>
      <c r="AU937" s="1">
        <v>3184.0</v>
      </c>
      <c r="AV937" s="1">
        <v>0.039618</v>
      </c>
      <c r="AW937" s="1">
        <v>0.077454</v>
      </c>
      <c r="AX937" s="1">
        <v>0.078863</v>
      </c>
      <c r="AY937" s="1">
        <v>0.290077</v>
      </c>
      <c r="AZ937" s="1">
        <v>0.08714224</v>
      </c>
      <c r="BA937" s="1">
        <v>0.10743</v>
      </c>
      <c r="BB937" s="1">
        <v>0.008006</v>
      </c>
      <c r="BC937" s="1">
        <v>0.070526</v>
      </c>
      <c r="BD937" s="1">
        <v>0.064489</v>
      </c>
      <c r="BE937" s="1">
        <v>0.058599</v>
      </c>
      <c r="BF937" s="1">
        <v>0.0</v>
      </c>
      <c r="BG937" s="1">
        <v>0.047738</v>
      </c>
      <c r="BH937" s="1">
        <v>0.0</v>
      </c>
      <c r="BI937" s="1">
        <v>0.07006</v>
      </c>
      <c r="BJ937" s="1">
        <v>0.022193</v>
      </c>
      <c r="BK937" s="1">
        <v>0.020432</v>
      </c>
      <c r="BL937" s="1">
        <v>0.002127</v>
      </c>
      <c r="BM937" s="1">
        <v>0.053</v>
      </c>
      <c r="BN937" s="1">
        <v>0.032</v>
      </c>
      <c r="BO937" s="1">
        <v>0.0953</v>
      </c>
      <c r="BP937" s="1">
        <v>0.099</v>
      </c>
      <c r="BQ937" s="1">
        <v>0.2793</v>
      </c>
      <c r="BR937" s="1">
        <v>0.0159</v>
      </c>
      <c r="BS937" s="1">
        <v>0.11</v>
      </c>
      <c r="BT937" s="1">
        <v>0.888</v>
      </c>
      <c r="BU937" s="1">
        <v>0.379</v>
      </c>
      <c r="BV937" s="1">
        <v>1.377</v>
      </c>
      <c r="BW937" s="1">
        <v>0.372</v>
      </c>
      <c r="BX937" s="1">
        <v>0.5</v>
      </c>
      <c r="BY937" s="1">
        <v>0.667</v>
      </c>
      <c r="BZ937" s="1">
        <v>1.167</v>
      </c>
      <c r="CA937" s="1">
        <v>0.643</v>
      </c>
      <c r="CB937" s="1">
        <v>0.701</v>
      </c>
      <c r="CC937" s="1">
        <v>0.0</v>
      </c>
      <c r="CD937" s="1">
        <v>0.0</v>
      </c>
      <c r="CE937" s="1">
        <v>0.205</v>
      </c>
      <c r="CF937" s="1">
        <v>0.449</v>
      </c>
      <c r="CG937" s="1">
        <v>1.355</v>
      </c>
      <c r="CH937" s="1">
        <v>0.141</v>
      </c>
      <c r="CI937" s="1">
        <v>4.1783</v>
      </c>
      <c r="CJ937" s="1">
        <v>0.1011</v>
      </c>
      <c r="CK937" s="1">
        <v>0.0</v>
      </c>
      <c r="CL937" s="1">
        <v>0.0</v>
      </c>
      <c r="CM937" s="1">
        <v>0.0</v>
      </c>
      <c r="CN937" s="1">
        <v>0.0</v>
      </c>
      <c r="CO937" s="1">
        <v>0.0</v>
      </c>
      <c r="CP937" s="1">
        <v>0.0</v>
      </c>
      <c r="CQ937" s="1">
        <v>0.0</v>
      </c>
      <c r="CR937" s="1">
        <v>0.0</v>
      </c>
      <c r="CS937" s="1">
        <v>0.0</v>
      </c>
      <c r="CT937" s="1">
        <v>0.0</v>
      </c>
      <c r="CU937" s="1">
        <v>0.0</v>
      </c>
      <c r="CV937" s="1">
        <v>0.0</v>
      </c>
      <c r="CW937" s="1">
        <v>0.0</v>
      </c>
      <c r="CX937" s="1">
        <v>0.0</v>
      </c>
      <c r="CY937" s="1">
        <v>0.0</v>
      </c>
      <c r="CZ937" s="1">
        <v>0.0</v>
      </c>
      <c r="DA937" s="1">
        <v>0.0</v>
      </c>
      <c r="DB937" s="1">
        <v>0.0</v>
      </c>
      <c r="DC937" s="1">
        <v>0.0</v>
      </c>
      <c r="DD937" s="1" t="s">
        <v>4326</v>
      </c>
      <c r="DE937" s="1">
        <v>0.00121711166619045</v>
      </c>
      <c r="DF937" s="2" t="s">
        <v>4327</v>
      </c>
    </row>
    <row r="938" ht="15.75" customHeight="1">
      <c r="A938" s="1" t="s">
        <v>4328</v>
      </c>
      <c r="B938" s="1">
        <v>29.0</v>
      </c>
      <c r="C938" s="1">
        <v>183.0</v>
      </c>
      <c r="D938" s="1">
        <v>311132.0</v>
      </c>
      <c r="E938" s="1">
        <v>5.27</v>
      </c>
      <c r="F938" s="1">
        <v>29183.0</v>
      </c>
      <c r="G938" s="1">
        <v>2.9183311132E10</v>
      </c>
      <c r="H938" s="1" t="s">
        <v>112</v>
      </c>
      <c r="I938" s="1" t="s">
        <v>113</v>
      </c>
      <c r="J938" s="1" t="s">
        <v>4207</v>
      </c>
      <c r="K938" s="1" t="s">
        <v>4329</v>
      </c>
      <c r="L938" s="1">
        <v>3447.0</v>
      </c>
      <c r="M938" s="1">
        <v>3512.0</v>
      </c>
      <c r="N938" s="1">
        <v>177.0</v>
      </c>
      <c r="O938" s="1">
        <v>1142.0</v>
      </c>
      <c r="P938" s="1">
        <v>1139.0</v>
      </c>
      <c r="Q938" s="1">
        <v>67.0</v>
      </c>
      <c r="R938" s="1">
        <v>1122.0</v>
      </c>
      <c r="S938" s="1">
        <v>50.0</v>
      </c>
      <c r="T938" s="1">
        <v>60.0</v>
      </c>
      <c r="U938" s="1">
        <v>79.0</v>
      </c>
      <c r="V938" s="1">
        <v>444.0</v>
      </c>
      <c r="W938" s="1">
        <v>38109.0</v>
      </c>
      <c r="X938" s="1">
        <v>3170.0</v>
      </c>
      <c r="Y938" s="1">
        <v>129.0</v>
      </c>
      <c r="Z938" s="1">
        <v>286.0</v>
      </c>
      <c r="AA938" s="1">
        <v>273.0</v>
      </c>
      <c r="AB938" s="1">
        <v>982.0</v>
      </c>
      <c r="AC938" s="1">
        <v>58.0</v>
      </c>
      <c r="AD938" s="1">
        <v>205.0</v>
      </c>
      <c r="AE938" s="1">
        <v>35.0</v>
      </c>
      <c r="AF938" s="1">
        <v>412.0</v>
      </c>
      <c r="AG938" s="1">
        <v>0.0</v>
      </c>
      <c r="AH938" s="1">
        <v>197.0</v>
      </c>
      <c r="AI938" s="1">
        <v>0.0</v>
      </c>
      <c r="AJ938" s="1">
        <v>114.0</v>
      </c>
      <c r="AK938" s="1">
        <v>0.0</v>
      </c>
      <c r="AL938" s="1">
        <v>161.0</v>
      </c>
      <c r="AM938" s="1">
        <v>0.0</v>
      </c>
      <c r="AN938" s="1">
        <v>161.0</v>
      </c>
      <c r="AO938" s="1">
        <v>0.0</v>
      </c>
      <c r="AP938" s="1">
        <v>0.014236</v>
      </c>
      <c r="AQ938" s="1">
        <v>0.017069</v>
      </c>
      <c r="AR938" s="1">
        <v>0.040575</v>
      </c>
      <c r="AS938" s="1">
        <v>0.227993</v>
      </c>
      <c r="AT938" s="1">
        <v>38109.0</v>
      </c>
      <c r="AU938" s="1">
        <v>3170.0</v>
      </c>
      <c r="AV938" s="1">
        <v>0.056953</v>
      </c>
      <c r="AW938" s="1">
        <v>0.126232</v>
      </c>
      <c r="AX938" s="1">
        <v>0.079199</v>
      </c>
      <c r="AY938" s="1">
        <v>0.284885</v>
      </c>
      <c r="AZ938" s="1">
        <v>0.0516934</v>
      </c>
      <c r="BA938" s="1">
        <v>0.059472</v>
      </c>
      <c r="BB938" s="1">
        <v>0.010866</v>
      </c>
      <c r="BC938" s="1">
        <v>0.127909</v>
      </c>
      <c r="BD938" s="1">
        <v>0.0</v>
      </c>
      <c r="BE938" s="1">
        <v>0.172958</v>
      </c>
      <c r="BF938" s="1">
        <v>0.0</v>
      </c>
      <c r="BG938" s="1">
        <v>0.100087</v>
      </c>
      <c r="BH938" s="1">
        <v>0.0</v>
      </c>
      <c r="BI938" s="1">
        <v>0.148114</v>
      </c>
      <c r="BJ938" s="1">
        <v>0.0</v>
      </c>
      <c r="BK938" s="1">
        <v>0.148114</v>
      </c>
      <c r="BL938" s="1">
        <v>0.0</v>
      </c>
      <c r="BM938" s="1">
        <v>0.034</v>
      </c>
      <c r="BN938" s="1">
        <v>0.186</v>
      </c>
      <c r="BO938" s="1">
        <v>0.0845</v>
      </c>
      <c r="BP938" s="1">
        <v>0.156</v>
      </c>
      <c r="BQ938" s="1">
        <v>0.4605</v>
      </c>
      <c r="BR938" s="1">
        <v>0.0542</v>
      </c>
      <c r="BS938" s="1">
        <v>0.112</v>
      </c>
      <c r="BT938" s="1">
        <v>0.869</v>
      </c>
      <c r="BU938" s="1">
        <v>0.082</v>
      </c>
      <c r="BV938" s="1">
        <v>1.063</v>
      </c>
      <c r="BW938" s="1">
        <v>0.144</v>
      </c>
      <c r="BX938" s="1">
        <v>0.31</v>
      </c>
      <c r="BY938" s="1">
        <v>0.743</v>
      </c>
      <c r="BZ938" s="1">
        <v>1.053</v>
      </c>
      <c r="CA938" s="1">
        <v>0.587</v>
      </c>
      <c r="CB938" s="1">
        <v>0.0</v>
      </c>
      <c r="CC938" s="1">
        <v>0.0</v>
      </c>
      <c r="CD938" s="1">
        <v>0.0</v>
      </c>
      <c r="CE938" s="1">
        <v>0.0</v>
      </c>
      <c r="CF938" s="1">
        <v>0.0</v>
      </c>
      <c r="CG938" s="1">
        <v>0.0</v>
      </c>
      <c r="CH938" s="1">
        <v>0.0</v>
      </c>
      <c r="CI938" s="1">
        <v>2.5765</v>
      </c>
      <c r="CJ938" s="1">
        <v>0.0065</v>
      </c>
      <c r="CK938" s="1">
        <v>0.0</v>
      </c>
      <c r="CL938" s="1">
        <v>0.0</v>
      </c>
      <c r="CM938" s="1">
        <v>0.0</v>
      </c>
      <c r="CN938" s="1">
        <v>0.0</v>
      </c>
      <c r="CO938" s="1">
        <v>0.0</v>
      </c>
      <c r="CP938" s="1">
        <v>0.0</v>
      </c>
      <c r="CQ938" s="1">
        <v>0.0</v>
      </c>
      <c r="CR938" s="1">
        <v>0.0</v>
      </c>
      <c r="CS938" s="1">
        <v>0.0</v>
      </c>
      <c r="CT938" s="1">
        <v>0.0</v>
      </c>
      <c r="CU938" s="1">
        <v>0.0</v>
      </c>
      <c r="CV938" s="1">
        <v>0.0</v>
      </c>
      <c r="CW938" s="1">
        <v>0.0</v>
      </c>
      <c r="CX938" s="1">
        <v>0.0</v>
      </c>
      <c r="CY938" s="1">
        <v>0.0</v>
      </c>
      <c r="CZ938" s="1">
        <v>0.0</v>
      </c>
      <c r="DA938" s="1">
        <v>0.0</v>
      </c>
      <c r="DB938" s="1">
        <v>0.0</v>
      </c>
      <c r="DC938" s="1">
        <v>0.0</v>
      </c>
      <c r="DD938" s="1" t="s">
        <v>4330</v>
      </c>
      <c r="DE938" s="1">
        <v>0.00164748806799996</v>
      </c>
      <c r="DF938" s="2" t="s">
        <v>4331</v>
      </c>
    </row>
    <row r="939" ht="15.75" customHeight="1">
      <c r="A939" s="1" t="s">
        <v>4332</v>
      </c>
      <c r="B939" s="1">
        <v>29.0</v>
      </c>
      <c r="C939" s="1">
        <v>183.0</v>
      </c>
      <c r="D939" s="1">
        <v>311145.0</v>
      </c>
      <c r="E939" s="1">
        <v>1.546</v>
      </c>
      <c r="F939" s="1">
        <v>29183.0</v>
      </c>
      <c r="G939" s="1">
        <v>2.9183311145E10</v>
      </c>
      <c r="H939" s="1" t="s">
        <v>112</v>
      </c>
      <c r="I939" s="1" t="s">
        <v>113</v>
      </c>
      <c r="J939" s="1" t="s">
        <v>4207</v>
      </c>
      <c r="K939" s="1" t="s">
        <v>4333</v>
      </c>
      <c r="L939" s="1">
        <v>4256.0</v>
      </c>
      <c r="M939" s="1">
        <v>4378.0</v>
      </c>
      <c r="N939" s="1">
        <v>211.0</v>
      </c>
      <c r="O939" s="1">
        <v>1646.0</v>
      </c>
      <c r="P939" s="1">
        <v>1659.0</v>
      </c>
      <c r="Q939" s="1">
        <v>70.0</v>
      </c>
      <c r="R939" s="1">
        <v>1607.0</v>
      </c>
      <c r="S939" s="1">
        <v>43.0</v>
      </c>
      <c r="T939" s="1">
        <v>39.0</v>
      </c>
      <c r="U939" s="1">
        <v>88.0</v>
      </c>
      <c r="V939" s="1">
        <v>445.0</v>
      </c>
      <c r="W939" s="1">
        <v>36390.0</v>
      </c>
      <c r="X939" s="1">
        <v>3538.0</v>
      </c>
      <c r="Y939" s="1">
        <v>184.0</v>
      </c>
      <c r="Z939" s="1">
        <v>352.0</v>
      </c>
      <c r="AA939" s="1">
        <v>498.0</v>
      </c>
      <c r="AB939" s="1">
        <v>979.0</v>
      </c>
      <c r="AC939" s="1">
        <v>110.0</v>
      </c>
      <c r="AD939" s="1">
        <v>446.0</v>
      </c>
      <c r="AE939" s="1">
        <v>29.0</v>
      </c>
      <c r="AF939" s="1">
        <v>428.0</v>
      </c>
      <c r="AG939" s="1">
        <v>34.0</v>
      </c>
      <c r="AH939" s="1">
        <v>166.0</v>
      </c>
      <c r="AI939" s="1">
        <v>0.0</v>
      </c>
      <c r="AJ939" s="1">
        <v>114.0</v>
      </c>
      <c r="AK939" s="1">
        <v>27.0</v>
      </c>
      <c r="AL939" s="1">
        <v>117.0</v>
      </c>
      <c r="AM939" s="1">
        <v>0.0</v>
      </c>
      <c r="AN939" s="1">
        <v>161.0</v>
      </c>
      <c r="AO939" s="1">
        <v>0.0</v>
      </c>
      <c r="AP939" s="1">
        <v>0.009821</v>
      </c>
      <c r="AQ939" s="1">
        <v>0.008895</v>
      </c>
      <c r="AR939" s="1">
        <v>0.033396</v>
      </c>
      <c r="AS939" s="1">
        <v>0.168833</v>
      </c>
      <c r="AT939" s="1">
        <v>36390.0</v>
      </c>
      <c r="AU939" s="1">
        <v>3538.0</v>
      </c>
      <c r="AV939" s="1">
        <v>0.062162</v>
      </c>
      <c r="AW939" s="1">
        <v>0.118878</v>
      </c>
      <c r="AX939" s="1">
        <v>0.117011</v>
      </c>
      <c r="AY939" s="1">
        <v>0.230028</v>
      </c>
      <c r="AZ939" s="1">
        <v>0.06845052</v>
      </c>
      <c r="BA939" s="1">
        <v>0.104793</v>
      </c>
      <c r="BB939" s="1">
        <v>0.006974</v>
      </c>
      <c r="BC939" s="1">
        <v>0.102933</v>
      </c>
      <c r="BD939" s="1">
        <v>0.020494</v>
      </c>
      <c r="BE939" s="1">
        <v>0.100056</v>
      </c>
      <c r="BF939" s="1">
        <v>0.0</v>
      </c>
      <c r="BG939" s="1">
        <v>0.068716</v>
      </c>
      <c r="BH939" s="1">
        <v>0.016453</v>
      </c>
      <c r="BI939" s="1">
        <v>0.071294</v>
      </c>
      <c r="BJ939" s="1">
        <v>0.0</v>
      </c>
      <c r="BK939" s="1">
        <v>0.09811</v>
      </c>
      <c r="BL939" s="1">
        <v>0.0</v>
      </c>
      <c r="BM939" s="1">
        <v>0.022</v>
      </c>
      <c r="BN939" s="1">
        <v>0.115</v>
      </c>
      <c r="BO939" s="1">
        <v>0.0975</v>
      </c>
      <c r="BP939" s="1">
        <v>0.175</v>
      </c>
      <c r="BQ939" s="1">
        <v>0.4095</v>
      </c>
      <c r="BR939" s="1">
        <v>0.0404</v>
      </c>
      <c r="BS939" s="1">
        <v>0.321</v>
      </c>
      <c r="BT939" s="1">
        <v>0.386</v>
      </c>
      <c r="BU939" s="1">
        <v>0.202</v>
      </c>
      <c r="BV939" s="1">
        <v>0.909</v>
      </c>
      <c r="BW939" s="1">
        <v>0.092</v>
      </c>
      <c r="BX939" s="1">
        <v>0.487</v>
      </c>
      <c r="BY939" s="1">
        <v>0.632</v>
      </c>
      <c r="BZ939" s="1">
        <v>1.119</v>
      </c>
      <c r="CA939" s="1">
        <v>0.623</v>
      </c>
      <c r="CB939" s="1">
        <v>0.469</v>
      </c>
      <c r="CC939" s="1">
        <v>0.0</v>
      </c>
      <c r="CD939" s="1">
        <v>0.621</v>
      </c>
      <c r="CE939" s="1">
        <v>0.0</v>
      </c>
      <c r="CF939" s="1">
        <v>0.0</v>
      </c>
      <c r="CG939" s="1">
        <v>1.09</v>
      </c>
      <c r="CH939" s="1">
        <v>0.092</v>
      </c>
      <c r="CI939" s="1">
        <v>3.5275</v>
      </c>
      <c r="CJ939" s="1">
        <v>0.0462</v>
      </c>
      <c r="CK939" s="1">
        <v>0.0</v>
      </c>
      <c r="CL939" s="1">
        <v>0.0</v>
      </c>
      <c r="CM939" s="1">
        <v>0.0</v>
      </c>
      <c r="CN939" s="1">
        <v>0.0</v>
      </c>
      <c r="CO939" s="1">
        <v>0.0</v>
      </c>
      <c r="CP939" s="1">
        <v>0.0</v>
      </c>
      <c r="CQ939" s="1">
        <v>0.0</v>
      </c>
      <c r="CR939" s="1">
        <v>0.0</v>
      </c>
      <c r="CS939" s="1">
        <v>0.0</v>
      </c>
      <c r="CT939" s="1">
        <v>0.0</v>
      </c>
      <c r="CU939" s="1">
        <v>0.0</v>
      </c>
      <c r="CV939" s="1">
        <v>0.0</v>
      </c>
      <c r="CW939" s="1">
        <v>0.0</v>
      </c>
      <c r="CX939" s="1">
        <v>0.0</v>
      </c>
      <c r="CY939" s="1">
        <v>0.0</v>
      </c>
      <c r="CZ939" s="1">
        <v>0.0</v>
      </c>
      <c r="DA939" s="1">
        <v>0.0</v>
      </c>
      <c r="DB939" s="1">
        <v>0.0</v>
      </c>
      <c r="DC939" s="1">
        <v>0.0</v>
      </c>
      <c r="DD939" s="1" t="s">
        <v>4334</v>
      </c>
      <c r="DE939" s="1">
        <v>4.13342839133755E-4</v>
      </c>
      <c r="DF939" s="2" t="s">
        <v>4335</v>
      </c>
    </row>
    <row r="940" ht="15.75" customHeight="1">
      <c r="A940" s="1" t="s">
        <v>4336</v>
      </c>
      <c r="B940" s="1">
        <v>29.0</v>
      </c>
      <c r="C940" s="1">
        <v>183.0</v>
      </c>
      <c r="D940" s="1">
        <v>311146.0</v>
      </c>
      <c r="E940" s="1">
        <v>1.241</v>
      </c>
      <c r="F940" s="1">
        <v>29183.0</v>
      </c>
      <c r="G940" s="1">
        <v>2.9183311146E10</v>
      </c>
      <c r="H940" s="1" t="s">
        <v>112</v>
      </c>
      <c r="I940" s="1" t="s">
        <v>113</v>
      </c>
      <c r="J940" s="1" t="s">
        <v>4207</v>
      </c>
      <c r="K940" s="1" t="s">
        <v>4337</v>
      </c>
      <c r="L940" s="1">
        <v>4416.0</v>
      </c>
      <c r="M940" s="1">
        <v>4186.0</v>
      </c>
      <c r="N940" s="1">
        <v>361.0</v>
      </c>
      <c r="O940" s="1">
        <v>2021.0</v>
      </c>
      <c r="P940" s="1">
        <v>1881.0</v>
      </c>
      <c r="Q940" s="1">
        <v>120.0</v>
      </c>
      <c r="R940" s="1">
        <v>1854.0</v>
      </c>
      <c r="S940" s="1">
        <v>99.0</v>
      </c>
      <c r="T940" s="1">
        <v>102.0</v>
      </c>
      <c r="U940" s="1">
        <v>169.0</v>
      </c>
      <c r="V940" s="1">
        <v>437.0</v>
      </c>
      <c r="W940" s="1">
        <v>38676.0</v>
      </c>
      <c r="X940" s="1">
        <v>5098.0</v>
      </c>
      <c r="Y940" s="1">
        <v>124.0</v>
      </c>
      <c r="Z940" s="1">
        <v>349.0</v>
      </c>
      <c r="AA940" s="1">
        <v>473.0</v>
      </c>
      <c r="AB940" s="1">
        <v>945.0</v>
      </c>
      <c r="AC940" s="1">
        <v>105.0</v>
      </c>
      <c r="AD940" s="1">
        <v>589.0</v>
      </c>
      <c r="AE940" s="1">
        <v>24.0</v>
      </c>
      <c r="AF940" s="1">
        <v>444.0</v>
      </c>
      <c r="AG940" s="1">
        <v>528.0</v>
      </c>
      <c r="AH940" s="1">
        <v>160.0</v>
      </c>
      <c r="AI940" s="1">
        <v>0.0</v>
      </c>
      <c r="AJ940" s="1">
        <v>114.0</v>
      </c>
      <c r="AK940" s="1">
        <v>12.0</v>
      </c>
      <c r="AL940" s="1">
        <v>116.0</v>
      </c>
      <c r="AM940" s="1">
        <v>52.0</v>
      </c>
      <c r="AN940" s="1">
        <v>122.0</v>
      </c>
      <c r="AO940" s="1">
        <v>0.0</v>
      </c>
      <c r="AP940" s="1">
        <v>0.023701</v>
      </c>
      <c r="AQ940" s="1">
        <v>0.024334</v>
      </c>
      <c r="AR940" s="1">
        <v>0.074646</v>
      </c>
      <c r="AS940" s="1">
        <v>0.192769</v>
      </c>
      <c r="AT940" s="1">
        <v>38676.0</v>
      </c>
      <c r="AU940" s="1">
        <v>5098.0</v>
      </c>
      <c r="AV940" s="1">
        <v>0.042509</v>
      </c>
      <c r="AW940" s="1">
        <v>0.119605</v>
      </c>
      <c r="AX940" s="1">
        <v>0.10711</v>
      </c>
      <c r="AY940" s="1">
        <v>0.213994</v>
      </c>
      <c r="AZ940" s="1">
        <v>0.0566343</v>
      </c>
      <c r="BA940" s="1">
        <v>0.133378</v>
      </c>
      <c r="BB940" s="1">
        <v>0.006142</v>
      </c>
      <c r="BC940" s="1">
        <v>0.113641</v>
      </c>
      <c r="BD940" s="1">
        <v>0.280701</v>
      </c>
      <c r="BE940" s="1">
        <v>0.083154</v>
      </c>
      <c r="BF940" s="1">
        <v>0.0</v>
      </c>
      <c r="BG940" s="1">
        <v>0.060606</v>
      </c>
      <c r="BH940" s="1">
        <v>0.00673</v>
      </c>
      <c r="BI940" s="1">
        <v>0.065056</v>
      </c>
      <c r="BJ940" s="1">
        <v>0.029164</v>
      </c>
      <c r="BK940" s="1">
        <v>0.068388</v>
      </c>
      <c r="BL940" s="1">
        <v>0.0</v>
      </c>
      <c r="BM940" s="1">
        <v>0.068</v>
      </c>
      <c r="BN940" s="1">
        <v>0.553</v>
      </c>
      <c r="BO940" s="1">
        <v>0.0787</v>
      </c>
      <c r="BP940" s="1">
        <v>0.104</v>
      </c>
      <c r="BQ940" s="1">
        <v>0.8037</v>
      </c>
      <c r="BR940" s="1">
        <v>0.1574</v>
      </c>
      <c r="BS940" s="1">
        <v>0.251</v>
      </c>
      <c r="BT940" s="1">
        <v>0.258</v>
      </c>
      <c r="BU940" s="1">
        <v>0.113</v>
      </c>
      <c r="BV940" s="1">
        <v>0.622</v>
      </c>
      <c r="BW940" s="1">
        <v>0.047</v>
      </c>
      <c r="BX940" s="1">
        <v>0.57</v>
      </c>
      <c r="BY940" s="1">
        <v>0.604</v>
      </c>
      <c r="BZ940" s="1">
        <v>1.174</v>
      </c>
      <c r="CA940" s="1">
        <v>0.647</v>
      </c>
      <c r="CB940" s="1">
        <v>0.933</v>
      </c>
      <c r="CC940" s="1">
        <v>0.0</v>
      </c>
      <c r="CD940" s="1">
        <v>0.383</v>
      </c>
      <c r="CE940" s="1">
        <v>0.279</v>
      </c>
      <c r="CF940" s="1">
        <v>0.0</v>
      </c>
      <c r="CG940" s="1">
        <v>1.595</v>
      </c>
      <c r="CH940" s="1">
        <v>0.195</v>
      </c>
      <c r="CI940" s="1">
        <v>4.1947</v>
      </c>
      <c r="CJ940" s="1">
        <v>0.1054</v>
      </c>
      <c r="CK940" s="1">
        <v>0.0</v>
      </c>
      <c r="CL940" s="1">
        <v>0.0</v>
      </c>
      <c r="CM940" s="1">
        <v>0.0</v>
      </c>
      <c r="CN940" s="1">
        <v>0.0</v>
      </c>
      <c r="CO940" s="1">
        <v>0.0</v>
      </c>
      <c r="CP940" s="1">
        <v>0.0</v>
      </c>
      <c r="CQ940" s="1">
        <v>0.0</v>
      </c>
      <c r="CR940" s="1">
        <v>0.0</v>
      </c>
      <c r="CS940" s="1">
        <v>0.0</v>
      </c>
      <c r="CT940" s="1">
        <v>0.0</v>
      </c>
      <c r="CU940" s="1">
        <v>0.0</v>
      </c>
      <c r="CV940" s="1">
        <v>0.0</v>
      </c>
      <c r="CW940" s="1">
        <v>1.0</v>
      </c>
      <c r="CX940" s="1">
        <v>0.0</v>
      </c>
      <c r="CY940" s="1">
        <v>0.0</v>
      </c>
      <c r="CZ940" s="1">
        <v>0.0</v>
      </c>
      <c r="DA940" s="1">
        <v>0.0</v>
      </c>
      <c r="DB940" s="1">
        <v>1.0</v>
      </c>
      <c r="DC940" s="1">
        <v>1.0</v>
      </c>
      <c r="DD940" s="1" t="s">
        <v>4338</v>
      </c>
      <c r="DE940" s="1">
        <v>3.31512453506601E-4</v>
      </c>
      <c r="DF940" s="1">
        <v>0.0783081175185289</v>
      </c>
    </row>
    <row r="941" ht="15.75" customHeight="1">
      <c r="A941" s="1" t="s">
        <v>4339</v>
      </c>
      <c r="B941" s="1">
        <v>29.0</v>
      </c>
      <c r="C941" s="1">
        <v>183.0</v>
      </c>
      <c r="D941" s="1">
        <v>311149.0</v>
      </c>
      <c r="E941" s="1">
        <v>1.276</v>
      </c>
      <c r="F941" s="1">
        <v>29183.0</v>
      </c>
      <c r="G941" s="1">
        <v>2.9183311149E10</v>
      </c>
      <c r="H941" s="1" t="s">
        <v>112</v>
      </c>
      <c r="I941" s="1" t="s">
        <v>113</v>
      </c>
      <c r="J941" s="1" t="s">
        <v>4207</v>
      </c>
      <c r="K941" s="1" t="s">
        <v>4340</v>
      </c>
      <c r="L941" s="1">
        <v>3737.0</v>
      </c>
      <c r="M941" s="1">
        <v>3358.0</v>
      </c>
      <c r="N941" s="1">
        <v>333.0</v>
      </c>
      <c r="O941" s="1">
        <v>1474.0</v>
      </c>
      <c r="P941" s="1">
        <v>1494.0</v>
      </c>
      <c r="Q941" s="1">
        <v>63.0</v>
      </c>
      <c r="R941" s="1">
        <v>1415.0</v>
      </c>
      <c r="S941" s="1">
        <v>44.0</v>
      </c>
      <c r="T941" s="1">
        <v>36.0</v>
      </c>
      <c r="U941" s="1">
        <v>71.0</v>
      </c>
      <c r="V941" s="1">
        <v>429.0</v>
      </c>
      <c r="W941" s="1">
        <v>26818.0</v>
      </c>
      <c r="X941" s="1">
        <v>2853.0</v>
      </c>
      <c r="Y941" s="1">
        <v>267.0</v>
      </c>
      <c r="Z941" s="1">
        <v>296.0</v>
      </c>
      <c r="AA941" s="1">
        <v>369.0</v>
      </c>
      <c r="AB941" s="1">
        <v>952.0</v>
      </c>
      <c r="AC941" s="1">
        <v>142.0</v>
      </c>
      <c r="AD941" s="1">
        <v>379.0</v>
      </c>
      <c r="AE941" s="1">
        <v>26.0</v>
      </c>
      <c r="AF941" s="1">
        <v>428.0</v>
      </c>
      <c r="AG941" s="1">
        <v>0.0</v>
      </c>
      <c r="AH941" s="1">
        <v>197.0</v>
      </c>
      <c r="AI941" s="1">
        <v>10.0</v>
      </c>
      <c r="AJ941" s="1">
        <v>18.0</v>
      </c>
      <c r="AK941" s="1">
        <v>0.0</v>
      </c>
      <c r="AL941" s="1">
        <v>161.0</v>
      </c>
      <c r="AM941" s="1">
        <v>13.0</v>
      </c>
      <c r="AN941" s="1">
        <v>116.0</v>
      </c>
      <c r="AO941" s="1">
        <v>0.0</v>
      </c>
      <c r="AP941" s="1">
        <v>0.01315</v>
      </c>
      <c r="AQ941" s="1">
        <v>0.01068</v>
      </c>
      <c r="AR941" s="1">
        <v>0.038295</v>
      </c>
      <c r="AS941" s="1">
        <v>0.231308</v>
      </c>
      <c r="AT941" s="1">
        <v>26818.0</v>
      </c>
      <c r="AU941" s="1">
        <v>2853.0</v>
      </c>
      <c r="AV941" s="1">
        <v>0.117156</v>
      </c>
      <c r="AW941" s="1">
        <v>0.129401</v>
      </c>
      <c r="AX941" s="1">
        <v>0.098742</v>
      </c>
      <c r="AY941" s="1">
        <v>0.254749</v>
      </c>
      <c r="AZ941" s="1">
        <v>0.10035335</v>
      </c>
      <c r="BA941" s="1">
        <v>0.101418</v>
      </c>
      <c r="BB941" s="1">
        <v>0.008067</v>
      </c>
      <c r="BC941" s="1">
        <v>0.132793</v>
      </c>
      <c r="BD941" s="1">
        <v>0.0</v>
      </c>
      <c r="BE941" s="1">
        <v>0.13186</v>
      </c>
      <c r="BF941" s="1">
        <v>0.006693</v>
      </c>
      <c r="BG941" s="1">
        <v>0.012044</v>
      </c>
      <c r="BH941" s="1">
        <v>0.0</v>
      </c>
      <c r="BI941" s="1">
        <v>0.120418</v>
      </c>
      <c r="BJ941" s="1">
        <v>0.009723</v>
      </c>
      <c r="BK941" s="1">
        <v>0.086757</v>
      </c>
      <c r="BL941" s="1">
        <v>0.0</v>
      </c>
      <c r="BM941" s="1">
        <v>0.031</v>
      </c>
      <c r="BN941" s="1">
        <v>0.169</v>
      </c>
      <c r="BO941" s="1">
        <v>0.2895</v>
      </c>
      <c r="BP941" s="1">
        <v>0.415</v>
      </c>
      <c r="BQ941" s="1">
        <v>0.9045</v>
      </c>
      <c r="BR941" s="1">
        <v>0.1812</v>
      </c>
      <c r="BS941" s="1">
        <v>0.206</v>
      </c>
      <c r="BT941" s="1">
        <v>0.653</v>
      </c>
      <c r="BU941" s="1">
        <v>0.497</v>
      </c>
      <c r="BV941" s="1">
        <v>1.356</v>
      </c>
      <c r="BW941" s="1">
        <v>0.352</v>
      </c>
      <c r="BX941" s="1">
        <v>0.474</v>
      </c>
      <c r="BY941" s="1">
        <v>0.67</v>
      </c>
      <c r="BZ941" s="1">
        <v>1.144</v>
      </c>
      <c r="CA941" s="1">
        <v>0.63</v>
      </c>
      <c r="CB941" s="1">
        <v>0.0</v>
      </c>
      <c r="CC941" s="1">
        <v>0.42</v>
      </c>
      <c r="CD941" s="1">
        <v>0.0</v>
      </c>
      <c r="CE941" s="1">
        <v>0.082</v>
      </c>
      <c r="CF941" s="1">
        <v>0.0</v>
      </c>
      <c r="CG941" s="1">
        <v>0.502</v>
      </c>
      <c r="CH941" s="1">
        <v>0.03</v>
      </c>
      <c r="CI941" s="1">
        <v>3.9065</v>
      </c>
      <c r="CJ941" s="1">
        <v>0.0758</v>
      </c>
      <c r="CK941" s="1">
        <v>0.0</v>
      </c>
      <c r="CL941" s="1">
        <v>0.0</v>
      </c>
      <c r="CM941" s="1">
        <v>0.0</v>
      </c>
      <c r="CN941" s="1">
        <v>0.0</v>
      </c>
      <c r="CO941" s="1">
        <v>0.0</v>
      </c>
      <c r="CP941" s="1">
        <v>0.0</v>
      </c>
      <c r="CQ941" s="1">
        <v>0.0</v>
      </c>
      <c r="CR941" s="1">
        <v>0.0</v>
      </c>
      <c r="CS941" s="1">
        <v>0.0</v>
      </c>
      <c r="CT941" s="1">
        <v>0.0</v>
      </c>
      <c r="CU941" s="1">
        <v>0.0</v>
      </c>
      <c r="CV941" s="1">
        <v>0.0</v>
      </c>
      <c r="CW941" s="1">
        <v>0.0</v>
      </c>
      <c r="CX941" s="1">
        <v>0.0</v>
      </c>
      <c r="CY941" s="1">
        <v>0.0</v>
      </c>
      <c r="CZ941" s="1">
        <v>0.0</v>
      </c>
      <c r="DA941" s="1">
        <v>0.0</v>
      </c>
      <c r="DB941" s="1">
        <v>0.0</v>
      </c>
      <c r="DC941" s="1">
        <v>0.0</v>
      </c>
      <c r="DD941" s="1" t="s">
        <v>4341</v>
      </c>
      <c r="DE941" s="1">
        <v>3.42871732758601E-4</v>
      </c>
      <c r="DF941" s="1">
        <v>0.09361036655331</v>
      </c>
    </row>
    <row r="942" ht="15.75" customHeight="1">
      <c r="A942" s="1" t="s">
        <v>4342</v>
      </c>
      <c r="B942" s="1">
        <v>29.0</v>
      </c>
      <c r="C942" s="1">
        <v>183.0</v>
      </c>
      <c r="D942" s="1">
        <v>311148.0</v>
      </c>
      <c r="E942" s="1">
        <v>7.059</v>
      </c>
      <c r="F942" s="1">
        <v>29183.0</v>
      </c>
      <c r="G942" s="1">
        <v>2.9183311148E10</v>
      </c>
      <c r="H942" s="1" t="s">
        <v>112</v>
      </c>
      <c r="I942" s="1" t="s">
        <v>113</v>
      </c>
      <c r="J942" s="1" t="s">
        <v>4207</v>
      </c>
      <c r="K942" s="1" t="s">
        <v>4343</v>
      </c>
      <c r="L942" s="1">
        <v>4517.0</v>
      </c>
      <c r="M942" s="1">
        <v>4392.0</v>
      </c>
      <c r="N942" s="1">
        <v>257.0</v>
      </c>
      <c r="O942" s="1">
        <v>1647.0</v>
      </c>
      <c r="P942" s="1">
        <v>1631.0</v>
      </c>
      <c r="Q942" s="1">
        <v>46.0</v>
      </c>
      <c r="R942" s="1">
        <v>1621.0</v>
      </c>
      <c r="S942" s="1">
        <v>75.0</v>
      </c>
      <c r="T942" s="1">
        <v>58.0</v>
      </c>
      <c r="U942" s="1">
        <v>113.0</v>
      </c>
      <c r="V942" s="1">
        <v>431.0</v>
      </c>
      <c r="W942" s="1">
        <v>35921.0</v>
      </c>
      <c r="X942" s="1">
        <v>3129.0</v>
      </c>
      <c r="Y942" s="1">
        <v>118.0</v>
      </c>
      <c r="Z942" s="1">
        <v>367.0</v>
      </c>
      <c r="AA942" s="1">
        <v>596.0</v>
      </c>
      <c r="AB942" s="1">
        <v>1048.0</v>
      </c>
      <c r="AC942" s="1">
        <v>86.0</v>
      </c>
      <c r="AD942" s="1">
        <v>352.0</v>
      </c>
      <c r="AE942" s="1">
        <v>38.0</v>
      </c>
      <c r="AF942" s="1">
        <v>445.0</v>
      </c>
      <c r="AG942" s="1">
        <v>0.0</v>
      </c>
      <c r="AH942" s="1">
        <v>197.0</v>
      </c>
      <c r="AI942" s="1">
        <v>0.0</v>
      </c>
      <c r="AJ942" s="1">
        <v>114.0</v>
      </c>
      <c r="AK942" s="1">
        <v>0.0</v>
      </c>
      <c r="AL942" s="1">
        <v>161.0</v>
      </c>
      <c r="AM942" s="1">
        <v>22.0</v>
      </c>
      <c r="AN942" s="1">
        <v>119.0</v>
      </c>
      <c r="AO942" s="1">
        <v>0.0</v>
      </c>
      <c r="AP942" s="1">
        <v>0.017076</v>
      </c>
      <c r="AQ942" s="1">
        <v>0.013167</v>
      </c>
      <c r="AR942" s="1">
        <v>0.043562</v>
      </c>
      <c r="AS942" s="1">
        <v>0.166094</v>
      </c>
      <c r="AT942" s="1">
        <v>35921.0</v>
      </c>
      <c r="AU942" s="1">
        <v>3129.0</v>
      </c>
      <c r="AV942" s="1">
        <v>0.038187</v>
      </c>
      <c r="AW942" s="1">
        <v>0.118754</v>
      </c>
      <c r="AX942" s="1">
        <v>0.131945</v>
      </c>
      <c r="AY942" s="1">
        <v>0.232012</v>
      </c>
      <c r="AZ942" s="1">
        <v>0.05305367</v>
      </c>
      <c r="BA942" s="1">
        <v>0.077927</v>
      </c>
      <c r="BB942" s="1">
        <v>0.009114</v>
      </c>
      <c r="BC942" s="1">
        <v>0.106738</v>
      </c>
      <c r="BD942" s="1">
        <v>0.0</v>
      </c>
      <c r="BE942" s="1">
        <v>0.120784</v>
      </c>
      <c r="BF942" s="1">
        <v>0.0</v>
      </c>
      <c r="BG942" s="1">
        <v>0.069895</v>
      </c>
      <c r="BH942" s="1">
        <v>0.0</v>
      </c>
      <c r="BI942" s="1">
        <v>0.105022</v>
      </c>
      <c r="BJ942" s="1">
        <v>0.01435</v>
      </c>
      <c r="BK942" s="1">
        <v>0.077622</v>
      </c>
      <c r="BL942" s="1">
        <v>0.0</v>
      </c>
      <c r="BM942" s="1">
        <v>0.043</v>
      </c>
      <c r="BN942" s="1">
        <v>0.228</v>
      </c>
      <c r="BO942" s="1">
        <v>0.1025</v>
      </c>
      <c r="BP942" s="1">
        <v>0.089</v>
      </c>
      <c r="BQ942" s="1">
        <v>0.4625</v>
      </c>
      <c r="BR942" s="1">
        <v>0.0549</v>
      </c>
      <c r="BS942" s="1">
        <v>0.435</v>
      </c>
      <c r="BT942" s="1">
        <v>0.407</v>
      </c>
      <c r="BU942" s="1">
        <v>0.092</v>
      </c>
      <c r="BV942" s="1">
        <v>0.934</v>
      </c>
      <c r="BW942" s="1">
        <v>0.095</v>
      </c>
      <c r="BX942" s="1">
        <v>0.389</v>
      </c>
      <c r="BY942" s="1">
        <v>0.7</v>
      </c>
      <c r="BZ942" s="1">
        <v>1.089</v>
      </c>
      <c r="CA942" s="1">
        <v>0.607</v>
      </c>
      <c r="CB942" s="1">
        <v>0.0</v>
      </c>
      <c r="CC942" s="1">
        <v>0.0</v>
      </c>
      <c r="CD942" s="1">
        <v>0.0</v>
      </c>
      <c r="CE942" s="1">
        <v>0.128</v>
      </c>
      <c r="CF942" s="1">
        <v>0.0</v>
      </c>
      <c r="CG942" s="1">
        <v>0.128</v>
      </c>
      <c r="CH942" s="1">
        <v>0.012</v>
      </c>
      <c r="CI942" s="1">
        <v>2.6135</v>
      </c>
      <c r="CJ942" s="1">
        <v>0.0072</v>
      </c>
      <c r="CK942" s="1">
        <v>0.0</v>
      </c>
      <c r="CL942" s="1">
        <v>0.0</v>
      </c>
      <c r="CM942" s="1">
        <v>0.0</v>
      </c>
      <c r="CN942" s="1">
        <v>0.0</v>
      </c>
      <c r="CO942" s="1">
        <v>0.0</v>
      </c>
      <c r="CP942" s="1">
        <v>0.0</v>
      </c>
      <c r="CQ942" s="1">
        <v>0.0</v>
      </c>
      <c r="CR942" s="1">
        <v>0.0</v>
      </c>
      <c r="CS942" s="1">
        <v>0.0</v>
      </c>
      <c r="CT942" s="1">
        <v>0.0</v>
      </c>
      <c r="CU942" s="1">
        <v>0.0</v>
      </c>
      <c r="CV942" s="1">
        <v>0.0</v>
      </c>
      <c r="CW942" s="1">
        <v>0.0</v>
      </c>
      <c r="CX942" s="1">
        <v>0.0</v>
      </c>
      <c r="CY942" s="1">
        <v>0.0</v>
      </c>
      <c r="CZ942" s="1">
        <v>0.0</v>
      </c>
      <c r="DA942" s="1">
        <v>0.0</v>
      </c>
      <c r="DB942" s="1">
        <v>0.0</v>
      </c>
      <c r="DC942" s="1">
        <v>0.0</v>
      </c>
      <c r="DD942" s="1" t="s">
        <v>4344</v>
      </c>
      <c r="DE942" s="1">
        <v>0.00217992256243971</v>
      </c>
      <c r="DF942" s="2" t="s">
        <v>4345</v>
      </c>
    </row>
    <row r="943" ht="15.75" customHeight="1">
      <c r="A943" s="1" t="s">
        <v>4346</v>
      </c>
      <c r="B943" s="1">
        <v>29.0</v>
      </c>
      <c r="C943" s="1">
        <v>183.0</v>
      </c>
      <c r="D943" s="1">
        <v>311151.0</v>
      </c>
      <c r="E943" s="1">
        <v>2.633</v>
      </c>
      <c r="F943" s="1">
        <v>29183.0</v>
      </c>
      <c r="G943" s="1">
        <v>2.9183311151E10</v>
      </c>
      <c r="H943" s="1" t="s">
        <v>112</v>
      </c>
      <c r="I943" s="1" t="s">
        <v>113</v>
      </c>
      <c r="J943" s="1" t="s">
        <v>4207</v>
      </c>
      <c r="K943" s="1" t="s">
        <v>4347</v>
      </c>
      <c r="L943" s="1">
        <v>5722.0</v>
      </c>
      <c r="M943" s="1">
        <v>4805.0</v>
      </c>
      <c r="N943" s="1">
        <v>270.0</v>
      </c>
      <c r="O943" s="1">
        <v>2067.0</v>
      </c>
      <c r="P943" s="1">
        <v>1877.0</v>
      </c>
      <c r="Q943" s="1">
        <v>118.0</v>
      </c>
      <c r="R943" s="1">
        <v>1996.0</v>
      </c>
      <c r="S943" s="1">
        <v>189.0</v>
      </c>
      <c r="T943" s="1">
        <v>175.0</v>
      </c>
      <c r="U943" s="1">
        <v>118.0</v>
      </c>
      <c r="V943" s="1">
        <v>434.0</v>
      </c>
      <c r="W943" s="1">
        <v>35819.0</v>
      </c>
      <c r="X943" s="1">
        <v>2496.0</v>
      </c>
      <c r="Y943" s="1">
        <v>140.0</v>
      </c>
      <c r="Z943" s="1">
        <v>351.0</v>
      </c>
      <c r="AA943" s="1">
        <v>359.0</v>
      </c>
      <c r="AB943" s="1">
        <v>1796.0</v>
      </c>
      <c r="AC943" s="1">
        <v>206.0</v>
      </c>
      <c r="AD943" s="1">
        <v>931.0</v>
      </c>
      <c r="AE943" s="1">
        <v>54.0</v>
      </c>
      <c r="AF943" s="1">
        <v>398.0</v>
      </c>
      <c r="AG943" s="1">
        <v>311.0</v>
      </c>
      <c r="AH943" s="1">
        <v>150.0</v>
      </c>
      <c r="AI943" s="1">
        <v>151.0</v>
      </c>
      <c r="AJ943" s="1">
        <v>76.0</v>
      </c>
      <c r="AK943" s="1">
        <v>0.0</v>
      </c>
      <c r="AL943" s="1">
        <v>161.0</v>
      </c>
      <c r="AM943" s="1">
        <v>23.0</v>
      </c>
      <c r="AN943" s="1">
        <v>118.0</v>
      </c>
      <c r="AO943" s="1">
        <v>0.0</v>
      </c>
      <c r="AP943" s="1">
        <v>0.039334</v>
      </c>
      <c r="AQ943" s="1">
        <v>0.036353</v>
      </c>
      <c r="AR943" s="1">
        <v>0.046529</v>
      </c>
      <c r="AS943" s="1">
        <v>0.171053</v>
      </c>
      <c r="AT943" s="1">
        <v>35819.0</v>
      </c>
      <c r="AU943" s="1">
        <v>2496.0</v>
      </c>
      <c r="AV943" s="1">
        <v>0.047011</v>
      </c>
      <c r="AW943" s="1">
        <v>0.117826</v>
      </c>
      <c r="AX943" s="1">
        <v>0.06274</v>
      </c>
      <c r="AY943" s="1">
        <v>0.313876</v>
      </c>
      <c r="AZ943" s="1">
        <v>0.10320641</v>
      </c>
      <c r="BA943" s="1">
        <v>0.162705</v>
      </c>
      <c r="BB943" s="1">
        <v>0.012317</v>
      </c>
      <c r="BC943" s="1">
        <v>0.090781</v>
      </c>
      <c r="BD943" s="1">
        <v>0.165689</v>
      </c>
      <c r="BE943" s="1">
        <v>0.079233</v>
      </c>
      <c r="BF943" s="1">
        <v>0.080447</v>
      </c>
      <c r="BG943" s="1">
        <v>0.040173</v>
      </c>
      <c r="BH943" s="1">
        <v>0.0</v>
      </c>
      <c r="BI943" s="1">
        <v>0.095097</v>
      </c>
      <c r="BJ943" s="1">
        <v>0.013585</v>
      </c>
      <c r="BK943" s="1">
        <v>0.06969</v>
      </c>
      <c r="BL943" s="1">
        <v>0.0</v>
      </c>
      <c r="BM943" s="1">
        <v>0.12</v>
      </c>
      <c r="BN943" s="1">
        <v>0.256</v>
      </c>
      <c r="BO943" s="1">
        <v>0.104</v>
      </c>
      <c r="BP943" s="1">
        <v>0.12</v>
      </c>
      <c r="BQ943" s="1">
        <v>0.6</v>
      </c>
      <c r="BR943" s="1">
        <v>0.0939</v>
      </c>
      <c r="BS943" s="1">
        <v>0.055</v>
      </c>
      <c r="BT943" s="1">
        <v>0.954</v>
      </c>
      <c r="BU943" s="1">
        <v>0.523</v>
      </c>
      <c r="BV943" s="1">
        <v>1.532</v>
      </c>
      <c r="BW943" s="1">
        <v>0.509</v>
      </c>
      <c r="BX943" s="1">
        <v>0.656</v>
      </c>
      <c r="BY943" s="1">
        <v>0.778</v>
      </c>
      <c r="BZ943" s="1">
        <v>1.434</v>
      </c>
      <c r="CA943" s="1">
        <v>0.782</v>
      </c>
      <c r="CB943" s="1">
        <v>0.86</v>
      </c>
      <c r="CC943" s="1">
        <v>0.676</v>
      </c>
      <c r="CD943" s="1">
        <v>0.0</v>
      </c>
      <c r="CE943" s="1">
        <v>0.121</v>
      </c>
      <c r="CF943" s="1">
        <v>0.0</v>
      </c>
      <c r="CG943" s="1">
        <v>1.657</v>
      </c>
      <c r="CH943" s="1">
        <v>0.219</v>
      </c>
      <c r="CI943" s="1">
        <v>5.223</v>
      </c>
      <c r="CJ943" s="1">
        <v>0.2325</v>
      </c>
      <c r="CK943" s="1">
        <v>0.0</v>
      </c>
      <c r="CL943" s="1">
        <v>0.0</v>
      </c>
      <c r="CM943" s="1">
        <v>0.0</v>
      </c>
      <c r="CN943" s="1">
        <v>0.0</v>
      </c>
      <c r="CO943" s="1">
        <v>0.0</v>
      </c>
      <c r="CP943" s="1">
        <v>0.0</v>
      </c>
      <c r="CQ943" s="1">
        <v>1.0</v>
      </c>
      <c r="CR943" s="1">
        <v>0.0</v>
      </c>
      <c r="CS943" s="1">
        <v>1.0</v>
      </c>
      <c r="CT943" s="1">
        <v>0.0</v>
      </c>
      <c r="CU943" s="1">
        <v>0.0</v>
      </c>
      <c r="CV943" s="1">
        <v>0.0</v>
      </c>
      <c r="CW943" s="1">
        <v>0.0</v>
      </c>
      <c r="CX943" s="1">
        <v>0.0</v>
      </c>
      <c r="CY943" s="1">
        <v>0.0</v>
      </c>
      <c r="CZ943" s="1">
        <v>0.0</v>
      </c>
      <c r="DA943" s="1">
        <v>0.0</v>
      </c>
      <c r="DB943" s="1">
        <v>0.0</v>
      </c>
      <c r="DC943" s="1">
        <v>1.0</v>
      </c>
      <c r="DD943" s="1" t="s">
        <v>4348</v>
      </c>
      <c r="DE943" s="1">
        <v>7.03907720296814E-4</v>
      </c>
      <c r="DF943" s="2" t="s">
        <v>4349</v>
      </c>
    </row>
    <row r="944" ht="15.75" customHeight="1">
      <c r="A944" s="1" t="s">
        <v>4350</v>
      </c>
      <c r="B944" s="1">
        <v>29.0</v>
      </c>
      <c r="C944" s="1">
        <v>183.0</v>
      </c>
      <c r="D944" s="1">
        <v>311211.0</v>
      </c>
      <c r="E944" s="1">
        <v>1.495</v>
      </c>
      <c r="F944" s="1">
        <v>29183.0</v>
      </c>
      <c r="G944" s="1">
        <v>2.9183311211E10</v>
      </c>
      <c r="H944" s="1" t="s">
        <v>112</v>
      </c>
      <c r="I944" s="1" t="s">
        <v>113</v>
      </c>
      <c r="J944" s="1" t="s">
        <v>4207</v>
      </c>
      <c r="K944" s="1" t="s">
        <v>4351</v>
      </c>
      <c r="L944" s="1">
        <v>4386.0</v>
      </c>
      <c r="M944" s="1">
        <v>4334.0</v>
      </c>
      <c r="N944" s="1">
        <v>301.0</v>
      </c>
      <c r="O944" s="1">
        <v>2090.0</v>
      </c>
      <c r="P944" s="1">
        <v>2070.0</v>
      </c>
      <c r="Q944" s="1">
        <v>113.0</v>
      </c>
      <c r="R944" s="1">
        <v>2004.0</v>
      </c>
      <c r="S944" s="1">
        <v>157.0</v>
      </c>
      <c r="T944" s="1">
        <v>110.0</v>
      </c>
      <c r="U944" s="1">
        <v>75.0</v>
      </c>
      <c r="V944" s="1">
        <v>445.0</v>
      </c>
      <c r="W944" s="1">
        <v>37025.0</v>
      </c>
      <c r="X944" s="1">
        <v>3710.0</v>
      </c>
      <c r="Y944" s="1">
        <v>80.0</v>
      </c>
      <c r="Z944" s="1">
        <v>363.0</v>
      </c>
      <c r="AA944" s="1">
        <v>444.0</v>
      </c>
      <c r="AB944" s="1">
        <v>854.0</v>
      </c>
      <c r="AC944" s="1">
        <v>157.0</v>
      </c>
      <c r="AD944" s="1">
        <v>563.0</v>
      </c>
      <c r="AE944" s="1">
        <v>28.0</v>
      </c>
      <c r="AF944" s="1">
        <v>428.0</v>
      </c>
      <c r="AG944" s="1">
        <v>334.0</v>
      </c>
      <c r="AH944" s="1">
        <v>120.0</v>
      </c>
      <c r="AI944" s="1">
        <v>0.0</v>
      </c>
      <c r="AJ944" s="1">
        <v>114.0</v>
      </c>
      <c r="AK944" s="1">
        <v>0.0</v>
      </c>
      <c r="AL944" s="1">
        <v>161.0</v>
      </c>
      <c r="AM944" s="1">
        <v>36.0</v>
      </c>
      <c r="AN944" s="1">
        <v>32.0</v>
      </c>
      <c r="AO944" s="1">
        <v>69.0</v>
      </c>
      <c r="AP944" s="1">
        <v>0.036351</v>
      </c>
      <c r="AQ944" s="1">
        <v>0.02535</v>
      </c>
      <c r="AR944" s="1">
        <v>0.029069</v>
      </c>
      <c r="AS944" s="1">
        <v>0.172452</v>
      </c>
      <c r="AT944" s="1">
        <v>37025.0</v>
      </c>
      <c r="AU944" s="1">
        <v>3710.0</v>
      </c>
      <c r="AV944" s="1">
        <v>0.02664</v>
      </c>
      <c r="AW944" s="1">
        <v>0.120867</v>
      </c>
      <c r="AX944" s="1">
        <v>0.101231</v>
      </c>
      <c r="AY944" s="1">
        <v>0.19471</v>
      </c>
      <c r="AZ944" s="1">
        <v>0.07834331</v>
      </c>
      <c r="BA944" s="1">
        <v>0.128362</v>
      </c>
      <c r="BB944" s="1">
        <v>0.006935</v>
      </c>
      <c r="BC944" s="1">
        <v>0.106018</v>
      </c>
      <c r="BD944" s="1">
        <v>0.161352</v>
      </c>
      <c r="BE944" s="1">
        <v>0.057297</v>
      </c>
      <c r="BF944" s="1">
        <v>0.0</v>
      </c>
      <c r="BG944" s="1">
        <v>0.055072</v>
      </c>
      <c r="BH944" s="1">
        <v>0.0</v>
      </c>
      <c r="BI944" s="1">
        <v>0.08505</v>
      </c>
      <c r="BJ944" s="1">
        <v>0.019017</v>
      </c>
      <c r="BK944" s="1">
        <v>0.016842</v>
      </c>
      <c r="BL944" s="1">
        <v>0.015731</v>
      </c>
      <c r="BM944" s="1">
        <v>0.11</v>
      </c>
      <c r="BN944" s="1">
        <v>0.081</v>
      </c>
      <c r="BO944" s="1">
        <v>0.0924</v>
      </c>
      <c r="BP944" s="1">
        <v>0.048</v>
      </c>
      <c r="BQ944" s="1">
        <v>0.3314</v>
      </c>
      <c r="BR944" s="1">
        <v>0.0245</v>
      </c>
      <c r="BS944" s="1">
        <v>0.219</v>
      </c>
      <c r="BT944" s="1">
        <v>0.166</v>
      </c>
      <c r="BU944" s="1">
        <v>0.289</v>
      </c>
      <c r="BV944" s="1">
        <v>0.674</v>
      </c>
      <c r="BW944" s="1">
        <v>0.053</v>
      </c>
      <c r="BX944" s="1">
        <v>0.556</v>
      </c>
      <c r="BY944" s="1">
        <v>0.63</v>
      </c>
      <c r="BZ944" s="1">
        <v>1.186</v>
      </c>
      <c r="CA944" s="1">
        <v>0.654</v>
      </c>
      <c r="CB944" s="1">
        <v>0.854</v>
      </c>
      <c r="CC944" s="1">
        <v>0.0</v>
      </c>
      <c r="CD944" s="1">
        <v>0.0</v>
      </c>
      <c r="CE944" s="1">
        <v>0.173</v>
      </c>
      <c r="CF944" s="1">
        <v>0.656</v>
      </c>
      <c r="CG944" s="1">
        <v>1.683</v>
      </c>
      <c r="CH944" s="1">
        <v>0.228</v>
      </c>
      <c r="CI944" s="1">
        <v>3.8744</v>
      </c>
      <c r="CJ944" s="1">
        <v>0.0736</v>
      </c>
      <c r="CK944" s="1">
        <v>0.0</v>
      </c>
      <c r="CL944" s="1">
        <v>0.0</v>
      </c>
      <c r="CM944" s="1">
        <v>0.0</v>
      </c>
      <c r="CN944" s="1">
        <v>0.0</v>
      </c>
      <c r="CO944" s="1">
        <v>0.0</v>
      </c>
      <c r="CP944" s="1">
        <v>0.0</v>
      </c>
      <c r="CQ944" s="1">
        <v>0.0</v>
      </c>
      <c r="CR944" s="1">
        <v>0.0</v>
      </c>
      <c r="CS944" s="1">
        <v>0.0</v>
      </c>
      <c r="CT944" s="1">
        <v>0.0</v>
      </c>
      <c r="CU944" s="1">
        <v>0.0</v>
      </c>
      <c r="CV944" s="1">
        <v>0.0</v>
      </c>
      <c r="CW944" s="1">
        <v>0.0</v>
      </c>
      <c r="CX944" s="1">
        <v>0.0</v>
      </c>
      <c r="CY944" s="1">
        <v>0.0</v>
      </c>
      <c r="CZ944" s="1">
        <v>0.0</v>
      </c>
      <c r="DA944" s="1">
        <v>0.0</v>
      </c>
      <c r="DB944" s="1">
        <v>0.0</v>
      </c>
      <c r="DC944" s="1">
        <v>0.0</v>
      </c>
      <c r="DD944" s="1" t="s">
        <v>4352</v>
      </c>
      <c r="DE944" s="1">
        <v>4.01010441213868E-4</v>
      </c>
      <c r="DF944" s="2" t="s">
        <v>4353</v>
      </c>
    </row>
    <row r="945" ht="15.75" customHeight="1">
      <c r="A945" s="1" t="s">
        <v>4354</v>
      </c>
      <c r="B945" s="1">
        <v>29.0</v>
      </c>
      <c r="C945" s="1">
        <v>183.0</v>
      </c>
      <c r="D945" s="1">
        <v>311212.0</v>
      </c>
      <c r="E945" s="1">
        <v>1.142</v>
      </c>
      <c r="F945" s="1">
        <v>29183.0</v>
      </c>
      <c r="G945" s="1">
        <v>2.9183311212E10</v>
      </c>
      <c r="H945" s="1" t="s">
        <v>112</v>
      </c>
      <c r="I945" s="1" t="s">
        <v>113</v>
      </c>
      <c r="J945" s="1" t="s">
        <v>4207</v>
      </c>
      <c r="K945" s="1" t="s">
        <v>4355</v>
      </c>
      <c r="L945" s="1">
        <v>3625.0</v>
      </c>
      <c r="M945" s="1">
        <v>3497.0</v>
      </c>
      <c r="N945" s="1">
        <v>162.0</v>
      </c>
      <c r="O945" s="1">
        <v>1494.0</v>
      </c>
      <c r="P945" s="1">
        <v>1465.0</v>
      </c>
      <c r="Q945" s="1">
        <v>76.0</v>
      </c>
      <c r="R945" s="1">
        <v>1428.0</v>
      </c>
      <c r="S945" s="1">
        <v>144.0</v>
      </c>
      <c r="T945" s="1">
        <v>120.0</v>
      </c>
      <c r="U945" s="1">
        <v>90.0</v>
      </c>
      <c r="V945" s="1">
        <v>414.0</v>
      </c>
      <c r="W945" s="1">
        <v>30838.0</v>
      </c>
      <c r="X945" s="1">
        <v>2424.0</v>
      </c>
      <c r="Y945" s="1">
        <v>127.0</v>
      </c>
      <c r="Z945" s="1">
        <v>308.0</v>
      </c>
      <c r="AA945" s="1">
        <v>541.0</v>
      </c>
      <c r="AB945" s="1">
        <v>881.0</v>
      </c>
      <c r="AC945" s="1">
        <v>111.0</v>
      </c>
      <c r="AD945" s="1">
        <v>517.0</v>
      </c>
      <c r="AE945" s="1">
        <v>0.0</v>
      </c>
      <c r="AF945" s="1">
        <v>456.0</v>
      </c>
      <c r="AG945" s="1">
        <v>219.0</v>
      </c>
      <c r="AH945" s="1">
        <v>82.0</v>
      </c>
      <c r="AI945" s="1">
        <v>0.0</v>
      </c>
      <c r="AJ945" s="1">
        <v>114.0</v>
      </c>
      <c r="AK945" s="1">
        <v>0.0</v>
      </c>
      <c r="AL945" s="1">
        <v>161.0</v>
      </c>
      <c r="AM945" s="1">
        <v>139.0</v>
      </c>
      <c r="AN945" s="1">
        <v>66.0</v>
      </c>
      <c r="AO945" s="1">
        <v>4.0</v>
      </c>
      <c r="AP945" s="1">
        <v>0.041474</v>
      </c>
      <c r="AQ945" s="1">
        <v>0.034511</v>
      </c>
      <c r="AR945" s="1">
        <v>0.046972</v>
      </c>
      <c r="AS945" s="1">
        <v>0.216008</v>
      </c>
      <c r="AT945" s="1">
        <v>30838.0</v>
      </c>
      <c r="AU945" s="1">
        <v>2424.0</v>
      </c>
      <c r="AV945" s="1">
        <v>0.052982</v>
      </c>
      <c r="AW945" s="1">
        <v>0.128443</v>
      </c>
      <c r="AX945" s="1">
        <v>0.149241</v>
      </c>
      <c r="AY945" s="1">
        <v>0.243034</v>
      </c>
      <c r="AZ945" s="1">
        <v>0.07773109</v>
      </c>
      <c r="BA945" s="1">
        <v>0.14262</v>
      </c>
      <c r="BB945" s="1">
        <v>0.0</v>
      </c>
      <c r="BC945" s="1">
        <v>0.138349</v>
      </c>
      <c r="BD945" s="1">
        <v>0.149488</v>
      </c>
      <c r="BE945" s="1">
        <v>0.055432</v>
      </c>
      <c r="BF945" s="1">
        <v>0.0</v>
      </c>
      <c r="BG945" s="1">
        <v>0.077815</v>
      </c>
      <c r="BH945" s="1">
        <v>0.0</v>
      </c>
      <c r="BI945" s="1">
        <v>0.110881</v>
      </c>
      <c r="BJ945" s="1">
        <v>0.09573</v>
      </c>
      <c r="BK945" s="1">
        <v>0.045155</v>
      </c>
      <c r="BL945" s="1">
        <v>0.001103</v>
      </c>
      <c r="BM945" s="1">
        <v>0.126</v>
      </c>
      <c r="BN945" s="1">
        <v>0.261</v>
      </c>
      <c r="BO945" s="1">
        <v>0.1791</v>
      </c>
      <c r="BP945" s="1">
        <v>0.139</v>
      </c>
      <c r="BQ945" s="1">
        <v>0.7051</v>
      </c>
      <c r="BR945" s="1">
        <v>0.1256</v>
      </c>
      <c r="BS945" s="1">
        <v>0.571</v>
      </c>
      <c r="BT945" s="1">
        <v>0.526</v>
      </c>
      <c r="BU945" s="1">
        <v>0.281</v>
      </c>
      <c r="BV945" s="1">
        <v>1.378</v>
      </c>
      <c r="BW945" s="1">
        <v>0.373</v>
      </c>
      <c r="BX945" s="1">
        <v>0.599</v>
      </c>
      <c r="BY945" s="1">
        <v>0.0</v>
      </c>
      <c r="BZ945" s="1">
        <v>0.599</v>
      </c>
      <c r="CA945" s="1">
        <v>0.267</v>
      </c>
      <c r="CB945" s="1">
        <v>0.838</v>
      </c>
      <c r="CC945" s="1">
        <v>0.0</v>
      </c>
      <c r="CD945" s="1">
        <v>0.0</v>
      </c>
      <c r="CE945" s="1">
        <v>0.74</v>
      </c>
      <c r="CF945" s="1">
        <v>0.405</v>
      </c>
      <c r="CG945" s="1">
        <v>1.983</v>
      </c>
      <c r="CH945" s="1">
        <v>0.342</v>
      </c>
      <c r="CI945" s="1">
        <v>4.6651</v>
      </c>
      <c r="CJ945" s="1">
        <v>0.1516</v>
      </c>
      <c r="CK945" s="1">
        <v>0.0</v>
      </c>
      <c r="CL945" s="1">
        <v>0.0</v>
      </c>
      <c r="CM945" s="1">
        <v>0.0</v>
      </c>
      <c r="CN945" s="1">
        <v>0.0</v>
      </c>
      <c r="CO945" s="1">
        <v>0.0</v>
      </c>
      <c r="CP945" s="1">
        <v>0.0</v>
      </c>
      <c r="CQ945" s="1">
        <v>0.0</v>
      </c>
      <c r="CR945" s="1">
        <v>0.0</v>
      </c>
      <c r="CS945" s="1">
        <v>0.0</v>
      </c>
      <c r="CT945" s="1">
        <v>0.0</v>
      </c>
      <c r="CU945" s="1">
        <v>0.0</v>
      </c>
      <c r="CV945" s="1">
        <v>0.0</v>
      </c>
      <c r="CW945" s="1">
        <v>0.0</v>
      </c>
      <c r="CX945" s="1">
        <v>0.0</v>
      </c>
      <c r="CY945" s="1">
        <v>0.0</v>
      </c>
      <c r="CZ945" s="1">
        <v>0.0</v>
      </c>
      <c r="DA945" s="1">
        <v>0.0</v>
      </c>
      <c r="DB945" s="1">
        <v>0.0</v>
      </c>
      <c r="DC945" s="1">
        <v>0.0</v>
      </c>
      <c r="DD945" s="1" t="s">
        <v>4356</v>
      </c>
      <c r="DE945" s="1">
        <v>3.00048695167233E-4</v>
      </c>
      <c r="DF945" s="1">
        <v>0.0870925737154129</v>
      </c>
    </row>
    <row r="946" ht="15.75" customHeight="1">
      <c r="A946" s="1" t="s">
        <v>4357</v>
      </c>
      <c r="B946" s="1">
        <v>29.0</v>
      </c>
      <c r="C946" s="1">
        <v>183.0</v>
      </c>
      <c r="D946" s="1">
        <v>311294.0</v>
      </c>
      <c r="E946" s="1">
        <v>0.983</v>
      </c>
      <c r="F946" s="1">
        <v>29183.0</v>
      </c>
      <c r="G946" s="1">
        <v>2.9183311294E10</v>
      </c>
      <c r="H946" s="1" t="s">
        <v>112</v>
      </c>
      <c r="I946" s="1" t="s">
        <v>113</v>
      </c>
      <c r="J946" s="1" t="s">
        <v>4207</v>
      </c>
      <c r="K946" s="1" t="s">
        <v>4358</v>
      </c>
      <c r="L946" s="1">
        <v>3980.0</v>
      </c>
      <c r="M946" s="1">
        <v>4145.0</v>
      </c>
      <c r="N946" s="1">
        <v>211.0</v>
      </c>
      <c r="O946" s="1">
        <v>1439.0</v>
      </c>
      <c r="P946" s="1">
        <v>1520.0</v>
      </c>
      <c r="Q946" s="1">
        <v>62.0</v>
      </c>
      <c r="R946" s="1">
        <v>1411.0</v>
      </c>
      <c r="S946" s="1">
        <v>82.0</v>
      </c>
      <c r="T946" s="1">
        <v>97.0</v>
      </c>
      <c r="U946" s="1">
        <v>189.0</v>
      </c>
      <c r="V946" s="1">
        <v>392.0</v>
      </c>
      <c r="W946" s="1">
        <v>28771.0</v>
      </c>
      <c r="X946" s="1">
        <v>2245.0</v>
      </c>
      <c r="Y946" s="1">
        <v>279.0</v>
      </c>
      <c r="Z946" s="1">
        <v>282.0</v>
      </c>
      <c r="AA946" s="1">
        <v>366.0</v>
      </c>
      <c r="AB946" s="1">
        <v>950.0</v>
      </c>
      <c r="AC946" s="1">
        <v>121.0</v>
      </c>
      <c r="AD946" s="1">
        <v>289.0</v>
      </c>
      <c r="AE946" s="1">
        <v>82.0</v>
      </c>
      <c r="AF946" s="1">
        <v>450.0</v>
      </c>
      <c r="AG946" s="1">
        <v>0.0</v>
      </c>
      <c r="AH946" s="1">
        <v>197.0</v>
      </c>
      <c r="AI946" s="1">
        <v>0.0</v>
      </c>
      <c r="AJ946" s="1">
        <v>114.0</v>
      </c>
      <c r="AK946" s="1">
        <v>0.0</v>
      </c>
      <c r="AL946" s="1">
        <v>161.0</v>
      </c>
      <c r="AM946" s="1">
        <v>0.0</v>
      </c>
      <c r="AN946" s="1">
        <v>161.0</v>
      </c>
      <c r="AO946" s="1">
        <v>4.0</v>
      </c>
      <c r="AP946" s="1">
        <v>0.019845</v>
      </c>
      <c r="AQ946" s="1">
        <v>0.023453</v>
      </c>
      <c r="AR946" s="1">
        <v>0.074881</v>
      </c>
      <c r="AS946" s="1">
        <v>0.15513</v>
      </c>
      <c r="AT946" s="1">
        <v>28771.0</v>
      </c>
      <c r="AU946" s="1">
        <v>2245.0</v>
      </c>
      <c r="AV946" s="1">
        <v>0.098656</v>
      </c>
      <c r="AW946" s="1">
        <v>0.099568</v>
      </c>
      <c r="AX946" s="1">
        <v>0.091959</v>
      </c>
      <c r="AY946" s="1">
        <v>0.238693</v>
      </c>
      <c r="AZ946" s="1">
        <v>0.08575478</v>
      </c>
      <c r="BA946" s="1">
        <v>0.072613</v>
      </c>
      <c r="BB946" s="1">
        <v>0.020342</v>
      </c>
      <c r="BC946" s="1">
        <v>0.111629</v>
      </c>
      <c r="BD946" s="1">
        <v>0.0</v>
      </c>
      <c r="BE946" s="1">
        <v>0.129605</v>
      </c>
      <c r="BF946" s="1">
        <v>0.0</v>
      </c>
      <c r="BG946" s="1">
        <v>0.075</v>
      </c>
      <c r="BH946" s="1">
        <v>0.0</v>
      </c>
      <c r="BI946" s="1">
        <v>0.106763</v>
      </c>
      <c r="BJ946" s="1">
        <v>0.0</v>
      </c>
      <c r="BK946" s="1">
        <v>0.106763</v>
      </c>
      <c r="BL946" s="1">
        <v>0.001005</v>
      </c>
      <c r="BM946" s="1">
        <v>0.054</v>
      </c>
      <c r="BN946" s="1">
        <v>0.557</v>
      </c>
      <c r="BO946" s="1">
        <v>0.2267</v>
      </c>
      <c r="BP946" s="1">
        <v>0.33</v>
      </c>
      <c r="BQ946" s="1">
        <v>1.1677</v>
      </c>
      <c r="BR946" s="1">
        <v>0.2448</v>
      </c>
      <c r="BS946" s="1">
        <v>0.171</v>
      </c>
      <c r="BT946" s="1">
        <v>0.483</v>
      </c>
      <c r="BU946" s="1">
        <v>0.363</v>
      </c>
      <c r="BV946" s="1">
        <v>1.017</v>
      </c>
      <c r="BW946" s="1">
        <v>0.12</v>
      </c>
      <c r="BX946" s="1">
        <v>0.37</v>
      </c>
      <c r="BY946" s="1">
        <v>0.861</v>
      </c>
      <c r="BZ946" s="1">
        <v>1.231</v>
      </c>
      <c r="CA946" s="1">
        <v>0.676</v>
      </c>
      <c r="CB946" s="1">
        <v>0.0</v>
      </c>
      <c r="CC946" s="1">
        <v>0.0</v>
      </c>
      <c r="CD946" s="1">
        <v>0.0</v>
      </c>
      <c r="CE946" s="1">
        <v>0.0</v>
      </c>
      <c r="CF946" s="1">
        <v>0.398</v>
      </c>
      <c r="CG946" s="1">
        <v>0.398</v>
      </c>
      <c r="CH946" s="1">
        <v>0.018</v>
      </c>
      <c r="CI946" s="1">
        <v>3.8137</v>
      </c>
      <c r="CJ946" s="1">
        <v>0.0693</v>
      </c>
      <c r="CK946" s="1">
        <v>0.0</v>
      </c>
      <c r="CL946" s="1">
        <v>0.0</v>
      </c>
      <c r="CM946" s="1">
        <v>0.0</v>
      </c>
      <c r="CN946" s="1">
        <v>0.0</v>
      </c>
      <c r="CO946" s="1">
        <v>0.0</v>
      </c>
      <c r="CP946" s="1">
        <v>0.0</v>
      </c>
      <c r="CQ946" s="1">
        <v>0.0</v>
      </c>
      <c r="CR946" s="1">
        <v>0.0</v>
      </c>
      <c r="CS946" s="1">
        <v>0.0</v>
      </c>
      <c r="CT946" s="1">
        <v>0.0</v>
      </c>
      <c r="CU946" s="1">
        <v>0.0</v>
      </c>
      <c r="CV946" s="1">
        <v>0.0</v>
      </c>
      <c r="CW946" s="1">
        <v>0.0</v>
      </c>
      <c r="CX946" s="1">
        <v>0.0</v>
      </c>
      <c r="CY946" s="1">
        <v>0.0</v>
      </c>
      <c r="CZ946" s="1">
        <v>0.0</v>
      </c>
      <c r="DA946" s="1">
        <v>0.0</v>
      </c>
      <c r="DB946" s="1">
        <v>0.0</v>
      </c>
      <c r="DC946" s="1">
        <v>0.0</v>
      </c>
      <c r="DD946" s="1" t="s">
        <v>4359</v>
      </c>
      <c r="DE946" s="1">
        <v>2.65208303374028E-4</v>
      </c>
      <c r="DF946" s="1">
        <v>0.0691791715881418</v>
      </c>
    </row>
    <row r="947" ht="15.75" customHeight="1">
      <c r="A947" s="1" t="s">
        <v>4360</v>
      </c>
      <c r="B947" s="1">
        <v>29.0</v>
      </c>
      <c r="C947" s="1">
        <v>183.0</v>
      </c>
      <c r="D947" s="1">
        <v>311296.0</v>
      </c>
      <c r="E947" s="1">
        <v>1.208</v>
      </c>
      <c r="F947" s="1">
        <v>29183.0</v>
      </c>
      <c r="G947" s="1">
        <v>2.9183311296E10</v>
      </c>
      <c r="H947" s="1" t="s">
        <v>112</v>
      </c>
      <c r="I947" s="1" t="s">
        <v>113</v>
      </c>
      <c r="J947" s="1" t="s">
        <v>4207</v>
      </c>
      <c r="K947" s="1" t="s">
        <v>4361</v>
      </c>
      <c r="L947" s="1">
        <v>4239.0</v>
      </c>
      <c r="M947" s="1">
        <v>4522.0</v>
      </c>
      <c r="N947" s="1">
        <v>194.0</v>
      </c>
      <c r="O947" s="1">
        <v>1601.0</v>
      </c>
      <c r="P947" s="1">
        <v>1630.0</v>
      </c>
      <c r="Q947" s="1">
        <v>50.0</v>
      </c>
      <c r="R947" s="1">
        <v>1563.0</v>
      </c>
      <c r="S947" s="1">
        <v>36.0</v>
      </c>
      <c r="T947" s="1">
        <v>37.0</v>
      </c>
      <c r="U947" s="1">
        <v>70.0</v>
      </c>
      <c r="V947" s="1">
        <v>444.0</v>
      </c>
      <c r="W947" s="1">
        <v>28266.0</v>
      </c>
      <c r="X947" s="1">
        <v>1981.0</v>
      </c>
      <c r="Y947" s="1">
        <v>254.0</v>
      </c>
      <c r="Z947" s="1">
        <v>365.0</v>
      </c>
      <c r="AA947" s="1">
        <v>362.0</v>
      </c>
      <c r="AB947" s="1">
        <v>1024.0</v>
      </c>
      <c r="AC947" s="1">
        <v>129.0</v>
      </c>
      <c r="AD947" s="1">
        <v>320.0</v>
      </c>
      <c r="AE947" s="1">
        <v>12.0</v>
      </c>
      <c r="AF947" s="1">
        <v>442.0</v>
      </c>
      <c r="AG947" s="1">
        <v>0.0</v>
      </c>
      <c r="AH947" s="1">
        <v>197.0</v>
      </c>
      <c r="AI947" s="1">
        <v>0.0</v>
      </c>
      <c r="AJ947" s="1">
        <v>114.0</v>
      </c>
      <c r="AK947" s="1">
        <v>0.0</v>
      </c>
      <c r="AL947" s="1">
        <v>161.0</v>
      </c>
      <c r="AM947" s="1">
        <v>0.0</v>
      </c>
      <c r="AN947" s="1">
        <v>161.0</v>
      </c>
      <c r="AO947" s="1">
        <v>5.0</v>
      </c>
      <c r="AP947" s="1">
        <v>0.007961</v>
      </c>
      <c r="AQ947" s="1">
        <v>0.008175</v>
      </c>
      <c r="AR947" s="1">
        <v>0.02582</v>
      </c>
      <c r="AS947" s="1">
        <v>0.163751</v>
      </c>
      <c r="AT947" s="1">
        <v>28266.0</v>
      </c>
      <c r="AU947" s="1">
        <v>1981.0</v>
      </c>
      <c r="AV947" s="1">
        <v>0.087767</v>
      </c>
      <c r="AW947" s="1">
        <v>0.126043</v>
      </c>
      <c r="AX947" s="1">
        <v>0.085397</v>
      </c>
      <c r="AY947" s="1">
        <v>0.241566</v>
      </c>
      <c r="AZ947" s="1">
        <v>0.08253358</v>
      </c>
      <c r="BA947" s="1">
        <v>0.075489</v>
      </c>
      <c r="BB947" s="1">
        <v>0.002786</v>
      </c>
      <c r="BC947" s="1">
        <v>0.102647</v>
      </c>
      <c r="BD947" s="1">
        <v>0.0</v>
      </c>
      <c r="BE947" s="1">
        <v>0.120858</v>
      </c>
      <c r="BF947" s="1">
        <v>0.0</v>
      </c>
      <c r="BG947" s="1">
        <v>0.069938</v>
      </c>
      <c r="BH947" s="1">
        <v>0.0</v>
      </c>
      <c r="BI947" s="1">
        <v>0.098773</v>
      </c>
      <c r="BJ947" s="1">
        <v>0.0</v>
      </c>
      <c r="BK947" s="1">
        <v>0.098773</v>
      </c>
      <c r="BL947" s="1">
        <v>0.001179</v>
      </c>
      <c r="BM947" s="1">
        <v>0.014</v>
      </c>
      <c r="BN947" s="1">
        <v>0.056</v>
      </c>
      <c r="BO947" s="1">
        <v>0.2419</v>
      </c>
      <c r="BP947" s="1">
        <v>0.283</v>
      </c>
      <c r="BQ947" s="1">
        <v>0.5949</v>
      </c>
      <c r="BR947" s="1">
        <v>0.0924</v>
      </c>
      <c r="BS947" s="1">
        <v>0.14</v>
      </c>
      <c r="BT947" s="1">
        <v>0.51</v>
      </c>
      <c r="BU947" s="1">
        <v>0.33</v>
      </c>
      <c r="BV947" s="1">
        <v>0.98</v>
      </c>
      <c r="BW947" s="1">
        <v>0.109</v>
      </c>
      <c r="BX947" s="1">
        <v>0.381</v>
      </c>
      <c r="BY947" s="1">
        <v>0.435</v>
      </c>
      <c r="BZ947" s="1">
        <v>0.816</v>
      </c>
      <c r="CA947" s="1">
        <v>0.41</v>
      </c>
      <c r="CB947" s="1">
        <v>0.0</v>
      </c>
      <c r="CC947" s="1">
        <v>0.0</v>
      </c>
      <c r="CD947" s="1">
        <v>0.0</v>
      </c>
      <c r="CE947" s="1">
        <v>0.0</v>
      </c>
      <c r="CF947" s="1">
        <v>0.409</v>
      </c>
      <c r="CG947" s="1">
        <v>0.409</v>
      </c>
      <c r="CH947" s="1">
        <v>0.02</v>
      </c>
      <c r="CI947" s="1">
        <v>2.7999</v>
      </c>
      <c r="CJ947" s="1">
        <v>0.0137</v>
      </c>
      <c r="CK947" s="1">
        <v>0.0</v>
      </c>
      <c r="CL947" s="1">
        <v>0.0</v>
      </c>
      <c r="CM947" s="1">
        <v>0.0</v>
      </c>
      <c r="CN947" s="1">
        <v>0.0</v>
      </c>
      <c r="CO947" s="1">
        <v>0.0</v>
      </c>
      <c r="CP947" s="1">
        <v>0.0</v>
      </c>
      <c r="CQ947" s="1">
        <v>0.0</v>
      </c>
      <c r="CR947" s="1">
        <v>0.0</v>
      </c>
      <c r="CS947" s="1">
        <v>0.0</v>
      </c>
      <c r="CT947" s="1">
        <v>0.0</v>
      </c>
      <c r="CU947" s="1">
        <v>0.0</v>
      </c>
      <c r="CV947" s="1">
        <v>0.0</v>
      </c>
      <c r="CW947" s="1">
        <v>0.0</v>
      </c>
      <c r="CX947" s="1">
        <v>0.0</v>
      </c>
      <c r="CY947" s="1">
        <v>0.0</v>
      </c>
      <c r="CZ947" s="1">
        <v>0.0</v>
      </c>
      <c r="DA947" s="1">
        <v>0.0</v>
      </c>
      <c r="DB947" s="1">
        <v>0.0</v>
      </c>
      <c r="DC947" s="1">
        <v>0.0</v>
      </c>
      <c r="DD947" s="1" t="s">
        <v>4362</v>
      </c>
      <c r="DE947" s="1">
        <v>3.23686153347528E-4</v>
      </c>
      <c r="DF947" s="1">
        <v>0.0812401375062047</v>
      </c>
    </row>
    <row r="948" ht="15.75" customHeight="1">
      <c r="A948" s="1" t="s">
        <v>4363</v>
      </c>
      <c r="B948" s="1">
        <v>29.0</v>
      </c>
      <c r="C948" s="1">
        <v>183.0</v>
      </c>
      <c r="D948" s="1">
        <v>311311.0</v>
      </c>
      <c r="E948" s="1">
        <v>1.089</v>
      </c>
      <c r="F948" s="1">
        <v>29183.0</v>
      </c>
      <c r="G948" s="1">
        <v>2.9183311311E10</v>
      </c>
      <c r="H948" s="1" t="s">
        <v>112</v>
      </c>
      <c r="I948" s="1" t="s">
        <v>113</v>
      </c>
      <c r="J948" s="1" t="s">
        <v>4207</v>
      </c>
      <c r="K948" s="1" t="s">
        <v>4364</v>
      </c>
      <c r="L948" s="1">
        <v>5156.0</v>
      </c>
      <c r="M948" s="1">
        <v>4998.0</v>
      </c>
      <c r="N948" s="1">
        <v>286.0</v>
      </c>
      <c r="O948" s="1">
        <v>2076.0</v>
      </c>
      <c r="P948" s="1">
        <v>2009.0</v>
      </c>
      <c r="Q948" s="1">
        <v>70.0</v>
      </c>
      <c r="R948" s="1">
        <v>1988.0</v>
      </c>
      <c r="S948" s="1">
        <v>97.0</v>
      </c>
      <c r="T948" s="1">
        <v>57.0</v>
      </c>
      <c r="U948" s="1">
        <v>198.0</v>
      </c>
      <c r="V948" s="1">
        <v>390.0</v>
      </c>
      <c r="W948" s="1">
        <v>29172.0</v>
      </c>
      <c r="X948" s="1">
        <v>2365.0</v>
      </c>
      <c r="Y948" s="1">
        <v>301.0</v>
      </c>
      <c r="Z948" s="1">
        <v>279.0</v>
      </c>
      <c r="AA948" s="1">
        <v>545.0</v>
      </c>
      <c r="AB948" s="1">
        <v>1148.0</v>
      </c>
      <c r="AC948" s="1">
        <v>172.0</v>
      </c>
      <c r="AD948" s="1">
        <v>493.0</v>
      </c>
      <c r="AE948" s="1">
        <v>11.0</v>
      </c>
      <c r="AF948" s="1">
        <v>442.0</v>
      </c>
      <c r="AG948" s="1">
        <v>333.0</v>
      </c>
      <c r="AH948" s="1">
        <v>102.0</v>
      </c>
      <c r="AI948" s="1">
        <v>0.0</v>
      </c>
      <c r="AJ948" s="1">
        <v>114.0</v>
      </c>
      <c r="AK948" s="1">
        <v>0.0</v>
      </c>
      <c r="AL948" s="1">
        <v>161.0</v>
      </c>
      <c r="AM948" s="1">
        <v>47.0</v>
      </c>
      <c r="AN948" s="1">
        <v>37.0</v>
      </c>
      <c r="AO948" s="1">
        <v>90.0</v>
      </c>
      <c r="AP948" s="1">
        <v>0.019407</v>
      </c>
      <c r="AQ948" s="1">
        <v>0.01135</v>
      </c>
      <c r="AR948" s="1">
        <v>0.064537</v>
      </c>
      <c r="AS948" s="1">
        <v>0.126969</v>
      </c>
      <c r="AT948" s="1">
        <v>29172.0</v>
      </c>
      <c r="AU948" s="1">
        <v>2365.0</v>
      </c>
      <c r="AV948" s="1">
        <v>0.092302</v>
      </c>
      <c r="AW948" s="1">
        <v>0.085404</v>
      </c>
      <c r="AX948" s="1">
        <v>0.105702</v>
      </c>
      <c r="AY948" s="1">
        <v>0.222653</v>
      </c>
      <c r="AZ948" s="1">
        <v>0.08651911</v>
      </c>
      <c r="BA948" s="1">
        <v>0.095616</v>
      </c>
      <c r="BB948" s="1">
        <v>0.002322</v>
      </c>
      <c r="BC948" s="1">
        <v>0.093307</v>
      </c>
      <c r="BD948" s="1">
        <v>0.165754</v>
      </c>
      <c r="BE948" s="1">
        <v>0.050441</v>
      </c>
      <c r="BF948" s="1">
        <v>0.0</v>
      </c>
      <c r="BG948" s="1">
        <v>0.056744</v>
      </c>
      <c r="BH948" s="1">
        <v>0.0</v>
      </c>
      <c r="BI948" s="1">
        <v>0.082437</v>
      </c>
      <c r="BJ948" s="1">
        <v>0.024065</v>
      </c>
      <c r="BK948" s="1">
        <v>0.018914</v>
      </c>
      <c r="BL948" s="1">
        <v>0.017455</v>
      </c>
      <c r="BM948" s="1">
        <v>0.049</v>
      </c>
      <c r="BN948" s="1">
        <v>0.465</v>
      </c>
      <c r="BO948" s="1">
        <v>0.2173</v>
      </c>
      <c r="BP948" s="1">
        <v>0.303</v>
      </c>
      <c r="BQ948" s="1">
        <v>1.0343</v>
      </c>
      <c r="BR948" s="1">
        <v>0.2094</v>
      </c>
      <c r="BS948" s="1">
        <v>0.243</v>
      </c>
      <c r="BT948" s="1">
        <v>0.324</v>
      </c>
      <c r="BU948" s="1">
        <v>0.372</v>
      </c>
      <c r="BV948" s="1">
        <v>0.939</v>
      </c>
      <c r="BW948" s="1">
        <v>0.097</v>
      </c>
      <c r="BX948" s="1">
        <v>0.45</v>
      </c>
      <c r="BY948" s="1">
        <v>0.399</v>
      </c>
      <c r="BZ948" s="1">
        <v>0.849</v>
      </c>
      <c r="CA948" s="1">
        <v>0.431</v>
      </c>
      <c r="CB948" s="1">
        <v>0.861</v>
      </c>
      <c r="CC948" s="1">
        <v>0.0</v>
      </c>
      <c r="CD948" s="1">
        <v>0.0</v>
      </c>
      <c r="CE948" s="1">
        <v>0.23</v>
      </c>
      <c r="CF948" s="1">
        <v>0.679</v>
      </c>
      <c r="CG948" s="1">
        <v>1.77</v>
      </c>
      <c r="CH948" s="1">
        <v>0.258</v>
      </c>
      <c r="CI948" s="1">
        <v>4.5923</v>
      </c>
      <c r="CJ948" s="1">
        <v>0.1401</v>
      </c>
      <c r="CK948" s="1">
        <v>0.0</v>
      </c>
      <c r="CL948" s="1">
        <v>0.0</v>
      </c>
      <c r="CM948" s="1">
        <v>0.0</v>
      </c>
      <c r="CN948" s="1">
        <v>0.0</v>
      </c>
      <c r="CO948" s="1">
        <v>0.0</v>
      </c>
      <c r="CP948" s="1">
        <v>0.0</v>
      </c>
      <c r="CQ948" s="1">
        <v>0.0</v>
      </c>
      <c r="CR948" s="1">
        <v>0.0</v>
      </c>
      <c r="CS948" s="1">
        <v>0.0</v>
      </c>
      <c r="CT948" s="1">
        <v>0.0</v>
      </c>
      <c r="CU948" s="1">
        <v>0.0</v>
      </c>
      <c r="CV948" s="1">
        <v>0.0</v>
      </c>
      <c r="CW948" s="1">
        <v>0.0</v>
      </c>
      <c r="CX948" s="1">
        <v>0.0</v>
      </c>
      <c r="CY948" s="1">
        <v>0.0</v>
      </c>
      <c r="CZ948" s="1">
        <v>0.0</v>
      </c>
      <c r="DA948" s="1">
        <v>0.0</v>
      </c>
      <c r="DB948" s="1">
        <v>0.0</v>
      </c>
      <c r="DC948" s="1">
        <v>0.0</v>
      </c>
      <c r="DD948" s="1" t="s">
        <v>4365</v>
      </c>
      <c r="DE948" s="1">
        <v>2.93231546538752E-4</v>
      </c>
      <c r="DF948" s="1">
        <v>0.0740016376901869</v>
      </c>
    </row>
    <row r="949" ht="15.75" customHeight="1">
      <c r="A949" s="1" t="s">
        <v>4366</v>
      </c>
      <c r="B949" s="1">
        <v>29.0</v>
      </c>
      <c r="C949" s="1">
        <v>183.0</v>
      </c>
      <c r="D949" s="1">
        <v>311312.0</v>
      </c>
      <c r="E949" s="1">
        <v>2.511</v>
      </c>
      <c r="F949" s="1">
        <v>29183.0</v>
      </c>
      <c r="G949" s="1">
        <v>2.9183311312E10</v>
      </c>
      <c r="H949" s="1" t="s">
        <v>112</v>
      </c>
      <c r="I949" s="1" t="s">
        <v>113</v>
      </c>
      <c r="J949" s="1" t="s">
        <v>4207</v>
      </c>
      <c r="K949" s="1" t="s">
        <v>4367</v>
      </c>
      <c r="L949" s="1">
        <v>5724.0</v>
      </c>
      <c r="M949" s="1">
        <v>5718.0</v>
      </c>
      <c r="N949" s="1">
        <v>281.0</v>
      </c>
      <c r="O949" s="1">
        <v>2138.0</v>
      </c>
      <c r="P949" s="1">
        <v>2051.0</v>
      </c>
      <c r="Q949" s="1">
        <v>92.0</v>
      </c>
      <c r="R949" s="1">
        <v>2059.0</v>
      </c>
      <c r="S949" s="1">
        <v>116.0</v>
      </c>
      <c r="T949" s="1">
        <v>116.0</v>
      </c>
      <c r="U949" s="1">
        <v>232.0</v>
      </c>
      <c r="V949" s="1">
        <v>360.0</v>
      </c>
      <c r="W949" s="1">
        <v>28202.0</v>
      </c>
      <c r="X949" s="1">
        <v>1832.0</v>
      </c>
      <c r="Y949" s="1">
        <v>282.0</v>
      </c>
      <c r="Z949" s="1">
        <v>292.0</v>
      </c>
      <c r="AA949" s="1">
        <v>632.0</v>
      </c>
      <c r="AB949" s="1">
        <v>1496.0</v>
      </c>
      <c r="AC949" s="1">
        <v>147.0</v>
      </c>
      <c r="AD949" s="1">
        <v>541.0</v>
      </c>
      <c r="AE949" s="1">
        <v>26.0</v>
      </c>
      <c r="AF949" s="1">
        <v>428.0</v>
      </c>
      <c r="AG949" s="1">
        <v>78.0</v>
      </c>
      <c r="AH949" s="1">
        <v>124.0</v>
      </c>
      <c r="AI949" s="1">
        <v>0.0</v>
      </c>
      <c r="AJ949" s="1">
        <v>114.0</v>
      </c>
      <c r="AK949" s="1">
        <v>0.0</v>
      </c>
      <c r="AL949" s="1">
        <v>161.0</v>
      </c>
      <c r="AM949" s="1">
        <v>27.0</v>
      </c>
      <c r="AN949" s="1">
        <v>116.0</v>
      </c>
      <c r="AO949" s="1">
        <v>0.0</v>
      </c>
      <c r="AP949" s="1">
        <v>0.020286</v>
      </c>
      <c r="AQ949" s="1">
        <v>0.020262</v>
      </c>
      <c r="AR949" s="1">
        <v>0.069274</v>
      </c>
      <c r="AS949" s="1">
        <v>0.107341</v>
      </c>
      <c r="AT949" s="1">
        <v>28202.0</v>
      </c>
      <c r="AU949" s="1">
        <v>1832.0</v>
      </c>
      <c r="AV949" s="1">
        <v>0.075664</v>
      </c>
      <c r="AW949" s="1">
        <v>0.078253</v>
      </c>
      <c r="AX949" s="1">
        <v>0.110412</v>
      </c>
      <c r="AY949" s="1">
        <v>0.261355</v>
      </c>
      <c r="AZ949" s="1">
        <v>0.07139388</v>
      </c>
      <c r="BA949" s="1">
        <v>0.094514</v>
      </c>
      <c r="BB949" s="1">
        <v>0.00485</v>
      </c>
      <c r="BC949" s="1">
        <v>0.07985</v>
      </c>
      <c r="BD949" s="1">
        <v>0.03803</v>
      </c>
      <c r="BE949" s="1">
        <v>0.060434</v>
      </c>
      <c r="BF949" s="1">
        <v>0.0</v>
      </c>
      <c r="BG949" s="1">
        <v>0.055582</v>
      </c>
      <c r="BH949" s="1">
        <v>0.0</v>
      </c>
      <c r="BI949" s="1">
        <v>0.079584</v>
      </c>
      <c r="BJ949" s="1">
        <v>0.013346</v>
      </c>
      <c r="BK949" s="1">
        <v>0.057336</v>
      </c>
      <c r="BL949" s="1">
        <v>0.0</v>
      </c>
      <c r="BM949" s="1">
        <v>0.058</v>
      </c>
      <c r="BN949" s="1">
        <v>0.507</v>
      </c>
      <c r="BO949" s="1">
        <v>0.244</v>
      </c>
      <c r="BP949" s="1">
        <v>0.225</v>
      </c>
      <c r="BQ949" s="1">
        <v>1.034</v>
      </c>
      <c r="BR949" s="1">
        <v>0.2087</v>
      </c>
      <c r="BS949" s="1">
        <v>0.275</v>
      </c>
      <c r="BT949" s="1">
        <v>0.712</v>
      </c>
      <c r="BU949" s="1">
        <v>0.228</v>
      </c>
      <c r="BV949" s="1">
        <v>1.215</v>
      </c>
      <c r="BW949" s="1">
        <v>0.243</v>
      </c>
      <c r="BX949" s="1">
        <v>0.448</v>
      </c>
      <c r="BY949" s="1">
        <v>0.554</v>
      </c>
      <c r="BZ949" s="1">
        <v>1.002</v>
      </c>
      <c r="CA949" s="1">
        <v>0.562</v>
      </c>
      <c r="CB949" s="1">
        <v>0.602</v>
      </c>
      <c r="CC949" s="1">
        <v>0.0</v>
      </c>
      <c r="CD949" s="1">
        <v>0.0</v>
      </c>
      <c r="CE949" s="1">
        <v>0.117</v>
      </c>
      <c r="CF949" s="1">
        <v>0.0</v>
      </c>
      <c r="CG949" s="1">
        <v>0.719</v>
      </c>
      <c r="CH949" s="1">
        <v>0.049</v>
      </c>
      <c r="CI949" s="1">
        <v>3.97</v>
      </c>
      <c r="CJ949" s="1">
        <v>0.083</v>
      </c>
      <c r="CK949" s="1">
        <v>0.0</v>
      </c>
      <c r="CL949" s="1">
        <v>0.0</v>
      </c>
      <c r="CM949" s="1">
        <v>0.0</v>
      </c>
      <c r="CN949" s="1">
        <v>0.0</v>
      </c>
      <c r="CO949" s="1">
        <v>0.0</v>
      </c>
      <c r="CP949" s="1">
        <v>0.0</v>
      </c>
      <c r="CQ949" s="1">
        <v>0.0</v>
      </c>
      <c r="CR949" s="1">
        <v>0.0</v>
      </c>
      <c r="CS949" s="1">
        <v>0.0</v>
      </c>
      <c r="CT949" s="1">
        <v>0.0</v>
      </c>
      <c r="CU949" s="1">
        <v>0.0</v>
      </c>
      <c r="CV949" s="1">
        <v>0.0</v>
      </c>
      <c r="CW949" s="1">
        <v>0.0</v>
      </c>
      <c r="CX949" s="1">
        <v>0.0</v>
      </c>
      <c r="CY949" s="1">
        <v>0.0</v>
      </c>
      <c r="CZ949" s="1">
        <v>0.0</v>
      </c>
      <c r="DA949" s="1">
        <v>0.0</v>
      </c>
      <c r="DB949" s="1">
        <v>0.0</v>
      </c>
      <c r="DC949" s="1">
        <v>0.0</v>
      </c>
      <c r="DD949" s="1" t="s">
        <v>4368</v>
      </c>
      <c r="DE949" s="1">
        <v>6.73970720729898E-4</v>
      </c>
      <c r="DF949" s="2" t="s">
        <v>4369</v>
      </c>
    </row>
    <row r="950" ht="15.75" customHeight="1">
      <c r="A950" s="1" t="s">
        <v>4370</v>
      </c>
      <c r="B950" s="1">
        <v>29.0</v>
      </c>
      <c r="C950" s="1">
        <v>183.0</v>
      </c>
      <c r="D950" s="1">
        <v>311322.0</v>
      </c>
      <c r="E950" s="1">
        <v>3.871</v>
      </c>
      <c r="F950" s="1">
        <v>29183.0</v>
      </c>
      <c r="G950" s="1">
        <v>2.9183311322E10</v>
      </c>
      <c r="H950" s="1" t="s">
        <v>112</v>
      </c>
      <c r="I950" s="1" t="s">
        <v>113</v>
      </c>
      <c r="J950" s="1" t="s">
        <v>4207</v>
      </c>
      <c r="K950" s="1" t="s">
        <v>4371</v>
      </c>
      <c r="L950" s="1">
        <v>5786.0</v>
      </c>
      <c r="M950" s="1">
        <v>5963.0</v>
      </c>
      <c r="N950" s="1">
        <v>323.0</v>
      </c>
      <c r="O950" s="1">
        <v>2018.0</v>
      </c>
      <c r="P950" s="1">
        <v>1940.0</v>
      </c>
      <c r="Q950" s="1">
        <v>119.0</v>
      </c>
      <c r="R950" s="1">
        <v>1933.0</v>
      </c>
      <c r="S950" s="1">
        <v>255.0</v>
      </c>
      <c r="T950" s="1">
        <v>152.0</v>
      </c>
      <c r="U950" s="1">
        <v>184.0</v>
      </c>
      <c r="V950" s="1">
        <v>308.0</v>
      </c>
      <c r="W950" s="1">
        <v>30612.0</v>
      </c>
      <c r="X950" s="1">
        <v>1701.0</v>
      </c>
      <c r="Y950" s="1">
        <v>247.0</v>
      </c>
      <c r="Z950" s="1">
        <v>290.0</v>
      </c>
      <c r="AA950" s="1">
        <v>450.0</v>
      </c>
      <c r="AB950" s="1">
        <v>1706.0</v>
      </c>
      <c r="AC950" s="1">
        <v>125.0</v>
      </c>
      <c r="AD950" s="1">
        <v>532.0</v>
      </c>
      <c r="AE950" s="1">
        <v>113.0</v>
      </c>
      <c r="AF950" s="1">
        <v>405.0</v>
      </c>
      <c r="AG950" s="1">
        <v>0.0</v>
      </c>
      <c r="AH950" s="1">
        <v>197.0</v>
      </c>
      <c r="AI950" s="1">
        <v>0.0</v>
      </c>
      <c r="AJ950" s="1">
        <v>114.0</v>
      </c>
      <c r="AK950" s="1">
        <v>17.0</v>
      </c>
      <c r="AL950" s="1">
        <v>116.0</v>
      </c>
      <c r="AM950" s="1">
        <v>0.0</v>
      </c>
      <c r="AN950" s="1">
        <v>161.0</v>
      </c>
      <c r="AO950" s="1">
        <v>0.0</v>
      </c>
      <c r="AP950" s="1">
        <v>0.042763</v>
      </c>
      <c r="AQ950" s="1">
        <v>0.025385</v>
      </c>
      <c r="AR950" s="1">
        <v>0.054341</v>
      </c>
      <c r="AS950" s="1">
        <v>0.090864</v>
      </c>
      <c r="AT950" s="1">
        <v>30612.0</v>
      </c>
      <c r="AU950" s="1">
        <v>1701.0</v>
      </c>
      <c r="AV950" s="1">
        <v>0.069557</v>
      </c>
      <c r="AW950" s="1">
        <v>0.081572</v>
      </c>
      <c r="AX950" s="1">
        <v>0.077773</v>
      </c>
      <c r="AY950" s="1">
        <v>0.294849</v>
      </c>
      <c r="AZ950" s="1">
        <v>0.06466632</v>
      </c>
      <c r="BA950" s="1">
        <v>0.091946</v>
      </c>
      <c r="BB950" s="1">
        <v>0.020294</v>
      </c>
      <c r="BC950" s="1">
        <v>0.072729</v>
      </c>
      <c r="BD950" s="1">
        <v>0.0</v>
      </c>
      <c r="BE950" s="1">
        <v>0.101546</v>
      </c>
      <c r="BF950" s="1">
        <v>0.0</v>
      </c>
      <c r="BG950" s="1">
        <v>0.058762</v>
      </c>
      <c r="BH950" s="1">
        <v>0.008942</v>
      </c>
      <c r="BI950" s="1">
        <v>0.061018</v>
      </c>
      <c r="BJ950" s="1">
        <v>0.0</v>
      </c>
      <c r="BK950" s="1">
        <v>0.084692</v>
      </c>
      <c r="BL950" s="1">
        <v>0.0</v>
      </c>
      <c r="BM950" s="1">
        <v>0.135</v>
      </c>
      <c r="BN950" s="1">
        <v>0.339</v>
      </c>
      <c r="BO950" s="1">
        <v>0.1841</v>
      </c>
      <c r="BP950" s="1">
        <v>0.2</v>
      </c>
      <c r="BQ950" s="1">
        <v>0.8581</v>
      </c>
      <c r="BR950" s="1">
        <v>0.1718</v>
      </c>
      <c r="BS950" s="1">
        <v>0.106</v>
      </c>
      <c r="BT950" s="1">
        <v>0.903</v>
      </c>
      <c r="BU950" s="1">
        <v>0.17</v>
      </c>
      <c r="BV950" s="1">
        <v>1.179</v>
      </c>
      <c r="BW950" s="1">
        <v>0.213</v>
      </c>
      <c r="BX950" s="1">
        <v>0.436</v>
      </c>
      <c r="BY950" s="1">
        <v>0.86</v>
      </c>
      <c r="BZ950" s="1">
        <v>1.296</v>
      </c>
      <c r="CA950" s="1">
        <v>0.71</v>
      </c>
      <c r="CB950" s="1">
        <v>0.0</v>
      </c>
      <c r="CC950" s="1">
        <v>0.0</v>
      </c>
      <c r="CD950" s="1">
        <v>0.456</v>
      </c>
      <c r="CE950" s="1">
        <v>0.0</v>
      </c>
      <c r="CF950" s="1">
        <v>0.0</v>
      </c>
      <c r="CG950" s="1">
        <v>0.456</v>
      </c>
      <c r="CH950" s="1">
        <v>0.023</v>
      </c>
      <c r="CI950" s="1">
        <v>3.7891</v>
      </c>
      <c r="CJ950" s="1">
        <v>0.0664</v>
      </c>
      <c r="CK950" s="1">
        <v>0.0</v>
      </c>
      <c r="CL950" s="1">
        <v>0.0</v>
      </c>
      <c r="CM950" s="1">
        <v>0.0</v>
      </c>
      <c r="CN950" s="1">
        <v>0.0</v>
      </c>
      <c r="CO950" s="1">
        <v>0.0</v>
      </c>
      <c r="CP950" s="1">
        <v>0.0</v>
      </c>
      <c r="CQ950" s="1">
        <v>1.0</v>
      </c>
      <c r="CR950" s="1">
        <v>0.0</v>
      </c>
      <c r="CS950" s="1">
        <v>1.0</v>
      </c>
      <c r="CT950" s="1">
        <v>0.0</v>
      </c>
      <c r="CU950" s="1">
        <v>0.0</v>
      </c>
      <c r="CV950" s="1">
        <v>0.0</v>
      </c>
      <c r="CW950" s="1">
        <v>0.0</v>
      </c>
      <c r="CX950" s="1">
        <v>0.0</v>
      </c>
      <c r="CY950" s="1">
        <v>0.0</v>
      </c>
      <c r="CZ950" s="1">
        <v>0.0</v>
      </c>
      <c r="DA950" s="1">
        <v>0.0</v>
      </c>
      <c r="DB950" s="1">
        <v>0.0</v>
      </c>
      <c r="DC950" s="1">
        <v>1.0</v>
      </c>
      <c r="DD950" s="1" t="s">
        <v>4372</v>
      </c>
      <c r="DE950" s="1">
        <v>0.00104216838382844</v>
      </c>
      <c r="DF950" s="2" t="s">
        <v>4373</v>
      </c>
    </row>
    <row r="951" ht="15.75" customHeight="1">
      <c r="A951" s="1" t="s">
        <v>4374</v>
      </c>
      <c r="B951" s="1">
        <v>29.0</v>
      </c>
      <c r="C951" s="1">
        <v>183.0</v>
      </c>
      <c r="D951" s="1">
        <v>311391.0</v>
      </c>
      <c r="E951" s="1">
        <v>0.824</v>
      </c>
      <c r="F951" s="1">
        <v>29183.0</v>
      </c>
      <c r="G951" s="1">
        <v>2.9183311391E10</v>
      </c>
      <c r="H951" s="1" t="s">
        <v>112</v>
      </c>
      <c r="I951" s="1" t="s">
        <v>113</v>
      </c>
      <c r="J951" s="1" t="s">
        <v>4207</v>
      </c>
      <c r="K951" s="1" t="s">
        <v>4375</v>
      </c>
      <c r="L951" s="1">
        <v>4786.0</v>
      </c>
      <c r="M951" s="1">
        <v>4934.0</v>
      </c>
      <c r="N951" s="1">
        <v>373.0</v>
      </c>
      <c r="O951" s="1">
        <v>1733.0</v>
      </c>
      <c r="P951" s="1">
        <v>1751.0</v>
      </c>
      <c r="Q951" s="1">
        <v>59.0</v>
      </c>
      <c r="R951" s="1">
        <v>1696.0</v>
      </c>
      <c r="S951" s="1">
        <v>192.0</v>
      </c>
      <c r="T951" s="1">
        <v>135.0</v>
      </c>
      <c r="U951" s="1">
        <v>84.0</v>
      </c>
      <c r="V951" s="1">
        <v>430.0</v>
      </c>
      <c r="W951" s="1">
        <v>27893.0</v>
      </c>
      <c r="X951" s="1">
        <v>2298.0</v>
      </c>
      <c r="Y951" s="1">
        <v>211.0</v>
      </c>
      <c r="Z951" s="1">
        <v>268.0</v>
      </c>
      <c r="AA951" s="1">
        <v>310.0</v>
      </c>
      <c r="AB951" s="1">
        <v>1295.0</v>
      </c>
      <c r="AC951" s="1">
        <v>167.0</v>
      </c>
      <c r="AD951" s="1">
        <v>485.0</v>
      </c>
      <c r="AE951" s="1">
        <v>31.0</v>
      </c>
      <c r="AF951" s="1">
        <v>412.0</v>
      </c>
      <c r="AG951" s="1">
        <v>0.0</v>
      </c>
      <c r="AH951" s="1">
        <v>197.0</v>
      </c>
      <c r="AI951" s="1">
        <v>38.0</v>
      </c>
      <c r="AJ951" s="1">
        <v>50.0</v>
      </c>
      <c r="AK951" s="1">
        <v>12.0</v>
      </c>
      <c r="AL951" s="1">
        <v>116.0</v>
      </c>
      <c r="AM951" s="1">
        <v>36.0</v>
      </c>
      <c r="AN951" s="1">
        <v>119.0</v>
      </c>
      <c r="AO951" s="1">
        <v>0.0</v>
      </c>
      <c r="AP951" s="1">
        <v>0.038984</v>
      </c>
      <c r="AQ951" s="1">
        <v>0.027252</v>
      </c>
      <c r="AR951" s="1">
        <v>0.030237</v>
      </c>
      <c r="AS951" s="1">
        <v>0.154755</v>
      </c>
      <c r="AT951" s="1">
        <v>27893.0</v>
      </c>
      <c r="AU951" s="1">
        <v>2298.0</v>
      </c>
      <c r="AV951" s="1">
        <v>0.068729</v>
      </c>
      <c r="AW951" s="1">
        <v>0.087228</v>
      </c>
      <c r="AX951" s="1">
        <v>0.064772</v>
      </c>
      <c r="AY951" s="1">
        <v>0.27058</v>
      </c>
      <c r="AZ951" s="1">
        <v>0.09846698</v>
      </c>
      <c r="BA951" s="1">
        <v>0.101337</v>
      </c>
      <c r="BB951" s="1">
        <v>0.006701</v>
      </c>
      <c r="BC951" s="1">
        <v>0.08906</v>
      </c>
      <c r="BD951" s="1">
        <v>0.0</v>
      </c>
      <c r="BE951" s="1">
        <v>0.112507</v>
      </c>
      <c r="BF951" s="1">
        <v>0.021701</v>
      </c>
      <c r="BG951" s="1">
        <v>0.028545</v>
      </c>
      <c r="BH951" s="1">
        <v>0.006988</v>
      </c>
      <c r="BI951" s="1">
        <v>0.067559</v>
      </c>
      <c r="BJ951" s="1">
        <v>0.020966</v>
      </c>
      <c r="BK951" s="1">
        <v>0.069301</v>
      </c>
      <c r="BL951" s="1">
        <v>0.0</v>
      </c>
      <c r="BM951" s="1">
        <v>0.118</v>
      </c>
      <c r="BN951" s="1">
        <v>0.089</v>
      </c>
      <c r="BO951" s="1">
        <v>0.2534</v>
      </c>
      <c r="BP951" s="1">
        <v>0.196</v>
      </c>
      <c r="BQ951" s="1">
        <v>0.6564</v>
      </c>
      <c r="BR951" s="1">
        <v>0.1148</v>
      </c>
      <c r="BS951" s="1">
        <v>0.064</v>
      </c>
      <c r="BT951" s="1">
        <v>0.794</v>
      </c>
      <c r="BU951" s="1">
        <v>0.479</v>
      </c>
      <c r="BV951" s="1">
        <v>1.337</v>
      </c>
      <c r="BW951" s="1">
        <v>0.333</v>
      </c>
      <c r="BX951" s="1">
        <v>0.473</v>
      </c>
      <c r="BY951" s="1">
        <v>0.62</v>
      </c>
      <c r="BZ951" s="1">
        <v>1.093</v>
      </c>
      <c r="CA951" s="1">
        <v>0.61</v>
      </c>
      <c r="CB951" s="1">
        <v>0.0</v>
      </c>
      <c r="CC951" s="1">
        <v>0.518</v>
      </c>
      <c r="CD951" s="1">
        <v>0.392</v>
      </c>
      <c r="CE951" s="1">
        <v>0.192</v>
      </c>
      <c r="CF951" s="1">
        <v>0.0</v>
      </c>
      <c r="CG951" s="1">
        <v>1.102</v>
      </c>
      <c r="CH951" s="1">
        <v>0.093</v>
      </c>
      <c r="CI951" s="1">
        <v>4.1884</v>
      </c>
      <c r="CJ951" s="1">
        <v>0.104</v>
      </c>
      <c r="CK951" s="1">
        <v>0.0</v>
      </c>
      <c r="CL951" s="1">
        <v>0.0</v>
      </c>
      <c r="CM951" s="1">
        <v>0.0</v>
      </c>
      <c r="CN951" s="1">
        <v>0.0</v>
      </c>
      <c r="CO951" s="1">
        <v>0.0</v>
      </c>
      <c r="CP951" s="1">
        <v>0.0</v>
      </c>
      <c r="CQ951" s="1">
        <v>0.0</v>
      </c>
      <c r="CR951" s="1">
        <v>0.0</v>
      </c>
      <c r="CS951" s="1">
        <v>0.0</v>
      </c>
      <c r="CT951" s="1">
        <v>0.0</v>
      </c>
      <c r="CU951" s="1">
        <v>0.0</v>
      </c>
      <c r="CV951" s="1">
        <v>0.0</v>
      </c>
      <c r="CW951" s="1">
        <v>0.0</v>
      </c>
      <c r="CX951" s="1">
        <v>0.0</v>
      </c>
      <c r="CY951" s="1">
        <v>0.0</v>
      </c>
      <c r="CZ951" s="1">
        <v>0.0</v>
      </c>
      <c r="DA951" s="1">
        <v>0.0</v>
      </c>
      <c r="DB951" s="1">
        <v>0.0</v>
      </c>
      <c r="DC951" s="1">
        <v>0.0</v>
      </c>
      <c r="DD951" s="1" t="s">
        <v>4376</v>
      </c>
      <c r="DE951" s="1">
        <v>2.20666715737356E-4</v>
      </c>
      <c r="DF951" s="1">
        <v>0.0737378025034024</v>
      </c>
    </row>
    <row r="952" ht="15.75" customHeight="1">
      <c r="A952" s="1" t="s">
        <v>4377</v>
      </c>
      <c r="B952" s="1">
        <v>29.0</v>
      </c>
      <c r="C952" s="1">
        <v>183.0</v>
      </c>
      <c r="D952" s="1">
        <v>311422.0</v>
      </c>
      <c r="E952" s="1">
        <v>1.718</v>
      </c>
      <c r="F952" s="1">
        <v>29183.0</v>
      </c>
      <c r="G952" s="1">
        <v>2.9183311422E10</v>
      </c>
      <c r="H952" s="1" t="s">
        <v>112</v>
      </c>
      <c r="I952" s="1" t="s">
        <v>113</v>
      </c>
      <c r="J952" s="1" t="s">
        <v>4207</v>
      </c>
      <c r="K952" s="1" t="s">
        <v>4378</v>
      </c>
      <c r="L952" s="1">
        <v>5653.0</v>
      </c>
      <c r="M952" s="1">
        <v>5698.0</v>
      </c>
      <c r="N952" s="1">
        <v>272.0</v>
      </c>
      <c r="O952" s="1">
        <v>2199.0</v>
      </c>
      <c r="P952" s="1">
        <v>2266.0</v>
      </c>
      <c r="Q952" s="1">
        <v>71.0</v>
      </c>
      <c r="R952" s="1">
        <v>2132.0</v>
      </c>
      <c r="S952" s="1">
        <v>83.0</v>
      </c>
      <c r="T952" s="1">
        <v>52.0</v>
      </c>
      <c r="U952" s="1">
        <v>133.0</v>
      </c>
      <c r="V952" s="1">
        <v>385.0</v>
      </c>
      <c r="W952" s="1">
        <v>30026.0</v>
      </c>
      <c r="X952" s="1">
        <v>1873.0</v>
      </c>
      <c r="Y952" s="1">
        <v>330.0</v>
      </c>
      <c r="Z952" s="1">
        <v>298.0</v>
      </c>
      <c r="AA952" s="1">
        <v>644.0</v>
      </c>
      <c r="AB952" s="1">
        <v>1316.0</v>
      </c>
      <c r="AC952" s="1">
        <v>187.0</v>
      </c>
      <c r="AD952" s="1">
        <v>510.0</v>
      </c>
      <c r="AE952" s="1">
        <v>21.0</v>
      </c>
      <c r="AF952" s="1">
        <v>427.0</v>
      </c>
      <c r="AG952" s="1">
        <v>21.0</v>
      </c>
      <c r="AH952" s="1">
        <v>165.0</v>
      </c>
      <c r="AI952" s="1">
        <v>0.0</v>
      </c>
      <c r="AJ952" s="1">
        <v>114.0</v>
      </c>
      <c r="AK952" s="1">
        <v>25.0</v>
      </c>
      <c r="AL952" s="1">
        <v>117.0</v>
      </c>
      <c r="AM952" s="1">
        <v>22.0</v>
      </c>
      <c r="AN952" s="1">
        <v>117.0</v>
      </c>
      <c r="AO952" s="1">
        <v>0.0</v>
      </c>
      <c r="AP952" s="1">
        <v>0.014566</v>
      </c>
      <c r="AQ952" s="1">
        <v>0.009099</v>
      </c>
      <c r="AR952" s="1">
        <v>0.041036</v>
      </c>
      <c r="AS952" s="1">
        <v>0.118726</v>
      </c>
      <c r="AT952" s="1">
        <v>30026.0</v>
      </c>
      <c r="AU952" s="1">
        <v>1873.0</v>
      </c>
      <c r="AV952" s="1">
        <v>0.087186</v>
      </c>
      <c r="AW952" s="1">
        <v>0.078634</v>
      </c>
      <c r="AX952" s="1">
        <v>0.113921</v>
      </c>
      <c r="AY952" s="1">
        <v>0.232796</v>
      </c>
      <c r="AZ952" s="1">
        <v>0.08771106</v>
      </c>
      <c r="BA952" s="1">
        <v>0.090217</v>
      </c>
      <c r="BB952" s="1">
        <v>0.003898</v>
      </c>
      <c r="BC952" s="1">
        <v>0.079279</v>
      </c>
      <c r="BD952" s="1">
        <v>0.009267</v>
      </c>
      <c r="BE952" s="1">
        <v>0.072814</v>
      </c>
      <c r="BF952" s="1">
        <v>0.0</v>
      </c>
      <c r="BG952" s="1">
        <v>0.050308</v>
      </c>
      <c r="BH952" s="1">
        <v>0.011457</v>
      </c>
      <c r="BI952" s="1">
        <v>0.053618</v>
      </c>
      <c r="BJ952" s="1">
        <v>0.010082</v>
      </c>
      <c r="BK952" s="1">
        <v>0.053619</v>
      </c>
      <c r="BL952" s="1">
        <v>0.0</v>
      </c>
      <c r="BM952" s="1">
        <v>0.035</v>
      </c>
      <c r="BN952" s="1">
        <v>0.192</v>
      </c>
      <c r="BO952" s="1">
        <v>0.1971</v>
      </c>
      <c r="BP952" s="1">
        <v>0.282</v>
      </c>
      <c r="BQ952" s="1">
        <v>0.7061</v>
      </c>
      <c r="BR952" s="1">
        <v>0.1271</v>
      </c>
      <c r="BS952" s="1">
        <v>0.302</v>
      </c>
      <c r="BT952" s="1">
        <v>0.416</v>
      </c>
      <c r="BU952" s="1">
        <v>0.384</v>
      </c>
      <c r="BV952" s="1">
        <v>1.102</v>
      </c>
      <c r="BW952" s="1">
        <v>0.166</v>
      </c>
      <c r="BX952" s="1">
        <v>0.43</v>
      </c>
      <c r="BY952" s="1">
        <v>0.509</v>
      </c>
      <c r="BZ952" s="1">
        <v>0.939</v>
      </c>
      <c r="CA952" s="1">
        <v>0.498</v>
      </c>
      <c r="CB952" s="1">
        <v>0.377</v>
      </c>
      <c r="CC952" s="1">
        <v>0.0</v>
      </c>
      <c r="CD952" s="1">
        <v>0.512</v>
      </c>
      <c r="CE952" s="1">
        <v>0.087</v>
      </c>
      <c r="CF952" s="1">
        <v>0.0</v>
      </c>
      <c r="CG952" s="1">
        <v>0.976</v>
      </c>
      <c r="CH952" s="1">
        <v>0.074</v>
      </c>
      <c r="CI952" s="1">
        <v>3.7231</v>
      </c>
      <c r="CJ952" s="1">
        <v>0.0599</v>
      </c>
      <c r="CK952" s="1">
        <v>0.0</v>
      </c>
      <c r="CL952" s="1">
        <v>0.0</v>
      </c>
      <c r="CM952" s="1">
        <v>0.0</v>
      </c>
      <c r="CN952" s="1">
        <v>0.0</v>
      </c>
      <c r="CO952" s="1">
        <v>0.0</v>
      </c>
      <c r="CP952" s="1">
        <v>0.0</v>
      </c>
      <c r="CQ952" s="1">
        <v>0.0</v>
      </c>
      <c r="CR952" s="1">
        <v>0.0</v>
      </c>
      <c r="CS952" s="1">
        <v>0.0</v>
      </c>
      <c r="CT952" s="1">
        <v>0.0</v>
      </c>
      <c r="CU952" s="1">
        <v>0.0</v>
      </c>
      <c r="CV952" s="1">
        <v>0.0</v>
      </c>
      <c r="CW952" s="1">
        <v>0.0</v>
      </c>
      <c r="CX952" s="1">
        <v>0.0</v>
      </c>
      <c r="CY952" s="1">
        <v>0.0</v>
      </c>
      <c r="CZ952" s="1">
        <v>0.0</v>
      </c>
      <c r="DA952" s="1">
        <v>0.0</v>
      </c>
      <c r="DB952" s="1">
        <v>0.0</v>
      </c>
      <c r="DC952" s="1">
        <v>0.0</v>
      </c>
      <c r="DD952" s="1" t="s">
        <v>4379</v>
      </c>
      <c r="DE952" s="1">
        <v>4.59435786944264E-4</v>
      </c>
      <c r="DF952" s="1">
        <v>0.0972275898606323</v>
      </c>
    </row>
    <row r="953" ht="15.75" customHeight="1">
      <c r="A953" s="1" t="s">
        <v>4380</v>
      </c>
      <c r="B953" s="1">
        <v>29.0</v>
      </c>
      <c r="C953" s="1">
        <v>183.0</v>
      </c>
      <c r="D953" s="1">
        <v>311735.0</v>
      </c>
      <c r="E953" s="1">
        <v>1.246</v>
      </c>
      <c r="F953" s="1">
        <v>29183.0</v>
      </c>
      <c r="G953" s="1">
        <v>2.9183311735E10</v>
      </c>
      <c r="H953" s="1" t="s">
        <v>112</v>
      </c>
      <c r="I953" s="1" t="s">
        <v>113</v>
      </c>
      <c r="J953" s="1" t="s">
        <v>4207</v>
      </c>
      <c r="K953" s="1" t="s">
        <v>4381</v>
      </c>
      <c r="L953" s="1">
        <v>6052.0</v>
      </c>
      <c r="M953" s="1">
        <v>5861.0</v>
      </c>
      <c r="N953" s="1">
        <v>302.0</v>
      </c>
      <c r="O953" s="1">
        <v>2005.0</v>
      </c>
      <c r="P953" s="1">
        <v>1921.0</v>
      </c>
      <c r="Q953" s="1">
        <v>72.0</v>
      </c>
      <c r="R953" s="1">
        <v>1959.0</v>
      </c>
      <c r="S953" s="1">
        <v>86.0</v>
      </c>
      <c r="T953" s="1">
        <v>96.0</v>
      </c>
      <c r="U953" s="1">
        <v>255.0</v>
      </c>
      <c r="V953" s="1">
        <v>381.0</v>
      </c>
      <c r="W953" s="1">
        <v>29943.0</v>
      </c>
      <c r="X953" s="1">
        <v>2346.0</v>
      </c>
      <c r="Y953" s="1">
        <v>242.0</v>
      </c>
      <c r="Z953" s="1">
        <v>343.0</v>
      </c>
      <c r="AA953" s="1">
        <v>510.0</v>
      </c>
      <c r="AB953" s="1">
        <v>2023.0</v>
      </c>
      <c r="AC953" s="1">
        <v>169.0</v>
      </c>
      <c r="AD953" s="1">
        <v>620.0</v>
      </c>
      <c r="AE953" s="1">
        <v>20.0</v>
      </c>
      <c r="AF953" s="1">
        <v>443.0</v>
      </c>
      <c r="AG953" s="1">
        <v>0.0</v>
      </c>
      <c r="AH953" s="1">
        <v>197.0</v>
      </c>
      <c r="AI953" s="1">
        <v>0.0</v>
      </c>
      <c r="AJ953" s="1">
        <v>114.0</v>
      </c>
      <c r="AK953" s="1">
        <v>0.0</v>
      </c>
      <c r="AL953" s="1">
        <v>161.0</v>
      </c>
      <c r="AM953" s="1">
        <v>25.0</v>
      </c>
      <c r="AN953" s="1">
        <v>118.0</v>
      </c>
      <c r="AO953" s="1">
        <v>0.0</v>
      </c>
      <c r="AP953" s="1">
        <v>0.014723</v>
      </c>
      <c r="AQ953" s="1">
        <v>0.016418</v>
      </c>
      <c r="AR953" s="1">
        <v>0.082072</v>
      </c>
      <c r="AS953" s="1">
        <v>0.122371</v>
      </c>
      <c r="AT953" s="1">
        <v>29943.0</v>
      </c>
      <c r="AU953" s="1">
        <v>2346.0</v>
      </c>
      <c r="AV953" s="1">
        <v>0.067409</v>
      </c>
      <c r="AW953" s="1">
        <v>0.095486</v>
      </c>
      <c r="AX953" s="1">
        <v>0.084269</v>
      </c>
      <c r="AY953" s="1">
        <v>0.334269</v>
      </c>
      <c r="AZ953" s="1">
        <v>0.0862685</v>
      </c>
      <c r="BA953" s="1">
        <v>0.102445</v>
      </c>
      <c r="BB953" s="1">
        <v>0.003748</v>
      </c>
      <c r="BC953" s="1">
        <v>0.083036</v>
      </c>
      <c r="BD953" s="1">
        <v>0.0</v>
      </c>
      <c r="BE953" s="1">
        <v>0.10255</v>
      </c>
      <c r="BF953" s="1">
        <v>0.0</v>
      </c>
      <c r="BG953" s="1">
        <v>0.059344</v>
      </c>
      <c r="BH953" s="1">
        <v>0.0</v>
      </c>
      <c r="BI953" s="1">
        <v>0.08381</v>
      </c>
      <c r="BJ953" s="1">
        <v>0.013014</v>
      </c>
      <c r="BK953" s="1">
        <v>0.061424</v>
      </c>
      <c r="BL953" s="1">
        <v>0.0</v>
      </c>
      <c r="BM953" s="1">
        <v>0.036</v>
      </c>
      <c r="BN953" s="1">
        <v>0.628</v>
      </c>
      <c r="BO953" s="1">
        <v>0.1978</v>
      </c>
      <c r="BP953" s="1">
        <v>0.191</v>
      </c>
      <c r="BQ953" s="1">
        <v>1.0528</v>
      </c>
      <c r="BR953" s="1">
        <v>0.2152</v>
      </c>
      <c r="BS953" s="1">
        <v>0.135</v>
      </c>
      <c r="BT953" s="1">
        <v>0.978</v>
      </c>
      <c r="BU953" s="1">
        <v>0.37</v>
      </c>
      <c r="BV953" s="1">
        <v>1.483</v>
      </c>
      <c r="BW953" s="1">
        <v>0.469</v>
      </c>
      <c r="BX953" s="1">
        <v>0.479</v>
      </c>
      <c r="BY953" s="1">
        <v>0.5</v>
      </c>
      <c r="BZ953" s="1">
        <v>0.979</v>
      </c>
      <c r="CA953" s="1">
        <v>0.538</v>
      </c>
      <c r="CB953" s="1">
        <v>0.0</v>
      </c>
      <c r="CC953" s="1">
        <v>0.0</v>
      </c>
      <c r="CD953" s="1">
        <v>0.0</v>
      </c>
      <c r="CE953" s="1">
        <v>0.113</v>
      </c>
      <c r="CF953" s="1">
        <v>0.0</v>
      </c>
      <c r="CG953" s="1">
        <v>0.113</v>
      </c>
      <c r="CH953" s="1">
        <v>0.012</v>
      </c>
      <c r="CI953" s="1">
        <v>3.6278</v>
      </c>
      <c r="CJ953" s="1">
        <v>0.0513</v>
      </c>
      <c r="CK953" s="1">
        <v>0.0</v>
      </c>
      <c r="CL953" s="1">
        <v>0.0</v>
      </c>
      <c r="CM953" s="1">
        <v>0.0</v>
      </c>
      <c r="CN953" s="1">
        <v>0.0</v>
      </c>
      <c r="CO953" s="1">
        <v>0.0</v>
      </c>
      <c r="CP953" s="1">
        <v>0.0</v>
      </c>
      <c r="CQ953" s="1">
        <v>1.0</v>
      </c>
      <c r="CR953" s="1">
        <v>0.0</v>
      </c>
      <c r="CS953" s="1">
        <v>1.0</v>
      </c>
      <c r="CT953" s="1">
        <v>0.0</v>
      </c>
      <c r="CU953" s="1">
        <v>0.0</v>
      </c>
      <c r="CV953" s="1">
        <v>0.0</v>
      </c>
      <c r="CW953" s="1">
        <v>0.0</v>
      </c>
      <c r="CX953" s="1">
        <v>0.0</v>
      </c>
      <c r="CY953" s="1">
        <v>0.0</v>
      </c>
      <c r="CZ953" s="1">
        <v>0.0</v>
      </c>
      <c r="DA953" s="1">
        <v>0.0</v>
      </c>
      <c r="DB953" s="1">
        <v>0.0</v>
      </c>
      <c r="DC953" s="1">
        <v>1.0</v>
      </c>
      <c r="DD953" s="1" t="s">
        <v>4382</v>
      </c>
      <c r="DE953" s="1">
        <v>3.33776831946493E-4</v>
      </c>
      <c r="DF953" s="1">
        <v>0.0840552250688508</v>
      </c>
    </row>
    <row r="954" ht="15.75" customHeight="1">
      <c r="A954" s="1" t="s">
        <v>4383</v>
      </c>
      <c r="B954" s="1">
        <v>29.0</v>
      </c>
      <c r="C954" s="1">
        <v>183.0</v>
      </c>
      <c r="D954" s="1">
        <v>311736.0</v>
      </c>
      <c r="E954" s="1">
        <v>2.33</v>
      </c>
      <c r="F954" s="1">
        <v>29183.0</v>
      </c>
      <c r="G954" s="1">
        <v>2.9183311736E10</v>
      </c>
      <c r="H954" s="1" t="s">
        <v>112</v>
      </c>
      <c r="I954" s="1" t="s">
        <v>113</v>
      </c>
      <c r="J954" s="1" t="s">
        <v>4207</v>
      </c>
      <c r="K954" s="1" t="s">
        <v>4384</v>
      </c>
      <c r="L954" s="1">
        <v>6379.0</v>
      </c>
      <c r="M954" s="1">
        <v>6573.0</v>
      </c>
      <c r="N954" s="1">
        <v>263.0</v>
      </c>
      <c r="O954" s="1">
        <v>2050.0</v>
      </c>
      <c r="P954" s="1">
        <v>2011.0</v>
      </c>
      <c r="Q954" s="1">
        <v>89.0</v>
      </c>
      <c r="R954" s="1">
        <v>2010.0</v>
      </c>
      <c r="S954" s="1">
        <v>42.0</v>
      </c>
      <c r="T954" s="1">
        <v>33.0</v>
      </c>
      <c r="U954" s="1">
        <v>138.0</v>
      </c>
      <c r="V954" s="1">
        <v>387.0</v>
      </c>
      <c r="W954" s="1">
        <v>34804.0</v>
      </c>
      <c r="X954" s="1">
        <v>2992.0</v>
      </c>
      <c r="Y954" s="1">
        <v>108.0</v>
      </c>
      <c r="Z954" s="1">
        <v>348.0</v>
      </c>
      <c r="AA954" s="1">
        <v>400.0</v>
      </c>
      <c r="AB954" s="1">
        <v>2024.0</v>
      </c>
      <c r="AC954" s="1">
        <v>104.0</v>
      </c>
      <c r="AD954" s="1">
        <v>702.0</v>
      </c>
      <c r="AE954" s="1">
        <v>14.0</v>
      </c>
      <c r="AF954" s="1">
        <v>442.0</v>
      </c>
      <c r="AG954" s="1">
        <v>0.0</v>
      </c>
      <c r="AH954" s="1">
        <v>197.0</v>
      </c>
      <c r="AI954" s="1">
        <v>44.0</v>
      </c>
      <c r="AJ954" s="1">
        <v>67.0</v>
      </c>
      <c r="AK954" s="1">
        <v>61.0</v>
      </c>
      <c r="AL954" s="1">
        <v>134.0</v>
      </c>
      <c r="AM954" s="1">
        <v>14.0</v>
      </c>
      <c r="AN954" s="1">
        <v>115.0</v>
      </c>
      <c r="AO954" s="1">
        <v>0.0</v>
      </c>
      <c r="AP954" s="1">
        <v>0.00641</v>
      </c>
      <c r="AQ954" s="1">
        <v>0.005029</v>
      </c>
      <c r="AR954" s="1">
        <v>0.036643</v>
      </c>
      <c r="AS954" s="1">
        <v>0.102711</v>
      </c>
      <c r="AT954" s="1">
        <v>34804.0</v>
      </c>
      <c r="AU954" s="1">
        <v>2992.0</v>
      </c>
      <c r="AV954" s="1">
        <v>0.028044</v>
      </c>
      <c r="AW954" s="1">
        <v>0.090357</v>
      </c>
      <c r="AX954" s="1">
        <v>0.062705</v>
      </c>
      <c r="AY954" s="1">
        <v>0.317291</v>
      </c>
      <c r="AZ954" s="1">
        <v>0.05174129</v>
      </c>
      <c r="BA954" s="1">
        <v>0.110048</v>
      </c>
      <c r="BB954" s="1">
        <v>0.00228</v>
      </c>
      <c r="BC954" s="1">
        <v>0.071986</v>
      </c>
      <c r="BD954" s="1">
        <v>0.0</v>
      </c>
      <c r="BE954" s="1">
        <v>0.097961</v>
      </c>
      <c r="BF954" s="1">
        <v>0.021879</v>
      </c>
      <c r="BG954" s="1">
        <v>0.033302</v>
      </c>
      <c r="BH954" s="1">
        <v>0.030515</v>
      </c>
      <c r="BI954" s="1">
        <v>0.067019</v>
      </c>
      <c r="BJ954" s="1">
        <v>0.007003</v>
      </c>
      <c r="BK954" s="1">
        <v>0.057527</v>
      </c>
      <c r="BL954" s="1">
        <v>0.0</v>
      </c>
      <c r="BM954" s="1">
        <v>0.012</v>
      </c>
      <c r="BN954" s="1">
        <v>0.152</v>
      </c>
      <c r="BO954" s="1">
        <v>0.1155</v>
      </c>
      <c r="BP954" s="1">
        <v>0.053</v>
      </c>
      <c r="BQ954" s="1">
        <v>0.3325</v>
      </c>
      <c r="BR954" s="1">
        <v>0.0253</v>
      </c>
      <c r="BS954" s="1">
        <v>0.053</v>
      </c>
      <c r="BT954" s="1">
        <v>0.956</v>
      </c>
      <c r="BU954" s="1">
        <v>0.083</v>
      </c>
      <c r="BV954" s="1">
        <v>1.092</v>
      </c>
      <c r="BW954" s="1">
        <v>0.161</v>
      </c>
      <c r="BX954" s="1">
        <v>0.505</v>
      </c>
      <c r="BY954" s="1">
        <v>0.395</v>
      </c>
      <c r="BZ954" s="1">
        <v>0.9</v>
      </c>
      <c r="CA954" s="1">
        <v>0.468</v>
      </c>
      <c r="CB954" s="1">
        <v>0.0</v>
      </c>
      <c r="CC954" s="1">
        <v>0.52</v>
      </c>
      <c r="CD954" s="1">
        <v>0.815</v>
      </c>
      <c r="CE954" s="1">
        <v>0.059</v>
      </c>
      <c r="CF954" s="1">
        <v>0.0</v>
      </c>
      <c r="CG954" s="1">
        <v>1.394</v>
      </c>
      <c r="CH954" s="1">
        <v>0.147</v>
      </c>
      <c r="CI954" s="1">
        <v>3.7185</v>
      </c>
      <c r="CJ954" s="1">
        <v>0.0592</v>
      </c>
      <c r="CK954" s="1">
        <v>0.0</v>
      </c>
      <c r="CL954" s="1">
        <v>0.0</v>
      </c>
      <c r="CM954" s="1">
        <v>0.0</v>
      </c>
      <c r="CN954" s="1">
        <v>0.0</v>
      </c>
      <c r="CO954" s="1">
        <v>0.0</v>
      </c>
      <c r="CP954" s="1">
        <v>0.0</v>
      </c>
      <c r="CQ954" s="1">
        <v>1.0</v>
      </c>
      <c r="CR954" s="1">
        <v>0.0</v>
      </c>
      <c r="CS954" s="1">
        <v>1.0</v>
      </c>
      <c r="CT954" s="1">
        <v>0.0</v>
      </c>
      <c r="CU954" s="1">
        <v>0.0</v>
      </c>
      <c r="CV954" s="1">
        <v>0.0</v>
      </c>
      <c r="CW954" s="1">
        <v>0.0</v>
      </c>
      <c r="CX954" s="1">
        <v>0.0</v>
      </c>
      <c r="CY954" s="1">
        <v>0.0</v>
      </c>
      <c r="CZ954" s="1">
        <v>0.0</v>
      </c>
      <c r="DA954" s="1">
        <v>0.0</v>
      </c>
      <c r="DB954" s="1">
        <v>0.0</v>
      </c>
      <c r="DC954" s="1">
        <v>1.0</v>
      </c>
      <c r="DD954" s="1" t="s">
        <v>4385</v>
      </c>
      <c r="DE954" s="1">
        <v>6.26703756611982E-4</v>
      </c>
      <c r="DF954" s="2" t="s">
        <v>4386</v>
      </c>
    </row>
    <row r="955" ht="15.75" customHeight="1">
      <c r="A955" s="1" t="s">
        <v>4387</v>
      </c>
      <c r="B955" s="1">
        <v>29.0</v>
      </c>
      <c r="C955" s="1">
        <v>183.0</v>
      </c>
      <c r="D955" s="1">
        <v>311601.0</v>
      </c>
      <c r="E955" s="1">
        <v>1.855</v>
      </c>
      <c r="F955" s="1">
        <v>29183.0</v>
      </c>
      <c r="G955" s="1">
        <v>2.9183311601E10</v>
      </c>
      <c r="H955" s="1" t="s">
        <v>112</v>
      </c>
      <c r="I955" s="1" t="s">
        <v>113</v>
      </c>
      <c r="J955" s="1" t="s">
        <v>4207</v>
      </c>
      <c r="K955" s="1" t="s">
        <v>4388</v>
      </c>
      <c r="L955" s="1">
        <v>5648.0</v>
      </c>
      <c r="M955" s="1">
        <v>5231.0</v>
      </c>
      <c r="N955" s="1">
        <v>390.0</v>
      </c>
      <c r="O955" s="1">
        <v>2205.0</v>
      </c>
      <c r="P955" s="1">
        <v>2027.0</v>
      </c>
      <c r="Q955" s="1">
        <v>94.0</v>
      </c>
      <c r="R955" s="1">
        <v>2137.0</v>
      </c>
      <c r="S955" s="1">
        <v>345.0</v>
      </c>
      <c r="T955" s="1">
        <v>222.0</v>
      </c>
      <c r="U955" s="1">
        <v>152.0</v>
      </c>
      <c r="V955" s="1">
        <v>403.0</v>
      </c>
      <c r="W955" s="1">
        <v>28149.0</v>
      </c>
      <c r="X955" s="1">
        <v>2392.0</v>
      </c>
      <c r="Y955" s="1">
        <v>286.0</v>
      </c>
      <c r="Z955" s="1">
        <v>302.0</v>
      </c>
      <c r="AA955" s="1">
        <v>558.0</v>
      </c>
      <c r="AB955" s="1">
        <v>1614.0</v>
      </c>
      <c r="AC955" s="1">
        <v>217.0</v>
      </c>
      <c r="AD955" s="1">
        <v>506.0</v>
      </c>
      <c r="AE955" s="1">
        <v>17.0</v>
      </c>
      <c r="AF955" s="1">
        <v>442.0</v>
      </c>
      <c r="AG955" s="1">
        <v>71.0</v>
      </c>
      <c r="AH955" s="1">
        <v>126.0</v>
      </c>
      <c r="AI955" s="1">
        <v>0.0</v>
      </c>
      <c r="AJ955" s="1">
        <v>114.0</v>
      </c>
      <c r="AK955" s="1">
        <v>0.0</v>
      </c>
      <c r="AL955" s="1">
        <v>161.0</v>
      </c>
      <c r="AM955" s="1">
        <v>65.0</v>
      </c>
      <c r="AN955" s="1">
        <v>50.0</v>
      </c>
      <c r="AO955" s="1">
        <v>0.0</v>
      </c>
      <c r="AP955" s="1">
        <v>0.066218</v>
      </c>
      <c r="AQ955" s="1">
        <v>0.042313</v>
      </c>
      <c r="AR955" s="1">
        <v>0.055312</v>
      </c>
      <c r="AS955" s="1">
        <v>0.146519</v>
      </c>
      <c r="AT955" s="1">
        <v>28149.0</v>
      </c>
      <c r="AU955" s="1">
        <v>2392.0</v>
      </c>
      <c r="AV955" s="1">
        <v>0.083821</v>
      </c>
      <c r="AW955" s="1">
        <v>0.088217</v>
      </c>
      <c r="AX955" s="1">
        <v>0.098796</v>
      </c>
      <c r="AY955" s="1">
        <v>0.285764</v>
      </c>
      <c r="AZ955" s="1">
        <v>0.10154422</v>
      </c>
      <c r="BA955" s="1">
        <v>0.089589</v>
      </c>
      <c r="BB955" s="1">
        <v>0.00353</v>
      </c>
      <c r="BC955" s="1">
        <v>0.091796</v>
      </c>
      <c r="BD955" s="1">
        <v>0.035027</v>
      </c>
      <c r="BE955" s="1">
        <v>0.062139</v>
      </c>
      <c r="BF955" s="1">
        <v>0.0</v>
      </c>
      <c r="BG955" s="1">
        <v>0.05624</v>
      </c>
      <c r="BH955" s="1">
        <v>0.0</v>
      </c>
      <c r="BI955" s="1">
        <v>0.081231</v>
      </c>
      <c r="BJ955" s="1">
        <v>0.032795</v>
      </c>
      <c r="BK955" s="1">
        <v>0.02517</v>
      </c>
      <c r="BL955" s="1">
        <v>0.0</v>
      </c>
      <c r="BM955" s="1">
        <v>0.231</v>
      </c>
      <c r="BN955" s="1">
        <v>0.35</v>
      </c>
      <c r="BO955" s="1">
        <v>0.2469</v>
      </c>
      <c r="BP955" s="1">
        <v>0.261</v>
      </c>
      <c r="BQ955" s="1">
        <v>1.0889</v>
      </c>
      <c r="BR955" s="1">
        <v>0.2253</v>
      </c>
      <c r="BS955" s="1">
        <v>0.207</v>
      </c>
      <c r="BT955" s="1">
        <v>0.871</v>
      </c>
      <c r="BU955" s="1">
        <v>0.504</v>
      </c>
      <c r="BV955" s="1">
        <v>1.582</v>
      </c>
      <c r="BW955" s="1">
        <v>0.553</v>
      </c>
      <c r="BX955" s="1">
        <v>0.428</v>
      </c>
      <c r="BY955" s="1">
        <v>0.484</v>
      </c>
      <c r="BZ955" s="1">
        <v>0.912</v>
      </c>
      <c r="CA955" s="1">
        <v>0.476</v>
      </c>
      <c r="CB955" s="1">
        <v>0.578</v>
      </c>
      <c r="CC955" s="1">
        <v>0.0</v>
      </c>
      <c r="CD955" s="1">
        <v>0.0</v>
      </c>
      <c r="CE955" s="1">
        <v>0.312</v>
      </c>
      <c r="CF955" s="1">
        <v>0.0</v>
      </c>
      <c r="CG955" s="1">
        <v>0.89</v>
      </c>
      <c r="CH955" s="1">
        <v>0.064</v>
      </c>
      <c r="CI955" s="1">
        <v>4.4729</v>
      </c>
      <c r="CJ955" s="1">
        <v>0.1329</v>
      </c>
      <c r="CK955" s="1">
        <v>0.0</v>
      </c>
      <c r="CL955" s="1">
        <v>0.0</v>
      </c>
      <c r="CM955" s="1">
        <v>0.0</v>
      </c>
      <c r="CN955" s="1">
        <v>0.0</v>
      </c>
      <c r="CO955" s="1">
        <v>0.0</v>
      </c>
      <c r="CP955" s="1">
        <v>0.0</v>
      </c>
      <c r="CQ955" s="1">
        <v>0.0</v>
      </c>
      <c r="CR955" s="1">
        <v>0.0</v>
      </c>
      <c r="CS955" s="1">
        <v>0.0</v>
      </c>
      <c r="CT955" s="1">
        <v>0.0</v>
      </c>
      <c r="CU955" s="1">
        <v>0.0</v>
      </c>
      <c r="CV955" s="1">
        <v>0.0</v>
      </c>
      <c r="CW955" s="1">
        <v>0.0</v>
      </c>
      <c r="CX955" s="1">
        <v>0.0</v>
      </c>
      <c r="CY955" s="1">
        <v>0.0</v>
      </c>
      <c r="CZ955" s="1">
        <v>0.0</v>
      </c>
      <c r="DA955" s="1">
        <v>0.0</v>
      </c>
      <c r="DB955" s="1">
        <v>0.0</v>
      </c>
      <c r="DC955" s="1">
        <v>0.0</v>
      </c>
      <c r="DD955" s="1" t="s">
        <v>4389</v>
      </c>
      <c r="DE955" s="1">
        <v>4.99332380556769E-4</v>
      </c>
      <c r="DF955" s="2" t="s">
        <v>4390</v>
      </c>
    </row>
    <row r="956" ht="15.75" customHeight="1">
      <c r="A956" s="1" t="s">
        <v>4391</v>
      </c>
      <c r="B956" s="1">
        <v>29.0</v>
      </c>
      <c r="C956" s="1">
        <v>183.0</v>
      </c>
      <c r="D956" s="1">
        <v>311500.0</v>
      </c>
      <c r="E956" s="1">
        <v>56.543</v>
      </c>
      <c r="F956" s="1">
        <v>29183.0</v>
      </c>
      <c r="G956" s="1">
        <v>2.91833115E10</v>
      </c>
      <c r="H956" s="1" t="s">
        <v>112</v>
      </c>
      <c r="I956" s="1" t="s">
        <v>113</v>
      </c>
      <c r="J956" s="1" t="s">
        <v>4207</v>
      </c>
      <c r="K956" s="1" t="s">
        <v>4392</v>
      </c>
      <c r="L956" s="1">
        <v>1905.0</v>
      </c>
      <c r="M956" s="1">
        <v>1929.0</v>
      </c>
      <c r="N956" s="1">
        <v>289.0</v>
      </c>
      <c r="O956" s="1">
        <v>899.0</v>
      </c>
      <c r="P956" s="1">
        <v>942.0</v>
      </c>
      <c r="Q956" s="1">
        <v>96.0</v>
      </c>
      <c r="R956" s="1">
        <v>800.0</v>
      </c>
      <c r="S956" s="1">
        <v>329.0</v>
      </c>
      <c r="T956" s="1">
        <v>209.0</v>
      </c>
      <c r="U956" s="1">
        <v>165.0</v>
      </c>
      <c r="V956" s="1">
        <v>453.0</v>
      </c>
      <c r="W956" s="1">
        <v>23333.0</v>
      </c>
      <c r="X956" s="1">
        <v>5685.0</v>
      </c>
      <c r="Y956" s="1">
        <v>278.0</v>
      </c>
      <c r="Z956" s="1">
        <v>345.0</v>
      </c>
      <c r="AA956" s="1">
        <v>204.0</v>
      </c>
      <c r="AB956" s="1">
        <v>470.0</v>
      </c>
      <c r="AC956" s="1">
        <v>131.0</v>
      </c>
      <c r="AD956" s="1">
        <v>201.0</v>
      </c>
      <c r="AE956" s="1">
        <v>0.0</v>
      </c>
      <c r="AF956" s="1">
        <v>456.0</v>
      </c>
      <c r="AG956" s="1">
        <v>8.0</v>
      </c>
      <c r="AH956" s="1">
        <v>162.0</v>
      </c>
      <c r="AI956" s="1">
        <v>610.0</v>
      </c>
      <c r="AJ956" s="1">
        <v>106.0</v>
      </c>
      <c r="AK956" s="1">
        <v>0.0</v>
      </c>
      <c r="AL956" s="1">
        <v>161.0</v>
      </c>
      <c r="AM956" s="1">
        <v>54.0</v>
      </c>
      <c r="AN956" s="1">
        <v>38.0</v>
      </c>
      <c r="AO956" s="1">
        <v>0.0</v>
      </c>
      <c r="AP956" s="1">
        <v>0.170554</v>
      </c>
      <c r="AQ956" s="1">
        <v>0.10529</v>
      </c>
      <c r="AR956" s="1">
        <v>0.154205</v>
      </c>
      <c r="AS956" s="1">
        <v>0.421877</v>
      </c>
      <c r="AT956" s="1">
        <v>23333.0</v>
      </c>
      <c r="AU956" s="1">
        <v>5685.0</v>
      </c>
      <c r="AV956" s="1">
        <v>0.198429</v>
      </c>
      <c r="AW956" s="1">
        <v>0.24473</v>
      </c>
      <c r="AX956" s="1">
        <v>0.107086</v>
      </c>
      <c r="AY956" s="1">
        <v>0.246719</v>
      </c>
      <c r="AZ956" s="1">
        <v>0.16375</v>
      </c>
      <c r="BA956" s="1">
        <v>0.105511</v>
      </c>
      <c r="BB956" s="1">
        <v>0.0</v>
      </c>
      <c r="BC956" s="1">
        <v>0.246353</v>
      </c>
      <c r="BD956" s="1">
        <v>0.008492</v>
      </c>
      <c r="BE956" s="1">
        <v>0.171972</v>
      </c>
      <c r="BF956" s="1">
        <v>0.647558</v>
      </c>
      <c r="BG956" s="1">
        <v>0.091143</v>
      </c>
      <c r="BH956" s="1">
        <v>0.0</v>
      </c>
      <c r="BI956" s="1">
        <v>0.190984</v>
      </c>
      <c r="BJ956" s="1">
        <v>0.064056</v>
      </c>
      <c r="BK956" s="1">
        <v>0.04416</v>
      </c>
      <c r="BL956" s="1">
        <v>0.0</v>
      </c>
      <c r="BM956" s="1">
        <v>0.644</v>
      </c>
      <c r="BN956" s="1">
        <v>0.905</v>
      </c>
      <c r="BO956" s="1">
        <v>0.431</v>
      </c>
      <c r="BP956" s="1">
        <v>0.746</v>
      </c>
      <c r="BQ956" s="1">
        <v>2.726</v>
      </c>
      <c r="BR956" s="1">
        <v>0.7307</v>
      </c>
      <c r="BS956" s="1">
        <v>0.25</v>
      </c>
      <c r="BT956" s="1">
        <v>0.561</v>
      </c>
      <c r="BU956" s="1">
        <v>0.832</v>
      </c>
      <c r="BV956" s="1">
        <v>1.643</v>
      </c>
      <c r="BW956" s="1">
        <v>0.599</v>
      </c>
      <c r="BX956" s="1">
        <v>0.491</v>
      </c>
      <c r="BY956" s="1">
        <v>0.0</v>
      </c>
      <c r="BZ956" s="1">
        <v>0.491</v>
      </c>
      <c r="CA956" s="1">
        <v>0.205</v>
      </c>
      <c r="CB956" s="1">
        <v>0.367</v>
      </c>
      <c r="CC956" s="1">
        <v>1.0</v>
      </c>
      <c r="CD956" s="1">
        <v>0.0</v>
      </c>
      <c r="CE956" s="1">
        <v>0.591</v>
      </c>
      <c r="CF956" s="1">
        <v>0.0</v>
      </c>
      <c r="CG956" s="1">
        <v>1.958</v>
      </c>
      <c r="CH956" s="1">
        <v>0.329</v>
      </c>
      <c r="CI956" s="1">
        <v>6.818</v>
      </c>
      <c r="CJ956" s="1">
        <v>0.5155</v>
      </c>
      <c r="CK956" s="1">
        <v>0.0</v>
      </c>
      <c r="CL956" s="1">
        <v>1.0</v>
      </c>
      <c r="CM956" s="1">
        <v>0.0</v>
      </c>
      <c r="CN956" s="1">
        <v>0.0</v>
      </c>
      <c r="CO956" s="1">
        <v>1.0</v>
      </c>
      <c r="CP956" s="1">
        <v>0.0</v>
      </c>
      <c r="CQ956" s="1">
        <v>0.0</v>
      </c>
      <c r="CR956" s="1">
        <v>0.0</v>
      </c>
      <c r="CS956" s="1">
        <v>0.0</v>
      </c>
      <c r="CT956" s="1">
        <v>0.0</v>
      </c>
      <c r="CU956" s="1">
        <v>0.0</v>
      </c>
      <c r="CV956" s="1">
        <v>0.0</v>
      </c>
      <c r="CW956" s="1">
        <v>0.0</v>
      </c>
      <c r="CX956" s="1">
        <v>1.0</v>
      </c>
      <c r="CY956" s="1">
        <v>0.0</v>
      </c>
      <c r="CZ956" s="1">
        <v>0.0</v>
      </c>
      <c r="DA956" s="1">
        <v>0.0</v>
      </c>
      <c r="DB956" s="1">
        <v>1.0</v>
      </c>
      <c r="DC956" s="1">
        <v>2.0</v>
      </c>
      <c r="DD956" s="1" t="s">
        <v>4393</v>
      </c>
      <c r="DE956" s="1">
        <v>0.0164486398847257</v>
      </c>
      <c r="DF956" s="2" t="s">
        <v>4394</v>
      </c>
    </row>
    <row r="957" ht="15.75" customHeight="1">
      <c r="A957" s="1" t="s">
        <v>4395</v>
      </c>
      <c r="B957" s="1">
        <v>29.0</v>
      </c>
      <c r="C957" s="1">
        <v>183.0</v>
      </c>
      <c r="D957" s="1">
        <v>311602.0</v>
      </c>
      <c r="E957" s="1">
        <v>3.386</v>
      </c>
      <c r="F957" s="1">
        <v>29183.0</v>
      </c>
      <c r="G957" s="1">
        <v>2.9183311602E10</v>
      </c>
      <c r="H957" s="1" t="s">
        <v>112</v>
      </c>
      <c r="I957" s="1" t="s">
        <v>113</v>
      </c>
      <c r="J957" s="1" t="s">
        <v>4207</v>
      </c>
      <c r="K957" s="1" t="s">
        <v>4396</v>
      </c>
      <c r="L957" s="1">
        <v>5259.0</v>
      </c>
      <c r="M957" s="1">
        <v>5079.0</v>
      </c>
      <c r="N957" s="1">
        <v>318.0</v>
      </c>
      <c r="O957" s="1">
        <v>2080.0</v>
      </c>
      <c r="P957" s="1">
        <v>1935.0</v>
      </c>
      <c r="Q957" s="1">
        <v>58.0</v>
      </c>
      <c r="R957" s="1">
        <v>1943.0</v>
      </c>
      <c r="S957" s="1">
        <v>262.0</v>
      </c>
      <c r="T957" s="1">
        <v>202.0</v>
      </c>
      <c r="U957" s="1">
        <v>221.0</v>
      </c>
      <c r="V957" s="1">
        <v>394.0</v>
      </c>
      <c r="W957" s="1">
        <v>25411.0</v>
      </c>
      <c r="X957" s="1">
        <v>1929.0</v>
      </c>
      <c r="Y957" s="1">
        <v>366.0</v>
      </c>
      <c r="Z957" s="1">
        <v>305.0</v>
      </c>
      <c r="AA957" s="1">
        <v>790.0</v>
      </c>
      <c r="AB957" s="1">
        <v>1405.0</v>
      </c>
      <c r="AC957" s="1">
        <v>199.0</v>
      </c>
      <c r="AD957" s="1">
        <v>487.0</v>
      </c>
      <c r="AE957" s="1">
        <v>0.0</v>
      </c>
      <c r="AF957" s="1">
        <v>456.0</v>
      </c>
      <c r="AG957" s="1">
        <v>0.0</v>
      </c>
      <c r="AH957" s="1">
        <v>197.0</v>
      </c>
      <c r="AI957" s="1">
        <v>0.0</v>
      </c>
      <c r="AJ957" s="1">
        <v>114.0</v>
      </c>
      <c r="AK957" s="1">
        <v>0.0</v>
      </c>
      <c r="AL957" s="1">
        <v>161.0</v>
      </c>
      <c r="AM957" s="1">
        <v>76.0</v>
      </c>
      <c r="AN957" s="1">
        <v>60.0</v>
      </c>
      <c r="AO957" s="1">
        <v>0.0</v>
      </c>
      <c r="AP957" s="1">
        <v>0.052222</v>
      </c>
      <c r="AQ957" s="1">
        <v>0.040108</v>
      </c>
      <c r="AR957" s="1">
        <v>0.082585</v>
      </c>
      <c r="AS957" s="1">
        <v>0.146907</v>
      </c>
      <c r="AT957" s="1">
        <v>25411.0</v>
      </c>
      <c r="AU957" s="1">
        <v>1929.0</v>
      </c>
      <c r="AV957" s="1">
        <v>0.109482</v>
      </c>
      <c r="AW957" s="1">
        <v>0.091025</v>
      </c>
      <c r="AX957" s="1">
        <v>0.150218</v>
      </c>
      <c r="AY957" s="1">
        <v>0.267161</v>
      </c>
      <c r="AZ957" s="1">
        <v>0.10241893</v>
      </c>
      <c r="BA957" s="1">
        <v>0.092603</v>
      </c>
      <c r="BB957" s="1">
        <v>0.0</v>
      </c>
      <c r="BC957" s="1">
        <v>0.096467</v>
      </c>
      <c r="BD957" s="1">
        <v>0.0</v>
      </c>
      <c r="BE957" s="1">
        <v>0.101808</v>
      </c>
      <c r="BF957" s="1">
        <v>0.0</v>
      </c>
      <c r="BG957" s="1">
        <v>0.058914</v>
      </c>
      <c r="BH957" s="1">
        <v>0.0</v>
      </c>
      <c r="BI957" s="1">
        <v>0.08532</v>
      </c>
      <c r="BJ957" s="1">
        <v>0.040275</v>
      </c>
      <c r="BK957" s="1">
        <v>0.031731</v>
      </c>
      <c r="BL957" s="1">
        <v>0.0</v>
      </c>
      <c r="BM957" s="1">
        <v>0.177</v>
      </c>
      <c r="BN957" s="1">
        <v>0.635</v>
      </c>
      <c r="BO957" s="1">
        <v>0.3307</v>
      </c>
      <c r="BP957" s="1">
        <v>0.382</v>
      </c>
      <c r="BQ957" s="1">
        <v>1.5247</v>
      </c>
      <c r="BR957" s="1">
        <v>0.348</v>
      </c>
      <c r="BS957" s="1">
        <v>0.579</v>
      </c>
      <c r="BT957" s="1">
        <v>0.771</v>
      </c>
      <c r="BU957" s="1">
        <v>0.515</v>
      </c>
      <c r="BV957" s="1">
        <v>1.865</v>
      </c>
      <c r="BW957" s="1">
        <v>0.776</v>
      </c>
      <c r="BX957" s="1">
        <v>0.439</v>
      </c>
      <c r="BY957" s="1">
        <v>0.0</v>
      </c>
      <c r="BZ957" s="1">
        <v>0.439</v>
      </c>
      <c r="CA957" s="1">
        <v>0.183</v>
      </c>
      <c r="CB957" s="1">
        <v>0.0</v>
      </c>
      <c r="CC957" s="1">
        <v>0.0</v>
      </c>
      <c r="CD957" s="1">
        <v>0.0</v>
      </c>
      <c r="CE957" s="1">
        <v>0.393</v>
      </c>
      <c r="CF957" s="1">
        <v>0.0</v>
      </c>
      <c r="CG957" s="1">
        <v>0.393</v>
      </c>
      <c r="CH957" s="1">
        <v>0.017</v>
      </c>
      <c r="CI957" s="1">
        <v>4.2217</v>
      </c>
      <c r="CJ957" s="1">
        <v>0.1083</v>
      </c>
      <c r="CK957" s="1">
        <v>0.0</v>
      </c>
      <c r="CL957" s="1">
        <v>0.0</v>
      </c>
      <c r="CM957" s="1">
        <v>0.0</v>
      </c>
      <c r="CN957" s="1">
        <v>0.0</v>
      </c>
      <c r="CO957" s="1">
        <v>0.0</v>
      </c>
      <c r="CP957" s="1">
        <v>0.0</v>
      </c>
      <c r="CQ957" s="1">
        <v>0.0</v>
      </c>
      <c r="CR957" s="1">
        <v>0.0</v>
      </c>
      <c r="CS957" s="1">
        <v>0.0</v>
      </c>
      <c r="CT957" s="1">
        <v>0.0</v>
      </c>
      <c r="CU957" s="1">
        <v>0.0</v>
      </c>
      <c r="CV957" s="1">
        <v>0.0</v>
      </c>
      <c r="CW957" s="1">
        <v>0.0</v>
      </c>
      <c r="CX957" s="1">
        <v>0.0</v>
      </c>
      <c r="CY957" s="1">
        <v>0.0</v>
      </c>
      <c r="CZ957" s="1">
        <v>0.0</v>
      </c>
      <c r="DA957" s="1">
        <v>0.0</v>
      </c>
      <c r="DB957" s="1">
        <v>0.0</v>
      </c>
      <c r="DC957" s="1">
        <v>0.0</v>
      </c>
      <c r="DD957" s="1" t="s">
        <v>4397</v>
      </c>
      <c r="DE957" s="1">
        <v>9.08541045811216E-4</v>
      </c>
      <c r="DF957" s="2" t="s">
        <v>4398</v>
      </c>
    </row>
    <row r="958" ht="15.75" customHeight="1">
      <c r="A958" s="1" t="s">
        <v>4399</v>
      </c>
      <c r="B958" s="1">
        <v>29.0</v>
      </c>
      <c r="C958" s="1">
        <v>183.0</v>
      </c>
      <c r="D958" s="1">
        <v>311721.0</v>
      </c>
      <c r="E958" s="1">
        <v>1.274</v>
      </c>
      <c r="F958" s="1">
        <v>29183.0</v>
      </c>
      <c r="G958" s="1">
        <v>2.9183311721E10</v>
      </c>
      <c r="H958" s="1" t="s">
        <v>112</v>
      </c>
      <c r="I958" s="1" t="s">
        <v>113</v>
      </c>
      <c r="J958" s="1" t="s">
        <v>4207</v>
      </c>
      <c r="K958" s="1" t="s">
        <v>4400</v>
      </c>
      <c r="L958" s="1">
        <v>3818.0</v>
      </c>
      <c r="M958" s="1">
        <v>3831.0</v>
      </c>
      <c r="N958" s="1">
        <v>191.0</v>
      </c>
      <c r="O958" s="1">
        <v>1276.0</v>
      </c>
      <c r="P958" s="1">
        <v>1267.0</v>
      </c>
      <c r="Q958" s="1">
        <v>71.0</v>
      </c>
      <c r="R958" s="1">
        <v>1246.0</v>
      </c>
      <c r="S958" s="1">
        <v>52.0</v>
      </c>
      <c r="T958" s="1">
        <v>137.0</v>
      </c>
      <c r="U958" s="1">
        <v>120.0</v>
      </c>
      <c r="V958" s="1">
        <v>417.0</v>
      </c>
      <c r="W958" s="1">
        <v>29358.0</v>
      </c>
      <c r="X958" s="1">
        <v>2177.0</v>
      </c>
      <c r="Y958" s="1">
        <v>172.0</v>
      </c>
      <c r="Z958" s="1">
        <v>269.0</v>
      </c>
      <c r="AA958" s="1">
        <v>372.0</v>
      </c>
      <c r="AB958" s="1">
        <v>1014.0</v>
      </c>
      <c r="AC958" s="1">
        <v>74.0</v>
      </c>
      <c r="AD958" s="1">
        <v>482.0</v>
      </c>
      <c r="AE958" s="1">
        <v>23.0</v>
      </c>
      <c r="AF958" s="1">
        <v>427.0</v>
      </c>
      <c r="AG958" s="1">
        <v>0.0</v>
      </c>
      <c r="AH958" s="1">
        <v>197.0</v>
      </c>
      <c r="AI958" s="1">
        <v>0.0</v>
      </c>
      <c r="AJ958" s="1">
        <v>114.0</v>
      </c>
      <c r="AK958" s="1">
        <v>0.0</v>
      </c>
      <c r="AL958" s="1">
        <v>161.0</v>
      </c>
      <c r="AM958" s="1">
        <v>0.0</v>
      </c>
      <c r="AN958" s="1">
        <v>161.0</v>
      </c>
      <c r="AO958" s="1">
        <v>6.0</v>
      </c>
      <c r="AP958" s="1">
        <v>0.013601</v>
      </c>
      <c r="AQ958" s="1">
        <v>0.035829</v>
      </c>
      <c r="AR958" s="1">
        <v>0.053026</v>
      </c>
      <c r="AS958" s="1">
        <v>0.184184</v>
      </c>
      <c r="AT958" s="1">
        <v>29358.0</v>
      </c>
      <c r="AU958" s="1">
        <v>2177.0</v>
      </c>
      <c r="AV958" s="1">
        <v>0.067636</v>
      </c>
      <c r="AW958" s="1">
        <v>0.105713</v>
      </c>
      <c r="AX958" s="1">
        <v>0.097433</v>
      </c>
      <c r="AY958" s="1">
        <v>0.265584</v>
      </c>
      <c r="AZ958" s="1">
        <v>0.05939004</v>
      </c>
      <c r="BA958" s="1">
        <v>0.126244</v>
      </c>
      <c r="BB958" s="1">
        <v>0.006535</v>
      </c>
      <c r="BC958" s="1">
        <v>0.12134</v>
      </c>
      <c r="BD958" s="1">
        <v>0.0</v>
      </c>
      <c r="BE958" s="1">
        <v>0.155485</v>
      </c>
      <c r="BF958" s="1">
        <v>0.0</v>
      </c>
      <c r="BG958" s="1">
        <v>0.089976</v>
      </c>
      <c r="BH958" s="1">
        <v>0.0</v>
      </c>
      <c r="BI958" s="1">
        <v>0.127071</v>
      </c>
      <c r="BJ958" s="1">
        <v>0.0</v>
      </c>
      <c r="BK958" s="1">
        <v>0.127071</v>
      </c>
      <c r="BL958" s="1">
        <v>0.001571</v>
      </c>
      <c r="BM958" s="1">
        <v>0.032</v>
      </c>
      <c r="BN958" s="1">
        <v>0.323</v>
      </c>
      <c r="BO958" s="1">
        <v>0.2108</v>
      </c>
      <c r="BP958" s="1">
        <v>0.192</v>
      </c>
      <c r="BQ958" s="1">
        <v>0.7578</v>
      </c>
      <c r="BR958" s="1">
        <v>0.1444</v>
      </c>
      <c r="BS958" s="1">
        <v>0.195</v>
      </c>
      <c r="BT958" s="1">
        <v>0.757</v>
      </c>
      <c r="BU958" s="1">
        <v>0.126</v>
      </c>
      <c r="BV958" s="1">
        <v>1.078</v>
      </c>
      <c r="BW958" s="1">
        <v>0.152</v>
      </c>
      <c r="BX958" s="1">
        <v>0.55</v>
      </c>
      <c r="BY958" s="1">
        <v>0.617</v>
      </c>
      <c r="BZ958" s="1">
        <v>1.167</v>
      </c>
      <c r="CA958" s="1">
        <v>0.643</v>
      </c>
      <c r="CB958" s="1">
        <v>0.0</v>
      </c>
      <c r="CC958" s="1">
        <v>0.0</v>
      </c>
      <c r="CD958" s="1">
        <v>0.0</v>
      </c>
      <c r="CE958" s="1">
        <v>0.0</v>
      </c>
      <c r="CF958" s="1">
        <v>0.427</v>
      </c>
      <c r="CG958" s="1">
        <v>0.427</v>
      </c>
      <c r="CH958" s="1">
        <v>0.021</v>
      </c>
      <c r="CI958" s="1">
        <v>3.4298</v>
      </c>
      <c r="CJ958" s="1">
        <v>0.039</v>
      </c>
      <c r="CK958" s="1">
        <v>0.0</v>
      </c>
      <c r="CL958" s="1">
        <v>0.0</v>
      </c>
      <c r="CM958" s="1">
        <v>0.0</v>
      </c>
      <c r="CN958" s="1">
        <v>0.0</v>
      </c>
      <c r="CO958" s="1">
        <v>0.0</v>
      </c>
      <c r="CP958" s="1">
        <v>0.0</v>
      </c>
      <c r="CQ958" s="1">
        <v>0.0</v>
      </c>
      <c r="CR958" s="1">
        <v>0.0</v>
      </c>
      <c r="CS958" s="1">
        <v>0.0</v>
      </c>
      <c r="CT958" s="1">
        <v>0.0</v>
      </c>
      <c r="CU958" s="1">
        <v>0.0</v>
      </c>
      <c r="CV958" s="1">
        <v>0.0</v>
      </c>
      <c r="CW958" s="1">
        <v>0.0</v>
      </c>
      <c r="CX958" s="1">
        <v>0.0</v>
      </c>
      <c r="CY958" s="1">
        <v>0.0</v>
      </c>
      <c r="CZ958" s="1">
        <v>0.0</v>
      </c>
      <c r="DA958" s="1">
        <v>0.0</v>
      </c>
      <c r="DB958" s="1">
        <v>0.0</v>
      </c>
      <c r="DC958" s="1">
        <v>0.0</v>
      </c>
      <c r="DD958" s="1" t="s">
        <v>4401</v>
      </c>
      <c r="DE958" s="1">
        <v>3.46510031785642E-4</v>
      </c>
      <c r="DF958" s="1">
        <v>0.0735217146263603</v>
      </c>
    </row>
    <row r="959" ht="15.75" customHeight="1">
      <c r="A959" s="1" t="s">
        <v>4402</v>
      </c>
      <c r="B959" s="1">
        <v>29.0</v>
      </c>
      <c r="C959" s="1">
        <v>183.0</v>
      </c>
      <c r="D959" s="1">
        <v>311722.0</v>
      </c>
      <c r="E959" s="1">
        <v>1.639</v>
      </c>
      <c r="F959" s="1">
        <v>29183.0</v>
      </c>
      <c r="G959" s="1">
        <v>2.9183311722E10</v>
      </c>
      <c r="H959" s="1" t="s">
        <v>112</v>
      </c>
      <c r="I959" s="1" t="s">
        <v>113</v>
      </c>
      <c r="J959" s="1" t="s">
        <v>4207</v>
      </c>
      <c r="K959" s="1" t="s">
        <v>4403</v>
      </c>
      <c r="L959" s="1">
        <v>7439.0</v>
      </c>
      <c r="M959" s="1">
        <v>7277.0</v>
      </c>
      <c r="N959" s="1">
        <v>368.0</v>
      </c>
      <c r="O959" s="1">
        <v>2612.0</v>
      </c>
      <c r="P959" s="1">
        <v>2512.0</v>
      </c>
      <c r="Q959" s="1">
        <v>106.0</v>
      </c>
      <c r="R959" s="1">
        <v>2520.0</v>
      </c>
      <c r="S959" s="1">
        <v>522.0</v>
      </c>
      <c r="T959" s="1">
        <v>273.0</v>
      </c>
      <c r="U959" s="1">
        <v>343.0</v>
      </c>
      <c r="V959" s="1">
        <v>385.0</v>
      </c>
      <c r="W959" s="1">
        <v>26725.0</v>
      </c>
      <c r="X959" s="1">
        <v>2117.0</v>
      </c>
      <c r="Y959" s="1">
        <v>420.0</v>
      </c>
      <c r="Z959" s="1">
        <v>316.0</v>
      </c>
      <c r="AA959" s="1">
        <v>634.0</v>
      </c>
      <c r="AB959" s="1">
        <v>2245.0</v>
      </c>
      <c r="AC959" s="1">
        <v>274.0</v>
      </c>
      <c r="AD959" s="1">
        <v>837.0</v>
      </c>
      <c r="AE959" s="1">
        <v>22.0</v>
      </c>
      <c r="AF959" s="1">
        <v>427.0</v>
      </c>
      <c r="AG959" s="1">
        <v>0.0</v>
      </c>
      <c r="AH959" s="1">
        <v>197.0</v>
      </c>
      <c r="AI959" s="1">
        <v>623.0</v>
      </c>
      <c r="AJ959" s="1">
        <v>120.0</v>
      </c>
      <c r="AK959" s="1">
        <v>5.0</v>
      </c>
      <c r="AL959" s="1">
        <v>115.0</v>
      </c>
      <c r="AM959" s="1">
        <v>50.0</v>
      </c>
      <c r="AN959" s="1">
        <v>53.0</v>
      </c>
      <c r="AO959" s="1">
        <v>0.0</v>
      </c>
      <c r="AP959" s="1">
        <v>0.071732</v>
      </c>
      <c r="AQ959" s="1">
        <v>0.037339</v>
      </c>
      <c r="AR959" s="1">
        <v>0.085323</v>
      </c>
      <c r="AS959" s="1">
        <v>0.09543</v>
      </c>
      <c r="AT959" s="1">
        <v>26725.0</v>
      </c>
      <c r="AU959" s="1">
        <v>2117.0</v>
      </c>
      <c r="AV959" s="1">
        <v>0.097154</v>
      </c>
      <c r="AW959" s="1">
        <v>0.072975</v>
      </c>
      <c r="AX959" s="1">
        <v>0.085226</v>
      </c>
      <c r="AY959" s="1">
        <v>0.301787</v>
      </c>
      <c r="AZ959" s="1">
        <v>0.10873015</v>
      </c>
      <c r="BA959" s="1">
        <v>0.112515</v>
      </c>
      <c r="BB959" s="1">
        <v>0.003381</v>
      </c>
      <c r="BC959" s="1">
        <v>0.065631</v>
      </c>
      <c r="BD959" s="1">
        <v>0.0</v>
      </c>
      <c r="BE959" s="1">
        <v>0.078423</v>
      </c>
      <c r="BF959" s="1">
        <v>0.248009</v>
      </c>
      <c r="BG959" s="1">
        <v>0.04661</v>
      </c>
      <c r="BH959" s="1">
        <v>0.002042</v>
      </c>
      <c r="BI959" s="1">
        <v>0.046977</v>
      </c>
      <c r="BJ959" s="1">
        <v>0.020424</v>
      </c>
      <c r="BK959" s="1">
        <v>0.02163</v>
      </c>
      <c r="BL959" s="1">
        <v>0.0</v>
      </c>
      <c r="BM959" s="1">
        <v>0.256</v>
      </c>
      <c r="BN959" s="1">
        <v>0.651</v>
      </c>
      <c r="BO959" s="1">
        <v>0.2931</v>
      </c>
      <c r="BP959" s="1">
        <v>0.325</v>
      </c>
      <c r="BQ959" s="1">
        <v>1.5251</v>
      </c>
      <c r="BR959" s="1">
        <v>0.3487</v>
      </c>
      <c r="BS959" s="1">
        <v>0.139</v>
      </c>
      <c r="BT959" s="1">
        <v>0.925</v>
      </c>
      <c r="BU959" s="1">
        <v>0.571</v>
      </c>
      <c r="BV959" s="1">
        <v>1.635</v>
      </c>
      <c r="BW959" s="1">
        <v>0.589</v>
      </c>
      <c r="BX959" s="1">
        <v>0.514</v>
      </c>
      <c r="BY959" s="1">
        <v>0.475</v>
      </c>
      <c r="BZ959" s="1">
        <v>0.989</v>
      </c>
      <c r="CA959" s="1">
        <v>0.548</v>
      </c>
      <c r="CB959" s="1">
        <v>0.0</v>
      </c>
      <c r="CC959" s="1">
        <v>0.948</v>
      </c>
      <c r="CD959" s="1">
        <v>0.282</v>
      </c>
      <c r="CE959" s="1">
        <v>0.187</v>
      </c>
      <c r="CF959" s="1">
        <v>0.0</v>
      </c>
      <c r="CG959" s="1">
        <v>1.417</v>
      </c>
      <c r="CH959" s="1">
        <v>0.153</v>
      </c>
      <c r="CI959" s="1">
        <v>5.5661</v>
      </c>
      <c r="CJ959" s="1">
        <v>0.2931</v>
      </c>
      <c r="CK959" s="1">
        <v>0.0</v>
      </c>
      <c r="CL959" s="1">
        <v>0.0</v>
      </c>
      <c r="CM959" s="1">
        <v>0.0</v>
      </c>
      <c r="CN959" s="1">
        <v>0.0</v>
      </c>
      <c r="CO959" s="1">
        <v>0.0</v>
      </c>
      <c r="CP959" s="1">
        <v>0.0</v>
      </c>
      <c r="CQ959" s="1">
        <v>1.0</v>
      </c>
      <c r="CR959" s="1">
        <v>0.0</v>
      </c>
      <c r="CS959" s="1">
        <v>1.0</v>
      </c>
      <c r="CT959" s="1">
        <v>0.0</v>
      </c>
      <c r="CU959" s="1">
        <v>0.0</v>
      </c>
      <c r="CV959" s="1">
        <v>0.0</v>
      </c>
      <c r="CW959" s="1">
        <v>0.0</v>
      </c>
      <c r="CX959" s="1">
        <v>1.0</v>
      </c>
      <c r="CY959" s="1">
        <v>0.0</v>
      </c>
      <c r="CZ959" s="1">
        <v>0.0</v>
      </c>
      <c r="DA959" s="1">
        <v>0.0</v>
      </c>
      <c r="DB959" s="1">
        <v>1.0</v>
      </c>
      <c r="DC959" s="1">
        <v>2.0</v>
      </c>
      <c r="DD959" s="1" t="s">
        <v>4404</v>
      </c>
      <c r="DE959" s="1">
        <v>4.39860262498784E-4</v>
      </c>
      <c r="DF959" s="2" t="s">
        <v>4405</v>
      </c>
    </row>
    <row r="960" ht="15.75" customHeight="1">
      <c r="A960" s="1" t="s">
        <v>4406</v>
      </c>
      <c r="B960" s="1">
        <v>29.0</v>
      </c>
      <c r="C960" s="1">
        <v>183.0</v>
      </c>
      <c r="D960" s="1">
        <v>311732.0</v>
      </c>
      <c r="E960" s="1">
        <v>2.06</v>
      </c>
      <c r="F960" s="1">
        <v>29183.0</v>
      </c>
      <c r="G960" s="1">
        <v>2.9183311732E10</v>
      </c>
      <c r="H960" s="1" t="s">
        <v>112</v>
      </c>
      <c r="I960" s="1" t="s">
        <v>113</v>
      </c>
      <c r="J960" s="1" t="s">
        <v>4207</v>
      </c>
      <c r="K960" s="1" t="s">
        <v>4407</v>
      </c>
      <c r="L960" s="1">
        <v>7277.0</v>
      </c>
      <c r="M960" s="1">
        <v>7185.0</v>
      </c>
      <c r="N960" s="1">
        <v>365.0</v>
      </c>
      <c r="O960" s="1">
        <v>2436.0</v>
      </c>
      <c r="P960" s="1">
        <v>2442.0</v>
      </c>
      <c r="Q960" s="1">
        <v>62.0</v>
      </c>
      <c r="R960" s="1">
        <v>2388.0</v>
      </c>
      <c r="S960" s="1">
        <v>80.0</v>
      </c>
      <c r="T960" s="1">
        <v>144.0</v>
      </c>
      <c r="U960" s="1">
        <v>227.0</v>
      </c>
      <c r="V960" s="1">
        <v>389.0</v>
      </c>
      <c r="W960" s="1">
        <v>28360.0</v>
      </c>
      <c r="X960" s="1">
        <v>2284.0</v>
      </c>
      <c r="Y960" s="1">
        <v>226.0</v>
      </c>
      <c r="Z960" s="1">
        <v>298.0</v>
      </c>
      <c r="AA960" s="1">
        <v>406.0</v>
      </c>
      <c r="AB960" s="1">
        <v>2229.0</v>
      </c>
      <c r="AC960" s="1">
        <v>205.0</v>
      </c>
      <c r="AD960" s="1">
        <v>749.0</v>
      </c>
      <c r="AE960" s="1">
        <v>58.0</v>
      </c>
      <c r="AF960" s="1">
        <v>413.0</v>
      </c>
      <c r="AG960" s="1">
        <v>0.0</v>
      </c>
      <c r="AH960" s="1">
        <v>197.0</v>
      </c>
      <c r="AI960" s="1">
        <v>0.0</v>
      </c>
      <c r="AJ960" s="1">
        <v>114.0</v>
      </c>
      <c r="AK960" s="1">
        <v>10.0</v>
      </c>
      <c r="AL960" s="1">
        <v>115.0</v>
      </c>
      <c r="AM960" s="1">
        <v>10.0</v>
      </c>
      <c r="AN960" s="1">
        <v>115.0</v>
      </c>
      <c r="AO960" s="1">
        <v>3.0</v>
      </c>
      <c r="AP960" s="1">
        <v>0.011134</v>
      </c>
      <c r="AQ960" s="1">
        <v>0.020033</v>
      </c>
      <c r="AR960" s="1">
        <v>0.056174</v>
      </c>
      <c r="AS960" s="1">
        <v>0.096115</v>
      </c>
      <c r="AT960" s="1">
        <v>28360.0</v>
      </c>
      <c r="AU960" s="1">
        <v>2284.0</v>
      </c>
      <c r="AV960" s="1">
        <v>0.051328</v>
      </c>
      <c r="AW960" s="1">
        <v>0.067639</v>
      </c>
      <c r="AX960" s="1">
        <v>0.055792</v>
      </c>
      <c r="AY960" s="1">
        <v>0.306307</v>
      </c>
      <c r="AZ960" s="1">
        <v>0.08584589</v>
      </c>
      <c r="BA960" s="1">
        <v>0.102927</v>
      </c>
      <c r="BB960" s="1">
        <v>0.008815</v>
      </c>
      <c r="BC960" s="1">
        <v>0.062773</v>
      </c>
      <c r="BD960" s="1">
        <v>0.0</v>
      </c>
      <c r="BE960" s="1">
        <v>0.080671</v>
      </c>
      <c r="BF960" s="1">
        <v>0.0</v>
      </c>
      <c r="BG960" s="1">
        <v>0.046683</v>
      </c>
      <c r="BH960" s="1">
        <v>0.004095</v>
      </c>
      <c r="BI960" s="1">
        <v>0.047092</v>
      </c>
      <c r="BJ960" s="1">
        <v>0.004095</v>
      </c>
      <c r="BK960" s="1">
        <v>0.047092</v>
      </c>
      <c r="BL960" s="1">
        <v>4.12E-4</v>
      </c>
      <c r="BM960" s="1">
        <v>0.023</v>
      </c>
      <c r="BN960" s="1">
        <v>0.368</v>
      </c>
      <c r="BO960" s="1">
        <v>0.2375</v>
      </c>
      <c r="BP960" s="1">
        <v>0.132</v>
      </c>
      <c r="BQ960" s="1">
        <v>0.7605</v>
      </c>
      <c r="BR960" s="1">
        <v>0.1458</v>
      </c>
      <c r="BS960" s="1">
        <v>0.035</v>
      </c>
      <c r="BT960" s="1">
        <v>0.937</v>
      </c>
      <c r="BU960" s="1">
        <v>0.364</v>
      </c>
      <c r="BV960" s="1">
        <v>1.336</v>
      </c>
      <c r="BW960" s="1">
        <v>0.332</v>
      </c>
      <c r="BX960" s="1">
        <v>0.482</v>
      </c>
      <c r="BY960" s="1">
        <v>0.691</v>
      </c>
      <c r="BZ960" s="1">
        <v>1.173</v>
      </c>
      <c r="CA960" s="1">
        <v>0.646</v>
      </c>
      <c r="CB960" s="1">
        <v>0.0</v>
      </c>
      <c r="CC960" s="1">
        <v>0.0</v>
      </c>
      <c r="CD960" s="1">
        <v>0.309</v>
      </c>
      <c r="CE960" s="1">
        <v>0.043</v>
      </c>
      <c r="CF960" s="1">
        <v>0.361</v>
      </c>
      <c r="CG960" s="1">
        <v>0.713</v>
      </c>
      <c r="CH960" s="1">
        <v>0.048</v>
      </c>
      <c r="CI960" s="1">
        <v>3.9825</v>
      </c>
      <c r="CJ960" s="1">
        <v>0.0845</v>
      </c>
      <c r="CK960" s="1">
        <v>0.0</v>
      </c>
      <c r="CL960" s="1">
        <v>0.0</v>
      </c>
      <c r="CM960" s="1">
        <v>0.0</v>
      </c>
      <c r="CN960" s="1">
        <v>0.0</v>
      </c>
      <c r="CO960" s="1">
        <v>0.0</v>
      </c>
      <c r="CP960" s="1">
        <v>0.0</v>
      </c>
      <c r="CQ960" s="1">
        <v>1.0</v>
      </c>
      <c r="CR960" s="1">
        <v>0.0</v>
      </c>
      <c r="CS960" s="1">
        <v>1.0</v>
      </c>
      <c r="CT960" s="1">
        <v>0.0</v>
      </c>
      <c r="CU960" s="1">
        <v>0.0</v>
      </c>
      <c r="CV960" s="1">
        <v>0.0</v>
      </c>
      <c r="CW960" s="1">
        <v>0.0</v>
      </c>
      <c r="CX960" s="1">
        <v>0.0</v>
      </c>
      <c r="CY960" s="1">
        <v>0.0</v>
      </c>
      <c r="CZ960" s="1">
        <v>0.0</v>
      </c>
      <c r="DA960" s="1">
        <v>0.0</v>
      </c>
      <c r="DB960" s="1">
        <v>0.0</v>
      </c>
      <c r="DC960" s="1">
        <v>1.0</v>
      </c>
      <c r="DD960" s="1" t="s">
        <v>4408</v>
      </c>
      <c r="DE960" s="1">
        <v>5.5355268415819E-4</v>
      </c>
      <c r="DF960" s="2" t="s">
        <v>4409</v>
      </c>
    </row>
    <row r="961" ht="15.75" customHeight="1">
      <c r="A961" s="1" t="s">
        <v>4410</v>
      </c>
      <c r="B961" s="1">
        <v>29.0</v>
      </c>
      <c r="C961" s="1">
        <v>183.0</v>
      </c>
      <c r="D961" s="1">
        <v>311733.0</v>
      </c>
      <c r="E961" s="1">
        <v>0.867</v>
      </c>
      <c r="F961" s="1">
        <v>29183.0</v>
      </c>
      <c r="G961" s="1">
        <v>2.9183311733E10</v>
      </c>
      <c r="H961" s="1" t="s">
        <v>112</v>
      </c>
      <c r="I961" s="1" t="s">
        <v>113</v>
      </c>
      <c r="J961" s="1" t="s">
        <v>4207</v>
      </c>
      <c r="K961" s="1" t="s">
        <v>4411</v>
      </c>
      <c r="L961" s="1">
        <v>2480.0</v>
      </c>
      <c r="M961" s="1">
        <v>2450.0</v>
      </c>
      <c r="N961" s="1">
        <v>213.0</v>
      </c>
      <c r="O961" s="1">
        <v>898.0</v>
      </c>
      <c r="P961" s="1">
        <v>852.0</v>
      </c>
      <c r="Q961" s="1">
        <v>54.0</v>
      </c>
      <c r="R961" s="1">
        <v>876.0</v>
      </c>
      <c r="S961" s="1">
        <v>10.0</v>
      </c>
      <c r="T961" s="1">
        <v>115.0</v>
      </c>
      <c r="U961" s="1">
        <v>81.0</v>
      </c>
      <c r="V961" s="1">
        <v>445.0</v>
      </c>
      <c r="W961" s="1">
        <v>26860.0</v>
      </c>
      <c r="X961" s="1">
        <v>2806.0</v>
      </c>
      <c r="Y961" s="1">
        <v>42.0</v>
      </c>
      <c r="Z961" s="1">
        <v>444.0</v>
      </c>
      <c r="AA961" s="1">
        <v>184.0</v>
      </c>
      <c r="AB961" s="1">
        <v>680.0</v>
      </c>
      <c r="AC961" s="1">
        <v>91.0</v>
      </c>
      <c r="AD961" s="1">
        <v>253.0</v>
      </c>
      <c r="AE961" s="1">
        <v>0.0</v>
      </c>
      <c r="AF961" s="1">
        <v>456.0</v>
      </c>
      <c r="AG961" s="1">
        <v>0.0</v>
      </c>
      <c r="AH961" s="1">
        <v>197.0</v>
      </c>
      <c r="AI961" s="1">
        <v>0.0</v>
      </c>
      <c r="AJ961" s="1">
        <v>114.0</v>
      </c>
      <c r="AK961" s="1">
        <v>0.0</v>
      </c>
      <c r="AL961" s="1">
        <v>161.0</v>
      </c>
      <c r="AM961" s="1">
        <v>0.0</v>
      </c>
      <c r="AN961" s="1">
        <v>161.0</v>
      </c>
      <c r="AO961" s="1">
        <v>0.0</v>
      </c>
      <c r="AP961" s="1">
        <v>0.004081</v>
      </c>
      <c r="AQ961" s="1">
        <v>0.046937</v>
      </c>
      <c r="AR961" s="1">
        <v>0.055977</v>
      </c>
      <c r="AS961" s="1">
        <v>0.307347</v>
      </c>
      <c r="AT961" s="1">
        <v>26860.0</v>
      </c>
      <c r="AU961" s="1">
        <v>2806.0</v>
      </c>
      <c r="AV961" s="1">
        <v>0.028169</v>
      </c>
      <c r="AW961" s="1">
        <v>0.297776</v>
      </c>
      <c r="AX961" s="1">
        <v>0.074193</v>
      </c>
      <c r="AY961" s="1">
        <v>0.274193</v>
      </c>
      <c r="AZ961" s="1">
        <v>0.10388127</v>
      </c>
      <c r="BA961" s="1">
        <v>0.102016</v>
      </c>
      <c r="BB961" s="1">
        <v>0.0</v>
      </c>
      <c r="BC961" s="1">
        <v>0.205683</v>
      </c>
      <c r="BD961" s="1">
        <v>0.0</v>
      </c>
      <c r="BE961" s="1">
        <v>0.23122</v>
      </c>
      <c r="BF961" s="1">
        <v>0.0</v>
      </c>
      <c r="BG961" s="1">
        <v>0.133802</v>
      </c>
      <c r="BH961" s="1">
        <v>0.0</v>
      </c>
      <c r="BI961" s="1">
        <v>0.188967</v>
      </c>
      <c r="BJ961" s="1">
        <v>0.0</v>
      </c>
      <c r="BK961" s="1">
        <v>0.188967</v>
      </c>
      <c r="BL961" s="1">
        <v>0.0</v>
      </c>
      <c r="BM961" s="1">
        <v>0.009</v>
      </c>
      <c r="BN961" s="1">
        <v>0.365</v>
      </c>
      <c r="BO961" s="1">
        <v>0.2874</v>
      </c>
      <c r="BP961" s="1">
        <v>0.054</v>
      </c>
      <c r="BQ961" s="1">
        <v>0.7154</v>
      </c>
      <c r="BR961" s="1">
        <v>0.1292</v>
      </c>
      <c r="BS961" s="1">
        <v>0.099</v>
      </c>
      <c r="BT961" s="1">
        <v>0.813</v>
      </c>
      <c r="BU961" s="1">
        <v>0.53</v>
      </c>
      <c r="BV961" s="1">
        <v>1.442</v>
      </c>
      <c r="BW961" s="1">
        <v>0.43</v>
      </c>
      <c r="BX961" s="1">
        <v>0.476</v>
      </c>
      <c r="BY961" s="1">
        <v>0.0</v>
      </c>
      <c r="BZ961" s="1">
        <v>0.476</v>
      </c>
      <c r="CA961" s="1">
        <v>0.197</v>
      </c>
      <c r="CB961" s="1">
        <v>0.0</v>
      </c>
      <c r="CC961" s="1">
        <v>0.0</v>
      </c>
      <c r="CD961" s="1">
        <v>0.0</v>
      </c>
      <c r="CE961" s="1">
        <v>0.0</v>
      </c>
      <c r="CF961" s="1">
        <v>0.0</v>
      </c>
      <c r="CG961" s="1">
        <v>0.0</v>
      </c>
      <c r="CH961" s="1">
        <v>0.0</v>
      </c>
      <c r="CI961" s="1">
        <v>2.6334</v>
      </c>
      <c r="CJ961" s="1">
        <v>0.0079</v>
      </c>
      <c r="CK961" s="1">
        <v>0.0</v>
      </c>
      <c r="CL961" s="1">
        <v>0.0</v>
      </c>
      <c r="CM961" s="1">
        <v>0.0</v>
      </c>
      <c r="CN961" s="1">
        <v>0.0</v>
      </c>
      <c r="CO961" s="1">
        <v>0.0</v>
      </c>
      <c r="CP961" s="1">
        <v>0.0</v>
      </c>
      <c r="CQ961" s="1">
        <v>0.0</v>
      </c>
      <c r="CR961" s="1">
        <v>0.0</v>
      </c>
      <c r="CS961" s="1">
        <v>0.0</v>
      </c>
      <c r="CT961" s="1">
        <v>0.0</v>
      </c>
      <c r="CU961" s="1">
        <v>0.0</v>
      </c>
      <c r="CV961" s="1">
        <v>0.0</v>
      </c>
      <c r="CW961" s="1">
        <v>0.0</v>
      </c>
      <c r="CX961" s="1">
        <v>0.0</v>
      </c>
      <c r="CY961" s="1">
        <v>0.0</v>
      </c>
      <c r="CZ961" s="1">
        <v>0.0</v>
      </c>
      <c r="DA961" s="1">
        <v>0.0</v>
      </c>
      <c r="DB961" s="1">
        <v>0.0</v>
      </c>
      <c r="DC961" s="1">
        <v>0.0</v>
      </c>
      <c r="DD961" s="1" t="s">
        <v>4412</v>
      </c>
      <c r="DE961" s="1">
        <v>2.31662478233735E-4</v>
      </c>
      <c r="DF961" s="1">
        <v>0.0710288539210114</v>
      </c>
    </row>
    <row r="962" ht="15.75" customHeight="1">
      <c r="A962" s="1" t="s">
        <v>4413</v>
      </c>
      <c r="B962" s="1">
        <v>29.0</v>
      </c>
      <c r="C962" s="1">
        <v>183.0</v>
      </c>
      <c r="D962" s="1">
        <v>311734.0</v>
      </c>
      <c r="E962" s="1">
        <v>1.149</v>
      </c>
      <c r="F962" s="1">
        <v>29183.0</v>
      </c>
      <c r="G962" s="1">
        <v>2.9183311734E10</v>
      </c>
      <c r="H962" s="1" t="s">
        <v>112</v>
      </c>
      <c r="I962" s="1" t="s">
        <v>113</v>
      </c>
      <c r="J962" s="1" t="s">
        <v>4207</v>
      </c>
      <c r="K962" s="1" t="s">
        <v>4414</v>
      </c>
      <c r="L962" s="1">
        <v>3693.0</v>
      </c>
      <c r="M962" s="1">
        <v>3777.0</v>
      </c>
      <c r="N962" s="1">
        <v>320.0</v>
      </c>
      <c r="O962" s="1">
        <v>1286.0</v>
      </c>
      <c r="P962" s="1">
        <v>1330.0</v>
      </c>
      <c r="Q962" s="1">
        <v>103.0</v>
      </c>
      <c r="R962" s="1">
        <v>1232.0</v>
      </c>
      <c r="S962" s="1">
        <v>155.0</v>
      </c>
      <c r="T962" s="1">
        <v>154.0</v>
      </c>
      <c r="U962" s="1">
        <v>90.0</v>
      </c>
      <c r="V962" s="1">
        <v>459.0</v>
      </c>
      <c r="W962" s="1">
        <v>25952.0</v>
      </c>
      <c r="X962" s="1">
        <v>2476.0</v>
      </c>
      <c r="Y962" s="1">
        <v>254.0</v>
      </c>
      <c r="Z962" s="1">
        <v>337.0</v>
      </c>
      <c r="AA962" s="1">
        <v>360.0</v>
      </c>
      <c r="AB962" s="1">
        <v>1021.0</v>
      </c>
      <c r="AC962" s="1">
        <v>103.0</v>
      </c>
      <c r="AD962" s="1">
        <v>416.0</v>
      </c>
      <c r="AE962" s="1">
        <v>14.0</v>
      </c>
      <c r="AF962" s="1">
        <v>442.0</v>
      </c>
      <c r="AG962" s="1">
        <v>63.0</v>
      </c>
      <c r="AH962" s="1">
        <v>121.0</v>
      </c>
      <c r="AI962" s="1">
        <v>27.0</v>
      </c>
      <c r="AJ962" s="1">
        <v>29.0</v>
      </c>
      <c r="AK962" s="1">
        <v>18.0</v>
      </c>
      <c r="AL962" s="1">
        <v>116.0</v>
      </c>
      <c r="AM962" s="1">
        <v>8.0</v>
      </c>
      <c r="AN962" s="1">
        <v>115.0</v>
      </c>
      <c r="AO962" s="1">
        <v>112.0</v>
      </c>
      <c r="AP962" s="1">
        <v>0.043785</v>
      </c>
      <c r="AQ962" s="1">
        <v>0.043325</v>
      </c>
      <c r="AR962" s="1">
        <v>0.048283</v>
      </c>
      <c r="AS962" s="1">
        <v>0.24611</v>
      </c>
      <c r="AT962" s="1">
        <v>25952.0</v>
      </c>
      <c r="AU962" s="1">
        <v>2476.0</v>
      </c>
      <c r="AV962" s="1">
        <v>0.102875</v>
      </c>
      <c r="AW962" s="1">
        <v>0.136125</v>
      </c>
      <c r="AX962" s="1">
        <v>0.097481</v>
      </c>
      <c r="AY962" s="1">
        <v>0.276469</v>
      </c>
      <c r="AZ962" s="1">
        <v>0.08360389</v>
      </c>
      <c r="BA962" s="1">
        <v>0.112645</v>
      </c>
      <c r="BB962" s="1">
        <v>0.004017</v>
      </c>
      <c r="BC962" s="1">
        <v>0.126828</v>
      </c>
      <c r="BD962" s="1">
        <v>0.047368</v>
      </c>
      <c r="BE962" s="1">
        <v>0.090903</v>
      </c>
      <c r="BF962" s="1">
        <v>0.0203</v>
      </c>
      <c r="BG962" s="1">
        <v>0.021747</v>
      </c>
      <c r="BH962" s="1">
        <v>0.013533</v>
      </c>
      <c r="BI962" s="1">
        <v>0.087211</v>
      </c>
      <c r="BJ962" s="1">
        <v>0.006015</v>
      </c>
      <c r="BK962" s="1">
        <v>0.086464</v>
      </c>
      <c r="BL962" s="1">
        <v>0.030327</v>
      </c>
      <c r="BM962" s="1">
        <v>0.14</v>
      </c>
      <c r="BN962" s="1">
        <v>0.277</v>
      </c>
      <c r="BO962" s="1">
        <v>0.3141</v>
      </c>
      <c r="BP962" s="1">
        <v>0.348</v>
      </c>
      <c r="BQ962" s="1">
        <v>1.0791</v>
      </c>
      <c r="BR962" s="1">
        <v>0.2195</v>
      </c>
      <c r="BS962" s="1">
        <v>0.197</v>
      </c>
      <c r="BT962" s="1">
        <v>0.83</v>
      </c>
      <c r="BU962" s="1">
        <v>0.346</v>
      </c>
      <c r="BV962" s="1">
        <v>1.373</v>
      </c>
      <c r="BW962" s="1">
        <v>0.368</v>
      </c>
      <c r="BX962" s="1">
        <v>0.515</v>
      </c>
      <c r="BY962" s="1">
        <v>0.516</v>
      </c>
      <c r="BZ962" s="1">
        <v>1.031</v>
      </c>
      <c r="CA962" s="1">
        <v>0.572</v>
      </c>
      <c r="CB962" s="1">
        <v>0.646</v>
      </c>
      <c r="CC962" s="1">
        <v>0.512</v>
      </c>
      <c r="CD962" s="1">
        <v>0.564</v>
      </c>
      <c r="CE962" s="1">
        <v>0.055</v>
      </c>
      <c r="CF962" s="1">
        <v>0.809</v>
      </c>
      <c r="CG962" s="1">
        <v>2.586</v>
      </c>
      <c r="CH962" s="1">
        <v>0.597</v>
      </c>
      <c r="CI962" s="1">
        <v>6.0691</v>
      </c>
      <c r="CJ962" s="1">
        <v>0.3848</v>
      </c>
      <c r="CK962" s="1">
        <v>0.0</v>
      </c>
      <c r="CL962" s="1">
        <v>0.0</v>
      </c>
      <c r="CM962" s="1">
        <v>0.0</v>
      </c>
      <c r="CN962" s="1">
        <v>0.0</v>
      </c>
      <c r="CO962" s="1">
        <v>0.0</v>
      </c>
      <c r="CP962" s="1">
        <v>0.0</v>
      </c>
      <c r="CQ962" s="1">
        <v>0.0</v>
      </c>
      <c r="CR962" s="1">
        <v>0.0</v>
      </c>
      <c r="CS962" s="1">
        <v>0.0</v>
      </c>
      <c r="CT962" s="1">
        <v>0.0</v>
      </c>
      <c r="CU962" s="1">
        <v>0.0</v>
      </c>
      <c r="CV962" s="1">
        <v>0.0</v>
      </c>
      <c r="CW962" s="1">
        <v>0.0</v>
      </c>
      <c r="CX962" s="1">
        <v>0.0</v>
      </c>
      <c r="CY962" s="1">
        <v>0.0</v>
      </c>
      <c r="CZ962" s="1">
        <v>0.0</v>
      </c>
      <c r="DA962" s="1">
        <v>0.0</v>
      </c>
      <c r="DB962" s="1">
        <v>0.0</v>
      </c>
      <c r="DC962" s="1">
        <v>0.0</v>
      </c>
      <c r="DD962" s="1" t="s">
        <v>4415</v>
      </c>
      <c r="DE962" s="1">
        <v>3.0895028787039E-4</v>
      </c>
      <c r="DF962" s="1">
        <v>0.076706074172247</v>
      </c>
    </row>
    <row r="963" ht="15.75" customHeight="1">
      <c r="A963" s="1" t="s">
        <v>4416</v>
      </c>
      <c r="B963" s="1">
        <v>29.0</v>
      </c>
      <c r="C963" s="1">
        <v>183.0</v>
      </c>
      <c r="D963" s="1">
        <v>311801.0</v>
      </c>
      <c r="E963" s="1">
        <v>6.155</v>
      </c>
      <c r="F963" s="1">
        <v>29183.0</v>
      </c>
      <c r="G963" s="1">
        <v>2.9183311801E10</v>
      </c>
      <c r="H963" s="1" t="s">
        <v>112</v>
      </c>
      <c r="I963" s="1" t="s">
        <v>113</v>
      </c>
      <c r="J963" s="1" t="s">
        <v>4207</v>
      </c>
      <c r="K963" s="1" t="s">
        <v>4417</v>
      </c>
      <c r="L963" s="1">
        <v>4822.0</v>
      </c>
      <c r="M963" s="1">
        <v>5154.0</v>
      </c>
      <c r="N963" s="1">
        <v>423.0</v>
      </c>
      <c r="O963" s="1">
        <v>1794.0</v>
      </c>
      <c r="P963" s="1">
        <v>1771.0</v>
      </c>
      <c r="Q963" s="1">
        <v>113.0</v>
      </c>
      <c r="R963" s="1">
        <v>1729.0</v>
      </c>
      <c r="S963" s="1">
        <v>142.0</v>
      </c>
      <c r="T963" s="1">
        <v>147.0</v>
      </c>
      <c r="U963" s="1">
        <v>97.0</v>
      </c>
      <c r="V963" s="1">
        <v>398.0</v>
      </c>
      <c r="W963" s="1">
        <v>27808.0</v>
      </c>
      <c r="X963" s="1">
        <v>2183.0</v>
      </c>
      <c r="Y963" s="1">
        <v>238.0</v>
      </c>
      <c r="Z963" s="1">
        <v>268.0</v>
      </c>
      <c r="AA963" s="1">
        <v>605.0</v>
      </c>
      <c r="AB963" s="1">
        <v>1276.0</v>
      </c>
      <c r="AC963" s="1">
        <v>122.0</v>
      </c>
      <c r="AD963" s="1">
        <v>389.0</v>
      </c>
      <c r="AE963" s="1">
        <v>19.0</v>
      </c>
      <c r="AF963" s="1">
        <v>427.0</v>
      </c>
      <c r="AG963" s="1">
        <v>0.0</v>
      </c>
      <c r="AH963" s="1">
        <v>197.0</v>
      </c>
      <c r="AI963" s="1">
        <v>0.0</v>
      </c>
      <c r="AJ963" s="1">
        <v>114.0</v>
      </c>
      <c r="AK963" s="1">
        <v>11.0</v>
      </c>
      <c r="AL963" s="1">
        <v>115.0</v>
      </c>
      <c r="AM963" s="1">
        <v>19.0</v>
      </c>
      <c r="AN963" s="1">
        <v>115.0</v>
      </c>
      <c r="AO963" s="1">
        <v>0.0</v>
      </c>
      <c r="AP963" s="1">
        <v>0.027615</v>
      </c>
      <c r="AQ963" s="1">
        <v>0.028498</v>
      </c>
      <c r="AR963" s="1">
        <v>0.035939</v>
      </c>
      <c r="AS963" s="1">
        <v>0.14742</v>
      </c>
      <c r="AT963" s="1">
        <v>27808.0</v>
      </c>
      <c r="AU963" s="1">
        <v>2183.0</v>
      </c>
      <c r="AV963" s="1">
        <v>0.07412</v>
      </c>
      <c r="AW963" s="1">
        <v>0.083328</v>
      </c>
      <c r="AX963" s="1">
        <v>0.125466</v>
      </c>
      <c r="AY963" s="1">
        <v>0.26462</v>
      </c>
      <c r="AZ963" s="1">
        <v>0.07056101</v>
      </c>
      <c r="BA963" s="1">
        <v>0.080671</v>
      </c>
      <c r="BB963" s="1">
        <v>0.004053</v>
      </c>
      <c r="BC963" s="1">
        <v>0.091102</v>
      </c>
      <c r="BD963" s="1">
        <v>0.0</v>
      </c>
      <c r="BE963" s="1">
        <v>0.111236</v>
      </c>
      <c r="BF963" s="1">
        <v>0.0</v>
      </c>
      <c r="BG963" s="1">
        <v>0.06437</v>
      </c>
      <c r="BH963" s="1">
        <v>0.006211</v>
      </c>
      <c r="BI963" s="1">
        <v>0.064933</v>
      </c>
      <c r="BJ963" s="1">
        <v>0.010728</v>
      </c>
      <c r="BK963" s="1">
        <v>0.064931</v>
      </c>
      <c r="BL963" s="1">
        <v>0.0</v>
      </c>
      <c r="BM963" s="1">
        <v>0.079</v>
      </c>
      <c r="BN963" s="1">
        <v>0.145</v>
      </c>
      <c r="BO963" s="1">
        <v>0.2578</v>
      </c>
      <c r="BP963" s="1">
        <v>0.22</v>
      </c>
      <c r="BQ963" s="1">
        <v>0.7018</v>
      </c>
      <c r="BR963" s="1">
        <v>0.1235</v>
      </c>
      <c r="BS963" s="1">
        <v>0.383</v>
      </c>
      <c r="BT963" s="1">
        <v>0.747</v>
      </c>
      <c r="BU963" s="1">
        <v>0.218</v>
      </c>
      <c r="BV963" s="1">
        <v>1.348</v>
      </c>
      <c r="BW963" s="1">
        <v>0.341</v>
      </c>
      <c r="BX963" s="1">
        <v>0.402</v>
      </c>
      <c r="BY963" s="1">
        <v>0.517</v>
      </c>
      <c r="BZ963" s="1">
        <v>0.919</v>
      </c>
      <c r="CA963" s="1">
        <v>0.482</v>
      </c>
      <c r="CB963" s="1">
        <v>0.0</v>
      </c>
      <c r="CC963" s="1">
        <v>0.0</v>
      </c>
      <c r="CD963" s="1">
        <v>0.364</v>
      </c>
      <c r="CE963" s="1">
        <v>0.097</v>
      </c>
      <c r="CF963" s="1">
        <v>0.0</v>
      </c>
      <c r="CG963" s="1">
        <v>0.461</v>
      </c>
      <c r="CH963" s="1">
        <v>0.024</v>
      </c>
      <c r="CI963" s="1">
        <v>3.4298</v>
      </c>
      <c r="CJ963" s="1">
        <v>0.039</v>
      </c>
      <c r="CK963" s="1">
        <v>0.0</v>
      </c>
      <c r="CL963" s="1">
        <v>0.0</v>
      </c>
      <c r="CM963" s="1">
        <v>0.0</v>
      </c>
      <c r="CN963" s="1">
        <v>0.0</v>
      </c>
      <c r="CO963" s="1">
        <v>0.0</v>
      </c>
      <c r="CP963" s="1">
        <v>0.0</v>
      </c>
      <c r="CQ963" s="1">
        <v>0.0</v>
      </c>
      <c r="CR963" s="1">
        <v>0.0</v>
      </c>
      <c r="CS963" s="1">
        <v>0.0</v>
      </c>
      <c r="CT963" s="1">
        <v>0.0</v>
      </c>
      <c r="CU963" s="1">
        <v>0.0</v>
      </c>
      <c r="CV963" s="1">
        <v>0.0</v>
      </c>
      <c r="CW963" s="1">
        <v>0.0</v>
      </c>
      <c r="CX963" s="1">
        <v>0.0</v>
      </c>
      <c r="CY963" s="1">
        <v>0.0</v>
      </c>
      <c r="CZ963" s="1">
        <v>0.0</v>
      </c>
      <c r="DA963" s="1">
        <v>0.0</v>
      </c>
      <c r="DB963" s="1">
        <v>0.0</v>
      </c>
      <c r="DC963" s="1">
        <v>0.0</v>
      </c>
      <c r="DD963" s="1" t="s">
        <v>4418</v>
      </c>
      <c r="DE963" s="1">
        <v>0.00164817332197606</v>
      </c>
      <c r="DF963" s="2" t="s">
        <v>4419</v>
      </c>
    </row>
    <row r="964" ht="15.75" customHeight="1">
      <c r="A964" s="1" t="s">
        <v>4420</v>
      </c>
      <c r="B964" s="1">
        <v>29.0</v>
      </c>
      <c r="C964" s="1">
        <v>183.0</v>
      </c>
      <c r="D964" s="1">
        <v>311802.0</v>
      </c>
      <c r="E964" s="1">
        <v>4.123</v>
      </c>
      <c r="F964" s="1">
        <v>29183.0</v>
      </c>
      <c r="G964" s="1">
        <v>2.9183311802E10</v>
      </c>
      <c r="H964" s="1" t="s">
        <v>112</v>
      </c>
      <c r="I964" s="1" t="s">
        <v>113</v>
      </c>
      <c r="J964" s="1" t="s">
        <v>4207</v>
      </c>
      <c r="K964" s="1" t="s">
        <v>4421</v>
      </c>
      <c r="L964" s="1">
        <v>6143.0</v>
      </c>
      <c r="M964" s="1">
        <v>5954.0</v>
      </c>
      <c r="N964" s="1">
        <v>343.0</v>
      </c>
      <c r="O964" s="1">
        <v>2639.0</v>
      </c>
      <c r="P964" s="1">
        <v>2430.0</v>
      </c>
      <c r="Q964" s="1">
        <v>104.0</v>
      </c>
      <c r="R964" s="1">
        <v>2527.0</v>
      </c>
      <c r="S964" s="1">
        <v>282.0</v>
      </c>
      <c r="T964" s="1">
        <v>157.0</v>
      </c>
      <c r="U964" s="1">
        <v>86.0</v>
      </c>
      <c r="V964" s="1">
        <v>445.0</v>
      </c>
      <c r="W964" s="1">
        <v>27752.0</v>
      </c>
      <c r="X964" s="1">
        <v>1555.0</v>
      </c>
      <c r="Y964" s="1">
        <v>247.0</v>
      </c>
      <c r="Z964" s="1">
        <v>294.0</v>
      </c>
      <c r="AA964" s="1">
        <v>1050.0</v>
      </c>
      <c r="AB964" s="1">
        <v>1387.0</v>
      </c>
      <c r="AC964" s="1">
        <v>263.0</v>
      </c>
      <c r="AD964" s="1">
        <v>590.0</v>
      </c>
      <c r="AE964" s="1">
        <v>49.0</v>
      </c>
      <c r="AF964" s="1">
        <v>414.0</v>
      </c>
      <c r="AG964" s="1">
        <v>227.0</v>
      </c>
      <c r="AH964" s="1">
        <v>99.0</v>
      </c>
      <c r="AI964" s="1">
        <v>11.0</v>
      </c>
      <c r="AJ964" s="1">
        <v>17.0</v>
      </c>
      <c r="AK964" s="1">
        <v>14.0</v>
      </c>
      <c r="AL964" s="1">
        <v>116.0</v>
      </c>
      <c r="AM964" s="1">
        <v>97.0</v>
      </c>
      <c r="AN964" s="1">
        <v>131.0</v>
      </c>
      <c r="AO964" s="1">
        <v>8.0</v>
      </c>
      <c r="AP964" s="1">
        <v>0.047363</v>
      </c>
      <c r="AQ964" s="1">
        <v>0.026227</v>
      </c>
      <c r="AR964" s="1">
        <v>0.028609</v>
      </c>
      <c r="AS964" s="1">
        <v>0.148004</v>
      </c>
      <c r="AT964" s="1">
        <v>27752.0</v>
      </c>
      <c r="AU964" s="1">
        <v>1555.0</v>
      </c>
      <c r="AV964" s="1">
        <v>0.059317</v>
      </c>
      <c r="AW964" s="1">
        <v>0.070479</v>
      </c>
      <c r="AX964" s="1">
        <v>0.170926</v>
      </c>
      <c r="AY964" s="1">
        <v>0.225785</v>
      </c>
      <c r="AZ964" s="1">
        <v>0.10407597</v>
      </c>
      <c r="BA964" s="1">
        <v>0.096044</v>
      </c>
      <c r="BB964" s="1">
        <v>0.008726</v>
      </c>
      <c r="BC964" s="1">
        <v>0.073729</v>
      </c>
      <c r="BD964" s="1">
        <v>0.093415</v>
      </c>
      <c r="BE964" s="1">
        <v>0.040544</v>
      </c>
      <c r="BF964" s="1">
        <v>0.004526</v>
      </c>
      <c r="BG964" s="1">
        <v>0.006993</v>
      </c>
      <c r="BH964" s="1">
        <v>0.006105</v>
      </c>
      <c r="BI964" s="1">
        <v>0.050587</v>
      </c>
      <c r="BJ964" s="1">
        <v>0.042302</v>
      </c>
      <c r="BK964" s="1">
        <v>0.057088</v>
      </c>
      <c r="BL964" s="1">
        <v>0.001302</v>
      </c>
      <c r="BM964" s="1">
        <v>0.154</v>
      </c>
      <c r="BN964" s="1">
        <v>0.075</v>
      </c>
      <c r="BO964" s="1">
        <v>0.2606</v>
      </c>
      <c r="BP964" s="1">
        <v>0.166</v>
      </c>
      <c r="BQ964" s="1">
        <v>0.6556</v>
      </c>
      <c r="BR964" s="1">
        <v>0.1126</v>
      </c>
      <c r="BS964" s="1">
        <v>0.743</v>
      </c>
      <c r="BT964" s="1">
        <v>0.347</v>
      </c>
      <c r="BU964" s="1">
        <v>0.531</v>
      </c>
      <c r="BV964" s="1">
        <v>1.621</v>
      </c>
      <c r="BW964" s="1">
        <v>0.581</v>
      </c>
      <c r="BX964" s="1">
        <v>0.453</v>
      </c>
      <c r="BY964" s="1">
        <v>0.686</v>
      </c>
      <c r="BZ964" s="1">
        <v>1.139</v>
      </c>
      <c r="CA964" s="1">
        <v>0.628</v>
      </c>
      <c r="CB964" s="1">
        <v>0.756</v>
      </c>
      <c r="CC964" s="1">
        <v>0.385</v>
      </c>
      <c r="CD964" s="1">
        <v>0.361</v>
      </c>
      <c r="CE964" s="1">
        <v>0.416</v>
      </c>
      <c r="CF964" s="1">
        <v>0.416</v>
      </c>
      <c r="CG964" s="1">
        <v>2.334</v>
      </c>
      <c r="CH964" s="1">
        <v>0.473</v>
      </c>
      <c r="CI964" s="1">
        <v>5.7496</v>
      </c>
      <c r="CJ964" s="1">
        <v>0.33</v>
      </c>
      <c r="CK964" s="1">
        <v>0.0</v>
      </c>
      <c r="CL964" s="1">
        <v>0.0</v>
      </c>
      <c r="CM964" s="1">
        <v>0.0</v>
      </c>
      <c r="CN964" s="1">
        <v>0.0</v>
      </c>
      <c r="CO964" s="1">
        <v>0.0</v>
      </c>
      <c r="CP964" s="1">
        <v>0.0</v>
      </c>
      <c r="CQ964" s="1">
        <v>0.0</v>
      </c>
      <c r="CR964" s="1">
        <v>0.0</v>
      </c>
      <c r="CS964" s="1">
        <v>0.0</v>
      </c>
      <c r="CT964" s="1">
        <v>0.0</v>
      </c>
      <c r="CU964" s="1">
        <v>0.0</v>
      </c>
      <c r="CV964" s="1">
        <v>0.0</v>
      </c>
      <c r="CW964" s="1">
        <v>0.0</v>
      </c>
      <c r="CX964" s="1">
        <v>0.0</v>
      </c>
      <c r="CY964" s="1">
        <v>0.0</v>
      </c>
      <c r="CZ964" s="1">
        <v>0.0</v>
      </c>
      <c r="DA964" s="1">
        <v>0.0</v>
      </c>
      <c r="DB964" s="1">
        <v>0.0</v>
      </c>
      <c r="DC964" s="1">
        <v>0.0</v>
      </c>
      <c r="DD964" s="1" t="s">
        <v>4422</v>
      </c>
      <c r="DE964" s="1">
        <v>0.00110880583707239</v>
      </c>
      <c r="DF964" s="2" t="s">
        <v>4423</v>
      </c>
    </row>
    <row r="965" ht="15.75" customHeight="1">
      <c r="A965" s="1" t="s">
        <v>4424</v>
      </c>
      <c r="B965" s="1">
        <v>29.0</v>
      </c>
      <c r="C965" s="1">
        <v>183.0</v>
      </c>
      <c r="D965" s="1">
        <v>311904.0</v>
      </c>
      <c r="E965" s="1">
        <v>2.706</v>
      </c>
      <c r="F965" s="1">
        <v>29183.0</v>
      </c>
      <c r="G965" s="1">
        <v>2.9183311904E10</v>
      </c>
      <c r="H965" s="1" t="s">
        <v>112</v>
      </c>
      <c r="I965" s="1" t="s">
        <v>113</v>
      </c>
      <c r="J965" s="1" t="s">
        <v>4207</v>
      </c>
      <c r="K965" s="1" t="s">
        <v>4425</v>
      </c>
      <c r="L965" s="1">
        <v>6016.0</v>
      </c>
      <c r="M965" s="1">
        <v>5537.0</v>
      </c>
      <c r="N965" s="1">
        <v>354.0</v>
      </c>
      <c r="O965" s="1">
        <v>2338.0</v>
      </c>
      <c r="P965" s="1">
        <v>2352.0</v>
      </c>
      <c r="Q965" s="1">
        <v>161.0</v>
      </c>
      <c r="R965" s="1">
        <v>2213.0</v>
      </c>
      <c r="S965" s="1">
        <v>418.0</v>
      </c>
      <c r="T965" s="1">
        <v>248.0</v>
      </c>
      <c r="U965" s="1">
        <v>128.0</v>
      </c>
      <c r="V965" s="1">
        <v>447.0</v>
      </c>
      <c r="W965" s="1">
        <v>33284.0</v>
      </c>
      <c r="X965" s="1">
        <v>3479.0</v>
      </c>
      <c r="Y965" s="1">
        <v>191.0</v>
      </c>
      <c r="Z965" s="1">
        <v>314.0</v>
      </c>
      <c r="AA965" s="1">
        <v>712.0</v>
      </c>
      <c r="AB965" s="1">
        <v>1794.0</v>
      </c>
      <c r="AC965" s="1">
        <v>189.0</v>
      </c>
      <c r="AD965" s="1">
        <v>842.0</v>
      </c>
      <c r="AE965" s="1">
        <v>24.0</v>
      </c>
      <c r="AF965" s="1">
        <v>427.0</v>
      </c>
      <c r="AG965" s="1">
        <v>392.0</v>
      </c>
      <c r="AH965" s="1">
        <v>198.0</v>
      </c>
      <c r="AI965" s="1">
        <v>0.0</v>
      </c>
      <c r="AJ965" s="1">
        <v>114.0</v>
      </c>
      <c r="AK965" s="1">
        <v>0.0</v>
      </c>
      <c r="AL965" s="1">
        <v>161.0</v>
      </c>
      <c r="AM965" s="1">
        <v>15.0</v>
      </c>
      <c r="AN965" s="1">
        <v>116.0</v>
      </c>
      <c r="AO965" s="1">
        <v>0.0</v>
      </c>
      <c r="AP965" s="1">
        <v>0.075697</v>
      </c>
      <c r="AQ965" s="1">
        <v>0.044646</v>
      </c>
      <c r="AR965" s="1">
        <v>0.04646</v>
      </c>
      <c r="AS965" s="1">
        <v>0.162171</v>
      </c>
      <c r="AT965" s="1">
        <v>33284.0</v>
      </c>
      <c r="AU965" s="1">
        <v>3479.0</v>
      </c>
      <c r="AV965" s="1">
        <v>0.051261</v>
      </c>
      <c r="AW965" s="1">
        <v>0.084193</v>
      </c>
      <c r="AX965" s="1">
        <v>0.118351</v>
      </c>
      <c r="AY965" s="1">
        <v>0.298204</v>
      </c>
      <c r="AZ965" s="1">
        <v>0.08540442</v>
      </c>
      <c r="BA965" s="1">
        <v>0.13996</v>
      </c>
      <c r="BB965" s="1">
        <v>0.004636</v>
      </c>
      <c r="BC965" s="1">
        <v>0.082495</v>
      </c>
      <c r="BD965" s="1">
        <v>0.166666</v>
      </c>
      <c r="BE965" s="1">
        <v>0.083407</v>
      </c>
      <c r="BF965" s="1">
        <v>0.0</v>
      </c>
      <c r="BG965" s="1">
        <v>0.048469</v>
      </c>
      <c r="BH965" s="1">
        <v>0.0</v>
      </c>
      <c r="BI965" s="1">
        <v>0.077329</v>
      </c>
      <c r="BJ965" s="1">
        <v>0.007204</v>
      </c>
      <c r="BK965" s="1">
        <v>0.055713</v>
      </c>
      <c r="BL965" s="1">
        <v>0.0</v>
      </c>
      <c r="BM965" s="1">
        <v>0.269</v>
      </c>
      <c r="BN965" s="1">
        <v>0.256</v>
      </c>
      <c r="BO965" s="1">
        <v>0.1401</v>
      </c>
      <c r="BP965" s="1">
        <v>0.13</v>
      </c>
      <c r="BQ965" s="1">
        <v>0.7951</v>
      </c>
      <c r="BR965" s="1">
        <v>0.1545</v>
      </c>
      <c r="BS965" s="1">
        <v>0.333</v>
      </c>
      <c r="BT965" s="1">
        <v>0.916</v>
      </c>
      <c r="BU965" s="1">
        <v>0.36</v>
      </c>
      <c r="BV965" s="1">
        <v>1.609</v>
      </c>
      <c r="BW965" s="1">
        <v>0.575</v>
      </c>
      <c r="BX965" s="1">
        <v>0.592</v>
      </c>
      <c r="BY965" s="1">
        <v>0.544</v>
      </c>
      <c r="BZ965" s="1">
        <v>1.136</v>
      </c>
      <c r="CA965" s="1">
        <v>0.626</v>
      </c>
      <c r="CB965" s="1">
        <v>0.862</v>
      </c>
      <c r="CC965" s="1">
        <v>0.0</v>
      </c>
      <c r="CD965" s="1">
        <v>0.0</v>
      </c>
      <c r="CE965" s="1">
        <v>0.06</v>
      </c>
      <c r="CF965" s="1">
        <v>0.0</v>
      </c>
      <c r="CG965" s="1">
        <v>0.922</v>
      </c>
      <c r="CH965" s="1">
        <v>0.07</v>
      </c>
      <c r="CI965" s="1">
        <v>4.4621</v>
      </c>
      <c r="CJ965" s="1">
        <v>0.1307</v>
      </c>
      <c r="CK965" s="1">
        <v>0.0</v>
      </c>
      <c r="CL965" s="1">
        <v>0.0</v>
      </c>
      <c r="CM965" s="1">
        <v>0.0</v>
      </c>
      <c r="CN965" s="1">
        <v>0.0</v>
      </c>
      <c r="CO965" s="1">
        <v>0.0</v>
      </c>
      <c r="CP965" s="1">
        <v>0.0</v>
      </c>
      <c r="CQ965" s="1">
        <v>1.0</v>
      </c>
      <c r="CR965" s="1">
        <v>0.0</v>
      </c>
      <c r="CS965" s="1">
        <v>1.0</v>
      </c>
      <c r="CT965" s="1">
        <v>0.0</v>
      </c>
      <c r="CU965" s="1">
        <v>0.0</v>
      </c>
      <c r="CV965" s="1">
        <v>0.0</v>
      </c>
      <c r="CW965" s="1">
        <v>0.0</v>
      </c>
      <c r="CX965" s="1">
        <v>0.0</v>
      </c>
      <c r="CY965" s="1">
        <v>0.0</v>
      </c>
      <c r="CZ965" s="1">
        <v>0.0</v>
      </c>
      <c r="DA965" s="1">
        <v>0.0</v>
      </c>
      <c r="DB965" s="1">
        <v>0.0</v>
      </c>
      <c r="DC965" s="1">
        <v>1.0</v>
      </c>
      <c r="DD965" s="1" t="s">
        <v>4426</v>
      </c>
      <c r="DE965" s="1">
        <v>7.30000798662064E-4</v>
      </c>
      <c r="DF965" s="2" t="s">
        <v>4427</v>
      </c>
    </row>
    <row r="966" ht="15.75" customHeight="1">
      <c r="A966" s="1" t="s">
        <v>4428</v>
      </c>
      <c r="B966" s="1">
        <v>29.0</v>
      </c>
      <c r="C966" s="1">
        <v>183.0</v>
      </c>
      <c r="D966" s="1">
        <v>311907.0</v>
      </c>
      <c r="E966" s="1">
        <v>1.163</v>
      </c>
      <c r="F966" s="1">
        <v>29183.0</v>
      </c>
      <c r="G966" s="1">
        <v>2.9183311907E10</v>
      </c>
      <c r="H966" s="1" t="s">
        <v>112</v>
      </c>
      <c r="I966" s="1" t="s">
        <v>113</v>
      </c>
      <c r="J966" s="1" t="s">
        <v>4207</v>
      </c>
      <c r="K966" s="1" t="s">
        <v>4429</v>
      </c>
      <c r="L966" s="1">
        <v>6270.0</v>
      </c>
      <c r="M966" s="1">
        <v>5759.0</v>
      </c>
      <c r="N966" s="1">
        <v>449.0</v>
      </c>
      <c r="O966" s="1">
        <v>2389.0</v>
      </c>
      <c r="P966" s="1">
        <v>2274.0</v>
      </c>
      <c r="Q966" s="1">
        <v>56.0</v>
      </c>
      <c r="R966" s="1">
        <v>2286.0</v>
      </c>
      <c r="S966" s="1">
        <v>95.0</v>
      </c>
      <c r="T966" s="1">
        <v>58.0</v>
      </c>
      <c r="U966" s="1">
        <v>201.0</v>
      </c>
      <c r="V966" s="1">
        <v>391.0</v>
      </c>
      <c r="W966" s="1">
        <v>25797.0</v>
      </c>
      <c r="X966" s="1">
        <v>2773.0</v>
      </c>
      <c r="Y966" s="1">
        <v>367.0</v>
      </c>
      <c r="Z966" s="1">
        <v>345.0</v>
      </c>
      <c r="AA966" s="1">
        <v>397.0</v>
      </c>
      <c r="AB966" s="1">
        <v>1930.0</v>
      </c>
      <c r="AC966" s="1">
        <v>372.0</v>
      </c>
      <c r="AD966" s="1">
        <v>752.0</v>
      </c>
      <c r="AE966" s="1">
        <v>12.0</v>
      </c>
      <c r="AF966" s="1">
        <v>442.0</v>
      </c>
      <c r="AG966" s="1">
        <v>310.0</v>
      </c>
      <c r="AH966" s="1">
        <v>174.0</v>
      </c>
      <c r="AI966" s="1">
        <v>0.0</v>
      </c>
      <c r="AJ966" s="1">
        <v>114.0</v>
      </c>
      <c r="AK966" s="1">
        <v>100.0</v>
      </c>
      <c r="AL966" s="1">
        <v>143.0</v>
      </c>
      <c r="AM966" s="1">
        <v>22.0</v>
      </c>
      <c r="AN966" s="1">
        <v>118.0</v>
      </c>
      <c r="AO966" s="1">
        <v>0.0</v>
      </c>
      <c r="AP966" s="1">
        <v>0.016527</v>
      </c>
      <c r="AQ966" s="1">
        <v>0.010006</v>
      </c>
      <c r="AR966" s="1">
        <v>0.06143</v>
      </c>
      <c r="AS966" s="1">
        <v>0.119322</v>
      </c>
      <c r="AT966" s="1">
        <v>25797.0</v>
      </c>
      <c r="AU966" s="1">
        <v>2773.0</v>
      </c>
      <c r="AV966" s="1">
        <v>0.106376</v>
      </c>
      <c r="AW966" s="1">
        <v>0.099721</v>
      </c>
      <c r="AX966" s="1">
        <v>0.063317</v>
      </c>
      <c r="AY966" s="1">
        <v>0.307814</v>
      </c>
      <c r="AZ966" s="1">
        <v>0.16272965</v>
      </c>
      <c r="BA966" s="1">
        <v>0.119936</v>
      </c>
      <c r="BB966" s="1">
        <v>0.002294</v>
      </c>
      <c r="BC966" s="1">
        <v>0.084496</v>
      </c>
      <c r="BD966" s="1">
        <v>0.136323</v>
      </c>
      <c r="BE966" s="1">
        <v>0.076443</v>
      </c>
      <c r="BF966" s="1">
        <v>0.0</v>
      </c>
      <c r="BG966" s="1">
        <v>0.050131</v>
      </c>
      <c r="BH966" s="1">
        <v>0.047846</v>
      </c>
      <c r="BI966" s="1">
        <v>0.068374</v>
      </c>
      <c r="BJ966" s="1">
        <v>0.010526</v>
      </c>
      <c r="BK966" s="1">
        <v>0.056456</v>
      </c>
      <c r="BL966" s="1">
        <v>0.0</v>
      </c>
      <c r="BM966" s="1">
        <v>0.042</v>
      </c>
      <c r="BN966" s="1">
        <v>0.43</v>
      </c>
      <c r="BO966" s="1">
        <v>0.317</v>
      </c>
      <c r="BP966" s="1">
        <v>0.366</v>
      </c>
      <c r="BQ966" s="1">
        <v>1.155</v>
      </c>
      <c r="BR966" s="1">
        <v>0.2397</v>
      </c>
      <c r="BS966" s="1">
        <v>0.058</v>
      </c>
      <c r="BT966" s="1">
        <v>0.943</v>
      </c>
      <c r="BU966" s="1">
        <v>0.828</v>
      </c>
      <c r="BV966" s="1">
        <v>1.829</v>
      </c>
      <c r="BW966" s="1">
        <v>0.749</v>
      </c>
      <c r="BX966" s="1">
        <v>0.537</v>
      </c>
      <c r="BY966" s="1">
        <v>0.396</v>
      </c>
      <c r="BZ966" s="1">
        <v>0.933</v>
      </c>
      <c r="CA966" s="1">
        <v>0.492</v>
      </c>
      <c r="CB966" s="1">
        <v>0.822</v>
      </c>
      <c r="CC966" s="1">
        <v>0.0</v>
      </c>
      <c r="CD966" s="1">
        <v>0.927</v>
      </c>
      <c r="CE966" s="1">
        <v>0.094</v>
      </c>
      <c r="CF966" s="1">
        <v>0.0</v>
      </c>
      <c r="CG966" s="1">
        <v>1.843</v>
      </c>
      <c r="CH966" s="1">
        <v>0.284</v>
      </c>
      <c r="CI966" s="1">
        <v>5.76</v>
      </c>
      <c r="CJ966" s="1">
        <v>0.3321</v>
      </c>
      <c r="CK966" s="1">
        <v>0.0</v>
      </c>
      <c r="CL966" s="1">
        <v>0.0</v>
      </c>
      <c r="CM966" s="1">
        <v>0.0</v>
      </c>
      <c r="CN966" s="1">
        <v>0.0</v>
      </c>
      <c r="CO966" s="1">
        <v>0.0</v>
      </c>
      <c r="CP966" s="1">
        <v>0.0</v>
      </c>
      <c r="CQ966" s="1">
        <v>1.0</v>
      </c>
      <c r="CR966" s="1">
        <v>0.0</v>
      </c>
      <c r="CS966" s="1">
        <v>1.0</v>
      </c>
      <c r="CT966" s="1">
        <v>0.0</v>
      </c>
      <c r="CU966" s="1">
        <v>0.0</v>
      </c>
      <c r="CV966" s="1">
        <v>0.0</v>
      </c>
      <c r="CW966" s="1">
        <v>0.0</v>
      </c>
      <c r="CX966" s="1">
        <v>0.0</v>
      </c>
      <c r="CY966" s="1">
        <v>1.0</v>
      </c>
      <c r="CZ966" s="1">
        <v>0.0</v>
      </c>
      <c r="DA966" s="1">
        <v>0.0</v>
      </c>
      <c r="DB966" s="1">
        <v>1.0</v>
      </c>
      <c r="DC966" s="1">
        <v>2.0</v>
      </c>
      <c r="DD966" s="1" t="s">
        <v>4430</v>
      </c>
      <c r="DE966" s="1">
        <v>3.11057320114201E-4</v>
      </c>
      <c r="DF966" s="1">
        <v>0.0901059615892366</v>
      </c>
    </row>
    <row r="967" ht="15.75" customHeight="1">
      <c r="A967" s="1" t="s">
        <v>4431</v>
      </c>
      <c r="B967" s="1">
        <v>29.0</v>
      </c>
      <c r="C967" s="1">
        <v>183.0</v>
      </c>
      <c r="D967" s="1">
        <v>311908.0</v>
      </c>
      <c r="E967" s="1">
        <v>4.075</v>
      </c>
      <c r="F967" s="1">
        <v>29183.0</v>
      </c>
      <c r="G967" s="1">
        <v>2.9183311908E10</v>
      </c>
      <c r="H967" s="1" t="s">
        <v>112</v>
      </c>
      <c r="I967" s="1" t="s">
        <v>113</v>
      </c>
      <c r="J967" s="1" t="s">
        <v>4207</v>
      </c>
      <c r="K967" s="1" t="s">
        <v>4432</v>
      </c>
      <c r="L967" s="1">
        <v>2831.0</v>
      </c>
      <c r="M967" s="1">
        <v>2431.0</v>
      </c>
      <c r="N967" s="1">
        <v>206.0</v>
      </c>
      <c r="O967" s="1">
        <v>1173.0</v>
      </c>
      <c r="P967" s="1">
        <v>1007.0</v>
      </c>
      <c r="Q967" s="1">
        <v>70.0</v>
      </c>
      <c r="R967" s="1">
        <v>1101.0</v>
      </c>
      <c r="S967" s="1">
        <v>126.0</v>
      </c>
      <c r="T967" s="1">
        <v>102.0</v>
      </c>
      <c r="U967" s="1">
        <v>46.0</v>
      </c>
      <c r="V967" s="1">
        <v>458.0</v>
      </c>
      <c r="W967" s="1">
        <v>45004.0</v>
      </c>
      <c r="X967" s="1">
        <v>19000.0</v>
      </c>
      <c r="Y967" s="1">
        <v>130.0</v>
      </c>
      <c r="Z967" s="1">
        <v>348.0</v>
      </c>
      <c r="AA967" s="1">
        <v>441.0</v>
      </c>
      <c r="AB967" s="1">
        <v>714.0</v>
      </c>
      <c r="AC967" s="1">
        <v>56.0</v>
      </c>
      <c r="AD967" s="1">
        <v>267.0</v>
      </c>
      <c r="AE967" s="1">
        <v>13.0</v>
      </c>
      <c r="AF967" s="1">
        <v>442.0</v>
      </c>
      <c r="AG967" s="1">
        <v>53.0</v>
      </c>
      <c r="AH967" s="1">
        <v>167.0</v>
      </c>
      <c r="AI967" s="1">
        <v>12.0</v>
      </c>
      <c r="AJ967" s="1">
        <v>18.0</v>
      </c>
      <c r="AK967" s="1">
        <v>0.0</v>
      </c>
      <c r="AL967" s="1">
        <v>161.0</v>
      </c>
      <c r="AM967" s="1">
        <v>46.0</v>
      </c>
      <c r="AN967" s="1">
        <v>41.0</v>
      </c>
      <c r="AO967" s="1">
        <v>0.0</v>
      </c>
      <c r="AP967" s="1">
        <v>0.05183</v>
      </c>
      <c r="AQ967" s="1">
        <v>0.041727</v>
      </c>
      <c r="AR967" s="1">
        <v>0.043273</v>
      </c>
      <c r="AS967" s="1">
        <v>0.43075</v>
      </c>
      <c r="AT967" s="1">
        <v>45004.0</v>
      </c>
      <c r="AU967" s="1">
        <v>19000.0</v>
      </c>
      <c r="AV967" s="1">
        <v>0.079316</v>
      </c>
      <c r="AW967" s="1">
        <v>0.212255</v>
      </c>
      <c r="AX967" s="1">
        <v>0.155775</v>
      </c>
      <c r="AY967" s="1">
        <v>0.252207</v>
      </c>
      <c r="AZ967" s="1">
        <v>0.05086285</v>
      </c>
      <c r="BA967" s="1">
        <v>0.094312</v>
      </c>
      <c r="BB967" s="1">
        <v>0.005625</v>
      </c>
      <c r="BC967" s="1">
        <v>0.191258</v>
      </c>
      <c r="BD967" s="1">
        <v>0.052631</v>
      </c>
      <c r="BE967" s="1">
        <v>0.165798</v>
      </c>
      <c r="BF967" s="1">
        <v>0.011916</v>
      </c>
      <c r="BG967" s="1">
        <v>0.017855</v>
      </c>
      <c r="BH967" s="1">
        <v>0.0</v>
      </c>
      <c r="BI967" s="1">
        <v>0.164285</v>
      </c>
      <c r="BJ967" s="1">
        <v>0.046938</v>
      </c>
      <c r="BK967" s="1">
        <v>0.041741</v>
      </c>
      <c r="BL967" s="1">
        <v>0.0</v>
      </c>
      <c r="BM967" s="1">
        <v>0.174</v>
      </c>
      <c r="BN967" s="1">
        <v>0.224</v>
      </c>
      <c r="BO967" s="1">
        <v>0.0397</v>
      </c>
      <c r="BP967" s="1">
        <v>0.243</v>
      </c>
      <c r="BQ967" s="1">
        <v>0.6807</v>
      </c>
      <c r="BR967" s="1">
        <v>0.1184</v>
      </c>
      <c r="BS967" s="1">
        <v>0.628</v>
      </c>
      <c r="BT967" s="1">
        <v>0.626</v>
      </c>
      <c r="BU967" s="1">
        <v>0.079</v>
      </c>
      <c r="BV967" s="1">
        <v>1.333</v>
      </c>
      <c r="BW967" s="1">
        <v>0.33</v>
      </c>
      <c r="BX967" s="1">
        <v>0.447</v>
      </c>
      <c r="BY967" s="1">
        <v>0.582</v>
      </c>
      <c r="BZ967" s="1">
        <v>1.029</v>
      </c>
      <c r="CA967" s="1">
        <v>0.571</v>
      </c>
      <c r="CB967" s="1">
        <v>0.663</v>
      </c>
      <c r="CC967" s="1">
        <v>0.472</v>
      </c>
      <c r="CD967" s="1">
        <v>0.0</v>
      </c>
      <c r="CE967" s="1">
        <v>0.462</v>
      </c>
      <c r="CF967" s="1">
        <v>0.0</v>
      </c>
      <c r="CG967" s="1">
        <v>1.597</v>
      </c>
      <c r="CH967" s="1">
        <v>0.197</v>
      </c>
      <c r="CI967" s="1">
        <v>4.6397</v>
      </c>
      <c r="CJ967" s="1">
        <v>0.148</v>
      </c>
      <c r="CK967" s="1">
        <v>0.0</v>
      </c>
      <c r="CL967" s="1">
        <v>0.0</v>
      </c>
      <c r="CM967" s="1">
        <v>0.0</v>
      </c>
      <c r="CN967" s="1">
        <v>0.0</v>
      </c>
      <c r="CO967" s="1">
        <v>0.0</v>
      </c>
      <c r="CP967" s="1">
        <v>0.0</v>
      </c>
      <c r="CQ967" s="1">
        <v>0.0</v>
      </c>
      <c r="CR967" s="1">
        <v>0.0</v>
      </c>
      <c r="CS967" s="1">
        <v>0.0</v>
      </c>
      <c r="CT967" s="1">
        <v>0.0</v>
      </c>
      <c r="CU967" s="1">
        <v>0.0</v>
      </c>
      <c r="CV967" s="1">
        <v>0.0</v>
      </c>
      <c r="CW967" s="1">
        <v>0.0</v>
      </c>
      <c r="CX967" s="1">
        <v>0.0</v>
      </c>
      <c r="CY967" s="1">
        <v>0.0</v>
      </c>
      <c r="CZ967" s="1">
        <v>0.0</v>
      </c>
      <c r="DA967" s="1">
        <v>0.0</v>
      </c>
      <c r="DB967" s="1">
        <v>0.0</v>
      </c>
      <c r="DC967" s="1">
        <v>0.0</v>
      </c>
      <c r="DD967" s="1" t="s">
        <v>4433</v>
      </c>
      <c r="DE967" s="1">
        <v>0.00109728568480166</v>
      </c>
      <c r="DF967" s="2" t="s">
        <v>4434</v>
      </c>
    </row>
    <row r="968" ht="15.75" customHeight="1">
      <c r="A968" s="1" t="s">
        <v>4435</v>
      </c>
      <c r="B968" s="1">
        <v>29.0</v>
      </c>
      <c r="C968" s="1">
        <v>183.0</v>
      </c>
      <c r="D968" s="1">
        <v>311909.0</v>
      </c>
      <c r="E968" s="1">
        <v>2.486</v>
      </c>
      <c r="F968" s="1">
        <v>29183.0</v>
      </c>
      <c r="G968" s="1">
        <v>2.9183311909E10</v>
      </c>
      <c r="H968" s="1" t="s">
        <v>112</v>
      </c>
      <c r="I968" s="1" t="s">
        <v>113</v>
      </c>
      <c r="J968" s="1" t="s">
        <v>4207</v>
      </c>
      <c r="K968" s="1" t="s">
        <v>4436</v>
      </c>
      <c r="L968" s="1">
        <v>5022.0</v>
      </c>
      <c r="M968" s="1">
        <v>5303.0</v>
      </c>
      <c r="N968" s="1">
        <v>292.0</v>
      </c>
      <c r="O968" s="1">
        <v>1867.0</v>
      </c>
      <c r="P968" s="1">
        <v>1869.0</v>
      </c>
      <c r="Q968" s="1">
        <v>105.0</v>
      </c>
      <c r="R968" s="1">
        <v>1785.0</v>
      </c>
      <c r="S968" s="1">
        <v>52.0</v>
      </c>
      <c r="T968" s="1">
        <v>59.0</v>
      </c>
      <c r="U968" s="1">
        <v>135.0</v>
      </c>
      <c r="V968" s="1">
        <v>418.0</v>
      </c>
      <c r="W968" s="1">
        <v>41042.0</v>
      </c>
      <c r="X968" s="1">
        <v>4252.0</v>
      </c>
      <c r="Y968" s="1">
        <v>96.0</v>
      </c>
      <c r="Z968" s="1">
        <v>402.0</v>
      </c>
      <c r="AA968" s="1">
        <v>760.0</v>
      </c>
      <c r="AB968" s="1">
        <v>1312.0</v>
      </c>
      <c r="AC968" s="1">
        <v>96.0</v>
      </c>
      <c r="AD968" s="1">
        <v>320.0</v>
      </c>
      <c r="AE968" s="1">
        <v>49.0</v>
      </c>
      <c r="AF968" s="1">
        <v>430.0</v>
      </c>
      <c r="AG968" s="1">
        <v>0.0</v>
      </c>
      <c r="AH968" s="1">
        <v>197.0</v>
      </c>
      <c r="AI968" s="1">
        <v>0.0</v>
      </c>
      <c r="AJ968" s="1">
        <v>114.0</v>
      </c>
      <c r="AK968" s="1">
        <v>17.0</v>
      </c>
      <c r="AL968" s="1">
        <v>117.0</v>
      </c>
      <c r="AM968" s="1">
        <v>25.0</v>
      </c>
      <c r="AN968" s="1">
        <v>118.0</v>
      </c>
      <c r="AO968" s="1">
        <v>0.0</v>
      </c>
      <c r="AP968" s="1">
        <v>0.009805</v>
      </c>
      <c r="AQ968" s="1">
        <v>0.011112</v>
      </c>
      <c r="AR968" s="1">
        <v>0.051704</v>
      </c>
      <c r="AS968" s="1">
        <v>0.159983</v>
      </c>
      <c r="AT968" s="1">
        <v>41042.0</v>
      </c>
      <c r="AU968" s="1">
        <v>4252.0</v>
      </c>
      <c r="AV968" s="1">
        <v>0.026875</v>
      </c>
      <c r="AW968" s="1">
        <v>0.112531</v>
      </c>
      <c r="AX968" s="1">
        <v>0.151334</v>
      </c>
      <c r="AY968" s="1">
        <v>0.26125</v>
      </c>
      <c r="AZ968" s="1">
        <v>0.05378151</v>
      </c>
      <c r="BA968" s="1">
        <v>0.063719</v>
      </c>
      <c r="BB968" s="1">
        <v>0.009875</v>
      </c>
      <c r="BC968" s="1">
        <v>0.086656</v>
      </c>
      <c r="BD968" s="1">
        <v>0.0</v>
      </c>
      <c r="BE968" s="1">
        <v>0.105403</v>
      </c>
      <c r="BF968" s="1">
        <v>0.0</v>
      </c>
      <c r="BG968" s="1">
        <v>0.060995</v>
      </c>
      <c r="BH968" s="1">
        <v>0.009095</v>
      </c>
      <c r="BI968" s="1">
        <v>0.062598</v>
      </c>
      <c r="BJ968" s="1">
        <v>0.013376</v>
      </c>
      <c r="BK968" s="1">
        <v>0.06313</v>
      </c>
      <c r="BL968" s="1">
        <v>0.0</v>
      </c>
      <c r="BM968" s="1">
        <v>0.021</v>
      </c>
      <c r="BN968" s="1">
        <v>0.313</v>
      </c>
      <c r="BO968" s="1">
        <v>0.057</v>
      </c>
      <c r="BP968" s="1">
        <v>0.049</v>
      </c>
      <c r="BQ968" s="1">
        <v>0.44</v>
      </c>
      <c r="BR968" s="1">
        <v>0.0498</v>
      </c>
      <c r="BS968" s="1">
        <v>0.591</v>
      </c>
      <c r="BT968" s="1">
        <v>0.71</v>
      </c>
      <c r="BU968" s="1">
        <v>0.096</v>
      </c>
      <c r="BV968" s="1">
        <v>1.397</v>
      </c>
      <c r="BW968" s="1">
        <v>0.388</v>
      </c>
      <c r="BX968" s="1">
        <v>0.332</v>
      </c>
      <c r="BY968" s="1">
        <v>0.718</v>
      </c>
      <c r="BZ968" s="1">
        <v>1.05</v>
      </c>
      <c r="CA968" s="1">
        <v>0.584</v>
      </c>
      <c r="CB968" s="1">
        <v>0.0</v>
      </c>
      <c r="CC968" s="1">
        <v>0.0</v>
      </c>
      <c r="CD968" s="1">
        <v>0.458</v>
      </c>
      <c r="CE968" s="1">
        <v>0.119</v>
      </c>
      <c r="CF968" s="1">
        <v>0.0</v>
      </c>
      <c r="CG968" s="1">
        <v>0.577</v>
      </c>
      <c r="CH968" s="1">
        <v>0.037</v>
      </c>
      <c r="CI968" s="1">
        <v>3.464</v>
      </c>
      <c r="CJ968" s="1">
        <v>0.0433</v>
      </c>
      <c r="CK968" s="1">
        <v>0.0</v>
      </c>
      <c r="CL968" s="1">
        <v>0.0</v>
      </c>
      <c r="CM968" s="1">
        <v>0.0</v>
      </c>
      <c r="CN968" s="1">
        <v>0.0</v>
      </c>
      <c r="CO968" s="1">
        <v>0.0</v>
      </c>
      <c r="CP968" s="1">
        <v>0.0</v>
      </c>
      <c r="CQ968" s="1">
        <v>0.0</v>
      </c>
      <c r="CR968" s="1">
        <v>0.0</v>
      </c>
      <c r="CS968" s="1">
        <v>0.0</v>
      </c>
      <c r="CT968" s="1">
        <v>0.0</v>
      </c>
      <c r="CU968" s="1">
        <v>0.0</v>
      </c>
      <c r="CV968" s="1">
        <v>0.0</v>
      </c>
      <c r="CW968" s="1">
        <v>0.0</v>
      </c>
      <c r="CX968" s="1">
        <v>0.0</v>
      </c>
      <c r="CY968" s="1">
        <v>0.0</v>
      </c>
      <c r="CZ968" s="1">
        <v>0.0</v>
      </c>
      <c r="DA968" s="1">
        <v>0.0</v>
      </c>
      <c r="DB968" s="1">
        <v>0.0</v>
      </c>
      <c r="DC968" s="1">
        <v>0.0</v>
      </c>
      <c r="DD968" s="1" t="s">
        <v>4437</v>
      </c>
      <c r="DE968" s="1">
        <v>7.67357950697213E-4</v>
      </c>
      <c r="DF968" s="2" t="s">
        <v>4438</v>
      </c>
    </row>
    <row r="969" ht="15.75" customHeight="1">
      <c r="A969" s="1" t="s">
        <v>4439</v>
      </c>
      <c r="B969" s="1">
        <v>29.0</v>
      </c>
      <c r="C969" s="1">
        <v>183.0</v>
      </c>
      <c r="D969" s="1">
        <v>312096.0</v>
      </c>
      <c r="E969" s="1">
        <v>3.113</v>
      </c>
      <c r="F969" s="1">
        <v>29183.0</v>
      </c>
      <c r="G969" s="1">
        <v>2.9183312096E10</v>
      </c>
      <c r="H969" s="1" t="s">
        <v>112</v>
      </c>
      <c r="I969" s="1" t="s">
        <v>113</v>
      </c>
      <c r="J969" s="1" t="s">
        <v>4207</v>
      </c>
      <c r="K969" s="1" t="s">
        <v>4440</v>
      </c>
      <c r="L969" s="1">
        <v>6241.0</v>
      </c>
      <c r="M969" s="1">
        <v>5208.0</v>
      </c>
      <c r="N969" s="1">
        <v>359.0</v>
      </c>
      <c r="O969" s="1">
        <v>2031.0</v>
      </c>
      <c r="P969" s="1">
        <v>1739.0</v>
      </c>
      <c r="Q969" s="1">
        <v>109.0</v>
      </c>
      <c r="R969" s="1">
        <v>1955.0</v>
      </c>
      <c r="S969" s="1">
        <v>30.0</v>
      </c>
      <c r="T969" s="1">
        <v>28.0</v>
      </c>
      <c r="U969" s="1">
        <v>142.0</v>
      </c>
      <c r="V969" s="1">
        <v>419.0</v>
      </c>
      <c r="W969" s="1">
        <v>29133.0</v>
      </c>
      <c r="X969" s="1">
        <v>5279.0</v>
      </c>
      <c r="Y969" s="1">
        <v>137.0</v>
      </c>
      <c r="Z969" s="1">
        <v>329.0</v>
      </c>
      <c r="AA969" s="1">
        <v>382.0</v>
      </c>
      <c r="AB969" s="1">
        <v>2274.0</v>
      </c>
      <c r="AC969" s="1">
        <v>237.0</v>
      </c>
      <c r="AD969" s="1">
        <v>651.0</v>
      </c>
      <c r="AE969" s="1">
        <v>38.0</v>
      </c>
      <c r="AF969" s="1">
        <v>429.0</v>
      </c>
      <c r="AG969" s="1">
        <v>81.0</v>
      </c>
      <c r="AH969" s="1">
        <v>46.0</v>
      </c>
      <c r="AI969" s="1">
        <v>23.0</v>
      </c>
      <c r="AJ969" s="1">
        <v>35.0</v>
      </c>
      <c r="AK969" s="1">
        <v>0.0</v>
      </c>
      <c r="AL969" s="1">
        <v>161.0</v>
      </c>
      <c r="AM969" s="1">
        <v>0.0</v>
      </c>
      <c r="AN969" s="1">
        <v>161.0</v>
      </c>
      <c r="AO969" s="1">
        <v>0.0</v>
      </c>
      <c r="AP969" s="1">
        <v>0.005794</v>
      </c>
      <c r="AQ969" s="1">
        <v>0.005393</v>
      </c>
      <c r="AR969" s="1">
        <v>0.050914</v>
      </c>
      <c r="AS969" s="1">
        <v>0.150133</v>
      </c>
      <c r="AT969" s="1">
        <v>29133.0</v>
      </c>
      <c r="AU969" s="1">
        <v>5279.0</v>
      </c>
      <c r="AV969" s="1">
        <v>0.044727</v>
      </c>
      <c r="AW969" s="1">
        <v>0.10737</v>
      </c>
      <c r="AX969" s="1">
        <v>0.061208</v>
      </c>
      <c r="AY969" s="1">
        <v>0.364364</v>
      </c>
      <c r="AZ969" s="1">
        <v>0.12122762</v>
      </c>
      <c r="BA969" s="1">
        <v>0.10431</v>
      </c>
      <c r="BB969" s="1">
        <v>0.008268</v>
      </c>
      <c r="BC969" s="1">
        <v>0.09334</v>
      </c>
      <c r="BD969" s="1">
        <v>0.046578</v>
      </c>
      <c r="BE969" s="1">
        <v>0.02629</v>
      </c>
      <c r="BF969" s="1">
        <v>0.013225</v>
      </c>
      <c r="BG969" s="1">
        <v>0.020109</v>
      </c>
      <c r="BH969" s="1">
        <v>0.0</v>
      </c>
      <c r="BI969" s="1">
        <v>0.09847</v>
      </c>
      <c r="BJ969" s="1">
        <v>0.0</v>
      </c>
      <c r="BK969" s="1">
        <v>0.09847</v>
      </c>
      <c r="BL969" s="1">
        <v>0.0</v>
      </c>
      <c r="BM969" s="1">
        <v>0.011</v>
      </c>
      <c r="BN969" s="1">
        <v>0.302</v>
      </c>
      <c r="BO969" s="1">
        <v>0.2181</v>
      </c>
      <c r="BP969" s="1">
        <v>0.111</v>
      </c>
      <c r="BQ969" s="1">
        <v>0.6421</v>
      </c>
      <c r="BR969" s="1">
        <v>0.1076</v>
      </c>
      <c r="BS969" s="1">
        <v>0.048</v>
      </c>
      <c r="BT969" s="1">
        <v>0.989</v>
      </c>
      <c r="BU969" s="1">
        <v>0.676</v>
      </c>
      <c r="BV969" s="1">
        <v>1.713</v>
      </c>
      <c r="BW969" s="1">
        <v>0.648</v>
      </c>
      <c r="BX969" s="1">
        <v>0.486</v>
      </c>
      <c r="BY969" s="1">
        <v>0.675</v>
      </c>
      <c r="BZ969" s="1">
        <v>1.161</v>
      </c>
      <c r="CA969" s="1">
        <v>0.641</v>
      </c>
      <c r="CB969" s="1">
        <v>0.642</v>
      </c>
      <c r="CC969" s="1">
        <v>0.48</v>
      </c>
      <c r="CD969" s="1">
        <v>0.0</v>
      </c>
      <c r="CE969" s="1">
        <v>0.0</v>
      </c>
      <c r="CF969" s="1">
        <v>0.0</v>
      </c>
      <c r="CG969" s="1">
        <v>1.122</v>
      </c>
      <c r="CH969" s="1">
        <v>0.096</v>
      </c>
      <c r="CI969" s="1">
        <v>4.6381</v>
      </c>
      <c r="CJ969" s="1">
        <v>0.1473</v>
      </c>
      <c r="CK969" s="1">
        <v>0.0</v>
      </c>
      <c r="CL969" s="1">
        <v>0.0</v>
      </c>
      <c r="CM969" s="1">
        <v>0.0</v>
      </c>
      <c r="CN969" s="1">
        <v>0.0</v>
      </c>
      <c r="CO969" s="1">
        <v>0.0</v>
      </c>
      <c r="CP969" s="1">
        <v>0.0</v>
      </c>
      <c r="CQ969" s="1">
        <v>1.0</v>
      </c>
      <c r="CR969" s="1">
        <v>0.0</v>
      </c>
      <c r="CS969" s="1">
        <v>1.0</v>
      </c>
      <c r="CT969" s="1">
        <v>0.0</v>
      </c>
      <c r="CU969" s="1">
        <v>0.0</v>
      </c>
      <c r="CV969" s="1">
        <v>0.0</v>
      </c>
      <c r="CW969" s="1">
        <v>0.0</v>
      </c>
      <c r="CX969" s="1">
        <v>0.0</v>
      </c>
      <c r="CY969" s="1">
        <v>0.0</v>
      </c>
      <c r="CZ969" s="1">
        <v>0.0</v>
      </c>
      <c r="DA969" s="1">
        <v>0.0</v>
      </c>
      <c r="DB969" s="1">
        <v>0.0</v>
      </c>
      <c r="DC969" s="1">
        <v>1.0</v>
      </c>
      <c r="DD969" s="1" t="s">
        <v>4441</v>
      </c>
      <c r="DE969" s="1">
        <v>8.37656109110062E-4</v>
      </c>
      <c r="DF969" s="2" t="s">
        <v>4442</v>
      </c>
    </row>
    <row r="970" ht="15.75" customHeight="1">
      <c r="A970" s="1" t="s">
        <v>4443</v>
      </c>
      <c r="B970" s="1">
        <v>29.0</v>
      </c>
      <c r="C970" s="1">
        <v>183.0</v>
      </c>
      <c r="D970" s="1">
        <v>312097.0</v>
      </c>
      <c r="E970" s="1">
        <v>26.421</v>
      </c>
      <c r="F970" s="1">
        <v>29183.0</v>
      </c>
      <c r="G970" s="1">
        <v>2.9183312097E10</v>
      </c>
      <c r="H970" s="1" t="s">
        <v>112</v>
      </c>
      <c r="I970" s="1" t="s">
        <v>113</v>
      </c>
      <c r="J970" s="1" t="s">
        <v>4207</v>
      </c>
      <c r="K970" s="1" t="s">
        <v>4444</v>
      </c>
      <c r="L970" s="1">
        <v>6639.0</v>
      </c>
      <c r="M970" s="1">
        <v>5617.0</v>
      </c>
      <c r="N970" s="1">
        <v>276.0</v>
      </c>
      <c r="O970" s="1">
        <v>2361.0</v>
      </c>
      <c r="P970" s="1">
        <v>2036.0</v>
      </c>
      <c r="Q970" s="1">
        <v>115.0</v>
      </c>
      <c r="R970" s="1">
        <v>2220.0</v>
      </c>
      <c r="S970" s="1">
        <v>105.0</v>
      </c>
      <c r="T970" s="1">
        <v>114.0</v>
      </c>
      <c r="U970" s="1">
        <v>113.0</v>
      </c>
      <c r="V970" s="1">
        <v>433.0</v>
      </c>
      <c r="W970" s="1">
        <v>29045.0</v>
      </c>
      <c r="X970" s="1">
        <v>2332.0</v>
      </c>
      <c r="Y970" s="1">
        <v>232.0</v>
      </c>
      <c r="Z970" s="1">
        <v>244.0</v>
      </c>
      <c r="AA970" s="1">
        <v>557.0</v>
      </c>
      <c r="AB970" s="1">
        <v>2042.0</v>
      </c>
      <c r="AC970" s="1">
        <v>176.0</v>
      </c>
      <c r="AD970" s="1">
        <v>525.0</v>
      </c>
      <c r="AE970" s="1">
        <v>32.0</v>
      </c>
      <c r="AF970" s="1">
        <v>444.0</v>
      </c>
      <c r="AG970" s="1">
        <v>0.0</v>
      </c>
      <c r="AH970" s="1">
        <v>197.0</v>
      </c>
      <c r="AI970" s="1">
        <v>71.0</v>
      </c>
      <c r="AJ970" s="1">
        <v>48.0</v>
      </c>
      <c r="AK970" s="1">
        <v>2.0</v>
      </c>
      <c r="AL970" s="1">
        <v>114.0</v>
      </c>
      <c r="AM970" s="1">
        <v>25.0</v>
      </c>
      <c r="AN970" s="1">
        <v>117.0</v>
      </c>
      <c r="AO970" s="1">
        <v>0.0</v>
      </c>
      <c r="AP970" s="1">
        <v>0.018706</v>
      </c>
      <c r="AQ970" s="1">
        <v>0.020289</v>
      </c>
      <c r="AR970" s="1">
        <v>0.035423</v>
      </c>
      <c r="AS970" s="1">
        <v>0.135695</v>
      </c>
      <c r="AT970" s="1">
        <v>29045.0</v>
      </c>
      <c r="AU970" s="1">
        <v>2332.0</v>
      </c>
      <c r="AV970" s="1">
        <v>0.064248</v>
      </c>
      <c r="AW970" s="1">
        <v>0.067509</v>
      </c>
      <c r="AX970" s="1">
        <v>0.083898</v>
      </c>
      <c r="AY970" s="1">
        <v>0.307576</v>
      </c>
      <c r="AZ970" s="1">
        <v>0.07927927</v>
      </c>
      <c r="BA970" s="1">
        <v>0.079078</v>
      </c>
      <c r="BB970" s="1">
        <v>0.006345</v>
      </c>
      <c r="BC970" s="1">
        <v>0.088042</v>
      </c>
      <c r="BD970" s="1">
        <v>0.0</v>
      </c>
      <c r="BE970" s="1">
        <v>0.096758</v>
      </c>
      <c r="BF970" s="1">
        <v>0.034872</v>
      </c>
      <c r="BG970" s="1">
        <v>0.023493</v>
      </c>
      <c r="BH970" s="1">
        <v>0.001046</v>
      </c>
      <c r="BI970" s="1">
        <v>0.059654</v>
      </c>
      <c r="BJ970" s="1">
        <v>0.013082</v>
      </c>
      <c r="BK970" s="1">
        <v>0.061221</v>
      </c>
      <c r="BL970" s="1">
        <v>0.0</v>
      </c>
      <c r="BM970" s="1">
        <v>0.046</v>
      </c>
      <c r="BN970" s="1">
        <v>0.138</v>
      </c>
      <c r="BO970" s="1">
        <v>0.2188</v>
      </c>
      <c r="BP970" s="1">
        <v>0.182</v>
      </c>
      <c r="BQ970" s="1">
        <v>0.5848</v>
      </c>
      <c r="BR970" s="1">
        <v>0.0895</v>
      </c>
      <c r="BS970" s="1">
        <v>0.13</v>
      </c>
      <c r="BT970" s="1">
        <v>0.942</v>
      </c>
      <c r="BU970" s="1">
        <v>0.296</v>
      </c>
      <c r="BV970" s="1">
        <v>1.368</v>
      </c>
      <c r="BW970" s="1">
        <v>0.365</v>
      </c>
      <c r="BX970" s="1">
        <v>0.397</v>
      </c>
      <c r="BY970" s="1">
        <v>0.612</v>
      </c>
      <c r="BZ970" s="1">
        <v>1.009</v>
      </c>
      <c r="CA970" s="1">
        <v>0.564</v>
      </c>
      <c r="CB970" s="1">
        <v>0.0</v>
      </c>
      <c r="CC970" s="1">
        <v>0.562</v>
      </c>
      <c r="CD970" s="1">
        <v>0.276</v>
      </c>
      <c r="CE970" s="1">
        <v>0.115</v>
      </c>
      <c r="CF970" s="1">
        <v>0.0</v>
      </c>
      <c r="CG970" s="1">
        <v>0.953</v>
      </c>
      <c r="CH970" s="1">
        <v>0.074</v>
      </c>
      <c r="CI970" s="1">
        <v>3.9148</v>
      </c>
      <c r="CJ970" s="1">
        <v>0.0773</v>
      </c>
      <c r="CK970" s="1">
        <v>0.0</v>
      </c>
      <c r="CL970" s="1">
        <v>0.0</v>
      </c>
      <c r="CM970" s="1">
        <v>0.0</v>
      </c>
      <c r="CN970" s="1">
        <v>0.0</v>
      </c>
      <c r="CO970" s="1">
        <v>0.0</v>
      </c>
      <c r="CP970" s="1">
        <v>0.0</v>
      </c>
      <c r="CQ970" s="1">
        <v>1.0</v>
      </c>
      <c r="CR970" s="1">
        <v>0.0</v>
      </c>
      <c r="CS970" s="1">
        <v>1.0</v>
      </c>
      <c r="CT970" s="1">
        <v>0.0</v>
      </c>
      <c r="CU970" s="1">
        <v>0.0</v>
      </c>
      <c r="CV970" s="1">
        <v>0.0</v>
      </c>
      <c r="CW970" s="1">
        <v>0.0</v>
      </c>
      <c r="CX970" s="1">
        <v>0.0</v>
      </c>
      <c r="CY970" s="1">
        <v>0.0</v>
      </c>
      <c r="CZ970" s="1">
        <v>0.0</v>
      </c>
      <c r="DA970" s="1">
        <v>0.0</v>
      </c>
      <c r="DB970" s="1">
        <v>0.0</v>
      </c>
      <c r="DC970" s="1">
        <v>1.0</v>
      </c>
      <c r="DD970" s="1" t="s">
        <v>4445</v>
      </c>
      <c r="DE970" s="1">
        <v>0.00712139847152001</v>
      </c>
      <c r="DF970" s="2" t="s">
        <v>4446</v>
      </c>
    </row>
    <row r="971" ht="15.75" customHeight="1">
      <c r="A971" s="1" t="s">
        <v>4447</v>
      </c>
      <c r="B971" s="1">
        <v>29.0</v>
      </c>
      <c r="C971" s="1">
        <v>183.0</v>
      </c>
      <c r="D971" s="1">
        <v>312192.0</v>
      </c>
      <c r="E971" s="1">
        <v>5.607</v>
      </c>
      <c r="F971" s="1">
        <v>29183.0</v>
      </c>
      <c r="G971" s="1">
        <v>2.9183312192E10</v>
      </c>
      <c r="H971" s="1" t="s">
        <v>112</v>
      </c>
      <c r="I971" s="1" t="s">
        <v>113</v>
      </c>
      <c r="J971" s="1" t="s">
        <v>4207</v>
      </c>
      <c r="K971" s="1" t="s">
        <v>4448</v>
      </c>
      <c r="L971" s="1">
        <v>3376.0</v>
      </c>
      <c r="M971" s="1">
        <v>3107.0</v>
      </c>
      <c r="N971" s="1">
        <v>160.0</v>
      </c>
      <c r="O971" s="1">
        <v>1244.0</v>
      </c>
      <c r="P971" s="1">
        <v>1168.0</v>
      </c>
      <c r="Q971" s="1">
        <v>85.0</v>
      </c>
      <c r="R971" s="1">
        <v>1177.0</v>
      </c>
      <c r="S971" s="1">
        <v>284.0</v>
      </c>
      <c r="T971" s="1">
        <v>164.0</v>
      </c>
      <c r="U971" s="1">
        <v>123.0</v>
      </c>
      <c r="V971" s="1">
        <v>383.0</v>
      </c>
      <c r="W971" s="1">
        <v>29221.0</v>
      </c>
      <c r="X971" s="1">
        <v>3423.0</v>
      </c>
      <c r="Y971" s="1">
        <v>125.0</v>
      </c>
      <c r="Z971" s="1">
        <v>364.0</v>
      </c>
      <c r="AA971" s="1">
        <v>302.0</v>
      </c>
      <c r="AB971" s="1">
        <v>1022.0</v>
      </c>
      <c r="AC971" s="1">
        <v>91.0</v>
      </c>
      <c r="AD971" s="1">
        <v>289.0</v>
      </c>
      <c r="AE971" s="1">
        <v>0.0</v>
      </c>
      <c r="AF971" s="1">
        <v>456.0</v>
      </c>
      <c r="AG971" s="1">
        <v>0.0</v>
      </c>
      <c r="AH971" s="1">
        <v>197.0</v>
      </c>
      <c r="AI971" s="1">
        <v>149.0</v>
      </c>
      <c r="AJ971" s="1">
        <v>71.0</v>
      </c>
      <c r="AK971" s="1">
        <v>26.0</v>
      </c>
      <c r="AL971" s="1">
        <v>118.0</v>
      </c>
      <c r="AM971" s="1">
        <v>24.0</v>
      </c>
      <c r="AN971" s="1">
        <v>22.0</v>
      </c>
      <c r="AO971" s="1">
        <v>0.0</v>
      </c>
      <c r="AP971" s="1">
        <v>0.091406</v>
      </c>
      <c r="AQ971" s="1">
        <v>0.052573</v>
      </c>
      <c r="AR971" s="1">
        <v>0.072183</v>
      </c>
      <c r="AS971" s="1">
        <v>0.224616</v>
      </c>
      <c r="AT971" s="1">
        <v>29221.0</v>
      </c>
      <c r="AU971" s="1">
        <v>3423.0</v>
      </c>
      <c r="AV971" s="1">
        <v>0.065376</v>
      </c>
      <c r="AW971" s="1">
        <v>0.190337</v>
      </c>
      <c r="AX971" s="1">
        <v>0.089454</v>
      </c>
      <c r="AY971" s="1">
        <v>0.302725</v>
      </c>
      <c r="AZ971" s="1">
        <v>0.0773152</v>
      </c>
      <c r="BA971" s="1">
        <v>0.085604</v>
      </c>
      <c r="BB971" s="1">
        <v>0.0</v>
      </c>
      <c r="BC971" s="1">
        <v>0.161415</v>
      </c>
      <c r="BD971" s="1">
        <v>0.0</v>
      </c>
      <c r="BE971" s="1">
        <v>0.168664</v>
      </c>
      <c r="BF971" s="1">
        <v>0.127568</v>
      </c>
      <c r="BG971" s="1">
        <v>0.060074</v>
      </c>
      <c r="BH971" s="1">
        <v>0.024163</v>
      </c>
      <c r="BI971" s="1">
        <v>0.109652</v>
      </c>
      <c r="BJ971" s="1">
        <v>0.022304</v>
      </c>
      <c r="BK971" s="1">
        <v>0.020388</v>
      </c>
      <c r="BL971" s="1">
        <v>0.0</v>
      </c>
      <c r="BM971" s="1">
        <v>0.344</v>
      </c>
      <c r="BN971" s="1">
        <v>0.531</v>
      </c>
      <c r="BO971" s="1">
        <v>0.2152</v>
      </c>
      <c r="BP971" s="1">
        <v>0.185</v>
      </c>
      <c r="BQ971" s="1">
        <v>1.2752</v>
      </c>
      <c r="BR971" s="1">
        <v>0.2736</v>
      </c>
      <c r="BS971" s="1">
        <v>0.154</v>
      </c>
      <c r="BT971" s="1">
        <v>0.929</v>
      </c>
      <c r="BU971" s="1">
        <v>0.275</v>
      </c>
      <c r="BV971" s="1">
        <v>1.358</v>
      </c>
      <c r="BW971" s="1">
        <v>0.355</v>
      </c>
      <c r="BX971" s="1">
        <v>0.413</v>
      </c>
      <c r="BY971" s="1">
        <v>0.0</v>
      </c>
      <c r="BZ971" s="1">
        <v>0.413</v>
      </c>
      <c r="CA971" s="1">
        <v>0.171</v>
      </c>
      <c r="CB971" s="1">
        <v>0.0</v>
      </c>
      <c r="CC971" s="1">
        <v>0.772</v>
      </c>
      <c r="CD971" s="1">
        <v>0.744</v>
      </c>
      <c r="CE971" s="1">
        <v>0.207</v>
      </c>
      <c r="CF971" s="1">
        <v>0.0</v>
      </c>
      <c r="CG971" s="1">
        <v>1.723</v>
      </c>
      <c r="CH971" s="1">
        <v>0.241</v>
      </c>
      <c r="CI971" s="1">
        <v>4.7692</v>
      </c>
      <c r="CJ971" s="1">
        <v>0.1726</v>
      </c>
      <c r="CK971" s="1">
        <v>0.0</v>
      </c>
      <c r="CL971" s="1">
        <v>0.0</v>
      </c>
      <c r="CM971" s="1">
        <v>0.0</v>
      </c>
      <c r="CN971" s="1">
        <v>0.0</v>
      </c>
      <c r="CO971" s="1">
        <v>0.0</v>
      </c>
      <c r="CP971" s="1">
        <v>0.0</v>
      </c>
      <c r="CQ971" s="1">
        <v>1.0</v>
      </c>
      <c r="CR971" s="1">
        <v>0.0</v>
      </c>
      <c r="CS971" s="1">
        <v>1.0</v>
      </c>
      <c r="CT971" s="1">
        <v>0.0</v>
      </c>
      <c r="CU971" s="1">
        <v>0.0</v>
      </c>
      <c r="CV971" s="1">
        <v>0.0</v>
      </c>
      <c r="CW971" s="1">
        <v>0.0</v>
      </c>
      <c r="CX971" s="1">
        <v>0.0</v>
      </c>
      <c r="CY971" s="1">
        <v>0.0</v>
      </c>
      <c r="CZ971" s="1">
        <v>0.0</v>
      </c>
      <c r="DA971" s="1">
        <v>0.0</v>
      </c>
      <c r="DB971" s="1">
        <v>0.0</v>
      </c>
      <c r="DC971" s="1">
        <v>1.0</v>
      </c>
      <c r="DD971" s="1" t="s">
        <v>4449</v>
      </c>
      <c r="DE971" s="1">
        <v>0.00151338264259972</v>
      </c>
      <c r="DF971" s="2" t="s">
        <v>4450</v>
      </c>
    </row>
    <row r="972" ht="15.75" customHeight="1">
      <c r="A972" s="1" t="s">
        <v>4451</v>
      </c>
      <c r="B972" s="1">
        <v>29.0</v>
      </c>
      <c r="C972" s="1">
        <v>183.0</v>
      </c>
      <c r="D972" s="1">
        <v>312193.0</v>
      </c>
      <c r="E972" s="1">
        <v>4.519</v>
      </c>
      <c r="F972" s="1">
        <v>29183.0</v>
      </c>
      <c r="G972" s="1">
        <v>2.9183312193E10</v>
      </c>
      <c r="H972" s="1" t="s">
        <v>112</v>
      </c>
      <c r="I972" s="1" t="s">
        <v>113</v>
      </c>
      <c r="J972" s="1" t="s">
        <v>4207</v>
      </c>
      <c r="K972" s="1" t="s">
        <v>4452</v>
      </c>
      <c r="L972" s="1">
        <v>6211.0</v>
      </c>
      <c r="M972" s="1">
        <v>5571.0</v>
      </c>
      <c r="N972" s="1">
        <v>336.0</v>
      </c>
      <c r="O972" s="1">
        <v>2019.0</v>
      </c>
      <c r="P972" s="1">
        <v>1839.0</v>
      </c>
      <c r="Q972" s="1">
        <v>103.0</v>
      </c>
      <c r="R972" s="1">
        <v>1955.0</v>
      </c>
      <c r="S972" s="1">
        <v>18.0</v>
      </c>
      <c r="T972" s="1">
        <v>116.0</v>
      </c>
      <c r="U972" s="1">
        <v>102.0</v>
      </c>
      <c r="V972" s="1">
        <v>432.0</v>
      </c>
      <c r="W972" s="1">
        <v>28740.0</v>
      </c>
      <c r="X972" s="1">
        <v>2570.0</v>
      </c>
      <c r="Y972" s="1">
        <v>80.0</v>
      </c>
      <c r="Z972" s="1">
        <v>345.0</v>
      </c>
      <c r="AA972" s="1">
        <v>270.0</v>
      </c>
      <c r="AB972" s="1">
        <v>2280.0</v>
      </c>
      <c r="AC972" s="1">
        <v>192.0</v>
      </c>
      <c r="AD972" s="1">
        <v>559.0</v>
      </c>
      <c r="AE972" s="1">
        <v>8.0</v>
      </c>
      <c r="AF972" s="1">
        <v>442.0</v>
      </c>
      <c r="AG972" s="1">
        <v>7.0</v>
      </c>
      <c r="AH972" s="1">
        <v>162.0</v>
      </c>
      <c r="AI972" s="1">
        <v>9.0</v>
      </c>
      <c r="AJ972" s="1">
        <v>14.0</v>
      </c>
      <c r="AK972" s="1">
        <v>0.0</v>
      </c>
      <c r="AL972" s="1">
        <v>161.0</v>
      </c>
      <c r="AM972" s="1">
        <v>0.0</v>
      </c>
      <c r="AN972" s="1">
        <v>161.0</v>
      </c>
      <c r="AO972" s="1">
        <v>0.0</v>
      </c>
      <c r="AP972" s="1">
        <v>0.003231</v>
      </c>
      <c r="AQ972" s="1">
        <v>0.020821</v>
      </c>
      <c r="AR972" s="1">
        <v>0.035515</v>
      </c>
      <c r="AS972" s="1">
        <v>0.150372</v>
      </c>
      <c r="AT972" s="1">
        <v>28740.0</v>
      </c>
      <c r="AU972" s="1">
        <v>2570.0</v>
      </c>
      <c r="AV972" s="1">
        <v>0.024592</v>
      </c>
      <c r="AW972" s="1">
        <v>0.106044</v>
      </c>
      <c r="AX972" s="1">
        <v>0.043471</v>
      </c>
      <c r="AY972" s="1">
        <v>0.36709</v>
      </c>
      <c r="AZ972" s="1">
        <v>0.09820971</v>
      </c>
      <c r="BA972" s="1">
        <v>0.090001</v>
      </c>
      <c r="BB972" s="1">
        <v>0.001645</v>
      </c>
      <c r="BC972" s="1">
        <v>0.090927</v>
      </c>
      <c r="BD972" s="1">
        <v>0.003806</v>
      </c>
      <c r="BE972" s="1">
        <v>0.088091</v>
      </c>
      <c r="BF972" s="1">
        <v>0.004893</v>
      </c>
      <c r="BG972" s="1">
        <v>0.007607</v>
      </c>
      <c r="BH972" s="1">
        <v>0.0</v>
      </c>
      <c r="BI972" s="1">
        <v>0.092105</v>
      </c>
      <c r="BJ972" s="1">
        <v>0.0</v>
      </c>
      <c r="BK972" s="1">
        <v>0.092105</v>
      </c>
      <c r="BL972" s="1">
        <v>0.0</v>
      </c>
      <c r="BM972" s="1">
        <v>0.007</v>
      </c>
      <c r="BN972" s="1">
        <v>0.14</v>
      </c>
      <c r="BO972" s="1">
        <v>0.2282</v>
      </c>
      <c r="BP972" s="1">
        <v>0.046</v>
      </c>
      <c r="BQ972" s="1">
        <v>0.4212</v>
      </c>
      <c r="BR972" s="1">
        <v>0.0426</v>
      </c>
      <c r="BS972" s="1">
        <v>0.02</v>
      </c>
      <c r="BT972" s="1">
        <v>0.989</v>
      </c>
      <c r="BU972" s="1">
        <v>0.478</v>
      </c>
      <c r="BV972" s="1">
        <v>1.487</v>
      </c>
      <c r="BW972" s="1">
        <v>0.475</v>
      </c>
      <c r="BX972" s="1">
        <v>0.43</v>
      </c>
      <c r="BY972" s="1">
        <v>0.363</v>
      </c>
      <c r="BZ972" s="1">
        <v>0.793</v>
      </c>
      <c r="CA972" s="1">
        <v>0.395</v>
      </c>
      <c r="CB972" s="1">
        <v>0.3</v>
      </c>
      <c r="CC972" s="1">
        <v>0.393</v>
      </c>
      <c r="CD972" s="1">
        <v>0.0</v>
      </c>
      <c r="CE972" s="1">
        <v>0.0</v>
      </c>
      <c r="CF972" s="1">
        <v>0.0</v>
      </c>
      <c r="CG972" s="1">
        <v>0.693</v>
      </c>
      <c r="CH972" s="1">
        <v>0.045</v>
      </c>
      <c r="CI972" s="1">
        <v>3.3942</v>
      </c>
      <c r="CJ972" s="1">
        <v>0.0361</v>
      </c>
      <c r="CK972" s="1">
        <v>0.0</v>
      </c>
      <c r="CL972" s="1">
        <v>0.0</v>
      </c>
      <c r="CM972" s="1">
        <v>0.0</v>
      </c>
      <c r="CN972" s="1">
        <v>0.0</v>
      </c>
      <c r="CO972" s="1">
        <v>0.0</v>
      </c>
      <c r="CP972" s="1">
        <v>0.0</v>
      </c>
      <c r="CQ972" s="1">
        <v>1.0</v>
      </c>
      <c r="CR972" s="1">
        <v>0.0</v>
      </c>
      <c r="CS972" s="1">
        <v>1.0</v>
      </c>
      <c r="CT972" s="1">
        <v>0.0</v>
      </c>
      <c r="CU972" s="1">
        <v>0.0</v>
      </c>
      <c r="CV972" s="1">
        <v>0.0</v>
      </c>
      <c r="CW972" s="1">
        <v>0.0</v>
      </c>
      <c r="CX972" s="1">
        <v>0.0</v>
      </c>
      <c r="CY972" s="1">
        <v>0.0</v>
      </c>
      <c r="CZ972" s="1">
        <v>0.0</v>
      </c>
      <c r="DA972" s="1">
        <v>0.0</v>
      </c>
      <c r="DB972" s="1">
        <v>0.0</v>
      </c>
      <c r="DC972" s="1">
        <v>1.0</v>
      </c>
      <c r="DD972" s="1" t="s">
        <v>4453</v>
      </c>
      <c r="DE972" s="1">
        <v>0.00121278579239022</v>
      </c>
      <c r="DF972" s="2" t="s">
        <v>4454</v>
      </c>
    </row>
    <row r="973" ht="15.75" customHeight="1">
      <c r="A973" s="1" t="s">
        <v>4455</v>
      </c>
      <c r="B973" s="1">
        <v>29.0</v>
      </c>
      <c r="C973" s="1">
        <v>183.0</v>
      </c>
      <c r="D973" s="1">
        <v>312195.0</v>
      </c>
      <c r="E973" s="1">
        <v>2.11</v>
      </c>
      <c r="F973" s="1">
        <v>29183.0</v>
      </c>
      <c r="G973" s="1">
        <v>2.9183312195E10</v>
      </c>
      <c r="H973" s="1" t="s">
        <v>112</v>
      </c>
      <c r="I973" s="1" t="s">
        <v>113</v>
      </c>
      <c r="J973" s="1" t="s">
        <v>4207</v>
      </c>
      <c r="K973" s="1" t="s">
        <v>4456</v>
      </c>
      <c r="L973" s="1">
        <v>3300.0</v>
      </c>
      <c r="M973" s="1">
        <v>3044.0</v>
      </c>
      <c r="N973" s="1">
        <v>355.0</v>
      </c>
      <c r="O973" s="1">
        <v>1452.0</v>
      </c>
      <c r="P973" s="1">
        <v>1367.0</v>
      </c>
      <c r="Q973" s="1">
        <v>105.0</v>
      </c>
      <c r="R973" s="1">
        <v>1341.0</v>
      </c>
      <c r="S973" s="1">
        <v>255.0</v>
      </c>
      <c r="T973" s="1">
        <v>117.0</v>
      </c>
      <c r="U973" s="1">
        <v>95.0</v>
      </c>
      <c r="V973" s="1">
        <v>432.0</v>
      </c>
      <c r="W973" s="1">
        <v>24142.0</v>
      </c>
      <c r="X973" s="1">
        <v>3153.0</v>
      </c>
      <c r="Y973" s="1">
        <v>334.0</v>
      </c>
      <c r="Z973" s="1">
        <v>312.0</v>
      </c>
      <c r="AA973" s="1">
        <v>592.0</v>
      </c>
      <c r="AB973" s="1">
        <v>820.0</v>
      </c>
      <c r="AC973" s="1">
        <v>194.0</v>
      </c>
      <c r="AD973" s="1">
        <v>467.0</v>
      </c>
      <c r="AE973" s="1">
        <v>27.0</v>
      </c>
      <c r="AF973" s="1">
        <v>444.0</v>
      </c>
      <c r="AG973" s="1">
        <v>13.0</v>
      </c>
      <c r="AH973" s="1">
        <v>163.0</v>
      </c>
      <c r="AI973" s="1">
        <v>47.0</v>
      </c>
      <c r="AJ973" s="1">
        <v>56.0</v>
      </c>
      <c r="AK973" s="1">
        <v>9.0</v>
      </c>
      <c r="AL973" s="1">
        <v>115.0</v>
      </c>
      <c r="AM973" s="1">
        <v>126.0</v>
      </c>
      <c r="AN973" s="1">
        <v>85.0</v>
      </c>
      <c r="AO973" s="1">
        <v>137.0</v>
      </c>
      <c r="AP973" s="1">
        <v>0.090329</v>
      </c>
      <c r="AQ973" s="1">
        <v>0.04102</v>
      </c>
      <c r="AR973" s="1">
        <v>0.067857</v>
      </c>
      <c r="AS973" s="1">
        <v>0.308272</v>
      </c>
      <c r="AT973" s="1">
        <v>24142.0</v>
      </c>
      <c r="AU973" s="1">
        <v>3153.0</v>
      </c>
      <c r="AV973" s="1">
        <v>0.159655</v>
      </c>
      <c r="AW973" s="1">
        <v>0.146997</v>
      </c>
      <c r="AX973" s="1">
        <v>0.179393</v>
      </c>
      <c r="AY973" s="1">
        <v>0.248484</v>
      </c>
      <c r="AZ973" s="1">
        <v>0.14466815</v>
      </c>
      <c r="BA973" s="1">
        <v>0.141515</v>
      </c>
      <c r="BB973" s="1">
        <v>0.009375</v>
      </c>
      <c r="BC973" s="1">
        <v>0.154162</v>
      </c>
      <c r="BD973" s="1">
        <v>0.009509</v>
      </c>
      <c r="BE973" s="1">
        <v>0.119236</v>
      </c>
      <c r="BF973" s="1">
        <v>0.034381</v>
      </c>
      <c r="BG973" s="1">
        <v>0.04088</v>
      </c>
      <c r="BH973" s="1">
        <v>0.007031</v>
      </c>
      <c r="BI973" s="1">
        <v>0.089841</v>
      </c>
      <c r="BJ973" s="1">
        <v>0.098437</v>
      </c>
      <c r="BK973" s="1">
        <v>0.065814</v>
      </c>
      <c r="BL973" s="1">
        <v>0.041515</v>
      </c>
      <c r="BM973" s="1">
        <v>0.338</v>
      </c>
      <c r="BN973" s="1">
        <v>0.495</v>
      </c>
      <c r="BO973" s="1">
        <v>0.3884</v>
      </c>
      <c r="BP973" s="1">
        <v>0.61</v>
      </c>
      <c r="BQ973" s="1">
        <v>1.8314</v>
      </c>
      <c r="BR973" s="1">
        <v>0.4419</v>
      </c>
      <c r="BS973" s="1">
        <v>0.787</v>
      </c>
      <c r="BT973" s="1">
        <v>0.58</v>
      </c>
      <c r="BU973" s="1">
        <v>0.778</v>
      </c>
      <c r="BV973" s="1">
        <v>2.145</v>
      </c>
      <c r="BW973" s="1">
        <v>0.945</v>
      </c>
      <c r="BX973" s="1">
        <v>0.597</v>
      </c>
      <c r="BY973" s="1">
        <v>0.705</v>
      </c>
      <c r="BZ973" s="1">
        <v>1.302</v>
      </c>
      <c r="CA973" s="1">
        <v>0.713</v>
      </c>
      <c r="CB973" s="1">
        <v>0.379</v>
      </c>
      <c r="CC973" s="1">
        <v>0.56</v>
      </c>
      <c r="CD973" s="1">
        <v>0.394</v>
      </c>
      <c r="CE973" s="1">
        <v>0.749</v>
      </c>
      <c r="CF973" s="1">
        <v>0.872</v>
      </c>
      <c r="CG973" s="1">
        <v>2.954</v>
      </c>
      <c r="CH973" s="1">
        <v>0.755</v>
      </c>
      <c r="CI973" s="1">
        <v>8.2324</v>
      </c>
      <c r="CJ973" s="1">
        <v>0.7509</v>
      </c>
      <c r="CK973" s="1">
        <v>0.0</v>
      </c>
      <c r="CL973" s="1">
        <v>0.0</v>
      </c>
      <c r="CM973" s="1">
        <v>0.0</v>
      </c>
      <c r="CN973" s="1">
        <v>0.0</v>
      </c>
      <c r="CO973" s="1">
        <v>0.0</v>
      </c>
      <c r="CP973" s="1">
        <v>0.0</v>
      </c>
      <c r="CQ973" s="1">
        <v>0.0</v>
      </c>
      <c r="CR973" s="1">
        <v>0.0</v>
      </c>
      <c r="CS973" s="1">
        <v>0.0</v>
      </c>
      <c r="CT973" s="1">
        <v>0.0</v>
      </c>
      <c r="CU973" s="1">
        <v>0.0</v>
      </c>
      <c r="CV973" s="1">
        <v>0.0</v>
      </c>
      <c r="CW973" s="1">
        <v>0.0</v>
      </c>
      <c r="CX973" s="1">
        <v>0.0</v>
      </c>
      <c r="CY973" s="1">
        <v>0.0</v>
      </c>
      <c r="CZ973" s="1">
        <v>0.0</v>
      </c>
      <c r="DA973" s="1">
        <v>0.0</v>
      </c>
      <c r="DB973" s="1">
        <v>0.0</v>
      </c>
      <c r="DC973" s="1">
        <v>0.0</v>
      </c>
      <c r="DD973" s="1" t="s">
        <v>4457</v>
      </c>
      <c r="DE973" s="1">
        <v>5.65568219943664E-4</v>
      </c>
      <c r="DF973" s="2" t="s">
        <v>4458</v>
      </c>
    </row>
    <row r="974" ht="15.75" customHeight="1">
      <c r="A974" s="1" t="s">
        <v>4459</v>
      </c>
      <c r="B974" s="1">
        <v>29.0</v>
      </c>
      <c r="C974" s="1">
        <v>183.0</v>
      </c>
      <c r="D974" s="1">
        <v>312204.0</v>
      </c>
      <c r="E974" s="1">
        <v>100.27</v>
      </c>
      <c r="F974" s="1">
        <v>29183.0</v>
      </c>
      <c r="G974" s="1">
        <v>2.9183312204E10</v>
      </c>
      <c r="H974" s="1" t="s">
        <v>112</v>
      </c>
      <c r="I974" s="1" t="s">
        <v>113</v>
      </c>
      <c r="J974" s="1" t="s">
        <v>4207</v>
      </c>
      <c r="K974" s="1" t="s">
        <v>4460</v>
      </c>
      <c r="L974" s="1">
        <v>4813.0</v>
      </c>
      <c r="M974" s="1">
        <v>4773.0</v>
      </c>
      <c r="N974" s="1">
        <v>241.0</v>
      </c>
      <c r="O974" s="1">
        <v>1990.0</v>
      </c>
      <c r="P974" s="1">
        <v>1926.0</v>
      </c>
      <c r="Q974" s="1">
        <v>96.0</v>
      </c>
      <c r="R974" s="1">
        <v>1826.0</v>
      </c>
      <c r="S974" s="1">
        <v>60.0</v>
      </c>
      <c r="T974" s="1">
        <v>43.0</v>
      </c>
      <c r="U974" s="1">
        <v>108.0</v>
      </c>
      <c r="V974" s="1">
        <v>382.0</v>
      </c>
      <c r="W974" s="1">
        <v>35632.0</v>
      </c>
      <c r="X974" s="1">
        <v>4690.0</v>
      </c>
      <c r="Y974" s="1">
        <v>160.0</v>
      </c>
      <c r="Z974" s="1">
        <v>309.0</v>
      </c>
      <c r="AA974" s="1">
        <v>646.0</v>
      </c>
      <c r="AB974" s="1">
        <v>1039.0</v>
      </c>
      <c r="AC974" s="1">
        <v>64.0</v>
      </c>
      <c r="AD974" s="1">
        <v>144.0</v>
      </c>
      <c r="AE974" s="1">
        <v>0.0</v>
      </c>
      <c r="AF974" s="1">
        <v>456.0</v>
      </c>
      <c r="AG974" s="1">
        <v>0.0</v>
      </c>
      <c r="AH974" s="1">
        <v>197.0</v>
      </c>
      <c r="AI974" s="1">
        <v>76.0</v>
      </c>
      <c r="AJ974" s="1">
        <v>66.0</v>
      </c>
      <c r="AK974" s="1">
        <v>5.0</v>
      </c>
      <c r="AL974" s="1">
        <v>114.0</v>
      </c>
      <c r="AM974" s="1">
        <v>27.0</v>
      </c>
      <c r="AN974" s="1">
        <v>25.0</v>
      </c>
      <c r="AO974" s="1">
        <v>5.0</v>
      </c>
      <c r="AP974" s="1">
        <v>0.012602</v>
      </c>
      <c r="AQ974" s="1">
        <v>0.00901</v>
      </c>
      <c r="AR974" s="1">
        <v>0.042319</v>
      </c>
      <c r="AS974" s="1">
        <v>0.149642</v>
      </c>
      <c r="AT974" s="1">
        <v>35632.0</v>
      </c>
      <c r="AU974" s="1">
        <v>4690.0</v>
      </c>
      <c r="AV974" s="1">
        <v>0.048959</v>
      </c>
      <c r="AW974" s="1">
        <v>0.094514</v>
      </c>
      <c r="AX974" s="1">
        <v>0.134219</v>
      </c>
      <c r="AY974" s="1">
        <v>0.215873</v>
      </c>
      <c r="AZ974" s="1">
        <v>0.03504928</v>
      </c>
      <c r="BA974" s="1">
        <v>0.029918</v>
      </c>
      <c r="BB974" s="1">
        <v>0.0</v>
      </c>
      <c r="BC974" s="1">
        <v>0.101785</v>
      </c>
      <c r="BD974" s="1">
        <v>0.0</v>
      </c>
      <c r="BE974" s="1">
        <v>0.102284</v>
      </c>
      <c r="BF974" s="1">
        <v>0.03946</v>
      </c>
      <c r="BG974" s="1">
        <v>0.034211</v>
      </c>
      <c r="BH974" s="1">
        <v>0.002845</v>
      </c>
      <c r="BI974" s="1">
        <v>0.064883</v>
      </c>
      <c r="BJ974" s="1">
        <v>0.015367</v>
      </c>
      <c r="BK974" s="1">
        <v>0.014203</v>
      </c>
      <c r="BL974" s="1">
        <v>0.001038</v>
      </c>
      <c r="BM974" s="1">
        <v>0.03</v>
      </c>
      <c r="BN974" s="1">
        <v>0.212</v>
      </c>
      <c r="BO974" s="1">
        <v>0.109</v>
      </c>
      <c r="BP974" s="1">
        <v>0.125</v>
      </c>
      <c r="BQ974" s="1">
        <v>0.476</v>
      </c>
      <c r="BR974" s="1">
        <v>0.0585</v>
      </c>
      <c r="BS974" s="1">
        <v>0.451</v>
      </c>
      <c r="BT974" s="1">
        <v>0.274</v>
      </c>
      <c r="BU974" s="1">
        <v>0.024</v>
      </c>
      <c r="BV974" s="1">
        <v>0.749</v>
      </c>
      <c r="BW974" s="1">
        <v>0.066</v>
      </c>
      <c r="BX974" s="1">
        <v>0.078</v>
      </c>
      <c r="BY974" s="1">
        <v>0.0</v>
      </c>
      <c r="BZ974" s="1">
        <v>0.078</v>
      </c>
      <c r="CA974" s="1">
        <v>0.038</v>
      </c>
      <c r="CB974" s="1">
        <v>0.0</v>
      </c>
      <c r="CC974" s="1">
        <v>0.576</v>
      </c>
      <c r="CD974" s="1">
        <v>0.291</v>
      </c>
      <c r="CE974" s="1">
        <v>0.138</v>
      </c>
      <c r="CF974" s="1">
        <v>0.4</v>
      </c>
      <c r="CG974" s="1">
        <v>1.405</v>
      </c>
      <c r="CH974" s="1">
        <v>0.148</v>
      </c>
      <c r="CI974" s="1">
        <v>2.708</v>
      </c>
      <c r="CJ974" s="1">
        <v>0.0108</v>
      </c>
      <c r="CK974" s="1">
        <v>0.0</v>
      </c>
      <c r="CL974" s="1">
        <v>0.0</v>
      </c>
      <c r="CM974" s="1">
        <v>0.0</v>
      </c>
      <c r="CN974" s="1">
        <v>0.0</v>
      </c>
      <c r="CO974" s="1">
        <v>0.0</v>
      </c>
      <c r="CP974" s="1">
        <v>0.0</v>
      </c>
      <c r="CQ974" s="1">
        <v>0.0</v>
      </c>
      <c r="CR974" s="1">
        <v>0.0</v>
      </c>
      <c r="CS974" s="1">
        <v>0.0</v>
      </c>
      <c r="CT974" s="1">
        <v>0.0</v>
      </c>
      <c r="CU974" s="1">
        <v>0.0</v>
      </c>
      <c r="CV974" s="1">
        <v>0.0</v>
      </c>
      <c r="CW974" s="1">
        <v>0.0</v>
      </c>
      <c r="CX974" s="1">
        <v>0.0</v>
      </c>
      <c r="CY974" s="1">
        <v>0.0</v>
      </c>
      <c r="CZ974" s="1">
        <v>0.0</v>
      </c>
      <c r="DA974" s="1">
        <v>0.0</v>
      </c>
      <c r="DB974" s="1">
        <v>0.0</v>
      </c>
      <c r="DC974" s="1">
        <v>0.0</v>
      </c>
      <c r="DD974" s="1" t="s">
        <v>4461</v>
      </c>
      <c r="DE974" s="2" t="s">
        <v>4462</v>
      </c>
      <c r="DF974" s="2" t="s">
        <v>4463</v>
      </c>
    </row>
    <row r="975" ht="15.75" customHeight="1">
      <c r="A975" s="1" t="s">
        <v>4464</v>
      </c>
      <c r="B975" s="1">
        <v>29.0</v>
      </c>
      <c r="C975" s="1">
        <v>183.0</v>
      </c>
      <c r="D975" s="1">
        <v>312205.0</v>
      </c>
      <c r="E975" s="1">
        <v>6.142</v>
      </c>
      <c r="F975" s="1">
        <v>29183.0</v>
      </c>
      <c r="G975" s="1">
        <v>2.9183312205E10</v>
      </c>
      <c r="H975" s="1" t="s">
        <v>112</v>
      </c>
      <c r="I975" s="1" t="s">
        <v>113</v>
      </c>
      <c r="J975" s="1" t="s">
        <v>4207</v>
      </c>
      <c r="K975" s="1" t="s">
        <v>4465</v>
      </c>
      <c r="L975" s="1">
        <v>6338.0</v>
      </c>
      <c r="M975" s="1">
        <v>5144.0</v>
      </c>
      <c r="N975" s="1">
        <v>503.0</v>
      </c>
      <c r="O975" s="1">
        <v>2525.0</v>
      </c>
      <c r="P975" s="1">
        <v>2058.0</v>
      </c>
      <c r="Q975" s="1">
        <v>168.0</v>
      </c>
      <c r="R975" s="1">
        <v>2344.0</v>
      </c>
      <c r="S975" s="1">
        <v>473.0</v>
      </c>
      <c r="T975" s="1">
        <v>216.0</v>
      </c>
      <c r="U975" s="1">
        <v>265.0</v>
      </c>
      <c r="V975" s="1">
        <v>379.0</v>
      </c>
      <c r="W975" s="1">
        <v>27445.0</v>
      </c>
      <c r="X975" s="1">
        <v>2614.0</v>
      </c>
      <c r="Y975" s="1">
        <v>304.0</v>
      </c>
      <c r="Z975" s="1">
        <v>325.0</v>
      </c>
      <c r="AA975" s="1">
        <v>334.0</v>
      </c>
      <c r="AB975" s="1">
        <v>1921.0</v>
      </c>
      <c r="AC975" s="1">
        <v>307.0</v>
      </c>
      <c r="AD975" s="1">
        <v>849.0</v>
      </c>
      <c r="AE975" s="1">
        <v>10.0</v>
      </c>
      <c r="AF975" s="1">
        <v>442.0</v>
      </c>
      <c r="AG975" s="1">
        <v>55.0</v>
      </c>
      <c r="AH975" s="1">
        <v>165.0</v>
      </c>
      <c r="AI975" s="1">
        <v>536.0</v>
      </c>
      <c r="AJ975" s="1">
        <v>141.0</v>
      </c>
      <c r="AK975" s="1">
        <v>0.0</v>
      </c>
      <c r="AL975" s="1">
        <v>161.0</v>
      </c>
      <c r="AM975" s="1">
        <v>68.0</v>
      </c>
      <c r="AN975" s="1">
        <v>77.0</v>
      </c>
      <c r="AO975" s="1">
        <v>0.0</v>
      </c>
      <c r="AP975" s="1">
        <v>0.091951</v>
      </c>
      <c r="AQ975" s="1">
        <v>0.041016</v>
      </c>
      <c r="AR975" s="1">
        <v>0.093277</v>
      </c>
      <c r="AS975" s="1">
        <v>0.132787</v>
      </c>
      <c r="AT975" s="1">
        <v>27445.0</v>
      </c>
      <c r="AU975" s="1">
        <v>2614.0</v>
      </c>
      <c r="AV975" s="1">
        <v>0.100795</v>
      </c>
      <c r="AW975" s="1">
        <v>0.107336</v>
      </c>
      <c r="AX975" s="1">
        <v>0.052698</v>
      </c>
      <c r="AY975" s="1">
        <v>0.303092</v>
      </c>
      <c r="AZ975" s="1">
        <v>0.13097269</v>
      </c>
      <c r="BA975" s="1">
        <v>0.133953</v>
      </c>
      <c r="BB975" s="1">
        <v>0.002189</v>
      </c>
      <c r="BC975" s="1">
        <v>0.096781</v>
      </c>
      <c r="BD975" s="1">
        <v>0.026724</v>
      </c>
      <c r="BE975" s="1">
        <v>0.080145</v>
      </c>
      <c r="BF975" s="1">
        <v>0.260447</v>
      </c>
      <c r="BG975" s="1">
        <v>0.06513</v>
      </c>
      <c r="BH975" s="1">
        <v>0.0</v>
      </c>
      <c r="BI975" s="1">
        <v>0.083549</v>
      </c>
      <c r="BJ975" s="1">
        <v>0.035288</v>
      </c>
      <c r="BK975" s="1">
        <v>0.039868</v>
      </c>
      <c r="BL975" s="1">
        <v>0.0</v>
      </c>
      <c r="BM975" s="1">
        <v>0.346</v>
      </c>
      <c r="BN975" s="1">
        <v>0.698</v>
      </c>
      <c r="BO975" s="1">
        <v>0.2715</v>
      </c>
      <c r="BP975" s="1">
        <v>0.344</v>
      </c>
      <c r="BQ975" s="1">
        <v>1.6595</v>
      </c>
      <c r="BR975" s="1">
        <v>0.3906</v>
      </c>
      <c r="BS975" s="1">
        <v>0.028</v>
      </c>
      <c r="BT975" s="1">
        <v>0.932</v>
      </c>
      <c r="BU975" s="1">
        <v>0.721</v>
      </c>
      <c r="BV975" s="1">
        <v>1.681</v>
      </c>
      <c r="BW975" s="1">
        <v>0.627</v>
      </c>
      <c r="BX975" s="1">
        <v>0.571</v>
      </c>
      <c r="BY975" s="1">
        <v>0.391</v>
      </c>
      <c r="BZ975" s="1">
        <v>0.962</v>
      </c>
      <c r="CA975" s="1">
        <v>0.519</v>
      </c>
      <c r="CB975" s="1">
        <v>0.524</v>
      </c>
      <c r="CC975" s="1">
        <v>0.963</v>
      </c>
      <c r="CD975" s="1">
        <v>0.0</v>
      </c>
      <c r="CE975" s="1">
        <v>0.338</v>
      </c>
      <c r="CF975" s="1">
        <v>0.0</v>
      </c>
      <c r="CG975" s="1">
        <v>1.825</v>
      </c>
      <c r="CH975" s="1">
        <v>0.274</v>
      </c>
      <c r="CI975" s="1">
        <v>6.1275</v>
      </c>
      <c r="CJ975" s="1">
        <v>0.3935</v>
      </c>
      <c r="CK975" s="1">
        <v>0.0</v>
      </c>
      <c r="CL975" s="1">
        <v>0.0</v>
      </c>
      <c r="CM975" s="1">
        <v>0.0</v>
      </c>
      <c r="CN975" s="1">
        <v>0.0</v>
      </c>
      <c r="CO975" s="1">
        <v>0.0</v>
      </c>
      <c r="CP975" s="1">
        <v>0.0</v>
      </c>
      <c r="CQ975" s="1">
        <v>1.0</v>
      </c>
      <c r="CR975" s="1">
        <v>0.0</v>
      </c>
      <c r="CS975" s="1">
        <v>1.0</v>
      </c>
      <c r="CT975" s="1">
        <v>0.0</v>
      </c>
      <c r="CU975" s="1">
        <v>0.0</v>
      </c>
      <c r="CV975" s="1">
        <v>0.0</v>
      </c>
      <c r="CW975" s="1">
        <v>0.0</v>
      </c>
      <c r="CX975" s="1">
        <v>1.0</v>
      </c>
      <c r="CY975" s="1">
        <v>0.0</v>
      </c>
      <c r="CZ975" s="1">
        <v>0.0</v>
      </c>
      <c r="DA975" s="1">
        <v>0.0</v>
      </c>
      <c r="DB975" s="1">
        <v>1.0</v>
      </c>
      <c r="DC975" s="1">
        <v>2.0</v>
      </c>
      <c r="DD975" s="1" t="s">
        <v>4466</v>
      </c>
      <c r="DE975" s="1">
        <v>0.0016439018753959</v>
      </c>
      <c r="DF975" s="2" t="s">
        <v>4467</v>
      </c>
    </row>
    <row r="976" ht="15.75" customHeight="1">
      <c r="A976" s="1" t="s">
        <v>4468</v>
      </c>
      <c r="B976" s="1">
        <v>29.0</v>
      </c>
      <c r="C976" s="1">
        <v>183.0</v>
      </c>
      <c r="D976" s="1">
        <v>312206.0</v>
      </c>
      <c r="E976" s="1">
        <v>41.389</v>
      </c>
      <c r="F976" s="1">
        <v>29183.0</v>
      </c>
      <c r="G976" s="1">
        <v>2.9183312206E10</v>
      </c>
      <c r="H976" s="1" t="s">
        <v>112</v>
      </c>
      <c r="I976" s="1" t="s">
        <v>113</v>
      </c>
      <c r="J976" s="1" t="s">
        <v>4207</v>
      </c>
      <c r="K976" s="1" t="s">
        <v>4469</v>
      </c>
      <c r="L976" s="1">
        <v>4322.0</v>
      </c>
      <c r="M976" s="1">
        <v>4238.0</v>
      </c>
      <c r="N976" s="1">
        <v>299.0</v>
      </c>
      <c r="O976" s="1">
        <v>1628.0</v>
      </c>
      <c r="P976" s="1">
        <v>1556.0</v>
      </c>
      <c r="Q976" s="1">
        <v>127.0</v>
      </c>
      <c r="R976" s="1">
        <v>1545.0</v>
      </c>
      <c r="S976" s="1">
        <v>170.0</v>
      </c>
      <c r="T976" s="1">
        <v>139.0</v>
      </c>
      <c r="U976" s="1">
        <v>114.0</v>
      </c>
      <c r="V976" s="1">
        <v>383.0</v>
      </c>
      <c r="W976" s="1">
        <v>29028.0</v>
      </c>
      <c r="X976" s="1">
        <v>3185.0</v>
      </c>
      <c r="Y976" s="1">
        <v>136.0</v>
      </c>
      <c r="Z976" s="1">
        <v>330.0</v>
      </c>
      <c r="AA976" s="1">
        <v>588.0</v>
      </c>
      <c r="AB976" s="1">
        <v>994.0</v>
      </c>
      <c r="AC976" s="1">
        <v>83.0</v>
      </c>
      <c r="AD976" s="1">
        <v>221.0</v>
      </c>
      <c r="AE976" s="1">
        <v>0.0</v>
      </c>
      <c r="AF976" s="1">
        <v>456.0</v>
      </c>
      <c r="AG976" s="1">
        <v>49.0</v>
      </c>
      <c r="AH976" s="1">
        <v>178.0</v>
      </c>
      <c r="AI976" s="1">
        <v>93.0</v>
      </c>
      <c r="AJ976" s="1">
        <v>62.0</v>
      </c>
      <c r="AK976" s="1">
        <v>0.0</v>
      </c>
      <c r="AL976" s="1">
        <v>161.0</v>
      </c>
      <c r="AM976" s="1">
        <v>0.0</v>
      </c>
      <c r="AN976" s="1">
        <v>161.0</v>
      </c>
      <c r="AO976" s="1">
        <v>18.0</v>
      </c>
      <c r="AP976" s="1">
        <v>0.040113</v>
      </c>
      <c r="AQ976" s="1">
        <v>0.032676</v>
      </c>
      <c r="AR976" s="1">
        <v>0.051865</v>
      </c>
      <c r="AS976" s="1">
        <v>0.174142</v>
      </c>
      <c r="AT976" s="1">
        <v>29028.0</v>
      </c>
      <c r="AU976" s="1">
        <v>3185.0</v>
      </c>
      <c r="AV976" s="1">
        <v>0.047602</v>
      </c>
      <c r="AW976" s="1">
        <v>0.115444</v>
      </c>
      <c r="AX976" s="1">
        <v>0.136048</v>
      </c>
      <c r="AY976" s="1">
        <v>0.229986</v>
      </c>
      <c r="AZ976" s="1">
        <v>0.05372168</v>
      </c>
      <c r="BA976" s="1">
        <v>0.051133</v>
      </c>
      <c r="BB976" s="1">
        <v>0.0</v>
      </c>
      <c r="BC976" s="1">
        <v>0.1098</v>
      </c>
      <c r="BD976" s="1">
        <v>0.031491</v>
      </c>
      <c r="BE976" s="1">
        <v>0.114367</v>
      </c>
      <c r="BF976" s="1">
        <v>0.059768</v>
      </c>
      <c r="BG976" s="1">
        <v>0.039546</v>
      </c>
      <c r="BH976" s="1">
        <v>0.0</v>
      </c>
      <c r="BI976" s="1">
        <v>0.110729</v>
      </c>
      <c r="BJ976" s="1">
        <v>0.0</v>
      </c>
      <c r="BK976" s="1">
        <v>0.110729</v>
      </c>
      <c r="BL976" s="1">
        <v>0.004164</v>
      </c>
      <c r="BM976" s="1">
        <v>0.123</v>
      </c>
      <c r="BN976" s="1">
        <v>0.315</v>
      </c>
      <c r="BO976" s="1">
        <v>0.2202</v>
      </c>
      <c r="BP976" s="1">
        <v>0.121</v>
      </c>
      <c r="BQ976" s="1">
        <v>0.7792</v>
      </c>
      <c r="BR976" s="1">
        <v>0.1516</v>
      </c>
      <c r="BS976" s="1">
        <v>0.464</v>
      </c>
      <c r="BT976" s="1">
        <v>0.384</v>
      </c>
      <c r="BU976" s="1">
        <v>0.095</v>
      </c>
      <c r="BV976" s="1">
        <v>0.943</v>
      </c>
      <c r="BW976" s="1">
        <v>0.1</v>
      </c>
      <c r="BX976" s="1">
        <v>0.256</v>
      </c>
      <c r="BY976" s="1">
        <v>0.0</v>
      </c>
      <c r="BZ976" s="1">
        <v>0.256</v>
      </c>
      <c r="CA976" s="1">
        <v>0.111</v>
      </c>
      <c r="CB976" s="1">
        <v>0.556</v>
      </c>
      <c r="CC976" s="1">
        <v>0.628</v>
      </c>
      <c r="CD976" s="1">
        <v>0.0</v>
      </c>
      <c r="CE976" s="1">
        <v>0.0</v>
      </c>
      <c r="CF976" s="1">
        <v>0.5</v>
      </c>
      <c r="CG976" s="1">
        <v>1.684</v>
      </c>
      <c r="CH976" s="1">
        <v>0.229</v>
      </c>
      <c r="CI976" s="1">
        <v>3.6622</v>
      </c>
      <c r="CJ976" s="1">
        <v>0.0534</v>
      </c>
      <c r="CK976" s="1">
        <v>0.0</v>
      </c>
      <c r="CL976" s="1">
        <v>0.0</v>
      </c>
      <c r="CM976" s="1">
        <v>0.0</v>
      </c>
      <c r="CN976" s="1">
        <v>0.0</v>
      </c>
      <c r="CO976" s="1">
        <v>0.0</v>
      </c>
      <c r="CP976" s="1">
        <v>0.0</v>
      </c>
      <c r="CQ976" s="1">
        <v>0.0</v>
      </c>
      <c r="CR976" s="1">
        <v>0.0</v>
      </c>
      <c r="CS976" s="1">
        <v>0.0</v>
      </c>
      <c r="CT976" s="1">
        <v>0.0</v>
      </c>
      <c r="CU976" s="1">
        <v>0.0</v>
      </c>
      <c r="CV976" s="1">
        <v>0.0</v>
      </c>
      <c r="CW976" s="1">
        <v>0.0</v>
      </c>
      <c r="CX976" s="1">
        <v>0.0</v>
      </c>
      <c r="CY976" s="1">
        <v>0.0</v>
      </c>
      <c r="CZ976" s="1">
        <v>0.0</v>
      </c>
      <c r="DA976" s="1">
        <v>0.0</v>
      </c>
      <c r="DB976" s="1">
        <v>0.0</v>
      </c>
      <c r="DC976" s="1">
        <v>0.0</v>
      </c>
      <c r="DD976" s="1" t="s">
        <v>4470</v>
      </c>
      <c r="DE976" s="1">
        <v>0.011132129115101</v>
      </c>
      <c r="DF976" s="2" t="s">
        <v>4471</v>
      </c>
    </row>
    <row r="977" ht="15.75" customHeight="1">
      <c r="A977" s="1" t="s">
        <v>4472</v>
      </c>
      <c r="B977" s="1">
        <v>29.0</v>
      </c>
      <c r="C977" s="1">
        <v>183.0</v>
      </c>
      <c r="D977" s="1">
        <v>312300.0</v>
      </c>
      <c r="E977" s="1">
        <v>0.68</v>
      </c>
      <c r="F977" s="1">
        <v>29183.0</v>
      </c>
      <c r="G977" s="1">
        <v>2.91833123E10</v>
      </c>
      <c r="H977" s="1" t="s">
        <v>112</v>
      </c>
      <c r="I977" s="1" t="s">
        <v>113</v>
      </c>
      <c r="J977" s="1" t="s">
        <v>4207</v>
      </c>
      <c r="K977" s="1" t="s">
        <v>4473</v>
      </c>
      <c r="L977" s="1">
        <v>2892.0</v>
      </c>
      <c r="M977" s="1">
        <v>2975.0</v>
      </c>
      <c r="N977" s="1">
        <v>173.0</v>
      </c>
      <c r="O977" s="1">
        <v>1045.0</v>
      </c>
      <c r="P977" s="1">
        <v>1062.0</v>
      </c>
      <c r="Q977" s="1">
        <v>27.0</v>
      </c>
      <c r="R977" s="1">
        <v>1034.0</v>
      </c>
      <c r="S977" s="1">
        <v>28.0</v>
      </c>
      <c r="T977" s="1">
        <v>119.0</v>
      </c>
      <c r="U977" s="1">
        <v>98.0</v>
      </c>
      <c r="V977" s="1">
        <v>432.0</v>
      </c>
      <c r="W977" s="1">
        <v>40280.0</v>
      </c>
      <c r="X977" s="1">
        <v>5796.0</v>
      </c>
      <c r="Y977" s="1">
        <v>115.0</v>
      </c>
      <c r="Z977" s="1">
        <v>402.0</v>
      </c>
      <c r="AA977" s="1">
        <v>282.0</v>
      </c>
      <c r="AB977" s="1">
        <v>639.0</v>
      </c>
      <c r="AC977" s="1">
        <v>45.0</v>
      </c>
      <c r="AD977" s="1">
        <v>142.0</v>
      </c>
      <c r="AE977" s="1">
        <v>13.0</v>
      </c>
      <c r="AF977" s="1">
        <v>442.0</v>
      </c>
      <c r="AG977" s="1">
        <v>0.0</v>
      </c>
      <c r="AH977" s="1">
        <v>197.0</v>
      </c>
      <c r="AI977" s="1">
        <v>0.0</v>
      </c>
      <c r="AJ977" s="1">
        <v>114.0</v>
      </c>
      <c r="AK977" s="1">
        <v>0.0</v>
      </c>
      <c r="AL977" s="1">
        <v>161.0</v>
      </c>
      <c r="AM977" s="1">
        <v>0.0</v>
      </c>
      <c r="AN977" s="1">
        <v>161.0</v>
      </c>
      <c r="AO977" s="1">
        <v>0.0</v>
      </c>
      <c r="AP977" s="1">
        <v>0.009411</v>
      </c>
      <c r="AQ977" s="1">
        <v>0.039996</v>
      </c>
      <c r="AR977" s="1">
        <v>0.056192</v>
      </c>
      <c r="AS977" s="1">
        <v>0.247594</v>
      </c>
      <c r="AT977" s="1">
        <v>40280.0</v>
      </c>
      <c r="AU977" s="1">
        <v>5796.0</v>
      </c>
      <c r="AV977" s="1">
        <v>0.056706</v>
      </c>
      <c r="AW977" s="1">
        <v>0.198204</v>
      </c>
      <c r="AX977" s="1">
        <v>0.09751</v>
      </c>
      <c r="AY977" s="1">
        <v>0.220954</v>
      </c>
      <c r="AZ977" s="1">
        <v>0.0435203</v>
      </c>
      <c r="BA977" s="1">
        <v>0.0491</v>
      </c>
      <c r="BB977" s="1">
        <v>0.004495</v>
      </c>
      <c r="BC977" s="1">
        <v>0.152835</v>
      </c>
      <c r="BD977" s="1">
        <v>0.0</v>
      </c>
      <c r="BE977" s="1">
        <v>0.185499</v>
      </c>
      <c r="BF977" s="1">
        <v>0.0</v>
      </c>
      <c r="BG977" s="1">
        <v>0.107344</v>
      </c>
      <c r="BH977" s="1">
        <v>0.0</v>
      </c>
      <c r="BI977" s="1">
        <v>0.153772</v>
      </c>
      <c r="BJ977" s="1">
        <v>0.0</v>
      </c>
      <c r="BK977" s="1">
        <v>0.153772</v>
      </c>
      <c r="BL977" s="1">
        <v>0.0</v>
      </c>
      <c r="BM977" s="1">
        <v>0.018</v>
      </c>
      <c r="BN977" s="1">
        <v>0.369</v>
      </c>
      <c r="BO977" s="1">
        <v>0.0643</v>
      </c>
      <c r="BP977" s="1">
        <v>0.156</v>
      </c>
      <c r="BQ977" s="1">
        <v>0.6073</v>
      </c>
      <c r="BR977" s="1">
        <v>0.1004</v>
      </c>
      <c r="BS977" s="1">
        <v>0.198</v>
      </c>
      <c r="BT977" s="1">
        <v>0.306</v>
      </c>
      <c r="BU977" s="1">
        <v>0.052</v>
      </c>
      <c r="BV977" s="1">
        <v>0.556</v>
      </c>
      <c r="BW977" s="1">
        <v>0.038</v>
      </c>
      <c r="BX977" s="1">
        <v>0.241</v>
      </c>
      <c r="BY977" s="1">
        <v>0.537</v>
      </c>
      <c r="BZ977" s="1">
        <v>0.778</v>
      </c>
      <c r="CA977" s="1">
        <v>0.381</v>
      </c>
      <c r="CB977" s="1">
        <v>0.0</v>
      </c>
      <c r="CC977" s="1">
        <v>0.0</v>
      </c>
      <c r="CD977" s="1">
        <v>0.0</v>
      </c>
      <c r="CE977" s="1">
        <v>0.0</v>
      </c>
      <c r="CF977" s="1">
        <v>0.0</v>
      </c>
      <c r="CG977" s="1">
        <v>0.0</v>
      </c>
      <c r="CH977" s="1">
        <v>0.0</v>
      </c>
      <c r="CI977" s="1">
        <v>1.9413</v>
      </c>
      <c r="CJ977" s="1">
        <v>0.0014</v>
      </c>
      <c r="CK977" s="1">
        <v>0.0</v>
      </c>
      <c r="CL977" s="1">
        <v>0.0</v>
      </c>
      <c r="CM977" s="1">
        <v>0.0</v>
      </c>
      <c r="CN977" s="1">
        <v>0.0</v>
      </c>
      <c r="CO977" s="1">
        <v>0.0</v>
      </c>
      <c r="CP977" s="1">
        <v>0.0</v>
      </c>
      <c r="CQ977" s="1">
        <v>0.0</v>
      </c>
      <c r="CR977" s="1">
        <v>0.0</v>
      </c>
      <c r="CS977" s="1">
        <v>0.0</v>
      </c>
      <c r="CT977" s="1">
        <v>0.0</v>
      </c>
      <c r="CU977" s="1">
        <v>0.0</v>
      </c>
      <c r="CV977" s="1">
        <v>0.0</v>
      </c>
      <c r="CW977" s="1">
        <v>0.0</v>
      </c>
      <c r="CX977" s="1">
        <v>0.0</v>
      </c>
      <c r="CY977" s="1">
        <v>0.0</v>
      </c>
      <c r="CZ977" s="1">
        <v>0.0</v>
      </c>
      <c r="DA977" s="1">
        <v>0.0</v>
      </c>
      <c r="DB977" s="1">
        <v>0.0</v>
      </c>
      <c r="DC977" s="1">
        <v>0.0</v>
      </c>
      <c r="DD977" s="1" t="s">
        <v>4474</v>
      </c>
      <c r="DE977" s="1">
        <v>1.8104509491308E-4</v>
      </c>
      <c r="DF977" s="1">
        <v>0.0569444354261383</v>
      </c>
    </row>
    <row r="978" ht="15.75" customHeight="1">
      <c r="A978" s="1" t="s">
        <v>4475</v>
      </c>
      <c r="B978" s="1">
        <v>29.0</v>
      </c>
      <c r="C978" s="1">
        <v>183.0</v>
      </c>
      <c r="D978" s="1">
        <v>312400.0</v>
      </c>
      <c r="E978" s="1">
        <v>2.326</v>
      </c>
      <c r="F978" s="1">
        <v>29183.0</v>
      </c>
      <c r="G978" s="1">
        <v>2.91833124E10</v>
      </c>
      <c r="H978" s="1" t="s">
        <v>112</v>
      </c>
      <c r="I978" s="1" t="s">
        <v>113</v>
      </c>
      <c r="J978" s="1" t="s">
        <v>4207</v>
      </c>
      <c r="K978" s="1" t="s">
        <v>4476</v>
      </c>
      <c r="L978" s="1">
        <v>5016.0</v>
      </c>
      <c r="M978" s="1">
        <v>4904.0</v>
      </c>
      <c r="N978" s="1">
        <v>339.0</v>
      </c>
      <c r="O978" s="1">
        <v>2393.0</v>
      </c>
      <c r="P978" s="1">
        <v>2271.0</v>
      </c>
      <c r="Q978" s="1">
        <v>105.0</v>
      </c>
      <c r="R978" s="1">
        <v>2256.0</v>
      </c>
      <c r="S978" s="1">
        <v>380.0</v>
      </c>
      <c r="T978" s="1">
        <v>183.0</v>
      </c>
      <c r="U978" s="1">
        <v>168.0</v>
      </c>
      <c r="V978" s="1">
        <v>385.0</v>
      </c>
      <c r="W978" s="1">
        <v>21383.0</v>
      </c>
      <c r="X978" s="1">
        <v>1328.0</v>
      </c>
      <c r="Y978" s="1">
        <v>569.0</v>
      </c>
      <c r="Z978" s="1">
        <v>315.0</v>
      </c>
      <c r="AA978" s="1">
        <v>1100.0</v>
      </c>
      <c r="AB978" s="1">
        <v>1004.0</v>
      </c>
      <c r="AC978" s="1">
        <v>233.0</v>
      </c>
      <c r="AD978" s="1">
        <v>431.0</v>
      </c>
      <c r="AE978" s="1">
        <v>95.0</v>
      </c>
      <c r="AF978" s="1">
        <v>440.0</v>
      </c>
      <c r="AG978" s="1">
        <v>147.0</v>
      </c>
      <c r="AH978" s="1">
        <v>59.0</v>
      </c>
      <c r="AI978" s="1">
        <v>388.0</v>
      </c>
      <c r="AJ978" s="1">
        <v>78.0</v>
      </c>
      <c r="AK978" s="1">
        <v>19.0</v>
      </c>
      <c r="AL978" s="1">
        <v>118.0</v>
      </c>
      <c r="AM978" s="1">
        <v>165.0</v>
      </c>
      <c r="AN978" s="1">
        <v>101.0</v>
      </c>
      <c r="AO978" s="1">
        <v>97.0</v>
      </c>
      <c r="AP978" s="1">
        <v>0.078512</v>
      </c>
      <c r="AQ978" s="1">
        <v>0.037373</v>
      </c>
      <c r="AR978" s="1">
        <v>0.070469</v>
      </c>
      <c r="AS978" s="1">
        <v>0.1613</v>
      </c>
      <c r="AT978" s="1">
        <v>21383.0</v>
      </c>
      <c r="AU978" s="1">
        <v>1328.0</v>
      </c>
      <c r="AV978" s="1">
        <v>0.169093</v>
      </c>
      <c r="AW978" s="1">
        <v>0.092967</v>
      </c>
      <c r="AX978" s="1">
        <v>0.219298</v>
      </c>
      <c r="AY978" s="1">
        <v>0.200159</v>
      </c>
      <c r="AZ978" s="1">
        <v>0.10328014</v>
      </c>
      <c r="BA978" s="1">
        <v>0.085925</v>
      </c>
      <c r="BB978" s="1">
        <v>0.020765</v>
      </c>
      <c r="BC978" s="1">
        <v>0.096164</v>
      </c>
      <c r="BD978" s="1">
        <v>0.064729</v>
      </c>
      <c r="BE978" s="1">
        <v>0.025806</v>
      </c>
      <c r="BF978" s="1">
        <v>0.170849</v>
      </c>
      <c r="BG978" s="1">
        <v>0.033425</v>
      </c>
      <c r="BH978" s="1">
        <v>0.008663</v>
      </c>
      <c r="BI978" s="1">
        <v>0.053805</v>
      </c>
      <c r="BJ978" s="1">
        <v>0.075239</v>
      </c>
      <c r="BK978" s="1">
        <v>0.045852</v>
      </c>
      <c r="BL978" s="1">
        <v>0.019338</v>
      </c>
      <c r="BM978" s="1">
        <v>0.288</v>
      </c>
      <c r="BN978" s="1">
        <v>0.52</v>
      </c>
      <c r="BO978" s="1">
        <v>0.5307</v>
      </c>
      <c r="BP978" s="1">
        <v>0.653</v>
      </c>
      <c r="BQ978" s="1">
        <v>1.9917</v>
      </c>
      <c r="BR978" s="1">
        <v>0.491</v>
      </c>
      <c r="BS978" s="1">
        <v>0.93</v>
      </c>
      <c r="BT978" s="1">
        <v>0.187</v>
      </c>
      <c r="BU978" s="1">
        <v>0.524</v>
      </c>
      <c r="BV978" s="1">
        <v>1.641</v>
      </c>
      <c r="BW978" s="1">
        <v>0.596</v>
      </c>
      <c r="BX978" s="1">
        <v>0.415</v>
      </c>
      <c r="BY978" s="1">
        <v>0.866</v>
      </c>
      <c r="BZ978" s="1">
        <v>1.281</v>
      </c>
      <c r="CA978" s="1">
        <v>0.704</v>
      </c>
      <c r="CB978" s="1">
        <v>0.702</v>
      </c>
      <c r="CC978" s="1">
        <v>0.853</v>
      </c>
      <c r="CD978" s="1">
        <v>0.45</v>
      </c>
      <c r="CE978" s="1">
        <v>0.65</v>
      </c>
      <c r="CF978" s="1">
        <v>0.7</v>
      </c>
      <c r="CG978" s="1">
        <v>3.355</v>
      </c>
      <c r="CH978" s="1">
        <v>0.894</v>
      </c>
      <c r="CI978" s="1">
        <v>8.2687</v>
      </c>
      <c r="CJ978" s="1">
        <v>0.756</v>
      </c>
      <c r="CK978" s="1">
        <v>0.0</v>
      </c>
      <c r="CL978" s="1">
        <v>0.0</v>
      </c>
      <c r="CM978" s="1">
        <v>0.0</v>
      </c>
      <c r="CN978" s="1">
        <v>0.0</v>
      </c>
      <c r="CO978" s="1">
        <v>0.0</v>
      </c>
      <c r="CP978" s="1">
        <v>1.0</v>
      </c>
      <c r="CQ978" s="1">
        <v>0.0</v>
      </c>
      <c r="CR978" s="1">
        <v>0.0</v>
      </c>
      <c r="CS978" s="1">
        <v>1.0</v>
      </c>
      <c r="CT978" s="1">
        <v>0.0</v>
      </c>
      <c r="CU978" s="1">
        <v>0.0</v>
      </c>
      <c r="CV978" s="1">
        <v>0.0</v>
      </c>
      <c r="CW978" s="1">
        <v>0.0</v>
      </c>
      <c r="CX978" s="1">
        <v>0.0</v>
      </c>
      <c r="CY978" s="1">
        <v>0.0</v>
      </c>
      <c r="CZ978" s="1">
        <v>0.0</v>
      </c>
      <c r="DA978" s="1">
        <v>0.0</v>
      </c>
      <c r="DB978" s="1">
        <v>0.0</v>
      </c>
      <c r="DC978" s="1">
        <v>1.0</v>
      </c>
      <c r="DD978" s="1" t="s">
        <v>4477</v>
      </c>
      <c r="DE978" s="1">
        <v>6.31929144731771E-4</v>
      </c>
      <c r="DF978" s="2" t="s">
        <v>4478</v>
      </c>
    </row>
    <row r="979" ht="15.75" customHeight="1">
      <c r="A979" s="1" t="s">
        <v>4479</v>
      </c>
      <c r="B979" s="1">
        <v>29.0</v>
      </c>
      <c r="C979" s="1">
        <v>183.0</v>
      </c>
      <c r="D979" s="1">
        <v>980000.0</v>
      </c>
      <c r="E979" s="1">
        <v>29.11</v>
      </c>
      <c r="F979" s="1">
        <v>29183.0</v>
      </c>
      <c r="G979" s="1">
        <v>2.918398E10</v>
      </c>
      <c r="H979" s="1" t="s">
        <v>112</v>
      </c>
      <c r="I979" s="1" t="s">
        <v>113</v>
      </c>
      <c r="J979" s="1" t="s">
        <v>4207</v>
      </c>
      <c r="K979" s="1" t="s">
        <v>4480</v>
      </c>
      <c r="L979" s="1">
        <v>1.0</v>
      </c>
      <c r="M979" s="1">
        <v>13.0</v>
      </c>
      <c r="N979" s="1">
        <v>20.0</v>
      </c>
      <c r="O979" s="1">
        <v>2.0</v>
      </c>
      <c r="P979" s="1">
        <v>7.0</v>
      </c>
      <c r="Q979" s="1">
        <v>11.0</v>
      </c>
      <c r="R979" s="1">
        <v>1.0</v>
      </c>
      <c r="S979" s="1">
        <v>0.0</v>
      </c>
      <c r="T979" s="1">
        <v>161.0</v>
      </c>
      <c r="U979" s="1">
        <v>0.0</v>
      </c>
      <c r="V979" s="1">
        <v>510.0</v>
      </c>
      <c r="W979" s="1">
        <v>-999.0</v>
      </c>
      <c r="X979" s="1">
        <v>-999.0</v>
      </c>
      <c r="Y979" s="1">
        <v>0.0</v>
      </c>
      <c r="Z979" s="1">
        <v>456.0</v>
      </c>
      <c r="AA979" s="1">
        <v>1.0</v>
      </c>
      <c r="AB979" s="1">
        <v>0.0</v>
      </c>
      <c r="AC979" s="1">
        <v>0.0</v>
      </c>
      <c r="AD979" s="1">
        <v>0.0</v>
      </c>
      <c r="AE979" s="1">
        <v>0.0</v>
      </c>
      <c r="AF979" s="1">
        <v>456.0</v>
      </c>
      <c r="AG979" s="1">
        <v>0.0</v>
      </c>
      <c r="AH979" s="1">
        <v>197.0</v>
      </c>
      <c r="AI979" s="1">
        <v>0.0</v>
      </c>
      <c r="AJ979" s="1">
        <v>114.0</v>
      </c>
      <c r="AK979" s="1">
        <v>0.0</v>
      </c>
      <c r="AL979" s="1">
        <v>161.0</v>
      </c>
      <c r="AM979" s="1">
        <v>0.0</v>
      </c>
      <c r="AN979" s="1">
        <v>161.0</v>
      </c>
      <c r="AO979" s="1">
        <v>0.0</v>
      </c>
      <c r="AP979" s="1">
        <v>0.0</v>
      </c>
      <c r="AQ979" s="1">
        <v>-999.0</v>
      </c>
      <c r="AR979" s="1">
        <v>0.0</v>
      </c>
      <c r="AS979" s="1">
        <v>-999.0</v>
      </c>
      <c r="AT979" s="1">
        <v>-999.0</v>
      </c>
      <c r="AU979" s="1">
        <v>-999.0</v>
      </c>
      <c r="AV979" s="1">
        <v>0.0</v>
      </c>
      <c r="AW979" s="1">
        <v>-999.0</v>
      </c>
      <c r="AX979" s="1">
        <v>1.0</v>
      </c>
      <c r="AY979" s="1">
        <v>0.0</v>
      </c>
      <c r="AZ979" s="1">
        <v>0.0</v>
      </c>
      <c r="BA979" s="1">
        <v>0.0</v>
      </c>
      <c r="BB979" s="1">
        <v>0.0</v>
      </c>
      <c r="BC979" s="1">
        <v>-999.0</v>
      </c>
      <c r="BD979" s="1">
        <v>0.0</v>
      </c>
      <c r="BE979" s="1">
        <v>-999.0</v>
      </c>
      <c r="BF979" s="1">
        <v>0.0</v>
      </c>
      <c r="BG979" s="1">
        <v>-999.0</v>
      </c>
      <c r="BH979" s="1">
        <v>0.0</v>
      </c>
      <c r="BI979" s="1">
        <v>-999.0</v>
      </c>
      <c r="BJ979" s="1">
        <v>0.0</v>
      </c>
      <c r="BK979" s="1">
        <v>-999.0</v>
      </c>
      <c r="BL979" s="1">
        <v>0.0</v>
      </c>
      <c r="BM979" s="1">
        <v>0.0</v>
      </c>
      <c r="BN979" s="1">
        <v>0.0</v>
      </c>
      <c r="BO979" s="1">
        <v>-999.0</v>
      </c>
      <c r="BP979" s="1">
        <v>0.0</v>
      </c>
      <c r="BQ979" s="1">
        <v>-999.0</v>
      </c>
      <c r="BR979" s="1">
        <v>-999.0</v>
      </c>
      <c r="BS979" s="1">
        <v>1.0</v>
      </c>
      <c r="BT979" s="1">
        <v>0.0</v>
      </c>
      <c r="BU979" s="1">
        <v>0.0</v>
      </c>
      <c r="BV979" s="1">
        <v>1.0</v>
      </c>
      <c r="BW979" s="1">
        <v>0.117</v>
      </c>
      <c r="BX979" s="1">
        <v>0.0</v>
      </c>
      <c r="BY979" s="1">
        <v>0.0</v>
      </c>
      <c r="BZ979" s="1">
        <v>0.0</v>
      </c>
      <c r="CA979" s="1">
        <v>0.0</v>
      </c>
      <c r="CB979" s="1">
        <v>0.0</v>
      </c>
      <c r="CC979" s="1">
        <v>0.0</v>
      </c>
      <c r="CD979" s="1">
        <v>0.0</v>
      </c>
      <c r="CE979" s="1">
        <v>0.0</v>
      </c>
      <c r="CF979" s="1">
        <v>0.0</v>
      </c>
      <c r="CG979" s="1">
        <v>0.0</v>
      </c>
      <c r="CH979" s="1">
        <v>0.0</v>
      </c>
      <c r="CI979" s="1">
        <v>-999.0</v>
      </c>
      <c r="CJ979" s="1">
        <v>-999.0</v>
      </c>
      <c r="CK979" s="1">
        <v>0.0</v>
      </c>
      <c r="CL979" s="1">
        <v>0.0</v>
      </c>
      <c r="CM979" s="1">
        <v>-999.0</v>
      </c>
      <c r="CN979" s="1">
        <v>0.0</v>
      </c>
      <c r="CO979" s="1">
        <v>-999.0</v>
      </c>
      <c r="CP979" s="1">
        <v>1.0</v>
      </c>
      <c r="CQ979" s="1">
        <v>0.0</v>
      </c>
      <c r="CR979" s="1">
        <v>0.0</v>
      </c>
      <c r="CS979" s="1">
        <v>1.0</v>
      </c>
      <c r="CT979" s="1">
        <v>0.0</v>
      </c>
      <c r="CU979" s="1">
        <v>0.0</v>
      </c>
      <c r="CV979" s="1">
        <v>0.0</v>
      </c>
      <c r="CW979" s="1">
        <v>0.0</v>
      </c>
      <c r="CX979" s="1">
        <v>0.0</v>
      </c>
      <c r="CY979" s="1">
        <v>0.0</v>
      </c>
      <c r="CZ979" s="1">
        <v>0.0</v>
      </c>
      <c r="DA979" s="1">
        <v>0.0</v>
      </c>
      <c r="DB979" s="1">
        <v>0.0</v>
      </c>
      <c r="DC979" s="1">
        <v>-999.0</v>
      </c>
      <c r="DD979" s="1" t="s">
        <v>4481</v>
      </c>
      <c r="DE979" s="1">
        <v>0.0084159820900219</v>
      </c>
      <c r="DF979" s="2" t="s">
        <v>4482</v>
      </c>
    </row>
    <row r="980" ht="15.75" customHeight="1">
      <c r="A980" s="1" t="s">
        <v>4483</v>
      </c>
      <c r="B980" s="1">
        <v>29.0</v>
      </c>
      <c r="C980" s="1">
        <v>183.0</v>
      </c>
      <c r="D980" s="1">
        <v>311150.0</v>
      </c>
      <c r="E980" s="1">
        <v>1.219</v>
      </c>
      <c r="F980" s="1">
        <v>29183.0</v>
      </c>
      <c r="G980" s="1">
        <v>2.918331115E10</v>
      </c>
      <c r="H980" s="1" t="s">
        <v>112</v>
      </c>
      <c r="I980" s="1" t="s">
        <v>113</v>
      </c>
      <c r="J980" s="1" t="s">
        <v>4207</v>
      </c>
      <c r="K980" s="1" t="s">
        <v>4484</v>
      </c>
      <c r="L980" s="1">
        <v>4749.0</v>
      </c>
      <c r="M980" s="1">
        <v>4469.0</v>
      </c>
      <c r="N980" s="1">
        <v>239.0</v>
      </c>
      <c r="O980" s="1">
        <v>1629.0</v>
      </c>
      <c r="P980" s="1">
        <v>1591.0</v>
      </c>
      <c r="Q980" s="1">
        <v>85.0</v>
      </c>
      <c r="R980" s="1">
        <v>1602.0</v>
      </c>
      <c r="S980" s="1">
        <v>149.0</v>
      </c>
      <c r="T980" s="1">
        <v>177.0</v>
      </c>
      <c r="U980" s="1">
        <v>83.0</v>
      </c>
      <c r="V980" s="1">
        <v>445.0</v>
      </c>
      <c r="W980" s="1">
        <v>27894.0</v>
      </c>
      <c r="X980" s="1">
        <v>1992.0</v>
      </c>
      <c r="Y980" s="1">
        <v>227.0</v>
      </c>
      <c r="Z980" s="1">
        <v>335.0</v>
      </c>
      <c r="AA980" s="1">
        <v>320.0</v>
      </c>
      <c r="AB980" s="1">
        <v>1407.0</v>
      </c>
      <c r="AC980" s="1">
        <v>126.0</v>
      </c>
      <c r="AD980" s="1">
        <v>503.0</v>
      </c>
      <c r="AE980" s="1">
        <v>48.0</v>
      </c>
      <c r="AF980" s="1">
        <v>431.0</v>
      </c>
      <c r="AG980" s="1">
        <v>0.0</v>
      </c>
      <c r="AH980" s="1">
        <v>197.0</v>
      </c>
      <c r="AI980" s="1">
        <v>0.0</v>
      </c>
      <c r="AJ980" s="1">
        <v>114.0</v>
      </c>
      <c r="AK980" s="1">
        <v>0.0</v>
      </c>
      <c r="AL980" s="1">
        <v>161.0</v>
      </c>
      <c r="AM980" s="1">
        <v>0.0</v>
      </c>
      <c r="AN980" s="1">
        <v>161.0</v>
      </c>
      <c r="AO980" s="1">
        <v>0.0</v>
      </c>
      <c r="AP980" s="1">
        <v>0.03334</v>
      </c>
      <c r="AQ980" s="1">
        <v>0.039566</v>
      </c>
      <c r="AR980" s="1">
        <v>0.035229</v>
      </c>
      <c r="AS980" s="1">
        <v>0.188838</v>
      </c>
      <c r="AT980" s="1">
        <v>27894.0</v>
      </c>
      <c r="AU980" s="1">
        <v>1992.0</v>
      </c>
      <c r="AV980" s="1">
        <v>0.079677</v>
      </c>
      <c r="AW980" s="1">
        <v>0.117446</v>
      </c>
      <c r="AX980" s="1">
        <v>0.067382</v>
      </c>
      <c r="AY980" s="1">
        <v>0.296272</v>
      </c>
      <c r="AZ980" s="1">
        <v>0.07865168</v>
      </c>
      <c r="BA980" s="1">
        <v>0.105917</v>
      </c>
      <c r="BB980" s="1">
        <v>0.01171</v>
      </c>
      <c r="BC980" s="1">
        <v>0.105144</v>
      </c>
      <c r="BD980" s="1">
        <v>0.0</v>
      </c>
      <c r="BE980" s="1">
        <v>0.123821</v>
      </c>
      <c r="BF980" s="1">
        <v>0.0</v>
      </c>
      <c r="BG980" s="1">
        <v>0.071653</v>
      </c>
      <c r="BH980" s="1">
        <v>0.0</v>
      </c>
      <c r="BI980" s="1">
        <v>0.103803</v>
      </c>
      <c r="BJ980" s="1">
        <v>0.0</v>
      </c>
      <c r="BK980" s="1">
        <v>0.103803</v>
      </c>
      <c r="BL980" s="1">
        <v>0.0</v>
      </c>
      <c r="BM980" s="1">
        <v>0.099</v>
      </c>
      <c r="BN980" s="1">
        <v>0.135</v>
      </c>
      <c r="BO980" s="1">
        <v>0.2527</v>
      </c>
      <c r="BP980" s="1">
        <v>0.246</v>
      </c>
      <c r="BQ980" s="1">
        <v>0.7327</v>
      </c>
      <c r="BR980" s="1">
        <v>0.1357</v>
      </c>
      <c r="BS980" s="1">
        <v>0.073</v>
      </c>
      <c r="BT980" s="1">
        <v>0.909</v>
      </c>
      <c r="BU980" s="1">
        <v>0.291</v>
      </c>
      <c r="BV980" s="1">
        <v>1.273</v>
      </c>
      <c r="BW980" s="1">
        <v>0.285</v>
      </c>
      <c r="BX980" s="1">
        <v>0.494</v>
      </c>
      <c r="BY980" s="1">
        <v>0.763</v>
      </c>
      <c r="BZ980" s="1">
        <v>1.257</v>
      </c>
      <c r="CA980" s="1">
        <v>0.687</v>
      </c>
      <c r="CB980" s="1">
        <v>0.0</v>
      </c>
      <c r="CC980" s="1">
        <v>0.0</v>
      </c>
      <c r="CD980" s="1">
        <v>0.0</v>
      </c>
      <c r="CE980" s="1">
        <v>0.0</v>
      </c>
      <c r="CF980" s="1">
        <v>0.0</v>
      </c>
      <c r="CG980" s="1">
        <v>0.0</v>
      </c>
      <c r="CH980" s="1">
        <v>0.0</v>
      </c>
      <c r="CI980" s="1">
        <v>3.2627</v>
      </c>
      <c r="CJ980" s="1">
        <v>0.031</v>
      </c>
      <c r="CK980" s="1">
        <v>0.0</v>
      </c>
      <c r="CL980" s="1">
        <v>0.0</v>
      </c>
      <c r="CM980" s="1">
        <v>0.0</v>
      </c>
      <c r="CN980" s="1">
        <v>0.0</v>
      </c>
      <c r="CO980" s="1">
        <v>0.0</v>
      </c>
      <c r="CP980" s="1">
        <v>0.0</v>
      </c>
      <c r="CQ980" s="1">
        <v>1.0</v>
      </c>
      <c r="CR980" s="1">
        <v>0.0</v>
      </c>
      <c r="CS980" s="1">
        <v>1.0</v>
      </c>
      <c r="CT980" s="1">
        <v>0.0</v>
      </c>
      <c r="CU980" s="1">
        <v>0.0</v>
      </c>
      <c r="CV980" s="1">
        <v>0.0</v>
      </c>
      <c r="CW980" s="1">
        <v>0.0</v>
      </c>
      <c r="CX980" s="1">
        <v>0.0</v>
      </c>
      <c r="CY980" s="1">
        <v>0.0</v>
      </c>
      <c r="CZ980" s="1">
        <v>0.0</v>
      </c>
      <c r="DA980" s="1">
        <v>0.0</v>
      </c>
      <c r="DB980" s="1">
        <v>0.0</v>
      </c>
      <c r="DC980" s="1">
        <v>1.0</v>
      </c>
      <c r="DD980" s="1" t="s">
        <v>4485</v>
      </c>
      <c r="DE980" s="1">
        <v>3.27374023744874E-4</v>
      </c>
      <c r="DF980" s="1">
        <v>0.0802133764104645</v>
      </c>
    </row>
    <row r="981" ht="15.75" customHeight="1">
      <c r="A981" s="1" t="s">
        <v>4486</v>
      </c>
      <c r="B981" s="1">
        <v>29.0</v>
      </c>
      <c r="C981" s="1">
        <v>185.0</v>
      </c>
      <c r="D981" s="1">
        <v>480100.0</v>
      </c>
      <c r="E981" s="1">
        <v>195.138</v>
      </c>
      <c r="F981" s="1">
        <v>29185.0</v>
      </c>
      <c r="G981" s="1">
        <v>2.91854801E10</v>
      </c>
      <c r="H981" s="1" t="s">
        <v>112</v>
      </c>
      <c r="I981" s="1" t="s">
        <v>113</v>
      </c>
      <c r="J981" s="1" t="s">
        <v>4487</v>
      </c>
      <c r="K981" s="1" t="s">
        <v>4488</v>
      </c>
      <c r="L981" s="1">
        <v>3671.0</v>
      </c>
      <c r="M981" s="1">
        <v>3562.0</v>
      </c>
      <c r="N981" s="1">
        <v>224.0</v>
      </c>
      <c r="O981" s="1">
        <v>1978.0</v>
      </c>
      <c r="P981" s="1">
        <v>2122.0</v>
      </c>
      <c r="Q981" s="1">
        <v>85.0</v>
      </c>
      <c r="R981" s="1">
        <v>1535.0</v>
      </c>
      <c r="S981" s="1">
        <v>673.0</v>
      </c>
      <c r="T981" s="1">
        <v>181.0</v>
      </c>
      <c r="U981" s="1">
        <v>85.0</v>
      </c>
      <c r="V981" s="1">
        <v>325.0</v>
      </c>
      <c r="W981" s="1">
        <v>18319.0</v>
      </c>
      <c r="X981" s="1">
        <v>1618.0</v>
      </c>
      <c r="Y981" s="1">
        <v>451.0</v>
      </c>
      <c r="Z981" s="1">
        <v>271.0</v>
      </c>
      <c r="AA981" s="1">
        <v>891.0</v>
      </c>
      <c r="AB981" s="1">
        <v>775.0</v>
      </c>
      <c r="AC981" s="1">
        <v>113.0</v>
      </c>
      <c r="AD981" s="1">
        <v>151.0</v>
      </c>
      <c r="AE981" s="1">
        <v>0.0</v>
      </c>
      <c r="AF981" s="1">
        <v>456.0</v>
      </c>
      <c r="AG981" s="1">
        <v>31.0</v>
      </c>
      <c r="AH981" s="1">
        <v>23.0</v>
      </c>
      <c r="AI981" s="1">
        <v>375.0</v>
      </c>
      <c r="AJ981" s="1">
        <v>103.0</v>
      </c>
      <c r="AK981" s="1">
        <v>13.0</v>
      </c>
      <c r="AL981" s="1">
        <v>116.0</v>
      </c>
      <c r="AM981" s="1">
        <v>148.0</v>
      </c>
      <c r="AN981" s="1">
        <v>51.0</v>
      </c>
      <c r="AO981" s="1">
        <v>104.0</v>
      </c>
      <c r="AP981" s="1">
        <v>0.193224</v>
      </c>
      <c r="AQ981" s="1">
        <v>0.050319</v>
      </c>
      <c r="AR981" s="1">
        <v>0.054627</v>
      </c>
      <c r="AS981" s="1">
        <v>0.208788</v>
      </c>
      <c r="AT981" s="1">
        <v>18319.0</v>
      </c>
      <c r="AU981" s="1">
        <v>1618.0</v>
      </c>
      <c r="AV981" s="1">
        <v>0.163524</v>
      </c>
      <c r="AW981" s="1">
        <v>0.097691</v>
      </c>
      <c r="AX981" s="1">
        <v>0.242713</v>
      </c>
      <c r="AY981" s="1">
        <v>0.211114</v>
      </c>
      <c r="AZ981" s="1">
        <v>0.07361563</v>
      </c>
      <c r="BA981" s="1">
        <v>0.041133</v>
      </c>
      <c r="BB981" s="1">
        <v>0.0</v>
      </c>
      <c r="BC981" s="1">
        <v>0.130846</v>
      </c>
      <c r="BD981" s="1">
        <v>0.014608</v>
      </c>
      <c r="BE981" s="1">
        <v>0.010823</v>
      </c>
      <c r="BF981" s="1">
        <v>0.17672</v>
      </c>
      <c r="BG981" s="1">
        <v>0.04802</v>
      </c>
      <c r="BH981" s="1">
        <v>0.007674</v>
      </c>
      <c r="BI981" s="1">
        <v>0.068474</v>
      </c>
      <c r="BJ981" s="1">
        <v>0.087367</v>
      </c>
      <c r="BK981" s="1">
        <v>0.02935</v>
      </c>
      <c r="BL981" s="1">
        <v>0.02833</v>
      </c>
      <c r="BM981" s="1">
        <v>0.712</v>
      </c>
      <c r="BN981" s="1">
        <v>0.341</v>
      </c>
      <c r="BO981" s="1">
        <v>0.7148</v>
      </c>
      <c r="BP981" s="1">
        <v>0.626</v>
      </c>
      <c r="BQ981" s="1">
        <v>2.3938</v>
      </c>
      <c r="BR981" s="1">
        <v>0.6282</v>
      </c>
      <c r="BS981" s="1">
        <v>0.964</v>
      </c>
      <c r="BT981" s="1">
        <v>0.241</v>
      </c>
      <c r="BU981" s="1">
        <v>0.246</v>
      </c>
      <c r="BV981" s="1">
        <v>1.451</v>
      </c>
      <c r="BW981" s="1">
        <v>0.438</v>
      </c>
      <c r="BX981" s="1">
        <v>0.172</v>
      </c>
      <c r="BY981" s="1">
        <v>0.0</v>
      </c>
      <c r="BZ981" s="1">
        <v>0.172</v>
      </c>
      <c r="CA981" s="1">
        <v>0.082</v>
      </c>
      <c r="CB981" s="1">
        <v>0.422</v>
      </c>
      <c r="CC981" s="1">
        <v>0.861</v>
      </c>
      <c r="CD981" s="1">
        <v>0.422</v>
      </c>
      <c r="CE981" s="1">
        <v>0.71</v>
      </c>
      <c r="CF981" s="1">
        <v>0.797</v>
      </c>
      <c r="CG981" s="1">
        <v>3.212</v>
      </c>
      <c r="CH981" s="1">
        <v>0.846</v>
      </c>
      <c r="CI981" s="1">
        <v>7.2288</v>
      </c>
      <c r="CJ981" s="1">
        <v>0.5978</v>
      </c>
      <c r="CK981" s="1">
        <v>0.0</v>
      </c>
      <c r="CL981" s="1">
        <v>0.0</v>
      </c>
      <c r="CM981" s="1">
        <v>0.0</v>
      </c>
      <c r="CN981" s="1">
        <v>0.0</v>
      </c>
      <c r="CO981" s="1">
        <v>0.0</v>
      </c>
      <c r="CP981" s="1">
        <v>1.0</v>
      </c>
      <c r="CQ981" s="1">
        <v>0.0</v>
      </c>
      <c r="CR981" s="1">
        <v>0.0</v>
      </c>
      <c r="CS981" s="1">
        <v>1.0</v>
      </c>
      <c r="CT981" s="1">
        <v>0.0</v>
      </c>
      <c r="CU981" s="1">
        <v>0.0</v>
      </c>
      <c r="CV981" s="1">
        <v>0.0</v>
      </c>
      <c r="CW981" s="1">
        <v>0.0</v>
      </c>
      <c r="CX981" s="1">
        <v>0.0</v>
      </c>
      <c r="CY981" s="1">
        <v>0.0</v>
      </c>
      <c r="CZ981" s="1">
        <v>0.0</v>
      </c>
      <c r="DA981" s="1">
        <v>0.0</v>
      </c>
      <c r="DB981" s="1">
        <v>0.0</v>
      </c>
      <c r="DC981" s="1">
        <v>1.0</v>
      </c>
      <c r="DD981" s="1" t="s">
        <v>4489</v>
      </c>
      <c r="DE981" s="1">
        <v>0.0543664253450967</v>
      </c>
      <c r="DF981" s="2" t="s">
        <v>4490</v>
      </c>
    </row>
    <row r="982" ht="15.75" customHeight="1">
      <c r="A982" s="1" t="s">
        <v>4491</v>
      </c>
      <c r="B982" s="1">
        <v>29.0</v>
      </c>
      <c r="C982" s="1">
        <v>185.0</v>
      </c>
      <c r="D982" s="1">
        <v>480200.0</v>
      </c>
      <c r="E982" s="1">
        <v>305.297</v>
      </c>
      <c r="F982" s="1">
        <v>29185.0</v>
      </c>
      <c r="G982" s="1">
        <v>2.91854802E10</v>
      </c>
      <c r="H982" s="1" t="s">
        <v>112</v>
      </c>
      <c r="I982" s="1" t="s">
        <v>113</v>
      </c>
      <c r="J982" s="1" t="s">
        <v>4487</v>
      </c>
      <c r="K982" s="1" t="s">
        <v>4492</v>
      </c>
      <c r="L982" s="1">
        <v>2952.0</v>
      </c>
      <c r="M982" s="1">
        <v>3288.0</v>
      </c>
      <c r="N982" s="1">
        <v>282.0</v>
      </c>
      <c r="O982" s="1">
        <v>1671.0</v>
      </c>
      <c r="P982" s="1">
        <v>1729.0</v>
      </c>
      <c r="Q982" s="1">
        <v>88.0</v>
      </c>
      <c r="R982" s="1">
        <v>1273.0</v>
      </c>
      <c r="S982" s="1">
        <v>406.0</v>
      </c>
      <c r="T982" s="1">
        <v>154.0</v>
      </c>
      <c r="U982" s="1">
        <v>84.0</v>
      </c>
      <c r="V982" s="1">
        <v>381.0</v>
      </c>
      <c r="W982" s="1">
        <v>18071.0</v>
      </c>
      <c r="X982" s="1">
        <v>2188.0</v>
      </c>
      <c r="Y982" s="1">
        <v>474.0</v>
      </c>
      <c r="Z982" s="1">
        <v>226.0</v>
      </c>
      <c r="AA982" s="1">
        <v>682.0</v>
      </c>
      <c r="AB982" s="1">
        <v>543.0</v>
      </c>
      <c r="AC982" s="1">
        <v>77.0</v>
      </c>
      <c r="AD982" s="1">
        <v>109.0</v>
      </c>
      <c r="AE982" s="1">
        <v>3.0</v>
      </c>
      <c r="AF982" s="1">
        <v>442.0</v>
      </c>
      <c r="AG982" s="1">
        <v>0.0</v>
      </c>
      <c r="AH982" s="1">
        <v>197.0</v>
      </c>
      <c r="AI982" s="1">
        <v>374.0</v>
      </c>
      <c r="AJ982" s="1">
        <v>93.0</v>
      </c>
      <c r="AK982" s="1">
        <v>71.0</v>
      </c>
      <c r="AL982" s="1">
        <v>123.0</v>
      </c>
      <c r="AM982" s="1">
        <v>55.0</v>
      </c>
      <c r="AN982" s="1">
        <v>55.0</v>
      </c>
      <c r="AO982" s="1">
        <v>0.0</v>
      </c>
      <c r="AP982" s="1">
        <v>0.124273</v>
      </c>
      <c r="AQ982" s="1">
        <v>0.045901</v>
      </c>
      <c r="AR982" s="1">
        <v>0.056338</v>
      </c>
      <c r="AS982" s="1">
        <v>0.255443</v>
      </c>
      <c r="AT982" s="1">
        <v>18071.0</v>
      </c>
      <c r="AU982" s="1">
        <v>2188.0</v>
      </c>
      <c r="AV982" s="1">
        <v>0.207167</v>
      </c>
      <c r="AW982" s="1">
        <v>0.097068</v>
      </c>
      <c r="AX982" s="1">
        <v>0.231029</v>
      </c>
      <c r="AY982" s="1">
        <v>0.183943</v>
      </c>
      <c r="AZ982" s="1">
        <v>0.06048703</v>
      </c>
      <c r="BA982" s="1">
        <v>0.036924</v>
      </c>
      <c r="BB982" s="1">
        <v>9.89E-4</v>
      </c>
      <c r="BC982" s="1">
        <v>0.145826</v>
      </c>
      <c r="BD982" s="1">
        <v>0.0</v>
      </c>
      <c r="BE982" s="1">
        <v>0.113938</v>
      </c>
      <c r="BF982" s="1">
        <v>0.21631</v>
      </c>
      <c r="BG982" s="1">
        <v>0.052649</v>
      </c>
      <c r="BH982" s="1">
        <v>0.051561</v>
      </c>
      <c r="BI982" s="1">
        <v>0.08922</v>
      </c>
      <c r="BJ982" s="1">
        <v>0.039941</v>
      </c>
      <c r="BK982" s="1">
        <v>0.039802</v>
      </c>
      <c r="BL982" s="1">
        <v>0.0</v>
      </c>
      <c r="BM982" s="1">
        <v>0.471</v>
      </c>
      <c r="BN982" s="1">
        <v>0.372</v>
      </c>
      <c r="BO982" s="1">
        <v>0.7278</v>
      </c>
      <c r="BP982" s="1">
        <v>0.771</v>
      </c>
      <c r="BQ982" s="1">
        <v>2.3418</v>
      </c>
      <c r="BR982" s="1">
        <v>0.6108</v>
      </c>
      <c r="BS982" s="1">
        <v>0.95</v>
      </c>
      <c r="BT982" s="1">
        <v>0.132</v>
      </c>
      <c r="BU982" s="1">
        <v>0.135</v>
      </c>
      <c r="BV982" s="1">
        <v>1.217</v>
      </c>
      <c r="BW982" s="1">
        <v>0.245</v>
      </c>
      <c r="BX982" s="1">
        <v>0.136</v>
      </c>
      <c r="BY982" s="1">
        <v>0.333</v>
      </c>
      <c r="BZ982" s="1">
        <v>0.469</v>
      </c>
      <c r="CA982" s="1">
        <v>0.194</v>
      </c>
      <c r="CB982" s="1">
        <v>0.0</v>
      </c>
      <c r="CC982" s="1">
        <v>0.916</v>
      </c>
      <c r="CD982" s="1">
        <v>0.941</v>
      </c>
      <c r="CE982" s="1">
        <v>0.389</v>
      </c>
      <c r="CF982" s="1">
        <v>0.0</v>
      </c>
      <c r="CG982" s="1">
        <v>2.246</v>
      </c>
      <c r="CH982" s="1">
        <v>0.435</v>
      </c>
      <c r="CI982" s="1">
        <v>6.2738</v>
      </c>
      <c r="CJ982" s="1">
        <v>0.4231</v>
      </c>
      <c r="CK982" s="1">
        <v>0.0</v>
      </c>
      <c r="CL982" s="1">
        <v>0.0</v>
      </c>
      <c r="CM982" s="1">
        <v>0.0</v>
      </c>
      <c r="CN982" s="1">
        <v>0.0</v>
      </c>
      <c r="CO982" s="1">
        <v>0.0</v>
      </c>
      <c r="CP982" s="1">
        <v>1.0</v>
      </c>
      <c r="CQ982" s="1">
        <v>0.0</v>
      </c>
      <c r="CR982" s="1">
        <v>0.0</v>
      </c>
      <c r="CS982" s="1">
        <v>1.0</v>
      </c>
      <c r="CT982" s="1">
        <v>0.0</v>
      </c>
      <c r="CU982" s="1">
        <v>0.0</v>
      </c>
      <c r="CV982" s="1">
        <v>0.0</v>
      </c>
      <c r="CW982" s="1">
        <v>0.0</v>
      </c>
      <c r="CX982" s="1">
        <v>1.0</v>
      </c>
      <c r="CY982" s="1">
        <v>1.0</v>
      </c>
      <c r="CZ982" s="1">
        <v>0.0</v>
      </c>
      <c r="DA982" s="1">
        <v>0.0</v>
      </c>
      <c r="DB982" s="1">
        <v>2.0</v>
      </c>
      <c r="DC982" s="1">
        <v>3.0</v>
      </c>
      <c r="DD982" s="1" t="s">
        <v>4493</v>
      </c>
      <c r="DE982" s="1">
        <v>0.0841654702968063</v>
      </c>
      <c r="DF982" s="2" t="s">
        <v>4494</v>
      </c>
    </row>
    <row r="983" ht="15.75" customHeight="1">
      <c r="A983" s="1" t="s">
        <v>4495</v>
      </c>
      <c r="B983" s="1">
        <v>29.0</v>
      </c>
      <c r="C983" s="1">
        <v>185.0</v>
      </c>
      <c r="D983" s="1">
        <v>480300.0</v>
      </c>
      <c r="E983" s="1">
        <v>169.548</v>
      </c>
      <c r="F983" s="1">
        <v>29185.0</v>
      </c>
      <c r="G983" s="1">
        <v>2.91854803E10</v>
      </c>
      <c r="H983" s="1" t="s">
        <v>112</v>
      </c>
      <c r="I983" s="1" t="s">
        <v>113</v>
      </c>
      <c r="J983" s="1" t="s">
        <v>4487</v>
      </c>
      <c r="K983" s="1" t="s">
        <v>4496</v>
      </c>
      <c r="L983" s="1">
        <v>3182.0</v>
      </c>
      <c r="M983" s="1">
        <v>2907.0</v>
      </c>
      <c r="N983" s="1">
        <v>279.0</v>
      </c>
      <c r="O983" s="1">
        <v>1991.0</v>
      </c>
      <c r="P983" s="1">
        <v>1768.0</v>
      </c>
      <c r="Q983" s="1">
        <v>106.0</v>
      </c>
      <c r="R983" s="1">
        <v>1353.0</v>
      </c>
      <c r="S983" s="1">
        <v>524.0</v>
      </c>
      <c r="T983" s="1">
        <v>192.0</v>
      </c>
      <c r="U983" s="1">
        <v>83.0</v>
      </c>
      <c r="V983" s="1">
        <v>399.0</v>
      </c>
      <c r="W983" s="1">
        <v>18567.0</v>
      </c>
      <c r="X983" s="1">
        <v>2341.0</v>
      </c>
      <c r="Y983" s="1">
        <v>301.0</v>
      </c>
      <c r="Z983" s="1">
        <v>293.0</v>
      </c>
      <c r="AA983" s="1">
        <v>722.0</v>
      </c>
      <c r="AB983" s="1">
        <v>642.0</v>
      </c>
      <c r="AC983" s="1">
        <v>112.0</v>
      </c>
      <c r="AD983" s="1">
        <v>179.0</v>
      </c>
      <c r="AE983" s="1">
        <v>0.0</v>
      </c>
      <c r="AF983" s="1">
        <v>456.0</v>
      </c>
      <c r="AG983" s="1">
        <v>4.0</v>
      </c>
      <c r="AH983" s="1">
        <v>161.0</v>
      </c>
      <c r="AI983" s="1">
        <v>491.0</v>
      </c>
      <c r="AJ983" s="1">
        <v>117.0</v>
      </c>
      <c r="AK983" s="1">
        <v>23.0</v>
      </c>
      <c r="AL983" s="1">
        <v>120.0</v>
      </c>
      <c r="AM983" s="1">
        <v>56.0</v>
      </c>
      <c r="AN983" s="1">
        <v>27.0</v>
      </c>
      <c r="AO983" s="1">
        <v>103.0</v>
      </c>
      <c r="AP983" s="1">
        <v>0.180876</v>
      </c>
      <c r="AQ983" s="1">
        <v>0.063945</v>
      </c>
      <c r="AR983" s="1">
        <v>0.070338</v>
      </c>
      <c r="AS983" s="1">
        <v>0.337914</v>
      </c>
      <c r="AT983" s="1">
        <v>18567.0</v>
      </c>
      <c r="AU983" s="1">
        <v>2341.0</v>
      </c>
      <c r="AV983" s="1">
        <v>0.142182</v>
      </c>
      <c r="AW983" s="1">
        <v>0.137626</v>
      </c>
      <c r="AX983" s="1">
        <v>0.226901</v>
      </c>
      <c r="AY983" s="1">
        <v>0.201759</v>
      </c>
      <c r="AZ983" s="1">
        <v>0.082779</v>
      </c>
      <c r="BA983" s="1">
        <v>0.056253</v>
      </c>
      <c r="BB983" s="1">
        <v>0.0</v>
      </c>
      <c r="BC983" s="1">
        <v>0.164442</v>
      </c>
      <c r="BD983" s="1">
        <v>0.002262</v>
      </c>
      <c r="BE983" s="1">
        <v>0.091063</v>
      </c>
      <c r="BF983" s="1">
        <v>0.277714</v>
      </c>
      <c r="BG983" s="1">
        <v>0.064047</v>
      </c>
      <c r="BH983" s="1">
        <v>0.018414</v>
      </c>
      <c r="BI983" s="1">
        <v>0.096056</v>
      </c>
      <c r="BJ983" s="1">
        <v>0.044835</v>
      </c>
      <c r="BK983" s="1">
        <v>0.021067</v>
      </c>
      <c r="BL983" s="1">
        <v>0.032369</v>
      </c>
      <c r="BM983" s="1">
        <v>0.677</v>
      </c>
      <c r="BN983" s="1">
        <v>0.519</v>
      </c>
      <c r="BO983" s="1">
        <v>0.7047</v>
      </c>
      <c r="BP983" s="1">
        <v>0.534</v>
      </c>
      <c r="BQ983" s="1">
        <v>2.4347</v>
      </c>
      <c r="BR983" s="1">
        <v>0.6426</v>
      </c>
      <c r="BS983" s="1">
        <v>0.946</v>
      </c>
      <c r="BT983" s="1">
        <v>0.192</v>
      </c>
      <c r="BU983" s="1">
        <v>0.334</v>
      </c>
      <c r="BV983" s="1">
        <v>1.472</v>
      </c>
      <c r="BW983" s="1">
        <v>0.456</v>
      </c>
      <c r="BX983" s="1">
        <v>0.292</v>
      </c>
      <c r="BY983" s="1">
        <v>0.0</v>
      </c>
      <c r="BZ983" s="1">
        <v>0.292</v>
      </c>
      <c r="CA983" s="1">
        <v>0.125</v>
      </c>
      <c r="CB983" s="1">
        <v>0.275</v>
      </c>
      <c r="CC983" s="1">
        <v>0.973</v>
      </c>
      <c r="CD983" s="1">
        <v>0.652</v>
      </c>
      <c r="CE983" s="1">
        <v>0.44</v>
      </c>
      <c r="CF983" s="1">
        <v>0.816</v>
      </c>
      <c r="CG983" s="1">
        <v>3.156</v>
      </c>
      <c r="CH983" s="1">
        <v>0.833</v>
      </c>
      <c r="CI983" s="1">
        <v>7.3547</v>
      </c>
      <c r="CJ983" s="1">
        <v>0.6195</v>
      </c>
      <c r="CK983" s="1">
        <v>0.0</v>
      </c>
      <c r="CL983" s="1">
        <v>0.0</v>
      </c>
      <c r="CM983" s="1">
        <v>0.0</v>
      </c>
      <c r="CN983" s="1">
        <v>0.0</v>
      </c>
      <c r="CO983" s="1">
        <v>0.0</v>
      </c>
      <c r="CP983" s="1">
        <v>1.0</v>
      </c>
      <c r="CQ983" s="1">
        <v>0.0</v>
      </c>
      <c r="CR983" s="1">
        <v>0.0</v>
      </c>
      <c r="CS983" s="1">
        <v>1.0</v>
      </c>
      <c r="CT983" s="1">
        <v>0.0</v>
      </c>
      <c r="CU983" s="1">
        <v>0.0</v>
      </c>
      <c r="CV983" s="1">
        <v>0.0</v>
      </c>
      <c r="CW983" s="1">
        <v>0.0</v>
      </c>
      <c r="CX983" s="1">
        <v>1.0</v>
      </c>
      <c r="CY983" s="1">
        <v>0.0</v>
      </c>
      <c r="CZ983" s="1">
        <v>0.0</v>
      </c>
      <c r="DA983" s="1">
        <v>0.0</v>
      </c>
      <c r="DB983" s="1">
        <v>1.0</v>
      </c>
      <c r="DC983" s="1">
        <v>2.0</v>
      </c>
      <c r="DD983" s="1" t="s">
        <v>4497</v>
      </c>
      <c r="DE983" s="1">
        <v>0.0480877359379963</v>
      </c>
      <c r="DF983" s="2" t="s">
        <v>4498</v>
      </c>
    </row>
    <row r="984" ht="15.75" customHeight="1">
      <c r="A984" s="1" t="s">
        <v>4499</v>
      </c>
      <c r="B984" s="1">
        <v>29.0</v>
      </c>
      <c r="C984" s="1">
        <v>186.0</v>
      </c>
      <c r="D984" s="1">
        <v>960300.0</v>
      </c>
      <c r="E984" s="1">
        <v>110.612</v>
      </c>
      <c r="F984" s="1">
        <v>29186.0</v>
      </c>
      <c r="G984" s="1">
        <v>2.91869603E10</v>
      </c>
      <c r="H984" s="1" t="s">
        <v>112</v>
      </c>
      <c r="I984" s="1" t="s">
        <v>113</v>
      </c>
      <c r="J984" s="1" t="s">
        <v>4500</v>
      </c>
      <c r="K984" s="1" t="s">
        <v>4501</v>
      </c>
      <c r="L984" s="1">
        <v>4064.0</v>
      </c>
      <c r="M984" s="1">
        <v>4135.0</v>
      </c>
      <c r="N984" s="1">
        <v>253.0</v>
      </c>
      <c r="O984" s="1">
        <v>1745.0</v>
      </c>
      <c r="P984" s="1">
        <v>1765.0</v>
      </c>
      <c r="Q984" s="1">
        <v>91.0</v>
      </c>
      <c r="R984" s="1">
        <v>1544.0</v>
      </c>
      <c r="S984" s="1">
        <v>282.0</v>
      </c>
      <c r="T984" s="1">
        <v>157.0</v>
      </c>
      <c r="U984" s="1">
        <v>114.0</v>
      </c>
      <c r="V984" s="1">
        <v>448.0</v>
      </c>
      <c r="W984" s="1">
        <v>23520.0</v>
      </c>
      <c r="X984" s="1">
        <v>1914.0</v>
      </c>
      <c r="Y984" s="1">
        <v>437.0</v>
      </c>
      <c r="Z984" s="1">
        <v>282.0</v>
      </c>
      <c r="AA984" s="1">
        <v>613.0</v>
      </c>
      <c r="AB984" s="1">
        <v>951.0</v>
      </c>
      <c r="AC984" s="1">
        <v>89.0</v>
      </c>
      <c r="AD984" s="1">
        <v>49.0</v>
      </c>
      <c r="AE984" s="1">
        <v>5.0</v>
      </c>
      <c r="AF984" s="1">
        <v>442.0</v>
      </c>
      <c r="AG984" s="1">
        <v>0.0</v>
      </c>
      <c r="AH984" s="1">
        <v>197.0</v>
      </c>
      <c r="AI984" s="1">
        <v>240.0</v>
      </c>
      <c r="AJ984" s="1">
        <v>101.0</v>
      </c>
      <c r="AK984" s="1">
        <v>18.0</v>
      </c>
      <c r="AL984" s="1">
        <v>116.0</v>
      </c>
      <c r="AM984" s="1">
        <v>54.0</v>
      </c>
      <c r="AN984" s="1">
        <v>39.0</v>
      </c>
      <c r="AO984" s="1">
        <v>0.0</v>
      </c>
      <c r="AP984" s="1">
        <v>0.068696</v>
      </c>
      <c r="AQ984" s="1">
        <v>0.03801</v>
      </c>
      <c r="AR984" s="1">
        <v>0.051166</v>
      </c>
      <c r="AS984" s="1">
        <v>0.200992</v>
      </c>
      <c r="AT984" s="1">
        <v>23520.0</v>
      </c>
      <c r="AU984" s="1">
        <v>1914.0</v>
      </c>
      <c r="AV984" s="1">
        <v>0.16312</v>
      </c>
      <c r="AW984" s="1">
        <v>0.104822</v>
      </c>
      <c r="AX984" s="1">
        <v>0.150836</v>
      </c>
      <c r="AY984" s="1">
        <v>0.234005</v>
      </c>
      <c r="AZ984" s="1">
        <v>0.05764248</v>
      </c>
      <c r="BA984" s="1">
        <v>0.012057</v>
      </c>
      <c r="BB984" s="1">
        <v>0.001268</v>
      </c>
      <c r="BC984" s="1">
        <v>0.112154</v>
      </c>
      <c r="BD984" s="1">
        <v>0.0</v>
      </c>
      <c r="BE984" s="1">
        <v>0.111614</v>
      </c>
      <c r="BF984" s="1">
        <v>0.135977</v>
      </c>
      <c r="BG984" s="1">
        <v>0.056792</v>
      </c>
      <c r="BH984" s="1">
        <v>0.010942</v>
      </c>
      <c r="BI984" s="1">
        <v>0.070512</v>
      </c>
      <c r="BJ984" s="1">
        <v>0.032826</v>
      </c>
      <c r="BK984" s="1">
        <v>0.023608</v>
      </c>
      <c r="BL984" s="1">
        <v>0.0</v>
      </c>
      <c r="BM984" s="1">
        <v>0.242</v>
      </c>
      <c r="BN984" s="1">
        <v>0.307</v>
      </c>
      <c r="BO984" s="1">
        <v>0.4238</v>
      </c>
      <c r="BP984" s="1">
        <v>0.625</v>
      </c>
      <c r="BQ984" s="1">
        <v>1.5978</v>
      </c>
      <c r="BR984" s="1">
        <v>0.3711</v>
      </c>
      <c r="BS984" s="1">
        <v>0.587</v>
      </c>
      <c r="BT984" s="1">
        <v>0.429</v>
      </c>
      <c r="BU984" s="1">
        <v>0.117</v>
      </c>
      <c r="BV984" s="1">
        <v>1.133</v>
      </c>
      <c r="BW984" s="1">
        <v>0.187</v>
      </c>
      <c r="BX984" s="1">
        <v>0.002</v>
      </c>
      <c r="BY984" s="1">
        <v>0.345</v>
      </c>
      <c r="BZ984" s="1">
        <v>0.347</v>
      </c>
      <c r="CA984" s="1">
        <v>0.146</v>
      </c>
      <c r="CB984" s="1">
        <v>0.0</v>
      </c>
      <c r="CC984" s="1">
        <v>0.789</v>
      </c>
      <c r="CD984" s="1">
        <v>0.497</v>
      </c>
      <c r="CE984" s="1">
        <v>0.312</v>
      </c>
      <c r="CF984" s="1">
        <v>0.0</v>
      </c>
      <c r="CG984" s="1">
        <v>1.598</v>
      </c>
      <c r="CH984" s="1">
        <v>0.198</v>
      </c>
      <c r="CI984" s="1">
        <v>4.6758</v>
      </c>
      <c r="CJ984" s="1">
        <v>0.1567</v>
      </c>
      <c r="CK984" s="1">
        <v>0.0</v>
      </c>
      <c r="CL984" s="1">
        <v>0.0</v>
      </c>
      <c r="CM984" s="1">
        <v>0.0</v>
      </c>
      <c r="CN984" s="1">
        <v>0.0</v>
      </c>
      <c r="CO984" s="1">
        <v>0.0</v>
      </c>
      <c r="CP984" s="1">
        <v>0.0</v>
      </c>
      <c r="CQ984" s="1">
        <v>0.0</v>
      </c>
      <c r="CR984" s="1">
        <v>0.0</v>
      </c>
      <c r="CS984" s="1">
        <v>0.0</v>
      </c>
      <c r="CT984" s="1">
        <v>0.0</v>
      </c>
      <c r="CU984" s="1">
        <v>0.0</v>
      </c>
      <c r="CV984" s="1">
        <v>0.0</v>
      </c>
      <c r="CW984" s="1">
        <v>0.0</v>
      </c>
      <c r="CX984" s="1">
        <v>0.0</v>
      </c>
      <c r="CY984" s="1">
        <v>0.0</v>
      </c>
      <c r="CZ984" s="1">
        <v>0.0</v>
      </c>
      <c r="DA984" s="1">
        <v>0.0</v>
      </c>
      <c r="DB984" s="1">
        <v>0.0</v>
      </c>
      <c r="DC984" s="1">
        <v>0.0</v>
      </c>
      <c r="DD984" s="1" t="s">
        <v>4502</v>
      </c>
      <c r="DE984" s="2" t="s">
        <v>4503</v>
      </c>
      <c r="DF984" s="2" t="s">
        <v>4504</v>
      </c>
    </row>
    <row r="985" ht="15.75" customHeight="1">
      <c r="A985" s="1" t="s">
        <v>4505</v>
      </c>
      <c r="B985" s="1">
        <v>29.0</v>
      </c>
      <c r="C985" s="1">
        <v>186.0</v>
      </c>
      <c r="D985" s="1">
        <v>960100.0</v>
      </c>
      <c r="E985" s="1">
        <v>183.396</v>
      </c>
      <c r="F985" s="1">
        <v>29186.0</v>
      </c>
      <c r="G985" s="1">
        <v>2.91869601E10</v>
      </c>
      <c r="H985" s="1" t="s">
        <v>112</v>
      </c>
      <c r="I985" s="1" t="s">
        <v>113</v>
      </c>
      <c r="J985" s="1" t="s">
        <v>4500</v>
      </c>
      <c r="K985" s="1" t="s">
        <v>4506</v>
      </c>
      <c r="L985" s="1">
        <v>6342.0</v>
      </c>
      <c r="M985" s="1">
        <v>6377.0</v>
      </c>
      <c r="N985" s="1">
        <v>302.0</v>
      </c>
      <c r="O985" s="1">
        <v>3239.0</v>
      </c>
      <c r="P985" s="1">
        <v>3021.0</v>
      </c>
      <c r="Q985" s="1">
        <v>132.0</v>
      </c>
      <c r="R985" s="1">
        <v>2386.0</v>
      </c>
      <c r="S985" s="1">
        <v>696.0</v>
      </c>
      <c r="T985" s="1">
        <v>337.0</v>
      </c>
      <c r="U985" s="1">
        <v>136.0</v>
      </c>
      <c r="V985" s="1">
        <v>420.0</v>
      </c>
      <c r="W985" s="1">
        <v>23662.0</v>
      </c>
      <c r="X985" s="1">
        <v>2734.0</v>
      </c>
      <c r="Y985" s="1">
        <v>701.0</v>
      </c>
      <c r="Z985" s="1">
        <v>262.0</v>
      </c>
      <c r="AA985" s="1">
        <v>864.0</v>
      </c>
      <c r="AB985" s="1">
        <v>1545.0</v>
      </c>
      <c r="AC985" s="1">
        <v>197.0</v>
      </c>
      <c r="AD985" s="1">
        <v>167.0</v>
      </c>
      <c r="AE985" s="1">
        <v>52.0</v>
      </c>
      <c r="AF985" s="1">
        <v>429.0</v>
      </c>
      <c r="AG985" s="1">
        <v>3.0</v>
      </c>
      <c r="AH985" s="1">
        <v>161.0</v>
      </c>
      <c r="AI985" s="1">
        <v>563.0</v>
      </c>
      <c r="AJ985" s="1">
        <v>162.0</v>
      </c>
      <c r="AK985" s="1">
        <v>74.0</v>
      </c>
      <c r="AL985" s="1">
        <v>139.0</v>
      </c>
      <c r="AM985" s="1">
        <v>129.0</v>
      </c>
      <c r="AN985" s="1">
        <v>72.0</v>
      </c>
      <c r="AO985" s="1">
        <v>32.0</v>
      </c>
      <c r="AP985" s="1">
        <v>0.109952</v>
      </c>
      <c r="AQ985" s="1">
        <v>0.053001</v>
      </c>
      <c r="AR985" s="1">
        <v>0.046179</v>
      </c>
      <c r="AS985" s="1">
        <v>0.142543</v>
      </c>
      <c r="AT985" s="1">
        <v>23662.0</v>
      </c>
      <c r="AU985" s="1">
        <v>2734.0</v>
      </c>
      <c r="AV985" s="1">
        <v>0.164863</v>
      </c>
      <c r="AW985" s="1">
        <v>0.061142</v>
      </c>
      <c r="AX985" s="1">
        <v>0.136234</v>
      </c>
      <c r="AY985" s="1">
        <v>0.243614</v>
      </c>
      <c r="AZ985" s="1">
        <v>0.08256496</v>
      </c>
      <c r="BA985" s="1">
        <v>0.026332</v>
      </c>
      <c r="BB985" s="1">
        <v>0.008776</v>
      </c>
      <c r="BC985" s="1">
        <v>0.072403</v>
      </c>
      <c r="BD985" s="1">
        <v>9.93E-4</v>
      </c>
      <c r="BE985" s="1">
        <v>0.053293</v>
      </c>
      <c r="BF985" s="1">
        <v>0.186362</v>
      </c>
      <c r="BG985" s="1">
        <v>0.053002</v>
      </c>
      <c r="BH985" s="1">
        <v>0.030056</v>
      </c>
      <c r="BI985" s="1">
        <v>0.056427</v>
      </c>
      <c r="BJ985" s="1">
        <v>0.052396</v>
      </c>
      <c r="BK985" s="1">
        <v>0.029062</v>
      </c>
      <c r="BL985" s="1">
        <v>0.005045</v>
      </c>
      <c r="BM985" s="1">
        <v>0.416</v>
      </c>
      <c r="BN985" s="1">
        <v>0.252</v>
      </c>
      <c r="BO985" s="1">
        <v>0.4159</v>
      </c>
      <c r="BP985" s="1">
        <v>0.633</v>
      </c>
      <c r="BQ985" s="1">
        <v>1.7169</v>
      </c>
      <c r="BR985" s="1">
        <v>0.4072</v>
      </c>
      <c r="BS985" s="1">
        <v>0.464</v>
      </c>
      <c r="BT985" s="1">
        <v>0.53</v>
      </c>
      <c r="BU985" s="1">
        <v>0.33</v>
      </c>
      <c r="BV985" s="1">
        <v>1.324</v>
      </c>
      <c r="BW985" s="1">
        <v>0.322</v>
      </c>
      <c r="BX985" s="1">
        <v>0.054</v>
      </c>
      <c r="BY985" s="1">
        <v>0.689</v>
      </c>
      <c r="BZ985" s="1">
        <v>0.743</v>
      </c>
      <c r="CA985" s="1">
        <v>0.358</v>
      </c>
      <c r="CB985" s="1">
        <v>0.255</v>
      </c>
      <c r="CC985" s="1">
        <v>0.874</v>
      </c>
      <c r="CD985" s="1">
        <v>0.806</v>
      </c>
      <c r="CE985" s="1">
        <v>0.508</v>
      </c>
      <c r="CF985" s="1">
        <v>0.512</v>
      </c>
      <c r="CG985" s="1">
        <v>2.955</v>
      </c>
      <c r="CH985" s="1">
        <v>0.756</v>
      </c>
      <c r="CI985" s="1">
        <v>6.7389</v>
      </c>
      <c r="CJ985" s="1">
        <v>0.4989</v>
      </c>
      <c r="CK985" s="1">
        <v>0.0</v>
      </c>
      <c r="CL985" s="1">
        <v>0.0</v>
      </c>
      <c r="CM985" s="1">
        <v>0.0</v>
      </c>
      <c r="CN985" s="1">
        <v>0.0</v>
      </c>
      <c r="CO985" s="1">
        <v>0.0</v>
      </c>
      <c r="CP985" s="1">
        <v>0.0</v>
      </c>
      <c r="CQ985" s="1">
        <v>0.0</v>
      </c>
      <c r="CR985" s="1">
        <v>0.0</v>
      </c>
      <c r="CS985" s="1">
        <v>0.0</v>
      </c>
      <c r="CT985" s="1">
        <v>0.0</v>
      </c>
      <c r="CU985" s="1">
        <v>0.0</v>
      </c>
      <c r="CV985" s="1">
        <v>0.0</v>
      </c>
      <c r="CW985" s="1">
        <v>0.0</v>
      </c>
      <c r="CX985" s="1">
        <v>0.0</v>
      </c>
      <c r="CY985" s="1">
        <v>0.0</v>
      </c>
      <c r="CZ985" s="1">
        <v>0.0</v>
      </c>
      <c r="DA985" s="1">
        <v>0.0</v>
      </c>
      <c r="DB985" s="1">
        <v>0.0</v>
      </c>
      <c r="DC985" s="1">
        <v>0.0</v>
      </c>
      <c r="DD985" s="1" t="s">
        <v>4507</v>
      </c>
      <c r="DE985" s="1">
        <v>0.0496289594526288</v>
      </c>
      <c r="DF985" s="2" t="s">
        <v>4508</v>
      </c>
    </row>
    <row r="986" ht="15.75" customHeight="1">
      <c r="A986" s="1" t="s">
        <v>4509</v>
      </c>
      <c r="B986" s="1">
        <v>29.0</v>
      </c>
      <c r="C986" s="1">
        <v>186.0</v>
      </c>
      <c r="D986" s="1">
        <v>960200.0</v>
      </c>
      <c r="E986" s="1">
        <v>16.868</v>
      </c>
      <c r="F986" s="1">
        <v>29186.0</v>
      </c>
      <c r="G986" s="1">
        <v>2.91869602E10</v>
      </c>
      <c r="H986" s="1" t="s">
        <v>112</v>
      </c>
      <c r="I986" s="1" t="s">
        <v>113</v>
      </c>
      <c r="J986" s="1" t="s">
        <v>4500</v>
      </c>
      <c r="K986" s="1" t="s">
        <v>4510</v>
      </c>
      <c r="L986" s="1">
        <v>4989.0</v>
      </c>
      <c r="M986" s="1">
        <v>4951.0</v>
      </c>
      <c r="N986" s="1">
        <v>186.0</v>
      </c>
      <c r="O986" s="1">
        <v>2246.0</v>
      </c>
      <c r="P986" s="1">
        <v>2335.0</v>
      </c>
      <c r="Q986" s="1">
        <v>176.0</v>
      </c>
      <c r="R986" s="1">
        <v>2034.0</v>
      </c>
      <c r="S986" s="1">
        <v>656.0</v>
      </c>
      <c r="T986" s="1">
        <v>247.0</v>
      </c>
      <c r="U986" s="1">
        <v>171.0</v>
      </c>
      <c r="V986" s="1">
        <v>419.0</v>
      </c>
      <c r="W986" s="1">
        <v>21655.0</v>
      </c>
      <c r="X986" s="1">
        <v>1865.0</v>
      </c>
      <c r="Y986" s="1">
        <v>894.0</v>
      </c>
      <c r="Z986" s="1">
        <v>282.0</v>
      </c>
      <c r="AA986" s="1">
        <v>1005.0</v>
      </c>
      <c r="AB986" s="1">
        <v>1113.0</v>
      </c>
      <c r="AC986" s="1">
        <v>198.0</v>
      </c>
      <c r="AD986" s="1">
        <v>239.0</v>
      </c>
      <c r="AE986" s="1">
        <v>22.0</v>
      </c>
      <c r="AF986" s="1">
        <v>443.0</v>
      </c>
      <c r="AG986" s="1">
        <v>82.0</v>
      </c>
      <c r="AH986" s="1">
        <v>126.0</v>
      </c>
      <c r="AI986" s="1">
        <v>82.0</v>
      </c>
      <c r="AJ986" s="1">
        <v>61.0</v>
      </c>
      <c r="AK986" s="1">
        <v>14.0</v>
      </c>
      <c r="AL986" s="1">
        <v>116.0</v>
      </c>
      <c r="AM986" s="1">
        <v>108.0</v>
      </c>
      <c r="AN986" s="1">
        <v>75.0</v>
      </c>
      <c r="AO986" s="1">
        <v>244.0</v>
      </c>
      <c r="AP986" s="1">
        <v>0.141684</v>
      </c>
      <c r="AQ986" s="1">
        <v>0.052669</v>
      </c>
      <c r="AR986" s="1">
        <v>0.071909</v>
      </c>
      <c r="AS986" s="1">
        <v>0.176024</v>
      </c>
      <c r="AT986" s="1">
        <v>21655.0</v>
      </c>
      <c r="AU986" s="1">
        <v>1865.0</v>
      </c>
      <c r="AV986" s="1">
        <v>0.241425</v>
      </c>
      <c r="AW986" s="1">
        <v>0.074889</v>
      </c>
      <c r="AX986" s="1">
        <v>0.201443</v>
      </c>
      <c r="AY986" s="1">
        <v>0.22309</v>
      </c>
      <c r="AZ986" s="1">
        <v>0.09734513</v>
      </c>
      <c r="BA986" s="1">
        <v>0.047905</v>
      </c>
      <c r="BB986" s="1">
        <v>0.004622</v>
      </c>
      <c r="BC986" s="1">
        <v>0.093086</v>
      </c>
      <c r="BD986" s="1">
        <v>0.035117</v>
      </c>
      <c r="BE986" s="1">
        <v>0.053896</v>
      </c>
      <c r="BF986" s="1">
        <v>0.035117</v>
      </c>
      <c r="BG986" s="1">
        <v>0.025989</v>
      </c>
      <c r="BH986" s="1">
        <v>0.006594</v>
      </c>
      <c r="BI986" s="1">
        <v>0.054637</v>
      </c>
      <c r="BJ986" s="1">
        <v>0.050871</v>
      </c>
      <c r="BK986" s="1">
        <v>0.035086</v>
      </c>
      <c r="BL986" s="1">
        <v>0.048907</v>
      </c>
      <c r="BM986" s="1">
        <v>0.551</v>
      </c>
      <c r="BN986" s="1">
        <v>0.53</v>
      </c>
      <c r="BO986" s="1">
        <v>0.5119</v>
      </c>
      <c r="BP986" s="1">
        <v>0.851</v>
      </c>
      <c r="BQ986" s="1">
        <v>2.4439</v>
      </c>
      <c r="BR986" s="1">
        <v>0.6469</v>
      </c>
      <c r="BS986" s="1">
        <v>0.876</v>
      </c>
      <c r="BT986" s="1">
        <v>0.328</v>
      </c>
      <c r="BU986" s="1">
        <v>0.469</v>
      </c>
      <c r="BV986" s="1">
        <v>1.673</v>
      </c>
      <c r="BW986" s="1">
        <v>0.618</v>
      </c>
      <c r="BX986" s="1">
        <v>0.232</v>
      </c>
      <c r="BY986" s="1">
        <v>0.542</v>
      </c>
      <c r="BZ986" s="1">
        <v>0.774</v>
      </c>
      <c r="CA986" s="1">
        <v>0.379</v>
      </c>
      <c r="CB986" s="1">
        <v>0.579</v>
      </c>
      <c r="CC986" s="1">
        <v>0.563</v>
      </c>
      <c r="CD986" s="1">
        <v>0.378</v>
      </c>
      <c r="CE986" s="1">
        <v>0.492</v>
      </c>
      <c r="CF986" s="1">
        <v>0.893</v>
      </c>
      <c r="CG986" s="1">
        <v>2.905</v>
      </c>
      <c r="CH986" s="1">
        <v>0.734</v>
      </c>
      <c r="CI986" s="1">
        <v>7.7959</v>
      </c>
      <c r="CJ986" s="1">
        <v>0.6794</v>
      </c>
      <c r="CK986" s="1">
        <v>0.0</v>
      </c>
      <c r="CL986" s="1">
        <v>0.0</v>
      </c>
      <c r="CM986" s="1">
        <v>0.0</v>
      </c>
      <c r="CN986" s="1">
        <v>0.0</v>
      </c>
      <c r="CO986" s="1">
        <v>0.0</v>
      </c>
      <c r="CP986" s="1">
        <v>0.0</v>
      </c>
      <c r="CQ986" s="1">
        <v>0.0</v>
      </c>
      <c r="CR986" s="1">
        <v>0.0</v>
      </c>
      <c r="CS986" s="1">
        <v>0.0</v>
      </c>
      <c r="CT986" s="1">
        <v>0.0</v>
      </c>
      <c r="CU986" s="1">
        <v>0.0</v>
      </c>
      <c r="CV986" s="1">
        <v>0.0</v>
      </c>
      <c r="CW986" s="1">
        <v>0.0</v>
      </c>
      <c r="CX986" s="1">
        <v>0.0</v>
      </c>
      <c r="CY986" s="1">
        <v>0.0</v>
      </c>
      <c r="CZ986" s="1">
        <v>0.0</v>
      </c>
      <c r="DA986" s="1">
        <v>0.0</v>
      </c>
      <c r="DB986" s="1">
        <v>0.0</v>
      </c>
      <c r="DC986" s="1">
        <v>0.0</v>
      </c>
      <c r="DD986" s="1" t="s">
        <v>4511</v>
      </c>
      <c r="DE986" s="1">
        <v>0.00495067262351795</v>
      </c>
      <c r="DF986" s="2" t="s">
        <v>4512</v>
      </c>
    </row>
    <row r="987" ht="15.75" customHeight="1">
      <c r="A987" s="1" t="s">
        <v>4513</v>
      </c>
      <c r="B987" s="1">
        <v>29.0</v>
      </c>
      <c r="C987" s="1">
        <v>186.0</v>
      </c>
      <c r="D987" s="1">
        <v>960400.0</v>
      </c>
      <c r="E987" s="1">
        <v>188.276</v>
      </c>
      <c r="F987" s="1">
        <v>29186.0</v>
      </c>
      <c r="G987" s="1">
        <v>2.91869604E10</v>
      </c>
      <c r="H987" s="1" t="s">
        <v>112</v>
      </c>
      <c r="I987" s="1" t="s">
        <v>113</v>
      </c>
      <c r="J987" s="1" t="s">
        <v>4500</v>
      </c>
      <c r="K987" s="1" t="s">
        <v>4514</v>
      </c>
      <c r="L987" s="1">
        <v>2750.0</v>
      </c>
      <c r="M987" s="1">
        <v>2742.0</v>
      </c>
      <c r="N987" s="1">
        <v>204.0</v>
      </c>
      <c r="O987" s="1">
        <v>1407.0</v>
      </c>
      <c r="P987" s="1">
        <v>1453.0</v>
      </c>
      <c r="Q987" s="1">
        <v>73.0</v>
      </c>
      <c r="R987" s="1">
        <v>1076.0</v>
      </c>
      <c r="S987" s="1">
        <v>274.0</v>
      </c>
      <c r="T987" s="1">
        <v>123.0</v>
      </c>
      <c r="U987" s="1">
        <v>111.0</v>
      </c>
      <c r="V987" s="1">
        <v>364.0</v>
      </c>
      <c r="W987" s="1">
        <v>20883.0</v>
      </c>
      <c r="X987" s="1">
        <v>2151.0</v>
      </c>
      <c r="Y987" s="1">
        <v>345.0</v>
      </c>
      <c r="Z987" s="1">
        <v>219.0</v>
      </c>
      <c r="AA987" s="1">
        <v>429.0</v>
      </c>
      <c r="AB987" s="1">
        <v>612.0</v>
      </c>
      <c r="AC987" s="1">
        <v>78.0</v>
      </c>
      <c r="AD987" s="1">
        <v>83.0</v>
      </c>
      <c r="AE987" s="1">
        <v>9.0</v>
      </c>
      <c r="AF987" s="1">
        <v>442.0</v>
      </c>
      <c r="AG987" s="1">
        <v>0.0</v>
      </c>
      <c r="AH987" s="1">
        <v>197.0</v>
      </c>
      <c r="AI987" s="1">
        <v>431.0</v>
      </c>
      <c r="AJ987" s="1">
        <v>97.0</v>
      </c>
      <c r="AK987" s="1">
        <v>9.0</v>
      </c>
      <c r="AL987" s="1">
        <v>115.0</v>
      </c>
      <c r="AM987" s="1">
        <v>13.0</v>
      </c>
      <c r="AN987" s="1">
        <v>17.0</v>
      </c>
      <c r="AO987" s="1">
        <v>1.0</v>
      </c>
      <c r="AP987" s="1">
        <v>0.101443</v>
      </c>
      <c r="AQ987" s="1">
        <v>0.044876</v>
      </c>
      <c r="AR987" s="1">
        <v>0.072643</v>
      </c>
      <c r="AS987" s="1">
        <v>0.238055</v>
      </c>
      <c r="AT987" s="1">
        <v>20883.0</v>
      </c>
      <c r="AU987" s="1">
        <v>2151.0</v>
      </c>
      <c r="AV987" s="1">
        <v>0.177013</v>
      </c>
      <c r="AW987" s="1">
        <v>0.11159</v>
      </c>
      <c r="AX987" s="1">
        <v>0.156</v>
      </c>
      <c r="AY987" s="1">
        <v>0.222545</v>
      </c>
      <c r="AZ987" s="1">
        <v>0.0724907</v>
      </c>
      <c r="BA987" s="1">
        <v>0.030181</v>
      </c>
      <c r="BB987" s="1">
        <v>0.003465</v>
      </c>
      <c r="BC987" s="1">
        <v>0.170196</v>
      </c>
      <c r="BD987" s="1">
        <v>0.0</v>
      </c>
      <c r="BE987" s="1">
        <v>0.135581</v>
      </c>
      <c r="BF987" s="1">
        <v>0.296627</v>
      </c>
      <c r="BG987" s="1">
        <v>0.065073</v>
      </c>
      <c r="BH987" s="1">
        <v>0.007901</v>
      </c>
      <c r="BI987" s="1">
        <v>0.100963</v>
      </c>
      <c r="BJ987" s="1">
        <v>0.011413</v>
      </c>
      <c r="BK987" s="1">
        <v>0.014899</v>
      </c>
      <c r="BL987" s="1">
        <v>3.63E-4</v>
      </c>
      <c r="BM987" s="1">
        <v>0.376</v>
      </c>
      <c r="BN987" s="1">
        <v>0.535</v>
      </c>
      <c r="BO987" s="1">
        <v>0.5596</v>
      </c>
      <c r="BP987" s="1">
        <v>0.676</v>
      </c>
      <c r="BQ987" s="1">
        <v>2.1466</v>
      </c>
      <c r="BR987" s="1">
        <v>0.5437</v>
      </c>
      <c r="BS987" s="1">
        <v>0.632</v>
      </c>
      <c r="BT987" s="1">
        <v>0.321</v>
      </c>
      <c r="BU987" s="1">
        <v>0.235</v>
      </c>
      <c r="BV987" s="1">
        <v>1.188</v>
      </c>
      <c r="BW987" s="1">
        <v>0.22</v>
      </c>
      <c r="BX987" s="1">
        <v>0.079</v>
      </c>
      <c r="BY987" s="1">
        <v>0.478</v>
      </c>
      <c r="BZ987" s="1">
        <v>0.557</v>
      </c>
      <c r="CA987" s="1">
        <v>0.243</v>
      </c>
      <c r="CB987" s="1">
        <v>0.0</v>
      </c>
      <c r="CC987" s="1">
        <v>0.979</v>
      </c>
      <c r="CD987" s="1">
        <v>0.434</v>
      </c>
      <c r="CE987" s="1">
        <v>0.101</v>
      </c>
      <c r="CF987" s="1">
        <v>0.356</v>
      </c>
      <c r="CG987" s="1">
        <v>1.87</v>
      </c>
      <c r="CH987" s="1">
        <v>0.293</v>
      </c>
      <c r="CI987" s="1">
        <v>5.7616</v>
      </c>
      <c r="CJ987" s="1">
        <v>0.3336</v>
      </c>
      <c r="CK987" s="1">
        <v>0.0</v>
      </c>
      <c r="CL987" s="1">
        <v>0.0</v>
      </c>
      <c r="CM987" s="1">
        <v>0.0</v>
      </c>
      <c r="CN987" s="1">
        <v>0.0</v>
      </c>
      <c r="CO987" s="1">
        <v>0.0</v>
      </c>
      <c r="CP987" s="1">
        <v>0.0</v>
      </c>
      <c r="CQ987" s="1">
        <v>0.0</v>
      </c>
      <c r="CR987" s="1">
        <v>0.0</v>
      </c>
      <c r="CS987" s="1">
        <v>0.0</v>
      </c>
      <c r="CT987" s="1">
        <v>0.0</v>
      </c>
      <c r="CU987" s="1">
        <v>0.0</v>
      </c>
      <c r="CV987" s="1">
        <v>0.0</v>
      </c>
      <c r="CW987" s="1">
        <v>0.0</v>
      </c>
      <c r="CX987" s="1">
        <v>1.0</v>
      </c>
      <c r="CY987" s="1">
        <v>0.0</v>
      </c>
      <c r="CZ987" s="1">
        <v>0.0</v>
      </c>
      <c r="DA987" s="1">
        <v>0.0</v>
      </c>
      <c r="DB987" s="1">
        <v>1.0</v>
      </c>
      <c r="DC987" s="1">
        <v>1.0</v>
      </c>
      <c r="DD987" s="1" t="s">
        <v>4515</v>
      </c>
      <c r="DE987" s="1">
        <v>0.0501123218222358</v>
      </c>
      <c r="DF987" s="2" t="s">
        <v>4516</v>
      </c>
    </row>
    <row r="988" ht="15.75" customHeight="1">
      <c r="A988" s="1" t="s">
        <v>4517</v>
      </c>
      <c r="B988" s="1">
        <v>29.0</v>
      </c>
      <c r="C988" s="1">
        <v>187.0</v>
      </c>
      <c r="D988" s="1">
        <v>950600.0</v>
      </c>
      <c r="E988" s="1">
        <v>49.621</v>
      </c>
      <c r="F988" s="1">
        <v>29187.0</v>
      </c>
      <c r="G988" s="1">
        <v>2.91879506E10</v>
      </c>
      <c r="H988" s="1" t="s">
        <v>112</v>
      </c>
      <c r="I988" s="1" t="s">
        <v>113</v>
      </c>
      <c r="J988" s="1" t="s">
        <v>4518</v>
      </c>
      <c r="K988" s="1" t="s">
        <v>4519</v>
      </c>
      <c r="L988" s="1">
        <v>3336.0</v>
      </c>
      <c r="M988" s="1">
        <v>3191.0</v>
      </c>
      <c r="N988" s="1">
        <v>293.0</v>
      </c>
      <c r="O988" s="1">
        <v>1564.0</v>
      </c>
      <c r="P988" s="1">
        <v>1607.0</v>
      </c>
      <c r="Q988" s="1">
        <v>92.0</v>
      </c>
      <c r="R988" s="1">
        <v>1348.0</v>
      </c>
      <c r="S988" s="1">
        <v>864.0</v>
      </c>
      <c r="T988" s="1">
        <v>248.0</v>
      </c>
      <c r="U988" s="1">
        <v>206.0</v>
      </c>
      <c r="V988" s="1">
        <v>355.0</v>
      </c>
      <c r="W988" s="1">
        <v>14942.0</v>
      </c>
      <c r="X988" s="1">
        <v>1243.0</v>
      </c>
      <c r="Y988" s="1">
        <v>705.0</v>
      </c>
      <c r="Z988" s="1">
        <v>131.0</v>
      </c>
      <c r="AA988" s="1">
        <v>534.0</v>
      </c>
      <c r="AB988" s="1">
        <v>761.0</v>
      </c>
      <c r="AC988" s="1">
        <v>167.0</v>
      </c>
      <c r="AD988" s="1">
        <v>108.0</v>
      </c>
      <c r="AE988" s="1">
        <v>0.0</v>
      </c>
      <c r="AF988" s="1">
        <v>456.0</v>
      </c>
      <c r="AG988" s="1">
        <v>6.0</v>
      </c>
      <c r="AH988" s="1">
        <v>161.0</v>
      </c>
      <c r="AI988" s="1">
        <v>395.0</v>
      </c>
      <c r="AJ988" s="1">
        <v>104.0</v>
      </c>
      <c r="AK988" s="1">
        <v>12.0</v>
      </c>
      <c r="AL988" s="1">
        <v>114.0</v>
      </c>
      <c r="AM988" s="1">
        <v>113.0</v>
      </c>
      <c r="AN988" s="1">
        <v>82.0</v>
      </c>
      <c r="AO988" s="1">
        <v>0.0</v>
      </c>
      <c r="AP988" s="1">
        <v>0.271954</v>
      </c>
      <c r="AQ988" s="1">
        <v>0.074008</v>
      </c>
      <c r="AR988" s="1">
        <v>0.151137</v>
      </c>
      <c r="AS988" s="1">
        <v>0.259826</v>
      </c>
      <c r="AT988" s="1">
        <v>14942.0</v>
      </c>
      <c r="AU988" s="1">
        <v>1243.0</v>
      </c>
      <c r="AV988" s="1">
        <v>0.319148</v>
      </c>
      <c r="AW988" s="1">
        <v>0.052105</v>
      </c>
      <c r="AX988" s="1">
        <v>0.160071</v>
      </c>
      <c r="AY988" s="1">
        <v>0.228117</v>
      </c>
      <c r="AZ988" s="1">
        <v>0.12388724</v>
      </c>
      <c r="BA988" s="1">
        <v>0.032374</v>
      </c>
      <c r="BB988" s="1">
        <v>0.0</v>
      </c>
      <c r="BC988" s="1">
        <v>0.153174</v>
      </c>
      <c r="BD988" s="1">
        <v>0.003733</v>
      </c>
      <c r="BE988" s="1">
        <v>0.100186</v>
      </c>
      <c r="BF988" s="1">
        <v>0.245799</v>
      </c>
      <c r="BG988" s="1">
        <v>0.063168</v>
      </c>
      <c r="BH988" s="1">
        <v>0.00916</v>
      </c>
      <c r="BI988" s="1">
        <v>0.087019</v>
      </c>
      <c r="BJ988" s="1">
        <v>0.086259</v>
      </c>
      <c r="BK988" s="1">
        <v>0.062234</v>
      </c>
      <c r="BL988" s="1">
        <v>0.0</v>
      </c>
      <c r="BM988" s="1">
        <v>0.856</v>
      </c>
      <c r="BN988" s="1">
        <v>0.901</v>
      </c>
      <c r="BO988" s="1">
        <v>0.8787</v>
      </c>
      <c r="BP988" s="1">
        <v>0.958</v>
      </c>
      <c r="BQ988" s="1">
        <v>3.5937</v>
      </c>
      <c r="BR988" s="1">
        <v>0.9372</v>
      </c>
      <c r="BS988" s="1">
        <v>0.664</v>
      </c>
      <c r="BT988" s="1">
        <v>0.367</v>
      </c>
      <c r="BU988" s="1">
        <v>0.692</v>
      </c>
      <c r="BV988" s="1">
        <v>1.723</v>
      </c>
      <c r="BW988" s="1">
        <v>0.659</v>
      </c>
      <c r="BX988" s="1">
        <v>0.097</v>
      </c>
      <c r="BY988" s="1">
        <v>0.0</v>
      </c>
      <c r="BZ988" s="1">
        <v>0.097</v>
      </c>
      <c r="CA988" s="1">
        <v>0.046</v>
      </c>
      <c r="CB988" s="1">
        <v>0.299</v>
      </c>
      <c r="CC988" s="1">
        <v>0.947</v>
      </c>
      <c r="CD988" s="1">
        <v>0.461</v>
      </c>
      <c r="CE988" s="1">
        <v>0.705</v>
      </c>
      <c r="CF988" s="1">
        <v>0.0</v>
      </c>
      <c r="CG988" s="1">
        <v>2.412</v>
      </c>
      <c r="CH988" s="1">
        <v>0.521</v>
      </c>
      <c r="CI988" s="1">
        <v>7.8257</v>
      </c>
      <c r="CJ988" s="1">
        <v>0.6845</v>
      </c>
      <c r="CK988" s="1">
        <v>0.0</v>
      </c>
      <c r="CL988" s="1">
        <v>1.0</v>
      </c>
      <c r="CM988" s="1">
        <v>0.0</v>
      </c>
      <c r="CN988" s="1">
        <v>1.0</v>
      </c>
      <c r="CO988" s="1">
        <v>2.0</v>
      </c>
      <c r="CP988" s="1">
        <v>0.0</v>
      </c>
      <c r="CQ988" s="1">
        <v>0.0</v>
      </c>
      <c r="CR988" s="1">
        <v>0.0</v>
      </c>
      <c r="CS988" s="1">
        <v>0.0</v>
      </c>
      <c r="CT988" s="1">
        <v>0.0</v>
      </c>
      <c r="CU988" s="1">
        <v>0.0</v>
      </c>
      <c r="CV988" s="1">
        <v>0.0</v>
      </c>
      <c r="CW988" s="1">
        <v>0.0</v>
      </c>
      <c r="CX988" s="1">
        <v>1.0</v>
      </c>
      <c r="CY988" s="1">
        <v>0.0</v>
      </c>
      <c r="CZ988" s="1">
        <v>0.0</v>
      </c>
      <c r="DA988" s="1">
        <v>0.0</v>
      </c>
      <c r="DB988" s="1">
        <v>1.0</v>
      </c>
      <c r="DC988" s="1">
        <v>3.0</v>
      </c>
      <c r="DD988" s="1" t="s">
        <v>4520</v>
      </c>
      <c r="DE988" s="2" t="s">
        <v>4521</v>
      </c>
      <c r="DF988" s="2" t="s">
        <v>4522</v>
      </c>
    </row>
    <row r="989" ht="15.75" customHeight="1">
      <c r="A989" s="1" t="s">
        <v>4523</v>
      </c>
      <c r="B989" s="1">
        <v>29.0</v>
      </c>
      <c r="C989" s="1">
        <v>187.0</v>
      </c>
      <c r="D989" s="1">
        <v>950901.0</v>
      </c>
      <c r="E989" s="1">
        <v>2.054</v>
      </c>
      <c r="F989" s="1">
        <v>29187.0</v>
      </c>
      <c r="G989" s="1">
        <v>2.9187950901E10</v>
      </c>
      <c r="H989" s="1" t="s">
        <v>112</v>
      </c>
      <c r="I989" s="1" t="s">
        <v>113</v>
      </c>
      <c r="J989" s="1" t="s">
        <v>4518</v>
      </c>
      <c r="K989" s="1" t="s">
        <v>4524</v>
      </c>
      <c r="L989" s="1">
        <v>2215.0</v>
      </c>
      <c r="M989" s="1">
        <v>2425.0</v>
      </c>
      <c r="N989" s="1">
        <v>446.0</v>
      </c>
      <c r="O989" s="1">
        <v>1094.0</v>
      </c>
      <c r="P989" s="1">
        <v>1035.0</v>
      </c>
      <c r="Q989" s="1">
        <v>84.0</v>
      </c>
      <c r="R989" s="1">
        <v>1024.0</v>
      </c>
      <c r="S989" s="1">
        <v>314.0</v>
      </c>
      <c r="T989" s="1">
        <v>257.0</v>
      </c>
      <c r="U989" s="1">
        <v>52.0</v>
      </c>
      <c r="V989" s="1">
        <v>486.0</v>
      </c>
      <c r="W989" s="1">
        <v>27059.0</v>
      </c>
      <c r="X989" s="1">
        <v>7083.0</v>
      </c>
      <c r="Y989" s="1">
        <v>426.0</v>
      </c>
      <c r="Z989" s="1">
        <v>363.0</v>
      </c>
      <c r="AA989" s="1">
        <v>644.0</v>
      </c>
      <c r="AB989" s="1">
        <v>424.0</v>
      </c>
      <c r="AC989" s="1">
        <v>85.0</v>
      </c>
      <c r="AD989" s="1">
        <v>109.0</v>
      </c>
      <c r="AE989" s="1">
        <v>0.0</v>
      </c>
      <c r="AF989" s="1">
        <v>456.0</v>
      </c>
      <c r="AG989" s="1">
        <v>158.0</v>
      </c>
      <c r="AH989" s="1">
        <v>142.0</v>
      </c>
      <c r="AI989" s="1">
        <v>119.0</v>
      </c>
      <c r="AJ989" s="1">
        <v>60.0</v>
      </c>
      <c r="AK989" s="1">
        <v>9.0</v>
      </c>
      <c r="AL989" s="1">
        <v>115.0</v>
      </c>
      <c r="AM989" s="1">
        <v>21.0</v>
      </c>
      <c r="AN989" s="1">
        <v>30.0</v>
      </c>
      <c r="AO989" s="1">
        <v>80.0</v>
      </c>
      <c r="AP989" s="1">
        <v>0.158106</v>
      </c>
      <c r="AQ989" s="1">
        <v>0.128081</v>
      </c>
      <c r="AR989" s="1">
        <v>0.05909</v>
      </c>
      <c r="AS989" s="1">
        <v>0.551992</v>
      </c>
      <c r="AT989" s="1">
        <v>27059.0</v>
      </c>
      <c r="AU989" s="1">
        <v>7083.0</v>
      </c>
      <c r="AV989" s="1">
        <v>0.236141</v>
      </c>
      <c r="AW989" s="1">
        <v>0.192956</v>
      </c>
      <c r="AX989" s="1">
        <v>0.290744</v>
      </c>
      <c r="AY989" s="1">
        <v>0.191422</v>
      </c>
      <c r="AZ989" s="1">
        <v>0.08300781</v>
      </c>
      <c r="BA989" s="1">
        <v>0.049209</v>
      </c>
      <c r="BB989" s="1">
        <v>0.0</v>
      </c>
      <c r="BC989" s="1">
        <v>0.199213</v>
      </c>
      <c r="BD989" s="1">
        <v>0.152657</v>
      </c>
      <c r="BE989" s="1">
        <v>0.136637</v>
      </c>
      <c r="BF989" s="1">
        <v>0.114975</v>
      </c>
      <c r="BG989" s="1">
        <v>0.057215</v>
      </c>
      <c r="BH989" s="1">
        <v>0.009054</v>
      </c>
      <c r="BI989" s="1">
        <v>0.115689</v>
      </c>
      <c r="BJ989" s="1">
        <v>0.021126</v>
      </c>
      <c r="BK989" s="1">
        <v>0.030092</v>
      </c>
      <c r="BL989" s="1">
        <v>0.036117</v>
      </c>
      <c r="BM989" s="1">
        <v>0.605</v>
      </c>
      <c r="BN989" s="1">
        <v>0.405</v>
      </c>
      <c r="BO989" s="1">
        <v>0.2787</v>
      </c>
      <c r="BP989" s="1">
        <v>0.838</v>
      </c>
      <c r="BQ989" s="1">
        <v>2.1267</v>
      </c>
      <c r="BR989" s="1">
        <v>0.5386</v>
      </c>
      <c r="BS989" s="1">
        <v>0.986</v>
      </c>
      <c r="BT989" s="1">
        <v>0.154</v>
      </c>
      <c r="BU989" s="1">
        <v>0.338</v>
      </c>
      <c r="BV989" s="1">
        <v>1.478</v>
      </c>
      <c r="BW989" s="1">
        <v>0.463</v>
      </c>
      <c r="BX989" s="1">
        <v>0.241</v>
      </c>
      <c r="BY989" s="1">
        <v>0.0</v>
      </c>
      <c r="BZ989" s="1">
        <v>0.241</v>
      </c>
      <c r="CA989" s="1">
        <v>0.104</v>
      </c>
      <c r="CB989" s="1">
        <v>0.841</v>
      </c>
      <c r="CC989" s="1">
        <v>0.749</v>
      </c>
      <c r="CD989" s="1">
        <v>0.458</v>
      </c>
      <c r="CE989" s="1">
        <v>0.195</v>
      </c>
      <c r="CF989" s="1">
        <v>0.847</v>
      </c>
      <c r="CG989" s="1">
        <v>3.09</v>
      </c>
      <c r="CH989" s="1">
        <v>0.813</v>
      </c>
      <c r="CI989" s="1">
        <v>6.9357</v>
      </c>
      <c r="CJ989" s="1">
        <v>0.5357</v>
      </c>
      <c r="CK989" s="1">
        <v>0.0</v>
      </c>
      <c r="CL989" s="1">
        <v>0.0</v>
      </c>
      <c r="CM989" s="1">
        <v>0.0</v>
      </c>
      <c r="CN989" s="1">
        <v>0.0</v>
      </c>
      <c r="CO989" s="1">
        <v>0.0</v>
      </c>
      <c r="CP989" s="1">
        <v>1.0</v>
      </c>
      <c r="CQ989" s="1">
        <v>0.0</v>
      </c>
      <c r="CR989" s="1">
        <v>0.0</v>
      </c>
      <c r="CS989" s="1">
        <v>1.0</v>
      </c>
      <c r="CT989" s="1">
        <v>0.0</v>
      </c>
      <c r="CU989" s="1">
        <v>0.0</v>
      </c>
      <c r="CV989" s="1">
        <v>0.0</v>
      </c>
      <c r="CW989" s="1">
        <v>0.0</v>
      </c>
      <c r="CX989" s="1">
        <v>0.0</v>
      </c>
      <c r="CY989" s="1">
        <v>0.0</v>
      </c>
      <c r="CZ989" s="1">
        <v>0.0</v>
      </c>
      <c r="DA989" s="1">
        <v>0.0</v>
      </c>
      <c r="DB989" s="1">
        <v>0.0</v>
      </c>
      <c r="DC989" s="1">
        <v>1.0</v>
      </c>
      <c r="DD989" s="1" t="s">
        <v>4525</v>
      </c>
      <c r="DE989" s="1">
        <v>5.43545839296036E-4</v>
      </c>
      <c r="DF989" s="1">
        <v>0.0991828964770411</v>
      </c>
    </row>
    <row r="990" ht="15.75" customHeight="1">
      <c r="A990" s="1" t="s">
        <v>4526</v>
      </c>
      <c r="B990" s="1">
        <v>29.0</v>
      </c>
      <c r="C990" s="1">
        <v>187.0</v>
      </c>
      <c r="D990" s="1">
        <v>950902.0</v>
      </c>
      <c r="E990" s="1">
        <v>2.893</v>
      </c>
      <c r="F990" s="1">
        <v>29187.0</v>
      </c>
      <c r="G990" s="1">
        <v>2.9187950902E10</v>
      </c>
      <c r="H990" s="1" t="s">
        <v>112</v>
      </c>
      <c r="I990" s="1" t="s">
        <v>113</v>
      </c>
      <c r="J990" s="1" t="s">
        <v>4518</v>
      </c>
      <c r="K990" s="1" t="s">
        <v>4527</v>
      </c>
      <c r="L990" s="1">
        <v>7134.0</v>
      </c>
      <c r="M990" s="1">
        <v>7401.0</v>
      </c>
      <c r="N990" s="1">
        <v>564.0</v>
      </c>
      <c r="O990" s="1">
        <v>1977.0</v>
      </c>
      <c r="P990" s="1">
        <v>1698.0</v>
      </c>
      <c r="Q990" s="1">
        <v>158.0</v>
      </c>
      <c r="R990" s="1">
        <v>1775.0</v>
      </c>
      <c r="S990" s="1">
        <v>578.0</v>
      </c>
      <c r="T990" s="1">
        <v>209.0</v>
      </c>
      <c r="U990" s="1">
        <v>207.0</v>
      </c>
      <c r="V990" s="1">
        <v>450.0</v>
      </c>
      <c r="W990" s="1">
        <v>11754.0</v>
      </c>
      <c r="X990" s="1">
        <v>1737.0</v>
      </c>
      <c r="Y990" s="1">
        <v>1141.0</v>
      </c>
      <c r="Z990" s="1">
        <v>258.0</v>
      </c>
      <c r="AA990" s="1">
        <v>816.0</v>
      </c>
      <c r="AB990" s="1">
        <v>950.0</v>
      </c>
      <c r="AC990" s="1">
        <v>239.0</v>
      </c>
      <c r="AD990" s="1">
        <v>1281.0</v>
      </c>
      <c r="AE990" s="1">
        <v>41.0</v>
      </c>
      <c r="AF990" s="1">
        <v>430.0</v>
      </c>
      <c r="AG990" s="1">
        <v>112.0</v>
      </c>
      <c r="AH990" s="1">
        <v>80.0</v>
      </c>
      <c r="AI990" s="1">
        <v>119.0</v>
      </c>
      <c r="AJ990" s="1">
        <v>64.0</v>
      </c>
      <c r="AK990" s="1">
        <v>170.0</v>
      </c>
      <c r="AL990" s="1">
        <v>174.0</v>
      </c>
      <c r="AM990" s="1">
        <v>73.0</v>
      </c>
      <c r="AN990" s="1">
        <v>74.0</v>
      </c>
      <c r="AO990" s="1">
        <v>3122.0</v>
      </c>
      <c r="AP990" s="1">
        <v>0.140019</v>
      </c>
      <c r="AQ990" s="1">
        <v>0.047394</v>
      </c>
      <c r="AR990" s="1">
        <v>0.101272</v>
      </c>
      <c r="AS990" s="1">
        <v>0.219371</v>
      </c>
      <c r="AT990" s="1">
        <v>11754.0</v>
      </c>
      <c r="AU990" s="1">
        <v>1737.0</v>
      </c>
      <c r="AV990" s="1">
        <v>0.220227</v>
      </c>
      <c r="AW990" s="1">
        <v>0.046568</v>
      </c>
      <c r="AX990" s="1">
        <v>0.114381</v>
      </c>
      <c r="AY990" s="1">
        <v>0.133165</v>
      </c>
      <c r="AZ990" s="1">
        <v>0.13464788</v>
      </c>
      <c r="BA990" s="1">
        <v>0.179562</v>
      </c>
      <c r="BB990" s="1">
        <v>0.005864</v>
      </c>
      <c r="BC990" s="1">
        <v>0.061506</v>
      </c>
      <c r="BD990" s="1">
        <v>0.065959</v>
      </c>
      <c r="BE990" s="1">
        <v>0.046712</v>
      </c>
      <c r="BF990" s="1">
        <v>0.070082</v>
      </c>
      <c r="BG990" s="1">
        <v>0.037122</v>
      </c>
      <c r="BH990" s="1">
        <v>0.10625</v>
      </c>
      <c r="BI990" s="1">
        <v>0.108242</v>
      </c>
      <c r="BJ990" s="1">
        <v>0.045625</v>
      </c>
      <c r="BK990" s="1">
        <v>0.04603</v>
      </c>
      <c r="BL990" s="1">
        <v>0.437622</v>
      </c>
      <c r="BM990" s="1">
        <v>0.545</v>
      </c>
      <c r="BN990" s="1">
        <v>0.74</v>
      </c>
      <c r="BO990" s="1">
        <v>0.9632</v>
      </c>
      <c r="BP990" s="1">
        <v>0.803</v>
      </c>
      <c r="BQ990" s="1">
        <v>3.0512</v>
      </c>
      <c r="BR990" s="1">
        <v>0.8137</v>
      </c>
      <c r="BS990" s="1">
        <v>0.306</v>
      </c>
      <c r="BT990" s="1">
        <v>0.046</v>
      </c>
      <c r="BU990" s="1">
        <v>0.737</v>
      </c>
      <c r="BV990" s="1">
        <v>1.089</v>
      </c>
      <c r="BW990" s="1">
        <v>0.158</v>
      </c>
      <c r="BX990" s="1">
        <v>0.677</v>
      </c>
      <c r="BY990" s="1">
        <v>0.592</v>
      </c>
      <c r="BZ990" s="1">
        <v>1.269</v>
      </c>
      <c r="CA990" s="1">
        <v>0.696</v>
      </c>
      <c r="CB990" s="1">
        <v>0.707</v>
      </c>
      <c r="CC990" s="1">
        <v>0.65</v>
      </c>
      <c r="CD990" s="1">
        <v>0.997</v>
      </c>
      <c r="CE990" s="1">
        <v>0.448</v>
      </c>
      <c r="CF990" s="1">
        <v>0.991</v>
      </c>
      <c r="CG990" s="1">
        <v>3.793</v>
      </c>
      <c r="CH990" s="1">
        <v>0.986</v>
      </c>
      <c r="CI990" s="1">
        <v>9.2022</v>
      </c>
      <c r="CJ990" s="1">
        <v>0.8758</v>
      </c>
      <c r="CK990" s="1">
        <v>0.0</v>
      </c>
      <c r="CL990" s="1">
        <v>0.0</v>
      </c>
      <c r="CM990" s="1">
        <v>1.0</v>
      </c>
      <c r="CN990" s="1">
        <v>0.0</v>
      </c>
      <c r="CO990" s="1">
        <v>1.0</v>
      </c>
      <c r="CP990" s="1">
        <v>0.0</v>
      </c>
      <c r="CQ990" s="1">
        <v>0.0</v>
      </c>
      <c r="CR990" s="1">
        <v>0.0</v>
      </c>
      <c r="CS990" s="1">
        <v>0.0</v>
      </c>
      <c r="CT990" s="1">
        <v>0.0</v>
      </c>
      <c r="CU990" s="1">
        <v>0.0</v>
      </c>
      <c r="CV990" s="1">
        <v>0.0</v>
      </c>
      <c r="CW990" s="1">
        <v>0.0</v>
      </c>
      <c r="CX990" s="1">
        <v>0.0</v>
      </c>
      <c r="CY990" s="1">
        <v>1.0</v>
      </c>
      <c r="CZ990" s="1">
        <v>0.0</v>
      </c>
      <c r="DA990" s="1">
        <v>1.0</v>
      </c>
      <c r="DB990" s="1">
        <v>2.0</v>
      </c>
      <c r="DC990" s="1">
        <v>3.0</v>
      </c>
      <c r="DD990" s="1" t="s">
        <v>4528</v>
      </c>
      <c r="DE990" s="1">
        <v>7.7050728892486E-4</v>
      </c>
      <c r="DF990" s="2" t="s">
        <v>4529</v>
      </c>
    </row>
    <row r="991" ht="15.75" customHeight="1">
      <c r="A991" s="1" t="s">
        <v>4530</v>
      </c>
      <c r="B991" s="1">
        <v>29.0</v>
      </c>
      <c r="C991" s="1">
        <v>187.0</v>
      </c>
      <c r="D991" s="1">
        <v>950101.0</v>
      </c>
      <c r="E991" s="1">
        <v>87.872</v>
      </c>
      <c r="F991" s="1">
        <v>29187.0</v>
      </c>
      <c r="G991" s="1">
        <v>2.9187950101E10</v>
      </c>
      <c r="H991" s="1" t="s">
        <v>112</v>
      </c>
      <c r="I991" s="1" t="s">
        <v>113</v>
      </c>
      <c r="J991" s="1" t="s">
        <v>4518</v>
      </c>
      <c r="K991" s="1" t="s">
        <v>4531</v>
      </c>
      <c r="L991" s="1">
        <v>4435.0</v>
      </c>
      <c r="M991" s="1">
        <v>4479.0</v>
      </c>
      <c r="N991" s="1">
        <v>468.0</v>
      </c>
      <c r="O991" s="1">
        <v>3115.0</v>
      </c>
      <c r="P991" s="1">
        <v>2673.0</v>
      </c>
      <c r="Q991" s="1">
        <v>187.0</v>
      </c>
      <c r="R991" s="1">
        <v>1785.0</v>
      </c>
      <c r="S991" s="1">
        <v>833.0</v>
      </c>
      <c r="T991" s="1">
        <v>495.0</v>
      </c>
      <c r="U991" s="1">
        <v>203.0</v>
      </c>
      <c r="V991" s="1">
        <v>433.0</v>
      </c>
      <c r="W991" s="1">
        <v>19316.0</v>
      </c>
      <c r="X991" s="1">
        <v>2589.0</v>
      </c>
      <c r="Y991" s="1">
        <v>683.0</v>
      </c>
      <c r="Z991" s="1">
        <v>297.0</v>
      </c>
      <c r="AA991" s="1">
        <v>680.0</v>
      </c>
      <c r="AB991" s="1">
        <v>955.0</v>
      </c>
      <c r="AC991" s="1">
        <v>157.0</v>
      </c>
      <c r="AD991" s="1">
        <v>108.0</v>
      </c>
      <c r="AE991" s="1">
        <v>0.0</v>
      </c>
      <c r="AF991" s="1">
        <v>456.0</v>
      </c>
      <c r="AG991" s="1">
        <v>0.0</v>
      </c>
      <c r="AH991" s="1">
        <v>197.0</v>
      </c>
      <c r="AI991" s="1">
        <v>1071.0</v>
      </c>
      <c r="AJ991" s="1">
        <v>197.0</v>
      </c>
      <c r="AK991" s="1">
        <v>42.0</v>
      </c>
      <c r="AL991" s="1">
        <v>130.0</v>
      </c>
      <c r="AM991" s="1">
        <v>41.0</v>
      </c>
      <c r="AN991" s="1">
        <v>39.0</v>
      </c>
      <c r="AO991" s="1">
        <v>0.0</v>
      </c>
      <c r="AP991" s="1">
        <v>0.185979</v>
      </c>
      <c r="AQ991" s="1">
        <v>0.108793</v>
      </c>
      <c r="AR991" s="1">
        <v>0.100197</v>
      </c>
      <c r="AS991" s="1">
        <v>0.213051</v>
      </c>
      <c r="AT991" s="1">
        <v>19316.0</v>
      </c>
      <c r="AU991" s="1">
        <v>2589.0</v>
      </c>
      <c r="AV991" s="1">
        <v>0.225189</v>
      </c>
      <c r="AW991" s="1">
        <v>0.096045</v>
      </c>
      <c r="AX991" s="1">
        <v>0.153325</v>
      </c>
      <c r="AY991" s="1">
        <v>0.215332</v>
      </c>
      <c r="AZ991" s="1">
        <v>0.08795518</v>
      </c>
      <c r="BA991" s="1">
        <v>0.024351</v>
      </c>
      <c r="BB991" s="1">
        <v>0.0</v>
      </c>
      <c r="BC991" s="1">
        <v>0.108133</v>
      </c>
      <c r="BD991" s="1">
        <v>0.0</v>
      </c>
      <c r="BE991" s="1">
        <v>0.073699</v>
      </c>
      <c r="BF991" s="1">
        <v>0.400673</v>
      </c>
      <c r="BG991" s="1">
        <v>0.068161</v>
      </c>
      <c r="BH991" s="1">
        <v>0.02295</v>
      </c>
      <c r="BI991" s="1">
        <v>0.071008</v>
      </c>
      <c r="BJ991" s="1">
        <v>0.022404</v>
      </c>
      <c r="BK991" s="1">
        <v>0.021216</v>
      </c>
      <c r="BL991" s="1">
        <v>0.0</v>
      </c>
      <c r="BM991" s="1">
        <v>0.692</v>
      </c>
      <c r="BN991" s="1">
        <v>0.73</v>
      </c>
      <c r="BO991" s="1">
        <v>0.6513</v>
      </c>
      <c r="BP991" s="1">
        <v>0.813</v>
      </c>
      <c r="BQ991" s="1">
        <v>2.8863</v>
      </c>
      <c r="BR991" s="1">
        <v>0.7755</v>
      </c>
      <c r="BS991" s="1">
        <v>0.606</v>
      </c>
      <c r="BT991" s="1">
        <v>0.271</v>
      </c>
      <c r="BU991" s="1">
        <v>0.387</v>
      </c>
      <c r="BV991" s="1">
        <v>1.264</v>
      </c>
      <c r="BW991" s="1">
        <v>0.276</v>
      </c>
      <c r="BX991" s="1">
        <v>0.041</v>
      </c>
      <c r="BY991" s="1">
        <v>0.0</v>
      </c>
      <c r="BZ991" s="1">
        <v>0.041</v>
      </c>
      <c r="CA991" s="1">
        <v>0.02</v>
      </c>
      <c r="CB991" s="1">
        <v>0.0</v>
      </c>
      <c r="CC991" s="1">
        <v>0.994</v>
      </c>
      <c r="CD991" s="1">
        <v>0.725</v>
      </c>
      <c r="CE991" s="1">
        <v>0.207</v>
      </c>
      <c r="CF991" s="1">
        <v>0.0</v>
      </c>
      <c r="CG991" s="1">
        <v>1.926</v>
      </c>
      <c r="CH991" s="1">
        <v>0.315</v>
      </c>
      <c r="CI991" s="1">
        <v>6.1173</v>
      </c>
      <c r="CJ991" s="1">
        <v>0.3913</v>
      </c>
      <c r="CK991" s="1">
        <v>0.0</v>
      </c>
      <c r="CL991" s="1">
        <v>0.0</v>
      </c>
      <c r="CM991" s="1">
        <v>0.0</v>
      </c>
      <c r="CN991" s="1">
        <v>0.0</v>
      </c>
      <c r="CO991" s="1">
        <v>0.0</v>
      </c>
      <c r="CP991" s="1">
        <v>0.0</v>
      </c>
      <c r="CQ991" s="1">
        <v>0.0</v>
      </c>
      <c r="CR991" s="1">
        <v>0.0</v>
      </c>
      <c r="CS991" s="1">
        <v>0.0</v>
      </c>
      <c r="CT991" s="1">
        <v>0.0</v>
      </c>
      <c r="CU991" s="1">
        <v>0.0</v>
      </c>
      <c r="CV991" s="1">
        <v>0.0</v>
      </c>
      <c r="CW991" s="1">
        <v>0.0</v>
      </c>
      <c r="CX991" s="1">
        <v>1.0</v>
      </c>
      <c r="CY991" s="1">
        <v>0.0</v>
      </c>
      <c r="CZ991" s="1">
        <v>0.0</v>
      </c>
      <c r="DA991" s="1">
        <v>0.0</v>
      </c>
      <c r="DB991" s="1">
        <v>1.0</v>
      </c>
      <c r="DC991" s="1">
        <v>1.0</v>
      </c>
      <c r="DD991" s="1" t="s">
        <v>4532</v>
      </c>
      <c r="DE991" s="2" t="s">
        <v>4533</v>
      </c>
      <c r="DF991" s="2" t="s">
        <v>4534</v>
      </c>
    </row>
    <row r="992" ht="15.75" customHeight="1">
      <c r="A992" s="1" t="s">
        <v>4535</v>
      </c>
      <c r="B992" s="1">
        <v>29.0</v>
      </c>
      <c r="C992" s="1">
        <v>187.0</v>
      </c>
      <c r="D992" s="1">
        <v>950102.0</v>
      </c>
      <c r="E992" s="1">
        <v>48.954</v>
      </c>
      <c r="F992" s="1">
        <v>29187.0</v>
      </c>
      <c r="G992" s="1">
        <v>2.9187950102E10</v>
      </c>
      <c r="H992" s="1" t="s">
        <v>112</v>
      </c>
      <c r="I992" s="1" t="s">
        <v>113</v>
      </c>
      <c r="J992" s="1" t="s">
        <v>4518</v>
      </c>
      <c r="K992" s="1" t="s">
        <v>4536</v>
      </c>
      <c r="L992" s="1">
        <v>4765.0</v>
      </c>
      <c r="M992" s="1">
        <v>4541.0</v>
      </c>
      <c r="N992" s="1">
        <v>442.0</v>
      </c>
      <c r="O992" s="1">
        <v>2741.0</v>
      </c>
      <c r="P992" s="1">
        <v>2694.0</v>
      </c>
      <c r="Q992" s="1">
        <v>152.0</v>
      </c>
      <c r="R992" s="1">
        <v>1893.0</v>
      </c>
      <c r="S992" s="1">
        <v>370.0</v>
      </c>
      <c r="T992" s="1">
        <v>183.0</v>
      </c>
      <c r="U992" s="1">
        <v>137.0</v>
      </c>
      <c r="V992" s="1">
        <v>417.0</v>
      </c>
      <c r="W992" s="1">
        <v>24666.0</v>
      </c>
      <c r="X992" s="1">
        <v>2626.0</v>
      </c>
      <c r="Y992" s="1">
        <v>529.0</v>
      </c>
      <c r="Z992" s="1">
        <v>220.0</v>
      </c>
      <c r="AA992" s="1">
        <v>911.0</v>
      </c>
      <c r="AB992" s="1">
        <v>1102.0</v>
      </c>
      <c r="AC992" s="1">
        <v>158.0</v>
      </c>
      <c r="AD992" s="1">
        <v>145.0</v>
      </c>
      <c r="AE992" s="1">
        <v>59.0</v>
      </c>
      <c r="AF992" s="1">
        <v>451.0</v>
      </c>
      <c r="AG992" s="1">
        <v>0.0</v>
      </c>
      <c r="AH992" s="1">
        <v>197.0</v>
      </c>
      <c r="AI992" s="1">
        <v>605.0</v>
      </c>
      <c r="AJ992" s="1">
        <v>152.0</v>
      </c>
      <c r="AK992" s="1">
        <v>0.0</v>
      </c>
      <c r="AL992" s="1">
        <v>161.0</v>
      </c>
      <c r="AM992" s="1">
        <v>77.0</v>
      </c>
      <c r="AN992" s="1">
        <v>127.0</v>
      </c>
      <c r="AO992" s="1">
        <v>0.0</v>
      </c>
      <c r="AP992" s="1">
        <v>0.083843</v>
      </c>
      <c r="AQ992" s="1">
        <v>0.040663</v>
      </c>
      <c r="AR992" s="1">
        <v>0.069191</v>
      </c>
      <c r="AS992" s="1">
        <v>0.210351</v>
      </c>
      <c r="AT992" s="1">
        <v>24666.0</v>
      </c>
      <c r="AU992" s="1">
        <v>2626.0</v>
      </c>
      <c r="AV992" s="1">
        <v>0.162021</v>
      </c>
      <c r="AW992" s="1">
        <v>0.066153</v>
      </c>
      <c r="AX992" s="1">
        <v>0.191185</v>
      </c>
      <c r="AY992" s="1">
        <v>0.231269</v>
      </c>
      <c r="AZ992" s="1">
        <v>0.08346539</v>
      </c>
      <c r="BA992" s="1">
        <v>0.03043</v>
      </c>
      <c r="BB992" s="1">
        <v>0.013918</v>
      </c>
      <c r="BC992" s="1">
        <v>0.106385</v>
      </c>
      <c r="BD992" s="1">
        <v>0.0</v>
      </c>
      <c r="BE992" s="1">
        <v>0.073125</v>
      </c>
      <c r="BF992" s="1">
        <v>0.224573</v>
      </c>
      <c r="BG992" s="1">
        <v>0.05498</v>
      </c>
      <c r="BH992" s="1">
        <v>0.0</v>
      </c>
      <c r="BI992" s="1">
        <v>0.085365</v>
      </c>
      <c r="BJ992" s="1">
        <v>0.040827</v>
      </c>
      <c r="BK992" s="1">
        <v>0.067243</v>
      </c>
      <c r="BL992" s="1">
        <v>0.0</v>
      </c>
      <c r="BM992" s="1">
        <v>0.31</v>
      </c>
      <c r="BN992" s="1">
        <v>0.507</v>
      </c>
      <c r="BO992" s="1">
        <v>0.3632</v>
      </c>
      <c r="BP992" s="1">
        <v>0.62</v>
      </c>
      <c r="BQ992" s="1">
        <v>1.8002</v>
      </c>
      <c r="BR992" s="1">
        <v>0.431</v>
      </c>
      <c r="BS992" s="1">
        <v>0.842</v>
      </c>
      <c r="BT992" s="1">
        <v>0.4</v>
      </c>
      <c r="BU992" s="1">
        <v>0.345</v>
      </c>
      <c r="BV992" s="1">
        <v>1.587</v>
      </c>
      <c r="BW992" s="1">
        <v>0.558</v>
      </c>
      <c r="BX992" s="1">
        <v>0.082</v>
      </c>
      <c r="BY992" s="1">
        <v>0.794</v>
      </c>
      <c r="BZ992" s="1">
        <v>0.876</v>
      </c>
      <c r="CA992" s="1">
        <v>0.448</v>
      </c>
      <c r="CB992" s="1">
        <v>0.0</v>
      </c>
      <c r="CC992" s="1">
        <v>0.924</v>
      </c>
      <c r="CD992" s="1">
        <v>0.0</v>
      </c>
      <c r="CE992" s="1">
        <v>0.397</v>
      </c>
      <c r="CF992" s="1">
        <v>0.0</v>
      </c>
      <c r="CG992" s="1">
        <v>1.321</v>
      </c>
      <c r="CH992" s="1">
        <v>0.133</v>
      </c>
      <c r="CI992" s="1">
        <v>5.5842</v>
      </c>
      <c r="CJ992" s="1">
        <v>0.296</v>
      </c>
      <c r="CK992" s="1">
        <v>0.0</v>
      </c>
      <c r="CL992" s="1">
        <v>0.0</v>
      </c>
      <c r="CM992" s="1">
        <v>0.0</v>
      </c>
      <c r="CN992" s="1">
        <v>0.0</v>
      </c>
      <c r="CO992" s="1">
        <v>0.0</v>
      </c>
      <c r="CP992" s="1">
        <v>0.0</v>
      </c>
      <c r="CQ992" s="1">
        <v>0.0</v>
      </c>
      <c r="CR992" s="1">
        <v>0.0</v>
      </c>
      <c r="CS992" s="1">
        <v>0.0</v>
      </c>
      <c r="CT992" s="1">
        <v>0.0</v>
      </c>
      <c r="CU992" s="1">
        <v>0.0</v>
      </c>
      <c r="CV992" s="1">
        <v>0.0</v>
      </c>
      <c r="CW992" s="1">
        <v>0.0</v>
      </c>
      <c r="CX992" s="1">
        <v>1.0</v>
      </c>
      <c r="CY992" s="1">
        <v>0.0</v>
      </c>
      <c r="CZ992" s="1">
        <v>0.0</v>
      </c>
      <c r="DA992" s="1">
        <v>0.0</v>
      </c>
      <c r="DB992" s="1">
        <v>1.0</v>
      </c>
      <c r="DC992" s="1">
        <v>1.0</v>
      </c>
      <c r="DD992" s="1" t="s">
        <v>4537</v>
      </c>
      <c r="DE992" s="2" t="s">
        <v>4538</v>
      </c>
      <c r="DF992" s="2" t="s">
        <v>4539</v>
      </c>
    </row>
    <row r="993" ht="15.75" customHeight="1">
      <c r="A993" s="1" t="s">
        <v>4540</v>
      </c>
      <c r="B993" s="1">
        <v>29.0</v>
      </c>
      <c r="C993" s="1">
        <v>187.0</v>
      </c>
      <c r="D993" s="1">
        <v>950300.0</v>
      </c>
      <c r="E993" s="1">
        <v>12.003</v>
      </c>
      <c r="F993" s="1">
        <v>29187.0</v>
      </c>
      <c r="G993" s="1">
        <v>2.91879503E10</v>
      </c>
      <c r="H993" s="1" t="s">
        <v>112</v>
      </c>
      <c r="I993" s="1" t="s">
        <v>113</v>
      </c>
      <c r="J993" s="1" t="s">
        <v>4518</v>
      </c>
      <c r="K993" s="1" t="s">
        <v>4541</v>
      </c>
      <c r="L993" s="1">
        <v>7866.0</v>
      </c>
      <c r="M993" s="1">
        <v>7555.0</v>
      </c>
      <c r="N993" s="1">
        <v>420.0</v>
      </c>
      <c r="O993" s="1">
        <v>2301.0</v>
      </c>
      <c r="P993" s="1">
        <v>2379.0</v>
      </c>
      <c r="Q993" s="1">
        <v>221.0</v>
      </c>
      <c r="R993" s="1">
        <v>2009.0</v>
      </c>
      <c r="S993" s="1">
        <v>935.0</v>
      </c>
      <c r="T993" s="1">
        <v>343.0</v>
      </c>
      <c r="U993" s="1">
        <v>479.0</v>
      </c>
      <c r="V993" s="1">
        <v>416.0</v>
      </c>
      <c r="W993" s="1">
        <v>13658.0</v>
      </c>
      <c r="X993" s="1">
        <v>1131.0</v>
      </c>
      <c r="Y993" s="1">
        <v>1434.0</v>
      </c>
      <c r="Z993" s="1">
        <v>277.0</v>
      </c>
      <c r="AA993" s="1">
        <v>869.0</v>
      </c>
      <c r="AB993" s="1">
        <v>1412.0</v>
      </c>
      <c r="AC993" s="1">
        <v>280.0</v>
      </c>
      <c r="AD993" s="1">
        <v>1497.0</v>
      </c>
      <c r="AE993" s="1">
        <v>10.0</v>
      </c>
      <c r="AF993" s="1">
        <v>442.0</v>
      </c>
      <c r="AG993" s="1">
        <v>12.0</v>
      </c>
      <c r="AH993" s="1">
        <v>162.0</v>
      </c>
      <c r="AI993" s="1">
        <v>133.0</v>
      </c>
      <c r="AJ993" s="1">
        <v>64.0</v>
      </c>
      <c r="AK993" s="1">
        <v>59.0</v>
      </c>
      <c r="AL993" s="1">
        <v>124.0</v>
      </c>
      <c r="AM993" s="1">
        <v>107.0</v>
      </c>
      <c r="AN993" s="1">
        <v>51.0</v>
      </c>
      <c r="AO993" s="1">
        <v>2706.0</v>
      </c>
      <c r="AP993" s="1">
        <v>0.180119</v>
      </c>
      <c r="AQ993" s="1">
        <v>0.064456</v>
      </c>
      <c r="AR993" s="1">
        <v>0.173487</v>
      </c>
      <c r="AS993" s="1">
        <v>0.149262</v>
      </c>
      <c r="AT993" s="1">
        <v>13658.0</v>
      </c>
      <c r="AU993" s="1">
        <v>1131.0</v>
      </c>
      <c r="AV993" s="1">
        <v>0.269346</v>
      </c>
      <c r="AW993" s="1">
        <v>0.050189</v>
      </c>
      <c r="AX993" s="1">
        <v>0.110475</v>
      </c>
      <c r="AY993" s="1">
        <v>0.179506</v>
      </c>
      <c r="AZ993" s="1">
        <v>0.13937282</v>
      </c>
      <c r="BA993" s="1">
        <v>0.190312</v>
      </c>
      <c r="BB993" s="1">
        <v>0.001372</v>
      </c>
      <c r="BC993" s="1">
        <v>0.060672</v>
      </c>
      <c r="BD993" s="1">
        <v>0.005044</v>
      </c>
      <c r="BE993" s="1">
        <v>0.068094</v>
      </c>
      <c r="BF993" s="1">
        <v>0.055905</v>
      </c>
      <c r="BG993" s="1">
        <v>0.026396</v>
      </c>
      <c r="BH993" s="1">
        <v>0.02783</v>
      </c>
      <c r="BI993" s="1">
        <v>0.05844</v>
      </c>
      <c r="BJ993" s="1">
        <v>0.050471</v>
      </c>
      <c r="BK993" s="1">
        <v>0.023654</v>
      </c>
      <c r="BL993" s="1">
        <v>0.344012</v>
      </c>
      <c r="BM993" s="1">
        <v>0.676</v>
      </c>
      <c r="BN993" s="1">
        <v>0.928</v>
      </c>
      <c r="BO993" s="1">
        <v>0.9199</v>
      </c>
      <c r="BP993" s="1">
        <v>0.905</v>
      </c>
      <c r="BQ993" s="1">
        <v>3.4289</v>
      </c>
      <c r="BR993" s="1">
        <v>0.9069</v>
      </c>
      <c r="BS993" s="1">
        <v>0.276</v>
      </c>
      <c r="BT993" s="1">
        <v>0.119</v>
      </c>
      <c r="BU993" s="1">
        <v>0.754</v>
      </c>
      <c r="BV993" s="1">
        <v>1.149</v>
      </c>
      <c r="BW993" s="1">
        <v>0.197</v>
      </c>
      <c r="BX993" s="1">
        <v>0.694</v>
      </c>
      <c r="BY993" s="1">
        <v>0.348</v>
      </c>
      <c r="BZ993" s="1">
        <v>1.042</v>
      </c>
      <c r="CA993" s="1">
        <v>0.574</v>
      </c>
      <c r="CB993" s="1">
        <v>0.317</v>
      </c>
      <c r="CC993" s="1">
        <v>0.62</v>
      </c>
      <c r="CD993" s="1">
        <v>0.787</v>
      </c>
      <c r="CE993" s="1">
        <v>0.489</v>
      </c>
      <c r="CF993" s="1">
        <v>0.985</v>
      </c>
      <c r="CG993" s="1">
        <v>3.198</v>
      </c>
      <c r="CH993" s="1">
        <v>0.842</v>
      </c>
      <c r="CI993" s="1">
        <v>8.8179</v>
      </c>
      <c r="CJ993" s="1">
        <v>0.8296</v>
      </c>
      <c r="CK993" s="1">
        <v>0.0</v>
      </c>
      <c r="CL993" s="1">
        <v>1.0</v>
      </c>
      <c r="CM993" s="1">
        <v>1.0</v>
      </c>
      <c r="CN993" s="1">
        <v>1.0</v>
      </c>
      <c r="CO993" s="1">
        <v>3.0</v>
      </c>
      <c r="CP993" s="1">
        <v>0.0</v>
      </c>
      <c r="CQ993" s="1">
        <v>0.0</v>
      </c>
      <c r="CR993" s="1">
        <v>0.0</v>
      </c>
      <c r="CS993" s="1">
        <v>0.0</v>
      </c>
      <c r="CT993" s="1">
        <v>0.0</v>
      </c>
      <c r="CU993" s="1">
        <v>0.0</v>
      </c>
      <c r="CV993" s="1">
        <v>0.0</v>
      </c>
      <c r="CW993" s="1">
        <v>0.0</v>
      </c>
      <c r="CX993" s="1">
        <v>0.0</v>
      </c>
      <c r="CY993" s="1">
        <v>0.0</v>
      </c>
      <c r="CZ993" s="1">
        <v>0.0</v>
      </c>
      <c r="DA993" s="1">
        <v>1.0</v>
      </c>
      <c r="DB993" s="1">
        <v>1.0</v>
      </c>
      <c r="DC993" s="1">
        <v>4.0</v>
      </c>
      <c r="DD993" s="1" t="s">
        <v>4542</v>
      </c>
      <c r="DE993" s="1">
        <v>0.00319302688761728</v>
      </c>
      <c r="DF993" s="2" t="s">
        <v>4543</v>
      </c>
    </row>
    <row r="994" ht="15.75" customHeight="1">
      <c r="A994" s="1" t="s">
        <v>4544</v>
      </c>
      <c r="B994" s="1">
        <v>29.0</v>
      </c>
      <c r="C994" s="1">
        <v>187.0</v>
      </c>
      <c r="D994" s="1">
        <v>950400.0</v>
      </c>
      <c r="E994" s="1">
        <v>63.229</v>
      </c>
      <c r="F994" s="1">
        <v>29187.0</v>
      </c>
      <c r="G994" s="1">
        <v>2.91879504E10</v>
      </c>
      <c r="H994" s="1" t="s">
        <v>112</v>
      </c>
      <c r="I994" s="1" t="s">
        <v>113</v>
      </c>
      <c r="J994" s="1" t="s">
        <v>4518</v>
      </c>
      <c r="K994" s="1" t="s">
        <v>4545</v>
      </c>
      <c r="L994" s="1">
        <v>6866.0</v>
      </c>
      <c r="M994" s="1">
        <v>6698.0</v>
      </c>
      <c r="N994" s="1">
        <v>513.0</v>
      </c>
      <c r="O994" s="1">
        <v>2897.0</v>
      </c>
      <c r="P994" s="1">
        <v>2943.0</v>
      </c>
      <c r="Q994" s="1">
        <v>151.0</v>
      </c>
      <c r="R994" s="1">
        <v>2534.0</v>
      </c>
      <c r="S994" s="1">
        <v>1030.0</v>
      </c>
      <c r="T994" s="1">
        <v>354.0</v>
      </c>
      <c r="U994" s="1">
        <v>439.0</v>
      </c>
      <c r="V994" s="1">
        <v>329.0</v>
      </c>
      <c r="W994" s="1">
        <v>20216.0</v>
      </c>
      <c r="X994" s="1">
        <v>1785.0</v>
      </c>
      <c r="Y994" s="1">
        <v>1120.0</v>
      </c>
      <c r="Z994" s="1">
        <v>259.0</v>
      </c>
      <c r="AA994" s="1">
        <v>852.0</v>
      </c>
      <c r="AB994" s="1">
        <v>1694.0</v>
      </c>
      <c r="AC994" s="1">
        <v>280.0</v>
      </c>
      <c r="AD994" s="1">
        <v>278.0</v>
      </c>
      <c r="AE994" s="1">
        <v>9.0</v>
      </c>
      <c r="AF994" s="1">
        <v>442.0</v>
      </c>
      <c r="AG994" s="1">
        <v>65.0</v>
      </c>
      <c r="AH994" s="1">
        <v>181.0</v>
      </c>
      <c r="AI994" s="1">
        <v>708.0</v>
      </c>
      <c r="AJ994" s="1">
        <v>162.0</v>
      </c>
      <c r="AK994" s="1">
        <v>52.0</v>
      </c>
      <c r="AL994" s="1">
        <v>120.0</v>
      </c>
      <c r="AM994" s="1">
        <v>123.0</v>
      </c>
      <c r="AN994" s="1">
        <v>59.0</v>
      </c>
      <c r="AO994" s="1">
        <v>234.0</v>
      </c>
      <c r="AP994" s="1">
        <v>0.161214</v>
      </c>
      <c r="AQ994" s="1">
        <v>0.054123</v>
      </c>
      <c r="AR994" s="1">
        <v>0.128814</v>
      </c>
      <c r="AS994" s="1">
        <v>0.095496</v>
      </c>
      <c r="AT994" s="1">
        <v>20216.0</v>
      </c>
      <c r="AU994" s="1">
        <v>1785.0</v>
      </c>
      <c r="AV994" s="1">
        <v>0.23845</v>
      </c>
      <c r="AW994" s="1">
        <v>0.051266</v>
      </c>
      <c r="AX994" s="1">
        <v>0.124089</v>
      </c>
      <c r="AY994" s="1">
        <v>0.246722</v>
      </c>
      <c r="AZ994" s="1">
        <v>0.11049723</v>
      </c>
      <c r="BA994" s="1">
        <v>0.040489</v>
      </c>
      <c r="BB994" s="1">
        <v>0.001424</v>
      </c>
      <c r="BC994" s="1">
        <v>0.06998</v>
      </c>
      <c r="BD994" s="1">
        <v>0.022086</v>
      </c>
      <c r="BE994" s="1">
        <v>0.061491</v>
      </c>
      <c r="BF994" s="1">
        <v>0.24057</v>
      </c>
      <c r="BG994" s="1">
        <v>0.053644</v>
      </c>
      <c r="BH994" s="1">
        <v>0.019749</v>
      </c>
      <c r="BI994" s="1">
        <v>0.045558</v>
      </c>
      <c r="BJ994" s="1">
        <v>0.046714</v>
      </c>
      <c r="BK994" s="1">
        <v>0.022211</v>
      </c>
      <c r="BL994" s="1">
        <v>0.03408</v>
      </c>
      <c r="BM994" s="1">
        <v>0.614</v>
      </c>
      <c r="BN994" s="1">
        <v>0.854</v>
      </c>
      <c r="BO994" s="1">
        <v>0.5971</v>
      </c>
      <c r="BP994" s="1">
        <v>0.84</v>
      </c>
      <c r="BQ994" s="1">
        <v>2.9051</v>
      </c>
      <c r="BR994" s="1">
        <v>0.7819</v>
      </c>
      <c r="BS994" s="1">
        <v>0.372</v>
      </c>
      <c r="BT994" s="1">
        <v>0.562</v>
      </c>
      <c r="BU994" s="1">
        <v>0.59</v>
      </c>
      <c r="BV994" s="1">
        <v>1.524</v>
      </c>
      <c r="BW994" s="1">
        <v>0.501</v>
      </c>
      <c r="BX994" s="1">
        <v>0.166</v>
      </c>
      <c r="BY994" s="1">
        <v>0.353</v>
      </c>
      <c r="BZ994" s="1">
        <v>0.519</v>
      </c>
      <c r="CA994" s="1">
        <v>0.218</v>
      </c>
      <c r="CB994" s="1">
        <v>0.492</v>
      </c>
      <c r="CC994" s="1">
        <v>0.939</v>
      </c>
      <c r="CD994" s="1">
        <v>0.679</v>
      </c>
      <c r="CE994" s="1">
        <v>0.458</v>
      </c>
      <c r="CF994" s="1">
        <v>0.83</v>
      </c>
      <c r="CG994" s="1">
        <v>3.398</v>
      </c>
      <c r="CH994" s="1">
        <v>0.911</v>
      </c>
      <c r="CI994" s="1">
        <v>8.3461</v>
      </c>
      <c r="CJ994" s="1">
        <v>0.7653</v>
      </c>
      <c r="CK994" s="1">
        <v>0.0</v>
      </c>
      <c r="CL994" s="1">
        <v>0.0</v>
      </c>
      <c r="CM994" s="1">
        <v>0.0</v>
      </c>
      <c r="CN994" s="1">
        <v>0.0</v>
      </c>
      <c r="CO994" s="1">
        <v>0.0</v>
      </c>
      <c r="CP994" s="1">
        <v>0.0</v>
      </c>
      <c r="CQ994" s="1">
        <v>0.0</v>
      </c>
      <c r="CR994" s="1">
        <v>0.0</v>
      </c>
      <c r="CS994" s="1">
        <v>0.0</v>
      </c>
      <c r="CT994" s="1">
        <v>0.0</v>
      </c>
      <c r="CU994" s="1">
        <v>0.0</v>
      </c>
      <c r="CV994" s="1">
        <v>0.0</v>
      </c>
      <c r="CW994" s="1">
        <v>0.0</v>
      </c>
      <c r="CX994" s="1">
        <v>1.0</v>
      </c>
      <c r="CY994" s="1">
        <v>0.0</v>
      </c>
      <c r="CZ994" s="1">
        <v>0.0</v>
      </c>
      <c r="DA994" s="1">
        <v>0.0</v>
      </c>
      <c r="DB994" s="1">
        <v>1.0</v>
      </c>
      <c r="DC994" s="1">
        <v>1.0</v>
      </c>
      <c r="DD994" s="1" t="s">
        <v>4546</v>
      </c>
      <c r="DE994" s="2" t="s">
        <v>4547</v>
      </c>
      <c r="DF994" s="2" t="s">
        <v>4548</v>
      </c>
    </row>
    <row r="995" ht="15.75" customHeight="1">
      <c r="A995" s="1" t="s">
        <v>4549</v>
      </c>
      <c r="B995" s="1">
        <v>29.0</v>
      </c>
      <c r="C995" s="1">
        <v>187.0</v>
      </c>
      <c r="D995" s="1">
        <v>950700.0</v>
      </c>
      <c r="E995" s="1">
        <v>162.835</v>
      </c>
      <c r="F995" s="1">
        <v>29187.0</v>
      </c>
      <c r="G995" s="1">
        <v>2.91879507E10</v>
      </c>
      <c r="H995" s="1" t="s">
        <v>112</v>
      </c>
      <c r="I995" s="1" t="s">
        <v>113</v>
      </c>
      <c r="J995" s="1" t="s">
        <v>4518</v>
      </c>
      <c r="K995" s="1" t="s">
        <v>4550</v>
      </c>
      <c r="L995" s="1">
        <v>8057.0</v>
      </c>
      <c r="M995" s="1">
        <v>7030.0</v>
      </c>
      <c r="N995" s="1">
        <v>521.0</v>
      </c>
      <c r="O995" s="1">
        <v>3449.0</v>
      </c>
      <c r="P995" s="1">
        <v>3224.0</v>
      </c>
      <c r="Q995" s="1">
        <v>192.0</v>
      </c>
      <c r="R995" s="1">
        <v>3054.0</v>
      </c>
      <c r="S995" s="1">
        <v>345.0</v>
      </c>
      <c r="T995" s="1">
        <v>183.0</v>
      </c>
      <c r="U995" s="1">
        <v>207.0</v>
      </c>
      <c r="V995" s="1">
        <v>439.0</v>
      </c>
      <c r="W995" s="1">
        <v>25389.0</v>
      </c>
      <c r="X995" s="1">
        <v>2576.0</v>
      </c>
      <c r="Y995" s="1">
        <v>907.0</v>
      </c>
      <c r="Z995" s="1">
        <v>314.0</v>
      </c>
      <c r="AA995" s="1">
        <v>1119.0</v>
      </c>
      <c r="AB995" s="1">
        <v>1869.0</v>
      </c>
      <c r="AC995" s="1">
        <v>305.0</v>
      </c>
      <c r="AD995" s="1">
        <v>296.0</v>
      </c>
      <c r="AE995" s="1">
        <v>18.0</v>
      </c>
      <c r="AF995" s="1">
        <v>442.0</v>
      </c>
      <c r="AG995" s="1">
        <v>12.0</v>
      </c>
      <c r="AH995" s="1">
        <v>162.0</v>
      </c>
      <c r="AI995" s="1">
        <v>620.0</v>
      </c>
      <c r="AJ995" s="1">
        <v>218.0</v>
      </c>
      <c r="AK995" s="1">
        <v>0.0</v>
      </c>
      <c r="AL995" s="1">
        <v>161.0</v>
      </c>
      <c r="AM995" s="1">
        <v>167.0</v>
      </c>
      <c r="AN995" s="1">
        <v>99.0</v>
      </c>
      <c r="AO995" s="1">
        <v>279.0</v>
      </c>
      <c r="AP995" s="1">
        <v>0.050079</v>
      </c>
      <c r="AQ995" s="1">
        <v>0.026294</v>
      </c>
      <c r="AR995" s="1">
        <v>0.0559</v>
      </c>
      <c r="AS995" s="1">
        <v>0.118382</v>
      </c>
      <c r="AT995" s="1">
        <v>25389.0</v>
      </c>
      <c r="AU995" s="1">
        <v>2576.0</v>
      </c>
      <c r="AV995" s="1">
        <v>0.176562</v>
      </c>
      <c r="AW995" s="1">
        <v>0.059866</v>
      </c>
      <c r="AX995" s="1">
        <v>0.138885</v>
      </c>
      <c r="AY995" s="1">
        <v>0.231972</v>
      </c>
      <c r="AZ995" s="1">
        <v>0.09986902</v>
      </c>
      <c r="BA995" s="1">
        <v>0.036738</v>
      </c>
      <c r="BB995" s="1">
        <v>0.002642</v>
      </c>
      <c r="BC995" s="1">
        <v>0.064885</v>
      </c>
      <c r="BD995" s="1">
        <v>0.003722</v>
      </c>
      <c r="BE995" s="1">
        <v>0.050247</v>
      </c>
      <c r="BF995" s="1">
        <v>0.192307</v>
      </c>
      <c r="BG995" s="1">
        <v>0.06664</v>
      </c>
      <c r="BH995" s="1">
        <v>0.0</v>
      </c>
      <c r="BI995" s="1">
        <v>0.055402</v>
      </c>
      <c r="BJ995" s="1">
        <v>0.057467</v>
      </c>
      <c r="BK995" s="1">
        <v>0.033813</v>
      </c>
      <c r="BL995" s="1">
        <v>0.034628</v>
      </c>
      <c r="BM995" s="1">
        <v>0.164</v>
      </c>
      <c r="BN995" s="1">
        <v>0.362</v>
      </c>
      <c r="BO995" s="1">
        <v>0.3321</v>
      </c>
      <c r="BP995" s="1">
        <v>0.674</v>
      </c>
      <c r="BQ995" s="1">
        <v>1.5321</v>
      </c>
      <c r="BR995" s="1">
        <v>0.3509</v>
      </c>
      <c r="BS995" s="1">
        <v>0.486</v>
      </c>
      <c r="BT995" s="1">
        <v>0.407</v>
      </c>
      <c r="BU995" s="1">
        <v>0.493</v>
      </c>
      <c r="BV995" s="1">
        <v>1.386</v>
      </c>
      <c r="BW995" s="1">
        <v>0.377</v>
      </c>
      <c r="BX995" s="1">
        <v>0.133</v>
      </c>
      <c r="BY995" s="1">
        <v>0.425</v>
      </c>
      <c r="BZ995" s="1">
        <v>0.558</v>
      </c>
      <c r="CA995" s="1">
        <v>0.244</v>
      </c>
      <c r="CB995" s="1">
        <v>0.298</v>
      </c>
      <c r="CC995" s="1">
        <v>0.887</v>
      </c>
      <c r="CD995" s="1">
        <v>0.0</v>
      </c>
      <c r="CE995" s="1">
        <v>0.552</v>
      </c>
      <c r="CF995" s="1">
        <v>0.835</v>
      </c>
      <c r="CG995" s="1">
        <v>2.572</v>
      </c>
      <c r="CH995" s="1">
        <v>0.592</v>
      </c>
      <c r="CI995" s="1">
        <v>6.0481</v>
      </c>
      <c r="CJ995" s="1">
        <v>0.3783</v>
      </c>
      <c r="CK995" s="1">
        <v>0.0</v>
      </c>
      <c r="CL995" s="1">
        <v>0.0</v>
      </c>
      <c r="CM995" s="1">
        <v>0.0</v>
      </c>
      <c r="CN995" s="1">
        <v>0.0</v>
      </c>
      <c r="CO995" s="1">
        <v>0.0</v>
      </c>
      <c r="CP995" s="1">
        <v>0.0</v>
      </c>
      <c r="CQ995" s="1">
        <v>0.0</v>
      </c>
      <c r="CR995" s="1">
        <v>0.0</v>
      </c>
      <c r="CS995" s="1">
        <v>0.0</v>
      </c>
      <c r="CT995" s="1">
        <v>0.0</v>
      </c>
      <c r="CU995" s="1">
        <v>0.0</v>
      </c>
      <c r="CV995" s="1">
        <v>0.0</v>
      </c>
      <c r="CW995" s="1">
        <v>0.0</v>
      </c>
      <c r="CX995" s="1">
        <v>0.0</v>
      </c>
      <c r="CY995" s="1">
        <v>0.0</v>
      </c>
      <c r="CZ995" s="1">
        <v>0.0</v>
      </c>
      <c r="DA995" s="1">
        <v>0.0</v>
      </c>
      <c r="DB995" s="1">
        <v>0.0</v>
      </c>
      <c r="DC995" s="1">
        <v>0.0</v>
      </c>
      <c r="DD995" s="1" t="s">
        <v>4551</v>
      </c>
      <c r="DE995" s="1">
        <v>0.0432866035461856</v>
      </c>
      <c r="DF995" s="2" t="s">
        <v>4552</v>
      </c>
    </row>
    <row r="996" ht="15.75" customHeight="1">
      <c r="A996" s="1" t="s">
        <v>4553</v>
      </c>
      <c r="B996" s="1">
        <v>29.0</v>
      </c>
      <c r="C996" s="1">
        <v>187.0</v>
      </c>
      <c r="D996" s="1">
        <v>950800.0</v>
      </c>
      <c r="E996" s="1">
        <v>4.596</v>
      </c>
      <c r="F996" s="1">
        <v>29187.0</v>
      </c>
      <c r="G996" s="1">
        <v>2.91879508E10</v>
      </c>
      <c r="H996" s="1" t="s">
        <v>112</v>
      </c>
      <c r="I996" s="1" t="s">
        <v>113</v>
      </c>
      <c r="J996" s="1" t="s">
        <v>4518</v>
      </c>
      <c r="K996" s="1" t="s">
        <v>4554</v>
      </c>
      <c r="L996" s="1">
        <v>6084.0</v>
      </c>
      <c r="M996" s="1">
        <v>6244.0</v>
      </c>
      <c r="N996" s="1">
        <v>513.0</v>
      </c>
      <c r="O996" s="1">
        <v>2822.0</v>
      </c>
      <c r="P996" s="1">
        <v>2809.0</v>
      </c>
      <c r="Q996" s="1">
        <v>198.0</v>
      </c>
      <c r="R996" s="1">
        <v>2617.0</v>
      </c>
      <c r="S996" s="1">
        <v>1219.0</v>
      </c>
      <c r="T996" s="1">
        <v>429.0</v>
      </c>
      <c r="U996" s="1">
        <v>420.0</v>
      </c>
      <c r="V996" s="1">
        <v>323.0</v>
      </c>
      <c r="W996" s="1">
        <v>19789.0</v>
      </c>
      <c r="X996" s="1">
        <v>1594.0</v>
      </c>
      <c r="Y996" s="1">
        <v>636.0</v>
      </c>
      <c r="Z996" s="1">
        <v>274.0</v>
      </c>
      <c r="AA996" s="1">
        <v>977.0</v>
      </c>
      <c r="AB996" s="1">
        <v>1497.0</v>
      </c>
      <c r="AC996" s="1">
        <v>317.0</v>
      </c>
      <c r="AD996" s="1">
        <v>274.0</v>
      </c>
      <c r="AE996" s="1">
        <v>7.0</v>
      </c>
      <c r="AF996" s="1">
        <v>442.0</v>
      </c>
      <c r="AG996" s="1">
        <v>237.0</v>
      </c>
      <c r="AH996" s="1">
        <v>110.0</v>
      </c>
      <c r="AI996" s="1">
        <v>285.0</v>
      </c>
      <c r="AJ996" s="1">
        <v>146.0</v>
      </c>
      <c r="AK996" s="1">
        <v>36.0</v>
      </c>
      <c r="AL996" s="1">
        <v>118.0</v>
      </c>
      <c r="AM996" s="1">
        <v>267.0</v>
      </c>
      <c r="AN996" s="1">
        <v>106.0</v>
      </c>
      <c r="AO996" s="1">
        <v>34.0</v>
      </c>
      <c r="AP996" s="1">
        <v>0.198825</v>
      </c>
      <c r="AQ996" s="1">
        <v>0.067957</v>
      </c>
      <c r="AR996" s="1">
        <v>0.142954</v>
      </c>
      <c r="AS996" s="1">
        <v>0.108565</v>
      </c>
      <c r="AT996" s="1">
        <v>19789.0</v>
      </c>
      <c r="AU996" s="1">
        <v>1594.0</v>
      </c>
      <c r="AV996" s="1">
        <v>0.157738</v>
      </c>
      <c r="AW996" s="1">
        <v>0.066634</v>
      </c>
      <c r="AX996" s="1">
        <v>0.160585</v>
      </c>
      <c r="AY996" s="1">
        <v>0.246055</v>
      </c>
      <c r="AZ996" s="1">
        <v>0.12113106</v>
      </c>
      <c r="BA996" s="1">
        <v>0.045036</v>
      </c>
      <c r="BB996" s="1">
        <v>0.001179</v>
      </c>
      <c r="BC996" s="1">
        <v>0.074485</v>
      </c>
      <c r="BD996" s="1">
        <v>0.084371</v>
      </c>
      <c r="BE996" s="1">
        <v>0.038705</v>
      </c>
      <c r="BF996" s="1">
        <v>0.101459</v>
      </c>
      <c r="BG996" s="1">
        <v>0.051481</v>
      </c>
      <c r="BH996" s="1">
        <v>0.013353</v>
      </c>
      <c r="BI996" s="1">
        <v>0.043754</v>
      </c>
      <c r="BJ996" s="1">
        <v>0.099035</v>
      </c>
      <c r="BK996" s="1">
        <v>0.038438</v>
      </c>
      <c r="BL996" s="1">
        <v>0.005588</v>
      </c>
      <c r="BM996" s="1">
        <v>0.728</v>
      </c>
      <c r="BN996" s="1">
        <v>0.882</v>
      </c>
      <c r="BO996" s="1">
        <v>0.6274</v>
      </c>
      <c r="BP996" s="1">
        <v>0.6</v>
      </c>
      <c r="BQ996" s="1">
        <v>2.8374</v>
      </c>
      <c r="BR996" s="1">
        <v>0.7617</v>
      </c>
      <c r="BS996" s="1">
        <v>0.67</v>
      </c>
      <c r="BT996" s="1">
        <v>0.556</v>
      </c>
      <c r="BU996" s="1">
        <v>0.676</v>
      </c>
      <c r="BV996" s="1">
        <v>1.902</v>
      </c>
      <c r="BW996" s="1">
        <v>0.802</v>
      </c>
      <c r="BX996" s="1">
        <v>0.213</v>
      </c>
      <c r="BY996" s="1">
        <v>0.34</v>
      </c>
      <c r="BZ996" s="1">
        <v>0.553</v>
      </c>
      <c r="CA996" s="1">
        <v>0.241</v>
      </c>
      <c r="CB996" s="1">
        <v>0.741</v>
      </c>
      <c r="CC996" s="1">
        <v>0.72</v>
      </c>
      <c r="CD996" s="1">
        <v>0.56</v>
      </c>
      <c r="CE996" s="1">
        <v>0.752</v>
      </c>
      <c r="CF996" s="1">
        <v>0.525</v>
      </c>
      <c r="CG996" s="1">
        <v>3.298</v>
      </c>
      <c r="CH996" s="1">
        <v>0.871</v>
      </c>
      <c r="CI996" s="1">
        <v>8.5904</v>
      </c>
      <c r="CJ996" s="1">
        <v>0.8022</v>
      </c>
      <c r="CK996" s="1">
        <v>0.0</v>
      </c>
      <c r="CL996" s="1">
        <v>0.0</v>
      </c>
      <c r="CM996" s="1">
        <v>0.0</v>
      </c>
      <c r="CN996" s="1">
        <v>0.0</v>
      </c>
      <c r="CO996" s="1">
        <v>0.0</v>
      </c>
      <c r="CP996" s="1">
        <v>0.0</v>
      </c>
      <c r="CQ996" s="1">
        <v>0.0</v>
      </c>
      <c r="CR996" s="1">
        <v>0.0</v>
      </c>
      <c r="CS996" s="1">
        <v>0.0</v>
      </c>
      <c r="CT996" s="1">
        <v>0.0</v>
      </c>
      <c r="CU996" s="1">
        <v>0.0</v>
      </c>
      <c r="CV996" s="1">
        <v>0.0</v>
      </c>
      <c r="CW996" s="1">
        <v>0.0</v>
      </c>
      <c r="CX996" s="1">
        <v>0.0</v>
      </c>
      <c r="CY996" s="1">
        <v>0.0</v>
      </c>
      <c r="CZ996" s="1">
        <v>0.0</v>
      </c>
      <c r="DA996" s="1">
        <v>0.0</v>
      </c>
      <c r="DB996" s="1">
        <v>0.0</v>
      </c>
      <c r="DC996" s="1">
        <v>0.0</v>
      </c>
      <c r="DD996" s="1" t="s">
        <v>4555</v>
      </c>
      <c r="DE996" s="1">
        <v>0.00122041295326683</v>
      </c>
      <c r="DF996" s="2" t="s">
        <v>4556</v>
      </c>
    </row>
    <row r="997" ht="15.75" customHeight="1">
      <c r="A997" s="1" t="s">
        <v>4557</v>
      </c>
      <c r="B997" s="1">
        <v>29.0</v>
      </c>
      <c r="C997" s="1">
        <v>187.0</v>
      </c>
      <c r="D997" s="1">
        <v>951000.0</v>
      </c>
      <c r="E997" s="1">
        <v>11.698</v>
      </c>
      <c r="F997" s="1">
        <v>29187.0</v>
      </c>
      <c r="G997" s="1">
        <v>2.9187951E10</v>
      </c>
      <c r="H997" s="1" t="s">
        <v>112</v>
      </c>
      <c r="I997" s="1" t="s">
        <v>113</v>
      </c>
      <c r="J997" s="1" t="s">
        <v>4518</v>
      </c>
      <c r="K997" s="1" t="s">
        <v>4558</v>
      </c>
      <c r="L997" s="1">
        <v>6820.0</v>
      </c>
      <c r="M997" s="1">
        <v>7273.0</v>
      </c>
      <c r="N997" s="1">
        <v>338.0</v>
      </c>
      <c r="O997" s="1">
        <v>3000.0</v>
      </c>
      <c r="P997" s="1">
        <v>3202.0</v>
      </c>
      <c r="Q997" s="1">
        <v>227.0</v>
      </c>
      <c r="R997" s="1">
        <v>2707.0</v>
      </c>
      <c r="S997" s="1">
        <v>1350.0</v>
      </c>
      <c r="T997" s="1">
        <v>470.0</v>
      </c>
      <c r="U997" s="1">
        <v>258.0</v>
      </c>
      <c r="V997" s="1">
        <v>380.0</v>
      </c>
      <c r="W997" s="1">
        <v>15953.0</v>
      </c>
      <c r="X997" s="1">
        <v>1445.0</v>
      </c>
      <c r="Y997" s="1">
        <v>872.0</v>
      </c>
      <c r="Z997" s="1">
        <v>304.0</v>
      </c>
      <c r="AA997" s="1">
        <v>772.0</v>
      </c>
      <c r="AB997" s="1">
        <v>1854.0</v>
      </c>
      <c r="AC997" s="1">
        <v>403.0</v>
      </c>
      <c r="AD997" s="1">
        <v>328.0</v>
      </c>
      <c r="AE997" s="1">
        <v>9.0</v>
      </c>
      <c r="AF997" s="1">
        <v>442.0</v>
      </c>
      <c r="AG997" s="1">
        <v>177.0</v>
      </c>
      <c r="AH997" s="1">
        <v>145.0</v>
      </c>
      <c r="AI997" s="1">
        <v>206.0</v>
      </c>
      <c r="AJ997" s="1">
        <v>96.0</v>
      </c>
      <c r="AK997" s="1">
        <v>12.0</v>
      </c>
      <c r="AL997" s="1">
        <v>116.0</v>
      </c>
      <c r="AM997" s="1">
        <v>222.0</v>
      </c>
      <c r="AN997" s="1">
        <v>86.0</v>
      </c>
      <c r="AO997" s="1">
        <v>37.0</v>
      </c>
      <c r="AP997" s="1">
        <v>0.189181</v>
      </c>
      <c r="AQ997" s="1">
        <v>0.065148</v>
      </c>
      <c r="AR997" s="1">
        <v>0.081055</v>
      </c>
      <c r="AS997" s="1">
        <v>0.119041</v>
      </c>
      <c r="AT997" s="1">
        <v>15953.0</v>
      </c>
      <c r="AU997" s="1">
        <v>1445.0</v>
      </c>
      <c r="AV997" s="1">
        <v>0.194686</v>
      </c>
      <c r="AW997" s="1">
        <v>0.06691</v>
      </c>
      <c r="AX997" s="1">
        <v>0.113196</v>
      </c>
      <c r="AY997" s="1">
        <v>0.271847</v>
      </c>
      <c r="AZ997" s="1">
        <v>0.14887329</v>
      </c>
      <c r="BA997" s="1">
        <v>0.048093</v>
      </c>
      <c r="BB997" s="1">
        <v>0.001364</v>
      </c>
      <c r="BC997" s="1">
        <v>0.066989</v>
      </c>
      <c r="BD997" s="1">
        <v>0.055277</v>
      </c>
      <c r="BE997" s="1">
        <v>0.045114</v>
      </c>
      <c r="BF997" s="1">
        <v>0.064334</v>
      </c>
      <c r="BG997" s="1">
        <v>0.029632</v>
      </c>
      <c r="BH997" s="1">
        <v>0.004258</v>
      </c>
      <c r="BI997" s="1">
        <v>0.041162</v>
      </c>
      <c r="BJ997" s="1">
        <v>0.078779</v>
      </c>
      <c r="BK997" s="1">
        <v>0.030052</v>
      </c>
      <c r="BL997" s="1">
        <v>0.005425</v>
      </c>
      <c r="BM997" s="1">
        <v>0.701</v>
      </c>
      <c r="BN997" s="1">
        <v>0.62</v>
      </c>
      <c r="BO997" s="1">
        <v>0.8404</v>
      </c>
      <c r="BP997" s="1">
        <v>0.738</v>
      </c>
      <c r="BQ997" s="1">
        <v>2.8994</v>
      </c>
      <c r="BR997" s="1">
        <v>0.7791</v>
      </c>
      <c r="BS997" s="1">
        <v>0.296</v>
      </c>
      <c r="BT997" s="1">
        <v>0.805</v>
      </c>
      <c r="BU997" s="1">
        <v>0.789</v>
      </c>
      <c r="BV997" s="1">
        <v>1.89</v>
      </c>
      <c r="BW997" s="1">
        <v>0.796</v>
      </c>
      <c r="BX997" s="1">
        <v>0.233</v>
      </c>
      <c r="BY997" s="1">
        <v>0.347</v>
      </c>
      <c r="BZ997" s="1">
        <v>0.58</v>
      </c>
      <c r="CA997" s="1">
        <v>0.258</v>
      </c>
      <c r="CB997" s="1">
        <v>0.669</v>
      </c>
      <c r="CC997" s="1">
        <v>0.636</v>
      </c>
      <c r="CD997" s="1">
        <v>0.312</v>
      </c>
      <c r="CE997" s="1">
        <v>0.665</v>
      </c>
      <c r="CF997" s="1">
        <v>0.52</v>
      </c>
      <c r="CG997" s="1">
        <v>2.802</v>
      </c>
      <c r="CH997" s="1">
        <v>0.689</v>
      </c>
      <c r="CI997" s="1">
        <v>8.1714</v>
      </c>
      <c r="CJ997" s="1">
        <v>0.7386</v>
      </c>
      <c r="CK997" s="1">
        <v>0.0</v>
      </c>
      <c r="CL997" s="1">
        <v>0.0</v>
      </c>
      <c r="CM997" s="1">
        <v>0.0</v>
      </c>
      <c r="CN997" s="1">
        <v>0.0</v>
      </c>
      <c r="CO997" s="1">
        <v>0.0</v>
      </c>
      <c r="CP997" s="1">
        <v>0.0</v>
      </c>
      <c r="CQ997" s="1">
        <v>0.0</v>
      </c>
      <c r="CR997" s="1">
        <v>0.0</v>
      </c>
      <c r="CS997" s="1">
        <v>0.0</v>
      </c>
      <c r="CT997" s="1">
        <v>0.0</v>
      </c>
      <c r="CU997" s="1">
        <v>0.0</v>
      </c>
      <c r="CV997" s="1">
        <v>0.0</v>
      </c>
      <c r="CW997" s="1">
        <v>0.0</v>
      </c>
      <c r="CX997" s="1">
        <v>0.0</v>
      </c>
      <c r="CY997" s="1">
        <v>0.0</v>
      </c>
      <c r="CZ997" s="1">
        <v>0.0</v>
      </c>
      <c r="DA997" s="1">
        <v>0.0</v>
      </c>
      <c r="DB997" s="1">
        <v>0.0</v>
      </c>
      <c r="DC997" s="1">
        <v>0.0</v>
      </c>
      <c r="DD997" s="1" t="s">
        <v>4559</v>
      </c>
      <c r="DE997" s="1">
        <v>0.00310358057425963</v>
      </c>
      <c r="DF997" s="2" t="s">
        <v>4560</v>
      </c>
    </row>
    <row r="998" ht="15.75" customHeight="1">
      <c r="A998" s="1" t="s">
        <v>4561</v>
      </c>
      <c r="B998" s="1">
        <v>29.0</v>
      </c>
      <c r="C998" s="1">
        <v>187.0</v>
      </c>
      <c r="D998" s="1">
        <v>951100.0</v>
      </c>
      <c r="E998" s="1">
        <v>6.132</v>
      </c>
      <c r="F998" s="1">
        <v>29187.0</v>
      </c>
      <c r="G998" s="1">
        <v>2.91879511E10</v>
      </c>
      <c r="H998" s="1" t="s">
        <v>112</v>
      </c>
      <c r="I998" s="1" t="s">
        <v>113</v>
      </c>
      <c r="J998" s="1" t="s">
        <v>4518</v>
      </c>
      <c r="K998" s="1" t="s">
        <v>4562</v>
      </c>
      <c r="L998" s="1">
        <v>7781.0</v>
      </c>
      <c r="M998" s="1">
        <v>7402.0</v>
      </c>
      <c r="N998" s="1">
        <v>401.0</v>
      </c>
      <c r="O998" s="1">
        <v>3498.0</v>
      </c>
      <c r="P998" s="1">
        <v>3590.0</v>
      </c>
      <c r="Q998" s="1">
        <v>285.0</v>
      </c>
      <c r="R998" s="1">
        <v>3235.0</v>
      </c>
      <c r="S998" s="1">
        <v>1134.0</v>
      </c>
      <c r="T998" s="1">
        <v>355.0</v>
      </c>
      <c r="U998" s="1">
        <v>363.0</v>
      </c>
      <c r="V998" s="1">
        <v>328.0</v>
      </c>
      <c r="W998" s="1">
        <v>21014.0</v>
      </c>
      <c r="X998" s="1">
        <v>1967.0</v>
      </c>
      <c r="Y998" s="1">
        <v>712.0</v>
      </c>
      <c r="Z998" s="1">
        <v>252.0</v>
      </c>
      <c r="AA998" s="1">
        <v>1180.0</v>
      </c>
      <c r="AB998" s="1">
        <v>1890.0</v>
      </c>
      <c r="AC998" s="1">
        <v>484.0</v>
      </c>
      <c r="AD998" s="1">
        <v>304.0</v>
      </c>
      <c r="AE998" s="1">
        <v>24.0</v>
      </c>
      <c r="AF998" s="1">
        <v>443.0</v>
      </c>
      <c r="AG998" s="1">
        <v>233.0</v>
      </c>
      <c r="AH998" s="1">
        <v>108.0</v>
      </c>
      <c r="AI998" s="1">
        <v>252.0</v>
      </c>
      <c r="AJ998" s="1">
        <v>114.0</v>
      </c>
      <c r="AK998" s="1">
        <v>63.0</v>
      </c>
      <c r="AL998" s="1">
        <v>123.0</v>
      </c>
      <c r="AM998" s="1">
        <v>184.0</v>
      </c>
      <c r="AN998" s="1">
        <v>103.0</v>
      </c>
      <c r="AO998" s="1">
        <v>160.0</v>
      </c>
      <c r="AP998" s="1">
        <v>0.156759</v>
      </c>
      <c r="AQ998" s="1">
        <v>0.048142</v>
      </c>
      <c r="AR998" s="1">
        <v>0.109667</v>
      </c>
      <c r="AS998" s="1">
        <v>0.098361</v>
      </c>
      <c r="AT998" s="1">
        <v>21014.0</v>
      </c>
      <c r="AU998" s="1">
        <v>1967.0</v>
      </c>
      <c r="AV998" s="1">
        <v>0.144656</v>
      </c>
      <c r="AW998" s="1">
        <v>0.050392</v>
      </c>
      <c r="AX998" s="1">
        <v>0.151651</v>
      </c>
      <c r="AY998" s="1">
        <v>0.242899</v>
      </c>
      <c r="AZ998" s="1">
        <v>0.1496136</v>
      </c>
      <c r="BA998" s="1">
        <v>0.039069</v>
      </c>
      <c r="BB998" s="1">
        <v>0.003598</v>
      </c>
      <c r="BC998" s="1">
        <v>0.066426</v>
      </c>
      <c r="BD998" s="1">
        <v>0.064902</v>
      </c>
      <c r="BE998" s="1">
        <v>0.029639</v>
      </c>
      <c r="BF998" s="1">
        <v>0.070194</v>
      </c>
      <c r="BG998" s="1">
        <v>0.031262</v>
      </c>
      <c r="BH998" s="1">
        <v>0.018924</v>
      </c>
      <c r="BI998" s="1">
        <v>0.036915</v>
      </c>
      <c r="BJ998" s="1">
        <v>0.055271</v>
      </c>
      <c r="BK998" s="1">
        <v>0.030606</v>
      </c>
      <c r="BL998" s="1">
        <v>0.020562</v>
      </c>
      <c r="BM998" s="1">
        <v>0.602</v>
      </c>
      <c r="BN998" s="1">
        <v>0.787</v>
      </c>
      <c r="BO998" s="1">
        <v>0.5523</v>
      </c>
      <c r="BP998" s="1">
        <v>0.544</v>
      </c>
      <c r="BQ998" s="1">
        <v>2.4853</v>
      </c>
      <c r="BR998" s="1">
        <v>0.6614</v>
      </c>
      <c r="BS998" s="1">
        <v>0.593</v>
      </c>
      <c r="BT998" s="1">
        <v>0.525</v>
      </c>
      <c r="BU998" s="1">
        <v>0.791</v>
      </c>
      <c r="BV998" s="1">
        <v>1.909</v>
      </c>
      <c r="BW998" s="1">
        <v>0.806</v>
      </c>
      <c r="BX998" s="1">
        <v>0.156</v>
      </c>
      <c r="BY998" s="1">
        <v>0.491</v>
      </c>
      <c r="BZ998" s="1">
        <v>0.647</v>
      </c>
      <c r="CA998" s="1">
        <v>0.3</v>
      </c>
      <c r="CB998" s="1">
        <v>0.703</v>
      </c>
      <c r="CC998" s="1">
        <v>0.651</v>
      </c>
      <c r="CD998" s="1">
        <v>0.661</v>
      </c>
      <c r="CE998" s="1">
        <v>0.531</v>
      </c>
      <c r="CF998" s="1">
        <v>0.717</v>
      </c>
      <c r="CG998" s="1">
        <v>3.263</v>
      </c>
      <c r="CH998" s="1">
        <v>0.863</v>
      </c>
      <c r="CI998" s="1">
        <v>8.3043</v>
      </c>
      <c r="CJ998" s="1">
        <v>0.761</v>
      </c>
      <c r="CK998" s="1">
        <v>0.0</v>
      </c>
      <c r="CL998" s="1">
        <v>0.0</v>
      </c>
      <c r="CM998" s="1">
        <v>0.0</v>
      </c>
      <c r="CN998" s="1">
        <v>0.0</v>
      </c>
      <c r="CO998" s="1">
        <v>0.0</v>
      </c>
      <c r="CP998" s="1">
        <v>0.0</v>
      </c>
      <c r="CQ998" s="1">
        <v>0.0</v>
      </c>
      <c r="CR998" s="1">
        <v>0.0</v>
      </c>
      <c r="CS998" s="1">
        <v>0.0</v>
      </c>
      <c r="CT998" s="1">
        <v>0.0</v>
      </c>
      <c r="CU998" s="1">
        <v>0.0</v>
      </c>
      <c r="CV998" s="1">
        <v>0.0</v>
      </c>
      <c r="CW998" s="1">
        <v>0.0</v>
      </c>
      <c r="CX998" s="1">
        <v>0.0</v>
      </c>
      <c r="CY998" s="1">
        <v>0.0</v>
      </c>
      <c r="CZ998" s="1">
        <v>0.0</v>
      </c>
      <c r="DA998" s="1">
        <v>0.0</v>
      </c>
      <c r="DB998" s="1">
        <v>0.0</v>
      </c>
      <c r="DC998" s="1">
        <v>0.0</v>
      </c>
      <c r="DD998" s="1" t="s">
        <v>4563</v>
      </c>
      <c r="DE998" s="1">
        <v>0.00162247930976851</v>
      </c>
      <c r="DF998" s="2" t="s">
        <v>4564</v>
      </c>
    </row>
    <row r="999" ht="15.75" customHeight="1">
      <c r="A999" s="1" t="s">
        <v>4565</v>
      </c>
      <c r="B999" s="1">
        <v>29.0</v>
      </c>
      <c r="C999" s="1">
        <v>189.0</v>
      </c>
      <c r="D999" s="1">
        <v>219300.0</v>
      </c>
      <c r="E999" s="1">
        <v>0.723</v>
      </c>
      <c r="F999" s="1">
        <v>29189.0</v>
      </c>
      <c r="G999" s="1">
        <v>2.91892193E10</v>
      </c>
      <c r="H999" s="1" t="s">
        <v>112</v>
      </c>
      <c r="I999" s="1" t="s">
        <v>113</v>
      </c>
      <c r="J999" s="1" t="s">
        <v>4566</v>
      </c>
      <c r="K999" s="1" t="s">
        <v>4567</v>
      </c>
      <c r="L999" s="1">
        <v>2039.0</v>
      </c>
      <c r="M999" s="1">
        <v>2076.0</v>
      </c>
      <c r="N999" s="1">
        <v>200.0</v>
      </c>
      <c r="O999" s="1">
        <v>863.0</v>
      </c>
      <c r="P999" s="1">
        <v>862.0</v>
      </c>
      <c r="Q999" s="1">
        <v>58.0</v>
      </c>
      <c r="R999" s="1">
        <v>792.0</v>
      </c>
      <c r="S999" s="1">
        <v>78.0</v>
      </c>
      <c r="T999" s="1">
        <v>72.0</v>
      </c>
      <c r="U999" s="1">
        <v>24.0</v>
      </c>
      <c r="V999" s="1">
        <v>484.0</v>
      </c>
      <c r="W999" s="1">
        <v>40389.0</v>
      </c>
      <c r="X999" s="1">
        <v>5718.0</v>
      </c>
      <c r="Y999" s="1">
        <v>59.0</v>
      </c>
      <c r="Z999" s="1">
        <v>417.0</v>
      </c>
      <c r="AA999" s="1">
        <v>264.0</v>
      </c>
      <c r="AB999" s="1">
        <v>565.0</v>
      </c>
      <c r="AC999" s="1">
        <v>55.0</v>
      </c>
      <c r="AD999" s="1">
        <v>306.0</v>
      </c>
      <c r="AE999" s="1">
        <v>0.0</v>
      </c>
      <c r="AF999" s="1">
        <v>456.0</v>
      </c>
      <c r="AG999" s="1">
        <v>74.0</v>
      </c>
      <c r="AH999" s="1">
        <v>119.0</v>
      </c>
      <c r="AI999" s="1">
        <v>0.0</v>
      </c>
      <c r="AJ999" s="1">
        <v>114.0</v>
      </c>
      <c r="AK999" s="1">
        <v>0.0</v>
      </c>
      <c r="AL999" s="1">
        <v>161.0</v>
      </c>
      <c r="AM999" s="1">
        <v>8.0</v>
      </c>
      <c r="AN999" s="1">
        <v>115.0</v>
      </c>
      <c r="AO999" s="1">
        <v>44.0</v>
      </c>
      <c r="AP999" s="1">
        <v>0.039274</v>
      </c>
      <c r="AQ999" s="1">
        <v>0.036082</v>
      </c>
      <c r="AR999" s="1">
        <v>0.021164</v>
      </c>
      <c r="AS999" s="1">
        <v>0.42679</v>
      </c>
      <c r="AT999" s="1">
        <v>40389.0</v>
      </c>
      <c r="AU999" s="1">
        <v>5718.0</v>
      </c>
      <c r="AV999" s="1">
        <v>0.043542</v>
      </c>
      <c r="AW999" s="1">
        <v>0.307714</v>
      </c>
      <c r="AX999" s="1">
        <v>0.129475</v>
      </c>
      <c r="AY999" s="1">
        <v>0.277096</v>
      </c>
      <c r="AZ999" s="1">
        <v>0.06944444</v>
      </c>
      <c r="BA999" s="1">
        <v>0.150073</v>
      </c>
      <c r="BB999" s="1">
        <v>0.0</v>
      </c>
      <c r="BC999" s="1">
        <v>0.234206</v>
      </c>
      <c r="BD999" s="1">
        <v>0.085846</v>
      </c>
      <c r="BE999" s="1">
        <v>0.13793</v>
      </c>
      <c r="BF999" s="1">
        <v>0.0</v>
      </c>
      <c r="BG999" s="1">
        <v>0.13225</v>
      </c>
      <c r="BH999" s="1">
        <v>0.0</v>
      </c>
      <c r="BI999" s="1">
        <v>0.208549</v>
      </c>
      <c r="BJ999" s="1">
        <v>0.010362</v>
      </c>
      <c r="BK999" s="1">
        <v>0.148959</v>
      </c>
      <c r="BL999" s="1">
        <v>0.021579</v>
      </c>
      <c r="BM999" s="1">
        <v>0.12</v>
      </c>
      <c r="BN999" s="1">
        <v>0.035</v>
      </c>
      <c r="BO999" s="1">
        <v>0.0635</v>
      </c>
      <c r="BP999" s="1">
        <v>0.106</v>
      </c>
      <c r="BQ999" s="1">
        <v>0.3245</v>
      </c>
      <c r="BR999" s="1">
        <v>0.0238</v>
      </c>
      <c r="BS999" s="1">
        <v>0.415</v>
      </c>
      <c r="BT999" s="1">
        <v>0.835</v>
      </c>
      <c r="BU999" s="1">
        <v>0.211</v>
      </c>
      <c r="BV999" s="1">
        <v>1.461</v>
      </c>
      <c r="BW999" s="1">
        <v>0.446</v>
      </c>
      <c r="BX999" s="1">
        <v>0.624</v>
      </c>
      <c r="BY999" s="1">
        <v>0.0</v>
      </c>
      <c r="BZ999" s="1">
        <v>0.624</v>
      </c>
      <c r="CA999" s="1">
        <v>0.289</v>
      </c>
      <c r="CB999" s="1">
        <v>0.743</v>
      </c>
      <c r="CC999" s="1">
        <v>0.0</v>
      </c>
      <c r="CD999" s="1">
        <v>0.0</v>
      </c>
      <c r="CE999" s="1">
        <v>0.09</v>
      </c>
      <c r="CF999" s="1">
        <v>0.728</v>
      </c>
      <c r="CG999" s="1">
        <v>1.561</v>
      </c>
      <c r="CH999" s="1">
        <v>0.187</v>
      </c>
      <c r="CI999" s="1">
        <v>3.9705</v>
      </c>
      <c r="CJ999" s="1">
        <v>0.0838</v>
      </c>
      <c r="CK999" s="1">
        <v>0.0</v>
      </c>
      <c r="CL999" s="1">
        <v>0.0</v>
      </c>
      <c r="CM999" s="1">
        <v>0.0</v>
      </c>
      <c r="CN999" s="1">
        <v>0.0</v>
      </c>
      <c r="CO999" s="1">
        <v>0.0</v>
      </c>
      <c r="CP999" s="1">
        <v>0.0</v>
      </c>
      <c r="CQ999" s="1">
        <v>0.0</v>
      </c>
      <c r="CR999" s="1">
        <v>0.0</v>
      </c>
      <c r="CS999" s="1">
        <v>0.0</v>
      </c>
      <c r="CT999" s="1">
        <v>0.0</v>
      </c>
      <c r="CU999" s="1">
        <v>0.0</v>
      </c>
      <c r="CV999" s="1">
        <v>0.0</v>
      </c>
      <c r="CW999" s="1">
        <v>0.0</v>
      </c>
      <c r="CX999" s="1">
        <v>0.0</v>
      </c>
      <c r="CY999" s="1">
        <v>0.0</v>
      </c>
      <c r="CZ999" s="1">
        <v>0.0</v>
      </c>
      <c r="DA999" s="1">
        <v>0.0</v>
      </c>
      <c r="DB999" s="1">
        <v>0.0</v>
      </c>
      <c r="DC999" s="1">
        <v>0.0</v>
      </c>
      <c r="DD999" s="1" t="s">
        <v>4568</v>
      </c>
      <c r="DE999" s="1">
        <v>1.92600656187705E-4</v>
      </c>
      <c r="DF999" s="1">
        <v>0.0664256575196419</v>
      </c>
    </row>
    <row r="1000" ht="15.75" customHeight="1">
      <c r="A1000" s="1" t="s">
        <v>4569</v>
      </c>
      <c r="B1000" s="1">
        <v>29.0</v>
      </c>
      <c r="C1000" s="1">
        <v>189.0</v>
      </c>
      <c r="D1000" s="1">
        <v>219400.0</v>
      </c>
      <c r="E1000" s="1">
        <v>1.527</v>
      </c>
      <c r="F1000" s="1">
        <v>29189.0</v>
      </c>
      <c r="G1000" s="1">
        <v>2.91892194E10</v>
      </c>
      <c r="H1000" s="1" t="s">
        <v>112</v>
      </c>
      <c r="I1000" s="1" t="s">
        <v>113</v>
      </c>
      <c r="J1000" s="1" t="s">
        <v>4566</v>
      </c>
      <c r="K1000" s="1" t="s">
        <v>4570</v>
      </c>
      <c r="L1000" s="1">
        <v>5964.0</v>
      </c>
      <c r="M1000" s="1">
        <v>6328.0</v>
      </c>
      <c r="N1000" s="1">
        <v>363.0</v>
      </c>
      <c r="O1000" s="1">
        <v>2373.0</v>
      </c>
      <c r="P1000" s="1">
        <v>2370.0</v>
      </c>
      <c r="Q1000" s="1">
        <v>99.0</v>
      </c>
      <c r="R1000" s="1">
        <v>2287.0</v>
      </c>
      <c r="S1000" s="1">
        <v>481.0</v>
      </c>
      <c r="T1000" s="1">
        <v>485.0</v>
      </c>
      <c r="U1000" s="1">
        <v>121.0</v>
      </c>
      <c r="V1000" s="1">
        <v>417.0</v>
      </c>
      <c r="W1000" s="1">
        <v>49394.0</v>
      </c>
      <c r="X1000" s="1">
        <v>8520.0</v>
      </c>
      <c r="Y1000" s="1">
        <v>130.0</v>
      </c>
      <c r="Z1000" s="1">
        <v>406.0</v>
      </c>
      <c r="AA1000" s="1">
        <v>780.0</v>
      </c>
      <c r="AB1000" s="1">
        <v>1604.0</v>
      </c>
      <c r="AC1000" s="1">
        <v>119.0</v>
      </c>
      <c r="AD1000" s="1">
        <v>281.0</v>
      </c>
      <c r="AE1000" s="1">
        <v>28.0</v>
      </c>
      <c r="AF1000" s="1">
        <v>428.0</v>
      </c>
      <c r="AG1000" s="1">
        <v>14.0</v>
      </c>
      <c r="AH1000" s="1">
        <v>163.0</v>
      </c>
      <c r="AI1000" s="1">
        <v>0.0</v>
      </c>
      <c r="AJ1000" s="1">
        <v>114.0</v>
      </c>
      <c r="AK1000" s="1">
        <v>0.0</v>
      </c>
      <c r="AL1000" s="1">
        <v>161.0</v>
      </c>
      <c r="AM1000" s="1">
        <v>62.0</v>
      </c>
      <c r="AN1000" s="1">
        <v>53.0</v>
      </c>
      <c r="AO1000" s="1">
        <v>2.0</v>
      </c>
      <c r="AP1000" s="1">
        <v>0.076011</v>
      </c>
      <c r="AQ1000" s="1">
        <v>0.076519</v>
      </c>
      <c r="AR1000" s="1">
        <v>0.039516</v>
      </c>
      <c r="AS1000" s="1">
        <v>0.13612</v>
      </c>
      <c r="AT1000" s="1">
        <v>49394.0</v>
      </c>
      <c r="AU1000" s="1">
        <v>8520.0</v>
      </c>
      <c r="AV1000" s="1">
        <v>0.02994</v>
      </c>
      <c r="AW1000" s="1">
        <v>0.09349</v>
      </c>
      <c r="AX1000" s="1">
        <v>0.130784</v>
      </c>
      <c r="AY1000" s="1">
        <v>0.268947</v>
      </c>
      <c r="AZ1000" s="1">
        <v>0.05203323</v>
      </c>
      <c r="BA1000" s="1">
        <v>0.047116</v>
      </c>
      <c r="BB1000" s="1">
        <v>0.004809</v>
      </c>
      <c r="BC1000" s="1">
        <v>0.073513</v>
      </c>
      <c r="BD1000" s="1">
        <v>0.005907</v>
      </c>
      <c r="BE1000" s="1">
        <v>0.068775</v>
      </c>
      <c r="BF1000" s="1">
        <v>0.0</v>
      </c>
      <c r="BG1000" s="1">
        <v>0.048101</v>
      </c>
      <c r="BH1000" s="1">
        <v>0.0</v>
      </c>
      <c r="BI1000" s="1">
        <v>0.067932</v>
      </c>
      <c r="BJ1000" s="1">
        <v>0.02616</v>
      </c>
      <c r="BK1000" s="1">
        <v>0.022336</v>
      </c>
      <c r="BL1000" s="1">
        <v>3.35E-4</v>
      </c>
      <c r="BM1000" s="1">
        <v>0.271</v>
      </c>
      <c r="BN1000" s="1">
        <v>0.178</v>
      </c>
      <c r="BO1000" s="1">
        <v>0.0267</v>
      </c>
      <c r="BP1000" s="1">
        <v>0.063</v>
      </c>
      <c r="BQ1000" s="1">
        <v>0.5387</v>
      </c>
      <c r="BR1000" s="1">
        <v>0.078</v>
      </c>
      <c r="BS1000" s="1">
        <v>0.426</v>
      </c>
      <c r="BT1000" s="1">
        <v>0.782</v>
      </c>
      <c r="BU1000" s="1">
        <v>0.085</v>
      </c>
      <c r="BV1000" s="1">
        <v>1.293</v>
      </c>
      <c r="BW1000" s="1">
        <v>0.296</v>
      </c>
      <c r="BX1000" s="1">
        <v>0.229</v>
      </c>
      <c r="BY1000" s="1">
        <v>0.553</v>
      </c>
      <c r="BZ1000" s="1">
        <v>0.782</v>
      </c>
      <c r="CA1000" s="1">
        <v>0.383</v>
      </c>
      <c r="CB1000" s="1">
        <v>0.335</v>
      </c>
      <c r="CC1000" s="1">
        <v>0.0</v>
      </c>
      <c r="CD1000" s="1">
        <v>0.0</v>
      </c>
      <c r="CE1000" s="1">
        <v>0.251</v>
      </c>
      <c r="CF1000" s="1">
        <v>0.354</v>
      </c>
      <c r="CG1000" s="1">
        <v>0.94</v>
      </c>
      <c r="CH1000" s="1">
        <v>0.071</v>
      </c>
      <c r="CI1000" s="1">
        <v>3.5537</v>
      </c>
      <c r="CJ1000" s="1">
        <v>0.0477</v>
      </c>
      <c r="CK1000" s="1">
        <v>0.0</v>
      </c>
      <c r="CL1000" s="1">
        <v>0.0</v>
      </c>
      <c r="CM1000" s="1">
        <v>0.0</v>
      </c>
      <c r="CN1000" s="1">
        <v>0.0</v>
      </c>
      <c r="CO1000" s="1">
        <v>0.0</v>
      </c>
      <c r="CP1000" s="1">
        <v>0.0</v>
      </c>
      <c r="CQ1000" s="1">
        <v>0.0</v>
      </c>
      <c r="CR1000" s="1">
        <v>0.0</v>
      </c>
      <c r="CS1000" s="1">
        <v>0.0</v>
      </c>
      <c r="CT1000" s="1">
        <v>0.0</v>
      </c>
      <c r="CU1000" s="1">
        <v>0.0</v>
      </c>
      <c r="CV1000" s="1">
        <v>0.0</v>
      </c>
      <c r="CW1000" s="1">
        <v>0.0</v>
      </c>
      <c r="CX1000" s="1">
        <v>0.0</v>
      </c>
      <c r="CY1000" s="1">
        <v>0.0</v>
      </c>
      <c r="CZ1000" s="1">
        <v>0.0</v>
      </c>
      <c r="DA1000" s="1">
        <v>0.0</v>
      </c>
      <c r="DB1000" s="1">
        <v>0.0</v>
      </c>
      <c r="DC1000" s="1">
        <v>0.0</v>
      </c>
      <c r="DD1000" s="1" t="s">
        <v>4571</v>
      </c>
      <c r="DE1000" s="1">
        <v>4.093448334914E-4</v>
      </c>
      <c r="DF1000" s="1">
        <v>0.0863032699016266</v>
      </c>
    </row>
    <row r="1001" ht="15.75" customHeight="1">
      <c r="A1001" s="1" t="s">
        <v>4572</v>
      </c>
      <c r="B1001" s="1">
        <v>29.0</v>
      </c>
      <c r="C1001" s="1">
        <v>189.0</v>
      </c>
      <c r="D1001" s="1">
        <v>219700.0</v>
      </c>
      <c r="E1001" s="1">
        <v>1.712</v>
      </c>
      <c r="F1001" s="1">
        <v>29189.0</v>
      </c>
      <c r="G1001" s="1">
        <v>2.91892197E10</v>
      </c>
      <c r="H1001" s="1" t="s">
        <v>112</v>
      </c>
      <c r="I1001" s="1" t="s">
        <v>113</v>
      </c>
      <c r="J1001" s="1" t="s">
        <v>4566</v>
      </c>
      <c r="K1001" s="1" t="s">
        <v>4573</v>
      </c>
      <c r="L1001" s="1">
        <v>5964.0</v>
      </c>
      <c r="M1001" s="1">
        <v>6132.0</v>
      </c>
      <c r="N1001" s="1">
        <v>377.0</v>
      </c>
      <c r="O1001" s="1">
        <v>2821.0</v>
      </c>
      <c r="P1001" s="1">
        <v>2780.0</v>
      </c>
      <c r="Q1001" s="1">
        <v>47.0</v>
      </c>
      <c r="R1001" s="1">
        <v>2675.0</v>
      </c>
      <c r="S1001" s="1">
        <v>398.0</v>
      </c>
      <c r="T1001" s="1">
        <v>229.0</v>
      </c>
      <c r="U1001" s="1">
        <v>376.0</v>
      </c>
      <c r="V1001" s="1">
        <v>396.0</v>
      </c>
      <c r="W1001" s="1">
        <v>24841.0</v>
      </c>
      <c r="X1001" s="1">
        <v>2055.0</v>
      </c>
      <c r="Y1001" s="1">
        <v>327.0</v>
      </c>
      <c r="Z1001" s="1">
        <v>327.0</v>
      </c>
      <c r="AA1001" s="1">
        <v>841.0</v>
      </c>
      <c r="AB1001" s="1">
        <v>1242.0</v>
      </c>
      <c r="AC1001" s="1">
        <v>217.0</v>
      </c>
      <c r="AD1001" s="1">
        <v>658.0</v>
      </c>
      <c r="AE1001" s="1">
        <v>131.0</v>
      </c>
      <c r="AF1001" s="1">
        <v>446.0</v>
      </c>
      <c r="AG1001" s="1">
        <v>454.0</v>
      </c>
      <c r="AH1001" s="1">
        <v>154.0</v>
      </c>
      <c r="AI1001" s="1">
        <v>0.0</v>
      </c>
      <c r="AJ1001" s="1">
        <v>114.0</v>
      </c>
      <c r="AK1001" s="1">
        <v>53.0</v>
      </c>
      <c r="AL1001" s="1">
        <v>123.0</v>
      </c>
      <c r="AM1001" s="1">
        <v>191.0</v>
      </c>
      <c r="AN1001" s="1">
        <v>105.0</v>
      </c>
      <c r="AO1001" s="1">
        <v>3.0</v>
      </c>
      <c r="AP1001" s="1">
        <v>0.064905</v>
      </c>
      <c r="AQ1001" s="1">
        <v>0.037131</v>
      </c>
      <c r="AR1001" s="1">
        <v>0.108419</v>
      </c>
      <c r="AS1001" s="1">
        <v>0.113673</v>
      </c>
      <c r="AT1001" s="1">
        <v>24841.0</v>
      </c>
      <c r="AU1001" s="1">
        <v>2055.0</v>
      </c>
      <c r="AV1001" s="1">
        <v>0.07889</v>
      </c>
      <c r="AW1001" s="1">
        <v>0.078803</v>
      </c>
      <c r="AX1001" s="1">
        <v>0.141012</v>
      </c>
      <c r="AY1001" s="1">
        <v>0.208249</v>
      </c>
      <c r="AZ1001" s="1">
        <v>0.08112149</v>
      </c>
      <c r="BA1001" s="1">
        <v>0.110328</v>
      </c>
      <c r="BB1001" s="1">
        <v>0.023116</v>
      </c>
      <c r="BC1001" s="1">
        <v>0.078685</v>
      </c>
      <c r="BD1001" s="1">
        <v>0.163309</v>
      </c>
      <c r="BE1001" s="1">
        <v>0.055326</v>
      </c>
      <c r="BF1001" s="1">
        <v>0.0</v>
      </c>
      <c r="BG1001" s="1">
        <v>0.041007</v>
      </c>
      <c r="BH1001" s="1">
        <v>0.019673</v>
      </c>
      <c r="BI1001" s="1">
        <v>0.045652</v>
      </c>
      <c r="BJ1001" s="1">
        <v>0.070898</v>
      </c>
      <c r="BK1001" s="1">
        <v>0.038905</v>
      </c>
      <c r="BL1001" s="1">
        <v>5.03E-4</v>
      </c>
      <c r="BM1001" s="1">
        <v>0.225</v>
      </c>
      <c r="BN1001" s="1">
        <v>0.78</v>
      </c>
      <c r="BO1001" s="1">
        <v>0.3545</v>
      </c>
      <c r="BP1001" s="1">
        <v>0.241</v>
      </c>
      <c r="BQ1001" s="1">
        <v>1.6005</v>
      </c>
      <c r="BR1001" s="1">
        <v>0.3726</v>
      </c>
      <c r="BS1001" s="1">
        <v>0.507</v>
      </c>
      <c r="BT1001" s="1">
        <v>0.227</v>
      </c>
      <c r="BU1001" s="1">
        <v>0.315</v>
      </c>
      <c r="BV1001" s="1">
        <v>1.049</v>
      </c>
      <c r="BW1001" s="1">
        <v>0.132</v>
      </c>
      <c r="BX1001" s="1">
        <v>0.505</v>
      </c>
      <c r="BY1001" s="1">
        <v>0.876</v>
      </c>
      <c r="BZ1001" s="1">
        <v>1.381</v>
      </c>
      <c r="CA1001" s="1">
        <v>0.757</v>
      </c>
      <c r="CB1001" s="1">
        <v>0.856</v>
      </c>
      <c r="CC1001" s="1">
        <v>0.0</v>
      </c>
      <c r="CD1001" s="1">
        <v>0.677</v>
      </c>
      <c r="CE1001" s="1">
        <v>0.629</v>
      </c>
      <c r="CF1001" s="1">
        <v>0.369</v>
      </c>
      <c r="CG1001" s="1">
        <v>2.531</v>
      </c>
      <c r="CH1001" s="1">
        <v>0.573</v>
      </c>
      <c r="CI1001" s="1">
        <v>6.5615</v>
      </c>
      <c r="CJ1001" s="1">
        <v>0.4671</v>
      </c>
      <c r="CK1001" s="1">
        <v>0.0</v>
      </c>
      <c r="CL1001" s="1">
        <v>0.0</v>
      </c>
      <c r="CM1001" s="1">
        <v>0.0</v>
      </c>
      <c r="CN1001" s="1">
        <v>0.0</v>
      </c>
      <c r="CO1001" s="1">
        <v>0.0</v>
      </c>
      <c r="CP1001" s="1">
        <v>0.0</v>
      </c>
      <c r="CQ1001" s="1">
        <v>0.0</v>
      </c>
      <c r="CR1001" s="1">
        <v>0.0</v>
      </c>
      <c r="CS1001" s="1">
        <v>0.0</v>
      </c>
      <c r="CT1001" s="1">
        <v>0.0</v>
      </c>
      <c r="CU1001" s="1">
        <v>0.0</v>
      </c>
      <c r="CV1001" s="1">
        <v>0.0</v>
      </c>
      <c r="CW1001" s="1">
        <v>0.0</v>
      </c>
      <c r="CX1001" s="1">
        <v>0.0</v>
      </c>
      <c r="CY1001" s="1">
        <v>0.0</v>
      </c>
      <c r="CZ1001" s="1">
        <v>0.0</v>
      </c>
      <c r="DA1001" s="1">
        <v>0.0</v>
      </c>
      <c r="DB1001" s="1">
        <v>0.0</v>
      </c>
      <c r="DC1001" s="1">
        <v>0.0</v>
      </c>
      <c r="DD1001" s="1" t="s">
        <v>4574</v>
      </c>
      <c r="DE1001" s="1">
        <v>4.57141106022042E-4</v>
      </c>
      <c r="DF1001" s="1">
        <v>0.0909938513529861</v>
      </c>
    </row>
    <row r="1002" ht="15.75" customHeight="1">
      <c r="A1002" s="1" t="s">
        <v>4575</v>
      </c>
      <c r="B1002" s="1">
        <v>29.0</v>
      </c>
      <c r="C1002" s="1">
        <v>189.0</v>
      </c>
      <c r="D1002" s="1">
        <v>220432.0</v>
      </c>
      <c r="E1002" s="1">
        <v>3.286</v>
      </c>
      <c r="F1002" s="1">
        <v>29189.0</v>
      </c>
      <c r="G1002" s="1">
        <v>2.9189220432E10</v>
      </c>
      <c r="H1002" s="1" t="s">
        <v>112</v>
      </c>
      <c r="I1002" s="1" t="s">
        <v>113</v>
      </c>
      <c r="J1002" s="1" t="s">
        <v>4566</v>
      </c>
      <c r="K1002" s="1" t="s">
        <v>4576</v>
      </c>
      <c r="L1002" s="1">
        <v>8049.0</v>
      </c>
      <c r="M1002" s="1">
        <v>7762.0</v>
      </c>
      <c r="N1002" s="1">
        <v>310.0</v>
      </c>
      <c r="O1002" s="1">
        <v>3112.0</v>
      </c>
      <c r="P1002" s="1">
        <v>3068.0</v>
      </c>
      <c r="Q1002" s="1">
        <v>67.0</v>
      </c>
      <c r="R1002" s="1">
        <v>3018.0</v>
      </c>
      <c r="S1002" s="1">
        <v>141.0</v>
      </c>
      <c r="T1002" s="1">
        <v>100.0</v>
      </c>
      <c r="U1002" s="1">
        <v>120.0</v>
      </c>
      <c r="V1002" s="1">
        <v>436.0</v>
      </c>
      <c r="W1002" s="1">
        <v>40570.0</v>
      </c>
      <c r="X1002" s="1">
        <v>5444.0</v>
      </c>
      <c r="Y1002" s="1">
        <v>158.0</v>
      </c>
      <c r="Z1002" s="1">
        <v>311.0</v>
      </c>
      <c r="AA1002" s="1">
        <v>1074.0</v>
      </c>
      <c r="AB1002" s="1">
        <v>1906.0</v>
      </c>
      <c r="AC1002" s="1">
        <v>189.0</v>
      </c>
      <c r="AD1002" s="1">
        <v>428.0</v>
      </c>
      <c r="AE1002" s="1">
        <v>31.0</v>
      </c>
      <c r="AF1002" s="1">
        <v>428.0</v>
      </c>
      <c r="AG1002" s="1">
        <v>286.0</v>
      </c>
      <c r="AH1002" s="1">
        <v>159.0</v>
      </c>
      <c r="AI1002" s="1">
        <v>21.0</v>
      </c>
      <c r="AJ1002" s="1">
        <v>33.0</v>
      </c>
      <c r="AK1002" s="1">
        <v>0.0</v>
      </c>
      <c r="AL1002" s="1">
        <v>161.0</v>
      </c>
      <c r="AM1002" s="1">
        <v>0.0</v>
      </c>
      <c r="AN1002" s="1">
        <v>161.0</v>
      </c>
      <c r="AO1002" s="1">
        <v>0.0</v>
      </c>
      <c r="AP1002" s="1">
        <v>0.018198</v>
      </c>
      <c r="AQ1002" s="1">
        <v>0.012886</v>
      </c>
      <c r="AR1002" s="1">
        <v>0.030753</v>
      </c>
      <c r="AS1002" s="1">
        <v>0.111706</v>
      </c>
      <c r="AT1002" s="1">
        <v>40570.0</v>
      </c>
      <c r="AU1002" s="1">
        <v>5444.0</v>
      </c>
      <c r="AV1002" s="1">
        <v>0.029302</v>
      </c>
      <c r="AW1002" s="1">
        <v>0.057668</v>
      </c>
      <c r="AX1002" s="1">
        <v>0.133432</v>
      </c>
      <c r="AY1002" s="1">
        <v>0.236799</v>
      </c>
      <c r="AZ1002" s="1">
        <v>0.06262425</v>
      </c>
      <c r="BA1002" s="1">
        <v>0.053174</v>
      </c>
      <c r="BB1002" s="1">
        <v>0.004089</v>
      </c>
      <c r="BC1002" s="1">
        <v>0.056464</v>
      </c>
      <c r="BD1002" s="1">
        <v>0.09322</v>
      </c>
      <c r="BE1002" s="1">
        <v>0.051785</v>
      </c>
      <c r="BF1002" s="1">
        <v>0.006844</v>
      </c>
      <c r="BG1002" s="1">
        <v>0.010755</v>
      </c>
      <c r="BH1002" s="1">
        <v>0.0</v>
      </c>
      <c r="BI1002" s="1">
        <v>0.055307</v>
      </c>
      <c r="BJ1002" s="1">
        <v>0.0</v>
      </c>
      <c r="BK1002" s="1">
        <v>0.055307</v>
      </c>
      <c r="BL1002" s="1">
        <v>0.0</v>
      </c>
      <c r="BM1002" s="1">
        <v>0.046</v>
      </c>
      <c r="BN1002" s="1">
        <v>0.093</v>
      </c>
      <c r="BO1002" s="1">
        <v>0.0606</v>
      </c>
      <c r="BP1002" s="1">
        <v>0.061</v>
      </c>
      <c r="BQ1002" s="1">
        <v>0.2606</v>
      </c>
      <c r="BR1002" s="1">
        <v>0.0116</v>
      </c>
      <c r="BS1002" s="1">
        <v>0.445</v>
      </c>
      <c r="BT1002" s="1">
        <v>0.46</v>
      </c>
      <c r="BU1002" s="1">
        <v>0.153</v>
      </c>
      <c r="BV1002" s="1">
        <v>1.058</v>
      </c>
      <c r="BW1002" s="1">
        <v>0.14</v>
      </c>
      <c r="BX1002" s="1">
        <v>0.272</v>
      </c>
      <c r="BY1002" s="1">
        <v>0.52</v>
      </c>
      <c r="BZ1002" s="1">
        <v>0.792</v>
      </c>
      <c r="CA1002" s="1">
        <v>0.393</v>
      </c>
      <c r="CB1002" s="1">
        <v>0.755</v>
      </c>
      <c r="CC1002" s="1">
        <v>0.424</v>
      </c>
      <c r="CD1002" s="1">
        <v>0.0</v>
      </c>
      <c r="CE1002" s="1">
        <v>0.0</v>
      </c>
      <c r="CF1002" s="1">
        <v>0.0</v>
      </c>
      <c r="CG1002" s="1">
        <v>1.179</v>
      </c>
      <c r="CH1002" s="1">
        <v>0.105</v>
      </c>
      <c r="CI1002" s="1">
        <v>3.2896</v>
      </c>
      <c r="CJ1002" s="1">
        <v>0.0325</v>
      </c>
      <c r="CK1002" s="1">
        <v>0.0</v>
      </c>
      <c r="CL1002" s="1">
        <v>0.0</v>
      </c>
      <c r="CM1002" s="1">
        <v>0.0</v>
      </c>
      <c r="CN1002" s="1">
        <v>0.0</v>
      </c>
      <c r="CO1002" s="1">
        <v>0.0</v>
      </c>
      <c r="CP1002" s="1">
        <v>0.0</v>
      </c>
      <c r="CQ1002" s="1">
        <v>0.0</v>
      </c>
      <c r="CR1002" s="1">
        <v>0.0</v>
      </c>
      <c r="CS1002" s="1">
        <v>0.0</v>
      </c>
      <c r="CT1002" s="1">
        <v>0.0</v>
      </c>
      <c r="CU1002" s="1">
        <v>0.0</v>
      </c>
      <c r="CV1002" s="1">
        <v>0.0</v>
      </c>
      <c r="CW1002" s="1">
        <v>0.0</v>
      </c>
      <c r="CX1002" s="1">
        <v>0.0</v>
      </c>
      <c r="CY1002" s="1">
        <v>0.0</v>
      </c>
      <c r="CZ1002" s="1">
        <v>0.0</v>
      </c>
      <c r="DA1002" s="1">
        <v>0.0</v>
      </c>
      <c r="DB1002" s="1">
        <v>0.0</v>
      </c>
      <c r="DC1002" s="1">
        <v>0.0</v>
      </c>
      <c r="DD1002" s="1" t="s">
        <v>4577</v>
      </c>
      <c r="DE1002" s="1">
        <v>8.92218952796174E-4</v>
      </c>
      <c r="DF1002" s="2" t="s">
        <v>4578</v>
      </c>
    </row>
    <row r="1003" ht="15.75" customHeight="1">
      <c r="A1003" s="1" t="s">
        <v>4579</v>
      </c>
      <c r="B1003" s="1">
        <v>29.0</v>
      </c>
      <c r="C1003" s="1">
        <v>189.0</v>
      </c>
      <c r="D1003" s="1">
        <v>220446.0</v>
      </c>
      <c r="E1003" s="1">
        <v>1.341</v>
      </c>
      <c r="F1003" s="1">
        <v>29189.0</v>
      </c>
      <c r="G1003" s="1">
        <v>2.9189220446E10</v>
      </c>
      <c r="H1003" s="1" t="s">
        <v>112</v>
      </c>
      <c r="I1003" s="1" t="s">
        <v>113</v>
      </c>
      <c r="J1003" s="1" t="s">
        <v>4566</v>
      </c>
      <c r="K1003" s="1" t="s">
        <v>4580</v>
      </c>
      <c r="L1003" s="1">
        <v>4584.0</v>
      </c>
      <c r="M1003" s="1">
        <v>4762.0</v>
      </c>
      <c r="N1003" s="1">
        <v>188.0</v>
      </c>
      <c r="O1003" s="1">
        <v>1690.0</v>
      </c>
      <c r="P1003" s="1">
        <v>1672.0</v>
      </c>
      <c r="Q1003" s="1">
        <v>30.0</v>
      </c>
      <c r="R1003" s="1">
        <v>1654.0</v>
      </c>
      <c r="S1003" s="1">
        <v>174.0</v>
      </c>
      <c r="T1003" s="1">
        <v>138.0</v>
      </c>
      <c r="U1003" s="1">
        <v>216.0</v>
      </c>
      <c r="V1003" s="1">
        <v>377.0</v>
      </c>
      <c r="W1003" s="1">
        <v>33791.0</v>
      </c>
      <c r="X1003" s="1">
        <v>6533.0</v>
      </c>
      <c r="Y1003" s="1">
        <v>118.0</v>
      </c>
      <c r="Z1003" s="1">
        <v>348.0</v>
      </c>
      <c r="AA1003" s="1">
        <v>574.0</v>
      </c>
      <c r="AB1003" s="1">
        <v>1018.0</v>
      </c>
      <c r="AC1003" s="1">
        <v>71.0</v>
      </c>
      <c r="AD1003" s="1">
        <v>170.0</v>
      </c>
      <c r="AE1003" s="1">
        <v>11.0</v>
      </c>
      <c r="AF1003" s="1">
        <v>442.0</v>
      </c>
      <c r="AG1003" s="1">
        <v>0.0</v>
      </c>
      <c r="AH1003" s="1">
        <v>197.0</v>
      </c>
      <c r="AI1003" s="1">
        <v>0.0</v>
      </c>
      <c r="AJ1003" s="1">
        <v>114.0</v>
      </c>
      <c r="AK1003" s="1">
        <v>12.0</v>
      </c>
      <c r="AL1003" s="1">
        <v>116.0</v>
      </c>
      <c r="AM1003" s="1">
        <v>11.0</v>
      </c>
      <c r="AN1003" s="1">
        <v>116.0</v>
      </c>
      <c r="AO1003" s="1">
        <v>0.0</v>
      </c>
      <c r="AP1003" s="1">
        <v>0.036539</v>
      </c>
      <c r="AQ1003" s="1">
        <v>0.028943</v>
      </c>
      <c r="AR1003" s="1">
        <v>0.081509</v>
      </c>
      <c r="AS1003" s="1">
        <v>0.142005</v>
      </c>
      <c r="AT1003" s="1">
        <v>33791.0</v>
      </c>
      <c r="AU1003" s="1">
        <v>6533.0</v>
      </c>
      <c r="AV1003" s="1">
        <v>0.035997</v>
      </c>
      <c r="AW1003" s="1">
        <v>0.106153</v>
      </c>
      <c r="AX1003" s="1">
        <v>0.125218</v>
      </c>
      <c r="AY1003" s="1">
        <v>0.222076</v>
      </c>
      <c r="AZ1003" s="1">
        <v>0.04292623</v>
      </c>
      <c r="BA1003" s="1">
        <v>0.037085</v>
      </c>
      <c r="BB1003" s="1">
        <v>0.002457</v>
      </c>
      <c r="BC1003" s="1">
        <v>0.098748</v>
      </c>
      <c r="BD1003" s="1">
        <v>0.0</v>
      </c>
      <c r="BE1003" s="1">
        <v>0.117822</v>
      </c>
      <c r="BF1003" s="1">
        <v>0.0</v>
      </c>
      <c r="BG1003" s="1">
        <v>0.068181</v>
      </c>
      <c r="BH1003" s="1">
        <v>0.007303</v>
      </c>
      <c r="BI1003" s="1">
        <v>0.070602</v>
      </c>
      <c r="BJ1003" s="1">
        <v>0.006695</v>
      </c>
      <c r="BK1003" s="1">
        <v>0.070602</v>
      </c>
      <c r="BL1003" s="1">
        <v>0.0</v>
      </c>
      <c r="BM1003" s="1">
        <v>0.11</v>
      </c>
      <c r="BN1003" s="1">
        <v>0.623</v>
      </c>
      <c r="BO1003" s="1">
        <v>0.1336</v>
      </c>
      <c r="BP1003" s="1">
        <v>0.084</v>
      </c>
      <c r="BQ1003" s="1">
        <v>0.9506</v>
      </c>
      <c r="BR1003" s="1">
        <v>0.1884</v>
      </c>
      <c r="BS1003" s="1">
        <v>0.382</v>
      </c>
      <c r="BT1003" s="1">
        <v>0.317</v>
      </c>
      <c r="BU1003" s="1">
        <v>0.049</v>
      </c>
      <c r="BV1003" s="1">
        <v>0.748</v>
      </c>
      <c r="BW1003" s="1">
        <v>0.064</v>
      </c>
      <c r="BX1003" s="1">
        <v>0.138</v>
      </c>
      <c r="BY1003" s="1">
        <v>0.409</v>
      </c>
      <c r="BZ1003" s="1">
        <v>0.547</v>
      </c>
      <c r="CA1003" s="1">
        <v>0.238</v>
      </c>
      <c r="CB1003" s="1">
        <v>0.0</v>
      </c>
      <c r="CC1003" s="1">
        <v>0.0</v>
      </c>
      <c r="CD1003" s="1">
        <v>0.404</v>
      </c>
      <c r="CE1003" s="1">
        <v>0.058</v>
      </c>
      <c r="CF1003" s="1">
        <v>0.0</v>
      </c>
      <c r="CG1003" s="1">
        <v>0.462</v>
      </c>
      <c r="CH1003" s="1">
        <v>0.025</v>
      </c>
      <c r="CI1003" s="1">
        <v>2.7076</v>
      </c>
      <c r="CJ1003" s="1">
        <v>0.0101</v>
      </c>
      <c r="CK1003" s="1">
        <v>0.0</v>
      </c>
      <c r="CL1003" s="1">
        <v>0.0</v>
      </c>
      <c r="CM1003" s="1">
        <v>0.0</v>
      </c>
      <c r="CN1003" s="1">
        <v>0.0</v>
      </c>
      <c r="CO1003" s="1">
        <v>0.0</v>
      </c>
      <c r="CP1003" s="1">
        <v>0.0</v>
      </c>
      <c r="CQ1003" s="1">
        <v>0.0</v>
      </c>
      <c r="CR1003" s="1">
        <v>0.0</v>
      </c>
      <c r="CS1003" s="1">
        <v>0.0</v>
      </c>
      <c r="CT1003" s="1">
        <v>0.0</v>
      </c>
      <c r="CU1003" s="1">
        <v>0.0</v>
      </c>
      <c r="CV1003" s="1">
        <v>0.0</v>
      </c>
      <c r="CW1003" s="1">
        <v>0.0</v>
      </c>
      <c r="CX1003" s="1">
        <v>0.0</v>
      </c>
      <c r="CY1003" s="1">
        <v>0.0</v>
      </c>
      <c r="CZ1003" s="1">
        <v>0.0</v>
      </c>
      <c r="DA1003" s="1">
        <v>0.0</v>
      </c>
      <c r="DB1003" s="1">
        <v>0.0</v>
      </c>
      <c r="DC1003" s="1">
        <v>0.0</v>
      </c>
      <c r="DD1003" s="1" t="s">
        <v>4581</v>
      </c>
      <c r="DE1003" s="1">
        <v>3.58243025189774E-4</v>
      </c>
      <c r="DF1003" s="1">
        <v>0.0827752034165771</v>
      </c>
    </row>
    <row r="1004" ht="15.75" customHeight="1">
      <c r="A1004" s="1" t="s">
        <v>4582</v>
      </c>
      <c r="B1004" s="1">
        <v>29.0</v>
      </c>
      <c r="C1004" s="1">
        <v>189.0</v>
      </c>
      <c r="D1004" s="1">
        <v>220702.0</v>
      </c>
      <c r="E1004" s="1">
        <v>0.788</v>
      </c>
      <c r="F1004" s="1">
        <v>29189.0</v>
      </c>
      <c r="G1004" s="1">
        <v>2.9189220702E10</v>
      </c>
      <c r="H1004" s="1" t="s">
        <v>112</v>
      </c>
      <c r="I1004" s="1" t="s">
        <v>113</v>
      </c>
      <c r="J1004" s="1" t="s">
        <v>4566</v>
      </c>
      <c r="K1004" s="1" t="s">
        <v>4583</v>
      </c>
      <c r="L1004" s="1">
        <v>3653.0</v>
      </c>
      <c r="M1004" s="1">
        <v>3664.0</v>
      </c>
      <c r="N1004" s="1">
        <v>174.0</v>
      </c>
      <c r="O1004" s="1">
        <v>1701.0</v>
      </c>
      <c r="P1004" s="1">
        <v>1635.0</v>
      </c>
      <c r="Q1004" s="1">
        <v>50.0</v>
      </c>
      <c r="R1004" s="1">
        <v>1643.0</v>
      </c>
      <c r="S1004" s="1">
        <v>249.0</v>
      </c>
      <c r="T1004" s="1">
        <v>143.0</v>
      </c>
      <c r="U1004" s="1">
        <v>64.0</v>
      </c>
      <c r="V1004" s="1">
        <v>443.0</v>
      </c>
      <c r="W1004" s="1">
        <v>28164.0</v>
      </c>
      <c r="X1004" s="1">
        <v>2456.0</v>
      </c>
      <c r="Y1004" s="1">
        <v>279.0</v>
      </c>
      <c r="Z1004" s="1">
        <v>217.0</v>
      </c>
      <c r="AA1004" s="1">
        <v>886.0</v>
      </c>
      <c r="AB1004" s="1">
        <v>708.0</v>
      </c>
      <c r="AC1004" s="1">
        <v>115.0</v>
      </c>
      <c r="AD1004" s="1">
        <v>165.0</v>
      </c>
      <c r="AE1004" s="1">
        <v>131.0</v>
      </c>
      <c r="AF1004" s="1">
        <v>436.0</v>
      </c>
      <c r="AG1004" s="1">
        <v>40.0</v>
      </c>
      <c r="AH1004" s="1">
        <v>163.0</v>
      </c>
      <c r="AI1004" s="1">
        <v>0.0</v>
      </c>
      <c r="AJ1004" s="1">
        <v>114.0</v>
      </c>
      <c r="AK1004" s="1">
        <v>13.0</v>
      </c>
      <c r="AL1004" s="1">
        <v>116.0</v>
      </c>
      <c r="AM1004" s="1">
        <v>62.0</v>
      </c>
      <c r="AN1004" s="1">
        <v>38.0</v>
      </c>
      <c r="AO1004" s="1">
        <v>0.0</v>
      </c>
      <c r="AP1004" s="1">
        <v>0.067958</v>
      </c>
      <c r="AQ1004" s="1">
        <v>0.038894</v>
      </c>
      <c r="AR1004" s="1">
        <v>0.035955</v>
      </c>
      <c r="AS1004" s="1">
        <v>0.248833</v>
      </c>
      <c r="AT1004" s="1">
        <v>28164.0</v>
      </c>
      <c r="AU1004" s="1">
        <v>2456.0</v>
      </c>
      <c r="AV1004" s="1">
        <v>0.100287</v>
      </c>
      <c r="AW1004" s="1">
        <v>0.077862</v>
      </c>
      <c r="AX1004" s="1">
        <v>0.24254</v>
      </c>
      <c r="AY1004" s="1">
        <v>0.193813</v>
      </c>
      <c r="AZ1004" s="1">
        <v>0.06999391</v>
      </c>
      <c r="BA1004" s="1">
        <v>0.045168</v>
      </c>
      <c r="BB1004" s="1">
        <v>0.037982</v>
      </c>
      <c r="BC1004" s="1">
        <v>0.126398</v>
      </c>
      <c r="BD1004" s="1">
        <v>0.024464</v>
      </c>
      <c r="BE1004" s="1">
        <v>0.099691</v>
      </c>
      <c r="BF1004" s="1">
        <v>0.0</v>
      </c>
      <c r="BG1004" s="1">
        <v>0.069724</v>
      </c>
      <c r="BH1004" s="1">
        <v>0.007951</v>
      </c>
      <c r="BI1004" s="1">
        <v>0.070947</v>
      </c>
      <c r="BJ1004" s="1">
        <v>0.03792</v>
      </c>
      <c r="BK1004" s="1">
        <v>0.023212</v>
      </c>
      <c r="BL1004" s="1">
        <v>0.0</v>
      </c>
      <c r="BM1004" s="1">
        <v>0.239</v>
      </c>
      <c r="BN1004" s="1">
        <v>0.147</v>
      </c>
      <c r="BO1004" s="1">
        <v>0.2455</v>
      </c>
      <c r="BP1004" s="1">
        <v>0.341</v>
      </c>
      <c r="BQ1004" s="1">
        <v>0.9725</v>
      </c>
      <c r="BR1004" s="1">
        <v>0.1949</v>
      </c>
      <c r="BS1004" s="1">
        <v>0.964</v>
      </c>
      <c r="BT1004" s="1">
        <v>0.164</v>
      </c>
      <c r="BU1004" s="1">
        <v>0.215</v>
      </c>
      <c r="BV1004" s="1">
        <v>1.343</v>
      </c>
      <c r="BW1004" s="1">
        <v>0.338</v>
      </c>
      <c r="BX1004" s="1">
        <v>0.215</v>
      </c>
      <c r="BY1004" s="1">
        <v>0.941</v>
      </c>
      <c r="BZ1004" s="1">
        <v>1.156</v>
      </c>
      <c r="CA1004" s="1">
        <v>0.638</v>
      </c>
      <c r="CB1004" s="1">
        <v>0.51</v>
      </c>
      <c r="CC1004" s="1">
        <v>0.0</v>
      </c>
      <c r="CD1004" s="1">
        <v>0.435</v>
      </c>
      <c r="CE1004" s="1">
        <v>0.371</v>
      </c>
      <c r="CF1004" s="1">
        <v>0.0</v>
      </c>
      <c r="CG1004" s="1">
        <v>1.316</v>
      </c>
      <c r="CH1004" s="1">
        <v>0.13</v>
      </c>
      <c r="CI1004" s="1">
        <v>4.7875</v>
      </c>
      <c r="CJ1004" s="1">
        <v>0.1747</v>
      </c>
      <c r="CK1004" s="1">
        <v>0.0</v>
      </c>
      <c r="CL1004" s="1">
        <v>0.0</v>
      </c>
      <c r="CM1004" s="1">
        <v>0.0</v>
      </c>
      <c r="CN1004" s="1">
        <v>0.0</v>
      </c>
      <c r="CO1004" s="1">
        <v>0.0</v>
      </c>
      <c r="CP1004" s="1">
        <v>1.0</v>
      </c>
      <c r="CQ1004" s="1">
        <v>0.0</v>
      </c>
      <c r="CR1004" s="1">
        <v>0.0</v>
      </c>
      <c r="CS1004" s="1">
        <v>1.0</v>
      </c>
      <c r="CT1004" s="1">
        <v>0.0</v>
      </c>
      <c r="CU1004" s="1">
        <v>1.0</v>
      </c>
      <c r="CV1004" s="1">
        <v>1.0</v>
      </c>
      <c r="CW1004" s="1">
        <v>0.0</v>
      </c>
      <c r="CX1004" s="1">
        <v>0.0</v>
      </c>
      <c r="CY1004" s="1">
        <v>0.0</v>
      </c>
      <c r="CZ1004" s="1">
        <v>0.0</v>
      </c>
      <c r="DA1004" s="1">
        <v>0.0</v>
      </c>
      <c r="DB1004" s="1">
        <v>0.0</v>
      </c>
      <c r="DC1004" s="1">
        <v>2.0</v>
      </c>
      <c r="DD1004" s="1" t="s">
        <v>4584</v>
      </c>
      <c r="DE1004" s="1">
        <v>2.09981005517751E-4</v>
      </c>
      <c r="DF1004" s="1">
        <v>0.0631310868899975</v>
      </c>
    </row>
    <row r="1005" ht="15.75" customHeight="1">
      <c r="A1005" s="1" t="s">
        <v>4585</v>
      </c>
      <c r="B1005" s="1">
        <v>29.0</v>
      </c>
      <c r="C1005" s="1">
        <v>189.0</v>
      </c>
      <c r="D1005" s="1">
        <v>221302.0</v>
      </c>
      <c r="E1005" s="1">
        <v>1.731</v>
      </c>
      <c r="F1005" s="1">
        <v>29189.0</v>
      </c>
      <c r="G1005" s="1">
        <v>2.9189221302E10</v>
      </c>
      <c r="H1005" s="1" t="s">
        <v>112</v>
      </c>
      <c r="I1005" s="1" t="s">
        <v>113</v>
      </c>
      <c r="J1005" s="1" t="s">
        <v>4566</v>
      </c>
      <c r="K1005" s="1" t="s">
        <v>4586</v>
      </c>
      <c r="L1005" s="1">
        <v>6619.0</v>
      </c>
      <c r="M1005" s="1">
        <v>6200.0</v>
      </c>
      <c r="N1005" s="1">
        <v>405.0</v>
      </c>
      <c r="O1005" s="1">
        <v>3143.0</v>
      </c>
      <c r="P1005" s="1">
        <v>3045.0</v>
      </c>
      <c r="Q1005" s="1">
        <v>94.0</v>
      </c>
      <c r="R1005" s="1">
        <v>2962.0</v>
      </c>
      <c r="S1005" s="1">
        <v>98.0</v>
      </c>
      <c r="T1005" s="1">
        <v>72.0</v>
      </c>
      <c r="U1005" s="1">
        <v>46.0</v>
      </c>
      <c r="V1005" s="1">
        <v>458.0</v>
      </c>
      <c r="W1005" s="1">
        <v>34436.0</v>
      </c>
      <c r="X1005" s="1">
        <v>2874.0</v>
      </c>
      <c r="Y1005" s="1">
        <v>165.0</v>
      </c>
      <c r="Z1005" s="1">
        <v>351.0</v>
      </c>
      <c r="AA1005" s="1">
        <v>1400.0</v>
      </c>
      <c r="AB1005" s="1">
        <v>1291.0</v>
      </c>
      <c r="AC1005" s="1">
        <v>229.0</v>
      </c>
      <c r="AD1005" s="1">
        <v>570.0</v>
      </c>
      <c r="AE1005" s="1">
        <v>48.0</v>
      </c>
      <c r="AF1005" s="1">
        <v>429.0</v>
      </c>
      <c r="AG1005" s="1">
        <v>562.0</v>
      </c>
      <c r="AH1005" s="1">
        <v>150.0</v>
      </c>
      <c r="AI1005" s="1">
        <v>0.0</v>
      </c>
      <c r="AJ1005" s="1">
        <v>114.0</v>
      </c>
      <c r="AK1005" s="1">
        <v>18.0</v>
      </c>
      <c r="AL1005" s="1">
        <v>116.0</v>
      </c>
      <c r="AM1005" s="1">
        <v>136.0</v>
      </c>
      <c r="AN1005" s="1">
        <v>67.0</v>
      </c>
      <c r="AO1005" s="1">
        <v>0.0</v>
      </c>
      <c r="AP1005" s="1">
        <v>0.015806</v>
      </c>
      <c r="AQ1005" s="1">
        <v>0.011566</v>
      </c>
      <c r="AR1005" s="1">
        <v>0.014438</v>
      </c>
      <c r="AS1005" s="1">
        <v>0.143746</v>
      </c>
      <c r="AT1005" s="1">
        <v>34436.0</v>
      </c>
      <c r="AU1005" s="1">
        <v>2874.0</v>
      </c>
      <c r="AV1005" s="1">
        <v>0.03665</v>
      </c>
      <c r="AW1005" s="1">
        <v>0.077941</v>
      </c>
      <c r="AX1005" s="1">
        <v>0.211512</v>
      </c>
      <c r="AY1005" s="1">
        <v>0.195044</v>
      </c>
      <c r="AZ1005" s="1">
        <v>0.07731262</v>
      </c>
      <c r="BA1005" s="1">
        <v>0.086115</v>
      </c>
      <c r="BB1005" s="1">
        <v>0.008095</v>
      </c>
      <c r="BC1005" s="1">
        <v>0.072354</v>
      </c>
      <c r="BD1005" s="1">
        <v>0.184564</v>
      </c>
      <c r="BE1005" s="1">
        <v>0.04893</v>
      </c>
      <c r="BF1005" s="1">
        <v>0.0</v>
      </c>
      <c r="BG1005" s="1">
        <v>0.037438</v>
      </c>
      <c r="BH1005" s="1">
        <v>0.00644</v>
      </c>
      <c r="BI1005" s="1">
        <v>0.041501</v>
      </c>
      <c r="BJ1005" s="1">
        <v>0.048658</v>
      </c>
      <c r="BK1005" s="1">
        <v>0.023864</v>
      </c>
      <c r="BL1005" s="1">
        <v>0.0</v>
      </c>
      <c r="BM1005" s="1">
        <v>0.039</v>
      </c>
      <c r="BN1005" s="1">
        <v>0.015</v>
      </c>
      <c r="BO1005" s="1">
        <v>0.1206</v>
      </c>
      <c r="BP1005" s="1">
        <v>0.087</v>
      </c>
      <c r="BQ1005" s="1">
        <v>0.2616</v>
      </c>
      <c r="BR1005" s="1">
        <v>0.0123</v>
      </c>
      <c r="BS1005" s="1">
        <v>0.912</v>
      </c>
      <c r="BT1005" s="1">
        <v>0.168</v>
      </c>
      <c r="BU1005" s="1">
        <v>0.274</v>
      </c>
      <c r="BV1005" s="1">
        <v>1.354</v>
      </c>
      <c r="BW1005" s="1">
        <v>0.348</v>
      </c>
      <c r="BX1005" s="1">
        <v>0.417</v>
      </c>
      <c r="BY1005" s="1">
        <v>0.671</v>
      </c>
      <c r="BZ1005" s="1">
        <v>1.088</v>
      </c>
      <c r="CA1005" s="1">
        <v>0.606</v>
      </c>
      <c r="CB1005" s="1">
        <v>0.884</v>
      </c>
      <c r="CC1005" s="1">
        <v>0.0</v>
      </c>
      <c r="CD1005" s="1">
        <v>0.372</v>
      </c>
      <c r="CE1005" s="1">
        <v>0.477</v>
      </c>
      <c r="CF1005" s="1">
        <v>0.0</v>
      </c>
      <c r="CG1005" s="1">
        <v>1.733</v>
      </c>
      <c r="CH1005" s="1">
        <v>0.246</v>
      </c>
      <c r="CI1005" s="1">
        <v>4.4366</v>
      </c>
      <c r="CJ1005" s="1">
        <v>0.1271</v>
      </c>
      <c r="CK1005" s="1">
        <v>0.0</v>
      </c>
      <c r="CL1005" s="1">
        <v>0.0</v>
      </c>
      <c r="CM1005" s="1">
        <v>0.0</v>
      </c>
      <c r="CN1005" s="1">
        <v>0.0</v>
      </c>
      <c r="CO1005" s="1">
        <v>0.0</v>
      </c>
      <c r="CP1005" s="1">
        <v>1.0</v>
      </c>
      <c r="CQ1005" s="1">
        <v>0.0</v>
      </c>
      <c r="CR1005" s="1">
        <v>0.0</v>
      </c>
      <c r="CS1005" s="1">
        <v>1.0</v>
      </c>
      <c r="CT1005" s="1">
        <v>0.0</v>
      </c>
      <c r="CU1005" s="1">
        <v>0.0</v>
      </c>
      <c r="CV1005" s="1">
        <v>0.0</v>
      </c>
      <c r="CW1005" s="1">
        <v>0.0</v>
      </c>
      <c r="CX1005" s="1">
        <v>0.0</v>
      </c>
      <c r="CY1005" s="1">
        <v>0.0</v>
      </c>
      <c r="CZ1005" s="1">
        <v>0.0</v>
      </c>
      <c r="DA1005" s="1">
        <v>0.0</v>
      </c>
      <c r="DB1005" s="1">
        <v>0.0</v>
      </c>
      <c r="DC1005" s="1">
        <v>1.0</v>
      </c>
      <c r="DD1005" s="1" t="s">
        <v>4587</v>
      </c>
      <c r="DE1005" s="1">
        <v>4.66506126638343E-4</v>
      </c>
      <c r="DF1005" s="2" t="s">
        <v>4588</v>
      </c>
    </row>
    <row r="1006" ht="15.75" customHeight="1">
      <c r="A1006" s="1" t="s">
        <v>4589</v>
      </c>
      <c r="B1006" s="1">
        <v>29.0</v>
      </c>
      <c r="C1006" s="1">
        <v>189.0</v>
      </c>
      <c r="D1006" s="1">
        <v>221424.0</v>
      </c>
      <c r="E1006" s="1">
        <v>1.659</v>
      </c>
      <c r="F1006" s="1">
        <v>29189.0</v>
      </c>
      <c r="G1006" s="1">
        <v>2.9189221424E10</v>
      </c>
      <c r="H1006" s="1" t="s">
        <v>112</v>
      </c>
      <c r="I1006" s="1" t="s">
        <v>113</v>
      </c>
      <c r="J1006" s="1" t="s">
        <v>4566</v>
      </c>
      <c r="K1006" s="1" t="s">
        <v>4590</v>
      </c>
      <c r="L1006" s="1">
        <v>4996.0</v>
      </c>
      <c r="M1006" s="1">
        <v>4840.0</v>
      </c>
      <c r="N1006" s="1">
        <v>300.0</v>
      </c>
      <c r="O1006" s="1">
        <v>1810.0</v>
      </c>
      <c r="P1006" s="1">
        <v>1723.0</v>
      </c>
      <c r="Q1006" s="1">
        <v>77.0</v>
      </c>
      <c r="R1006" s="1">
        <v>1725.0</v>
      </c>
      <c r="S1006" s="1">
        <v>100.0</v>
      </c>
      <c r="T1006" s="1">
        <v>122.0</v>
      </c>
      <c r="U1006" s="1">
        <v>132.0</v>
      </c>
      <c r="V1006" s="1">
        <v>420.0</v>
      </c>
      <c r="W1006" s="1">
        <v>31780.0</v>
      </c>
      <c r="X1006" s="1">
        <v>2468.0</v>
      </c>
      <c r="Y1006" s="1">
        <v>271.0</v>
      </c>
      <c r="Z1006" s="1">
        <v>350.0</v>
      </c>
      <c r="AA1006" s="1">
        <v>643.0</v>
      </c>
      <c r="AB1006" s="1">
        <v>1382.0</v>
      </c>
      <c r="AC1006" s="1">
        <v>152.0</v>
      </c>
      <c r="AD1006" s="1">
        <v>298.0</v>
      </c>
      <c r="AE1006" s="1">
        <v>113.0</v>
      </c>
      <c r="AF1006" s="1">
        <v>436.0</v>
      </c>
      <c r="AG1006" s="1">
        <v>197.0</v>
      </c>
      <c r="AH1006" s="1">
        <v>181.0</v>
      </c>
      <c r="AI1006" s="1">
        <v>0.0</v>
      </c>
      <c r="AJ1006" s="1">
        <v>114.0</v>
      </c>
      <c r="AK1006" s="1">
        <v>22.0</v>
      </c>
      <c r="AL1006" s="1">
        <v>119.0</v>
      </c>
      <c r="AM1006" s="1">
        <v>62.0</v>
      </c>
      <c r="AN1006" s="1">
        <v>50.0</v>
      </c>
      <c r="AO1006" s="1">
        <v>171.0</v>
      </c>
      <c r="AP1006" s="1">
        <v>0.021299</v>
      </c>
      <c r="AQ1006" s="1">
        <v>0.025969</v>
      </c>
      <c r="AR1006" s="1">
        <v>0.053484</v>
      </c>
      <c r="AS1006" s="1">
        <v>0.170049</v>
      </c>
      <c r="AT1006" s="1">
        <v>31780.0</v>
      </c>
      <c r="AU1006" s="1">
        <v>2468.0</v>
      </c>
      <c r="AV1006" s="1">
        <v>0.08482</v>
      </c>
      <c r="AW1006" s="1">
        <v>0.109374</v>
      </c>
      <c r="AX1006" s="1">
        <v>0.128702</v>
      </c>
      <c r="AY1006" s="1">
        <v>0.276621</v>
      </c>
      <c r="AZ1006" s="1">
        <v>0.08811594</v>
      </c>
      <c r="BA1006" s="1">
        <v>0.059647</v>
      </c>
      <c r="BB1006" s="1">
        <v>0.025364</v>
      </c>
      <c r="BC1006" s="1">
        <v>0.097851</v>
      </c>
      <c r="BD1006" s="1">
        <v>0.114335</v>
      </c>
      <c r="BE1006" s="1">
        <v>0.104924</v>
      </c>
      <c r="BF1006" s="1">
        <v>0.0</v>
      </c>
      <c r="BG1006" s="1">
        <v>0.066163</v>
      </c>
      <c r="BH1006" s="1">
        <v>0.01311</v>
      </c>
      <c r="BI1006" s="1">
        <v>0.070914</v>
      </c>
      <c r="BJ1006" s="1">
        <v>0.036948</v>
      </c>
      <c r="BK1006" s="1">
        <v>0.029731</v>
      </c>
      <c r="BL1006" s="1">
        <v>0.034227</v>
      </c>
      <c r="BM1006" s="1">
        <v>0.061</v>
      </c>
      <c r="BN1006" s="1">
        <v>0.331</v>
      </c>
      <c r="BO1006" s="1">
        <v>0.161</v>
      </c>
      <c r="BP1006" s="1">
        <v>0.269</v>
      </c>
      <c r="BQ1006" s="1">
        <v>0.822</v>
      </c>
      <c r="BR1006" s="1">
        <v>0.1625</v>
      </c>
      <c r="BS1006" s="1">
        <v>0.407</v>
      </c>
      <c r="BT1006" s="1">
        <v>0.833</v>
      </c>
      <c r="BU1006" s="1">
        <v>0.387</v>
      </c>
      <c r="BV1006" s="1">
        <v>1.627</v>
      </c>
      <c r="BW1006" s="1">
        <v>0.586</v>
      </c>
      <c r="BX1006" s="1">
        <v>0.311</v>
      </c>
      <c r="BY1006" s="1">
        <v>0.894</v>
      </c>
      <c r="BZ1006" s="1">
        <v>1.205</v>
      </c>
      <c r="CA1006" s="1">
        <v>0.664</v>
      </c>
      <c r="CB1006" s="1">
        <v>0.795</v>
      </c>
      <c r="CC1006" s="1">
        <v>0.0</v>
      </c>
      <c r="CD1006" s="1">
        <v>0.552</v>
      </c>
      <c r="CE1006" s="1">
        <v>0.36</v>
      </c>
      <c r="CF1006" s="1">
        <v>0.833</v>
      </c>
      <c r="CG1006" s="1">
        <v>2.54</v>
      </c>
      <c r="CH1006" s="1">
        <v>0.576</v>
      </c>
      <c r="CI1006" s="1">
        <v>6.194</v>
      </c>
      <c r="CJ1006" s="1">
        <v>0.4065</v>
      </c>
      <c r="CK1006" s="1">
        <v>0.0</v>
      </c>
      <c r="CL1006" s="1">
        <v>0.0</v>
      </c>
      <c r="CM1006" s="1">
        <v>0.0</v>
      </c>
      <c r="CN1006" s="1">
        <v>0.0</v>
      </c>
      <c r="CO1006" s="1">
        <v>0.0</v>
      </c>
      <c r="CP1006" s="1">
        <v>0.0</v>
      </c>
      <c r="CQ1006" s="1">
        <v>0.0</v>
      </c>
      <c r="CR1006" s="1">
        <v>0.0</v>
      </c>
      <c r="CS1006" s="1">
        <v>0.0</v>
      </c>
      <c r="CT1006" s="1">
        <v>0.0</v>
      </c>
      <c r="CU1006" s="1">
        <v>0.0</v>
      </c>
      <c r="CV1006" s="1">
        <v>0.0</v>
      </c>
      <c r="CW1006" s="1">
        <v>0.0</v>
      </c>
      <c r="CX1006" s="1">
        <v>0.0</v>
      </c>
      <c r="CY1006" s="1">
        <v>0.0</v>
      </c>
      <c r="CZ1006" s="1">
        <v>0.0</v>
      </c>
      <c r="DA1006" s="1">
        <v>0.0</v>
      </c>
      <c r="DB1006" s="1">
        <v>0.0</v>
      </c>
      <c r="DC1006" s="1">
        <v>0.0</v>
      </c>
      <c r="DD1006" s="1" t="s">
        <v>4591</v>
      </c>
      <c r="DE1006" s="1">
        <v>4.44135947542934E-4</v>
      </c>
      <c r="DF1006" s="1">
        <v>0.0880763228985966</v>
      </c>
    </row>
    <row r="1007" ht="15.75" customHeight="1">
      <c r="A1007" s="1" t="s">
        <v>4592</v>
      </c>
      <c r="B1007" s="1">
        <v>29.0</v>
      </c>
      <c r="C1007" s="1">
        <v>189.0</v>
      </c>
      <c r="D1007" s="1">
        <v>221624.0</v>
      </c>
      <c r="E1007" s="1">
        <v>1.33</v>
      </c>
      <c r="F1007" s="1">
        <v>29189.0</v>
      </c>
      <c r="G1007" s="1">
        <v>2.9189221624E10</v>
      </c>
      <c r="H1007" s="1" t="s">
        <v>112</v>
      </c>
      <c r="I1007" s="1" t="s">
        <v>113</v>
      </c>
      <c r="J1007" s="1" t="s">
        <v>4566</v>
      </c>
      <c r="K1007" s="1" t="s">
        <v>4593</v>
      </c>
      <c r="L1007" s="1">
        <v>3393.0</v>
      </c>
      <c r="M1007" s="1">
        <v>3290.0</v>
      </c>
      <c r="N1007" s="1">
        <v>186.0</v>
      </c>
      <c r="O1007" s="1">
        <v>1367.0</v>
      </c>
      <c r="P1007" s="1">
        <v>1362.0</v>
      </c>
      <c r="Q1007" s="1">
        <v>76.0</v>
      </c>
      <c r="R1007" s="1">
        <v>1345.0</v>
      </c>
      <c r="S1007" s="1">
        <v>134.0</v>
      </c>
      <c r="T1007" s="1">
        <v>111.0</v>
      </c>
      <c r="U1007" s="1">
        <v>44.0</v>
      </c>
      <c r="V1007" s="1">
        <v>472.0</v>
      </c>
      <c r="W1007" s="1">
        <v>40543.0</v>
      </c>
      <c r="X1007" s="1">
        <v>3790.0</v>
      </c>
      <c r="Y1007" s="1">
        <v>164.0</v>
      </c>
      <c r="Z1007" s="1">
        <v>371.0</v>
      </c>
      <c r="AA1007" s="1">
        <v>661.0</v>
      </c>
      <c r="AB1007" s="1">
        <v>828.0</v>
      </c>
      <c r="AC1007" s="1">
        <v>56.0</v>
      </c>
      <c r="AD1007" s="1">
        <v>386.0</v>
      </c>
      <c r="AE1007" s="1">
        <v>0.0</v>
      </c>
      <c r="AF1007" s="1">
        <v>456.0</v>
      </c>
      <c r="AG1007" s="1">
        <v>285.0</v>
      </c>
      <c r="AH1007" s="1">
        <v>97.0</v>
      </c>
      <c r="AI1007" s="1">
        <v>12.0</v>
      </c>
      <c r="AJ1007" s="1">
        <v>19.0</v>
      </c>
      <c r="AK1007" s="1">
        <v>0.0</v>
      </c>
      <c r="AL1007" s="1">
        <v>161.0</v>
      </c>
      <c r="AM1007" s="1">
        <v>212.0</v>
      </c>
      <c r="AN1007" s="1">
        <v>139.0</v>
      </c>
      <c r="AO1007" s="1">
        <v>0.0</v>
      </c>
      <c r="AP1007" s="1">
        <v>0.040729</v>
      </c>
      <c r="AQ1007" s="1">
        <v>0.033659</v>
      </c>
      <c r="AR1007" s="1">
        <v>0.028701</v>
      </c>
      <c r="AS1007" s="1">
        <v>0.307848</v>
      </c>
      <c r="AT1007" s="1">
        <v>40543.0</v>
      </c>
      <c r="AU1007" s="1">
        <v>3790.0</v>
      </c>
      <c r="AV1007" s="1">
        <v>0.072986</v>
      </c>
      <c r="AW1007" s="1">
        <v>0.165046</v>
      </c>
      <c r="AX1007" s="1">
        <v>0.194812</v>
      </c>
      <c r="AY1007" s="1">
        <v>0.244031</v>
      </c>
      <c r="AZ1007" s="1">
        <v>0.04163568</v>
      </c>
      <c r="BA1007" s="1">
        <v>0.113763</v>
      </c>
      <c r="BB1007" s="1">
        <v>0.0</v>
      </c>
      <c r="BC1007" s="1">
        <v>0.14578</v>
      </c>
      <c r="BD1007" s="1">
        <v>0.209251</v>
      </c>
      <c r="BE1007" s="1">
        <v>0.070255</v>
      </c>
      <c r="BF1007" s="1">
        <v>0.00881</v>
      </c>
      <c r="BG1007" s="1">
        <v>0.013941</v>
      </c>
      <c r="BH1007" s="1">
        <v>0.0</v>
      </c>
      <c r="BI1007" s="1">
        <v>0.120689</v>
      </c>
      <c r="BJ1007" s="1">
        <v>0.15892</v>
      </c>
      <c r="BK1007" s="1">
        <v>0.10375</v>
      </c>
      <c r="BL1007" s="1">
        <v>0.0</v>
      </c>
      <c r="BM1007" s="1">
        <v>0.125</v>
      </c>
      <c r="BN1007" s="1">
        <v>0.076</v>
      </c>
      <c r="BO1007" s="1">
        <v>0.0614</v>
      </c>
      <c r="BP1007" s="1">
        <v>0.215</v>
      </c>
      <c r="BQ1007" s="1">
        <v>0.4774</v>
      </c>
      <c r="BR1007" s="1">
        <v>0.0599</v>
      </c>
      <c r="BS1007" s="1">
        <v>0.857</v>
      </c>
      <c r="BT1007" s="1">
        <v>0.533</v>
      </c>
      <c r="BU1007" s="1">
        <v>0.046</v>
      </c>
      <c r="BV1007" s="1">
        <v>1.436</v>
      </c>
      <c r="BW1007" s="1">
        <v>0.424</v>
      </c>
      <c r="BX1007" s="1">
        <v>0.516</v>
      </c>
      <c r="BY1007" s="1">
        <v>0.0</v>
      </c>
      <c r="BZ1007" s="1">
        <v>0.516</v>
      </c>
      <c r="CA1007" s="1">
        <v>0.216</v>
      </c>
      <c r="CB1007" s="1">
        <v>0.898</v>
      </c>
      <c r="CC1007" s="1">
        <v>0.447</v>
      </c>
      <c r="CD1007" s="1">
        <v>0.0</v>
      </c>
      <c r="CE1007" s="1">
        <v>0.869</v>
      </c>
      <c r="CF1007" s="1">
        <v>0.0</v>
      </c>
      <c r="CG1007" s="1">
        <v>2.214</v>
      </c>
      <c r="CH1007" s="1">
        <v>0.423</v>
      </c>
      <c r="CI1007" s="1">
        <v>4.6434</v>
      </c>
      <c r="CJ1007" s="1">
        <v>0.1495</v>
      </c>
      <c r="CK1007" s="1">
        <v>0.0</v>
      </c>
      <c r="CL1007" s="1">
        <v>0.0</v>
      </c>
      <c r="CM1007" s="1">
        <v>0.0</v>
      </c>
      <c r="CN1007" s="1">
        <v>0.0</v>
      </c>
      <c r="CO1007" s="1">
        <v>0.0</v>
      </c>
      <c r="CP1007" s="1">
        <v>0.0</v>
      </c>
      <c r="CQ1007" s="1">
        <v>0.0</v>
      </c>
      <c r="CR1007" s="1">
        <v>0.0</v>
      </c>
      <c r="CS1007" s="1">
        <v>0.0</v>
      </c>
      <c r="CT1007" s="1">
        <v>0.0</v>
      </c>
      <c r="CU1007" s="1">
        <v>0.0</v>
      </c>
      <c r="CV1007" s="1">
        <v>0.0</v>
      </c>
      <c r="CW1007" s="1">
        <v>0.0</v>
      </c>
      <c r="CX1007" s="1">
        <v>0.0</v>
      </c>
      <c r="CY1007" s="1">
        <v>0.0</v>
      </c>
      <c r="CZ1007" s="1">
        <v>0.0</v>
      </c>
      <c r="DA1007" s="1">
        <v>0.0</v>
      </c>
      <c r="DB1007" s="1">
        <v>0.0</v>
      </c>
      <c r="DC1007" s="1">
        <v>0.0</v>
      </c>
      <c r="DD1007" s="1" t="s">
        <v>4594</v>
      </c>
      <c r="DE1007" s="1">
        <v>3.55563419081316E-4</v>
      </c>
      <c r="DF1007" s="1">
        <v>0.0759707783607804</v>
      </c>
    </row>
    <row r="1008" ht="15.75" customHeight="1">
      <c r="A1008" s="1" t="s">
        <v>4595</v>
      </c>
      <c r="B1008" s="1">
        <v>29.0</v>
      </c>
      <c r="C1008" s="1">
        <v>189.0</v>
      </c>
      <c r="D1008" s="1">
        <v>221900.0</v>
      </c>
      <c r="E1008" s="1">
        <v>1.331</v>
      </c>
      <c r="F1008" s="1">
        <v>29189.0</v>
      </c>
      <c r="G1008" s="1">
        <v>2.91892219E10</v>
      </c>
      <c r="H1008" s="1" t="s">
        <v>112</v>
      </c>
      <c r="I1008" s="1" t="s">
        <v>113</v>
      </c>
      <c r="J1008" s="1" t="s">
        <v>4566</v>
      </c>
      <c r="K1008" s="1" t="s">
        <v>4596</v>
      </c>
      <c r="L1008" s="1">
        <v>3744.0</v>
      </c>
      <c r="M1008" s="1">
        <v>3670.0</v>
      </c>
      <c r="N1008" s="1">
        <v>280.0</v>
      </c>
      <c r="O1008" s="1">
        <v>1611.0</v>
      </c>
      <c r="P1008" s="1">
        <v>1588.0</v>
      </c>
      <c r="Q1008" s="1">
        <v>62.0</v>
      </c>
      <c r="R1008" s="1">
        <v>1497.0</v>
      </c>
      <c r="S1008" s="1">
        <v>167.0</v>
      </c>
      <c r="T1008" s="1">
        <v>104.0</v>
      </c>
      <c r="U1008" s="1">
        <v>51.0</v>
      </c>
      <c r="V1008" s="1">
        <v>396.0</v>
      </c>
      <c r="W1008" s="1">
        <v>31594.0</v>
      </c>
      <c r="X1008" s="1">
        <v>2785.0</v>
      </c>
      <c r="Y1008" s="1">
        <v>189.0</v>
      </c>
      <c r="Z1008" s="1">
        <v>208.0</v>
      </c>
      <c r="AA1008" s="1">
        <v>803.0</v>
      </c>
      <c r="AB1008" s="1">
        <v>734.0</v>
      </c>
      <c r="AC1008" s="1">
        <v>108.0</v>
      </c>
      <c r="AD1008" s="1">
        <v>251.0</v>
      </c>
      <c r="AE1008" s="1">
        <v>35.0</v>
      </c>
      <c r="AF1008" s="1">
        <v>413.0</v>
      </c>
      <c r="AG1008" s="1">
        <v>0.0</v>
      </c>
      <c r="AH1008" s="1">
        <v>197.0</v>
      </c>
      <c r="AI1008" s="1">
        <v>13.0</v>
      </c>
      <c r="AJ1008" s="1">
        <v>19.0</v>
      </c>
      <c r="AK1008" s="1">
        <v>0.0</v>
      </c>
      <c r="AL1008" s="1">
        <v>161.0</v>
      </c>
      <c r="AM1008" s="1">
        <v>47.0</v>
      </c>
      <c r="AN1008" s="1">
        <v>57.0</v>
      </c>
      <c r="AO1008" s="1">
        <v>288.0</v>
      </c>
      <c r="AP1008" s="1">
        <v>0.049554</v>
      </c>
      <c r="AQ1008" s="1">
        <v>0.030669</v>
      </c>
      <c r="AR1008" s="1">
        <v>0.028878</v>
      </c>
      <c r="AS1008" s="1">
        <v>0.224215</v>
      </c>
      <c r="AT1008" s="1">
        <v>31594.0</v>
      </c>
      <c r="AU1008" s="1">
        <v>2785.0</v>
      </c>
      <c r="AV1008" s="1">
        <v>0.070286</v>
      </c>
      <c r="AW1008" s="1">
        <v>0.077187</v>
      </c>
      <c r="AX1008" s="1">
        <v>0.214476</v>
      </c>
      <c r="AY1008" s="1">
        <v>0.196047</v>
      </c>
      <c r="AZ1008" s="1">
        <v>0.07214428</v>
      </c>
      <c r="BA1008" s="1">
        <v>0.06704</v>
      </c>
      <c r="BB1008" s="1">
        <v>0.010297</v>
      </c>
      <c r="BC1008" s="1">
        <v>0.121503</v>
      </c>
      <c r="BD1008" s="1">
        <v>0.0</v>
      </c>
      <c r="BE1008" s="1">
        <v>0.124055</v>
      </c>
      <c r="BF1008" s="1">
        <v>0.008186</v>
      </c>
      <c r="BG1008" s="1">
        <v>0.01196</v>
      </c>
      <c r="BH1008" s="1">
        <v>0.0</v>
      </c>
      <c r="BI1008" s="1">
        <v>0.111883</v>
      </c>
      <c r="BJ1008" s="1">
        <v>0.032661</v>
      </c>
      <c r="BK1008" s="1">
        <v>0.039563</v>
      </c>
      <c r="BL1008" s="1">
        <v>0.076923</v>
      </c>
      <c r="BM1008" s="1">
        <v>0.162</v>
      </c>
      <c r="BN1008" s="1">
        <v>0.079</v>
      </c>
      <c r="BO1008" s="1">
        <v>0.1646</v>
      </c>
      <c r="BP1008" s="1">
        <v>0.201</v>
      </c>
      <c r="BQ1008" s="1">
        <v>0.6066</v>
      </c>
      <c r="BR1008" s="1">
        <v>0.0989</v>
      </c>
      <c r="BS1008" s="1">
        <v>0.921</v>
      </c>
      <c r="BT1008" s="1">
        <v>0.173</v>
      </c>
      <c r="BU1008" s="1">
        <v>0.234</v>
      </c>
      <c r="BV1008" s="1">
        <v>1.328</v>
      </c>
      <c r="BW1008" s="1">
        <v>0.325</v>
      </c>
      <c r="BX1008" s="1">
        <v>0.349</v>
      </c>
      <c r="BY1008" s="1">
        <v>0.728</v>
      </c>
      <c r="BZ1008" s="1">
        <v>1.077</v>
      </c>
      <c r="CA1008" s="1">
        <v>0.597</v>
      </c>
      <c r="CB1008" s="1">
        <v>0.0</v>
      </c>
      <c r="CC1008" s="1">
        <v>0.439</v>
      </c>
      <c r="CD1008" s="1">
        <v>0.0</v>
      </c>
      <c r="CE1008" s="1">
        <v>0.308</v>
      </c>
      <c r="CF1008" s="1">
        <v>0.93</v>
      </c>
      <c r="CG1008" s="1">
        <v>1.677</v>
      </c>
      <c r="CH1008" s="1">
        <v>0.225</v>
      </c>
      <c r="CI1008" s="1">
        <v>4.6886</v>
      </c>
      <c r="CJ1008" s="1">
        <v>0.1596</v>
      </c>
      <c r="CK1008" s="1">
        <v>0.0</v>
      </c>
      <c r="CL1008" s="1">
        <v>0.0</v>
      </c>
      <c r="CM1008" s="1">
        <v>0.0</v>
      </c>
      <c r="CN1008" s="1">
        <v>0.0</v>
      </c>
      <c r="CO1008" s="1">
        <v>0.0</v>
      </c>
      <c r="CP1008" s="1">
        <v>1.0</v>
      </c>
      <c r="CQ1008" s="1">
        <v>0.0</v>
      </c>
      <c r="CR1008" s="1">
        <v>0.0</v>
      </c>
      <c r="CS1008" s="1">
        <v>1.0</v>
      </c>
      <c r="CT1008" s="1">
        <v>0.0</v>
      </c>
      <c r="CU1008" s="1">
        <v>0.0</v>
      </c>
      <c r="CV1008" s="1">
        <v>0.0</v>
      </c>
      <c r="CW1008" s="1">
        <v>0.0</v>
      </c>
      <c r="CX1008" s="1">
        <v>0.0</v>
      </c>
      <c r="CY1008" s="1">
        <v>0.0</v>
      </c>
      <c r="CZ1008" s="1">
        <v>0.0</v>
      </c>
      <c r="DA1008" s="1">
        <v>1.0</v>
      </c>
      <c r="DB1008" s="1">
        <v>1.0</v>
      </c>
      <c r="DC1008" s="1">
        <v>2.0</v>
      </c>
      <c r="DD1008" s="1" t="s">
        <v>4597</v>
      </c>
      <c r="DE1008" s="1">
        <v>3.5638620665218E-4</v>
      </c>
      <c r="DF1008" s="1">
        <v>0.0913906051058442</v>
      </c>
    </row>
    <row r="1009" ht="15.75" customHeight="1">
      <c r="A1009" s="1" t="s">
        <v>4598</v>
      </c>
      <c r="B1009" s="1">
        <v>29.0</v>
      </c>
      <c r="C1009" s="1">
        <v>189.0</v>
      </c>
      <c r="D1009" s="1">
        <v>210100.0</v>
      </c>
      <c r="E1009" s="1">
        <v>15.082</v>
      </c>
      <c r="F1009" s="1">
        <v>29189.0</v>
      </c>
      <c r="G1009" s="1">
        <v>2.91892101E10</v>
      </c>
      <c r="H1009" s="1" t="s">
        <v>112</v>
      </c>
      <c r="I1009" s="1" t="s">
        <v>113</v>
      </c>
      <c r="J1009" s="1" t="s">
        <v>4566</v>
      </c>
      <c r="K1009" s="1" t="s">
        <v>4599</v>
      </c>
      <c r="L1009" s="1">
        <v>6017.0</v>
      </c>
      <c r="M1009" s="1">
        <v>7553.0</v>
      </c>
      <c r="N1009" s="1">
        <v>777.0</v>
      </c>
      <c r="O1009" s="1">
        <v>2594.0</v>
      </c>
      <c r="P1009" s="1">
        <v>2574.0</v>
      </c>
      <c r="Q1009" s="1">
        <v>77.0</v>
      </c>
      <c r="R1009" s="1">
        <v>2204.0</v>
      </c>
      <c r="S1009" s="1">
        <v>1925.0</v>
      </c>
      <c r="T1009" s="1">
        <v>876.0</v>
      </c>
      <c r="U1009" s="1">
        <v>483.0</v>
      </c>
      <c r="V1009" s="1">
        <v>347.0</v>
      </c>
      <c r="W1009" s="1">
        <v>16606.0</v>
      </c>
      <c r="X1009" s="1">
        <v>2159.0</v>
      </c>
      <c r="Y1009" s="1">
        <v>689.0</v>
      </c>
      <c r="Z1009" s="1">
        <v>340.0</v>
      </c>
      <c r="AA1009" s="1">
        <v>626.0</v>
      </c>
      <c r="AB1009" s="1">
        <v>1861.0</v>
      </c>
      <c r="AC1009" s="1">
        <v>530.0</v>
      </c>
      <c r="AD1009" s="1">
        <v>4108.0</v>
      </c>
      <c r="AE1009" s="1">
        <v>11.0</v>
      </c>
      <c r="AF1009" s="1">
        <v>442.0</v>
      </c>
      <c r="AG1009" s="1">
        <v>372.0</v>
      </c>
      <c r="AH1009" s="1">
        <v>157.0</v>
      </c>
      <c r="AI1009" s="1">
        <v>0.0</v>
      </c>
      <c r="AJ1009" s="1">
        <v>114.0</v>
      </c>
      <c r="AK1009" s="1">
        <v>88.0</v>
      </c>
      <c r="AL1009" s="1">
        <v>139.0</v>
      </c>
      <c r="AM1009" s="1">
        <v>158.0</v>
      </c>
      <c r="AN1009" s="1">
        <v>99.0</v>
      </c>
      <c r="AO1009" s="1">
        <v>254.0</v>
      </c>
      <c r="AP1009" s="1">
        <v>0.262583</v>
      </c>
      <c r="AQ1009" s="1">
        <v>0.116417</v>
      </c>
      <c r="AR1009" s="1">
        <v>0.145263</v>
      </c>
      <c r="AS1009" s="1">
        <v>0.102695</v>
      </c>
      <c r="AT1009" s="1">
        <v>16606.0</v>
      </c>
      <c r="AU1009" s="1">
        <v>2159.0</v>
      </c>
      <c r="AV1009" s="1">
        <v>0.166868</v>
      </c>
      <c r="AW1009" s="1">
        <v>0.081257</v>
      </c>
      <c r="AX1009" s="1">
        <v>0.104038</v>
      </c>
      <c r="AY1009" s="1">
        <v>0.30929</v>
      </c>
      <c r="AZ1009" s="1">
        <v>0.24047186</v>
      </c>
      <c r="BA1009" s="1">
        <v>0.682732</v>
      </c>
      <c r="BB1009" s="1">
        <v>0.001648</v>
      </c>
      <c r="BC1009" s="1">
        <v>0.066236</v>
      </c>
      <c r="BD1009" s="1">
        <v>0.144522</v>
      </c>
      <c r="BE1009" s="1">
        <v>0.060841</v>
      </c>
      <c r="BF1009" s="1">
        <v>0.0</v>
      </c>
      <c r="BG1009" s="1">
        <v>0.044289</v>
      </c>
      <c r="BH1009" s="1">
        <v>0.035598</v>
      </c>
      <c r="BI1009" s="1">
        <v>0.056204</v>
      </c>
      <c r="BJ1009" s="1">
        <v>0.063915</v>
      </c>
      <c r="BK1009" s="1">
        <v>0.039936</v>
      </c>
      <c r="BL1009" s="1">
        <v>0.042213</v>
      </c>
      <c r="BM1009" s="1">
        <v>0.847</v>
      </c>
      <c r="BN1009" s="1">
        <v>0.89</v>
      </c>
      <c r="BO1009" s="1">
        <v>0.8072</v>
      </c>
      <c r="BP1009" s="1">
        <v>0.643</v>
      </c>
      <c r="BQ1009" s="1">
        <v>3.1872</v>
      </c>
      <c r="BR1009" s="1">
        <v>0.8498</v>
      </c>
      <c r="BS1009" s="1">
        <v>0.236</v>
      </c>
      <c r="BT1009" s="1">
        <v>0.946</v>
      </c>
      <c r="BU1009" s="1">
        <v>0.938</v>
      </c>
      <c r="BV1009" s="1">
        <v>2.12</v>
      </c>
      <c r="BW1009" s="1">
        <v>0.929</v>
      </c>
      <c r="BX1009" s="1">
        <v>0.895</v>
      </c>
      <c r="BY1009" s="1">
        <v>0.364</v>
      </c>
      <c r="BZ1009" s="1">
        <v>1.259</v>
      </c>
      <c r="CA1009" s="1">
        <v>0.688</v>
      </c>
      <c r="CB1009" s="1">
        <v>0.833</v>
      </c>
      <c r="CC1009" s="1">
        <v>0.0</v>
      </c>
      <c r="CD1009" s="1">
        <v>0.865</v>
      </c>
      <c r="CE1009" s="1">
        <v>0.59</v>
      </c>
      <c r="CF1009" s="1">
        <v>0.874</v>
      </c>
      <c r="CG1009" s="1">
        <v>3.162</v>
      </c>
      <c r="CH1009" s="1">
        <v>0.837</v>
      </c>
      <c r="CI1009" s="1">
        <v>9.7282</v>
      </c>
      <c r="CJ1009" s="1">
        <v>0.9285</v>
      </c>
      <c r="CK1009" s="1">
        <v>0.0</v>
      </c>
      <c r="CL1009" s="1">
        <v>0.0</v>
      </c>
      <c r="CM1009" s="1">
        <v>0.0</v>
      </c>
      <c r="CN1009" s="1">
        <v>0.0</v>
      </c>
      <c r="CO1009" s="1">
        <v>0.0</v>
      </c>
      <c r="CP1009" s="1">
        <v>0.0</v>
      </c>
      <c r="CQ1009" s="1">
        <v>1.0</v>
      </c>
      <c r="CR1009" s="1">
        <v>1.0</v>
      </c>
      <c r="CS1009" s="1">
        <v>2.0</v>
      </c>
      <c r="CT1009" s="1">
        <v>0.0</v>
      </c>
      <c r="CU1009" s="1">
        <v>0.0</v>
      </c>
      <c r="CV1009" s="1">
        <v>0.0</v>
      </c>
      <c r="CW1009" s="1">
        <v>0.0</v>
      </c>
      <c r="CX1009" s="1">
        <v>0.0</v>
      </c>
      <c r="CY1009" s="1">
        <v>0.0</v>
      </c>
      <c r="CZ1009" s="1">
        <v>0.0</v>
      </c>
      <c r="DA1009" s="1">
        <v>0.0</v>
      </c>
      <c r="DB1009" s="1">
        <v>0.0</v>
      </c>
      <c r="DC1009" s="1">
        <v>2.0</v>
      </c>
      <c r="DD1009" s="1" t="s">
        <v>4600</v>
      </c>
      <c r="DE1009" s="1">
        <v>0.00456720560509228</v>
      </c>
      <c r="DF1009" s="2" t="s">
        <v>4601</v>
      </c>
    </row>
    <row r="1010" ht="15.75" customHeight="1">
      <c r="A1010" s="1" t="s">
        <v>4602</v>
      </c>
      <c r="B1010" s="1">
        <v>29.0</v>
      </c>
      <c r="C1010" s="1">
        <v>189.0</v>
      </c>
      <c r="D1010" s="1">
        <v>210300.0</v>
      </c>
      <c r="E1010" s="1">
        <v>0.969</v>
      </c>
      <c r="F1010" s="1">
        <v>29189.0</v>
      </c>
      <c r="G1010" s="1">
        <v>2.91892103E10</v>
      </c>
      <c r="H1010" s="1" t="s">
        <v>112</v>
      </c>
      <c r="I1010" s="1" t="s">
        <v>113</v>
      </c>
      <c r="J1010" s="1" t="s">
        <v>4566</v>
      </c>
      <c r="K1010" s="1" t="s">
        <v>4603</v>
      </c>
      <c r="L1010" s="1">
        <v>3466.0</v>
      </c>
      <c r="M1010" s="1">
        <v>3242.0</v>
      </c>
      <c r="N1010" s="1">
        <v>196.0</v>
      </c>
      <c r="O1010" s="1">
        <v>1622.0</v>
      </c>
      <c r="P1010" s="1">
        <v>1573.0</v>
      </c>
      <c r="Q1010" s="1">
        <v>210.0</v>
      </c>
      <c r="R1010" s="1">
        <v>1365.0</v>
      </c>
      <c r="S1010" s="1">
        <v>784.0</v>
      </c>
      <c r="T1010" s="1">
        <v>350.0</v>
      </c>
      <c r="U1010" s="1">
        <v>178.0</v>
      </c>
      <c r="V1010" s="1">
        <v>389.0</v>
      </c>
      <c r="W1010" s="1">
        <v>17539.0</v>
      </c>
      <c r="X1010" s="1">
        <v>2871.0</v>
      </c>
      <c r="Y1010" s="1">
        <v>270.0</v>
      </c>
      <c r="Z1010" s="1">
        <v>297.0</v>
      </c>
      <c r="AA1010" s="1">
        <v>319.0</v>
      </c>
      <c r="AB1010" s="1">
        <v>1015.0</v>
      </c>
      <c r="AC1010" s="1">
        <v>353.0</v>
      </c>
      <c r="AD1010" s="1">
        <v>2524.0</v>
      </c>
      <c r="AE1010" s="1">
        <v>14.0</v>
      </c>
      <c r="AF1010" s="1">
        <v>442.0</v>
      </c>
      <c r="AG1010" s="1">
        <v>191.0</v>
      </c>
      <c r="AH1010" s="1">
        <v>174.0</v>
      </c>
      <c r="AI1010" s="1">
        <v>56.0</v>
      </c>
      <c r="AJ1010" s="1">
        <v>64.0</v>
      </c>
      <c r="AK1010" s="1">
        <v>0.0</v>
      </c>
      <c r="AL1010" s="1">
        <v>161.0</v>
      </c>
      <c r="AM1010" s="1">
        <v>249.0</v>
      </c>
      <c r="AN1010" s="1">
        <v>110.0</v>
      </c>
      <c r="AO1010" s="1">
        <v>0.0</v>
      </c>
      <c r="AP1010" s="1">
        <v>0.241826</v>
      </c>
      <c r="AQ1010" s="1">
        <v>0.106963</v>
      </c>
      <c r="AR1010" s="1">
        <v>0.108536</v>
      </c>
      <c r="AS1010" s="1">
        <v>0.236384</v>
      </c>
      <c r="AT1010" s="1">
        <v>17539.0</v>
      </c>
      <c r="AU1010" s="1">
        <v>2871.0</v>
      </c>
      <c r="AV1010" s="1">
        <v>0.131322</v>
      </c>
      <c r="AW1010" s="1">
        <v>0.143429</v>
      </c>
      <c r="AX1010" s="1">
        <v>0.092036</v>
      </c>
      <c r="AY1010" s="1">
        <v>0.292844</v>
      </c>
      <c r="AZ1010" s="1">
        <v>0.25860805</v>
      </c>
      <c r="BA1010" s="1">
        <v>0.728216</v>
      </c>
      <c r="BB1010" s="1">
        <v>0.004734</v>
      </c>
      <c r="BC1010" s="1">
        <v>0.149475</v>
      </c>
      <c r="BD1010" s="1">
        <v>0.121424</v>
      </c>
      <c r="BE1010" s="1">
        <v>0.109422</v>
      </c>
      <c r="BF1010" s="1">
        <v>0.0356</v>
      </c>
      <c r="BG1010" s="1">
        <v>0.040408</v>
      </c>
      <c r="BH1010" s="1">
        <v>0.0</v>
      </c>
      <c r="BI1010" s="1">
        <v>0.124709</v>
      </c>
      <c r="BJ1010" s="1">
        <v>0.192873</v>
      </c>
      <c r="BK1010" s="1">
        <v>0.082205</v>
      </c>
      <c r="BL1010" s="1">
        <v>0.0</v>
      </c>
      <c r="BM1010" s="1">
        <v>0.813</v>
      </c>
      <c r="BN1010" s="1">
        <v>0.781</v>
      </c>
      <c r="BO1010" s="1">
        <v>0.7545</v>
      </c>
      <c r="BP1010" s="1">
        <v>0.472</v>
      </c>
      <c r="BQ1010" s="1">
        <v>2.8205</v>
      </c>
      <c r="BR1010" s="1">
        <v>0.756</v>
      </c>
      <c r="BS1010" s="1">
        <v>0.171</v>
      </c>
      <c r="BT1010" s="1">
        <v>0.896</v>
      </c>
      <c r="BU1010" s="1">
        <v>0.953</v>
      </c>
      <c r="BV1010" s="1">
        <v>2.02</v>
      </c>
      <c r="BW1010" s="1">
        <v>0.867</v>
      </c>
      <c r="BX1010" s="1">
        <v>0.906</v>
      </c>
      <c r="BY1010" s="1">
        <v>0.549</v>
      </c>
      <c r="BZ1010" s="1">
        <v>1.455</v>
      </c>
      <c r="CA1010" s="1">
        <v>0.795</v>
      </c>
      <c r="CB1010" s="1">
        <v>0.802</v>
      </c>
      <c r="CC1010" s="1">
        <v>0.565</v>
      </c>
      <c r="CD1010" s="1">
        <v>0.0</v>
      </c>
      <c r="CE1010" s="1">
        <v>0.902</v>
      </c>
      <c r="CF1010" s="1">
        <v>0.0</v>
      </c>
      <c r="CG1010" s="1">
        <v>2.269</v>
      </c>
      <c r="CH1010" s="1">
        <v>0.446</v>
      </c>
      <c r="CI1010" s="1">
        <v>8.5645</v>
      </c>
      <c r="CJ1010" s="1">
        <v>0.7957</v>
      </c>
      <c r="CK1010" s="1">
        <v>0.0</v>
      </c>
      <c r="CL1010" s="1">
        <v>0.0</v>
      </c>
      <c r="CM1010" s="1">
        <v>0.0</v>
      </c>
      <c r="CN1010" s="1">
        <v>0.0</v>
      </c>
      <c r="CO1010" s="1">
        <v>0.0</v>
      </c>
      <c r="CP1010" s="1">
        <v>0.0</v>
      </c>
      <c r="CQ1010" s="1">
        <v>0.0</v>
      </c>
      <c r="CR1010" s="1">
        <v>1.0</v>
      </c>
      <c r="CS1010" s="1">
        <v>1.0</v>
      </c>
      <c r="CT1010" s="1">
        <v>1.0</v>
      </c>
      <c r="CU1010" s="1">
        <v>0.0</v>
      </c>
      <c r="CV1010" s="1">
        <v>1.0</v>
      </c>
      <c r="CW1010" s="1">
        <v>0.0</v>
      </c>
      <c r="CX1010" s="1">
        <v>0.0</v>
      </c>
      <c r="CY1010" s="1">
        <v>0.0</v>
      </c>
      <c r="CZ1010" s="1">
        <v>1.0</v>
      </c>
      <c r="DA1010" s="1">
        <v>0.0</v>
      </c>
      <c r="DB1010" s="1">
        <v>1.0</v>
      </c>
      <c r="DC1010" s="1">
        <v>3.0</v>
      </c>
      <c r="DD1010" s="1" t="s">
        <v>4604</v>
      </c>
      <c r="DE1010" s="1">
        <v>2.59327618980298E-4</v>
      </c>
      <c r="DF1010" s="1">
        <v>0.0749461204628736</v>
      </c>
    </row>
    <row r="1011" ht="15.75" customHeight="1">
      <c r="A1011" s="1" t="s">
        <v>4605</v>
      </c>
      <c r="B1011" s="1">
        <v>29.0</v>
      </c>
      <c r="C1011" s="1">
        <v>189.0</v>
      </c>
      <c r="D1011" s="1">
        <v>210702.0</v>
      </c>
      <c r="E1011" s="1">
        <v>1.909</v>
      </c>
      <c r="F1011" s="1">
        <v>29189.0</v>
      </c>
      <c r="G1011" s="1">
        <v>2.9189210702E10</v>
      </c>
      <c r="H1011" s="1" t="s">
        <v>112</v>
      </c>
      <c r="I1011" s="1" t="s">
        <v>113</v>
      </c>
      <c r="J1011" s="1" t="s">
        <v>4566</v>
      </c>
      <c r="K1011" s="1" t="s">
        <v>4606</v>
      </c>
      <c r="L1011" s="1">
        <v>6111.0</v>
      </c>
      <c r="M1011" s="1">
        <v>6240.0</v>
      </c>
      <c r="N1011" s="1">
        <v>620.0</v>
      </c>
      <c r="O1011" s="1">
        <v>2792.0</v>
      </c>
      <c r="P1011" s="1">
        <v>2767.0</v>
      </c>
      <c r="Q1011" s="1">
        <v>103.0</v>
      </c>
      <c r="R1011" s="1">
        <v>2447.0</v>
      </c>
      <c r="S1011" s="1">
        <v>1460.0</v>
      </c>
      <c r="T1011" s="1">
        <v>599.0</v>
      </c>
      <c r="U1011" s="1">
        <v>375.0</v>
      </c>
      <c r="V1011" s="1">
        <v>392.0</v>
      </c>
      <c r="W1011" s="1">
        <v>17678.0</v>
      </c>
      <c r="X1011" s="1">
        <v>2338.0</v>
      </c>
      <c r="Y1011" s="1">
        <v>413.0</v>
      </c>
      <c r="Z1011" s="1">
        <v>276.0</v>
      </c>
      <c r="AA1011" s="1">
        <v>736.0</v>
      </c>
      <c r="AB1011" s="1">
        <v>1718.0</v>
      </c>
      <c r="AC1011" s="1">
        <v>586.0</v>
      </c>
      <c r="AD1011" s="1">
        <v>4984.0</v>
      </c>
      <c r="AE1011" s="1">
        <v>69.0</v>
      </c>
      <c r="AF1011" s="1">
        <v>432.0</v>
      </c>
      <c r="AG1011" s="1">
        <v>548.0</v>
      </c>
      <c r="AH1011" s="1">
        <v>185.0</v>
      </c>
      <c r="AI1011" s="1">
        <v>0.0</v>
      </c>
      <c r="AJ1011" s="1">
        <v>114.0</v>
      </c>
      <c r="AK1011" s="1">
        <v>54.0</v>
      </c>
      <c r="AL1011" s="1">
        <v>127.0</v>
      </c>
      <c r="AM1011" s="1">
        <v>186.0</v>
      </c>
      <c r="AN1011" s="1">
        <v>152.0</v>
      </c>
      <c r="AO1011" s="1">
        <v>52.0</v>
      </c>
      <c r="AP1011" s="1">
        <v>0.240447</v>
      </c>
      <c r="AQ1011" s="1">
        <v>0.096097</v>
      </c>
      <c r="AR1011" s="1">
        <v>0.127291</v>
      </c>
      <c r="AS1011" s="1">
        <v>0.131957</v>
      </c>
      <c r="AT1011" s="1">
        <v>17678.0</v>
      </c>
      <c r="AU1011" s="1">
        <v>2338.0</v>
      </c>
      <c r="AV1011" s="1">
        <v>0.117063</v>
      </c>
      <c r="AW1011" s="1">
        <v>0.077329</v>
      </c>
      <c r="AX1011" s="1">
        <v>0.120438</v>
      </c>
      <c r="AY1011" s="1">
        <v>0.281132</v>
      </c>
      <c r="AZ1011" s="1">
        <v>0.23947691</v>
      </c>
      <c r="BA1011" s="1">
        <v>0.815578</v>
      </c>
      <c r="BB1011" s="1">
        <v>0.01231</v>
      </c>
      <c r="BC1011" s="1">
        <v>0.077063</v>
      </c>
      <c r="BD1011" s="1">
        <v>0.198048</v>
      </c>
      <c r="BE1011" s="1">
        <v>0.066451</v>
      </c>
      <c r="BF1011" s="1">
        <v>0.0</v>
      </c>
      <c r="BG1011" s="1">
        <v>0.041199</v>
      </c>
      <c r="BH1011" s="1">
        <v>0.022949</v>
      </c>
      <c r="BI1011" s="1">
        <v>0.053943</v>
      </c>
      <c r="BJ1011" s="1">
        <v>0.079048</v>
      </c>
      <c r="BK1011" s="1">
        <v>0.064295</v>
      </c>
      <c r="BL1011" s="1">
        <v>0.008509</v>
      </c>
      <c r="BM1011" s="1">
        <v>0.81</v>
      </c>
      <c r="BN1011" s="1">
        <v>0.846</v>
      </c>
      <c r="BO1011" s="1">
        <v>0.7473</v>
      </c>
      <c r="BP1011" s="1">
        <v>0.413</v>
      </c>
      <c r="BQ1011" s="1">
        <v>2.8163</v>
      </c>
      <c r="BR1011" s="1">
        <v>0.7531</v>
      </c>
      <c r="BS1011" s="1">
        <v>0.348</v>
      </c>
      <c r="BT1011" s="1">
        <v>0.853</v>
      </c>
      <c r="BU1011" s="1">
        <v>0.936</v>
      </c>
      <c r="BV1011" s="1">
        <v>2.137</v>
      </c>
      <c r="BW1011" s="1">
        <v>0.942</v>
      </c>
      <c r="BX1011" s="1">
        <v>0.925</v>
      </c>
      <c r="BY1011" s="1">
        <v>0.777</v>
      </c>
      <c r="BZ1011" s="1">
        <v>1.702</v>
      </c>
      <c r="CA1011" s="1">
        <v>0.925</v>
      </c>
      <c r="CB1011" s="1">
        <v>0.893</v>
      </c>
      <c r="CC1011" s="1">
        <v>0.0</v>
      </c>
      <c r="CD1011" s="1">
        <v>0.723</v>
      </c>
      <c r="CE1011" s="1">
        <v>0.667</v>
      </c>
      <c r="CF1011" s="1">
        <v>0.556</v>
      </c>
      <c r="CG1011" s="1">
        <v>2.839</v>
      </c>
      <c r="CH1011" s="1">
        <v>0.705</v>
      </c>
      <c r="CI1011" s="1">
        <v>9.4943</v>
      </c>
      <c r="CJ1011" s="1">
        <v>0.9054</v>
      </c>
      <c r="CK1011" s="1">
        <v>0.0</v>
      </c>
      <c r="CL1011" s="1">
        <v>0.0</v>
      </c>
      <c r="CM1011" s="1">
        <v>0.0</v>
      </c>
      <c r="CN1011" s="1">
        <v>0.0</v>
      </c>
      <c r="CO1011" s="1">
        <v>0.0</v>
      </c>
      <c r="CP1011" s="1">
        <v>0.0</v>
      </c>
      <c r="CQ1011" s="1">
        <v>0.0</v>
      </c>
      <c r="CR1011" s="1">
        <v>1.0</v>
      </c>
      <c r="CS1011" s="1">
        <v>1.0</v>
      </c>
      <c r="CT1011" s="1">
        <v>1.0</v>
      </c>
      <c r="CU1011" s="1">
        <v>0.0</v>
      </c>
      <c r="CV1011" s="1">
        <v>1.0</v>
      </c>
      <c r="CW1011" s="1">
        <v>0.0</v>
      </c>
      <c r="CX1011" s="1">
        <v>0.0</v>
      </c>
      <c r="CY1011" s="1">
        <v>0.0</v>
      </c>
      <c r="CZ1011" s="1">
        <v>0.0</v>
      </c>
      <c r="DA1011" s="1">
        <v>0.0</v>
      </c>
      <c r="DB1011" s="1">
        <v>0.0</v>
      </c>
      <c r="DC1011" s="1">
        <v>2.0</v>
      </c>
      <c r="DD1011" s="1" t="s">
        <v>4607</v>
      </c>
      <c r="DE1011" s="1">
        <v>5.10711115336297E-4</v>
      </c>
      <c r="DF1011" s="1">
        <v>0.098185897415246</v>
      </c>
    </row>
    <row r="1012" ht="15.75" customHeight="1">
      <c r="A1012" s="1" t="s">
        <v>4608</v>
      </c>
      <c r="B1012" s="1">
        <v>29.0</v>
      </c>
      <c r="C1012" s="1">
        <v>189.0</v>
      </c>
      <c r="D1012" s="1">
        <v>210921.0</v>
      </c>
      <c r="E1012" s="1">
        <v>2.532</v>
      </c>
      <c r="F1012" s="1">
        <v>29189.0</v>
      </c>
      <c r="G1012" s="1">
        <v>2.9189210921E10</v>
      </c>
      <c r="H1012" s="1" t="s">
        <v>112</v>
      </c>
      <c r="I1012" s="1" t="s">
        <v>113</v>
      </c>
      <c r="J1012" s="1" t="s">
        <v>4566</v>
      </c>
      <c r="K1012" s="1" t="s">
        <v>4609</v>
      </c>
      <c r="L1012" s="1">
        <v>4141.0</v>
      </c>
      <c r="M1012" s="1">
        <v>4192.0</v>
      </c>
      <c r="N1012" s="1">
        <v>245.0</v>
      </c>
      <c r="O1012" s="1">
        <v>1575.0</v>
      </c>
      <c r="P1012" s="1">
        <v>1626.0</v>
      </c>
      <c r="Q1012" s="1">
        <v>31.0</v>
      </c>
      <c r="R1012" s="1">
        <v>1497.0</v>
      </c>
      <c r="S1012" s="1">
        <v>98.0</v>
      </c>
      <c r="T1012" s="1">
        <v>85.0</v>
      </c>
      <c r="U1012" s="1">
        <v>132.0</v>
      </c>
      <c r="V1012" s="1">
        <v>401.0</v>
      </c>
      <c r="W1012" s="1">
        <v>31043.0</v>
      </c>
      <c r="X1012" s="1">
        <v>4842.0</v>
      </c>
      <c r="Y1012" s="1">
        <v>229.0</v>
      </c>
      <c r="Z1012" s="1">
        <v>272.0</v>
      </c>
      <c r="AA1012" s="1">
        <v>290.0</v>
      </c>
      <c r="AB1012" s="1">
        <v>1148.0</v>
      </c>
      <c r="AC1012" s="1">
        <v>230.0</v>
      </c>
      <c r="AD1012" s="1">
        <v>2109.0</v>
      </c>
      <c r="AE1012" s="1">
        <v>39.0</v>
      </c>
      <c r="AF1012" s="1">
        <v>428.0</v>
      </c>
      <c r="AG1012" s="1">
        <v>68.0</v>
      </c>
      <c r="AH1012" s="1">
        <v>121.0</v>
      </c>
      <c r="AI1012" s="1">
        <v>0.0</v>
      </c>
      <c r="AJ1012" s="1">
        <v>114.0</v>
      </c>
      <c r="AK1012" s="1">
        <v>72.0</v>
      </c>
      <c r="AL1012" s="1">
        <v>126.0</v>
      </c>
      <c r="AM1012" s="1">
        <v>29.0</v>
      </c>
      <c r="AN1012" s="1">
        <v>26.0</v>
      </c>
      <c r="AO1012" s="1">
        <v>0.0</v>
      </c>
      <c r="AP1012" s="1">
        <v>0.023377</v>
      </c>
      <c r="AQ1012" s="1">
        <v>0.02023</v>
      </c>
      <c r="AR1012" s="1">
        <v>0.053033</v>
      </c>
      <c r="AS1012" s="1">
        <v>0.161018</v>
      </c>
      <c r="AT1012" s="1">
        <v>31043.0</v>
      </c>
      <c r="AU1012" s="1">
        <v>4842.0</v>
      </c>
      <c r="AV1012" s="1">
        <v>0.086611</v>
      </c>
      <c r="AW1012" s="1">
        <v>0.102791</v>
      </c>
      <c r="AX1012" s="1">
        <v>0.070031</v>
      </c>
      <c r="AY1012" s="1">
        <v>0.277227</v>
      </c>
      <c r="AZ1012" s="1">
        <v>0.15364061</v>
      </c>
      <c r="BA1012" s="1">
        <v>0.509297</v>
      </c>
      <c r="BB1012" s="1">
        <v>0.009821</v>
      </c>
      <c r="BC1012" s="1">
        <v>0.107779</v>
      </c>
      <c r="BD1012" s="1">
        <v>0.04182</v>
      </c>
      <c r="BE1012" s="1">
        <v>0.074411</v>
      </c>
      <c r="BF1012" s="1">
        <v>0.0</v>
      </c>
      <c r="BG1012" s="1">
        <v>0.07011</v>
      </c>
      <c r="BH1012" s="1">
        <v>0.045028</v>
      </c>
      <c r="BI1012" s="1">
        <v>0.078787</v>
      </c>
      <c r="BJ1012" s="1">
        <v>0.018136</v>
      </c>
      <c r="BK1012" s="1">
        <v>0.01625</v>
      </c>
      <c r="BL1012" s="1">
        <v>0.0</v>
      </c>
      <c r="BM1012" s="1">
        <v>0.066</v>
      </c>
      <c r="BN1012" s="1">
        <v>0.323</v>
      </c>
      <c r="BO1012" s="1">
        <v>0.1747</v>
      </c>
      <c r="BP1012" s="1">
        <v>0.279</v>
      </c>
      <c r="BQ1012" s="1">
        <v>0.8427</v>
      </c>
      <c r="BR1012" s="1">
        <v>0.1697</v>
      </c>
      <c r="BS1012" s="1">
        <v>0.084</v>
      </c>
      <c r="BT1012" s="1">
        <v>0.836</v>
      </c>
      <c r="BU1012" s="1">
        <v>0.805</v>
      </c>
      <c r="BV1012" s="1">
        <v>1.725</v>
      </c>
      <c r="BW1012" s="1">
        <v>0.66</v>
      </c>
      <c r="BX1012" s="1">
        <v>0.866</v>
      </c>
      <c r="BY1012" s="1">
        <v>0.717</v>
      </c>
      <c r="BZ1012" s="1">
        <v>1.583</v>
      </c>
      <c r="CA1012" s="1">
        <v>0.864</v>
      </c>
      <c r="CB1012" s="1">
        <v>0.62</v>
      </c>
      <c r="CC1012" s="1">
        <v>0.0</v>
      </c>
      <c r="CD1012" s="1">
        <v>0.916</v>
      </c>
      <c r="CE1012" s="1">
        <v>0.166</v>
      </c>
      <c r="CF1012" s="1">
        <v>0.0</v>
      </c>
      <c r="CG1012" s="1">
        <v>1.702</v>
      </c>
      <c r="CH1012" s="1">
        <v>0.234</v>
      </c>
      <c r="CI1012" s="1">
        <v>5.8527</v>
      </c>
      <c r="CJ1012" s="1">
        <v>0.3466</v>
      </c>
      <c r="CK1012" s="1">
        <v>0.0</v>
      </c>
      <c r="CL1012" s="1">
        <v>0.0</v>
      </c>
      <c r="CM1012" s="1">
        <v>0.0</v>
      </c>
      <c r="CN1012" s="1">
        <v>0.0</v>
      </c>
      <c r="CO1012" s="1">
        <v>0.0</v>
      </c>
      <c r="CP1012" s="1">
        <v>0.0</v>
      </c>
      <c r="CQ1012" s="1">
        <v>0.0</v>
      </c>
      <c r="CR1012" s="1">
        <v>0.0</v>
      </c>
      <c r="CS1012" s="1">
        <v>0.0</v>
      </c>
      <c r="CT1012" s="1">
        <v>0.0</v>
      </c>
      <c r="CU1012" s="1">
        <v>0.0</v>
      </c>
      <c r="CV1012" s="1">
        <v>0.0</v>
      </c>
      <c r="CW1012" s="1">
        <v>0.0</v>
      </c>
      <c r="CX1012" s="1">
        <v>0.0</v>
      </c>
      <c r="CY1012" s="1">
        <v>1.0</v>
      </c>
      <c r="CZ1012" s="1">
        <v>0.0</v>
      </c>
      <c r="DA1012" s="1">
        <v>0.0</v>
      </c>
      <c r="DB1012" s="1">
        <v>1.0</v>
      </c>
      <c r="DC1012" s="1">
        <v>1.0</v>
      </c>
      <c r="DD1012" s="1" t="s">
        <v>4610</v>
      </c>
      <c r="DE1012" s="1">
        <v>8.05709433776925E-4</v>
      </c>
      <c r="DF1012" s="2" t="s">
        <v>4611</v>
      </c>
    </row>
    <row r="1013" ht="15.75" customHeight="1">
      <c r="A1013" s="1" t="s">
        <v>4612</v>
      </c>
      <c r="B1013" s="1">
        <v>29.0</v>
      </c>
      <c r="C1013" s="1">
        <v>189.0</v>
      </c>
      <c r="D1013" s="1">
        <v>210928.0</v>
      </c>
      <c r="E1013" s="1">
        <v>0.931</v>
      </c>
      <c r="F1013" s="1">
        <v>29189.0</v>
      </c>
      <c r="G1013" s="1">
        <v>2.9189210928E10</v>
      </c>
      <c r="H1013" s="1" t="s">
        <v>112</v>
      </c>
      <c r="I1013" s="1" t="s">
        <v>113</v>
      </c>
      <c r="J1013" s="1" t="s">
        <v>4566</v>
      </c>
      <c r="K1013" s="1" t="s">
        <v>4613</v>
      </c>
      <c r="L1013" s="1">
        <v>4333.0</v>
      </c>
      <c r="M1013" s="1">
        <v>4668.0</v>
      </c>
      <c r="N1013" s="1">
        <v>500.0</v>
      </c>
      <c r="O1013" s="1">
        <v>1543.0</v>
      </c>
      <c r="P1013" s="1">
        <v>1619.0</v>
      </c>
      <c r="Q1013" s="1">
        <v>40.0</v>
      </c>
      <c r="R1013" s="1">
        <v>1485.0</v>
      </c>
      <c r="S1013" s="1">
        <v>114.0</v>
      </c>
      <c r="T1013" s="1">
        <v>100.0</v>
      </c>
      <c r="U1013" s="1">
        <v>214.0</v>
      </c>
      <c r="V1013" s="1">
        <v>376.0</v>
      </c>
      <c r="W1013" s="1">
        <v>26994.0</v>
      </c>
      <c r="X1013" s="1">
        <v>2525.0</v>
      </c>
      <c r="Y1013" s="1">
        <v>162.0</v>
      </c>
      <c r="Z1013" s="1">
        <v>333.0</v>
      </c>
      <c r="AA1013" s="1">
        <v>350.0</v>
      </c>
      <c r="AB1013" s="1">
        <v>1094.0</v>
      </c>
      <c r="AC1013" s="1">
        <v>183.0</v>
      </c>
      <c r="AD1013" s="1">
        <v>2696.0</v>
      </c>
      <c r="AE1013" s="1">
        <v>0.0</v>
      </c>
      <c r="AF1013" s="1">
        <v>456.0</v>
      </c>
      <c r="AG1013" s="1">
        <v>14.0</v>
      </c>
      <c r="AH1013" s="1">
        <v>163.0</v>
      </c>
      <c r="AI1013" s="1">
        <v>21.0</v>
      </c>
      <c r="AJ1013" s="1">
        <v>31.0</v>
      </c>
      <c r="AK1013" s="1">
        <v>38.0</v>
      </c>
      <c r="AL1013" s="1">
        <v>125.0</v>
      </c>
      <c r="AM1013" s="1">
        <v>14.0</v>
      </c>
      <c r="AN1013" s="1">
        <v>116.0</v>
      </c>
      <c r="AO1013" s="1">
        <v>0.0</v>
      </c>
      <c r="AP1013" s="1">
        <v>0.024421</v>
      </c>
      <c r="AQ1013" s="1">
        <v>0.021262</v>
      </c>
      <c r="AR1013" s="1">
        <v>0.083074</v>
      </c>
      <c r="AS1013" s="1">
        <v>0.145487</v>
      </c>
      <c r="AT1013" s="1">
        <v>26994.0</v>
      </c>
      <c r="AU1013" s="1">
        <v>2525.0</v>
      </c>
      <c r="AV1013" s="1">
        <v>0.056074</v>
      </c>
      <c r="AW1013" s="1">
        <v>0.115193</v>
      </c>
      <c r="AX1013" s="1">
        <v>0.080775</v>
      </c>
      <c r="AY1013" s="1">
        <v>0.25248</v>
      </c>
      <c r="AZ1013" s="1">
        <v>0.12323232</v>
      </c>
      <c r="BA1013" s="1">
        <v>0.622201</v>
      </c>
      <c r="BB1013" s="1">
        <v>0.0</v>
      </c>
      <c r="BC1013" s="1">
        <v>0.10502</v>
      </c>
      <c r="BD1013" s="1">
        <v>0.008647</v>
      </c>
      <c r="BE1013" s="1">
        <v>0.100679</v>
      </c>
      <c r="BF1013" s="1">
        <v>0.01297</v>
      </c>
      <c r="BG1013" s="1">
        <v>0.019144</v>
      </c>
      <c r="BH1013" s="1">
        <v>0.025049</v>
      </c>
      <c r="BI1013" s="1">
        <v>0.082385</v>
      </c>
      <c r="BJ1013" s="1">
        <v>0.009228</v>
      </c>
      <c r="BK1013" s="1">
        <v>0.076464</v>
      </c>
      <c r="BL1013" s="1">
        <v>0.0</v>
      </c>
      <c r="BM1013" s="1">
        <v>0.071</v>
      </c>
      <c r="BN1013" s="1">
        <v>0.638</v>
      </c>
      <c r="BO1013" s="1">
        <v>0.283</v>
      </c>
      <c r="BP1013" s="1">
        <v>0.151</v>
      </c>
      <c r="BQ1013" s="1">
        <v>1.143</v>
      </c>
      <c r="BR1013" s="1">
        <v>0.2368</v>
      </c>
      <c r="BS1013" s="1">
        <v>0.12</v>
      </c>
      <c r="BT1013" s="1">
        <v>0.63</v>
      </c>
      <c r="BU1013" s="1">
        <v>0.686</v>
      </c>
      <c r="BV1013" s="1">
        <v>1.436</v>
      </c>
      <c r="BW1013" s="1">
        <v>0.423</v>
      </c>
      <c r="BX1013" s="1">
        <v>0.886</v>
      </c>
      <c r="BY1013" s="1">
        <v>0.0</v>
      </c>
      <c r="BZ1013" s="1">
        <v>0.886</v>
      </c>
      <c r="CA1013" s="1">
        <v>0.458</v>
      </c>
      <c r="CB1013" s="1">
        <v>0.369</v>
      </c>
      <c r="CC1013" s="1">
        <v>0.478</v>
      </c>
      <c r="CD1013" s="1">
        <v>0.757</v>
      </c>
      <c r="CE1013" s="1">
        <v>0.078</v>
      </c>
      <c r="CF1013" s="1">
        <v>0.0</v>
      </c>
      <c r="CG1013" s="1">
        <v>1.682</v>
      </c>
      <c r="CH1013" s="1">
        <v>0.228</v>
      </c>
      <c r="CI1013" s="1">
        <v>5.147</v>
      </c>
      <c r="CJ1013" s="1">
        <v>0.2253</v>
      </c>
      <c r="CK1013" s="1">
        <v>0.0</v>
      </c>
      <c r="CL1013" s="1">
        <v>0.0</v>
      </c>
      <c r="CM1013" s="1">
        <v>0.0</v>
      </c>
      <c r="CN1013" s="1">
        <v>0.0</v>
      </c>
      <c r="CO1013" s="1">
        <v>0.0</v>
      </c>
      <c r="CP1013" s="1">
        <v>0.0</v>
      </c>
      <c r="CQ1013" s="1">
        <v>0.0</v>
      </c>
      <c r="CR1013" s="1">
        <v>0.0</v>
      </c>
      <c r="CS1013" s="1">
        <v>0.0</v>
      </c>
      <c r="CT1013" s="1">
        <v>0.0</v>
      </c>
      <c r="CU1013" s="1">
        <v>0.0</v>
      </c>
      <c r="CV1013" s="1">
        <v>0.0</v>
      </c>
      <c r="CW1013" s="1">
        <v>0.0</v>
      </c>
      <c r="CX1013" s="1">
        <v>0.0</v>
      </c>
      <c r="CY1013" s="1">
        <v>0.0</v>
      </c>
      <c r="CZ1013" s="1">
        <v>0.0</v>
      </c>
      <c r="DA1013" s="1">
        <v>0.0</v>
      </c>
      <c r="DB1013" s="1">
        <v>0.0</v>
      </c>
      <c r="DC1013" s="1">
        <v>0.0</v>
      </c>
      <c r="DD1013" s="1" t="s">
        <v>4614</v>
      </c>
      <c r="DE1013" s="1">
        <v>2.49412156504838E-4</v>
      </c>
      <c r="DF1013" s="1">
        <v>0.0706216066980827</v>
      </c>
    </row>
    <row r="1014" ht="15.75" customHeight="1">
      <c r="A1014" s="1" t="s">
        <v>4615</v>
      </c>
      <c r="B1014" s="1">
        <v>29.0</v>
      </c>
      <c r="C1014" s="1">
        <v>189.0</v>
      </c>
      <c r="D1014" s="1">
        <v>211401.0</v>
      </c>
      <c r="E1014" s="1">
        <v>9.608</v>
      </c>
      <c r="F1014" s="1">
        <v>29189.0</v>
      </c>
      <c r="G1014" s="1">
        <v>2.9189211401E10</v>
      </c>
      <c r="H1014" s="1" t="s">
        <v>112</v>
      </c>
      <c r="I1014" s="1" t="s">
        <v>113</v>
      </c>
      <c r="J1014" s="1" t="s">
        <v>4566</v>
      </c>
      <c r="K1014" s="1" t="s">
        <v>4616</v>
      </c>
      <c r="L1014" s="1">
        <v>5329.0</v>
      </c>
      <c r="M1014" s="1">
        <v>5165.0</v>
      </c>
      <c r="N1014" s="1">
        <v>481.0</v>
      </c>
      <c r="O1014" s="1">
        <v>2706.0</v>
      </c>
      <c r="P1014" s="1">
        <v>2657.0</v>
      </c>
      <c r="Q1014" s="1">
        <v>120.0</v>
      </c>
      <c r="R1014" s="1">
        <v>2528.0</v>
      </c>
      <c r="S1014" s="1">
        <v>299.0</v>
      </c>
      <c r="T1014" s="1">
        <v>162.0</v>
      </c>
      <c r="U1014" s="1">
        <v>145.0</v>
      </c>
      <c r="V1014" s="1">
        <v>419.0</v>
      </c>
      <c r="W1014" s="1">
        <v>23150.0</v>
      </c>
      <c r="X1014" s="1">
        <v>2330.0</v>
      </c>
      <c r="Y1014" s="1">
        <v>444.0</v>
      </c>
      <c r="Z1014" s="1">
        <v>291.0</v>
      </c>
      <c r="AA1014" s="1">
        <v>729.0</v>
      </c>
      <c r="AB1014" s="1">
        <v>1078.0</v>
      </c>
      <c r="AC1014" s="1">
        <v>278.0</v>
      </c>
      <c r="AD1014" s="1">
        <v>1542.0</v>
      </c>
      <c r="AE1014" s="1">
        <v>32.0</v>
      </c>
      <c r="AF1014" s="1">
        <v>429.0</v>
      </c>
      <c r="AG1014" s="1">
        <v>677.0</v>
      </c>
      <c r="AH1014" s="1">
        <v>174.0</v>
      </c>
      <c r="AI1014" s="1">
        <v>0.0</v>
      </c>
      <c r="AJ1014" s="1">
        <v>114.0</v>
      </c>
      <c r="AK1014" s="1">
        <v>89.0</v>
      </c>
      <c r="AL1014" s="1">
        <v>82.0</v>
      </c>
      <c r="AM1014" s="1">
        <v>305.0</v>
      </c>
      <c r="AN1014" s="1">
        <v>123.0</v>
      </c>
      <c r="AO1014" s="1">
        <v>0.0</v>
      </c>
      <c r="AP1014" s="1">
        <v>0.057889</v>
      </c>
      <c r="AQ1014" s="1">
        <v>0.030898</v>
      </c>
      <c r="AR1014" s="1">
        <v>0.055385</v>
      </c>
      <c r="AS1014" s="1">
        <v>0.159838</v>
      </c>
      <c r="AT1014" s="1">
        <v>23150.0</v>
      </c>
      <c r="AU1014" s="1">
        <v>2330.0</v>
      </c>
      <c r="AV1014" s="1">
        <v>0.118907</v>
      </c>
      <c r="AW1014" s="1">
        <v>0.077356</v>
      </c>
      <c r="AX1014" s="1">
        <v>0.136798</v>
      </c>
      <c r="AY1014" s="1">
        <v>0.202289</v>
      </c>
      <c r="AZ1014" s="1">
        <v>0.10996835</v>
      </c>
      <c r="BA1014" s="1">
        <v>0.28936</v>
      </c>
      <c r="BB1014" s="1">
        <v>0.006531</v>
      </c>
      <c r="BC1014" s="1">
        <v>0.087566</v>
      </c>
      <c r="BD1014" s="1">
        <v>0.254798</v>
      </c>
      <c r="BE1014" s="1">
        <v>0.064468</v>
      </c>
      <c r="BF1014" s="1">
        <v>0.0</v>
      </c>
      <c r="BG1014" s="1">
        <v>0.042905</v>
      </c>
      <c r="BH1014" s="1">
        <v>0.035345</v>
      </c>
      <c r="BI1014" s="1">
        <v>0.032515</v>
      </c>
      <c r="BJ1014" s="1">
        <v>0.121127</v>
      </c>
      <c r="BK1014" s="1">
        <v>0.048452</v>
      </c>
      <c r="BL1014" s="1">
        <v>0.0</v>
      </c>
      <c r="BM1014" s="1">
        <v>0.194</v>
      </c>
      <c r="BN1014" s="1">
        <v>0.352</v>
      </c>
      <c r="BO1014" s="1">
        <v>0.4383</v>
      </c>
      <c r="BP1014" s="1">
        <v>0.423</v>
      </c>
      <c r="BQ1014" s="1">
        <v>1.4073</v>
      </c>
      <c r="BR1014" s="1">
        <v>0.3134</v>
      </c>
      <c r="BS1014" s="1">
        <v>0.47</v>
      </c>
      <c r="BT1014" s="1">
        <v>0.193</v>
      </c>
      <c r="BU1014" s="1">
        <v>0.587</v>
      </c>
      <c r="BV1014" s="1">
        <v>1.25</v>
      </c>
      <c r="BW1014" s="1">
        <v>0.268</v>
      </c>
      <c r="BX1014" s="1">
        <v>0.782</v>
      </c>
      <c r="BY1014" s="1">
        <v>0.617</v>
      </c>
      <c r="BZ1014" s="1">
        <v>1.399</v>
      </c>
      <c r="CA1014" s="1">
        <v>0.766</v>
      </c>
      <c r="CB1014" s="1">
        <v>0.923</v>
      </c>
      <c r="CC1014" s="1">
        <v>0.0</v>
      </c>
      <c r="CD1014" s="1">
        <v>0.864</v>
      </c>
      <c r="CE1014" s="1">
        <v>0.81</v>
      </c>
      <c r="CF1014" s="1">
        <v>0.0</v>
      </c>
      <c r="CG1014" s="1">
        <v>2.597</v>
      </c>
      <c r="CH1014" s="1">
        <v>0.602</v>
      </c>
      <c r="CI1014" s="1">
        <v>6.6533</v>
      </c>
      <c r="CJ1014" s="1">
        <v>0.4838</v>
      </c>
      <c r="CK1014" s="1">
        <v>0.0</v>
      </c>
      <c r="CL1014" s="1">
        <v>0.0</v>
      </c>
      <c r="CM1014" s="1">
        <v>0.0</v>
      </c>
      <c r="CN1014" s="1">
        <v>0.0</v>
      </c>
      <c r="CO1014" s="1">
        <v>0.0</v>
      </c>
      <c r="CP1014" s="1">
        <v>0.0</v>
      </c>
      <c r="CQ1014" s="1">
        <v>0.0</v>
      </c>
      <c r="CR1014" s="1">
        <v>0.0</v>
      </c>
      <c r="CS1014" s="1">
        <v>0.0</v>
      </c>
      <c r="CT1014" s="1">
        <v>0.0</v>
      </c>
      <c r="CU1014" s="1">
        <v>0.0</v>
      </c>
      <c r="CV1014" s="1">
        <v>0.0</v>
      </c>
      <c r="CW1014" s="1">
        <v>1.0</v>
      </c>
      <c r="CX1014" s="1">
        <v>0.0</v>
      </c>
      <c r="CY1014" s="1">
        <v>0.0</v>
      </c>
      <c r="CZ1014" s="1">
        <v>0.0</v>
      </c>
      <c r="DA1014" s="1">
        <v>0.0</v>
      </c>
      <c r="DB1014" s="1">
        <v>1.0</v>
      </c>
      <c r="DC1014" s="1">
        <v>1.0</v>
      </c>
      <c r="DD1014" s="1" t="s">
        <v>4617</v>
      </c>
      <c r="DE1014" s="1">
        <v>0.00274247490469887</v>
      </c>
      <c r="DF1014" s="2" t="s">
        <v>4618</v>
      </c>
    </row>
    <row r="1015" ht="15.75" customHeight="1">
      <c r="A1015" s="1" t="s">
        <v>4619</v>
      </c>
      <c r="B1015" s="1">
        <v>29.0</v>
      </c>
      <c r="C1015" s="1">
        <v>189.0</v>
      </c>
      <c r="D1015" s="1">
        <v>211801.0</v>
      </c>
      <c r="E1015" s="1">
        <v>1.014</v>
      </c>
      <c r="F1015" s="1">
        <v>29189.0</v>
      </c>
      <c r="G1015" s="1">
        <v>2.9189211801E10</v>
      </c>
      <c r="H1015" s="1" t="s">
        <v>112</v>
      </c>
      <c r="I1015" s="1" t="s">
        <v>113</v>
      </c>
      <c r="J1015" s="1" t="s">
        <v>4566</v>
      </c>
      <c r="K1015" s="1" t="s">
        <v>4620</v>
      </c>
      <c r="L1015" s="1">
        <v>3965.0</v>
      </c>
      <c r="M1015" s="1">
        <v>4251.0</v>
      </c>
      <c r="N1015" s="1">
        <v>597.0</v>
      </c>
      <c r="O1015" s="1">
        <v>1786.0</v>
      </c>
      <c r="P1015" s="1">
        <v>1669.0</v>
      </c>
      <c r="Q1015" s="1">
        <v>103.0</v>
      </c>
      <c r="R1015" s="1">
        <v>1475.0</v>
      </c>
      <c r="S1015" s="1">
        <v>1056.0</v>
      </c>
      <c r="T1015" s="1">
        <v>608.0</v>
      </c>
      <c r="U1015" s="1">
        <v>364.0</v>
      </c>
      <c r="V1015" s="1">
        <v>397.0</v>
      </c>
      <c r="W1015" s="1">
        <v>15407.0</v>
      </c>
      <c r="X1015" s="1">
        <v>2787.0</v>
      </c>
      <c r="Y1015" s="1">
        <v>415.0</v>
      </c>
      <c r="Z1015" s="1">
        <v>313.0</v>
      </c>
      <c r="AA1015" s="1">
        <v>341.0</v>
      </c>
      <c r="AB1015" s="1">
        <v>1186.0</v>
      </c>
      <c r="AC1015" s="1">
        <v>422.0</v>
      </c>
      <c r="AD1015" s="1">
        <v>3453.0</v>
      </c>
      <c r="AE1015" s="1">
        <v>0.0</v>
      </c>
      <c r="AF1015" s="1">
        <v>456.0</v>
      </c>
      <c r="AG1015" s="1">
        <v>220.0</v>
      </c>
      <c r="AH1015" s="1">
        <v>145.0</v>
      </c>
      <c r="AI1015" s="1">
        <v>0.0</v>
      </c>
      <c r="AJ1015" s="1">
        <v>114.0</v>
      </c>
      <c r="AK1015" s="1">
        <v>87.0</v>
      </c>
      <c r="AL1015" s="1">
        <v>125.0</v>
      </c>
      <c r="AM1015" s="1">
        <v>207.0</v>
      </c>
      <c r="AN1015" s="1">
        <v>128.0</v>
      </c>
      <c r="AO1015" s="1">
        <v>3.0</v>
      </c>
      <c r="AP1015" s="1">
        <v>0.251668</v>
      </c>
      <c r="AQ1015" s="1">
        <v>0.140735</v>
      </c>
      <c r="AR1015" s="1">
        <v>0.196332</v>
      </c>
      <c r="AS1015" s="1">
        <v>0.21119</v>
      </c>
      <c r="AT1015" s="1">
        <v>15407.0</v>
      </c>
      <c r="AU1015" s="1">
        <v>2787.0</v>
      </c>
      <c r="AV1015" s="1">
        <v>0.178802</v>
      </c>
      <c r="AW1015" s="1">
        <v>0.133592</v>
      </c>
      <c r="AX1015" s="1">
        <v>0.086002</v>
      </c>
      <c r="AY1015" s="1">
        <v>0.299117</v>
      </c>
      <c r="AZ1015" s="1">
        <v>0.28610169</v>
      </c>
      <c r="BA1015" s="1">
        <v>0.87087</v>
      </c>
      <c r="BB1015" s="1">
        <v>0.0</v>
      </c>
      <c r="BC1015" s="1">
        <v>0.118595</v>
      </c>
      <c r="BD1015" s="1">
        <v>0.131815</v>
      </c>
      <c r="BE1015" s="1">
        <v>0.086496</v>
      </c>
      <c r="BF1015" s="1">
        <v>0.0</v>
      </c>
      <c r="BG1015" s="1">
        <v>0.068304</v>
      </c>
      <c r="BH1015" s="1">
        <v>0.058903</v>
      </c>
      <c r="BI1015" s="1">
        <v>0.08438</v>
      </c>
      <c r="BJ1015" s="1">
        <v>0.140148</v>
      </c>
      <c r="BK1015" s="1">
        <v>0.08527</v>
      </c>
      <c r="BL1015" s="1">
        <v>7.56E-4</v>
      </c>
      <c r="BM1015" s="1">
        <v>0.828</v>
      </c>
      <c r="BN1015" s="1">
        <v>0.949</v>
      </c>
      <c r="BO1015" s="1">
        <v>0.8606</v>
      </c>
      <c r="BP1015" s="1">
        <v>0.684</v>
      </c>
      <c r="BQ1015" s="1">
        <v>3.3216</v>
      </c>
      <c r="BR1015" s="1">
        <v>0.883</v>
      </c>
      <c r="BS1015" s="1">
        <v>0.145</v>
      </c>
      <c r="BT1015" s="1">
        <v>0.919</v>
      </c>
      <c r="BU1015" s="1">
        <v>0.976</v>
      </c>
      <c r="BV1015" s="1">
        <v>2.04</v>
      </c>
      <c r="BW1015" s="1">
        <v>0.884</v>
      </c>
      <c r="BX1015" s="1">
        <v>0.939</v>
      </c>
      <c r="BY1015" s="1">
        <v>0.0</v>
      </c>
      <c r="BZ1015" s="1">
        <v>0.939</v>
      </c>
      <c r="CA1015" s="1">
        <v>0.497</v>
      </c>
      <c r="CB1015" s="1">
        <v>0.814</v>
      </c>
      <c r="CC1015" s="1">
        <v>0.0</v>
      </c>
      <c r="CD1015" s="1">
        <v>0.96</v>
      </c>
      <c r="CE1015" s="1">
        <v>0.848</v>
      </c>
      <c r="CF1015" s="1">
        <v>0.382</v>
      </c>
      <c r="CG1015" s="1">
        <v>3.004</v>
      </c>
      <c r="CH1015" s="1">
        <v>0.776</v>
      </c>
      <c r="CI1015" s="1">
        <v>9.3046</v>
      </c>
      <c r="CJ1015" s="1">
        <v>0.8859</v>
      </c>
      <c r="CK1015" s="1">
        <v>0.0</v>
      </c>
      <c r="CL1015" s="1">
        <v>1.0</v>
      </c>
      <c r="CM1015" s="1">
        <v>0.0</v>
      </c>
      <c r="CN1015" s="1">
        <v>0.0</v>
      </c>
      <c r="CO1015" s="1">
        <v>1.0</v>
      </c>
      <c r="CP1015" s="1">
        <v>0.0</v>
      </c>
      <c r="CQ1015" s="1">
        <v>1.0</v>
      </c>
      <c r="CR1015" s="1">
        <v>1.0</v>
      </c>
      <c r="CS1015" s="1">
        <v>2.0</v>
      </c>
      <c r="CT1015" s="1">
        <v>1.0</v>
      </c>
      <c r="CU1015" s="1">
        <v>0.0</v>
      </c>
      <c r="CV1015" s="1">
        <v>1.0</v>
      </c>
      <c r="CW1015" s="1">
        <v>0.0</v>
      </c>
      <c r="CX1015" s="1">
        <v>0.0</v>
      </c>
      <c r="CY1015" s="1">
        <v>1.0</v>
      </c>
      <c r="CZ1015" s="1">
        <v>0.0</v>
      </c>
      <c r="DA1015" s="1">
        <v>0.0</v>
      </c>
      <c r="DB1015" s="1">
        <v>1.0</v>
      </c>
      <c r="DC1015" s="1">
        <v>5.0</v>
      </c>
      <c r="DD1015" s="1" t="s">
        <v>4621</v>
      </c>
      <c r="DE1015" s="1">
        <v>2.73002641317184E-4</v>
      </c>
      <c r="DF1015" s="1">
        <v>0.0963459104527882</v>
      </c>
    </row>
    <row r="1016" ht="15.75" customHeight="1">
      <c r="A1016" s="1" t="s">
        <v>4622</v>
      </c>
      <c r="B1016" s="1">
        <v>29.0</v>
      </c>
      <c r="C1016" s="1">
        <v>189.0</v>
      </c>
      <c r="D1016" s="1">
        <v>212500.0</v>
      </c>
      <c r="E1016" s="1">
        <v>1.066</v>
      </c>
      <c r="F1016" s="1">
        <v>29189.0</v>
      </c>
      <c r="G1016" s="1">
        <v>2.91892125E10</v>
      </c>
      <c r="H1016" s="1" t="s">
        <v>112</v>
      </c>
      <c r="I1016" s="1" t="s">
        <v>113</v>
      </c>
      <c r="J1016" s="1" t="s">
        <v>4566</v>
      </c>
      <c r="K1016" s="1" t="s">
        <v>4623</v>
      </c>
      <c r="L1016" s="1">
        <v>5071.0</v>
      </c>
      <c r="M1016" s="1">
        <v>6012.0</v>
      </c>
      <c r="N1016" s="1">
        <v>862.0</v>
      </c>
      <c r="O1016" s="1">
        <v>2160.0</v>
      </c>
      <c r="P1016" s="1">
        <v>2299.0</v>
      </c>
      <c r="Q1016" s="1">
        <v>153.0</v>
      </c>
      <c r="R1016" s="1">
        <v>1996.0</v>
      </c>
      <c r="S1016" s="1">
        <v>1222.0</v>
      </c>
      <c r="T1016" s="1">
        <v>576.0</v>
      </c>
      <c r="U1016" s="1">
        <v>348.0</v>
      </c>
      <c r="V1016" s="1">
        <v>388.0</v>
      </c>
      <c r="W1016" s="1">
        <v>19037.0</v>
      </c>
      <c r="X1016" s="1">
        <v>5630.0</v>
      </c>
      <c r="Y1016" s="1">
        <v>861.0</v>
      </c>
      <c r="Z1016" s="1">
        <v>276.0</v>
      </c>
      <c r="AA1016" s="1">
        <v>567.0</v>
      </c>
      <c r="AB1016" s="1">
        <v>1382.0</v>
      </c>
      <c r="AC1016" s="1">
        <v>521.0</v>
      </c>
      <c r="AD1016" s="1">
        <v>3830.0</v>
      </c>
      <c r="AE1016" s="1">
        <v>42.0</v>
      </c>
      <c r="AF1016" s="1">
        <v>413.0</v>
      </c>
      <c r="AG1016" s="1">
        <v>335.0</v>
      </c>
      <c r="AH1016" s="1">
        <v>218.0</v>
      </c>
      <c r="AI1016" s="1">
        <v>12.0</v>
      </c>
      <c r="AJ1016" s="1">
        <v>19.0</v>
      </c>
      <c r="AK1016" s="1">
        <v>0.0</v>
      </c>
      <c r="AL1016" s="1">
        <v>161.0</v>
      </c>
      <c r="AM1016" s="1">
        <v>343.0</v>
      </c>
      <c r="AN1016" s="1">
        <v>121.0</v>
      </c>
      <c r="AO1016" s="1">
        <v>135.0</v>
      </c>
      <c r="AP1016" s="1">
        <v>0.237974</v>
      </c>
      <c r="AQ1016" s="1">
        <v>0.110224</v>
      </c>
      <c r="AR1016" s="1">
        <v>0.145242</v>
      </c>
      <c r="AS1016" s="1">
        <v>0.160596</v>
      </c>
      <c r="AT1016" s="1">
        <v>19037.0</v>
      </c>
      <c r="AU1016" s="1">
        <v>5630.0</v>
      </c>
      <c r="AV1016" s="1">
        <v>0.218861</v>
      </c>
      <c r="AW1016" s="1">
        <v>0.052377</v>
      </c>
      <c r="AX1016" s="1">
        <v>0.111812</v>
      </c>
      <c r="AY1016" s="1">
        <v>0.27253</v>
      </c>
      <c r="AZ1016" s="1">
        <v>0.26102204</v>
      </c>
      <c r="BA1016" s="1">
        <v>0.755275</v>
      </c>
      <c r="BB1016" s="1">
        <v>0.007471</v>
      </c>
      <c r="BC1016" s="1">
        <v>0.073465</v>
      </c>
      <c r="BD1016" s="1">
        <v>0.145715</v>
      </c>
      <c r="BE1016" s="1">
        <v>0.094326</v>
      </c>
      <c r="BF1016" s="1">
        <v>0.005219</v>
      </c>
      <c r="BG1016" s="1">
        <v>0.008257</v>
      </c>
      <c r="BH1016" s="1">
        <v>0.0</v>
      </c>
      <c r="BI1016" s="1">
        <v>0.077218</v>
      </c>
      <c r="BJ1016" s="1">
        <v>0.164508</v>
      </c>
      <c r="BK1016" s="1">
        <v>0.055802</v>
      </c>
      <c r="BL1016" s="1">
        <v>0.026621</v>
      </c>
      <c r="BM1016" s="1">
        <v>0.803</v>
      </c>
      <c r="BN1016" s="1">
        <v>0.889</v>
      </c>
      <c r="BO1016" s="1">
        <v>0.6686</v>
      </c>
      <c r="BP1016" s="1">
        <v>0.8</v>
      </c>
      <c r="BQ1016" s="1">
        <v>3.1606</v>
      </c>
      <c r="BR1016" s="1">
        <v>0.8419</v>
      </c>
      <c r="BS1016" s="1">
        <v>0.284</v>
      </c>
      <c r="BT1016" s="1">
        <v>0.807</v>
      </c>
      <c r="BU1016" s="1">
        <v>0.956</v>
      </c>
      <c r="BV1016" s="1">
        <v>2.047</v>
      </c>
      <c r="BW1016" s="1">
        <v>0.889</v>
      </c>
      <c r="BX1016" s="1">
        <v>0.913</v>
      </c>
      <c r="BY1016" s="1">
        <v>0.648</v>
      </c>
      <c r="BZ1016" s="1">
        <v>1.561</v>
      </c>
      <c r="CA1016" s="1">
        <v>0.857</v>
      </c>
      <c r="CB1016" s="1">
        <v>0.834</v>
      </c>
      <c r="CC1016" s="1">
        <v>0.4</v>
      </c>
      <c r="CD1016" s="1">
        <v>0.0</v>
      </c>
      <c r="CE1016" s="1">
        <v>0.877</v>
      </c>
      <c r="CF1016" s="1">
        <v>0.785</v>
      </c>
      <c r="CG1016" s="1">
        <v>2.896</v>
      </c>
      <c r="CH1016" s="1">
        <v>0.73</v>
      </c>
      <c r="CI1016" s="1">
        <v>9.6646</v>
      </c>
      <c r="CJ1016" s="1">
        <v>0.922</v>
      </c>
      <c r="CK1016" s="1">
        <v>0.0</v>
      </c>
      <c r="CL1016" s="1">
        <v>0.0</v>
      </c>
      <c r="CM1016" s="1">
        <v>0.0</v>
      </c>
      <c r="CN1016" s="1">
        <v>0.0</v>
      </c>
      <c r="CO1016" s="1">
        <v>0.0</v>
      </c>
      <c r="CP1016" s="1">
        <v>0.0</v>
      </c>
      <c r="CQ1016" s="1">
        <v>0.0</v>
      </c>
      <c r="CR1016" s="1">
        <v>1.0</v>
      </c>
      <c r="CS1016" s="1">
        <v>1.0</v>
      </c>
      <c r="CT1016" s="1">
        <v>1.0</v>
      </c>
      <c r="CU1016" s="1">
        <v>0.0</v>
      </c>
      <c r="CV1016" s="1">
        <v>1.0</v>
      </c>
      <c r="CW1016" s="1">
        <v>0.0</v>
      </c>
      <c r="CX1016" s="1">
        <v>0.0</v>
      </c>
      <c r="CY1016" s="1">
        <v>0.0</v>
      </c>
      <c r="CZ1016" s="1">
        <v>0.0</v>
      </c>
      <c r="DA1016" s="1">
        <v>0.0</v>
      </c>
      <c r="DB1016" s="1">
        <v>0.0</v>
      </c>
      <c r="DC1016" s="1">
        <v>2.0</v>
      </c>
      <c r="DD1016" s="1" t="s">
        <v>4624</v>
      </c>
      <c r="DE1016" s="1">
        <v>2.86197130198111E-4</v>
      </c>
      <c r="DF1016" s="1">
        <v>0.0825511788094379</v>
      </c>
    </row>
    <row r="1017" ht="15.75" customHeight="1">
      <c r="A1017" s="1" t="s">
        <v>4625</v>
      </c>
      <c r="B1017" s="1">
        <v>29.0</v>
      </c>
      <c r="C1017" s="1">
        <v>189.0</v>
      </c>
      <c r="D1017" s="1">
        <v>214100.0</v>
      </c>
      <c r="E1017" s="1">
        <v>0.425</v>
      </c>
      <c r="F1017" s="1">
        <v>29189.0</v>
      </c>
      <c r="G1017" s="1">
        <v>2.91892141E10</v>
      </c>
      <c r="H1017" s="1" t="s">
        <v>112</v>
      </c>
      <c r="I1017" s="1" t="s">
        <v>113</v>
      </c>
      <c r="J1017" s="1" t="s">
        <v>4566</v>
      </c>
      <c r="K1017" s="1" t="s">
        <v>4626</v>
      </c>
      <c r="L1017" s="1">
        <v>1458.0</v>
      </c>
      <c r="M1017" s="1">
        <v>1357.0</v>
      </c>
      <c r="N1017" s="1">
        <v>180.0</v>
      </c>
      <c r="O1017" s="1">
        <v>634.0</v>
      </c>
      <c r="P1017" s="1">
        <v>659.0</v>
      </c>
      <c r="Q1017" s="1">
        <v>76.0</v>
      </c>
      <c r="R1017" s="1">
        <v>505.0</v>
      </c>
      <c r="S1017" s="1">
        <v>493.0</v>
      </c>
      <c r="T1017" s="1">
        <v>227.0</v>
      </c>
      <c r="U1017" s="1">
        <v>121.0</v>
      </c>
      <c r="V1017" s="1">
        <v>418.0</v>
      </c>
      <c r="W1017" s="1">
        <v>13290.0</v>
      </c>
      <c r="X1017" s="1">
        <v>3607.0</v>
      </c>
      <c r="Y1017" s="1">
        <v>80.0</v>
      </c>
      <c r="Z1017" s="1">
        <v>364.0</v>
      </c>
      <c r="AA1017" s="1">
        <v>162.0</v>
      </c>
      <c r="AB1017" s="1">
        <v>471.0</v>
      </c>
      <c r="AC1017" s="1">
        <v>170.0</v>
      </c>
      <c r="AD1017" s="1">
        <v>1419.0</v>
      </c>
      <c r="AE1017" s="1">
        <v>0.0</v>
      </c>
      <c r="AF1017" s="1">
        <v>456.0</v>
      </c>
      <c r="AG1017" s="1">
        <v>11.0</v>
      </c>
      <c r="AH1017" s="1">
        <v>162.0</v>
      </c>
      <c r="AI1017" s="1">
        <v>0.0</v>
      </c>
      <c r="AJ1017" s="1">
        <v>114.0</v>
      </c>
      <c r="AK1017" s="1">
        <v>0.0</v>
      </c>
      <c r="AL1017" s="1">
        <v>161.0</v>
      </c>
      <c r="AM1017" s="1">
        <v>89.0</v>
      </c>
      <c r="AN1017" s="1">
        <v>66.0</v>
      </c>
      <c r="AO1017" s="1">
        <v>0.0</v>
      </c>
      <c r="AP1017" s="1">
        <v>0.363301</v>
      </c>
      <c r="AQ1017" s="1">
        <v>0.160189</v>
      </c>
      <c r="AR1017" s="1">
        <v>0.224074</v>
      </c>
      <c r="AS1017" s="1">
        <v>0.758611</v>
      </c>
      <c r="AT1017" s="1">
        <v>13290.0</v>
      </c>
      <c r="AU1017" s="1">
        <v>3607.0</v>
      </c>
      <c r="AV1017" s="1">
        <v>0.090805</v>
      </c>
      <c r="AW1017" s="1">
        <v>0.412921</v>
      </c>
      <c r="AX1017" s="1">
        <v>0.111111</v>
      </c>
      <c r="AY1017" s="1">
        <v>0.323045</v>
      </c>
      <c r="AZ1017" s="1">
        <v>0.33663366</v>
      </c>
      <c r="BA1017" s="1">
        <v>0.973251</v>
      </c>
      <c r="BB1017" s="1">
        <v>0.0</v>
      </c>
      <c r="BC1017" s="1">
        <v>0.355694</v>
      </c>
      <c r="BD1017" s="1">
        <v>0.016691</v>
      </c>
      <c r="BE1017" s="1">
        <v>0.245819</v>
      </c>
      <c r="BF1017" s="1">
        <v>0.0</v>
      </c>
      <c r="BG1017" s="1">
        <v>0.172989</v>
      </c>
      <c r="BH1017" s="1">
        <v>0.0</v>
      </c>
      <c r="BI1017" s="1">
        <v>0.322</v>
      </c>
      <c r="BJ1017" s="1">
        <v>0.178</v>
      </c>
      <c r="BK1017" s="1">
        <v>0.129416</v>
      </c>
      <c r="BL1017" s="1">
        <v>0.0</v>
      </c>
      <c r="BM1017" s="1">
        <v>0.931</v>
      </c>
      <c r="BN1017" s="1">
        <v>0.967</v>
      </c>
      <c r="BO1017" s="1">
        <v>0.9292</v>
      </c>
      <c r="BP1017" s="1">
        <v>0.297</v>
      </c>
      <c r="BQ1017" s="1">
        <v>3.1242</v>
      </c>
      <c r="BR1017" s="1">
        <v>0.8325</v>
      </c>
      <c r="BS1017" s="1">
        <v>0.279</v>
      </c>
      <c r="BT1017" s="1">
        <v>0.965</v>
      </c>
      <c r="BU1017" s="1">
        <v>0.989</v>
      </c>
      <c r="BV1017" s="1">
        <v>2.233</v>
      </c>
      <c r="BW1017" s="1">
        <v>0.969</v>
      </c>
      <c r="BX1017" s="1">
        <v>0.976</v>
      </c>
      <c r="BY1017" s="1">
        <v>0.0</v>
      </c>
      <c r="BZ1017" s="1">
        <v>0.976</v>
      </c>
      <c r="CA1017" s="1">
        <v>0.533</v>
      </c>
      <c r="CB1017" s="1">
        <v>0.438</v>
      </c>
      <c r="CC1017" s="1">
        <v>0.0</v>
      </c>
      <c r="CD1017" s="1">
        <v>0.0</v>
      </c>
      <c r="CE1017" s="1">
        <v>0.887</v>
      </c>
      <c r="CF1017" s="1">
        <v>0.0</v>
      </c>
      <c r="CG1017" s="1">
        <v>1.325</v>
      </c>
      <c r="CH1017" s="1">
        <v>0.135</v>
      </c>
      <c r="CI1017" s="1">
        <v>7.6582</v>
      </c>
      <c r="CJ1017" s="1">
        <v>0.6614</v>
      </c>
      <c r="CK1017" s="1">
        <v>1.0</v>
      </c>
      <c r="CL1017" s="1">
        <v>1.0</v>
      </c>
      <c r="CM1017" s="1">
        <v>1.0</v>
      </c>
      <c r="CN1017" s="1">
        <v>0.0</v>
      </c>
      <c r="CO1017" s="1">
        <v>3.0</v>
      </c>
      <c r="CP1017" s="1">
        <v>0.0</v>
      </c>
      <c r="CQ1017" s="1">
        <v>1.0</v>
      </c>
      <c r="CR1017" s="1">
        <v>1.0</v>
      </c>
      <c r="CS1017" s="1">
        <v>2.0</v>
      </c>
      <c r="CT1017" s="1">
        <v>1.0</v>
      </c>
      <c r="CU1017" s="1">
        <v>0.0</v>
      </c>
      <c r="CV1017" s="1">
        <v>1.0</v>
      </c>
      <c r="CW1017" s="1">
        <v>0.0</v>
      </c>
      <c r="CX1017" s="1">
        <v>0.0</v>
      </c>
      <c r="CY1017" s="1">
        <v>0.0</v>
      </c>
      <c r="CZ1017" s="1">
        <v>0.0</v>
      </c>
      <c r="DA1017" s="1">
        <v>0.0</v>
      </c>
      <c r="DB1017" s="1">
        <v>0.0</v>
      </c>
      <c r="DC1017" s="1">
        <v>6.0</v>
      </c>
      <c r="DD1017" s="1" t="s">
        <v>4627</v>
      </c>
      <c r="DE1017" s="1">
        <v>1.19000728617977E-4</v>
      </c>
      <c r="DF1017" s="2" t="s">
        <v>4628</v>
      </c>
    </row>
    <row r="1018" ht="15.75" customHeight="1">
      <c r="A1018" s="1" t="s">
        <v>4629</v>
      </c>
      <c r="B1018" s="1">
        <v>29.0</v>
      </c>
      <c r="C1018" s="1">
        <v>189.0</v>
      </c>
      <c r="D1018" s="1">
        <v>214400.0</v>
      </c>
      <c r="E1018" s="1">
        <v>1.128</v>
      </c>
      <c r="F1018" s="1">
        <v>29189.0</v>
      </c>
      <c r="G1018" s="1">
        <v>2.91892144E10</v>
      </c>
      <c r="H1018" s="1" t="s">
        <v>112</v>
      </c>
      <c r="I1018" s="1" t="s">
        <v>113</v>
      </c>
      <c r="J1018" s="1" t="s">
        <v>4566</v>
      </c>
      <c r="K1018" s="1" t="s">
        <v>4630</v>
      </c>
      <c r="L1018" s="1">
        <v>5082.0</v>
      </c>
      <c r="M1018" s="1">
        <v>5374.0</v>
      </c>
      <c r="N1018" s="1">
        <v>395.0</v>
      </c>
      <c r="O1018" s="1">
        <v>2324.0</v>
      </c>
      <c r="P1018" s="1">
        <v>2241.0</v>
      </c>
      <c r="Q1018" s="1">
        <v>139.0</v>
      </c>
      <c r="R1018" s="1">
        <v>2102.0</v>
      </c>
      <c r="S1018" s="1">
        <v>1075.0</v>
      </c>
      <c r="T1018" s="1">
        <v>457.0</v>
      </c>
      <c r="U1018" s="1">
        <v>296.0</v>
      </c>
      <c r="V1018" s="1">
        <v>281.0</v>
      </c>
      <c r="W1018" s="1">
        <v>18309.0</v>
      </c>
      <c r="X1018" s="1">
        <v>1836.0</v>
      </c>
      <c r="Y1018" s="1">
        <v>552.0</v>
      </c>
      <c r="Z1018" s="1">
        <v>227.0</v>
      </c>
      <c r="AA1018" s="1">
        <v>452.0</v>
      </c>
      <c r="AB1018" s="1">
        <v>1154.0</v>
      </c>
      <c r="AC1018" s="1">
        <v>330.0</v>
      </c>
      <c r="AD1018" s="1">
        <v>1640.0</v>
      </c>
      <c r="AE1018" s="1">
        <v>83.0</v>
      </c>
      <c r="AF1018" s="1">
        <v>383.0</v>
      </c>
      <c r="AG1018" s="1">
        <v>76.0</v>
      </c>
      <c r="AH1018" s="1">
        <v>61.0</v>
      </c>
      <c r="AI1018" s="1">
        <v>0.0</v>
      </c>
      <c r="AJ1018" s="1">
        <v>114.0</v>
      </c>
      <c r="AK1018" s="1">
        <v>15.0</v>
      </c>
      <c r="AL1018" s="1">
        <v>115.0</v>
      </c>
      <c r="AM1018" s="1">
        <v>180.0</v>
      </c>
      <c r="AN1018" s="1">
        <v>94.0</v>
      </c>
      <c r="AO1018" s="1">
        <v>37.0</v>
      </c>
      <c r="AP1018" s="1">
        <v>0.200372</v>
      </c>
      <c r="AQ1018" s="1">
        <v>0.083894</v>
      </c>
      <c r="AR1018" s="1">
        <v>0.100203</v>
      </c>
      <c r="AS1018" s="1">
        <v>0.09459</v>
      </c>
      <c r="AT1018" s="1">
        <v>18309.0</v>
      </c>
      <c r="AU1018" s="1">
        <v>1836.0</v>
      </c>
      <c r="AV1018" s="1">
        <v>0.166969</v>
      </c>
      <c r="AW1018" s="1">
        <v>0.068003</v>
      </c>
      <c r="AX1018" s="1">
        <v>0.088941</v>
      </c>
      <c r="AY1018" s="1">
        <v>0.227075</v>
      </c>
      <c r="AZ1018" s="1">
        <v>0.15699333</v>
      </c>
      <c r="BA1018" s="1">
        <v>0.322707</v>
      </c>
      <c r="BB1018" s="1">
        <v>0.016556</v>
      </c>
      <c r="BC1018" s="1">
        <v>0.07639</v>
      </c>
      <c r="BD1018" s="1">
        <v>0.033913</v>
      </c>
      <c r="BE1018" s="1">
        <v>0.027138</v>
      </c>
      <c r="BF1018" s="1">
        <v>0.0</v>
      </c>
      <c r="BG1018" s="1">
        <v>0.05087</v>
      </c>
      <c r="BH1018" s="1">
        <v>0.007235</v>
      </c>
      <c r="BI1018" s="1">
        <v>0.055473</v>
      </c>
      <c r="BJ1018" s="1">
        <v>0.08683</v>
      </c>
      <c r="BK1018" s="1">
        <v>0.045036</v>
      </c>
      <c r="BL1018" s="1">
        <v>0.00728</v>
      </c>
      <c r="BM1018" s="1">
        <v>0.733</v>
      </c>
      <c r="BN1018" s="1">
        <v>0.731</v>
      </c>
      <c r="BO1018" s="1">
        <v>0.7155</v>
      </c>
      <c r="BP1018" s="1">
        <v>0.643</v>
      </c>
      <c r="BQ1018" s="1">
        <v>2.8225</v>
      </c>
      <c r="BR1018" s="1">
        <v>0.7574</v>
      </c>
      <c r="BS1018" s="1">
        <v>0.152</v>
      </c>
      <c r="BT1018" s="1">
        <v>0.361</v>
      </c>
      <c r="BU1018" s="1">
        <v>0.817</v>
      </c>
      <c r="BV1018" s="1">
        <v>1.33</v>
      </c>
      <c r="BW1018" s="1">
        <v>0.328</v>
      </c>
      <c r="BX1018" s="1">
        <v>0.805</v>
      </c>
      <c r="BY1018" s="1">
        <v>0.831</v>
      </c>
      <c r="BZ1018" s="1">
        <v>1.636</v>
      </c>
      <c r="CA1018" s="1">
        <v>0.887</v>
      </c>
      <c r="CB1018" s="1">
        <v>0.571</v>
      </c>
      <c r="CC1018" s="1">
        <v>0.0</v>
      </c>
      <c r="CD1018" s="1">
        <v>0.4</v>
      </c>
      <c r="CE1018" s="1">
        <v>0.707</v>
      </c>
      <c r="CF1018" s="1">
        <v>0.542</v>
      </c>
      <c r="CG1018" s="1">
        <v>2.22</v>
      </c>
      <c r="CH1018" s="1">
        <v>0.424</v>
      </c>
      <c r="CI1018" s="1">
        <v>8.0085</v>
      </c>
      <c r="CJ1018" s="1">
        <v>0.7155</v>
      </c>
      <c r="CK1018" s="1">
        <v>0.0</v>
      </c>
      <c r="CL1018" s="1">
        <v>0.0</v>
      </c>
      <c r="CM1018" s="1">
        <v>0.0</v>
      </c>
      <c r="CN1018" s="1">
        <v>0.0</v>
      </c>
      <c r="CO1018" s="1">
        <v>0.0</v>
      </c>
      <c r="CP1018" s="1">
        <v>0.0</v>
      </c>
      <c r="CQ1018" s="1">
        <v>0.0</v>
      </c>
      <c r="CR1018" s="1">
        <v>0.0</v>
      </c>
      <c r="CS1018" s="1">
        <v>0.0</v>
      </c>
      <c r="CT1018" s="1">
        <v>0.0</v>
      </c>
      <c r="CU1018" s="1">
        <v>0.0</v>
      </c>
      <c r="CV1018" s="1">
        <v>0.0</v>
      </c>
      <c r="CW1018" s="1">
        <v>0.0</v>
      </c>
      <c r="CX1018" s="1">
        <v>0.0</v>
      </c>
      <c r="CY1018" s="1">
        <v>0.0</v>
      </c>
      <c r="CZ1018" s="1">
        <v>0.0</v>
      </c>
      <c r="DA1018" s="1">
        <v>0.0</v>
      </c>
      <c r="DB1018" s="1">
        <v>0.0</v>
      </c>
      <c r="DC1018" s="1">
        <v>0.0</v>
      </c>
      <c r="DD1018" s="1" t="s">
        <v>4631</v>
      </c>
      <c r="DE1018" s="1">
        <v>3.02057524523286E-4</v>
      </c>
      <c r="DF1018" s="1">
        <v>0.0823190249268918</v>
      </c>
    </row>
    <row r="1019" ht="15.75" customHeight="1">
      <c r="A1019" s="1" t="s">
        <v>4632</v>
      </c>
      <c r="B1019" s="1">
        <v>29.0</v>
      </c>
      <c r="C1019" s="1">
        <v>189.0</v>
      </c>
      <c r="D1019" s="1">
        <v>215004.0</v>
      </c>
      <c r="E1019" s="1">
        <v>1.042</v>
      </c>
      <c r="F1019" s="1">
        <v>29189.0</v>
      </c>
      <c r="G1019" s="1">
        <v>2.9189215004E10</v>
      </c>
      <c r="H1019" s="1" t="s">
        <v>112</v>
      </c>
      <c r="I1019" s="1" t="s">
        <v>113</v>
      </c>
      <c r="J1019" s="1" t="s">
        <v>4566</v>
      </c>
      <c r="K1019" s="1" t="s">
        <v>4633</v>
      </c>
      <c r="L1019" s="1">
        <v>2761.0</v>
      </c>
      <c r="M1019" s="1">
        <v>2619.0</v>
      </c>
      <c r="N1019" s="1">
        <v>272.0</v>
      </c>
      <c r="O1019" s="1">
        <v>1796.0</v>
      </c>
      <c r="P1019" s="1">
        <v>1692.0</v>
      </c>
      <c r="Q1019" s="1">
        <v>62.0</v>
      </c>
      <c r="R1019" s="1">
        <v>1554.0</v>
      </c>
      <c r="S1019" s="1">
        <v>353.0</v>
      </c>
      <c r="T1019" s="1">
        <v>136.0</v>
      </c>
      <c r="U1019" s="1">
        <v>99.0</v>
      </c>
      <c r="V1019" s="1">
        <v>460.0</v>
      </c>
      <c r="W1019" s="1">
        <v>32466.0</v>
      </c>
      <c r="X1019" s="1">
        <v>3922.0</v>
      </c>
      <c r="Y1019" s="1">
        <v>96.0</v>
      </c>
      <c r="Z1019" s="1">
        <v>368.0</v>
      </c>
      <c r="AA1019" s="1">
        <v>797.0</v>
      </c>
      <c r="AB1019" s="1">
        <v>375.0</v>
      </c>
      <c r="AC1019" s="1">
        <v>92.0</v>
      </c>
      <c r="AD1019" s="1">
        <v>803.0</v>
      </c>
      <c r="AE1019" s="1">
        <v>266.0</v>
      </c>
      <c r="AF1019" s="1">
        <v>415.0</v>
      </c>
      <c r="AG1019" s="1">
        <v>982.0</v>
      </c>
      <c r="AH1019" s="1">
        <v>179.0</v>
      </c>
      <c r="AI1019" s="1">
        <v>0.0</v>
      </c>
      <c r="AJ1019" s="1">
        <v>114.0</v>
      </c>
      <c r="AK1019" s="1">
        <v>0.0</v>
      </c>
      <c r="AL1019" s="1">
        <v>161.0</v>
      </c>
      <c r="AM1019" s="1">
        <v>286.0</v>
      </c>
      <c r="AN1019" s="1">
        <v>146.0</v>
      </c>
      <c r="AO1019" s="1">
        <v>2.0</v>
      </c>
      <c r="AP1019" s="1">
        <v>0.134784</v>
      </c>
      <c r="AQ1019" s="1">
        <v>0.050005</v>
      </c>
      <c r="AR1019" s="1">
        <v>0.071018</v>
      </c>
      <c r="AS1019" s="1">
        <v>0.32965</v>
      </c>
      <c r="AT1019" s="1">
        <v>32466.0</v>
      </c>
      <c r="AU1019" s="1">
        <v>3922.0</v>
      </c>
      <c r="AV1019" s="1">
        <v>0.046176</v>
      </c>
      <c r="AW1019" s="1">
        <v>0.176961</v>
      </c>
      <c r="AX1019" s="1">
        <v>0.288663</v>
      </c>
      <c r="AY1019" s="1">
        <v>0.13582</v>
      </c>
      <c r="AZ1019" s="1">
        <v>0.05920205</v>
      </c>
      <c r="BA1019" s="1">
        <v>0.290836</v>
      </c>
      <c r="BB1019" s="1">
        <v>0.106357</v>
      </c>
      <c r="BC1019" s="1">
        <v>0.165544</v>
      </c>
      <c r="BD1019" s="1">
        <v>0.580378</v>
      </c>
      <c r="BE1019" s="1">
        <v>0.103632</v>
      </c>
      <c r="BF1019" s="1">
        <v>0.0</v>
      </c>
      <c r="BG1019" s="1">
        <v>0.067375</v>
      </c>
      <c r="BH1019" s="1">
        <v>0.0</v>
      </c>
      <c r="BI1019" s="1">
        <v>0.106551</v>
      </c>
      <c r="BJ1019" s="1">
        <v>0.189278</v>
      </c>
      <c r="BK1019" s="1">
        <v>0.095263</v>
      </c>
      <c r="BL1019" s="1">
        <v>7.24E-4</v>
      </c>
      <c r="BM1019" s="1">
        <v>0.517</v>
      </c>
      <c r="BN1019" s="1">
        <v>0.523</v>
      </c>
      <c r="BO1019" s="1">
        <v>0.1495</v>
      </c>
      <c r="BP1019" s="1">
        <v>0.117</v>
      </c>
      <c r="BQ1019" s="1">
        <v>1.3065</v>
      </c>
      <c r="BR1019" s="1">
        <v>0.2816</v>
      </c>
      <c r="BS1019" s="1">
        <v>0.984</v>
      </c>
      <c r="BT1019" s="1">
        <v>0.05</v>
      </c>
      <c r="BU1019" s="1">
        <v>0.125</v>
      </c>
      <c r="BV1019" s="1">
        <v>1.159</v>
      </c>
      <c r="BW1019" s="1">
        <v>0.203</v>
      </c>
      <c r="BX1019" s="1">
        <v>0.784</v>
      </c>
      <c r="BY1019" s="1">
        <v>0.985</v>
      </c>
      <c r="BZ1019" s="1">
        <v>1.769</v>
      </c>
      <c r="CA1019" s="1">
        <v>0.951</v>
      </c>
      <c r="CB1019" s="1">
        <v>0.985</v>
      </c>
      <c r="CC1019" s="1">
        <v>0.0</v>
      </c>
      <c r="CD1019" s="1">
        <v>0.0</v>
      </c>
      <c r="CE1019" s="1">
        <v>0.899</v>
      </c>
      <c r="CF1019" s="1">
        <v>0.379</v>
      </c>
      <c r="CG1019" s="1">
        <v>2.263</v>
      </c>
      <c r="CH1019" s="1">
        <v>0.443</v>
      </c>
      <c r="CI1019" s="1">
        <v>6.4975</v>
      </c>
      <c r="CJ1019" s="1">
        <v>0.4592</v>
      </c>
      <c r="CK1019" s="1">
        <v>0.0</v>
      </c>
      <c r="CL1019" s="1">
        <v>0.0</v>
      </c>
      <c r="CM1019" s="1">
        <v>0.0</v>
      </c>
      <c r="CN1019" s="1">
        <v>0.0</v>
      </c>
      <c r="CO1019" s="1">
        <v>0.0</v>
      </c>
      <c r="CP1019" s="1">
        <v>1.0</v>
      </c>
      <c r="CQ1019" s="1">
        <v>0.0</v>
      </c>
      <c r="CR1019" s="1">
        <v>0.0</v>
      </c>
      <c r="CS1019" s="1">
        <v>1.0</v>
      </c>
      <c r="CT1019" s="1">
        <v>0.0</v>
      </c>
      <c r="CU1019" s="1">
        <v>1.0</v>
      </c>
      <c r="CV1019" s="1">
        <v>1.0</v>
      </c>
      <c r="CW1019" s="1">
        <v>1.0</v>
      </c>
      <c r="CX1019" s="1">
        <v>0.0</v>
      </c>
      <c r="CY1019" s="1">
        <v>0.0</v>
      </c>
      <c r="CZ1019" s="1">
        <v>0.0</v>
      </c>
      <c r="DA1019" s="1">
        <v>0.0</v>
      </c>
      <c r="DB1019" s="1">
        <v>1.0</v>
      </c>
      <c r="DC1019" s="1">
        <v>3.0</v>
      </c>
      <c r="DD1019" s="1" t="s">
        <v>4634</v>
      </c>
      <c r="DE1019" s="1">
        <v>2.782265677596E-4</v>
      </c>
      <c r="DF1019" s="1">
        <v>0.0790354666020276</v>
      </c>
    </row>
    <row r="1020" ht="15.75" customHeight="1">
      <c r="A1020" s="1" t="s">
        <v>4635</v>
      </c>
      <c r="B1020" s="1">
        <v>29.0</v>
      </c>
      <c r="C1020" s="1">
        <v>189.0</v>
      </c>
      <c r="D1020" s="1">
        <v>215144.0</v>
      </c>
      <c r="E1020" s="1">
        <v>2.228</v>
      </c>
      <c r="F1020" s="1">
        <v>29189.0</v>
      </c>
      <c r="G1020" s="1">
        <v>2.9189215144E10</v>
      </c>
      <c r="H1020" s="1" t="s">
        <v>112</v>
      </c>
      <c r="I1020" s="1" t="s">
        <v>113</v>
      </c>
      <c r="J1020" s="1" t="s">
        <v>4566</v>
      </c>
      <c r="K1020" s="1" t="s">
        <v>4636</v>
      </c>
      <c r="L1020" s="1">
        <v>5727.0</v>
      </c>
      <c r="M1020" s="1">
        <v>6097.0</v>
      </c>
      <c r="N1020" s="1">
        <v>394.0</v>
      </c>
      <c r="O1020" s="1">
        <v>2770.0</v>
      </c>
      <c r="P1020" s="1">
        <v>2881.0</v>
      </c>
      <c r="Q1020" s="1">
        <v>101.0</v>
      </c>
      <c r="R1020" s="1">
        <v>2592.0</v>
      </c>
      <c r="S1020" s="1">
        <v>548.0</v>
      </c>
      <c r="T1020" s="1">
        <v>317.0</v>
      </c>
      <c r="U1020" s="1">
        <v>191.0</v>
      </c>
      <c r="V1020" s="1">
        <v>441.0</v>
      </c>
      <c r="W1020" s="1">
        <v>32501.0</v>
      </c>
      <c r="X1020" s="1">
        <v>3270.0</v>
      </c>
      <c r="Y1020" s="1">
        <v>311.0</v>
      </c>
      <c r="Z1020" s="1">
        <v>353.0</v>
      </c>
      <c r="AA1020" s="1">
        <v>648.0</v>
      </c>
      <c r="AB1020" s="1">
        <v>1165.0</v>
      </c>
      <c r="AC1020" s="1">
        <v>202.0</v>
      </c>
      <c r="AD1020" s="1">
        <v>1165.0</v>
      </c>
      <c r="AE1020" s="1">
        <v>293.0</v>
      </c>
      <c r="AF1020" s="1">
        <v>447.0</v>
      </c>
      <c r="AG1020" s="1">
        <v>381.0</v>
      </c>
      <c r="AH1020" s="1">
        <v>136.0</v>
      </c>
      <c r="AI1020" s="1">
        <v>0.0</v>
      </c>
      <c r="AJ1020" s="1">
        <v>114.0</v>
      </c>
      <c r="AK1020" s="1">
        <v>36.0</v>
      </c>
      <c r="AL1020" s="1">
        <v>127.0</v>
      </c>
      <c r="AM1020" s="1">
        <v>42.0</v>
      </c>
      <c r="AN1020" s="1">
        <v>120.0</v>
      </c>
      <c r="AO1020" s="1">
        <v>0.0</v>
      </c>
      <c r="AP1020" s="1">
        <v>0.08988</v>
      </c>
      <c r="AQ1020" s="1">
        <v>0.051667</v>
      </c>
      <c r="AR1020" s="1">
        <v>0.055507</v>
      </c>
      <c r="AS1020" s="1">
        <v>0.128006</v>
      </c>
      <c r="AT1020" s="1">
        <v>32501.0</v>
      </c>
      <c r="AU1020" s="1">
        <v>3270.0</v>
      </c>
      <c r="AV1020" s="1">
        <v>0.074012</v>
      </c>
      <c r="AW1020" s="1">
        <v>0.08386</v>
      </c>
      <c r="AX1020" s="1">
        <v>0.113148</v>
      </c>
      <c r="AY1020" s="1">
        <v>0.203422</v>
      </c>
      <c r="AZ1020" s="1">
        <v>0.07793209</v>
      </c>
      <c r="BA1020" s="1">
        <v>0.203422</v>
      </c>
      <c r="BB1020" s="1">
        <v>0.050517</v>
      </c>
      <c r="BC1020" s="1">
        <v>0.077016</v>
      </c>
      <c r="BD1020" s="1">
        <v>0.132245</v>
      </c>
      <c r="BE1020" s="1">
        <v>0.046977</v>
      </c>
      <c r="BF1020" s="1">
        <v>0.0</v>
      </c>
      <c r="BG1020" s="1">
        <v>0.039569</v>
      </c>
      <c r="BH1020" s="1">
        <v>0.012949</v>
      </c>
      <c r="BI1020" s="1">
        <v>0.045679</v>
      </c>
      <c r="BJ1020" s="1">
        <v>0.015107</v>
      </c>
      <c r="BK1020" s="1">
        <v>0.043159</v>
      </c>
      <c r="BL1020" s="1">
        <v>0.0</v>
      </c>
      <c r="BM1020" s="1">
        <v>0.336</v>
      </c>
      <c r="BN1020" s="1">
        <v>0.356</v>
      </c>
      <c r="BO1020" s="1">
        <v>0.148</v>
      </c>
      <c r="BP1020" s="1">
        <v>0.218</v>
      </c>
      <c r="BQ1020" s="1">
        <v>1.058</v>
      </c>
      <c r="BR1020" s="1">
        <v>0.2173</v>
      </c>
      <c r="BS1020" s="1">
        <v>0.295</v>
      </c>
      <c r="BT1020" s="1">
        <v>0.205</v>
      </c>
      <c r="BU1020" s="1">
        <v>0.282</v>
      </c>
      <c r="BV1020" s="1">
        <v>0.782</v>
      </c>
      <c r="BW1020" s="1">
        <v>0.074</v>
      </c>
      <c r="BX1020" s="1">
        <v>0.712</v>
      </c>
      <c r="BY1020" s="1">
        <v>0.96</v>
      </c>
      <c r="BZ1020" s="1">
        <v>1.672</v>
      </c>
      <c r="CA1020" s="1">
        <v>0.907</v>
      </c>
      <c r="CB1020" s="1">
        <v>0.815</v>
      </c>
      <c r="CC1020" s="1">
        <v>0.0</v>
      </c>
      <c r="CD1020" s="1">
        <v>0.546</v>
      </c>
      <c r="CE1020" s="1">
        <v>0.135</v>
      </c>
      <c r="CF1020" s="1">
        <v>0.0</v>
      </c>
      <c r="CG1020" s="1">
        <v>1.496</v>
      </c>
      <c r="CH1020" s="1">
        <v>0.174</v>
      </c>
      <c r="CI1020" s="1">
        <v>5.008</v>
      </c>
      <c r="CJ1020" s="1">
        <v>0.2036</v>
      </c>
      <c r="CK1020" s="1">
        <v>0.0</v>
      </c>
      <c r="CL1020" s="1">
        <v>0.0</v>
      </c>
      <c r="CM1020" s="1">
        <v>0.0</v>
      </c>
      <c r="CN1020" s="1">
        <v>0.0</v>
      </c>
      <c r="CO1020" s="1">
        <v>0.0</v>
      </c>
      <c r="CP1020" s="1">
        <v>0.0</v>
      </c>
      <c r="CQ1020" s="1">
        <v>0.0</v>
      </c>
      <c r="CR1020" s="1">
        <v>0.0</v>
      </c>
      <c r="CS1020" s="1">
        <v>0.0</v>
      </c>
      <c r="CT1020" s="1">
        <v>0.0</v>
      </c>
      <c r="CU1020" s="1">
        <v>1.0</v>
      </c>
      <c r="CV1020" s="1">
        <v>1.0</v>
      </c>
      <c r="CW1020" s="1">
        <v>0.0</v>
      </c>
      <c r="CX1020" s="1">
        <v>0.0</v>
      </c>
      <c r="CY1020" s="1">
        <v>0.0</v>
      </c>
      <c r="CZ1020" s="1">
        <v>0.0</v>
      </c>
      <c r="DA1020" s="1">
        <v>0.0</v>
      </c>
      <c r="DB1020" s="1">
        <v>0.0</v>
      </c>
      <c r="DC1020" s="1">
        <v>1.0</v>
      </c>
      <c r="DD1020" s="1" t="s">
        <v>4637</v>
      </c>
      <c r="DE1020" s="1">
        <v>5.98321209542556E-4</v>
      </c>
      <c r="DF1020" s="2" t="s">
        <v>4638</v>
      </c>
    </row>
    <row r="1021" ht="15.75" customHeight="1">
      <c r="A1021" s="1" t="s">
        <v>4639</v>
      </c>
      <c r="B1021" s="1">
        <v>29.0</v>
      </c>
      <c r="C1021" s="1">
        <v>189.0</v>
      </c>
      <c r="D1021" s="1">
        <v>215301.0</v>
      </c>
      <c r="E1021" s="1">
        <v>2.502</v>
      </c>
      <c r="F1021" s="1">
        <v>29189.0</v>
      </c>
      <c r="G1021" s="1">
        <v>2.9189215301E10</v>
      </c>
      <c r="H1021" s="1" t="s">
        <v>112</v>
      </c>
      <c r="I1021" s="1" t="s">
        <v>113</v>
      </c>
      <c r="J1021" s="1" t="s">
        <v>4566</v>
      </c>
      <c r="K1021" s="1" t="s">
        <v>4640</v>
      </c>
      <c r="L1021" s="1">
        <v>4264.0</v>
      </c>
      <c r="M1021" s="1">
        <v>4367.0</v>
      </c>
      <c r="N1021" s="1">
        <v>288.0</v>
      </c>
      <c r="O1021" s="1">
        <v>2101.0</v>
      </c>
      <c r="P1021" s="1">
        <v>2004.0</v>
      </c>
      <c r="Q1021" s="1">
        <v>100.0</v>
      </c>
      <c r="R1021" s="1">
        <v>1892.0</v>
      </c>
      <c r="S1021" s="1">
        <v>278.0</v>
      </c>
      <c r="T1021" s="1">
        <v>213.0</v>
      </c>
      <c r="U1021" s="1">
        <v>54.0</v>
      </c>
      <c r="V1021" s="1">
        <v>458.0</v>
      </c>
      <c r="W1021" s="1">
        <v>65291.0</v>
      </c>
      <c r="X1021" s="1">
        <v>7361.0</v>
      </c>
      <c r="Y1021" s="1">
        <v>72.0</v>
      </c>
      <c r="Z1021" s="1">
        <v>380.0</v>
      </c>
      <c r="AA1021" s="1">
        <v>1045.0</v>
      </c>
      <c r="AB1021" s="1">
        <v>946.0</v>
      </c>
      <c r="AC1021" s="1">
        <v>74.0</v>
      </c>
      <c r="AD1021" s="1">
        <v>684.0</v>
      </c>
      <c r="AE1021" s="1">
        <v>26.0</v>
      </c>
      <c r="AF1021" s="1">
        <v>427.0</v>
      </c>
      <c r="AG1021" s="1">
        <v>489.0</v>
      </c>
      <c r="AH1021" s="1">
        <v>108.0</v>
      </c>
      <c r="AI1021" s="1">
        <v>0.0</v>
      </c>
      <c r="AJ1021" s="1">
        <v>114.0</v>
      </c>
      <c r="AK1021" s="1">
        <v>0.0</v>
      </c>
      <c r="AL1021" s="1">
        <v>161.0</v>
      </c>
      <c r="AM1021" s="1">
        <v>30.0</v>
      </c>
      <c r="AN1021" s="1">
        <v>28.0</v>
      </c>
      <c r="AO1021" s="1">
        <v>0.0</v>
      </c>
      <c r="AP1021" s="1">
        <v>0.063659</v>
      </c>
      <c r="AQ1021" s="1">
        <v>0.048593</v>
      </c>
      <c r="AR1021" s="1">
        <v>0.032786</v>
      </c>
      <c r="AS1021" s="1">
        <v>0.278035</v>
      </c>
      <c r="AT1021" s="1">
        <v>65291.0</v>
      </c>
      <c r="AU1021" s="1">
        <v>7361.0</v>
      </c>
      <c r="AV1021" s="1">
        <v>0.023754</v>
      </c>
      <c r="AW1021" s="1">
        <v>0.125362</v>
      </c>
      <c r="AX1021" s="1">
        <v>0.245075</v>
      </c>
      <c r="AY1021" s="1">
        <v>0.221857</v>
      </c>
      <c r="AZ1021" s="1">
        <v>0.03911205</v>
      </c>
      <c r="BA1021" s="1">
        <v>0.160412</v>
      </c>
      <c r="BB1021" s="1">
        <v>0.006336</v>
      </c>
      <c r="BC1021" s="1">
        <v>0.104069</v>
      </c>
      <c r="BD1021" s="1">
        <v>0.244011</v>
      </c>
      <c r="BE1021" s="1">
        <v>0.052498</v>
      </c>
      <c r="BF1021" s="1">
        <v>0.0</v>
      </c>
      <c r="BG1021" s="1">
        <v>0.056886</v>
      </c>
      <c r="BH1021" s="1">
        <v>0.0</v>
      </c>
      <c r="BI1021" s="1">
        <v>0.087642</v>
      </c>
      <c r="BJ1021" s="1">
        <v>0.01633</v>
      </c>
      <c r="BK1021" s="1">
        <v>0.015204</v>
      </c>
      <c r="BL1021" s="1">
        <v>0.0</v>
      </c>
      <c r="BM1021" s="1">
        <v>0.219</v>
      </c>
      <c r="BN1021" s="1">
        <v>0.111</v>
      </c>
      <c r="BO1021" s="1">
        <v>0.0079</v>
      </c>
      <c r="BP1021" s="1">
        <v>0.042</v>
      </c>
      <c r="BQ1021" s="1">
        <v>0.3799</v>
      </c>
      <c r="BR1021" s="1">
        <v>0.0347</v>
      </c>
      <c r="BS1021" s="1">
        <v>0.965</v>
      </c>
      <c r="BT1021" s="1">
        <v>0.315</v>
      </c>
      <c r="BU1021" s="1">
        <v>0.035</v>
      </c>
      <c r="BV1021" s="1">
        <v>1.315</v>
      </c>
      <c r="BW1021" s="1">
        <v>0.316</v>
      </c>
      <c r="BX1021" s="1">
        <v>0.651</v>
      </c>
      <c r="BY1021" s="1">
        <v>0.612</v>
      </c>
      <c r="BZ1021" s="1">
        <v>1.263</v>
      </c>
      <c r="CA1021" s="1">
        <v>0.69</v>
      </c>
      <c r="CB1021" s="1">
        <v>0.917</v>
      </c>
      <c r="CC1021" s="1">
        <v>0.0</v>
      </c>
      <c r="CD1021" s="1">
        <v>0.0</v>
      </c>
      <c r="CE1021" s="1">
        <v>0.145</v>
      </c>
      <c r="CF1021" s="1">
        <v>0.0</v>
      </c>
      <c r="CG1021" s="1">
        <v>1.062</v>
      </c>
      <c r="CH1021" s="1">
        <v>0.088</v>
      </c>
      <c r="CI1021" s="1">
        <v>4.0199</v>
      </c>
      <c r="CJ1021" s="1">
        <v>0.0888</v>
      </c>
      <c r="CK1021" s="1">
        <v>0.0</v>
      </c>
      <c r="CL1021" s="1">
        <v>0.0</v>
      </c>
      <c r="CM1021" s="1">
        <v>0.0</v>
      </c>
      <c r="CN1021" s="1">
        <v>0.0</v>
      </c>
      <c r="CO1021" s="1">
        <v>0.0</v>
      </c>
      <c r="CP1021" s="1">
        <v>1.0</v>
      </c>
      <c r="CQ1021" s="1">
        <v>0.0</v>
      </c>
      <c r="CR1021" s="1">
        <v>0.0</v>
      </c>
      <c r="CS1021" s="1">
        <v>1.0</v>
      </c>
      <c r="CT1021" s="1">
        <v>0.0</v>
      </c>
      <c r="CU1021" s="1">
        <v>0.0</v>
      </c>
      <c r="CV1021" s="1">
        <v>0.0</v>
      </c>
      <c r="CW1021" s="1">
        <v>1.0</v>
      </c>
      <c r="CX1021" s="1">
        <v>0.0</v>
      </c>
      <c r="CY1021" s="1">
        <v>0.0</v>
      </c>
      <c r="CZ1021" s="1">
        <v>0.0</v>
      </c>
      <c r="DA1021" s="1">
        <v>0.0</v>
      </c>
      <c r="DB1021" s="1">
        <v>1.0</v>
      </c>
      <c r="DC1021" s="1">
        <v>2.0</v>
      </c>
      <c r="DD1021" s="1" t="s">
        <v>4641</v>
      </c>
      <c r="DE1021" s="1">
        <v>6.70933933166359E-4</v>
      </c>
      <c r="DF1021" s="2" t="s">
        <v>4642</v>
      </c>
    </row>
    <row r="1022" ht="15.75" customHeight="1">
      <c r="A1022" s="1" t="s">
        <v>4643</v>
      </c>
      <c r="B1022" s="1">
        <v>29.0</v>
      </c>
      <c r="C1022" s="1">
        <v>189.0</v>
      </c>
      <c r="D1022" s="1">
        <v>216000.0</v>
      </c>
      <c r="E1022" s="1">
        <v>0.266</v>
      </c>
      <c r="F1022" s="1">
        <v>29189.0</v>
      </c>
      <c r="G1022" s="1">
        <v>2.9189216E10</v>
      </c>
      <c r="H1022" s="1" t="s">
        <v>112</v>
      </c>
      <c r="I1022" s="1" t="s">
        <v>113</v>
      </c>
      <c r="J1022" s="1" t="s">
        <v>4566</v>
      </c>
      <c r="K1022" s="1" t="s">
        <v>4644</v>
      </c>
      <c r="L1022" s="1">
        <v>1753.0</v>
      </c>
      <c r="M1022" s="1">
        <v>2038.0</v>
      </c>
      <c r="N1022" s="1">
        <v>379.0</v>
      </c>
      <c r="O1022" s="1">
        <v>781.0</v>
      </c>
      <c r="P1022" s="1">
        <v>840.0</v>
      </c>
      <c r="Q1022" s="1">
        <v>42.0</v>
      </c>
      <c r="R1022" s="1">
        <v>678.0</v>
      </c>
      <c r="S1022" s="1">
        <v>591.0</v>
      </c>
      <c r="T1022" s="1">
        <v>328.0</v>
      </c>
      <c r="U1022" s="1">
        <v>225.0</v>
      </c>
      <c r="V1022" s="1">
        <v>453.0</v>
      </c>
      <c r="W1022" s="1">
        <v>13791.0</v>
      </c>
      <c r="X1022" s="1">
        <v>3452.0</v>
      </c>
      <c r="Y1022" s="1">
        <v>404.0</v>
      </c>
      <c r="Z1022" s="1">
        <v>307.0</v>
      </c>
      <c r="AA1022" s="1">
        <v>225.0</v>
      </c>
      <c r="AB1022" s="1">
        <v>474.0</v>
      </c>
      <c r="AC1022" s="1">
        <v>175.0</v>
      </c>
      <c r="AD1022" s="1">
        <v>1586.0</v>
      </c>
      <c r="AE1022" s="1">
        <v>0.0</v>
      </c>
      <c r="AF1022" s="1">
        <v>456.0</v>
      </c>
      <c r="AG1022" s="1">
        <v>0.0</v>
      </c>
      <c r="AH1022" s="1">
        <v>197.0</v>
      </c>
      <c r="AI1022" s="1">
        <v>0.0</v>
      </c>
      <c r="AJ1022" s="1">
        <v>114.0</v>
      </c>
      <c r="AK1022" s="1">
        <v>61.0</v>
      </c>
      <c r="AL1022" s="1">
        <v>134.0</v>
      </c>
      <c r="AM1022" s="1">
        <v>177.0</v>
      </c>
      <c r="AN1022" s="1">
        <v>94.0</v>
      </c>
      <c r="AO1022" s="1">
        <v>0.0</v>
      </c>
      <c r="AP1022" s="1">
        <v>0.28999</v>
      </c>
      <c r="AQ1022" s="1">
        <v>0.151637</v>
      </c>
      <c r="AR1022" s="1">
        <v>0.24377</v>
      </c>
      <c r="AS1022" s="1">
        <v>0.485066</v>
      </c>
      <c r="AT1022" s="1">
        <v>13791.0</v>
      </c>
      <c r="AU1022" s="1">
        <v>3452.0</v>
      </c>
      <c r="AV1022" s="1">
        <v>0.334714</v>
      </c>
      <c r="AW1022" s="1">
        <v>0.248832</v>
      </c>
      <c r="AX1022" s="1">
        <v>0.128351</v>
      </c>
      <c r="AY1022" s="1">
        <v>0.270393</v>
      </c>
      <c r="AZ1022" s="1">
        <v>0.25811209</v>
      </c>
      <c r="BA1022" s="1">
        <v>0.904734</v>
      </c>
      <c r="BB1022" s="1">
        <v>0.0</v>
      </c>
      <c r="BC1022" s="1">
        <v>0.24076</v>
      </c>
      <c r="BD1022" s="1">
        <v>0.0</v>
      </c>
      <c r="BE1022" s="1">
        <v>0.234523</v>
      </c>
      <c r="BF1022" s="1">
        <v>0.0</v>
      </c>
      <c r="BG1022" s="1">
        <v>0.135714</v>
      </c>
      <c r="BH1022" s="1">
        <v>0.092987</v>
      </c>
      <c r="BI1022" s="1">
        <v>0.203945</v>
      </c>
      <c r="BJ1022" s="1">
        <v>0.269817</v>
      </c>
      <c r="BK1022" s="1">
        <v>0.139365</v>
      </c>
      <c r="BL1022" s="1">
        <v>0.0</v>
      </c>
      <c r="BM1022" s="1">
        <v>0.873</v>
      </c>
      <c r="BN1022" s="1">
        <v>0.974</v>
      </c>
      <c r="BO1022" s="1">
        <v>0.9177</v>
      </c>
      <c r="BP1022" s="1">
        <v>0.969</v>
      </c>
      <c r="BQ1022" s="1">
        <v>3.7337</v>
      </c>
      <c r="BR1022" s="1">
        <v>0.9675</v>
      </c>
      <c r="BS1022" s="1">
        <v>0.402</v>
      </c>
      <c r="BT1022" s="1">
        <v>0.791</v>
      </c>
      <c r="BU1022" s="1">
        <v>0.953</v>
      </c>
      <c r="BV1022" s="1">
        <v>2.146</v>
      </c>
      <c r="BW1022" s="1">
        <v>0.946</v>
      </c>
      <c r="BX1022" s="1">
        <v>0.943</v>
      </c>
      <c r="BY1022" s="1">
        <v>0.0</v>
      </c>
      <c r="BZ1022" s="1">
        <v>0.943</v>
      </c>
      <c r="CA1022" s="1">
        <v>0.504</v>
      </c>
      <c r="CB1022" s="1">
        <v>0.0</v>
      </c>
      <c r="CC1022" s="1">
        <v>0.0</v>
      </c>
      <c r="CD1022" s="1">
        <v>0.993</v>
      </c>
      <c r="CE1022" s="1">
        <v>0.954</v>
      </c>
      <c r="CF1022" s="1">
        <v>0.0</v>
      </c>
      <c r="CG1022" s="1">
        <v>1.947</v>
      </c>
      <c r="CH1022" s="1">
        <v>0.323</v>
      </c>
      <c r="CI1022" s="1">
        <v>8.7697</v>
      </c>
      <c r="CJ1022" s="1">
        <v>0.8217</v>
      </c>
      <c r="CK1022" s="1">
        <v>0.0</v>
      </c>
      <c r="CL1022" s="1">
        <v>1.0</v>
      </c>
      <c r="CM1022" s="1">
        <v>1.0</v>
      </c>
      <c r="CN1022" s="1">
        <v>1.0</v>
      </c>
      <c r="CO1022" s="1">
        <v>3.0</v>
      </c>
      <c r="CP1022" s="1">
        <v>0.0</v>
      </c>
      <c r="CQ1022" s="1">
        <v>0.0</v>
      </c>
      <c r="CR1022" s="1">
        <v>1.0</v>
      </c>
      <c r="CS1022" s="1">
        <v>1.0</v>
      </c>
      <c r="CT1022" s="1">
        <v>1.0</v>
      </c>
      <c r="CU1022" s="1">
        <v>0.0</v>
      </c>
      <c r="CV1022" s="1">
        <v>1.0</v>
      </c>
      <c r="CW1022" s="1">
        <v>0.0</v>
      </c>
      <c r="CX1022" s="1">
        <v>0.0</v>
      </c>
      <c r="CY1022" s="1">
        <v>1.0</v>
      </c>
      <c r="CZ1022" s="1">
        <v>1.0</v>
      </c>
      <c r="DA1022" s="1">
        <v>0.0</v>
      </c>
      <c r="DB1022" s="1">
        <v>2.0</v>
      </c>
      <c r="DC1022" s="1">
        <v>7.0</v>
      </c>
      <c r="DD1022" s="1" t="s">
        <v>4645</v>
      </c>
      <c r="DE1022" s="2" t="s">
        <v>4646</v>
      </c>
      <c r="DF1022" s="1">
        <v>0.0404629163576686</v>
      </c>
    </row>
    <row r="1023" ht="15.75" customHeight="1">
      <c r="A1023" s="1" t="s">
        <v>4647</v>
      </c>
      <c r="B1023" s="1">
        <v>29.0</v>
      </c>
      <c r="C1023" s="1">
        <v>189.0</v>
      </c>
      <c r="D1023" s="1">
        <v>216700.0</v>
      </c>
      <c r="E1023" s="1">
        <v>0.77</v>
      </c>
      <c r="F1023" s="1">
        <v>29189.0</v>
      </c>
      <c r="G1023" s="1">
        <v>2.91892167E10</v>
      </c>
      <c r="H1023" s="1" t="s">
        <v>112</v>
      </c>
      <c r="I1023" s="1" t="s">
        <v>113</v>
      </c>
      <c r="J1023" s="1" t="s">
        <v>4566</v>
      </c>
      <c r="K1023" s="1" t="s">
        <v>4648</v>
      </c>
      <c r="L1023" s="1">
        <v>3512.0</v>
      </c>
      <c r="M1023" s="1">
        <v>3870.0</v>
      </c>
      <c r="N1023" s="1">
        <v>341.0</v>
      </c>
      <c r="O1023" s="1">
        <v>1968.0</v>
      </c>
      <c r="P1023" s="1">
        <v>1872.0</v>
      </c>
      <c r="Q1023" s="1">
        <v>150.0</v>
      </c>
      <c r="R1023" s="1">
        <v>1783.0</v>
      </c>
      <c r="S1023" s="1">
        <v>233.0</v>
      </c>
      <c r="T1023" s="1">
        <v>105.0</v>
      </c>
      <c r="U1023" s="1">
        <v>105.0</v>
      </c>
      <c r="V1023" s="1">
        <v>448.0</v>
      </c>
      <c r="W1023" s="1">
        <v>38602.0</v>
      </c>
      <c r="X1023" s="1">
        <v>7914.0</v>
      </c>
      <c r="Y1023" s="1">
        <v>314.0</v>
      </c>
      <c r="Z1023" s="1">
        <v>307.0</v>
      </c>
      <c r="AA1023" s="1">
        <v>498.0</v>
      </c>
      <c r="AB1023" s="1">
        <v>566.0</v>
      </c>
      <c r="AC1023" s="1">
        <v>122.0</v>
      </c>
      <c r="AD1023" s="1">
        <v>1046.0</v>
      </c>
      <c r="AE1023" s="1">
        <v>8.0</v>
      </c>
      <c r="AF1023" s="1">
        <v>442.0</v>
      </c>
      <c r="AG1023" s="1">
        <v>67.0</v>
      </c>
      <c r="AH1023" s="1">
        <v>123.0</v>
      </c>
      <c r="AI1023" s="1">
        <v>0.0</v>
      </c>
      <c r="AJ1023" s="1">
        <v>114.0</v>
      </c>
      <c r="AK1023" s="1">
        <v>34.0</v>
      </c>
      <c r="AL1023" s="1">
        <v>119.0</v>
      </c>
      <c r="AM1023" s="1">
        <v>174.0</v>
      </c>
      <c r="AN1023" s="1">
        <v>94.0</v>
      </c>
      <c r="AO1023" s="1">
        <v>1.0</v>
      </c>
      <c r="AP1023" s="1">
        <v>0.066571</v>
      </c>
      <c r="AQ1023" s="1">
        <v>0.02954</v>
      </c>
      <c r="AR1023" s="1">
        <v>0.050529</v>
      </c>
      <c r="AS1023" s="1">
        <v>0.215478</v>
      </c>
      <c r="AT1023" s="1">
        <v>38602.0</v>
      </c>
      <c r="AU1023" s="1">
        <v>7914.0</v>
      </c>
      <c r="AV1023" s="1">
        <v>0.11303</v>
      </c>
      <c r="AW1023" s="1">
        <v>0.109579</v>
      </c>
      <c r="AX1023" s="1">
        <v>0.141799</v>
      </c>
      <c r="AY1023" s="1">
        <v>0.161161</v>
      </c>
      <c r="AZ1023" s="1">
        <v>0.068424</v>
      </c>
      <c r="BA1023" s="1">
        <v>0.297835</v>
      </c>
      <c r="BB1023" s="1">
        <v>0.002135</v>
      </c>
      <c r="BC1023" s="1">
        <v>0.117992</v>
      </c>
      <c r="BD1023" s="1">
        <v>0.03579</v>
      </c>
      <c r="BE1023" s="1">
        <v>0.065642</v>
      </c>
      <c r="BF1023" s="1">
        <v>0.0</v>
      </c>
      <c r="BG1023" s="1">
        <v>0.060897</v>
      </c>
      <c r="BH1023" s="1">
        <v>0.01945</v>
      </c>
      <c r="BI1023" s="1">
        <v>0.068059</v>
      </c>
      <c r="BJ1023" s="1">
        <v>0.099542</v>
      </c>
      <c r="BK1023" s="1">
        <v>0.053172</v>
      </c>
      <c r="BL1023" s="1">
        <v>2.84E-4</v>
      </c>
      <c r="BM1023" s="1">
        <v>0.233</v>
      </c>
      <c r="BN1023" s="1">
        <v>0.294</v>
      </c>
      <c r="BO1023" s="1">
        <v>0.0809</v>
      </c>
      <c r="BP1023" s="1">
        <v>0.393</v>
      </c>
      <c r="BQ1023" s="1">
        <v>1.0009</v>
      </c>
      <c r="BR1023" s="1">
        <v>0.2029</v>
      </c>
      <c r="BS1023" s="1">
        <v>0.512</v>
      </c>
      <c r="BT1023" s="1">
        <v>0.083</v>
      </c>
      <c r="BU1023" s="1">
        <v>0.201</v>
      </c>
      <c r="BV1023" s="1">
        <v>0.796</v>
      </c>
      <c r="BW1023" s="1">
        <v>0.076</v>
      </c>
      <c r="BX1023" s="1">
        <v>0.786</v>
      </c>
      <c r="BY1023" s="1">
        <v>0.387</v>
      </c>
      <c r="BZ1023" s="1">
        <v>1.173</v>
      </c>
      <c r="CA1023" s="1">
        <v>0.646</v>
      </c>
      <c r="CB1023" s="1">
        <v>0.585</v>
      </c>
      <c r="CC1023" s="1">
        <v>0.0</v>
      </c>
      <c r="CD1023" s="1">
        <v>0.671</v>
      </c>
      <c r="CE1023" s="1">
        <v>0.753</v>
      </c>
      <c r="CF1023" s="1">
        <v>0.351</v>
      </c>
      <c r="CG1023" s="1">
        <v>2.36</v>
      </c>
      <c r="CH1023" s="1">
        <v>0.489</v>
      </c>
      <c r="CI1023" s="1">
        <v>5.3299</v>
      </c>
      <c r="CJ1023" s="1">
        <v>0.2505</v>
      </c>
      <c r="CK1023" s="1">
        <v>0.0</v>
      </c>
      <c r="CL1023" s="1">
        <v>0.0</v>
      </c>
      <c r="CM1023" s="1">
        <v>0.0</v>
      </c>
      <c r="CN1023" s="1">
        <v>0.0</v>
      </c>
      <c r="CO1023" s="1">
        <v>0.0</v>
      </c>
      <c r="CP1023" s="1">
        <v>0.0</v>
      </c>
      <c r="CQ1023" s="1">
        <v>0.0</v>
      </c>
      <c r="CR1023" s="1">
        <v>0.0</v>
      </c>
      <c r="CS1023" s="1">
        <v>0.0</v>
      </c>
      <c r="CT1023" s="1">
        <v>0.0</v>
      </c>
      <c r="CU1023" s="1">
        <v>0.0</v>
      </c>
      <c r="CV1023" s="1">
        <v>0.0</v>
      </c>
      <c r="CW1023" s="1">
        <v>0.0</v>
      </c>
      <c r="CX1023" s="1">
        <v>0.0</v>
      </c>
      <c r="CY1023" s="1">
        <v>0.0</v>
      </c>
      <c r="CZ1023" s="1">
        <v>0.0</v>
      </c>
      <c r="DA1023" s="1">
        <v>0.0</v>
      </c>
      <c r="DB1023" s="1">
        <v>0.0</v>
      </c>
      <c r="DC1023" s="1">
        <v>0.0</v>
      </c>
      <c r="DD1023" s="1" t="s">
        <v>4649</v>
      </c>
      <c r="DE1023" s="1">
        <v>2.05384238957134E-4</v>
      </c>
      <c r="DF1023" s="1">
        <v>0.0582015040498989</v>
      </c>
    </row>
    <row r="1024" ht="15.75" customHeight="1">
      <c r="A1024" s="1" t="s">
        <v>4650</v>
      </c>
      <c r="B1024" s="1">
        <v>29.0</v>
      </c>
      <c r="C1024" s="1">
        <v>189.0</v>
      </c>
      <c r="D1024" s="1">
        <v>217200.0</v>
      </c>
      <c r="E1024" s="1">
        <v>0.446</v>
      </c>
      <c r="F1024" s="1">
        <v>29189.0</v>
      </c>
      <c r="G1024" s="1">
        <v>2.91892172E10</v>
      </c>
      <c r="H1024" s="1" t="s">
        <v>112</v>
      </c>
      <c r="I1024" s="1" t="s">
        <v>113</v>
      </c>
      <c r="J1024" s="1" t="s">
        <v>4566</v>
      </c>
      <c r="K1024" s="1" t="s">
        <v>4651</v>
      </c>
      <c r="L1024" s="1">
        <v>1777.0</v>
      </c>
      <c r="M1024" s="1">
        <v>1625.0</v>
      </c>
      <c r="N1024" s="1">
        <v>176.0</v>
      </c>
      <c r="O1024" s="1">
        <v>1072.0</v>
      </c>
      <c r="P1024" s="1">
        <v>1089.0</v>
      </c>
      <c r="Q1024" s="1">
        <v>113.0</v>
      </c>
      <c r="R1024" s="1">
        <v>941.0</v>
      </c>
      <c r="S1024" s="1">
        <v>171.0</v>
      </c>
      <c r="T1024" s="1">
        <v>87.0</v>
      </c>
      <c r="U1024" s="1">
        <v>48.0</v>
      </c>
      <c r="V1024" s="1">
        <v>487.0</v>
      </c>
      <c r="W1024" s="1">
        <v>27190.0</v>
      </c>
      <c r="X1024" s="1">
        <v>3583.0</v>
      </c>
      <c r="Y1024" s="1">
        <v>84.0</v>
      </c>
      <c r="Z1024" s="1">
        <v>382.0</v>
      </c>
      <c r="AA1024" s="1">
        <v>174.0</v>
      </c>
      <c r="AB1024" s="1">
        <v>271.0</v>
      </c>
      <c r="AC1024" s="1">
        <v>76.0</v>
      </c>
      <c r="AD1024" s="1">
        <v>559.0</v>
      </c>
      <c r="AE1024" s="1">
        <v>19.0</v>
      </c>
      <c r="AF1024" s="1">
        <v>443.0</v>
      </c>
      <c r="AG1024" s="1">
        <v>332.0</v>
      </c>
      <c r="AH1024" s="1">
        <v>100.0</v>
      </c>
      <c r="AI1024" s="1">
        <v>0.0</v>
      </c>
      <c r="AJ1024" s="1">
        <v>114.0</v>
      </c>
      <c r="AK1024" s="1">
        <v>11.0</v>
      </c>
      <c r="AL1024" s="1">
        <v>115.0</v>
      </c>
      <c r="AM1024" s="1">
        <v>180.0</v>
      </c>
      <c r="AN1024" s="1">
        <v>87.0</v>
      </c>
      <c r="AO1024" s="1">
        <v>7.0</v>
      </c>
      <c r="AP1024" s="1">
        <v>0.10523</v>
      </c>
      <c r="AQ1024" s="1">
        <v>0.052311</v>
      </c>
      <c r="AR1024" s="1">
        <v>0.041522</v>
      </c>
      <c r="AS1024" s="1">
        <v>0.421123</v>
      </c>
      <c r="AT1024" s="1">
        <v>27190.0</v>
      </c>
      <c r="AU1024" s="1">
        <v>3583.0</v>
      </c>
      <c r="AV1024" s="1">
        <v>0.066455</v>
      </c>
      <c r="AW1024" s="1">
        <v>0.302108</v>
      </c>
      <c r="AX1024" s="1">
        <v>0.097917</v>
      </c>
      <c r="AY1024" s="1">
        <v>0.152504</v>
      </c>
      <c r="AZ1024" s="1">
        <v>0.08076514</v>
      </c>
      <c r="BA1024" s="1">
        <v>0.314575</v>
      </c>
      <c r="BB1024" s="1">
        <v>0.012025</v>
      </c>
      <c r="BC1024" s="1">
        <v>0.280376</v>
      </c>
      <c r="BD1024" s="1">
        <v>0.304866</v>
      </c>
      <c r="BE1024" s="1">
        <v>0.086206</v>
      </c>
      <c r="BF1024" s="1">
        <v>0.0</v>
      </c>
      <c r="BG1024" s="1">
        <v>0.104683</v>
      </c>
      <c r="BH1024" s="1">
        <v>0.010912</v>
      </c>
      <c r="BI1024" s="1">
        <v>0.114081</v>
      </c>
      <c r="BJ1024" s="1">
        <v>0.178571</v>
      </c>
      <c r="BK1024" s="1">
        <v>0.084162</v>
      </c>
      <c r="BL1024" s="1">
        <v>0.003939</v>
      </c>
      <c r="BM1024" s="1">
        <v>0.392</v>
      </c>
      <c r="BN1024" s="1">
        <v>0.199</v>
      </c>
      <c r="BO1024" s="1">
        <v>0.2765</v>
      </c>
      <c r="BP1024" s="1">
        <v>0.187</v>
      </c>
      <c r="BQ1024" s="1">
        <v>1.0545</v>
      </c>
      <c r="BR1024" s="1">
        <v>0.2159</v>
      </c>
      <c r="BS1024" s="1">
        <v>0.2</v>
      </c>
      <c r="BT1024" s="1">
        <v>0.072</v>
      </c>
      <c r="BU1024" s="1">
        <v>0.312</v>
      </c>
      <c r="BV1024" s="1">
        <v>0.584</v>
      </c>
      <c r="BW1024" s="1">
        <v>0.04</v>
      </c>
      <c r="BX1024" s="1">
        <v>0.799</v>
      </c>
      <c r="BY1024" s="1">
        <v>0.772</v>
      </c>
      <c r="BZ1024" s="1">
        <v>1.571</v>
      </c>
      <c r="CA1024" s="1">
        <v>0.862</v>
      </c>
      <c r="CB1024" s="1">
        <v>0.946</v>
      </c>
      <c r="CC1024" s="1">
        <v>0.0</v>
      </c>
      <c r="CD1024" s="1">
        <v>0.497</v>
      </c>
      <c r="CE1024" s="1">
        <v>0.888</v>
      </c>
      <c r="CF1024" s="1">
        <v>0.496</v>
      </c>
      <c r="CG1024" s="1">
        <v>2.827</v>
      </c>
      <c r="CH1024" s="1">
        <v>0.7</v>
      </c>
      <c r="CI1024" s="1">
        <v>6.0365</v>
      </c>
      <c r="CJ1024" s="1">
        <v>0.3769</v>
      </c>
      <c r="CK1024" s="1">
        <v>0.0</v>
      </c>
      <c r="CL1024" s="1">
        <v>0.0</v>
      </c>
      <c r="CM1024" s="1">
        <v>0.0</v>
      </c>
      <c r="CN1024" s="1">
        <v>0.0</v>
      </c>
      <c r="CO1024" s="1">
        <v>0.0</v>
      </c>
      <c r="CP1024" s="1">
        <v>0.0</v>
      </c>
      <c r="CQ1024" s="1">
        <v>0.0</v>
      </c>
      <c r="CR1024" s="1">
        <v>0.0</v>
      </c>
      <c r="CS1024" s="1">
        <v>0.0</v>
      </c>
      <c r="CT1024" s="1">
        <v>0.0</v>
      </c>
      <c r="CU1024" s="1">
        <v>0.0</v>
      </c>
      <c r="CV1024" s="1">
        <v>0.0</v>
      </c>
      <c r="CW1024" s="1">
        <v>1.0</v>
      </c>
      <c r="CX1024" s="1">
        <v>0.0</v>
      </c>
      <c r="CY1024" s="1">
        <v>0.0</v>
      </c>
      <c r="CZ1024" s="1">
        <v>0.0</v>
      </c>
      <c r="DA1024" s="1">
        <v>0.0</v>
      </c>
      <c r="DB1024" s="1">
        <v>1.0</v>
      </c>
      <c r="DC1024" s="1">
        <v>1.0</v>
      </c>
      <c r="DD1024" s="1" t="s">
        <v>4652</v>
      </c>
      <c r="DE1024" s="1">
        <v>1.19678551203639E-4</v>
      </c>
      <c r="DF1024" s="2" t="s">
        <v>4653</v>
      </c>
    </row>
    <row r="1025" ht="15.75" customHeight="1">
      <c r="A1025" s="1" t="s">
        <v>4654</v>
      </c>
      <c r="B1025" s="1">
        <v>29.0</v>
      </c>
      <c r="C1025" s="1">
        <v>189.0</v>
      </c>
      <c r="D1025" s="1">
        <v>217807.0</v>
      </c>
      <c r="E1025" s="1">
        <v>1.833</v>
      </c>
      <c r="F1025" s="1">
        <v>29189.0</v>
      </c>
      <c r="G1025" s="1">
        <v>2.9189217807E10</v>
      </c>
      <c r="H1025" s="1" t="s">
        <v>112</v>
      </c>
      <c r="I1025" s="1" t="s">
        <v>113</v>
      </c>
      <c r="J1025" s="1" t="s">
        <v>4566</v>
      </c>
      <c r="K1025" s="1" t="s">
        <v>4655</v>
      </c>
      <c r="L1025" s="1">
        <v>6089.0</v>
      </c>
      <c r="M1025" s="1">
        <v>6227.0</v>
      </c>
      <c r="N1025" s="1">
        <v>324.0</v>
      </c>
      <c r="O1025" s="1">
        <v>2630.0</v>
      </c>
      <c r="P1025" s="1">
        <v>2593.0</v>
      </c>
      <c r="Q1025" s="1">
        <v>89.0</v>
      </c>
      <c r="R1025" s="1">
        <v>2482.0</v>
      </c>
      <c r="S1025" s="1">
        <v>177.0</v>
      </c>
      <c r="T1025" s="1">
        <v>125.0</v>
      </c>
      <c r="U1025" s="1">
        <v>144.0</v>
      </c>
      <c r="V1025" s="1">
        <v>433.0</v>
      </c>
      <c r="W1025" s="1">
        <v>36090.0</v>
      </c>
      <c r="X1025" s="1">
        <v>4043.0</v>
      </c>
      <c r="Y1025" s="1">
        <v>153.0</v>
      </c>
      <c r="Z1025" s="1">
        <v>335.0</v>
      </c>
      <c r="AA1025" s="1">
        <v>1283.0</v>
      </c>
      <c r="AB1025" s="1">
        <v>1357.0</v>
      </c>
      <c r="AC1025" s="1">
        <v>158.0</v>
      </c>
      <c r="AD1025" s="1">
        <v>695.0</v>
      </c>
      <c r="AE1025" s="1">
        <v>155.0</v>
      </c>
      <c r="AF1025" s="1">
        <v>440.0</v>
      </c>
      <c r="AG1025" s="1">
        <v>61.0</v>
      </c>
      <c r="AH1025" s="1">
        <v>60.0</v>
      </c>
      <c r="AI1025" s="1">
        <v>0.0</v>
      </c>
      <c r="AJ1025" s="1">
        <v>114.0</v>
      </c>
      <c r="AK1025" s="1">
        <v>0.0</v>
      </c>
      <c r="AL1025" s="1">
        <v>161.0</v>
      </c>
      <c r="AM1025" s="1">
        <v>0.0</v>
      </c>
      <c r="AN1025" s="1">
        <v>161.0</v>
      </c>
      <c r="AO1025" s="1">
        <v>0.0</v>
      </c>
      <c r="AP1025" s="1">
        <v>0.028424</v>
      </c>
      <c r="AQ1025" s="1">
        <v>0.020019</v>
      </c>
      <c r="AR1025" s="1">
        <v>0.043504</v>
      </c>
      <c r="AS1025" s="1">
        <v>0.130711</v>
      </c>
      <c r="AT1025" s="1">
        <v>36090.0</v>
      </c>
      <c r="AU1025" s="1">
        <v>4043.0</v>
      </c>
      <c r="AV1025" s="1">
        <v>0.035043</v>
      </c>
      <c r="AW1025" s="1">
        <v>0.076708</v>
      </c>
      <c r="AX1025" s="1">
        <v>0.210707</v>
      </c>
      <c r="AY1025" s="1">
        <v>0.22286</v>
      </c>
      <c r="AZ1025" s="1">
        <v>0.06365834</v>
      </c>
      <c r="BA1025" s="1">
        <v>0.11414</v>
      </c>
      <c r="BB1025" s="1">
        <v>0.026217</v>
      </c>
      <c r="BC1025" s="1">
        <v>0.074411</v>
      </c>
      <c r="BD1025" s="1">
        <v>0.023524</v>
      </c>
      <c r="BE1025" s="1">
        <v>0.023125</v>
      </c>
      <c r="BF1025" s="1">
        <v>0.0</v>
      </c>
      <c r="BG1025" s="1">
        <v>0.043964</v>
      </c>
      <c r="BH1025" s="1">
        <v>0.0</v>
      </c>
      <c r="BI1025" s="1">
        <v>0.063838</v>
      </c>
      <c r="BJ1025" s="1">
        <v>0.0</v>
      </c>
      <c r="BK1025" s="1">
        <v>0.063838</v>
      </c>
      <c r="BL1025" s="1">
        <v>0.0</v>
      </c>
      <c r="BM1025" s="1">
        <v>0.084</v>
      </c>
      <c r="BN1025" s="1">
        <v>0.227</v>
      </c>
      <c r="BO1025" s="1">
        <v>0.1011</v>
      </c>
      <c r="BP1025" s="1">
        <v>0.08</v>
      </c>
      <c r="BQ1025" s="1">
        <v>0.4921</v>
      </c>
      <c r="BR1025" s="1">
        <v>0.065</v>
      </c>
      <c r="BS1025" s="1">
        <v>0.91</v>
      </c>
      <c r="BT1025" s="1">
        <v>0.327</v>
      </c>
      <c r="BU1025" s="1">
        <v>0.162</v>
      </c>
      <c r="BV1025" s="1">
        <v>1.399</v>
      </c>
      <c r="BW1025" s="1">
        <v>0.391</v>
      </c>
      <c r="BX1025" s="1">
        <v>0.517</v>
      </c>
      <c r="BY1025" s="1">
        <v>0.897</v>
      </c>
      <c r="BZ1025" s="1">
        <v>1.414</v>
      </c>
      <c r="CA1025" s="1">
        <v>0.771</v>
      </c>
      <c r="CB1025" s="1">
        <v>0.503</v>
      </c>
      <c r="CC1025" s="1">
        <v>0.0</v>
      </c>
      <c r="CD1025" s="1">
        <v>0.0</v>
      </c>
      <c r="CE1025" s="1">
        <v>0.0</v>
      </c>
      <c r="CF1025" s="1">
        <v>0.0</v>
      </c>
      <c r="CG1025" s="1">
        <v>0.503</v>
      </c>
      <c r="CH1025" s="1">
        <v>0.031</v>
      </c>
      <c r="CI1025" s="1">
        <v>3.8081</v>
      </c>
      <c r="CJ1025" s="1">
        <v>0.0686</v>
      </c>
      <c r="CK1025" s="1">
        <v>0.0</v>
      </c>
      <c r="CL1025" s="1">
        <v>0.0</v>
      </c>
      <c r="CM1025" s="1">
        <v>0.0</v>
      </c>
      <c r="CN1025" s="1">
        <v>0.0</v>
      </c>
      <c r="CO1025" s="1">
        <v>0.0</v>
      </c>
      <c r="CP1025" s="1">
        <v>1.0</v>
      </c>
      <c r="CQ1025" s="1">
        <v>0.0</v>
      </c>
      <c r="CR1025" s="1">
        <v>0.0</v>
      </c>
      <c r="CS1025" s="1">
        <v>1.0</v>
      </c>
      <c r="CT1025" s="1">
        <v>0.0</v>
      </c>
      <c r="CU1025" s="1">
        <v>0.0</v>
      </c>
      <c r="CV1025" s="1">
        <v>0.0</v>
      </c>
      <c r="CW1025" s="1">
        <v>0.0</v>
      </c>
      <c r="CX1025" s="1">
        <v>0.0</v>
      </c>
      <c r="CY1025" s="1">
        <v>0.0</v>
      </c>
      <c r="CZ1025" s="1">
        <v>0.0</v>
      </c>
      <c r="DA1025" s="1">
        <v>0.0</v>
      </c>
      <c r="DB1025" s="1">
        <v>0.0</v>
      </c>
      <c r="DC1025" s="1">
        <v>1.0</v>
      </c>
      <c r="DD1025" s="1" t="s">
        <v>4656</v>
      </c>
      <c r="DE1025" s="1">
        <v>4.93081673754011E-4</v>
      </c>
      <c r="DF1025" s="2" t="s">
        <v>4657</v>
      </c>
    </row>
    <row r="1026" ht="15.75" customHeight="1">
      <c r="A1026" s="1" t="s">
        <v>4658</v>
      </c>
      <c r="B1026" s="1">
        <v>29.0</v>
      </c>
      <c r="C1026" s="1">
        <v>189.0</v>
      </c>
      <c r="D1026" s="1">
        <v>217932.0</v>
      </c>
      <c r="E1026" s="1">
        <v>1.717</v>
      </c>
      <c r="F1026" s="1">
        <v>29189.0</v>
      </c>
      <c r="G1026" s="1">
        <v>2.9189217932E10</v>
      </c>
      <c r="H1026" s="1" t="s">
        <v>112</v>
      </c>
      <c r="I1026" s="1" t="s">
        <v>113</v>
      </c>
      <c r="J1026" s="1" t="s">
        <v>4566</v>
      </c>
      <c r="K1026" s="1" t="s">
        <v>4659</v>
      </c>
      <c r="L1026" s="1">
        <v>4890.0</v>
      </c>
      <c r="M1026" s="1">
        <v>4196.0</v>
      </c>
      <c r="N1026" s="1">
        <v>305.0</v>
      </c>
      <c r="O1026" s="1">
        <v>1913.0</v>
      </c>
      <c r="P1026" s="1">
        <v>1777.0</v>
      </c>
      <c r="Q1026" s="1">
        <v>50.0</v>
      </c>
      <c r="R1026" s="1">
        <v>1848.0</v>
      </c>
      <c r="S1026" s="1">
        <v>87.0</v>
      </c>
      <c r="T1026" s="1">
        <v>59.0</v>
      </c>
      <c r="U1026" s="1">
        <v>107.0</v>
      </c>
      <c r="V1026" s="1">
        <v>430.0</v>
      </c>
      <c r="W1026" s="1">
        <v>35809.0</v>
      </c>
      <c r="X1026" s="1">
        <v>3227.0</v>
      </c>
      <c r="Y1026" s="1">
        <v>79.0</v>
      </c>
      <c r="Z1026" s="1">
        <v>381.0</v>
      </c>
      <c r="AA1026" s="1">
        <v>797.0</v>
      </c>
      <c r="AB1026" s="1">
        <v>1288.0</v>
      </c>
      <c r="AC1026" s="1">
        <v>84.0</v>
      </c>
      <c r="AD1026" s="1">
        <v>938.0</v>
      </c>
      <c r="AE1026" s="1">
        <v>54.0</v>
      </c>
      <c r="AF1026" s="1">
        <v>444.0</v>
      </c>
      <c r="AG1026" s="1">
        <v>250.0</v>
      </c>
      <c r="AH1026" s="1">
        <v>127.0</v>
      </c>
      <c r="AI1026" s="1">
        <v>0.0</v>
      </c>
      <c r="AJ1026" s="1">
        <v>114.0</v>
      </c>
      <c r="AK1026" s="1">
        <v>0.0</v>
      </c>
      <c r="AL1026" s="1">
        <v>161.0</v>
      </c>
      <c r="AM1026" s="1">
        <v>43.0</v>
      </c>
      <c r="AN1026" s="1">
        <v>31.0</v>
      </c>
      <c r="AO1026" s="1">
        <v>105.0</v>
      </c>
      <c r="AP1026" s="1">
        <v>0.020773</v>
      </c>
      <c r="AQ1026" s="1">
        <v>0.014008</v>
      </c>
      <c r="AR1026" s="1">
        <v>0.045844</v>
      </c>
      <c r="AS1026" s="1">
        <v>0.184136</v>
      </c>
      <c r="AT1026" s="1">
        <v>35809.0</v>
      </c>
      <c r="AU1026" s="1">
        <v>3227.0</v>
      </c>
      <c r="AV1026" s="1">
        <v>0.028916</v>
      </c>
      <c r="AW1026" s="1">
        <v>0.139445</v>
      </c>
      <c r="AX1026" s="1">
        <v>0.162985</v>
      </c>
      <c r="AY1026" s="1">
        <v>0.263394</v>
      </c>
      <c r="AZ1026" s="1">
        <v>0.04545454</v>
      </c>
      <c r="BA1026" s="1">
        <v>0.19182</v>
      </c>
      <c r="BB1026" s="1">
        <v>0.01375</v>
      </c>
      <c r="BC1026" s="1">
        <v>0.113058</v>
      </c>
      <c r="BD1026" s="1">
        <v>0.140686</v>
      </c>
      <c r="BE1026" s="1">
        <v>0.071359</v>
      </c>
      <c r="BF1026" s="1">
        <v>0.0</v>
      </c>
      <c r="BG1026" s="1">
        <v>0.064153</v>
      </c>
      <c r="BH1026" s="1">
        <v>0.0</v>
      </c>
      <c r="BI1026" s="1">
        <v>0.09926</v>
      </c>
      <c r="BJ1026" s="1">
        <v>0.02651</v>
      </c>
      <c r="BK1026" s="1">
        <v>0.019036</v>
      </c>
      <c r="BL1026" s="1">
        <v>0.021472</v>
      </c>
      <c r="BM1026" s="1">
        <v>0.059</v>
      </c>
      <c r="BN1026" s="1">
        <v>0.248</v>
      </c>
      <c r="BO1026" s="1">
        <v>0.1054</v>
      </c>
      <c r="BP1026" s="1">
        <v>0.058</v>
      </c>
      <c r="BQ1026" s="1">
        <v>0.4704</v>
      </c>
      <c r="BR1026" s="1">
        <v>0.057</v>
      </c>
      <c r="BS1026" s="1">
        <v>0.689</v>
      </c>
      <c r="BT1026" s="1">
        <v>0.733</v>
      </c>
      <c r="BU1026" s="1">
        <v>0.058</v>
      </c>
      <c r="BV1026" s="1">
        <v>1.48</v>
      </c>
      <c r="BW1026" s="1">
        <v>0.465</v>
      </c>
      <c r="BX1026" s="1">
        <v>0.7</v>
      </c>
      <c r="BY1026" s="1">
        <v>0.794</v>
      </c>
      <c r="BZ1026" s="1">
        <v>1.494</v>
      </c>
      <c r="CA1026" s="1">
        <v>0.82</v>
      </c>
      <c r="CB1026" s="1">
        <v>0.828</v>
      </c>
      <c r="CC1026" s="1">
        <v>0.0</v>
      </c>
      <c r="CD1026" s="1">
        <v>0.0</v>
      </c>
      <c r="CE1026" s="1">
        <v>0.254</v>
      </c>
      <c r="CF1026" s="1">
        <v>0.725</v>
      </c>
      <c r="CG1026" s="1">
        <v>1.807</v>
      </c>
      <c r="CH1026" s="1">
        <v>0.27</v>
      </c>
      <c r="CI1026" s="1">
        <v>5.2514</v>
      </c>
      <c r="CJ1026" s="1">
        <v>0.2368</v>
      </c>
      <c r="CK1026" s="1">
        <v>0.0</v>
      </c>
      <c r="CL1026" s="1">
        <v>0.0</v>
      </c>
      <c r="CM1026" s="1">
        <v>0.0</v>
      </c>
      <c r="CN1026" s="1">
        <v>0.0</v>
      </c>
      <c r="CO1026" s="1">
        <v>0.0</v>
      </c>
      <c r="CP1026" s="1">
        <v>0.0</v>
      </c>
      <c r="CQ1026" s="1">
        <v>0.0</v>
      </c>
      <c r="CR1026" s="1">
        <v>0.0</v>
      </c>
      <c r="CS1026" s="1">
        <v>0.0</v>
      </c>
      <c r="CT1026" s="1">
        <v>0.0</v>
      </c>
      <c r="CU1026" s="1">
        <v>0.0</v>
      </c>
      <c r="CV1026" s="1">
        <v>0.0</v>
      </c>
      <c r="CW1026" s="1">
        <v>0.0</v>
      </c>
      <c r="CX1026" s="1">
        <v>0.0</v>
      </c>
      <c r="CY1026" s="1">
        <v>0.0</v>
      </c>
      <c r="CZ1026" s="1">
        <v>0.0</v>
      </c>
      <c r="DA1026" s="1">
        <v>0.0</v>
      </c>
      <c r="DB1026" s="1">
        <v>0.0</v>
      </c>
      <c r="DC1026" s="1">
        <v>0.0</v>
      </c>
      <c r="DD1026" s="1" t="s">
        <v>4660</v>
      </c>
      <c r="DE1026" s="1">
        <v>4.66638158704787E-4</v>
      </c>
      <c r="DF1026" s="1">
        <v>0.0997691392454259</v>
      </c>
    </row>
    <row r="1027" ht="15.75" customHeight="1">
      <c r="A1027" s="1" t="s">
        <v>4661</v>
      </c>
      <c r="B1027" s="1">
        <v>29.0</v>
      </c>
      <c r="C1027" s="1">
        <v>189.0</v>
      </c>
      <c r="D1027" s="1">
        <v>218201.0</v>
      </c>
      <c r="E1027" s="1">
        <v>1.126</v>
      </c>
      <c r="F1027" s="1">
        <v>29189.0</v>
      </c>
      <c r="G1027" s="1">
        <v>2.9189218201E10</v>
      </c>
      <c r="H1027" s="1" t="s">
        <v>112</v>
      </c>
      <c r="I1027" s="1" t="s">
        <v>113</v>
      </c>
      <c r="J1027" s="1" t="s">
        <v>4566</v>
      </c>
      <c r="K1027" s="1" t="s">
        <v>4662</v>
      </c>
      <c r="L1027" s="1">
        <v>2788.0</v>
      </c>
      <c r="M1027" s="1">
        <v>2794.0</v>
      </c>
      <c r="N1027" s="1">
        <v>200.0</v>
      </c>
      <c r="O1027" s="1">
        <v>1314.0</v>
      </c>
      <c r="P1027" s="1">
        <v>1266.0</v>
      </c>
      <c r="Q1027" s="1">
        <v>93.0</v>
      </c>
      <c r="R1027" s="1">
        <v>1216.0</v>
      </c>
      <c r="S1027" s="1">
        <v>66.0</v>
      </c>
      <c r="T1027" s="1">
        <v>46.0</v>
      </c>
      <c r="U1027" s="1">
        <v>76.0</v>
      </c>
      <c r="V1027" s="1">
        <v>444.0</v>
      </c>
      <c r="W1027" s="1">
        <v>60192.0</v>
      </c>
      <c r="X1027" s="1">
        <v>12275.0</v>
      </c>
      <c r="Y1027" s="1">
        <v>56.0</v>
      </c>
      <c r="Z1027" s="1">
        <v>397.0</v>
      </c>
      <c r="AA1027" s="1">
        <v>354.0</v>
      </c>
      <c r="AB1027" s="1">
        <v>621.0</v>
      </c>
      <c r="AC1027" s="1">
        <v>94.0</v>
      </c>
      <c r="AD1027" s="1">
        <v>227.0</v>
      </c>
      <c r="AE1027" s="1">
        <v>0.0</v>
      </c>
      <c r="AF1027" s="1">
        <v>456.0</v>
      </c>
      <c r="AG1027" s="1">
        <v>29.0</v>
      </c>
      <c r="AH1027" s="1">
        <v>164.0</v>
      </c>
      <c r="AI1027" s="1">
        <v>0.0</v>
      </c>
      <c r="AJ1027" s="1">
        <v>114.0</v>
      </c>
      <c r="AK1027" s="1">
        <v>0.0</v>
      </c>
      <c r="AL1027" s="1">
        <v>161.0</v>
      </c>
      <c r="AM1027" s="1">
        <v>30.0</v>
      </c>
      <c r="AN1027" s="1">
        <v>35.0</v>
      </c>
      <c r="AO1027" s="1">
        <v>0.0</v>
      </c>
      <c r="AP1027" s="1">
        <v>0.023622</v>
      </c>
      <c r="AQ1027" s="1">
        <v>0.016376</v>
      </c>
      <c r="AR1027" s="1">
        <v>0.04505</v>
      </c>
      <c r="AS1027" s="1">
        <v>0.263118</v>
      </c>
      <c r="AT1027" s="1">
        <v>60192.0</v>
      </c>
      <c r="AU1027" s="1">
        <v>12275.0</v>
      </c>
      <c r="AV1027" s="1">
        <v>0.028411</v>
      </c>
      <c r="AW1027" s="1">
        <v>0.201405</v>
      </c>
      <c r="AX1027" s="1">
        <v>0.126972</v>
      </c>
      <c r="AY1027" s="1">
        <v>0.22274</v>
      </c>
      <c r="AZ1027" s="1">
        <v>0.07730263</v>
      </c>
      <c r="BA1027" s="1">
        <v>0.08142</v>
      </c>
      <c r="BB1027" s="1">
        <v>0.0</v>
      </c>
      <c r="BC1027" s="1">
        <v>0.171751</v>
      </c>
      <c r="BD1027" s="1">
        <v>0.022906</v>
      </c>
      <c r="BE1027" s="1">
        <v>0.12953</v>
      </c>
      <c r="BF1027" s="1">
        <v>0.0</v>
      </c>
      <c r="BG1027" s="1">
        <v>0.090047</v>
      </c>
      <c r="BH1027" s="1">
        <v>0.0</v>
      </c>
      <c r="BI1027" s="1">
        <v>0.136209</v>
      </c>
      <c r="BJ1027" s="1">
        <v>0.02538</v>
      </c>
      <c r="BK1027" s="1">
        <v>0.029531</v>
      </c>
      <c r="BL1027" s="1">
        <v>0.0</v>
      </c>
      <c r="BM1027" s="1">
        <v>0.067</v>
      </c>
      <c r="BN1027" s="1">
        <v>0.241</v>
      </c>
      <c r="BO1027" s="1">
        <v>0.0123</v>
      </c>
      <c r="BP1027" s="1">
        <v>0.056</v>
      </c>
      <c r="BQ1027" s="1">
        <v>0.3763</v>
      </c>
      <c r="BR1027" s="1">
        <v>0.0339</v>
      </c>
      <c r="BS1027" s="1">
        <v>0.394</v>
      </c>
      <c r="BT1027" s="1">
        <v>0.326</v>
      </c>
      <c r="BU1027" s="1">
        <v>0.274</v>
      </c>
      <c r="BV1027" s="1">
        <v>0.994</v>
      </c>
      <c r="BW1027" s="1">
        <v>0.113</v>
      </c>
      <c r="BX1027" s="1">
        <v>0.403</v>
      </c>
      <c r="BY1027" s="1">
        <v>0.0</v>
      </c>
      <c r="BZ1027" s="1">
        <v>0.403</v>
      </c>
      <c r="CA1027" s="1">
        <v>0.163</v>
      </c>
      <c r="CB1027" s="1">
        <v>0.497</v>
      </c>
      <c r="CC1027" s="1">
        <v>0.0</v>
      </c>
      <c r="CD1027" s="1">
        <v>0.0</v>
      </c>
      <c r="CE1027" s="1">
        <v>0.243</v>
      </c>
      <c r="CF1027" s="1">
        <v>0.0</v>
      </c>
      <c r="CG1027" s="1">
        <v>0.74</v>
      </c>
      <c r="CH1027" s="1">
        <v>0.051</v>
      </c>
      <c r="CI1027" s="1">
        <v>2.5133</v>
      </c>
      <c r="CJ1027" s="1">
        <v>0.0051</v>
      </c>
      <c r="CK1027" s="1">
        <v>0.0</v>
      </c>
      <c r="CL1027" s="1">
        <v>0.0</v>
      </c>
      <c r="CM1027" s="1">
        <v>0.0</v>
      </c>
      <c r="CN1027" s="1">
        <v>0.0</v>
      </c>
      <c r="CO1027" s="1">
        <v>0.0</v>
      </c>
      <c r="CP1027" s="1">
        <v>0.0</v>
      </c>
      <c r="CQ1027" s="1">
        <v>0.0</v>
      </c>
      <c r="CR1027" s="1">
        <v>0.0</v>
      </c>
      <c r="CS1027" s="1">
        <v>0.0</v>
      </c>
      <c r="CT1027" s="1">
        <v>0.0</v>
      </c>
      <c r="CU1027" s="1">
        <v>0.0</v>
      </c>
      <c r="CV1027" s="1">
        <v>0.0</v>
      </c>
      <c r="CW1027" s="1">
        <v>0.0</v>
      </c>
      <c r="CX1027" s="1">
        <v>0.0</v>
      </c>
      <c r="CY1027" s="1">
        <v>0.0</v>
      </c>
      <c r="CZ1027" s="1">
        <v>0.0</v>
      </c>
      <c r="DA1027" s="1">
        <v>0.0</v>
      </c>
      <c r="DB1027" s="1">
        <v>0.0</v>
      </c>
      <c r="DC1027" s="1">
        <v>0.0</v>
      </c>
      <c r="DD1027" s="1" t="s">
        <v>4663</v>
      </c>
      <c r="DE1027" s="1">
        <v>3.04064055813233E-4</v>
      </c>
      <c r="DF1027" s="1">
        <v>0.0803854649490218</v>
      </c>
    </row>
    <row r="1028" ht="15.75" customHeight="1">
      <c r="A1028" s="1" t="s">
        <v>4664</v>
      </c>
      <c r="B1028" s="1">
        <v>29.0</v>
      </c>
      <c r="C1028" s="1">
        <v>189.0</v>
      </c>
      <c r="D1028" s="1">
        <v>218500.0</v>
      </c>
      <c r="E1028" s="1">
        <v>1.144</v>
      </c>
      <c r="F1028" s="1">
        <v>29189.0</v>
      </c>
      <c r="G1028" s="1">
        <v>2.91892185E10</v>
      </c>
      <c r="H1028" s="1" t="s">
        <v>112</v>
      </c>
      <c r="I1028" s="1" t="s">
        <v>113</v>
      </c>
      <c r="J1028" s="1" t="s">
        <v>4566</v>
      </c>
      <c r="K1028" s="1" t="s">
        <v>4665</v>
      </c>
      <c r="L1028" s="1">
        <v>4746.0</v>
      </c>
      <c r="M1028" s="1">
        <v>5013.0</v>
      </c>
      <c r="N1028" s="1">
        <v>280.0</v>
      </c>
      <c r="O1028" s="1">
        <v>2082.0</v>
      </c>
      <c r="P1028" s="1">
        <v>2149.0</v>
      </c>
      <c r="Q1028" s="1">
        <v>71.0</v>
      </c>
      <c r="R1028" s="1">
        <v>1954.0</v>
      </c>
      <c r="S1028" s="1">
        <v>225.0</v>
      </c>
      <c r="T1028" s="1">
        <v>125.0</v>
      </c>
      <c r="U1028" s="1">
        <v>85.0</v>
      </c>
      <c r="V1028" s="1">
        <v>447.0</v>
      </c>
      <c r="W1028" s="1">
        <v>49198.0</v>
      </c>
      <c r="X1028" s="1">
        <v>6303.0</v>
      </c>
      <c r="Y1028" s="1">
        <v>36.0</v>
      </c>
      <c r="Z1028" s="1">
        <v>428.0</v>
      </c>
      <c r="AA1028" s="1">
        <v>815.0</v>
      </c>
      <c r="AB1028" s="1">
        <v>1168.0</v>
      </c>
      <c r="AC1028" s="1">
        <v>118.0</v>
      </c>
      <c r="AD1028" s="1">
        <v>251.0</v>
      </c>
      <c r="AE1028" s="1">
        <v>30.0</v>
      </c>
      <c r="AF1028" s="1">
        <v>444.0</v>
      </c>
      <c r="AG1028" s="1">
        <v>69.0</v>
      </c>
      <c r="AH1028" s="1">
        <v>54.0</v>
      </c>
      <c r="AI1028" s="1">
        <v>0.0</v>
      </c>
      <c r="AJ1028" s="1">
        <v>114.0</v>
      </c>
      <c r="AK1028" s="1">
        <v>0.0</v>
      </c>
      <c r="AL1028" s="1">
        <v>161.0</v>
      </c>
      <c r="AM1028" s="1">
        <v>81.0</v>
      </c>
      <c r="AN1028" s="1">
        <v>51.0</v>
      </c>
      <c r="AO1028" s="1">
        <v>120.0</v>
      </c>
      <c r="AP1028" s="1">
        <v>0.044883</v>
      </c>
      <c r="AQ1028" s="1">
        <v>0.024808</v>
      </c>
      <c r="AR1028" s="1">
        <v>0.034122</v>
      </c>
      <c r="AS1028" s="1">
        <v>0.179391</v>
      </c>
      <c r="AT1028" s="1">
        <v>49198.0</v>
      </c>
      <c r="AU1028" s="1">
        <v>6303.0</v>
      </c>
      <c r="AV1028" s="1">
        <v>0.009942</v>
      </c>
      <c r="AW1028" s="1">
        <v>0.118198</v>
      </c>
      <c r="AX1028" s="1">
        <v>0.171723</v>
      </c>
      <c r="AY1028" s="1">
        <v>0.246101</v>
      </c>
      <c r="AZ1028" s="1">
        <v>0.06038894</v>
      </c>
      <c r="BA1028" s="1">
        <v>0.052886</v>
      </c>
      <c r="BB1028" s="1">
        <v>0.006335</v>
      </c>
      <c r="BC1028" s="1">
        <v>0.093769</v>
      </c>
      <c r="BD1028" s="1">
        <v>0.032107</v>
      </c>
      <c r="BE1028" s="1">
        <v>0.025105</v>
      </c>
      <c r="BF1028" s="1">
        <v>0.0</v>
      </c>
      <c r="BG1028" s="1">
        <v>0.053047</v>
      </c>
      <c r="BH1028" s="1">
        <v>0.0</v>
      </c>
      <c r="BI1028" s="1">
        <v>0.076923</v>
      </c>
      <c r="BJ1028" s="1">
        <v>0.0387</v>
      </c>
      <c r="BK1028" s="1">
        <v>0.02429</v>
      </c>
      <c r="BL1028" s="1">
        <v>0.025284</v>
      </c>
      <c r="BM1028" s="1">
        <v>0.144</v>
      </c>
      <c r="BN1028" s="1">
        <v>0.123</v>
      </c>
      <c r="BO1028" s="1">
        <v>0.0274</v>
      </c>
      <c r="BP1028" s="1">
        <v>0.015</v>
      </c>
      <c r="BQ1028" s="1">
        <v>0.3094</v>
      </c>
      <c r="BR1028" s="1">
        <v>0.0202</v>
      </c>
      <c r="BS1028" s="1">
        <v>0.748</v>
      </c>
      <c r="BT1028" s="1">
        <v>0.557</v>
      </c>
      <c r="BU1028" s="1">
        <v>0.133</v>
      </c>
      <c r="BV1028" s="1">
        <v>1.438</v>
      </c>
      <c r="BW1028" s="1">
        <v>0.426</v>
      </c>
      <c r="BX1028" s="1">
        <v>0.269</v>
      </c>
      <c r="BY1028" s="1">
        <v>0.611</v>
      </c>
      <c r="BZ1028" s="1">
        <v>0.88</v>
      </c>
      <c r="CA1028" s="1">
        <v>0.451</v>
      </c>
      <c r="CB1028" s="1">
        <v>0.561</v>
      </c>
      <c r="CC1028" s="1">
        <v>0.0</v>
      </c>
      <c r="CD1028" s="1">
        <v>0.0</v>
      </c>
      <c r="CE1028" s="1">
        <v>0.38</v>
      </c>
      <c r="CF1028" s="1">
        <v>0.774</v>
      </c>
      <c r="CG1028" s="1">
        <v>1.715</v>
      </c>
      <c r="CH1028" s="1">
        <v>0.238</v>
      </c>
      <c r="CI1028" s="1">
        <v>4.3424</v>
      </c>
      <c r="CJ1028" s="1">
        <v>0.1199</v>
      </c>
      <c r="CK1028" s="1">
        <v>0.0</v>
      </c>
      <c r="CL1028" s="1">
        <v>0.0</v>
      </c>
      <c r="CM1028" s="1">
        <v>0.0</v>
      </c>
      <c r="CN1028" s="1">
        <v>0.0</v>
      </c>
      <c r="CO1028" s="1">
        <v>0.0</v>
      </c>
      <c r="CP1028" s="1">
        <v>0.0</v>
      </c>
      <c r="CQ1028" s="1">
        <v>0.0</v>
      </c>
      <c r="CR1028" s="1">
        <v>0.0</v>
      </c>
      <c r="CS1028" s="1">
        <v>0.0</v>
      </c>
      <c r="CT1028" s="1">
        <v>0.0</v>
      </c>
      <c r="CU1028" s="1">
        <v>0.0</v>
      </c>
      <c r="CV1028" s="1">
        <v>0.0</v>
      </c>
      <c r="CW1028" s="1">
        <v>0.0</v>
      </c>
      <c r="CX1028" s="1">
        <v>0.0</v>
      </c>
      <c r="CY1028" s="1">
        <v>0.0</v>
      </c>
      <c r="CZ1028" s="1">
        <v>0.0</v>
      </c>
      <c r="DA1028" s="1">
        <v>0.0</v>
      </c>
      <c r="DB1028" s="1">
        <v>0.0</v>
      </c>
      <c r="DC1028" s="1">
        <v>0.0</v>
      </c>
      <c r="DD1028" s="1" t="s">
        <v>4666</v>
      </c>
      <c r="DE1028" s="1">
        <v>3.06649108481327E-4</v>
      </c>
      <c r="DF1028" s="1">
        <v>0.0709129381496469</v>
      </c>
    </row>
    <row r="1029" ht="15.75" customHeight="1">
      <c r="A1029" s="1" t="s">
        <v>4667</v>
      </c>
      <c r="B1029" s="1">
        <v>29.0</v>
      </c>
      <c r="C1029" s="1">
        <v>189.0</v>
      </c>
      <c r="D1029" s="1">
        <v>221621.0</v>
      </c>
      <c r="E1029" s="1">
        <v>24.34</v>
      </c>
      <c r="F1029" s="1">
        <v>29189.0</v>
      </c>
      <c r="G1029" s="1">
        <v>2.9189221621E10</v>
      </c>
      <c r="H1029" s="1" t="s">
        <v>112</v>
      </c>
      <c r="I1029" s="1" t="s">
        <v>113</v>
      </c>
      <c r="J1029" s="1" t="s">
        <v>4566</v>
      </c>
      <c r="K1029" s="1" t="s">
        <v>4668</v>
      </c>
      <c r="L1029" s="1">
        <v>4376.0</v>
      </c>
      <c r="M1029" s="1">
        <v>4056.0</v>
      </c>
      <c r="N1029" s="1">
        <v>278.0</v>
      </c>
      <c r="O1029" s="1">
        <v>1667.0</v>
      </c>
      <c r="P1029" s="1">
        <v>1554.0</v>
      </c>
      <c r="Q1029" s="1">
        <v>76.0</v>
      </c>
      <c r="R1029" s="1">
        <v>1532.0</v>
      </c>
      <c r="S1029" s="1">
        <v>78.0</v>
      </c>
      <c r="T1029" s="1">
        <v>129.0</v>
      </c>
      <c r="U1029" s="1">
        <v>100.0</v>
      </c>
      <c r="V1029" s="1">
        <v>398.0</v>
      </c>
      <c r="W1029" s="1">
        <v>55834.0</v>
      </c>
      <c r="X1029" s="1">
        <v>8501.0</v>
      </c>
      <c r="Y1029" s="1">
        <v>102.0</v>
      </c>
      <c r="Z1029" s="1">
        <v>346.0</v>
      </c>
      <c r="AA1029" s="1">
        <v>540.0</v>
      </c>
      <c r="AB1029" s="1">
        <v>1136.0</v>
      </c>
      <c r="AC1029" s="1">
        <v>57.0</v>
      </c>
      <c r="AD1029" s="1">
        <v>282.0</v>
      </c>
      <c r="AE1029" s="1">
        <v>17.0</v>
      </c>
      <c r="AF1029" s="1">
        <v>427.0</v>
      </c>
      <c r="AG1029" s="1">
        <v>0.0</v>
      </c>
      <c r="AH1029" s="1">
        <v>197.0</v>
      </c>
      <c r="AI1029" s="1">
        <v>0.0</v>
      </c>
      <c r="AJ1029" s="1">
        <v>114.0</v>
      </c>
      <c r="AK1029" s="1">
        <v>0.0</v>
      </c>
      <c r="AL1029" s="1">
        <v>161.0</v>
      </c>
      <c r="AM1029" s="1">
        <v>24.0</v>
      </c>
      <c r="AN1029" s="1">
        <v>117.0</v>
      </c>
      <c r="AO1029" s="1">
        <v>22.0</v>
      </c>
      <c r="AP1029" s="1">
        <v>0.01923</v>
      </c>
      <c r="AQ1029" s="1">
        <v>0.031777</v>
      </c>
      <c r="AR1029" s="1">
        <v>0.053219</v>
      </c>
      <c r="AS1029" s="1">
        <v>0.211738</v>
      </c>
      <c r="AT1029" s="1">
        <v>55834.0</v>
      </c>
      <c r="AU1029" s="1">
        <v>8501.0</v>
      </c>
      <c r="AV1029" s="1">
        <v>0.038418</v>
      </c>
      <c r="AW1029" s="1">
        <v>0.130298</v>
      </c>
      <c r="AX1029" s="1">
        <v>0.1234</v>
      </c>
      <c r="AY1029" s="1">
        <v>0.259597</v>
      </c>
      <c r="AZ1029" s="1">
        <v>0.03720626</v>
      </c>
      <c r="BA1029" s="1">
        <v>0.064442</v>
      </c>
      <c r="BB1029" s="1">
        <v>0.004385</v>
      </c>
      <c r="BC1029" s="1">
        <v>0.110164</v>
      </c>
      <c r="BD1029" s="1">
        <v>0.0</v>
      </c>
      <c r="BE1029" s="1">
        <v>0.126769</v>
      </c>
      <c r="BF1029" s="1">
        <v>0.0</v>
      </c>
      <c r="BG1029" s="1">
        <v>0.073359</v>
      </c>
      <c r="BH1029" s="1">
        <v>0.0</v>
      </c>
      <c r="BI1029" s="1">
        <v>0.111264</v>
      </c>
      <c r="BJ1029" s="1">
        <v>0.016586</v>
      </c>
      <c r="BK1029" s="1">
        <v>0.08085</v>
      </c>
      <c r="BL1029" s="1">
        <v>0.005027</v>
      </c>
      <c r="BM1029" s="1">
        <v>0.048</v>
      </c>
      <c r="BN1029" s="1">
        <v>0.327</v>
      </c>
      <c r="BO1029" s="1">
        <v>0.0173</v>
      </c>
      <c r="BP1029" s="1">
        <v>0.09</v>
      </c>
      <c r="BQ1029" s="1">
        <v>0.4823</v>
      </c>
      <c r="BR1029" s="1">
        <v>0.0621</v>
      </c>
      <c r="BS1029" s="1">
        <v>0.366</v>
      </c>
      <c r="BT1029" s="1">
        <v>0.701</v>
      </c>
      <c r="BU1029" s="1">
        <v>0.031</v>
      </c>
      <c r="BV1029" s="1">
        <v>1.098</v>
      </c>
      <c r="BW1029" s="1">
        <v>0.163</v>
      </c>
      <c r="BX1029" s="1">
        <v>0.338</v>
      </c>
      <c r="BY1029" s="1">
        <v>0.531</v>
      </c>
      <c r="BZ1029" s="1">
        <v>0.869</v>
      </c>
      <c r="CA1029" s="1">
        <v>0.446</v>
      </c>
      <c r="CB1029" s="1">
        <v>0.0</v>
      </c>
      <c r="CC1029" s="1">
        <v>0.0</v>
      </c>
      <c r="CD1029" s="1">
        <v>0.0</v>
      </c>
      <c r="CE1029" s="1">
        <v>0.148</v>
      </c>
      <c r="CF1029" s="1">
        <v>0.51</v>
      </c>
      <c r="CG1029" s="1">
        <v>0.658</v>
      </c>
      <c r="CH1029" s="1">
        <v>0.042</v>
      </c>
      <c r="CI1029" s="1">
        <v>3.1073</v>
      </c>
      <c r="CJ1029" s="1">
        <v>0.0238</v>
      </c>
      <c r="CK1029" s="1">
        <v>0.0</v>
      </c>
      <c r="CL1029" s="1">
        <v>0.0</v>
      </c>
      <c r="CM1029" s="1">
        <v>0.0</v>
      </c>
      <c r="CN1029" s="1">
        <v>0.0</v>
      </c>
      <c r="CO1029" s="1">
        <v>0.0</v>
      </c>
      <c r="CP1029" s="1">
        <v>0.0</v>
      </c>
      <c r="CQ1029" s="1">
        <v>0.0</v>
      </c>
      <c r="CR1029" s="1">
        <v>0.0</v>
      </c>
      <c r="CS1029" s="1">
        <v>0.0</v>
      </c>
      <c r="CT1029" s="1">
        <v>0.0</v>
      </c>
      <c r="CU1029" s="1">
        <v>0.0</v>
      </c>
      <c r="CV1029" s="1">
        <v>0.0</v>
      </c>
      <c r="CW1029" s="1">
        <v>0.0</v>
      </c>
      <c r="CX1029" s="1">
        <v>0.0</v>
      </c>
      <c r="CY1029" s="1">
        <v>0.0</v>
      </c>
      <c r="CZ1029" s="1">
        <v>0.0</v>
      </c>
      <c r="DA1029" s="1">
        <v>0.0</v>
      </c>
      <c r="DB1029" s="1">
        <v>0.0</v>
      </c>
      <c r="DC1029" s="1">
        <v>0.0</v>
      </c>
      <c r="DD1029" s="1" t="s">
        <v>4669</v>
      </c>
      <c r="DE1029" s="1">
        <v>0.00653463006413621</v>
      </c>
      <c r="DF1029" s="2" t="s">
        <v>4670</v>
      </c>
    </row>
    <row r="1030" ht="15.75" customHeight="1">
      <c r="A1030" s="1" t="s">
        <v>4671</v>
      </c>
      <c r="B1030" s="1">
        <v>29.0</v>
      </c>
      <c r="C1030" s="1">
        <v>189.0</v>
      </c>
      <c r="D1030" s="1">
        <v>221625.0</v>
      </c>
      <c r="E1030" s="1">
        <v>2.168</v>
      </c>
      <c r="F1030" s="1">
        <v>29189.0</v>
      </c>
      <c r="G1030" s="1">
        <v>2.9189221625E10</v>
      </c>
      <c r="H1030" s="1" t="s">
        <v>112</v>
      </c>
      <c r="I1030" s="1" t="s">
        <v>113</v>
      </c>
      <c r="J1030" s="1" t="s">
        <v>4566</v>
      </c>
      <c r="K1030" s="1" t="s">
        <v>4672</v>
      </c>
      <c r="L1030" s="1">
        <v>6762.0</v>
      </c>
      <c r="M1030" s="1">
        <v>6788.0</v>
      </c>
      <c r="N1030" s="1">
        <v>349.0</v>
      </c>
      <c r="O1030" s="1">
        <v>2569.0</v>
      </c>
      <c r="P1030" s="1">
        <v>2365.0</v>
      </c>
      <c r="Q1030" s="1">
        <v>114.0</v>
      </c>
      <c r="R1030" s="1">
        <v>2464.0</v>
      </c>
      <c r="S1030" s="1">
        <v>132.0</v>
      </c>
      <c r="T1030" s="1">
        <v>94.0</v>
      </c>
      <c r="U1030" s="1">
        <v>169.0</v>
      </c>
      <c r="V1030" s="1">
        <v>355.0</v>
      </c>
      <c r="W1030" s="1">
        <v>36261.0</v>
      </c>
      <c r="X1030" s="1">
        <v>2820.0</v>
      </c>
      <c r="Y1030" s="1">
        <v>70.0</v>
      </c>
      <c r="Z1030" s="1">
        <v>381.0</v>
      </c>
      <c r="AA1030" s="1">
        <v>534.0</v>
      </c>
      <c r="AB1030" s="1">
        <v>1928.0</v>
      </c>
      <c r="AC1030" s="1">
        <v>232.0</v>
      </c>
      <c r="AD1030" s="1">
        <v>725.0</v>
      </c>
      <c r="AE1030" s="1">
        <v>68.0</v>
      </c>
      <c r="AF1030" s="1">
        <v>430.0</v>
      </c>
      <c r="AG1030" s="1">
        <v>103.0</v>
      </c>
      <c r="AH1030" s="1">
        <v>77.0</v>
      </c>
      <c r="AI1030" s="1">
        <v>0.0</v>
      </c>
      <c r="AJ1030" s="1">
        <v>114.0</v>
      </c>
      <c r="AK1030" s="1">
        <v>0.0</v>
      </c>
      <c r="AL1030" s="1">
        <v>161.0</v>
      </c>
      <c r="AM1030" s="1">
        <v>13.0</v>
      </c>
      <c r="AN1030" s="1">
        <v>116.0</v>
      </c>
      <c r="AO1030" s="1">
        <v>0.0</v>
      </c>
      <c r="AP1030" s="1">
        <v>0.019672</v>
      </c>
      <c r="AQ1030" s="1">
        <v>0.013981</v>
      </c>
      <c r="AR1030" s="1">
        <v>0.046137</v>
      </c>
      <c r="AS1030" s="1">
        <v>0.096793</v>
      </c>
      <c r="AT1030" s="1">
        <v>36261.0</v>
      </c>
      <c r="AU1030" s="1">
        <v>2820.0</v>
      </c>
      <c r="AV1030" s="1">
        <v>0.016003</v>
      </c>
      <c r="AW1030" s="1">
        <v>0.087101</v>
      </c>
      <c r="AX1030" s="1">
        <v>0.07897</v>
      </c>
      <c r="AY1030" s="1">
        <v>0.285122</v>
      </c>
      <c r="AZ1030" s="1">
        <v>0.09415584</v>
      </c>
      <c r="BA1030" s="1">
        <v>0.107216</v>
      </c>
      <c r="BB1030" s="1">
        <v>0.01045</v>
      </c>
      <c r="BC1030" s="1">
        <v>0.06608</v>
      </c>
      <c r="BD1030" s="1">
        <v>0.043551</v>
      </c>
      <c r="BE1030" s="1">
        <v>0.03249</v>
      </c>
      <c r="BF1030" s="1">
        <v>0.0</v>
      </c>
      <c r="BG1030" s="1">
        <v>0.048202</v>
      </c>
      <c r="BH1030" s="1">
        <v>0.0</v>
      </c>
      <c r="BI1030" s="1">
        <v>0.069217</v>
      </c>
      <c r="BJ1030" s="1">
        <v>0.005588</v>
      </c>
      <c r="BK1030" s="1">
        <v>0.04987</v>
      </c>
      <c r="BL1030" s="1">
        <v>0.0</v>
      </c>
      <c r="BM1030" s="1">
        <v>0.051</v>
      </c>
      <c r="BN1030" s="1">
        <v>0.251</v>
      </c>
      <c r="BO1030" s="1">
        <v>0.0996</v>
      </c>
      <c r="BP1030" s="1">
        <v>0.028</v>
      </c>
      <c r="BQ1030" s="1">
        <v>0.4296</v>
      </c>
      <c r="BR1030" s="1">
        <v>0.0462</v>
      </c>
      <c r="BS1030" s="1">
        <v>0.111</v>
      </c>
      <c r="BT1030" s="1">
        <v>0.87</v>
      </c>
      <c r="BU1030" s="1">
        <v>0.442</v>
      </c>
      <c r="BV1030" s="1">
        <v>1.423</v>
      </c>
      <c r="BW1030" s="1">
        <v>0.41</v>
      </c>
      <c r="BX1030" s="1">
        <v>0.497</v>
      </c>
      <c r="BY1030" s="1">
        <v>0.733</v>
      </c>
      <c r="BZ1030" s="1">
        <v>1.23</v>
      </c>
      <c r="CA1030" s="1">
        <v>0.675</v>
      </c>
      <c r="CB1030" s="1">
        <v>0.626</v>
      </c>
      <c r="CC1030" s="1">
        <v>0.0</v>
      </c>
      <c r="CD1030" s="1">
        <v>0.0</v>
      </c>
      <c r="CE1030" s="1">
        <v>0.053</v>
      </c>
      <c r="CF1030" s="1">
        <v>0.0</v>
      </c>
      <c r="CG1030" s="1">
        <v>0.679</v>
      </c>
      <c r="CH1030" s="1">
        <v>0.044</v>
      </c>
      <c r="CI1030" s="1">
        <v>3.7616</v>
      </c>
      <c r="CJ1030" s="1">
        <v>0.0635</v>
      </c>
      <c r="CK1030" s="1">
        <v>0.0</v>
      </c>
      <c r="CL1030" s="1">
        <v>0.0</v>
      </c>
      <c r="CM1030" s="1">
        <v>0.0</v>
      </c>
      <c r="CN1030" s="1">
        <v>0.0</v>
      </c>
      <c r="CO1030" s="1">
        <v>0.0</v>
      </c>
      <c r="CP1030" s="1">
        <v>0.0</v>
      </c>
      <c r="CQ1030" s="1">
        <v>0.0</v>
      </c>
      <c r="CR1030" s="1">
        <v>0.0</v>
      </c>
      <c r="CS1030" s="1">
        <v>0.0</v>
      </c>
      <c r="CT1030" s="1">
        <v>0.0</v>
      </c>
      <c r="CU1030" s="1">
        <v>0.0</v>
      </c>
      <c r="CV1030" s="1">
        <v>0.0</v>
      </c>
      <c r="CW1030" s="1">
        <v>0.0</v>
      </c>
      <c r="CX1030" s="1">
        <v>0.0</v>
      </c>
      <c r="CY1030" s="1">
        <v>0.0</v>
      </c>
      <c r="CZ1030" s="1">
        <v>0.0</v>
      </c>
      <c r="DA1030" s="1">
        <v>0.0</v>
      </c>
      <c r="DB1030" s="1">
        <v>0.0</v>
      </c>
      <c r="DC1030" s="1">
        <v>0.0</v>
      </c>
      <c r="DD1030" s="1" t="s">
        <v>4673</v>
      </c>
      <c r="DE1030" s="1">
        <v>5.79270977949542E-4</v>
      </c>
      <c r="DF1030" s="2" t="s">
        <v>4674</v>
      </c>
    </row>
    <row r="1031" ht="15.75" customHeight="1">
      <c r="A1031" s="1" t="s">
        <v>4675</v>
      </c>
      <c r="B1031" s="1">
        <v>29.0</v>
      </c>
      <c r="C1031" s="1">
        <v>189.0</v>
      </c>
      <c r="D1031" s="1">
        <v>217931.0</v>
      </c>
      <c r="E1031" s="1">
        <v>1.47</v>
      </c>
      <c r="F1031" s="1">
        <v>29189.0</v>
      </c>
      <c r="G1031" s="1">
        <v>2.9189217931E10</v>
      </c>
      <c r="H1031" s="1" t="s">
        <v>112</v>
      </c>
      <c r="I1031" s="1" t="s">
        <v>113</v>
      </c>
      <c r="J1031" s="1" t="s">
        <v>4566</v>
      </c>
      <c r="K1031" s="1" t="s">
        <v>4676</v>
      </c>
      <c r="L1031" s="1">
        <v>6600.0</v>
      </c>
      <c r="M1031" s="1">
        <v>6044.0</v>
      </c>
      <c r="N1031" s="1">
        <v>330.0</v>
      </c>
      <c r="O1031" s="1">
        <v>2535.0</v>
      </c>
      <c r="P1031" s="1">
        <v>2514.0</v>
      </c>
      <c r="Q1031" s="1">
        <v>39.0</v>
      </c>
      <c r="R1031" s="1">
        <v>2458.0</v>
      </c>
      <c r="S1031" s="1">
        <v>219.0</v>
      </c>
      <c r="T1031" s="1">
        <v>129.0</v>
      </c>
      <c r="U1031" s="1">
        <v>160.0</v>
      </c>
      <c r="V1031" s="1">
        <v>287.0</v>
      </c>
      <c r="W1031" s="1">
        <v>31814.0</v>
      </c>
      <c r="X1031" s="1">
        <v>2790.0</v>
      </c>
      <c r="Y1031" s="1">
        <v>176.0</v>
      </c>
      <c r="Z1031" s="1">
        <v>238.0</v>
      </c>
      <c r="AA1031" s="1">
        <v>788.0</v>
      </c>
      <c r="AB1031" s="1">
        <v>1656.0</v>
      </c>
      <c r="AC1031" s="1">
        <v>204.0</v>
      </c>
      <c r="AD1031" s="1">
        <v>819.0</v>
      </c>
      <c r="AE1031" s="1">
        <v>14.0</v>
      </c>
      <c r="AF1031" s="1">
        <v>411.0</v>
      </c>
      <c r="AG1031" s="1">
        <v>71.0</v>
      </c>
      <c r="AH1031" s="1">
        <v>176.0</v>
      </c>
      <c r="AI1031" s="1">
        <v>3.0</v>
      </c>
      <c r="AJ1031" s="1">
        <v>5.0</v>
      </c>
      <c r="AK1031" s="1">
        <v>13.0</v>
      </c>
      <c r="AL1031" s="1">
        <v>115.0</v>
      </c>
      <c r="AM1031" s="1">
        <v>54.0</v>
      </c>
      <c r="AN1031" s="1">
        <v>33.0</v>
      </c>
      <c r="AO1031" s="1">
        <v>94.0</v>
      </c>
      <c r="AP1031" s="1">
        <v>0.036252</v>
      </c>
      <c r="AQ1031" s="1">
        <v>0.021261</v>
      </c>
      <c r="AR1031" s="1">
        <v>0.048765</v>
      </c>
      <c r="AS1031" s="1">
        <v>0.087369</v>
      </c>
      <c r="AT1031" s="1">
        <v>31814.0</v>
      </c>
      <c r="AU1031" s="1">
        <v>2790.0</v>
      </c>
      <c r="AV1031" s="1">
        <v>0.042014</v>
      </c>
      <c r="AW1031" s="1">
        <v>0.056767</v>
      </c>
      <c r="AX1031" s="1">
        <v>0.119393</v>
      </c>
      <c r="AY1031" s="1">
        <v>0.250909</v>
      </c>
      <c r="AZ1031" s="1">
        <v>0.0829943</v>
      </c>
      <c r="BA1031" s="1">
        <v>0.12409</v>
      </c>
      <c r="BB1031" s="1">
        <v>0.002483</v>
      </c>
      <c r="BC1031" s="1">
        <v>0.072898</v>
      </c>
      <c r="BD1031" s="1">
        <v>0.028241</v>
      </c>
      <c r="BE1031" s="1">
        <v>0.070006</v>
      </c>
      <c r="BF1031" s="1">
        <v>0.001193</v>
      </c>
      <c r="BG1031" s="1">
        <v>0.001988</v>
      </c>
      <c r="BH1031" s="1">
        <v>0.00552</v>
      </c>
      <c r="BI1031" s="1">
        <v>0.048831</v>
      </c>
      <c r="BJ1031" s="1">
        <v>0.022929</v>
      </c>
      <c r="BK1031" s="1">
        <v>0.013961</v>
      </c>
      <c r="BL1031" s="1">
        <v>0.014242</v>
      </c>
      <c r="BM1031" s="1">
        <v>0.108</v>
      </c>
      <c r="BN1031" s="1">
        <v>0.283</v>
      </c>
      <c r="BO1031" s="1">
        <v>0.1588</v>
      </c>
      <c r="BP1031" s="1">
        <v>0.102</v>
      </c>
      <c r="BQ1031" s="1">
        <v>0.6518</v>
      </c>
      <c r="BR1031" s="1">
        <v>0.1119</v>
      </c>
      <c r="BS1031" s="1">
        <v>0.34</v>
      </c>
      <c r="BT1031" s="1">
        <v>0.609</v>
      </c>
      <c r="BU1031" s="1">
        <v>0.337</v>
      </c>
      <c r="BV1031" s="1">
        <v>1.286</v>
      </c>
      <c r="BW1031" s="1">
        <v>0.292</v>
      </c>
      <c r="BX1031" s="1">
        <v>0.544</v>
      </c>
      <c r="BY1031" s="1">
        <v>0.412</v>
      </c>
      <c r="BZ1031" s="1">
        <v>0.956</v>
      </c>
      <c r="CA1031" s="1">
        <v>0.515</v>
      </c>
      <c r="CB1031" s="1">
        <v>0.538</v>
      </c>
      <c r="CC1031" s="1">
        <v>0.366</v>
      </c>
      <c r="CD1031" s="1">
        <v>0.348</v>
      </c>
      <c r="CE1031" s="1">
        <v>0.212</v>
      </c>
      <c r="CF1031" s="1">
        <v>0.639</v>
      </c>
      <c r="CG1031" s="1">
        <v>2.103</v>
      </c>
      <c r="CH1031" s="1">
        <v>0.382</v>
      </c>
      <c r="CI1031" s="1">
        <v>4.9968</v>
      </c>
      <c r="CJ1031" s="1">
        <v>0.2014</v>
      </c>
      <c r="CK1031" s="1">
        <v>0.0</v>
      </c>
      <c r="CL1031" s="1">
        <v>0.0</v>
      </c>
      <c r="CM1031" s="1">
        <v>0.0</v>
      </c>
      <c r="CN1031" s="1">
        <v>0.0</v>
      </c>
      <c r="CO1031" s="1">
        <v>0.0</v>
      </c>
      <c r="CP1031" s="1">
        <v>0.0</v>
      </c>
      <c r="CQ1031" s="1">
        <v>0.0</v>
      </c>
      <c r="CR1031" s="1">
        <v>0.0</v>
      </c>
      <c r="CS1031" s="1">
        <v>0.0</v>
      </c>
      <c r="CT1031" s="1">
        <v>0.0</v>
      </c>
      <c r="CU1031" s="1">
        <v>0.0</v>
      </c>
      <c r="CV1031" s="1">
        <v>0.0</v>
      </c>
      <c r="CW1031" s="1">
        <v>0.0</v>
      </c>
      <c r="CX1031" s="1">
        <v>0.0</v>
      </c>
      <c r="CY1031" s="1">
        <v>0.0</v>
      </c>
      <c r="CZ1031" s="1">
        <v>0.0</v>
      </c>
      <c r="DA1031" s="1">
        <v>0.0</v>
      </c>
      <c r="DB1031" s="1">
        <v>0.0</v>
      </c>
      <c r="DC1031" s="1">
        <v>0.0</v>
      </c>
      <c r="DD1031" s="1" t="s">
        <v>4677</v>
      </c>
      <c r="DE1031" s="1">
        <v>3.92971263503181E-4</v>
      </c>
      <c r="DF1031" s="1">
        <v>0.0894559726912193</v>
      </c>
    </row>
    <row r="1032" ht="15.75" customHeight="1">
      <c r="A1032" s="1" t="s">
        <v>4678</v>
      </c>
      <c r="B1032" s="1">
        <v>29.0</v>
      </c>
      <c r="C1032" s="1">
        <v>189.0</v>
      </c>
      <c r="D1032" s="1">
        <v>217941.0</v>
      </c>
      <c r="E1032" s="1">
        <v>1.832</v>
      </c>
      <c r="F1032" s="1">
        <v>29189.0</v>
      </c>
      <c r="G1032" s="1">
        <v>2.9189217941E10</v>
      </c>
      <c r="H1032" s="1" t="s">
        <v>112</v>
      </c>
      <c r="I1032" s="1" t="s">
        <v>113</v>
      </c>
      <c r="J1032" s="1" t="s">
        <v>4566</v>
      </c>
      <c r="K1032" s="1" t="s">
        <v>4679</v>
      </c>
      <c r="L1032" s="1">
        <v>5829.0</v>
      </c>
      <c r="M1032" s="1">
        <v>5634.0</v>
      </c>
      <c r="N1032" s="1">
        <v>299.0</v>
      </c>
      <c r="O1032" s="1">
        <v>2330.0</v>
      </c>
      <c r="P1032" s="1">
        <v>2309.0</v>
      </c>
      <c r="Q1032" s="1">
        <v>117.0</v>
      </c>
      <c r="R1032" s="1">
        <v>2249.0</v>
      </c>
      <c r="S1032" s="1">
        <v>414.0</v>
      </c>
      <c r="T1032" s="1">
        <v>378.0</v>
      </c>
      <c r="U1032" s="1">
        <v>101.0</v>
      </c>
      <c r="V1032" s="1">
        <v>461.0</v>
      </c>
      <c r="W1032" s="1">
        <v>32061.0</v>
      </c>
      <c r="X1032" s="1">
        <v>2928.0</v>
      </c>
      <c r="Y1032" s="1">
        <v>128.0</v>
      </c>
      <c r="Z1032" s="1">
        <v>330.0</v>
      </c>
      <c r="AA1032" s="1">
        <v>836.0</v>
      </c>
      <c r="AB1032" s="1">
        <v>1384.0</v>
      </c>
      <c r="AC1032" s="1">
        <v>152.0</v>
      </c>
      <c r="AD1032" s="1">
        <v>615.0</v>
      </c>
      <c r="AE1032" s="1">
        <v>64.0</v>
      </c>
      <c r="AF1032" s="1">
        <v>418.0</v>
      </c>
      <c r="AG1032" s="1">
        <v>74.0</v>
      </c>
      <c r="AH1032" s="1">
        <v>129.0</v>
      </c>
      <c r="AI1032" s="1">
        <v>9.0</v>
      </c>
      <c r="AJ1032" s="1">
        <v>15.0</v>
      </c>
      <c r="AK1032" s="1">
        <v>0.0</v>
      </c>
      <c r="AL1032" s="1">
        <v>161.0</v>
      </c>
      <c r="AM1032" s="1">
        <v>59.0</v>
      </c>
      <c r="AN1032" s="1">
        <v>123.0</v>
      </c>
      <c r="AO1032" s="1">
        <v>0.0</v>
      </c>
      <c r="AP1032" s="1">
        <v>0.073482</v>
      </c>
      <c r="AQ1032" s="1">
        <v>0.066979</v>
      </c>
      <c r="AR1032" s="1">
        <v>0.032549</v>
      </c>
      <c r="AS1032" s="1">
        <v>0.148527</v>
      </c>
      <c r="AT1032" s="1">
        <v>32061.0</v>
      </c>
      <c r="AU1032" s="1">
        <v>2928.0</v>
      </c>
      <c r="AV1032" s="1">
        <v>0.032553</v>
      </c>
      <c r="AW1032" s="1">
        <v>0.083904</v>
      </c>
      <c r="AX1032" s="1">
        <v>0.14342</v>
      </c>
      <c r="AY1032" s="1">
        <v>0.237433</v>
      </c>
      <c r="AZ1032" s="1">
        <v>0.06758559</v>
      </c>
      <c r="BA1032" s="1">
        <v>0.105506</v>
      </c>
      <c r="BB1032" s="1">
        <v>0.012305</v>
      </c>
      <c r="BC1032" s="1">
        <v>0.080365</v>
      </c>
      <c r="BD1032" s="1">
        <v>0.032048</v>
      </c>
      <c r="BE1032" s="1">
        <v>0.055844</v>
      </c>
      <c r="BF1032" s="1">
        <v>0.003897</v>
      </c>
      <c r="BG1032" s="1">
        <v>0.006493</v>
      </c>
      <c r="BH1032" s="1">
        <v>0.0</v>
      </c>
      <c r="BI1032" s="1">
        <v>0.071144</v>
      </c>
      <c r="BJ1032" s="1">
        <v>0.026071</v>
      </c>
      <c r="BK1032" s="1">
        <v>0.054333</v>
      </c>
      <c r="BL1032" s="1">
        <v>0.0</v>
      </c>
      <c r="BM1032" s="1">
        <v>0.261</v>
      </c>
      <c r="BN1032" s="1">
        <v>0.108</v>
      </c>
      <c r="BO1032" s="1">
        <v>0.1545</v>
      </c>
      <c r="BP1032" s="1">
        <v>0.069</v>
      </c>
      <c r="BQ1032" s="1">
        <v>0.5925</v>
      </c>
      <c r="BR1032" s="1">
        <v>0.091</v>
      </c>
      <c r="BS1032" s="1">
        <v>0.528</v>
      </c>
      <c r="BT1032" s="1">
        <v>0.467</v>
      </c>
      <c r="BU1032" s="1">
        <v>0.194</v>
      </c>
      <c r="BV1032" s="1">
        <v>1.189</v>
      </c>
      <c r="BW1032" s="1">
        <v>0.221</v>
      </c>
      <c r="BX1032" s="1">
        <v>0.49</v>
      </c>
      <c r="BY1032" s="1">
        <v>0.776</v>
      </c>
      <c r="BZ1032" s="1">
        <v>1.266</v>
      </c>
      <c r="CA1032" s="1">
        <v>0.692</v>
      </c>
      <c r="CB1032" s="1">
        <v>0.558</v>
      </c>
      <c r="CC1032" s="1">
        <v>0.377</v>
      </c>
      <c r="CD1032" s="1">
        <v>0.0</v>
      </c>
      <c r="CE1032" s="1">
        <v>0.251</v>
      </c>
      <c r="CF1032" s="1">
        <v>0.0</v>
      </c>
      <c r="CG1032" s="1">
        <v>1.186</v>
      </c>
      <c r="CH1032" s="1">
        <v>0.108</v>
      </c>
      <c r="CI1032" s="1">
        <v>4.2335</v>
      </c>
      <c r="CJ1032" s="1">
        <v>0.1097</v>
      </c>
      <c r="CK1032" s="1">
        <v>0.0</v>
      </c>
      <c r="CL1032" s="1">
        <v>0.0</v>
      </c>
      <c r="CM1032" s="1">
        <v>0.0</v>
      </c>
      <c r="CN1032" s="1">
        <v>0.0</v>
      </c>
      <c r="CO1032" s="1">
        <v>0.0</v>
      </c>
      <c r="CP1032" s="1">
        <v>0.0</v>
      </c>
      <c r="CQ1032" s="1">
        <v>0.0</v>
      </c>
      <c r="CR1032" s="1">
        <v>0.0</v>
      </c>
      <c r="CS1032" s="1">
        <v>0.0</v>
      </c>
      <c r="CT1032" s="1">
        <v>0.0</v>
      </c>
      <c r="CU1032" s="1">
        <v>0.0</v>
      </c>
      <c r="CV1032" s="1">
        <v>0.0</v>
      </c>
      <c r="CW1032" s="1">
        <v>0.0</v>
      </c>
      <c r="CX1032" s="1">
        <v>0.0</v>
      </c>
      <c r="CY1032" s="1">
        <v>0.0</v>
      </c>
      <c r="CZ1032" s="1">
        <v>0.0</v>
      </c>
      <c r="DA1032" s="1">
        <v>0.0</v>
      </c>
      <c r="DB1032" s="1">
        <v>0.0</v>
      </c>
      <c r="DC1032" s="1">
        <v>0.0</v>
      </c>
      <c r="DD1032" s="1" t="s">
        <v>4680</v>
      </c>
      <c r="DE1032" s="1">
        <v>4.92128039754811E-4</v>
      </c>
      <c r="DF1032" s="1">
        <v>0.099399426839127</v>
      </c>
    </row>
    <row r="1033" ht="15.75" customHeight="1">
      <c r="A1033" s="1" t="s">
        <v>4681</v>
      </c>
      <c r="B1033" s="1">
        <v>29.0</v>
      </c>
      <c r="C1033" s="1">
        <v>189.0</v>
      </c>
      <c r="D1033" s="1">
        <v>220002.0</v>
      </c>
      <c r="E1033" s="1">
        <v>0.541</v>
      </c>
      <c r="F1033" s="1">
        <v>29189.0</v>
      </c>
      <c r="G1033" s="1">
        <v>2.9189220002E10</v>
      </c>
      <c r="H1033" s="1" t="s">
        <v>112</v>
      </c>
      <c r="I1033" s="1" t="s">
        <v>113</v>
      </c>
      <c r="J1033" s="1" t="s">
        <v>4566</v>
      </c>
      <c r="K1033" s="1" t="s">
        <v>4682</v>
      </c>
      <c r="L1033" s="1">
        <v>3279.0</v>
      </c>
      <c r="M1033" s="1">
        <v>2976.0</v>
      </c>
      <c r="N1033" s="1">
        <v>210.0</v>
      </c>
      <c r="O1033" s="1">
        <v>1625.0</v>
      </c>
      <c r="P1033" s="1">
        <v>1506.0</v>
      </c>
      <c r="Q1033" s="1">
        <v>81.0</v>
      </c>
      <c r="R1033" s="1">
        <v>1521.0</v>
      </c>
      <c r="S1033" s="1">
        <v>257.0</v>
      </c>
      <c r="T1033" s="1">
        <v>180.0</v>
      </c>
      <c r="U1033" s="1">
        <v>112.0</v>
      </c>
      <c r="V1033" s="1">
        <v>437.0</v>
      </c>
      <c r="W1033" s="1">
        <v>26028.0</v>
      </c>
      <c r="X1033" s="1">
        <v>3034.0</v>
      </c>
      <c r="Y1033" s="1">
        <v>313.0</v>
      </c>
      <c r="Z1033" s="1">
        <v>312.0</v>
      </c>
      <c r="AA1033" s="1">
        <v>408.0</v>
      </c>
      <c r="AB1033" s="1">
        <v>665.0</v>
      </c>
      <c r="AC1033" s="1">
        <v>131.0</v>
      </c>
      <c r="AD1033" s="1">
        <v>259.0</v>
      </c>
      <c r="AE1033" s="1">
        <v>111.0</v>
      </c>
      <c r="AF1033" s="1">
        <v>436.0</v>
      </c>
      <c r="AG1033" s="1">
        <v>127.0</v>
      </c>
      <c r="AH1033" s="1">
        <v>112.0</v>
      </c>
      <c r="AI1033" s="1">
        <v>0.0</v>
      </c>
      <c r="AJ1033" s="1">
        <v>114.0</v>
      </c>
      <c r="AK1033" s="1">
        <v>0.0</v>
      </c>
      <c r="AL1033" s="1">
        <v>161.0</v>
      </c>
      <c r="AM1033" s="1">
        <v>119.0</v>
      </c>
      <c r="AN1033" s="1">
        <v>97.0</v>
      </c>
      <c r="AO1033" s="1">
        <v>0.0</v>
      </c>
      <c r="AP1033" s="1">
        <v>0.086357</v>
      </c>
      <c r="AQ1033" s="1">
        <v>0.060176</v>
      </c>
      <c r="AR1033" s="1">
        <v>0.06342</v>
      </c>
      <c r="AS1033" s="1">
        <v>0.247148</v>
      </c>
      <c r="AT1033" s="1">
        <v>26028.0</v>
      </c>
      <c r="AU1033" s="1">
        <v>3034.0</v>
      </c>
      <c r="AV1033" s="1">
        <v>0.156265</v>
      </c>
      <c r="AW1033" s="1">
        <v>0.155081</v>
      </c>
      <c r="AX1033" s="1">
        <v>0.124428</v>
      </c>
      <c r="AY1033" s="1">
        <v>0.202805</v>
      </c>
      <c r="AZ1033" s="1">
        <v>0.08612754</v>
      </c>
      <c r="BA1033" s="1">
        <v>0.078987</v>
      </c>
      <c r="BB1033" s="1">
        <v>0.039727</v>
      </c>
      <c r="BC1033" s="1">
        <v>0.156013</v>
      </c>
      <c r="BD1033" s="1">
        <v>0.084329</v>
      </c>
      <c r="BE1033" s="1">
        <v>0.07423</v>
      </c>
      <c r="BF1033" s="1">
        <v>0.0</v>
      </c>
      <c r="BG1033" s="1">
        <v>0.075697</v>
      </c>
      <c r="BH1033" s="1">
        <v>0.0</v>
      </c>
      <c r="BI1033" s="1">
        <v>0.106905</v>
      </c>
      <c r="BJ1033" s="1">
        <v>0.079017</v>
      </c>
      <c r="BK1033" s="1">
        <v>0.064268</v>
      </c>
      <c r="BL1033" s="1">
        <v>0.0</v>
      </c>
      <c r="BM1033" s="1">
        <v>0.322</v>
      </c>
      <c r="BN1033" s="1">
        <v>0.455</v>
      </c>
      <c r="BO1033" s="1">
        <v>0.3105</v>
      </c>
      <c r="BP1033" s="1">
        <v>0.592</v>
      </c>
      <c r="BQ1033" s="1">
        <v>1.6795</v>
      </c>
      <c r="BR1033" s="1">
        <v>0.3964</v>
      </c>
      <c r="BS1033" s="1">
        <v>0.375</v>
      </c>
      <c r="BT1033" s="1">
        <v>0.197</v>
      </c>
      <c r="BU1033" s="1">
        <v>0.368</v>
      </c>
      <c r="BV1033" s="1">
        <v>0.94</v>
      </c>
      <c r="BW1033" s="1">
        <v>0.099</v>
      </c>
      <c r="BX1033" s="1">
        <v>0.396</v>
      </c>
      <c r="BY1033" s="1">
        <v>0.946</v>
      </c>
      <c r="BZ1033" s="1">
        <v>1.342</v>
      </c>
      <c r="CA1033" s="1">
        <v>0.732</v>
      </c>
      <c r="CB1033" s="1">
        <v>0.74</v>
      </c>
      <c r="CC1033" s="1">
        <v>0.0</v>
      </c>
      <c r="CD1033" s="1">
        <v>0.0</v>
      </c>
      <c r="CE1033" s="1">
        <v>0.666</v>
      </c>
      <c r="CF1033" s="1">
        <v>0.0</v>
      </c>
      <c r="CG1033" s="1">
        <v>1.406</v>
      </c>
      <c r="CH1033" s="1">
        <v>0.148</v>
      </c>
      <c r="CI1033" s="1">
        <v>5.3675</v>
      </c>
      <c r="CJ1033" s="1">
        <v>0.2585</v>
      </c>
      <c r="CK1033" s="1">
        <v>0.0</v>
      </c>
      <c r="CL1033" s="1">
        <v>0.0</v>
      </c>
      <c r="CM1033" s="1">
        <v>0.0</v>
      </c>
      <c r="CN1033" s="1">
        <v>0.0</v>
      </c>
      <c r="CO1033" s="1">
        <v>0.0</v>
      </c>
      <c r="CP1033" s="1">
        <v>0.0</v>
      </c>
      <c r="CQ1033" s="1">
        <v>0.0</v>
      </c>
      <c r="CR1033" s="1">
        <v>0.0</v>
      </c>
      <c r="CS1033" s="1">
        <v>0.0</v>
      </c>
      <c r="CT1033" s="1">
        <v>0.0</v>
      </c>
      <c r="CU1033" s="1">
        <v>1.0</v>
      </c>
      <c r="CV1033" s="1">
        <v>1.0</v>
      </c>
      <c r="CW1033" s="1">
        <v>0.0</v>
      </c>
      <c r="CX1033" s="1">
        <v>0.0</v>
      </c>
      <c r="CY1033" s="1">
        <v>0.0</v>
      </c>
      <c r="CZ1033" s="1">
        <v>0.0</v>
      </c>
      <c r="DA1033" s="1">
        <v>0.0</v>
      </c>
      <c r="DB1033" s="1">
        <v>0.0</v>
      </c>
      <c r="DC1033" s="1">
        <v>1.0</v>
      </c>
      <c r="DD1033" s="1" t="s">
        <v>4683</v>
      </c>
      <c r="DE1033" s="1">
        <v>1.4643980085881E-4</v>
      </c>
      <c r="DF1033" s="1">
        <v>0.0641524449670302</v>
      </c>
    </row>
    <row r="1034" ht="15.75" customHeight="1">
      <c r="A1034" s="1" t="s">
        <v>4684</v>
      </c>
      <c r="B1034" s="1">
        <v>29.0</v>
      </c>
      <c r="C1034" s="1">
        <v>189.0</v>
      </c>
      <c r="D1034" s="1">
        <v>220100.0</v>
      </c>
      <c r="E1034" s="1">
        <v>2.131</v>
      </c>
      <c r="F1034" s="1">
        <v>29189.0</v>
      </c>
      <c r="G1034" s="1">
        <v>2.91892201E10</v>
      </c>
      <c r="H1034" s="1" t="s">
        <v>112</v>
      </c>
      <c r="I1034" s="1" t="s">
        <v>113</v>
      </c>
      <c r="J1034" s="1" t="s">
        <v>4566</v>
      </c>
      <c r="K1034" s="1" t="s">
        <v>4685</v>
      </c>
      <c r="L1034" s="1">
        <v>7542.0</v>
      </c>
      <c r="M1034" s="1">
        <v>6991.0</v>
      </c>
      <c r="N1034" s="1">
        <v>387.0</v>
      </c>
      <c r="O1034" s="1">
        <v>3435.0</v>
      </c>
      <c r="P1034" s="1">
        <v>3323.0</v>
      </c>
      <c r="Q1034" s="1">
        <v>74.0</v>
      </c>
      <c r="R1034" s="1">
        <v>3230.0</v>
      </c>
      <c r="S1034" s="1">
        <v>618.0</v>
      </c>
      <c r="T1034" s="1">
        <v>289.0</v>
      </c>
      <c r="U1034" s="1">
        <v>198.0</v>
      </c>
      <c r="V1034" s="1">
        <v>389.0</v>
      </c>
      <c r="W1034" s="1">
        <v>24808.0</v>
      </c>
      <c r="X1034" s="1">
        <v>4952.0</v>
      </c>
      <c r="Y1034" s="1">
        <v>796.0</v>
      </c>
      <c r="Z1034" s="1">
        <v>261.0</v>
      </c>
      <c r="AA1034" s="1">
        <v>1366.0</v>
      </c>
      <c r="AB1034" s="1">
        <v>1516.0</v>
      </c>
      <c r="AC1034" s="1">
        <v>300.0</v>
      </c>
      <c r="AD1034" s="1">
        <v>699.0</v>
      </c>
      <c r="AE1034" s="1">
        <v>448.0</v>
      </c>
      <c r="AF1034" s="1">
        <v>436.0</v>
      </c>
      <c r="AG1034" s="1">
        <v>214.0</v>
      </c>
      <c r="AH1034" s="1">
        <v>124.0</v>
      </c>
      <c r="AI1034" s="1">
        <v>0.0</v>
      </c>
      <c r="AJ1034" s="1">
        <v>114.0</v>
      </c>
      <c r="AK1034" s="1">
        <v>32.0</v>
      </c>
      <c r="AL1034" s="1">
        <v>120.0</v>
      </c>
      <c r="AM1034" s="1">
        <v>146.0</v>
      </c>
      <c r="AN1034" s="1">
        <v>74.0</v>
      </c>
      <c r="AO1034" s="1">
        <v>173.0</v>
      </c>
      <c r="AP1034" s="1">
        <v>0.088399</v>
      </c>
      <c r="AQ1034" s="1">
        <v>0.041048</v>
      </c>
      <c r="AR1034" s="1">
        <v>0.053877</v>
      </c>
      <c r="AS1034" s="1">
        <v>0.105718</v>
      </c>
      <c r="AT1034" s="1">
        <v>24808.0</v>
      </c>
      <c r="AU1034" s="1">
        <v>4952.0</v>
      </c>
      <c r="AV1034" s="1">
        <v>0.157592</v>
      </c>
      <c r="AW1034" s="1">
        <v>0.051027</v>
      </c>
      <c r="AX1034" s="1">
        <v>0.181119</v>
      </c>
      <c r="AY1034" s="1">
        <v>0.201007</v>
      </c>
      <c r="AZ1034" s="1">
        <v>0.09287925</v>
      </c>
      <c r="BA1034" s="1">
        <v>0.09268</v>
      </c>
      <c r="BB1034" s="1">
        <v>0.068105</v>
      </c>
      <c r="BC1034" s="1">
        <v>0.066178</v>
      </c>
      <c r="BD1034" s="1">
        <v>0.064399</v>
      </c>
      <c r="BE1034" s="1">
        <v>0.037288</v>
      </c>
      <c r="BF1034" s="1">
        <v>0.0</v>
      </c>
      <c r="BG1034" s="1">
        <v>0.034306</v>
      </c>
      <c r="BH1034" s="1">
        <v>0.010085</v>
      </c>
      <c r="BI1034" s="1">
        <v>0.037817</v>
      </c>
      <c r="BJ1034" s="1">
        <v>0.046013</v>
      </c>
      <c r="BK1034" s="1">
        <v>0.023253</v>
      </c>
      <c r="BL1034" s="1">
        <v>0.022938</v>
      </c>
      <c r="BM1034" s="1">
        <v>0.332</v>
      </c>
      <c r="BN1034" s="1">
        <v>0.336</v>
      </c>
      <c r="BO1034" s="1">
        <v>0.356</v>
      </c>
      <c r="BP1034" s="1">
        <v>0.599</v>
      </c>
      <c r="BQ1034" s="1">
        <v>1.623</v>
      </c>
      <c r="BR1034" s="1">
        <v>0.3798</v>
      </c>
      <c r="BS1034" s="1">
        <v>0.796</v>
      </c>
      <c r="BT1034" s="1">
        <v>0.19</v>
      </c>
      <c r="BU1034" s="1">
        <v>0.428</v>
      </c>
      <c r="BV1034" s="1">
        <v>1.414</v>
      </c>
      <c r="BW1034" s="1">
        <v>0.402</v>
      </c>
      <c r="BX1034" s="1">
        <v>0.44</v>
      </c>
      <c r="BY1034" s="1">
        <v>0.976</v>
      </c>
      <c r="BZ1034" s="1">
        <v>1.416</v>
      </c>
      <c r="CA1034" s="1">
        <v>0.771</v>
      </c>
      <c r="CB1034" s="1">
        <v>0.7</v>
      </c>
      <c r="CC1034" s="1">
        <v>0.0</v>
      </c>
      <c r="CD1034" s="1">
        <v>0.478</v>
      </c>
      <c r="CE1034" s="1">
        <v>0.451</v>
      </c>
      <c r="CF1034" s="1">
        <v>0.747</v>
      </c>
      <c r="CG1034" s="1">
        <v>2.376</v>
      </c>
      <c r="CH1034" s="1">
        <v>0.502</v>
      </c>
      <c r="CI1034" s="1">
        <v>6.829</v>
      </c>
      <c r="CJ1034" s="1">
        <v>0.5177</v>
      </c>
      <c r="CK1034" s="1">
        <v>0.0</v>
      </c>
      <c r="CL1034" s="1">
        <v>0.0</v>
      </c>
      <c r="CM1034" s="1">
        <v>0.0</v>
      </c>
      <c r="CN1034" s="1">
        <v>0.0</v>
      </c>
      <c r="CO1034" s="1">
        <v>0.0</v>
      </c>
      <c r="CP1034" s="1">
        <v>0.0</v>
      </c>
      <c r="CQ1034" s="1">
        <v>0.0</v>
      </c>
      <c r="CR1034" s="1">
        <v>0.0</v>
      </c>
      <c r="CS1034" s="1">
        <v>0.0</v>
      </c>
      <c r="CT1034" s="1">
        <v>0.0</v>
      </c>
      <c r="CU1034" s="1">
        <v>1.0</v>
      </c>
      <c r="CV1034" s="1">
        <v>1.0</v>
      </c>
      <c r="CW1034" s="1">
        <v>0.0</v>
      </c>
      <c r="CX1034" s="1">
        <v>0.0</v>
      </c>
      <c r="CY1034" s="1">
        <v>0.0</v>
      </c>
      <c r="CZ1034" s="1">
        <v>0.0</v>
      </c>
      <c r="DA1034" s="1">
        <v>0.0</v>
      </c>
      <c r="DB1034" s="1">
        <v>0.0</v>
      </c>
      <c r="DC1034" s="1">
        <v>1.0</v>
      </c>
      <c r="DD1034" s="1" t="s">
        <v>4686</v>
      </c>
      <c r="DE1034" s="1">
        <v>5.69192295117508E-4</v>
      </c>
      <c r="DF1034" s="2" t="s">
        <v>4687</v>
      </c>
    </row>
    <row r="1035" ht="15.75" customHeight="1">
      <c r="A1035" s="1" t="s">
        <v>4688</v>
      </c>
      <c r="B1035" s="1">
        <v>29.0</v>
      </c>
      <c r="C1035" s="1">
        <v>189.0</v>
      </c>
      <c r="D1035" s="1">
        <v>215302.0</v>
      </c>
      <c r="E1035" s="1">
        <v>3.146</v>
      </c>
      <c r="F1035" s="1">
        <v>29189.0</v>
      </c>
      <c r="G1035" s="1">
        <v>2.9189215302E10</v>
      </c>
      <c r="H1035" s="1" t="s">
        <v>112</v>
      </c>
      <c r="I1035" s="1" t="s">
        <v>113</v>
      </c>
      <c r="J1035" s="1" t="s">
        <v>4566</v>
      </c>
      <c r="K1035" s="1" t="s">
        <v>4689</v>
      </c>
      <c r="L1035" s="1">
        <v>3289.0</v>
      </c>
      <c r="M1035" s="1">
        <v>2982.0</v>
      </c>
      <c r="N1035" s="1">
        <v>231.0</v>
      </c>
      <c r="O1035" s="1">
        <v>1324.0</v>
      </c>
      <c r="P1035" s="1">
        <v>1246.0</v>
      </c>
      <c r="Q1035" s="1">
        <v>82.0</v>
      </c>
      <c r="R1035" s="1">
        <v>1236.0</v>
      </c>
      <c r="S1035" s="1">
        <v>33.0</v>
      </c>
      <c r="T1035" s="1">
        <v>123.0</v>
      </c>
      <c r="U1035" s="1">
        <v>38.0</v>
      </c>
      <c r="V1035" s="1">
        <v>457.0</v>
      </c>
      <c r="W1035" s="1">
        <v>89887.0</v>
      </c>
      <c r="X1035" s="1">
        <v>13734.0</v>
      </c>
      <c r="Y1035" s="1">
        <v>24.0</v>
      </c>
      <c r="Z1035" s="1">
        <v>379.0</v>
      </c>
      <c r="AA1035" s="1">
        <v>654.0</v>
      </c>
      <c r="AB1035" s="1">
        <v>826.0</v>
      </c>
      <c r="AC1035" s="1">
        <v>63.0</v>
      </c>
      <c r="AD1035" s="1">
        <v>476.0</v>
      </c>
      <c r="AE1035" s="1">
        <v>8.0</v>
      </c>
      <c r="AF1035" s="1">
        <v>442.0</v>
      </c>
      <c r="AG1035" s="1">
        <v>0.0</v>
      </c>
      <c r="AH1035" s="1">
        <v>197.0</v>
      </c>
      <c r="AI1035" s="1">
        <v>11.0</v>
      </c>
      <c r="AJ1035" s="1">
        <v>17.0</v>
      </c>
      <c r="AK1035" s="1">
        <v>0.0</v>
      </c>
      <c r="AL1035" s="1">
        <v>161.0</v>
      </c>
      <c r="AM1035" s="1">
        <v>10.0</v>
      </c>
      <c r="AN1035" s="1">
        <v>115.0</v>
      </c>
      <c r="AO1035" s="1">
        <v>17.0</v>
      </c>
      <c r="AP1035" s="1">
        <v>0.011066</v>
      </c>
      <c r="AQ1035" s="1">
        <v>0.041238</v>
      </c>
      <c r="AR1035" s="1">
        <v>0.03223</v>
      </c>
      <c r="AS1035" s="1">
        <v>0.387571</v>
      </c>
      <c r="AT1035" s="1">
        <v>89887.0</v>
      </c>
      <c r="AU1035" s="1">
        <v>13734.0</v>
      </c>
      <c r="AV1035" s="1">
        <v>0.010776</v>
      </c>
      <c r="AW1035" s="1">
        <v>0.170182</v>
      </c>
      <c r="AX1035" s="1">
        <v>0.198844</v>
      </c>
      <c r="AY1035" s="1">
        <v>0.25114</v>
      </c>
      <c r="AZ1035" s="1">
        <v>0.05097087</v>
      </c>
      <c r="BA1035" s="1">
        <v>0.144724</v>
      </c>
      <c r="BB1035" s="1">
        <v>0.002835</v>
      </c>
      <c r="BC1035" s="1">
        <v>0.156681</v>
      </c>
      <c r="BD1035" s="1">
        <v>0.0</v>
      </c>
      <c r="BE1035" s="1">
        <v>0.158105</v>
      </c>
      <c r="BF1035" s="1">
        <v>0.008828</v>
      </c>
      <c r="BG1035" s="1">
        <v>0.013631</v>
      </c>
      <c r="BH1035" s="1">
        <v>0.0</v>
      </c>
      <c r="BI1035" s="1">
        <v>0.134054</v>
      </c>
      <c r="BJ1035" s="1">
        <v>0.008326</v>
      </c>
      <c r="BK1035" s="1">
        <v>0.095751</v>
      </c>
      <c r="BL1035" s="1">
        <v>0.005168</v>
      </c>
      <c r="BM1035" s="1">
        <v>0.023</v>
      </c>
      <c r="BN1035" s="1">
        <v>0.106</v>
      </c>
      <c r="BO1035" s="1">
        <v>7.0E-4</v>
      </c>
      <c r="BP1035" s="1">
        <v>0.017</v>
      </c>
      <c r="BQ1035" s="1">
        <v>0.1467</v>
      </c>
      <c r="BR1035" s="1">
        <v>0.0029</v>
      </c>
      <c r="BS1035" s="1">
        <v>0.866</v>
      </c>
      <c r="BT1035" s="1">
        <v>0.613</v>
      </c>
      <c r="BU1035" s="1">
        <v>0.08</v>
      </c>
      <c r="BV1035" s="1">
        <v>1.559</v>
      </c>
      <c r="BW1035" s="1">
        <v>0.53</v>
      </c>
      <c r="BX1035" s="1">
        <v>0.605</v>
      </c>
      <c r="BY1035" s="1">
        <v>0.44</v>
      </c>
      <c r="BZ1035" s="1">
        <v>1.045</v>
      </c>
      <c r="CA1035" s="1">
        <v>0.579</v>
      </c>
      <c r="CB1035" s="1">
        <v>0.0</v>
      </c>
      <c r="CC1035" s="1">
        <v>0.448</v>
      </c>
      <c r="CD1035" s="1">
        <v>0.0</v>
      </c>
      <c r="CE1035" s="1">
        <v>0.066</v>
      </c>
      <c r="CF1035" s="1">
        <v>0.514</v>
      </c>
      <c r="CG1035" s="1">
        <v>1.028</v>
      </c>
      <c r="CH1035" s="1">
        <v>0.079</v>
      </c>
      <c r="CI1035" s="1">
        <v>3.7787</v>
      </c>
      <c r="CJ1035" s="1">
        <v>0.0643</v>
      </c>
      <c r="CK1035" s="1">
        <v>0.0</v>
      </c>
      <c r="CL1035" s="1">
        <v>0.0</v>
      </c>
      <c r="CM1035" s="1">
        <v>0.0</v>
      </c>
      <c r="CN1035" s="1">
        <v>0.0</v>
      </c>
      <c r="CO1035" s="1">
        <v>0.0</v>
      </c>
      <c r="CP1035" s="1">
        <v>0.0</v>
      </c>
      <c r="CQ1035" s="1">
        <v>0.0</v>
      </c>
      <c r="CR1035" s="1">
        <v>0.0</v>
      </c>
      <c r="CS1035" s="1">
        <v>0.0</v>
      </c>
      <c r="CT1035" s="1">
        <v>0.0</v>
      </c>
      <c r="CU1035" s="1">
        <v>0.0</v>
      </c>
      <c r="CV1035" s="1">
        <v>0.0</v>
      </c>
      <c r="CW1035" s="1">
        <v>0.0</v>
      </c>
      <c r="CX1035" s="1">
        <v>0.0</v>
      </c>
      <c r="CY1035" s="1">
        <v>0.0</v>
      </c>
      <c r="CZ1035" s="1">
        <v>0.0</v>
      </c>
      <c r="DA1035" s="1">
        <v>0.0</v>
      </c>
      <c r="DB1035" s="1">
        <v>0.0</v>
      </c>
      <c r="DC1035" s="1">
        <v>0.0</v>
      </c>
      <c r="DD1035" s="1" t="s">
        <v>4690</v>
      </c>
      <c r="DE1035" s="1">
        <v>8.4272646261719E-4</v>
      </c>
      <c r="DF1035" s="2" t="s">
        <v>4691</v>
      </c>
    </row>
    <row r="1036" ht="15.75" customHeight="1">
      <c r="A1036" s="1" t="s">
        <v>4692</v>
      </c>
      <c r="B1036" s="1">
        <v>29.0</v>
      </c>
      <c r="C1036" s="1">
        <v>189.0</v>
      </c>
      <c r="D1036" s="1">
        <v>215400.0</v>
      </c>
      <c r="E1036" s="1">
        <v>4.276</v>
      </c>
      <c r="F1036" s="1">
        <v>29189.0</v>
      </c>
      <c r="G1036" s="1">
        <v>2.91892154E10</v>
      </c>
      <c r="H1036" s="1" t="s">
        <v>112</v>
      </c>
      <c r="I1036" s="1" t="s">
        <v>113</v>
      </c>
      <c r="J1036" s="1" t="s">
        <v>4566</v>
      </c>
      <c r="K1036" s="1" t="s">
        <v>4693</v>
      </c>
      <c r="L1036" s="1">
        <v>5159.0</v>
      </c>
      <c r="M1036" s="1">
        <v>5157.0</v>
      </c>
      <c r="N1036" s="1">
        <v>210.0</v>
      </c>
      <c r="O1036" s="1">
        <v>2043.0</v>
      </c>
      <c r="P1036" s="1">
        <v>2020.0</v>
      </c>
      <c r="Q1036" s="1">
        <v>91.0</v>
      </c>
      <c r="R1036" s="1">
        <v>1933.0</v>
      </c>
      <c r="S1036" s="1">
        <v>65.0</v>
      </c>
      <c r="T1036" s="1">
        <v>53.0</v>
      </c>
      <c r="U1036" s="1">
        <v>72.0</v>
      </c>
      <c r="V1036" s="1">
        <v>397.0</v>
      </c>
      <c r="W1036" s="1">
        <v>85287.0</v>
      </c>
      <c r="X1036" s="1">
        <v>11598.0</v>
      </c>
      <c r="Y1036" s="1">
        <v>29.0</v>
      </c>
      <c r="Z1036" s="1">
        <v>412.0</v>
      </c>
      <c r="AA1036" s="1">
        <v>935.0</v>
      </c>
      <c r="AB1036" s="1">
        <v>1440.0</v>
      </c>
      <c r="AC1036" s="1">
        <v>84.0</v>
      </c>
      <c r="AD1036" s="1">
        <v>353.0</v>
      </c>
      <c r="AE1036" s="1">
        <v>16.0</v>
      </c>
      <c r="AF1036" s="1">
        <v>442.0</v>
      </c>
      <c r="AG1036" s="1">
        <v>19.0</v>
      </c>
      <c r="AH1036" s="1">
        <v>162.0</v>
      </c>
      <c r="AI1036" s="1">
        <v>0.0</v>
      </c>
      <c r="AJ1036" s="1">
        <v>114.0</v>
      </c>
      <c r="AK1036" s="1">
        <v>0.0</v>
      </c>
      <c r="AL1036" s="1">
        <v>161.0</v>
      </c>
      <c r="AM1036" s="1">
        <v>22.0</v>
      </c>
      <c r="AN1036" s="1">
        <v>23.0</v>
      </c>
      <c r="AO1036" s="1">
        <v>0.0</v>
      </c>
      <c r="AP1036" s="1">
        <v>0.012604</v>
      </c>
      <c r="AQ1036" s="1">
        <v>0.010264</v>
      </c>
      <c r="AR1036" s="1">
        <v>0.034934</v>
      </c>
      <c r="AS1036" s="1">
        <v>0.192593</v>
      </c>
      <c r="AT1036" s="1">
        <v>85287.0</v>
      </c>
      <c r="AU1036" s="1">
        <v>11598.0</v>
      </c>
      <c r="AV1036" s="1">
        <v>0.00808</v>
      </c>
      <c r="AW1036" s="1">
        <v>0.114794</v>
      </c>
      <c r="AX1036" s="1">
        <v>0.181236</v>
      </c>
      <c r="AY1036" s="1">
        <v>0.279123</v>
      </c>
      <c r="AZ1036" s="1">
        <v>0.04345576</v>
      </c>
      <c r="BA1036" s="1">
        <v>0.068424</v>
      </c>
      <c r="BB1036" s="1">
        <v>0.003272</v>
      </c>
      <c r="BC1036" s="1">
        <v>0.090406</v>
      </c>
      <c r="BD1036" s="1">
        <v>0.009405</v>
      </c>
      <c r="BE1036" s="1">
        <v>0.080196</v>
      </c>
      <c r="BF1036" s="1">
        <v>0.0</v>
      </c>
      <c r="BG1036" s="1">
        <v>0.056435</v>
      </c>
      <c r="BH1036" s="1">
        <v>0.0</v>
      </c>
      <c r="BI1036" s="1">
        <v>0.085501</v>
      </c>
      <c r="BJ1036" s="1">
        <v>0.011683</v>
      </c>
      <c r="BK1036" s="1">
        <v>0.012205</v>
      </c>
      <c r="BL1036" s="1">
        <v>0.0</v>
      </c>
      <c r="BM1036" s="1">
        <v>0.03</v>
      </c>
      <c r="BN1036" s="1">
        <v>0.13</v>
      </c>
      <c r="BO1036" s="1">
        <v>0.0014</v>
      </c>
      <c r="BP1036" s="1">
        <v>0.012</v>
      </c>
      <c r="BQ1036" s="1">
        <v>0.1734</v>
      </c>
      <c r="BR1036" s="1">
        <v>0.0051</v>
      </c>
      <c r="BS1036" s="1">
        <v>0.797</v>
      </c>
      <c r="BT1036" s="1">
        <v>0.845</v>
      </c>
      <c r="BU1036" s="1">
        <v>0.051</v>
      </c>
      <c r="BV1036" s="1">
        <v>1.693</v>
      </c>
      <c r="BW1036" s="1">
        <v>0.636</v>
      </c>
      <c r="BX1036" s="1">
        <v>0.357</v>
      </c>
      <c r="BY1036" s="1">
        <v>0.466</v>
      </c>
      <c r="BZ1036" s="1">
        <v>0.823</v>
      </c>
      <c r="CA1036" s="1">
        <v>0.416</v>
      </c>
      <c r="CB1036" s="1">
        <v>0.379</v>
      </c>
      <c r="CC1036" s="1">
        <v>0.0</v>
      </c>
      <c r="CD1036" s="1">
        <v>0.0</v>
      </c>
      <c r="CE1036" s="1">
        <v>0.104</v>
      </c>
      <c r="CF1036" s="1">
        <v>0.0</v>
      </c>
      <c r="CG1036" s="1">
        <v>0.483</v>
      </c>
      <c r="CH1036" s="1">
        <v>0.027</v>
      </c>
      <c r="CI1036" s="1">
        <v>3.1724</v>
      </c>
      <c r="CJ1036" s="1">
        <v>0.0282</v>
      </c>
      <c r="CK1036" s="1">
        <v>0.0</v>
      </c>
      <c r="CL1036" s="1">
        <v>0.0</v>
      </c>
      <c r="CM1036" s="1">
        <v>0.0</v>
      </c>
      <c r="CN1036" s="1">
        <v>0.0</v>
      </c>
      <c r="CO1036" s="1">
        <v>0.0</v>
      </c>
      <c r="CP1036" s="1">
        <v>0.0</v>
      </c>
      <c r="CQ1036" s="1">
        <v>0.0</v>
      </c>
      <c r="CR1036" s="1">
        <v>0.0</v>
      </c>
      <c r="CS1036" s="1">
        <v>0.0</v>
      </c>
      <c r="CT1036" s="1">
        <v>0.0</v>
      </c>
      <c r="CU1036" s="1">
        <v>0.0</v>
      </c>
      <c r="CV1036" s="1">
        <v>0.0</v>
      </c>
      <c r="CW1036" s="1">
        <v>0.0</v>
      </c>
      <c r="CX1036" s="1">
        <v>0.0</v>
      </c>
      <c r="CY1036" s="1">
        <v>0.0</v>
      </c>
      <c r="CZ1036" s="1">
        <v>0.0</v>
      </c>
      <c r="DA1036" s="1">
        <v>0.0</v>
      </c>
      <c r="DB1036" s="1">
        <v>0.0</v>
      </c>
      <c r="DC1036" s="1">
        <v>0.0</v>
      </c>
      <c r="DD1036" s="1" t="s">
        <v>4694</v>
      </c>
      <c r="DE1036" s="1">
        <v>0.00114388711904519</v>
      </c>
      <c r="DF1036" s="2" t="s">
        <v>4695</v>
      </c>
    </row>
    <row r="1037" ht="15.75" customHeight="1">
      <c r="A1037" s="1" t="s">
        <v>4696</v>
      </c>
      <c r="B1037" s="1">
        <v>29.0</v>
      </c>
      <c r="C1037" s="1">
        <v>189.0</v>
      </c>
      <c r="D1037" s="1">
        <v>217400.0</v>
      </c>
      <c r="E1037" s="1">
        <v>0.764</v>
      </c>
      <c r="F1037" s="1">
        <v>29189.0</v>
      </c>
      <c r="G1037" s="1">
        <v>2.91892174E10</v>
      </c>
      <c r="H1037" s="1" t="s">
        <v>112</v>
      </c>
      <c r="I1037" s="1" t="s">
        <v>113</v>
      </c>
      <c r="J1037" s="1" t="s">
        <v>4566</v>
      </c>
      <c r="K1037" s="1" t="s">
        <v>4697</v>
      </c>
      <c r="L1037" s="1">
        <v>4705.0</v>
      </c>
      <c r="M1037" s="1">
        <v>4737.0</v>
      </c>
      <c r="N1037" s="1">
        <v>178.0</v>
      </c>
      <c r="O1037" s="1">
        <v>2607.0</v>
      </c>
      <c r="P1037" s="1">
        <v>2618.0</v>
      </c>
      <c r="Q1037" s="1">
        <v>136.0</v>
      </c>
      <c r="R1037" s="1">
        <v>2466.0</v>
      </c>
      <c r="S1037" s="1">
        <v>227.0</v>
      </c>
      <c r="T1037" s="1">
        <v>139.0</v>
      </c>
      <c r="U1037" s="1">
        <v>64.0</v>
      </c>
      <c r="V1037" s="1">
        <v>444.0</v>
      </c>
      <c r="W1037" s="1">
        <v>46923.0</v>
      </c>
      <c r="X1037" s="1">
        <v>5321.0</v>
      </c>
      <c r="Y1037" s="1">
        <v>89.0</v>
      </c>
      <c r="Z1037" s="1">
        <v>417.0</v>
      </c>
      <c r="AA1037" s="1">
        <v>611.0</v>
      </c>
      <c r="AB1037" s="1">
        <v>884.0</v>
      </c>
      <c r="AC1037" s="1">
        <v>122.0</v>
      </c>
      <c r="AD1037" s="1">
        <v>570.0</v>
      </c>
      <c r="AE1037" s="1">
        <v>36.0</v>
      </c>
      <c r="AF1037" s="1">
        <v>443.0</v>
      </c>
      <c r="AG1037" s="1">
        <v>60.0</v>
      </c>
      <c r="AH1037" s="1">
        <v>122.0</v>
      </c>
      <c r="AI1037" s="1">
        <v>0.0</v>
      </c>
      <c r="AJ1037" s="1">
        <v>114.0</v>
      </c>
      <c r="AK1037" s="1">
        <v>18.0</v>
      </c>
      <c r="AL1037" s="1">
        <v>117.0</v>
      </c>
      <c r="AM1037" s="1">
        <v>75.0</v>
      </c>
      <c r="AN1037" s="1">
        <v>55.0</v>
      </c>
      <c r="AO1037" s="1">
        <v>11.0</v>
      </c>
      <c r="AP1037" s="1">
        <v>0.04792</v>
      </c>
      <c r="AQ1037" s="1">
        <v>0.029288</v>
      </c>
      <c r="AR1037" s="1">
        <v>0.024343</v>
      </c>
      <c r="AS1037" s="1">
        <v>0.168851</v>
      </c>
      <c r="AT1037" s="1">
        <v>46923.0</v>
      </c>
      <c r="AU1037" s="1">
        <v>5321.0</v>
      </c>
      <c r="AV1037" s="1">
        <v>0.025457</v>
      </c>
      <c r="AW1037" s="1">
        <v>0.11927</v>
      </c>
      <c r="AX1037" s="1">
        <v>0.129861</v>
      </c>
      <c r="AY1037" s="1">
        <v>0.187885</v>
      </c>
      <c r="AZ1037" s="1">
        <v>0.04947283</v>
      </c>
      <c r="BA1037" s="1">
        <v>0.121147</v>
      </c>
      <c r="BB1037" s="1">
        <v>0.007994</v>
      </c>
      <c r="BC1037" s="1">
        <v>0.098378</v>
      </c>
      <c r="BD1037" s="1">
        <v>0.022918</v>
      </c>
      <c r="BE1037" s="1">
        <v>0.046585</v>
      </c>
      <c r="BF1037" s="1">
        <v>0.0</v>
      </c>
      <c r="BG1037" s="1">
        <v>0.043544</v>
      </c>
      <c r="BH1037" s="1">
        <v>0.007234</v>
      </c>
      <c r="BI1037" s="1">
        <v>0.047023</v>
      </c>
      <c r="BJ1037" s="1">
        <v>0.030144</v>
      </c>
      <c r="BK1037" s="1">
        <v>0.022041</v>
      </c>
      <c r="BL1037" s="1">
        <v>0.002337</v>
      </c>
      <c r="BM1037" s="1">
        <v>0.158</v>
      </c>
      <c r="BN1037" s="1">
        <v>0.046</v>
      </c>
      <c r="BO1037" s="1">
        <v>0.0332</v>
      </c>
      <c r="BP1037" s="1">
        <v>0.048</v>
      </c>
      <c r="BQ1037" s="1">
        <v>0.2852</v>
      </c>
      <c r="BR1037" s="1">
        <v>0.0166</v>
      </c>
      <c r="BS1037" s="1">
        <v>0.419</v>
      </c>
      <c r="BT1037" s="1">
        <v>0.143</v>
      </c>
      <c r="BU1037" s="1">
        <v>0.07</v>
      </c>
      <c r="BV1037" s="1">
        <v>0.632</v>
      </c>
      <c r="BW1037" s="1">
        <v>0.049</v>
      </c>
      <c r="BX1037" s="1">
        <v>0.538</v>
      </c>
      <c r="BY1037" s="1">
        <v>0.666</v>
      </c>
      <c r="BZ1037" s="1">
        <v>1.204</v>
      </c>
      <c r="CA1037" s="1">
        <v>0.664</v>
      </c>
      <c r="CB1037" s="1">
        <v>0.497</v>
      </c>
      <c r="CC1037" s="1">
        <v>0.0</v>
      </c>
      <c r="CD1037" s="1">
        <v>0.4</v>
      </c>
      <c r="CE1037" s="1">
        <v>0.285</v>
      </c>
      <c r="CF1037" s="1">
        <v>0.456</v>
      </c>
      <c r="CG1037" s="1">
        <v>1.638</v>
      </c>
      <c r="CH1037" s="1">
        <v>0.213</v>
      </c>
      <c r="CI1037" s="1">
        <v>3.7592</v>
      </c>
      <c r="CJ1037" s="1">
        <v>0.0628</v>
      </c>
      <c r="CK1037" s="1">
        <v>0.0</v>
      </c>
      <c r="CL1037" s="1">
        <v>0.0</v>
      </c>
      <c r="CM1037" s="1">
        <v>0.0</v>
      </c>
      <c r="CN1037" s="1">
        <v>0.0</v>
      </c>
      <c r="CO1037" s="1">
        <v>0.0</v>
      </c>
      <c r="CP1037" s="1">
        <v>0.0</v>
      </c>
      <c r="CQ1037" s="1">
        <v>0.0</v>
      </c>
      <c r="CR1037" s="1">
        <v>0.0</v>
      </c>
      <c r="CS1037" s="1">
        <v>0.0</v>
      </c>
      <c r="CT1037" s="1">
        <v>0.0</v>
      </c>
      <c r="CU1037" s="1">
        <v>0.0</v>
      </c>
      <c r="CV1037" s="1">
        <v>0.0</v>
      </c>
      <c r="CW1037" s="1">
        <v>0.0</v>
      </c>
      <c r="CX1037" s="1">
        <v>0.0</v>
      </c>
      <c r="CY1037" s="1">
        <v>0.0</v>
      </c>
      <c r="CZ1037" s="1">
        <v>0.0</v>
      </c>
      <c r="DA1037" s="1">
        <v>0.0</v>
      </c>
      <c r="DB1037" s="1">
        <v>0.0</v>
      </c>
      <c r="DC1037" s="1">
        <v>0.0</v>
      </c>
      <c r="DD1037" s="1" t="s">
        <v>4698</v>
      </c>
      <c r="DE1037" s="1">
        <v>2.06064105094311E-4</v>
      </c>
      <c r="DF1037" s="1">
        <v>0.0668540980152732</v>
      </c>
    </row>
    <row r="1038" ht="15.75" customHeight="1">
      <c r="A1038" s="1" t="s">
        <v>4699</v>
      </c>
      <c r="B1038" s="1">
        <v>29.0</v>
      </c>
      <c r="C1038" s="1">
        <v>189.0</v>
      </c>
      <c r="D1038" s="1">
        <v>217500.0</v>
      </c>
      <c r="E1038" s="1">
        <v>5.138</v>
      </c>
      <c r="F1038" s="1">
        <v>29189.0</v>
      </c>
      <c r="G1038" s="1">
        <v>2.91892175E10</v>
      </c>
      <c r="H1038" s="1" t="s">
        <v>112</v>
      </c>
      <c r="I1038" s="1" t="s">
        <v>113</v>
      </c>
      <c r="J1038" s="1" t="s">
        <v>4566</v>
      </c>
      <c r="K1038" s="1" t="s">
        <v>4700</v>
      </c>
      <c r="L1038" s="1">
        <v>5382.0</v>
      </c>
      <c r="M1038" s="1">
        <v>5245.0</v>
      </c>
      <c r="N1038" s="1">
        <v>200.0</v>
      </c>
      <c r="O1038" s="1">
        <v>2157.0</v>
      </c>
      <c r="P1038" s="1">
        <v>2116.0</v>
      </c>
      <c r="Q1038" s="1">
        <v>66.0</v>
      </c>
      <c r="R1038" s="1">
        <v>2022.0</v>
      </c>
      <c r="S1038" s="1">
        <v>145.0</v>
      </c>
      <c r="T1038" s="1">
        <v>87.0</v>
      </c>
      <c r="U1038" s="1">
        <v>106.0</v>
      </c>
      <c r="V1038" s="1">
        <v>401.0</v>
      </c>
      <c r="W1038" s="1">
        <v>81862.0</v>
      </c>
      <c r="X1038" s="1">
        <v>10239.0</v>
      </c>
      <c r="Y1038" s="1">
        <v>30.0</v>
      </c>
      <c r="Z1038" s="1">
        <v>396.0</v>
      </c>
      <c r="AA1038" s="1">
        <v>1086.0</v>
      </c>
      <c r="AB1038" s="1">
        <v>1435.0</v>
      </c>
      <c r="AC1038" s="1">
        <v>62.0</v>
      </c>
      <c r="AD1038" s="1">
        <v>304.0</v>
      </c>
      <c r="AE1038" s="1">
        <v>18.0</v>
      </c>
      <c r="AF1038" s="1">
        <v>427.0</v>
      </c>
      <c r="AG1038" s="1">
        <v>0.0</v>
      </c>
      <c r="AH1038" s="1">
        <v>197.0</v>
      </c>
      <c r="AI1038" s="1">
        <v>0.0</v>
      </c>
      <c r="AJ1038" s="1">
        <v>114.0</v>
      </c>
      <c r="AK1038" s="1">
        <v>0.0</v>
      </c>
      <c r="AL1038" s="1">
        <v>161.0</v>
      </c>
      <c r="AM1038" s="1">
        <v>42.0</v>
      </c>
      <c r="AN1038" s="1">
        <v>118.0</v>
      </c>
      <c r="AO1038" s="1">
        <v>11.0</v>
      </c>
      <c r="AP1038" s="1">
        <v>0.027645</v>
      </c>
      <c r="AQ1038" s="1">
        <v>0.016553</v>
      </c>
      <c r="AR1038" s="1">
        <v>0.053508</v>
      </c>
      <c r="AS1038" s="1">
        <v>0.202359</v>
      </c>
      <c r="AT1038" s="1">
        <v>81862.0</v>
      </c>
      <c r="AU1038" s="1">
        <v>10239.0</v>
      </c>
      <c r="AV1038" s="1">
        <v>0.008205</v>
      </c>
      <c r="AW1038" s="1">
        <v>0.108314</v>
      </c>
      <c r="AX1038" s="1">
        <v>0.201783</v>
      </c>
      <c r="AY1038" s="1">
        <v>0.266629</v>
      </c>
      <c r="AZ1038" s="1">
        <v>0.03066271</v>
      </c>
      <c r="BA1038" s="1">
        <v>0.056484</v>
      </c>
      <c r="BB1038" s="1">
        <v>0.003632</v>
      </c>
      <c r="BC1038" s="1">
        <v>0.086175</v>
      </c>
      <c r="BD1038" s="1">
        <v>0.0</v>
      </c>
      <c r="BE1038" s="1">
        <v>0.0931</v>
      </c>
      <c r="BF1038" s="1">
        <v>0.0</v>
      </c>
      <c r="BG1038" s="1">
        <v>0.053875</v>
      </c>
      <c r="BH1038" s="1">
        <v>0.0</v>
      </c>
      <c r="BI1038" s="1">
        <v>0.080863</v>
      </c>
      <c r="BJ1038" s="1">
        <v>0.021094</v>
      </c>
      <c r="BK1038" s="1">
        <v>0.059259</v>
      </c>
      <c r="BL1038" s="1">
        <v>0.002043</v>
      </c>
      <c r="BM1038" s="1">
        <v>0.079</v>
      </c>
      <c r="BN1038" s="1">
        <v>0.332</v>
      </c>
      <c r="BO1038" s="1">
        <v>0.0022</v>
      </c>
      <c r="BP1038" s="1">
        <v>0.012</v>
      </c>
      <c r="BQ1038" s="1">
        <v>0.4252</v>
      </c>
      <c r="BR1038" s="1">
        <v>0.0448</v>
      </c>
      <c r="BS1038" s="1">
        <v>0.879</v>
      </c>
      <c r="BT1038" s="1">
        <v>0.766</v>
      </c>
      <c r="BU1038" s="1">
        <v>0.018</v>
      </c>
      <c r="BV1038" s="1">
        <v>1.663</v>
      </c>
      <c r="BW1038" s="1">
        <v>0.61</v>
      </c>
      <c r="BX1038" s="1">
        <v>0.295</v>
      </c>
      <c r="BY1038" s="1">
        <v>0.495</v>
      </c>
      <c r="BZ1038" s="1">
        <v>0.79</v>
      </c>
      <c r="CA1038" s="1">
        <v>0.392</v>
      </c>
      <c r="CB1038" s="1">
        <v>0.0</v>
      </c>
      <c r="CC1038" s="1">
        <v>0.0</v>
      </c>
      <c r="CD1038" s="1">
        <v>0.0</v>
      </c>
      <c r="CE1038" s="1">
        <v>0.194</v>
      </c>
      <c r="CF1038" s="1">
        <v>0.447</v>
      </c>
      <c r="CG1038" s="1">
        <v>0.641</v>
      </c>
      <c r="CH1038" s="1">
        <v>0.041</v>
      </c>
      <c r="CI1038" s="1">
        <v>3.5192</v>
      </c>
      <c r="CJ1038" s="1">
        <v>0.0448</v>
      </c>
      <c r="CK1038" s="1">
        <v>0.0</v>
      </c>
      <c r="CL1038" s="1">
        <v>0.0</v>
      </c>
      <c r="CM1038" s="1">
        <v>0.0</v>
      </c>
      <c r="CN1038" s="1">
        <v>0.0</v>
      </c>
      <c r="CO1038" s="1">
        <v>0.0</v>
      </c>
      <c r="CP1038" s="1">
        <v>0.0</v>
      </c>
      <c r="CQ1038" s="1">
        <v>0.0</v>
      </c>
      <c r="CR1038" s="1">
        <v>0.0</v>
      </c>
      <c r="CS1038" s="1">
        <v>0.0</v>
      </c>
      <c r="CT1038" s="1">
        <v>0.0</v>
      </c>
      <c r="CU1038" s="1">
        <v>0.0</v>
      </c>
      <c r="CV1038" s="1">
        <v>0.0</v>
      </c>
      <c r="CW1038" s="1">
        <v>0.0</v>
      </c>
      <c r="CX1038" s="1">
        <v>0.0</v>
      </c>
      <c r="CY1038" s="1">
        <v>0.0</v>
      </c>
      <c r="CZ1038" s="1">
        <v>0.0</v>
      </c>
      <c r="DA1038" s="1">
        <v>0.0</v>
      </c>
      <c r="DB1038" s="1">
        <v>0.0</v>
      </c>
      <c r="DC1038" s="1">
        <v>0.0</v>
      </c>
      <c r="DD1038" s="1" t="s">
        <v>4701</v>
      </c>
      <c r="DE1038" s="1">
        <v>0.00137699630643523</v>
      </c>
      <c r="DF1038" s="2" t="s">
        <v>4702</v>
      </c>
    </row>
    <row r="1039" ht="15.75" customHeight="1">
      <c r="A1039" s="1" t="s">
        <v>4703</v>
      </c>
      <c r="B1039" s="1">
        <v>29.0</v>
      </c>
      <c r="C1039" s="1">
        <v>189.0</v>
      </c>
      <c r="D1039" s="1">
        <v>217600.0</v>
      </c>
      <c r="E1039" s="1">
        <v>4.595</v>
      </c>
      <c r="F1039" s="1">
        <v>29189.0</v>
      </c>
      <c r="G1039" s="1">
        <v>2.91892176E10</v>
      </c>
      <c r="H1039" s="1" t="s">
        <v>112</v>
      </c>
      <c r="I1039" s="1" t="s">
        <v>113</v>
      </c>
      <c r="J1039" s="1" t="s">
        <v>4566</v>
      </c>
      <c r="K1039" s="1" t="s">
        <v>4704</v>
      </c>
      <c r="L1039" s="1">
        <v>7115.0</v>
      </c>
      <c r="M1039" s="1">
        <v>7289.0</v>
      </c>
      <c r="N1039" s="1">
        <v>482.0</v>
      </c>
      <c r="O1039" s="1">
        <v>2890.0</v>
      </c>
      <c r="P1039" s="1">
        <v>2886.0</v>
      </c>
      <c r="Q1039" s="1">
        <v>102.0</v>
      </c>
      <c r="R1039" s="1">
        <v>2736.0</v>
      </c>
      <c r="S1039" s="1">
        <v>229.0</v>
      </c>
      <c r="T1039" s="1">
        <v>147.0</v>
      </c>
      <c r="U1039" s="1">
        <v>151.0</v>
      </c>
      <c r="V1039" s="1">
        <v>419.0</v>
      </c>
      <c r="W1039" s="1">
        <v>65305.0</v>
      </c>
      <c r="X1039" s="1">
        <v>9147.0</v>
      </c>
      <c r="Y1039" s="1">
        <v>106.0</v>
      </c>
      <c r="Z1039" s="1">
        <v>328.0</v>
      </c>
      <c r="AA1039" s="1">
        <v>1461.0</v>
      </c>
      <c r="AB1039" s="1">
        <v>1779.0</v>
      </c>
      <c r="AC1039" s="1">
        <v>112.0</v>
      </c>
      <c r="AD1039" s="1">
        <v>512.0</v>
      </c>
      <c r="AE1039" s="1">
        <v>42.0</v>
      </c>
      <c r="AF1039" s="1">
        <v>429.0</v>
      </c>
      <c r="AG1039" s="1">
        <v>0.0</v>
      </c>
      <c r="AH1039" s="1">
        <v>197.0</v>
      </c>
      <c r="AI1039" s="1">
        <v>3.0</v>
      </c>
      <c r="AJ1039" s="1">
        <v>5.0</v>
      </c>
      <c r="AK1039" s="1">
        <v>4.0</v>
      </c>
      <c r="AL1039" s="1">
        <v>114.0</v>
      </c>
      <c r="AM1039" s="1">
        <v>114.0</v>
      </c>
      <c r="AN1039" s="1">
        <v>75.0</v>
      </c>
      <c r="AO1039" s="1">
        <v>61.0</v>
      </c>
      <c r="AP1039" s="1">
        <v>0.03149</v>
      </c>
      <c r="AQ1039" s="1">
        <v>0.020104</v>
      </c>
      <c r="AR1039" s="1">
        <v>0.048381</v>
      </c>
      <c r="AS1039" s="1">
        <v>0.134142</v>
      </c>
      <c r="AT1039" s="1">
        <v>65305.0</v>
      </c>
      <c r="AU1039" s="1">
        <v>9147.0</v>
      </c>
      <c r="AV1039" s="1">
        <v>0.020849</v>
      </c>
      <c r="AW1039" s="1">
        <v>0.064507</v>
      </c>
      <c r="AX1039" s="1">
        <v>0.20534</v>
      </c>
      <c r="AY1039" s="1">
        <v>0.250035</v>
      </c>
      <c r="AZ1039" s="1">
        <v>0.04093567</v>
      </c>
      <c r="BA1039" s="1">
        <v>0.07196</v>
      </c>
      <c r="BB1039" s="1">
        <v>0.00588</v>
      </c>
      <c r="BC1039" s="1">
        <v>0.060065</v>
      </c>
      <c r="BD1039" s="1">
        <v>0.0</v>
      </c>
      <c r="BE1039" s="1">
        <v>0.06826</v>
      </c>
      <c r="BF1039" s="1">
        <v>0.001039</v>
      </c>
      <c r="BG1039" s="1">
        <v>0.001732</v>
      </c>
      <c r="BH1039" s="1">
        <v>0.00145</v>
      </c>
      <c r="BI1039" s="1">
        <v>0.041334</v>
      </c>
      <c r="BJ1039" s="1">
        <v>0.041334</v>
      </c>
      <c r="BK1039" s="1">
        <v>0.027142</v>
      </c>
      <c r="BL1039" s="1">
        <v>0.008573</v>
      </c>
      <c r="BM1039" s="1">
        <v>0.092</v>
      </c>
      <c r="BN1039" s="1">
        <v>0.279</v>
      </c>
      <c r="BO1039" s="1">
        <v>0.0072</v>
      </c>
      <c r="BP1039" s="1">
        <v>0.035</v>
      </c>
      <c r="BQ1039" s="1">
        <v>0.4132</v>
      </c>
      <c r="BR1039" s="1">
        <v>0.0412</v>
      </c>
      <c r="BS1039" s="1">
        <v>0.896</v>
      </c>
      <c r="BT1039" s="1">
        <v>0.595</v>
      </c>
      <c r="BU1039" s="1">
        <v>0.042</v>
      </c>
      <c r="BV1039" s="1">
        <v>1.533</v>
      </c>
      <c r="BW1039" s="1">
        <v>0.51</v>
      </c>
      <c r="BX1039" s="1">
        <v>0.369</v>
      </c>
      <c r="BY1039" s="1">
        <v>0.593</v>
      </c>
      <c r="BZ1039" s="1">
        <v>0.962</v>
      </c>
      <c r="CA1039" s="1">
        <v>0.519</v>
      </c>
      <c r="CB1039" s="1">
        <v>0.0</v>
      </c>
      <c r="CC1039" s="1">
        <v>0.366</v>
      </c>
      <c r="CD1039" s="1">
        <v>0.276</v>
      </c>
      <c r="CE1039" s="1">
        <v>0.404</v>
      </c>
      <c r="CF1039" s="1">
        <v>0.558</v>
      </c>
      <c r="CG1039" s="1">
        <v>1.604</v>
      </c>
      <c r="CH1039" s="1">
        <v>0.2</v>
      </c>
      <c r="CI1039" s="1">
        <v>4.5122</v>
      </c>
      <c r="CJ1039" s="1">
        <v>0.1357</v>
      </c>
      <c r="CK1039" s="1">
        <v>0.0</v>
      </c>
      <c r="CL1039" s="1">
        <v>0.0</v>
      </c>
      <c r="CM1039" s="1">
        <v>0.0</v>
      </c>
      <c r="CN1039" s="1">
        <v>0.0</v>
      </c>
      <c r="CO1039" s="1">
        <v>0.0</v>
      </c>
      <c r="CP1039" s="1">
        <v>0.0</v>
      </c>
      <c r="CQ1039" s="1">
        <v>0.0</v>
      </c>
      <c r="CR1039" s="1">
        <v>0.0</v>
      </c>
      <c r="CS1039" s="1">
        <v>0.0</v>
      </c>
      <c r="CT1039" s="1">
        <v>0.0</v>
      </c>
      <c r="CU1039" s="1">
        <v>0.0</v>
      </c>
      <c r="CV1039" s="1">
        <v>0.0</v>
      </c>
      <c r="CW1039" s="1">
        <v>0.0</v>
      </c>
      <c r="CX1039" s="1">
        <v>0.0</v>
      </c>
      <c r="CY1039" s="1">
        <v>0.0</v>
      </c>
      <c r="CZ1039" s="1">
        <v>0.0</v>
      </c>
      <c r="DA1039" s="1">
        <v>0.0</v>
      </c>
      <c r="DB1039" s="1">
        <v>0.0</v>
      </c>
      <c r="DC1039" s="1">
        <v>0.0</v>
      </c>
      <c r="DD1039" s="1" t="s">
        <v>4705</v>
      </c>
      <c r="DE1039" s="1">
        <v>0.00123141823496106</v>
      </c>
      <c r="DF1039" s="2" t="s">
        <v>4706</v>
      </c>
    </row>
    <row r="1040" ht="15.75" customHeight="1">
      <c r="A1040" s="1" t="s">
        <v>4707</v>
      </c>
      <c r="B1040" s="1">
        <v>29.0</v>
      </c>
      <c r="C1040" s="1">
        <v>189.0</v>
      </c>
      <c r="D1040" s="1">
        <v>217701.0</v>
      </c>
      <c r="E1040" s="1">
        <v>5.642</v>
      </c>
      <c r="F1040" s="1">
        <v>29189.0</v>
      </c>
      <c r="G1040" s="1">
        <v>2.9189217701E10</v>
      </c>
      <c r="H1040" s="1" t="s">
        <v>112</v>
      </c>
      <c r="I1040" s="1" t="s">
        <v>113</v>
      </c>
      <c r="J1040" s="1" t="s">
        <v>4566</v>
      </c>
      <c r="K1040" s="1" t="s">
        <v>4708</v>
      </c>
      <c r="L1040" s="1">
        <v>4808.0</v>
      </c>
      <c r="M1040" s="1">
        <v>4589.0</v>
      </c>
      <c r="N1040" s="1">
        <v>397.0</v>
      </c>
      <c r="O1040" s="1">
        <v>1745.0</v>
      </c>
      <c r="P1040" s="1">
        <v>1801.0</v>
      </c>
      <c r="Q1040" s="1">
        <v>137.0</v>
      </c>
      <c r="R1040" s="1">
        <v>1653.0</v>
      </c>
      <c r="S1040" s="1">
        <v>234.0</v>
      </c>
      <c r="T1040" s="1">
        <v>159.0</v>
      </c>
      <c r="U1040" s="1">
        <v>75.0</v>
      </c>
      <c r="V1040" s="1">
        <v>429.0</v>
      </c>
      <c r="W1040" s="1">
        <v>90465.0</v>
      </c>
      <c r="X1040" s="1">
        <v>12666.0</v>
      </c>
      <c r="Y1040" s="1">
        <v>75.0</v>
      </c>
      <c r="Z1040" s="1">
        <v>363.0</v>
      </c>
      <c r="AA1040" s="1">
        <v>794.0</v>
      </c>
      <c r="AB1040" s="1">
        <v>1338.0</v>
      </c>
      <c r="AC1040" s="1">
        <v>60.0</v>
      </c>
      <c r="AD1040" s="1">
        <v>667.0</v>
      </c>
      <c r="AE1040" s="1">
        <v>41.0</v>
      </c>
      <c r="AF1040" s="1">
        <v>428.0</v>
      </c>
      <c r="AG1040" s="1">
        <v>0.0</v>
      </c>
      <c r="AH1040" s="1">
        <v>197.0</v>
      </c>
      <c r="AI1040" s="1">
        <v>14.0</v>
      </c>
      <c r="AJ1040" s="1">
        <v>22.0</v>
      </c>
      <c r="AK1040" s="1">
        <v>0.0</v>
      </c>
      <c r="AL1040" s="1">
        <v>161.0</v>
      </c>
      <c r="AM1040" s="1">
        <v>9.0</v>
      </c>
      <c r="AN1040" s="1">
        <v>115.0</v>
      </c>
      <c r="AO1040" s="1">
        <v>174.0</v>
      </c>
      <c r="AP1040" s="1">
        <v>0.051169</v>
      </c>
      <c r="AQ1040" s="1">
        <v>0.034492</v>
      </c>
      <c r="AR1040" s="1">
        <v>0.042444</v>
      </c>
      <c r="AS1040" s="1">
        <v>0.24272</v>
      </c>
      <c r="AT1040" s="1">
        <v>90465.0</v>
      </c>
      <c r="AU1040" s="1">
        <v>12666.0</v>
      </c>
      <c r="AV1040" s="1">
        <v>0.024525</v>
      </c>
      <c r="AW1040" s="1">
        <v>0.11868</v>
      </c>
      <c r="AX1040" s="1">
        <v>0.165141</v>
      </c>
      <c r="AY1040" s="1">
        <v>0.278286</v>
      </c>
      <c r="AZ1040" s="1">
        <v>0.03629764</v>
      </c>
      <c r="BA1040" s="1">
        <v>0.138727</v>
      </c>
      <c r="BB1040" s="1">
        <v>0.009203</v>
      </c>
      <c r="BC1040" s="1">
        <v>0.096068</v>
      </c>
      <c r="BD1040" s="1">
        <v>0.0</v>
      </c>
      <c r="BE1040" s="1">
        <v>0.109383</v>
      </c>
      <c r="BF1040" s="1">
        <v>0.007773</v>
      </c>
      <c r="BG1040" s="1">
        <v>0.012201</v>
      </c>
      <c r="BH1040" s="1">
        <v>0.0</v>
      </c>
      <c r="BI1040" s="1">
        <v>0.099015</v>
      </c>
      <c r="BJ1040" s="1">
        <v>0.005535</v>
      </c>
      <c r="BK1040" s="1">
        <v>0.070723</v>
      </c>
      <c r="BL1040" s="1">
        <v>0.036189</v>
      </c>
      <c r="BM1040" s="1">
        <v>0.171</v>
      </c>
      <c r="BN1040" s="1">
        <v>0.214</v>
      </c>
      <c r="BO1040" s="1">
        <v>0.0</v>
      </c>
      <c r="BP1040" s="1">
        <v>0.046</v>
      </c>
      <c r="BQ1040" s="1">
        <v>0.431</v>
      </c>
      <c r="BR1040" s="1">
        <v>0.0469</v>
      </c>
      <c r="BS1040" s="1">
        <v>0.704</v>
      </c>
      <c r="BT1040" s="1">
        <v>0.838</v>
      </c>
      <c r="BU1040" s="1">
        <v>0.029</v>
      </c>
      <c r="BV1040" s="1">
        <v>1.571</v>
      </c>
      <c r="BW1040" s="1">
        <v>0.54</v>
      </c>
      <c r="BX1040" s="1">
        <v>0.589</v>
      </c>
      <c r="BY1040" s="1">
        <v>0.701</v>
      </c>
      <c r="BZ1040" s="1">
        <v>1.29</v>
      </c>
      <c r="CA1040" s="1">
        <v>0.708</v>
      </c>
      <c r="CB1040" s="1">
        <v>0.0</v>
      </c>
      <c r="CC1040" s="1">
        <v>0.435</v>
      </c>
      <c r="CD1040" s="1">
        <v>0.0</v>
      </c>
      <c r="CE1040" s="1">
        <v>0.052</v>
      </c>
      <c r="CF1040" s="1">
        <v>0.848</v>
      </c>
      <c r="CG1040" s="1">
        <v>1.335</v>
      </c>
      <c r="CH1040" s="1">
        <v>0.138</v>
      </c>
      <c r="CI1040" s="1">
        <v>4.627</v>
      </c>
      <c r="CJ1040" s="1">
        <v>0.1458</v>
      </c>
      <c r="CK1040" s="1">
        <v>0.0</v>
      </c>
      <c r="CL1040" s="1">
        <v>0.0</v>
      </c>
      <c r="CM1040" s="1">
        <v>0.0</v>
      </c>
      <c r="CN1040" s="1">
        <v>0.0</v>
      </c>
      <c r="CO1040" s="1">
        <v>0.0</v>
      </c>
      <c r="CP1040" s="1">
        <v>0.0</v>
      </c>
      <c r="CQ1040" s="1">
        <v>0.0</v>
      </c>
      <c r="CR1040" s="1">
        <v>0.0</v>
      </c>
      <c r="CS1040" s="1">
        <v>0.0</v>
      </c>
      <c r="CT1040" s="1">
        <v>0.0</v>
      </c>
      <c r="CU1040" s="1">
        <v>0.0</v>
      </c>
      <c r="CV1040" s="1">
        <v>0.0</v>
      </c>
      <c r="CW1040" s="1">
        <v>0.0</v>
      </c>
      <c r="CX1040" s="1">
        <v>0.0</v>
      </c>
      <c r="CY1040" s="1">
        <v>0.0</v>
      </c>
      <c r="CZ1040" s="1">
        <v>0.0</v>
      </c>
      <c r="DA1040" s="1">
        <v>0.0</v>
      </c>
      <c r="DB1040" s="1">
        <v>0.0</v>
      </c>
      <c r="DC1040" s="1">
        <v>0.0</v>
      </c>
      <c r="DD1040" s="1" t="s">
        <v>4709</v>
      </c>
      <c r="DE1040" s="1">
        <v>0.00150875556774312</v>
      </c>
      <c r="DF1040" s="2" t="s">
        <v>4710</v>
      </c>
    </row>
    <row r="1041" ht="15.75" customHeight="1">
      <c r="A1041" s="1" t="s">
        <v>4711</v>
      </c>
      <c r="B1041" s="1">
        <v>29.0</v>
      </c>
      <c r="C1041" s="1">
        <v>189.0</v>
      </c>
      <c r="D1041" s="1">
        <v>217702.0</v>
      </c>
      <c r="E1041" s="1">
        <v>4.999</v>
      </c>
      <c r="F1041" s="1">
        <v>29189.0</v>
      </c>
      <c r="G1041" s="1">
        <v>2.9189217702E10</v>
      </c>
      <c r="H1041" s="1" t="s">
        <v>112</v>
      </c>
      <c r="I1041" s="1" t="s">
        <v>113</v>
      </c>
      <c r="J1041" s="1" t="s">
        <v>4566</v>
      </c>
      <c r="K1041" s="1" t="s">
        <v>4712</v>
      </c>
      <c r="L1041" s="1">
        <v>7561.0</v>
      </c>
      <c r="M1041" s="1">
        <v>8015.0</v>
      </c>
      <c r="N1041" s="1">
        <v>496.0</v>
      </c>
      <c r="O1041" s="1">
        <v>2732.0</v>
      </c>
      <c r="P1041" s="1">
        <v>2719.0</v>
      </c>
      <c r="Q1041" s="1">
        <v>97.0</v>
      </c>
      <c r="R1041" s="1">
        <v>2575.0</v>
      </c>
      <c r="S1041" s="1">
        <v>307.0</v>
      </c>
      <c r="T1041" s="1">
        <v>197.0</v>
      </c>
      <c r="U1041" s="1">
        <v>182.0</v>
      </c>
      <c r="V1041" s="1">
        <v>386.0</v>
      </c>
      <c r="W1041" s="1">
        <v>49996.0</v>
      </c>
      <c r="X1041" s="1">
        <v>7250.0</v>
      </c>
      <c r="Y1041" s="1">
        <v>422.0</v>
      </c>
      <c r="Z1041" s="1">
        <v>286.0</v>
      </c>
      <c r="AA1041" s="1">
        <v>1948.0</v>
      </c>
      <c r="AB1041" s="1">
        <v>1649.0</v>
      </c>
      <c r="AC1041" s="1">
        <v>127.0</v>
      </c>
      <c r="AD1041" s="1">
        <v>991.0</v>
      </c>
      <c r="AE1041" s="1">
        <v>53.0</v>
      </c>
      <c r="AF1041" s="1">
        <v>415.0</v>
      </c>
      <c r="AG1041" s="1">
        <v>127.0</v>
      </c>
      <c r="AH1041" s="1">
        <v>140.0</v>
      </c>
      <c r="AI1041" s="1">
        <v>0.0</v>
      </c>
      <c r="AJ1041" s="1">
        <v>114.0</v>
      </c>
      <c r="AK1041" s="1">
        <v>0.0</v>
      </c>
      <c r="AL1041" s="1">
        <v>161.0</v>
      </c>
      <c r="AM1041" s="1">
        <v>122.0</v>
      </c>
      <c r="AN1041" s="1">
        <v>76.0</v>
      </c>
      <c r="AO1041" s="1">
        <v>739.0</v>
      </c>
      <c r="AP1041" s="1">
        <v>0.043832</v>
      </c>
      <c r="AQ1041" s="1">
        <v>0.027958</v>
      </c>
      <c r="AR1041" s="1">
        <v>0.055184</v>
      </c>
      <c r="AS1041" s="1">
        <v>0.11692</v>
      </c>
      <c r="AT1041" s="1">
        <v>49996.0</v>
      </c>
      <c r="AU1041" s="1">
        <v>7250.0</v>
      </c>
      <c r="AV1041" s="1">
        <v>0.072346</v>
      </c>
      <c r="AW1041" s="1">
        <v>0.048889</v>
      </c>
      <c r="AX1041" s="1">
        <v>0.257637</v>
      </c>
      <c r="AY1041" s="1">
        <v>0.218092</v>
      </c>
      <c r="AZ1041" s="1">
        <v>0.04932038</v>
      </c>
      <c r="BA1041" s="1">
        <v>0.131067</v>
      </c>
      <c r="BB1041" s="1">
        <v>0.006874</v>
      </c>
      <c r="BC1041" s="1">
        <v>0.053824</v>
      </c>
      <c r="BD1041" s="1">
        <v>0.046708</v>
      </c>
      <c r="BE1041" s="1">
        <v>0.051462</v>
      </c>
      <c r="BF1041" s="1">
        <v>0.0</v>
      </c>
      <c r="BG1041" s="1">
        <v>0.041927</v>
      </c>
      <c r="BH1041" s="1">
        <v>0.0</v>
      </c>
      <c r="BI1041" s="1">
        <v>0.062403</v>
      </c>
      <c r="BJ1041" s="1">
        <v>0.047286</v>
      </c>
      <c r="BK1041" s="1">
        <v>0.029365</v>
      </c>
      <c r="BL1041" s="1">
        <v>0.097738</v>
      </c>
      <c r="BM1041" s="1">
        <v>0.141</v>
      </c>
      <c r="BN1041" s="1">
        <v>0.348</v>
      </c>
      <c r="BO1041" s="1">
        <v>0.026</v>
      </c>
      <c r="BP1041" s="1">
        <v>0.21</v>
      </c>
      <c r="BQ1041" s="1">
        <v>0.725</v>
      </c>
      <c r="BR1041" s="1">
        <v>0.1329</v>
      </c>
      <c r="BS1041" s="1">
        <v>0.971</v>
      </c>
      <c r="BT1041" s="1">
        <v>0.289</v>
      </c>
      <c r="BU1041" s="1">
        <v>0.069</v>
      </c>
      <c r="BV1041" s="1">
        <v>1.329</v>
      </c>
      <c r="BW1041" s="1">
        <v>0.325</v>
      </c>
      <c r="BX1041" s="1">
        <v>0.564</v>
      </c>
      <c r="BY1041" s="1">
        <v>0.628</v>
      </c>
      <c r="BZ1041" s="1">
        <v>1.192</v>
      </c>
      <c r="CA1041" s="1">
        <v>0.658</v>
      </c>
      <c r="CB1041" s="1">
        <v>0.643</v>
      </c>
      <c r="CC1041" s="1">
        <v>0.0</v>
      </c>
      <c r="CD1041" s="1">
        <v>0.0</v>
      </c>
      <c r="CE1041" s="1">
        <v>0.466</v>
      </c>
      <c r="CF1041" s="1">
        <v>0.941</v>
      </c>
      <c r="CG1041" s="1">
        <v>2.05</v>
      </c>
      <c r="CH1041" s="1">
        <v>0.364</v>
      </c>
      <c r="CI1041" s="1">
        <v>5.296</v>
      </c>
      <c r="CJ1041" s="1">
        <v>0.2455</v>
      </c>
      <c r="CK1041" s="1">
        <v>0.0</v>
      </c>
      <c r="CL1041" s="1">
        <v>0.0</v>
      </c>
      <c r="CM1041" s="1">
        <v>0.0</v>
      </c>
      <c r="CN1041" s="1">
        <v>0.0</v>
      </c>
      <c r="CO1041" s="1">
        <v>0.0</v>
      </c>
      <c r="CP1041" s="1">
        <v>1.0</v>
      </c>
      <c r="CQ1041" s="1">
        <v>0.0</v>
      </c>
      <c r="CR1041" s="1">
        <v>0.0</v>
      </c>
      <c r="CS1041" s="1">
        <v>1.0</v>
      </c>
      <c r="CT1041" s="1">
        <v>0.0</v>
      </c>
      <c r="CU1041" s="1">
        <v>0.0</v>
      </c>
      <c r="CV1041" s="1">
        <v>0.0</v>
      </c>
      <c r="CW1041" s="1">
        <v>0.0</v>
      </c>
      <c r="CX1041" s="1">
        <v>0.0</v>
      </c>
      <c r="CY1041" s="1">
        <v>0.0</v>
      </c>
      <c r="CZ1041" s="1">
        <v>0.0</v>
      </c>
      <c r="DA1041" s="1">
        <v>1.0</v>
      </c>
      <c r="DB1041" s="1">
        <v>1.0</v>
      </c>
      <c r="DC1041" s="1">
        <v>2.0</v>
      </c>
      <c r="DD1041" s="1" t="s">
        <v>4713</v>
      </c>
      <c r="DE1041" s="1">
        <v>0.00134030711019807</v>
      </c>
      <c r="DF1041" s="2" t="s">
        <v>4714</v>
      </c>
    </row>
    <row r="1042" ht="15.75" customHeight="1">
      <c r="A1042" s="1" t="s">
        <v>4715</v>
      </c>
      <c r="B1042" s="1">
        <v>29.0</v>
      </c>
      <c r="C1042" s="1">
        <v>189.0</v>
      </c>
      <c r="D1042" s="1">
        <v>217802.0</v>
      </c>
      <c r="E1042" s="1">
        <v>2.404</v>
      </c>
      <c r="F1042" s="1">
        <v>29189.0</v>
      </c>
      <c r="G1042" s="1">
        <v>2.9189217802E10</v>
      </c>
      <c r="H1042" s="1" t="s">
        <v>112</v>
      </c>
      <c r="I1042" s="1" t="s">
        <v>113</v>
      </c>
      <c r="J1042" s="1" t="s">
        <v>4566</v>
      </c>
      <c r="K1042" s="1" t="s">
        <v>4716</v>
      </c>
      <c r="L1042" s="1">
        <v>6944.0</v>
      </c>
      <c r="M1042" s="1">
        <v>6782.0</v>
      </c>
      <c r="N1042" s="1">
        <v>308.0</v>
      </c>
      <c r="O1042" s="1">
        <v>2842.0</v>
      </c>
      <c r="P1042" s="1">
        <v>2761.0</v>
      </c>
      <c r="Q1042" s="1">
        <v>76.0</v>
      </c>
      <c r="R1042" s="1">
        <v>2751.0</v>
      </c>
      <c r="S1042" s="1">
        <v>444.0</v>
      </c>
      <c r="T1042" s="1">
        <v>313.0</v>
      </c>
      <c r="U1042" s="1">
        <v>75.0</v>
      </c>
      <c r="V1042" s="1">
        <v>459.0</v>
      </c>
      <c r="W1042" s="1">
        <v>35904.0</v>
      </c>
      <c r="X1042" s="1">
        <v>4611.0</v>
      </c>
      <c r="Y1042" s="1">
        <v>56.0</v>
      </c>
      <c r="Z1042" s="1">
        <v>397.0</v>
      </c>
      <c r="AA1042" s="1">
        <v>1563.0</v>
      </c>
      <c r="AB1042" s="1">
        <v>1530.0</v>
      </c>
      <c r="AC1042" s="1">
        <v>129.0</v>
      </c>
      <c r="AD1042" s="1">
        <v>733.0</v>
      </c>
      <c r="AE1042" s="1">
        <v>153.0</v>
      </c>
      <c r="AF1042" s="1">
        <v>401.0</v>
      </c>
      <c r="AG1042" s="1">
        <v>61.0</v>
      </c>
      <c r="AH1042" s="1">
        <v>177.0</v>
      </c>
      <c r="AI1042" s="1">
        <v>13.0</v>
      </c>
      <c r="AJ1042" s="1">
        <v>24.0</v>
      </c>
      <c r="AK1042" s="1">
        <v>0.0</v>
      </c>
      <c r="AL1042" s="1">
        <v>161.0</v>
      </c>
      <c r="AM1042" s="1">
        <v>24.0</v>
      </c>
      <c r="AN1042" s="1">
        <v>27.0</v>
      </c>
      <c r="AO1042" s="1">
        <v>6.0</v>
      </c>
      <c r="AP1042" s="1">
        <v>0.065467</v>
      </c>
      <c r="AQ1042" s="1">
        <v>0.046055</v>
      </c>
      <c r="AR1042" s="1">
        <v>0.027302</v>
      </c>
      <c r="AS1042" s="1">
        <v>0.167058</v>
      </c>
      <c r="AT1042" s="1">
        <v>35904.0</v>
      </c>
      <c r="AU1042" s="1">
        <v>4611.0</v>
      </c>
      <c r="AV1042" s="1">
        <v>0.011565</v>
      </c>
      <c r="AW1042" s="1">
        <v>0.081989</v>
      </c>
      <c r="AX1042" s="1">
        <v>0.225086</v>
      </c>
      <c r="AY1042" s="1">
        <v>0.220334</v>
      </c>
      <c r="AZ1042" s="1">
        <v>0.04689203</v>
      </c>
      <c r="BA1042" s="1">
        <v>0.105558</v>
      </c>
      <c r="BB1042" s="1">
        <v>0.024224</v>
      </c>
      <c r="BC1042" s="1">
        <v>0.063481</v>
      </c>
      <c r="BD1042" s="1">
        <v>0.022093</v>
      </c>
      <c r="BE1042" s="1">
        <v>0.064104</v>
      </c>
      <c r="BF1042" s="1">
        <v>0.004708</v>
      </c>
      <c r="BG1042" s="1">
        <v>0.008691</v>
      </c>
      <c r="BH1042" s="1">
        <v>0.0</v>
      </c>
      <c r="BI1042" s="1">
        <v>0.059895</v>
      </c>
      <c r="BJ1042" s="1">
        <v>0.008928</v>
      </c>
      <c r="BK1042" s="1">
        <v>0.010038</v>
      </c>
      <c r="BL1042" s="1">
        <v>8.64E-4</v>
      </c>
      <c r="BM1042" s="1">
        <v>0.228</v>
      </c>
      <c r="BN1042" s="1">
        <v>0.068</v>
      </c>
      <c r="BO1042" s="1">
        <v>0.1032</v>
      </c>
      <c r="BP1042" s="1">
        <v>0.019</v>
      </c>
      <c r="BQ1042" s="1">
        <v>0.4182</v>
      </c>
      <c r="BR1042" s="1">
        <v>0.0419</v>
      </c>
      <c r="BS1042" s="1">
        <v>0.941</v>
      </c>
      <c r="BT1042" s="1">
        <v>0.302</v>
      </c>
      <c r="BU1042" s="1">
        <v>0.062</v>
      </c>
      <c r="BV1042" s="1">
        <v>1.305</v>
      </c>
      <c r="BW1042" s="1">
        <v>0.307</v>
      </c>
      <c r="BX1042" s="1">
        <v>0.492</v>
      </c>
      <c r="BY1042" s="1">
        <v>0.884</v>
      </c>
      <c r="BZ1042" s="1">
        <v>1.376</v>
      </c>
      <c r="CA1042" s="1">
        <v>0.754</v>
      </c>
      <c r="CB1042" s="1">
        <v>0.492</v>
      </c>
      <c r="CC1042" s="1">
        <v>0.388</v>
      </c>
      <c r="CD1042" s="1">
        <v>0.0</v>
      </c>
      <c r="CE1042" s="1">
        <v>0.074</v>
      </c>
      <c r="CF1042" s="1">
        <v>0.389</v>
      </c>
      <c r="CG1042" s="1">
        <v>1.343</v>
      </c>
      <c r="CH1042" s="1">
        <v>0.139</v>
      </c>
      <c r="CI1042" s="1">
        <v>4.4422</v>
      </c>
      <c r="CJ1042" s="1">
        <v>0.1278</v>
      </c>
      <c r="CK1042" s="1">
        <v>0.0</v>
      </c>
      <c r="CL1042" s="1">
        <v>0.0</v>
      </c>
      <c r="CM1042" s="1">
        <v>0.0</v>
      </c>
      <c r="CN1042" s="1">
        <v>0.0</v>
      </c>
      <c r="CO1042" s="1">
        <v>0.0</v>
      </c>
      <c r="CP1042" s="1">
        <v>1.0</v>
      </c>
      <c r="CQ1042" s="1">
        <v>0.0</v>
      </c>
      <c r="CR1042" s="1">
        <v>0.0</v>
      </c>
      <c r="CS1042" s="1">
        <v>1.0</v>
      </c>
      <c r="CT1042" s="1">
        <v>0.0</v>
      </c>
      <c r="CU1042" s="1">
        <v>0.0</v>
      </c>
      <c r="CV1042" s="1">
        <v>0.0</v>
      </c>
      <c r="CW1042" s="1">
        <v>0.0</v>
      </c>
      <c r="CX1042" s="1">
        <v>0.0</v>
      </c>
      <c r="CY1042" s="1">
        <v>0.0</v>
      </c>
      <c r="CZ1042" s="1">
        <v>0.0</v>
      </c>
      <c r="DA1042" s="1">
        <v>0.0</v>
      </c>
      <c r="DB1042" s="1">
        <v>0.0</v>
      </c>
      <c r="DC1042" s="1">
        <v>1.0</v>
      </c>
      <c r="DD1042" s="1" t="s">
        <v>4717</v>
      </c>
      <c r="DE1042" s="1">
        <v>6.45949867311519E-4</v>
      </c>
      <c r="DF1042" s="2" t="s">
        <v>4718</v>
      </c>
    </row>
    <row r="1043" ht="15.75" customHeight="1">
      <c r="A1043" s="1" t="s">
        <v>4719</v>
      </c>
      <c r="B1043" s="1">
        <v>29.0</v>
      </c>
      <c r="C1043" s="1">
        <v>189.0</v>
      </c>
      <c r="D1043" s="1">
        <v>217806.0</v>
      </c>
      <c r="E1043" s="1">
        <v>2.102</v>
      </c>
      <c r="F1043" s="1">
        <v>29189.0</v>
      </c>
      <c r="G1043" s="1">
        <v>2.9189217806E10</v>
      </c>
      <c r="H1043" s="1" t="s">
        <v>112</v>
      </c>
      <c r="I1043" s="1" t="s">
        <v>113</v>
      </c>
      <c r="J1043" s="1" t="s">
        <v>4566</v>
      </c>
      <c r="K1043" s="1" t="s">
        <v>4720</v>
      </c>
      <c r="L1043" s="1">
        <v>5360.0</v>
      </c>
      <c r="M1043" s="1">
        <v>5509.0</v>
      </c>
      <c r="N1043" s="1">
        <v>387.0</v>
      </c>
      <c r="O1043" s="1">
        <v>2473.0</v>
      </c>
      <c r="P1043" s="1">
        <v>2513.0</v>
      </c>
      <c r="Q1043" s="1">
        <v>100.0</v>
      </c>
      <c r="R1043" s="1">
        <v>2324.0</v>
      </c>
      <c r="S1043" s="1">
        <v>380.0</v>
      </c>
      <c r="T1043" s="1">
        <v>205.0</v>
      </c>
      <c r="U1043" s="1">
        <v>213.0</v>
      </c>
      <c r="V1043" s="1">
        <v>431.0</v>
      </c>
      <c r="W1043" s="1">
        <v>30183.0</v>
      </c>
      <c r="X1043" s="1">
        <v>2788.0</v>
      </c>
      <c r="Y1043" s="1">
        <v>234.0</v>
      </c>
      <c r="Z1043" s="1">
        <v>272.0</v>
      </c>
      <c r="AA1043" s="1">
        <v>1069.0</v>
      </c>
      <c r="AB1043" s="1">
        <v>1155.0</v>
      </c>
      <c r="AC1043" s="1">
        <v>184.0</v>
      </c>
      <c r="AD1043" s="1">
        <v>603.0</v>
      </c>
      <c r="AE1043" s="1">
        <v>85.0</v>
      </c>
      <c r="AF1043" s="1">
        <v>402.0</v>
      </c>
      <c r="AG1043" s="1">
        <v>375.0</v>
      </c>
      <c r="AH1043" s="1">
        <v>135.0</v>
      </c>
      <c r="AI1043" s="1">
        <v>0.0</v>
      </c>
      <c r="AJ1043" s="1">
        <v>114.0</v>
      </c>
      <c r="AK1043" s="1">
        <v>16.0</v>
      </c>
      <c r="AL1043" s="1">
        <v>116.0</v>
      </c>
      <c r="AM1043" s="1">
        <v>149.0</v>
      </c>
      <c r="AN1043" s="1">
        <v>89.0</v>
      </c>
      <c r="AO1043" s="1">
        <v>10.0</v>
      </c>
      <c r="AP1043" s="1">
        <v>0.068978</v>
      </c>
      <c r="AQ1043" s="1">
        <v>0.036894</v>
      </c>
      <c r="AR1043" s="1">
        <v>0.072721</v>
      </c>
      <c r="AS1043" s="1">
        <v>0.146883</v>
      </c>
      <c r="AT1043" s="1">
        <v>30183.0</v>
      </c>
      <c r="AU1043" s="1">
        <v>2788.0</v>
      </c>
      <c r="AV1043" s="1">
        <v>0.059892</v>
      </c>
      <c r="AW1043" s="1">
        <v>0.069487</v>
      </c>
      <c r="AX1043" s="1">
        <v>0.19944</v>
      </c>
      <c r="AY1043" s="1">
        <v>0.215485</v>
      </c>
      <c r="AZ1043" s="1">
        <v>0.07917383</v>
      </c>
      <c r="BA1043" s="1">
        <v>0.1125</v>
      </c>
      <c r="BB1043" s="1">
        <v>0.016598</v>
      </c>
      <c r="BC1043" s="1">
        <v>0.078492</v>
      </c>
      <c r="BD1043" s="1">
        <v>0.149224</v>
      </c>
      <c r="BE1043" s="1">
        <v>0.053391</v>
      </c>
      <c r="BF1043" s="1">
        <v>0.0</v>
      </c>
      <c r="BG1043" s="1">
        <v>0.045364</v>
      </c>
      <c r="BH1043" s="1">
        <v>0.00684</v>
      </c>
      <c r="BI1043" s="1">
        <v>0.049592</v>
      </c>
      <c r="BJ1043" s="1">
        <v>0.063702</v>
      </c>
      <c r="BK1043" s="1">
        <v>0.037861</v>
      </c>
      <c r="BL1043" s="1">
        <v>0.001865</v>
      </c>
      <c r="BM1043" s="1">
        <v>0.246</v>
      </c>
      <c r="BN1043" s="1">
        <v>0.535</v>
      </c>
      <c r="BO1043" s="1">
        <v>0.1935</v>
      </c>
      <c r="BP1043" s="1">
        <v>0.169</v>
      </c>
      <c r="BQ1043" s="1">
        <v>1.1435</v>
      </c>
      <c r="BR1043" s="1">
        <v>0.2375</v>
      </c>
      <c r="BS1043" s="1">
        <v>0.869</v>
      </c>
      <c r="BT1043" s="1">
        <v>0.272</v>
      </c>
      <c r="BU1043" s="1">
        <v>0.294</v>
      </c>
      <c r="BV1043" s="1">
        <v>1.435</v>
      </c>
      <c r="BW1043" s="1">
        <v>0.422</v>
      </c>
      <c r="BX1043" s="1">
        <v>0.513</v>
      </c>
      <c r="BY1043" s="1">
        <v>0.833</v>
      </c>
      <c r="BZ1043" s="1">
        <v>1.346</v>
      </c>
      <c r="CA1043" s="1">
        <v>0.735</v>
      </c>
      <c r="CB1043" s="1">
        <v>0.838</v>
      </c>
      <c r="CC1043" s="1">
        <v>0.0</v>
      </c>
      <c r="CD1043" s="1">
        <v>0.387</v>
      </c>
      <c r="CE1043" s="1">
        <v>0.589</v>
      </c>
      <c r="CF1043" s="1">
        <v>0.438</v>
      </c>
      <c r="CG1043" s="1">
        <v>2.252</v>
      </c>
      <c r="CH1043" s="1">
        <v>0.439</v>
      </c>
      <c r="CI1043" s="1">
        <v>6.1765</v>
      </c>
      <c r="CJ1043" s="1">
        <v>0.4007</v>
      </c>
      <c r="CK1043" s="1">
        <v>0.0</v>
      </c>
      <c r="CL1043" s="1">
        <v>0.0</v>
      </c>
      <c r="CM1043" s="1">
        <v>0.0</v>
      </c>
      <c r="CN1043" s="1">
        <v>0.0</v>
      </c>
      <c r="CO1043" s="1">
        <v>0.0</v>
      </c>
      <c r="CP1043" s="1">
        <v>0.0</v>
      </c>
      <c r="CQ1043" s="1">
        <v>0.0</v>
      </c>
      <c r="CR1043" s="1">
        <v>0.0</v>
      </c>
      <c r="CS1043" s="1">
        <v>0.0</v>
      </c>
      <c r="CT1043" s="1">
        <v>0.0</v>
      </c>
      <c r="CU1043" s="1">
        <v>0.0</v>
      </c>
      <c r="CV1043" s="1">
        <v>0.0</v>
      </c>
      <c r="CW1043" s="1">
        <v>0.0</v>
      </c>
      <c r="CX1043" s="1">
        <v>0.0</v>
      </c>
      <c r="CY1043" s="1">
        <v>0.0</v>
      </c>
      <c r="CZ1043" s="1">
        <v>0.0</v>
      </c>
      <c r="DA1043" s="1">
        <v>0.0</v>
      </c>
      <c r="DB1043" s="1">
        <v>0.0</v>
      </c>
      <c r="DC1043" s="1">
        <v>0.0</v>
      </c>
      <c r="DD1043" s="1" t="s">
        <v>4721</v>
      </c>
      <c r="DE1043" s="1">
        <v>5.61972466106639E-4</v>
      </c>
      <c r="DF1043" s="2" t="s">
        <v>4722</v>
      </c>
    </row>
    <row r="1044" ht="15.75" customHeight="1">
      <c r="A1044" s="1" t="s">
        <v>4723</v>
      </c>
      <c r="B1044" s="1">
        <v>29.0</v>
      </c>
      <c r="C1044" s="1">
        <v>189.0</v>
      </c>
      <c r="D1044" s="1">
        <v>217841.0</v>
      </c>
      <c r="E1044" s="1">
        <v>1.613</v>
      </c>
      <c r="F1044" s="1">
        <v>29189.0</v>
      </c>
      <c r="G1044" s="1">
        <v>2.9189217841E10</v>
      </c>
      <c r="H1044" s="1" t="s">
        <v>112</v>
      </c>
      <c r="I1044" s="1" t="s">
        <v>113</v>
      </c>
      <c r="J1044" s="1" t="s">
        <v>4566</v>
      </c>
      <c r="K1044" s="1" t="s">
        <v>4724</v>
      </c>
      <c r="L1044" s="1">
        <v>5187.0</v>
      </c>
      <c r="M1044" s="1">
        <v>5108.0</v>
      </c>
      <c r="N1044" s="1">
        <v>311.0</v>
      </c>
      <c r="O1044" s="1">
        <v>2119.0</v>
      </c>
      <c r="P1044" s="1">
        <v>2140.0</v>
      </c>
      <c r="Q1044" s="1">
        <v>55.0</v>
      </c>
      <c r="R1044" s="1">
        <v>2050.0</v>
      </c>
      <c r="S1044" s="1">
        <v>61.0</v>
      </c>
      <c r="T1044" s="1">
        <v>50.0</v>
      </c>
      <c r="U1044" s="1">
        <v>121.0</v>
      </c>
      <c r="V1044" s="1">
        <v>366.0</v>
      </c>
      <c r="W1044" s="1">
        <v>39151.0</v>
      </c>
      <c r="X1044" s="1">
        <v>3023.0</v>
      </c>
      <c r="Y1044" s="1">
        <v>117.0</v>
      </c>
      <c r="Z1044" s="1">
        <v>421.0</v>
      </c>
      <c r="AA1044" s="1">
        <v>918.0</v>
      </c>
      <c r="AB1044" s="1">
        <v>1205.0</v>
      </c>
      <c r="AC1044" s="1">
        <v>100.0</v>
      </c>
      <c r="AD1044" s="1">
        <v>796.0</v>
      </c>
      <c r="AE1044" s="1">
        <v>30.0</v>
      </c>
      <c r="AF1044" s="1">
        <v>444.0</v>
      </c>
      <c r="AG1044" s="1">
        <v>211.0</v>
      </c>
      <c r="AH1044" s="1">
        <v>128.0</v>
      </c>
      <c r="AI1044" s="1">
        <v>47.0</v>
      </c>
      <c r="AJ1044" s="1">
        <v>58.0</v>
      </c>
      <c r="AK1044" s="1">
        <v>0.0</v>
      </c>
      <c r="AL1044" s="1">
        <v>161.0</v>
      </c>
      <c r="AM1044" s="1">
        <v>18.0</v>
      </c>
      <c r="AN1044" s="1">
        <v>118.0</v>
      </c>
      <c r="AO1044" s="1">
        <v>5.0</v>
      </c>
      <c r="AP1044" s="1">
        <v>0.011942</v>
      </c>
      <c r="AQ1044" s="1">
        <v>0.009761</v>
      </c>
      <c r="AR1044" s="1">
        <v>0.042816</v>
      </c>
      <c r="AS1044" s="1">
        <v>0.129415</v>
      </c>
      <c r="AT1044" s="1">
        <v>39151.0</v>
      </c>
      <c r="AU1044" s="1">
        <v>3023.0</v>
      </c>
      <c r="AV1044" s="1">
        <v>0.031409</v>
      </c>
      <c r="AW1044" s="1">
        <v>0.113002</v>
      </c>
      <c r="AX1044" s="1">
        <v>0.17698</v>
      </c>
      <c r="AY1044" s="1">
        <v>0.232311</v>
      </c>
      <c r="AZ1044" s="1">
        <v>0.04878048</v>
      </c>
      <c r="BA1044" s="1">
        <v>0.15346</v>
      </c>
      <c r="BB1044" s="1">
        <v>0.006253</v>
      </c>
      <c r="BC1044" s="1">
        <v>0.092556</v>
      </c>
      <c r="BD1044" s="1">
        <v>0.098598</v>
      </c>
      <c r="BE1044" s="1">
        <v>0.059759</v>
      </c>
      <c r="BF1044" s="1">
        <v>0.021962</v>
      </c>
      <c r="BG1044" s="1">
        <v>0.027096</v>
      </c>
      <c r="BH1044" s="1">
        <v>0.0</v>
      </c>
      <c r="BI1044" s="1">
        <v>0.078999</v>
      </c>
      <c r="BJ1044" s="1">
        <v>0.008832</v>
      </c>
      <c r="BK1044" s="1">
        <v>0.057898</v>
      </c>
      <c r="BL1044" s="1">
        <v>9.63E-4</v>
      </c>
      <c r="BM1044" s="1">
        <v>0.025</v>
      </c>
      <c r="BN1044" s="1">
        <v>0.218</v>
      </c>
      <c r="BO1044" s="1">
        <v>0.0736</v>
      </c>
      <c r="BP1044" s="1">
        <v>0.065</v>
      </c>
      <c r="BQ1044" s="1">
        <v>0.3816</v>
      </c>
      <c r="BR1044" s="1">
        <v>0.0354</v>
      </c>
      <c r="BS1044" s="1">
        <v>0.769</v>
      </c>
      <c r="BT1044" s="1">
        <v>0.412</v>
      </c>
      <c r="BU1044" s="1">
        <v>0.065</v>
      </c>
      <c r="BV1044" s="1">
        <v>1.246</v>
      </c>
      <c r="BW1044" s="1">
        <v>0.263</v>
      </c>
      <c r="BX1044" s="1">
        <v>0.635</v>
      </c>
      <c r="BY1044" s="1">
        <v>0.61</v>
      </c>
      <c r="BZ1044" s="1">
        <v>1.245</v>
      </c>
      <c r="CA1044" s="1">
        <v>0.683</v>
      </c>
      <c r="CB1044" s="1">
        <v>0.768</v>
      </c>
      <c r="CC1044" s="1">
        <v>0.521</v>
      </c>
      <c r="CD1044" s="1">
        <v>0.0</v>
      </c>
      <c r="CE1044" s="1">
        <v>0.072</v>
      </c>
      <c r="CF1044" s="1">
        <v>0.394</v>
      </c>
      <c r="CG1044" s="1">
        <v>1.755</v>
      </c>
      <c r="CH1044" s="1">
        <v>0.252</v>
      </c>
      <c r="CI1044" s="1">
        <v>4.6276</v>
      </c>
      <c r="CJ1044" s="1">
        <v>0.1466</v>
      </c>
      <c r="CK1044" s="1">
        <v>0.0</v>
      </c>
      <c r="CL1044" s="1">
        <v>0.0</v>
      </c>
      <c r="CM1044" s="1">
        <v>0.0</v>
      </c>
      <c r="CN1044" s="1">
        <v>0.0</v>
      </c>
      <c r="CO1044" s="1">
        <v>0.0</v>
      </c>
      <c r="CP1044" s="1">
        <v>0.0</v>
      </c>
      <c r="CQ1044" s="1">
        <v>0.0</v>
      </c>
      <c r="CR1044" s="1">
        <v>0.0</v>
      </c>
      <c r="CS1044" s="1">
        <v>0.0</v>
      </c>
      <c r="CT1044" s="1">
        <v>0.0</v>
      </c>
      <c r="CU1044" s="1">
        <v>0.0</v>
      </c>
      <c r="CV1044" s="1">
        <v>0.0</v>
      </c>
      <c r="CW1044" s="1">
        <v>0.0</v>
      </c>
      <c r="CX1044" s="1">
        <v>0.0</v>
      </c>
      <c r="CY1044" s="1">
        <v>0.0</v>
      </c>
      <c r="CZ1044" s="1">
        <v>0.0</v>
      </c>
      <c r="DA1044" s="1">
        <v>0.0</v>
      </c>
      <c r="DB1044" s="1">
        <v>0.0</v>
      </c>
      <c r="DC1044" s="1">
        <v>0.0</v>
      </c>
      <c r="DD1044" s="1" t="s">
        <v>4725</v>
      </c>
      <c r="DE1044" s="1">
        <v>4.29220701272351E-4</v>
      </c>
      <c r="DF1044" s="2" t="s">
        <v>4726</v>
      </c>
    </row>
    <row r="1045" ht="15.75" customHeight="1">
      <c r="A1045" s="1" t="s">
        <v>4727</v>
      </c>
      <c r="B1045" s="1">
        <v>29.0</v>
      </c>
      <c r="C1045" s="1">
        <v>189.0</v>
      </c>
      <c r="D1045" s="1">
        <v>217842.0</v>
      </c>
      <c r="E1045" s="1">
        <v>2.684</v>
      </c>
      <c r="F1045" s="1">
        <v>29189.0</v>
      </c>
      <c r="G1045" s="1">
        <v>2.9189217842E10</v>
      </c>
      <c r="H1045" s="1" t="s">
        <v>112</v>
      </c>
      <c r="I1045" s="1" t="s">
        <v>113</v>
      </c>
      <c r="J1045" s="1" t="s">
        <v>4566</v>
      </c>
      <c r="K1045" s="1" t="s">
        <v>4728</v>
      </c>
      <c r="L1045" s="1">
        <v>6965.0</v>
      </c>
      <c r="M1045" s="1">
        <v>7028.0</v>
      </c>
      <c r="N1045" s="1">
        <v>295.0</v>
      </c>
      <c r="O1045" s="1">
        <v>3155.0</v>
      </c>
      <c r="P1045" s="1">
        <v>3177.0</v>
      </c>
      <c r="Q1045" s="1">
        <v>87.0</v>
      </c>
      <c r="R1045" s="1">
        <v>2956.0</v>
      </c>
      <c r="S1045" s="1">
        <v>362.0</v>
      </c>
      <c r="T1045" s="1">
        <v>177.0</v>
      </c>
      <c r="U1045" s="1">
        <v>95.0</v>
      </c>
      <c r="V1045" s="1">
        <v>446.0</v>
      </c>
      <c r="W1045" s="1">
        <v>65360.0</v>
      </c>
      <c r="X1045" s="1">
        <v>6486.0</v>
      </c>
      <c r="Y1045" s="1">
        <v>33.0</v>
      </c>
      <c r="Z1045" s="1">
        <v>428.0</v>
      </c>
      <c r="AA1045" s="1">
        <v>1314.0</v>
      </c>
      <c r="AB1045" s="1">
        <v>1438.0</v>
      </c>
      <c r="AC1045" s="1">
        <v>100.0</v>
      </c>
      <c r="AD1045" s="1">
        <v>1266.0</v>
      </c>
      <c r="AE1045" s="1">
        <v>79.0</v>
      </c>
      <c r="AF1045" s="1">
        <v>399.0</v>
      </c>
      <c r="AG1045" s="1">
        <v>611.0</v>
      </c>
      <c r="AH1045" s="1">
        <v>163.0</v>
      </c>
      <c r="AI1045" s="1">
        <v>0.0</v>
      </c>
      <c r="AJ1045" s="1">
        <v>114.0</v>
      </c>
      <c r="AK1045" s="1">
        <v>0.0</v>
      </c>
      <c r="AL1045" s="1">
        <v>161.0</v>
      </c>
      <c r="AM1045" s="1">
        <v>129.0</v>
      </c>
      <c r="AN1045" s="1">
        <v>91.0</v>
      </c>
      <c r="AO1045" s="1">
        <v>5.0</v>
      </c>
      <c r="AP1045" s="1">
        <v>0.051508</v>
      </c>
      <c r="AQ1045" s="1">
        <v>0.025091</v>
      </c>
      <c r="AR1045" s="1">
        <v>0.028849</v>
      </c>
      <c r="AS1045" s="1">
        <v>0.135406</v>
      </c>
      <c r="AT1045" s="1">
        <v>65360.0</v>
      </c>
      <c r="AU1045" s="1">
        <v>6486.0</v>
      </c>
      <c r="AV1045" s="1">
        <v>0.006454</v>
      </c>
      <c r="AW1045" s="1">
        <v>0.083707</v>
      </c>
      <c r="AX1045" s="1">
        <v>0.188657</v>
      </c>
      <c r="AY1045" s="1">
        <v>0.20646</v>
      </c>
      <c r="AZ1045" s="1">
        <v>0.03382949</v>
      </c>
      <c r="BA1045" s="1">
        <v>0.181765</v>
      </c>
      <c r="BB1045" s="1">
        <v>0.011651</v>
      </c>
      <c r="BC1045" s="1">
        <v>0.058847</v>
      </c>
      <c r="BD1045" s="1">
        <v>0.192319</v>
      </c>
      <c r="BE1045" s="1">
        <v>0.051035</v>
      </c>
      <c r="BF1045" s="1">
        <v>0.0</v>
      </c>
      <c r="BG1045" s="1">
        <v>0.035882</v>
      </c>
      <c r="BH1045" s="1">
        <v>0.0</v>
      </c>
      <c r="BI1045" s="1">
        <v>0.0527</v>
      </c>
      <c r="BJ1045" s="1">
        <v>0.042225</v>
      </c>
      <c r="BK1045" s="1">
        <v>0.029729</v>
      </c>
      <c r="BL1045" s="1">
        <v>7.17E-4</v>
      </c>
      <c r="BM1045" s="1">
        <v>0.173</v>
      </c>
      <c r="BN1045" s="1">
        <v>0.077</v>
      </c>
      <c r="BO1045" s="1">
        <v>0.0065</v>
      </c>
      <c r="BP1045" s="1">
        <v>0.01</v>
      </c>
      <c r="BQ1045" s="1">
        <v>0.2665</v>
      </c>
      <c r="BR1045" s="1">
        <v>0.0137</v>
      </c>
      <c r="BS1045" s="1">
        <v>0.833</v>
      </c>
      <c r="BT1045" s="1">
        <v>0.22</v>
      </c>
      <c r="BU1045" s="1">
        <v>0.022</v>
      </c>
      <c r="BV1045" s="1">
        <v>1.075</v>
      </c>
      <c r="BW1045" s="1">
        <v>0.149</v>
      </c>
      <c r="BX1045" s="1">
        <v>0.684</v>
      </c>
      <c r="BY1045" s="1">
        <v>0.761</v>
      </c>
      <c r="BZ1045" s="1">
        <v>1.445</v>
      </c>
      <c r="CA1045" s="1">
        <v>0.789</v>
      </c>
      <c r="CB1045" s="1">
        <v>0.889</v>
      </c>
      <c r="CC1045" s="1">
        <v>0.0</v>
      </c>
      <c r="CD1045" s="1">
        <v>0.0</v>
      </c>
      <c r="CE1045" s="1">
        <v>0.415</v>
      </c>
      <c r="CF1045" s="1">
        <v>0.378</v>
      </c>
      <c r="CG1045" s="1">
        <v>1.682</v>
      </c>
      <c r="CH1045" s="1">
        <v>0.227</v>
      </c>
      <c r="CI1045" s="1">
        <v>4.4685</v>
      </c>
      <c r="CJ1045" s="1">
        <v>0.1321</v>
      </c>
      <c r="CK1045" s="1">
        <v>0.0</v>
      </c>
      <c r="CL1045" s="1">
        <v>0.0</v>
      </c>
      <c r="CM1045" s="1">
        <v>0.0</v>
      </c>
      <c r="CN1045" s="1">
        <v>0.0</v>
      </c>
      <c r="CO1045" s="1">
        <v>0.0</v>
      </c>
      <c r="CP1045" s="1">
        <v>0.0</v>
      </c>
      <c r="CQ1045" s="1">
        <v>0.0</v>
      </c>
      <c r="CR1045" s="1">
        <v>0.0</v>
      </c>
      <c r="CS1045" s="1">
        <v>0.0</v>
      </c>
      <c r="CT1045" s="1">
        <v>0.0</v>
      </c>
      <c r="CU1045" s="1">
        <v>0.0</v>
      </c>
      <c r="CV1045" s="1">
        <v>0.0</v>
      </c>
      <c r="CW1045" s="1">
        <v>0.0</v>
      </c>
      <c r="CX1045" s="1">
        <v>0.0</v>
      </c>
      <c r="CY1045" s="1">
        <v>0.0</v>
      </c>
      <c r="CZ1045" s="1">
        <v>0.0</v>
      </c>
      <c r="DA1045" s="1">
        <v>0.0</v>
      </c>
      <c r="DB1045" s="1">
        <v>0.0</v>
      </c>
      <c r="DC1045" s="1">
        <v>0.0</v>
      </c>
      <c r="DD1045" s="1" t="s">
        <v>4729</v>
      </c>
      <c r="DE1045" s="1">
        <v>7.24427245402913E-4</v>
      </c>
      <c r="DF1045" s="2" t="s">
        <v>4730</v>
      </c>
    </row>
    <row r="1046" ht="15.75" customHeight="1">
      <c r="A1046" s="1" t="s">
        <v>4731</v>
      </c>
      <c r="B1046" s="1">
        <v>29.0</v>
      </c>
      <c r="C1046" s="1">
        <v>189.0</v>
      </c>
      <c r="D1046" s="1">
        <v>217851.0</v>
      </c>
      <c r="E1046" s="1">
        <v>1.015</v>
      </c>
      <c r="F1046" s="1">
        <v>29189.0</v>
      </c>
      <c r="G1046" s="1">
        <v>2.9189217851E10</v>
      </c>
      <c r="H1046" s="1" t="s">
        <v>112</v>
      </c>
      <c r="I1046" s="1" t="s">
        <v>113</v>
      </c>
      <c r="J1046" s="1" t="s">
        <v>4566</v>
      </c>
      <c r="K1046" s="1" t="s">
        <v>4732</v>
      </c>
      <c r="L1046" s="1">
        <v>3229.0</v>
      </c>
      <c r="M1046" s="1">
        <v>3315.0</v>
      </c>
      <c r="N1046" s="1">
        <v>213.0</v>
      </c>
      <c r="O1046" s="1">
        <v>1186.0</v>
      </c>
      <c r="P1046" s="1">
        <v>1192.0</v>
      </c>
      <c r="Q1046" s="1">
        <v>25.0</v>
      </c>
      <c r="R1046" s="1">
        <v>1153.0</v>
      </c>
      <c r="S1046" s="1">
        <v>32.0</v>
      </c>
      <c r="T1046" s="1">
        <v>29.0</v>
      </c>
      <c r="U1046" s="1">
        <v>92.0</v>
      </c>
      <c r="V1046" s="1">
        <v>414.0</v>
      </c>
      <c r="W1046" s="1">
        <v>50627.0</v>
      </c>
      <c r="X1046" s="1">
        <v>6983.0</v>
      </c>
      <c r="Y1046" s="1">
        <v>24.0</v>
      </c>
      <c r="Z1046" s="1">
        <v>427.0</v>
      </c>
      <c r="AA1046" s="1">
        <v>600.0</v>
      </c>
      <c r="AB1046" s="1">
        <v>779.0</v>
      </c>
      <c r="AC1046" s="1">
        <v>41.0</v>
      </c>
      <c r="AD1046" s="1">
        <v>310.0</v>
      </c>
      <c r="AE1046" s="1">
        <v>35.0</v>
      </c>
      <c r="AF1046" s="1">
        <v>428.0</v>
      </c>
      <c r="AG1046" s="1">
        <v>0.0</v>
      </c>
      <c r="AH1046" s="1">
        <v>197.0</v>
      </c>
      <c r="AI1046" s="1">
        <v>0.0</v>
      </c>
      <c r="AJ1046" s="1">
        <v>114.0</v>
      </c>
      <c r="AK1046" s="1">
        <v>0.0</v>
      </c>
      <c r="AL1046" s="1">
        <v>161.0</v>
      </c>
      <c r="AM1046" s="1">
        <v>14.0</v>
      </c>
      <c r="AN1046" s="1">
        <v>116.0</v>
      </c>
      <c r="AO1046" s="1">
        <v>84.0</v>
      </c>
      <c r="AP1046" s="1">
        <v>0.009653</v>
      </c>
      <c r="AQ1046" s="1">
        <v>0.008726</v>
      </c>
      <c r="AR1046" s="1">
        <v>0.0562</v>
      </c>
      <c r="AS1046" s="1">
        <v>0.252782</v>
      </c>
      <c r="AT1046" s="1">
        <v>50627.0</v>
      </c>
      <c r="AU1046" s="1">
        <v>6983.0</v>
      </c>
      <c r="AV1046" s="1">
        <v>0.010475</v>
      </c>
      <c r="AW1046" s="1">
        <v>0.18638</v>
      </c>
      <c r="AX1046" s="1">
        <v>0.185816</v>
      </c>
      <c r="AY1046" s="1">
        <v>0.241251</v>
      </c>
      <c r="AZ1046" s="1">
        <v>0.03555941</v>
      </c>
      <c r="BA1046" s="1">
        <v>0.096004</v>
      </c>
      <c r="BB1046" s="1">
        <v>0.011111</v>
      </c>
      <c r="BC1046" s="1">
        <v>0.13587</v>
      </c>
      <c r="BD1046" s="1">
        <v>0.0</v>
      </c>
      <c r="BE1046" s="1">
        <v>0.165268</v>
      </c>
      <c r="BF1046" s="1">
        <v>0.0</v>
      </c>
      <c r="BG1046" s="1">
        <v>0.095637</v>
      </c>
      <c r="BH1046" s="1">
        <v>0.0</v>
      </c>
      <c r="BI1046" s="1">
        <v>0.144914</v>
      </c>
      <c r="BJ1046" s="1">
        <v>0.012601</v>
      </c>
      <c r="BK1046" s="1">
        <v>0.104407</v>
      </c>
      <c r="BL1046" s="1">
        <v>0.026014</v>
      </c>
      <c r="BM1046" s="1">
        <v>0.02</v>
      </c>
      <c r="BN1046" s="1">
        <v>0.37</v>
      </c>
      <c r="BO1046" s="1">
        <v>0.0253</v>
      </c>
      <c r="BP1046" s="1">
        <v>0.017</v>
      </c>
      <c r="BQ1046" s="1">
        <v>0.4323</v>
      </c>
      <c r="BR1046" s="1">
        <v>0.0484</v>
      </c>
      <c r="BS1046" s="1">
        <v>0.819</v>
      </c>
      <c r="BT1046" s="1">
        <v>0.505</v>
      </c>
      <c r="BU1046" s="1">
        <v>0.026</v>
      </c>
      <c r="BV1046" s="1">
        <v>1.35</v>
      </c>
      <c r="BW1046" s="1">
        <v>0.343</v>
      </c>
      <c r="BX1046" s="1">
        <v>0.453</v>
      </c>
      <c r="BY1046" s="1">
        <v>0.748</v>
      </c>
      <c r="BZ1046" s="1">
        <v>1.201</v>
      </c>
      <c r="CA1046" s="1">
        <v>0.661</v>
      </c>
      <c r="CB1046" s="1">
        <v>0.0</v>
      </c>
      <c r="CC1046" s="1">
        <v>0.0</v>
      </c>
      <c r="CD1046" s="1">
        <v>0.0</v>
      </c>
      <c r="CE1046" s="1">
        <v>0.111</v>
      </c>
      <c r="CF1046" s="1">
        <v>0.781</v>
      </c>
      <c r="CG1046" s="1">
        <v>0.892</v>
      </c>
      <c r="CH1046" s="1">
        <v>0.064</v>
      </c>
      <c r="CI1046" s="1">
        <v>3.8753</v>
      </c>
      <c r="CJ1046" s="1">
        <v>0.0744</v>
      </c>
      <c r="CK1046" s="1">
        <v>0.0</v>
      </c>
      <c r="CL1046" s="1">
        <v>0.0</v>
      </c>
      <c r="CM1046" s="1">
        <v>0.0</v>
      </c>
      <c r="CN1046" s="1">
        <v>0.0</v>
      </c>
      <c r="CO1046" s="1">
        <v>0.0</v>
      </c>
      <c r="CP1046" s="1">
        <v>0.0</v>
      </c>
      <c r="CQ1046" s="1">
        <v>0.0</v>
      </c>
      <c r="CR1046" s="1">
        <v>0.0</v>
      </c>
      <c r="CS1046" s="1">
        <v>0.0</v>
      </c>
      <c r="CT1046" s="1">
        <v>0.0</v>
      </c>
      <c r="CU1046" s="1">
        <v>0.0</v>
      </c>
      <c r="CV1046" s="1">
        <v>0.0</v>
      </c>
      <c r="CW1046" s="1">
        <v>0.0</v>
      </c>
      <c r="CX1046" s="1">
        <v>0.0</v>
      </c>
      <c r="CY1046" s="1">
        <v>0.0</v>
      </c>
      <c r="CZ1046" s="1">
        <v>0.0</v>
      </c>
      <c r="DA1046" s="1">
        <v>0.0</v>
      </c>
      <c r="DB1046" s="1">
        <v>0.0</v>
      </c>
      <c r="DC1046" s="1">
        <v>0.0</v>
      </c>
      <c r="DD1046" s="1" t="s">
        <v>4733</v>
      </c>
      <c r="DE1046" s="1">
        <v>2.7029612895855E-4</v>
      </c>
      <c r="DF1046" s="1">
        <v>0.0799818528841295</v>
      </c>
    </row>
    <row r="1047" ht="15.75" customHeight="1">
      <c r="A1047" s="1" t="s">
        <v>4734</v>
      </c>
      <c r="B1047" s="1">
        <v>29.0</v>
      </c>
      <c r="C1047" s="1">
        <v>189.0</v>
      </c>
      <c r="D1047" s="1">
        <v>217852.0</v>
      </c>
      <c r="E1047" s="1">
        <v>2.656</v>
      </c>
      <c r="F1047" s="1">
        <v>29189.0</v>
      </c>
      <c r="G1047" s="1">
        <v>2.9189217852E10</v>
      </c>
      <c r="H1047" s="1" t="s">
        <v>112</v>
      </c>
      <c r="I1047" s="1" t="s">
        <v>113</v>
      </c>
      <c r="J1047" s="1" t="s">
        <v>4566</v>
      </c>
      <c r="K1047" s="1" t="s">
        <v>4735</v>
      </c>
      <c r="L1047" s="1">
        <v>6391.0</v>
      </c>
      <c r="M1047" s="1">
        <v>6457.0</v>
      </c>
      <c r="N1047" s="1">
        <v>406.0</v>
      </c>
      <c r="O1047" s="1">
        <v>2478.0</v>
      </c>
      <c r="P1047" s="1">
        <v>2469.0</v>
      </c>
      <c r="Q1047" s="1">
        <v>63.0</v>
      </c>
      <c r="R1047" s="1">
        <v>2363.0</v>
      </c>
      <c r="S1047" s="1">
        <v>42.0</v>
      </c>
      <c r="T1047" s="1">
        <v>38.0</v>
      </c>
      <c r="U1047" s="1">
        <v>141.0</v>
      </c>
      <c r="V1047" s="1">
        <v>448.0</v>
      </c>
      <c r="W1047" s="1">
        <v>46979.0</v>
      </c>
      <c r="X1047" s="1">
        <v>4245.0</v>
      </c>
      <c r="Y1047" s="1">
        <v>273.0</v>
      </c>
      <c r="Z1047" s="1">
        <v>311.0</v>
      </c>
      <c r="AA1047" s="1">
        <v>1405.0</v>
      </c>
      <c r="AB1047" s="1">
        <v>1518.0</v>
      </c>
      <c r="AC1047" s="1">
        <v>97.0</v>
      </c>
      <c r="AD1047" s="1">
        <v>633.0</v>
      </c>
      <c r="AE1047" s="1">
        <v>19.0</v>
      </c>
      <c r="AF1047" s="1">
        <v>427.0</v>
      </c>
      <c r="AG1047" s="1">
        <v>37.0</v>
      </c>
      <c r="AH1047" s="1">
        <v>170.0</v>
      </c>
      <c r="AI1047" s="1">
        <v>0.0</v>
      </c>
      <c r="AJ1047" s="1">
        <v>114.0</v>
      </c>
      <c r="AK1047" s="1">
        <v>0.0</v>
      </c>
      <c r="AL1047" s="1">
        <v>161.0</v>
      </c>
      <c r="AM1047" s="1">
        <v>34.0</v>
      </c>
      <c r="AN1047" s="1">
        <v>119.0</v>
      </c>
      <c r="AO1047" s="1">
        <v>156.0</v>
      </c>
      <c r="AP1047" s="1">
        <v>0.007089</v>
      </c>
      <c r="AQ1047" s="1">
        <v>0.006395</v>
      </c>
      <c r="AR1047" s="1">
        <v>0.049858</v>
      </c>
      <c r="AS1047" s="1">
        <v>0.158335</v>
      </c>
      <c r="AT1047" s="1">
        <v>46979.0</v>
      </c>
      <c r="AU1047" s="1">
        <v>4245.0</v>
      </c>
      <c r="AV1047" s="1">
        <v>0.057232</v>
      </c>
      <c r="AW1047" s="1">
        <v>0.065078</v>
      </c>
      <c r="AX1047" s="1">
        <v>0.21984</v>
      </c>
      <c r="AY1047" s="1">
        <v>0.237521</v>
      </c>
      <c r="AZ1047" s="1">
        <v>0.04104951</v>
      </c>
      <c r="BA1047" s="1">
        <v>0.099045</v>
      </c>
      <c r="BB1047" s="1">
        <v>0.003054</v>
      </c>
      <c r="BC1047" s="1">
        <v>0.068638</v>
      </c>
      <c r="BD1047" s="1">
        <v>0.014985</v>
      </c>
      <c r="BE1047" s="1">
        <v>0.068852</v>
      </c>
      <c r="BF1047" s="1">
        <v>0.0</v>
      </c>
      <c r="BG1047" s="1">
        <v>0.046172</v>
      </c>
      <c r="BH1047" s="1">
        <v>0.0</v>
      </c>
      <c r="BI1047" s="1">
        <v>0.070831</v>
      </c>
      <c r="BJ1047" s="1">
        <v>0.014958</v>
      </c>
      <c r="BK1047" s="1">
        <v>0.052347</v>
      </c>
      <c r="BL1047" s="1">
        <v>0.024409</v>
      </c>
      <c r="BM1047" s="1">
        <v>0.012</v>
      </c>
      <c r="BN1047" s="1">
        <v>0.292</v>
      </c>
      <c r="BO1047" s="1">
        <v>0.0325</v>
      </c>
      <c r="BP1047" s="1">
        <v>0.158</v>
      </c>
      <c r="BQ1047" s="1">
        <v>0.4945</v>
      </c>
      <c r="BR1047" s="1">
        <v>0.0664</v>
      </c>
      <c r="BS1047" s="1">
        <v>0.933</v>
      </c>
      <c r="BT1047" s="1">
        <v>0.469</v>
      </c>
      <c r="BU1047" s="1">
        <v>0.043</v>
      </c>
      <c r="BV1047" s="1">
        <v>1.445</v>
      </c>
      <c r="BW1047" s="1">
        <v>0.433</v>
      </c>
      <c r="BX1047" s="1">
        <v>0.466</v>
      </c>
      <c r="BY1047" s="1">
        <v>0.453</v>
      </c>
      <c r="BZ1047" s="1">
        <v>0.919</v>
      </c>
      <c r="CA1047" s="1">
        <v>0.482</v>
      </c>
      <c r="CB1047" s="1">
        <v>0.425</v>
      </c>
      <c r="CC1047" s="1">
        <v>0.0</v>
      </c>
      <c r="CD1047" s="1">
        <v>0.0</v>
      </c>
      <c r="CE1047" s="1">
        <v>0.132</v>
      </c>
      <c r="CF1047" s="1">
        <v>0.762</v>
      </c>
      <c r="CG1047" s="1">
        <v>1.319</v>
      </c>
      <c r="CH1047" s="1">
        <v>0.131</v>
      </c>
      <c r="CI1047" s="1">
        <v>4.1775</v>
      </c>
      <c r="CJ1047" s="1">
        <v>0.1004</v>
      </c>
      <c r="CK1047" s="1">
        <v>0.0</v>
      </c>
      <c r="CL1047" s="1">
        <v>0.0</v>
      </c>
      <c r="CM1047" s="1">
        <v>0.0</v>
      </c>
      <c r="CN1047" s="1">
        <v>0.0</v>
      </c>
      <c r="CO1047" s="1">
        <v>0.0</v>
      </c>
      <c r="CP1047" s="1">
        <v>1.0</v>
      </c>
      <c r="CQ1047" s="1">
        <v>0.0</v>
      </c>
      <c r="CR1047" s="1">
        <v>0.0</v>
      </c>
      <c r="CS1047" s="1">
        <v>1.0</v>
      </c>
      <c r="CT1047" s="1">
        <v>0.0</v>
      </c>
      <c r="CU1047" s="1">
        <v>0.0</v>
      </c>
      <c r="CV1047" s="1">
        <v>0.0</v>
      </c>
      <c r="CW1047" s="1">
        <v>0.0</v>
      </c>
      <c r="CX1047" s="1">
        <v>0.0</v>
      </c>
      <c r="CY1047" s="1">
        <v>0.0</v>
      </c>
      <c r="CZ1047" s="1">
        <v>0.0</v>
      </c>
      <c r="DA1047" s="1">
        <v>0.0</v>
      </c>
      <c r="DB1047" s="1">
        <v>0.0</v>
      </c>
      <c r="DC1047" s="1">
        <v>1.0</v>
      </c>
      <c r="DD1047" s="1" t="s">
        <v>4736</v>
      </c>
      <c r="DE1047" s="1">
        <v>7.09631809780585E-4</v>
      </c>
      <c r="DF1047" s="2" t="s">
        <v>4737</v>
      </c>
    </row>
    <row r="1048" ht="15.75" customHeight="1">
      <c r="A1048" s="1" t="s">
        <v>4738</v>
      </c>
      <c r="B1048" s="1">
        <v>29.0</v>
      </c>
      <c r="C1048" s="1">
        <v>189.0</v>
      </c>
      <c r="D1048" s="1">
        <v>217921.0</v>
      </c>
      <c r="E1048" s="1">
        <v>7.415</v>
      </c>
      <c r="F1048" s="1">
        <v>29189.0</v>
      </c>
      <c r="G1048" s="1">
        <v>2.9189217921E10</v>
      </c>
      <c r="H1048" s="1" t="s">
        <v>112</v>
      </c>
      <c r="I1048" s="1" t="s">
        <v>113</v>
      </c>
      <c r="J1048" s="1" t="s">
        <v>4566</v>
      </c>
      <c r="K1048" s="1" t="s">
        <v>4739</v>
      </c>
      <c r="L1048" s="1">
        <v>4958.0</v>
      </c>
      <c r="M1048" s="1">
        <v>5169.0</v>
      </c>
      <c r="N1048" s="1">
        <v>368.0</v>
      </c>
      <c r="O1048" s="1">
        <v>1770.0</v>
      </c>
      <c r="P1048" s="1">
        <v>1855.0</v>
      </c>
      <c r="Q1048" s="1">
        <v>81.0</v>
      </c>
      <c r="R1048" s="1">
        <v>1678.0</v>
      </c>
      <c r="S1048" s="1">
        <v>85.0</v>
      </c>
      <c r="T1048" s="1">
        <v>56.0</v>
      </c>
      <c r="U1048" s="1">
        <v>145.0</v>
      </c>
      <c r="V1048" s="1">
        <v>348.0</v>
      </c>
      <c r="W1048" s="1">
        <v>45652.0</v>
      </c>
      <c r="X1048" s="1">
        <v>5872.0</v>
      </c>
      <c r="Y1048" s="1">
        <v>262.0</v>
      </c>
      <c r="Z1048" s="1">
        <v>289.0</v>
      </c>
      <c r="AA1048" s="1">
        <v>653.0</v>
      </c>
      <c r="AB1048" s="1">
        <v>1384.0</v>
      </c>
      <c r="AC1048" s="1">
        <v>68.0</v>
      </c>
      <c r="AD1048" s="1">
        <v>571.0</v>
      </c>
      <c r="AE1048" s="1">
        <v>34.0</v>
      </c>
      <c r="AF1048" s="1">
        <v>428.0</v>
      </c>
      <c r="AG1048" s="1">
        <v>0.0</v>
      </c>
      <c r="AH1048" s="1">
        <v>197.0</v>
      </c>
      <c r="AI1048" s="1">
        <v>0.0</v>
      </c>
      <c r="AJ1048" s="1">
        <v>114.0</v>
      </c>
      <c r="AK1048" s="1">
        <v>12.0</v>
      </c>
      <c r="AL1048" s="1">
        <v>115.0</v>
      </c>
      <c r="AM1048" s="1">
        <v>76.0</v>
      </c>
      <c r="AN1048" s="1">
        <v>43.0</v>
      </c>
      <c r="AO1048" s="1">
        <v>217.0</v>
      </c>
      <c r="AP1048" s="1">
        <v>0.017875</v>
      </c>
      <c r="AQ1048" s="1">
        <v>0.011718</v>
      </c>
      <c r="AR1048" s="1">
        <v>0.064102</v>
      </c>
      <c r="AS1048" s="1">
        <v>0.153729</v>
      </c>
      <c r="AT1048" s="1">
        <v>45652.0</v>
      </c>
      <c r="AU1048" s="1">
        <v>5872.0</v>
      </c>
      <c r="AV1048" s="1">
        <v>0.07581</v>
      </c>
      <c r="AW1048" s="1">
        <v>0.083446</v>
      </c>
      <c r="AX1048" s="1">
        <v>0.131706</v>
      </c>
      <c r="AY1048" s="1">
        <v>0.279144</v>
      </c>
      <c r="AZ1048" s="1">
        <v>0.04052443</v>
      </c>
      <c r="BA1048" s="1">
        <v>0.115167</v>
      </c>
      <c r="BB1048" s="1">
        <v>0.006892</v>
      </c>
      <c r="BC1048" s="1">
        <v>0.086761</v>
      </c>
      <c r="BD1048" s="1">
        <v>0.0</v>
      </c>
      <c r="BE1048" s="1">
        <v>0.106199</v>
      </c>
      <c r="BF1048" s="1">
        <v>0.0</v>
      </c>
      <c r="BG1048" s="1">
        <v>0.061455</v>
      </c>
      <c r="BH1048" s="1">
        <v>0.007168</v>
      </c>
      <c r="BI1048" s="1">
        <v>0.068696</v>
      </c>
      <c r="BJ1048" s="1">
        <v>0.0454</v>
      </c>
      <c r="BK1048" s="1">
        <v>0.025546</v>
      </c>
      <c r="BL1048" s="1">
        <v>0.043767</v>
      </c>
      <c r="BM1048" s="1">
        <v>0.044</v>
      </c>
      <c r="BN1048" s="1">
        <v>0.462</v>
      </c>
      <c r="BO1048" s="1">
        <v>0.0361</v>
      </c>
      <c r="BP1048" s="1">
        <v>0.228</v>
      </c>
      <c r="BQ1048" s="1">
        <v>0.7701</v>
      </c>
      <c r="BR1048" s="1">
        <v>0.1495</v>
      </c>
      <c r="BS1048" s="1">
        <v>0.431</v>
      </c>
      <c r="BT1048" s="1">
        <v>0.846</v>
      </c>
      <c r="BU1048" s="1">
        <v>0.04</v>
      </c>
      <c r="BV1048" s="1">
        <v>1.317</v>
      </c>
      <c r="BW1048" s="1">
        <v>0.317</v>
      </c>
      <c r="BX1048" s="1">
        <v>0.525</v>
      </c>
      <c r="BY1048" s="1">
        <v>0.629</v>
      </c>
      <c r="BZ1048" s="1">
        <v>1.154</v>
      </c>
      <c r="CA1048" s="1">
        <v>0.636</v>
      </c>
      <c r="CB1048" s="1">
        <v>0.0</v>
      </c>
      <c r="CC1048" s="1">
        <v>0.0</v>
      </c>
      <c r="CD1048" s="1">
        <v>0.394</v>
      </c>
      <c r="CE1048" s="1">
        <v>0.447</v>
      </c>
      <c r="CF1048" s="1">
        <v>0.878</v>
      </c>
      <c r="CG1048" s="1">
        <v>1.719</v>
      </c>
      <c r="CH1048" s="1">
        <v>0.238</v>
      </c>
      <c r="CI1048" s="1">
        <v>4.9601</v>
      </c>
      <c r="CJ1048" s="1">
        <v>0.1971</v>
      </c>
      <c r="CK1048" s="1">
        <v>0.0</v>
      </c>
      <c r="CL1048" s="1">
        <v>0.0</v>
      </c>
      <c r="CM1048" s="1">
        <v>0.0</v>
      </c>
      <c r="CN1048" s="1">
        <v>0.0</v>
      </c>
      <c r="CO1048" s="1">
        <v>0.0</v>
      </c>
      <c r="CP1048" s="1">
        <v>0.0</v>
      </c>
      <c r="CQ1048" s="1">
        <v>0.0</v>
      </c>
      <c r="CR1048" s="1">
        <v>0.0</v>
      </c>
      <c r="CS1048" s="1">
        <v>0.0</v>
      </c>
      <c r="CT1048" s="1">
        <v>0.0</v>
      </c>
      <c r="CU1048" s="1">
        <v>0.0</v>
      </c>
      <c r="CV1048" s="1">
        <v>0.0</v>
      </c>
      <c r="CW1048" s="1">
        <v>0.0</v>
      </c>
      <c r="CX1048" s="1">
        <v>0.0</v>
      </c>
      <c r="CY1048" s="1">
        <v>0.0</v>
      </c>
      <c r="CZ1048" s="1">
        <v>0.0</v>
      </c>
      <c r="DA1048" s="1">
        <v>0.0</v>
      </c>
      <c r="DB1048" s="1">
        <v>0.0</v>
      </c>
      <c r="DC1048" s="1">
        <v>0.0</v>
      </c>
      <c r="DD1048" s="1" t="s">
        <v>4740</v>
      </c>
      <c r="DE1048" s="1">
        <v>0.00208490242659938</v>
      </c>
      <c r="DF1048" s="2" t="s">
        <v>4741</v>
      </c>
    </row>
    <row r="1049" ht="15.75" customHeight="1">
      <c r="A1049" s="1" t="s">
        <v>4742</v>
      </c>
      <c r="B1049" s="1">
        <v>29.0</v>
      </c>
      <c r="C1049" s="1">
        <v>189.0</v>
      </c>
      <c r="D1049" s="1">
        <v>217923.0</v>
      </c>
      <c r="E1049" s="1">
        <v>1.965</v>
      </c>
      <c r="F1049" s="1">
        <v>29189.0</v>
      </c>
      <c r="G1049" s="1">
        <v>2.9189217923E10</v>
      </c>
      <c r="H1049" s="1" t="s">
        <v>112</v>
      </c>
      <c r="I1049" s="1" t="s">
        <v>113</v>
      </c>
      <c r="J1049" s="1" t="s">
        <v>4566</v>
      </c>
      <c r="K1049" s="1" t="s">
        <v>4743</v>
      </c>
      <c r="L1049" s="1">
        <v>7269.0</v>
      </c>
      <c r="M1049" s="1">
        <v>7029.0</v>
      </c>
      <c r="N1049" s="1">
        <v>278.0</v>
      </c>
      <c r="O1049" s="1">
        <v>2895.0</v>
      </c>
      <c r="P1049" s="1">
        <v>2845.0</v>
      </c>
      <c r="Q1049" s="1">
        <v>90.0</v>
      </c>
      <c r="R1049" s="1">
        <v>2771.0</v>
      </c>
      <c r="S1049" s="1">
        <v>299.0</v>
      </c>
      <c r="T1049" s="1">
        <v>147.0</v>
      </c>
      <c r="U1049" s="1">
        <v>194.0</v>
      </c>
      <c r="V1049" s="1">
        <v>390.0</v>
      </c>
      <c r="W1049" s="1">
        <v>37146.0</v>
      </c>
      <c r="X1049" s="1">
        <v>3626.0</v>
      </c>
      <c r="Y1049" s="1">
        <v>133.0</v>
      </c>
      <c r="Z1049" s="1">
        <v>309.0</v>
      </c>
      <c r="AA1049" s="1">
        <v>668.0</v>
      </c>
      <c r="AB1049" s="1">
        <v>1936.0</v>
      </c>
      <c r="AC1049" s="1">
        <v>258.0</v>
      </c>
      <c r="AD1049" s="1">
        <v>894.0</v>
      </c>
      <c r="AE1049" s="1">
        <v>68.0</v>
      </c>
      <c r="AF1049" s="1">
        <v>430.0</v>
      </c>
      <c r="AG1049" s="1">
        <v>150.0</v>
      </c>
      <c r="AH1049" s="1">
        <v>87.0</v>
      </c>
      <c r="AI1049" s="1">
        <v>0.0</v>
      </c>
      <c r="AJ1049" s="1">
        <v>114.0</v>
      </c>
      <c r="AK1049" s="1">
        <v>19.0</v>
      </c>
      <c r="AL1049" s="1">
        <v>117.0</v>
      </c>
      <c r="AM1049" s="1">
        <v>62.0</v>
      </c>
      <c r="AN1049" s="1">
        <v>55.0</v>
      </c>
      <c r="AO1049" s="1">
        <v>2.0</v>
      </c>
      <c r="AP1049" s="1">
        <v>0.042629</v>
      </c>
      <c r="AQ1049" s="1">
        <v>0.02089</v>
      </c>
      <c r="AR1049" s="1">
        <v>0.047053</v>
      </c>
      <c r="AS1049" s="1">
        <v>0.094493</v>
      </c>
      <c r="AT1049" s="1">
        <v>37146.0</v>
      </c>
      <c r="AU1049" s="1">
        <v>3626.0</v>
      </c>
      <c r="AV1049" s="1">
        <v>0.028571</v>
      </c>
      <c r="AW1049" s="1">
        <v>0.066363</v>
      </c>
      <c r="AX1049" s="1">
        <v>0.091897</v>
      </c>
      <c r="AY1049" s="1">
        <v>0.266336</v>
      </c>
      <c r="AZ1049" s="1">
        <v>0.09310718</v>
      </c>
      <c r="BA1049" s="1">
        <v>0.122988</v>
      </c>
      <c r="BB1049" s="1">
        <v>0.010156</v>
      </c>
      <c r="BC1049" s="1">
        <v>0.064225</v>
      </c>
      <c r="BD1049" s="1">
        <v>0.052724</v>
      </c>
      <c r="BE1049" s="1">
        <v>0.030534</v>
      </c>
      <c r="BF1049" s="1">
        <v>0.0</v>
      </c>
      <c r="BG1049" s="1">
        <v>0.04007</v>
      </c>
      <c r="BH1049" s="1">
        <v>0.006964</v>
      </c>
      <c r="BI1049" s="1">
        <v>0.042887</v>
      </c>
      <c r="BJ1049" s="1">
        <v>0.022727</v>
      </c>
      <c r="BK1049" s="1">
        <v>0.020133</v>
      </c>
      <c r="BL1049" s="1">
        <v>2.75E-4</v>
      </c>
      <c r="BM1049" s="1">
        <v>0.134</v>
      </c>
      <c r="BN1049" s="1">
        <v>0.262</v>
      </c>
      <c r="BO1049" s="1">
        <v>0.091</v>
      </c>
      <c r="BP1049" s="1">
        <v>0.057</v>
      </c>
      <c r="BQ1049" s="1">
        <v>0.544</v>
      </c>
      <c r="BR1049" s="1">
        <v>0.0794</v>
      </c>
      <c r="BS1049" s="1">
        <v>0.17</v>
      </c>
      <c r="BT1049" s="1">
        <v>0.763</v>
      </c>
      <c r="BU1049" s="1">
        <v>0.428</v>
      </c>
      <c r="BV1049" s="1">
        <v>1.361</v>
      </c>
      <c r="BW1049" s="1">
        <v>0.357</v>
      </c>
      <c r="BX1049" s="1">
        <v>0.543</v>
      </c>
      <c r="BY1049" s="1">
        <v>0.726</v>
      </c>
      <c r="BZ1049" s="1">
        <v>1.269</v>
      </c>
      <c r="CA1049" s="1">
        <v>0.696</v>
      </c>
      <c r="CB1049" s="1">
        <v>0.664</v>
      </c>
      <c r="CC1049" s="1">
        <v>0.0</v>
      </c>
      <c r="CD1049" s="1">
        <v>0.391</v>
      </c>
      <c r="CE1049" s="1">
        <v>0.211</v>
      </c>
      <c r="CF1049" s="1">
        <v>0.35</v>
      </c>
      <c r="CG1049" s="1">
        <v>1.616</v>
      </c>
      <c r="CH1049" s="1">
        <v>0.206</v>
      </c>
      <c r="CI1049" s="1">
        <v>4.79</v>
      </c>
      <c r="CJ1049" s="1">
        <v>0.1755</v>
      </c>
      <c r="CK1049" s="1">
        <v>0.0</v>
      </c>
      <c r="CL1049" s="1">
        <v>0.0</v>
      </c>
      <c r="CM1049" s="1">
        <v>0.0</v>
      </c>
      <c r="CN1049" s="1">
        <v>0.0</v>
      </c>
      <c r="CO1049" s="1">
        <v>0.0</v>
      </c>
      <c r="CP1049" s="1">
        <v>0.0</v>
      </c>
      <c r="CQ1049" s="1">
        <v>0.0</v>
      </c>
      <c r="CR1049" s="1">
        <v>0.0</v>
      </c>
      <c r="CS1049" s="1">
        <v>0.0</v>
      </c>
      <c r="CT1049" s="1">
        <v>0.0</v>
      </c>
      <c r="CU1049" s="1">
        <v>0.0</v>
      </c>
      <c r="CV1049" s="1">
        <v>0.0</v>
      </c>
      <c r="CW1049" s="1">
        <v>0.0</v>
      </c>
      <c r="CX1049" s="1">
        <v>0.0</v>
      </c>
      <c r="CY1049" s="1">
        <v>0.0</v>
      </c>
      <c r="CZ1049" s="1">
        <v>0.0</v>
      </c>
      <c r="DA1049" s="1">
        <v>0.0</v>
      </c>
      <c r="DB1049" s="1">
        <v>0.0</v>
      </c>
      <c r="DC1049" s="1">
        <v>0.0</v>
      </c>
      <c r="DD1049" s="1" t="s">
        <v>4744</v>
      </c>
      <c r="DE1049" s="1">
        <v>5.25677385985132E-4</v>
      </c>
      <c r="DF1049" s="2" t="s">
        <v>4745</v>
      </c>
    </row>
    <row r="1050" ht="15.75" customHeight="1">
      <c r="A1050" s="1" t="s">
        <v>4746</v>
      </c>
      <c r="B1050" s="1">
        <v>29.0</v>
      </c>
      <c r="C1050" s="1">
        <v>189.0</v>
      </c>
      <c r="D1050" s="1">
        <v>220200.0</v>
      </c>
      <c r="E1050" s="1">
        <v>1.36</v>
      </c>
      <c r="F1050" s="1">
        <v>29189.0</v>
      </c>
      <c r="G1050" s="1">
        <v>2.91892202E10</v>
      </c>
      <c r="H1050" s="1" t="s">
        <v>112</v>
      </c>
      <c r="I1050" s="1" t="s">
        <v>113</v>
      </c>
      <c r="J1050" s="1" t="s">
        <v>4566</v>
      </c>
      <c r="K1050" s="1" t="s">
        <v>4747</v>
      </c>
      <c r="L1050" s="1">
        <v>5702.0</v>
      </c>
      <c r="M1050" s="1">
        <v>5371.0</v>
      </c>
      <c r="N1050" s="1">
        <v>482.0</v>
      </c>
      <c r="O1050" s="1">
        <v>2454.0</v>
      </c>
      <c r="P1050" s="1">
        <v>2336.0</v>
      </c>
      <c r="Q1050" s="1">
        <v>112.0</v>
      </c>
      <c r="R1050" s="1">
        <v>2151.0</v>
      </c>
      <c r="S1050" s="1">
        <v>928.0</v>
      </c>
      <c r="T1050" s="1">
        <v>452.0</v>
      </c>
      <c r="U1050" s="1">
        <v>220.0</v>
      </c>
      <c r="V1050" s="1">
        <v>390.0</v>
      </c>
      <c r="W1050" s="1">
        <v>16629.0</v>
      </c>
      <c r="X1050" s="1">
        <v>1855.0</v>
      </c>
      <c r="Y1050" s="1">
        <v>1077.0</v>
      </c>
      <c r="Z1050" s="1">
        <v>216.0</v>
      </c>
      <c r="AA1050" s="1">
        <v>711.0</v>
      </c>
      <c r="AB1050" s="1">
        <v>1338.0</v>
      </c>
      <c r="AC1050" s="1">
        <v>309.0</v>
      </c>
      <c r="AD1050" s="1">
        <v>446.0</v>
      </c>
      <c r="AE1050" s="1">
        <v>86.0</v>
      </c>
      <c r="AF1050" s="1">
        <v>432.0</v>
      </c>
      <c r="AG1050" s="1">
        <v>12.0</v>
      </c>
      <c r="AH1050" s="1">
        <v>162.0</v>
      </c>
      <c r="AI1050" s="1">
        <v>0.0</v>
      </c>
      <c r="AJ1050" s="1">
        <v>114.0</v>
      </c>
      <c r="AK1050" s="1">
        <v>49.0</v>
      </c>
      <c r="AL1050" s="1">
        <v>127.0</v>
      </c>
      <c r="AM1050" s="1">
        <v>239.0</v>
      </c>
      <c r="AN1050" s="1">
        <v>96.0</v>
      </c>
      <c r="AO1050" s="1">
        <v>154.0</v>
      </c>
      <c r="AP1050" s="1">
        <v>0.17437</v>
      </c>
      <c r="AQ1050" s="1">
        <v>0.08354</v>
      </c>
      <c r="AR1050" s="1">
        <v>0.089722</v>
      </c>
      <c r="AS1050" s="1">
        <v>0.158619</v>
      </c>
      <c r="AT1050" s="1">
        <v>16629.0</v>
      </c>
      <c r="AU1050" s="1">
        <v>1855.0</v>
      </c>
      <c r="AV1050" s="1">
        <v>0.326067</v>
      </c>
      <c r="AW1050" s="1">
        <v>0.056124</v>
      </c>
      <c r="AX1050" s="1">
        <v>0.124693</v>
      </c>
      <c r="AY1050" s="1">
        <v>0.234654</v>
      </c>
      <c r="AZ1050" s="1">
        <v>0.14365411</v>
      </c>
      <c r="BA1050" s="1">
        <v>0.078218</v>
      </c>
      <c r="BB1050" s="1">
        <v>0.017834</v>
      </c>
      <c r="BC1050" s="1">
        <v>0.089575</v>
      </c>
      <c r="BD1050" s="1">
        <v>0.005136</v>
      </c>
      <c r="BE1050" s="1">
        <v>0.069348</v>
      </c>
      <c r="BF1050" s="1">
        <v>0.0</v>
      </c>
      <c r="BG1050" s="1">
        <v>0.048801</v>
      </c>
      <c r="BH1050" s="1">
        <v>0.024697</v>
      </c>
      <c r="BI1050" s="1">
        <v>0.063988</v>
      </c>
      <c r="BJ1050" s="1">
        <v>0.120463</v>
      </c>
      <c r="BK1050" s="1">
        <v>0.047634</v>
      </c>
      <c r="BL1050" s="1">
        <v>0.027008</v>
      </c>
      <c r="BM1050" s="1">
        <v>0.661</v>
      </c>
      <c r="BN1050" s="1">
        <v>0.679</v>
      </c>
      <c r="BO1050" s="1">
        <v>0.8058</v>
      </c>
      <c r="BP1050" s="1">
        <v>0.964</v>
      </c>
      <c r="BQ1050" s="1">
        <v>3.1098</v>
      </c>
      <c r="BR1050" s="1">
        <v>0.8245</v>
      </c>
      <c r="BS1050" s="1">
        <v>0.379</v>
      </c>
      <c r="BT1050" s="1">
        <v>0.434</v>
      </c>
      <c r="BU1050" s="1">
        <v>0.775</v>
      </c>
      <c r="BV1050" s="1">
        <v>1.588</v>
      </c>
      <c r="BW1050" s="1">
        <v>0.559</v>
      </c>
      <c r="BX1050" s="1">
        <v>0.391</v>
      </c>
      <c r="BY1050" s="1">
        <v>0.843</v>
      </c>
      <c r="BZ1050" s="1">
        <v>1.234</v>
      </c>
      <c r="CA1050" s="1">
        <v>0.679</v>
      </c>
      <c r="CB1050" s="1">
        <v>0.32</v>
      </c>
      <c r="CC1050" s="1">
        <v>0.0</v>
      </c>
      <c r="CD1050" s="1">
        <v>0.751</v>
      </c>
      <c r="CE1050" s="1">
        <v>0.809</v>
      </c>
      <c r="CF1050" s="1">
        <v>0.787</v>
      </c>
      <c r="CG1050" s="1">
        <v>2.667</v>
      </c>
      <c r="CH1050" s="1">
        <v>0.631</v>
      </c>
      <c r="CI1050" s="1">
        <v>8.5988</v>
      </c>
      <c r="CJ1050" s="1">
        <v>0.8029</v>
      </c>
      <c r="CK1050" s="1">
        <v>0.0</v>
      </c>
      <c r="CL1050" s="1">
        <v>0.0</v>
      </c>
      <c r="CM1050" s="1">
        <v>0.0</v>
      </c>
      <c r="CN1050" s="1">
        <v>1.0</v>
      </c>
      <c r="CO1050" s="1">
        <v>1.0</v>
      </c>
      <c r="CP1050" s="1">
        <v>0.0</v>
      </c>
      <c r="CQ1050" s="1">
        <v>0.0</v>
      </c>
      <c r="CR1050" s="1">
        <v>0.0</v>
      </c>
      <c r="CS1050" s="1">
        <v>0.0</v>
      </c>
      <c r="CT1050" s="1">
        <v>0.0</v>
      </c>
      <c r="CU1050" s="1">
        <v>0.0</v>
      </c>
      <c r="CV1050" s="1">
        <v>0.0</v>
      </c>
      <c r="CW1050" s="1">
        <v>0.0</v>
      </c>
      <c r="CX1050" s="1">
        <v>0.0</v>
      </c>
      <c r="CY1050" s="1">
        <v>0.0</v>
      </c>
      <c r="CZ1050" s="1">
        <v>0.0</v>
      </c>
      <c r="DA1050" s="1">
        <v>0.0</v>
      </c>
      <c r="DB1050" s="1">
        <v>0.0</v>
      </c>
      <c r="DC1050" s="1">
        <v>1.0</v>
      </c>
      <c r="DD1050" s="1" t="s">
        <v>4748</v>
      </c>
      <c r="DE1050" s="1">
        <v>4.12698026649928E-4</v>
      </c>
      <c r="DF1050" s="1">
        <v>0.0957318362923114</v>
      </c>
    </row>
    <row r="1051" ht="15.75" customHeight="1">
      <c r="A1051" s="1" t="s">
        <v>4749</v>
      </c>
      <c r="B1051" s="1">
        <v>29.0</v>
      </c>
      <c r="C1051" s="1">
        <v>189.0</v>
      </c>
      <c r="D1051" s="1">
        <v>220300.0</v>
      </c>
      <c r="E1051" s="1">
        <v>2.146</v>
      </c>
      <c r="F1051" s="1">
        <v>29189.0</v>
      </c>
      <c r="G1051" s="1">
        <v>2.91892203E10</v>
      </c>
      <c r="H1051" s="1" t="s">
        <v>112</v>
      </c>
      <c r="I1051" s="1" t="s">
        <v>113</v>
      </c>
      <c r="J1051" s="1" t="s">
        <v>4566</v>
      </c>
      <c r="K1051" s="1" t="s">
        <v>4750</v>
      </c>
      <c r="L1051" s="1">
        <v>1862.0</v>
      </c>
      <c r="M1051" s="1">
        <v>1923.0</v>
      </c>
      <c r="N1051" s="1">
        <v>272.0</v>
      </c>
      <c r="O1051" s="1">
        <v>872.0</v>
      </c>
      <c r="P1051" s="1">
        <v>858.0</v>
      </c>
      <c r="Q1051" s="1">
        <v>17.0</v>
      </c>
      <c r="R1051" s="1">
        <v>776.0</v>
      </c>
      <c r="S1051" s="1">
        <v>286.0</v>
      </c>
      <c r="T1051" s="1">
        <v>214.0</v>
      </c>
      <c r="U1051" s="1">
        <v>78.0</v>
      </c>
      <c r="V1051" s="1">
        <v>430.0</v>
      </c>
      <c r="W1051" s="1">
        <v>20050.0</v>
      </c>
      <c r="X1051" s="1">
        <v>3292.0</v>
      </c>
      <c r="Y1051" s="1">
        <v>328.0</v>
      </c>
      <c r="Z1051" s="1">
        <v>326.0</v>
      </c>
      <c r="AA1051" s="1">
        <v>228.0</v>
      </c>
      <c r="AB1051" s="1">
        <v>377.0</v>
      </c>
      <c r="AC1051" s="1">
        <v>143.0</v>
      </c>
      <c r="AD1051" s="1">
        <v>340.0</v>
      </c>
      <c r="AE1051" s="1">
        <v>147.0</v>
      </c>
      <c r="AF1051" s="1">
        <v>441.0</v>
      </c>
      <c r="AG1051" s="1">
        <v>102.0</v>
      </c>
      <c r="AH1051" s="1">
        <v>72.0</v>
      </c>
      <c r="AI1051" s="1">
        <v>0.0</v>
      </c>
      <c r="AJ1051" s="1">
        <v>114.0</v>
      </c>
      <c r="AK1051" s="1">
        <v>6.0</v>
      </c>
      <c r="AL1051" s="1">
        <v>114.0</v>
      </c>
      <c r="AM1051" s="1">
        <v>66.0</v>
      </c>
      <c r="AN1051" s="1">
        <v>120.0</v>
      </c>
      <c r="AO1051" s="1">
        <v>224.0</v>
      </c>
      <c r="AP1051" s="1">
        <v>0.153846</v>
      </c>
      <c r="AQ1051" s="1">
        <v>0.11346</v>
      </c>
      <c r="AR1051" s="1">
        <v>0.079836</v>
      </c>
      <c r="AS1051" s="1">
        <v>0.439728</v>
      </c>
      <c r="AT1051" s="1">
        <v>20050.0</v>
      </c>
      <c r="AU1051" s="1">
        <v>3292.0</v>
      </c>
      <c r="AV1051" s="1">
        <v>0.264943</v>
      </c>
      <c r="AW1051" s="1">
        <v>0.260772</v>
      </c>
      <c r="AX1051" s="1">
        <v>0.122448</v>
      </c>
      <c r="AY1051" s="1">
        <v>0.20247</v>
      </c>
      <c r="AZ1051" s="1">
        <v>0.18427835</v>
      </c>
      <c r="BA1051" s="1">
        <v>0.182599</v>
      </c>
      <c r="BB1051" s="1">
        <v>0.086879</v>
      </c>
      <c r="BC1051" s="1">
        <v>0.260391</v>
      </c>
      <c r="BD1051" s="1">
        <v>0.118881</v>
      </c>
      <c r="BE1051" s="1">
        <v>0.083883</v>
      </c>
      <c r="BF1051" s="1">
        <v>0.0</v>
      </c>
      <c r="BG1051" s="1">
        <v>0.132867</v>
      </c>
      <c r="BH1051" s="1">
        <v>0.007662</v>
      </c>
      <c r="BI1051" s="1">
        <v>0.145592</v>
      </c>
      <c r="BJ1051" s="1">
        <v>0.084291</v>
      </c>
      <c r="BK1051" s="1">
        <v>0.15312</v>
      </c>
      <c r="BL1051" s="1">
        <v>0.1203</v>
      </c>
      <c r="BM1051" s="1">
        <v>0.591</v>
      </c>
      <c r="BN1051" s="1">
        <v>0.609</v>
      </c>
      <c r="BO1051" s="1">
        <v>0.6101</v>
      </c>
      <c r="BP1051" s="1">
        <v>0.898</v>
      </c>
      <c r="BQ1051" s="1">
        <v>2.7081</v>
      </c>
      <c r="BR1051" s="1">
        <v>0.7249</v>
      </c>
      <c r="BS1051" s="1">
        <v>0.36</v>
      </c>
      <c r="BT1051" s="1">
        <v>0.196</v>
      </c>
      <c r="BU1051" s="1">
        <v>0.873</v>
      </c>
      <c r="BV1051" s="1">
        <v>1.429</v>
      </c>
      <c r="BW1051" s="1">
        <v>0.415</v>
      </c>
      <c r="BX1051" s="1">
        <v>0.686</v>
      </c>
      <c r="BY1051" s="1">
        <v>0.982</v>
      </c>
      <c r="BZ1051" s="1">
        <v>1.668</v>
      </c>
      <c r="CA1051" s="1">
        <v>0.906</v>
      </c>
      <c r="CB1051" s="1">
        <v>0.8</v>
      </c>
      <c r="CC1051" s="1">
        <v>0.0</v>
      </c>
      <c r="CD1051" s="1">
        <v>0.421</v>
      </c>
      <c r="CE1051" s="1">
        <v>0.7</v>
      </c>
      <c r="CF1051" s="1">
        <v>0.948</v>
      </c>
      <c r="CG1051" s="1">
        <v>2.869</v>
      </c>
      <c r="CH1051" s="1">
        <v>0.72</v>
      </c>
      <c r="CI1051" s="1">
        <v>8.6741</v>
      </c>
      <c r="CJ1051" s="1">
        <v>0.8079</v>
      </c>
      <c r="CK1051" s="1">
        <v>0.0</v>
      </c>
      <c r="CL1051" s="1">
        <v>0.0</v>
      </c>
      <c r="CM1051" s="1">
        <v>0.0</v>
      </c>
      <c r="CN1051" s="1">
        <v>0.0</v>
      </c>
      <c r="CO1051" s="1">
        <v>0.0</v>
      </c>
      <c r="CP1051" s="1">
        <v>0.0</v>
      </c>
      <c r="CQ1051" s="1">
        <v>0.0</v>
      </c>
      <c r="CR1051" s="1">
        <v>0.0</v>
      </c>
      <c r="CS1051" s="1">
        <v>0.0</v>
      </c>
      <c r="CT1051" s="1">
        <v>0.0</v>
      </c>
      <c r="CU1051" s="1">
        <v>1.0</v>
      </c>
      <c r="CV1051" s="1">
        <v>1.0</v>
      </c>
      <c r="CW1051" s="1">
        <v>0.0</v>
      </c>
      <c r="CX1051" s="1">
        <v>0.0</v>
      </c>
      <c r="CY1051" s="1">
        <v>0.0</v>
      </c>
      <c r="CZ1051" s="1">
        <v>0.0</v>
      </c>
      <c r="DA1051" s="1">
        <v>1.0</v>
      </c>
      <c r="DB1051" s="1">
        <v>1.0</v>
      </c>
      <c r="DC1051" s="1">
        <v>2.0</v>
      </c>
      <c r="DD1051" s="1" t="s">
        <v>4751</v>
      </c>
      <c r="DE1051" s="1">
        <v>7.38733271309751E-4</v>
      </c>
      <c r="DF1051" s="2" t="s">
        <v>4752</v>
      </c>
    </row>
    <row r="1052" ht="15.75" customHeight="1">
      <c r="A1052" s="1" t="s">
        <v>4753</v>
      </c>
      <c r="B1052" s="1">
        <v>29.0</v>
      </c>
      <c r="C1052" s="1">
        <v>189.0</v>
      </c>
      <c r="D1052" s="1">
        <v>220431.0</v>
      </c>
      <c r="E1052" s="1">
        <v>1.912</v>
      </c>
      <c r="F1052" s="1">
        <v>29189.0</v>
      </c>
      <c r="G1052" s="1">
        <v>2.9189220431E10</v>
      </c>
      <c r="H1052" s="1" t="s">
        <v>112</v>
      </c>
      <c r="I1052" s="1" t="s">
        <v>113</v>
      </c>
      <c r="J1052" s="1" t="s">
        <v>4566</v>
      </c>
      <c r="K1052" s="1" t="s">
        <v>4754</v>
      </c>
      <c r="L1052" s="1">
        <v>8129.0</v>
      </c>
      <c r="M1052" s="1">
        <v>8076.0</v>
      </c>
      <c r="N1052" s="1">
        <v>620.0</v>
      </c>
      <c r="O1052" s="1">
        <v>3944.0</v>
      </c>
      <c r="P1052" s="1">
        <v>3817.0</v>
      </c>
      <c r="Q1052" s="1">
        <v>53.0</v>
      </c>
      <c r="R1052" s="1">
        <v>3690.0</v>
      </c>
      <c r="S1052" s="1">
        <v>438.0</v>
      </c>
      <c r="T1052" s="1">
        <v>290.0</v>
      </c>
      <c r="U1052" s="1">
        <v>86.0</v>
      </c>
      <c r="V1052" s="1">
        <v>463.0</v>
      </c>
      <c r="W1052" s="1">
        <v>31859.0</v>
      </c>
      <c r="X1052" s="1">
        <v>3108.0</v>
      </c>
      <c r="Y1052" s="1">
        <v>425.0</v>
      </c>
      <c r="Z1052" s="1">
        <v>235.0</v>
      </c>
      <c r="AA1052" s="1">
        <v>1517.0</v>
      </c>
      <c r="AB1052" s="1">
        <v>1507.0</v>
      </c>
      <c r="AC1052" s="1">
        <v>263.0</v>
      </c>
      <c r="AD1052" s="1">
        <v>822.0</v>
      </c>
      <c r="AE1052" s="1">
        <v>123.0</v>
      </c>
      <c r="AF1052" s="1">
        <v>401.0</v>
      </c>
      <c r="AG1052" s="1">
        <v>979.0</v>
      </c>
      <c r="AH1052" s="1">
        <v>262.0</v>
      </c>
      <c r="AI1052" s="1">
        <v>0.0</v>
      </c>
      <c r="AJ1052" s="1">
        <v>114.0</v>
      </c>
      <c r="AK1052" s="1">
        <v>92.0</v>
      </c>
      <c r="AL1052" s="1">
        <v>142.0</v>
      </c>
      <c r="AM1052" s="1">
        <v>163.0</v>
      </c>
      <c r="AN1052" s="1">
        <v>92.0</v>
      </c>
      <c r="AO1052" s="1">
        <v>112.0</v>
      </c>
      <c r="AP1052" s="1">
        <v>0.055513</v>
      </c>
      <c r="AQ1052" s="1">
        <v>0.036503</v>
      </c>
      <c r="AR1052" s="1">
        <v>0.020939</v>
      </c>
      <c r="AS1052" s="1">
        <v>0.11271</v>
      </c>
      <c r="AT1052" s="1">
        <v>31859.0</v>
      </c>
      <c r="AU1052" s="1">
        <v>3108.0</v>
      </c>
      <c r="AV1052" s="1">
        <v>0.07481</v>
      </c>
      <c r="AW1052" s="1">
        <v>0.041149</v>
      </c>
      <c r="AX1052" s="1">
        <v>0.186615</v>
      </c>
      <c r="AY1052" s="1">
        <v>0.185385</v>
      </c>
      <c r="AZ1052" s="1">
        <v>0.07127371</v>
      </c>
      <c r="BA1052" s="1">
        <v>0.101119</v>
      </c>
      <c r="BB1052" s="1">
        <v>0.015805</v>
      </c>
      <c r="BC1052" s="1">
        <v>0.051516</v>
      </c>
      <c r="BD1052" s="1">
        <v>0.256484</v>
      </c>
      <c r="BE1052" s="1">
        <v>0.068547</v>
      </c>
      <c r="BF1052" s="1">
        <v>0.0</v>
      </c>
      <c r="BG1052" s="1">
        <v>0.029866</v>
      </c>
      <c r="BH1052" s="1">
        <v>0.025981</v>
      </c>
      <c r="BI1052" s="1">
        <v>0.040085</v>
      </c>
      <c r="BJ1052" s="1">
        <v>0.046032000000000003</v>
      </c>
      <c r="BK1052" s="1">
        <v>0.025903</v>
      </c>
      <c r="BL1052" s="1">
        <v>0.013777</v>
      </c>
      <c r="BM1052" s="1">
        <v>0.19</v>
      </c>
      <c r="BN1052" s="1">
        <v>0.034</v>
      </c>
      <c r="BO1052" s="1">
        <v>0.1574</v>
      </c>
      <c r="BP1052" s="1">
        <v>0.221</v>
      </c>
      <c r="BQ1052" s="1">
        <v>0.6024</v>
      </c>
      <c r="BR1052" s="1">
        <v>0.0968</v>
      </c>
      <c r="BS1052" s="1">
        <v>0.822</v>
      </c>
      <c r="BT1052" s="1">
        <v>0.135</v>
      </c>
      <c r="BU1052" s="1">
        <v>0.227</v>
      </c>
      <c r="BV1052" s="1">
        <v>1.184</v>
      </c>
      <c r="BW1052" s="1">
        <v>0.216</v>
      </c>
      <c r="BX1052" s="1">
        <v>0.471</v>
      </c>
      <c r="BY1052" s="1">
        <v>0.82</v>
      </c>
      <c r="BZ1052" s="1">
        <v>1.291</v>
      </c>
      <c r="CA1052" s="1">
        <v>0.709</v>
      </c>
      <c r="CB1052" s="1">
        <v>0.925</v>
      </c>
      <c r="CC1052" s="1">
        <v>0.0</v>
      </c>
      <c r="CD1052" s="1">
        <v>0.769</v>
      </c>
      <c r="CE1052" s="1">
        <v>0.451</v>
      </c>
      <c r="CF1052" s="1">
        <v>0.631</v>
      </c>
      <c r="CG1052" s="1">
        <v>2.776</v>
      </c>
      <c r="CH1052" s="1">
        <v>0.678</v>
      </c>
      <c r="CI1052" s="1">
        <v>5.8534</v>
      </c>
      <c r="CJ1052" s="1">
        <v>0.3473</v>
      </c>
      <c r="CK1052" s="1">
        <v>0.0</v>
      </c>
      <c r="CL1052" s="1">
        <v>0.0</v>
      </c>
      <c r="CM1052" s="1">
        <v>0.0</v>
      </c>
      <c r="CN1052" s="1">
        <v>0.0</v>
      </c>
      <c r="CO1052" s="1">
        <v>0.0</v>
      </c>
      <c r="CP1052" s="1">
        <v>0.0</v>
      </c>
      <c r="CQ1052" s="1">
        <v>0.0</v>
      </c>
      <c r="CR1052" s="1">
        <v>0.0</v>
      </c>
      <c r="CS1052" s="1">
        <v>0.0</v>
      </c>
      <c r="CT1052" s="1">
        <v>0.0</v>
      </c>
      <c r="CU1052" s="1">
        <v>0.0</v>
      </c>
      <c r="CV1052" s="1">
        <v>0.0</v>
      </c>
      <c r="CW1052" s="1">
        <v>1.0</v>
      </c>
      <c r="CX1052" s="1">
        <v>0.0</v>
      </c>
      <c r="CY1052" s="1">
        <v>0.0</v>
      </c>
      <c r="CZ1052" s="1">
        <v>0.0</v>
      </c>
      <c r="DA1052" s="1">
        <v>0.0</v>
      </c>
      <c r="DB1052" s="1">
        <v>1.0</v>
      </c>
      <c r="DC1052" s="1">
        <v>1.0</v>
      </c>
      <c r="DD1052" s="1" t="s">
        <v>4755</v>
      </c>
      <c r="DE1052" s="1">
        <v>5.12603804537463E-4</v>
      </c>
      <c r="DF1052" s="2" t="s">
        <v>4756</v>
      </c>
    </row>
    <row r="1053" ht="15.75" customHeight="1">
      <c r="A1053" s="1" t="s">
        <v>4757</v>
      </c>
      <c r="B1053" s="1">
        <v>29.0</v>
      </c>
      <c r="C1053" s="1">
        <v>189.0</v>
      </c>
      <c r="D1053" s="1">
        <v>220441.0</v>
      </c>
      <c r="E1053" s="1">
        <v>1.42</v>
      </c>
      <c r="F1053" s="1">
        <v>29189.0</v>
      </c>
      <c r="G1053" s="1">
        <v>2.9189220441E10</v>
      </c>
      <c r="H1053" s="1" t="s">
        <v>112</v>
      </c>
      <c r="I1053" s="1" t="s">
        <v>113</v>
      </c>
      <c r="J1053" s="1" t="s">
        <v>4566</v>
      </c>
      <c r="K1053" s="1" t="s">
        <v>4758</v>
      </c>
      <c r="L1053" s="1">
        <v>5898.0</v>
      </c>
      <c r="M1053" s="1">
        <v>5858.0</v>
      </c>
      <c r="N1053" s="1">
        <v>403.0</v>
      </c>
      <c r="O1053" s="1">
        <v>2721.0</v>
      </c>
      <c r="P1053" s="1">
        <v>2644.0</v>
      </c>
      <c r="Q1053" s="1">
        <v>56.0</v>
      </c>
      <c r="R1053" s="1">
        <v>2538.0</v>
      </c>
      <c r="S1053" s="1">
        <v>70.0</v>
      </c>
      <c r="T1053" s="1">
        <v>47.0</v>
      </c>
      <c r="U1053" s="1">
        <v>136.0</v>
      </c>
      <c r="V1053" s="1">
        <v>416.0</v>
      </c>
      <c r="W1053" s="1">
        <v>32427.0</v>
      </c>
      <c r="X1053" s="1">
        <v>2095.0</v>
      </c>
      <c r="Y1053" s="1">
        <v>235.0</v>
      </c>
      <c r="Z1053" s="1">
        <v>352.0</v>
      </c>
      <c r="AA1053" s="1">
        <v>1206.0</v>
      </c>
      <c r="AB1053" s="1">
        <v>1082.0</v>
      </c>
      <c r="AC1053" s="1">
        <v>188.0</v>
      </c>
      <c r="AD1053" s="1">
        <v>400.0</v>
      </c>
      <c r="AE1053" s="1">
        <v>9.0</v>
      </c>
      <c r="AF1053" s="1">
        <v>442.0</v>
      </c>
      <c r="AG1053" s="1">
        <v>422.0</v>
      </c>
      <c r="AH1053" s="1">
        <v>148.0</v>
      </c>
      <c r="AI1053" s="1">
        <v>0.0</v>
      </c>
      <c r="AJ1053" s="1">
        <v>114.0</v>
      </c>
      <c r="AK1053" s="1">
        <v>13.0</v>
      </c>
      <c r="AL1053" s="1">
        <v>116.0</v>
      </c>
      <c r="AM1053" s="1">
        <v>34.0</v>
      </c>
      <c r="AN1053" s="1">
        <v>33.0</v>
      </c>
      <c r="AO1053" s="1">
        <v>0.0</v>
      </c>
      <c r="AP1053" s="1">
        <v>0.011976</v>
      </c>
      <c r="AQ1053" s="1">
        <v>0.007997</v>
      </c>
      <c r="AR1053" s="1">
        <v>0.044648</v>
      </c>
      <c r="AS1053" s="1">
        <v>0.136496</v>
      </c>
      <c r="AT1053" s="1">
        <v>32427.0</v>
      </c>
      <c r="AU1053" s="1">
        <v>2095.0</v>
      </c>
      <c r="AV1053" s="1">
        <v>0.056955</v>
      </c>
      <c r="AW1053" s="1">
        <v>0.085258</v>
      </c>
      <c r="AX1053" s="1">
        <v>0.204476</v>
      </c>
      <c r="AY1053" s="1">
        <v>0.183452</v>
      </c>
      <c r="AZ1053" s="1">
        <v>0.07407407</v>
      </c>
      <c r="BA1053" s="1">
        <v>0.067819</v>
      </c>
      <c r="BB1053" s="1">
        <v>0.001601</v>
      </c>
      <c r="BC1053" s="1">
        <v>0.078675</v>
      </c>
      <c r="BD1053" s="1">
        <v>0.159606</v>
      </c>
      <c r="BE1053" s="1">
        <v>0.055873</v>
      </c>
      <c r="BF1053" s="1">
        <v>0.0</v>
      </c>
      <c r="BG1053" s="1">
        <v>0.043116</v>
      </c>
      <c r="BH1053" s="1">
        <v>0.005308</v>
      </c>
      <c r="BI1053" s="1">
        <v>0.047365</v>
      </c>
      <c r="BJ1053" s="1">
        <v>0.013883</v>
      </c>
      <c r="BK1053" s="1">
        <v>0.013456</v>
      </c>
      <c r="BL1053" s="1">
        <v>0.0</v>
      </c>
      <c r="BM1053" s="1">
        <v>0.025</v>
      </c>
      <c r="BN1053" s="1">
        <v>0.233</v>
      </c>
      <c r="BO1053" s="1">
        <v>0.1516</v>
      </c>
      <c r="BP1053" s="1">
        <v>0.157</v>
      </c>
      <c r="BQ1053" s="1">
        <v>0.5666</v>
      </c>
      <c r="BR1053" s="1">
        <v>0.0859</v>
      </c>
      <c r="BS1053" s="1">
        <v>0.889</v>
      </c>
      <c r="BT1053" s="1">
        <v>0.128</v>
      </c>
      <c r="BU1053" s="1">
        <v>0.25</v>
      </c>
      <c r="BV1053" s="1">
        <v>1.267</v>
      </c>
      <c r="BW1053" s="1">
        <v>0.281</v>
      </c>
      <c r="BX1053" s="1">
        <v>0.353</v>
      </c>
      <c r="BY1053" s="1">
        <v>0.358</v>
      </c>
      <c r="BZ1053" s="1">
        <v>0.711</v>
      </c>
      <c r="CA1053" s="1">
        <v>0.343</v>
      </c>
      <c r="CB1053" s="1">
        <v>0.853</v>
      </c>
      <c r="CC1053" s="1">
        <v>0.0</v>
      </c>
      <c r="CD1053" s="1">
        <v>0.342</v>
      </c>
      <c r="CE1053" s="1">
        <v>0.125</v>
      </c>
      <c r="CF1053" s="1">
        <v>0.0</v>
      </c>
      <c r="CG1053" s="1">
        <v>1.32</v>
      </c>
      <c r="CH1053" s="1">
        <v>0.132</v>
      </c>
      <c r="CI1053" s="1">
        <v>3.8646</v>
      </c>
      <c r="CJ1053" s="1">
        <v>0.0715</v>
      </c>
      <c r="CK1053" s="1">
        <v>0.0</v>
      </c>
      <c r="CL1053" s="1">
        <v>0.0</v>
      </c>
      <c r="CM1053" s="1">
        <v>0.0</v>
      </c>
      <c r="CN1053" s="1">
        <v>0.0</v>
      </c>
      <c r="CO1053" s="1">
        <v>0.0</v>
      </c>
      <c r="CP1053" s="1">
        <v>0.0</v>
      </c>
      <c r="CQ1053" s="1">
        <v>0.0</v>
      </c>
      <c r="CR1053" s="1">
        <v>0.0</v>
      </c>
      <c r="CS1053" s="1">
        <v>0.0</v>
      </c>
      <c r="CT1053" s="1">
        <v>0.0</v>
      </c>
      <c r="CU1053" s="1">
        <v>0.0</v>
      </c>
      <c r="CV1053" s="1">
        <v>0.0</v>
      </c>
      <c r="CW1053" s="1">
        <v>0.0</v>
      </c>
      <c r="CX1053" s="1">
        <v>0.0</v>
      </c>
      <c r="CY1053" s="1">
        <v>0.0</v>
      </c>
      <c r="CZ1053" s="1">
        <v>0.0</v>
      </c>
      <c r="DA1053" s="1">
        <v>0.0</v>
      </c>
      <c r="DB1053" s="1">
        <v>0.0</v>
      </c>
      <c r="DC1053" s="1">
        <v>0.0</v>
      </c>
      <c r="DD1053" s="1" t="s">
        <v>4759</v>
      </c>
      <c r="DE1053" s="1">
        <v>3.81035243544672E-4</v>
      </c>
      <c r="DF1053" s="1">
        <v>0.0824669120059265</v>
      </c>
    </row>
    <row r="1054" ht="15.75" customHeight="1">
      <c r="A1054" s="1" t="s">
        <v>4760</v>
      </c>
      <c r="B1054" s="1">
        <v>29.0</v>
      </c>
      <c r="C1054" s="1">
        <v>189.0</v>
      </c>
      <c r="D1054" s="1">
        <v>220442.0</v>
      </c>
      <c r="E1054" s="1">
        <v>2.168</v>
      </c>
      <c r="F1054" s="1">
        <v>29189.0</v>
      </c>
      <c r="G1054" s="1">
        <v>2.9189220442E10</v>
      </c>
      <c r="H1054" s="1" t="s">
        <v>112</v>
      </c>
      <c r="I1054" s="1" t="s">
        <v>113</v>
      </c>
      <c r="J1054" s="1" t="s">
        <v>4566</v>
      </c>
      <c r="K1054" s="1" t="s">
        <v>4761</v>
      </c>
      <c r="L1054" s="1">
        <v>4412.0</v>
      </c>
      <c r="M1054" s="1">
        <v>4291.0</v>
      </c>
      <c r="N1054" s="1">
        <v>242.0</v>
      </c>
      <c r="O1054" s="1">
        <v>1844.0</v>
      </c>
      <c r="P1054" s="1">
        <v>1794.0</v>
      </c>
      <c r="Q1054" s="1">
        <v>58.0</v>
      </c>
      <c r="R1054" s="1">
        <v>1793.0</v>
      </c>
      <c r="S1054" s="1">
        <v>181.0</v>
      </c>
      <c r="T1054" s="1">
        <v>169.0</v>
      </c>
      <c r="U1054" s="1">
        <v>67.0</v>
      </c>
      <c r="V1054" s="1">
        <v>443.0</v>
      </c>
      <c r="W1054" s="1">
        <v>27567.0</v>
      </c>
      <c r="X1054" s="1">
        <v>1841.0</v>
      </c>
      <c r="Y1054" s="1">
        <v>288.0</v>
      </c>
      <c r="Z1054" s="1">
        <v>275.0</v>
      </c>
      <c r="AA1054" s="1">
        <v>787.0</v>
      </c>
      <c r="AB1054" s="1">
        <v>893.0</v>
      </c>
      <c r="AC1054" s="1">
        <v>136.0</v>
      </c>
      <c r="AD1054" s="1">
        <v>215.0</v>
      </c>
      <c r="AE1054" s="1">
        <v>26.0</v>
      </c>
      <c r="AF1054" s="1">
        <v>428.0</v>
      </c>
      <c r="AG1054" s="1">
        <v>11.0</v>
      </c>
      <c r="AH1054" s="1">
        <v>162.0</v>
      </c>
      <c r="AI1054" s="1">
        <v>0.0</v>
      </c>
      <c r="AJ1054" s="1">
        <v>114.0</v>
      </c>
      <c r="AK1054" s="1">
        <v>16.0</v>
      </c>
      <c r="AL1054" s="1">
        <v>116.0</v>
      </c>
      <c r="AM1054" s="1">
        <v>39.0</v>
      </c>
      <c r="AN1054" s="1">
        <v>36.0</v>
      </c>
      <c r="AO1054" s="1">
        <v>2.0</v>
      </c>
      <c r="AP1054" s="1">
        <v>0.042181</v>
      </c>
      <c r="AQ1054" s="1">
        <v>0.039312</v>
      </c>
      <c r="AR1054" s="1">
        <v>0.030847</v>
      </c>
      <c r="AS1054" s="1">
        <v>0.203937</v>
      </c>
      <c r="AT1054" s="1">
        <v>27567.0</v>
      </c>
      <c r="AU1054" s="1">
        <v>1841.0</v>
      </c>
      <c r="AV1054" s="1">
        <v>0.092873</v>
      </c>
      <c r="AW1054" s="1">
        <v>0.088553</v>
      </c>
      <c r="AX1054" s="1">
        <v>0.178377</v>
      </c>
      <c r="AY1054" s="1">
        <v>0.202402</v>
      </c>
      <c r="AZ1054" s="1">
        <v>0.07585052</v>
      </c>
      <c r="BA1054" s="1">
        <v>0.04873</v>
      </c>
      <c r="BB1054" s="1">
        <v>0.00645</v>
      </c>
      <c r="BC1054" s="1">
        <v>0.106176</v>
      </c>
      <c r="BD1054" s="1">
        <v>0.006131</v>
      </c>
      <c r="BE1054" s="1">
        <v>0.0903</v>
      </c>
      <c r="BF1054" s="1">
        <v>0.0</v>
      </c>
      <c r="BG1054" s="1">
        <v>0.063545</v>
      </c>
      <c r="BH1054" s="1">
        <v>0.009307</v>
      </c>
      <c r="BI1054" s="1">
        <v>0.067479</v>
      </c>
      <c r="BJ1054" s="1">
        <v>0.022687</v>
      </c>
      <c r="BK1054" s="1">
        <v>0.020915</v>
      </c>
      <c r="BL1054" s="1">
        <v>4.53E-4</v>
      </c>
      <c r="BM1054" s="1">
        <v>0.13</v>
      </c>
      <c r="BN1054" s="1">
        <v>0.094</v>
      </c>
      <c r="BO1054" s="1">
        <v>0.265</v>
      </c>
      <c r="BP1054" s="1">
        <v>0.307</v>
      </c>
      <c r="BQ1054" s="1">
        <v>0.796</v>
      </c>
      <c r="BR1054" s="1">
        <v>0.156</v>
      </c>
      <c r="BS1054" s="1">
        <v>0.777</v>
      </c>
      <c r="BT1054" s="1">
        <v>0.194</v>
      </c>
      <c r="BU1054" s="1">
        <v>0.264</v>
      </c>
      <c r="BV1054" s="1">
        <v>1.235</v>
      </c>
      <c r="BW1054" s="1">
        <v>0.256</v>
      </c>
      <c r="BX1054" s="1">
        <v>0.24</v>
      </c>
      <c r="BY1054" s="1">
        <v>0.615</v>
      </c>
      <c r="BZ1054" s="1">
        <v>0.855</v>
      </c>
      <c r="CA1054" s="1">
        <v>0.44</v>
      </c>
      <c r="CB1054" s="1">
        <v>0.34</v>
      </c>
      <c r="CC1054" s="1">
        <v>0.0</v>
      </c>
      <c r="CD1054" s="1">
        <v>0.464</v>
      </c>
      <c r="CE1054" s="1">
        <v>0.21</v>
      </c>
      <c r="CF1054" s="1">
        <v>0.364</v>
      </c>
      <c r="CG1054" s="1">
        <v>1.378</v>
      </c>
      <c r="CH1054" s="1">
        <v>0.143</v>
      </c>
      <c r="CI1054" s="1">
        <v>4.264</v>
      </c>
      <c r="CJ1054" s="1">
        <v>0.1134</v>
      </c>
      <c r="CK1054" s="1">
        <v>0.0</v>
      </c>
      <c r="CL1054" s="1">
        <v>0.0</v>
      </c>
      <c r="CM1054" s="1">
        <v>0.0</v>
      </c>
      <c r="CN1054" s="1">
        <v>0.0</v>
      </c>
      <c r="CO1054" s="1">
        <v>0.0</v>
      </c>
      <c r="CP1054" s="1">
        <v>0.0</v>
      </c>
      <c r="CQ1054" s="1">
        <v>0.0</v>
      </c>
      <c r="CR1054" s="1">
        <v>0.0</v>
      </c>
      <c r="CS1054" s="1">
        <v>0.0</v>
      </c>
      <c r="CT1054" s="1">
        <v>0.0</v>
      </c>
      <c r="CU1054" s="1">
        <v>0.0</v>
      </c>
      <c r="CV1054" s="1">
        <v>0.0</v>
      </c>
      <c r="CW1054" s="1">
        <v>0.0</v>
      </c>
      <c r="CX1054" s="1">
        <v>0.0</v>
      </c>
      <c r="CY1054" s="1">
        <v>0.0</v>
      </c>
      <c r="CZ1054" s="1">
        <v>0.0</v>
      </c>
      <c r="DA1054" s="1">
        <v>0.0</v>
      </c>
      <c r="DB1054" s="1">
        <v>0.0</v>
      </c>
      <c r="DC1054" s="1">
        <v>0.0</v>
      </c>
      <c r="DD1054" s="1" t="s">
        <v>4762</v>
      </c>
      <c r="DE1054" s="1">
        <v>7.05465950054223E-4</v>
      </c>
      <c r="DF1054" s="2" t="s">
        <v>4763</v>
      </c>
    </row>
    <row r="1055" ht="15.75" customHeight="1">
      <c r="A1055" s="1" t="s">
        <v>4764</v>
      </c>
      <c r="B1055" s="1">
        <v>29.0</v>
      </c>
      <c r="C1055" s="1">
        <v>189.0</v>
      </c>
      <c r="D1055" s="1">
        <v>220443.0</v>
      </c>
      <c r="E1055" s="1">
        <v>1.025</v>
      </c>
      <c r="F1055" s="1">
        <v>29189.0</v>
      </c>
      <c r="G1055" s="1">
        <v>2.9189220443E10</v>
      </c>
      <c r="H1055" s="1" t="s">
        <v>112</v>
      </c>
      <c r="I1055" s="1" t="s">
        <v>113</v>
      </c>
      <c r="J1055" s="1" t="s">
        <v>4566</v>
      </c>
      <c r="K1055" s="1" t="s">
        <v>4765</v>
      </c>
      <c r="L1055" s="1">
        <v>4255.0</v>
      </c>
      <c r="M1055" s="1">
        <v>4121.0</v>
      </c>
      <c r="N1055" s="1">
        <v>301.0</v>
      </c>
      <c r="O1055" s="1">
        <v>1955.0</v>
      </c>
      <c r="P1055" s="1">
        <v>1948.0</v>
      </c>
      <c r="Q1055" s="1">
        <v>44.0</v>
      </c>
      <c r="R1055" s="1">
        <v>1857.0</v>
      </c>
      <c r="S1055" s="1">
        <v>165.0</v>
      </c>
      <c r="T1055" s="1">
        <v>120.0</v>
      </c>
      <c r="U1055" s="1">
        <v>137.0</v>
      </c>
      <c r="V1055" s="1">
        <v>433.0</v>
      </c>
      <c r="W1055" s="1">
        <v>26991.0</v>
      </c>
      <c r="X1055" s="1">
        <v>2307.0</v>
      </c>
      <c r="Y1055" s="1">
        <v>393.0</v>
      </c>
      <c r="Z1055" s="1">
        <v>116.0</v>
      </c>
      <c r="AA1055" s="1">
        <v>715.0</v>
      </c>
      <c r="AB1055" s="1">
        <v>836.0</v>
      </c>
      <c r="AC1055" s="1">
        <v>167.0</v>
      </c>
      <c r="AD1055" s="1">
        <v>259.0</v>
      </c>
      <c r="AE1055" s="1">
        <v>75.0</v>
      </c>
      <c r="AF1055" s="1">
        <v>399.0</v>
      </c>
      <c r="AG1055" s="1">
        <v>702.0</v>
      </c>
      <c r="AH1055" s="1">
        <v>164.0</v>
      </c>
      <c r="AI1055" s="1">
        <v>0.0</v>
      </c>
      <c r="AJ1055" s="1">
        <v>114.0</v>
      </c>
      <c r="AK1055" s="1">
        <v>15.0</v>
      </c>
      <c r="AL1055" s="1">
        <v>116.0</v>
      </c>
      <c r="AM1055" s="1">
        <v>166.0</v>
      </c>
      <c r="AN1055" s="1">
        <v>72.0</v>
      </c>
      <c r="AO1055" s="1">
        <v>144.0</v>
      </c>
      <c r="AP1055" s="1">
        <v>0.042834</v>
      </c>
      <c r="AQ1055" s="1">
        <v>0.031019</v>
      </c>
      <c r="AR1055" s="1">
        <v>0.060246</v>
      </c>
      <c r="AS1055" s="1">
        <v>0.190228</v>
      </c>
      <c r="AT1055" s="1">
        <v>26991.0</v>
      </c>
      <c r="AU1055" s="1">
        <v>2307.0</v>
      </c>
      <c r="AV1055" s="1">
        <v>0.133537</v>
      </c>
      <c r="AW1055" s="1">
        <v>0.037551</v>
      </c>
      <c r="AX1055" s="1">
        <v>0.168037</v>
      </c>
      <c r="AY1055" s="1">
        <v>0.196474</v>
      </c>
      <c r="AZ1055" s="1">
        <v>0.08992999</v>
      </c>
      <c r="BA1055" s="1">
        <v>0.060869</v>
      </c>
      <c r="BB1055" s="1">
        <v>0.018811</v>
      </c>
      <c r="BC1055" s="1">
        <v>0.100065</v>
      </c>
      <c r="BD1055" s="1">
        <v>0.360369</v>
      </c>
      <c r="BE1055" s="1">
        <v>0.083794</v>
      </c>
      <c r="BF1055" s="1">
        <v>0.0</v>
      </c>
      <c r="BG1055" s="1">
        <v>0.058521</v>
      </c>
      <c r="BH1055" s="1">
        <v>0.008077</v>
      </c>
      <c r="BI1055" s="1">
        <v>0.062464</v>
      </c>
      <c r="BJ1055" s="1">
        <v>0.089391</v>
      </c>
      <c r="BK1055" s="1">
        <v>0.038466</v>
      </c>
      <c r="BL1055" s="1">
        <v>0.033842</v>
      </c>
      <c r="BM1055" s="1">
        <v>0.135</v>
      </c>
      <c r="BN1055" s="1">
        <v>0.42</v>
      </c>
      <c r="BO1055" s="1">
        <v>0.2838</v>
      </c>
      <c r="BP1055" s="1">
        <v>0.489</v>
      </c>
      <c r="BQ1055" s="1">
        <v>1.3278</v>
      </c>
      <c r="BR1055" s="1">
        <v>0.2881</v>
      </c>
      <c r="BS1055" s="1">
        <v>0.721</v>
      </c>
      <c r="BT1055" s="1">
        <v>0.176</v>
      </c>
      <c r="BU1055" s="1">
        <v>0.398</v>
      </c>
      <c r="BV1055" s="1">
        <v>1.295</v>
      </c>
      <c r="BW1055" s="1">
        <v>0.297</v>
      </c>
      <c r="BX1055" s="1">
        <v>0.317</v>
      </c>
      <c r="BY1055" s="1">
        <v>0.85</v>
      </c>
      <c r="BZ1055" s="1">
        <v>1.167</v>
      </c>
      <c r="CA1055" s="1">
        <v>0.643</v>
      </c>
      <c r="CB1055" s="1">
        <v>0.961</v>
      </c>
      <c r="CC1055" s="1">
        <v>0.0</v>
      </c>
      <c r="CD1055" s="1">
        <v>0.436</v>
      </c>
      <c r="CE1055" s="1">
        <v>0.715</v>
      </c>
      <c r="CF1055" s="1">
        <v>0.828</v>
      </c>
      <c r="CG1055" s="1">
        <v>2.94</v>
      </c>
      <c r="CH1055" s="1">
        <v>0.749</v>
      </c>
      <c r="CI1055" s="1">
        <v>6.7298</v>
      </c>
      <c r="CJ1055" s="1">
        <v>0.496</v>
      </c>
      <c r="CK1055" s="1">
        <v>0.0</v>
      </c>
      <c r="CL1055" s="1">
        <v>0.0</v>
      </c>
      <c r="CM1055" s="1">
        <v>0.0</v>
      </c>
      <c r="CN1055" s="1">
        <v>0.0</v>
      </c>
      <c r="CO1055" s="1">
        <v>0.0</v>
      </c>
      <c r="CP1055" s="1">
        <v>0.0</v>
      </c>
      <c r="CQ1055" s="1">
        <v>0.0</v>
      </c>
      <c r="CR1055" s="1">
        <v>0.0</v>
      </c>
      <c r="CS1055" s="1">
        <v>0.0</v>
      </c>
      <c r="CT1055" s="1">
        <v>0.0</v>
      </c>
      <c r="CU1055" s="1">
        <v>0.0</v>
      </c>
      <c r="CV1055" s="1">
        <v>0.0</v>
      </c>
      <c r="CW1055" s="1">
        <v>1.0</v>
      </c>
      <c r="CX1055" s="1">
        <v>0.0</v>
      </c>
      <c r="CY1055" s="1">
        <v>0.0</v>
      </c>
      <c r="CZ1055" s="1">
        <v>0.0</v>
      </c>
      <c r="DA1055" s="1">
        <v>0.0</v>
      </c>
      <c r="DB1055" s="1">
        <v>1.0</v>
      </c>
      <c r="DC1055" s="1">
        <v>1.0</v>
      </c>
      <c r="DD1055" s="1" t="s">
        <v>4766</v>
      </c>
      <c r="DE1055" s="1">
        <v>2.73253240551488E-4</v>
      </c>
      <c r="DF1055" s="1">
        <v>0.0706694038122272</v>
      </c>
    </row>
    <row r="1056" ht="15.75" customHeight="1">
      <c r="A1056" s="1" t="s">
        <v>4767</v>
      </c>
      <c r="B1056" s="1">
        <v>29.0</v>
      </c>
      <c r="C1056" s="1">
        <v>189.0</v>
      </c>
      <c r="D1056" s="1">
        <v>220444.0</v>
      </c>
      <c r="E1056" s="1">
        <v>5.125</v>
      </c>
      <c r="F1056" s="1">
        <v>29189.0</v>
      </c>
      <c r="G1056" s="1">
        <v>2.9189220444E10</v>
      </c>
      <c r="H1056" s="1" t="s">
        <v>112</v>
      </c>
      <c r="I1056" s="1" t="s">
        <v>113</v>
      </c>
      <c r="J1056" s="1" t="s">
        <v>4566</v>
      </c>
      <c r="K1056" s="1" t="s">
        <v>4768</v>
      </c>
      <c r="L1056" s="1">
        <v>7704.0</v>
      </c>
      <c r="M1056" s="1">
        <v>7265.0</v>
      </c>
      <c r="N1056" s="1">
        <v>334.0</v>
      </c>
      <c r="O1056" s="1">
        <v>2749.0</v>
      </c>
      <c r="P1056" s="1">
        <v>2568.0</v>
      </c>
      <c r="Q1056" s="1">
        <v>102.0</v>
      </c>
      <c r="R1056" s="1">
        <v>2678.0</v>
      </c>
      <c r="S1056" s="1">
        <v>24.0</v>
      </c>
      <c r="T1056" s="1">
        <v>25.0</v>
      </c>
      <c r="U1056" s="1">
        <v>148.0</v>
      </c>
      <c r="V1056" s="1">
        <v>386.0</v>
      </c>
      <c r="W1056" s="1">
        <v>33497.0</v>
      </c>
      <c r="X1056" s="1">
        <v>2896.0</v>
      </c>
      <c r="Y1056" s="1">
        <v>276.0</v>
      </c>
      <c r="Z1056" s="1">
        <v>273.0</v>
      </c>
      <c r="AA1056" s="1">
        <v>772.0</v>
      </c>
      <c r="AB1056" s="1">
        <v>2082.0</v>
      </c>
      <c r="AC1056" s="1">
        <v>136.0</v>
      </c>
      <c r="AD1056" s="1">
        <v>346.0</v>
      </c>
      <c r="AE1056" s="1">
        <v>14.0</v>
      </c>
      <c r="AF1056" s="1">
        <v>442.0</v>
      </c>
      <c r="AG1056" s="1">
        <v>86.0</v>
      </c>
      <c r="AH1056" s="1">
        <v>168.0</v>
      </c>
      <c r="AI1056" s="1">
        <v>0.0</v>
      </c>
      <c r="AJ1056" s="1">
        <v>114.0</v>
      </c>
      <c r="AK1056" s="1">
        <v>15.0</v>
      </c>
      <c r="AL1056" s="1">
        <v>116.0</v>
      </c>
      <c r="AM1056" s="1">
        <v>26.0</v>
      </c>
      <c r="AN1056" s="1">
        <v>118.0</v>
      </c>
      <c r="AO1056" s="1">
        <v>0.0</v>
      </c>
      <c r="AP1056" s="1">
        <v>0.003303</v>
      </c>
      <c r="AQ1056" s="1">
        <v>0.003437</v>
      </c>
      <c r="AR1056" s="1">
        <v>0.03687</v>
      </c>
      <c r="AS1056" s="1">
        <v>0.096116</v>
      </c>
      <c r="AT1056" s="1">
        <v>33497.0</v>
      </c>
      <c r="AU1056" s="1">
        <v>2896.0</v>
      </c>
      <c r="AV1056" s="1">
        <v>0.058511</v>
      </c>
      <c r="AW1056" s="1">
        <v>0.057824</v>
      </c>
      <c r="AX1056" s="1">
        <v>0.100207</v>
      </c>
      <c r="AY1056" s="1">
        <v>0.270249</v>
      </c>
      <c r="AZ1056" s="1">
        <v>0.05078416</v>
      </c>
      <c r="BA1056" s="1">
        <v>0.044911</v>
      </c>
      <c r="BB1056" s="1">
        <v>0.002095</v>
      </c>
      <c r="BC1056" s="1">
        <v>0.066157</v>
      </c>
      <c r="BD1056" s="1">
        <v>0.033489</v>
      </c>
      <c r="BE1056" s="1">
        <v>0.065407</v>
      </c>
      <c r="BF1056" s="1">
        <v>0.0</v>
      </c>
      <c r="BG1056" s="1">
        <v>0.044392</v>
      </c>
      <c r="BH1056" s="1">
        <v>0.005961</v>
      </c>
      <c r="BI1056" s="1">
        <v>0.046104</v>
      </c>
      <c r="BJ1056" s="1">
        <v>0.010333</v>
      </c>
      <c r="BK1056" s="1">
        <v>0.046897</v>
      </c>
      <c r="BL1056" s="1">
        <v>0.0</v>
      </c>
      <c r="BM1056" s="1">
        <v>0.008</v>
      </c>
      <c r="BN1056" s="1">
        <v>0.153</v>
      </c>
      <c r="BO1056" s="1">
        <v>0.1372</v>
      </c>
      <c r="BP1056" s="1">
        <v>0.16</v>
      </c>
      <c r="BQ1056" s="1">
        <v>0.4582</v>
      </c>
      <c r="BR1056" s="1">
        <v>0.0527</v>
      </c>
      <c r="BS1056" s="1">
        <v>0.212</v>
      </c>
      <c r="BT1056" s="1">
        <v>0.79</v>
      </c>
      <c r="BU1056" s="1">
        <v>0.078</v>
      </c>
      <c r="BV1056" s="1">
        <v>1.08</v>
      </c>
      <c r="BW1056" s="1">
        <v>0.155</v>
      </c>
      <c r="BX1056" s="1">
        <v>0.212</v>
      </c>
      <c r="BY1056" s="1">
        <v>0.385</v>
      </c>
      <c r="BZ1056" s="1">
        <v>0.597</v>
      </c>
      <c r="CA1056" s="1">
        <v>0.266</v>
      </c>
      <c r="CB1056" s="1">
        <v>0.568</v>
      </c>
      <c r="CC1056" s="1">
        <v>0.0</v>
      </c>
      <c r="CD1056" s="1">
        <v>0.355</v>
      </c>
      <c r="CE1056" s="1">
        <v>0.089</v>
      </c>
      <c r="CF1056" s="1">
        <v>0.0</v>
      </c>
      <c r="CG1056" s="1">
        <v>1.012</v>
      </c>
      <c r="CH1056" s="1">
        <v>0.078</v>
      </c>
      <c r="CI1056" s="1">
        <v>3.1472</v>
      </c>
      <c r="CJ1056" s="1">
        <v>0.026</v>
      </c>
      <c r="CK1056" s="1">
        <v>0.0</v>
      </c>
      <c r="CL1056" s="1">
        <v>0.0</v>
      </c>
      <c r="CM1056" s="1">
        <v>0.0</v>
      </c>
      <c r="CN1056" s="1">
        <v>0.0</v>
      </c>
      <c r="CO1056" s="1">
        <v>0.0</v>
      </c>
      <c r="CP1056" s="1">
        <v>0.0</v>
      </c>
      <c r="CQ1056" s="1">
        <v>0.0</v>
      </c>
      <c r="CR1056" s="1">
        <v>0.0</v>
      </c>
      <c r="CS1056" s="1">
        <v>0.0</v>
      </c>
      <c r="CT1056" s="1">
        <v>0.0</v>
      </c>
      <c r="CU1056" s="1">
        <v>0.0</v>
      </c>
      <c r="CV1056" s="1">
        <v>0.0</v>
      </c>
      <c r="CW1056" s="1">
        <v>0.0</v>
      </c>
      <c r="CX1056" s="1">
        <v>0.0</v>
      </c>
      <c r="CY1056" s="1">
        <v>0.0</v>
      </c>
      <c r="CZ1056" s="1">
        <v>0.0</v>
      </c>
      <c r="DA1056" s="1">
        <v>0.0</v>
      </c>
      <c r="DB1056" s="1">
        <v>0.0</v>
      </c>
      <c r="DC1056" s="1">
        <v>0.0</v>
      </c>
      <c r="DD1056" s="1" t="s">
        <v>4769</v>
      </c>
      <c r="DE1056" s="1">
        <v>0.00159885850897059</v>
      </c>
      <c r="DF1056" s="2" t="s">
        <v>4770</v>
      </c>
    </row>
    <row r="1057" ht="15.75" customHeight="1">
      <c r="A1057" s="1" t="s">
        <v>4771</v>
      </c>
      <c r="B1057" s="1">
        <v>29.0</v>
      </c>
      <c r="C1057" s="1">
        <v>189.0</v>
      </c>
      <c r="D1057" s="1">
        <v>220445.0</v>
      </c>
      <c r="E1057" s="1">
        <v>2.93</v>
      </c>
      <c r="F1057" s="1">
        <v>29189.0</v>
      </c>
      <c r="G1057" s="1">
        <v>2.9189220445E10</v>
      </c>
      <c r="H1057" s="1" t="s">
        <v>112</v>
      </c>
      <c r="I1057" s="1" t="s">
        <v>113</v>
      </c>
      <c r="J1057" s="1" t="s">
        <v>4566</v>
      </c>
      <c r="K1057" s="1" t="s">
        <v>4772</v>
      </c>
      <c r="L1057" s="1">
        <v>4947.0</v>
      </c>
      <c r="M1057" s="1">
        <v>4842.0</v>
      </c>
      <c r="N1057" s="1">
        <v>219.0</v>
      </c>
      <c r="O1057" s="1">
        <v>1823.0</v>
      </c>
      <c r="P1057" s="1">
        <v>1780.0</v>
      </c>
      <c r="Q1057" s="1">
        <v>43.0</v>
      </c>
      <c r="R1057" s="1">
        <v>1773.0</v>
      </c>
      <c r="S1057" s="1">
        <v>98.0</v>
      </c>
      <c r="T1057" s="1">
        <v>110.0</v>
      </c>
      <c r="U1057" s="1">
        <v>158.0</v>
      </c>
      <c r="V1057" s="1">
        <v>403.0</v>
      </c>
      <c r="W1057" s="1">
        <v>45046.0</v>
      </c>
      <c r="X1057" s="1">
        <v>4270.0</v>
      </c>
      <c r="Y1057" s="1">
        <v>110.0</v>
      </c>
      <c r="Z1057" s="1">
        <v>400.0</v>
      </c>
      <c r="AA1057" s="1">
        <v>675.0</v>
      </c>
      <c r="AB1057" s="1">
        <v>1172.0</v>
      </c>
      <c r="AC1057" s="1">
        <v>69.0</v>
      </c>
      <c r="AD1057" s="1">
        <v>207.0</v>
      </c>
      <c r="AE1057" s="1">
        <v>46.0</v>
      </c>
      <c r="AF1057" s="1">
        <v>429.0</v>
      </c>
      <c r="AG1057" s="1">
        <v>0.0</v>
      </c>
      <c r="AH1057" s="1">
        <v>197.0</v>
      </c>
      <c r="AI1057" s="1">
        <v>0.0</v>
      </c>
      <c r="AJ1057" s="1">
        <v>114.0</v>
      </c>
      <c r="AK1057" s="1">
        <v>0.0</v>
      </c>
      <c r="AL1057" s="1">
        <v>161.0</v>
      </c>
      <c r="AM1057" s="1">
        <v>15.0</v>
      </c>
      <c r="AN1057" s="1">
        <v>116.0</v>
      </c>
      <c r="AO1057" s="1">
        <v>13.0</v>
      </c>
      <c r="AP1057" s="1">
        <v>0.020239</v>
      </c>
      <c r="AQ1057" s="1">
        <v>0.022699</v>
      </c>
      <c r="AR1057" s="1">
        <v>0.063683</v>
      </c>
      <c r="AS1057" s="1">
        <v>0.162255</v>
      </c>
      <c r="AT1057" s="1">
        <v>45046.0</v>
      </c>
      <c r="AU1057" s="1">
        <v>4270.0</v>
      </c>
      <c r="AV1057" s="1">
        <v>0.032924</v>
      </c>
      <c r="AW1057" s="1">
        <v>0.119716</v>
      </c>
      <c r="AX1057" s="1">
        <v>0.136446</v>
      </c>
      <c r="AY1057" s="1">
        <v>0.236911</v>
      </c>
      <c r="AZ1057" s="1">
        <v>0.03891708</v>
      </c>
      <c r="BA1057" s="1">
        <v>0.041843</v>
      </c>
      <c r="BB1057" s="1">
        <v>0.009833</v>
      </c>
      <c r="BC1057" s="1">
        <v>0.091704</v>
      </c>
      <c r="BD1057" s="1">
        <v>0.0</v>
      </c>
      <c r="BE1057" s="1">
        <v>0.110674</v>
      </c>
      <c r="BF1057" s="1">
        <v>0.0</v>
      </c>
      <c r="BG1057" s="1">
        <v>0.064044</v>
      </c>
      <c r="BH1057" s="1">
        <v>0.0</v>
      </c>
      <c r="BI1057" s="1">
        <v>0.092316</v>
      </c>
      <c r="BJ1057" s="1">
        <v>0.0086</v>
      </c>
      <c r="BK1057" s="1">
        <v>0.066513</v>
      </c>
      <c r="BL1057" s="1">
        <v>0.002627</v>
      </c>
      <c r="BM1057" s="1">
        <v>0.057</v>
      </c>
      <c r="BN1057" s="1">
        <v>0.46</v>
      </c>
      <c r="BO1057" s="1">
        <v>0.039</v>
      </c>
      <c r="BP1057" s="1">
        <v>0.071</v>
      </c>
      <c r="BQ1057" s="1">
        <v>0.627</v>
      </c>
      <c r="BR1057" s="1">
        <v>0.104</v>
      </c>
      <c r="BS1057" s="1">
        <v>0.469</v>
      </c>
      <c r="BT1057" s="1">
        <v>0.462</v>
      </c>
      <c r="BU1057" s="1">
        <v>0.033</v>
      </c>
      <c r="BV1057" s="1">
        <v>0.964</v>
      </c>
      <c r="BW1057" s="1">
        <v>0.101</v>
      </c>
      <c r="BX1057" s="1">
        <v>0.181</v>
      </c>
      <c r="BY1057" s="1">
        <v>0.717</v>
      </c>
      <c r="BZ1057" s="1">
        <v>0.898</v>
      </c>
      <c r="CA1057" s="1">
        <v>0.466</v>
      </c>
      <c r="CB1057" s="1">
        <v>0.0</v>
      </c>
      <c r="CC1057" s="1">
        <v>0.0</v>
      </c>
      <c r="CD1057" s="1">
        <v>0.0</v>
      </c>
      <c r="CE1057" s="1">
        <v>0.069</v>
      </c>
      <c r="CF1057" s="1">
        <v>0.465</v>
      </c>
      <c r="CG1057" s="1">
        <v>0.534</v>
      </c>
      <c r="CH1057" s="1">
        <v>0.033</v>
      </c>
      <c r="CI1057" s="1">
        <v>3.023</v>
      </c>
      <c r="CJ1057" s="1">
        <v>0.0195</v>
      </c>
      <c r="CK1057" s="1">
        <v>0.0</v>
      </c>
      <c r="CL1057" s="1">
        <v>0.0</v>
      </c>
      <c r="CM1057" s="1">
        <v>0.0</v>
      </c>
      <c r="CN1057" s="1">
        <v>0.0</v>
      </c>
      <c r="CO1057" s="1">
        <v>0.0</v>
      </c>
      <c r="CP1057" s="1">
        <v>0.0</v>
      </c>
      <c r="CQ1057" s="1">
        <v>0.0</v>
      </c>
      <c r="CR1057" s="1">
        <v>0.0</v>
      </c>
      <c r="CS1057" s="1">
        <v>0.0</v>
      </c>
      <c r="CT1057" s="1">
        <v>0.0</v>
      </c>
      <c r="CU1057" s="1">
        <v>0.0</v>
      </c>
      <c r="CV1057" s="1">
        <v>0.0</v>
      </c>
      <c r="CW1057" s="1">
        <v>0.0</v>
      </c>
      <c r="CX1057" s="1">
        <v>0.0</v>
      </c>
      <c r="CY1057" s="1">
        <v>0.0</v>
      </c>
      <c r="CZ1057" s="1">
        <v>0.0</v>
      </c>
      <c r="DA1057" s="1">
        <v>0.0</v>
      </c>
      <c r="DB1057" s="1">
        <v>0.0</v>
      </c>
      <c r="DC1057" s="1">
        <v>0.0</v>
      </c>
      <c r="DD1057" s="1" t="s">
        <v>4773</v>
      </c>
      <c r="DE1057" s="1">
        <v>0.00102161789801472</v>
      </c>
      <c r="DF1057" s="2" t="s">
        <v>4774</v>
      </c>
    </row>
    <row r="1058" ht="15.75" customHeight="1">
      <c r="A1058" s="1" t="s">
        <v>4775</v>
      </c>
      <c r="B1058" s="1">
        <v>29.0</v>
      </c>
      <c r="C1058" s="1">
        <v>189.0</v>
      </c>
      <c r="D1058" s="1">
        <v>218012.0</v>
      </c>
      <c r="E1058" s="1">
        <v>2.121</v>
      </c>
      <c r="F1058" s="1">
        <v>29189.0</v>
      </c>
      <c r="G1058" s="1">
        <v>2.9189218012E10</v>
      </c>
      <c r="H1058" s="1" t="s">
        <v>112</v>
      </c>
      <c r="I1058" s="1" t="s">
        <v>113</v>
      </c>
      <c r="J1058" s="1" t="s">
        <v>4566</v>
      </c>
      <c r="K1058" s="1" t="s">
        <v>4776</v>
      </c>
      <c r="L1058" s="1">
        <v>4495.0</v>
      </c>
      <c r="M1058" s="1">
        <v>4456.0</v>
      </c>
      <c r="N1058" s="1">
        <v>308.0</v>
      </c>
      <c r="O1058" s="1">
        <v>1674.0</v>
      </c>
      <c r="P1058" s="1">
        <v>1649.0</v>
      </c>
      <c r="Q1058" s="1">
        <v>115.0</v>
      </c>
      <c r="R1058" s="1">
        <v>1630.0</v>
      </c>
      <c r="S1058" s="1">
        <v>35.0</v>
      </c>
      <c r="T1058" s="1">
        <v>118.0</v>
      </c>
      <c r="U1058" s="1">
        <v>75.0</v>
      </c>
      <c r="V1058" s="1">
        <v>429.0</v>
      </c>
      <c r="W1058" s="1">
        <v>52300.0</v>
      </c>
      <c r="X1058" s="1">
        <v>4080.0</v>
      </c>
      <c r="Y1058" s="1">
        <v>0.0</v>
      </c>
      <c r="Z1058" s="1">
        <v>456.0</v>
      </c>
      <c r="AA1058" s="1">
        <v>722.0</v>
      </c>
      <c r="AB1058" s="1">
        <v>1174.0</v>
      </c>
      <c r="AC1058" s="1">
        <v>68.0</v>
      </c>
      <c r="AD1058" s="1">
        <v>387.0</v>
      </c>
      <c r="AE1058" s="1">
        <v>29.0</v>
      </c>
      <c r="AF1058" s="1">
        <v>427.0</v>
      </c>
      <c r="AG1058" s="1">
        <v>0.0</v>
      </c>
      <c r="AH1058" s="1">
        <v>197.0</v>
      </c>
      <c r="AI1058" s="1">
        <v>0.0</v>
      </c>
      <c r="AJ1058" s="1">
        <v>114.0</v>
      </c>
      <c r="AK1058" s="1">
        <v>12.0</v>
      </c>
      <c r="AL1058" s="1">
        <v>115.0</v>
      </c>
      <c r="AM1058" s="1">
        <v>0.0</v>
      </c>
      <c r="AN1058" s="1">
        <v>161.0</v>
      </c>
      <c r="AO1058" s="1">
        <v>78.0</v>
      </c>
      <c r="AP1058" s="1">
        <v>0.007861</v>
      </c>
      <c r="AQ1058" s="1">
        <v>0.026499</v>
      </c>
      <c r="AR1058" s="1">
        <v>0.034013</v>
      </c>
      <c r="AS1058" s="1">
        <v>0.194517</v>
      </c>
      <c r="AT1058" s="1">
        <v>52300.0</v>
      </c>
      <c r="AU1058" s="1">
        <v>4080.0</v>
      </c>
      <c r="AV1058" s="1">
        <v>0.0</v>
      </c>
      <c r="AW1058" s="1">
        <v>0.150098</v>
      </c>
      <c r="AX1058" s="1">
        <v>0.160622</v>
      </c>
      <c r="AY1058" s="1">
        <v>0.261179</v>
      </c>
      <c r="AZ1058" s="1">
        <v>0.04171779</v>
      </c>
      <c r="BA1058" s="1">
        <v>0.086095</v>
      </c>
      <c r="BB1058" s="1">
        <v>0.006867</v>
      </c>
      <c r="BC1058" s="1">
        <v>0.101111</v>
      </c>
      <c r="BD1058" s="1">
        <v>0.0</v>
      </c>
      <c r="BE1058" s="1">
        <v>0.119466</v>
      </c>
      <c r="BF1058" s="1">
        <v>0.0</v>
      </c>
      <c r="BG1058" s="1">
        <v>0.069132</v>
      </c>
      <c r="BH1058" s="1">
        <v>0.007371</v>
      </c>
      <c r="BI1058" s="1">
        <v>0.070636</v>
      </c>
      <c r="BJ1058" s="1">
        <v>0.0</v>
      </c>
      <c r="BK1058" s="1">
        <v>0.098894</v>
      </c>
      <c r="BL1058" s="1">
        <v>0.017352</v>
      </c>
      <c r="BM1058" s="1">
        <v>0.013</v>
      </c>
      <c r="BN1058" s="1">
        <v>0.12</v>
      </c>
      <c r="BO1058" s="1">
        <v>0.0217</v>
      </c>
      <c r="BP1058" s="1">
        <v>0.0</v>
      </c>
      <c r="BQ1058" s="1">
        <v>0.1547</v>
      </c>
      <c r="BR1058" s="1">
        <v>0.0036</v>
      </c>
      <c r="BS1058" s="1">
        <v>0.671</v>
      </c>
      <c r="BT1058" s="1">
        <v>0.709</v>
      </c>
      <c r="BU1058" s="1">
        <v>0.046</v>
      </c>
      <c r="BV1058" s="1">
        <v>1.426</v>
      </c>
      <c r="BW1058" s="1">
        <v>0.412</v>
      </c>
      <c r="BX1058" s="1">
        <v>0.417</v>
      </c>
      <c r="BY1058" s="1">
        <v>0.627</v>
      </c>
      <c r="BZ1058" s="1">
        <v>1.044</v>
      </c>
      <c r="CA1058" s="1">
        <v>0.577</v>
      </c>
      <c r="CB1058" s="1">
        <v>0.0</v>
      </c>
      <c r="CC1058" s="1">
        <v>0.0</v>
      </c>
      <c r="CD1058" s="1">
        <v>0.407</v>
      </c>
      <c r="CE1058" s="1">
        <v>0.0</v>
      </c>
      <c r="CF1058" s="1">
        <v>0.677</v>
      </c>
      <c r="CG1058" s="1">
        <v>1.084</v>
      </c>
      <c r="CH1058" s="1">
        <v>0.091</v>
      </c>
      <c r="CI1058" s="1">
        <v>3.7087</v>
      </c>
      <c r="CJ1058" s="1">
        <v>0.0578</v>
      </c>
      <c r="CK1058" s="1">
        <v>0.0</v>
      </c>
      <c r="CL1058" s="1">
        <v>0.0</v>
      </c>
      <c r="CM1058" s="1">
        <v>0.0</v>
      </c>
      <c r="CN1058" s="1">
        <v>0.0</v>
      </c>
      <c r="CO1058" s="1">
        <v>0.0</v>
      </c>
      <c r="CP1058" s="1">
        <v>0.0</v>
      </c>
      <c r="CQ1058" s="1">
        <v>0.0</v>
      </c>
      <c r="CR1058" s="1">
        <v>0.0</v>
      </c>
      <c r="CS1058" s="1">
        <v>0.0</v>
      </c>
      <c r="CT1058" s="1">
        <v>0.0</v>
      </c>
      <c r="CU1058" s="1">
        <v>0.0</v>
      </c>
      <c r="CV1058" s="1">
        <v>0.0</v>
      </c>
      <c r="CW1058" s="1">
        <v>0.0</v>
      </c>
      <c r="CX1058" s="1">
        <v>0.0</v>
      </c>
      <c r="CY1058" s="1">
        <v>0.0</v>
      </c>
      <c r="CZ1058" s="1">
        <v>0.0</v>
      </c>
      <c r="DA1058" s="1">
        <v>0.0</v>
      </c>
      <c r="DB1058" s="1">
        <v>0.0</v>
      </c>
      <c r="DC1058" s="1">
        <v>0.0</v>
      </c>
      <c r="DD1058" s="1" t="s">
        <v>4777</v>
      </c>
      <c r="DE1058" s="1">
        <v>5.67319249466716E-4</v>
      </c>
      <c r="DF1058" s="1">
        <v>0.0995937108674489</v>
      </c>
    </row>
    <row r="1059" ht="15.75" customHeight="1">
      <c r="A1059" s="1" t="s">
        <v>4778</v>
      </c>
      <c r="B1059" s="1">
        <v>29.0</v>
      </c>
      <c r="C1059" s="1">
        <v>189.0</v>
      </c>
      <c r="D1059" s="1">
        <v>218102.0</v>
      </c>
      <c r="E1059" s="1">
        <v>1.022</v>
      </c>
      <c r="F1059" s="1">
        <v>29189.0</v>
      </c>
      <c r="G1059" s="1">
        <v>2.9189218102E10</v>
      </c>
      <c r="H1059" s="1" t="s">
        <v>112</v>
      </c>
      <c r="I1059" s="1" t="s">
        <v>113</v>
      </c>
      <c r="J1059" s="1" t="s">
        <v>4566</v>
      </c>
      <c r="K1059" s="1" t="s">
        <v>4779</v>
      </c>
      <c r="L1059" s="1">
        <v>2984.0</v>
      </c>
      <c r="M1059" s="1">
        <v>3223.0</v>
      </c>
      <c r="N1059" s="1">
        <v>261.0</v>
      </c>
      <c r="O1059" s="1">
        <v>1336.0</v>
      </c>
      <c r="P1059" s="1">
        <v>1434.0</v>
      </c>
      <c r="Q1059" s="1">
        <v>135.0</v>
      </c>
      <c r="R1059" s="1">
        <v>1255.0</v>
      </c>
      <c r="S1059" s="1">
        <v>292.0</v>
      </c>
      <c r="T1059" s="1">
        <v>183.0</v>
      </c>
      <c r="U1059" s="1">
        <v>25.0</v>
      </c>
      <c r="V1059" s="1">
        <v>498.0</v>
      </c>
      <c r="W1059" s="1">
        <v>31671.0</v>
      </c>
      <c r="X1059" s="1">
        <v>4251.0</v>
      </c>
      <c r="Y1059" s="1">
        <v>167.0</v>
      </c>
      <c r="Z1059" s="1">
        <v>313.0</v>
      </c>
      <c r="AA1059" s="1">
        <v>288.0</v>
      </c>
      <c r="AB1059" s="1">
        <v>754.0</v>
      </c>
      <c r="AC1059" s="1">
        <v>119.0</v>
      </c>
      <c r="AD1059" s="1">
        <v>470.0</v>
      </c>
      <c r="AE1059" s="1">
        <v>38.0</v>
      </c>
      <c r="AF1059" s="1">
        <v>429.0</v>
      </c>
      <c r="AG1059" s="1">
        <v>39.0</v>
      </c>
      <c r="AH1059" s="1">
        <v>120.0</v>
      </c>
      <c r="AI1059" s="1">
        <v>0.0</v>
      </c>
      <c r="AJ1059" s="1">
        <v>114.0</v>
      </c>
      <c r="AK1059" s="1">
        <v>0.0</v>
      </c>
      <c r="AL1059" s="1">
        <v>161.0</v>
      </c>
      <c r="AM1059" s="1">
        <v>31.0</v>
      </c>
      <c r="AN1059" s="1">
        <v>120.0</v>
      </c>
      <c r="AO1059" s="1">
        <v>0.0</v>
      </c>
      <c r="AP1059" s="1">
        <v>0.090598</v>
      </c>
      <c r="AQ1059" s="1">
        <v>0.056303</v>
      </c>
      <c r="AR1059" s="1">
        <v>0.013646</v>
      </c>
      <c r="AS1059" s="1">
        <v>0.271824</v>
      </c>
      <c r="AT1059" s="1">
        <v>31671.0</v>
      </c>
      <c r="AU1059" s="1">
        <v>4251.0</v>
      </c>
      <c r="AV1059" s="1">
        <v>0.073926</v>
      </c>
      <c r="AW1059" s="1">
        <v>0.138409</v>
      </c>
      <c r="AX1059" s="1">
        <v>0.096514</v>
      </c>
      <c r="AY1059" s="1">
        <v>0.25268</v>
      </c>
      <c r="AZ1059" s="1">
        <v>0.09482071</v>
      </c>
      <c r="BA1059" s="1">
        <v>0.157506</v>
      </c>
      <c r="BB1059" s="1">
        <v>0.013107</v>
      </c>
      <c r="BC1059" s="1">
        <v>0.147978</v>
      </c>
      <c r="BD1059" s="1">
        <v>0.027196</v>
      </c>
      <c r="BE1059" s="1">
        <v>0.083642</v>
      </c>
      <c r="BF1059" s="1">
        <v>0.0</v>
      </c>
      <c r="BG1059" s="1">
        <v>0.079497</v>
      </c>
      <c r="BH1059" s="1">
        <v>0.0</v>
      </c>
      <c r="BI1059" s="1">
        <v>0.115164</v>
      </c>
      <c r="BJ1059" s="1">
        <v>0.022174</v>
      </c>
      <c r="BK1059" s="1">
        <v>0.085813</v>
      </c>
      <c r="BL1059" s="1">
        <v>0.0</v>
      </c>
      <c r="BM1059" s="1">
        <v>0.338</v>
      </c>
      <c r="BN1059" s="1">
        <v>0.013</v>
      </c>
      <c r="BO1059" s="1">
        <v>0.1632</v>
      </c>
      <c r="BP1059" s="1">
        <v>0.217</v>
      </c>
      <c r="BQ1059" s="1">
        <v>0.7312</v>
      </c>
      <c r="BR1059" s="1">
        <v>0.135</v>
      </c>
      <c r="BS1059" s="1">
        <v>0.189</v>
      </c>
      <c r="BT1059" s="1">
        <v>0.635</v>
      </c>
      <c r="BU1059" s="1">
        <v>0.448</v>
      </c>
      <c r="BV1059" s="1">
        <v>1.272</v>
      </c>
      <c r="BW1059" s="1">
        <v>0.283</v>
      </c>
      <c r="BX1059" s="1">
        <v>0.646</v>
      </c>
      <c r="BY1059" s="1">
        <v>0.786</v>
      </c>
      <c r="BZ1059" s="1">
        <v>1.432</v>
      </c>
      <c r="CA1059" s="1">
        <v>0.781</v>
      </c>
      <c r="CB1059" s="1">
        <v>0.525</v>
      </c>
      <c r="CC1059" s="1">
        <v>0.0</v>
      </c>
      <c r="CD1059" s="1">
        <v>0.0</v>
      </c>
      <c r="CE1059" s="1">
        <v>0.205</v>
      </c>
      <c r="CF1059" s="1">
        <v>0.0</v>
      </c>
      <c r="CG1059" s="1">
        <v>0.73</v>
      </c>
      <c r="CH1059" s="1">
        <v>0.05</v>
      </c>
      <c r="CI1059" s="1">
        <v>4.1652</v>
      </c>
      <c r="CJ1059" s="1">
        <v>0.0989</v>
      </c>
      <c r="CK1059" s="1">
        <v>0.0</v>
      </c>
      <c r="CL1059" s="1">
        <v>0.0</v>
      </c>
      <c r="CM1059" s="1">
        <v>0.0</v>
      </c>
      <c r="CN1059" s="1">
        <v>0.0</v>
      </c>
      <c r="CO1059" s="1">
        <v>0.0</v>
      </c>
      <c r="CP1059" s="1">
        <v>0.0</v>
      </c>
      <c r="CQ1059" s="1">
        <v>0.0</v>
      </c>
      <c r="CR1059" s="1">
        <v>0.0</v>
      </c>
      <c r="CS1059" s="1">
        <v>0.0</v>
      </c>
      <c r="CT1059" s="1">
        <v>0.0</v>
      </c>
      <c r="CU1059" s="1">
        <v>0.0</v>
      </c>
      <c r="CV1059" s="1">
        <v>0.0</v>
      </c>
      <c r="CW1059" s="1">
        <v>0.0</v>
      </c>
      <c r="CX1059" s="1">
        <v>0.0</v>
      </c>
      <c r="CY1059" s="1">
        <v>0.0</v>
      </c>
      <c r="CZ1059" s="1">
        <v>0.0</v>
      </c>
      <c r="DA1059" s="1">
        <v>0.0</v>
      </c>
      <c r="DB1059" s="1">
        <v>0.0</v>
      </c>
      <c r="DC1059" s="1">
        <v>0.0</v>
      </c>
      <c r="DD1059" s="1" t="s">
        <v>4780</v>
      </c>
      <c r="DE1059" s="1">
        <v>2.79904050664959E-4</v>
      </c>
      <c r="DF1059" s="1">
        <v>0.066607467043185</v>
      </c>
    </row>
    <row r="1060" ht="15.75" customHeight="1">
      <c r="A1060" s="1" t="s">
        <v>4781</v>
      </c>
      <c r="B1060" s="1">
        <v>29.0</v>
      </c>
      <c r="C1060" s="1">
        <v>189.0</v>
      </c>
      <c r="D1060" s="1">
        <v>220501.0</v>
      </c>
      <c r="E1060" s="1">
        <v>1.195</v>
      </c>
      <c r="F1060" s="1">
        <v>29189.0</v>
      </c>
      <c r="G1060" s="1">
        <v>2.9189220501E10</v>
      </c>
      <c r="H1060" s="1" t="s">
        <v>112</v>
      </c>
      <c r="I1060" s="1" t="s">
        <v>113</v>
      </c>
      <c r="J1060" s="1" t="s">
        <v>4566</v>
      </c>
      <c r="K1060" s="1" t="s">
        <v>4782</v>
      </c>
      <c r="L1060" s="1">
        <v>6117.0</v>
      </c>
      <c r="M1060" s="1">
        <v>6283.0</v>
      </c>
      <c r="N1060" s="1">
        <v>506.0</v>
      </c>
      <c r="O1060" s="1">
        <v>2935.0</v>
      </c>
      <c r="P1060" s="1">
        <v>2828.0</v>
      </c>
      <c r="Q1060" s="1">
        <v>35.0</v>
      </c>
      <c r="R1060" s="1">
        <v>2736.0</v>
      </c>
      <c r="S1060" s="1">
        <v>680.0</v>
      </c>
      <c r="T1060" s="1">
        <v>393.0</v>
      </c>
      <c r="U1060" s="1">
        <v>264.0</v>
      </c>
      <c r="V1060" s="1">
        <v>424.0</v>
      </c>
      <c r="W1060" s="1">
        <v>23211.0</v>
      </c>
      <c r="X1060" s="1">
        <v>2389.0</v>
      </c>
      <c r="Y1060" s="1">
        <v>730.0</v>
      </c>
      <c r="Z1060" s="1">
        <v>337.0</v>
      </c>
      <c r="AA1060" s="1">
        <v>1239.0</v>
      </c>
      <c r="AB1060" s="1">
        <v>1149.0</v>
      </c>
      <c r="AC1060" s="1">
        <v>218.0</v>
      </c>
      <c r="AD1060" s="1">
        <v>428.0</v>
      </c>
      <c r="AE1060" s="1">
        <v>84.0</v>
      </c>
      <c r="AF1060" s="1">
        <v>383.0</v>
      </c>
      <c r="AG1060" s="1">
        <v>155.0</v>
      </c>
      <c r="AH1060" s="1">
        <v>91.0</v>
      </c>
      <c r="AI1060" s="1">
        <v>19.0</v>
      </c>
      <c r="AJ1060" s="1">
        <v>33.0</v>
      </c>
      <c r="AK1060" s="1">
        <v>15.0</v>
      </c>
      <c r="AL1060" s="1">
        <v>116.0</v>
      </c>
      <c r="AM1060" s="1">
        <v>166.0</v>
      </c>
      <c r="AN1060" s="1">
        <v>90.0</v>
      </c>
      <c r="AO1060" s="1">
        <v>69.0</v>
      </c>
      <c r="AP1060" s="1">
        <v>0.108991</v>
      </c>
      <c r="AQ1060" s="1">
        <v>0.062367</v>
      </c>
      <c r="AR1060" s="1">
        <v>0.08733</v>
      </c>
      <c r="AS1060" s="1">
        <v>0.13985</v>
      </c>
      <c r="AT1060" s="1">
        <v>23211.0</v>
      </c>
      <c r="AU1060" s="1">
        <v>2389.0</v>
      </c>
      <c r="AV1060" s="1">
        <v>0.161041</v>
      </c>
      <c r="AW1060" s="1">
        <v>0.073373</v>
      </c>
      <c r="AX1060" s="1">
        <v>0.20255</v>
      </c>
      <c r="AY1060" s="1">
        <v>0.187837</v>
      </c>
      <c r="AZ1060" s="1">
        <v>0.07967836</v>
      </c>
      <c r="BA1060" s="1">
        <v>0.069968</v>
      </c>
      <c r="BB1060" s="1">
        <v>0.014553</v>
      </c>
      <c r="BC1060" s="1">
        <v>0.066344</v>
      </c>
      <c r="BD1060" s="1">
        <v>0.054809</v>
      </c>
      <c r="BE1060" s="1">
        <v>0.032171</v>
      </c>
      <c r="BF1060" s="1">
        <v>0.006718</v>
      </c>
      <c r="BG1060" s="1">
        <v>0.011668</v>
      </c>
      <c r="BH1060" s="1">
        <v>0.005703</v>
      </c>
      <c r="BI1060" s="1">
        <v>0.044105</v>
      </c>
      <c r="BJ1060" s="1">
        <v>0.063117</v>
      </c>
      <c r="BK1060" s="1">
        <v>0.034043</v>
      </c>
      <c r="BL1060" s="1">
        <v>0.01128</v>
      </c>
      <c r="BM1060" s="1">
        <v>0.407</v>
      </c>
      <c r="BN1060" s="1">
        <v>0.661</v>
      </c>
      <c r="BO1060" s="1">
        <v>0.4361</v>
      </c>
      <c r="BP1060" s="1">
        <v>0.617</v>
      </c>
      <c r="BQ1060" s="1">
        <v>2.1211</v>
      </c>
      <c r="BR1060" s="1">
        <v>0.5343</v>
      </c>
      <c r="BS1060" s="1">
        <v>0.882</v>
      </c>
      <c r="BT1060" s="1">
        <v>0.143</v>
      </c>
      <c r="BU1060" s="1">
        <v>0.301</v>
      </c>
      <c r="BV1060" s="1">
        <v>1.326</v>
      </c>
      <c r="BW1060" s="1">
        <v>0.324</v>
      </c>
      <c r="BX1060" s="1">
        <v>0.365</v>
      </c>
      <c r="BY1060" s="1">
        <v>0.804</v>
      </c>
      <c r="BZ1060" s="1">
        <v>1.169</v>
      </c>
      <c r="CA1060" s="1">
        <v>0.645</v>
      </c>
      <c r="CB1060" s="1">
        <v>0.668</v>
      </c>
      <c r="CC1060" s="1">
        <v>0.422</v>
      </c>
      <c r="CD1060" s="1">
        <v>0.352</v>
      </c>
      <c r="CE1060" s="1">
        <v>0.584</v>
      </c>
      <c r="CF1060" s="1">
        <v>0.597</v>
      </c>
      <c r="CG1060" s="1">
        <v>2.623</v>
      </c>
      <c r="CH1060" s="1">
        <v>0.612</v>
      </c>
      <c r="CI1060" s="1">
        <v>7.2391</v>
      </c>
      <c r="CJ1060" s="1">
        <v>0.6</v>
      </c>
      <c r="CK1060" s="1">
        <v>0.0</v>
      </c>
      <c r="CL1060" s="1">
        <v>0.0</v>
      </c>
      <c r="CM1060" s="1">
        <v>0.0</v>
      </c>
      <c r="CN1060" s="1">
        <v>0.0</v>
      </c>
      <c r="CO1060" s="1">
        <v>0.0</v>
      </c>
      <c r="CP1060" s="1">
        <v>0.0</v>
      </c>
      <c r="CQ1060" s="1">
        <v>0.0</v>
      </c>
      <c r="CR1060" s="1">
        <v>0.0</v>
      </c>
      <c r="CS1060" s="1">
        <v>0.0</v>
      </c>
      <c r="CT1060" s="1">
        <v>0.0</v>
      </c>
      <c r="CU1060" s="1">
        <v>0.0</v>
      </c>
      <c r="CV1060" s="1">
        <v>0.0</v>
      </c>
      <c r="CW1060" s="1">
        <v>0.0</v>
      </c>
      <c r="CX1060" s="1">
        <v>0.0</v>
      </c>
      <c r="CY1060" s="1">
        <v>0.0</v>
      </c>
      <c r="CZ1060" s="1">
        <v>0.0</v>
      </c>
      <c r="DA1060" s="1">
        <v>0.0</v>
      </c>
      <c r="DB1060" s="1">
        <v>0.0</v>
      </c>
      <c r="DC1060" s="1">
        <v>0.0</v>
      </c>
      <c r="DD1060" s="1" t="s">
        <v>4783</v>
      </c>
      <c r="DE1060" s="1">
        <v>3.20403474416998E-4</v>
      </c>
      <c r="DF1060" s="1">
        <v>0.0814611952657999</v>
      </c>
    </row>
    <row r="1061" ht="15.75" customHeight="1">
      <c r="A1061" s="1" t="s">
        <v>4784</v>
      </c>
      <c r="B1061" s="1">
        <v>29.0</v>
      </c>
      <c r="C1061" s="1">
        <v>189.0</v>
      </c>
      <c r="D1061" s="1">
        <v>220502.0</v>
      </c>
      <c r="E1061" s="1">
        <v>1.525</v>
      </c>
      <c r="F1061" s="1">
        <v>29189.0</v>
      </c>
      <c r="G1061" s="1">
        <v>2.9189220502E10</v>
      </c>
      <c r="H1061" s="1" t="s">
        <v>112</v>
      </c>
      <c r="I1061" s="1" t="s">
        <v>113</v>
      </c>
      <c r="J1061" s="1" t="s">
        <v>4566</v>
      </c>
      <c r="K1061" s="1" t="s">
        <v>4785</v>
      </c>
      <c r="L1061" s="1">
        <v>6741.0</v>
      </c>
      <c r="M1061" s="1">
        <v>6101.0</v>
      </c>
      <c r="N1061" s="1">
        <v>449.0</v>
      </c>
      <c r="O1061" s="1">
        <v>3125.0</v>
      </c>
      <c r="P1061" s="1">
        <v>3059.0</v>
      </c>
      <c r="Q1061" s="1">
        <v>49.0</v>
      </c>
      <c r="R1061" s="1">
        <v>2966.0</v>
      </c>
      <c r="S1061" s="1">
        <v>510.0</v>
      </c>
      <c r="T1061" s="1">
        <v>224.0</v>
      </c>
      <c r="U1061" s="1">
        <v>263.0</v>
      </c>
      <c r="V1061" s="1">
        <v>382.0</v>
      </c>
      <c r="W1061" s="1">
        <v>27042.0</v>
      </c>
      <c r="X1061" s="1">
        <v>2508.0</v>
      </c>
      <c r="Y1061" s="1">
        <v>547.0</v>
      </c>
      <c r="Z1061" s="1">
        <v>247.0</v>
      </c>
      <c r="AA1061" s="1">
        <v>1079.0</v>
      </c>
      <c r="AB1061" s="1">
        <v>1386.0</v>
      </c>
      <c r="AC1061" s="1">
        <v>340.0</v>
      </c>
      <c r="AD1061" s="1">
        <v>818.0</v>
      </c>
      <c r="AE1061" s="1">
        <v>218.0</v>
      </c>
      <c r="AF1061" s="1">
        <v>501.0</v>
      </c>
      <c r="AG1061" s="1">
        <v>592.0</v>
      </c>
      <c r="AH1061" s="1">
        <v>194.0</v>
      </c>
      <c r="AI1061" s="1">
        <v>13.0</v>
      </c>
      <c r="AJ1061" s="1">
        <v>20.0</v>
      </c>
      <c r="AK1061" s="1">
        <v>85.0</v>
      </c>
      <c r="AL1061" s="1">
        <v>126.0</v>
      </c>
      <c r="AM1061" s="1">
        <v>171.0</v>
      </c>
      <c r="AN1061" s="1">
        <v>82.0</v>
      </c>
      <c r="AO1061" s="1">
        <v>4.0</v>
      </c>
      <c r="AP1061" s="1">
        <v>0.083812</v>
      </c>
      <c r="AQ1061" s="1">
        <v>0.036286</v>
      </c>
      <c r="AR1061" s="1">
        <v>0.077421</v>
      </c>
      <c r="AS1061" s="1">
        <v>0.112105</v>
      </c>
      <c r="AT1061" s="1">
        <v>27042.0</v>
      </c>
      <c r="AU1061" s="1">
        <v>2508.0</v>
      </c>
      <c r="AV1061" s="1">
        <v>0.124715</v>
      </c>
      <c r="AW1061" s="1">
        <v>0.055745</v>
      </c>
      <c r="AX1061" s="1">
        <v>0.160065</v>
      </c>
      <c r="AY1061" s="1">
        <v>0.205607</v>
      </c>
      <c r="AZ1061" s="1">
        <v>0.1146325</v>
      </c>
      <c r="BA1061" s="1">
        <v>0.121346</v>
      </c>
      <c r="BB1061" s="1">
        <v>0.038326</v>
      </c>
      <c r="BC1061" s="1">
        <v>0.088033</v>
      </c>
      <c r="BD1061" s="1">
        <v>0.193527</v>
      </c>
      <c r="BE1061" s="1">
        <v>0.063343</v>
      </c>
      <c r="BF1061" s="1">
        <v>0.004249</v>
      </c>
      <c r="BG1061" s="1">
        <v>0.006537</v>
      </c>
      <c r="BH1061" s="1">
        <v>0.029493</v>
      </c>
      <c r="BI1061" s="1">
        <v>0.043701</v>
      </c>
      <c r="BJ1061" s="1">
        <v>0.059333</v>
      </c>
      <c r="BK1061" s="1">
        <v>0.028341</v>
      </c>
      <c r="BL1061" s="1">
        <v>5.93E-4</v>
      </c>
      <c r="BM1061" s="1">
        <v>0.31</v>
      </c>
      <c r="BN1061" s="1">
        <v>0.584</v>
      </c>
      <c r="BO1061" s="1">
        <v>0.2801</v>
      </c>
      <c r="BP1061" s="1">
        <v>0.451</v>
      </c>
      <c r="BQ1061" s="1">
        <v>1.6251</v>
      </c>
      <c r="BR1061" s="1">
        <v>0.3819</v>
      </c>
      <c r="BS1061" s="1">
        <v>0.663</v>
      </c>
      <c r="BT1061" s="1">
        <v>0.216</v>
      </c>
      <c r="BU1061" s="1">
        <v>0.627</v>
      </c>
      <c r="BV1061" s="1">
        <v>1.506</v>
      </c>
      <c r="BW1061" s="1">
        <v>0.49</v>
      </c>
      <c r="BX1061" s="1">
        <v>0.539</v>
      </c>
      <c r="BY1061" s="1">
        <v>0.941</v>
      </c>
      <c r="BZ1061" s="1">
        <v>1.48</v>
      </c>
      <c r="CA1061" s="1">
        <v>0.81</v>
      </c>
      <c r="CB1061" s="1">
        <v>0.889</v>
      </c>
      <c r="CC1061" s="1">
        <v>0.381</v>
      </c>
      <c r="CD1061" s="1">
        <v>0.8</v>
      </c>
      <c r="CE1061" s="1">
        <v>0.565</v>
      </c>
      <c r="CF1061" s="1">
        <v>0.373</v>
      </c>
      <c r="CG1061" s="1">
        <v>3.008</v>
      </c>
      <c r="CH1061" s="1">
        <v>0.779</v>
      </c>
      <c r="CI1061" s="1">
        <v>7.6191</v>
      </c>
      <c r="CJ1061" s="1">
        <v>0.6563</v>
      </c>
      <c r="CK1061" s="1">
        <v>0.0</v>
      </c>
      <c r="CL1061" s="1">
        <v>0.0</v>
      </c>
      <c r="CM1061" s="1">
        <v>0.0</v>
      </c>
      <c r="CN1061" s="1">
        <v>0.0</v>
      </c>
      <c r="CO1061" s="1">
        <v>0.0</v>
      </c>
      <c r="CP1061" s="1">
        <v>0.0</v>
      </c>
      <c r="CQ1061" s="1">
        <v>0.0</v>
      </c>
      <c r="CR1061" s="1">
        <v>0.0</v>
      </c>
      <c r="CS1061" s="1">
        <v>0.0</v>
      </c>
      <c r="CT1061" s="1">
        <v>0.0</v>
      </c>
      <c r="CU1061" s="1">
        <v>1.0</v>
      </c>
      <c r="CV1061" s="1">
        <v>1.0</v>
      </c>
      <c r="CW1061" s="1">
        <v>0.0</v>
      </c>
      <c r="CX1061" s="1">
        <v>0.0</v>
      </c>
      <c r="CY1061" s="1">
        <v>0.0</v>
      </c>
      <c r="CZ1061" s="1">
        <v>0.0</v>
      </c>
      <c r="DA1061" s="1">
        <v>0.0</v>
      </c>
      <c r="DB1061" s="1">
        <v>0.0</v>
      </c>
      <c r="DC1061" s="1">
        <v>1.0</v>
      </c>
      <c r="DD1061" s="1" t="s">
        <v>4786</v>
      </c>
      <c r="DE1061" s="1">
        <v>4.07155733989999E-4</v>
      </c>
      <c r="DF1061" s="1">
        <v>0.0973687058718822</v>
      </c>
    </row>
    <row r="1062" ht="15.75" customHeight="1">
      <c r="A1062" s="1" t="s">
        <v>4787</v>
      </c>
      <c r="B1062" s="1">
        <v>29.0</v>
      </c>
      <c r="C1062" s="1">
        <v>189.0</v>
      </c>
      <c r="D1062" s="1">
        <v>220601.0</v>
      </c>
      <c r="E1062" s="1">
        <v>2.339</v>
      </c>
      <c r="F1062" s="1">
        <v>29189.0</v>
      </c>
      <c r="G1062" s="1">
        <v>2.9189220601E10</v>
      </c>
      <c r="H1062" s="1" t="s">
        <v>112</v>
      </c>
      <c r="I1062" s="1" t="s">
        <v>113</v>
      </c>
      <c r="J1062" s="1" t="s">
        <v>4566</v>
      </c>
      <c r="K1062" s="1" t="s">
        <v>4788</v>
      </c>
      <c r="L1062" s="1">
        <v>6477.0</v>
      </c>
      <c r="M1062" s="1">
        <v>6349.0</v>
      </c>
      <c r="N1062" s="1">
        <v>441.0</v>
      </c>
      <c r="O1062" s="1">
        <v>2820.0</v>
      </c>
      <c r="P1062" s="1">
        <v>2588.0</v>
      </c>
      <c r="Q1062" s="1">
        <v>115.0</v>
      </c>
      <c r="R1062" s="1">
        <v>2682.0</v>
      </c>
      <c r="S1062" s="1">
        <v>482.0</v>
      </c>
      <c r="T1062" s="1">
        <v>223.0</v>
      </c>
      <c r="U1062" s="1">
        <v>244.0</v>
      </c>
      <c r="V1062" s="1">
        <v>381.0</v>
      </c>
      <c r="W1062" s="1">
        <v>27495.0</v>
      </c>
      <c r="X1062" s="1">
        <v>2395.0</v>
      </c>
      <c r="Y1062" s="1">
        <v>524.0</v>
      </c>
      <c r="Z1062" s="1">
        <v>264.0</v>
      </c>
      <c r="AA1062" s="1">
        <v>1277.0</v>
      </c>
      <c r="AB1062" s="1">
        <v>1272.0</v>
      </c>
      <c r="AC1062" s="1">
        <v>179.0</v>
      </c>
      <c r="AD1062" s="1">
        <v>507.0</v>
      </c>
      <c r="AE1062" s="1">
        <v>69.0</v>
      </c>
      <c r="AF1062" s="1">
        <v>415.0</v>
      </c>
      <c r="AG1062" s="1">
        <v>117.0</v>
      </c>
      <c r="AH1062" s="1">
        <v>145.0</v>
      </c>
      <c r="AI1062" s="1">
        <v>13.0</v>
      </c>
      <c r="AJ1062" s="1">
        <v>19.0</v>
      </c>
      <c r="AK1062" s="1">
        <v>0.0</v>
      </c>
      <c r="AL1062" s="1">
        <v>161.0</v>
      </c>
      <c r="AM1062" s="1">
        <v>60.0</v>
      </c>
      <c r="AN1062" s="1">
        <v>122.0</v>
      </c>
      <c r="AO1062" s="1">
        <v>142.0</v>
      </c>
      <c r="AP1062" s="1">
        <v>0.079524</v>
      </c>
      <c r="AQ1062" s="1">
        <v>0.03641</v>
      </c>
      <c r="AR1062" s="1">
        <v>0.07746</v>
      </c>
      <c r="AS1062" s="1">
        <v>0.120722</v>
      </c>
      <c r="AT1062" s="1">
        <v>27495.0</v>
      </c>
      <c r="AU1062" s="1">
        <v>2395.0</v>
      </c>
      <c r="AV1062" s="1">
        <v>0.11315</v>
      </c>
      <c r="AW1062" s="1">
        <v>0.056592</v>
      </c>
      <c r="AX1062" s="1">
        <v>0.197159</v>
      </c>
      <c r="AY1062" s="1">
        <v>0.196387</v>
      </c>
      <c r="AZ1062" s="1">
        <v>0.06674123</v>
      </c>
      <c r="BA1062" s="1">
        <v>0.078276</v>
      </c>
      <c r="BB1062" s="1">
        <v>0.011569</v>
      </c>
      <c r="BC1062" s="1">
        <v>0.069579</v>
      </c>
      <c r="BD1062" s="1">
        <v>0.045208</v>
      </c>
      <c r="BE1062" s="1">
        <v>0.055991</v>
      </c>
      <c r="BF1062" s="1">
        <v>0.005023</v>
      </c>
      <c r="BG1062" s="1">
        <v>0.007338</v>
      </c>
      <c r="BH1062" s="1">
        <v>0.0</v>
      </c>
      <c r="BI1062" s="1">
        <v>0.065473</v>
      </c>
      <c r="BJ1062" s="1">
        <v>0.0244</v>
      </c>
      <c r="BK1062" s="1">
        <v>0.049596</v>
      </c>
      <c r="BL1062" s="1">
        <v>0.021923</v>
      </c>
      <c r="BM1062" s="1">
        <v>0.291</v>
      </c>
      <c r="BN1062" s="1">
        <v>0.586</v>
      </c>
      <c r="BO1062" s="1">
        <v>0.2686</v>
      </c>
      <c r="BP1062" s="1">
        <v>0.394</v>
      </c>
      <c r="BQ1062" s="1">
        <v>1.5396</v>
      </c>
      <c r="BR1062" s="1">
        <v>0.3552</v>
      </c>
      <c r="BS1062" s="1">
        <v>0.861</v>
      </c>
      <c r="BT1062" s="1">
        <v>0.175</v>
      </c>
      <c r="BU1062" s="1">
        <v>0.187</v>
      </c>
      <c r="BV1062" s="1">
        <v>1.223</v>
      </c>
      <c r="BW1062" s="1">
        <v>0.25</v>
      </c>
      <c r="BX1062" s="1">
        <v>0.392</v>
      </c>
      <c r="BY1062" s="1">
        <v>0.759</v>
      </c>
      <c r="BZ1062" s="1">
        <v>1.151</v>
      </c>
      <c r="CA1062" s="1">
        <v>0.633</v>
      </c>
      <c r="CB1062" s="1">
        <v>0.632</v>
      </c>
      <c r="CC1062" s="1">
        <v>0.395</v>
      </c>
      <c r="CD1062" s="1">
        <v>0.0</v>
      </c>
      <c r="CE1062" s="1">
        <v>0.232</v>
      </c>
      <c r="CF1062" s="1">
        <v>0.735</v>
      </c>
      <c r="CG1062" s="1">
        <v>1.994</v>
      </c>
      <c r="CH1062" s="1">
        <v>0.346</v>
      </c>
      <c r="CI1062" s="1">
        <v>5.9076</v>
      </c>
      <c r="CJ1062" s="1">
        <v>0.356</v>
      </c>
      <c r="CK1062" s="1">
        <v>0.0</v>
      </c>
      <c r="CL1062" s="1">
        <v>0.0</v>
      </c>
      <c r="CM1062" s="1">
        <v>0.0</v>
      </c>
      <c r="CN1062" s="1">
        <v>0.0</v>
      </c>
      <c r="CO1062" s="1">
        <v>0.0</v>
      </c>
      <c r="CP1062" s="1">
        <v>0.0</v>
      </c>
      <c r="CQ1062" s="1">
        <v>0.0</v>
      </c>
      <c r="CR1062" s="1">
        <v>0.0</v>
      </c>
      <c r="CS1062" s="1">
        <v>0.0</v>
      </c>
      <c r="CT1062" s="1">
        <v>0.0</v>
      </c>
      <c r="CU1062" s="1">
        <v>0.0</v>
      </c>
      <c r="CV1062" s="1">
        <v>0.0</v>
      </c>
      <c r="CW1062" s="1">
        <v>0.0</v>
      </c>
      <c r="CX1062" s="1">
        <v>0.0</v>
      </c>
      <c r="CY1062" s="1">
        <v>0.0</v>
      </c>
      <c r="CZ1062" s="1">
        <v>0.0</v>
      </c>
      <c r="DA1062" s="1">
        <v>0.0</v>
      </c>
      <c r="DB1062" s="1">
        <v>0.0</v>
      </c>
      <c r="DC1062" s="1">
        <v>0.0</v>
      </c>
      <c r="DD1062" s="1" t="s">
        <v>4789</v>
      </c>
      <c r="DE1062" s="1">
        <v>6.28230740384816E-4</v>
      </c>
      <c r="DF1062" s="2" t="s">
        <v>4790</v>
      </c>
    </row>
    <row r="1063" ht="15.75" customHeight="1">
      <c r="A1063" s="1" t="s">
        <v>4791</v>
      </c>
      <c r="B1063" s="1">
        <v>29.0</v>
      </c>
      <c r="C1063" s="1">
        <v>189.0</v>
      </c>
      <c r="D1063" s="1">
        <v>220602.0</v>
      </c>
      <c r="E1063" s="1">
        <v>1.633</v>
      </c>
      <c r="F1063" s="1">
        <v>29189.0</v>
      </c>
      <c r="G1063" s="1">
        <v>2.9189220602E10</v>
      </c>
      <c r="H1063" s="1" t="s">
        <v>112</v>
      </c>
      <c r="I1063" s="1" t="s">
        <v>113</v>
      </c>
      <c r="J1063" s="1" t="s">
        <v>4566</v>
      </c>
      <c r="K1063" s="1" t="s">
        <v>4792</v>
      </c>
      <c r="L1063" s="1">
        <v>5365.0</v>
      </c>
      <c r="M1063" s="1">
        <v>5155.0</v>
      </c>
      <c r="N1063" s="1">
        <v>281.0</v>
      </c>
      <c r="O1063" s="1">
        <v>2651.0</v>
      </c>
      <c r="P1063" s="1">
        <v>2568.0</v>
      </c>
      <c r="Q1063" s="1">
        <v>45.0</v>
      </c>
      <c r="R1063" s="1">
        <v>2518.0</v>
      </c>
      <c r="S1063" s="1">
        <v>684.0</v>
      </c>
      <c r="T1063" s="1">
        <v>415.0</v>
      </c>
      <c r="U1063" s="1">
        <v>221.0</v>
      </c>
      <c r="V1063" s="1">
        <v>426.0</v>
      </c>
      <c r="W1063" s="1">
        <v>24804.0</v>
      </c>
      <c r="X1063" s="1">
        <v>2233.0</v>
      </c>
      <c r="Y1063" s="1">
        <v>578.0</v>
      </c>
      <c r="Z1063" s="1">
        <v>303.0</v>
      </c>
      <c r="AA1063" s="1">
        <v>1473.0</v>
      </c>
      <c r="AB1063" s="1">
        <v>913.0</v>
      </c>
      <c r="AC1063" s="1">
        <v>147.0</v>
      </c>
      <c r="AD1063" s="1">
        <v>343.0</v>
      </c>
      <c r="AE1063" s="1">
        <v>288.0</v>
      </c>
      <c r="AF1063" s="1">
        <v>408.0</v>
      </c>
      <c r="AG1063" s="1">
        <v>409.0</v>
      </c>
      <c r="AH1063" s="1">
        <v>134.0</v>
      </c>
      <c r="AI1063" s="1">
        <v>0.0</v>
      </c>
      <c r="AJ1063" s="1">
        <v>114.0</v>
      </c>
      <c r="AK1063" s="1">
        <v>0.0</v>
      </c>
      <c r="AL1063" s="1">
        <v>161.0</v>
      </c>
      <c r="AM1063" s="1">
        <v>249.0</v>
      </c>
      <c r="AN1063" s="1">
        <v>108.0</v>
      </c>
      <c r="AO1063" s="1">
        <v>0.0</v>
      </c>
      <c r="AP1063" s="1">
        <v>0.132686</v>
      </c>
      <c r="AQ1063" s="1">
        <v>0.080178</v>
      </c>
      <c r="AR1063" s="1">
        <v>0.092935</v>
      </c>
      <c r="AS1063" s="1">
        <v>0.17861</v>
      </c>
      <c r="AT1063" s="1">
        <v>24804.0</v>
      </c>
      <c r="AU1063" s="1">
        <v>2233.0</v>
      </c>
      <c r="AV1063" s="1">
        <v>0.145849</v>
      </c>
      <c r="AW1063" s="1">
        <v>0.076019</v>
      </c>
      <c r="AX1063" s="1">
        <v>0.274557</v>
      </c>
      <c r="AY1063" s="1">
        <v>0.170177</v>
      </c>
      <c r="AZ1063" s="1">
        <v>0.05837966</v>
      </c>
      <c r="BA1063" s="1">
        <v>0.063932</v>
      </c>
      <c r="BB1063" s="1">
        <v>0.059813</v>
      </c>
      <c r="BC1063" s="1">
        <v>0.084686</v>
      </c>
      <c r="BD1063" s="1">
        <v>0.159267</v>
      </c>
      <c r="BE1063" s="1">
        <v>0.052105</v>
      </c>
      <c r="BF1063" s="1">
        <v>0.0</v>
      </c>
      <c r="BG1063" s="1">
        <v>0.044392</v>
      </c>
      <c r="BH1063" s="1">
        <v>0.0</v>
      </c>
      <c r="BI1063" s="1">
        <v>0.065767</v>
      </c>
      <c r="BJ1063" s="1">
        <v>0.101715</v>
      </c>
      <c r="BK1063" s="1">
        <v>0.043897</v>
      </c>
      <c r="BL1063" s="1">
        <v>0.0</v>
      </c>
      <c r="BM1063" s="1">
        <v>0.51</v>
      </c>
      <c r="BN1063" s="1">
        <v>0.696</v>
      </c>
      <c r="BO1063" s="1">
        <v>0.3567</v>
      </c>
      <c r="BP1063" s="1">
        <v>0.548</v>
      </c>
      <c r="BQ1063" s="1">
        <v>2.1107</v>
      </c>
      <c r="BR1063" s="1">
        <v>0.5307</v>
      </c>
      <c r="BS1063" s="1">
        <v>0.982</v>
      </c>
      <c r="BT1063" s="1">
        <v>0.103</v>
      </c>
      <c r="BU1063" s="1">
        <v>0.123</v>
      </c>
      <c r="BV1063" s="1">
        <v>1.208</v>
      </c>
      <c r="BW1063" s="1">
        <v>0.237</v>
      </c>
      <c r="BX1063" s="1">
        <v>0.335</v>
      </c>
      <c r="BY1063" s="1">
        <v>0.968</v>
      </c>
      <c r="BZ1063" s="1">
        <v>1.303</v>
      </c>
      <c r="CA1063" s="1">
        <v>0.714</v>
      </c>
      <c r="CB1063" s="1">
        <v>0.852</v>
      </c>
      <c r="CC1063" s="1">
        <v>0.0</v>
      </c>
      <c r="CD1063" s="1">
        <v>0.0</v>
      </c>
      <c r="CE1063" s="1">
        <v>0.759</v>
      </c>
      <c r="CF1063" s="1">
        <v>0.0</v>
      </c>
      <c r="CG1063" s="1">
        <v>1.611</v>
      </c>
      <c r="CH1063" s="1">
        <v>0.202</v>
      </c>
      <c r="CI1063" s="1">
        <v>6.2327</v>
      </c>
      <c r="CJ1063" s="1">
        <v>0.4152</v>
      </c>
      <c r="CK1063" s="1">
        <v>0.0</v>
      </c>
      <c r="CL1063" s="1">
        <v>0.0</v>
      </c>
      <c r="CM1063" s="1">
        <v>0.0</v>
      </c>
      <c r="CN1063" s="1">
        <v>0.0</v>
      </c>
      <c r="CO1063" s="1">
        <v>0.0</v>
      </c>
      <c r="CP1063" s="1">
        <v>1.0</v>
      </c>
      <c r="CQ1063" s="1">
        <v>0.0</v>
      </c>
      <c r="CR1063" s="1">
        <v>0.0</v>
      </c>
      <c r="CS1063" s="1">
        <v>1.0</v>
      </c>
      <c r="CT1063" s="1">
        <v>0.0</v>
      </c>
      <c r="CU1063" s="1">
        <v>1.0</v>
      </c>
      <c r="CV1063" s="1">
        <v>1.0</v>
      </c>
      <c r="CW1063" s="1">
        <v>0.0</v>
      </c>
      <c r="CX1063" s="1">
        <v>0.0</v>
      </c>
      <c r="CY1063" s="1">
        <v>0.0</v>
      </c>
      <c r="CZ1063" s="1">
        <v>0.0</v>
      </c>
      <c r="DA1063" s="1">
        <v>0.0</v>
      </c>
      <c r="DB1063" s="1">
        <v>0.0</v>
      </c>
      <c r="DC1063" s="1">
        <v>2.0</v>
      </c>
      <c r="DD1063" s="1" t="s">
        <v>4793</v>
      </c>
      <c r="DE1063" s="1">
        <v>4.36793924223835E-4</v>
      </c>
      <c r="DF1063" s="1">
        <v>0.0964077046218358</v>
      </c>
    </row>
    <row r="1064" ht="15.75" customHeight="1">
      <c r="A1064" s="1" t="s">
        <v>4794</v>
      </c>
      <c r="B1064" s="1">
        <v>29.0</v>
      </c>
      <c r="C1064" s="1">
        <v>189.0</v>
      </c>
      <c r="D1064" s="1">
        <v>220701.0</v>
      </c>
      <c r="E1064" s="1">
        <v>0.973</v>
      </c>
      <c r="F1064" s="1">
        <v>29189.0</v>
      </c>
      <c r="G1064" s="1">
        <v>2.9189220701E10</v>
      </c>
      <c r="H1064" s="1" t="s">
        <v>112</v>
      </c>
      <c r="I1064" s="1" t="s">
        <v>113</v>
      </c>
      <c r="J1064" s="1" t="s">
        <v>4566</v>
      </c>
      <c r="K1064" s="1" t="s">
        <v>4795</v>
      </c>
      <c r="L1064" s="1">
        <v>2573.0</v>
      </c>
      <c r="M1064" s="1">
        <v>2627.0</v>
      </c>
      <c r="N1064" s="1">
        <v>124.0</v>
      </c>
      <c r="O1064" s="1">
        <v>1324.0</v>
      </c>
      <c r="P1064" s="1">
        <v>1303.0</v>
      </c>
      <c r="Q1064" s="1">
        <v>26.0</v>
      </c>
      <c r="R1064" s="1">
        <v>1238.0</v>
      </c>
      <c r="S1064" s="1">
        <v>239.0</v>
      </c>
      <c r="T1064" s="1">
        <v>73.0</v>
      </c>
      <c r="U1064" s="1">
        <v>73.0</v>
      </c>
      <c r="V1064" s="1">
        <v>362.0</v>
      </c>
      <c r="W1064" s="1">
        <v>27907.0</v>
      </c>
      <c r="X1064" s="1">
        <v>2291.0</v>
      </c>
      <c r="Y1064" s="1">
        <v>182.0</v>
      </c>
      <c r="Z1064" s="1">
        <v>263.0</v>
      </c>
      <c r="AA1064" s="1">
        <v>433.0</v>
      </c>
      <c r="AB1064" s="1">
        <v>511.0</v>
      </c>
      <c r="AC1064" s="1">
        <v>141.0</v>
      </c>
      <c r="AD1064" s="1">
        <v>180.0</v>
      </c>
      <c r="AE1064" s="1">
        <v>16.0</v>
      </c>
      <c r="AF1064" s="1">
        <v>442.0</v>
      </c>
      <c r="AG1064" s="1">
        <v>13.0</v>
      </c>
      <c r="AH1064" s="1">
        <v>162.0</v>
      </c>
      <c r="AI1064" s="1">
        <v>0.0</v>
      </c>
      <c r="AJ1064" s="1">
        <v>114.0</v>
      </c>
      <c r="AK1064" s="1">
        <v>14.0</v>
      </c>
      <c r="AL1064" s="1">
        <v>115.0</v>
      </c>
      <c r="AM1064" s="1">
        <v>68.0</v>
      </c>
      <c r="AN1064" s="1">
        <v>31.0</v>
      </c>
      <c r="AO1064" s="1">
        <v>4.0</v>
      </c>
      <c r="AP1064" s="1">
        <v>0.091325</v>
      </c>
      <c r="AQ1064" s="1">
        <v>0.027556</v>
      </c>
      <c r="AR1064" s="1">
        <v>0.053479</v>
      </c>
      <c r="AS1064" s="1">
        <v>0.265149</v>
      </c>
      <c r="AT1064" s="1">
        <v>27907.0</v>
      </c>
      <c r="AU1064" s="1">
        <v>2291.0</v>
      </c>
      <c r="AV1064" s="1">
        <v>0.099236</v>
      </c>
      <c r="AW1064" s="1">
        <v>0.143338</v>
      </c>
      <c r="AX1064" s="1">
        <v>0.168286</v>
      </c>
      <c r="AY1064" s="1">
        <v>0.1986</v>
      </c>
      <c r="AZ1064" s="1">
        <v>0.11389337</v>
      </c>
      <c r="BA1064" s="1">
        <v>0.069957</v>
      </c>
      <c r="BB1064" s="1">
        <v>0.006587</v>
      </c>
      <c r="BC1064" s="1">
        <v>0.181967</v>
      </c>
      <c r="BD1064" s="1">
        <v>0.009976</v>
      </c>
      <c r="BE1064" s="1">
        <v>0.124328</v>
      </c>
      <c r="BF1064" s="1">
        <v>0.0</v>
      </c>
      <c r="BG1064" s="1">
        <v>0.08749</v>
      </c>
      <c r="BH1064" s="1">
        <v>0.011326</v>
      </c>
      <c r="BI1064" s="1">
        <v>0.093041</v>
      </c>
      <c r="BJ1064" s="1">
        <v>0.055016</v>
      </c>
      <c r="BK1064" s="1">
        <v>0.025007</v>
      </c>
      <c r="BL1064" s="1">
        <v>0.001554</v>
      </c>
      <c r="BM1064" s="1">
        <v>0.343</v>
      </c>
      <c r="BN1064" s="1">
        <v>0.33</v>
      </c>
      <c r="BO1064" s="1">
        <v>0.2513</v>
      </c>
      <c r="BP1064" s="1">
        <v>0.333</v>
      </c>
      <c r="BQ1064" s="1">
        <v>1.2573</v>
      </c>
      <c r="BR1064" s="1">
        <v>0.2722</v>
      </c>
      <c r="BS1064" s="1">
        <v>0.723</v>
      </c>
      <c r="BT1064" s="1">
        <v>0.182</v>
      </c>
      <c r="BU1064" s="1">
        <v>0.619</v>
      </c>
      <c r="BV1064" s="1">
        <v>1.524</v>
      </c>
      <c r="BW1064" s="1">
        <v>0.501</v>
      </c>
      <c r="BX1064" s="1">
        <v>0.364</v>
      </c>
      <c r="BY1064" s="1">
        <v>0.619</v>
      </c>
      <c r="BZ1064" s="1">
        <v>0.983</v>
      </c>
      <c r="CA1064" s="1">
        <v>0.542</v>
      </c>
      <c r="CB1064" s="1">
        <v>0.382</v>
      </c>
      <c r="CC1064" s="1">
        <v>0.0</v>
      </c>
      <c r="CD1064" s="1">
        <v>0.508</v>
      </c>
      <c r="CE1064" s="1">
        <v>0.53</v>
      </c>
      <c r="CF1064" s="1">
        <v>0.425</v>
      </c>
      <c r="CG1064" s="1">
        <v>1.845</v>
      </c>
      <c r="CH1064" s="1">
        <v>0.284</v>
      </c>
      <c r="CI1064" s="1">
        <v>5.6093</v>
      </c>
      <c r="CJ1064" s="1">
        <v>0.3047</v>
      </c>
      <c r="CK1064" s="1">
        <v>0.0</v>
      </c>
      <c r="CL1064" s="1">
        <v>0.0</v>
      </c>
      <c r="CM1064" s="1">
        <v>0.0</v>
      </c>
      <c r="CN1064" s="1">
        <v>0.0</v>
      </c>
      <c r="CO1064" s="1">
        <v>0.0</v>
      </c>
      <c r="CP1064" s="1">
        <v>0.0</v>
      </c>
      <c r="CQ1064" s="1">
        <v>0.0</v>
      </c>
      <c r="CR1064" s="1">
        <v>0.0</v>
      </c>
      <c r="CS1064" s="1">
        <v>0.0</v>
      </c>
      <c r="CT1064" s="1">
        <v>0.0</v>
      </c>
      <c r="CU1064" s="1">
        <v>0.0</v>
      </c>
      <c r="CV1064" s="1">
        <v>0.0</v>
      </c>
      <c r="CW1064" s="1">
        <v>0.0</v>
      </c>
      <c r="CX1064" s="1">
        <v>0.0</v>
      </c>
      <c r="CY1064" s="1">
        <v>0.0</v>
      </c>
      <c r="CZ1064" s="1">
        <v>0.0</v>
      </c>
      <c r="DA1064" s="1">
        <v>0.0</v>
      </c>
      <c r="DB1064" s="1">
        <v>0.0</v>
      </c>
      <c r="DC1064" s="1">
        <v>0.0</v>
      </c>
      <c r="DD1064" s="1" t="s">
        <v>4796</v>
      </c>
      <c r="DE1064" s="1">
        <v>2.56750167139393E-4</v>
      </c>
      <c r="DF1064" s="1">
        <v>0.0633503452270373</v>
      </c>
    </row>
    <row r="1065" ht="15.75" customHeight="1">
      <c r="A1065" s="1" t="s">
        <v>4797</v>
      </c>
      <c r="B1065" s="1">
        <v>29.0</v>
      </c>
      <c r="C1065" s="1">
        <v>189.0</v>
      </c>
      <c r="D1065" s="1">
        <v>220703.0</v>
      </c>
      <c r="E1065" s="1">
        <v>0.963</v>
      </c>
      <c r="F1065" s="1">
        <v>29189.0</v>
      </c>
      <c r="G1065" s="1">
        <v>2.9189220703E10</v>
      </c>
      <c r="H1065" s="1" t="s">
        <v>112</v>
      </c>
      <c r="I1065" s="1" t="s">
        <v>113</v>
      </c>
      <c r="J1065" s="1" t="s">
        <v>4566</v>
      </c>
      <c r="K1065" s="1" t="s">
        <v>4798</v>
      </c>
      <c r="L1065" s="1">
        <v>2589.0</v>
      </c>
      <c r="M1065" s="1">
        <v>2489.0</v>
      </c>
      <c r="N1065" s="1">
        <v>156.0</v>
      </c>
      <c r="O1065" s="1">
        <v>1140.0</v>
      </c>
      <c r="P1065" s="1">
        <v>1132.0</v>
      </c>
      <c r="Q1065" s="1">
        <v>25.0</v>
      </c>
      <c r="R1065" s="1">
        <v>1099.0</v>
      </c>
      <c r="S1065" s="1">
        <v>171.0</v>
      </c>
      <c r="T1065" s="1">
        <v>127.0</v>
      </c>
      <c r="U1065" s="1">
        <v>51.0</v>
      </c>
      <c r="V1065" s="1">
        <v>471.0</v>
      </c>
      <c r="W1065" s="1">
        <v>28700.0</v>
      </c>
      <c r="X1065" s="1">
        <v>2976.0</v>
      </c>
      <c r="Y1065" s="1">
        <v>166.0</v>
      </c>
      <c r="Z1065" s="1">
        <v>312.0</v>
      </c>
      <c r="AA1065" s="1">
        <v>530.0</v>
      </c>
      <c r="AB1065" s="1">
        <v>554.0</v>
      </c>
      <c r="AC1065" s="1">
        <v>76.0</v>
      </c>
      <c r="AD1065" s="1">
        <v>172.0</v>
      </c>
      <c r="AE1065" s="1">
        <v>70.0</v>
      </c>
      <c r="AF1065" s="1">
        <v>431.0</v>
      </c>
      <c r="AG1065" s="1">
        <v>0.0</v>
      </c>
      <c r="AH1065" s="1">
        <v>197.0</v>
      </c>
      <c r="AI1065" s="1">
        <v>0.0</v>
      </c>
      <c r="AJ1065" s="1">
        <v>114.0</v>
      </c>
      <c r="AK1065" s="1">
        <v>0.0</v>
      </c>
      <c r="AL1065" s="1">
        <v>161.0</v>
      </c>
      <c r="AM1065" s="1">
        <v>7.0</v>
      </c>
      <c r="AN1065" s="1">
        <v>115.0</v>
      </c>
      <c r="AO1065" s="1">
        <v>0.0</v>
      </c>
      <c r="AP1065" s="1">
        <v>0.068702</v>
      </c>
      <c r="AQ1065" s="1">
        <v>0.050842</v>
      </c>
      <c r="AR1065" s="1">
        <v>0.040284</v>
      </c>
      <c r="AS1065" s="1">
        <v>0.37196</v>
      </c>
      <c r="AT1065" s="1">
        <v>28700.0</v>
      </c>
      <c r="AU1065" s="1">
        <v>2976.0</v>
      </c>
      <c r="AV1065" s="1">
        <v>0.092376</v>
      </c>
      <c r="AW1065" s="1">
        <v>0.173549</v>
      </c>
      <c r="AX1065" s="1">
        <v>0.204712</v>
      </c>
      <c r="AY1065" s="1">
        <v>0.213982</v>
      </c>
      <c r="AZ1065" s="1">
        <v>0.06915377</v>
      </c>
      <c r="BA1065" s="1">
        <v>0.066434</v>
      </c>
      <c r="BB1065" s="1">
        <v>0.028806</v>
      </c>
      <c r="BC1065" s="1">
        <v>0.177355</v>
      </c>
      <c r="BD1065" s="1">
        <v>0.0</v>
      </c>
      <c r="BE1065" s="1">
        <v>0.174028</v>
      </c>
      <c r="BF1065" s="1">
        <v>0.0</v>
      </c>
      <c r="BG1065" s="1">
        <v>0.100706</v>
      </c>
      <c r="BH1065" s="1">
        <v>0.0</v>
      </c>
      <c r="BI1065" s="1">
        <v>0.149628</v>
      </c>
      <c r="BJ1065" s="1">
        <v>0.006505</v>
      </c>
      <c r="BK1065" s="1">
        <v>0.106876</v>
      </c>
      <c r="BL1065" s="1">
        <v>0.0</v>
      </c>
      <c r="BM1065" s="1">
        <v>0.243</v>
      </c>
      <c r="BN1065" s="1">
        <v>0.182</v>
      </c>
      <c r="BO1065" s="1">
        <v>0.2289</v>
      </c>
      <c r="BP1065" s="1">
        <v>0.304</v>
      </c>
      <c r="BQ1065" s="1">
        <v>0.9579</v>
      </c>
      <c r="BR1065" s="1">
        <v>0.1906</v>
      </c>
      <c r="BS1065" s="1">
        <v>0.89</v>
      </c>
      <c r="BT1065" s="1">
        <v>0.258</v>
      </c>
      <c r="BU1065" s="1">
        <v>0.207</v>
      </c>
      <c r="BV1065" s="1">
        <v>1.355</v>
      </c>
      <c r="BW1065" s="1">
        <v>0.351</v>
      </c>
      <c r="BX1065" s="1">
        <v>0.347</v>
      </c>
      <c r="BY1065" s="1">
        <v>0.907</v>
      </c>
      <c r="BZ1065" s="1">
        <v>1.254</v>
      </c>
      <c r="CA1065" s="1">
        <v>0.685</v>
      </c>
      <c r="CB1065" s="1">
        <v>0.0</v>
      </c>
      <c r="CC1065" s="1">
        <v>0.0</v>
      </c>
      <c r="CD1065" s="1">
        <v>0.0</v>
      </c>
      <c r="CE1065" s="1">
        <v>0.057</v>
      </c>
      <c r="CF1065" s="1">
        <v>0.0</v>
      </c>
      <c r="CG1065" s="1">
        <v>0.057</v>
      </c>
      <c r="CH1065" s="1">
        <v>0.007</v>
      </c>
      <c r="CI1065" s="1">
        <v>3.6239</v>
      </c>
      <c r="CJ1065" s="1">
        <v>0.0498</v>
      </c>
      <c r="CK1065" s="1">
        <v>0.0</v>
      </c>
      <c r="CL1065" s="1">
        <v>0.0</v>
      </c>
      <c r="CM1065" s="1">
        <v>0.0</v>
      </c>
      <c r="CN1065" s="1">
        <v>0.0</v>
      </c>
      <c r="CO1065" s="1">
        <v>0.0</v>
      </c>
      <c r="CP1065" s="1">
        <v>0.0</v>
      </c>
      <c r="CQ1065" s="1">
        <v>0.0</v>
      </c>
      <c r="CR1065" s="1">
        <v>0.0</v>
      </c>
      <c r="CS1065" s="1">
        <v>0.0</v>
      </c>
      <c r="CT1065" s="1">
        <v>0.0</v>
      </c>
      <c r="CU1065" s="1">
        <v>1.0</v>
      </c>
      <c r="CV1065" s="1">
        <v>1.0</v>
      </c>
      <c r="CW1065" s="1">
        <v>0.0</v>
      </c>
      <c r="CX1065" s="1">
        <v>0.0</v>
      </c>
      <c r="CY1065" s="1">
        <v>0.0</v>
      </c>
      <c r="CZ1065" s="1">
        <v>0.0</v>
      </c>
      <c r="DA1065" s="1">
        <v>0.0</v>
      </c>
      <c r="DB1065" s="1">
        <v>0.0</v>
      </c>
      <c r="DC1065" s="1">
        <v>1.0</v>
      </c>
      <c r="DD1065" s="1" t="s">
        <v>4799</v>
      </c>
      <c r="DE1065" s="1">
        <v>2.57468539236222E-4</v>
      </c>
      <c r="DF1065" s="1">
        <v>0.0681387625337771</v>
      </c>
    </row>
    <row r="1066" ht="15.75" customHeight="1">
      <c r="A1066" s="1" t="s">
        <v>4800</v>
      </c>
      <c r="B1066" s="1">
        <v>29.0</v>
      </c>
      <c r="C1066" s="1">
        <v>189.0</v>
      </c>
      <c r="D1066" s="1">
        <v>220801.0</v>
      </c>
      <c r="E1066" s="1">
        <v>1.798</v>
      </c>
      <c r="F1066" s="1">
        <v>29189.0</v>
      </c>
      <c r="G1066" s="1">
        <v>2.9189220801E10</v>
      </c>
      <c r="H1066" s="1" t="s">
        <v>112</v>
      </c>
      <c r="I1066" s="1" t="s">
        <v>113</v>
      </c>
      <c r="J1066" s="1" t="s">
        <v>4566</v>
      </c>
      <c r="K1066" s="1" t="s">
        <v>4801</v>
      </c>
      <c r="L1066" s="1">
        <v>5348.0</v>
      </c>
      <c r="M1066" s="1">
        <v>5481.0</v>
      </c>
      <c r="N1066" s="1">
        <v>369.0</v>
      </c>
      <c r="O1066" s="1">
        <v>2888.0</v>
      </c>
      <c r="P1066" s="1">
        <v>2704.0</v>
      </c>
      <c r="Q1066" s="1">
        <v>57.0</v>
      </c>
      <c r="R1066" s="1">
        <v>2682.0</v>
      </c>
      <c r="S1066" s="1">
        <v>684.0</v>
      </c>
      <c r="T1066" s="1">
        <v>371.0</v>
      </c>
      <c r="U1066" s="1">
        <v>220.0</v>
      </c>
      <c r="V1066" s="1">
        <v>393.0</v>
      </c>
      <c r="W1066" s="1">
        <v>31717.0</v>
      </c>
      <c r="X1066" s="1">
        <v>3076.0</v>
      </c>
      <c r="Y1066" s="1">
        <v>290.0</v>
      </c>
      <c r="Z1066" s="1">
        <v>286.0</v>
      </c>
      <c r="AA1066" s="1">
        <v>1182.0</v>
      </c>
      <c r="AB1066" s="1">
        <v>868.0</v>
      </c>
      <c r="AC1066" s="1">
        <v>136.0</v>
      </c>
      <c r="AD1066" s="1">
        <v>504.0</v>
      </c>
      <c r="AE1066" s="1">
        <v>76.0</v>
      </c>
      <c r="AF1066" s="1">
        <v>401.0</v>
      </c>
      <c r="AG1066" s="1">
        <v>586.0</v>
      </c>
      <c r="AH1066" s="1">
        <v>158.0</v>
      </c>
      <c r="AI1066" s="1">
        <v>0.0</v>
      </c>
      <c r="AJ1066" s="1">
        <v>114.0</v>
      </c>
      <c r="AK1066" s="1">
        <v>35.0</v>
      </c>
      <c r="AL1066" s="1">
        <v>127.0</v>
      </c>
      <c r="AM1066" s="1">
        <v>141.0</v>
      </c>
      <c r="AN1066" s="1">
        <v>68.0</v>
      </c>
      <c r="AO1066" s="1">
        <v>2.0</v>
      </c>
      <c r="AP1066" s="1">
        <v>0.125</v>
      </c>
      <c r="AQ1066" s="1">
        <v>0.06727</v>
      </c>
      <c r="AR1066" s="1">
        <v>0.077821</v>
      </c>
      <c r="AS1066" s="1">
        <v>0.138712</v>
      </c>
      <c r="AT1066" s="1">
        <v>31717.0</v>
      </c>
      <c r="AU1066" s="1">
        <v>3076.0</v>
      </c>
      <c r="AV1066" s="1">
        <v>0.071658</v>
      </c>
      <c r="AW1066" s="1">
        <v>0.070559</v>
      </c>
      <c r="AX1066" s="1">
        <v>0.221017</v>
      </c>
      <c r="AY1066" s="1">
        <v>0.162303</v>
      </c>
      <c r="AZ1066" s="1">
        <v>0.05070842</v>
      </c>
      <c r="BA1066" s="1">
        <v>0.09424</v>
      </c>
      <c r="BB1066" s="1">
        <v>0.014972</v>
      </c>
      <c r="BC1066" s="1">
        <v>0.078994</v>
      </c>
      <c r="BD1066" s="1">
        <v>0.216715</v>
      </c>
      <c r="BE1066" s="1">
        <v>0.058253</v>
      </c>
      <c r="BF1066" s="1">
        <v>0.0</v>
      </c>
      <c r="BG1066" s="1">
        <v>0.042159</v>
      </c>
      <c r="BH1066" s="1">
        <v>0.013333</v>
      </c>
      <c r="BI1066" s="1">
        <v>0.048379</v>
      </c>
      <c r="BJ1066" s="1">
        <v>0.053714</v>
      </c>
      <c r="BK1066" s="1">
        <v>0.02586</v>
      </c>
      <c r="BL1066" s="1">
        <v>3.73E-4</v>
      </c>
      <c r="BM1066" s="1">
        <v>0.475</v>
      </c>
      <c r="BN1066" s="1">
        <v>0.592</v>
      </c>
      <c r="BO1066" s="1">
        <v>0.1617</v>
      </c>
      <c r="BP1066" s="1">
        <v>0.206</v>
      </c>
      <c r="BQ1066" s="1">
        <v>1.4347</v>
      </c>
      <c r="BR1066" s="1">
        <v>0.3242</v>
      </c>
      <c r="BS1066" s="1">
        <v>0.935</v>
      </c>
      <c r="BT1066" s="1">
        <v>0.086</v>
      </c>
      <c r="BU1066" s="1">
        <v>0.076</v>
      </c>
      <c r="BV1066" s="1">
        <v>1.097</v>
      </c>
      <c r="BW1066" s="1">
        <v>0.162</v>
      </c>
      <c r="BX1066" s="1">
        <v>0.446</v>
      </c>
      <c r="BY1066" s="1">
        <v>0.809</v>
      </c>
      <c r="BZ1066" s="1">
        <v>1.255</v>
      </c>
      <c r="CA1066" s="1">
        <v>0.686</v>
      </c>
      <c r="CB1066" s="1">
        <v>0.903</v>
      </c>
      <c r="CC1066" s="1">
        <v>0.0</v>
      </c>
      <c r="CD1066" s="1">
        <v>0.558</v>
      </c>
      <c r="CE1066" s="1">
        <v>0.517</v>
      </c>
      <c r="CF1066" s="1">
        <v>0.358</v>
      </c>
      <c r="CG1066" s="1">
        <v>2.336</v>
      </c>
      <c r="CH1066" s="1">
        <v>0.476</v>
      </c>
      <c r="CI1066" s="1">
        <v>6.1227</v>
      </c>
      <c r="CJ1066" s="1">
        <v>0.3921</v>
      </c>
      <c r="CK1066" s="1">
        <v>0.0</v>
      </c>
      <c r="CL1066" s="1">
        <v>0.0</v>
      </c>
      <c r="CM1066" s="1">
        <v>0.0</v>
      </c>
      <c r="CN1066" s="1">
        <v>0.0</v>
      </c>
      <c r="CO1066" s="1">
        <v>0.0</v>
      </c>
      <c r="CP1066" s="1">
        <v>1.0</v>
      </c>
      <c r="CQ1066" s="1">
        <v>0.0</v>
      </c>
      <c r="CR1066" s="1">
        <v>0.0</v>
      </c>
      <c r="CS1066" s="1">
        <v>1.0</v>
      </c>
      <c r="CT1066" s="1">
        <v>0.0</v>
      </c>
      <c r="CU1066" s="1">
        <v>0.0</v>
      </c>
      <c r="CV1066" s="1">
        <v>0.0</v>
      </c>
      <c r="CW1066" s="1">
        <v>1.0</v>
      </c>
      <c r="CX1066" s="1">
        <v>0.0</v>
      </c>
      <c r="CY1066" s="1">
        <v>0.0</v>
      </c>
      <c r="CZ1066" s="1">
        <v>0.0</v>
      </c>
      <c r="DA1066" s="1">
        <v>0.0</v>
      </c>
      <c r="DB1066" s="1">
        <v>1.0</v>
      </c>
      <c r="DC1066" s="1">
        <v>2.0</v>
      </c>
      <c r="DD1066" s="1" t="s">
        <v>4802</v>
      </c>
      <c r="DE1066" s="1">
        <v>4.83585391555235E-4</v>
      </c>
      <c r="DF1066" s="2" t="s">
        <v>4803</v>
      </c>
    </row>
    <row r="1067" ht="15.75" customHeight="1">
      <c r="A1067" s="1" t="s">
        <v>4804</v>
      </c>
      <c r="B1067" s="1">
        <v>29.0</v>
      </c>
      <c r="C1067" s="1">
        <v>189.0</v>
      </c>
      <c r="D1067" s="1">
        <v>220802.0</v>
      </c>
      <c r="E1067" s="1">
        <v>1.307</v>
      </c>
      <c r="F1067" s="1">
        <v>29189.0</v>
      </c>
      <c r="G1067" s="1">
        <v>2.9189220802E10</v>
      </c>
      <c r="H1067" s="1" t="s">
        <v>112</v>
      </c>
      <c r="I1067" s="1" t="s">
        <v>113</v>
      </c>
      <c r="J1067" s="1" t="s">
        <v>4566</v>
      </c>
      <c r="K1067" s="1" t="s">
        <v>4805</v>
      </c>
      <c r="L1067" s="1">
        <v>4738.0</v>
      </c>
      <c r="M1067" s="1">
        <v>4895.0</v>
      </c>
      <c r="N1067" s="1">
        <v>273.0</v>
      </c>
      <c r="O1067" s="1">
        <v>2331.0</v>
      </c>
      <c r="P1067" s="1">
        <v>2238.0</v>
      </c>
      <c r="Q1067" s="1">
        <v>84.0</v>
      </c>
      <c r="R1067" s="1">
        <v>2180.0</v>
      </c>
      <c r="S1067" s="1">
        <v>74.0</v>
      </c>
      <c r="T1067" s="1">
        <v>60.0</v>
      </c>
      <c r="U1067" s="1">
        <v>124.0</v>
      </c>
      <c r="V1067" s="1">
        <v>435.0</v>
      </c>
      <c r="W1067" s="1">
        <v>30702.0</v>
      </c>
      <c r="X1067" s="1">
        <v>2603.0</v>
      </c>
      <c r="Y1067" s="1">
        <v>228.0</v>
      </c>
      <c r="Z1067" s="1">
        <v>355.0</v>
      </c>
      <c r="AA1067" s="1">
        <v>1114.0</v>
      </c>
      <c r="AB1067" s="1">
        <v>927.0</v>
      </c>
      <c r="AC1067" s="1">
        <v>118.0</v>
      </c>
      <c r="AD1067" s="1">
        <v>425.0</v>
      </c>
      <c r="AE1067" s="1">
        <v>80.0</v>
      </c>
      <c r="AF1067" s="1">
        <v>418.0</v>
      </c>
      <c r="AG1067" s="1">
        <v>231.0</v>
      </c>
      <c r="AH1067" s="1">
        <v>84.0</v>
      </c>
      <c r="AI1067" s="1">
        <v>0.0</v>
      </c>
      <c r="AJ1067" s="1">
        <v>114.0</v>
      </c>
      <c r="AK1067" s="1">
        <v>42.0</v>
      </c>
      <c r="AL1067" s="1">
        <v>122.0</v>
      </c>
      <c r="AM1067" s="1">
        <v>82.0</v>
      </c>
      <c r="AN1067" s="1">
        <v>59.0</v>
      </c>
      <c r="AO1067" s="1">
        <v>0.0</v>
      </c>
      <c r="AP1067" s="1">
        <v>0.015117</v>
      </c>
      <c r="AQ1067" s="1">
        <v>0.012228</v>
      </c>
      <c r="AR1067" s="1">
        <v>0.053333</v>
      </c>
      <c r="AS1067" s="1">
        <v>0.186998</v>
      </c>
      <c r="AT1067" s="1">
        <v>30702.0</v>
      </c>
      <c r="AU1067" s="1">
        <v>2603.0</v>
      </c>
      <c r="AV1067" s="1">
        <v>0.065273</v>
      </c>
      <c r="AW1067" s="1">
        <v>0.101553</v>
      </c>
      <c r="AX1067" s="1">
        <v>0.23512</v>
      </c>
      <c r="AY1067" s="1">
        <v>0.195652</v>
      </c>
      <c r="AZ1067" s="1">
        <v>0.05412844</v>
      </c>
      <c r="BA1067" s="1">
        <v>0.0897</v>
      </c>
      <c r="BB1067" s="1">
        <v>0.017245</v>
      </c>
      <c r="BC1067" s="1">
        <v>0.0901</v>
      </c>
      <c r="BD1067" s="1">
        <v>0.103217</v>
      </c>
      <c r="BE1067" s="1">
        <v>0.037333</v>
      </c>
      <c r="BF1067" s="1">
        <v>0.0</v>
      </c>
      <c r="BG1067" s="1">
        <v>0.050938</v>
      </c>
      <c r="BH1067" s="1">
        <v>0.019783</v>
      </c>
      <c r="BI1067" s="1">
        <v>0.057456</v>
      </c>
      <c r="BJ1067" s="1">
        <v>0.038624</v>
      </c>
      <c r="BK1067" s="1">
        <v>0.027718</v>
      </c>
      <c r="BL1067" s="1">
        <v>0.0</v>
      </c>
      <c r="BM1067" s="1">
        <v>0.038</v>
      </c>
      <c r="BN1067" s="1">
        <v>0.328</v>
      </c>
      <c r="BO1067" s="1">
        <v>0.1827</v>
      </c>
      <c r="BP1067" s="1">
        <v>0.184</v>
      </c>
      <c r="BQ1067" s="1">
        <v>0.7327</v>
      </c>
      <c r="BR1067" s="1">
        <v>0.1357</v>
      </c>
      <c r="BS1067" s="1">
        <v>0.958</v>
      </c>
      <c r="BT1067" s="1">
        <v>0.17</v>
      </c>
      <c r="BU1067" s="1">
        <v>0.1</v>
      </c>
      <c r="BV1067" s="1">
        <v>1.228</v>
      </c>
      <c r="BW1067" s="1">
        <v>0.253</v>
      </c>
      <c r="BX1067" s="1">
        <v>0.429</v>
      </c>
      <c r="BY1067" s="1">
        <v>0.839</v>
      </c>
      <c r="BZ1067" s="1">
        <v>1.268</v>
      </c>
      <c r="CA1067" s="1">
        <v>0.694</v>
      </c>
      <c r="CB1067" s="1">
        <v>0.777</v>
      </c>
      <c r="CC1067" s="1">
        <v>0.0</v>
      </c>
      <c r="CD1067" s="1">
        <v>0.68</v>
      </c>
      <c r="CE1067" s="1">
        <v>0.378</v>
      </c>
      <c r="CF1067" s="1">
        <v>0.0</v>
      </c>
      <c r="CG1067" s="1">
        <v>1.835</v>
      </c>
      <c r="CH1067" s="1">
        <v>0.276</v>
      </c>
      <c r="CI1067" s="1">
        <v>5.0637</v>
      </c>
      <c r="CJ1067" s="1">
        <v>0.2123</v>
      </c>
      <c r="CK1067" s="1">
        <v>0.0</v>
      </c>
      <c r="CL1067" s="1">
        <v>0.0</v>
      </c>
      <c r="CM1067" s="1">
        <v>0.0</v>
      </c>
      <c r="CN1067" s="1">
        <v>0.0</v>
      </c>
      <c r="CO1067" s="1">
        <v>0.0</v>
      </c>
      <c r="CP1067" s="1">
        <v>1.0</v>
      </c>
      <c r="CQ1067" s="1">
        <v>0.0</v>
      </c>
      <c r="CR1067" s="1">
        <v>0.0</v>
      </c>
      <c r="CS1067" s="1">
        <v>1.0</v>
      </c>
      <c r="CT1067" s="1">
        <v>0.0</v>
      </c>
      <c r="CU1067" s="1">
        <v>0.0</v>
      </c>
      <c r="CV1067" s="1">
        <v>0.0</v>
      </c>
      <c r="CW1067" s="1">
        <v>0.0</v>
      </c>
      <c r="CX1067" s="1">
        <v>0.0</v>
      </c>
      <c r="CY1067" s="1">
        <v>0.0</v>
      </c>
      <c r="CZ1067" s="1">
        <v>0.0</v>
      </c>
      <c r="DA1067" s="1">
        <v>0.0</v>
      </c>
      <c r="DB1067" s="1">
        <v>0.0</v>
      </c>
      <c r="DC1067" s="1">
        <v>1.0</v>
      </c>
      <c r="DD1067" s="1" t="s">
        <v>4806</v>
      </c>
      <c r="DE1067" s="1">
        <v>3.49404097870236E-4</v>
      </c>
      <c r="DF1067" s="1">
        <v>0.0858947802695023</v>
      </c>
    </row>
    <row r="1068" ht="15.75" customHeight="1">
      <c r="A1068" s="1" t="s">
        <v>4807</v>
      </c>
      <c r="B1068" s="1">
        <v>29.0</v>
      </c>
      <c r="C1068" s="1">
        <v>189.0</v>
      </c>
      <c r="D1068" s="1">
        <v>217942.0</v>
      </c>
      <c r="E1068" s="1">
        <v>1.355</v>
      </c>
      <c r="F1068" s="1">
        <v>29189.0</v>
      </c>
      <c r="G1068" s="1">
        <v>2.9189217942E10</v>
      </c>
      <c r="H1068" s="1" t="s">
        <v>112</v>
      </c>
      <c r="I1068" s="1" t="s">
        <v>113</v>
      </c>
      <c r="J1068" s="1" t="s">
        <v>4566</v>
      </c>
      <c r="K1068" s="1" t="s">
        <v>4808</v>
      </c>
      <c r="L1068" s="1">
        <v>5287.0</v>
      </c>
      <c r="M1068" s="1">
        <v>4894.0</v>
      </c>
      <c r="N1068" s="1">
        <v>287.0</v>
      </c>
      <c r="O1068" s="1">
        <v>2379.0</v>
      </c>
      <c r="P1068" s="1">
        <v>2376.0</v>
      </c>
      <c r="Q1068" s="1">
        <v>41.0</v>
      </c>
      <c r="R1068" s="1">
        <v>2289.0</v>
      </c>
      <c r="S1068" s="1">
        <v>124.0</v>
      </c>
      <c r="T1068" s="1">
        <v>70.0</v>
      </c>
      <c r="U1068" s="1">
        <v>176.0</v>
      </c>
      <c r="V1068" s="1">
        <v>403.0</v>
      </c>
      <c r="W1068" s="1">
        <v>38662.0</v>
      </c>
      <c r="X1068" s="1">
        <v>5244.0</v>
      </c>
      <c r="Y1068" s="1">
        <v>95.0</v>
      </c>
      <c r="Z1068" s="1">
        <v>346.0</v>
      </c>
      <c r="AA1068" s="1">
        <v>506.0</v>
      </c>
      <c r="AB1068" s="1">
        <v>1210.0</v>
      </c>
      <c r="AC1068" s="1">
        <v>140.0</v>
      </c>
      <c r="AD1068" s="1">
        <v>732.0</v>
      </c>
      <c r="AE1068" s="1">
        <v>62.0</v>
      </c>
      <c r="AF1068" s="1">
        <v>398.0</v>
      </c>
      <c r="AG1068" s="1">
        <v>216.0</v>
      </c>
      <c r="AH1068" s="1">
        <v>184.0</v>
      </c>
      <c r="AI1068" s="1">
        <v>0.0</v>
      </c>
      <c r="AJ1068" s="1">
        <v>114.0</v>
      </c>
      <c r="AK1068" s="1">
        <v>21.0</v>
      </c>
      <c r="AL1068" s="1">
        <v>116.0</v>
      </c>
      <c r="AM1068" s="1">
        <v>30.0</v>
      </c>
      <c r="AN1068" s="1">
        <v>117.0</v>
      </c>
      <c r="AO1068" s="1">
        <v>0.0</v>
      </c>
      <c r="AP1068" s="1">
        <v>0.025337</v>
      </c>
      <c r="AQ1068" s="1">
        <v>0.014225</v>
      </c>
      <c r="AR1068" s="1">
        <v>0.058336</v>
      </c>
      <c r="AS1068" s="1">
        <v>0.133427</v>
      </c>
      <c r="AT1068" s="1">
        <v>38662.0</v>
      </c>
      <c r="AU1068" s="1">
        <v>5244.0</v>
      </c>
      <c r="AV1068" s="1">
        <v>0.028089</v>
      </c>
      <c r="AW1068" s="1">
        <v>0.102286</v>
      </c>
      <c r="AX1068" s="1">
        <v>0.095706</v>
      </c>
      <c r="AY1068" s="1">
        <v>0.228863</v>
      </c>
      <c r="AZ1068" s="1">
        <v>0.06116207</v>
      </c>
      <c r="BA1068" s="1">
        <v>0.138452</v>
      </c>
      <c r="BB1068" s="1">
        <v>0.013469</v>
      </c>
      <c r="BC1068" s="1">
        <v>0.086461</v>
      </c>
      <c r="BD1068" s="1">
        <v>0.090909</v>
      </c>
      <c r="BE1068" s="1">
        <v>0.077425</v>
      </c>
      <c r="BF1068" s="1">
        <v>0.0</v>
      </c>
      <c r="BG1068" s="1">
        <v>0.047979</v>
      </c>
      <c r="BH1068" s="1">
        <v>0.009726</v>
      </c>
      <c r="BI1068" s="1">
        <v>0.053725</v>
      </c>
      <c r="BJ1068" s="1">
        <v>0.013895</v>
      </c>
      <c r="BK1068" s="1">
        <v>0.054185</v>
      </c>
      <c r="BL1068" s="1">
        <v>0.0</v>
      </c>
      <c r="BM1068" s="1">
        <v>0.073</v>
      </c>
      <c r="BN1068" s="1">
        <v>0.396</v>
      </c>
      <c r="BO1068" s="1">
        <v>0.0794</v>
      </c>
      <c r="BP1068" s="1">
        <v>0.053</v>
      </c>
      <c r="BQ1068" s="1">
        <v>0.6014</v>
      </c>
      <c r="BR1068" s="1">
        <v>0.096</v>
      </c>
      <c r="BS1068" s="1">
        <v>0.184</v>
      </c>
      <c r="BT1068" s="1">
        <v>0.371</v>
      </c>
      <c r="BU1068" s="1">
        <v>0.139</v>
      </c>
      <c r="BV1068" s="1">
        <v>0.694</v>
      </c>
      <c r="BW1068" s="1">
        <v>0.056</v>
      </c>
      <c r="BX1068" s="1">
        <v>0.587</v>
      </c>
      <c r="BY1068" s="1">
        <v>0.791</v>
      </c>
      <c r="BZ1068" s="1">
        <v>1.378</v>
      </c>
      <c r="CA1068" s="1">
        <v>0.756</v>
      </c>
      <c r="CB1068" s="1">
        <v>0.75</v>
      </c>
      <c r="CC1068" s="1">
        <v>0.0</v>
      </c>
      <c r="CD1068" s="1">
        <v>0.469</v>
      </c>
      <c r="CE1068" s="1">
        <v>0.126</v>
      </c>
      <c r="CF1068" s="1">
        <v>0.0</v>
      </c>
      <c r="CG1068" s="1">
        <v>1.345</v>
      </c>
      <c r="CH1068" s="1">
        <v>0.14</v>
      </c>
      <c r="CI1068" s="1">
        <v>4.0184</v>
      </c>
      <c r="CJ1068" s="1">
        <v>0.0881</v>
      </c>
      <c r="CK1068" s="1">
        <v>0.0</v>
      </c>
      <c r="CL1068" s="1">
        <v>0.0</v>
      </c>
      <c r="CM1068" s="1">
        <v>0.0</v>
      </c>
      <c r="CN1068" s="1">
        <v>0.0</v>
      </c>
      <c r="CO1068" s="1">
        <v>0.0</v>
      </c>
      <c r="CP1068" s="1">
        <v>0.0</v>
      </c>
      <c r="CQ1068" s="1">
        <v>0.0</v>
      </c>
      <c r="CR1068" s="1">
        <v>0.0</v>
      </c>
      <c r="CS1068" s="1">
        <v>0.0</v>
      </c>
      <c r="CT1068" s="1">
        <v>0.0</v>
      </c>
      <c r="CU1068" s="1">
        <v>0.0</v>
      </c>
      <c r="CV1068" s="1">
        <v>0.0</v>
      </c>
      <c r="CW1068" s="1">
        <v>0.0</v>
      </c>
      <c r="CX1068" s="1">
        <v>0.0</v>
      </c>
      <c r="CY1068" s="1">
        <v>0.0</v>
      </c>
      <c r="CZ1068" s="1">
        <v>0.0</v>
      </c>
      <c r="DA1068" s="1">
        <v>0.0</v>
      </c>
      <c r="DB1068" s="1">
        <v>0.0</v>
      </c>
      <c r="DC1068" s="1">
        <v>0.0</v>
      </c>
      <c r="DD1068" s="1" t="s">
        <v>4809</v>
      </c>
      <c r="DE1068" s="1">
        <v>3.70059709088048E-4</v>
      </c>
      <c r="DF1068" s="2" t="s">
        <v>4810</v>
      </c>
    </row>
    <row r="1069" ht="15.75" customHeight="1">
      <c r="A1069" s="1" t="s">
        <v>4811</v>
      </c>
      <c r="B1069" s="1">
        <v>29.0</v>
      </c>
      <c r="C1069" s="1">
        <v>189.0</v>
      </c>
      <c r="D1069" s="1">
        <v>217943.0</v>
      </c>
      <c r="E1069" s="1">
        <v>1.178</v>
      </c>
      <c r="F1069" s="1">
        <v>29189.0</v>
      </c>
      <c r="G1069" s="1">
        <v>2.9189217943E10</v>
      </c>
      <c r="H1069" s="1" t="s">
        <v>112</v>
      </c>
      <c r="I1069" s="1" t="s">
        <v>113</v>
      </c>
      <c r="J1069" s="1" t="s">
        <v>4566</v>
      </c>
      <c r="K1069" s="1" t="s">
        <v>4812</v>
      </c>
      <c r="L1069" s="1">
        <v>3203.0</v>
      </c>
      <c r="M1069" s="1">
        <v>3704.0</v>
      </c>
      <c r="N1069" s="1">
        <v>279.0</v>
      </c>
      <c r="O1069" s="1">
        <v>1214.0</v>
      </c>
      <c r="P1069" s="1">
        <v>1287.0</v>
      </c>
      <c r="Q1069" s="1">
        <v>76.0</v>
      </c>
      <c r="R1069" s="1">
        <v>1180.0</v>
      </c>
      <c r="S1069" s="1">
        <v>31.0</v>
      </c>
      <c r="T1069" s="1">
        <v>120.0</v>
      </c>
      <c r="U1069" s="1">
        <v>101.0</v>
      </c>
      <c r="V1069" s="1">
        <v>461.0</v>
      </c>
      <c r="W1069" s="1">
        <v>28309.0</v>
      </c>
      <c r="X1069" s="1">
        <v>2106.0</v>
      </c>
      <c r="Y1069" s="1">
        <v>156.0</v>
      </c>
      <c r="Z1069" s="1">
        <v>335.0</v>
      </c>
      <c r="AA1069" s="1">
        <v>332.0</v>
      </c>
      <c r="AB1069" s="1">
        <v>853.0</v>
      </c>
      <c r="AC1069" s="1">
        <v>100.0</v>
      </c>
      <c r="AD1069" s="1">
        <v>470.0</v>
      </c>
      <c r="AE1069" s="1">
        <v>81.0</v>
      </c>
      <c r="AF1069" s="1">
        <v>415.0</v>
      </c>
      <c r="AG1069" s="1">
        <v>54.0</v>
      </c>
      <c r="AH1069" s="1">
        <v>170.0</v>
      </c>
      <c r="AI1069" s="1">
        <v>0.0</v>
      </c>
      <c r="AJ1069" s="1">
        <v>114.0</v>
      </c>
      <c r="AK1069" s="1">
        <v>0.0</v>
      </c>
      <c r="AL1069" s="1">
        <v>161.0</v>
      </c>
      <c r="AM1069" s="1">
        <v>0.0</v>
      </c>
      <c r="AN1069" s="1">
        <v>161.0</v>
      </c>
      <c r="AO1069" s="1">
        <v>15.0</v>
      </c>
      <c r="AP1069" s="1">
        <v>0.008369</v>
      </c>
      <c r="AQ1069" s="1">
        <v>0.032391</v>
      </c>
      <c r="AR1069" s="1">
        <v>0.04798</v>
      </c>
      <c r="AS1069" s="1">
        <v>0.218891</v>
      </c>
      <c r="AT1069" s="1">
        <v>28309.0</v>
      </c>
      <c r="AU1069" s="1">
        <v>2106.0</v>
      </c>
      <c r="AV1069" s="1">
        <v>0.062077</v>
      </c>
      <c r="AW1069" s="1">
        <v>0.133219</v>
      </c>
      <c r="AX1069" s="1">
        <v>0.103652</v>
      </c>
      <c r="AY1069" s="1">
        <v>0.266312</v>
      </c>
      <c r="AZ1069" s="1">
        <v>0.08474576</v>
      </c>
      <c r="BA1069" s="1">
        <v>0.146737</v>
      </c>
      <c r="BB1069" s="1">
        <v>0.023336</v>
      </c>
      <c r="BC1069" s="1">
        <v>0.119548</v>
      </c>
      <c r="BD1069" s="1">
        <v>0.041958</v>
      </c>
      <c r="BE1069" s="1">
        <v>0.132066</v>
      </c>
      <c r="BF1069" s="1">
        <v>0.0</v>
      </c>
      <c r="BG1069" s="1">
        <v>0.088578</v>
      </c>
      <c r="BH1069" s="1">
        <v>0.0</v>
      </c>
      <c r="BI1069" s="1">
        <v>0.125097</v>
      </c>
      <c r="BJ1069" s="1">
        <v>0.0</v>
      </c>
      <c r="BK1069" s="1">
        <v>0.125097</v>
      </c>
      <c r="BL1069" s="1">
        <v>0.004683</v>
      </c>
      <c r="BM1069" s="1">
        <v>0.017</v>
      </c>
      <c r="BN1069" s="1">
        <v>0.274</v>
      </c>
      <c r="BO1069" s="1">
        <v>0.2404</v>
      </c>
      <c r="BP1069" s="1">
        <v>0.174</v>
      </c>
      <c r="BQ1069" s="1">
        <v>0.7054</v>
      </c>
      <c r="BR1069" s="1">
        <v>0.1264</v>
      </c>
      <c r="BS1069" s="1">
        <v>0.233</v>
      </c>
      <c r="BT1069" s="1">
        <v>0.762</v>
      </c>
      <c r="BU1069" s="1">
        <v>0.356</v>
      </c>
      <c r="BV1069" s="1">
        <v>1.351</v>
      </c>
      <c r="BW1069" s="1">
        <v>0.343</v>
      </c>
      <c r="BX1069" s="1">
        <v>0.616</v>
      </c>
      <c r="BY1069" s="1">
        <v>0.876</v>
      </c>
      <c r="BZ1069" s="1">
        <v>1.492</v>
      </c>
      <c r="CA1069" s="1">
        <v>0.818</v>
      </c>
      <c r="CB1069" s="1">
        <v>0.62</v>
      </c>
      <c r="CC1069" s="1">
        <v>0.0</v>
      </c>
      <c r="CD1069" s="1">
        <v>0.0</v>
      </c>
      <c r="CE1069" s="1">
        <v>0.0</v>
      </c>
      <c r="CF1069" s="1">
        <v>0.503</v>
      </c>
      <c r="CG1069" s="1">
        <v>1.123</v>
      </c>
      <c r="CH1069" s="1">
        <v>0.097</v>
      </c>
      <c r="CI1069" s="1">
        <v>4.6714</v>
      </c>
      <c r="CJ1069" s="1">
        <v>0.1552</v>
      </c>
      <c r="CK1069" s="1">
        <v>0.0</v>
      </c>
      <c r="CL1069" s="1">
        <v>0.0</v>
      </c>
      <c r="CM1069" s="1">
        <v>0.0</v>
      </c>
      <c r="CN1069" s="1">
        <v>0.0</v>
      </c>
      <c r="CO1069" s="1">
        <v>0.0</v>
      </c>
      <c r="CP1069" s="1">
        <v>0.0</v>
      </c>
      <c r="CQ1069" s="1">
        <v>0.0</v>
      </c>
      <c r="CR1069" s="1">
        <v>0.0</v>
      </c>
      <c r="CS1069" s="1">
        <v>0.0</v>
      </c>
      <c r="CT1069" s="1">
        <v>0.0</v>
      </c>
      <c r="CU1069" s="1">
        <v>0.0</v>
      </c>
      <c r="CV1069" s="1">
        <v>0.0</v>
      </c>
      <c r="CW1069" s="1">
        <v>0.0</v>
      </c>
      <c r="CX1069" s="1">
        <v>0.0</v>
      </c>
      <c r="CY1069" s="1">
        <v>0.0</v>
      </c>
      <c r="CZ1069" s="1">
        <v>0.0</v>
      </c>
      <c r="DA1069" s="1">
        <v>0.0</v>
      </c>
      <c r="DB1069" s="1">
        <v>0.0</v>
      </c>
      <c r="DC1069" s="1">
        <v>0.0</v>
      </c>
      <c r="DD1069" s="1" t="s">
        <v>4813</v>
      </c>
      <c r="DE1069" s="1">
        <v>3.13916008126489E-4</v>
      </c>
      <c r="DF1069" s="1">
        <v>0.0870240580590971</v>
      </c>
    </row>
    <row r="1070" ht="15.75" customHeight="1">
      <c r="A1070" s="1" t="s">
        <v>4814</v>
      </c>
      <c r="B1070" s="1">
        <v>29.0</v>
      </c>
      <c r="C1070" s="1">
        <v>189.0</v>
      </c>
      <c r="D1070" s="1">
        <v>217944.0</v>
      </c>
      <c r="E1070" s="1">
        <v>1.522</v>
      </c>
      <c r="F1070" s="1">
        <v>29189.0</v>
      </c>
      <c r="G1070" s="1">
        <v>2.9189217944E10</v>
      </c>
      <c r="H1070" s="1" t="s">
        <v>112</v>
      </c>
      <c r="I1070" s="1" t="s">
        <v>113</v>
      </c>
      <c r="J1070" s="1" t="s">
        <v>4566</v>
      </c>
      <c r="K1070" s="1" t="s">
        <v>4815</v>
      </c>
      <c r="L1070" s="1">
        <v>5967.0</v>
      </c>
      <c r="M1070" s="1">
        <v>5920.0</v>
      </c>
      <c r="N1070" s="1">
        <v>229.0</v>
      </c>
      <c r="O1070" s="1">
        <v>2105.0</v>
      </c>
      <c r="P1070" s="1">
        <v>2083.0</v>
      </c>
      <c r="Q1070" s="1">
        <v>72.0</v>
      </c>
      <c r="R1070" s="1">
        <v>2068.0</v>
      </c>
      <c r="S1070" s="1">
        <v>5.0</v>
      </c>
      <c r="T1070" s="1">
        <v>115.0</v>
      </c>
      <c r="U1070" s="1">
        <v>99.0</v>
      </c>
      <c r="V1070" s="1">
        <v>415.0</v>
      </c>
      <c r="W1070" s="1">
        <v>42591.0</v>
      </c>
      <c r="X1070" s="1">
        <v>3420.0</v>
      </c>
      <c r="Y1070" s="1">
        <v>47.0</v>
      </c>
      <c r="Z1070" s="1">
        <v>413.0</v>
      </c>
      <c r="AA1070" s="1">
        <v>480.0</v>
      </c>
      <c r="AB1070" s="1">
        <v>1853.0</v>
      </c>
      <c r="AC1070" s="1">
        <v>125.0</v>
      </c>
      <c r="AD1070" s="1">
        <v>804.0</v>
      </c>
      <c r="AE1070" s="1">
        <v>67.0</v>
      </c>
      <c r="AF1070" s="1">
        <v>399.0</v>
      </c>
      <c r="AG1070" s="1">
        <v>99.0</v>
      </c>
      <c r="AH1070" s="1">
        <v>181.0</v>
      </c>
      <c r="AI1070" s="1">
        <v>0.0</v>
      </c>
      <c r="AJ1070" s="1">
        <v>114.0</v>
      </c>
      <c r="AK1070" s="1">
        <v>12.0</v>
      </c>
      <c r="AL1070" s="1">
        <v>116.0</v>
      </c>
      <c r="AM1070" s="1">
        <v>12.0</v>
      </c>
      <c r="AN1070" s="1">
        <v>115.0</v>
      </c>
      <c r="AO1070" s="1">
        <v>0.0</v>
      </c>
      <c r="AP1070" s="1">
        <v>8.46E-4</v>
      </c>
      <c r="AQ1070" s="1">
        <v>0.019471</v>
      </c>
      <c r="AR1070" s="1">
        <v>0.031976</v>
      </c>
      <c r="AS1070" s="1">
        <v>0.134016</v>
      </c>
      <c r="AT1070" s="1">
        <v>42591.0</v>
      </c>
      <c r="AU1070" s="1">
        <v>3420.0</v>
      </c>
      <c r="AV1070" s="1">
        <v>0.012641</v>
      </c>
      <c r="AW1070" s="1">
        <v>0.111079</v>
      </c>
      <c r="AX1070" s="1">
        <v>0.080442</v>
      </c>
      <c r="AY1070" s="1">
        <v>0.310541</v>
      </c>
      <c r="AZ1070" s="1">
        <v>0.06044487</v>
      </c>
      <c r="BA1070" s="1">
        <v>0.134741</v>
      </c>
      <c r="BB1070" s="1">
        <v>0.012076</v>
      </c>
      <c r="BC1070" s="1">
        <v>0.071915</v>
      </c>
      <c r="BD1070" s="1">
        <v>0.047527</v>
      </c>
      <c r="BE1070" s="1">
        <v>0.086878</v>
      </c>
      <c r="BF1070" s="1">
        <v>0.0</v>
      </c>
      <c r="BG1070" s="1">
        <v>0.054728</v>
      </c>
      <c r="BH1070" s="1">
        <v>0.005967</v>
      </c>
      <c r="BI1070" s="1">
        <v>0.057682</v>
      </c>
      <c r="BJ1070" s="1">
        <v>0.005967</v>
      </c>
      <c r="BK1070" s="1">
        <v>0.057184</v>
      </c>
      <c r="BL1070" s="1">
        <v>0.0</v>
      </c>
      <c r="BM1070" s="1">
        <v>0.007</v>
      </c>
      <c r="BN1070" s="1">
        <v>0.103</v>
      </c>
      <c r="BO1070" s="1">
        <v>0.0505</v>
      </c>
      <c r="BP1070" s="1">
        <v>0.022</v>
      </c>
      <c r="BQ1070" s="1">
        <v>0.1825</v>
      </c>
      <c r="BR1070" s="1">
        <v>0.0058</v>
      </c>
      <c r="BS1070" s="1">
        <v>0.117</v>
      </c>
      <c r="BT1070" s="1">
        <v>0.95</v>
      </c>
      <c r="BU1070" s="1">
        <v>0.135</v>
      </c>
      <c r="BV1070" s="1">
        <v>1.202</v>
      </c>
      <c r="BW1070" s="1">
        <v>0.23</v>
      </c>
      <c r="BX1070" s="1">
        <v>0.575</v>
      </c>
      <c r="BY1070" s="1">
        <v>0.773</v>
      </c>
      <c r="BZ1070" s="1">
        <v>1.348</v>
      </c>
      <c r="CA1070" s="1">
        <v>0.735</v>
      </c>
      <c r="CB1070" s="1">
        <v>0.647</v>
      </c>
      <c r="CC1070" s="1">
        <v>0.0</v>
      </c>
      <c r="CD1070" s="1">
        <v>0.356</v>
      </c>
      <c r="CE1070" s="1">
        <v>0.054</v>
      </c>
      <c r="CF1070" s="1">
        <v>0.0</v>
      </c>
      <c r="CG1070" s="1">
        <v>1.057</v>
      </c>
      <c r="CH1070" s="1">
        <v>0.087</v>
      </c>
      <c r="CI1070" s="1">
        <v>3.7895</v>
      </c>
      <c r="CJ1070" s="1">
        <v>0.0671</v>
      </c>
      <c r="CK1070" s="1">
        <v>0.0</v>
      </c>
      <c r="CL1070" s="1">
        <v>0.0</v>
      </c>
      <c r="CM1070" s="1">
        <v>0.0</v>
      </c>
      <c r="CN1070" s="1">
        <v>0.0</v>
      </c>
      <c r="CO1070" s="1">
        <v>0.0</v>
      </c>
      <c r="CP1070" s="1">
        <v>0.0</v>
      </c>
      <c r="CQ1070" s="1">
        <v>1.0</v>
      </c>
      <c r="CR1070" s="1">
        <v>0.0</v>
      </c>
      <c r="CS1070" s="1">
        <v>1.0</v>
      </c>
      <c r="CT1070" s="1">
        <v>0.0</v>
      </c>
      <c r="CU1070" s="1">
        <v>0.0</v>
      </c>
      <c r="CV1070" s="1">
        <v>0.0</v>
      </c>
      <c r="CW1070" s="1">
        <v>0.0</v>
      </c>
      <c r="CX1070" s="1">
        <v>0.0</v>
      </c>
      <c r="CY1070" s="1">
        <v>0.0</v>
      </c>
      <c r="CZ1070" s="1">
        <v>0.0</v>
      </c>
      <c r="DA1070" s="1">
        <v>0.0</v>
      </c>
      <c r="DB1070" s="1">
        <v>0.0</v>
      </c>
      <c r="DC1070" s="1">
        <v>1.0</v>
      </c>
      <c r="DD1070" s="1" t="s">
        <v>4816</v>
      </c>
      <c r="DE1070" s="1">
        <v>4.07149842864626E-4</v>
      </c>
      <c r="DF1070" s="1">
        <v>0.0943982057228729</v>
      </c>
    </row>
    <row r="1071" ht="15.75" customHeight="1">
      <c r="A1071" s="1" t="s">
        <v>4817</v>
      </c>
      <c r="B1071" s="1">
        <v>29.0</v>
      </c>
      <c r="C1071" s="1">
        <v>189.0</v>
      </c>
      <c r="D1071" s="1">
        <v>218003.0</v>
      </c>
      <c r="E1071" s="1">
        <v>2.551</v>
      </c>
      <c r="F1071" s="1">
        <v>29189.0</v>
      </c>
      <c r="G1071" s="1">
        <v>2.9189218003E10</v>
      </c>
      <c r="H1071" s="1" t="s">
        <v>112</v>
      </c>
      <c r="I1071" s="1" t="s">
        <v>113</v>
      </c>
      <c r="J1071" s="1" t="s">
        <v>4566</v>
      </c>
      <c r="K1071" s="1" t="s">
        <v>4818</v>
      </c>
      <c r="L1071" s="1">
        <v>7204.0</v>
      </c>
      <c r="M1071" s="1">
        <v>7212.0</v>
      </c>
      <c r="N1071" s="1">
        <v>334.0</v>
      </c>
      <c r="O1071" s="1">
        <v>3030.0</v>
      </c>
      <c r="P1071" s="1">
        <v>3030.0</v>
      </c>
      <c r="Q1071" s="1">
        <v>103.0</v>
      </c>
      <c r="R1071" s="1">
        <v>2889.0</v>
      </c>
      <c r="S1071" s="1">
        <v>271.0</v>
      </c>
      <c r="T1071" s="1">
        <v>146.0</v>
      </c>
      <c r="U1071" s="1">
        <v>110.0</v>
      </c>
      <c r="V1071" s="1">
        <v>417.0</v>
      </c>
      <c r="W1071" s="1">
        <v>41594.0</v>
      </c>
      <c r="X1071" s="1">
        <v>3421.0</v>
      </c>
      <c r="Y1071" s="1">
        <v>211.0</v>
      </c>
      <c r="Z1071" s="1">
        <v>384.0</v>
      </c>
      <c r="AA1071" s="1">
        <v>799.0</v>
      </c>
      <c r="AB1071" s="1">
        <v>1747.0</v>
      </c>
      <c r="AC1071" s="1">
        <v>188.0</v>
      </c>
      <c r="AD1071" s="1">
        <v>836.0</v>
      </c>
      <c r="AE1071" s="1">
        <v>248.0</v>
      </c>
      <c r="AF1071" s="1">
        <v>423.0</v>
      </c>
      <c r="AG1071" s="1">
        <v>473.0</v>
      </c>
      <c r="AH1071" s="1">
        <v>169.0</v>
      </c>
      <c r="AI1071" s="1">
        <v>0.0</v>
      </c>
      <c r="AJ1071" s="1">
        <v>114.0</v>
      </c>
      <c r="AK1071" s="1">
        <v>22.0</v>
      </c>
      <c r="AL1071" s="1">
        <v>117.0</v>
      </c>
      <c r="AM1071" s="1">
        <v>78.0</v>
      </c>
      <c r="AN1071" s="1">
        <v>73.0</v>
      </c>
      <c r="AO1071" s="1">
        <v>20.0</v>
      </c>
      <c r="AP1071" s="1">
        <v>0.037576</v>
      </c>
      <c r="AQ1071" s="1">
        <v>0.020169</v>
      </c>
      <c r="AR1071" s="1">
        <v>0.026881</v>
      </c>
      <c r="AS1071" s="1">
        <v>0.10187</v>
      </c>
      <c r="AT1071" s="1">
        <v>41594.0</v>
      </c>
      <c r="AU1071" s="1">
        <v>3421.0</v>
      </c>
      <c r="AV1071" s="1">
        <v>0.04254</v>
      </c>
      <c r="AW1071" s="1">
        <v>0.077382</v>
      </c>
      <c r="AX1071" s="1">
        <v>0.11091</v>
      </c>
      <c r="AY1071" s="1">
        <v>0.242504</v>
      </c>
      <c r="AZ1071" s="1">
        <v>0.06507442</v>
      </c>
      <c r="BA1071" s="1">
        <v>0.116046</v>
      </c>
      <c r="BB1071" s="1">
        <v>0.036454</v>
      </c>
      <c r="BC1071" s="1">
        <v>0.062151</v>
      </c>
      <c r="BD1071" s="1">
        <v>0.156105</v>
      </c>
      <c r="BE1071" s="1">
        <v>0.055522</v>
      </c>
      <c r="BF1071" s="1">
        <v>0.0</v>
      </c>
      <c r="BG1071" s="1">
        <v>0.037623</v>
      </c>
      <c r="BH1071" s="1">
        <v>0.007617</v>
      </c>
      <c r="BI1071" s="1">
        <v>0.04051</v>
      </c>
      <c r="BJ1071" s="1">
        <v>0.027008</v>
      </c>
      <c r="BK1071" s="1">
        <v>0.025247</v>
      </c>
      <c r="BL1071" s="1">
        <v>0.002776</v>
      </c>
      <c r="BM1071" s="1">
        <v>0.115</v>
      </c>
      <c r="BN1071" s="1">
        <v>0.061</v>
      </c>
      <c r="BO1071" s="1">
        <v>0.0549</v>
      </c>
      <c r="BP1071" s="1">
        <v>0.105</v>
      </c>
      <c r="BQ1071" s="1">
        <v>0.3359</v>
      </c>
      <c r="BR1071" s="1">
        <v>0.0267</v>
      </c>
      <c r="BS1071" s="1">
        <v>0.279</v>
      </c>
      <c r="BT1071" s="1">
        <v>0.52</v>
      </c>
      <c r="BU1071" s="1">
        <v>0.172</v>
      </c>
      <c r="BV1071" s="1">
        <v>0.971</v>
      </c>
      <c r="BW1071" s="1">
        <v>0.106</v>
      </c>
      <c r="BX1071" s="1">
        <v>0.528</v>
      </c>
      <c r="BY1071" s="1">
        <v>0.939</v>
      </c>
      <c r="BZ1071" s="1">
        <v>1.467</v>
      </c>
      <c r="CA1071" s="1">
        <v>0.802</v>
      </c>
      <c r="CB1071" s="1">
        <v>0.848</v>
      </c>
      <c r="CC1071" s="1">
        <v>0.0</v>
      </c>
      <c r="CD1071" s="1">
        <v>0.416</v>
      </c>
      <c r="CE1071" s="1">
        <v>0.259</v>
      </c>
      <c r="CF1071" s="1">
        <v>0.47</v>
      </c>
      <c r="CG1071" s="1">
        <v>1.993</v>
      </c>
      <c r="CH1071" s="1">
        <v>0.346</v>
      </c>
      <c r="CI1071" s="1">
        <v>4.7669</v>
      </c>
      <c r="CJ1071" s="1">
        <v>0.1718</v>
      </c>
      <c r="CK1071" s="1">
        <v>0.0</v>
      </c>
      <c r="CL1071" s="1">
        <v>0.0</v>
      </c>
      <c r="CM1071" s="1">
        <v>0.0</v>
      </c>
      <c r="CN1071" s="1">
        <v>0.0</v>
      </c>
      <c r="CO1071" s="1">
        <v>0.0</v>
      </c>
      <c r="CP1071" s="1">
        <v>0.0</v>
      </c>
      <c r="CQ1071" s="1">
        <v>0.0</v>
      </c>
      <c r="CR1071" s="1">
        <v>0.0</v>
      </c>
      <c r="CS1071" s="1">
        <v>0.0</v>
      </c>
      <c r="CT1071" s="1">
        <v>0.0</v>
      </c>
      <c r="CU1071" s="1">
        <v>1.0</v>
      </c>
      <c r="CV1071" s="1">
        <v>1.0</v>
      </c>
      <c r="CW1071" s="1">
        <v>0.0</v>
      </c>
      <c r="CX1071" s="1">
        <v>0.0</v>
      </c>
      <c r="CY1071" s="1">
        <v>0.0</v>
      </c>
      <c r="CZ1071" s="1">
        <v>0.0</v>
      </c>
      <c r="DA1071" s="1">
        <v>0.0</v>
      </c>
      <c r="DB1071" s="1">
        <v>0.0</v>
      </c>
      <c r="DC1071" s="1">
        <v>1.0</v>
      </c>
      <c r="DD1071" s="1" t="s">
        <v>4819</v>
      </c>
      <c r="DE1071" s="1">
        <v>6.79421449399706E-4</v>
      </c>
      <c r="DF1071" s="2" t="s">
        <v>4820</v>
      </c>
    </row>
    <row r="1072" ht="15.75" customHeight="1">
      <c r="A1072" s="1" t="s">
        <v>4821</v>
      </c>
      <c r="B1072" s="1">
        <v>29.0</v>
      </c>
      <c r="C1072" s="1">
        <v>189.0</v>
      </c>
      <c r="D1072" s="1">
        <v>218011.0</v>
      </c>
      <c r="E1072" s="1">
        <v>2.174</v>
      </c>
      <c r="F1072" s="1">
        <v>29189.0</v>
      </c>
      <c r="G1072" s="1">
        <v>2.9189218011E10</v>
      </c>
      <c r="H1072" s="1" t="s">
        <v>112</v>
      </c>
      <c r="I1072" s="1" t="s">
        <v>113</v>
      </c>
      <c r="J1072" s="1" t="s">
        <v>4566</v>
      </c>
      <c r="K1072" s="1" t="s">
        <v>4822</v>
      </c>
      <c r="L1072" s="1">
        <v>6930.0</v>
      </c>
      <c r="M1072" s="1">
        <v>6749.0</v>
      </c>
      <c r="N1072" s="1">
        <v>393.0</v>
      </c>
      <c r="O1072" s="1">
        <v>3034.0</v>
      </c>
      <c r="P1072" s="1">
        <v>2984.0</v>
      </c>
      <c r="Q1072" s="1">
        <v>74.0</v>
      </c>
      <c r="R1072" s="1">
        <v>2870.0</v>
      </c>
      <c r="S1072" s="1">
        <v>513.0</v>
      </c>
      <c r="T1072" s="1">
        <v>211.0</v>
      </c>
      <c r="U1072" s="1">
        <v>221.0</v>
      </c>
      <c r="V1072" s="1">
        <v>395.0</v>
      </c>
      <c r="W1072" s="1">
        <v>39195.0</v>
      </c>
      <c r="X1072" s="1">
        <v>5315.0</v>
      </c>
      <c r="Y1072" s="1">
        <v>107.0</v>
      </c>
      <c r="Z1072" s="1">
        <v>402.0</v>
      </c>
      <c r="AA1072" s="1">
        <v>676.0</v>
      </c>
      <c r="AB1072" s="1">
        <v>1581.0</v>
      </c>
      <c r="AC1072" s="1">
        <v>223.0</v>
      </c>
      <c r="AD1072" s="1">
        <v>1571.0</v>
      </c>
      <c r="AE1072" s="1">
        <v>128.0</v>
      </c>
      <c r="AF1072" s="1">
        <v>406.0</v>
      </c>
      <c r="AG1072" s="1">
        <v>516.0</v>
      </c>
      <c r="AH1072" s="1">
        <v>144.0</v>
      </c>
      <c r="AI1072" s="1">
        <v>0.0</v>
      </c>
      <c r="AJ1072" s="1">
        <v>114.0</v>
      </c>
      <c r="AK1072" s="1">
        <v>0.0</v>
      </c>
      <c r="AL1072" s="1">
        <v>161.0</v>
      </c>
      <c r="AM1072" s="1">
        <v>60.0</v>
      </c>
      <c r="AN1072" s="1">
        <v>124.0</v>
      </c>
      <c r="AO1072" s="1">
        <v>0.0</v>
      </c>
      <c r="AP1072" s="1">
        <v>0.076011</v>
      </c>
      <c r="AQ1072" s="1">
        <v>0.030948</v>
      </c>
      <c r="AR1072" s="1">
        <v>0.055963</v>
      </c>
      <c r="AS1072" s="1">
        <v>0.099812</v>
      </c>
      <c r="AT1072" s="1">
        <v>39195.0</v>
      </c>
      <c r="AU1072" s="1">
        <v>5315.0</v>
      </c>
      <c r="AV1072" s="1">
        <v>0.023958</v>
      </c>
      <c r="AW1072" s="1">
        <v>0.08999</v>
      </c>
      <c r="AX1072" s="1">
        <v>0.097546</v>
      </c>
      <c r="AY1072" s="1">
        <v>0.228138</v>
      </c>
      <c r="AZ1072" s="1">
        <v>0.07770034</v>
      </c>
      <c r="BA1072" s="1">
        <v>0.226695</v>
      </c>
      <c r="BB1072" s="1">
        <v>0.020502</v>
      </c>
      <c r="BC1072" s="1">
        <v>0.06502</v>
      </c>
      <c r="BD1072" s="1">
        <v>0.172922</v>
      </c>
      <c r="BE1072" s="1">
        <v>0.048066</v>
      </c>
      <c r="BF1072" s="1">
        <v>0.0</v>
      </c>
      <c r="BG1072" s="1">
        <v>0.038203</v>
      </c>
      <c r="BH1072" s="1">
        <v>0.0</v>
      </c>
      <c r="BI1072" s="1">
        <v>0.056117</v>
      </c>
      <c r="BJ1072" s="1">
        <v>0.020913</v>
      </c>
      <c r="BK1072" s="1">
        <v>0.043215</v>
      </c>
      <c r="BL1072" s="1">
        <v>0.0</v>
      </c>
      <c r="BM1072" s="1">
        <v>0.271</v>
      </c>
      <c r="BN1072" s="1">
        <v>0.364</v>
      </c>
      <c r="BO1072" s="1">
        <v>0.0715</v>
      </c>
      <c r="BP1072" s="1">
        <v>0.043</v>
      </c>
      <c r="BQ1072" s="1">
        <v>0.7495</v>
      </c>
      <c r="BR1072" s="1">
        <v>0.1408</v>
      </c>
      <c r="BS1072" s="1">
        <v>0.199</v>
      </c>
      <c r="BT1072" s="1">
        <v>0.368</v>
      </c>
      <c r="BU1072" s="1">
        <v>0.279</v>
      </c>
      <c r="BV1072" s="1">
        <v>0.846</v>
      </c>
      <c r="BW1072" s="1">
        <v>0.082</v>
      </c>
      <c r="BX1072" s="1">
        <v>0.74</v>
      </c>
      <c r="BY1072" s="1">
        <v>0.864</v>
      </c>
      <c r="BZ1072" s="1">
        <v>1.604</v>
      </c>
      <c r="CA1072" s="1">
        <v>0.874</v>
      </c>
      <c r="CB1072" s="1">
        <v>0.871</v>
      </c>
      <c r="CC1072" s="1">
        <v>0.0</v>
      </c>
      <c r="CD1072" s="1">
        <v>0.0</v>
      </c>
      <c r="CE1072" s="1">
        <v>0.192</v>
      </c>
      <c r="CF1072" s="1">
        <v>0.0</v>
      </c>
      <c r="CG1072" s="1">
        <v>1.063</v>
      </c>
      <c r="CH1072" s="1">
        <v>0.089</v>
      </c>
      <c r="CI1072" s="1">
        <v>4.2625</v>
      </c>
      <c r="CJ1072" s="1">
        <v>0.1119</v>
      </c>
      <c r="CK1072" s="1">
        <v>0.0</v>
      </c>
      <c r="CL1072" s="1">
        <v>0.0</v>
      </c>
      <c r="CM1072" s="1">
        <v>0.0</v>
      </c>
      <c r="CN1072" s="1">
        <v>0.0</v>
      </c>
      <c r="CO1072" s="1">
        <v>0.0</v>
      </c>
      <c r="CP1072" s="1">
        <v>0.0</v>
      </c>
      <c r="CQ1072" s="1">
        <v>0.0</v>
      </c>
      <c r="CR1072" s="1">
        <v>0.0</v>
      </c>
      <c r="CS1072" s="1">
        <v>0.0</v>
      </c>
      <c r="CT1072" s="1">
        <v>0.0</v>
      </c>
      <c r="CU1072" s="1">
        <v>0.0</v>
      </c>
      <c r="CV1072" s="1">
        <v>0.0</v>
      </c>
      <c r="CW1072" s="1">
        <v>0.0</v>
      </c>
      <c r="CX1072" s="1">
        <v>0.0</v>
      </c>
      <c r="CY1072" s="1">
        <v>0.0</v>
      </c>
      <c r="CZ1072" s="1">
        <v>0.0</v>
      </c>
      <c r="DA1072" s="1">
        <v>0.0</v>
      </c>
      <c r="DB1072" s="1">
        <v>0.0</v>
      </c>
      <c r="DC1072" s="1">
        <v>0.0</v>
      </c>
      <c r="DD1072" s="1" t="s">
        <v>4823</v>
      </c>
      <c r="DE1072" s="1">
        <v>5.82724309719885E-4</v>
      </c>
      <c r="DF1072" s="2" t="s">
        <v>4824</v>
      </c>
    </row>
    <row r="1073" ht="15.75" customHeight="1">
      <c r="A1073" s="1" t="s">
        <v>4825</v>
      </c>
      <c r="B1073" s="1">
        <v>29.0</v>
      </c>
      <c r="C1073" s="1">
        <v>189.0</v>
      </c>
      <c r="D1073" s="1">
        <v>218103.0</v>
      </c>
      <c r="E1073" s="1">
        <v>3.02</v>
      </c>
      <c r="F1073" s="1">
        <v>29189.0</v>
      </c>
      <c r="G1073" s="1">
        <v>2.9189218103E10</v>
      </c>
      <c r="H1073" s="1" t="s">
        <v>112</v>
      </c>
      <c r="I1073" s="1" t="s">
        <v>113</v>
      </c>
      <c r="J1073" s="1" t="s">
        <v>4566</v>
      </c>
      <c r="K1073" s="1" t="s">
        <v>4826</v>
      </c>
      <c r="L1073" s="1">
        <v>5493.0</v>
      </c>
      <c r="M1073" s="1">
        <v>5109.0</v>
      </c>
      <c r="N1073" s="1">
        <v>352.0</v>
      </c>
      <c r="O1073" s="1">
        <v>3028.0</v>
      </c>
      <c r="P1073" s="1">
        <v>3040.0</v>
      </c>
      <c r="Q1073" s="1">
        <v>118.0</v>
      </c>
      <c r="R1073" s="1">
        <v>2702.0</v>
      </c>
      <c r="S1073" s="1">
        <v>871.0</v>
      </c>
      <c r="T1073" s="1">
        <v>402.0</v>
      </c>
      <c r="U1073" s="1">
        <v>225.0</v>
      </c>
      <c r="V1073" s="1">
        <v>429.0</v>
      </c>
      <c r="W1073" s="1">
        <v>32731.0</v>
      </c>
      <c r="X1073" s="1">
        <v>5370.0</v>
      </c>
      <c r="Y1073" s="1">
        <v>305.0</v>
      </c>
      <c r="Z1073" s="1">
        <v>226.0</v>
      </c>
      <c r="AA1073" s="1">
        <v>857.0</v>
      </c>
      <c r="AB1073" s="1">
        <v>932.0</v>
      </c>
      <c r="AC1073" s="1">
        <v>218.0</v>
      </c>
      <c r="AD1073" s="1">
        <v>814.0</v>
      </c>
      <c r="AE1073" s="1">
        <v>121.0</v>
      </c>
      <c r="AF1073" s="1">
        <v>430.0</v>
      </c>
      <c r="AG1073" s="1">
        <v>1034.0</v>
      </c>
      <c r="AH1073" s="1">
        <v>228.0</v>
      </c>
      <c r="AI1073" s="1">
        <v>0.0</v>
      </c>
      <c r="AJ1073" s="1">
        <v>114.0</v>
      </c>
      <c r="AK1073" s="1">
        <v>0.0</v>
      </c>
      <c r="AL1073" s="1">
        <v>161.0</v>
      </c>
      <c r="AM1073" s="1">
        <v>165.0</v>
      </c>
      <c r="AN1073" s="1">
        <v>144.0</v>
      </c>
      <c r="AO1073" s="1">
        <v>202.0</v>
      </c>
      <c r="AP1073" s="1">
        <v>0.175075</v>
      </c>
      <c r="AQ1073" s="1">
        <v>0.079995</v>
      </c>
      <c r="AR1073" s="1">
        <v>0.07411</v>
      </c>
      <c r="AS1073" s="1">
        <v>0.140945</v>
      </c>
      <c r="AT1073" s="1">
        <v>32731.0</v>
      </c>
      <c r="AU1073" s="1">
        <v>5370.0</v>
      </c>
      <c r="AV1073" s="1">
        <v>0.080858</v>
      </c>
      <c r="AW1073" s="1">
        <v>0.059609</v>
      </c>
      <c r="AX1073" s="1">
        <v>0.156016</v>
      </c>
      <c r="AY1073" s="1">
        <v>0.16967</v>
      </c>
      <c r="AZ1073" s="1">
        <v>0.08068097</v>
      </c>
      <c r="BA1073" s="1">
        <v>0.148188</v>
      </c>
      <c r="BB1073" s="1">
        <v>0.025313</v>
      </c>
      <c r="BC1073" s="1">
        <v>0.089939</v>
      </c>
      <c r="BD1073" s="1">
        <v>0.340131</v>
      </c>
      <c r="BE1073" s="1">
        <v>0.073828</v>
      </c>
      <c r="BF1073" s="1">
        <v>0.0</v>
      </c>
      <c r="BG1073" s="1">
        <v>0.0375</v>
      </c>
      <c r="BH1073" s="1">
        <v>0.0</v>
      </c>
      <c r="BI1073" s="1">
        <v>0.062743</v>
      </c>
      <c r="BJ1073" s="1">
        <v>0.064302</v>
      </c>
      <c r="BK1073" s="1">
        <v>0.055913</v>
      </c>
      <c r="BL1073" s="1">
        <v>0.036774</v>
      </c>
      <c r="BM1073" s="1">
        <v>0.664</v>
      </c>
      <c r="BN1073" s="1">
        <v>0.547</v>
      </c>
      <c r="BO1073" s="1">
        <v>0.1437</v>
      </c>
      <c r="BP1073" s="1">
        <v>0.251</v>
      </c>
      <c r="BQ1073" s="1">
        <v>1.6057</v>
      </c>
      <c r="BR1073" s="1">
        <v>0.3755</v>
      </c>
      <c r="BS1073" s="1">
        <v>0.633</v>
      </c>
      <c r="BT1073" s="1">
        <v>0.1</v>
      </c>
      <c r="BU1073" s="1">
        <v>0.312</v>
      </c>
      <c r="BV1073" s="1">
        <v>1.045</v>
      </c>
      <c r="BW1073" s="1">
        <v>0.13</v>
      </c>
      <c r="BX1073" s="1">
        <v>0.62</v>
      </c>
      <c r="BY1073" s="1">
        <v>0.894</v>
      </c>
      <c r="BZ1073" s="1">
        <v>1.514</v>
      </c>
      <c r="CA1073" s="1">
        <v>0.834</v>
      </c>
      <c r="CB1073" s="1">
        <v>0.956</v>
      </c>
      <c r="CC1073" s="1">
        <v>0.0</v>
      </c>
      <c r="CD1073" s="1">
        <v>0.0</v>
      </c>
      <c r="CE1073" s="1">
        <v>0.593</v>
      </c>
      <c r="CF1073" s="1">
        <v>0.853</v>
      </c>
      <c r="CG1073" s="1">
        <v>2.402</v>
      </c>
      <c r="CH1073" s="1">
        <v>0.518</v>
      </c>
      <c r="CI1073" s="1">
        <v>6.5667</v>
      </c>
      <c r="CJ1073" s="1">
        <v>0.4686</v>
      </c>
      <c r="CK1073" s="1">
        <v>0.0</v>
      </c>
      <c r="CL1073" s="1">
        <v>0.0</v>
      </c>
      <c r="CM1073" s="1">
        <v>0.0</v>
      </c>
      <c r="CN1073" s="1">
        <v>0.0</v>
      </c>
      <c r="CO1073" s="1">
        <v>0.0</v>
      </c>
      <c r="CP1073" s="1">
        <v>0.0</v>
      </c>
      <c r="CQ1073" s="1">
        <v>0.0</v>
      </c>
      <c r="CR1073" s="1">
        <v>0.0</v>
      </c>
      <c r="CS1073" s="1">
        <v>0.0</v>
      </c>
      <c r="CT1073" s="1">
        <v>0.0</v>
      </c>
      <c r="CU1073" s="1">
        <v>0.0</v>
      </c>
      <c r="CV1073" s="1">
        <v>0.0</v>
      </c>
      <c r="CW1073" s="1">
        <v>1.0</v>
      </c>
      <c r="CX1073" s="1">
        <v>0.0</v>
      </c>
      <c r="CY1073" s="1">
        <v>0.0</v>
      </c>
      <c r="CZ1073" s="1">
        <v>0.0</v>
      </c>
      <c r="DA1073" s="1">
        <v>0.0</v>
      </c>
      <c r="DB1073" s="1">
        <v>1.0</v>
      </c>
      <c r="DC1073" s="1">
        <v>1.0</v>
      </c>
      <c r="DD1073" s="1" t="s">
        <v>4827</v>
      </c>
      <c r="DE1073" s="1">
        <v>8.56531333412581E-4</v>
      </c>
      <c r="DF1073" s="2" t="s">
        <v>4828</v>
      </c>
    </row>
    <row r="1074" ht="15.75" customHeight="1">
      <c r="A1074" s="1" t="s">
        <v>4829</v>
      </c>
      <c r="B1074" s="1">
        <v>29.0</v>
      </c>
      <c r="C1074" s="1">
        <v>189.0</v>
      </c>
      <c r="D1074" s="1">
        <v>218300.0</v>
      </c>
      <c r="E1074" s="1">
        <v>1.151</v>
      </c>
      <c r="F1074" s="1">
        <v>29189.0</v>
      </c>
      <c r="G1074" s="1">
        <v>2.91892183E10</v>
      </c>
      <c r="H1074" s="1" t="s">
        <v>112</v>
      </c>
      <c r="I1074" s="1" t="s">
        <v>113</v>
      </c>
      <c r="J1074" s="1" t="s">
        <v>4566</v>
      </c>
      <c r="K1074" s="1" t="s">
        <v>4830</v>
      </c>
      <c r="L1074" s="1">
        <v>4146.0</v>
      </c>
      <c r="M1074" s="1">
        <v>3901.0</v>
      </c>
      <c r="N1074" s="1">
        <v>277.0</v>
      </c>
      <c r="O1074" s="1">
        <v>2138.0</v>
      </c>
      <c r="P1074" s="1">
        <v>2131.0</v>
      </c>
      <c r="Q1074" s="1">
        <v>101.0</v>
      </c>
      <c r="R1074" s="1">
        <v>1976.0</v>
      </c>
      <c r="S1074" s="1">
        <v>257.0</v>
      </c>
      <c r="T1074" s="1">
        <v>193.0</v>
      </c>
      <c r="U1074" s="1">
        <v>161.0</v>
      </c>
      <c r="V1074" s="1">
        <v>437.0</v>
      </c>
      <c r="W1074" s="1">
        <v>32108.0</v>
      </c>
      <c r="X1074" s="1">
        <v>3395.0</v>
      </c>
      <c r="Y1074" s="1">
        <v>217.0</v>
      </c>
      <c r="Z1074" s="1">
        <v>317.0</v>
      </c>
      <c r="AA1074" s="1">
        <v>840.0</v>
      </c>
      <c r="AB1074" s="1">
        <v>839.0</v>
      </c>
      <c r="AC1074" s="1">
        <v>169.0</v>
      </c>
      <c r="AD1074" s="1">
        <v>549.0</v>
      </c>
      <c r="AE1074" s="1">
        <v>0.0</v>
      </c>
      <c r="AF1074" s="1">
        <v>456.0</v>
      </c>
      <c r="AG1074" s="1">
        <v>329.0</v>
      </c>
      <c r="AH1074" s="1">
        <v>112.0</v>
      </c>
      <c r="AI1074" s="1">
        <v>9.0</v>
      </c>
      <c r="AJ1074" s="1">
        <v>17.0</v>
      </c>
      <c r="AK1074" s="1">
        <v>4.0</v>
      </c>
      <c r="AL1074" s="1">
        <v>115.0</v>
      </c>
      <c r="AM1074" s="1">
        <v>117.0</v>
      </c>
      <c r="AN1074" s="1">
        <v>65.0</v>
      </c>
      <c r="AO1074" s="1">
        <v>90.0</v>
      </c>
      <c r="AP1074" s="1">
        <v>0.066442</v>
      </c>
      <c r="AQ1074" s="1">
        <v>0.049677</v>
      </c>
      <c r="AR1074" s="1">
        <v>0.080179</v>
      </c>
      <c r="AS1074" s="1">
        <v>0.217308</v>
      </c>
      <c r="AT1074" s="1">
        <v>32108.0</v>
      </c>
      <c r="AU1074" s="1">
        <v>3395.0</v>
      </c>
      <c r="AV1074" s="1">
        <v>0.075741</v>
      </c>
      <c r="AW1074" s="1">
        <v>0.110535</v>
      </c>
      <c r="AX1074" s="1">
        <v>0.202604</v>
      </c>
      <c r="AY1074" s="1">
        <v>0.202363</v>
      </c>
      <c r="AZ1074" s="1">
        <v>0.08552631</v>
      </c>
      <c r="BA1074" s="1">
        <v>0.132416</v>
      </c>
      <c r="BB1074" s="1">
        <v>0.0</v>
      </c>
      <c r="BC1074" s="1">
        <v>0.124216</v>
      </c>
      <c r="BD1074" s="1">
        <v>0.154387</v>
      </c>
      <c r="BE1074" s="1">
        <v>0.052045</v>
      </c>
      <c r="BF1074" s="1">
        <v>0.004223</v>
      </c>
      <c r="BG1074" s="1">
        <v>0.007974</v>
      </c>
      <c r="BH1074" s="1">
        <v>0.002015</v>
      </c>
      <c r="BI1074" s="1">
        <v>0.057934</v>
      </c>
      <c r="BJ1074" s="1">
        <v>0.058942</v>
      </c>
      <c r="BK1074" s="1">
        <v>0.032541</v>
      </c>
      <c r="BL1074" s="1">
        <v>0.021707</v>
      </c>
      <c r="BM1074" s="1">
        <v>0.233</v>
      </c>
      <c r="BN1074" s="1">
        <v>0.612</v>
      </c>
      <c r="BO1074" s="1">
        <v>0.1538</v>
      </c>
      <c r="BP1074" s="1">
        <v>0.227</v>
      </c>
      <c r="BQ1074" s="1">
        <v>1.2258</v>
      </c>
      <c r="BR1074" s="1">
        <v>0.2614</v>
      </c>
      <c r="BS1074" s="1">
        <v>0.884</v>
      </c>
      <c r="BT1074" s="1">
        <v>0.194</v>
      </c>
      <c r="BU1074" s="1">
        <v>0.361</v>
      </c>
      <c r="BV1074" s="1">
        <v>1.439</v>
      </c>
      <c r="BW1074" s="1">
        <v>0.427</v>
      </c>
      <c r="BX1074" s="1">
        <v>0.569</v>
      </c>
      <c r="BY1074" s="1">
        <v>0.0</v>
      </c>
      <c r="BZ1074" s="1">
        <v>0.569</v>
      </c>
      <c r="CA1074" s="1">
        <v>0.251</v>
      </c>
      <c r="CB1074" s="1">
        <v>0.845</v>
      </c>
      <c r="CC1074" s="1">
        <v>0.38</v>
      </c>
      <c r="CD1074" s="1">
        <v>0.282</v>
      </c>
      <c r="CE1074" s="1">
        <v>0.561</v>
      </c>
      <c r="CF1074" s="1">
        <v>0.732</v>
      </c>
      <c r="CG1074" s="1">
        <v>2.8</v>
      </c>
      <c r="CH1074" s="1">
        <v>0.688</v>
      </c>
      <c r="CI1074" s="1">
        <v>6.0338</v>
      </c>
      <c r="CJ1074" s="1">
        <v>0.3762</v>
      </c>
      <c r="CK1074" s="1">
        <v>0.0</v>
      </c>
      <c r="CL1074" s="1">
        <v>0.0</v>
      </c>
      <c r="CM1074" s="1">
        <v>0.0</v>
      </c>
      <c r="CN1074" s="1">
        <v>0.0</v>
      </c>
      <c r="CO1074" s="1">
        <v>0.0</v>
      </c>
      <c r="CP1074" s="1">
        <v>0.0</v>
      </c>
      <c r="CQ1074" s="1">
        <v>0.0</v>
      </c>
      <c r="CR1074" s="1">
        <v>0.0</v>
      </c>
      <c r="CS1074" s="1">
        <v>0.0</v>
      </c>
      <c r="CT1074" s="1">
        <v>0.0</v>
      </c>
      <c r="CU1074" s="1">
        <v>0.0</v>
      </c>
      <c r="CV1074" s="1">
        <v>0.0</v>
      </c>
      <c r="CW1074" s="1">
        <v>0.0</v>
      </c>
      <c r="CX1074" s="1">
        <v>0.0</v>
      </c>
      <c r="CY1074" s="1">
        <v>0.0</v>
      </c>
      <c r="CZ1074" s="1">
        <v>0.0</v>
      </c>
      <c r="DA1074" s="1">
        <v>0.0</v>
      </c>
      <c r="DB1074" s="1">
        <v>0.0</v>
      </c>
      <c r="DC1074" s="1">
        <v>0.0</v>
      </c>
      <c r="DD1074" s="1" t="s">
        <v>4831</v>
      </c>
      <c r="DE1074" s="1">
        <v>3.07600920874402E-4</v>
      </c>
      <c r="DF1074" s="1">
        <v>0.069680260636352</v>
      </c>
    </row>
    <row r="1075" ht="15.75" customHeight="1">
      <c r="A1075" s="1" t="s">
        <v>4832</v>
      </c>
      <c r="B1075" s="1">
        <v>29.0</v>
      </c>
      <c r="C1075" s="1">
        <v>189.0</v>
      </c>
      <c r="D1075" s="1">
        <v>218401.0</v>
      </c>
      <c r="E1075" s="1">
        <v>1.168</v>
      </c>
      <c r="F1075" s="1">
        <v>29189.0</v>
      </c>
      <c r="G1075" s="1">
        <v>2.9189218401E10</v>
      </c>
      <c r="H1075" s="1" t="s">
        <v>112</v>
      </c>
      <c r="I1075" s="1" t="s">
        <v>113</v>
      </c>
      <c r="J1075" s="1" t="s">
        <v>4566</v>
      </c>
      <c r="K1075" s="1" t="s">
        <v>4833</v>
      </c>
      <c r="L1075" s="1">
        <v>3820.0</v>
      </c>
      <c r="M1075" s="1">
        <v>3923.0</v>
      </c>
      <c r="N1075" s="1">
        <v>248.0</v>
      </c>
      <c r="O1075" s="1">
        <v>1687.0</v>
      </c>
      <c r="P1075" s="1">
        <v>1732.0</v>
      </c>
      <c r="Q1075" s="1">
        <v>45.0</v>
      </c>
      <c r="R1075" s="1">
        <v>1601.0</v>
      </c>
      <c r="S1075" s="1">
        <v>96.0</v>
      </c>
      <c r="T1075" s="1">
        <v>94.0</v>
      </c>
      <c r="U1075" s="1">
        <v>81.0</v>
      </c>
      <c r="V1075" s="1">
        <v>445.0</v>
      </c>
      <c r="W1075" s="1">
        <v>56506.0</v>
      </c>
      <c r="X1075" s="1">
        <v>9606.0</v>
      </c>
      <c r="Y1075" s="1">
        <v>45.0</v>
      </c>
      <c r="Z1075" s="1">
        <v>413.0</v>
      </c>
      <c r="AA1075" s="1">
        <v>732.0</v>
      </c>
      <c r="AB1075" s="1">
        <v>876.0</v>
      </c>
      <c r="AC1075" s="1">
        <v>100.0</v>
      </c>
      <c r="AD1075" s="1">
        <v>198.0</v>
      </c>
      <c r="AE1075" s="1">
        <v>0.0</v>
      </c>
      <c r="AF1075" s="1">
        <v>456.0</v>
      </c>
      <c r="AG1075" s="1">
        <v>0.0</v>
      </c>
      <c r="AH1075" s="1">
        <v>197.0</v>
      </c>
      <c r="AI1075" s="1">
        <v>0.0</v>
      </c>
      <c r="AJ1075" s="1">
        <v>114.0</v>
      </c>
      <c r="AK1075" s="1">
        <v>20.0</v>
      </c>
      <c r="AL1075" s="1">
        <v>118.0</v>
      </c>
      <c r="AM1075" s="1">
        <v>59.0</v>
      </c>
      <c r="AN1075" s="1">
        <v>124.0</v>
      </c>
      <c r="AO1075" s="1">
        <v>4.0</v>
      </c>
      <c r="AP1075" s="1">
        <v>0.024471</v>
      </c>
      <c r="AQ1075" s="1">
        <v>0.023911</v>
      </c>
      <c r="AR1075" s="1">
        <v>0.040198</v>
      </c>
      <c r="AS1075" s="1">
        <v>0.220791</v>
      </c>
      <c r="AT1075" s="1">
        <v>56506.0</v>
      </c>
      <c r="AU1075" s="1">
        <v>9606.0</v>
      </c>
      <c r="AV1075" s="1">
        <v>0.016635</v>
      </c>
      <c r="AW1075" s="1">
        <v>0.152677</v>
      </c>
      <c r="AX1075" s="1">
        <v>0.191623</v>
      </c>
      <c r="AY1075" s="1">
        <v>0.229319</v>
      </c>
      <c r="AZ1075" s="1">
        <v>0.06246096</v>
      </c>
      <c r="BA1075" s="1">
        <v>0.051832</v>
      </c>
      <c r="BB1075" s="1">
        <v>0.0</v>
      </c>
      <c r="BC1075" s="1">
        <v>0.120443</v>
      </c>
      <c r="BD1075" s="1">
        <v>0.0</v>
      </c>
      <c r="BE1075" s="1">
        <v>0.113741</v>
      </c>
      <c r="BF1075" s="1">
        <v>0.0</v>
      </c>
      <c r="BG1075" s="1">
        <v>0.065819</v>
      </c>
      <c r="BH1075" s="1">
        <v>0.01257</v>
      </c>
      <c r="BI1075" s="1">
        <v>0.074164</v>
      </c>
      <c r="BJ1075" s="1">
        <v>0.037083</v>
      </c>
      <c r="BK1075" s="1">
        <v>0.077914</v>
      </c>
      <c r="BL1075" s="1">
        <v>0.001047</v>
      </c>
      <c r="BM1075" s="1">
        <v>0.071</v>
      </c>
      <c r="BN1075" s="1">
        <v>0.182</v>
      </c>
      <c r="BO1075" s="1">
        <v>0.0159</v>
      </c>
      <c r="BP1075" s="1">
        <v>0.029</v>
      </c>
      <c r="BQ1075" s="1">
        <v>0.2979</v>
      </c>
      <c r="BR1075" s="1">
        <v>0.0188</v>
      </c>
      <c r="BS1075" s="1">
        <v>0.847</v>
      </c>
      <c r="BT1075" s="1">
        <v>0.378</v>
      </c>
      <c r="BU1075" s="1">
        <v>0.151</v>
      </c>
      <c r="BV1075" s="1">
        <v>1.376</v>
      </c>
      <c r="BW1075" s="1">
        <v>0.371</v>
      </c>
      <c r="BX1075" s="1">
        <v>0.261</v>
      </c>
      <c r="BY1075" s="1">
        <v>0.0</v>
      </c>
      <c r="BZ1075" s="1">
        <v>0.261</v>
      </c>
      <c r="CA1075" s="1">
        <v>0.113</v>
      </c>
      <c r="CB1075" s="1">
        <v>0.0</v>
      </c>
      <c r="CC1075" s="1">
        <v>0.0</v>
      </c>
      <c r="CD1075" s="1">
        <v>0.541</v>
      </c>
      <c r="CE1075" s="1">
        <v>0.363</v>
      </c>
      <c r="CF1075" s="1">
        <v>0.4</v>
      </c>
      <c r="CG1075" s="1">
        <v>1.304</v>
      </c>
      <c r="CH1075" s="1">
        <v>0.128</v>
      </c>
      <c r="CI1075" s="1">
        <v>3.2389</v>
      </c>
      <c r="CJ1075" s="1">
        <v>0.0303</v>
      </c>
      <c r="CK1075" s="1">
        <v>0.0</v>
      </c>
      <c r="CL1075" s="1">
        <v>0.0</v>
      </c>
      <c r="CM1075" s="1">
        <v>0.0</v>
      </c>
      <c r="CN1075" s="1">
        <v>0.0</v>
      </c>
      <c r="CO1075" s="1">
        <v>0.0</v>
      </c>
      <c r="CP1075" s="1">
        <v>0.0</v>
      </c>
      <c r="CQ1075" s="1">
        <v>0.0</v>
      </c>
      <c r="CR1075" s="1">
        <v>0.0</v>
      </c>
      <c r="CS1075" s="1">
        <v>0.0</v>
      </c>
      <c r="CT1075" s="1">
        <v>0.0</v>
      </c>
      <c r="CU1075" s="1">
        <v>0.0</v>
      </c>
      <c r="CV1075" s="1">
        <v>0.0</v>
      </c>
      <c r="CW1075" s="1">
        <v>0.0</v>
      </c>
      <c r="CX1075" s="1">
        <v>0.0</v>
      </c>
      <c r="CY1075" s="1">
        <v>0.0</v>
      </c>
      <c r="CZ1075" s="1">
        <v>0.0</v>
      </c>
      <c r="DA1075" s="1">
        <v>0.0</v>
      </c>
      <c r="DB1075" s="1">
        <v>0.0</v>
      </c>
      <c r="DC1075" s="1">
        <v>0.0</v>
      </c>
      <c r="DD1075" s="1" t="s">
        <v>4834</v>
      </c>
      <c r="DE1075" s="1">
        <v>3.14674002750609E-4</v>
      </c>
      <c r="DF1075" s="1">
        <v>0.0848755581794817</v>
      </c>
    </row>
    <row r="1076" ht="15.75" customHeight="1">
      <c r="A1076" s="1" t="s">
        <v>4835</v>
      </c>
      <c r="B1076" s="1">
        <v>29.0</v>
      </c>
      <c r="C1076" s="1">
        <v>189.0</v>
      </c>
      <c r="D1076" s="1">
        <v>218402.0</v>
      </c>
      <c r="E1076" s="1">
        <v>1.362</v>
      </c>
      <c r="F1076" s="1">
        <v>29189.0</v>
      </c>
      <c r="G1076" s="1">
        <v>2.9189218402E10</v>
      </c>
      <c r="H1076" s="1" t="s">
        <v>112</v>
      </c>
      <c r="I1076" s="1" t="s">
        <v>113</v>
      </c>
      <c r="J1076" s="1" t="s">
        <v>4566</v>
      </c>
      <c r="K1076" s="1" t="s">
        <v>4836</v>
      </c>
      <c r="L1076" s="1">
        <v>4689.0</v>
      </c>
      <c r="M1076" s="1">
        <v>4716.0</v>
      </c>
      <c r="N1076" s="1">
        <v>400.0</v>
      </c>
      <c r="O1076" s="1">
        <v>2034.0</v>
      </c>
      <c r="P1076" s="1">
        <v>2053.0</v>
      </c>
      <c r="Q1076" s="1">
        <v>100.0</v>
      </c>
      <c r="R1076" s="1">
        <v>1937.0</v>
      </c>
      <c r="S1076" s="1">
        <v>218.0</v>
      </c>
      <c r="T1076" s="1">
        <v>141.0</v>
      </c>
      <c r="U1076" s="1">
        <v>109.0</v>
      </c>
      <c r="V1076" s="1">
        <v>479.0</v>
      </c>
      <c r="W1076" s="1">
        <v>43762.0</v>
      </c>
      <c r="X1076" s="1">
        <v>7900.0</v>
      </c>
      <c r="Y1076" s="1">
        <v>91.0</v>
      </c>
      <c r="Z1076" s="1">
        <v>382.0</v>
      </c>
      <c r="AA1076" s="1">
        <v>727.0</v>
      </c>
      <c r="AB1076" s="1">
        <v>1133.0</v>
      </c>
      <c r="AC1076" s="1">
        <v>109.0</v>
      </c>
      <c r="AD1076" s="1">
        <v>270.0</v>
      </c>
      <c r="AE1076" s="1">
        <v>13.0</v>
      </c>
      <c r="AF1076" s="1">
        <v>442.0</v>
      </c>
      <c r="AG1076" s="1">
        <v>120.0</v>
      </c>
      <c r="AH1076" s="1">
        <v>125.0</v>
      </c>
      <c r="AI1076" s="1">
        <v>0.0</v>
      </c>
      <c r="AJ1076" s="1">
        <v>114.0</v>
      </c>
      <c r="AK1076" s="1">
        <v>0.0</v>
      </c>
      <c r="AL1076" s="1">
        <v>161.0</v>
      </c>
      <c r="AM1076" s="1">
        <v>0.0</v>
      </c>
      <c r="AN1076" s="1">
        <v>161.0</v>
      </c>
      <c r="AO1076" s="1">
        <v>26.0</v>
      </c>
      <c r="AP1076" s="1">
        <v>0.046225</v>
      </c>
      <c r="AQ1076" s="1">
        <v>0.02964</v>
      </c>
      <c r="AR1076" s="1">
        <v>0.044254</v>
      </c>
      <c r="AS1076" s="1">
        <v>0.19441</v>
      </c>
      <c r="AT1076" s="1">
        <v>43762.0</v>
      </c>
      <c r="AU1076" s="1">
        <v>7900.0</v>
      </c>
      <c r="AV1076" s="1">
        <v>0.027667</v>
      </c>
      <c r="AW1076" s="1">
        <v>0.116133</v>
      </c>
      <c r="AX1076" s="1">
        <v>0.155043</v>
      </c>
      <c r="AY1076" s="1">
        <v>0.241629</v>
      </c>
      <c r="AZ1076" s="1">
        <v>0.05627258</v>
      </c>
      <c r="BA1076" s="1">
        <v>0.057581</v>
      </c>
      <c r="BB1076" s="1">
        <v>0.002927</v>
      </c>
      <c r="BC1076" s="1">
        <v>0.099526</v>
      </c>
      <c r="BD1076" s="1">
        <v>0.058451</v>
      </c>
      <c r="BE1076" s="1">
        <v>0.060819</v>
      </c>
      <c r="BF1076" s="1">
        <v>0.0</v>
      </c>
      <c r="BG1076" s="1">
        <v>0.055528</v>
      </c>
      <c r="BH1076" s="1">
        <v>0.0</v>
      </c>
      <c r="BI1076" s="1">
        <v>0.083636</v>
      </c>
      <c r="BJ1076" s="1">
        <v>0.0</v>
      </c>
      <c r="BK1076" s="1">
        <v>0.083636</v>
      </c>
      <c r="BL1076" s="1">
        <v>0.005544</v>
      </c>
      <c r="BM1076" s="1">
        <v>0.15</v>
      </c>
      <c r="BN1076" s="1">
        <v>0.23</v>
      </c>
      <c r="BO1076" s="1">
        <v>0.0455</v>
      </c>
      <c r="BP1076" s="1">
        <v>0.051</v>
      </c>
      <c r="BQ1076" s="1">
        <v>0.4765</v>
      </c>
      <c r="BR1076" s="1">
        <v>0.0592</v>
      </c>
      <c r="BS1076" s="1">
        <v>0.62</v>
      </c>
      <c r="BT1076" s="1">
        <v>0.512</v>
      </c>
      <c r="BU1076" s="1">
        <v>0.11</v>
      </c>
      <c r="BV1076" s="1">
        <v>1.242</v>
      </c>
      <c r="BW1076" s="1">
        <v>0.26</v>
      </c>
      <c r="BX1076" s="1">
        <v>0.3</v>
      </c>
      <c r="BY1076" s="1">
        <v>0.445</v>
      </c>
      <c r="BZ1076" s="1">
        <v>0.745</v>
      </c>
      <c r="CA1076" s="1">
        <v>0.358</v>
      </c>
      <c r="CB1076" s="1">
        <v>0.681</v>
      </c>
      <c r="CC1076" s="1">
        <v>0.0</v>
      </c>
      <c r="CD1076" s="1">
        <v>0.0</v>
      </c>
      <c r="CE1076" s="1">
        <v>0.0</v>
      </c>
      <c r="CF1076" s="1">
        <v>0.524</v>
      </c>
      <c r="CG1076" s="1">
        <v>1.205</v>
      </c>
      <c r="CH1076" s="1">
        <v>0.111</v>
      </c>
      <c r="CI1076" s="1">
        <v>3.6685</v>
      </c>
      <c r="CJ1076" s="1">
        <v>0.0549</v>
      </c>
      <c r="CK1076" s="1">
        <v>0.0</v>
      </c>
      <c r="CL1076" s="1">
        <v>0.0</v>
      </c>
      <c r="CM1076" s="1">
        <v>0.0</v>
      </c>
      <c r="CN1076" s="1">
        <v>0.0</v>
      </c>
      <c r="CO1076" s="1">
        <v>0.0</v>
      </c>
      <c r="CP1076" s="1">
        <v>0.0</v>
      </c>
      <c r="CQ1076" s="1">
        <v>0.0</v>
      </c>
      <c r="CR1076" s="1">
        <v>0.0</v>
      </c>
      <c r="CS1076" s="1">
        <v>0.0</v>
      </c>
      <c r="CT1076" s="1">
        <v>0.0</v>
      </c>
      <c r="CU1076" s="1">
        <v>0.0</v>
      </c>
      <c r="CV1076" s="1">
        <v>0.0</v>
      </c>
      <c r="CW1076" s="1">
        <v>0.0</v>
      </c>
      <c r="CX1076" s="1">
        <v>0.0</v>
      </c>
      <c r="CY1076" s="1">
        <v>0.0</v>
      </c>
      <c r="CZ1076" s="1">
        <v>0.0</v>
      </c>
      <c r="DA1076" s="1">
        <v>0.0</v>
      </c>
      <c r="DB1076" s="1">
        <v>0.0</v>
      </c>
      <c r="DC1076" s="1">
        <v>0.0</v>
      </c>
      <c r="DD1076" s="1" t="s">
        <v>4837</v>
      </c>
      <c r="DE1076" s="1">
        <v>3.62129000333496E-4</v>
      </c>
      <c r="DF1076" s="2" t="s">
        <v>4838</v>
      </c>
    </row>
    <row r="1077" ht="15.75" customHeight="1">
      <c r="A1077" s="1" t="s">
        <v>4839</v>
      </c>
      <c r="B1077" s="1">
        <v>29.0</v>
      </c>
      <c r="C1077" s="1">
        <v>189.0</v>
      </c>
      <c r="D1077" s="1">
        <v>218600.0</v>
      </c>
      <c r="E1077" s="1">
        <v>0.885</v>
      </c>
      <c r="F1077" s="1">
        <v>29189.0</v>
      </c>
      <c r="G1077" s="1">
        <v>2.91892186E10</v>
      </c>
      <c r="H1077" s="1" t="s">
        <v>112</v>
      </c>
      <c r="I1077" s="1" t="s">
        <v>113</v>
      </c>
      <c r="J1077" s="1" t="s">
        <v>4566</v>
      </c>
      <c r="K1077" s="1" t="s">
        <v>4840</v>
      </c>
      <c r="L1077" s="1">
        <v>2723.0</v>
      </c>
      <c r="M1077" s="1">
        <v>2785.0</v>
      </c>
      <c r="N1077" s="1">
        <v>236.0</v>
      </c>
      <c r="O1077" s="1">
        <v>1451.0</v>
      </c>
      <c r="P1077" s="1">
        <v>1468.0</v>
      </c>
      <c r="Q1077" s="1">
        <v>93.0</v>
      </c>
      <c r="R1077" s="1">
        <v>1293.0</v>
      </c>
      <c r="S1077" s="1">
        <v>181.0</v>
      </c>
      <c r="T1077" s="1">
        <v>101.0</v>
      </c>
      <c r="U1077" s="1">
        <v>34.0</v>
      </c>
      <c r="V1077" s="1">
        <v>485.0</v>
      </c>
      <c r="W1077" s="1">
        <v>41038.0</v>
      </c>
      <c r="X1077" s="1">
        <v>5835.0</v>
      </c>
      <c r="Y1077" s="1">
        <v>125.0</v>
      </c>
      <c r="Z1077" s="1">
        <v>347.0</v>
      </c>
      <c r="AA1077" s="1">
        <v>613.0</v>
      </c>
      <c r="AB1077" s="1">
        <v>584.0</v>
      </c>
      <c r="AC1077" s="1">
        <v>102.0</v>
      </c>
      <c r="AD1077" s="1">
        <v>772.0</v>
      </c>
      <c r="AE1077" s="1">
        <v>0.0</v>
      </c>
      <c r="AF1077" s="1">
        <v>456.0</v>
      </c>
      <c r="AG1077" s="1">
        <v>423.0</v>
      </c>
      <c r="AH1077" s="1">
        <v>101.0</v>
      </c>
      <c r="AI1077" s="1">
        <v>0.0</v>
      </c>
      <c r="AJ1077" s="1">
        <v>114.0</v>
      </c>
      <c r="AK1077" s="1">
        <v>0.0</v>
      </c>
      <c r="AL1077" s="1">
        <v>161.0</v>
      </c>
      <c r="AM1077" s="1">
        <v>159.0</v>
      </c>
      <c r="AN1077" s="1">
        <v>57.0</v>
      </c>
      <c r="AO1077" s="1">
        <v>2.0</v>
      </c>
      <c r="AP1077" s="1">
        <v>0.064991</v>
      </c>
      <c r="AQ1077" s="1">
        <v>0.035845</v>
      </c>
      <c r="AR1077" s="1">
        <v>0.025073</v>
      </c>
      <c r="AS1077" s="1">
        <v>0.357629</v>
      </c>
      <c r="AT1077" s="1">
        <v>41038.0</v>
      </c>
      <c r="AU1077" s="1">
        <v>5835.0</v>
      </c>
      <c r="AV1077" s="1">
        <v>0.066595</v>
      </c>
      <c r="AW1077" s="1">
        <v>0.184781</v>
      </c>
      <c r="AX1077" s="1">
        <v>0.225119</v>
      </c>
      <c r="AY1077" s="1">
        <v>0.214469</v>
      </c>
      <c r="AZ1077" s="1">
        <v>0.07888631</v>
      </c>
      <c r="BA1077" s="1">
        <v>0.28351</v>
      </c>
      <c r="BB1077" s="1">
        <v>0.0</v>
      </c>
      <c r="BC1077" s="1">
        <v>0.170658</v>
      </c>
      <c r="BD1077" s="1">
        <v>0.288147</v>
      </c>
      <c r="BE1077" s="1">
        <v>0.066335</v>
      </c>
      <c r="BF1077" s="1">
        <v>0.0</v>
      </c>
      <c r="BG1077" s="1">
        <v>0.077656</v>
      </c>
      <c r="BH1077" s="1">
        <v>0.0</v>
      </c>
      <c r="BI1077" s="1">
        <v>0.121969</v>
      </c>
      <c r="BJ1077" s="1">
        <v>0.120454</v>
      </c>
      <c r="BK1077" s="1">
        <v>0.042166</v>
      </c>
      <c r="BL1077" s="1">
        <v>7.34E-4</v>
      </c>
      <c r="BM1077" s="1">
        <v>0.226</v>
      </c>
      <c r="BN1077" s="1">
        <v>0.052</v>
      </c>
      <c r="BO1077" s="1">
        <v>0.0578</v>
      </c>
      <c r="BP1077" s="1">
        <v>0.187</v>
      </c>
      <c r="BQ1077" s="1">
        <v>0.5228</v>
      </c>
      <c r="BR1077" s="1">
        <v>0.0736</v>
      </c>
      <c r="BS1077" s="1">
        <v>0.942</v>
      </c>
      <c r="BT1077" s="1">
        <v>0.262</v>
      </c>
      <c r="BU1077" s="1">
        <v>0.292</v>
      </c>
      <c r="BV1077" s="1">
        <v>1.496</v>
      </c>
      <c r="BW1077" s="1">
        <v>0.484</v>
      </c>
      <c r="BX1077" s="1">
        <v>0.779</v>
      </c>
      <c r="BY1077" s="1">
        <v>0.0</v>
      </c>
      <c r="BZ1077" s="1">
        <v>0.779</v>
      </c>
      <c r="CA1077" s="1">
        <v>0.382</v>
      </c>
      <c r="CB1077" s="1">
        <v>0.939</v>
      </c>
      <c r="CC1077" s="1">
        <v>0.0</v>
      </c>
      <c r="CD1077" s="1">
        <v>0.0</v>
      </c>
      <c r="CE1077" s="1">
        <v>0.808</v>
      </c>
      <c r="CF1077" s="1">
        <v>0.38</v>
      </c>
      <c r="CG1077" s="1">
        <v>2.127</v>
      </c>
      <c r="CH1077" s="1">
        <v>0.392</v>
      </c>
      <c r="CI1077" s="1">
        <v>4.9248</v>
      </c>
      <c r="CJ1077" s="1">
        <v>0.1921</v>
      </c>
      <c r="CK1077" s="1">
        <v>0.0</v>
      </c>
      <c r="CL1077" s="1">
        <v>0.0</v>
      </c>
      <c r="CM1077" s="1">
        <v>0.0</v>
      </c>
      <c r="CN1077" s="1">
        <v>0.0</v>
      </c>
      <c r="CO1077" s="1">
        <v>0.0</v>
      </c>
      <c r="CP1077" s="1">
        <v>1.0</v>
      </c>
      <c r="CQ1077" s="1">
        <v>0.0</v>
      </c>
      <c r="CR1077" s="1">
        <v>0.0</v>
      </c>
      <c r="CS1077" s="1">
        <v>1.0</v>
      </c>
      <c r="CT1077" s="1">
        <v>0.0</v>
      </c>
      <c r="CU1077" s="1">
        <v>0.0</v>
      </c>
      <c r="CV1077" s="1">
        <v>0.0</v>
      </c>
      <c r="CW1077" s="1">
        <v>1.0</v>
      </c>
      <c r="CX1077" s="1">
        <v>0.0</v>
      </c>
      <c r="CY1077" s="1">
        <v>0.0</v>
      </c>
      <c r="CZ1077" s="1">
        <v>0.0</v>
      </c>
      <c r="DA1077" s="1">
        <v>0.0</v>
      </c>
      <c r="DB1077" s="1">
        <v>1.0</v>
      </c>
      <c r="DC1077" s="1">
        <v>2.0</v>
      </c>
      <c r="DD1077" s="1" t="s">
        <v>4841</v>
      </c>
      <c r="DE1077" s="1">
        <v>2.38946844583024E-4</v>
      </c>
      <c r="DF1077" s="2" t="s">
        <v>4842</v>
      </c>
    </row>
    <row r="1078" ht="15.75" customHeight="1">
      <c r="A1078" s="1" t="s">
        <v>4843</v>
      </c>
      <c r="B1078" s="1">
        <v>29.0</v>
      </c>
      <c r="C1078" s="1">
        <v>189.0</v>
      </c>
      <c r="D1078" s="1">
        <v>218800.0</v>
      </c>
      <c r="E1078" s="1">
        <v>1.29</v>
      </c>
      <c r="F1078" s="1">
        <v>29189.0</v>
      </c>
      <c r="G1078" s="1">
        <v>2.91892188E10</v>
      </c>
      <c r="H1078" s="1" t="s">
        <v>112</v>
      </c>
      <c r="I1078" s="1" t="s">
        <v>113</v>
      </c>
      <c r="J1078" s="1" t="s">
        <v>4566</v>
      </c>
      <c r="K1078" s="1" t="s">
        <v>4844</v>
      </c>
      <c r="L1078" s="1">
        <v>5925.0</v>
      </c>
      <c r="M1078" s="1">
        <v>5880.0</v>
      </c>
      <c r="N1078" s="1">
        <v>19.0</v>
      </c>
      <c r="O1078" s="1">
        <v>2348.0</v>
      </c>
      <c r="P1078" s="1">
        <v>2357.0</v>
      </c>
      <c r="Q1078" s="1">
        <v>98.0</v>
      </c>
      <c r="R1078" s="1">
        <v>2273.0</v>
      </c>
      <c r="S1078" s="1">
        <v>219.0</v>
      </c>
      <c r="T1078" s="1">
        <v>132.0</v>
      </c>
      <c r="U1078" s="1">
        <v>66.0</v>
      </c>
      <c r="V1078" s="1">
        <v>473.0</v>
      </c>
      <c r="W1078" s="1">
        <v>48369.0</v>
      </c>
      <c r="X1078" s="1">
        <v>6370.0</v>
      </c>
      <c r="Y1078" s="1">
        <v>113.0</v>
      </c>
      <c r="Z1078" s="1">
        <v>367.0</v>
      </c>
      <c r="AA1078" s="1">
        <v>818.0</v>
      </c>
      <c r="AB1078" s="1">
        <v>1733.0</v>
      </c>
      <c r="AC1078" s="1">
        <v>120.0</v>
      </c>
      <c r="AD1078" s="1">
        <v>252.0</v>
      </c>
      <c r="AE1078" s="1">
        <v>67.0</v>
      </c>
      <c r="AF1078" s="1">
        <v>414.0</v>
      </c>
      <c r="AG1078" s="1">
        <v>0.0</v>
      </c>
      <c r="AH1078" s="1">
        <v>197.0</v>
      </c>
      <c r="AI1078" s="1">
        <v>0.0</v>
      </c>
      <c r="AJ1078" s="1">
        <v>114.0</v>
      </c>
      <c r="AK1078" s="1">
        <v>0.0</v>
      </c>
      <c r="AL1078" s="1">
        <v>161.0</v>
      </c>
      <c r="AM1078" s="1">
        <v>42.0</v>
      </c>
      <c r="AN1078" s="1">
        <v>120.0</v>
      </c>
      <c r="AO1078" s="1">
        <v>0.0</v>
      </c>
      <c r="AP1078" s="1">
        <v>0.037244</v>
      </c>
      <c r="AQ1078" s="1">
        <v>0.022448</v>
      </c>
      <c r="AR1078" s="1">
        <v>0.022517</v>
      </c>
      <c r="AS1078" s="1">
        <v>0.161363</v>
      </c>
      <c r="AT1078" s="1">
        <v>48369.0</v>
      </c>
      <c r="AU1078" s="1">
        <v>6370.0</v>
      </c>
      <c r="AV1078" s="1">
        <v>0.028996</v>
      </c>
      <c r="AW1078" s="1">
        <v>0.094169</v>
      </c>
      <c r="AX1078" s="1">
        <v>0.138059</v>
      </c>
      <c r="AY1078" s="1">
        <v>0.292489</v>
      </c>
      <c r="AZ1078" s="1">
        <v>0.05279366</v>
      </c>
      <c r="BA1078" s="1">
        <v>0.042531</v>
      </c>
      <c r="BB1078" s="1">
        <v>0.012582</v>
      </c>
      <c r="BC1078" s="1">
        <v>0.077745</v>
      </c>
      <c r="BD1078" s="1">
        <v>0.0</v>
      </c>
      <c r="BE1078" s="1">
        <v>0.08358</v>
      </c>
      <c r="BF1078" s="1">
        <v>0.0</v>
      </c>
      <c r="BG1078" s="1">
        <v>0.048366</v>
      </c>
      <c r="BH1078" s="1">
        <v>0.0</v>
      </c>
      <c r="BI1078" s="1">
        <v>0.071428</v>
      </c>
      <c r="BJ1078" s="1">
        <v>0.018633</v>
      </c>
      <c r="BK1078" s="1">
        <v>0.053229</v>
      </c>
      <c r="BL1078" s="1">
        <v>0.0</v>
      </c>
      <c r="BM1078" s="1">
        <v>0.113</v>
      </c>
      <c r="BN1078" s="1">
        <v>0.041</v>
      </c>
      <c r="BO1078" s="1">
        <v>0.0289</v>
      </c>
      <c r="BP1078" s="1">
        <v>0.059</v>
      </c>
      <c r="BQ1078" s="1">
        <v>0.2419</v>
      </c>
      <c r="BR1078" s="1">
        <v>0.0094</v>
      </c>
      <c r="BS1078" s="1">
        <v>0.484</v>
      </c>
      <c r="BT1078" s="1">
        <v>0.895</v>
      </c>
      <c r="BU1078" s="1">
        <v>0.09</v>
      </c>
      <c r="BV1078" s="1">
        <v>1.469</v>
      </c>
      <c r="BW1078" s="1">
        <v>0.453</v>
      </c>
      <c r="BX1078" s="1">
        <v>0.19</v>
      </c>
      <c r="BY1078" s="1">
        <v>0.782</v>
      </c>
      <c r="BZ1078" s="1">
        <v>0.972</v>
      </c>
      <c r="CA1078" s="1">
        <v>0.528</v>
      </c>
      <c r="CB1078" s="1">
        <v>0.0</v>
      </c>
      <c r="CC1078" s="1">
        <v>0.0</v>
      </c>
      <c r="CD1078" s="1">
        <v>0.0</v>
      </c>
      <c r="CE1078" s="1">
        <v>0.169</v>
      </c>
      <c r="CF1078" s="1">
        <v>0.0</v>
      </c>
      <c r="CG1078" s="1">
        <v>0.169</v>
      </c>
      <c r="CH1078" s="1">
        <v>0.013</v>
      </c>
      <c r="CI1078" s="1">
        <v>2.8519</v>
      </c>
      <c r="CJ1078" s="1">
        <v>0.0152</v>
      </c>
      <c r="CK1078" s="1">
        <v>0.0</v>
      </c>
      <c r="CL1078" s="1">
        <v>0.0</v>
      </c>
      <c r="CM1078" s="1">
        <v>0.0</v>
      </c>
      <c r="CN1078" s="1">
        <v>0.0</v>
      </c>
      <c r="CO1078" s="1">
        <v>0.0</v>
      </c>
      <c r="CP1078" s="1">
        <v>0.0</v>
      </c>
      <c r="CQ1078" s="1">
        <v>0.0</v>
      </c>
      <c r="CR1078" s="1">
        <v>0.0</v>
      </c>
      <c r="CS1078" s="1">
        <v>0.0</v>
      </c>
      <c r="CT1078" s="1">
        <v>0.0</v>
      </c>
      <c r="CU1078" s="1">
        <v>0.0</v>
      </c>
      <c r="CV1078" s="1">
        <v>0.0</v>
      </c>
      <c r="CW1078" s="1">
        <v>0.0</v>
      </c>
      <c r="CX1078" s="1">
        <v>0.0</v>
      </c>
      <c r="CY1078" s="1">
        <v>0.0</v>
      </c>
      <c r="CZ1078" s="1">
        <v>0.0</v>
      </c>
      <c r="DA1078" s="1">
        <v>0.0</v>
      </c>
      <c r="DB1078" s="1">
        <v>0.0</v>
      </c>
      <c r="DC1078" s="1">
        <v>0.0</v>
      </c>
      <c r="DD1078" s="1" t="s">
        <v>4845</v>
      </c>
      <c r="DE1078" s="1">
        <v>3.45631110365126E-4</v>
      </c>
      <c r="DF1078" s="1">
        <v>0.076792320198377</v>
      </c>
    </row>
    <row r="1079" ht="15.75" customHeight="1">
      <c r="A1079" s="1" t="s">
        <v>4846</v>
      </c>
      <c r="B1079" s="1">
        <v>29.0</v>
      </c>
      <c r="C1079" s="1">
        <v>189.0</v>
      </c>
      <c r="D1079" s="1">
        <v>218900.0</v>
      </c>
      <c r="E1079" s="1">
        <v>1.839</v>
      </c>
      <c r="F1079" s="1">
        <v>29189.0</v>
      </c>
      <c r="G1079" s="1">
        <v>2.91892189E10</v>
      </c>
      <c r="H1079" s="1" t="s">
        <v>112</v>
      </c>
      <c r="I1079" s="1" t="s">
        <v>113</v>
      </c>
      <c r="J1079" s="1" t="s">
        <v>4566</v>
      </c>
      <c r="K1079" s="1" t="s">
        <v>4847</v>
      </c>
      <c r="L1079" s="1">
        <v>6269.0</v>
      </c>
      <c r="M1079" s="1">
        <v>6475.0</v>
      </c>
      <c r="N1079" s="1">
        <v>387.0</v>
      </c>
      <c r="O1079" s="1">
        <v>2965.0</v>
      </c>
      <c r="P1079" s="1">
        <v>3018.0</v>
      </c>
      <c r="Q1079" s="1">
        <v>176.0</v>
      </c>
      <c r="R1079" s="1">
        <v>2741.0</v>
      </c>
      <c r="S1079" s="1">
        <v>382.0</v>
      </c>
      <c r="T1079" s="1">
        <v>174.0</v>
      </c>
      <c r="U1079" s="1">
        <v>365.0</v>
      </c>
      <c r="V1079" s="1">
        <v>363.0</v>
      </c>
      <c r="W1079" s="1">
        <v>27049.0</v>
      </c>
      <c r="X1079" s="1">
        <v>1715.0</v>
      </c>
      <c r="Y1079" s="1">
        <v>294.0</v>
      </c>
      <c r="Z1079" s="1">
        <v>306.0</v>
      </c>
      <c r="AA1079" s="1">
        <v>780.0</v>
      </c>
      <c r="AB1079" s="1">
        <v>1361.0</v>
      </c>
      <c r="AC1079" s="1">
        <v>296.0</v>
      </c>
      <c r="AD1079" s="1">
        <v>2427.0</v>
      </c>
      <c r="AE1079" s="1">
        <v>69.0</v>
      </c>
      <c r="AF1079" s="1">
        <v>416.0</v>
      </c>
      <c r="AG1079" s="1">
        <v>171.0</v>
      </c>
      <c r="AH1079" s="1">
        <v>82.0</v>
      </c>
      <c r="AI1079" s="1">
        <v>0.0</v>
      </c>
      <c r="AJ1079" s="1">
        <v>114.0</v>
      </c>
      <c r="AK1079" s="1">
        <v>22.0</v>
      </c>
      <c r="AL1079" s="1">
        <v>119.0</v>
      </c>
      <c r="AM1079" s="1">
        <v>175.0</v>
      </c>
      <c r="AN1079" s="1">
        <v>104.0</v>
      </c>
      <c r="AO1079" s="1">
        <v>0.0</v>
      </c>
      <c r="AP1079" s="1">
        <v>0.059252</v>
      </c>
      <c r="AQ1079" s="1">
        <v>0.026755</v>
      </c>
      <c r="AR1079" s="1">
        <v>0.096306</v>
      </c>
      <c r="AS1079" s="1">
        <v>0.095318</v>
      </c>
      <c r="AT1079" s="1">
        <v>27049.0</v>
      </c>
      <c r="AU1079" s="1">
        <v>1715.0</v>
      </c>
      <c r="AV1079" s="1">
        <v>0.06513</v>
      </c>
      <c r="AW1079" s="1">
        <v>0.067665</v>
      </c>
      <c r="AX1079" s="1">
        <v>0.124421</v>
      </c>
      <c r="AY1079" s="1">
        <v>0.2171</v>
      </c>
      <c r="AZ1079" s="1">
        <v>0.10798978</v>
      </c>
      <c r="BA1079" s="1">
        <v>0.387143</v>
      </c>
      <c r="BB1079" s="1">
        <v>0.011488</v>
      </c>
      <c r="BC1079" s="1">
        <v>0.069261</v>
      </c>
      <c r="BD1079" s="1">
        <v>0.05666</v>
      </c>
      <c r="BE1079" s="1">
        <v>0.026968</v>
      </c>
      <c r="BF1079" s="1">
        <v>0.0</v>
      </c>
      <c r="BG1079" s="1">
        <v>0.037773</v>
      </c>
      <c r="BH1079" s="1">
        <v>0.007882</v>
      </c>
      <c r="BI1079" s="1">
        <v>0.042633</v>
      </c>
      <c r="BJ1079" s="1">
        <v>0.062701</v>
      </c>
      <c r="BK1079" s="1">
        <v>0.037001</v>
      </c>
      <c r="BL1079" s="1">
        <v>0.0</v>
      </c>
      <c r="BM1079" s="1">
        <v>0.202</v>
      </c>
      <c r="BN1079" s="1">
        <v>0.712</v>
      </c>
      <c r="BO1079" s="1">
        <v>0.2794</v>
      </c>
      <c r="BP1079" s="1">
        <v>0.184</v>
      </c>
      <c r="BQ1079" s="1">
        <v>1.3774</v>
      </c>
      <c r="BR1079" s="1">
        <v>0.3047</v>
      </c>
      <c r="BS1079" s="1">
        <v>0.374</v>
      </c>
      <c r="BT1079" s="1">
        <v>0.283</v>
      </c>
      <c r="BU1079" s="1">
        <v>0.567</v>
      </c>
      <c r="BV1079" s="1">
        <v>1.224</v>
      </c>
      <c r="BW1079" s="1">
        <v>0.251</v>
      </c>
      <c r="BX1079" s="1">
        <v>0.835</v>
      </c>
      <c r="BY1079" s="1">
        <v>0.758</v>
      </c>
      <c r="BZ1079" s="1">
        <v>1.593</v>
      </c>
      <c r="CA1079" s="1">
        <v>0.868</v>
      </c>
      <c r="CB1079" s="1">
        <v>0.675</v>
      </c>
      <c r="CC1079" s="1">
        <v>0.0</v>
      </c>
      <c r="CD1079" s="1">
        <v>0.433</v>
      </c>
      <c r="CE1079" s="1">
        <v>0.583</v>
      </c>
      <c r="CF1079" s="1">
        <v>0.0</v>
      </c>
      <c r="CG1079" s="1">
        <v>1.691</v>
      </c>
      <c r="CH1079" s="1">
        <v>0.231</v>
      </c>
      <c r="CI1079" s="1">
        <v>5.8854</v>
      </c>
      <c r="CJ1079" s="1">
        <v>0.3531</v>
      </c>
      <c r="CK1079" s="1">
        <v>0.0</v>
      </c>
      <c r="CL1079" s="1">
        <v>0.0</v>
      </c>
      <c r="CM1079" s="1">
        <v>0.0</v>
      </c>
      <c r="CN1079" s="1">
        <v>0.0</v>
      </c>
      <c r="CO1079" s="1">
        <v>0.0</v>
      </c>
      <c r="CP1079" s="1">
        <v>0.0</v>
      </c>
      <c r="CQ1079" s="1">
        <v>0.0</v>
      </c>
      <c r="CR1079" s="1">
        <v>0.0</v>
      </c>
      <c r="CS1079" s="1">
        <v>0.0</v>
      </c>
      <c r="CT1079" s="1">
        <v>0.0</v>
      </c>
      <c r="CU1079" s="1">
        <v>0.0</v>
      </c>
      <c r="CV1079" s="1">
        <v>0.0</v>
      </c>
      <c r="CW1079" s="1">
        <v>0.0</v>
      </c>
      <c r="CX1079" s="1">
        <v>0.0</v>
      </c>
      <c r="CY1079" s="1">
        <v>0.0</v>
      </c>
      <c r="CZ1079" s="1">
        <v>0.0</v>
      </c>
      <c r="DA1079" s="1">
        <v>0.0</v>
      </c>
      <c r="DB1079" s="1">
        <v>0.0</v>
      </c>
      <c r="DC1079" s="1">
        <v>0.0</v>
      </c>
      <c r="DD1079" s="1" t="s">
        <v>4848</v>
      </c>
      <c r="DE1079" s="1">
        <v>4.95019218601161E-4</v>
      </c>
      <c r="DF1079" s="2" t="s">
        <v>4849</v>
      </c>
    </row>
    <row r="1080" ht="15.75" customHeight="1">
      <c r="A1080" s="1" t="s">
        <v>4850</v>
      </c>
      <c r="B1080" s="1">
        <v>29.0</v>
      </c>
      <c r="C1080" s="1">
        <v>189.0</v>
      </c>
      <c r="D1080" s="1">
        <v>219100.0</v>
      </c>
      <c r="E1080" s="1">
        <v>0.71</v>
      </c>
      <c r="F1080" s="1">
        <v>29189.0</v>
      </c>
      <c r="G1080" s="1">
        <v>2.91892191E10</v>
      </c>
      <c r="H1080" s="1" t="s">
        <v>112</v>
      </c>
      <c r="I1080" s="1" t="s">
        <v>113</v>
      </c>
      <c r="J1080" s="1" t="s">
        <v>4566</v>
      </c>
      <c r="K1080" s="1" t="s">
        <v>4851</v>
      </c>
      <c r="L1080" s="1">
        <v>4032.0</v>
      </c>
      <c r="M1080" s="1">
        <v>3586.0</v>
      </c>
      <c r="N1080" s="1">
        <v>171.0</v>
      </c>
      <c r="O1080" s="1">
        <v>1789.0</v>
      </c>
      <c r="P1080" s="1">
        <v>1590.0</v>
      </c>
      <c r="Q1080" s="1">
        <v>75.0</v>
      </c>
      <c r="R1080" s="1">
        <v>1654.0</v>
      </c>
      <c r="S1080" s="1">
        <v>210.0</v>
      </c>
      <c r="T1080" s="1">
        <v>111.0</v>
      </c>
      <c r="U1080" s="1">
        <v>50.0</v>
      </c>
      <c r="V1080" s="1">
        <v>428.0</v>
      </c>
      <c r="W1080" s="1">
        <v>41971.0</v>
      </c>
      <c r="X1080" s="1">
        <v>4499.0</v>
      </c>
      <c r="Y1080" s="1">
        <v>75.0</v>
      </c>
      <c r="Z1080" s="1">
        <v>415.0</v>
      </c>
      <c r="AA1080" s="1">
        <v>529.0</v>
      </c>
      <c r="AB1080" s="1">
        <v>1076.0</v>
      </c>
      <c r="AC1080" s="1">
        <v>102.0</v>
      </c>
      <c r="AD1080" s="1">
        <v>251.0</v>
      </c>
      <c r="AE1080" s="1">
        <v>10.0</v>
      </c>
      <c r="AF1080" s="1">
        <v>442.0</v>
      </c>
      <c r="AG1080" s="1">
        <v>62.0</v>
      </c>
      <c r="AH1080" s="1">
        <v>39.0</v>
      </c>
      <c r="AI1080" s="1">
        <v>0.0</v>
      </c>
      <c r="AJ1080" s="1">
        <v>114.0</v>
      </c>
      <c r="AK1080" s="1">
        <v>0.0</v>
      </c>
      <c r="AL1080" s="1">
        <v>161.0</v>
      </c>
      <c r="AM1080" s="1">
        <v>15.0</v>
      </c>
      <c r="AN1080" s="1">
        <v>115.0</v>
      </c>
      <c r="AO1080" s="1">
        <v>0.0</v>
      </c>
      <c r="AP1080" s="1">
        <v>0.05879</v>
      </c>
      <c r="AQ1080" s="1">
        <v>0.030947</v>
      </c>
      <c r="AR1080" s="1">
        <v>0.024485</v>
      </c>
      <c r="AS1080" s="1">
        <v>0.209578</v>
      </c>
      <c r="AT1080" s="1">
        <v>41971.0</v>
      </c>
      <c r="AU1080" s="1">
        <v>4499.0</v>
      </c>
      <c r="AV1080" s="1">
        <v>0.030072</v>
      </c>
      <c r="AW1080" s="1">
        <v>0.166392</v>
      </c>
      <c r="AX1080" s="1">
        <v>0.1312</v>
      </c>
      <c r="AY1080" s="1">
        <v>0.266865</v>
      </c>
      <c r="AZ1080" s="1">
        <v>0.06166868</v>
      </c>
      <c r="BA1080" s="1">
        <v>0.062251</v>
      </c>
      <c r="BB1080" s="1">
        <v>0.002969</v>
      </c>
      <c r="BC1080" s="1">
        <v>0.131235</v>
      </c>
      <c r="BD1080" s="1">
        <v>0.038993</v>
      </c>
      <c r="BE1080" s="1">
        <v>0.024459</v>
      </c>
      <c r="BF1080" s="1">
        <v>0.0</v>
      </c>
      <c r="BG1080" s="1">
        <v>0.071698</v>
      </c>
      <c r="BH1080" s="1">
        <v>0.0</v>
      </c>
      <c r="BI1080" s="1">
        <v>0.110349</v>
      </c>
      <c r="BJ1080" s="1">
        <v>0.010281</v>
      </c>
      <c r="BK1080" s="1">
        <v>0.078819</v>
      </c>
      <c r="BL1080" s="1">
        <v>0.0</v>
      </c>
      <c r="BM1080" s="1">
        <v>0.2</v>
      </c>
      <c r="BN1080" s="1">
        <v>0.048</v>
      </c>
      <c r="BO1080" s="1">
        <v>0.0542</v>
      </c>
      <c r="BP1080" s="1">
        <v>0.064</v>
      </c>
      <c r="BQ1080" s="1">
        <v>0.3662</v>
      </c>
      <c r="BR1080" s="1">
        <v>0.0318</v>
      </c>
      <c r="BS1080" s="1">
        <v>0.428</v>
      </c>
      <c r="BT1080" s="1">
        <v>0.768</v>
      </c>
      <c r="BU1080" s="1">
        <v>0.142</v>
      </c>
      <c r="BV1080" s="1">
        <v>1.338</v>
      </c>
      <c r="BW1080" s="1">
        <v>0.334</v>
      </c>
      <c r="BX1080" s="1">
        <v>0.324</v>
      </c>
      <c r="BY1080" s="1">
        <v>0.447</v>
      </c>
      <c r="BZ1080" s="1">
        <v>0.771</v>
      </c>
      <c r="CA1080" s="1">
        <v>0.376</v>
      </c>
      <c r="CB1080" s="1">
        <v>0.605</v>
      </c>
      <c r="CC1080" s="1">
        <v>0.0</v>
      </c>
      <c r="CD1080" s="1">
        <v>0.0</v>
      </c>
      <c r="CE1080" s="1">
        <v>0.089</v>
      </c>
      <c r="CF1080" s="1">
        <v>0.0</v>
      </c>
      <c r="CG1080" s="1">
        <v>0.694</v>
      </c>
      <c r="CH1080" s="1">
        <v>0.046</v>
      </c>
      <c r="CI1080" s="1">
        <v>3.1692</v>
      </c>
      <c r="CJ1080" s="1">
        <v>0.0274</v>
      </c>
      <c r="CK1080" s="1">
        <v>0.0</v>
      </c>
      <c r="CL1080" s="1">
        <v>0.0</v>
      </c>
      <c r="CM1080" s="1">
        <v>0.0</v>
      </c>
      <c r="CN1080" s="1">
        <v>0.0</v>
      </c>
      <c r="CO1080" s="1">
        <v>0.0</v>
      </c>
      <c r="CP1080" s="1">
        <v>0.0</v>
      </c>
      <c r="CQ1080" s="1">
        <v>0.0</v>
      </c>
      <c r="CR1080" s="1">
        <v>0.0</v>
      </c>
      <c r="CS1080" s="1">
        <v>0.0</v>
      </c>
      <c r="CT1080" s="1">
        <v>0.0</v>
      </c>
      <c r="CU1080" s="1">
        <v>0.0</v>
      </c>
      <c r="CV1080" s="1">
        <v>0.0</v>
      </c>
      <c r="CW1080" s="1">
        <v>0.0</v>
      </c>
      <c r="CX1080" s="1">
        <v>0.0</v>
      </c>
      <c r="CY1080" s="1">
        <v>0.0</v>
      </c>
      <c r="CZ1080" s="1">
        <v>0.0</v>
      </c>
      <c r="DA1080" s="1">
        <v>0.0</v>
      </c>
      <c r="DB1080" s="1">
        <v>0.0</v>
      </c>
      <c r="DC1080" s="1">
        <v>0.0</v>
      </c>
      <c r="DD1080" s="1" t="s">
        <v>4852</v>
      </c>
      <c r="DE1080" s="1">
        <v>1.89376714933676E-4</v>
      </c>
      <c r="DF1080" s="1">
        <v>0.0595312666339558</v>
      </c>
    </row>
    <row r="1081" ht="15.75" customHeight="1">
      <c r="A1081" s="1" t="s">
        <v>4853</v>
      </c>
      <c r="B1081" s="1">
        <v>29.0</v>
      </c>
      <c r="C1081" s="1">
        <v>189.0</v>
      </c>
      <c r="D1081" s="1">
        <v>219200.0</v>
      </c>
      <c r="E1081" s="1">
        <v>0.756</v>
      </c>
      <c r="F1081" s="1">
        <v>29189.0</v>
      </c>
      <c r="G1081" s="1">
        <v>2.91892192E10</v>
      </c>
      <c r="H1081" s="1" t="s">
        <v>112</v>
      </c>
      <c r="I1081" s="1" t="s">
        <v>113</v>
      </c>
      <c r="J1081" s="1" t="s">
        <v>4566</v>
      </c>
      <c r="K1081" s="1" t="s">
        <v>4854</v>
      </c>
      <c r="L1081" s="1">
        <v>2366.0</v>
      </c>
      <c r="M1081" s="1">
        <v>2774.0</v>
      </c>
      <c r="N1081" s="1">
        <v>310.0</v>
      </c>
      <c r="O1081" s="1">
        <v>933.0</v>
      </c>
      <c r="P1081" s="1">
        <v>1104.0</v>
      </c>
      <c r="Q1081" s="1">
        <v>45.0</v>
      </c>
      <c r="R1081" s="1">
        <v>849.0</v>
      </c>
      <c r="S1081" s="1">
        <v>96.0</v>
      </c>
      <c r="T1081" s="1">
        <v>79.0</v>
      </c>
      <c r="U1081" s="1">
        <v>79.0</v>
      </c>
      <c r="V1081" s="1">
        <v>429.0</v>
      </c>
      <c r="W1081" s="1">
        <v>42486.0</v>
      </c>
      <c r="X1081" s="1">
        <v>5584.0</v>
      </c>
      <c r="Y1081" s="1">
        <v>13.0</v>
      </c>
      <c r="Z1081" s="1">
        <v>442.0</v>
      </c>
      <c r="AA1081" s="1">
        <v>295.0</v>
      </c>
      <c r="AB1081" s="1">
        <v>642.0</v>
      </c>
      <c r="AC1081" s="1">
        <v>43.0</v>
      </c>
      <c r="AD1081" s="1">
        <v>250.0</v>
      </c>
      <c r="AE1081" s="1">
        <v>0.0</v>
      </c>
      <c r="AF1081" s="1">
        <v>456.0</v>
      </c>
      <c r="AG1081" s="1">
        <v>373.0</v>
      </c>
      <c r="AH1081" s="1">
        <v>97.0</v>
      </c>
      <c r="AI1081" s="1">
        <v>0.0</v>
      </c>
      <c r="AJ1081" s="1">
        <v>114.0</v>
      </c>
      <c r="AK1081" s="1">
        <v>28.0</v>
      </c>
      <c r="AL1081" s="1">
        <v>121.0</v>
      </c>
      <c r="AM1081" s="1">
        <v>137.0</v>
      </c>
      <c r="AN1081" s="1">
        <v>53.0</v>
      </c>
      <c r="AO1081" s="1">
        <v>182.0</v>
      </c>
      <c r="AP1081" s="1">
        <v>0.03613</v>
      </c>
      <c r="AQ1081" s="1">
        <v>0.029534</v>
      </c>
      <c r="AR1081" s="1">
        <v>0.063099</v>
      </c>
      <c r="AS1081" s="1">
        <v>0.342432</v>
      </c>
      <c r="AT1081" s="1">
        <v>42486.0</v>
      </c>
      <c r="AU1081" s="1">
        <v>5584.0</v>
      </c>
      <c r="AV1081" s="1">
        <v>0.007319</v>
      </c>
      <c r="AW1081" s="1">
        <v>0.248873</v>
      </c>
      <c r="AX1081" s="1">
        <v>0.124683</v>
      </c>
      <c r="AY1081" s="1">
        <v>0.271344</v>
      </c>
      <c r="AZ1081" s="1">
        <v>0.05064782</v>
      </c>
      <c r="BA1081" s="1">
        <v>0.105663</v>
      </c>
      <c r="BB1081" s="1">
        <v>0.0</v>
      </c>
      <c r="BC1081" s="1">
        <v>0.171945</v>
      </c>
      <c r="BD1081" s="1">
        <v>0.337862</v>
      </c>
      <c r="BE1081" s="1">
        <v>0.086776</v>
      </c>
      <c r="BF1081" s="1">
        <v>0.0</v>
      </c>
      <c r="BG1081" s="1">
        <v>0.10326</v>
      </c>
      <c r="BH1081" s="1">
        <v>0.026046</v>
      </c>
      <c r="BI1081" s="1">
        <v>0.112547</v>
      </c>
      <c r="BJ1081" s="1">
        <v>0.127441</v>
      </c>
      <c r="BK1081" s="1">
        <v>0.048715</v>
      </c>
      <c r="BL1081" s="1">
        <v>0.076923</v>
      </c>
      <c r="BM1081" s="1">
        <v>0.107</v>
      </c>
      <c r="BN1081" s="1">
        <v>0.451</v>
      </c>
      <c r="BO1081" s="1">
        <v>0.0513</v>
      </c>
      <c r="BP1081" s="1">
        <v>0.01</v>
      </c>
      <c r="BQ1081" s="1">
        <v>0.6193</v>
      </c>
      <c r="BR1081" s="1">
        <v>0.1025</v>
      </c>
      <c r="BS1081" s="1">
        <v>0.379</v>
      </c>
      <c r="BT1081" s="1">
        <v>0.801</v>
      </c>
      <c r="BU1081" s="1">
        <v>0.075</v>
      </c>
      <c r="BV1081" s="1">
        <v>1.255</v>
      </c>
      <c r="BW1081" s="1">
        <v>0.271</v>
      </c>
      <c r="BX1081" s="1">
        <v>0.492</v>
      </c>
      <c r="BY1081" s="1">
        <v>0.0</v>
      </c>
      <c r="BZ1081" s="1">
        <v>0.492</v>
      </c>
      <c r="CA1081" s="1">
        <v>0.205</v>
      </c>
      <c r="CB1081" s="1">
        <v>0.956</v>
      </c>
      <c r="CC1081" s="1">
        <v>0.0</v>
      </c>
      <c r="CD1081" s="1">
        <v>0.77</v>
      </c>
      <c r="CE1081" s="1">
        <v>0.823</v>
      </c>
      <c r="CF1081" s="1">
        <v>0.93</v>
      </c>
      <c r="CG1081" s="1">
        <v>3.479</v>
      </c>
      <c r="CH1081" s="1">
        <v>0.93</v>
      </c>
      <c r="CI1081" s="1">
        <v>5.8453</v>
      </c>
      <c r="CJ1081" s="1">
        <v>0.3458</v>
      </c>
      <c r="CK1081" s="1">
        <v>0.0</v>
      </c>
      <c r="CL1081" s="1">
        <v>0.0</v>
      </c>
      <c r="CM1081" s="1">
        <v>0.0</v>
      </c>
      <c r="CN1081" s="1">
        <v>0.0</v>
      </c>
      <c r="CO1081" s="1">
        <v>0.0</v>
      </c>
      <c r="CP1081" s="1">
        <v>0.0</v>
      </c>
      <c r="CQ1081" s="1">
        <v>0.0</v>
      </c>
      <c r="CR1081" s="1">
        <v>0.0</v>
      </c>
      <c r="CS1081" s="1">
        <v>0.0</v>
      </c>
      <c r="CT1081" s="1">
        <v>0.0</v>
      </c>
      <c r="CU1081" s="1">
        <v>0.0</v>
      </c>
      <c r="CV1081" s="1">
        <v>0.0</v>
      </c>
      <c r="CW1081" s="1">
        <v>1.0</v>
      </c>
      <c r="CX1081" s="1">
        <v>0.0</v>
      </c>
      <c r="CY1081" s="1">
        <v>0.0</v>
      </c>
      <c r="CZ1081" s="1">
        <v>0.0</v>
      </c>
      <c r="DA1081" s="1">
        <v>1.0</v>
      </c>
      <c r="DB1081" s="1">
        <v>2.0</v>
      </c>
      <c r="DC1081" s="1">
        <v>2.0</v>
      </c>
      <c r="DD1081" s="1" t="s">
        <v>4855</v>
      </c>
      <c r="DE1081" s="1">
        <v>2.04469321384862E-4</v>
      </c>
      <c r="DF1081" s="1">
        <v>0.0661428452060679</v>
      </c>
    </row>
    <row r="1082" ht="15.75" customHeight="1">
      <c r="A1082" s="1" t="s">
        <v>4856</v>
      </c>
      <c r="B1082" s="1">
        <v>29.0</v>
      </c>
      <c r="C1082" s="1">
        <v>189.0</v>
      </c>
      <c r="D1082" s="1">
        <v>220001.0</v>
      </c>
      <c r="E1082" s="1">
        <v>0.865</v>
      </c>
      <c r="F1082" s="1">
        <v>29189.0</v>
      </c>
      <c r="G1082" s="1">
        <v>2.9189220001E10</v>
      </c>
      <c r="H1082" s="1" t="s">
        <v>112</v>
      </c>
      <c r="I1082" s="1" t="s">
        <v>113</v>
      </c>
      <c r="J1082" s="1" t="s">
        <v>4566</v>
      </c>
      <c r="K1082" s="1" t="s">
        <v>4857</v>
      </c>
      <c r="L1082" s="1">
        <v>4991.0</v>
      </c>
      <c r="M1082" s="1">
        <v>4650.0</v>
      </c>
      <c r="N1082" s="1">
        <v>232.0</v>
      </c>
      <c r="O1082" s="1">
        <v>2360.0</v>
      </c>
      <c r="P1082" s="1">
        <v>2315.0</v>
      </c>
      <c r="Q1082" s="1">
        <v>49.0</v>
      </c>
      <c r="R1082" s="1">
        <v>2249.0</v>
      </c>
      <c r="S1082" s="1">
        <v>233.0</v>
      </c>
      <c r="T1082" s="1">
        <v>89.0</v>
      </c>
      <c r="U1082" s="1">
        <v>192.0</v>
      </c>
      <c r="V1082" s="1">
        <v>310.0</v>
      </c>
      <c r="W1082" s="1">
        <v>27915.0</v>
      </c>
      <c r="X1082" s="1">
        <v>2450.0</v>
      </c>
      <c r="Y1082" s="1">
        <v>362.0</v>
      </c>
      <c r="Z1082" s="1">
        <v>229.0</v>
      </c>
      <c r="AA1082" s="1">
        <v>992.0</v>
      </c>
      <c r="AB1082" s="1">
        <v>887.0</v>
      </c>
      <c r="AC1082" s="1">
        <v>148.0</v>
      </c>
      <c r="AD1082" s="1">
        <v>252.0</v>
      </c>
      <c r="AE1082" s="1">
        <v>147.0</v>
      </c>
      <c r="AF1082" s="1">
        <v>405.0</v>
      </c>
      <c r="AG1082" s="1">
        <v>64.0</v>
      </c>
      <c r="AH1082" s="1">
        <v>32.0</v>
      </c>
      <c r="AI1082" s="1">
        <v>0.0</v>
      </c>
      <c r="AJ1082" s="1">
        <v>114.0</v>
      </c>
      <c r="AK1082" s="1">
        <v>12.0</v>
      </c>
      <c r="AL1082" s="1">
        <v>115.0</v>
      </c>
      <c r="AM1082" s="1">
        <v>98.0</v>
      </c>
      <c r="AN1082" s="1">
        <v>44.0</v>
      </c>
      <c r="AO1082" s="1">
        <v>0.0</v>
      </c>
      <c r="AP1082" s="1">
        <v>0.050107</v>
      </c>
      <c r="AQ1082" s="1">
        <v>0.018975</v>
      </c>
      <c r="AR1082" s="1">
        <v>0.07745</v>
      </c>
      <c r="AS1082" s="1">
        <v>0.124832</v>
      </c>
      <c r="AT1082" s="1">
        <v>27915.0</v>
      </c>
      <c r="AU1082" s="1">
        <v>2450.0</v>
      </c>
      <c r="AV1082" s="1">
        <v>0.104473</v>
      </c>
      <c r="AW1082" s="1">
        <v>0.065906</v>
      </c>
      <c r="AX1082" s="1">
        <v>0.198757</v>
      </c>
      <c r="AY1082" s="1">
        <v>0.177719</v>
      </c>
      <c r="AZ1082" s="1">
        <v>0.06580702</v>
      </c>
      <c r="BA1082" s="1">
        <v>0.05049</v>
      </c>
      <c r="BB1082" s="1">
        <v>0.033242</v>
      </c>
      <c r="BC1082" s="1">
        <v>0.09157</v>
      </c>
      <c r="BD1082" s="1">
        <v>0.027645</v>
      </c>
      <c r="BE1082" s="1">
        <v>0.01381</v>
      </c>
      <c r="BF1082" s="1">
        <v>0.0</v>
      </c>
      <c r="BG1082" s="1">
        <v>0.049244</v>
      </c>
      <c r="BH1082" s="1">
        <v>0.005291</v>
      </c>
      <c r="BI1082" s="1">
        <v>0.050705</v>
      </c>
      <c r="BJ1082" s="1">
        <v>0.043209</v>
      </c>
      <c r="BK1082" s="1">
        <v>0.019369</v>
      </c>
      <c r="BL1082" s="1">
        <v>0.0</v>
      </c>
      <c r="BM1082" s="1">
        <v>0.165</v>
      </c>
      <c r="BN1082" s="1">
        <v>0.585</v>
      </c>
      <c r="BO1082" s="1">
        <v>0.2505</v>
      </c>
      <c r="BP1082" s="1">
        <v>0.36</v>
      </c>
      <c r="BQ1082" s="1">
        <v>1.3605</v>
      </c>
      <c r="BR1082" s="1">
        <v>0.3004</v>
      </c>
      <c r="BS1082" s="1">
        <v>0.866</v>
      </c>
      <c r="BT1082" s="1">
        <v>0.114</v>
      </c>
      <c r="BU1082" s="1">
        <v>0.179</v>
      </c>
      <c r="BV1082" s="1">
        <v>1.159</v>
      </c>
      <c r="BW1082" s="1">
        <v>0.203</v>
      </c>
      <c r="BX1082" s="1">
        <v>0.248</v>
      </c>
      <c r="BY1082" s="1">
        <v>0.928</v>
      </c>
      <c r="BZ1082" s="1">
        <v>1.176</v>
      </c>
      <c r="CA1082" s="1">
        <v>0.65</v>
      </c>
      <c r="CB1082" s="1">
        <v>0.53</v>
      </c>
      <c r="CC1082" s="1">
        <v>0.0</v>
      </c>
      <c r="CD1082" s="1">
        <v>0.341</v>
      </c>
      <c r="CE1082" s="1">
        <v>0.425</v>
      </c>
      <c r="CF1082" s="1">
        <v>0.0</v>
      </c>
      <c r="CG1082" s="1">
        <v>1.296</v>
      </c>
      <c r="CH1082" s="1">
        <v>0.125</v>
      </c>
      <c r="CI1082" s="1">
        <v>4.9915</v>
      </c>
      <c r="CJ1082" s="1">
        <v>0.2</v>
      </c>
      <c r="CK1082" s="1">
        <v>0.0</v>
      </c>
      <c r="CL1082" s="1">
        <v>0.0</v>
      </c>
      <c r="CM1082" s="1">
        <v>0.0</v>
      </c>
      <c r="CN1082" s="1">
        <v>0.0</v>
      </c>
      <c r="CO1082" s="1">
        <v>0.0</v>
      </c>
      <c r="CP1082" s="1">
        <v>0.0</v>
      </c>
      <c r="CQ1082" s="1">
        <v>0.0</v>
      </c>
      <c r="CR1082" s="1">
        <v>0.0</v>
      </c>
      <c r="CS1082" s="1">
        <v>0.0</v>
      </c>
      <c r="CT1082" s="1">
        <v>0.0</v>
      </c>
      <c r="CU1082" s="1">
        <v>1.0</v>
      </c>
      <c r="CV1082" s="1">
        <v>1.0</v>
      </c>
      <c r="CW1082" s="1">
        <v>0.0</v>
      </c>
      <c r="CX1082" s="1">
        <v>0.0</v>
      </c>
      <c r="CY1082" s="1">
        <v>0.0</v>
      </c>
      <c r="CZ1082" s="1">
        <v>0.0</v>
      </c>
      <c r="DA1082" s="1">
        <v>0.0</v>
      </c>
      <c r="DB1082" s="1">
        <v>0.0</v>
      </c>
      <c r="DC1082" s="1">
        <v>1.0</v>
      </c>
      <c r="DD1082" s="1" t="s">
        <v>4858</v>
      </c>
      <c r="DE1082" s="1">
        <v>2.3327912081567E-4</v>
      </c>
      <c r="DF1082" s="1">
        <v>0.0657075309458028</v>
      </c>
    </row>
    <row r="1083" ht="15.75" customHeight="1">
      <c r="A1083" s="1" t="s">
        <v>4859</v>
      </c>
      <c r="B1083" s="1">
        <v>29.0</v>
      </c>
      <c r="C1083" s="1">
        <v>189.0</v>
      </c>
      <c r="D1083" s="1">
        <v>220803.0</v>
      </c>
      <c r="E1083" s="1">
        <v>1.724</v>
      </c>
      <c r="F1083" s="1">
        <v>29189.0</v>
      </c>
      <c r="G1083" s="1">
        <v>2.9189220803E10</v>
      </c>
      <c r="H1083" s="1" t="s">
        <v>112</v>
      </c>
      <c r="I1083" s="1" t="s">
        <v>113</v>
      </c>
      <c r="J1083" s="1" t="s">
        <v>4566</v>
      </c>
      <c r="K1083" s="1" t="s">
        <v>4860</v>
      </c>
      <c r="L1083" s="1">
        <v>4761.0</v>
      </c>
      <c r="M1083" s="1">
        <v>4952.0</v>
      </c>
      <c r="N1083" s="1">
        <v>231.0</v>
      </c>
      <c r="O1083" s="1">
        <v>1973.0</v>
      </c>
      <c r="P1083" s="1">
        <v>2024.0</v>
      </c>
      <c r="Q1083" s="1">
        <v>85.0</v>
      </c>
      <c r="R1083" s="1">
        <v>1917.0</v>
      </c>
      <c r="S1083" s="1">
        <v>97.0</v>
      </c>
      <c r="T1083" s="1">
        <v>74.0</v>
      </c>
      <c r="U1083" s="1">
        <v>90.0</v>
      </c>
      <c r="V1083" s="1">
        <v>444.0</v>
      </c>
      <c r="W1083" s="1">
        <v>40527.0</v>
      </c>
      <c r="X1083" s="1">
        <v>3779.0</v>
      </c>
      <c r="Y1083" s="1">
        <v>150.0</v>
      </c>
      <c r="Z1083" s="1">
        <v>329.0</v>
      </c>
      <c r="AA1083" s="1">
        <v>1072.0</v>
      </c>
      <c r="AB1083" s="1">
        <v>1044.0</v>
      </c>
      <c r="AC1083" s="1">
        <v>95.0</v>
      </c>
      <c r="AD1083" s="1">
        <v>309.0</v>
      </c>
      <c r="AE1083" s="1">
        <v>29.0</v>
      </c>
      <c r="AF1083" s="1">
        <v>412.0</v>
      </c>
      <c r="AG1083" s="1">
        <v>0.0</v>
      </c>
      <c r="AH1083" s="1">
        <v>197.0</v>
      </c>
      <c r="AI1083" s="1">
        <v>0.0</v>
      </c>
      <c r="AJ1083" s="1">
        <v>114.0</v>
      </c>
      <c r="AK1083" s="1">
        <v>0.0</v>
      </c>
      <c r="AL1083" s="1">
        <v>161.0</v>
      </c>
      <c r="AM1083" s="1">
        <v>39.0</v>
      </c>
      <c r="AN1083" s="1">
        <v>118.0</v>
      </c>
      <c r="AO1083" s="1">
        <v>61.0</v>
      </c>
      <c r="AP1083" s="1">
        <v>0.019588</v>
      </c>
      <c r="AQ1083" s="1">
        <v>0.014915</v>
      </c>
      <c r="AR1083" s="1">
        <v>0.039028</v>
      </c>
      <c r="AS1083" s="1">
        <v>0.192497</v>
      </c>
      <c r="AT1083" s="1">
        <v>40527.0</v>
      </c>
      <c r="AU1083" s="1">
        <v>3779.0</v>
      </c>
      <c r="AV1083" s="1">
        <v>0.041631</v>
      </c>
      <c r="AW1083" s="1">
        <v>0.091286</v>
      </c>
      <c r="AX1083" s="1">
        <v>0.225162</v>
      </c>
      <c r="AY1083" s="1">
        <v>0.219281</v>
      </c>
      <c r="AZ1083" s="1">
        <v>0.04955659</v>
      </c>
      <c r="BA1083" s="1">
        <v>0.064902</v>
      </c>
      <c r="BB1083" s="1">
        <v>0.006159</v>
      </c>
      <c r="BC1083" s="1">
        <v>0.08751</v>
      </c>
      <c r="BD1083" s="1">
        <v>0.0</v>
      </c>
      <c r="BE1083" s="1">
        <v>0.097332</v>
      </c>
      <c r="BF1083" s="1">
        <v>0.0</v>
      </c>
      <c r="BG1083" s="1">
        <v>0.056324</v>
      </c>
      <c r="BH1083" s="1">
        <v>0.0</v>
      </c>
      <c r="BI1083" s="1">
        <v>0.082606</v>
      </c>
      <c r="BJ1083" s="1">
        <v>0.02001</v>
      </c>
      <c r="BK1083" s="1">
        <v>0.060536</v>
      </c>
      <c r="BL1083" s="1">
        <v>0.012812</v>
      </c>
      <c r="BM1083" s="1">
        <v>0.05</v>
      </c>
      <c r="BN1083" s="1">
        <v>0.176</v>
      </c>
      <c r="BO1083" s="1">
        <v>0.0621</v>
      </c>
      <c r="BP1083" s="1">
        <v>0.101</v>
      </c>
      <c r="BQ1083" s="1">
        <v>0.3891</v>
      </c>
      <c r="BR1083" s="1">
        <v>0.0368</v>
      </c>
      <c r="BS1083" s="1">
        <v>0.943</v>
      </c>
      <c r="BT1083" s="1">
        <v>0.298</v>
      </c>
      <c r="BU1083" s="1">
        <v>0.071</v>
      </c>
      <c r="BV1083" s="1">
        <v>1.312</v>
      </c>
      <c r="BW1083" s="1">
        <v>0.312</v>
      </c>
      <c r="BX1083" s="1">
        <v>0.34</v>
      </c>
      <c r="BY1083" s="1">
        <v>0.605</v>
      </c>
      <c r="BZ1083" s="1">
        <v>0.945</v>
      </c>
      <c r="CA1083" s="1">
        <v>0.507</v>
      </c>
      <c r="CB1083" s="1">
        <v>0.0</v>
      </c>
      <c r="CC1083" s="1">
        <v>0.0</v>
      </c>
      <c r="CD1083" s="1">
        <v>0.0</v>
      </c>
      <c r="CE1083" s="1">
        <v>0.182</v>
      </c>
      <c r="CF1083" s="1">
        <v>0.618</v>
      </c>
      <c r="CG1083" s="1">
        <v>0.8</v>
      </c>
      <c r="CH1083" s="1">
        <v>0.054</v>
      </c>
      <c r="CI1083" s="1">
        <v>3.4461</v>
      </c>
      <c r="CJ1083" s="1">
        <v>0.0426</v>
      </c>
      <c r="CK1083" s="1">
        <v>0.0</v>
      </c>
      <c r="CL1083" s="1">
        <v>0.0</v>
      </c>
      <c r="CM1083" s="1">
        <v>0.0</v>
      </c>
      <c r="CN1083" s="1">
        <v>0.0</v>
      </c>
      <c r="CO1083" s="1">
        <v>0.0</v>
      </c>
      <c r="CP1083" s="1">
        <v>1.0</v>
      </c>
      <c r="CQ1083" s="1">
        <v>0.0</v>
      </c>
      <c r="CR1083" s="1">
        <v>0.0</v>
      </c>
      <c r="CS1083" s="1">
        <v>1.0</v>
      </c>
      <c r="CT1083" s="1">
        <v>0.0</v>
      </c>
      <c r="CU1083" s="1">
        <v>0.0</v>
      </c>
      <c r="CV1083" s="1">
        <v>0.0</v>
      </c>
      <c r="CW1083" s="1">
        <v>0.0</v>
      </c>
      <c r="CX1083" s="1">
        <v>0.0</v>
      </c>
      <c r="CY1083" s="1">
        <v>0.0</v>
      </c>
      <c r="CZ1083" s="1">
        <v>0.0</v>
      </c>
      <c r="DA1083" s="1">
        <v>0.0</v>
      </c>
      <c r="DB1083" s="1">
        <v>0.0</v>
      </c>
      <c r="DC1083" s="1">
        <v>1.0</v>
      </c>
      <c r="DD1083" s="1" t="s">
        <v>4861</v>
      </c>
      <c r="DE1083" s="1">
        <v>4.61349857730092E-4</v>
      </c>
      <c r="DF1083" s="1">
        <v>0.087373724993631</v>
      </c>
    </row>
    <row r="1084" ht="15.75" customHeight="1">
      <c r="A1084" s="1" t="s">
        <v>4862</v>
      </c>
      <c r="B1084" s="1">
        <v>29.0</v>
      </c>
      <c r="C1084" s="1">
        <v>189.0</v>
      </c>
      <c r="D1084" s="1">
        <v>221000.0</v>
      </c>
      <c r="E1084" s="1">
        <v>0.952</v>
      </c>
      <c r="F1084" s="1">
        <v>29189.0</v>
      </c>
      <c r="G1084" s="1">
        <v>2.9189221E10</v>
      </c>
      <c r="H1084" s="1" t="s">
        <v>112</v>
      </c>
      <c r="I1084" s="1" t="s">
        <v>113</v>
      </c>
      <c r="J1084" s="1" t="s">
        <v>4566</v>
      </c>
      <c r="K1084" s="1" t="s">
        <v>4863</v>
      </c>
      <c r="L1084" s="1">
        <v>3354.0</v>
      </c>
      <c r="M1084" s="1">
        <v>2906.0</v>
      </c>
      <c r="N1084" s="1">
        <v>260.0</v>
      </c>
      <c r="O1084" s="1">
        <v>1434.0</v>
      </c>
      <c r="P1084" s="1">
        <v>1368.0</v>
      </c>
      <c r="Q1084" s="1">
        <v>84.0</v>
      </c>
      <c r="R1084" s="1">
        <v>1294.0</v>
      </c>
      <c r="S1084" s="1">
        <v>566.0</v>
      </c>
      <c r="T1084" s="1">
        <v>319.0</v>
      </c>
      <c r="U1084" s="1">
        <v>84.0</v>
      </c>
      <c r="V1084" s="1">
        <v>381.0</v>
      </c>
      <c r="W1084" s="1">
        <v>24676.0</v>
      </c>
      <c r="X1084" s="1">
        <v>3524.0</v>
      </c>
      <c r="Y1084" s="1">
        <v>227.0</v>
      </c>
      <c r="Z1084" s="1">
        <v>301.0</v>
      </c>
      <c r="AA1084" s="1">
        <v>442.0</v>
      </c>
      <c r="AB1084" s="1">
        <v>889.0</v>
      </c>
      <c r="AC1084" s="1">
        <v>216.0</v>
      </c>
      <c r="AD1084" s="1">
        <v>1080.0</v>
      </c>
      <c r="AE1084" s="1">
        <v>13.0</v>
      </c>
      <c r="AF1084" s="1">
        <v>442.0</v>
      </c>
      <c r="AG1084" s="1">
        <v>99.0</v>
      </c>
      <c r="AH1084" s="1">
        <v>127.0</v>
      </c>
      <c r="AI1084" s="1">
        <v>0.0</v>
      </c>
      <c r="AJ1084" s="1">
        <v>114.0</v>
      </c>
      <c r="AK1084" s="1">
        <v>13.0</v>
      </c>
      <c r="AL1084" s="1">
        <v>116.0</v>
      </c>
      <c r="AM1084" s="1">
        <v>33.0</v>
      </c>
      <c r="AN1084" s="1">
        <v>32.0</v>
      </c>
      <c r="AO1084" s="1">
        <v>96.0</v>
      </c>
      <c r="AP1084" s="1">
        <v>0.194769</v>
      </c>
      <c r="AQ1084" s="1">
        <v>0.10838</v>
      </c>
      <c r="AR1084" s="1">
        <v>0.056987</v>
      </c>
      <c r="AS1084" s="1">
        <v>0.258315</v>
      </c>
      <c r="AT1084" s="1">
        <v>24676.0</v>
      </c>
      <c r="AU1084" s="1">
        <v>3524.0</v>
      </c>
      <c r="AV1084" s="1">
        <v>0.118661</v>
      </c>
      <c r="AW1084" s="1">
        <v>0.156849</v>
      </c>
      <c r="AX1084" s="1">
        <v>0.131782</v>
      </c>
      <c r="AY1084" s="1">
        <v>0.265056</v>
      </c>
      <c r="AZ1084" s="1">
        <v>0.16692426</v>
      </c>
      <c r="BA1084" s="1">
        <v>0.322003</v>
      </c>
      <c r="BB1084" s="1">
        <v>0.004718</v>
      </c>
      <c r="BC1084" s="1">
        <v>0.160434</v>
      </c>
      <c r="BD1084" s="1">
        <v>0.072368</v>
      </c>
      <c r="BE1084" s="1">
        <v>0.092729</v>
      </c>
      <c r="BF1084" s="1">
        <v>0.0</v>
      </c>
      <c r="BG1084" s="1">
        <v>0.083333</v>
      </c>
      <c r="BH1084" s="1">
        <v>0.010647</v>
      </c>
      <c r="BI1084" s="1">
        <v>0.094998</v>
      </c>
      <c r="BJ1084" s="1">
        <v>0.027027</v>
      </c>
      <c r="BK1084" s="1">
        <v>0.026077</v>
      </c>
      <c r="BL1084" s="1">
        <v>0.028622</v>
      </c>
      <c r="BM1084" s="1">
        <v>0.715</v>
      </c>
      <c r="BN1084" s="1">
        <v>0.38</v>
      </c>
      <c r="BO1084" s="1">
        <v>0.3625</v>
      </c>
      <c r="BP1084" s="1">
        <v>0.42</v>
      </c>
      <c r="BQ1084" s="1">
        <v>1.8775</v>
      </c>
      <c r="BR1084" s="1">
        <v>0.4563</v>
      </c>
      <c r="BS1084" s="1">
        <v>0.433</v>
      </c>
      <c r="BT1084" s="1">
        <v>0.751</v>
      </c>
      <c r="BU1084" s="1">
        <v>0.838</v>
      </c>
      <c r="BV1084" s="1">
        <v>2.022</v>
      </c>
      <c r="BW1084" s="1">
        <v>0.871</v>
      </c>
      <c r="BX1084" s="1">
        <v>0.804</v>
      </c>
      <c r="BY1084" s="1">
        <v>0.547</v>
      </c>
      <c r="BZ1084" s="1">
        <v>1.351</v>
      </c>
      <c r="CA1084" s="1">
        <v>0.738</v>
      </c>
      <c r="CB1084" s="1">
        <v>0.72</v>
      </c>
      <c r="CC1084" s="1">
        <v>0.0</v>
      </c>
      <c r="CD1084" s="1">
        <v>0.491</v>
      </c>
      <c r="CE1084" s="1">
        <v>0.26</v>
      </c>
      <c r="CF1084" s="1">
        <v>0.799</v>
      </c>
      <c r="CG1084" s="1">
        <v>2.27</v>
      </c>
      <c r="CH1084" s="1">
        <v>0.448</v>
      </c>
      <c r="CI1084" s="1">
        <v>7.5205</v>
      </c>
      <c r="CJ1084" s="1">
        <v>0.6368</v>
      </c>
      <c r="CK1084" s="1">
        <v>0.0</v>
      </c>
      <c r="CL1084" s="1">
        <v>0.0</v>
      </c>
      <c r="CM1084" s="1">
        <v>0.0</v>
      </c>
      <c r="CN1084" s="1">
        <v>0.0</v>
      </c>
      <c r="CO1084" s="1">
        <v>0.0</v>
      </c>
      <c r="CP1084" s="1">
        <v>0.0</v>
      </c>
      <c r="CQ1084" s="1">
        <v>0.0</v>
      </c>
      <c r="CR1084" s="1">
        <v>0.0</v>
      </c>
      <c r="CS1084" s="1">
        <v>0.0</v>
      </c>
      <c r="CT1084" s="1">
        <v>0.0</v>
      </c>
      <c r="CU1084" s="1">
        <v>0.0</v>
      </c>
      <c r="CV1084" s="1">
        <v>0.0</v>
      </c>
      <c r="CW1084" s="1">
        <v>0.0</v>
      </c>
      <c r="CX1084" s="1">
        <v>0.0</v>
      </c>
      <c r="CY1084" s="1">
        <v>0.0</v>
      </c>
      <c r="CZ1084" s="1">
        <v>0.0</v>
      </c>
      <c r="DA1084" s="1">
        <v>0.0</v>
      </c>
      <c r="DB1084" s="1">
        <v>0.0</v>
      </c>
      <c r="DC1084" s="1">
        <v>0.0</v>
      </c>
      <c r="DD1084" s="1" t="s">
        <v>4864</v>
      </c>
      <c r="DE1084" s="1">
        <v>2.52248785869056E-4</v>
      </c>
      <c r="DF1084" s="1">
        <v>0.0696116966956609</v>
      </c>
    </row>
    <row r="1085" ht="15.75" customHeight="1">
      <c r="A1085" s="1" t="s">
        <v>4865</v>
      </c>
      <c r="B1085" s="1">
        <v>29.0</v>
      </c>
      <c r="C1085" s="1">
        <v>189.0</v>
      </c>
      <c r="D1085" s="1">
        <v>221100.0</v>
      </c>
      <c r="E1085" s="1">
        <v>1.752</v>
      </c>
      <c r="F1085" s="1">
        <v>29189.0</v>
      </c>
      <c r="G1085" s="1">
        <v>2.91892211E10</v>
      </c>
      <c r="H1085" s="1" t="s">
        <v>112</v>
      </c>
      <c r="I1085" s="1" t="s">
        <v>113</v>
      </c>
      <c r="J1085" s="1" t="s">
        <v>4566</v>
      </c>
      <c r="K1085" s="1" t="s">
        <v>4866</v>
      </c>
      <c r="L1085" s="1">
        <v>1833.0</v>
      </c>
      <c r="M1085" s="1">
        <v>1716.0</v>
      </c>
      <c r="N1085" s="1">
        <v>159.0</v>
      </c>
      <c r="O1085" s="1">
        <v>759.0</v>
      </c>
      <c r="P1085" s="1">
        <v>795.0</v>
      </c>
      <c r="Q1085" s="1">
        <v>26.0</v>
      </c>
      <c r="R1085" s="1">
        <v>726.0</v>
      </c>
      <c r="S1085" s="1">
        <v>21.0</v>
      </c>
      <c r="T1085" s="1">
        <v>119.0</v>
      </c>
      <c r="U1085" s="1">
        <v>26.0</v>
      </c>
      <c r="V1085" s="1">
        <v>471.0</v>
      </c>
      <c r="W1085" s="1">
        <v>64575.0</v>
      </c>
      <c r="X1085" s="1">
        <v>11866.0</v>
      </c>
      <c r="Y1085" s="1">
        <v>0.0</v>
      </c>
      <c r="Z1085" s="1">
        <v>456.0</v>
      </c>
      <c r="AA1085" s="1">
        <v>363.0</v>
      </c>
      <c r="AB1085" s="1">
        <v>454.0</v>
      </c>
      <c r="AC1085" s="1">
        <v>53.0</v>
      </c>
      <c r="AD1085" s="1">
        <v>119.0</v>
      </c>
      <c r="AE1085" s="1">
        <v>12.0</v>
      </c>
      <c r="AF1085" s="1">
        <v>442.0</v>
      </c>
      <c r="AG1085" s="1">
        <v>5.0</v>
      </c>
      <c r="AH1085" s="1">
        <v>161.0</v>
      </c>
      <c r="AI1085" s="1">
        <v>0.0</v>
      </c>
      <c r="AJ1085" s="1">
        <v>114.0</v>
      </c>
      <c r="AK1085" s="1">
        <v>0.0</v>
      </c>
      <c r="AL1085" s="1">
        <v>161.0</v>
      </c>
      <c r="AM1085" s="1">
        <v>41.0</v>
      </c>
      <c r="AN1085" s="1">
        <v>124.0</v>
      </c>
      <c r="AO1085" s="1">
        <v>17.0</v>
      </c>
      <c r="AP1085" s="1">
        <v>0.012237</v>
      </c>
      <c r="AQ1085" s="1">
        <v>0.069338</v>
      </c>
      <c r="AR1085" s="1">
        <v>0.034805</v>
      </c>
      <c r="AS1085" s="1">
        <v>0.630425</v>
      </c>
      <c r="AT1085" s="1">
        <v>64575.0</v>
      </c>
      <c r="AU1085" s="1">
        <v>11866.0</v>
      </c>
      <c r="AV1085" s="1">
        <v>0.0</v>
      </c>
      <c r="AW1085" s="1">
        <v>0.377171</v>
      </c>
      <c r="AX1085" s="1">
        <v>0.198036</v>
      </c>
      <c r="AY1085" s="1">
        <v>0.247681</v>
      </c>
      <c r="AZ1085" s="1">
        <v>0.07300275</v>
      </c>
      <c r="BA1085" s="1">
        <v>0.06492</v>
      </c>
      <c r="BB1085" s="1">
        <v>0.007268</v>
      </c>
      <c r="BC1085" s="1">
        <v>0.267715</v>
      </c>
      <c r="BD1085" s="1">
        <v>0.006289</v>
      </c>
      <c r="BE1085" s="1">
        <v>0.202515</v>
      </c>
      <c r="BF1085" s="1">
        <v>0.0</v>
      </c>
      <c r="BG1085" s="1">
        <v>0.143396</v>
      </c>
      <c r="BH1085" s="1">
        <v>0.0</v>
      </c>
      <c r="BI1085" s="1">
        <v>0.228693</v>
      </c>
      <c r="BJ1085" s="1">
        <v>0.058238</v>
      </c>
      <c r="BK1085" s="1">
        <v>0.176051</v>
      </c>
      <c r="BL1085" s="1">
        <v>0.009274</v>
      </c>
      <c r="BM1085" s="1">
        <v>0.028</v>
      </c>
      <c r="BN1085" s="1">
        <v>0.128</v>
      </c>
      <c r="BO1085" s="1">
        <v>0.0094</v>
      </c>
      <c r="BP1085" s="1">
        <v>0.0</v>
      </c>
      <c r="BQ1085" s="1">
        <v>0.1654</v>
      </c>
      <c r="BR1085" s="1">
        <v>0.0043</v>
      </c>
      <c r="BS1085" s="1">
        <v>0.864</v>
      </c>
      <c r="BT1085" s="1">
        <v>0.571</v>
      </c>
      <c r="BU1085" s="1">
        <v>0.239</v>
      </c>
      <c r="BV1085" s="1">
        <v>1.674</v>
      </c>
      <c r="BW1085" s="1">
        <v>0.621</v>
      </c>
      <c r="BX1085" s="1">
        <v>0.341</v>
      </c>
      <c r="BY1085" s="1">
        <v>0.642</v>
      </c>
      <c r="BZ1085" s="1">
        <v>0.983</v>
      </c>
      <c r="CA1085" s="1">
        <v>0.543</v>
      </c>
      <c r="CB1085" s="1">
        <v>0.343</v>
      </c>
      <c r="CC1085" s="1">
        <v>0.0</v>
      </c>
      <c r="CD1085" s="1">
        <v>0.0</v>
      </c>
      <c r="CE1085" s="1">
        <v>0.558</v>
      </c>
      <c r="CF1085" s="1">
        <v>0.563</v>
      </c>
      <c r="CG1085" s="1">
        <v>1.464</v>
      </c>
      <c r="CH1085" s="1">
        <v>0.162</v>
      </c>
      <c r="CI1085" s="1">
        <v>4.2864</v>
      </c>
      <c r="CJ1085" s="1">
        <v>0.1148</v>
      </c>
      <c r="CK1085" s="1">
        <v>0.0</v>
      </c>
      <c r="CL1085" s="1">
        <v>0.0</v>
      </c>
      <c r="CM1085" s="1">
        <v>0.0</v>
      </c>
      <c r="CN1085" s="1">
        <v>0.0</v>
      </c>
      <c r="CO1085" s="1">
        <v>0.0</v>
      </c>
      <c r="CP1085" s="1">
        <v>0.0</v>
      </c>
      <c r="CQ1085" s="1">
        <v>0.0</v>
      </c>
      <c r="CR1085" s="1">
        <v>0.0</v>
      </c>
      <c r="CS1085" s="1">
        <v>0.0</v>
      </c>
      <c r="CT1085" s="1">
        <v>0.0</v>
      </c>
      <c r="CU1085" s="1">
        <v>0.0</v>
      </c>
      <c r="CV1085" s="1">
        <v>0.0</v>
      </c>
      <c r="CW1085" s="1">
        <v>0.0</v>
      </c>
      <c r="CX1085" s="1">
        <v>0.0</v>
      </c>
      <c r="CY1085" s="1">
        <v>0.0</v>
      </c>
      <c r="CZ1085" s="1">
        <v>0.0</v>
      </c>
      <c r="DA1085" s="1">
        <v>0.0</v>
      </c>
      <c r="DB1085" s="1">
        <v>0.0</v>
      </c>
      <c r="DC1085" s="1">
        <v>0.0</v>
      </c>
      <c r="DD1085" s="1" t="s">
        <v>4867</v>
      </c>
      <c r="DE1085" s="1">
        <v>4.79298331534182E-4</v>
      </c>
      <c r="DF1085" s="1">
        <v>0.0976894888803486</v>
      </c>
    </row>
    <row r="1086" ht="15.75" customHeight="1">
      <c r="A1086" s="1" t="s">
        <v>4868</v>
      </c>
      <c r="B1086" s="1">
        <v>29.0</v>
      </c>
      <c r="C1086" s="1">
        <v>189.0</v>
      </c>
      <c r="D1086" s="1">
        <v>221201.0</v>
      </c>
      <c r="E1086" s="1">
        <v>5.031</v>
      </c>
      <c r="F1086" s="1">
        <v>29189.0</v>
      </c>
      <c r="G1086" s="1">
        <v>2.9189221201E10</v>
      </c>
      <c r="H1086" s="1" t="s">
        <v>112</v>
      </c>
      <c r="I1086" s="1" t="s">
        <v>113</v>
      </c>
      <c r="J1086" s="1" t="s">
        <v>4566</v>
      </c>
      <c r="K1086" s="1" t="s">
        <v>4869</v>
      </c>
      <c r="L1086" s="1">
        <v>3303.0</v>
      </c>
      <c r="M1086" s="1">
        <v>3474.0</v>
      </c>
      <c r="N1086" s="1">
        <v>253.0</v>
      </c>
      <c r="O1086" s="1">
        <v>1523.0</v>
      </c>
      <c r="P1086" s="1">
        <v>1595.0</v>
      </c>
      <c r="Q1086" s="1">
        <v>94.0</v>
      </c>
      <c r="R1086" s="1">
        <v>1408.0</v>
      </c>
      <c r="S1086" s="1">
        <v>289.0</v>
      </c>
      <c r="T1086" s="1">
        <v>203.0</v>
      </c>
      <c r="U1086" s="1">
        <v>51.0</v>
      </c>
      <c r="V1086" s="1">
        <v>472.0</v>
      </c>
      <c r="W1086" s="1">
        <v>62695.0</v>
      </c>
      <c r="X1086" s="1">
        <v>13005.0</v>
      </c>
      <c r="Y1086" s="1">
        <v>198.0</v>
      </c>
      <c r="Z1086" s="1">
        <v>349.0</v>
      </c>
      <c r="AA1086" s="1">
        <v>1053.0</v>
      </c>
      <c r="AB1086" s="1">
        <v>614.0</v>
      </c>
      <c r="AC1086" s="1">
        <v>33.0</v>
      </c>
      <c r="AD1086" s="1">
        <v>204.0</v>
      </c>
      <c r="AE1086" s="1">
        <v>33.0</v>
      </c>
      <c r="AF1086" s="1">
        <v>412.0</v>
      </c>
      <c r="AG1086" s="1">
        <v>428.0</v>
      </c>
      <c r="AH1086" s="1">
        <v>89.0</v>
      </c>
      <c r="AI1086" s="1">
        <v>0.0</v>
      </c>
      <c r="AJ1086" s="1">
        <v>114.0</v>
      </c>
      <c r="AK1086" s="1">
        <v>0.0</v>
      </c>
      <c r="AL1086" s="1">
        <v>161.0</v>
      </c>
      <c r="AM1086" s="1">
        <v>200.0</v>
      </c>
      <c r="AN1086" s="1">
        <v>101.0</v>
      </c>
      <c r="AO1086" s="1">
        <v>124.0</v>
      </c>
      <c r="AP1086" s="1">
        <v>0.086088</v>
      </c>
      <c r="AQ1086" s="1">
        <v>0.060179</v>
      </c>
      <c r="AR1086" s="1">
        <v>0.041803</v>
      </c>
      <c r="AS1086" s="1">
        <v>0.386803</v>
      </c>
      <c r="AT1086" s="1">
        <v>62695.0</v>
      </c>
      <c r="AU1086" s="1">
        <v>13005.0</v>
      </c>
      <c r="AV1086" s="1">
        <v>0.077464</v>
      </c>
      <c r="AW1086" s="1">
        <v>0.136391</v>
      </c>
      <c r="AX1086" s="1">
        <v>0.318801</v>
      </c>
      <c r="AY1086" s="1">
        <v>0.185891</v>
      </c>
      <c r="AZ1086" s="1">
        <v>0.0234375</v>
      </c>
      <c r="BA1086" s="1">
        <v>0.061762</v>
      </c>
      <c r="BB1086" s="1">
        <v>0.009969</v>
      </c>
      <c r="BC1086" s="1">
        <v>0.124469</v>
      </c>
      <c r="BD1086" s="1">
        <v>0.268338</v>
      </c>
      <c r="BE1086" s="1">
        <v>0.053511</v>
      </c>
      <c r="BF1086" s="1">
        <v>0.0</v>
      </c>
      <c r="BG1086" s="1">
        <v>0.071473</v>
      </c>
      <c r="BH1086" s="1">
        <v>0.0</v>
      </c>
      <c r="BI1086" s="1">
        <v>0.112351</v>
      </c>
      <c r="BJ1086" s="1">
        <v>0.139567</v>
      </c>
      <c r="BK1086" s="1">
        <v>0.069505</v>
      </c>
      <c r="BL1086" s="1">
        <v>0.037541</v>
      </c>
      <c r="BM1086" s="1">
        <v>0.32</v>
      </c>
      <c r="BN1086" s="1">
        <v>0.203</v>
      </c>
      <c r="BO1086" s="1">
        <v>0.0108</v>
      </c>
      <c r="BP1086" s="1">
        <v>0.236</v>
      </c>
      <c r="BQ1086" s="1">
        <v>0.7698</v>
      </c>
      <c r="BR1086" s="1">
        <v>0.1487</v>
      </c>
      <c r="BS1086" s="1">
        <v>0.992</v>
      </c>
      <c r="BT1086" s="1">
        <v>0.136</v>
      </c>
      <c r="BU1086" s="1">
        <v>0.01</v>
      </c>
      <c r="BV1086" s="1">
        <v>1.138</v>
      </c>
      <c r="BW1086" s="1">
        <v>0.192</v>
      </c>
      <c r="BX1086" s="1">
        <v>0.321</v>
      </c>
      <c r="BY1086" s="1">
        <v>0.723</v>
      </c>
      <c r="BZ1086" s="1">
        <v>1.044</v>
      </c>
      <c r="CA1086" s="1">
        <v>0.577</v>
      </c>
      <c r="CB1086" s="1">
        <v>0.928</v>
      </c>
      <c r="CC1086" s="1">
        <v>0.0</v>
      </c>
      <c r="CD1086" s="1">
        <v>0.0</v>
      </c>
      <c r="CE1086" s="1">
        <v>0.847</v>
      </c>
      <c r="CF1086" s="1">
        <v>0.856</v>
      </c>
      <c r="CG1086" s="1">
        <v>2.631</v>
      </c>
      <c r="CH1086" s="1">
        <v>0.614</v>
      </c>
      <c r="CI1086" s="1">
        <v>5.5828</v>
      </c>
      <c r="CJ1086" s="1">
        <v>0.2946</v>
      </c>
      <c r="CK1086" s="1">
        <v>0.0</v>
      </c>
      <c r="CL1086" s="1">
        <v>0.0</v>
      </c>
      <c r="CM1086" s="1">
        <v>0.0</v>
      </c>
      <c r="CN1086" s="1">
        <v>0.0</v>
      </c>
      <c r="CO1086" s="1">
        <v>0.0</v>
      </c>
      <c r="CP1086" s="1">
        <v>1.0</v>
      </c>
      <c r="CQ1086" s="1">
        <v>0.0</v>
      </c>
      <c r="CR1086" s="1">
        <v>0.0</v>
      </c>
      <c r="CS1086" s="1">
        <v>1.0</v>
      </c>
      <c r="CT1086" s="1">
        <v>0.0</v>
      </c>
      <c r="CU1086" s="1">
        <v>0.0</v>
      </c>
      <c r="CV1086" s="1">
        <v>0.0</v>
      </c>
      <c r="CW1086" s="1">
        <v>1.0</v>
      </c>
      <c r="CX1086" s="1">
        <v>0.0</v>
      </c>
      <c r="CY1086" s="1">
        <v>0.0</v>
      </c>
      <c r="CZ1086" s="1">
        <v>0.0</v>
      </c>
      <c r="DA1086" s="1">
        <v>0.0</v>
      </c>
      <c r="DB1086" s="1">
        <v>1.0</v>
      </c>
      <c r="DC1086" s="1">
        <v>2.0</v>
      </c>
      <c r="DD1086" s="1" t="s">
        <v>4870</v>
      </c>
      <c r="DE1086" s="1">
        <v>0.00135529540828079</v>
      </c>
      <c r="DF1086" s="2" t="s">
        <v>4871</v>
      </c>
    </row>
    <row r="1087" ht="15.75" customHeight="1">
      <c r="A1087" s="1" t="s">
        <v>4872</v>
      </c>
      <c r="B1087" s="1">
        <v>29.0</v>
      </c>
      <c r="C1087" s="1">
        <v>189.0</v>
      </c>
      <c r="D1087" s="1">
        <v>221202.0</v>
      </c>
      <c r="E1087" s="1">
        <v>4.023</v>
      </c>
      <c r="F1087" s="1">
        <v>29189.0</v>
      </c>
      <c r="G1087" s="1">
        <v>2.9189221202E10</v>
      </c>
      <c r="H1087" s="1" t="s">
        <v>112</v>
      </c>
      <c r="I1087" s="1" t="s">
        <v>113</v>
      </c>
      <c r="J1087" s="1" t="s">
        <v>4566</v>
      </c>
      <c r="K1087" s="1" t="s">
        <v>4873</v>
      </c>
      <c r="L1087" s="1">
        <v>6067.0</v>
      </c>
      <c r="M1087" s="1">
        <v>6488.0</v>
      </c>
      <c r="N1087" s="1">
        <v>400.0</v>
      </c>
      <c r="O1087" s="1">
        <v>2866.0</v>
      </c>
      <c r="P1087" s="1">
        <v>2867.0</v>
      </c>
      <c r="Q1087" s="1">
        <v>111.0</v>
      </c>
      <c r="R1087" s="1">
        <v>2676.0</v>
      </c>
      <c r="S1087" s="1">
        <v>267.0</v>
      </c>
      <c r="T1087" s="1">
        <v>129.0</v>
      </c>
      <c r="U1087" s="1">
        <v>120.0</v>
      </c>
      <c r="V1087" s="1">
        <v>383.0</v>
      </c>
      <c r="W1087" s="1">
        <v>46653.0</v>
      </c>
      <c r="X1087" s="1">
        <v>8514.0</v>
      </c>
      <c r="Y1087" s="1">
        <v>418.0</v>
      </c>
      <c r="Z1087" s="1">
        <v>313.0</v>
      </c>
      <c r="AA1087" s="1">
        <v>1674.0</v>
      </c>
      <c r="AB1087" s="1">
        <v>1193.0</v>
      </c>
      <c r="AC1087" s="1">
        <v>144.0</v>
      </c>
      <c r="AD1087" s="1">
        <v>316.0</v>
      </c>
      <c r="AE1087" s="1">
        <v>60.0</v>
      </c>
      <c r="AF1087" s="1">
        <v>398.0</v>
      </c>
      <c r="AG1087" s="1">
        <v>355.0</v>
      </c>
      <c r="AH1087" s="1">
        <v>139.0</v>
      </c>
      <c r="AI1087" s="1">
        <v>12.0</v>
      </c>
      <c r="AJ1087" s="1">
        <v>19.0</v>
      </c>
      <c r="AK1087" s="1">
        <v>28.0</v>
      </c>
      <c r="AL1087" s="1">
        <v>118.0</v>
      </c>
      <c r="AM1087" s="1">
        <v>228.0</v>
      </c>
      <c r="AN1087" s="1">
        <v>97.0</v>
      </c>
      <c r="AO1087" s="1">
        <v>120.0</v>
      </c>
      <c r="AP1087" s="1">
        <v>0.041738</v>
      </c>
      <c r="AQ1087" s="1">
        <v>0.020015</v>
      </c>
      <c r="AR1087" s="1">
        <v>0.045489</v>
      </c>
      <c r="AS1087" s="1">
        <v>0.145108</v>
      </c>
      <c r="AT1087" s="1">
        <v>46653.0</v>
      </c>
      <c r="AU1087" s="1">
        <v>8514.0</v>
      </c>
      <c r="AV1087" s="1">
        <v>0.090397</v>
      </c>
      <c r="AW1087" s="1">
        <v>0.067522</v>
      </c>
      <c r="AX1087" s="1">
        <v>0.275918</v>
      </c>
      <c r="AY1087" s="1">
        <v>0.196637</v>
      </c>
      <c r="AZ1087" s="1">
        <v>0.05381165</v>
      </c>
      <c r="BA1087" s="1">
        <v>0.052085</v>
      </c>
      <c r="BB1087" s="1">
        <v>0.009487</v>
      </c>
      <c r="BC1087" s="1">
        <v>0.062932</v>
      </c>
      <c r="BD1087" s="1">
        <v>0.123822</v>
      </c>
      <c r="BE1087" s="1">
        <v>0.048245</v>
      </c>
      <c r="BF1087" s="1">
        <v>0.004185</v>
      </c>
      <c r="BG1087" s="1">
        <v>0.006625</v>
      </c>
      <c r="BH1087" s="1">
        <v>0.010017</v>
      </c>
      <c r="BI1087" s="1">
        <v>0.042215</v>
      </c>
      <c r="BJ1087" s="1">
        <v>0.081574</v>
      </c>
      <c r="BK1087" s="1">
        <v>0.03449</v>
      </c>
      <c r="BL1087" s="1">
        <v>0.019779</v>
      </c>
      <c r="BM1087" s="1">
        <v>0.127</v>
      </c>
      <c r="BN1087" s="1">
        <v>0.243</v>
      </c>
      <c r="BO1087" s="1">
        <v>0.0347</v>
      </c>
      <c r="BP1087" s="1">
        <v>0.294</v>
      </c>
      <c r="BQ1087" s="1">
        <v>0.6987</v>
      </c>
      <c r="BR1087" s="1">
        <v>0.122</v>
      </c>
      <c r="BS1087" s="1">
        <v>0.983</v>
      </c>
      <c r="BT1087" s="1">
        <v>0.176</v>
      </c>
      <c r="BU1087" s="1">
        <v>0.097</v>
      </c>
      <c r="BV1087" s="1">
        <v>1.256</v>
      </c>
      <c r="BW1087" s="1">
        <v>0.272</v>
      </c>
      <c r="BX1087" s="1">
        <v>0.264</v>
      </c>
      <c r="BY1087" s="1">
        <v>0.706</v>
      </c>
      <c r="BZ1087" s="1">
        <v>0.97</v>
      </c>
      <c r="CA1087" s="1">
        <v>0.526</v>
      </c>
      <c r="CB1087" s="1">
        <v>0.805</v>
      </c>
      <c r="CC1087" s="1">
        <v>0.379</v>
      </c>
      <c r="CD1087" s="1">
        <v>0.475</v>
      </c>
      <c r="CE1087" s="1">
        <v>0.684</v>
      </c>
      <c r="CF1087" s="1">
        <v>0.706</v>
      </c>
      <c r="CG1087" s="1">
        <v>3.049</v>
      </c>
      <c r="CH1087" s="1">
        <v>0.794</v>
      </c>
      <c r="CI1087" s="1">
        <v>5.9737</v>
      </c>
      <c r="CJ1087" s="1">
        <v>0.3682</v>
      </c>
      <c r="CK1087" s="1">
        <v>0.0</v>
      </c>
      <c r="CL1087" s="1">
        <v>0.0</v>
      </c>
      <c r="CM1087" s="1">
        <v>0.0</v>
      </c>
      <c r="CN1087" s="1">
        <v>0.0</v>
      </c>
      <c r="CO1087" s="1">
        <v>0.0</v>
      </c>
      <c r="CP1087" s="1">
        <v>1.0</v>
      </c>
      <c r="CQ1087" s="1">
        <v>0.0</v>
      </c>
      <c r="CR1087" s="1">
        <v>0.0</v>
      </c>
      <c r="CS1087" s="1">
        <v>1.0</v>
      </c>
      <c r="CT1087" s="1">
        <v>0.0</v>
      </c>
      <c r="CU1087" s="1">
        <v>0.0</v>
      </c>
      <c r="CV1087" s="1">
        <v>0.0</v>
      </c>
      <c r="CW1087" s="1">
        <v>0.0</v>
      </c>
      <c r="CX1087" s="1">
        <v>0.0</v>
      </c>
      <c r="CY1087" s="1">
        <v>0.0</v>
      </c>
      <c r="CZ1087" s="1">
        <v>0.0</v>
      </c>
      <c r="DA1087" s="1">
        <v>0.0</v>
      </c>
      <c r="DB1087" s="1">
        <v>0.0</v>
      </c>
      <c r="DC1087" s="1">
        <v>1.0</v>
      </c>
      <c r="DD1087" s="1" t="s">
        <v>4874</v>
      </c>
      <c r="DE1087" s="1">
        <v>0.00109931150239777</v>
      </c>
      <c r="DF1087" s="2" t="s">
        <v>4875</v>
      </c>
    </row>
    <row r="1088" ht="15.75" customHeight="1">
      <c r="A1088" s="1" t="s">
        <v>4876</v>
      </c>
      <c r="B1088" s="1">
        <v>29.0</v>
      </c>
      <c r="C1088" s="1">
        <v>189.0</v>
      </c>
      <c r="D1088" s="1">
        <v>221301.0</v>
      </c>
      <c r="E1088" s="1">
        <v>2.936</v>
      </c>
      <c r="F1088" s="1">
        <v>29189.0</v>
      </c>
      <c r="G1088" s="1">
        <v>2.9189221301E10</v>
      </c>
      <c r="H1088" s="1" t="s">
        <v>112</v>
      </c>
      <c r="I1088" s="1" t="s">
        <v>113</v>
      </c>
      <c r="J1088" s="1" t="s">
        <v>4566</v>
      </c>
      <c r="K1088" s="1" t="s">
        <v>4877</v>
      </c>
      <c r="L1088" s="1">
        <v>7345.0</v>
      </c>
      <c r="M1088" s="1">
        <v>7183.0</v>
      </c>
      <c r="N1088" s="1">
        <v>269.0</v>
      </c>
      <c r="O1088" s="1">
        <v>3292.0</v>
      </c>
      <c r="P1088" s="1">
        <v>3175.0</v>
      </c>
      <c r="Q1088" s="1">
        <v>71.0</v>
      </c>
      <c r="R1088" s="1">
        <v>3165.0</v>
      </c>
      <c r="S1088" s="1">
        <v>142.0</v>
      </c>
      <c r="T1088" s="1">
        <v>69.0</v>
      </c>
      <c r="U1088" s="1">
        <v>170.0</v>
      </c>
      <c r="V1088" s="1">
        <v>452.0</v>
      </c>
      <c r="W1088" s="1">
        <v>31888.0</v>
      </c>
      <c r="X1088" s="1">
        <v>2084.0</v>
      </c>
      <c r="Y1088" s="1">
        <v>272.0</v>
      </c>
      <c r="Z1088" s="1">
        <v>296.0</v>
      </c>
      <c r="AA1088" s="1">
        <v>1584.0</v>
      </c>
      <c r="AB1088" s="1">
        <v>1487.0</v>
      </c>
      <c r="AC1088" s="1">
        <v>184.0</v>
      </c>
      <c r="AD1088" s="1">
        <v>408.0</v>
      </c>
      <c r="AE1088" s="1">
        <v>0.0</v>
      </c>
      <c r="AF1088" s="1">
        <v>456.0</v>
      </c>
      <c r="AG1088" s="1">
        <v>423.0</v>
      </c>
      <c r="AH1088" s="1">
        <v>153.0</v>
      </c>
      <c r="AI1088" s="1">
        <v>0.0</v>
      </c>
      <c r="AJ1088" s="1">
        <v>114.0</v>
      </c>
      <c r="AK1088" s="1">
        <v>0.0</v>
      </c>
      <c r="AL1088" s="1">
        <v>161.0</v>
      </c>
      <c r="AM1088" s="1">
        <v>122.0</v>
      </c>
      <c r="AN1088" s="1">
        <v>59.0</v>
      </c>
      <c r="AO1088" s="1">
        <v>9.0</v>
      </c>
      <c r="AP1088" s="1">
        <v>0.019904</v>
      </c>
      <c r="AQ1088" s="1">
        <v>0.00964</v>
      </c>
      <c r="AR1088" s="1">
        <v>0.046308</v>
      </c>
      <c r="AS1088" s="1">
        <v>0.123053</v>
      </c>
      <c r="AT1088" s="1">
        <v>31888.0</v>
      </c>
      <c r="AU1088" s="1">
        <v>2084.0</v>
      </c>
      <c r="AV1088" s="1">
        <v>0.053427</v>
      </c>
      <c r="AW1088" s="1">
        <v>0.058095</v>
      </c>
      <c r="AX1088" s="1">
        <v>0.215656</v>
      </c>
      <c r="AY1088" s="1">
        <v>0.20245</v>
      </c>
      <c r="AZ1088" s="1">
        <v>0.05813586</v>
      </c>
      <c r="BA1088" s="1">
        <v>0.055547</v>
      </c>
      <c r="BB1088" s="1">
        <v>0.0</v>
      </c>
      <c r="BC1088" s="1">
        <v>0.067167</v>
      </c>
      <c r="BD1088" s="1">
        <v>0.133228</v>
      </c>
      <c r="BE1088" s="1">
        <v>0.048096</v>
      </c>
      <c r="BF1088" s="1">
        <v>0.0</v>
      </c>
      <c r="BG1088" s="1">
        <v>0.035905</v>
      </c>
      <c r="BH1088" s="1">
        <v>0.0</v>
      </c>
      <c r="BI1088" s="1">
        <v>0.051635</v>
      </c>
      <c r="BJ1088" s="1">
        <v>0.039127</v>
      </c>
      <c r="BK1088" s="1">
        <v>0.018885</v>
      </c>
      <c r="BL1088" s="1">
        <v>0.001225</v>
      </c>
      <c r="BM1088" s="1">
        <v>0.055</v>
      </c>
      <c r="BN1088" s="1">
        <v>0.253</v>
      </c>
      <c r="BO1088" s="1">
        <v>0.156</v>
      </c>
      <c r="BP1088" s="1">
        <v>0.141</v>
      </c>
      <c r="BQ1088" s="1">
        <v>0.605</v>
      </c>
      <c r="BR1088" s="1">
        <v>0.0975</v>
      </c>
      <c r="BS1088" s="1">
        <v>0.922</v>
      </c>
      <c r="BT1088" s="1">
        <v>0.195</v>
      </c>
      <c r="BU1088" s="1">
        <v>0.121</v>
      </c>
      <c r="BV1088" s="1">
        <v>1.238</v>
      </c>
      <c r="BW1088" s="1">
        <v>0.257</v>
      </c>
      <c r="BX1088" s="1">
        <v>0.287</v>
      </c>
      <c r="BY1088" s="1">
        <v>0.0</v>
      </c>
      <c r="BZ1088" s="1">
        <v>0.287</v>
      </c>
      <c r="CA1088" s="1">
        <v>0.122</v>
      </c>
      <c r="CB1088" s="1">
        <v>0.817</v>
      </c>
      <c r="CC1088" s="1">
        <v>0.0</v>
      </c>
      <c r="CD1088" s="1">
        <v>0.0</v>
      </c>
      <c r="CE1088" s="1">
        <v>0.382</v>
      </c>
      <c r="CF1088" s="1">
        <v>0.413</v>
      </c>
      <c r="CG1088" s="1">
        <v>1.612</v>
      </c>
      <c r="CH1088" s="1">
        <v>0.203</v>
      </c>
      <c r="CI1088" s="1">
        <v>3.742</v>
      </c>
      <c r="CJ1088" s="1">
        <v>0.0621</v>
      </c>
      <c r="CK1088" s="1">
        <v>0.0</v>
      </c>
      <c r="CL1088" s="1">
        <v>0.0</v>
      </c>
      <c r="CM1088" s="1">
        <v>0.0</v>
      </c>
      <c r="CN1088" s="1">
        <v>0.0</v>
      </c>
      <c r="CO1088" s="1">
        <v>0.0</v>
      </c>
      <c r="CP1088" s="1">
        <v>1.0</v>
      </c>
      <c r="CQ1088" s="1">
        <v>0.0</v>
      </c>
      <c r="CR1088" s="1">
        <v>0.0</v>
      </c>
      <c r="CS1088" s="1">
        <v>1.0</v>
      </c>
      <c r="CT1088" s="1">
        <v>0.0</v>
      </c>
      <c r="CU1088" s="1">
        <v>0.0</v>
      </c>
      <c r="CV1088" s="1">
        <v>0.0</v>
      </c>
      <c r="CW1088" s="1">
        <v>0.0</v>
      </c>
      <c r="CX1088" s="1">
        <v>0.0</v>
      </c>
      <c r="CY1088" s="1">
        <v>0.0</v>
      </c>
      <c r="CZ1088" s="1">
        <v>0.0</v>
      </c>
      <c r="DA1088" s="1">
        <v>0.0</v>
      </c>
      <c r="DB1088" s="1">
        <v>0.0</v>
      </c>
      <c r="DC1088" s="1">
        <v>1.0</v>
      </c>
      <c r="DD1088" s="1" t="s">
        <v>4878</v>
      </c>
      <c r="DE1088" s="1">
        <v>7.83108089535151E-4</v>
      </c>
      <c r="DF1088" s="2" t="s">
        <v>4879</v>
      </c>
    </row>
    <row r="1089" ht="15.75" customHeight="1">
      <c r="A1089" s="1" t="s">
        <v>4880</v>
      </c>
      <c r="B1089" s="1">
        <v>29.0</v>
      </c>
      <c r="C1089" s="1">
        <v>189.0</v>
      </c>
      <c r="D1089" s="1">
        <v>221332.0</v>
      </c>
      <c r="E1089" s="1">
        <v>1.923</v>
      </c>
      <c r="F1089" s="1">
        <v>29189.0</v>
      </c>
      <c r="G1089" s="1">
        <v>2.9189221332E10</v>
      </c>
      <c r="H1089" s="1" t="s">
        <v>112</v>
      </c>
      <c r="I1089" s="1" t="s">
        <v>113</v>
      </c>
      <c r="J1089" s="1" t="s">
        <v>4566</v>
      </c>
      <c r="K1089" s="1" t="s">
        <v>4881</v>
      </c>
      <c r="L1089" s="1">
        <v>4433.0</v>
      </c>
      <c r="M1089" s="1">
        <v>4631.0</v>
      </c>
      <c r="N1089" s="1">
        <v>248.0</v>
      </c>
      <c r="O1089" s="1">
        <v>1844.0</v>
      </c>
      <c r="P1089" s="1">
        <v>1775.0</v>
      </c>
      <c r="Q1089" s="1">
        <v>56.0</v>
      </c>
      <c r="R1089" s="1">
        <v>1755.0</v>
      </c>
      <c r="S1089" s="1">
        <v>39.0</v>
      </c>
      <c r="T1089" s="1">
        <v>31.0</v>
      </c>
      <c r="U1089" s="1">
        <v>72.0</v>
      </c>
      <c r="V1089" s="1">
        <v>444.0</v>
      </c>
      <c r="W1089" s="1">
        <v>31793.0</v>
      </c>
      <c r="X1089" s="1">
        <v>2286.0</v>
      </c>
      <c r="Y1089" s="1">
        <v>187.0</v>
      </c>
      <c r="Z1089" s="1">
        <v>309.0</v>
      </c>
      <c r="AA1089" s="1">
        <v>696.0</v>
      </c>
      <c r="AB1089" s="1">
        <v>985.0</v>
      </c>
      <c r="AC1089" s="1">
        <v>93.0</v>
      </c>
      <c r="AD1089" s="1">
        <v>289.0</v>
      </c>
      <c r="AE1089" s="1">
        <v>51.0</v>
      </c>
      <c r="AF1089" s="1">
        <v>413.0</v>
      </c>
      <c r="AG1089" s="1">
        <v>75.0</v>
      </c>
      <c r="AH1089" s="1">
        <v>118.0</v>
      </c>
      <c r="AI1089" s="1">
        <v>0.0</v>
      </c>
      <c r="AJ1089" s="1">
        <v>114.0</v>
      </c>
      <c r="AK1089" s="1">
        <v>0.0</v>
      </c>
      <c r="AL1089" s="1">
        <v>161.0</v>
      </c>
      <c r="AM1089" s="1">
        <v>75.0</v>
      </c>
      <c r="AN1089" s="1">
        <v>40.0</v>
      </c>
      <c r="AO1089" s="1">
        <v>0.0</v>
      </c>
      <c r="AP1089" s="1">
        <v>0.008498</v>
      </c>
      <c r="AQ1089" s="1">
        <v>0.00674</v>
      </c>
      <c r="AR1089" s="1">
        <v>0.029776</v>
      </c>
      <c r="AS1089" s="1">
        <v>0.183599</v>
      </c>
      <c r="AT1089" s="1">
        <v>31793.0</v>
      </c>
      <c r="AU1089" s="1">
        <v>2286.0</v>
      </c>
      <c r="AV1089" s="1">
        <v>0.058602</v>
      </c>
      <c r="AW1089" s="1">
        <v>0.096811</v>
      </c>
      <c r="AX1089" s="1">
        <v>0.157004</v>
      </c>
      <c r="AY1089" s="1">
        <v>0.222197</v>
      </c>
      <c r="AZ1089" s="1">
        <v>0.05299145</v>
      </c>
      <c r="BA1089" s="1">
        <v>0.065192</v>
      </c>
      <c r="BB1089" s="1">
        <v>0.011737</v>
      </c>
      <c r="BC1089" s="1">
        <v>0.095049</v>
      </c>
      <c r="BD1089" s="1">
        <v>0.042253</v>
      </c>
      <c r="BE1089" s="1">
        <v>0.066465</v>
      </c>
      <c r="BF1089" s="1">
        <v>0.0</v>
      </c>
      <c r="BG1089" s="1">
        <v>0.064225</v>
      </c>
      <c r="BH1089" s="1">
        <v>0.0</v>
      </c>
      <c r="BI1089" s="1">
        <v>0.093225</v>
      </c>
      <c r="BJ1089" s="1">
        <v>0.043427</v>
      </c>
      <c r="BK1089" s="1">
        <v>0.02312</v>
      </c>
      <c r="BL1089" s="1">
        <v>0.0</v>
      </c>
      <c r="BM1089" s="1">
        <v>0.017</v>
      </c>
      <c r="BN1089" s="1">
        <v>0.086</v>
      </c>
      <c r="BO1089" s="1">
        <v>0.1603</v>
      </c>
      <c r="BP1089" s="1">
        <v>0.161</v>
      </c>
      <c r="BQ1089" s="1">
        <v>0.4243</v>
      </c>
      <c r="BR1089" s="1">
        <v>0.044</v>
      </c>
      <c r="BS1089" s="1">
        <v>0.643</v>
      </c>
      <c r="BT1089" s="1">
        <v>0.32</v>
      </c>
      <c r="BU1089" s="1">
        <v>0.091</v>
      </c>
      <c r="BV1089" s="1">
        <v>1.054</v>
      </c>
      <c r="BW1089" s="1">
        <v>0.135</v>
      </c>
      <c r="BX1089" s="1">
        <v>0.342</v>
      </c>
      <c r="BY1089" s="1">
        <v>0.764</v>
      </c>
      <c r="BZ1089" s="1">
        <v>1.106</v>
      </c>
      <c r="CA1089" s="1">
        <v>0.618</v>
      </c>
      <c r="CB1089" s="1">
        <v>0.621</v>
      </c>
      <c r="CC1089" s="1">
        <v>0.0</v>
      </c>
      <c r="CD1089" s="1">
        <v>0.0</v>
      </c>
      <c r="CE1089" s="1">
        <v>0.427</v>
      </c>
      <c r="CF1089" s="1">
        <v>0.0</v>
      </c>
      <c r="CG1089" s="1">
        <v>1.048</v>
      </c>
      <c r="CH1089" s="1">
        <v>0.085</v>
      </c>
      <c r="CI1089" s="1">
        <v>3.6323</v>
      </c>
      <c r="CJ1089" s="1">
        <v>0.052</v>
      </c>
      <c r="CK1089" s="1">
        <v>0.0</v>
      </c>
      <c r="CL1089" s="1">
        <v>0.0</v>
      </c>
      <c r="CM1089" s="1">
        <v>0.0</v>
      </c>
      <c r="CN1089" s="1">
        <v>0.0</v>
      </c>
      <c r="CO1089" s="1">
        <v>0.0</v>
      </c>
      <c r="CP1089" s="1">
        <v>0.0</v>
      </c>
      <c r="CQ1089" s="1">
        <v>0.0</v>
      </c>
      <c r="CR1089" s="1">
        <v>0.0</v>
      </c>
      <c r="CS1089" s="1">
        <v>0.0</v>
      </c>
      <c r="CT1089" s="1">
        <v>0.0</v>
      </c>
      <c r="CU1089" s="1">
        <v>0.0</v>
      </c>
      <c r="CV1089" s="1">
        <v>0.0</v>
      </c>
      <c r="CW1089" s="1">
        <v>0.0</v>
      </c>
      <c r="CX1089" s="1">
        <v>0.0</v>
      </c>
      <c r="CY1089" s="1">
        <v>0.0</v>
      </c>
      <c r="CZ1089" s="1">
        <v>0.0</v>
      </c>
      <c r="DA1089" s="1">
        <v>0.0</v>
      </c>
      <c r="DB1089" s="1">
        <v>0.0</v>
      </c>
      <c r="DC1089" s="1">
        <v>0.0</v>
      </c>
      <c r="DD1089" s="1" t="s">
        <v>4882</v>
      </c>
      <c r="DE1089" s="1">
        <v>5.20418691257673E-4</v>
      </c>
      <c r="DF1089" s="2" t="s">
        <v>4883</v>
      </c>
    </row>
    <row r="1090" ht="15.75" customHeight="1">
      <c r="A1090" s="1" t="s">
        <v>4884</v>
      </c>
      <c r="B1090" s="1">
        <v>29.0</v>
      </c>
      <c r="C1090" s="1">
        <v>189.0</v>
      </c>
      <c r="D1090" s="1">
        <v>221335.0</v>
      </c>
      <c r="E1090" s="1">
        <v>3.633</v>
      </c>
      <c r="F1090" s="1">
        <v>29189.0</v>
      </c>
      <c r="G1090" s="1">
        <v>2.9189221335E10</v>
      </c>
      <c r="H1090" s="1" t="s">
        <v>112</v>
      </c>
      <c r="I1090" s="1" t="s">
        <v>113</v>
      </c>
      <c r="J1090" s="1" t="s">
        <v>4566</v>
      </c>
      <c r="K1090" s="1" t="s">
        <v>4885</v>
      </c>
      <c r="L1090" s="1">
        <v>5830.0</v>
      </c>
      <c r="M1090" s="1">
        <v>5464.0</v>
      </c>
      <c r="N1090" s="1">
        <v>279.0</v>
      </c>
      <c r="O1090" s="1">
        <v>2572.0</v>
      </c>
      <c r="P1090" s="1">
        <v>2472.0</v>
      </c>
      <c r="Q1090" s="1">
        <v>64.0</v>
      </c>
      <c r="R1090" s="1">
        <v>2455.0</v>
      </c>
      <c r="S1090" s="1">
        <v>44.0</v>
      </c>
      <c r="T1090" s="1">
        <v>126.0</v>
      </c>
      <c r="U1090" s="1">
        <v>58.0</v>
      </c>
      <c r="V1090" s="1">
        <v>458.0</v>
      </c>
      <c r="W1090" s="1">
        <v>36973.0</v>
      </c>
      <c r="X1090" s="1">
        <v>3162.0</v>
      </c>
      <c r="Y1090" s="1">
        <v>275.0</v>
      </c>
      <c r="Z1090" s="1">
        <v>343.0</v>
      </c>
      <c r="AA1090" s="1">
        <v>976.0</v>
      </c>
      <c r="AB1090" s="1">
        <v>1154.0</v>
      </c>
      <c r="AC1090" s="1">
        <v>152.0</v>
      </c>
      <c r="AD1090" s="1">
        <v>342.0</v>
      </c>
      <c r="AE1090" s="1">
        <v>30.0</v>
      </c>
      <c r="AF1090" s="1">
        <v>428.0</v>
      </c>
      <c r="AG1090" s="1">
        <v>251.0</v>
      </c>
      <c r="AH1090" s="1">
        <v>168.0</v>
      </c>
      <c r="AI1090" s="1">
        <v>0.0</v>
      </c>
      <c r="AJ1090" s="1">
        <v>114.0</v>
      </c>
      <c r="AK1090" s="1">
        <v>20.0</v>
      </c>
      <c r="AL1090" s="1">
        <v>118.0</v>
      </c>
      <c r="AM1090" s="1">
        <v>45.0</v>
      </c>
      <c r="AN1090" s="1">
        <v>43.0</v>
      </c>
      <c r="AO1090" s="1">
        <v>2.0</v>
      </c>
      <c r="AP1090" s="1">
        <v>0.008052</v>
      </c>
      <c r="AQ1090" s="1">
        <v>0.023056</v>
      </c>
      <c r="AR1090" s="1">
        <v>0.020076</v>
      </c>
      <c r="AS1090" s="1">
        <v>0.158515</v>
      </c>
      <c r="AT1090" s="1">
        <v>36973.0</v>
      </c>
      <c r="AU1090" s="1">
        <v>3162.0</v>
      </c>
      <c r="AV1090" s="1">
        <v>0.070135</v>
      </c>
      <c r="AW1090" s="1">
        <v>0.087405</v>
      </c>
      <c r="AX1090" s="1">
        <v>0.167409</v>
      </c>
      <c r="AY1090" s="1">
        <v>0.197941</v>
      </c>
      <c r="AZ1090" s="1">
        <v>0.06191446</v>
      </c>
      <c r="BA1090" s="1">
        <v>0.058662</v>
      </c>
      <c r="BB1090" s="1">
        <v>0.005801</v>
      </c>
      <c r="BC1090" s="1">
        <v>0.082768</v>
      </c>
      <c r="BD1090" s="1">
        <v>0.101537</v>
      </c>
      <c r="BE1090" s="1">
        <v>0.06791</v>
      </c>
      <c r="BF1090" s="1">
        <v>0.0</v>
      </c>
      <c r="BG1090" s="1">
        <v>0.046116</v>
      </c>
      <c r="BH1090" s="1">
        <v>0.008896</v>
      </c>
      <c r="BI1090" s="1">
        <v>0.052488</v>
      </c>
      <c r="BJ1090" s="1">
        <v>0.020017</v>
      </c>
      <c r="BK1090" s="1">
        <v>0.019097</v>
      </c>
      <c r="BL1090" s="1">
        <v>3.43E-4</v>
      </c>
      <c r="BM1090" s="1">
        <v>0.015</v>
      </c>
      <c r="BN1090" s="1">
        <v>0.03</v>
      </c>
      <c r="BO1090" s="1">
        <v>0.0931</v>
      </c>
      <c r="BP1090" s="1">
        <v>0.2</v>
      </c>
      <c r="BQ1090" s="1">
        <v>0.3381</v>
      </c>
      <c r="BR1090" s="1">
        <v>0.0282</v>
      </c>
      <c r="BS1090" s="1">
        <v>0.717</v>
      </c>
      <c r="BT1090" s="1">
        <v>0.18</v>
      </c>
      <c r="BU1090" s="1">
        <v>0.146</v>
      </c>
      <c r="BV1090" s="1">
        <v>1.043</v>
      </c>
      <c r="BW1090" s="1">
        <v>0.13</v>
      </c>
      <c r="BX1090" s="1">
        <v>0.306</v>
      </c>
      <c r="BY1090" s="1">
        <v>0.587</v>
      </c>
      <c r="BZ1090" s="1">
        <v>0.893</v>
      </c>
      <c r="CA1090" s="1">
        <v>0.462</v>
      </c>
      <c r="CB1090" s="1">
        <v>0.775</v>
      </c>
      <c r="CC1090" s="1">
        <v>0.0</v>
      </c>
      <c r="CD1090" s="1">
        <v>0.453</v>
      </c>
      <c r="CE1090" s="1">
        <v>0.182</v>
      </c>
      <c r="CF1090" s="1">
        <v>0.356</v>
      </c>
      <c r="CG1090" s="1">
        <v>1.766</v>
      </c>
      <c r="CH1090" s="1">
        <v>0.256</v>
      </c>
      <c r="CI1090" s="1">
        <v>4.0401</v>
      </c>
      <c r="CJ1090" s="1">
        <v>0.0903</v>
      </c>
      <c r="CK1090" s="1">
        <v>0.0</v>
      </c>
      <c r="CL1090" s="1">
        <v>0.0</v>
      </c>
      <c r="CM1090" s="1">
        <v>0.0</v>
      </c>
      <c r="CN1090" s="1">
        <v>0.0</v>
      </c>
      <c r="CO1090" s="1">
        <v>0.0</v>
      </c>
      <c r="CP1090" s="1">
        <v>0.0</v>
      </c>
      <c r="CQ1090" s="1">
        <v>0.0</v>
      </c>
      <c r="CR1090" s="1">
        <v>0.0</v>
      </c>
      <c r="CS1090" s="1">
        <v>0.0</v>
      </c>
      <c r="CT1090" s="1">
        <v>0.0</v>
      </c>
      <c r="CU1090" s="1">
        <v>0.0</v>
      </c>
      <c r="CV1090" s="1">
        <v>0.0</v>
      </c>
      <c r="CW1090" s="1">
        <v>0.0</v>
      </c>
      <c r="CX1090" s="1">
        <v>0.0</v>
      </c>
      <c r="CY1090" s="1">
        <v>0.0</v>
      </c>
      <c r="CZ1090" s="1">
        <v>0.0</v>
      </c>
      <c r="DA1090" s="1">
        <v>0.0</v>
      </c>
      <c r="DB1090" s="1">
        <v>0.0</v>
      </c>
      <c r="DC1090" s="1">
        <v>0.0</v>
      </c>
      <c r="DD1090" s="1" t="s">
        <v>4886</v>
      </c>
      <c r="DE1090" s="1">
        <v>0.00100120425474235</v>
      </c>
      <c r="DF1090" s="2" t="s">
        <v>4887</v>
      </c>
    </row>
    <row r="1091" ht="15.75" customHeight="1">
      <c r="A1091" s="1" t="s">
        <v>4888</v>
      </c>
      <c r="B1091" s="1">
        <v>29.0</v>
      </c>
      <c r="C1091" s="1">
        <v>189.0</v>
      </c>
      <c r="D1091" s="1">
        <v>221421.0</v>
      </c>
      <c r="E1091" s="1">
        <v>17.691</v>
      </c>
      <c r="F1091" s="1">
        <v>29189.0</v>
      </c>
      <c r="G1091" s="1">
        <v>2.9189221421E10</v>
      </c>
      <c r="H1091" s="1" t="s">
        <v>112</v>
      </c>
      <c r="I1091" s="1" t="s">
        <v>113</v>
      </c>
      <c r="J1091" s="1" t="s">
        <v>4566</v>
      </c>
      <c r="K1091" s="1" t="s">
        <v>4889</v>
      </c>
      <c r="L1091" s="1">
        <v>6679.0</v>
      </c>
      <c r="M1091" s="1">
        <v>6625.0</v>
      </c>
      <c r="N1091" s="1">
        <v>393.0</v>
      </c>
      <c r="O1091" s="1">
        <v>2367.0</v>
      </c>
      <c r="P1091" s="1">
        <v>2159.0</v>
      </c>
      <c r="Q1091" s="1">
        <v>111.0</v>
      </c>
      <c r="R1091" s="1">
        <v>2295.0</v>
      </c>
      <c r="S1091" s="1">
        <v>202.0</v>
      </c>
      <c r="T1091" s="1">
        <v>126.0</v>
      </c>
      <c r="U1091" s="1">
        <v>200.0</v>
      </c>
      <c r="V1091" s="1">
        <v>359.0</v>
      </c>
      <c r="W1091" s="1">
        <v>34569.0</v>
      </c>
      <c r="X1091" s="1">
        <v>2915.0</v>
      </c>
      <c r="Y1091" s="1">
        <v>195.0</v>
      </c>
      <c r="Z1091" s="1">
        <v>352.0</v>
      </c>
      <c r="AA1091" s="1">
        <v>439.0</v>
      </c>
      <c r="AB1091" s="1">
        <v>1872.0</v>
      </c>
      <c r="AC1091" s="1">
        <v>145.0</v>
      </c>
      <c r="AD1091" s="1">
        <v>488.0</v>
      </c>
      <c r="AE1091" s="1">
        <v>60.0</v>
      </c>
      <c r="AF1091" s="1">
        <v>429.0</v>
      </c>
      <c r="AG1091" s="1">
        <v>16.0</v>
      </c>
      <c r="AH1091" s="1">
        <v>163.0</v>
      </c>
      <c r="AI1091" s="1">
        <v>0.0</v>
      </c>
      <c r="AJ1091" s="1">
        <v>114.0</v>
      </c>
      <c r="AK1091" s="1">
        <v>10.0</v>
      </c>
      <c r="AL1091" s="1">
        <v>115.0</v>
      </c>
      <c r="AM1091" s="1">
        <v>9.0</v>
      </c>
      <c r="AN1091" s="1">
        <v>115.0</v>
      </c>
      <c r="AO1091" s="1">
        <v>0.0</v>
      </c>
      <c r="AP1091" s="1">
        <v>0.030929</v>
      </c>
      <c r="AQ1091" s="1">
        <v>0.019207</v>
      </c>
      <c r="AR1091" s="1">
        <v>0.053734</v>
      </c>
      <c r="AS1091" s="1">
        <v>0.09633</v>
      </c>
      <c r="AT1091" s="1">
        <v>34569.0</v>
      </c>
      <c r="AU1091" s="1">
        <v>2915.0</v>
      </c>
      <c r="AV1091" s="1">
        <v>0.04665</v>
      </c>
      <c r="AW1091" s="1">
        <v>0.084181</v>
      </c>
      <c r="AX1091" s="1">
        <v>0.065728</v>
      </c>
      <c r="AY1091" s="1">
        <v>0.280281</v>
      </c>
      <c r="AZ1091" s="1">
        <v>0.06318082</v>
      </c>
      <c r="BA1091" s="1">
        <v>0.073064</v>
      </c>
      <c r="BB1091" s="1">
        <v>0.009564</v>
      </c>
      <c r="BC1091" s="1">
        <v>0.068385</v>
      </c>
      <c r="BD1091" s="1">
        <v>0.00741</v>
      </c>
      <c r="BE1091" s="1">
        <v>0.075496</v>
      </c>
      <c r="BF1091" s="1">
        <v>0.0</v>
      </c>
      <c r="BG1091" s="1">
        <v>0.052802</v>
      </c>
      <c r="BH1091" s="1">
        <v>0.004793</v>
      </c>
      <c r="BI1091" s="1">
        <v>0.055128</v>
      </c>
      <c r="BJ1091" s="1">
        <v>0.004314</v>
      </c>
      <c r="BK1091" s="1">
        <v>0.055128</v>
      </c>
      <c r="BL1091" s="1">
        <v>0.0</v>
      </c>
      <c r="BM1091" s="1">
        <v>0.091</v>
      </c>
      <c r="BN1091" s="1">
        <v>0.334</v>
      </c>
      <c r="BO1091" s="1">
        <v>0.1177</v>
      </c>
      <c r="BP1091" s="1">
        <v>0.118</v>
      </c>
      <c r="BQ1091" s="1">
        <v>0.6607</v>
      </c>
      <c r="BR1091" s="1">
        <v>0.1155</v>
      </c>
      <c r="BS1091" s="1">
        <v>0.066</v>
      </c>
      <c r="BT1091" s="1">
        <v>0.851</v>
      </c>
      <c r="BU1091" s="1">
        <v>0.159</v>
      </c>
      <c r="BV1091" s="1">
        <v>1.076</v>
      </c>
      <c r="BW1091" s="1">
        <v>0.15</v>
      </c>
      <c r="BX1091" s="1">
        <v>0.371</v>
      </c>
      <c r="BY1091" s="1">
        <v>0.708</v>
      </c>
      <c r="BZ1091" s="1">
        <v>1.079</v>
      </c>
      <c r="CA1091" s="1">
        <v>0.6</v>
      </c>
      <c r="CB1091" s="1">
        <v>0.356</v>
      </c>
      <c r="CC1091" s="1">
        <v>0.0</v>
      </c>
      <c r="CD1091" s="1">
        <v>0.33</v>
      </c>
      <c r="CE1091" s="1">
        <v>0.045</v>
      </c>
      <c r="CF1091" s="1">
        <v>0.0</v>
      </c>
      <c r="CG1091" s="1">
        <v>0.731</v>
      </c>
      <c r="CH1091" s="1">
        <v>0.051</v>
      </c>
      <c r="CI1091" s="1">
        <v>3.5467</v>
      </c>
      <c r="CJ1091" s="1">
        <v>0.0469</v>
      </c>
      <c r="CK1091" s="1">
        <v>0.0</v>
      </c>
      <c r="CL1091" s="1">
        <v>0.0</v>
      </c>
      <c r="CM1091" s="1">
        <v>0.0</v>
      </c>
      <c r="CN1091" s="1">
        <v>0.0</v>
      </c>
      <c r="CO1091" s="1">
        <v>0.0</v>
      </c>
      <c r="CP1091" s="1">
        <v>0.0</v>
      </c>
      <c r="CQ1091" s="1">
        <v>0.0</v>
      </c>
      <c r="CR1091" s="1">
        <v>0.0</v>
      </c>
      <c r="CS1091" s="1">
        <v>0.0</v>
      </c>
      <c r="CT1091" s="1">
        <v>0.0</v>
      </c>
      <c r="CU1091" s="1">
        <v>0.0</v>
      </c>
      <c r="CV1091" s="1">
        <v>0.0</v>
      </c>
      <c r="CW1091" s="1">
        <v>0.0</v>
      </c>
      <c r="CX1091" s="1">
        <v>0.0</v>
      </c>
      <c r="CY1091" s="1">
        <v>0.0</v>
      </c>
      <c r="CZ1091" s="1">
        <v>0.0</v>
      </c>
      <c r="DA1091" s="1">
        <v>0.0</v>
      </c>
      <c r="DB1091" s="1">
        <v>0.0</v>
      </c>
      <c r="DC1091" s="1">
        <v>0.0</v>
      </c>
      <c r="DD1091" s="1" t="s">
        <v>4890</v>
      </c>
      <c r="DE1091" s="1">
        <v>0.00485324106996932</v>
      </c>
      <c r="DF1091" s="2" t="s">
        <v>4891</v>
      </c>
    </row>
    <row r="1092" ht="15.75" customHeight="1">
      <c r="A1092" s="1" t="s">
        <v>4892</v>
      </c>
      <c r="B1092" s="1">
        <v>29.0</v>
      </c>
      <c r="C1092" s="1">
        <v>189.0</v>
      </c>
      <c r="D1092" s="1">
        <v>221422.0</v>
      </c>
      <c r="E1092" s="1">
        <v>3.073</v>
      </c>
      <c r="F1092" s="1">
        <v>29189.0</v>
      </c>
      <c r="G1092" s="1">
        <v>2.9189221422E10</v>
      </c>
      <c r="H1092" s="1" t="s">
        <v>112</v>
      </c>
      <c r="I1092" s="1" t="s">
        <v>113</v>
      </c>
      <c r="J1092" s="1" t="s">
        <v>4566</v>
      </c>
      <c r="K1092" s="1" t="s">
        <v>4893</v>
      </c>
      <c r="L1092" s="1">
        <v>8870.0</v>
      </c>
      <c r="M1092" s="1">
        <v>8560.0</v>
      </c>
      <c r="N1092" s="1">
        <v>431.0</v>
      </c>
      <c r="O1092" s="1">
        <v>3342.0</v>
      </c>
      <c r="P1092" s="1">
        <v>3148.0</v>
      </c>
      <c r="Q1092" s="1">
        <v>103.0</v>
      </c>
      <c r="R1092" s="1">
        <v>3255.0</v>
      </c>
      <c r="S1092" s="1">
        <v>379.0</v>
      </c>
      <c r="T1092" s="1">
        <v>169.0</v>
      </c>
      <c r="U1092" s="1">
        <v>234.0</v>
      </c>
      <c r="V1092" s="1">
        <v>394.0</v>
      </c>
      <c r="W1092" s="1">
        <v>31312.0</v>
      </c>
      <c r="X1092" s="1">
        <v>2079.0</v>
      </c>
      <c r="Y1092" s="1">
        <v>302.0</v>
      </c>
      <c r="Z1092" s="1">
        <v>298.0</v>
      </c>
      <c r="AA1092" s="1">
        <v>990.0</v>
      </c>
      <c r="AB1092" s="1">
        <v>2453.0</v>
      </c>
      <c r="AC1092" s="1">
        <v>319.0</v>
      </c>
      <c r="AD1092" s="1">
        <v>616.0</v>
      </c>
      <c r="AE1092" s="1">
        <v>13.0</v>
      </c>
      <c r="AF1092" s="1">
        <v>442.0</v>
      </c>
      <c r="AG1092" s="1">
        <v>222.0</v>
      </c>
      <c r="AH1092" s="1">
        <v>137.0</v>
      </c>
      <c r="AI1092" s="1">
        <v>13.0</v>
      </c>
      <c r="AJ1092" s="1">
        <v>21.0</v>
      </c>
      <c r="AK1092" s="1">
        <v>41.0</v>
      </c>
      <c r="AL1092" s="1">
        <v>120.0</v>
      </c>
      <c r="AM1092" s="1">
        <v>110.0</v>
      </c>
      <c r="AN1092" s="1">
        <v>58.0</v>
      </c>
      <c r="AO1092" s="1">
        <v>2.0</v>
      </c>
      <c r="AP1092" s="1">
        <v>0.044421</v>
      </c>
      <c r="AQ1092" s="1">
        <v>0.019684</v>
      </c>
      <c r="AR1092" s="1">
        <v>0.05055</v>
      </c>
      <c r="AS1092" s="1">
        <v>0.085013</v>
      </c>
      <c r="AT1092" s="1">
        <v>31312.0</v>
      </c>
      <c r="AU1092" s="1">
        <v>2079.0</v>
      </c>
      <c r="AV1092" s="1">
        <v>0.053187</v>
      </c>
      <c r="AW1092" s="1">
        <v>0.05244</v>
      </c>
      <c r="AX1092" s="1">
        <v>0.111612</v>
      </c>
      <c r="AY1092" s="1">
        <v>0.27655</v>
      </c>
      <c r="AZ1092" s="1">
        <v>0.09800307</v>
      </c>
      <c r="BA1092" s="1">
        <v>0.069447</v>
      </c>
      <c r="BB1092" s="1">
        <v>0.001648</v>
      </c>
      <c r="BC1092" s="1">
        <v>0.056034</v>
      </c>
      <c r="BD1092" s="1">
        <v>0.07052</v>
      </c>
      <c r="BE1092" s="1">
        <v>0.043458</v>
      </c>
      <c r="BF1092" s="1">
        <v>0.004129</v>
      </c>
      <c r="BG1092" s="1">
        <v>0.006669</v>
      </c>
      <c r="BH1092" s="1">
        <v>0.013073</v>
      </c>
      <c r="BI1092" s="1">
        <v>0.038262</v>
      </c>
      <c r="BJ1092" s="1">
        <v>0.035076</v>
      </c>
      <c r="BK1092" s="1">
        <v>0.01846</v>
      </c>
      <c r="BL1092" s="1">
        <v>2.25E-4</v>
      </c>
      <c r="BM1092" s="1">
        <v>0.143</v>
      </c>
      <c r="BN1092" s="1">
        <v>0.295</v>
      </c>
      <c r="BO1092" s="1">
        <v>0.1718</v>
      </c>
      <c r="BP1092" s="1">
        <v>0.14</v>
      </c>
      <c r="BQ1092" s="1">
        <v>0.7498</v>
      </c>
      <c r="BR1092" s="1">
        <v>0.1415</v>
      </c>
      <c r="BS1092" s="1">
        <v>0.283</v>
      </c>
      <c r="BT1092" s="1">
        <v>0.832</v>
      </c>
      <c r="BU1092" s="1">
        <v>0.474</v>
      </c>
      <c r="BV1092" s="1">
        <v>1.589</v>
      </c>
      <c r="BW1092" s="1">
        <v>0.561</v>
      </c>
      <c r="BX1092" s="1">
        <v>0.361</v>
      </c>
      <c r="BY1092" s="1">
        <v>0.364</v>
      </c>
      <c r="BZ1092" s="1">
        <v>0.725</v>
      </c>
      <c r="CA1092" s="1">
        <v>0.349</v>
      </c>
      <c r="CB1092" s="1">
        <v>0.717</v>
      </c>
      <c r="CC1092" s="1">
        <v>0.379</v>
      </c>
      <c r="CD1092" s="1">
        <v>0.551</v>
      </c>
      <c r="CE1092" s="1">
        <v>0.335</v>
      </c>
      <c r="CF1092" s="1">
        <v>0.347</v>
      </c>
      <c r="CG1092" s="1">
        <v>2.329</v>
      </c>
      <c r="CH1092" s="1">
        <v>0.471</v>
      </c>
      <c r="CI1092" s="1">
        <v>5.3928</v>
      </c>
      <c r="CJ1092" s="1">
        <v>0.2621</v>
      </c>
      <c r="CK1092" s="1">
        <v>0.0</v>
      </c>
      <c r="CL1092" s="1">
        <v>0.0</v>
      </c>
      <c r="CM1092" s="1">
        <v>0.0</v>
      </c>
      <c r="CN1092" s="1">
        <v>0.0</v>
      </c>
      <c r="CO1092" s="1">
        <v>0.0</v>
      </c>
      <c r="CP1092" s="1">
        <v>0.0</v>
      </c>
      <c r="CQ1092" s="1">
        <v>0.0</v>
      </c>
      <c r="CR1092" s="1">
        <v>0.0</v>
      </c>
      <c r="CS1092" s="1">
        <v>0.0</v>
      </c>
      <c r="CT1092" s="1">
        <v>0.0</v>
      </c>
      <c r="CU1092" s="1">
        <v>0.0</v>
      </c>
      <c r="CV1092" s="1">
        <v>0.0</v>
      </c>
      <c r="CW1092" s="1">
        <v>0.0</v>
      </c>
      <c r="CX1092" s="1">
        <v>0.0</v>
      </c>
      <c r="CY1092" s="1">
        <v>0.0</v>
      </c>
      <c r="CZ1092" s="1">
        <v>0.0</v>
      </c>
      <c r="DA1092" s="1">
        <v>0.0</v>
      </c>
      <c r="DB1092" s="1">
        <v>0.0</v>
      </c>
      <c r="DC1092" s="1">
        <v>0.0</v>
      </c>
      <c r="DD1092" s="1" t="s">
        <v>4894</v>
      </c>
      <c r="DE1092" s="1">
        <v>8.28595514440649E-4</v>
      </c>
      <c r="DF1092" s="2" t="s">
        <v>4895</v>
      </c>
    </row>
    <row r="1093" ht="15.75" customHeight="1">
      <c r="A1093" s="1" t="s">
        <v>4896</v>
      </c>
      <c r="B1093" s="1">
        <v>29.0</v>
      </c>
      <c r="C1093" s="1">
        <v>189.0</v>
      </c>
      <c r="D1093" s="1">
        <v>221423.0</v>
      </c>
      <c r="E1093" s="1">
        <v>6.338</v>
      </c>
      <c r="F1093" s="1">
        <v>29189.0</v>
      </c>
      <c r="G1093" s="1">
        <v>2.9189221423E10</v>
      </c>
      <c r="H1093" s="1" t="s">
        <v>112</v>
      </c>
      <c r="I1093" s="1" t="s">
        <v>113</v>
      </c>
      <c r="J1093" s="1" t="s">
        <v>4566</v>
      </c>
      <c r="K1093" s="1" t="s">
        <v>4897</v>
      </c>
      <c r="L1093" s="1">
        <v>4035.0</v>
      </c>
      <c r="M1093" s="1">
        <v>4083.0</v>
      </c>
      <c r="N1093" s="1">
        <v>67.0</v>
      </c>
      <c r="O1093" s="1">
        <v>1619.0</v>
      </c>
      <c r="P1093" s="1">
        <v>1551.0</v>
      </c>
      <c r="Q1093" s="1">
        <v>86.0</v>
      </c>
      <c r="R1093" s="1">
        <v>1556.0</v>
      </c>
      <c r="S1093" s="1">
        <v>135.0</v>
      </c>
      <c r="T1093" s="1">
        <v>123.0</v>
      </c>
      <c r="U1093" s="1">
        <v>120.0</v>
      </c>
      <c r="V1093" s="1">
        <v>432.0</v>
      </c>
      <c r="W1093" s="1">
        <v>35632.0</v>
      </c>
      <c r="X1093" s="1">
        <v>4040.0</v>
      </c>
      <c r="Y1093" s="1">
        <v>174.0</v>
      </c>
      <c r="Z1093" s="1">
        <v>373.0</v>
      </c>
      <c r="AA1093" s="1">
        <v>646.0</v>
      </c>
      <c r="AB1093" s="1">
        <v>868.0</v>
      </c>
      <c r="AC1093" s="1">
        <v>85.0</v>
      </c>
      <c r="AD1093" s="1">
        <v>227.0</v>
      </c>
      <c r="AE1093" s="1">
        <v>47.0</v>
      </c>
      <c r="AF1093" s="1">
        <v>430.0</v>
      </c>
      <c r="AG1093" s="1">
        <v>75.0</v>
      </c>
      <c r="AH1093" s="1">
        <v>175.0</v>
      </c>
      <c r="AI1093" s="1">
        <v>0.0</v>
      </c>
      <c r="AJ1093" s="1">
        <v>114.0</v>
      </c>
      <c r="AK1093" s="1">
        <v>0.0</v>
      </c>
      <c r="AL1093" s="1">
        <v>161.0</v>
      </c>
      <c r="AM1093" s="1">
        <v>49.0</v>
      </c>
      <c r="AN1093" s="1">
        <v>37.0</v>
      </c>
      <c r="AO1093" s="1">
        <v>49.0</v>
      </c>
      <c r="AP1093" s="1">
        <v>0.033063</v>
      </c>
      <c r="AQ1093" s="1">
        <v>0.03012</v>
      </c>
      <c r="AR1093" s="1">
        <v>0.05535</v>
      </c>
      <c r="AS1093" s="1">
        <v>0.199158</v>
      </c>
      <c r="AT1093" s="1">
        <v>35632.0</v>
      </c>
      <c r="AU1093" s="1">
        <v>4040.0</v>
      </c>
      <c r="AV1093" s="1">
        <v>0.062455</v>
      </c>
      <c r="AW1093" s="1">
        <v>0.133869</v>
      </c>
      <c r="AX1093" s="1">
        <v>0.160099</v>
      </c>
      <c r="AY1093" s="1">
        <v>0.215117</v>
      </c>
      <c r="AZ1093" s="1">
        <v>0.05462724</v>
      </c>
      <c r="BA1093" s="1">
        <v>0.056257</v>
      </c>
      <c r="BB1093" s="1">
        <v>0.011877</v>
      </c>
      <c r="BC1093" s="1">
        <v>0.108667</v>
      </c>
      <c r="BD1093" s="1">
        <v>0.048355</v>
      </c>
      <c r="BE1093" s="1">
        <v>0.112798</v>
      </c>
      <c r="BF1093" s="1">
        <v>0.0</v>
      </c>
      <c r="BG1093" s="1">
        <v>0.0735</v>
      </c>
      <c r="BH1093" s="1">
        <v>0.0</v>
      </c>
      <c r="BI1093" s="1">
        <v>0.10871</v>
      </c>
      <c r="BJ1093" s="1">
        <v>0.033085</v>
      </c>
      <c r="BK1093" s="1">
        <v>0.024935</v>
      </c>
      <c r="BL1093" s="1">
        <v>0.012143</v>
      </c>
      <c r="BM1093" s="1">
        <v>0.097</v>
      </c>
      <c r="BN1093" s="1">
        <v>0.351</v>
      </c>
      <c r="BO1093" s="1">
        <v>0.109</v>
      </c>
      <c r="BP1093" s="1">
        <v>0.176</v>
      </c>
      <c r="BQ1093" s="1">
        <v>0.733</v>
      </c>
      <c r="BR1093" s="1">
        <v>0.1372</v>
      </c>
      <c r="BS1093" s="1">
        <v>0.664</v>
      </c>
      <c r="BT1093" s="1">
        <v>0.269</v>
      </c>
      <c r="BU1093" s="1">
        <v>0.102</v>
      </c>
      <c r="BV1093" s="1">
        <v>1.035</v>
      </c>
      <c r="BW1093" s="1">
        <v>0.127</v>
      </c>
      <c r="BX1093" s="1">
        <v>0.292</v>
      </c>
      <c r="BY1093" s="1">
        <v>0.766</v>
      </c>
      <c r="BZ1093" s="1">
        <v>1.058</v>
      </c>
      <c r="CA1093" s="1">
        <v>0.592</v>
      </c>
      <c r="CB1093" s="1">
        <v>0.651</v>
      </c>
      <c r="CC1093" s="1">
        <v>0.0</v>
      </c>
      <c r="CD1093" s="1">
        <v>0.0</v>
      </c>
      <c r="CE1093" s="1">
        <v>0.316</v>
      </c>
      <c r="CF1093" s="1">
        <v>0.605</v>
      </c>
      <c r="CG1093" s="1">
        <v>1.572</v>
      </c>
      <c r="CH1093" s="1">
        <v>0.19</v>
      </c>
      <c r="CI1093" s="1">
        <v>4.398</v>
      </c>
      <c r="CJ1093" s="1">
        <v>0.1235</v>
      </c>
      <c r="CK1093" s="1">
        <v>0.0</v>
      </c>
      <c r="CL1093" s="1">
        <v>0.0</v>
      </c>
      <c r="CM1093" s="1">
        <v>0.0</v>
      </c>
      <c r="CN1093" s="1">
        <v>0.0</v>
      </c>
      <c r="CO1093" s="1">
        <v>0.0</v>
      </c>
      <c r="CP1093" s="1">
        <v>0.0</v>
      </c>
      <c r="CQ1093" s="1">
        <v>0.0</v>
      </c>
      <c r="CR1093" s="1">
        <v>0.0</v>
      </c>
      <c r="CS1093" s="1">
        <v>0.0</v>
      </c>
      <c r="CT1093" s="1">
        <v>0.0</v>
      </c>
      <c r="CU1093" s="1">
        <v>0.0</v>
      </c>
      <c r="CV1093" s="1">
        <v>0.0</v>
      </c>
      <c r="CW1093" s="1">
        <v>0.0</v>
      </c>
      <c r="CX1093" s="1">
        <v>0.0</v>
      </c>
      <c r="CY1093" s="1">
        <v>0.0</v>
      </c>
      <c r="CZ1093" s="1">
        <v>0.0</v>
      </c>
      <c r="DA1093" s="1">
        <v>0.0</v>
      </c>
      <c r="DB1093" s="1">
        <v>0.0</v>
      </c>
      <c r="DC1093" s="1">
        <v>0.0</v>
      </c>
      <c r="DD1093" s="1" t="s">
        <v>4898</v>
      </c>
      <c r="DE1093" s="1">
        <v>0.00179577160547381</v>
      </c>
      <c r="DF1093" s="2" t="s">
        <v>4899</v>
      </c>
    </row>
    <row r="1094" ht="15.75" customHeight="1">
      <c r="A1094" s="1" t="s">
        <v>4900</v>
      </c>
      <c r="B1094" s="1">
        <v>29.0</v>
      </c>
      <c r="C1094" s="1">
        <v>189.0</v>
      </c>
      <c r="D1094" s="1">
        <v>221502.0</v>
      </c>
      <c r="E1094" s="1">
        <v>21.086</v>
      </c>
      <c r="F1094" s="1">
        <v>29189.0</v>
      </c>
      <c r="G1094" s="1">
        <v>2.9189221502E10</v>
      </c>
      <c r="H1094" s="1" t="s">
        <v>112</v>
      </c>
      <c r="I1094" s="1" t="s">
        <v>113</v>
      </c>
      <c r="J1094" s="1" t="s">
        <v>4566</v>
      </c>
      <c r="K1094" s="1" t="s">
        <v>4901</v>
      </c>
      <c r="L1094" s="1">
        <v>6537.0</v>
      </c>
      <c r="M1094" s="1">
        <v>5790.0</v>
      </c>
      <c r="N1094" s="1">
        <v>275.0</v>
      </c>
      <c r="O1094" s="1">
        <v>2365.0</v>
      </c>
      <c r="P1094" s="1">
        <v>2012.0</v>
      </c>
      <c r="Q1094" s="1">
        <v>108.0</v>
      </c>
      <c r="R1094" s="1">
        <v>2268.0</v>
      </c>
      <c r="S1094" s="1">
        <v>240.0</v>
      </c>
      <c r="T1094" s="1">
        <v>243.0</v>
      </c>
      <c r="U1094" s="1">
        <v>110.0</v>
      </c>
      <c r="V1094" s="1">
        <v>461.0</v>
      </c>
      <c r="W1094" s="1">
        <v>37552.0</v>
      </c>
      <c r="X1094" s="1">
        <v>3861.0</v>
      </c>
      <c r="Y1094" s="1">
        <v>119.0</v>
      </c>
      <c r="Z1094" s="1">
        <v>347.0</v>
      </c>
      <c r="AA1094" s="1">
        <v>704.0</v>
      </c>
      <c r="AB1094" s="1">
        <v>1884.0</v>
      </c>
      <c r="AC1094" s="1">
        <v>166.0</v>
      </c>
      <c r="AD1094" s="1">
        <v>339.0</v>
      </c>
      <c r="AE1094" s="1">
        <v>0.0</v>
      </c>
      <c r="AF1094" s="1">
        <v>456.0</v>
      </c>
      <c r="AG1094" s="1">
        <v>56.0</v>
      </c>
      <c r="AH1094" s="1">
        <v>165.0</v>
      </c>
      <c r="AI1094" s="1">
        <v>19.0</v>
      </c>
      <c r="AJ1094" s="1">
        <v>22.0</v>
      </c>
      <c r="AK1094" s="1">
        <v>29.0</v>
      </c>
      <c r="AL1094" s="1">
        <v>123.0</v>
      </c>
      <c r="AM1094" s="1">
        <v>46.0</v>
      </c>
      <c r="AN1094" s="1">
        <v>36.0</v>
      </c>
      <c r="AO1094" s="1">
        <v>66.0</v>
      </c>
      <c r="AP1094" s="1">
        <v>0.04195</v>
      </c>
      <c r="AQ1094" s="1">
        <v>0.04243</v>
      </c>
      <c r="AR1094" s="1">
        <v>0.040116</v>
      </c>
      <c r="AS1094" s="1">
        <v>0.168083</v>
      </c>
      <c r="AT1094" s="1">
        <v>37552.0</v>
      </c>
      <c r="AU1094" s="1">
        <v>3861.0</v>
      </c>
      <c r="AV1094" s="1">
        <v>0.033483</v>
      </c>
      <c r="AW1094" s="1">
        <v>0.09761</v>
      </c>
      <c r="AX1094" s="1">
        <v>0.107694</v>
      </c>
      <c r="AY1094" s="1">
        <v>0.288205</v>
      </c>
      <c r="AZ1094" s="1">
        <v>0.07319223</v>
      </c>
      <c r="BA1094" s="1">
        <v>0.051858</v>
      </c>
      <c r="BB1094" s="1">
        <v>0.0</v>
      </c>
      <c r="BC1094" s="1">
        <v>0.08344</v>
      </c>
      <c r="BD1094" s="1">
        <v>0.027833</v>
      </c>
      <c r="BE1094" s="1">
        <v>0.081994</v>
      </c>
      <c r="BF1094" s="1">
        <v>0.009443</v>
      </c>
      <c r="BG1094" s="1">
        <v>0.010922</v>
      </c>
      <c r="BH1094" s="1">
        <v>0.014713</v>
      </c>
      <c r="BI1094" s="1">
        <v>0.062399</v>
      </c>
      <c r="BJ1094" s="1">
        <v>0.023338</v>
      </c>
      <c r="BK1094" s="1">
        <v>0.018217</v>
      </c>
      <c r="BL1094" s="1">
        <v>0.010096</v>
      </c>
      <c r="BM1094" s="1">
        <v>0.128</v>
      </c>
      <c r="BN1094" s="1">
        <v>0.18</v>
      </c>
      <c r="BO1094" s="1">
        <v>0.0874</v>
      </c>
      <c r="BP1094" s="1">
        <v>0.074</v>
      </c>
      <c r="BQ1094" s="1">
        <v>0.4694</v>
      </c>
      <c r="BR1094" s="1">
        <v>0.0563</v>
      </c>
      <c r="BS1094" s="1">
        <v>0.256</v>
      </c>
      <c r="BT1094" s="1">
        <v>0.882</v>
      </c>
      <c r="BU1094" s="1">
        <v>0.243</v>
      </c>
      <c r="BV1094" s="1">
        <v>1.381</v>
      </c>
      <c r="BW1094" s="1">
        <v>0.374</v>
      </c>
      <c r="BX1094" s="1">
        <v>0.262</v>
      </c>
      <c r="BY1094" s="1">
        <v>0.0</v>
      </c>
      <c r="BZ1094" s="1">
        <v>0.262</v>
      </c>
      <c r="CA1094" s="1">
        <v>0.115</v>
      </c>
      <c r="CB1094" s="1">
        <v>0.534</v>
      </c>
      <c r="CC1094" s="1">
        <v>0.455</v>
      </c>
      <c r="CD1094" s="1">
        <v>0.588</v>
      </c>
      <c r="CE1094" s="1">
        <v>0.22</v>
      </c>
      <c r="CF1094" s="1">
        <v>0.582</v>
      </c>
      <c r="CG1094" s="1">
        <v>2.379</v>
      </c>
      <c r="CH1094" s="1">
        <v>0.504</v>
      </c>
      <c r="CI1094" s="1">
        <v>4.4914</v>
      </c>
      <c r="CJ1094" s="1">
        <v>0.1336</v>
      </c>
      <c r="CK1094" s="1">
        <v>0.0</v>
      </c>
      <c r="CL1094" s="1">
        <v>0.0</v>
      </c>
      <c r="CM1094" s="1">
        <v>0.0</v>
      </c>
      <c r="CN1094" s="1">
        <v>0.0</v>
      </c>
      <c r="CO1094" s="1">
        <v>0.0</v>
      </c>
      <c r="CP1094" s="1">
        <v>0.0</v>
      </c>
      <c r="CQ1094" s="1">
        <v>0.0</v>
      </c>
      <c r="CR1094" s="1">
        <v>0.0</v>
      </c>
      <c r="CS1094" s="1">
        <v>0.0</v>
      </c>
      <c r="CT1094" s="1">
        <v>0.0</v>
      </c>
      <c r="CU1094" s="1">
        <v>0.0</v>
      </c>
      <c r="CV1094" s="1">
        <v>0.0</v>
      </c>
      <c r="CW1094" s="1">
        <v>0.0</v>
      </c>
      <c r="CX1094" s="1">
        <v>0.0</v>
      </c>
      <c r="CY1094" s="1">
        <v>0.0</v>
      </c>
      <c r="CZ1094" s="1">
        <v>0.0</v>
      </c>
      <c r="DA1094" s="1">
        <v>0.0</v>
      </c>
      <c r="DB1094" s="1">
        <v>0.0</v>
      </c>
      <c r="DC1094" s="1">
        <v>0.0</v>
      </c>
      <c r="DD1094" s="1" t="s">
        <v>4902</v>
      </c>
      <c r="DE1094" s="1">
        <v>0.00569382289208183</v>
      </c>
      <c r="DF1094" s="2" t="s">
        <v>4903</v>
      </c>
    </row>
    <row r="1095" ht="15.75" customHeight="1">
      <c r="A1095" s="1" t="s">
        <v>4904</v>
      </c>
      <c r="B1095" s="1">
        <v>29.0</v>
      </c>
      <c r="C1095" s="1">
        <v>189.0</v>
      </c>
      <c r="D1095" s="1">
        <v>221503.0</v>
      </c>
      <c r="E1095" s="1">
        <v>15.949</v>
      </c>
      <c r="F1095" s="1">
        <v>29189.0</v>
      </c>
      <c r="G1095" s="1">
        <v>2.9189221503E10</v>
      </c>
      <c r="H1095" s="1" t="s">
        <v>112</v>
      </c>
      <c r="I1095" s="1" t="s">
        <v>113</v>
      </c>
      <c r="J1095" s="1" t="s">
        <v>4566</v>
      </c>
      <c r="K1095" s="1" t="s">
        <v>4905</v>
      </c>
      <c r="L1095" s="1">
        <v>7235.0</v>
      </c>
      <c r="M1095" s="1">
        <v>6462.0</v>
      </c>
      <c r="N1095" s="1">
        <v>305.0</v>
      </c>
      <c r="O1095" s="1">
        <v>2283.0</v>
      </c>
      <c r="P1095" s="1">
        <v>1787.0</v>
      </c>
      <c r="Q1095" s="1">
        <v>122.0</v>
      </c>
      <c r="R1095" s="1">
        <v>2111.0</v>
      </c>
      <c r="S1095" s="1">
        <v>61.0</v>
      </c>
      <c r="T1095" s="1">
        <v>39.0</v>
      </c>
      <c r="U1095" s="1">
        <v>136.0</v>
      </c>
      <c r="V1095" s="1">
        <v>327.0</v>
      </c>
      <c r="W1095" s="1">
        <v>31345.0</v>
      </c>
      <c r="X1095" s="1">
        <v>2676.0</v>
      </c>
      <c r="Y1095" s="1">
        <v>569.0</v>
      </c>
      <c r="Z1095" s="1">
        <v>279.0</v>
      </c>
      <c r="AA1095" s="1">
        <v>632.0</v>
      </c>
      <c r="AB1095" s="1">
        <v>1856.0</v>
      </c>
      <c r="AC1095" s="1">
        <v>193.0</v>
      </c>
      <c r="AD1095" s="1">
        <v>906.0</v>
      </c>
      <c r="AE1095" s="1">
        <v>48.0</v>
      </c>
      <c r="AF1095" s="1">
        <v>413.0</v>
      </c>
      <c r="AG1095" s="1">
        <v>124.0</v>
      </c>
      <c r="AH1095" s="1">
        <v>136.0</v>
      </c>
      <c r="AI1095" s="1">
        <v>0.0</v>
      </c>
      <c r="AJ1095" s="1">
        <v>114.0</v>
      </c>
      <c r="AK1095" s="1">
        <v>9.0</v>
      </c>
      <c r="AL1095" s="1">
        <v>115.0</v>
      </c>
      <c r="AM1095" s="1">
        <v>30.0</v>
      </c>
      <c r="AN1095" s="1">
        <v>23.0</v>
      </c>
      <c r="AO1095" s="1">
        <v>1219.0</v>
      </c>
      <c r="AP1095" s="1">
        <v>0.01212</v>
      </c>
      <c r="AQ1095" s="1">
        <v>0.007704</v>
      </c>
      <c r="AR1095" s="1">
        <v>0.051398</v>
      </c>
      <c r="AS1095" s="1">
        <v>0.123468</v>
      </c>
      <c r="AT1095" s="1">
        <v>31345.0</v>
      </c>
      <c r="AU1095" s="1">
        <v>2676.0</v>
      </c>
      <c r="AV1095" s="1">
        <v>0.128384</v>
      </c>
      <c r="AW1095" s="1">
        <v>0.062481</v>
      </c>
      <c r="AX1095" s="1">
        <v>0.087353</v>
      </c>
      <c r="AY1095" s="1">
        <v>0.25653</v>
      </c>
      <c r="AZ1095" s="1">
        <v>0.09142586</v>
      </c>
      <c r="BA1095" s="1">
        <v>0.125224</v>
      </c>
      <c r="BB1095" s="1">
        <v>0.007806</v>
      </c>
      <c r="BC1095" s="1">
        <v>0.067164</v>
      </c>
      <c r="BD1095" s="1">
        <v>0.06939</v>
      </c>
      <c r="BE1095" s="1">
        <v>0.075957</v>
      </c>
      <c r="BF1095" s="1">
        <v>0.0</v>
      </c>
      <c r="BG1095" s="1">
        <v>0.063794</v>
      </c>
      <c r="BH1095" s="1">
        <v>0.005303</v>
      </c>
      <c r="BI1095" s="1">
        <v>0.067765</v>
      </c>
      <c r="BJ1095" s="1">
        <v>0.017678</v>
      </c>
      <c r="BK1095" s="1">
        <v>0.013495</v>
      </c>
      <c r="BL1095" s="1">
        <v>0.168486</v>
      </c>
      <c r="BM1095" s="1">
        <v>0.027</v>
      </c>
      <c r="BN1095" s="1">
        <v>0.31</v>
      </c>
      <c r="BO1095" s="1">
        <v>0.1711</v>
      </c>
      <c r="BP1095" s="1">
        <v>0.466</v>
      </c>
      <c r="BQ1095" s="1">
        <v>0.9741</v>
      </c>
      <c r="BR1095" s="1">
        <v>0.1957</v>
      </c>
      <c r="BS1095" s="1">
        <v>0.148</v>
      </c>
      <c r="BT1095" s="1">
        <v>0.67</v>
      </c>
      <c r="BU1095" s="1">
        <v>0.416</v>
      </c>
      <c r="BV1095" s="1">
        <v>1.234</v>
      </c>
      <c r="BW1095" s="1">
        <v>0.255</v>
      </c>
      <c r="BX1095" s="1">
        <v>0.548</v>
      </c>
      <c r="BY1095" s="1">
        <v>0.661</v>
      </c>
      <c r="BZ1095" s="1">
        <v>1.209</v>
      </c>
      <c r="CA1095" s="1">
        <v>0.666</v>
      </c>
      <c r="CB1095" s="1">
        <v>0.712</v>
      </c>
      <c r="CC1095" s="1">
        <v>0.0</v>
      </c>
      <c r="CD1095" s="1">
        <v>0.341</v>
      </c>
      <c r="CE1095" s="1">
        <v>0.159</v>
      </c>
      <c r="CF1095" s="1">
        <v>0.959</v>
      </c>
      <c r="CG1095" s="1">
        <v>2.171</v>
      </c>
      <c r="CH1095" s="1">
        <v>0.407</v>
      </c>
      <c r="CI1095" s="1">
        <v>5.5881</v>
      </c>
      <c r="CJ1095" s="1">
        <v>0.2982</v>
      </c>
      <c r="CK1095" s="1">
        <v>0.0</v>
      </c>
      <c r="CL1095" s="1">
        <v>0.0</v>
      </c>
      <c r="CM1095" s="1">
        <v>0.0</v>
      </c>
      <c r="CN1095" s="1">
        <v>0.0</v>
      </c>
      <c r="CO1095" s="1">
        <v>0.0</v>
      </c>
      <c r="CP1095" s="1">
        <v>0.0</v>
      </c>
      <c r="CQ1095" s="1">
        <v>0.0</v>
      </c>
      <c r="CR1095" s="1">
        <v>0.0</v>
      </c>
      <c r="CS1095" s="1">
        <v>0.0</v>
      </c>
      <c r="CT1095" s="1">
        <v>0.0</v>
      </c>
      <c r="CU1095" s="1">
        <v>0.0</v>
      </c>
      <c r="CV1095" s="1">
        <v>0.0</v>
      </c>
      <c r="CW1095" s="1">
        <v>0.0</v>
      </c>
      <c r="CX1095" s="1">
        <v>0.0</v>
      </c>
      <c r="CY1095" s="1">
        <v>0.0</v>
      </c>
      <c r="CZ1095" s="1">
        <v>0.0</v>
      </c>
      <c r="DA1095" s="1">
        <v>1.0</v>
      </c>
      <c r="DB1095" s="1">
        <v>1.0</v>
      </c>
      <c r="DC1095" s="1">
        <v>1.0</v>
      </c>
      <c r="DD1095" s="1" t="s">
        <v>4906</v>
      </c>
      <c r="DE1095" s="1">
        <v>0.00436173517144257</v>
      </c>
      <c r="DF1095" s="2" t="s">
        <v>4907</v>
      </c>
    </row>
    <row r="1096" ht="15.75" customHeight="1">
      <c r="A1096" s="1" t="s">
        <v>4908</v>
      </c>
      <c r="B1096" s="1">
        <v>29.0</v>
      </c>
      <c r="C1096" s="1">
        <v>189.0</v>
      </c>
      <c r="D1096" s="1">
        <v>221506.0</v>
      </c>
      <c r="E1096" s="1">
        <v>1.351</v>
      </c>
      <c r="F1096" s="1">
        <v>29189.0</v>
      </c>
      <c r="G1096" s="1">
        <v>2.9189221506E10</v>
      </c>
      <c r="H1096" s="1" t="s">
        <v>112</v>
      </c>
      <c r="I1096" s="1" t="s">
        <v>113</v>
      </c>
      <c r="J1096" s="1" t="s">
        <v>4566</v>
      </c>
      <c r="K1096" s="1" t="s">
        <v>4909</v>
      </c>
      <c r="L1096" s="1">
        <v>5028.0</v>
      </c>
      <c r="M1096" s="1">
        <v>5011.0</v>
      </c>
      <c r="N1096" s="1">
        <v>275.0</v>
      </c>
      <c r="O1096" s="1">
        <v>1754.0</v>
      </c>
      <c r="P1096" s="1">
        <v>1861.0</v>
      </c>
      <c r="Q1096" s="1">
        <v>54.0</v>
      </c>
      <c r="R1096" s="1">
        <v>1703.0</v>
      </c>
      <c r="S1096" s="1">
        <v>228.0</v>
      </c>
      <c r="T1096" s="1">
        <v>183.0</v>
      </c>
      <c r="U1096" s="1">
        <v>163.0</v>
      </c>
      <c r="V1096" s="1">
        <v>451.0</v>
      </c>
      <c r="W1096" s="1">
        <v>40403.0</v>
      </c>
      <c r="X1096" s="1">
        <v>4270.0</v>
      </c>
      <c r="Y1096" s="1">
        <v>40.0</v>
      </c>
      <c r="Z1096" s="1">
        <v>446.0</v>
      </c>
      <c r="AA1096" s="1">
        <v>354.0</v>
      </c>
      <c r="AB1096" s="1">
        <v>1656.0</v>
      </c>
      <c r="AC1096" s="1">
        <v>127.0</v>
      </c>
      <c r="AD1096" s="1">
        <v>539.0</v>
      </c>
      <c r="AE1096" s="1">
        <v>40.0</v>
      </c>
      <c r="AF1096" s="1">
        <v>446.0</v>
      </c>
      <c r="AG1096" s="1">
        <v>373.0</v>
      </c>
      <c r="AH1096" s="1">
        <v>142.0</v>
      </c>
      <c r="AI1096" s="1">
        <v>0.0</v>
      </c>
      <c r="AJ1096" s="1">
        <v>114.0</v>
      </c>
      <c r="AK1096" s="1">
        <v>15.0</v>
      </c>
      <c r="AL1096" s="1">
        <v>117.0</v>
      </c>
      <c r="AM1096" s="1">
        <v>15.0</v>
      </c>
      <c r="AN1096" s="1">
        <v>117.0</v>
      </c>
      <c r="AO1096" s="1">
        <v>0.0</v>
      </c>
      <c r="AP1096" s="1">
        <v>0.045499</v>
      </c>
      <c r="AQ1096" s="1">
        <v>0.036434</v>
      </c>
      <c r="AR1096" s="1">
        <v>0.065017</v>
      </c>
      <c r="AS1096" s="1">
        <v>0.179653</v>
      </c>
      <c r="AT1096" s="1">
        <v>40403.0</v>
      </c>
      <c r="AU1096" s="1">
        <v>4270.0</v>
      </c>
      <c r="AV1096" s="1">
        <v>0.013495</v>
      </c>
      <c r="AW1096" s="1">
        <v>0.15047</v>
      </c>
      <c r="AX1096" s="1">
        <v>0.070405</v>
      </c>
      <c r="AY1096" s="1">
        <v>0.329355</v>
      </c>
      <c r="AZ1096" s="1">
        <v>0.07457428</v>
      </c>
      <c r="BA1096" s="1">
        <v>0.107199</v>
      </c>
      <c r="BB1096" s="1">
        <v>0.00877</v>
      </c>
      <c r="BC1096" s="1">
        <v>0.097784</v>
      </c>
      <c r="BD1096" s="1">
        <v>0.200429</v>
      </c>
      <c r="BE1096" s="1">
        <v>0.076081</v>
      </c>
      <c r="BF1096" s="1">
        <v>0.0</v>
      </c>
      <c r="BG1096" s="1">
        <v>0.061257</v>
      </c>
      <c r="BH1096" s="1">
        <v>0.00865</v>
      </c>
      <c r="BI1096" s="1">
        <v>0.067471</v>
      </c>
      <c r="BJ1096" s="1">
        <v>0.00865</v>
      </c>
      <c r="BK1096" s="1">
        <v>0.067471</v>
      </c>
      <c r="BL1096" s="1">
        <v>0.0</v>
      </c>
      <c r="BM1096" s="1">
        <v>0.146</v>
      </c>
      <c r="BN1096" s="1">
        <v>0.469</v>
      </c>
      <c r="BO1096" s="1">
        <v>0.0628</v>
      </c>
      <c r="BP1096" s="1">
        <v>0.025</v>
      </c>
      <c r="BQ1096" s="1">
        <v>0.7028</v>
      </c>
      <c r="BR1096" s="1">
        <v>0.1242</v>
      </c>
      <c r="BS1096" s="1">
        <v>0.086</v>
      </c>
      <c r="BT1096" s="1">
        <v>0.971</v>
      </c>
      <c r="BU1096" s="1">
        <v>0.255</v>
      </c>
      <c r="BV1096" s="1">
        <v>1.312</v>
      </c>
      <c r="BW1096" s="1">
        <v>0.312</v>
      </c>
      <c r="BX1096" s="1">
        <v>0.497</v>
      </c>
      <c r="BY1096" s="1">
        <v>0.687</v>
      </c>
      <c r="BZ1096" s="1">
        <v>1.184</v>
      </c>
      <c r="CA1096" s="1">
        <v>0.653</v>
      </c>
      <c r="CB1096" s="1">
        <v>0.894</v>
      </c>
      <c r="CC1096" s="1">
        <v>0.0</v>
      </c>
      <c r="CD1096" s="1">
        <v>0.449</v>
      </c>
      <c r="CE1096" s="1">
        <v>0.07</v>
      </c>
      <c r="CF1096" s="1">
        <v>0.0</v>
      </c>
      <c r="CG1096" s="1">
        <v>1.413</v>
      </c>
      <c r="CH1096" s="1">
        <v>0.152</v>
      </c>
      <c r="CI1096" s="1">
        <v>4.6118</v>
      </c>
      <c r="CJ1096" s="1">
        <v>0.1437</v>
      </c>
      <c r="CK1096" s="1">
        <v>0.0</v>
      </c>
      <c r="CL1096" s="1">
        <v>0.0</v>
      </c>
      <c r="CM1096" s="1">
        <v>0.0</v>
      </c>
      <c r="CN1096" s="1">
        <v>0.0</v>
      </c>
      <c r="CO1096" s="1">
        <v>0.0</v>
      </c>
      <c r="CP1096" s="1">
        <v>0.0</v>
      </c>
      <c r="CQ1096" s="1">
        <v>1.0</v>
      </c>
      <c r="CR1096" s="1">
        <v>0.0</v>
      </c>
      <c r="CS1096" s="1">
        <v>1.0</v>
      </c>
      <c r="CT1096" s="1">
        <v>0.0</v>
      </c>
      <c r="CU1096" s="1">
        <v>0.0</v>
      </c>
      <c r="CV1096" s="1">
        <v>0.0</v>
      </c>
      <c r="CW1096" s="1">
        <v>0.0</v>
      </c>
      <c r="CX1096" s="1">
        <v>0.0</v>
      </c>
      <c r="CY1096" s="1">
        <v>0.0</v>
      </c>
      <c r="CZ1096" s="1">
        <v>0.0</v>
      </c>
      <c r="DA1096" s="1">
        <v>0.0</v>
      </c>
      <c r="DB1096" s="1">
        <v>0.0</v>
      </c>
      <c r="DC1096" s="1">
        <v>1.0</v>
      </c>
      <c r="DD1096" s="1" t="s">
        <v>4910</v>
      </c>
      <c r="DE1096" s="1">
        <v>3.58310268880942E-4</v>
      </c>
      <c r="DF1096" s="1">
        <v>0.0799773705646326</v>
      </c>
    </row>
    <row r="1097" ht="15.75" customHeight="1">
      <c r="A1097" s="1" t="s">
        <v>4911</v>
      </c>
      <c r="B1097" s="1">
        <v>29.0</v>
      </c>
      <c r="C1097" s="1">
        <v>189.0</v>
      </c>
      <c r="D1097" s="1">
        <v>221626.0</v>
      </c>
      <c r="E1097" s="1">
        <v>5.264</v>
      </c>
      <c r="F1097" s="1">
        <v>29189.0</v>
      </c>
      <c r="G1097" s="1">
        <v>2.9189221626E10</v>
      </c>
      <c r="H1097" s="1" t="s">
        <v>112</v>
      </c>
      <c r="I1097" s="1" t="s">
        <v>113</v>
      </c>
      <c r="J1097" s="1" t="s">
        <v>4566</v>
      </c>
      <c r="K1097" s="1" t="s">
        <v>4912</v>
      </c>
      <c r="L1097" s="1">
        <v>5978.0</v>
      </c>
      <c r="M1097" s="1">
        <v>5794.0</v>
      </c>
      <c r="N1097" s="1">
        <v>407.0</v>
      </c>
      <c r="O1097" s="1">
        <v>1998.0</v>
      </c>
      <c r="P1097" s="1">
        <v>1959.0</v>
      </c>
      <c r="Q1097" s="1">
        <v>70.0</v>
      </c>
      <c r="R1097" s="1">
        <v>1943.0</v>
      </c>
      <c r="S1097" s="1">
        <v>164.0</v>
      </c>
      <c r="T1097" s="1">
        <v>275.0</v>
      </c>
      <c r="U1097" s="1">
        <v>126.0</v>
      </c>
      <c r="V1097" s="1">
        <v>399.0</v>
      </c>
      <c r="W1097" s="1">
        <v>62837.0</v>
      </c>
      <c r="X1097" s="1">
        <v>7306.0</v>
      </c>
      <c r="Y1097" s="1">
        <v>76.0</v>
      </c>
      <c r="Z1097" s="1">
        <v>384.0</v>
      </c>
      <c r="AA1097" s="1">
        <v>578.0</v>
      </c>
      <c r="AB1097" s="1">
        <v>1784.0</v>
      </c>
      <c r="AC1097" s="1">
        <v>77.0</v>
      </c>
      <c r="AD1097" s="1">
        <v>607.0</v>
      </c>
      <c r="AE1097" s="1">
        <v>38.0</v>
      </c>
      <c r="AF1097" s="1">
        <v>412.0</v>
      </c>
      <c r="AG1097" s="1">
        <v>0.0</v>
      </c>
      <c r="AH1097" s="1">
        <v>197.0</v>
      </c>
      <c r="AI1097" s="1">
        <v>0.0</v>
      </c>
      <c r="AJ1097" s="1">
        <v>114.0</v>
      </c>
      <c r="AK1097" s="1">
        <v>8.0</v>
      </c>
      <c r="AL1097" s="1">
        <v>115.0</v>
      </c>
      <c r="AM1097" s="1">
        <v>0.0</v>
      </c>
      <c r="AN1097" s="1">
        <v>161.0</v>
      </c>
      <c r="AO1097" s="1">
        <v>0.0</v>
      </c>
      <c r="AP1097" s="1">
        <v>0.028363</v>
      </c>
      <c r="AQ1097" s="1">
        <v>0.047519</v>
      </c>
      <c r="AR1097" s="1">
        <v>0.047102</v>
      </c>
      <c r="AS1097" s="1">
        <v>0.149086</v>
      </c>
      <c r="AT1097" s="1">
        <v>62837.0</v>
      </c>
      <c r="AU1097" s="1">
        <v>7306.0</v>
      </c>
      <c r="AV1097" s="1">
        <v>0.021378</v>
      </c>
      <c r="AW1097" s="1">
        <v>0.10801</v>
      </c>
      <c r="AX1097" s="1">
        <v>0.096687</v>
      </c>
      <c r="AY1097" s="1">
        <v>0.298427</v>
      </c>
      <c r="AZ1097" s="1">
        <v>0.03962943</v>
      </c>
      <c r="BA1097" s="1">
        <v>0.101538</v>
      </c>
      <c r="BB1097" s="1">
        <v>0.007094</v>
      </c>
      <c r="BC1097" s="1">
        <v>0.076921</v>
      </c>
      <c r="BD1097" s="1">
        <v>0.0</v>
      </c>
      <c r="BE1097" s="1">
        <v>0.100561</v>
      </c>
      <c r="BF1097" s="1">
        <v>0.0</v>
      </c>
      <c r="BG1097" s="1">
        <v>0.058192</v>
      </c>
      <c r="BH1097" s="1">
        <v>0.004427</v>
      </c>
      <c r="BI1097" s="1">
        <v>0.06364</v>
      </c>
      <c r="BJ1097" s="1">
        <v>0.0</v>
      </c>
      <c r="BK1097" s="1">
        <v>0.089097</v>
      </c>
      <c r="BL1097" s="1">
        <v>0.0</v>
      </c>
      <c r="BM1097" s="1">
        <v>0.084</v>
      </c>
      <c r="BN1097" s="1">
        <v>0.263</v>
      </c>
      <c r="BO1097" s="1">
        <v>0.0101</v>
      </c>
      <c r="BP1097" s="1">
        <v>0.037</v>
      </c>
      <c r="BQ1097" s="1">
        <v>0.3941</v>
      </c>
      <c r="BR1097" s="1">
        <v>0.039</v>
      </c>
      <c r="BS1097" s="1">
        <v>0.191</v>
      </c>
      <c r="BT1097" s="1">
        <v>0.918</v>
      </c>
      <c r="BU1097" s="1">
        <v>0.037</v>
      </c>
      <c r="BV1097" s="1">
        <v>1.146</v>
      </c>
      <c r="BW1097" s="1">
        <v>0.197</v>
      </c>
      <c r="BX1097" s="1">
        <v>0.474</v>
      </c>
      <c r="BY1097" s="1">
        <v>0.637</v>
      </c>
      <c r="BZ1097" s="1">
        <v>1.111</v>
      </c>
      <c r="CA1097" s="1">
        <v>0.621</v>
      </c>
      <c r="CB1097" s="1">
        <v>0.0</v>
      </c>
      <c r="CC1097" s="1">
        <v>0.0</v>
      </c>
      <c r="CD1097" s="1">
        <v>0.319</v>
      </c>
      <c r="CE1097" s="1">
        <v>0.0</v>
      </c>
      <c r="CF1097" s="1">
        <v>0.0</v>
      </c>
      <c r="CG1097" s="1">
        <v>0.319</v>
      </c>
      <c r="CH1097" s="1">
        <v>0.016</v>
      </c>
      <c r="CI1097" s="1">
        <v>2.9701</v>
      </c>
      <c r="CJ1097" s="1">
        <v>0.0181</v>
      </c>
      <c r="CK1097" s="1">
        <v>0.0</v>
      </c>
      <c r="CL1097" s="1">
        <v>0.0</v>
      </c>
      <c r="CM1097" s="1">
        <v>0.0</v>
      </c>
      <c r="CN1097" s="1">
        <v>0.0</v>
      </c>
      <c r="CO1097" s="1">
        <v>0.0</v>
      </c>
      <c r="CP1097" s="1">
        <v>0.0</v>
      </c>
      <c r="CQ1097" s="1">
        <v>1.0</v>
      </c>
      <c r="CR1097" s="1">
        <v>0.0</v>
      </c>
      <c r="CS1097" s="1">
        <v>1.0</v>
      </c>
      <c r="CT1097" s="1">
        <v>0.0</v>
      </c>
      <c r="CU1097" s="1">
        <v>0.0</v>
      </c>
      <c r="CV1097" s="1">
        <v>0.0</v>
      </c>
      <c r="CW1097" s="1">
        <v>0.0</v>
      </c>
      <c r="CX1097" s="1">
        <v>0.0</v>
      </c>
      <c r="CY1097" s="1">
        <v>0.0</v>
      </c>
      <c r="CZ1097" s="1">
        <v>0.0</v>
      </c>
      <c r="DA1097" s="1">
        <v>0.0</v>
      </c>
      <c r="DB1097" s="1">
        <v>0.0</v>
      </c>
      <c r="DC1097" s="1">
        <v>1.0</v>
      </c>
      <c r="DD1097" s="1" t="s">
        <v>4913</v>
      </c>
      <c r="DE1097" s="1">
        <v>0.00141636673473201</v>
      </c>
      <c r="DF1097" s="2" t="s">
        <v>4914</v>
      </c>
    </row>
    <row r="1098" ht="15.75" customHeight="1">
      <c r="A1098" s="1" t="s">
        <v>4915</v>
      </c>
      <c r="B1098" s="1">
        <v>29.0</v>
      </c>
      <c r="C1098" s="1">
        <v>189.0</v>
      </c>
      <c r="D1098" s="1">
        <v>221627.0</v>
      </c>
      <c r="E1098" s="1">
        <v>6.257</v>
      </c>
      <c r="F1098" s="1">
        <v>29189.0</v>
      </c>
      <c r="G1098" s="1">
        <v>2.9189221627E10</v>
      </c>
      <c r="H1098" s="1" t="s">
        <v>112</v>
      </c>
      <c r="I1098" s="1" t="s">
        <v>113</v>
      </c>
      <c r="J1098" s="1" t="s">
        <v>4566</v>
      </c>
      <c r="K1098" s="1" t="s">
        <v>4916</v>
      </c>
      <c r="L1098" s="1">
        <v>6513.0</v>
      </c>
      <c r="M1098" s="1">
        <v>6636.0</v>
      </c>
      <c r="N1098" s="1">
        <v>321.0</v>
      </c>
      <c r="O1098" s="1">
        <v>2010.0</v>
      </c>
      <c r="P1098" s="1">
        <v>1915.0</v>
      </c>
      <c r="Q1098" s="1">
        <v>78.0</v>
      </c>
      <c r="R1098" s="1">
        <v>1945.0</v>
      </c>
      <c r="S1098" s="1">
        <v>152.0</v>
      </c>
      <c r="T1098" s="1">
        <v>189.0</v>
      </c>
      <c r="U1098" s="1">
        <v>67.0</v>
      </c>
      <c r="V1098" s="1">
        <v>473.0</v>
      </c>
      <c r="W1098" s="1">
        <v>67699.0</v>
      </c>
      <c r="X1098" s="1">
        <v>8073.0</v>
      </c>
      <c r="Y1098" s="1">
        <v>29.0</v>
      </c>
      <c r="Z1098" s="1">
        <v>428.0</v>
      </c>
      <c r="AA1098" s="1">
        <v>377.0</v>
      </c>
      <c r="AB1098" s="1">
        <v>2324.0</v>
      </c>
      <c r="AC1098" s="1">
        <v>69.0</v>
      </c>
      <c r="AD1098" s="1">
        <v>698.0</v>
      </c>
      <c r="AE1098" s="1">
        <v>18.0</v>
      </c>
      <c r="AF1098" s="1">
        <v>442.0</v>
      </c>
      <c r="AG1098" s="1">
        <v>0.0</v>
      </c>
      <c r="AH1098" s="1">
        <v>197.0</v>
      </c>
      <c r="AI1098" s="1">
        <v>0.0</v>
      </c>
      <c r="AJ1098" s="1">
        <v>114.0</v>
      </c>
      <c r="AK1098" s="1">
        <v>0.0</v>
      </c>
      <c r="AL1098" s="1">
        <v>161.0</v>
      </c>
      <c r="AM1098" s="1">
        <v>14.0</v>
      </c>
      <c r="AN1098" s="1">
        <v>116.0</v>
      </c>
      <c r="AO1098" s="1">
        <v>0.0</v>
      </c>
      <c r="AP1098" s="1">
        <v>0.022905</v>
      </c>
      <c r="AQ1098" s="1">
        <v>0.028459</v>
      </c>
      <c r="AR1098" s="1">
        <v>0.024399</v>
      </c>
      <c r="AS1098" s="1">
        <v>0.172233</v>
      </c>
      <c r="AT1098" s="1">
        <v>67699.0</v>
      </c>
      <c r="AU1098" s="1">
        <v>8073.0</v>
      </c>
      <c r="AV1098" s="1">
        <v>0.007617</v>
      </c>
      <c r="AW1098" s="1">
        <v>0.112424</v>
      </c>
      <c r="AX1098" s="1">
        <v>0.057884</v>
      </c>
      <c r="AY1098" s="1">
        <v>0.356824</v>
      </c>
      <c r="AZ1098" s="1">
        <v>0.03547557</v>
      </c>
      <c r="BA1098" s="1">
        <v>0.10717</v>
      </c>
      <c r="BB1098" s="1">
        <v>0.00289</v>
      </c>
      <c r="BC1098" s="1">
        <v>0.070969</v>
      </c>
      <c r="BD1098" s="1">
        <v>0.0</v>
      </c>
      <c r="BE1098" s="1">
        <v>0.102872</v>
      </c>
      <c r="BF1098" s="1">
        <v>0.0</v>
      </c>
      <c r="BG1098" s="1">
        <v>0.05953</v>
      </c>
      <c r="BH1098" s="1">
        <v>0.0</v>
      </c>
      <c r="BI1098" s="1">
        <v>0.084073</v>
      </c>
      <c r="BJ1098" s="1">
        <v>0.00731</v>
      </c>
      <c r="BK1098" s="1">
        <v>0.060573</v>
      </c>
      <c r="BL1098" s="1">
        <v>0.0</v>
      </c>
      <c r="BM1098" s="1">
        <v>0.066</v>
      </c>
      <c r="BN1098" s="1">
        <v>0.047</v>
      </c>
      <c r="BO1098" s="1">
        <v>0.0051</v>
      </c>
      <c r="BP1098" s="1">
        <v>0.011</v>
      </c>
      <c r="BQ1098" s="1">
        <v>0.1291</v>
      </c>
      <c r="BR1098" s="1">
        <v>0.0014</v>
      </c>
      <c r="BS1098" s="1">
        <v>0.038</v>
      </c>
      <c r="BT1098" s="1">
        <v>0.987</v>
      </c>
      <c r="BU1098" s="1">
        <v>0.025</v>
      </c>
      <c r="BV1098" s="1">
        <v>1.05</v>
      </c>
      <c r="BW1098" s="1">
        <v>0.133</v>
      </c>
      <c r="BX1098" s="1">
        <v>0.496</v>
      </c>
      <c r="BY1098" s="1">
        <v>0.443</v>
      </c>
      <c r="BZ1098" s="1">
        <v>0.939</v>
      </c>
      <c r="CA1098" s="1">
        <v>0.498</v>
      </c>
      <c r="CB1098" s="1">
        <v>0.0</v>
      </c>
      <c r="CC1098" s="1">
        <v>0.0</v>
      </c>
      <c r="CD1098" s="1">
        <v>0.0</v>
      </c>
      <c r="CE1098" s="1">
        <v>0.061</v>
      </c>
      <c r="CF1098" s="1">
        <v>0.0</v>
      </c>
      <c r="CG1098" s="1">
        <v>0.061</v>
      </c>
      <c r="CH1098" s="1">
        <v>0.008</v>
      </c>
      <c r="CI1098" s="1">
        <v>2.1791</v>
      </c>
      <c r="CJ1098" s="1">
        <v>0.0029</v>
      </c>
      <c r="CK1098" s="1">
        <v>0.0</v>
      </c>
      <c r="CL1098" s="1">
        <v>0.0</v>
      </c>
      <c r="CM1098" s="1">
        <v>0.0</v>
      </c>
      <c r="CN1098" s="1">
        <v>0.0</v>
      </c>
      <c r="CO1098" s="1">
        <v>0.0</v>
      </c>
      <c r="CP1098" s="1">
        <v>0.0</v>
      </c>
      <c r="CQ1098" s="1">
        <v>1.0</v>
      </c>
      <c r="CR1098" s="1">
        <v>0.0</v>
      </c>
      <c r="CS1098" s="1">
        <v>1.0</v>
      </c>
      <c r="CT1098" s="1">
        <v>0.0</v>
      </c>
      <c r="CU1098" s="1">
        <v>0.0</v>
      </c>
      <c r="CV1098" s="1">
        <v>0.0</v>
      </c>
      <c r="CW1098" s="1">
        <v>0.0</v>
      </c>
      <c r="CX1098" s="1">
        <v>0.0</v>
      </c>
      <c r="CY1098" s="1">
        <v>0.0</v>
      </c>
      <c r="CZ1098" s="1">
        <v>0.0</v>
      </c>
      <c r="DA1098" s="1">
        <v>0.0</v>
      </c>
      <c r="DB1098" s="1">
        <v>0.0</v>
      </c>
      <c r="DC1098" s="1">
        <v>1.0</v>
      </c>
      <c r="DD1098" s="1" t="s">
        <v>4917</v>
      </c>
      <c r="DE1098" s="1">
        <v>0.00167583904608808</v>
      </c>
      <c r="DF1098" s="2" t="s">
        <v>4918</v>
      </c>
    </row>
    <row r="1099" ht="15.75" customHeight="1">
      <c r="A1099" s="1" t="s">
        <v>4919</v>
      </c>
      <c r="B1099" s="1">
        <v>29.0</v>
      </c>
      <c r="C1099" s="1">
        <v>189.0</v>
      </c>
      <c r="D1099" s="1">
        <v>221628.0</v>
      </c>
      <c r="E1099" s="1">
        <v>8.831</v>
      </c>
      <c r="F1099" s="1">
        <v>29189.0</v>
      </c>
      <c r="G1099" s="1">
        <v>2.9189221628E10</v>
      </c>
      <c r="H1099" s="1" t="s">
        <v>112</v>
      </c>
      <c r="I1099" s="1" t="s">
        <v>113</v>
      </c>
      <c r="J1099" s="1" t="s">
        <v>4566</v>
      </c>
      <c r="K1099" s="1" t="s">
        <v>4920</v>
      </c>
      <c r="L1099" s="1">
        <v>6717.0</v>
      </c>
      <c r="M1099" s="1">
        <v>6379.0</v>
      </c>
      <c r="N1099" s="1">
        <v>394.0</v>
      </c>
      <c r="O1099" s="1">
        <v>3786.0</v>
      </c>
      <c r="P1099" s="1">
        <v>3538.0</v>
      </c>
      <c r="Q1099" s="1">
        <v>136.0</v>
      </c>
      <c r="R1099" s="1">
        <v>3447.0</v>
      </c>
      <c r="S1099" s="1">
        <v>479.0</v>
      </c>
      <c r="T1099" s="1">
        <v>191.0</v>
      </c>
      <c r="U1099" s="1">
        <v>98.0</v>
      </c>
      <c r="V1099" s="1">
        <v>445.0</v>
      </c>
      <c r="W1099" s="1">
        <v>48190.0</v>
      </c>
      <c r="X1099" s="1">
        <v>6114.0</v>
      </c>
      <c r="Y1099" s="1">
        <v>285.0</v>
      </c>
      <c r="Z1099" s="1">
        <v>317.0</v>
      </c>
      <c r="AA1099" s="1">
        <v>1562.0</v>
      </c>
      <c r="AB1099" s="1">
        <v>977.0</v>
      </c>
      <c r="AC1099" s="1">
        <v>141.0</v>
      </c>
      <c r="AD1099" s="1">
        <v>1322.0</v>
      </c>
      <c r="AE1099" s="1">
        <v>202.0</v>
      </c>
      <c r="AF1099" s="1">
        <v>412.0</v>
      </c>
      <c r="AG1099" s="1">
        <v>1301.0</v>
      </c>
      <c r="AH1099" s="1">
        <v>245.0</v>
      </c>
      <c r="AI1099" s="1">
        <v>151.0</v>
      </c>
      <c r="AJ1099" s="1">
        <v>87.0</v>
      </c>
      <c r="AK1099" s="1">
        <v>0.0</v>
      </c>
      <c r="AL1099" s="1">
        <v>161.0</v>
      </c>
      <c r="AM1099" s="1">
        <v>224.0</v>
      </c>
      <c r="AN1099" s="1">
        <v>111.0</v>
      </c>
      <c r="AO1099" s="1">
        <v>215.0</v>
      </c>
      <c r="AP1099" s="1">
        <v>0.077407</v>
      </c>
      <c r="AQ1099" s="1">
        <v>0.030484</v>
      </c>
      <c r="AR1099" s="1">
        <v>0.031715</v>
      </c>
      <c r="AS1099" s="1">
        <v>0.143963</v>
      </c>
      <c r="AT1099" s="1">
        <v>48190.0</v>
      </c>
      <c r="AU1099" s="1">
        <v>6114.0</v>
      </c>
      <c r="AV1099" s="1">
        <v>0.059042</v>
      </c>
      <c r="AW1099" s="1">
        <v>0.065554</v>
      </c>
      <c r="AX1099" s="1">
        <v>0.232544</v>
      </c>
      <c r="AY1099" s="1">
        <v>0.145451</v>
      </c>
      <c r="AZ1099" s="1">
        <v>0.04090513</v>
      </c>
      <c r="BA1099" s="1">
        <v>0.196814</v>
      </c>
      <c r="BB1099" s="1">
        <v>0.033076</v>
      </c>
      <c r="BC1099" s="1">
        <v>0.067437</v>
      </c>
      <c r="BD1099" s="1">
        <v>0.367721</v>
      </c>
      <c r="BE1099" s="1">
        <v>0.06779</v>
      </c>
      <c r="BF1099" s="1">
        <v>0.042679</v>
      </c>
      <c r="BG1099" s="1">
        <v>0.024535</v>
      </c>
      <c r="BH1099" s="1">
        <v>0.0</v>
      </c>
      <c r="BI1099" s="1">
        <v>0.04913</v>
      </c>
      <c r="BJ1099" s="1">
        <v>0.068355</v>
      </c>
      <c r="BK1099" s="1">
        <v>0.033729</v>
      </c>
      <c r="BL1099" s="1">
        <v>0.032008</v>
      </c>
      <c r="BM1099" s="1">
        <v>0.282</v>
      </c>
      <c r="BN1099" s="1">
        <v>0.101</v>
      </c>
      <c r="BO1099" s="1">
        <v>0.0303</v>
      </c>
      <c r="BP1099" s="1">
        <v>0.164</v>
      </c>
      <c r="BQ1099" s="1">
        <v>0.5773</v>
      </c>
      <c r="BR1099" s="1">
        <v>0.0874</v>
      </c>
      <c r="BS1099" s="1">
        <v>0.953</v>
      </c>
      <c r="BT1099" s="1">
        <v>0.059</v>
      </c>
      <c r="BU1099" s="1">
        <v>0.041</v>
      </c>
      <c r="BV1099" s="1">
        <v>1.053</v>
      </c>
      <c r="BW1099" s="1">
        <v>0.133</v>
      </c>
      <c r="BX1099" s="1">
        <v>0.707</v>
      </c>
      <c r="BY1099" s="1">
        <v>0.927</v>
      </c>
      <c r="BZ1099" s="1">
        <v>1.634</v>
      </c>
      <c r="CA1099" s="1">
        <v>0.886</v>
      </c>
      <c r="CB1099" s="1">
        <v>0.962</v>
      </c>
      <c r="CC1099" s="1">
        <v>0.586</v>
      </c>
      <c r="CD1099" s="1">
        <v>0.0</v>
      </c>
      <c r="CE1099" s="1">
        <v>0.615</v>
      </c>
      <c r="CF1099" s="1">
        <v>0.815</v>
      </c>
      <c r="CG1099" s="1">
        <v>2.978</v>
      </c>
      <c r="CH1099" s="1">
        <v>0.767</v>
      </c>
      <c r="CI1099" s="1">
        <v>6.2423</v>
      </c>
      <c r="CJ1099" s="1">
        <v>0.4181</v>
      </c>
      <c r="CK1099" s="1">
        <v>0.0</v>
      </c>
      <c r="CL1099" s="1">
        <v>0.0</v>
      </c>
      <c r="CM1099" s="1">
        <v>0.0</v>
      </c>
      <c r="CN1099" s="1">
        <v>0.0</v>
      </c>
      <c r="CO1099" s="1">
        <v>0.0</v>
      </c>
      <c r="CP1099" s="1">
        <v>1.0</v>
      </c>
      <c r="CQ1099" s="1">
        <v>0.0</v>
      </c>
      <c r="CR1099" s="1">
        <v>0.0</v>
      </c>
      <c r="CS1099" s="1">
        <v>1.0</v>
      </c>
      <c r="CT1099" s="1">
        <v>0.0</v>
      </c>
      <c r="CU1099" s="1">
        <v>1.0</v>
      </c>
      <c r="CV1099" s="1">
        <v>1.0</v>
      </c>
      <c r="CW1099" s="1">
        <v>1.0</v>
      </c>
      <c r="CX1099" s="1">
        <v>0.0</v>
      </c>
      <c r="CY1099" s="1">
        <v>0.0</v>
      </c>
      <c r="CZ1099" s="1">
        <v>0.0</v>
      </c>
      <c r="DA1099" s="1">
        <v>0.0</v>
      </c>
      <c r="DB1099" s="1">
        <v>1.0</v>
      </c>
      <c r="DC1099" s="1">
        <v>3.0</v>
      </c>
      <c r="DD1099" s="1" t="s">
        <v>4921</v>
      </c>
      <c r="DE1099" s="1">
        <v>0.00277515420591824</v>
      </c>
      <c r="DF1099" s="2" t="s">
        <v>4922</v>
      </c>
    </row>
    <row r="1100" ht="15.75" customHeight="1">
      <c r="A1100" s="1" t="s">
        <v>4923</v>
      </c>
      <c r="B1100" s="1">
        <v>29.0</v>
      </c>
      <c r="C1100" s="1">
        <v>189.0</v>
      </c>
      <c r="D1100" s="1">
        <v>222000.0</v>
      </c>
      <c r="E1100" s="1">
        <v>3.292</v>
      </c>
      <c r="F1100" s="1">
        <v>29189.0</v>
      </c>
      <c r="G1100" s="1">
        <v>2.9189222E10</v>
      </c>
      <c r="H1100" s="1" t="s">
        <v>112</v>
      </c>
      <c r="I1100" s="1" t="s">
        <v>113</v>
      </c>
      <c r="J1100" s="1" t="s">
        <v>4566</v>
      </c>
      <c r="K1100" s="1" t="s">
        <v>4924</v>
      </c>
      <c r="L1100" s="1">
        <v>3818.0</v>
      </c>
      <c r="M1100" s="1">
        <v>4001.0</v>
      </c>
      <c r="N1100" s="1">
        <v>263.0</v>
      </c>
      <c r="O1100" s="1">
        <v>1712.0</v>
      </c>
      <c r="P1100" s="1">
        <v>1663.0</v>
      </c>
      <c r="Q1100" s="1">
        <v>75.0</v>
      </c>
      <c r="R1100" s="1">
        <v>1613.0</v>
      </c>
      <c r="S1100" s="1">
        <v>121.0</v>
      </c>
      <c r="T1100" s="1">
        <v>103.0</v>
      </c>
      <c r="U1100" s="1">
        <v>140.0</v>
      </c>
      <c r="V1100" s="1">
        <v>465.0</v>
      </c>
      <c r="W1100" s="1">
        <v>46036.0</v>
      </c>
      <c r="X1100" s="1">
        <v>7178.0</v>
      </c>
      <c r="Y1100" s="1">
        <v>309.0</v>
      </c>
      <c r="Z1100" s="1">
        <v>342.0</v>
      </c>
      <c r="AA1100" s="1">
        <v>1139.0</v>
      </c>
      <c r="AB1100" s="1">
        <v>609.0</v>
      </c>
      <c r="AC1100" s="1">
        <v>68.0</v>
      </c>
      <c r="AD1100" s="1">
        <v>163.0</v>
      </c>
      <c r="AE1100" s="1">
        <v>28.0</v>
      </c>
      <c r="AF1100" s="1">
        <v>443.0</v>
      </c>
      <c r="AG1100" s="1">
        <v>350.0</v>
      </c>
      <c r="AH1100" s="1">
        <v>128.0</v>
      </c>
      <c r="AI1100" s="1">
        <v>0.0</v>
      </c>
      <c r="AJ1100" s="1">
        <v>114.0</v>
      </c>
      <c r="AK1100" s="1">
        <v>0.0</v>
      </c>
      <c r="AL1100" s="1">
        <v>161.0</v>
      </c>
      <c r="AM1100" s="1">
        <v>202.0</v>
      </c>
      <c r="AN1100" s="1">
        <v>96.0</v>
      </c>
      <c r="AO1100" s="1">
        <v>264.0</v>
      </c>
      <c r="AP1100" s="1">
        <v>0.032961</v>
      </c>
      <c r="AQ1100" s="1">
        <v>0.027989</v>
      </c>
      <c r="AR1100" s="1">
        <v>0.083086</v>
      </c>
      <c r="AS1100" s="1">
        <v>0.27571</v>
      </c>
      <c r="AT1100" s="1">
        <v>46036.0</v>
      </c>
      <c r="AU1100" s="1">
        <v>7178.0</v>
      </c>
      <c r="AV1100" s="1">
        <v>0.103206</v>
      </c>
      <c r="AW1100" s="1">
        <v>0.113928</v>
      </c>
      <c r="AX1100" s="1">
        <v>0.298323</v>
      </c>
      <c r="AY1100" s="1">
        <v>0.159507</v>
      </c>
      <c r="AZ1100" s="1">
        <v>0.04215747</v>
      </c>
      <c r="BA1100" s="1">
        <v>0.042692</v>
      </c>
      <c r="BB1100" s="1">
        <v>0.007131</v>
      </c>
      <c r="BC1100" s="1">
        <v>0.112836</v>
      </c>
      <c r="BD1100" s="1">
        <v>0.210463</v>
      </c>
      <c r="BE1100" s="1">
        <v>0.076381</v>
      </c>
      <c r="BF1100" s="1">
        <v>0.0</v>
      </c>
      <c r="BG1100" s="1">
        <v>0.06855</v>
      </c>
      <c r="BH1100" s="1">
        <v>0.0</v>
      </c>
      <c r="BI1100" s="1">
        <v>0.099567</v>
      </c>
      <c r="BJ1100" s="1">
        <v>0.124922</v>
      </c>
      <c r="BK1100" s="1">
        <v>0.059149</v>
      </c>
      <c r="BL1100" s="1">
        <v>0.069146</v>
      </c>
      <c r="BM1100" s="1">
        <v>0.097</v>
      </c>
      <c r="BN1100" s="1">
        <v>0.639</v>
      </c>
      <c r="BO1100" s="1">
        <v>0.0354</v>
      </c>
      <c r="BP1100" s="1">
        <v>0.351</v>
      </c>
      <c r="BQ1100" s="1">
        <v>1.1224</v>
      </c>
      <c r="BR1100" s="1">
        <v>0.2325</v>
      </c>
      <c r="BS1100" s="1">
        <v>0.988</v>
      </c>
      <c r="BT1100" s="1">
        <v>0.081</v>
      </c>
      <c r="BU1100" s="1">
        <v>0.047</v>
      </c>
      <c r="BV1100" s="1">
        <v>1.116</v>
      </c>
      <c r="BW1100" s="1">
        <v>0.177</v>
      </c>
      <c r="BX1100" s="1">
        <v>0.193</v>
      </c>
      <c r="BY1100" s="1">
        <v>0.639</v>
      </c>
      <c r="BZ1100" s="1">
        <v>0.832</v>
      </c>
      <c r="CA1100" s="1">
        <v>0.421</v>
      </c>
      <c r="CB1100" s="1">
        <v>0.9</v>
      </c>
      <c r="CC1100" s="1">
        <v>0.0</v>
      </c>
      <c r="CD1100" s="1">
        <v>0.0</v>
      </c>
      <c r="CE1100" s="1">
        <v>0.817</v>
      </c>
      <c r="CF1100" s="1">
        <v>0.921</v>
      </c>
      <c r="CG1100" s="1">
        <v>2.638</v>
      </c>
      <c r="CH1100" s="1">
        <v>0.617</v>
      </c>
      <c r="CI1100" s="1">
        <v>5.7084</v>
      </c>
      <c r="CJ1100" s="1">
        <v>0.3235</v>
      </c>
      <c r="CK1100" s="1">
        <v>0.0</v>
      </c>
      <c r="CL1100" s="1">
        <v>0.0</v>
      </c>
      <c r="CM1100" s="1">
        <v>0.0</v>
      </c>
      <c r="CN1100" s="1">
        <v>0.0</v>
      </c>
      <c r="CO1100" s="1">
        <v>0.0</v>
      </c>
      <c r="CP1100" s="1">
        <v>1.0</v>
      </c>
      <c r="CQ1100" s="1">
        <v>0.0</v>
      </c>
      <c r="CR1100" s="1">
        <v>0.0</v>
      </c>
      <c r="CS1100" s="1">
        <v>1.0</v>
      </c>
      <c r="CT1100" s="1">
        <v>0.0</v>
      </c>
      <c r="CU1100" s="1">
        <v>0.0</v>
      </c>
      <c r="CV1100" s="1">
        <v>0.0</v>
      </c>
      <c r="CW1100" s="1">
        <v>1.0</v>
      </c>
      <c r="CX1100" s="1">
        <v>0.0</v>
      </c>
      <c r="CY1100" s="1">
        <v>0.0</v>
      </c>
      <c r="CZ1100" s="1">
        <v>0.0</v>
      </c>
      <c r="DA1100" s="1">
        <v>1.0</v>
      </c>
      <c r="DB1100" s="1">
        <v>2.0</v>
      </c>
      <c r="DC1100" s="1">
        <v>3.0</v>
      </c>
      <c r="DD1100" s="1" t="s">
        <v>4925</v>
      </c>
      <c r="DE1100" s="1">
        <v>9.19085528261537E-4</v>
      </c>
      <c r="DF1100" s="2" t="s">
        <v>4926</v>
      </c>
    </row>
    <row r="1101" ht="15.75" customHeight="1">
      <c r="A1101" s="1" t="s">
        <v>4927</v>
      </c>
      <c r="B1101" s="1">
        <v>29.0</v>
      </c>
      <c r="C1101" s="1">
        <v>189.0</v>
      </c>
      <c r="D1101" s="1">
        <v>221629.0</v>
      </c>
      <c r="E1101" s="1">
        <v>11.961</v>
      </c>
      <c r="F1101" s="1">
        <v>29189.0</v>
      </c>
      <c r="G1101" s="1">
        <v>2.9189221629E10</v>
      </c>
      <c r="H1101" s="1" t="s">
        <v>112</v>
      </c>
      <c r="I1101" s="1" t="s">
        <v>113</v>
      </c>
      <c r="J1101" s="1" t="s">
        <v>4566</v>
      </c>
      <c r="K1101" s="1" t="s">
        <v>4928</v>
      </c>
      <c r="L1101" s="1">
        <v>5587.0</v>
      </c>
      <c r="M1101" s="1">
        <v>5695.0</v>
      </c>
      <c r="N1101" s="1">
        <v>251.0</v>
      </c>
      <c r="O1101" s="1">
        <v>1876.0</v>
      </c>
      <c r="P1101" s="1">
        <v>1845.0</v>
      </c>
      <c r="Q1101" s="1">
        <v>68.0</v>
      </c>
      <c r="R1101" s="1">
        <v>1801.0</v>
      </c>
      <c r="S1101" s="1">
        <v>84.0</v>
      </c>
      <c r="T1101" s="1">
        <v>72.0</v>
      </c>
      <c r="U1101" s="1">
        <v>14.0</v>
      </c>
      <c r="V1101" s="1">
        <v>484.0</v>
      </c>
      <c r="W1101" s="1">
        <v>65387.0</v>
      </c>
      <c r="X1101" s="1">
        <v>9011.0</v>
      </c>
      <c r="Y1101" s="1">
        <v>41.0</v>
      </c>
      <c r="Z1101" s="1">
        <v>429.0</v>
      </c>
      <c r="AA1101" s="1">
        <v>550.0</v>
      </c>
      <c r="AB1101" s="1">
        <v>1810.0</v>
      </c>
      <c r="AC1101" s="1">
        <v>76.0</v>
      </c>
      <c r="AD1101" s="1">
        <v>703.0</v>
      </c>
      <c r="AE1101" s="1">
        <v>25.0</v>
      </c>
      <c r="AF1101" s="1">
        <v>427.0</v>
      </c>
      <c r="AG1101" s="1">
        <v>0.0</v>
      </c>
      <c r="AH1101" s="1">
        <v>197.0</v>
      </c>
      <c r="AI1101" s="1">
        <v>15.0</v>
      </c>
      <c r="AJ1101" s="1">
        <v>24.0</v>
      </c>
      <c r="AK1101" s="1">
        <v>0.0</v>
      </c>
      <c r="AL1101" s="1">
        <v>161.0</v>
      </c>
      <c r="AM1101" s="1">
        <v>0.0</v>
      </c>
      <c r="AN1101" s="1">
        <v>161.0</v>
      </c>
      <c r="AO1101" s="1">
        <v>0.0</v>
      </c>
      <c r="AP1101" s="1">
        <v>0.014749</v>
      </c>
      <c r="AQ1101" s="1">
        <v>0.012625</v>
      </c>
      <c r="AR1101" s="1">
        <v>0.005672</v>
      </c>
      <c r="AS1101" s="1">
        <v>0.196109</v>
      </c>
      <c r="AT1101" s="1">
        <v>65387.0</v>
      </c>
      <c r="AU1101" s="1">
        <v>9011.0</v>
      </c>
      <c r="AV1101" s="1">
        <v>0.011741</v>
      </c>
      <c r="AW1101" s="1">
        <v>0.122851</v>
      </c>
      <c r="AX1101" s="1">
        <v>0.098442</v>
      </c>
      <c r="AY1101" s="1">
        <v>0.323966</v>
      </c>
      <c r="AZ1101" s="1">
        <v>0.04219877</v>
      </c>
      <c r="BA1101" s="1">
        <v>0.125827</v>
      </c>
      <c r="BB1101" s="1">
        <v>0.004634</v>
      </c>
      <c r="BC1101" s="1">
        <v>0.079161</v>
      </c>
      <c r="BD1101" s="1">
        <v>0.0</v>
      </c>
      <c r="BE1101" s="1">
        <v>0.106775</v>
      </c>
      <c r="BF1101" s="1">
        <v>0.00813</v>
      </c>
      <c r="BG1101" s="1">
        <v>0.013004</v>
      </c>
      <c r="BH1101" s="1">
        <v>0.0</v>
      </c>
      <c r="BI1101" s="1">
        <v>0.090449</v>
      </c>
      <c r="BJ1101" s="1">
        <v>0.0</v>
      </c>
      <c r="BK1101" s="1">
        <v>0.090449</v>
      </c>
      <c r="BL1101" s="1">
        <v>0.0</v>
      </c>
      <c r="BM1101" s="1">
        <v>0.037</v>
      </c>
      <c r="BN1101" s="1">
        <v>0.005</v>
      </c>
      <c r="BO1101" s="1">
        <v>0.0058</v>
      </c>
      <c r="BP1101" s="1">
        <v>0.02</v>
      </c>
      <c r="BQ1101" s="1">
        <v>0.0678</v>
      </c>
      <c r="BR1101" s="1">
        <v>0.0</v>
      </c>
      <c r="BS1101" s="1">
        <v>0.204</v>
      </c>
      <c r="BT1101" s="1">
        <v>0.966</v>
      </c>
      <c r="BU1101" s="1">
        <v>0.048</v>
      </c>
      <c r="BV1101" s="1">
        <v>1.218</v>
      </c>
      <c r="BW1101" s="1">
        <v>0.246</v>
      </c>
      <c r="BX1101" s="1">
        <v>0.549</v>
      </c>
      <c r="BY1101" s="1">
        <v>0.543</v>
      </c>
      <c r="BZ1101" s="1">
        <v>1.092</v>
      </c>
      <c r="CA1101" s="1">
        <v>0.609</v>
      </c>
      <c r="CB1101" s="1">
        <v>0.0</v>
      </c>
      <c r="CC1101" s="1">
        <v>0.437</v>
      </c>
      <c r="CD1101" s="1">
        <v>0.0</v>
      </c>
      <c r="CE1101" s="1">
        <v>0.0</v>
      </c>
      <c r="CF1101" s="1">
        <v>0.0</v>
      </c>
      <c r="CG1101" s="1">
        <v>0.437</v>
      </c>
      <c r="CH1101" s="1">
        <v>0.022</v>
      </c>
      <c r="CI1101" s="1">
        <v>2.8148</v>
      </c>
      <c r="CJ1101" s="1">
        <v>0.0144</v>
      </c>
      <c r="CK1101" s="1">
        <v>0.0</v>
      </c>
      <c r="CL1101" s="1">
        <v>0.0</v>
      </c>
      <c r="CM1101" s="1">
        <v>0.0</v>
      </c>
      <c r="CN1101" s="1">
        <v>0.0</v>
      </c>
      <c r="CO1101" s="1">
        <v>0.0</v>
      </c>
      <c r="CP1101" s="1">
        <v>0.0</v>
      </c>
      <c r="CQ1101" s="1">
        <v>1.0</v>
      </c>
      <c r="CR1101" s="1">
        <v>0.0</v>
      </c>
      <c r="CS1101" s="1">
        <v>1.0</v>
      </c>
      <c r="CT1101" s="1">
        <v>0.0</v>
      </c>
      <c r="CU1101" s="1">
        <v>0.0</v>
      </c>
      <c r="CV1101" s="1">
        <v>0.0</v>
      </c>
      <c r="CW1101" s="1">
        <v>0.0</v>
      </c>
      <c r="CX1101" s="1">
        <v>0.0</v>
      </c>
      <c r="CY1101" s="1">
        <v>0.0</v>
      </c>
      <c r="CZ1101" s="1">
        <v>0.0</v>
      </c>
      <c r="DA1101" s="1">
        <v>0.0</v>
      </c>
      <c r="DB1101" s="1">
        <v>0.0</v>
      </c>
      <c r="DC1101" s="1">
        <v>1.0</v>
      </c>
      <c r="DD1101" s="1" t="s">
        <v>4929</v>
      </c>
      <c r="DE1101" s="1">
        <v>0.00334656766426139</v>
      </c>
      <c r="DF1101" s="2" t="s">
        <v>4930</v>
      </c>
    </row>
    <row r="1102" ht="15.75" customHeight="1">
      <c r="A1102" s="1" t="s">
        <v>4931</v>
      </c>
      <c r="B1102" s="1">
        <v>29.0</v>
      </c>
      <c r="C1102" s="1">
        <v>189.0</v>
      </c>
      <c r="D1102" s="1">
        <v>221800.0</v>
      </c>
      <c r="E1102" s="1">
        <v>5.64</v>
      </c>
      <c r="F1102" s="1">
        <v>29189.0</v>
      </c>
      <c r="G1102" s="1">
        <v>2.91892218E10</v>
      </c>
      <c r="H1102" s="1" t="s">
        <v>112</v>
      </c>
      <c r="I1102" s="1" t="s">
        <v>113</v>
      </c>
      <c r="J1102" s="1" t="s">
        <v>4566</v>
      </c>
      <c r="K1102" s="1" t="s">
        <v>4932</v>
      </c>
      <c r="L1102" s="1">
        <v>3565.0</v>
      </c>
      <c r="M1102" s="1">
        <v>3439.0</v>
      </c>
      <c r="N1102" s="1">
        <v>354.0</v>
      </c>
      <c r="O1102" s="1">
        <v>1545.0</v>
      </c>
      <c r="P1102" s="1">
        <v>1696.0</v>
      </c>
      <c r="Q1102" s="1">
        <v>112.0</v>
      </c>
      <c r="R1102" s="1">
        <v>1236.0</v>
      </c>
      <c r="S1102" s="1">
        <v>692.0</v>
      </c>
      <c r="T1102" s="1">
        <v>255.0</v>
      </c>
      <c r="U1102" s="1">
        <v>471.0</v>
      </c>
      <c r="V1102" s="1">
        <v>337.0</v>
      </c>
      <c r="W1102" s="1">
        <v>14014.0</v>
      </c>
      <c r="X1102" s="1">
        <v>1545.0</v>
      </c>
      <c r="Y1102" s="1">
        <v>455.0</v>
      </c>
      <c r="Z1102" s="1">
        <v>205.0</v>
      </c>
      <c r="AA1102" s="1">
        <v>321.0</v>
      </c>
      <c r="AB1102" s="1">
        <v>1134.0</v>
      </c>
      <c r="AC1102" s="1">
        <v>402.0</v>
      </c>
      <c r="AD1102" s="1">
        <v>3319.0</v>
      </c>
      <c r="AE1102" s="1">
        <v>90.0</v>
      </c>
      <c r="AF1102" s="1">
        <v>419.0</v>
      </c>
      <c r="AG1102" s="1">
        <v>51.0</v>
      </c>
      <c r="AH1102" s="1">
        <v>36.0</v>
      </c>
      <c r="AI1102" s="1">
        <v>15.0</v>
      </c>
      <c r="AJ1102" s="1">
        <v>25.0</v>
      </c>
      <c r="AK1102" s="1">
        <v>27.0</v>
      </c>
      <c r="AL1102" s="1">
        <v>117.0</v>
      </c>
      <c r="AM1102" s="1">
        <v>230.0</v>
      </c>
      <c r="AN1102" s="1">
        <v>84.0</v>
      </c>
      <c r="AO1102" s="1">
        <v>0.0</v>
      </c>
      <c r="AP1102" s="1">
        <v>0.201221</v>
      </c>
      <c r="AQ1102" s="1">
        <v>0.071197</v>
      </c>
      <c r="AR1102" s="1">
        <v>0.272569</v>
      </c>
      <c r="AS1102" s="1">
        <v>0.189467</v>
      </c>
      <c r="AT1102" s="1">
        <v>14014.0</v>
      </c>
      <c r="AU1102" s="1">
        <v>1545.0</v>
      </c>
      <c r="AV1102" s="1">
        <v>0.212022</v>
      </c>
      <c r="AW1102" s="1">
        <v>0.093376</v>
      </c>
      <c r="AX1102" s="1">
        <v>0.090042</v>
      </c>
      <c r="AY1102" s="1">
        <v>0.318092</v>
      </c>
      <c r="AZ1102" s="1">
        <v>0.32524271</v>
      </c>
      <c r="BA1102" s="1">
        <v>0.930995</v>
      </c>
      <c r="BB1102" s="1">
        <v>0.028735</v>
      </c>
      <c r="BC1102" s="1">
        <v>0.13375</v>
      </c>
      <c r="BD1102" s="1">
        <v>0.03007</v>
      </c>
      <c r="BE1102" s="1">
        <v>0.021133</v>
      </c>
      <c r="BF1102" s="1">
        <v>0.008844</v>
      </c>
      <c r="BG1102" s="1">
        <v>0.014728</v>
      </c>
      <c r="BH1102" s="1">
        <v>0.019258</v>
      </c>
      <c r="BI1102" s="1">
        <v>0.08343</v>
      </c>
      <c r="BJ1102" s="1">
        <v>0.164051</v>
      </c>
      <c r="BK1102" s="1">
        <v>0.057631</v>
      </c>
      <c r="BL1102" s="1">
        <v>0.0</v>
      </c>
      <c r="BM1102" s="1">
        <v>0.734</v>
      </c>
      <c r="BN1102" s="1">
        <v>0.986</v>
      </c>
      <c r="BO1102" s="1">
        <v>0.9119</v>
      </c>
      <c r="BP1102" s="1">
        <v>0.785</v>
      </c>
      <c r="BQ1102" s="1">
        <v>3.4169</v>
      </c>
      <c r="BR1102" s="1">
        <v>0.904</v>
      </c>
      <c r="BS1102" s="1">
        <v>0.16</v>
      </c>
      <c r="BT1102" s="1">
        <v>0.958</v>
      </c>
      <c r="BU1102" s="1">
        <v>0.984</v>
      </c>
      <c r="BV1102" s="1">
        <v>2.102</v>
      </c>
      <c r="BW1102" s="1">
        <v>0.918</v>
      </c>
      <c r="BX1102" s="1">
        <v>0.95</v>
      </c>
      <c r="BY1102" s="1">
        <v>0.905</v>
      </c>
      <c r="BZ1102" s="1">
        <v>1.855</v>
      </c>
      <c r="CA1102" s="1">
        <v>0.981</v>
      </c>
      <c r="CB1102" s="1">
        <v>0.549</v>
      </c>
      <c r="CC1102" s="1">
        <v>0.449</v>
      </c>
      <c r="CD1102" s="1">
        <v>0.668</v>
      </c>
      <c r="CE1102" s="1">
        <v>0.876</v>
      </c>
      <c r="CF1102" s="1">
        <v>0.0</v>
      </c>
      <c r="CG1102" s="1">
        <v>2.542</v>
      </c>
      <c r="CH1102" s="1">
        <v>0.577</v>
      </c>
      <c r="CI1102" s="1">
        <v>9.9159</v>
      </c>
      <c r="CJ1102" s="1">
        <v>0.943</v>
      </c>
      <c r="CK1102" s="1">
        <v>0.0</v>
      </c>
      <c r="CL1102" s="1">
        <v>1.0</v>
      </c>
      <c r="CM1102" s="1">
        <v>1.0</v>
      </c>
      <c r="CN1102" s="1">
        <v>0.0</v>
      </c>
      <c r="CO1102" s="1">
        <v>2.0</v>
      </c>
      <c r="CP1102" s="1">
        <v>0.0</v>
      </c>
      <c r="CQ1102" s="1">
        <v>1.0</v>
      </c>
      <c r="CR1102" s="1">
        <v>1.0</v>
      </c>
      <c r="CS1102" s="1">
        <v>2.0</v>
      </c>
      <c r="CT1102" s="1">
        <v>1.0</v>
      </c>
      <c r="CU1102" s="1">
        <v>1.0</v>
      </c>
      <c r="CV1102" s="1">
        <v>2.0</v>
      </c>
      <c r="CW1102" s="1">
        <v>0.0</v>
      </c>
      <c r="CX1102" s="1">
        <v>0.0</v>
      </c>
      <c r="CY1102" s="1">
        <v>0.0</v>
      </c>
      <c r="CZ1102" s="1">
        <v>0.0</v>
      </c>
      <c r="DA1102" s="1">
        <v>0.0</v>
      </c>
      <c r="DB1102" s="1">
        <v>0.0</v>
      </c>
      <c r="DC1102" s="1">
        <v>6.0</v>
      </c>
      <c r="DD1102" s="1" t="s">
        <v>4933</v>
      </c>
      <c r="DE1102" s="1">
        <v>0.00151636641394536</v>
      </c>
      <c r="DF1102" s="2" t="s">
        <v>4934</v>
      </c>
    </row>
    <row r="1103" ht="15.75" customHeight="1">
      <c r="A1103" s="1" t="s">
        <v>4935</v>
      </c>
      <c r="B1103" s="1">
        <v>29.0</v>
      </c>
      <c r="C1103" s="1">
        <v>189.0</v>
      </c>
      <c r="D1103" s="1">
        <v>222100.0</v>
      </c>
      <c r="E1103" s="1">
        <v>8.434</v>
      </c>
      <c r="F1103" s="1">
        <v>29189.0</v>
      </c>
      <c r="G1103" s="1">
        <v>2.91892221E10</v>
      </c>
      <c r="H1103" s="1" t="s">
        <v>112</v>
      </c>
      <c r="I1103" s="1" t="s">
        <v>113</v>
      </c>
      <c r="J1103" s="1" t="s">
        <v>4566</v>
      </c>
      <c r="K1103" s="1" t="s">
        <v>4936</v>
      </c>
      <c r="L1103" s="1">
        <v>4978.0</v>
      </c>
      <c r="M1103" s="1">
        <v>5120.0</v>
      </c>
      <c r="N1103" s="1">
        <v>320.0</v>
      </c>
      <c r="O1103" s="1">
        <v>1881.0</v>
      </c>
      <c r="P1103" s="1">
        <v>1885.0</v>
      </c>
      <c r="Q1103" s="1">
        <v>55.0</v>
      </c>
      <c r="R1103" s="1">
        <v>1800.0</v>
      </c>
      <c r="S1103" s="1">
        <v>73.0</v>
      </c>
      <c r="T1103" s="1">
        <v>52.0</v>
      </c>
      <c r="U1103" s="1">
        <v>86.0</v>
      </c>
      <c r="V1103" s="1">
        <v>445.0</v>
      </c>
      <c r="W1103" s="1">
        <v>44154.0</v>
      </c>
      <c r="X1103" s="1">
        <v>2921.0</v>
      </c>
      <c r="Y1103" s="1">
        <v>75.0</v>
      </c>
      <c r="Z1103" s="1">
        <v>382.0</v>
      </c>
      <c r="AA1103" s="1">
        <v>481.0</v>
      </c>
      <c r="AB1103" s="1">
        <v>1504.0</v>
      </c>
      <c r="AC1103" s="1">
        <v>95.0</v>
      </c>
      <c r="AD1103" s="1">
        <v>390.0</v>
      </c>
      <c r="AE1103" s="1">
        <v>63.0</v>
      </c>
      <c r="AF1103" s="1">
        <v>416.0</v>
      </c>
      <c r="AG1103" s="1">
        <v>184.0</v>
      </c>
      <c r="AH1103" s="1">
        <v>171.0</v>
      </c>
      <c r="AI1103" s="1">
        <v>0.0</v>
      </c>
      <c r="AJ1103" s="1">
        <v>114.0</v>
      </c>
      <c r="AK1103" s="1">
        <v>0.0</v>
      </c>
      <c r="AL1103" s="1">
        <v>161.0</v>
      </c>
      <c r="AM1103" s="1">
        <v>25.0</v>
      </c>
      <c r="AN1103" s="1">
        <v>28.0</v>
      </c>
      <c r="AO1103" s="1">
        <v>4.0</v>
      </c>
      <c r="AP1103" s="1">
        <v>0.014257</v>
      </c>
      <c r="AQ1103" s="1">
        <v>0.010117</v>
      </c>
      <c r="AR1103" s="1">
        <v>0.030703</v>
      </c>
      <c r="AS1103" s="1">
        <v>0.158838</v>
      </c>
      <c r="AT1103" s="1">
        <v>44154.0</v>
      </c>
      <c r="AU1103" s="1">
        <v>2921.0</v>
      </c>
      <c r="AV1103" s="1">
        <v>0.023013</v>
      </c>
      <c r="AW1103" s="1">
        <v>0.117206</v>
      </c>
      <c r="AX1103" s="1">
        <v>0.096625</v>
      </c>
      <c r="AY1103" s="1">
        <v>0.302129</v>
      </c>
      <c r="AZ1103" s="1">
        <v>0.05277777</v>
      </c>
      <c r="BA1103" s="1">
        <v>0.078344</v>
      </c>
      <c r="BB1103" s="1">
        <v>0.012987</v>
      </c>
      <c r="BC1103" s="1">
        <v>0.08575</v>
      </c>
      <c r="BD1103" s="1">
        <v>0.097612</v>
      </c>
      <c r="BE1103" s="1">
        <v>0.090671</v>
      </c>
      <c r="BF1103" s="1">
        <v>0.0</v>
      </c>
      <c r="BG1103" s="1">
        <v>0.060477</v>
      </c>
      <c r="BH1103" s="1">
        <v>0.0</v>
      </c>
      <c r="BI1103" s="1">
        <v>0.087642</v>
      </c>
      <c r="BJ1103" s="1">
        <v>0.013609</v>
      </c>
      <c r="BK1103" s="1">
        <v>0.015233</v>
      </c>
      <c r="BL1103" s="1">
        <v>8.03E-4</v>
      </c>
      <c r="BM1103" s="1">
        <v>0.035</v>
      </c>
      <c r="BN1103" s="1">
        <v>0.092</v>
      </c>
      <c r="BO1103" s="1">
        <v>0.0433</v>
      </c>
      <c r="BP1103" s="1">
        <v>0.039</v>
      </c>
      <c r="BQ1103" s="1">
        <v>0.2093</v>
      </c>
      <c r="BR1103" s="1">
        <v>0.0079</v>
      </c>
      <c r="BS1103" s="1">
        <v>0.19</v>
      </c>
      <c r="BT1103" s="1">
        <v>0.928</v>
      </c>
      <c r="BU1103" s="1">
        <v>0.089</v>
      </c>
      <c r="BV1103" s="1">
        <v>1.207</v>
      </c>
      <c r="BW1103" s="1">
        <v>0.236</v>
      </c>
      <c r="BX1103" s="1">
        <v>0.393</v>
      </c>
      <c r="BY1103" s="1">
        <v>0.784</v>
      </c>
      <c r="BZ1103" s="1">
        <v>1.177</v>
      </c>
      <c r="CA1103" s="1">
        <v>0.651</v>
      </c>
      <c r="CB1103" s="1">
        <v>0.766</v>
      </c>
      <c r="CC1103" s="1">
        <v>0.0</v>
      </c>
      <c r="CD1103" s="1">
        <v>0.0</v>
      </c>
      <c r="CE1103" s="1">
        <v>0.123</v>
      </c>
      <c r="CF1103" s="1">
        <v>0.384</v>
      </c>
      <c r="CG1103" s="1">
        <v>1.273</v>
      </c>
      <c r="CH1103" s="1">
        <v>0.123</v>
      </c>
      <c r="CI1103" s="1">
        <v>3.8663</v>
      </c>
      <c r="CJ1103" s="1">
        <v>0.0722</v>
      </c>
      <c r="CK1103" s="1">
        <v>0.0</v>
      </c>
      <c r="CL1103" s="1">
        <v>0.0</v>
      </c>
      <c r="CM1103" s="1">
        <v>0.0</v>
      </c>
      <c r="CN1103" s="1">
        <v>0.0</v>
      </c>
      <c r="CO1103" s="1">
        <v>0.0</v>
      </c>
      <c r="CP1103" s="1">
        <v>0.0</v>
      </c>
      <c r="CQ1103" s="1">
        <v>1.0</v>
      </c>
      <c r="CR1103" s="1">
        <v>0.0</v>
      </c>
      <c r="CS1103" s="1">
        <v>1.0</v>
      </c>
      <c r="CT1103" s="1">
        <v>0.0</v>
      </c>
      <c r="CU1103" s="1">
        <v>0.0</v>
      </c>
      <c r="CV1103" s="1">
        <v>0.0</v>
      </c>
      <c r="CW1103" s="1">
        <v>0.0</v>
      </c>
      <c r="CX1103" s="1">
        <v>0.0</v>
      </c>
      <c r="CY1103" s="1">
        <v>0.0</v>
      </c>
      <c r="CZ1103" s="1">
        <v>0.0</v>
      </c>
      <c r="DA1103" s="1">
        <v>0.0</v>
      </c>
      <c r="DB1103" s="1">
        <v>0.0</v>
      </c>
      <c r="DC1103" s="1">
        <v>1.0</v>
      </c>
      <c r="DD1103" s="1" t="s">
        <v>4937</v>
      </c>
      <c r="DE1103" s="1">
        <v>0.00227707278729453</v>
      </c>
      <c r="DF1103" s="2" t="s">
        <v>4938</v>
      </c>
    </row>
    <row r="1104" ht="15.75" customHeight="1">
      <c r="A1104" s="1" t="s">
        <v>4939</v>
      </c>
      <c r="B1104" s="1">
        <v>29.0</v>
      </c>
      <c r="C1104" s="1">
        <v>189.0</v>
      </c>
      <c r="D1104" s="1">
        <v>210927.0</v>
      </c>
      <c r="E1104" s="1">
        <v>8.375</v>
      </c>
      <c r="F1104" s="1">
        <v>29189.0</v>
      </c>
      <c r="G1104" s="1">
        <v>2.9189210927E10</v>
      </c>
      <c r="H1104" s="1" t="s">
        <v>112</v>
      </c>
      <c r="I1104" s="1" t="s">
        <v>113</v>
      </c>
      <c r="J1104" s="1" t="s">
        <v>4566</v>
      </c>
      <c r="K1104" s="1" t="s">
        <v>4940</v>
      </c>
      <c r="L1104" s="1">
        <v>4665.0</v>
      </c>
      <c r="M1104" s="1">
        <v>4835.0</v>
      </c>
      <c r="N1104" s="1">
        <v>384.0</v>
      </c>
      <c r="O1104" s="1">
        <v>1766.0</v>
      </c>
      <c r="P1104" s="1">
        <v>1785.0</v>
      </c>
      <c r="Q1104" s="1">
        <v>83.0</v>
      </c>
      <c r="R1104" s="1">
        <v>1695.0</v>
      </c>
      <c r="S1104" s="1">
        <v>78.0</v>
      </c>
      <c r="T1104" s="1">
        <v>96.0</v>
      </c>
      <c r="U1104" s="1">
        <v>197.0</v>
      </c>
      <c r="V1104" s="1">
        <v>409.0</v>
      </c>
      <c r="W1104" s="1">
        <v>33136.0</v>
      </c>
      <c r="X1104" s="1">
        <v>4018.0</v>
      </c>
      <c r="Y1104" s="1">
        <v>112.0</v>
      </c>
      <c r="Z1104" s="1">
        <v>366.0</v>
      </c>
      <c r="AA1104" s="1">
        <v>672.0</v>
      </c>
      <c r="AB1104" s="1">
        <v>964.0</v>
      </c>
      <c r="AC1104" s="1">
        <v>122.0</v>
      </c>
      <c r="AD1104" s="1">
        <v>2498.0</v>
      </c>
      <c r="AE1104" s="1">
        <v>11.0</v>
      </c>
      <c r="AF1104" s="1">
        <v>442.0</v>
      </c>
      <c r="AG1104" s="1">
        <v>9.0</v>
      </c>
      <c r="AH1104" s="1">
        <v>162.0</v>
      </c>
      <c r="AI1104" s="1">
        <v>0.0</v>
      </c>
      <c r="AJ1104" s="1">
        <v>114.0</v>
      </c>
      <c r="AK1104" s="1">
        <v>0.0</v>
      </c>
      <c r="AL1104" s="1">
        <v>161.0</v>
      </c>
      <c r="AM1104" s="1">
        <v>0.0</v>
      </c>
      <c r="AN1104" s="1">
        <v>161.0</v>
      </c>
      <c r="AO1104" s="1">
        <v>0.0</v>
      </c>
      <c r="AP1104" s="1">
        <v>0.016132</v>
      </c>
      <c r="AQ1104" s="1">
        <v>0.019813</v>
      </c>
      <c r="AR1104" s="1">
        <v>0.075478</v>
      </c>
      <c r="AS1104" s="1">
        <v>0.156451</v>
      </c>
      <c r="AT1104" s="1">
        <v>33136.0</v>
      </c>
      <c r="AU1104" s="1">
        <v>4018.0</v>
      </c>
      <c r="AV1104" s="1">
        <v>0.033674</v>
      </c>
      <c r="AW1104" s="1">
        <v>0.110017</v>
      </c>
      <c r="AX1104" s="1">
        <v>0.144051</v>
      </c>
      <c r="AY1104" s="1">
        <v>0.206645</v>
      </c>
      <c r="AZ1104" s="1">
        <v>0.0719764</v>
      </c>
      <c r="BA1104" s="1">
        <v>0.535476</v>
      </c>
      <c r="BB1104" s="1">
        <v>0.002344</v>
      </c>
      <c r="BC1104" s="1">
        <v>0.094202</v>
      </c>
      <c r="BD1104" s="1">
        <v>0.005042</v>
      </c>
      <c r="BE1104" s="1">
        <v>0.090755</v>
      </c>
      <c r="BF1104" s="1">
        <v>0.0</v>
      </c>
      <c r="BG1104" s="1">
        <v>0.063865</v>
      </c>
      <c r="BH1104" s="1">
        <v>0.0</v>
      </c>
      <c r="BI1104" s="1">
        <v>0.092581</v>
      </c>
      <c r="BJ1104" s="1">
        <v>0.0</v>
      </c>
      <c r="BK1104" s="1">
        <v>0.092581</v>
      </c>
      <c r="BL1104" s="1">
        <v>0.0</v>
      </c>
      <c r="BM1104" s="1">
        <v>0.04</v>
      </c>
      <c r="BN1104" s="1">
        <v>0.566</v>
      </c>
      <c r="BO1104" s="1">
        <v>0.1415</v>
      </c>
      <c r="BP1104" s="1">
        <v>0.075</v>
      </c>
      <c r="BQ1104" s="1">
        <v>0.8225</v>
      </c>
      <c r="BR1104" s="1">
        <v>0.1632</v>
      </c>
      <c r="BS1104" s="1">
        <v>0.534</v>
      </c>
      <c r="BT1104" s="1">
        <v>0.221</v>
      </c>
      <c r="BU1104" s="1">
        <v>0.233</v>
      </c>
      <c r="BV1104" s="1">
        <v>0.988</v>
      </c>
      <c r="BW1104" s="1">
        <v>0.111</v>
      </c>
      <c r="BX1104" s="1">
        <v>0.871</v>
      </c>
      <c r="BY1104" s="1">
        <v>0.402</v>
      </c>
      <c r="BZ1104" s="1">
        <v>1.273</v>
      </c>
      <c r="CA1104" s="1">
        <v>0.7</v>
      </c>
      <c r="CB1104" s="1">
        <v>0.317</v>
      </c>
      <c r="CC1104" s="1">
        <v>0.0</v>
      </c>
      <c r="CD1104" s="1">
        <v>0.0</v>
      </c>
      <c r="CE1104" s="1">
        <v>0.0</v>
      </c>
      <c r="CF1104" s="1">
        <v>0.0</v>
      </c>
      <c r="CG1104" s="1">
        <v>0.317</v>
      </c>
      <c r="CH1104" s="1">
        <v>0.015</v>
      </c>
      <c r="CI1104" s="1">
        <v>3.4005</v>
      </c>
      <c r="CJ1104" s="1">
        <v>0.0368</v>
      </c>
      <c r="CK1104" s="1">
        <v>0.0</v>
      </c>
      <c r="CL1104" s="1">
        <v>0.0</v>
      </c>
      <c r="CM1104" s="1">
        <v>0.0</v>
      </c>
      <c r="CN1104" s="1">
        <v>0.0</v>
      </c>
      <c r="CO1104" s="1">
        <v>0.0</v>
      </c>
      <c r="CP1104" s="1">
        <v>0.0</v>
      </c>
      <c r="CQ1104" s="1">
        <v>0.0</v>
      </c>
      <c r="CR1104" s="1">
        <v>0.0</v>
      </c>
      <c r="CS1104" s="1">
        <v>0.0</v>
      </c>
      <c r="CT1104" s="1">
        <v>0.0</v>
      </c>
      <c r="CU1104" s="1">
        <v>0.0</v>
      </c>
      <c r="CV1104" s="1">
        <v>0.0</v>
      </c>
      <c r="CW1104" s="1">
        <v>0.0</v>
      </c>
      <c r="CX1104" s="1">
        <v>0.0</v>
      </c>
      <c r="CY1104" s="1">
        <v>0.0</v>
      </c>
      <c r="CZ1104" s="1">
        <v>0.0</v>
      </c>
      <c r="DA1104" s="1">
        <v>0.0</v>
      </c>
      <c r="DB1104" s="1">
        <v>0.0</v>
      </c>
      <c r="DC1104" s="1">
        <v>0.0</v>
      </c>
      <c r="DD1104" s="1" t="s">
        <v>4941</v>
      </c>
      <c r="DE1104" s="1">
        <v>0.00271028280864712</v>
      </c>
      <c r="DF1104" s="2" t="s">
        <v>4942</v>
      </c>
    </row>
    <row r="1105" ht="15.75" customHeight="1">
      <c r="A1105" s="1" t="s">
        <v>4943</v>
      </c>
      <c r="B1105" s="1">
        <v>29.0</v>
      </c>
      <c r="C1105" s="1">
        <v>189.0</v>
      </c>
      <c r="D1105" s="1">
        <v>211000.0</v>
      </c>
      <c r="E1105" s="1">
        <v>1.681</v>
      </c>
      <c r="F1105" s="1">
        <v>29189.0</v>
      </c>
      <c r="G1105" s="1">
        <v>2.9189211E10</v>
      </c>
      <c r="H1105" s="1" t="s">
        <v>112</v>
      </c>
      <c r="I1105" s="1" t="s">
        <v>113</v>
      </c>
      <c r="J1105" s="1" t="s">
        <v>4566</v>
      </c>
      <c r="K1105" s="1" t="s">
        <v>4944</v>
      </c>
      <c r="L1105" s="1">
        <v>7414.0</v>
      </c>
      <c r="M1105" s="1">
        <v>7077.0</v>
      </c>
      <c r="N1105" s="1">
        <v>355.0</v>
      </c>
      <c r="O1105" s="1">
        <v>3192.0</v>
      </c>
      <c r="P1105" s="1">
        <v>3322.0</v>
      </c>
      <c r="Q1105" s="1">
        <v>130.0</v>
      </c>
      <c r="R1105" s="1">
        <v>3001.0</v>
      </c>
      <c r="S1105" s="1">
        <v>382.0</v>
      </c>
      <c r="T1105" s="1">
        <v>228.0</v>
      </c>
      <c r="U1105" s="1">
        <v>228.0</v>
      </c>
      <c r="V1105" s="1">
        <v>377.0</v>
      </c>
      <c r="W1105" s="1">
        <v>26968.0</v>
      </c>
      <c r="X1105" s="1">
        <v>2208.0</v>
      </c>
      <c r="Y1105" s="1">
        <v>394.0</v>
      </c>
      <c r="Z1105" s="1">
        <v>281.0</v>
      </c>
      <c r="AA1105" s="1">
        <v>1252.0</v>
      </c>
      <c r="AB1105" s="1">
        <v>1777.0</v>
      </c>
      <c r="AC1105" s="1">
        <v>407.0</v>
      </c>
      <c r="AD1105" s="1">
        <v>3309.0</v>
      </c>
      <c r="AE1105" s="1">
        <v>22.0</v>
      </c>
      <c r="AF1105" s="1">
        <v>443.0</v>
      </c>
      <c r="AG1105" s="1">
        <v>377.0</v>
      </c>
      <c r="AH1105" s="1">
        <v>139.0</v>
      </c>
      <c r="AI1105" s="1">
        <v>42.0</v>
      </c>
      <c r="AJ1105" s="1">
        <v>64.0</v>
      </c>
      <c r="AK1105" s="1">
        <v>5.0</v>
      </c>
      <c r="AL1105" s="1">
        <v>115.0</v>
      </c>
      <c r="AM1105" s="1">
        <v>201.0</v>
      </c>
      <c r="AN1105" s="1">
        <v>107.0</v>
      </c>
      <c r="AO1105" s="1">
        <v>2.0</v>
      </c>
      <c r="AP1105" s="1">
        <v>0.05423</v>
      </c>
      <c r="AQ1105" s="1">
        <v>0.032249</v>
      </c>
      <c r="AR1105" s="1">
        <v>0.063669</v>
      </c>
      <c r="AS1105" s="1">
        <v>0.105037</v>
      </c>
      <c r="AT1105" s="1">
        <v>26968.0</v>
      </c>
      <c r="AU1105" s="1">
        <v>2208.0</v>
      </c>
      <c r="AV1105" s="1">
        <v>0.084206</v>
      </c>
      <c r="AW1105" s="1">
        <v>0.059897</v>
      </c>
      <c r="AX1105" s="1">
        <v>0.168869</v>
      </c>
      <c r="AY1105" s="1">
        <v>0.239681</v>
      </c>
      <c r="AZ1105" s="1">
        <v>0.13562145</v>
      </c>
      <c r="BA1105" s="1">
        <v>0.446317</v>
      </c>
      <c r="BB1105" s="1">
        <v>0.003254</v>
      </c>
      <c r="BC1105" s="1">
        <v>0.065542</v>
      </c>
      <c r="BD1105" s="1">
        <v>0.113485</v>
      </c>
      <c r="BE1105" s="1">
        <v>0.041605</v>
      </c>
      <c r="BF1105" s="1">
        <v>0.012642</v>
      </c>
      <c r="BG1105" s="1">
        <v>0.019259</v>
      </c>
      <c r="BH1105" s="1">
        <v>0.001659</v>
      </c>
      <c r="BI1105" s="1">
        <v>0.038167</v>
      </c>
      <c r="BJ1105" s="1">
        <v>0.06671</v>
      </c>
      <c r="BK1105" s="1">
        <v>0.0353</v>
      </c>
      <c r="BL1105" s="1">
        <v>2.69E-4</v>
      </c>
      <c r="BM1105" s="1">
        <v>0.184</v>
      </c>
      <c r="BN1105" s="1">
        <v>0.459</v>
      </c>
      <c r="BO1105" s="1">
        <v>0.2852</v>
      </c>
      <c r="BP1105" s="1">
        <v>0.264</v>
      </c>
      <c r="BQ1105" s="1">
        <v>1.1922</v>
      </c>
      <c r="BR1105" s="1">
        <v>0.2534</v>
      </c>
      <c r="BS1105" s="1">
        <v>0.728</v>
      </c>
      <c r="BT1105" s="1">
        <v>0.494</v>
      </c>
      <c r="BU1105" s="1">
        <v>0.741</v>
      </c>
      <c r="BV1105" s="1">
        <v>1.963</v>
      </c>
      <c r="BW1105" s="1">
        <v>0.84</v>
      </c>
      <c r="BX1105" s="1">
        <v>0.854</v>
      </c>
      <c r="BY1105" s="1">
        <v>0.464</v>
      </c>
      <c r="BZ1105" s="1">
        <v>1.318</v>
      </c>
      <c r="CA1105" s="1">
        <v>0.723</v>
      </c>
      <c r="CB1105" s="1">
        <v>0.792</v>
      </c>
      <c r="CC1105" s="1">
        <v>0.476</v>
      </c>
      <c r="CD1105" s="1">
        <v>0.279</v>
      </c>
      <c r="CE1105" s="1">
        <v>0.606</v>
      </c>
      <c r="CF1105" s="1">
        <v>0.349</v>
      </c>
      <c r="CG1105" s="1">
        <v>2.502</v>
      </c>
      <c r="CH1105" s="1">
        <v>0.561</v>
      </c>
      <c r="CI1105" s="1">
        <v>6.9752</v>
      </c>
      <c r="CJ1105" s="1">
        <v>0.5394</v>
      </c>
      <c r="CK1105" s="1">
        <v>0.0</v>
      </c>
      <c r="CL1105" s="1">
        <v>0.0</v>
      </c>
      <c r="CM1105" s="1">
        <v>0.0</v>
      </c>
      <c r="CN1105" s="1">
        <v>0.0</v>
      </c>
      <c r="CO1105" s="1">
        <v>0.0</v>
      </c>
      <c r="CP1105" s="1">
        <v>0.0</v>
      </c>
      <c r="CQ1105" s="1">
        <v>0.0</v>
      </c>
      <c r="CR1105" s="1">
        <v>0.0</v>
      </c>
      <c r="CS1105" s="1">
        <v>0.0</v>
      </c>
      <c r="CT1105" s="1">
        <v>0.0</v>
      </c>
      <c r="CU1105" s="1">
        <v>0.0</v>
      </c>
      <c r="CV1105" s="1">
        <v>0.0</v>
      </c>
      <c r="CW1105" s="1">
        <v>0.0</v>
      </c>
      <c r="CX1105" s="1">
        <v>0.0</v>
      </c>
      <c r="CY1105" s="1">
        <v>0.0</v>
      </c>
      <c r="CZ1105" s="1">
        <v>0.0</v>
      </c>
      <c r="DA1105" s="1">
        <v>0.0</v>
      </c>
      <c r="DB1105" s="1">
        <v>0.0</v>
      </c>
      <c r="DC1105" s="1">
        <v>0.0</v>
      </c>
      <c r="DD1105" s="1" t="s">
        <v>4945</v>
      </c>
      <c r="DE1105" s="1">
        <v>4.51896046345215E-4</v>
      </c>
      <c r="DF1105" s="1">
        <v>0.0911402419424086</v>
      </c>
    </row>
    <row r="1106" ht="15.75" customHeight="1">
      <c r="A1106" s="1" t="s">
        <v>4946</v>
      </c>
      <c r="B1106" s="1">
        <v>29.0</v>
      </c>
      <c r="C1106" s="1">
        <v>189.0</v>
      </c>
      <c r="D1106" s="1">
        <v>213102.0</v>
      </c>
      <c r="E1106" s="1">
        <v>6.342</v>
      </c>
      <c r="F1106" s="1">
        <v>29189.0</v>
      </c>
      <c r="G1106" s="1">
        <v>2.9189213102E10</v>
      </c>
      <c r="H1106" s="1" t="s">
        <v>112</v>
      </c>
      <c r="I1106" s="1" t="s">
        <v>113</v>
      </c>
      <c r="J1106" s="1" t="s">
        <v>4566</v>
      </c>
      <c r="K1106" s="1" t="s">
        <v>4947</v>
      </c>
      <c r="L1106" s="1">
        <v>411.0</v>
      </c>
      <c r="M1106" s="1">
        <v>607.0</v>
      </c>
      <c r="N1106" s="1">
        <v>69.0</v>
      </c>
      <c r="O1106" s="1">
        <v>236.0</v>
      </c>
      <c r="P1106" s="1">
        <v>350.0</v>
      </c>
      <c r="Q1106" s="1">
        <v>80.0</v>
      </c>
      <c r="R1106" s="1">
        <v>226.0</v>
      </c>
      <c r="S1106" s="1">
        <v>108.0</v>
      </c>
      <c r="T1106" s="1">
        <v>145.0</v>
      </c>
      <c r="U1106" s="1">
        <v>14.0</v>
      </c>
      <c r="V1106" s="1">
        <v>497.0</v>
      </c>
      <c r="W1106" s="1">
        <v>21769.0</v>
      </c>
      <c r="X1106" s="1">
        <v>4231.0</v>
      </c>
      <c r="Y1106" s="1">
        <v>82.0</v>
      </c>
      <c r="Z1106" s="1">
        <v>399.0</v>
      </c>
      <c r="AA1106" s="1">
        <v>88.0</v>
      </c>
      <c r="AB1106" s="1">
        <v>54.0</v>
      </c>
      <c r="AC1106" s="1">
        <v>14.0</v>
      </c>
      <c r="AD1106" s="1">
        <v>64.0</v>
      </c>
      <c r="AE1106" s="1">
        <v>0.0</v>
      </c>
      <c r="AF1106" s="1">
        <v>456.0</v>
      </c>
      <c r="AG1106" s="1">
        <v>0.0</v>
      </c>
      <c r="AH1106" s="1">
        <v>197.0</v>
      </c>
      <c r="AI1106" s="1">
        <v>138.0</v>
      </c>
      <c r="AJ1106" s="1">
        <v>86.0</v>
      </c>
      <c r="AK1106" s="1">
        <v>0.0</v>
      </c>
      <c r="AL1106" s="1">
        <v>161.0</v>
      </c>
      <c r="AM1106" s="1">
        <v>14.0</v>
      </c>
      <c r="AN1106" s="1">
        <v>116.0</v>
      </c>
      <c r="AO1106" s="1">
        <v>0.0</v>
      </c>
      <c r="AP1106" s="1">
        <v>0.177924</v>
      </c>
      <c r="AQ1106" s="1">
        <v>0.238021</v>
      </c>
      <c r="AR1106" s="1">
        <v>0.044303</v>
      </c>
      <c r="AS1106" s="1">
        <v>1.571872</v>
      </c>
      <c r="AT1106" s="1">
        <v>21769.0</v>
      </c>
      <c r="AU1106" s="1">
        <v>4231.0</v>
      </c>
      <c r="AV1106" s="1">
        <v>0.161417</v>
      </c>
      <c r="AW1106" s="1">
        <v>0.785011</v>
      </c>
      <c r="AX1106" s="1">
        <v>0.214111</v>
      </c>
      <c r="AY1106" s="1">
        <v>0.131386</v>
      </c>
      <c r="AZ1106" s="1">
        <v>0.0619469</v>
      </c>
      <c r="BA1106" s="1">
        <v>0.155717</v>
      </c>
      <c r="BB1106" s="1">
        <v>0.0</v>
      </c>
      <c r="BC1106" s="1">
        <v>0.751235</v>
      </c>
      <c r="BD1106" s="1">
        <v>0.0</v>
      </c>
      <c r="BE1106" s="1">
        <v>0.562857</v>
      </c>
      <c r="BF1106" s="1">
        <v>0.394285</v>
      </c>
      <c r="BG1106" s="1">
        <v>0.22859</v>
      </c>
      <c r="BH1106" s="1">
        <v>0.0</v>
      </c>
      <c r="BI1106" s="1">
        <v>0.506289</v>
      </c>
      <c r="BJ1106" s="1">
        <v>0.044025</v>
      </c>
      <c r="BK1106" s="1">
        <v>0.364688</v>
      </c>
      <c r="BL1106" s="1">
        <v>0.0</v>
      </c>
      <c r="BM1106" s="1">
        <v>0.671</v>
      </c>
      <c r="BN1106" s="1">
        <v>0.23</v>
      </c>
      <c r="BO1106" s="1">
        <v>0.5069</v>
      </c>
      <c r="BP1106" s="1">
        <v>0.617</v>
      </c>
      <c r="BQ1106" s="1">
        <v>2.0249</v>
      </c>
      <c r="BR1106" s="1">
        <v>0.5061</v>
      </c>
      <c r="BS1106" s="1">
        <v>0.92</v>
      </c>
      <c r="BT1106" s="1">
        <v>0.041</v>
      </c>
      <c r="BU1106" s="1">
        <v>0.148</v>
      </c>
      <c r="BV1106" s="1">
        <v>1.109</v>
      </c>
      <c r="BW1106" s="1">
        <v>0.172</v>
      </c>
      <c r="BX1106" s="1">
        <v>0.641</v>
      </c>
      <c r="BY1106" s="1">
        <v>0.0</v>
      </c>
      <c r="BZ1106" s="1">
        <v>0.641</v>
      </c>
      <c r="CA1106" s="1">
        <v>0.297</v>
      </c>
      <c r="CB1106" s="1">
        <v>0.0</v>
      </c>
      <c r="CC1106" s="1">
        <v>0.994</v>
      </c>
      <c r="CD1106" s="1">
        <v>0.0</v>
      </c>
      <c r="CE1106" s="1">
        <v>0.433</v>
      </c>
      <c r="CF1106" s="1">
        <v>0.0</v>
      </c>
      <c r="CG1106" s="1">
        <v>1.427</v>
      </c>
      <c r="CH1106" s="1">
        <v>0.155</v>
      </c>
      <c r="CI1106" s="1">
        <v>5.2019</v>
      </c>
      <c r="CJ1106" s="1">
        <v>0.2303</v>
      </c>
      <c r="CK1106" s="1">
        <v>0.0</v>
      </c>
      <c r="CL1106" s="1">
        <v>0.0</v>
      </c>
      <c r="CM1106" s="1">
        <v>0.0</v>
      </c>
      <c r="CN1106" s="1">
        <v>0.0</v>
      </c>
      <c r="CO1106" s="1">
        <v>0.0</v>
      </c>
      <c r="CP1106" s="1">
        <v>1.0</v>
      </c>
      <c r="CQ1106" s="1">
        <v>0.0</v>
      </c>
      <c r="CR1106" s="1">
        <v>0.0</v>
      </c>
      <c r="CS1106" s="1">
        <v>1.0</v>
      </c>
      <c r="CT1106" s="1">
        <v>0.0</v>
      </c>
      <c r="CU1106" s="1">
        <v>0.0</v>
      </c>
      <c r="CV1106" s="1">
        <v>0.0</v>
      </c>
      <c r="CW1106" s="1">
        <v>0.0</v>
      </c>
      <c r="CX1106" s="1">
        <v>1.0</v>
      </c>
      <c r="CY1106" s="1">
        <v>0.0</v>
      </c>
      <c r="CZ1106" s="1">
        <v>0.0</v>
      </c>
      <c r="DA1106" s="1">
        <v>0.0</v>
      </c>
      <c r="DB1106" s="1">
        <v>1.0</v>
      </c>
      <c r="DC1106" s="1">
        <v>2.0</v>
      </c>
      <c r="DD1106" s="1" t="s">
        <v>4948</v>
      </c>
      <c r="DE1106" s="1">
        <v>0.00179569776435598</v>
      </c>
      <c r="DF1106" s="2" t="s">
        <v>4949</v>
      </c>
    </row>
    <row r="1107" ht="15.75" customHeight="1">
      <c r="A1107" s="1" t="s">
        <v>4950</v>
      </c>
      <c r="B1107" s="1">
        <v>29.0</v>
      </c>
      <c r="C1107" s="1">
        <v>189.0</v>
      </c>
      <c r="D1107" s="1">
        <v>210200.0</v>
      </c>
      <c r="E1107" s="1">
        <v>1.671</v>
      </c>
      <c r="F1107" s="1">
        <v>29189.0</v>
      </c>
      <c r="G1107" s="1">
        <v>2.91892102E10</v>
      </c>
      <c r="H1107" s="1" t="s">
        <v>112</v>
      </c>
      <c r="I1107" s="1" t="s">
        <v>113</v>
      </c>
      <c r="J1107" s="1" t="s">
        <v>4566</v>
      </c>
      <c r="K1107" s="1" t="s">
        <v>4951</v>
      </c>
      <c r="L1107" s="1">
        <v>6441.0</v>
      </c>
      <c r="M1107" s="1">
        <v>5858.0</v>
      </c>
      <c r="N1107" s="1">
        <v>828.0</v>
      </c>
      <c r="O1107" s="1">
        <v>2460.0</v>
      </c>
      <c r="P1107" s="1">
        <v>2449.0</v>
      </c>
      <c r="Q1107" s="1">
        <v>96.0</v>
      </c>
      <c r="R1107" s="1">
        <v>2156.0</v>
      </c>
      <c r="S1107" s="1">
        <v>1447.0</v>
      </c>
      <c r="T1107" s="1">
        <v>634.0</v>
      </c>
      <c r="U1107" s="1">
        <v>532.0</v>
      </c>
      <c r="V1107" s="1">
        <v>376.0</v>
      </c>
      <c r="W1107" s="1">
        <v>13292.0</v>
      </c>
      <c r="X1107" s="1">
        <v>1740.0</v>
      </c>
      <c r="Y1107" s="1">
        <v>571.0</v>
      </c>
      <c r="Z1107" s="1">
        <v>303.0</v>
      </c>
      <c r="AA1107" s="1">
        <v>514.0</v>
      </c>
      <c r="AB1107" s="1">
        <v>2463.0</v>
      </c>
      <c r="AC1107" s="1">
        <v>816.0</v>
      </c>
      <c r="AD1107" s="1">
        <v>5370.0</v>
      </c>
      <c r="AE1107" s="1">
        <v>79.0</v>
      </c>
      <c r="AF1107" s="1">
        <v>440.0</v>
      </c>
      <c r="AG1107" s="1">
        <v>25.0</v>
      </c>
      <c r="AH1107" s="1">
        <v>164.0</v>
      </c>
      <c r="AI1107" s="1">
        <v>17.0</v>
      </c>
      <c r="AJ1107" s="1">
        <v>28.0</v>
      </c>
      <c r="AK1107" s="1">
        <v>68.0</v>
      </c>
      <c r="AL1107" s="1">
        <v>128.0</v>
      </c>
      <c r="AM1107" s="1">
        <v>253.0</v>
      </c>
      <c r="AN1107" s="1">
        <v>114.0</v>
      </c>
      <c r="AO1107" s="1">
        <v>0.0</v>
      </c>
      <c r="AP1107" s="1">
        <v>0.247012</v>
      </c>
      <c r="AQ1107" s="1">
        <v>0.102441</v>
      </c>
      <c r="AR1107" s="1">
        <v>0.199549</v>
      </c>
      <c r="AS1107" s="1">
        <v>0.13782</v>
      </c>
      <c r="AT1107" s="1">
        <v>13292.0</v>
      </c>
      <c r="AU1107" s="1">
        <v>1740.0</v>
      </c>
      <c r="AV1107" s="1">
        <v>0.186784</v>
      </c>
      <c r="AW1107" s="1">
        <v>0.096239</v>
      </c>
      <c r="AX1107" s="1">
        <v>0.079801</v>
      </c>
      <c r="AY1107" s="1">
        <v>0.382394</v>
      </c>
      <c r="AZ1107" s="1">
        <v>0.37847866</v>
      </c>
      <c r="BA1107" s="1">
        <v>0.833721</v>
      </c>
      <c r="BB1107" s="1">
        <v>0.014487</v>
      </c>
      <c r="BC1107" s="1">
        <v>0.080664</v>
      </c>
      <c r="BD1107" s="1">
        <v>0.010208</v>
      </c>
      <c r="BE1107" s="1">
        <v>0.066964</v>
      </c>
      <c r="BF1107" s="1">
        <v>0.006941</v>
      </c>
      <c r="BG1107" s="1">
        <v>0.011429</v>
      </c>
      <c r="BH1107" s="1">
        <v>0.032929</v>
      </c>
      <c r="BI1107" s="1">
        <v>0.061887</v>
      </c>
      <c r="BJ1107" s="1">
        <v>0.122518</v>
      </c>
      <c r="BK1107" s="1">
        <v>0.053654</v>
      </c>
      <c r="BL1107" s="1">
        <v>0.0</v>
      </c>
      <c r="BM1107" s="1">
        <v>0.821</v>
      </c>
      <c r="BN1107" s="1">
        <v>0.952</v>
      </c>
      <c r="BO1107" s="1">
        <v>0.9285</v>
      </c>
      <c r="BP1107" s="1">
        <v>0.714</v>
      </c>
      <c r="BQ1107" s="1">
        <v>3.4155</v>
      </c>
      <c r="BR1107" s="1">
        <v>0.9032</v>
      </c>
      <c r="BS1107" s="1">
        <v>0.116</v>
      </c>
      <c r="BT1107" s="1">
        <v>0.995</v>
      </c>
      <c r="BU1107" s="1">
        <v>0.994</v>
      </c>
      <c r="BV1107" s="1">
        <v>2.105</v>
      </c>
      <c r="BW1107" s="1">
        <v>0.92</v>
      </c>
      <c r="BX1107" s="1">
        <v>0.929</v>
      </c>
      <c r="BY1107" s="1">
        <v>0.803</v>
      </c>
      <c r="BZ1107" s="1">
        <v>1.732</v>
      </c>
      <c r="CA1107" s="1">
        <v>0.937</v>
      </c>
      <c r="CB1107" s="1">
        <v>0.384</v>
      </c>
      <c r="CC1107" s="1">
        <v>0.425</v>
      </c>
      <c r="CD1107" s="1">
        <v>0.841</v>
      </c>
      <c r="CE1107" s="1">
        <v>0.815</v>
      </c>
      <c r="CF1107" s="1">
        <v>0.0</v>
      </c>
      <c r="CG1107" s="1">
        <v>2.465</v>
      </c>
      <c r="CH1107" s="1">
        <v>0.547</v>
      </c>
      <c r="CI1107" s="1">
        <v>9.7175</v>
      </c>
      <c r="CJ1107" s="1">
        <v>0.9271</v>
      </c>
      <c r="CK1107" s="1">
        <v>0.0</v>
      </c>
      <c r="CL1107" s="1">
        <v>1.0</v>
      </c>
      <c r="CM1107" s="1">
        <v>1.0</v>
      </c>
      <c r="CN1107" s="1">
        <v>0.0</v>
      </c>
      <c r="CO1107" s="1">
        <v>2.0</v>
      </c>
      <c r="CP1107" s="1">
        <v>0.0</v>
      </c>
      <c r="CQ1107" s="1">
        <v>1.0</v>
      </c>
      <c r="CR1107" s="1">
        <v>1.0</v>
      </c>
      <c r="CS1107" s="1">
        <v>2.0</v>
      </c>
      <c r="CT1107" s="1">
        <v>1.0</v>
      </c>
      <c r="CU1107" s="1">
        <v>0.0</v>
      </c>
      <c r="CV1107" s="1">
        <v>1.0</v>
      </c>
      <c r="CW1107" s="1">
        <v>0.0</v>
      </c>
      <c r="CX1107" s="1">
        <v>0.0</v>
      </c>
      <c r="CY1107" s="1">
        <v>0.0</v>
      </c>
      <c r="CZ1107" s="1">
        <v>0.0</v>
      </c>
      <c r="DA1107" s="1">
        <v>0.0</v>
      </c>
      <c r="DB1107" s="1">
        <v>0.0</v>
      </c>
      <c r="DC1107" s="1">
        <v>5.0</v>
      </c>
      <c r="DD1107" s="1" t="s">
        <v>4952</v>
      </c>
      <c r="DE1107" s="1">
        <v>4.46859116494246E-4</v>
      </c>
      <c r="DF1107" s="2" t="s">
        <v>4953</v>
      </c>
    </row>
    <row r="1108" ht="15.75" customHeight="1">
      <c r="A1108" s="1" t="s">
        <v>4954</v>
      </c>
      <c r="B1108" s="1">
        <v>29.0</v>
      </c>
      <c r="C1108" s="1">
        <v>189.0</v>
      </c>
      <c r="D1108" s="1">
        <v>210400.0</v>
      </c>
      <c r="E1108" s="1">
        <v>1.163</v>
      </c>
      <c r="F1108" s="1">
        <v>29189.0</v>
      </c>
      <c r="G1108" s="1">
        <v>2.91892104E10</v>
      </c>
      <c r="H1108" s="1" t="s">
        <v>112</v>
      </c>
      <c r="I1108" s="1" t="s">
        <v>113</v>
      </c>
      <c r="J1108" s="1" t="s">
        <v>4566</v>
      </c>
      <c r="K1108" s="1" t="s">
        <v>4955</v>
      </c>
      <c r="L1108" s="1">
        <v>4363.0</v>
      </c>
      <c r="M1108" s="1">
        <v>3462.0</v>
      </c>
      <c r="N1108" s="1">
        <v>615.0</v>
      </c>
      <c r="O1108" s="1">
        <v>2051.0</v>
      </c>
      <c r="P1108" s="1">
        <v>1800.0</v>
      </c>
      <c r="Q1108" s="1">
        <v>254.0</v>
      </c>
      <c r="R1108" s="1">
        <v>1928.0</v>
      </c>
      <c r="S1108" s="1">
        <v>366.0</v>
      </c>
      <c r="T1108" s="1">
        <v>122.0</v>
      </c>
      <c r="U1108" s="1">
        <v>223.0</v>
      </c>
      <c r="V1108" s="1">
        <v>356.0</v>
      </c>
      <c r="W1108" s="1">
        <v>22009.0</v>
      </c>
      <c r="X1108" s="1">
        <v>1781.0</v>
      </c>
      <c r="Y1108" s="1">
        <v>335.0</v>
      </c>
      <c r="Z1108" s="1">
        <v>279.0</v>
      </c>
      <c r="AA1108" s="1">
        <v>606.0</v>
      </c>
      <c r="AB1108" s="1">
        <v>932.0</v>
      </c>
      <c r="AC1108" s="1">
        <v>365.0</v>
      </c>
      <c r="AD1108" s="1">
        <v>3993.0</v>
      </c>
      <c r="AE1108" s="1">
        <v>15.0</v>
      </c>
      <c r="AF1108" s="1">
        <v>442.0</v>
      </c>
      <c r="AG1108" s="1">
        <v>188.0</v>
      </c>
      <c r="AH1108" s="1">
        <v>140.0</v>
      </c>
      <c r="AI1108" s="1">
        <v>6.0</v>
      </c>
      <c r="AJ1108" s="1">
        <v>10.0</v>
      </c>
      <c r="AK1108" s="1">
        <v>0.0</v>
      </c>
      <c r="AL1108" s="1">
        <v>161.0</v>
      </c>
      <c r="AM1108" s="1">
        <v>201.0</v>
      </c>
      <c r="AN1108" s="1">
        <v>83.0</v>
      </c>
      <c r="AO1108" s="1">
        <v>0.0</v>
      </c>
      <c r="AP1108" s="1">
        <v>0.105719</v>
      </c>
      <c r="AQ1108" s="1">
        <v>0.029818</v>
      </c>
      <c r="AR1108" s="1">
        <v>0.117989</v>
      </c>
      <c r="AS1108" s="1">
        <v>0.18762</v>
      </c>
      <c r="AT1108" s="1">
        <v>22009.0</v>
      </c>
      <c r="AU1108" s="1">
        <v>1781.0</v>
      </c>
      <c r="AV1108" s="1">
        <v>0.134</v>
      </c>
      <c r="AW1108" s="1">
        <v>0.109148</v>
      </c>
      <c r="AX1108" s="1">
        <v>0.138895</v>
      </c>
      <c r="AY1108" s="1">
        <v>0.213614</v>
      </c>
      <c r="AZ1108" s="1">
        <v>0.18931535</v>
      </c>
      <c r="BA1108" s="1">
        <v>0.915195</v>
      </c>
      <c r="BB1108" s="1">
        <v>0.004548</v>
      </c>
      <c r="BC1108" s="1">
        <v>0.134018</v>
      </c>
      <c r="BD1108" s="1">
        <v>0.104444</v>
      </c>
      <c r="BE1108" s="1">
        <v>0.076368</v>
      </c>
      <c r="BF1108" s="1">
        <v>0.003333</v>
      </c>
      <c r="BG1108" s="1">
        <v>0.005535</v>
      </c>
      <c r="BH1108" s="1">
        <v>0.0</v>
      </c>
      <c r="BI1108" s="1">
        <v>0.103536</v>
      </c>
      <c r="BJ1108" s="1">
        <v>0.12926</v>
      </c>
      <c r="BK1108" s="1">
        <v>0.048154</v>
      </c>
      <c r="BL1108" s="1">
        <v>0.0</v>
      </c>
      <c r="BM1108" s="1">
        <v>0.397</v>
      </c>
      <c r="BN1108" s="1">
        <v>0.815</v>
      </c>
      <c r="BO1108" s="1">
        <v>0.4931</v>
      </c>
      <c r="BP1108" s="1">
        <v>0.492</v>
      </c>
      <c r="BQ1108" s="1">
        <v>2.1971</v>
      </c>
      <c r="BR1108" s="1">
        <v>0.5661</v>
      </c>
      <c r="BS1108" s="1">
        <v>0.487</v>
      </c>
      <c r="BT1108" s="1">
        <v>0.253</v>
      </c>
      <c r="BU1108" s="1">
        <v>0.884</v>
      </c>
      <c r="BV1108" s="1">
        <v>1.624</v>
      </c>
      <c r="BW1108" s="1">
        <v>0.583</v>
      </c>
      <c r="BX1108" s="1">
        <v>0.945</v>
      </c>
      <c r="BY1108" s="1">
        <v>0.541</v>
      </c>
      <c r="BZ1108" s="1">
        <v>1.486</v>
      </c>
      <c r="CA1108" s="1">
        <v>0.814</v>
      </c>
      <c r="CB1108" s="1">
        <v>0.778</v>
      </c>
      <c r="CC1108" s="1">
        <v>0.373</v>
      </c>
      <c r="CD1108" s="1">
        <v>0.0</v>
      </c>
      <c r="CE1108" s="1">
        <v>0.827</v>
      </c>
      <c r="CF1108" s="1">
        <v>0.0</v>
      </c>
      <c r="CG1108" s="1">
        <v>1.978</v>
      </c>
      <c r="CH1108" s="1">
        <v>0.34</v>
      </c>
      <c r="CI1108" s="1">
        <v>7.2851</v>
      </c>
      <c r="CJ1108" s="1">
        <v>0.6058</v>
      </c>
      <c r="CK1108" s="1">
        <v>0.0</v>
      </c>
      <c r="CL1108" s="1">
        <v>0.0</v>
      </c>
      <c r="CM1108" s="1">
        <v>0.0</v>
      </c>
      <c r="CN1108" s="1">
        <v>0.0</v>
      </c>
      <c r="CO1108" s="1">
        <v>0.0</v>
      </c>
      <c r="CP1108" s="1">
        <v>0.0</v>
      </c>
      <c r="CQ1108" s="1">
        <v>0.0</v>
      </c>
      <c r="CR1108" s="1">
        <v>0.0</v>
      </c>
      <c r="CS1108" s="1">
        <v>0.0</v>
      </c>
      <c r="CT1108" s="1">
        <v>1.0</v>
      </c>
      <c r="CU1108" s="1">
        <v>0.0</v>
      </c>
      <c r="CV1108" s="1">
        <v>1.0</v>
      </c>
      <c r="CW1108" s="1">
        <v>0.0</v>
      </c>
      <c r="CX1108" s="1">
        <v>0.0</v>
      </c>
      <c r="CY1108" s="1">
        <v>0.0</v>
      </c>
      <c r="CZ1108" s="1">
        <v>0.0</v>
      </c>
      <c r="DA1108" s="1">
        <v>0.0</v>
      </c>
      <c r="DB1108" s="1">
        <v>0.0</v>
      </c>
      <c r="DC1108" s="1">
        <v>1.0</v>
      </c>
      <c r="DD1108" s="1" t="s">
        <v>4956</v>
      </c>
      <c r="DE1108" s="1">
        <v>3.10208814070616E-4</v>
      </c>
      <c r="DF1108" s="1">
        <v>0.0852140716145406</v>
      </c>
    </row>
    <row r="1109" ht="15.75" customHeight="1">
      <c r="A1109" s="1" t="s">
        <v>4957</v>
      </c>
      <c r="B1109" s="1">
        <v>29.0</v>
      </c>
      <c r="C1109" s="1">
        <v>189.0</v>
      </c>
      <c r="D1109" s="1">
        <v>210501.0</v>
      </c>
      <c r="E1109" s="1">
        <v>1.084</v>
      </c>
      <c r="F1109" s="1">
        <v>29189.0</v>
      </c>
      <c r="G1109" s="1">
        <v>2.9189210501E10</v>
      </c>
      <c r="H1109" s="1" t="s">
        <v>112</v>
      </c>
      <c r="I1109" s="1" t="s">
        <v>113</v>
      </c>
      <c r="J1109" s="1" t="s">
        <v>4566</v>
      </c>
      <c r="K1109" s="1" t="s">
        <v>4958</v>
      </c>
      <c r="L1109" s="1">
        <v>3667.0</v>
      </c>
      <c r="M1109" s="1">
        <v>3998.0</v>
      </c>
      <c r="N1109" s="1">
        <v>489.0</v>
      </c>
      <c r="O1109" s="1">
        <v>1354.0</v>
      </c>
      <c r="P1109" s="1">
        <v>1360.0</v>
      </c>
      <c r="Q1109" s="1">
        <v>98.0</v>
      </c>
      <c r="R1109" s="1">
        <v>1194.0</v>
      </c>
      <c r="S1109" s="1">
        <v>1522.0</v>
      </c>
      <c r="T1109" s="1">
        <v>676.0</v>
      </c>
      <c r="U1109" s="1">
        <v>383.0</v>
      </c>
      <c r="V1109" s="1">
        <v>392.0</v>
      </c>
      <c r="W1109" s="1">
        <v>12264.0</v>
      </c>
      <c r="X1109" s="1">
        <v>2203.0</v>
      </c>
      <c r="Y1109" s="1">
        <v>383.0</v>
      </c>
      <c r="Z1109" s="1">
        <v>358.0</v>
      </c>
      <c r="AA1109" s="1">
        <v>461.0</v>
      </c>
      <c r="AB1109" s="1">
        <v>1094.0</v>
      </c>
      <c r="AC1109" s="1">
        <v>340.0</v>
      </c>
      <c r="AD1109" s="1">
        <v>3518.0</v>
      </c>
      <c r="AE1109" s="1">
        <v>0.0</v>
      </c>
      <c r="AF1109" s="1">
        <v>456.0</v>
      </c>
      <c r="AG1109" s="1">
        <v>0.0</v>
      </c>
      <c r="AH1109" s="1">
        <v>197.0</v>
      </c>
      <c r="AI1109" s="1">
        <v>0.0</v>
      </c>
      <c r="AJ1109" s="1">
        <v>114.0</v>
      </c>
      <c r="AK1109" s="1">
        <v>0.0</v>
      </c>
      <c r="AL1109" s="1">
        <v>161.0</v>
      </c>
      <c r="AM1109" s="1">
        <v>193.0</v>
      </c>
      <c r="AN1109" s="1">
        <v>114.0</v>
      </c>
      <c r="AO1109" s="1">
        <v>0.0</v>
      </c>
      <c r="AP1109" s="1">
        <v>0.38069</v>
      </c>
      <c r="AQ1109" s="1">
        <v>0.162546</v>
      </c>
      <c r="AR1109" s="1">
        <v>0.235692</v>
      </c>
      <c r="AS1109" s="1">
        <v>0.234884</v>
      </c>
      <c r="AT1109" s="1">
        <v>12264.0</v>
      </c>
      <c r="AU1109" s="1">
        <v>2203.0</v>
      </c>
      <c r="AV1109" s="1">
        <v>0.178388</v>
      </c>
      <c r="AW1109" s="1">
        <v>0.165445</v>
      </c>
      <c r="AX1109" s="1">
        <v>0.125715</v>
      </c>
      <c r="AY1109" s="1">
        <v>0.298336</v>
      </c>
      <c r="AZ1109" s="1">
        <v>0.28475711</v>
      </c>
      <c r="BA1109" s="1">
        <v>0.959367</v>
      </c>
      <c r="BB1109" s="1">
        <v>0.0</v>
      </c>
      <c r="BC1109" s="1">
        <v>0.122448</v>
      </c>
      <c r="BD1109" s="1">
        <v>0.0</v>
      </c>
      <c r="BE1109" s="1">
        <v>0.144852</v>
      </c>
      <c r="BF1109" s="1">
        <v>0.0</v>
      </c>
      <c r="BG1109" s="1">
        <v>0.083823</v>
      </c>
      <c r="BH1109" s="1">
        <v>0.0</v>
      </c>
      <c r="BI1109" s="1">
        <v>0.129421</v>
      </c>
      <c r="BJ1109" s="1">
        <v>0.155144</v>
      </c>
      <c r="BK1109" s="1">
        <v>0.090216</v>
      </c>
      <c r="BL1109" s="1">
        <v>0.0</v>
      </c>
      <c r="BM1109" s="1">
        <v>0.944</v>
      </c>
      <c r="BN1109" s="1">
        <v>0.971</v>
      </c>
      <c r="BO1109" s="1">
        <v>0.9545</v>
      </c>
      <c r="BP1109" s="1">
        <v>0.681</v>
      </c>
      <c r="BQ1109" s="1">
        <v>3.5505</v>
      </c>
      <c r="BR1109" s="1">
        <v>0.9314</v>
      </c>
      <c r="BS1109" s="1">
        <v>0.385</v>
      </c>
      <c r="BT1109" s="1">
        <v>0.917</v>
      </c>
      <c r="BU1109" s="1">
        <v>0.975</v>
      </c>
      <c r="BV1109" s="1">
        <v>2.277</v>
      </c>
      <c r="BW1109" s="1">
        <v>0.976</v>
      </c>
      <c r="BX1109" s="1">
        <v>0.962</v>
      </c>
      <c r="BY1109" s="1">
        <v>0.0</v>
      </c>
      <c r="BZ1109" s="1">
        <v>0.962</v>
      </c>
      <c r="CA1109" s="1">
        <v>0.519</v>
      </c>
      <c r="CB1109" s="1">
        <v>0.0</v>
      </c>
      <c r="CC1109" s="1">
        <v>0.0</v>
      </c>
      <c r="CD1109" s="1">
        <v>0.0</v>
      </c>
      <c r="CE1109" s="1">
        <v>0.864</v>
      </c>
      <c r="CF1109" s="1">
        <v>0.0</v>
      </c>
      <c r="CG1109" s="1">
        <v>0.864</v>
      </c>
      <c r="CH1109" s="1">
        <v>0.059</v>
      </c>
      <c r="CI1109" s="1">
        <v>7.6535</v>
      </c>
      <c r="CJ1109" s="1">
        <v>0.6592</v>
      </c>
      <c r="CK1109" s="1">
        <v>1.0</v>
      </c>
      <c r="CL1109" s="1">
        <v>1.0</v>
      </c>
      <c r="CM1109" s="1">
        <v>1.0</v>
      </c>
      <c r="CN1109" s="1">
        <v>0.0</v>
      </c>
      <c r="CO1109" s="1">
        <v>3.0</v>
      </c>
      <c r="CP1109" s="1">
        <v>0.0</v>
      </c>
      <c r="CQ1109" s="1">
        <v>1.0</v>
      </c>
      <c r="CR1109" s="1">
        <v>1.0</v>
      </c>
      <c r="CS1109" s="1">
        <v>2.0</v>
      </c>
      <c r="CT1109" s="1">
        <v>1.0</v>
      </c>
      <c r="CU1109" s="1">
        <v>0.0</v>
      </c>
      <c r="CV1109" s="1">
        <v>1.0</v>
      </c>
      <c r="CW1109" s="1">
        <v>0.0</v>
      </c>
      <c r="CX1109" s="1">
        <v>0.0</v>
      </c>
      <c r="CY1109" s="1">
        <v>0.0</v>
      </c>
      <c r="CZ1109" s="1">
        <v>0.0</v>
      </c>
      <c r="DA1109" s="1">
        <v>0.0</v>
      </c>
      <c r="DB1109" s="1">
        <v>0.0</v>
      </c>
      <c r="DC1109" s="1">
        <v>6.0</v>
      </c>
      <c r="DD1109" s="1" t="s">
        <v>4959</v>
      </c>
      <c r="DE1109" s="1">
        <v>2.91045321131555E-4</v>
      </c>
      <c r="DF1109" s="1">
        <v>0.0930078643881708</v>
      </c>
    </row>
    <row r="1110" ht="15.75" customHeight="1">
      <c r="A1110" s="1" t="s">
        <v>4960</v>
      </c>
      <c r="B1110" s="1">
        <v>29.0</v>
      </c>
      <c r="C1110" s="1">
        <v>189.0</v>
      </c>
      <c r="D1110" s="1">
        <v>210502.0</v>
      </c>
      <c r="E1110" s="1">
        <v>0.918</v>
      </c>
      <c r="F1110" s="1">
        <v>29189.0</v>
      </c>
      <c r="G1110" s="1">
        <v>2.9189210502E10</v>
      </c>
      <c r="H1110" s="1" t="s">
        <v>112</v>
      </c>
      <c r="I1110" s="1" t="s">
        <v>113</v>
      </c>
      <c r="J1110" s="1" t="s">
        <v>4566</v>
      </c>
      <c r="K1110" s="1" t="s">
        <v>4961</v>
      </c>
      <c r="L1110" s="1">
        <v>4049.0</v>
      </c>
      <c r="M1110" s="1">
        <v>3666.0</v>
      </c>
      <c r="N1110" s="1">
        <v>473.0</v>
      </c>
      <c r="O1110" s="1">
        <v>1646.0</v>
      </c>
      <c r="P1110" s="1">
        <v>1696.0</v>
      </c>
      <c r="Q1110" s="1">
        <v>63.0</v>
      </c>
      <c r="R1110" s="1">
        <v>1397.0</v>
      </c>
      <c r="S1110" s="1">
        <v>715.0</v>
      </c>
      <c r="T1110" s="1">
        <v>269.0</v>
      </c>
      <c r="U1110" s="1">
        <v>325.0</v>
      </c>
      <c r="V1110" s="1">
        <v>254.0</v>
      </c>
      <c r="W1110" s="1">
        <v>17726.0</v>
      </c>
      <c r="X1110" s="1">
        <v>2714.0</v>
      </c>
      <c r="Y1110" s="1">
        <v>417.0</v>
      </c>
      <c r="Z1110" s="1">
        <v>289.0</v>
      </c>
      <c r="AA1110" s="1">
        <v>430.0</v>
      </c>
      <c r="AB1110" s="1">
        <v>1201.0</v>
      </c>
      <c r="AC1110" s="1">
        <v>394.0</v>
      </c>
      <c r="AD1110" s="1">
        <v>3838.0</v>
      </c>
      <c r="AE1110" s="1">
        <v>14.0</v>
      </c>
      <c r="AF1110" s="1">
        <v>442.0</v>
      </c>
      <c r="AG1110" s="1">
        <v>28.0</v>
      </c>
      <c r="AH1110" s="1">
        <v>163.0</v>
      </c>
      <c r="AI1110" s="1">
        <v>37.0</v>
      </c>
      <c r="AJ1110" s="1">
        <v>54.0</v>
      </c>
      <c r="AK1110" s="1">
        <v>52.0</v>
      </c>
      <c r="AL1110" s="1">
        <v>121.0</v>
      </c>
      <c r="AM1110" s="1">
        <v>110.0</v>
      </c>
      <c r="AN1110" s="1">
        <v>66.0</v>
      </c>
      <c r="AO1110" s="1">
        <v>0.0</v>
      </c>
      <c r="AP1110" s="1">
        <v>0.196698</v>
      </c>
      <c r="AQ1110" s="1">
        <v>0.069435</v>
      </c>
      <c r="AR1110" s="1">
        <v>0.193222</v>
      </c>
      <c r="AS1110" s="1">
        <v>0.147886</v>
      </c>
      <c r="AT1110" s="1">
        <v>17726.0</v>
      </c>
      <c r="AU1110" s="1">
        <v>2714.0</v>
      </c>
      <c r="AV1110" s="1">
        <v>0.185086</v>
      </c>
      <c r="AW1110" s="1">
        <v>0.126426</v>
      </c>
      <c r="AX1110" s="1">
        <v>0.106199</v>
      </c>
      <c r="AY1110" s="1">
        <v>0.296616</v>
      </c>
      <c r="AZ1110" s="1">
        <v>0.28203292</v>
      </c>
      <c r="BA1110" s="1">
        <v>0.947888</v>
      </c>
      <c r="BB1110" s="1">
        <v>0.004172</v>
      </c>
      <c r="BC1110" s="1">
        <v>0.131742</v>
      </c>
      <c r="BD1110" s="1">
        <v>0.016509</v>
      </c>
      <c r="BE1110" s="1">
        <v>0.096106</v>
      </c>
      <c r="BF1110" s="1">
        <v>0.021816</v>
      </c>
      <c r="BG1110" s="1">
        <v>0.031829</v>
      </c>
      <c r="BH1110" s="1">
        <v>0.039664</v>
      </c>
      <c r="BI1110" s="1">
        <v>0.092218</v>
      </c>
      <c r="BJ1110" s="1">
        <v>0.083905</v>
      </c>
      <c r="BK1110" s="1">
        <v>0.049703</v>
      </c>
      <c r="BL1110" s="1">
        <v>0.0</v>
      </c>
      <c r="BM1110" s="1">
        <v>0.72</v>
      </c>
      <c r="BN1110" s="1">
        <v>0.946</v>
      </c>
      <c r="BO1110" s="1">
        <v>0.7422</v>
      </c>
      <c r="BP1110" s="1">
        <v>0.705</v>
      </c>
      <c r="BQ1110" s="1">
        <v>3.1132</v>
      </c>
      <c r="BR1110" s="1">
        <v>0.8267</v>
      </c>
      <c r="BS1110" s="1">
        <v>0.246</v>
      </c>
      <c r="BT1110" s="1">
        <v>0.911</v>
      </c>
      <c r="BU1110" s="1">
        <v>0.972</v>
      </c>
      <c r="BV1110" s="1">
        <v>2.129</v>
      </c>
      <c r="BW1110" s="1">
        <v>0.936</v>
      </c>
      <c r="BX1110" s="1">
        <v>0.959</v>
      </c>
      <c r="BY1110" s="1">
        <v>0.524</v>
      </c>
      <c r="BZ1110" s="1">
        <v>1.483</v>
      </c>
      <c r="CA1110" s="1">
        <v>0.81</v>
      </c>
      <c r="CB1110" s="1">
        <v>0.437</v>
      </c>
      <c r="CC1110" s="1">
        <v>0.519</v>
      </c>
      <c r="CD1110" s="1">
        <v>0.893</v>
      </c>
      <c r="CE1110" s="1">
        <v>0.697</v>
      </c>
      <c r="CF1110" s="1">
        <v>0.0</v>
      </c>
      <c r="CG1110" s="1">
        <v>2.546</v>
      </c>
      <c r="CH1110" s="1">
        <v>0.579</v>
      </c>
      <c r="CI1110" s="1">
        <v>9.2712</v>
      </c>
      <c r="CJ1110" s="1">
        <v>0.8845</v>
      </c>
      <c r="CK1110" s="1">
        <v>0.0</v>
      </c>
      <c r="CL1110" s="1">
        <v>1.0</v>
      </c>
      <c r="CM1110" s="1">
        <v>0.0</v>
      </c>
      <c r="CN1110" s="1">
        <v>0.0</v>
      </c>
      <c r="CO1110" s="1">
        <v>1.0</v>
      </c>
      <c r="CP1110" s="1">
        <v>0.0</v>
      </c>
      <c r="CQ1110" s="1">
        <v>1.0</v>
      </c>
      <c r="CR1110" s="1">
        <v>1.0</v>
      </c>
      <c r="CS1110" s="1">
        <v>2.0</v>
      </c>
      <c r="CT1110" s="1">
        <v>1.0</v>
      </c>
      <c r="CU1110" s="1">
        <v>0.0</v>
      </c>
      <c r="CV1110" s="1">
        <v>1.0</v>
      </c>
      <c r="CW1110" s="1">
        <v>0.0</v>
      </c>
      <c r="CX1110" s="1">
        <v>0.0</v>
      </c>
      <c r="CY1110" s="1">
        <v>0.0</v>
      </c>
      <c r="CZ1110" s="1">
        <v>0.0</v>
      </c>
      <c r="DA1110" s="1">
        <v>0.0</v>
      </c>
      <c r="DB1110" s="1">
        <v>0.0</v>
      </c>
      <c r="DC1110" s="1">
        <v>4.0</v>
      </c>
      <c r="DD1110" s="1" t="s">
        <v>4962</v>
      </c>
      <c r="DE1110" s="1">
        <v>2.4773583664093E-4</v>
      </c>
      <c r="DF1110" s="1">
        <v>0.0717843417463003</v>
      </c>
    </row>
    <row r="1111" ht="15.75" customHeight="1">
      <c r="A1111" s="1" t="s">
        <v>4963</v>
      </c>
      <c r="B1111" s="1">
        <v>29.0</v>
      </c>
      <c r="C1111" s="1">
        <v>189.0</v>
      </c>
      <c r="D1111" s="1">
        <v>210600.0</v>
      </c>
      <c r="E1111" s="1">
        <v>2.606</v>
      </c>
      <c r="F1111" s="1">
        <v>29189.0</v>
      </c>
      <c r="G1111" s="1">
        <v>2.91892106E10</v>
      </c>
      <c r="H1111" s="1" t="s">
        <v>112</v>
      </c>
      <c r="I1111" s="1" t="s">
        <v>113</v>
      </c>
      <c r="J1111" s="1" t="s">
        <v>4566</v>
      </c>
      <c r="K1111" s="1" t="s">
        <v>4964</v>
      </c>
      <c r="L1111" s="1">
        <v>6740.0</v>
      </c>
      <c r="M1111" s="1">
        <v>8659.0</v>
      </c>
      <c r="N1111" s="1">
        <v>887.0</v>
      </c>
      <c r="O1111" s="1">
        <v>2802.0</v>
      </c>
      <c r="P1111" s="1">
        <v>2122.0</v>
      </c>
      <c r="Q1111" s="1">
        <v>468.0</v>
      </c>
      <c r="R1111" s="1">
        <v>2588.0</v>
      </c>
      <c r="S1111" s="1">
        <v>3325.0</v>
      </c>
      <c r="T1111" s="1">
        <v>1618.0</v>
      </c>
      <c r="U1111" s="1">
        <v>187.0</v>
      </c>
      <c r="V1111" s="1">
        <v>407.0</v>
      </c>
      <c r="W1111" s="1">
        <v>13867.0</v>
      </c>
      <c r="X1111" s="1">
        <v>2867.0</v>
      </c>
      <c r="Y1111" s="1">
        <v>3151.0</v>
      </c>
      <c r="Z1111" s="1">
        <v>829.0</v>
      </c>
      <c r="AA1111" s="1">
        <v>1045.0</v>
      </c>
      <c r="AB1111" s="1">
        <v>1526.0</v>
      </c>
      <c r="AC1111" s="1">
        <v>540.0</v>
      </c>
      <c r="AD1111" s="1">
        <v>4672.0</v>
      </c>
      <c r="AE1111" s="1">
        <v>0.0</v>
      </c>
      <c r="AF1111" s="1">
        <v>456.0</v>
      </c>
      <c r="AG1111" s="1">
        <v>43.0</v>
      </c>
      <c r="AH1111" s="1">
        <v>169.0</v>
      </c>
      <c r="AI1111" s="1">
        <v>10.0</v>
      </c>
      <c r="AJ1111" s="1">
        <v>14.0</v>
      </c>
      <c r="AK1111" s="1">
        <v>8.0</v>
      </c>
      <c r="AL1111" s="1">
        <v>115.0</v>
      </c>
      <c r="AM1111" s="1">
        <v>94.0</v>
      </c>
      <c r="AN1111" s="1">
        <v>63.0</v>
      </c>
      <c r="AO1111" s="1">
        <v>465.0</v>
      </c>
      <c r="AP1111" s="1">
        <v>0.45881</v>
      </c>
      <c r="AQ1111" s="1">
        <v>0.21288</v>
      </c>
      <c r="AR1111" s="1">
        <v>0.078902</v>
      </c>
      <c r="AS1111" s="1">
        <v>0.171301</v>
      </c>
      <c r="AT1111" s="1">
        <v>13867.0</v>
      </c>
      <c r="AU1111" s="1">
        <v>2867.0</v>
      </c>
      <c r="AV1111" s="1">
        <v>0.515374</v>
      </c>
      <c r="AW1111" s="1">
        <v>0.094889</v>
      </c>
      <c r="AX1111" s="1">
        <v>0.155044</v>
      </c>
      <c r="AY1111" s="1">
        <v>0.226409</v>
      </c>
      <c r="AZ1111" s="1">
        <v>0.20865533</v>
      </c>
      <c r="BA1111" s="1">
        <v>0.693175</v>
      </c>
      <c r="BB1111" s="1">
        <v>0.0</v>
      </c>
      <c r="BC1111" s="1">
        <v>0.054604</v>
      </c>
      <c r="BD1111" s="1">
        <v>0.020263</v>
      </c>
      <c r="BE1111" s="1">
        <v>0.079516</v>
      </c>
      <c r="BF1111" s="1">
        <v>0.004712</v>
      </c>
      <c r="BG1111" s="1">
        <v>0.006515</v>
      </c>
      <c r="BH1111" s="1">
        <v>0.004407</v>
      </c>
      <c r="BI1111" s="1">
        <v>0.063351</v>
      </c>
      <c r="BJ1111" s="1">
        <v>0.05179</v>
      </c>
      <c r="BK1111" s="1">
        <v>0.032293</v>
      </c>
      <c r="BL1111" s="1">
        <v>0.068991</v>
      </c>
      <c r="BM1111" s="1">
        <v>0.98</v>
      </c>
      <c r="BN1111" s="1">
        <v>0.602</v>
      </c>
      <c r="BO1111" s="1">
        <v>0.917</v>
      </c>
      <c r="BP1111" s="1">
        <v>1.0</v>
      </c>
      <c r="BQ1111" s="1">
        <v>3.499</v>
      </c>
      <c r="BR1111" s="1">
        <v>0.9213</v>
      </c>
      <c r="BS1111" s="1">
        <v>0.62</v>
      </c>
      <c r="BT1111" s="1">
        <v>0.351</v>
      </c>
      <c r="BU1111" s="1">
        <v>0.906</v>
      </c>
      <c r="BV1111" s="1">
        <v>1.877</v>
      </c>
      <c r="BW1111" s="1">
        <v>0.784</v>
      </c>
      <c r="BX1111" s="1">
        <v>0.899</v>
      </c>
      <c r="BY1111" s="1">
        <v>0.0</v>
      </c>
      <c r="BZ1111" s="1">
        <v>0.899</v>
      </c>
      <c r="CA1111" s="1">
        <v>0.466</v>
      </c>
      <c r="CB1111" s="1">
        <v>0.466</v>
      </c>
      <c r="CC1111" s="1">
        <v>0.389</v>
      </c>
      <c r="CD1111" s="1">
        <v>0.317</v>
      </c>
      <c r="CE1111" s="1">
        <v>0.498</v>
      </c>
      <c r="CF1111" s="1">
        <v>0.92</v>
      </c>
      <c r="CG1111" s="1">
        <v>2.59</v>
      </c>
      <c r="CH1111" s="1">
        <v>0.6</v>
      </c>
      <c r="CI1111" s="1">
        <v>8.865</v>
      </c>
      <c r="CJ1111" s="1">
        <v>0.8354</v>
      </c>
      <c r="CK1111" s="1">
        <v>1.0</v>
      </c>
      <c r="CL1111" s="1">
        <v>0.0</v>
      </c>
      <c r="CM1111" s="1">
        <v>1.0</v>
      </c>
      <c r="CN1111" s="1">
        <v>1.0</v>
      </c>
      <c r="CO1111" s="1">
        <v>3.0</v>
      </c>
      <c r="CP1111" s="1">
        <v>0.0</v>
      </c>
      <c r="CQ1111" s="1">
        <v>0.0</v>
      </c>
      <c r="CR1111" s="1">
        <v>1.0</v>
      </c>
      <c r="CS1111" s="1">
        <v>1.0</v>
      </c>
      <c r="CT1111" s="1">
        <v>0.0</v>
      </c>
      <c r="CU1111" s="1">
        <v>0.0</v>
      </c>
      <c r="CV1111" s="1">
        <v>0.0</v>
      </c>
      <c r="CW1111" s="1">
        <v>0.0</v>
      </c>
      <c r="CX1111" s="1">
        <v>0.0</v>
      </c>
      <c r="CY1111" s="1">
        <v>0.0</v>
      </c>
      <c r="CZ1111" s="1">
        <v>0.0</v>
      </c>
      <c r="DA1111" s="1">
        <v>1.0</v>
      </c>
      <c r="DB1111" s="1">
        <v>1.0</v>
      </c>
      <c r="DC1111" s="1">
        <v>5.0</v>
      </c>
      <c r="DD1111" s="1" t="s">
        <v>4965</v>
      </c>
      <c r="DE1111" s="1">
        <v>7.00504959431029E-4</v>
      </c>
      <c r="DF1111" s="2" t="s">
        <v>4966</v>
      </c>
    </row>
    <row r="1112" ht="15.75" customHeight="1">
      <c r="A1112" s="1" t="s">
        <v>4967</v>
      </c>
      <c r="B1112" s="1">
        <v>29.0</v>
      </c>
      <c r="C1112" s="1">
        <v>189.0</v>
      </c>
      <c r="D1112" s="1">
        <v>211102.0</v>
      </c>
      <c r="E1112" s="1">
        <v>1.561</v>
      </c>
      <c r="F1112" s="1">
        <v>29189.0</v>
      </c>
      <c r="G1112" s="1">
        <v>2.9189211102E10</v>
      </c>
      <c r="H1112" s="1" t="s">
        <v>112</v>
      </c>
      <c r="I1112" s="1" t="s">
        <v>113</v>
      </c>
      <c r="J1112" s="1" t="s">
        <v>4566</v>
      </c>
      <c r="K1112" s="1" t="s">
        <v>4968</v>
      </c>
      <c r="L1112" s="1">
        <v>5006.0</v>
      </c>
      <c r="M1112" s="1">
        <v>4856.0</v>
      </c>
      <c r="N1112" s="1">
        <v>518.0</v>
      </c>
      <c r="O1112" s="1">
        <v>2360.0</v>
      </c>
      <c r="P1112" s="1">
        <v>2463.0</v>
      </c>
      <c r="Q1112" s="1">
        <v>84.0</v>
      </c>
      <c r="R1112" s="1">
        <v>2217.0</v>
      </c>
      <c r="S1112" s="1">
        <v>856.0</v>
      </c>
      <c r="T1112" s="1">
        <v>620.0</v>
      </c>
      <c r="U1112" s="1">
        <v>277.0</v>
      </c>
      <c r="V1112" s="1">
        <v>426.0</v>
      </c>
      <c r="W1112" s="1">
        <v>23554.0</v>
      </c>
      <c r="X1112" s="1">
        <v>2671.0</v>
      </c>
      <c r="Y1112" s="1">
        <v>468.0</v>
      </c>
      <c r="Z1112" s="1">
        <v>353.0</v>
      </c>
      <c r="AA1112" s="1">
        <v>991.0</v>
      </c>
      <c r="AB1112" s="1">
        <v>1046.0</v>
      </c>
      <c r="AC1112" s="1">
        <v>263.0</v>
      </c>
      <c r="AD1112" s="1">
        <v>2929.0</v>
      </c>
      <c r="AE1112" s="1">
        <v>53.0</v>
      </c>
      <c r="AF1112" s="1">
        <v>433.0</v>
      </c>
      <c r="AG1112" s="1">
        <v>1022.0</v>
      </c>
      <c r="AH1112" s="1">
        <v>215.0</v>
      </c>
      <c r="AI1112" s="1">
        <v>0.0</v>
      </c>
      <c r="AJ1112" s="1">
        <v>114.0</v>
      </c>
      <c r="AK1112" s="1">
        <v>56.0</v>
      </c>
      <c r="AL1112" s="1">
        <v>136.0</v>
      </c>
      <c r="AM1112" s="1">
        <v>249.0</v>
      </c>
      <c r="AN1112" s="1">
        <v>115.0</v>
      </c>
      <c r="AO1112" s="1">
        <v>194.0</v>
      </c>
      <c r="AP1112" s="1">
        <v>0.176749</v>
      </c>
      <c r="AQ1112" s="1">
        <v>0.126599</v>
      </c>
      <c r="AR1112" s="1">
        <v>0.124606</v>
      </c>
      <c r="AS1112" s="1">
        <v>0.190643</v>
      </c>
      <c r="AT1112" s="1">
        <v>23554.0</v>
      </c>
      <c r="AU1112" s="1">
        <v>2671.0</v>
      </c>
      <c r="AV1112" s="1">
        <v>0.138012</v>
      </c>
      <c r="AW1112" s="1">
        <v>0.103306</v>
      </c>
      <c r="AX1112" s="1">
        <v>0.197962</v>
      </c>
      <c r="AY1112" s="1">
        <v>0.208949</v>
      </c>
      <c r="AZ1112" s="1">
        <v>0.11862877</v>
      </c>
      <c r="BA1112" s="1">
        <v>0.585097</v>
      </c>
      <c r="BB1112" s="1">
        <v>0.011767</v>
      </c>
      <c r="BC1112" s="1">
        <v>0.09613</v>
      </c>
      <c r="BD1112" s="1">
        <v>0.414941</v>
      </c>
      <c r="BE1112" s="1">
        <v>0.086137</v>
      </c>
      <c r="BF1112" s="1">
        <v>0.0</v>
      </c>
      <c r="BG1112" s="1">
        <v>0.046285</v>
      </c>
      <c r="BH1112" s="1">
        <v>0.025782</v>
      </c>
      <c r="BI1112" s="1">
        <v>0.062585</v>
      </c>
      <c r="BJ1112" s="1">
        <v>0.11464</v>
      </c>
      <c r="BK1112" s="1">
        <v>0.052251</v>
      </c>
      <c r="BL1112" s="1">
        <v>0.038753</v>
      </c>
      <c r="BM1112" s="1">
        <v>0.669</v>
      </c>
      <c r="BN1112" s="1">
        <v>0.838</v>
      </c>
      <c r="BO1112" s="1">
        <v>0.4224</v>
      </c>
      <c r="BP1112" s="1">
        <v>0.512</v>
      </c>
      <c r="BQ1112" s="1">
        <v>2.4414</v>
      </c>
      <c r="BR1112" s="1">
        <v>0.6448</v>
      </c>
      <c r="BS1112" s="1">
        <v>0.864</v>
      </c>
      <c r="BT1112" s="1">
        <v>0.231</v>
      </c>
      <c r="BU1112" s="1">
        <v>0.661</v>
      </c>
      <c r="BV1112" s="1">
        <v>1.756</v>
      </c>
      <c r="BW1112" s="1">
        <v>0.687</v>
      </c>
      <c r="BX1112" s="1">
        <v>0.879</v>
      </c>
      <c r="BY1112" s="1">
        <v>0.764</v>
      </c>
      <c r="BZ1112" s="1">
        <v>1.643</v>
      </c>
      <c r="CA1112" s="1">
        <v>0.892</v>
      </c>
      <c r="CB1112" s="1">
        <v>0.97</v>
      </c>
      <c r="CC1112" s="1">
        <v>0.0</v>
      </c>
      <c r="CD1112" s="1">
        <v>0.769</v>
      </c>
      <c r="CE1112" s="1">
        <v>0.795</v>
      </c>
      <c r="CF1112" s="1">
        <v>0.861</v>
      </c>
      <c r="CG1112" s="1">
        <v>3.395</v>
      </c>
      <c r="CH1112" s="1">
        <v>0.91</v>
      </c>
      <c r="CI1112" s="1">
        <v>9.2354</v>
      </c>
      <c r="CJ1112" s="1">
        <v>0.878</v>
      </c>
      <c r="CK1112" s="1">
        <v>0.0</v>
      </c>
      <c r="CL1112" s="1">
        <v>0.0</v>
      </c>
      <c r="CM1112" s="1">
        <v>0.0</v>
      </c>
      <c r="CN1112" s="1">
        <v>0.0</v>
      </c>
      <c r="CO1112" s="1">
        <v>0.0</v>
      </c>
      <c r="CP1112" s="1">
        <v>0.0</v>
      </c>
      <c r="CQ1112" s="1">
        <v>0.0</v>
      </c>
      <c r="CR1112" s="1">
        <v>0.0</v>
      </c>
      <c r="CS1112" s="1">
        <v>0.0</v>
      </c>
      <c r="CT1112" s="1">
        <v>0.0</v>
      </c>
      <c r="CU1112" s="1">
        <v>0.0</v>
      </c>
      <c r="CV1112" s="1">
        <v>0.0</v>
      </c>
      <c r="CW1112" s="1">
        <v>1.0</v>
      </c>
      <c r="CX1112" s="1">
        <v>0.0</v>
      </c>
      <c r="CY1112" s="1">
        <v>0.0</v>
      </c>
      <c r="CZ1112" s="1">
        <v>0.0</v>
      </c>
      <c r="DA1112" s="1">
        <v>0.0</v>
      </c>
      <c r="DB1112" s="1">
        <v>1.0</v>
      </c>
      <c r="DC1112" s="1">
        <v>1.0</v>
      </c>
      <c r="DD1112" s="1" t="s">
        <v>4969</v>
      </c>
      <c r="DE1112" s="1">
        <v>4.18358616085085E-4</v>
      </c>
      <c r="DF1112" s="2" t="s">
        <v>4970</v>
      </c>
    </row>
    <row r="1113" ht="15.75" customHeight="1">
      <c r="A1113" s="1" t="s">
        <v>4971</v>
      </c>
      <c r="B1113" s="1">
        <v>29.0</v>
      </c>
      <c r="C1113" s="1">
        <v>189.0</v>
      </c>
      <c r="D1113" s="1">
        <v>210703.0</v>
      </c>
      <c r="E1113" s="1">
        <v>1.47</v>
      </c>
      <c r="F1113" s="1">
        <v>29189.0</v>
      </c>
      <c r="G1113" s="1">
        <v>2.9189210703E10</v>
      </c>
      <c r="H1113" s="1" t="s">
        <v>112</v>
      </c>
      <c r="I1113" s="1" t="s">
        <v>113</v>
      </c>
      <c r="J1113" s="1" t="s">
        <v>4566</v>
      </c>
      <c r="K1113" s="1" t="s">
        <v>4972</v>
      </c>
      <c r="L1113" s="1">
        <v>3914.0</v>
      </c>
      <c r="M1113" s="1">
        <v>3685.0</v>
      </c>
      <c r="N1113" s="1">
        <v>363.0</v>
      </c>
      <c r="O1113" s="1">
        <v>1771.0</v>
      </c>
      <c r="P1113" s="1">
        <v>1849.0</v>
      </c>
      <c r="Q1113" s="1">
        <v>44.0</v>
      </c>
      <c r="R1113" s="1">
        <v>1641.0</v>
      </c>
      <c r="S1113" s="1">
        <v>287.0</v>
      </c>
      <c r="T1113" s="1">
        <v>169.0</v>
      </c>
      <c r="U1113" s="1">
        <v>246.0</v>
      </c>
      <c r="V1113" s="1">
        <v>405.0</v>
      </c>
      <c r="W1113" s="1">
        <v>22764.0</v>
      </c>
      <c r="X1113" s="1">
        <v>2614.0</v>
      </c>
      <c r="Y1113" s="1">
        <v>526.0</v>
      </c>
      <c r="Z1113" s="1">
        <v>224.0</v>
      </c>
      <c r="AA1113" s="1">
        <v>493.0</v>
      </c>
      <c r="AB1113" s="1">
        <v>1041.0</v>
      </c>
      <c r="AC1113" s="1">
        <v>310.0</v>
      </c>
      <c r="AD1113" s="1">
        <v>3093.0</v>
      </c>
      <c r="AE1113" s="1">
        <v>0.0</v>
      </c>
      <c r="AF1113" s="1">
        <v>456.0</v>
      </c>
      <c r="AG1113" s="1">
        <v>382.0</v>
      </c>
      <c r="AH1113" s="1">
        <v>148.0</v>
      </c>
      <c r="AI1113" s="1">
        <v>21.0</v>
      </c>
      <c r="AJ1113" s="1">
        <v>31.0</v>
      </c>
      <c r="AK1113" s="1">
        <v>0.0</v>
      </c>
      <c r="AL1113" s="1">
        <v>161.0</v>
      </c>
      <c r="AM1113" s="1">
        <v>189.0</v>
      </c>
      <c r="AN1113" s="1">
        <v>143.0</v>
      </c>
      <c r="AO1113" s="1">
        <v>0.0</v>
      </c>
      <c r="AP1113" s="1">
        <v>0.077883</v>
      </c>
      <c r="AQ1113" s="1">
        <v>0.045215</v>
      </c>
      <c r="AR1113" s="1">
        <v>0.141542</v>
      </c>
      <c r="AS1113" s="1">
        <v>0.231499</v>
      </c>
      <c r="AT1113" s="1">
        <v>22764.0</v>
      </c>
      <c r="AU1113" s="1">
        <v>2614.0</v>
      </c>
      <c r="AV1113" s="1">
        <v>0.210484</v>
      </c>
      <c r="AW1113" s="1">
        <v>0.087663</v>
      </c>
      <c r="AX1113" s="1">
        <v>0.125958</v>
      </c>
      <c r="AY1113" s="1">
        <v>0.265968</v>
      </c>
      <c r="AZ1113" s="1">
        <v>0.1889092</v>
      </c>
      <c r="BA1113" s="1">
        <v>0.79024</v>
      </c>
      <c r="BB1113" s="1">
        <v>0.0</v>
      </c>
      <c r="BC1113" s="1">
        <v>0.127802</v>
      </c>
      <c r="BD1113" s="1">
        <v>0.206598</v>
      </c>
      <c r="BE1113" s="1">
        <v>0.079892</v>
      </c>
      <c r="BF1113" s="1">
        <v>0.011357</v>
      </c>
      <c r="BG1113" s="1">
        <v>0.016763</v>
      </c>
      <c r="BH1113" s="1">
        <v>0.0</v>
      </c>
      <c r="BI1113" s="1">
        <v>0.092052</v>
      </c>
      <c r="BJ1113" s="1">
        <v>0.108061</v>
      </c>
      <c r="BK1113" s="1">
        <v>0.081435</v>
      </c>
      <c r="BL1113" s="1">
        <v>0.0</v>
      </c>
      <c r="BM1113" s="1">
        <v>0.284</v>
      </c>
      <c r="BN1113" s="1">
        <v>0.878</v>
      </c>
      <c r="BO1113" s="1">
        <v>0.457</v>
      </c>
      <c r="BP1113" s="1">
        <v>0.782</v>
      </c>
      <c r="BQ1113" s="1">
        <v>2.401</v>
      </c>
      <c r="BR1113" s="1">
        <v>0.631</v>
      </c>
      <c r="BS1113" s="1">
        <v>0.388</v>
      </c>
      <c r="BT1113" s="1">
        <v>0.759</v>
      </c>
      <c r="BU1113" s="1">
        <v>0.884</v>
      </c>
      <c r="BV1113" s="1">
        <v>2.031</v>
      </c>
      <c r="BW1113" s="1">
        <v>0.877</v>
      </c>
      <c r="BX1113" s="1">
        <v>0.923</v>
      </c>
      <c r="BY1113" s="1">
        <v>0.0</v>
      </c>
      <c r="BZ1113" s="1">
        <v>0.923</v>
      </c>
      <c r="CA1113" s="1">
        <v>0.485</v>
      </c>
      <c r="CB1113" s="1">
        <v>0.896</v>
      </c>
      <c r="CC1113" s="1">
        <v>0.47</v>
      </c>
      <c r="CD1113" s="1">
        <v>0.0</v>
      </c>
      <c r="CE1113" s="1">
        <v>0.774</v>
      </c>
      <c r="CF1113" s="1">
        <v>0.0</v>
      </c>
      <c r="CG1113" s="1">
        <v>2.14</v>
      </c>
      <c r="CH1113" s="1">
        <v>0.397</v>
      </c>
      <c r="CI1113" s="1">
        <v>7.495</v>
      </c>
      <c r="CJ1113" s="1">
        <v>0.6361</v>
      </c>
      <c r="CK1113" s="1">
        <v>0.0</v>
      </c>
      <c r="CL1113" s="1">
        <v>0.0</v>
      </c>
      <c r="CM1113" s="1">
        <v>0.0</v>
      </c>
      <c r="CN1113" s="1">
        <v>0.0</v>
      </c>
      <c r="CO1113" s="1">
        <v>0.0</v>
      </c>
      <c r="CP1113" s="1">
        <v>0.0</v>
      </c>
      <c r="CQ1113" s="1">
        <v>0.0</v>
      </c>
      <c r="CR1113" s="1">
        <v>0.0</v>
      </c>
      <c r="CS1113" s="1">
        <v>0.0</v>
      </c>
      <c r="CT1113" s="1">
        <v>1.0</v>
      </c>
      <c r="CU1113" s="1">
        <v>0.0</v>
      </c>
      <c r="CV1113" s="1">
        <v>1.0</v>
      </c>
      <c r="CW1113" s="1">
        <v>0.0</v>
      </c>
      <c r="CX1113" s="1">
        <v>0.0</v>
      </c>
      <c r="CY1113" s="1">
        <v>0.0</v>
      </c>
      <c r="CZ1113" s="1">
        <v>0.0</v>
      </c>
      <c r="DA1113" s="1">
        <v>0.0</v>
      </c>
      <c r="DB1113" s="1">
        <v>0.0</v>
      </c>
      <c r="DC1113" s="1">
        <v>1.0</v>
      </c>
      <c r="DD1113" s="1" t="s">
        <v>4973</v>
      </c>
      <c r="DE1113" s="1">
        <v>3.94991090898663E-4</v>
      </c>
      <c r="DF1113" s="2" t="s">
        <v>4974</v>
      </c>
    </row>
    <row r="1114" ht="15.75" customHeight="1">
      <c r="A1114" s="1" t="s">
        <v>4975</v>
      </c>
      <c r="B1114" s="1">
        <v>29.0</v>
      </c>
      <c r="C1114" s="1">
        <v>189.0</v>
      </c>
      <c r="D1114" s="1">
        <v>210704.0</v>
      </c>
      <c r="E1114" s="1">
        <v>0.582</v>
      </c>
      <c r="F1114" s="1">
        <v>29189.0</v>
      </c>
      <c r="G1114" s="1">
        <v>2.9189210704E10</v>
      </c>
      <c r="H1114" s="1" t="s">
        <v>112</v>
      </c>
      <c r="I1114" s="1" t="s">
        <v>113</v>
      </c>
      <c r="J1114" s="1" t="s">
        <v>4566</v>
      </c>
      <c r="K1114" s="1" t="s">
        <v>4976</v>
      </c>
      <c r="L1114" s="1">
        <v>4133.0</v>
      </c>
      <c r="M1114" s="1">
        <v>4774.0</v>
      </c>
      <c r="N1114" s="1">
        <v>577.0</v>
      </c>
      <c r="O1114" s="1">
        <v>1926.0</v>
      </c>
      <c r="P1114" s="1">
        <v>1823.0</v>
      </c>
      <c r="Q1114" s="1">
        <v>109.0</v>
      </c>
      <c r="R1114" s="1">
        <v>1607.0</v>
      </c>
      <c r="S1114" s="1">
        <v>2011.0</v>
      </c>
      <c r="T1114" s="1">
        <v>723.0</v>
      </c>
      <c r="U1114" s="1">
        <v>322.0</v>
      </c>
      <c r="V1114" s="1">
        <v>373.0</v>
      </c>
      <c r="W1114" s="1">
        <v>13037.0</v>
      </c>
      <c r="X1114" s="1">
        <v>2902.0</v>
      </c>
      <c r="Y1114" s="1">
        <v>247.0</v>
      </c>
      <c r="Z1114" s="1">
        <v>347.0</v>
      </c>
      <c r="AA1114" s="1">
        <v>246.0</v>
      </c>
      <c r="AB1114" s="1">
        <v>1454.0</v>
      </c>
      <c r="AC1114" s="1">
        <v>561.0</v>
      </c>
      <c r="AD1114" s="1">
        <v>3843.0</v>
      </c>
      <c r="AE1114" s="1">
        <v>11.0</v>
      </c>
      <c r="AF1114" s="1">
        <v>442.0</v>
      </c>
      <c r="AG1114" s="1">
        <v>205.0</v>
      </c>
      <c r="AH1114" s="1">
        <v>122.0</v>
      </c>
      <c r="AI1114" s="1">
        <v>0.0</v>
      </c>
      <c r="AJ1114" s="1">
        <v>114.0</v>
      </c>
      <c r="AK1114" s="1">
        <v>35.0</v>
      </c>
      <c r="AL1114" s="1">
        <v>123.0</v>
      </c>
      <c r="AM1114" s="1">
        <v>319.0</v>
      </c>
      <c r="AN1114" s="1">
        <v>131.0</v>
      </c>
      <c r="AO1114" s="1">
        <v>0.0</v>
      </c>
      <c r="AP1114" s="1">
        <v>0.42124</v>
      </c>
      <c r="AQ1114" s="1">
        <v>0.142631</v>
      </c>
      <c r="AR1114" s="1">
        <v>0.156007</v>
      </c>
      <c r="AS1114" s="1">
        <v>0.178598</v>
      </c>
      <c r="AT1114" s="1">
        <v>13037.0</v>
      </c>
      <c r="AU1114" s="1">
        <v>2902.0</v>
      </c>
      <c r="AV1114" s="1">
        <v>0.113458</v>
      </c>
      <c r="AW1114" s="1">
        <v>0.158893</v>
      </c>
      <c r="AX1114" s="1">
        <v>0.05952</v>
      </c>
      <c r="AY1114" s="1">
        <v>0.351802</v>
      </c>
      <c r="AZ1114" s="1">
        <v>0.34909769</v>
      </c>
      <c r="BA1114" s="1">
        <v>0.929833</v>
      </c>
      <c r="BB1114" s="1">
        <v>0.002583</v>
      </c>
      <c r="BC1114" s="1">
        <v>0.103828</v>
      </c>
      <c r="BD1114" s="1">
        <v>0.112452</v>
      </c>
      <c r="BE1114" s="1">
        <v>0.066584</v>
      </c>
      <c r="BF1114" s="1">
        <v>0.0</v>
      </c>
      <c r="BG1114" s="1">
        <v>0.062534</v>
      </c>
      <c r="BH1114" s="1">
        <v>0.021367</v>
      </c>
      <c r="BI1114" s="1">
        <v>0.07507</v>
      </c>
      <c r="BJ1114" s="1">
        <v>0.194749</v>
      </c>
      <c r="BK1114" s="1">
        <v>0.078348</v>
      </c>
      <c r="BL1114" s="1">
        <v>0.0</v>
      </c>
      <c r="BM1114" s="1">
        <v>0.969</v>
      </c>
      <c r="BN1114" s="1">
        <v>0.908</v>
      </c>
      <c r="BO1114" s="1">
        <v>0.9365</v>
      </c>
      <c r="BP1114" s="1">
        <v>0.397</v>
      </c>
      <c r="BQ1114" s="1">
        <v>3.2105</v>
      </c>
      <c r="BR1114" s="1">
        <v>0.8542</v>
      </c>
      <c r="BS1114" s="1">
        <v>0.041</v>
      </c>
      <c r="BT1114" s="1">
        <v>0.986</v>
      </c>
      <c r="BU1114" s="1">
        <v>0.989</v>
      </c>
      <c r="BV1114" s="1">
        <v>2.016</v>
      </c>
      <c r="BW1114" s="1">
        <v>0.865</v>
      </c>
      <c r="BX1114" s="1">
        <v>0.949</v>
      </c>
      <c r="BY1114" s="1">
        <v>0.42</v>
      </c>
      <c r="BZ1114" s="1">
        <v>1.369</v>
      </c>
      <c r="CA1114" s="1">
        <v>0.749</v>
      </c>
      <c r="CB1114" s="1">
        <v>0.79</v>
      </c>
      <c r="CC1114" s="1">
        <v>0.0</v>
      </c>
      <c r="CD1114" s="1">
        <v>0.7</v>
      </c>
      <c r="CE1114" s="1">
        <v>0.903</v>
      </c>
      <c r="CF1114" s="1">
        <v>0.0</v>
      </c>
      <c r="CG1114" s="1">
        <v>2.393</v>
      </c>
      <c r="CH1114" s="1">
        <v>0.51</v>
      </c>
      <c r="CI1114" s="1">
        <v>8.9885</v>
      </c>
      <c r="CJ1114" s="1">
        <v>0.8505</v>
      </c>
      <c r="CK1114" s="1">
        <v>1.0</v>
      </c>
      <c r="CL1114" s="1">
        <v>1.0</v>
      </c>
      <c r="CM1114" s="1">
        <v>1.0</v>
      </c>
      <c r="CN1114" s="1">
        <v>0.0</v>
      </c>
      <c r="CO1114" s="1">
        <v>3.0</v>
      </c>
      <c r="CP1114" s="1">
        <v>0.0</v>
      </c>
      <c r="CQ1114" s="1">
        <v>1.0</v>
      </c>
      <c r="CR1114" s="1">
        <v>1.0</v>
      </c>
      <c r="CS1114" s="1">
        <v>2.0</v>
      </c>
      <c r="CT1114" s="1">
        <v>1.0</v>
      </c>
      <c r="CU1114" s="1">
        <v>0.0</v>
      </c>
      <c r="CV1114" s="1">
        <v>1.0</v>
      </c>
      <c r="CW1114" s="1">
        <v>0.0</v>
      </c>
      <c r="CX1114" s="1">
        <v>0.0</v>
      </c>
      <c r="CY1114" s="1">
        <v>0.0</v>
      </c>
      <c r="CZ1114" s="1">
        <v>1.0</v>
      </c>
      <c r="DA1114" s="1">
        <v>0.0</v>
      </c>
      <c r="DB1114" s="1">
        <v>1.0</v>
      </c>
      <c r="DC1114" s="1">
        <v>7.0</v>
      </c>
      <c r="DD1114" s="1" t="s">
        <v>4977</v>
      </c>
      <c r="DE1114" s="1">
        <v>1.57380619548381E-4</v>
      </c>
      <c r="DF1114" s="1">
        <v>0.0545331136819442</v>
      </c>
    </row>
    <row r="1115" ht="15.75" customHeight="1">
      <c r="A1115" s="1" t="s">
        <v>4978</v>
      </c>
      <c r="B1115" s="1">
        <v>29.0</v>
      </c>
      <c r="C1115" s="1">
        <v>189.0</v>
      </c>
      <c r="D1115" s="1">
        <v>210803.0</v>
      </c>
      <c r="E1115" s="1">
        <v>1.587</v>
      </c>
      <c r="F1115" s="1">
        <v>29189.0</v>
      </c>
      <c r="G1115" s="1">
        <v>2.9189210803E10</v>
      </c>
      <c r="H1115" s="1" t="s">
        <v>112</v>
      </c>
      <c r="I1115" s="1" t="s">
        <v>113</v>
      </c>
      <c r="J1115" s="1" t="s">
        <v>4566</v>
      </c>
      <c r="K1115" s="1" t="s">
        <v>4979</v>
      </c>
      <c r="L1115" s="1">
        <v>4881.0</v>
      </c>
      <c r="M1115" s="1">
        <v>4815.0</v>
      </c>
      <c r="N1115" s="1">
        <v>367.0</v>
      </c>
      <c r="O1115" s="1">
        <v>2250.0</v>
      </c>
      <c r="P1115" s="1">
        <v>2312.0</v>
      </c>
      <c r="Q1115" s="1">
        <v>69.0</v>
      </c>
      <c r="R1115" s="1">
        <v>2057.0</v>
      </c>
      <c r="S1115" s="1">
        <v>331.0</v>
      </c>
      <c r="T1115" s="1">
        <v>196.0</v>
      </c>
      <c r="U1115" s="1">
        <v>175.0</v>
      </c>
      <c r="V1115" s="1">
        <v>480.0</v>
      </c>
      <c r="W1115" s="1">
        <v>25894.0</v>
      </c>
      <c r="X1115" s="1">
        <v>3380.0</v>
      </c>
      <c r="Y1115" s="1">
        <v>517.0</v>
      </c>
      <c r="Z1115" s="1">
        <v>262.0</v>
      </c>
      <c r="AA1115" s="1">
        <v>1131.0</v>
      </c>
      <c r="AB1115" s="1">
        <v>991.0</v>
      </c>
      <c r="AC1115" s="1">
        <v>244.0</v>
      </c>
      <c r="AD1115" s="1">
        <v>2915.0</v>
      </c>
      <c r="AE1115" s="1">
        <v>31.0</v>
      </c>
      <c r="AF1115" s="1">
        <v>428.0</v>
      </c>
      <c r="AG1115" s="1">
        <v>90.0</v>
      </c>
      <c r="AH1115" s="1">
        <v>174.0</v>
      </c>
      <c r="AI1115" s="1">
        <v>0.0</v>
      </c>
      <c r="AJ1115" s="1">
        <v>114.0</v>
      </c>
      <c r="AK1115" s="1">
        <v>13.0</v>
      </c>
      <c r="AL1115" s="1">
        <v>116.0</v>
      </c>
      <c r="AM1115" s="1">
        <v>115.0</v>
      </c>
      <c r="AN1115" s="1">
        <v>65.0</v>
      </c>
      <c r="AO1115" s="1">
        <v>159.0</v>
      </c>
      <c r="AP1115" s="1">
        <v>0.072635</v>
      </c>
      <c r="AQ1115" s="1">
        <v>0.042608</v>
      </c>
      <c r="AR1115" s="1">
        <v>0.076653</v>
      </c>
      <c r="AS1115" s="1">
        <v>0.209909</v>
      </c>
      <c r="AT1115" s="1">
        <v>25894.0</v>
      </c>
      <c r="AU1115" s="1">
        <v>3380.0</v>
      </c>
      <c r="AV1115" s="1">
        <v>0.140336</v>
      </c>
      <c r="AW1115" s="1">
        <v>0.070342</v>
      </c>
      <c r="AX1115" s="1">
        <v>0.231714</v>
      </c>
      <c r="AY1115" s="1">
        <v>0.203032</v>
      </c>
      <c r="AZ1115" s="1">
        <v>0.11861934</v>
      </c>
      <c r="BA1115" s="1">
        <v>0.597213</v>
      </c>
      <c r="BB1115" s="1">
        <v>0.006764</v>
      </c>
      <c r="BC1115" s="1">
        <v>0.093387</v>
      </c>
      <c r="BD1115" s="1">
        <v>0.038927</v>
      </c>
      <c r="BE1115" s="1">
        <v>0.07525</v>
      </c>
      <c r="BF1115" s="1">
        <v>0.0</v>
      </c>
      <c r="BG1115" s="1">
        <v>0.049307</v>
      </c>
      <c r="BH1115" s="1">
        <v>0.006262</v>
      </c>
      <c r="BI1115" s="1">
        <v>0.055874</v>
      </c>
      <c r="BJ1115" s="1">
        <v>0.055394</v>
      </c>
      <c r="BK1115" s="1">
        <v>0.031073</v>
      </c>
      <c r="BL1115" s="1">
        <v>0.032575</v>
      </c>
      <c r="BM1115" s="1">
        <v>0.258</v>
      </c>
      <c r="BN1115" s="1">
        <v>0.576</v>
      </c>
      <c r="BO1115" s="1">
        <v>0.3162</v>
      </c>
      <c r="BP1115" s="1">
        <v>0.523</v>
      </c>
      <c r="BQ1115" s="1">
        <v>1.6732</v>
      </c>
      <c r="BR1115" s="1">
        <v>0.3942</v>
      </c>
      <c r="BS1115" s="1">
        <v>0.952</v>
      </c>
      <c r="BT1115" s="1">
        <v>0.2</v>
      </c>
      <c r="BU1115" s="1">
        <v>0.66</v>
      </c>
      <c r="BV1115" s="1">
        <v>1.812</v>
      </c>
      <c r="BW1115" s="1">
        <v>0.729</v>
      </c>
      <c r="BX1115" s="1">
        <v>0.884</v>
      </c>
      <c r="BY1115" s="1">
        <v>0.623</v>
      </c>
      <c r="BZ1115" s="1">
        <v>1.507</v>
      </c>
      <c r="CA1115" s="1">
        <v>0.83</v>
      </c>
      <c r="CB1115" s="1">
        <v>0.605</v>
      </c>
      <c r="CC1115" s="1">
        <v>0.0</v>
      </c>
      <c r="CD1115" s="1">
        <v>0.367</v>
      </c>
      <c r="CE1115" s="1">
        <v>0.533</v>
      </c>
      <c r="CF1115" s="1">
        <v>0.82</v>
      </c>
      <c r="CG1115" s="1">
        <v>2.325</v>
      </c>
      <c r="CH1115" s="1">
        <v>0.469</v>
      </c>
      <c r="CI1115" s="1">
        <v>7.3172</v>
      </c>
      <c r="CJ1115" s="1">
        <v>0.6108</v>
      </c>
      <c r="CK1115" s="1">
        <v>0.0</v>
      </c>
      <c r="CL1115" s="1">
        <v>0.0</v>
      </c>
      <c r="CM1115" s="1">
        <v>0.0</v>
      </c>
      <c r="CN1115" s="1">
        <v>0.0</v>
      </c>
      <c r="CO1115" s="1">
        <v>0.0</v>
      </c>
      <c r="CP1115" s="1">
        <v>1.0</v>
      </c>
      <c r="CQ1115" s="1">
        <v>0.0</v>
      </c>
      <c r="CR1115" s="1">
        <v>0.0</v>
      </c>
      <c r="CS1115" s="1">
        <v>1.0</v>
      </c>
      <c r="CT1115" s="1">
        <v>0.0</v>
      </c>
      <c r="CU1115" s="1">
        <v>0.0</v>
      </c>
      <c r="CV1115" s="1">
        <v>0.0</v>
      </c>
      <c r="CW1115" s="1">
        <v>0.0</v>
      </c>
      <c r="CX1115" s="1">
        <v>0.0</v>
      </c>
      <c r="CY1115" s="1">
        <v>0.0</v>
      </c>
      <c r="CZ1115" s="1">
        <v>0.0</v>
      </c>
      <c r="DA1115" s="1">
        <v>0.0</v>
      </c>
      <c r="DB1115" s="1">
        <v>0.0</v>
      </c>
      <c r="DC1115" s="1">
        <v>1.0</v>
      </c>
      <c r="DD1115" s="1" t="s">
        <v>4980</v>
      </c>
      <c r="DE1115" s="1">
        <v>4.24562491375492E-4</v>
      </c>
      <c r="DF1115" s="1">
        <v>0.0868892387973059</v>
      </c>
    </row>
    <row r="1116" ht="15.75" customHeight="1">
      <c r="A1116" s="1" t="s">
        <v>4981</v>
      </c>
      <c r="B1116" s="1">
        <v>29.0</v>
      </c>
      <c r="C1116" s="1">
        <v>189.0</v>
      </c>
      <c r="D1116" s="1">
        <v>210804.0</v>
      </c>
      <c r="E1116" s="1">
        <v>4.308</v>
      </c>
      <c r="F1116" s="1">
        <v>29189.0</v>
      </c>
      <c r="G1116" s="1">
        <v>2.9189210804E10</v>
      </c>
      <c r="H1116" s="1" t="s">
        <v>112</v>
      </c>
      <c r="I1116" s="1" t="s">
        <v>113</v>
      </c>
      <c r="J1116" s="1" t="s">
        <v>4566</v>
      </c>
      <c r="K1116" s="1" t="s">
        <v>4982</v>
      </c>
      <c r="L1116" s="1">
        <v>9297.0</v>
      </c>
      <c r="M1116" s="1">
        <v>9343.0</v>
      </c>
      <c r="N1116" s="1">
        <v>661.0</v>
      </c>
      <c r="O1116" s="1">
        <v>3736.0</v>
      </c>
      <c r="P1116" s="1">
        <v>3772.0</v>
      </c>
      <c r="Q1116" s="1">
        <v>195.0</v>
      </c>
      <c r="R1116" s="1">
        <v>3496.0</v>
      </c>
      <c r="S1116" s="1">
        <v>471.0</v>
      </c>
      <c r="T1116" s="1">
        <v>233.0</v>
      </c>
      <c r="U1116" s="1">
        <v>529.0</v>
      </c>
      <c r="V1116" s="1">
        <v>355.0</v>
      </c>
      <c r="W1116" s="1">
        <v>26709.0</v>
      </c>
      <c r="X1116" s="1">
        <v>2411.0</v>
      </c>
      <c r="Y1116" s="1">
        <v>499.0</v>
      </c>
      <c r="Z1116" s="1">
        <v>294.0</v>
      </c>
      <c r="AA1116" s="1">
        <v>1436.0</v>
      </c>
      <c r="AB1116" s="1">
        <v>2204.0</v>
      </c>
      <c r="AC1116" s="1">
        <v>539.0</v>
      </c>
      <c r="AD1116" s="1">
        <v>7956.0</v>
      </c>
      <c r="AE1116" s="1">
        <v>78.0</v>
      </c>
      <c r="AF1116" s="1">
        <v>416.0</v>
      </c>
      <c r="AG1116" s="1">
        <v>374.0</v>
      </c>
      <c r="AH1116" s="1">
        <v>167.0</v>
      </c>
      <c r="AI1116" s="1">
        <v>0.0</v>
      </c>
      <c r="AJ1116" s="1">
        <v>114.0</v>
      </c>
      <c r="AK1116" s="1">
        <v>0.0</v>
      </c>
      <c r="AL1116" s="1">
        <v>161.0</v>
      </c>
      <c r="AM1116" s="1">
        <v>172.0</v>
      </c>
      <c r="AN1116" s="1">
        <v>104.0</v>
      </c>
      <c r="AO1116" s="1">
        <v>185.0</v>
      </c>
      <c r="AP1116" s="1">
        <v>0.050968</v>
      </c>
      <c r="AQ1116" s="1">
        <v>0.024941</v>
      </c>
      <c r="AR1116" s="1">
        <v>0.116187</v>
      </c>
      <c r="AS1116" s="1">
        <v>0.077089</v>
      </c>
      <c r="AT1116" s="1">
        <v>26709.0</v>
      </c>
      <c r="AU1116" s="1">
        <v>2411.0</v>
      </c>
      <c r="AV1116" s="1">
        <v>0.081482</v>
      </c>
      <c r="AW1116" s="1">
        <v>0.047634</v>
      </c>
      <c r="AX1116" s="1">
        <v>0.154458</v>
      </c>
      <c r="AY1116" s="1">
        <v>0.237065</v>
      </c>
      <c r="AZ1116" s="1">
        <v>0.1541762</v>
      </c>
      <c r="BA1116" s="1">
        <v>0.855759</v>
      </c>
      <c r="BB1116" s="1">
        <v>0.008647</v>
      </c>
      <c r="BC1116" s="1">
        <v>0.046115</v>
      </c>
      <c r="BD1116" s="1">
        <v>0.099151</v>
      </c>
      <c r="BE1116" s="1">
        <v>0.043975</v>
      </c>
      <c r="BF1116" s="1">
        <v>0.0</v>
      </c>
      <c r="BG1116" s="1">
        <v>0.030222</v>
      </c>
      <c r="BH1116" s="1">
        <v>0.0</v>
      </c>
      <c r="BI1116" s="1">
        <v>0.045803</v>
      </c>
      <c r="BJ1116" s="1">
        <v>0.048933</v>
      </c>
      <c r="BK1116" s="1">
        <v>0.029428</v>
      </c>
      <c r="BL1116" s="1">
        <v>0.019898</v>
      </c>
      <c r="BM1116" s="1">
        <v>0.168</v>
      </c>
      <c r="BN1116" s="1">
        <v>0.807</v>
      </c>
      <c r="BO1116" s="1">
        <v>0.2939</v>
      </c>
      <c r="BP1116" s="1">
        <v>0.253</v>
      </c>
      <c r="BQ1116" s="1">
        <v>1.5219</v>
      </c>
      <c r="BR1116" s="1">
        <v>0.3458</v>
      </c>
      <c r="BS1116" s="1">
        <v>0.612</v>
      </c>
      <c r="BT1116" s="1">
        <v>0.464</v>
      </c>
      <c r="BU1116" s="1">
        <v>0.807</v>
      </c>
      <c r="BV1116" s="1">
        <v>1.883</v>
      </c>
      <c r="BW1116" s="1">
        <v>0.788</v>
      </c>
      <c r="BX1116" s="1">
        <v>0.934</v>
      </c>
      <c r="BY1116" s="1">
        <v>0.684</v>
      </c>
      <c r="BZ1116" s="1">
        <v>1.618</v>
      </c>
      <c r="CA1116" s="1">
        <v>0.879</v>
      </c>
      <c r="CB1116" s="1">
        <v>0.769</v>
      </c>
      <c r="CC1116" s="1">
        <v>0.0</v>
      </c>
      <c r="CD1116" s="1">
        <v>0.0</v>
      </c>
      <c r="CE1116" s="1">
        <v>0.479</v>
      </c>
      <c r="CF1116" s="1">
        <v>0.709</v>
      </c>
      <c r="CG1116" s="1">
        <v>1.957</v>
      </c>
      <c r="CH1116" s="1">
        <v>0.328</v>
      </c>
      <c r="CI1116" s="1">
        <v>6.9799</v>
      </c>
      <c r="CJ1116" s="1">
        <v>0.5408</v>
      </c>
      <c r="CK1116" s="1">
        <v>0.0</v>
      </c>
      <c r="CL1116" s="1">
        <v>0.0</v>
      </c>
      <c r="CM1116" s="1">
        <v>0.0</v>
      </c>
      <c r="CN1116" s="1">
        <v>0.0</v>
      </c>
      <c r="CO1116" s="1">
        <v>0.0</v>
      </c>
      <c r="CP1116" s="1">
        <v>0.0</v>
      </c>
      <c r="CQ1116" s="1">
        <v>0.0</v>
      </c>
      <c r="CR1116" s="1">
        <v>0.0</v>
      </c>
      <c r="CS1116" s="1">
        <v>0.0</v>
      </c>
      <c r="CT1116" s="1">
        <v>1.0</v>
      </c>
      <c r="CU1116" s="1">
        <v>0.0</v>
      </c>
      <c r="CV1116" s="1">
        <v>1.0</v>
      </c>
      <c r="CW1116" s="1">
        <v>0.0</v>
      </c>
      <c r="CX1116" s="1">
        <v>0.0</v>
      </c>
      <c r="CY1116" s="1">
        <v>0.0</v>
      </c>
      <c r="CZ1116" s="1">
        <v>0.0</v>
      </c>
      <c r="DA1116" s="1">
        <v>0.0</v>
      </c>
      <c r="DB1116" s="1">
        <v>0.0</v>
      </c>
      <c r="DC1116" s="1">
        <v>1.0</v>
      </c>
      <c r="DD1116" s="1" t="s">
        <v>4983</v>
      </c>
      <c r="DE1116" s="1">
        <v>0.00116424935119112</v>
      </c>
      <c r="DF1116" s="2" t="s">
        <v>4984</v>
      </c>
    </row>
    <row r="1117" ht="15.75" customHeight="1">
      <c r="A1117" s="1" t="s">
        <v>4985</v>
      </c>
      <c r="B1117" s="1">
        <v>29.0</v>
      </c>
      <c r="C1117" s="1">
        <v>189.0</v>
      </c>
      <c r="D1117" s="1">
        <v>210805.0</v>
      </c>
      <c r="E1117" s="1">
        <v>1.918</v>
      </c>
      <c r="F1117" s="1">
        <v>29189.0</v>
      </c>
      <c r="G1117" s="1">
        <v>2.9189210805E10</v>
      </c>
      <c r="H1117" s="1" t="s">
        <v>112</v>
      </c>
      <c r="I1117" s="1" t="s">
        <v>113</v>
      </c>
      <c r="J1117" s="1" t="s">
        <v>4566</v>
      </c>
      <c r="K1117" s="1" t="s">
        <v>4986</v>
      </c>
      <c r="L1117" s="1">
        <v>6364.0</v>
      </c>
      <c r="M1117" s="1">
        <v>5770.0</v>
      </c>
      <c r="N1117" s="1">
        <v>523.0</v>
      </c>
      <c r="O1117" s="1">
        <v>2767.0</v>
      </c>
      <c r="P1117" s="1">
        <v>2782.0</v>
      </c>
      <c r="Q1117" s="1">
        <v>94.0</v>
      </c>
      <c r="R1117" s="1">
        <v>2499.0</v>
      </c>
      <c r="S1117" s="1">
        <v>432.0</v>
      </c>
      <c r="T1117" s="1">
        <v>248.0</v>
      </c>
      <c r="U1117" s="1">
        <v>274.0</v>
      </c>
      <c r="V1117" s="1">
        <v>361.0</v>
      </c>
      <c r="W1117" s="1">
        <v>23938.0</v>
      </c>
      <c r="X1117" s="1">
        <v>2235.0</v>
      </c>
      <c r="Y1117" s="1">
        <v>358.0</v>
      </c>
      <c r="Z1117" s="1">
        <v>355.0</v>
      </c>
      <c r="AA1117" s="1">
        <v>1071.0</v>
      </c>
      <c r="AB1117" s="1">
        <v>1392.0</v>
      </c>
      <c r="AC1117" s="1">
        <v>447.0</v>
      </c>
      <c r="AD1117" s="1">
        <v>5415.0</v>
      </c>
      <c r="AE1117" s="1">
        <v>83.0</v>
      </c>
      <c r="AF1117" s="1">
        <v>418.0</v>
      </c>
      <c r="AG1117" s="1">
        <v>425.0</v>
      </c>
      <c r="AH1117" s="1">
        <v>137.0</v>
      </c>
      <c r="AI1117" s="1">
        <v>14.0</v>
      </c>
      <c r="AJ1117" s="1">
        <v>22.0</v>
      </c>
      <c r="AK1117" s="1">
        <v>20.0</v>
      </c>
      <c r="AL1117" s="1">
        <v>118.0</v>
      </c>
      <c r="AM1117" s="1">
        <v>152.0</v>
      </c>
      <c r="AN1117" s="1">
        <v>75.0</v>
      </c>
      <c r="AO1117" s="1">
        <v>231.0</v>
      </c>
      <c r="AP1117" s="1">
        <v>0.075909</v>
      </c>
      <c r="AQ1117" s="1">
        <v>0.043013</v>
      </c>
      <c r="AR1117" s="1">
        <v>0.091608</v>
      </c>
      <c r="AS1117" s="1">
        <v>0.120124</v>
      </c>
      <c r="AT1117" s="1">
        <v>23938.0</v>
      </c>
      <c r="AU1117" s="1">
        <v>2235.0</v>
      </c>
      <c r="AV1117" s="1">
        <v>0.084175</v>
      </c>
      <c r="AW1117" s="1">
        <v>0.083193</v>
      </c>
      <c r="AX1117" s="1">
        <v>0.16829</v>
      </c>
      <c r="AY1117" s="1">
        <v>0.21873</v>
      </c>
      <c r="AZ1117" s="1">
        <v>0.17887154</v>
      </c>
      <c r="BA1117" s="1">
        <v>0.850879</v>
      </c>
      <c r="BB1117" s="1">
        <v>0.015274</v>
      </c>
      <c r="BC1117" s="1">
        <v>0.076911</v>
      </c>
      <c r="BD1117" s="1">
        <v>0.152767</v>
      </c>
      <c r="BE1117" s="1">
        <v>0.048973</v>
      </c>
      <c r="BF1117" s="1">
        <v>0.005032</v>
      </c>
      <c r="BG1117" s="1">
        <v>0.007906</v>
      </c>
      <c r="BH1117" s="1">
        <v>0.00787</v>
      </c>
      <c r="BI1117" s="1">
        <v>0.046435</v>
      </c>
      <c r="BJ1117" s="1">
        <v>0.059818</v>
      </c>
      <c r="BK1117" s="1">
        <v>0.029268</v>
      </c>
      <c r="BL1117" s="1">
        <v>0.036297</v>
      </c>
      <c r="BM1117" s="1">
        <v>0.271</v>
      </c>
      <c r="BN1117" s="1">
        <v>0.688</v>
      </c>
      <c r="BO1117" s="1">
        <v>0.4</v>
      </c>
      <c r="BP1117" s="1">
        <v>0.263</v>
      </c>
      <c r="BQ1117" s="1">
        <v>1.622</v>
      </c>
      <c r="BR1117" s="1">
        <v>0.3791</v>
      </c>
      <c r="BS1117" s="1">
        <v>0.723</v>
      </c>
      <c r="BT1117" s="1">
        <v>0.295</v>
      </c>
      <c r="BU1117" s="1">
        <v>0.862</v>
      </c>
      <c r="BV1117" s="1">
        <v>1.88</v>
      </c>
      <c r="BW1117" s="1">
        <v>0.786</v>
      </c>
      <c r="BX1117" s="1">
        <v>0.932</v>
      </c>
      <c r="BY1117" s="1">
        <v>0.813</v>
      </c>
      <c r="BZ1117" s="1">
        <v>1.745</v>
      </c>
      <c r="CA1117" s="1">
        <v>0.942</v>
      </c>
      <c r="CB1117" s="1">
        <v>0.842</v>
      </c>
      <c r="CC1117" s="1">
        <v>0.396</v>
      </c>
      <c r="CD1117" s="1">
        <v>0.433</v>
      </c>
      <c r="CE1117" s="1">
        <v>0.567</v>
      </c>
      <c r="CF1117" s="1">
        <v>0.85</v>
      </c>
      <c r="CG1117" s="1">
        <v>3.088</v>
      </c>
      <c r="CH1117" s="1">
        <v>0.812</v>
      </c>
      <c r="CI1117" s="1">
        <v>8.335</v>
      </c>
      <c r="CJ1117" s="1">
        <v>0.7646</v>
      </c>
      <c r="CK1117" s="1">
        <v>0.0</v>
      </c>
      <c r="CL1117" s="1">
        <v>0.0</v>
      </c>
      <c r="CM1117" s="1">
        <v>0.0</v>
      </c>
      <c r="CN1117" s="1">
        <v>0.0</v>
      </c>
      <c r="CO1117" s="1">
        <v>0.0</v>
      </c>
      <c r="CP1117" s="1">
        <v>0.0</v>
      </c>
      <c r="CQ1117" s="1">
        <v>0.0</v>
      </c>
      <c r="CR1117" s="1">
        <v>0.0</v>
      </c>
      <c r="CS1117" s="1">
        <v>0.0</v>
      </c>
      <c r="CT1117" s="1">
        <v>1.0</v>
      </c>
      <c r="CU1117" s="1">
        <v>0.0</v>
      </c>
      <c r="CV1117" s="1">
        <v>1.0</v>
      </c>
      <c r="CW1117" s="1">
        <v>0.0</v>
      </c>
      <c r="CX1117" s="1">
        <v>0.0</v>
      </c>
      <c r="CY1117" s="1">
        <v>0.0</v>
      </c>
      <c r="CZ1117" s="1">
        <v>0.0</v>
      </c>
      <c r="DA1117" s="1">
        <v>0.0</v>
      </c>
      <c r="DB1117" s="1">
        <v>0.0</v>
      </c>
      <c r="DC1117" s="1">
        <v>1.0</v>
      </c>
      <c r="DD1117" s="1" t="s">
        <v>4987</v>
      </c>
      <c r="DE1117" s="1">
        <v>5.14843893600362E-4</v>
      </c>
      <c r="DF1117" s="2" t="s">
        <v>4988</v>
      </c>
    </row>
    <row r="1118" ht="15.75" customHeight="1">
      <c r="A1118" s="1" t="s">
        <v>4989</v>
      </c>
      <c r="B1118" s="1">
        <v>29.0</v>
      </c>
      <c r="C1118" s="1">
        <v>189.0</v>
      </c>
      <c r="D1118" s="1">
        <v>210806.0</v>
      </c>
      <c r="E1118" s="1">
        <v>1.951</v>
      </c>
      <c r="F1118" s="1">
        <v>29189.0</v>
      </c>
      <c r="G1118" s="1">
        <v>2.9189210806E10</v>
      </c>
      <c r="H1118" s="1" t="s">
        <v>112</v>
      </c>
      <c r="I1118" s="1" t="s">
        <v>113</v>
      </c>
      <c r="J1118" s="1" t="s">
        <v>4566</v>
      </c>
      <c r="K1118" s="1" t="s">
        <v>4990</v>
      </c>
      <c r="L1118" s="1">
        <v>6004.0</v>
      </c>
      <c r="M1118" s="1">
        <v>6801.0</v>
      </c>
      <c r="N1118" s="1">
        <v>432.0</v>
      </c>
      <c r="O1118" s="1">
        <v>2471.0</v>
      </c>
      <c r="P1118" s="1">
        <v>2552.0</v>
      </c>
      <c r="Q1118" s="1">
        <v>108.0</v>
      </c>
      <c r="R1118" s="1">
        <v>2231.0</v>
      </c>
      <c r="S1118" s="1">
        <v>908.0</v>
      </c>
      <c r="T1118" s="1">
        <v>445.0</v>
      </c>
      <c r="U1118" s="1">
        <v>443.0</v>
      </c>
      <c r="V1118" s="1">
        <v>358.0</v>
      </c>
      <c r="W1118" s="1">
        <v>22205.0</v>
      </c>
      <c r="X1118" s="1">
        <v>2105.0</v>
      </c>
      <c r="Y1118" s="1">
        <v>287.0</v>
      </c>
      <c r="Z1118" s="1">
        <v>341.0</v>
      </c>
      <c r="AA1118" s="1">
        <v>801.0</v>
      </c>
      <c r="AB1118" s="1">
        <v>1466.0</v>
      </c>
      <c r="AC1118" s="1">
        <v>427.0</v>
      </c>
      <c r="AD1118" s="1">
        <v>5424.0</v>
      </c>
      <c r="AE1118" s="1">
        <v>0.0</v>
      </c>
      <c r="AF1118" s="1">
        <v>456.0</v>
      </c>
      <c r="AG1118" s="1">
        <v>197.0</v>
      </c>
      <c r="AH1118" s="1">
        <v>148.0</v>
      </c>
      <c r="AI1118" s="1">
        <v>0.0</v>
      </c>
      <c r="AJ1118" s="1">
        <v>114.0</v>
      </c>
      <c r="AK1118" s="1">
        <v>0.0</v>
      </c>
      <c r="AL1118" s="1">
        <v>161.0</v>
      </c>
      <c r="AM1118" s="1">
        <v>9.0</v>
      </c>
      <c r="AN1118" s="1">
        <v>115.0</v>
      </c>
      <c r="AO1118" s="1">
        <v>6.0</v>
      </c>
      <c r="AP1118" s="1">
        <v>0.135058</v>
      </c>
      <c r="AQ1118" s="1">
        <v>0.065603</v>
      </c>
      <c r="AR1118" s="1">
        <v>0.122918</v>
      </c>
      <c r="AS1118" s="1">
        <v>0.098444</v>
      </c>
      <c r="AT1118" s="1">
        <v>22205.0</v>
      </c>
      <c r="AU1118" s="1">
        <v>2105.0</v>
      </c>
      <c r="AV1118" s="1">
        <v>0.070498</v>
      </c>
      <c r="AW1118" s="1">
        <v>0.083622</v>
      </c>
      <c r="AX1118" s="1">
        <v>0.133411</v>
      </c>
      <c r="AY1118" s="1">
        <v>0.24417</v>
      </c>
      <c r="AZ1118" s="1">
        <v>0.19139399</v>
      </c>
      <c r="BA1118" s="1">
        <v>0.903397</v>
      </c>
      <c r="BB1118" s="1">
        <v>0.0</v>
      </c>
      <c r="BC1118" s="1">
        <v>0.07145</v>
      </c>
      <c r="BD1118" s="1">
        <v>0.077194</v>
      </c>
      <c r="BE1118" s="1">
        <v>0.057901</v>
      </c>
      <c r="BF1118" s="1">
        <v>0.0</v>
      </c>
      <c r="BG1118" s="1">
        <v>0.04467</v>
      </c>
      <c r="BH1118" s="1">
        <v>0.0</v>
      </c>
      <c r="BI1118" s="1">
        <v>0.06558</v>
      </c>
      <c r="BJ1118" s="1">
        <v>0.003665</v>
      </c>
      <c r="BK1118" s="1">
        <v>0.046842</v>
      </c>
      <c r="BL1118" s="1">
        <v>9.99E-4</v>
      </c>
      <c r="BM1118" s="1">
        <v>0.519</v>
      </c>
      <c r="BN1118" s="1">
        <v>0.833</v>
      </c>
      <c r="BO1118" s="1">
        <v>0.4859</v>
      </c>
      <c r="BP1118" s="1">
        <v>0.202</v>
      </c>
      <c r="BQ1118" s="1">
        <v>2.0399</v>
      </c>
      <c r="BR1118" s="1">
        <v>0.5119</v>
      </c>
      <c r="BS1118" s="1">
        <v>0.444</v>
      </c>
      <c r="BT1118" s="1">
        <v>0.535</v>
      </c>
      <c r="BU1118" s="1">
        <v>0.889</v>
      </c>
      <c r="BV1118" s="1">
        <v>1.868</v>
      </c>
      <c r="BW1118" s="1">
        <v>0.779</v>
      </c>
      <c r="BX1118" s="1">
        <v>0.943</v>
      </c>
      <c r="BY1118" s="1">
        <v>0.0</v>
      </c>
      <c r="BZ1118" s="1">
        <v>0.943</v>
      </c>
      <c r="CA1118" s="1">
        <v>0.504</v>
      </c>
      <c r="CB1118" s="1">
        <v>0.726</v>
      </c>
      <c r="CC1118" s="1">
        <v>0.0</v>
      </c>
      <c r="CD1118" s="1">
        <v>0.0</v>
      </c>
      <c r="CE1118" s="1">
        <v>0.038</v>
      </c>
      <c r="CF1118" s="1">
        <v>0.397</v>
      </c>
      <c r="CG1118" s="1">
        <v>1.161</v>
      </c>
      <c r="CH1118" s="1">
        <v>0.102</v>
      </c>
      <c r="CI1118" s="1">
        <v>6.0119</v>
      </c>
      <c r="CJ1118" s="1">
        <v>0.3733</v>
      </c>
      <c r="CK1118" s="1">
        <v>0.0</v>
      </c>
      <c r="CL1118" s="1">
        <v>0.0</v>
      </c>
      <c r="CM1118" s="1">
        <v>0.0</v>
      </c>
      <c r="CN1118" s="1">
        <v>0.0</v>
      </c>
      <c r="CO1118" s="1">
        <v>0.0</v>
      </c>
      <c r="CP1118" s="1">
        <v>0.0</v>
      </c>
      <c r="CQ1118" s="1">
        <v>0.0</v>
      </c>
      <c r="CR1118" s="1">
        <v>0.0</v>
      </c>
      <c r="CS1118" s="1">
        <v>0.0</v>
      </c>
      <c r="CT1118" s="1">
        <v>1.0</v>
      </c>
      <c r="CU1118" s="1">
        <v>0.0</v>
      </c>
      <c r="CV1118" s="1">
        <v>1.0</v>
      </c>
      <c r="CW1118" s="1">
        <v>0.0</v>
      </c>
      <c r="CX1118" s="1">
        <v>0.0</v>
      </c>
      <c r="CY1118" s="1">
        <v>0.0</v>
      </c>
      <c r="CZ1118" s="1">
        <v>0.0</v>
      </c>
      <c r="DA1118" s="1">
        <v>0.0</v>
      </c>
      <c r="DB1118" s="1">
        <v>0.0</v>
      </c>
      <c r="DC1118" s="1">
        <v>1.0</v>
      </c>
      <c r="DD1118" s="1" t="s">
        <v>4991</v>
      </c>
      <c r="DE1118" s="1">
        <v>5.2370959434839E-4</v>
      </c>
      <c r="DF1118" s="1">
        <v>0.0999078645565975</v>
      </c>
    </row>
    <row r="1119" ht="15.75" customHeight="1">
      <c r="A1119" s="1" t="s">
        <v>4992</v>
      </c>
      <c r="B1119" s="1">
        <v>29.0</v>
      </c>
      <c r="C1119" s="1">
        <v>189.0</v>
      </c>
      <c r="D1119" s="1">
        <v>210912.0</v>
      </c>
      <c r="E1119" s="1">
        <v>7.037</v>
      </c>
      <c r="F1119" s="1">
        <v>29189.0</v>
      </c>
      <c r="G1119" s="1">
        <v>2.9189210912E10</v>
      </c>
      <c r="H1119" s="1" t="s">
        <v>112</v>
      </c>
      <c r="I1119" s="1" t="s">
        <v>113</v>
      </c>
      <c r="J1119" s="1" t="s">
        <v>4566</v>
      </c>
      <c r="K1119" s="1" t="s">
        <v>4993</v>
      </c>
      <c r="L1119" s="1">
        <v>7022.0</v>
      </c>
      <c r="M1119" s="1">
        <v>7853.0</v>
      </c>
      <c r="N1119" s="1">
        <v>415.0</v>
      </c>
      <c r="O1119" s="1">
        <v>2812.0</v>
      </c>
      <c r="P1119" s="1">
        <v>3017.0</v>
      </c>
      <c r="Q1119" s="1">
        <v>99.0</v>
      </c>
      <c r="R1119" s="1">
        <v>2681.0</v>
      </c>
      <c r="S1119" s="1">
        <v>399.0</v>
      </c>
      <c r="T1119" s="1">
        <v>231.0</v>
      </c>
      <c r="U1119" s="1">
        <v>361.0</v>
      </c>
      <c r="V1119" s="1">
        <v>417.0</v>
      </c>
      <c r="W1119" s="1">
        <v>29017.0</v>
      </c>
      <c r="X1119" s="1">
        <v>3326.0</v>
      </c>
      <c r="Y1119" s="1">
        <v>310.0</v>
      </c>
      <c r="Z1119" s="1">
        <v>319.0</v>
      </c>
      <c r="AA1119" s="1">
        <v>1086.0</v>
      </c>
      <c r="AB1119" s="1">
        <v>1558.0</v>
      </c>
      <c r="AC1119" s="1">
        <v>252.0</v>
      </c>
      <c r="AD1119" s="1">
        <v>3714.0</v>
      </c>
      <c r="AE1119" s="1">
        <v>87.0</v>
      </c>
      <c r="AF1119" s="1">
        <v>438.0</v>
      </c>
      <c r="AG1119" s="1">
        <v>136.0</v>
      </c>
      <c r="AH1119" s="1">
        <v>116.0</v>
      </c>
      <c r="AI1119" s="1">
        <v>54.0</v>
      </c>
      <c r="AJ1119" s="1">
        <v>78.0</v>
      </c>
      <c r="AK1119" s="1">
        <v>0.0</v>
      </c>
      <c r="AL1119" s="1">
        <v>161.0</v>
      </c>
      <c r="AM1119" s="1">
        <v>69.0</v>
      </c>
      <c r="AN1119" s="1">
        <v>80.0</v>
      </c>
      <c r="AO1119" s="1">
        <v>17.0</v>
      </c>
      <c r="AP1119" s="1">
        <v>0.051068</v>
      </c>
      <c r="AQ1119" s="1">
        <v>0.029446</v>
      </c>
      <c r="AR1119" s="1">
        <v>0.087345</v>
      </c>
      <c r="AS1119" s="1">
        <v>0.100481</v>
      </c>
      <c r="AT1119" s="1">
        <v>29017.0</v>
      </c>
      <c r="AU1119" s="1">
        <v>3326.0</v>
      </c>
      <c r="AV1119" s="1">
        <v>0.059787</v>
      </c>
      <c r="AW1119" s="1">
        <v>0.061409</v>
      </c>
      <c r="AX1119" s="1">
        <v>0.154656</v>
      </c>
      <c r="AY1119" s="1">
        <v>0.221874</v>
      </c>
      <c r="AZ1119" s="1">
        <v>0.09399477</v>
      </c>
      <c r="BA1119" s="1">
        <v>0.528909</v>
      </c>
      <c r="BB1119" s="1">
        <v>0.011631</v>
      </c>
      <c r="BC1119" s="1">
        <v>0.058552</v>
      </c>
      <c r="BD1119" s="1">
        <v>0.045077</v>
      </c>
      <c r="BE1119" s="1">
        <v>0.03842</v>
      </c>
      <c r="BF1119" s="1">
        <v>0.017898</v>
      </c>
      <c r="BG1119" s="1">
        <v>0.025846</v>
      </c>
      <c r="BH1119" s="1">
        <v>0.0</v>
      </c>
      <c r="BI1119" s="1">
        <v>0.054687</v>
      </c>
      <c r="BJ1119" s="1">
        <v>0.023437</v>
      </c>
      <c r="BK1119" s="1">
        <v>0.027158</v>
      </c>
      <c r="BL1119" s="1">
        <v>0.00242</v>
      </c>
      <c r="BM1119" s="1">
        <v>0.169</v>
      </c>
      <c r="BN1119" s="1">
        <v>0.661</v>
      </c>
      <c r="BO1119" s="1">
        <v>0.2209</v>
      </c>
      <c r="BP1119" s="1">
        <v>0.167</v>
      </c>
      <c r="BQ1119" s="1">
        <v>1.2179</v>
      </c>
      <c r="BR1119" s="1">
        <v>0.2606</v>
      </c>
      <c r="BS1119" s="1">
        <v>0.616</v>
      </c>
      <c r="BT1119" s="1">
        <v>0.315</v>
      </c>
      <c r="BU1119" s="1">
        <v>0.44</v>
      </c>
      <c r="BV1119" s="1">
        <v>1.371</v>
      </c>
      <c r="BW1119" s="1">
        <v>0.367</v>
      </c>
      <c r="BX1119" s="1">
        <v>0.869</v>
      </c>
      <c r="BY1119" s="1">
        <v>0.76</v>
      </c>
      <c r="BZ1119" s="1">
        <v>1.629</v>
      </c>
      <c r="CA1119" s="1">
        <v>0.883</v>
      </c>
      <c r="CB1119" s="1">
        <v>0.63</v>
      </c>
      <c r="CC1119" s="1">
        <v>0.501</v>
      </c>
      <c r="CD1119" s="1">
        <v>0.0</v>
      </c>
      <c r="CE1119" s="1">
        <v>0.223</v>
      </c>
      <c r="CF1119" s="1">
        <v>0.457</v>
      </c>
      <c r="CG1119" s="1">
        <v>1.811</v>
      </c>
      <c r="CH1119" s="1">
        <v>0.271</v>
      </c>
      <c r="CI1119" s="1">
        <v>6.0289</v>
      </c>
      <c r="CJ1119" s="1">
        <v>0.3755</v>
      </c>
      <c r="CK1119" s="1">
        <v>0.0</v>
      </c>
      <c r="CL1119" s="1">
        <v>0.0</v>
      </c>
      <c r="CM1119" s="1">
        <v>0.0</v>
      </c>
      <c r="CN1119" s="1">
        <v>0.0</v>
      </c>
      <c r="CO1119" s="1">
        <v>0.0</v>
      </c>
      <c r="CP1119" s="1">
        <v>0.0</v>
      </c>
      <c r="CQ1119" s="1">
        <v>0.0</v>
      </c>
      <c r="CR1119" s="1">
        <v>0.0</v>
      </c>
      <c r="CS1119" s="1">
        <v>0.0</v>
      </c>
      <c r="CT1119" s="1">
        <v>0.0</v>
      </c>
      <c r="CU1119" s="1">
        <v>0.0</v>
      </c>
      <c r="CV1119" s="1">
        <v>0.0</v>
      </c>
      <c r="CW1119" s="1">
        <v>0.0</v>
      </c>
      <c r="CX1119" s="1">
        <v>0.0</v>
      </c>
      <c r="CY1119" s="1">
        <v>0.0</v>
      </c>
      <c r="CZ1119" s="1">
        <v>0.0</v>
      </c>
      <c r="DA1119" s="1">
        <v>0.0</v>
      </c>
      <c r="DB1119" s="1">
        <v>0.0</v>
      </c>
      <c r="DC1119" s="1">
        <v>0.0</v>
      </c>
      <c r="DD1119" s="1" t="s">
        <v>4994</v>
      </c>
      <c r="DE1119" s="1">
        <v>0.0019672235718264</v>
      </c>
      <c r="DF1119" s="2" t="s">
        <v>4995</v>
      </c>
    </row>
    <row r="1120" ht="15.75" customHeight="1">
      <c r="A1120" s="1" t="s">
        <v>4996</v>
      </c>
      <c r="B1120" s="1">
        <v>29.0</v>
      </c>
      <c r="C1120" s="1">
        <v>189.0</v>
      </c>
      <c r="D1120" s="1">
        <v>210923.0</v>
      </c>
      <c r="E1120" s="1">
        <v>0.911</v>
      </c>
      <c r="F1120" s="1">
        <v>29189.0</v>
      </c>
      <c r="G1120" s="1">
        <v>2.9189210923E10</v>
      </c>
      <c r="H1120" s="1" t="s">
        <v>112</v>
      </c>
      <c r="I1120" s="1" t="s">
        <v>113</v>
      </c>
      <c r="J1120" s="1" t="s">
        <v>4566</v>
      </c>
      <c r="K1120" s="1" t="s">
        <v>4997</v>
      </c>
      <c r="L1120" s="1">
        <v>5300.0</v>
      </c>
      <c r="M1120" s="1">
        <v>5809.0</v>
      </c>
      <c r="N1120" s="1">
        <v>499.0</v>
      </c>
      <c r="O1120" s="1">
        <v>2039.0</v>
      </c>
      <c r="P1120" s="1">
        <v>2047.0</v>
      </c>
      <c r="Q1120" s="1">
        <v>51.0</v>
      </c>
      <c r="R1120" s="1">
        <v>1934.0</v>
      </c>
      <c r="S1120" s="1">
        <v>276.0</v>
      </c>
      <c r="T1120" s="1">
        <v>191.0</v>
      </c>
      <c r="U1120" s="1">
        <v>262.0</v>
      </c>
      <c r="V1120" s="1">
        <v>381.0</v>
      </c>
      <c r="W1120" s="1">
        <v>19661.0</v>
      </c>
      <c r="X1120" s="1">
        <v>2089.0</v>
      </c>
      <c r="Y1120" s="1">
        <v>282.0</v>
      </c>
      <c r="Z1120" s="1">
        <v>317.0</v>
      </c>
      <c r="AA1120" s="1">
        <v>668.0</v>
      </c>
      <c r="AB1120" s="1">
        <v>1405.0</v>
      </c>
      <c r="AC1120" s="1">
        <v>271.0</v>
      </c>
      <c r="AD1120" s="1">
        <v>1855.0</v>
      </c>
      <c r="AE1120" s="1">
        <v>45.0</v>
      </c>
      <c r="AF1120" s="1">
        <v>429.0</v>
      </c>
      <c r="AG1120" s="1">
        <v>0.0</v>
      </c>
      <c r="AH1120" s="1">
        <v>197.0</v>
      </c>
      <c r="AI1120" s="1">
        <v>0.0</v>
      </c>
      <c r="AJ1120" s="1">
        <v>114.0</v>
      </c>
      <c r="AK1120" s="1">
        <v>94.0</v>
      </c>
      <c r="AL1120" s="1">
        <v>151.0</v>
      </c>
      <c r="AM1120" s="1">
        <v>66.0</v>
      </c>
      <c r="AN1120" s="1">
        <v>54.0</v>
      </c>
      <c r="AO1120" s="1">
        <v>82.0</v>
      </c>
      <c r="AP1120" s="1">
        <v>0.047512</v>
      </c>
      <c r="AQ1120" s="1">
        <v>0.032625</v>
      </c>
      <c r="AR1120" s="1">
        <v>0.092481</v>
      </c>
      <c r="AS1120" s="1">
        <v>0.134048</v>
      </c>
      <c r="AT1120" s="1">
        <v>19661.0</v>
      </c>
      <c r="AU1120" s="1">
        <v>2089.0</v>
      </c>
      <c r="AV1120" s="1">
        <v>0.079391</v>
      </c>
      <c r="AW1120" s="1">
        <v>0.089172</v>
      </c>
      <c r="AX1120" s="1">
        <v>0.126037</v>
      </c>
      <c r="AY1120" s="1">
        <v>0.265094</v>
      </c>
      <c r="AZ1120" s="1">
        <v>0.14012409</v>
      </c>
      <c r="BA1120" s="1">
        <v>0.35</v>
      </c>
      <c r="BB1120" s="1">
        <v>0.008354</v>
      </c>
      <c r="BC1120" s="1">
        <v>0.079648</v>
      </c>
      <c r="BD1120" s="1">
        <v>0.0</v>
      </c>
      <c r="BE1120" s="1">
        <v>0.096238</v>
      </c>
      <c r="BF1120" s="1">
        <v>0.0</v>
      </c>
      <c r="BG1120" s="1">
        <v>0.055691</v>
      </c>
      <c r="BH1120" s="1">
        <v>0.04665</v>
      </c>
      <c r="BI1120" s="1">
        <v>0.074922</v>
      </c>
      <c r="BJ1120" s="1">
        <v>0.032754</v>
      </c>
      <c r="BK1120" s="1">
        <v>0.026777</v>
      </c>
      <c r="BL1120" s="1">
        <v>0.015471</v>
      </c>
      <c r="BM1120" s="1">
        <v>0.156</v>
      </c>
      <c r="BN1120" s="1">
        <v>0.692</v>
      </c>
      <c r="BO1120" s="1">
        <v>0.6354</v>
      </c>
      <c r="BP1120" s="1">
        <v>0.243</v>
      </c>
      <c r="BQ1120" s="1">
        <v>1.7264</v>
      </c>
      <c r="BR1120" s="1">
        <v>0.4101</v>
      </c>
      <c r="BS1120" s="1">
        <v>0.389</v>
      </c>
      <c r="BT1120" s="1">
        <v>0.753</v>
      </c>
      <c r="BU1120" s="1">
        <v>0.756</v>
      </c>
      <c r="BV1120" s="1">
        <v>1.898</v>
      </c>
      <c r="BW1120" s="1">
        <v>0.8</v>
      </c>
      <c r="BX1120" s="1">
        <v>0.817</v>
      </c>
      <c r="BY1120" s="1">
        <v>0.677</v>
      </c>
      <c r="BZ1120" s="1">
        <v>1.494</v>
      </c>
      <c r="CA1120" s="1">
        <v>0.82</v>
      </c>
      <c r="CB1120" s="1">
        <v>0.0</v>
      </c>
      <c r="CC1120" s="1">
        <v>0.0</v>
      </c>
      <c r="CD1120" s="1">
        <v>0.923</v>
      </c>
      <c r="CE1120" s="1">
        <v>0.31</v>
      </c>
      <c r="CF1120" s="1">
        <v>0.653</v>
      </c>
      <c r="CG1120" s="1">
        <v>1.886</v>
      </c>
      <c r="CH1120" s="1">
        <v>0.297</v>
      </c>
      <c r="CI1120" s="1">
        <v>7.0044</v>
      </c>
      <c r="CJ1120" s="1">
        <v>0.5458</v>
      </c>
      <c r="CK1120" s="1">
        <v>0.0</v>
      </c>
      <c r="CL1120" s="1">
        <v>0.0</v>
      </c>
      <c r="CM1120" s="1">
        <v>0.0</v>
      </c>
      <c r="CN1120" s="1">
        <v>0.0</v>
      </c>
      <c r="CO1120" s="1">
        <v>0.0</v>
      </c>
      <c r="CP1120" s="1">
        <v>0.0</v>
      </c>
      <c r="CQ1120" s="1">
        <v>0.0</v>
      </c>
      <c r="CR1120" s="1">
        <v>0.0</v>
      </c>
      <c r="CS1120" s="1">
        <v>0.0</v>
      </c>
      <c r="CT1120" s="1">
        <v>0.0</v>
      </c>
      <c r="CU1120" s="1">
        <v>0.0</v>
      </c>
      <c r="CV1120" s="1">
        <v>0.0</v>
      </c>
      <c r="CW1120" s="1">
        <v>0.0</v>
      </c>
      <c r="CX1120" s="1">
        <v>0.0</v>
      </c>
      <c r="CY1120" s="1">
        <v>1.0</v>
      </c>
      <c r="CZ1120" s="1">
        <v>0.0</v>
      </c>
      <c r="DA1120" s="1">
        <v>0.0</v>
      </c>
      <c r="DB1120" s="1">
        <v>1.0</v>
      </c>
      <c r="DC1120" s="1">
        <v>1.0</v>
      </c>
      <c r="DD1120" s="1" t="s">
        <v>4998</v>
      </c>
      <c r="DE1120" s="1">
        <v>2.46067554234866E-4</v>
      </c>
      <c r="DF1120" s="1">
        <v>0.0644939738011035</v>
      </c>
    </row>
    <row r="1121" ht="15.75" customHeight="1">
      <c r="A1121" s="1" t="s">
        <v>4999</v>
      </c>
      <c r="B1121" s="1">
        <v>29.0</v>
      </c>
      <c r="C1121" s="1">
        <v>189.0</v>
      </c>
      <c r="D1121" s="1">
        <v>210924.0</v>
      </c>
      <c r="E1121" s="1">
        <v>0.975</v>
      </c>
      <c r="F1121" s="1">
        <v>29189.0</v>
      </c>
      <c r="G1121" s="1">
        <v>2.9189210924E10</v>
      </c>
      <c r="H1121" s="1" t="s">
        <v>112</v>
      </c>
      <c r="I1121" s="1" t="s">
        <v>113</v>
      </c>
      <c r="J1121" s="1" t="s">
        <v>4566</v>
      </c>
      <c r="K1121" s="1" t="s">
        <v>5000</v>
      </c>
      <c r="L1121" s="1">
        <v>4576.0</v>
      </c>
      <c r="M1121" s="1">
        <v>4221.0</v>
      </c>
      <c r="N1121" s="1">
        <v>410.0</v>
      </c>
      <c r="O1121" s="1">
        <v>1823.0</v>
      </c>
      <c r="P1121" s="1">
        <v>1874.0</v>
      </c>
      <c r="Q1121" s="1">
        <v>44.0</v>
      </c>
      <c r="R1121" s="1">
        <v>1722.0</v>
      </c>
      <c r="S1121" s="1">
        <v>229.0</v>
      </c>
      <c r="T1121" s="1">
        <v>208.0</v>
      </c>
      <c r="U1121" s="1">
        <v>108.0</v>
      </c>
      <c r="V1121" s="1">
        <v>432.0</v>
      </c>
      <c r="W1121" s="1">
        <v>27937.0</v>
      </c>
      <c r="X1121" s="1">
        <v>3953.0</v>
      </c>
      <c r="Y1121" s="1">
        <v>163.0</v>
      </c>
      <c r="Z1121" s="1">
        <v>333.0</v>
      </c>
      <c r="AA1121" s="1">
        <v>442.0</v>
      </c>
      <c r="AB1121" s="1">
        <v>1274.0</v>
      </c>
      <c r="AC1121" s="1">
        <v>305.0</v>
      </c>
      <c r="AD1121" s="1">
        <v>2647.0</v>
      </c>
      <c r="AE1121" s="1">
        <v>57.0</v>
      </c>
      <c r="AF1121" s="1">
        <v>414.0</v>
      </c>
      <c r="AG1121" s="1">
        <v>341.0</v>
      </c>
      <c r="AH1121" s="1">
        <v>218.0</v>
      </c>
      <c r="AI1121" s="1">
        <v>0.0</v>
      </c>
      <c r="AJ1121" s="1">
        <v>114.0</v>
      </c>
      <c r="AK1121" s="1">
        <v>33.0</v>
      </c>
      <c r="AL1121" s="1">
        <v>121.0</v>
      </c>
      <c r="AM1121" s="1">
        <v>18.0</v>
      </c>
      <c r="AN1121" s="1">
        <v>118.0</v>
      </c>
      <c r="AO1121" s="1">
        <v>0.0</v>
      </c>
      <c r="AP1121" s="1">
        <v>0.054252</v>
      </c>
      <c r="AQ1121" s="1">
        <v>0.048994</v>
      </c>
      <c r="AR1121" s="1">
        <v>0.044831</v>
      </c>
      <c r="AS1121" s="1">
        <v>0.179197</v>
      </c>
      <c r="AT1121" s="1">
        <v>27937.0</v>
      </c>
      <c r="AU1121" s="1">
        <v>3953.0</v>
      </c>
      <c r="AV1121" s="1">
        <v>0.056381</v>
      </c>
      <c r="AW1121" s="1">
        <v>0.115105</v>
      </c>
      <c r="AX1121" s="1">
        <v>0.09659</v>
      </c>
      <c r="AY1121" s="1">
        <v>0.278409</v>
      </c>
      <c r="AZ1121" s="1">
        <v>0.17711962</v>
      </c>
      <c r="BA1121" s="1">
        <v>0.578452</v>
      </c>
      <c r="BB1121" s="1">
        <v>0.01447</v>
      </c>
      <c r="BC1121" s="1">
        <v>0.105094</v>
      </c>
      <c r="BD1121" s="1">
        <v>0.181963</v>
      </c>
      <c r="BE1121" s="1">
        <v>0.11625</v>
      </c>
      <c r="BF1121" s="1">
        <v>0.0</v>
      </c>
      <c r="BG1121" s="1">
        <v>0.060832</v>
      </c>
      <c r="BH1121" s="1">
        <v>0.018623</v>
      </c>
      <c r="BI1121" s="1">
        <v>0.068275</v>
      </c>
      <c r="BJ1121" s="1">
        <v>0.010158</v>
      </c>
      <c r="BK1121" s="1">
        <v>0.066588</v>
      </c>
      <c r="BL1121" s="1">
        <v>0.0</v>
      </c>
      <c r="BM1121" s="1">
        <v>0.185</v>
      </c>
      <c r="BN1121" s="1">
        <v>0.238</v>
      </c>
      <c r="BO1121" s="1">
        <v>0.2498</v>
      </c>
      <c r="BP1121" s="1">
        <v>0.153</v>
      </c>
      <c r="BQ1121" s="1">
        <v>0.8258</v>
      </c>
      <c r="BR1121" s="1">
        <v>0.1653</v>
      </c>
      <c r="BS1121" s="1">
        <v>0.189</v>
      </c>
      <c r="BT1121" s="1">
        <v>0.839</v>
      </c>
      <c r="BU1121" s="1">
        <v>0.861</v>
      </c>
      <c r="BV1121" s="1">
        <v>1.889</v>
      </c>
      <c r="BW1121" s="1">
        <v>0.795</v>
      </c>
      <c r="BX1121" s="1">
        <v>0.878</v>
      </c>
      <c r="BY1121" s="1">
        <v>0.802</v>
      </c>
      <c r="BZ1121" s="1">
        <v>1.68</v>
      </c>
      <c r="CA1121" s="1">
        <v>0.911</v>
      </c>
      <c r="CB1121" s="1">
        <v>0.882</v>
      </c>
      <c r="CC1121" s="1">
        <v>0.0</v>
      </c>
      <c r="CD1121" s="1">
        <v>0.655</v>
      </c>
      <c r="CE1121" s="1">
        <v>0.088</v>
      </c>
      <c r="CF1121" s="1">
        <v>0.0</v>
      </c>
      <c r="CG1121" s="1">
        <v>1.625</v>
      </c>
      <c r="CH1121" s="1">
        <v>0.208</v>
      </c>
      <c r="CI1121" s="1">
        <v>6.0198</v>
      </c>
      <c r="CJ1121" s="1">
        <v>0.374</v>
      </c>
      <c r="CK1121" s="1">
        <v>0.0</v>
      </c>
      <c r="CL1121" s="1">
        <v>0.0</v>
      </c>
      <c r="CM1121" s="1">
        <v>0.0</v>
      </c>
      <c r="CN1121" s="1">
        <v>0.0</v>
      </c>
      <c r="CO1121" s="1">
        <v>0.0</v>
      </c>
      <c r="CP1121" s="1">
        <v>0.0</v>
      </c>
      <c r="CQ1121" s="1">
        <v>0.0</v>
      </c>
      <c r="CR1121" s="1">
        <v>0.0</v>
      </c>
      <c r="CS1121" s="1">
        <v>0.0</v>
      </c>
      <c r="CT1121" s="1">
        <v>0.0</v>
      </c>
      <c r="CU1121" s="1">
        <v>0.0</v>
      </c>
      <c r="CV1121" s="1">
        <v>0.0</v>
      </c>
      <c r="CW1121" s="1">
        <v>0.0</v>
      </c>
      <c r="CX1121" s="1">
        <v>0.0</v>
      </c>
      <c r="CY1121" s="1">
        <v>0.0</v>
      </c>
      <c r="CZ1121" s="1">
        <v>0.0</v>
      </c>
      <c r="DA1121" s="1">
        <v>0.0</v>
      </c>
      <c r="DB1121" s="1">
        <v>0.0</v>
      </c>
      <c r="DC1121" s="1">
        <v>0.0</v>
      </c>
      <c r="DD1121" s="1" t="s">
        <v>5001</v>
      </c>
      <c r="DE1121" s="1">
        <v>2.61765772778808E-4</v>
      </c>
      <c r="DF1121" s="1">
        <v>0.071429633385853</v>
      </c>
    </row>
    <row r="1122" ht="15.75" customHeight="1">
      <c r="A1122" s="1" t="s">
        <v>5002</v>
      </c>
      <c r="B1122" s="1">
        <v>29.0</v>
      </c>
      <c r="C1122" s="1">
        <v>189.0</v>
      </c>
      <c r="D1122" s="1">
        <v>210925.0</v>
      </c>
      <c r="E1122" s="1">
        <v>1.28</v>
      </c>
      <c r="F1122" s="1">
        <v>29189.0</v>
      </c>
      <c r="G1122" s="1">
        <v>2.9189210925E10</v>
      </c>
      <c r="H1122" s="1" t="s">
        <v>112</v>
      </c>
      <c r="I1122" s="1" t="s">
        <v>113</v>
      </c>
      <c r="J1122" s="1" t="s">
        <v>4566</v>
      </c>
      <c r="K1122" s="1" t="s">
        <v>5003</v>
      </c>
      <c r="L1122" s="1">
        <v>5333.0</v>
      </c>
      <c r="M1122" s="1">
        <v>5615.0</v>
      </c>
      <c r="N1122" s="1">
        <v>510.0</v>
      </c>
      <c r="O1122" s="1">
        <v>2269.0</v>
      </c>
      <c r="P1122" s="1">
        <v>2304.0</v>
      </c>
      <c r="Q1122" s="1">
        <v>46.0</v>
      </c>
      <c r="R1122" s="1">
        <v>2104.0</v>
      </c>
      <c r="S1122" s="1">
        <v>573.0</v>
      </c>
      <c r="T1122" s="1">
        <v>317.0</v>
      </c>
      <c r="U1122" s="1">
        <v>274.0</v>
      </c>
      <c r="V1122" s="1">
        <v>346.0</v>
      </c>
      <c r="W1122" s="1">
        <v>23676.0</v>
      </c>
      <c r="X1122" s="1">
        <v>2158.0</v>
      </c>
      <c r="Y1122" s="1">
        <v>310.0</v>
      </c>
      <c r="Z1122" s="1">
        <v>362.0</v>
      </c>
      <c r="AA1122" s="1">
        <v>651.0</v>
      </c>
      <c r="AB1122" s="1">
        <v>1371.0</v>
      </c>
      <c r="AC1122" s="1">
        <v>316.0</v>
      </c>
      <c r="AD1122" s="1">
        <v>2483.0</v>
      </c>
      <c r="AE1122" s="1">
        <v>181.0</v>
      </c>
      <c r="AF1122" s="1">
        <v>463.0</v>
      </c>
      <c r="AG1122" s="1">
        <v>415.0</v>
      </c>
      <c r="AH1122" s="1">
        <v>185.0</v>
      </c>
      <c r="AI1122" s="1">
        <v>16.0</v>
      </c>
      <c r="AJ1122" s="1">
        <v>27.0</v>
      </c>
      <c r="AK1122" s="1">
        <v>25.0</v>
      </c>
      <c r="AL1122" s="1">
        <v>120.0</v>
      </c>
      <c r="AM1122" s="1">
        <v>71.0</v>
      </c>
      <c r="AN1122" s="1">
        <v>53.0</v>
      </c>
      <c r="AO1122" s="1">
        <v>4.0</v>
      </c>
      <c r="AP1122" s="1">
        <v>0.102048</v>
      </c>
      <c r="AQ1122" s="1">
        <v>0.055689</v>
      </c>
      <c r="AR1122" s="1">
        <v>0.085464</v>
      </c>
      <c r="AS1122" s="1">
        <v>0.107436</v>
      </c>
      <c r="AT1122" s="1">
        <v>23676.0</v>
      </c>
      <c r="AU1122" s="1">
        <v>2158.0</v>
      </c>
      <c r="AV1122" s="1">
        <v>0.086543</v>
      </c>
      <c r="AW1122" s="1">
        <v>0.10079</v>
      </c>
      <c r="AX1122" s="1">
        <v>0.12207</v>
      </c>
      <c r="AY1122" s="1">
        <v>0.257078</v>
      </c>
      <c r="AZ1122" s="1">
        <v>0.15019011</v>
      </c>
      <c r="BA1122" s="1">
        <v>0.465591</v>
      </c>
      <c r="BB1122" s="1">
        <v>0.034358</v>
      </c>
      <c r="BC1122" s="1">
        <v>0.087833</v>
      </c>
      <c r="BD1122" s="1">
        <v>0.180121</v>
      </c>
      <c r="BE1122" s="1">
        <v>0.080214</v>
      </c>
      <c r="BF1122" s="1">
        <v>0.006944</v>
      </c>
      <c r="BG1122" s="1">
        <v>0.011717</v>
      </c>
      <c r="BH1122" s="1">
        <v>0.011373</v>
      </c>
      <c r="BI1122" s="1">
        <v>0.054592</v>
      </c>
      <c r="BJ1122" s="1">
        <v>0.032302</v>
      </c>
      <c r="BK1122" s="1">
        <v>0.024059</v>
      </c>
      <c r="BL1122" s="1">
        <v>7.5E-4</v>
      </c>
      <c r="BM1122" s="1">
        <v>0.378</v>
      </c>
      <c r="BN1122" s="1">
        <v>0.653</v>
      </c>
      <c r="BO1122" s="1">
        <v>0.413</v>
      </c>
      <c r="BP1122" s="1">
        <v>0.277</v>
      </c>
      <c r="BQ1122" s="1">
        <v>1.721</v>
      </c>
      <c r="BR1122" s="1">
        <v>0.4079</v>
      </c>
      <c r="BS1122" s="1">
        <v>0.357</v>
      </c>
      <c r="BT1122" s="1">
        <v>0.674</v>
      </c>
      <c r="BU1122" s="1">
        <v>0.796</v>
      </c>
      <c r="BV1122" s="1">
        <v>1.827</v>
      </c>
      <c r="BW1122" s="1">
        <v>0.748</v>
      </c>
      <c r="BX1122" s="1">
        <v>0.859</v>
      </c>
      <c r="BY1122" s="1">
        <v>0.933</v>
      </c>
      <c r="BZ1122" s="1">
        <v>1.792</v>
      </c>
      <c r="CA1122" s="1">
        <v>0.962</v>
      </c>
      <c r="CB1122" s="1">
        <v>0.882</v>
      </c>
      <c r="CC1122" s="1">
        <v>0.425</v>
      </c>
      <c r="CD1122" s="1">
        <v>0.509</v>
      </c>
      <c r="CE1122" s="1">
        <v>0.305</v>
      </c>
      <c r="CF1122" s="1">
        <v>0.382</v>
      </c>
      <c r="CG1122" s="1">
        <v>2.503</v>
      </c>
      <c r="CH1122" s="1">
        <v>0.563</v>
      </c>
      <c r="CI1122" s="1">
        <v>7.843</v>
      </c>
      <c r="CJ1122" s="1">
        <v>0.6874</v>
      </c>
      <c r="CK1122" s="1">
        <v>0.0</v>
      </c>
      <c r="CL1122" s="1">
        <v>0.0</v>
      </c>
      <c r="CM1122" s="1">
        <v>0.0</v>
      </c>
      <c r="CN1122" s="1">
        <v>0.0</v>
      </c>
      <c r="CO1122" s="1">
        <v>0.0</v>
      </c>
      <c r="CP1122" s="1">
        <v>0.0</v>
      </c>
      <c r="CQ1122" s="1">
        <v>0.0</v>
      </c>
      <c r="CR1122" s="1">
        <v>0.0</v>
      </c>
      <c r="CS1122" s="1">
        <v>0.0</v>
      </c>
      <c r="CT1122" s="1">
        <v>0.0</v>
      </c>
      <c r="CU1122" s="1">
        <v>1.0</v>
      </c>
      <c r="CV1122" s="1">
        <v>1.0</v>
      </c>
      <c r="CW1122" s="1">
        <v>0.0</v>
      </c>
      <c r="CX1122" s="1">
        <v>0.0</v>
      </c>
      <c r="CY1122" s="1">
        <v>0.0</v>
      </c>
      <c r="CZ1122" s="1">
        <v>0.0</v>
      </c>
      <c r="DA1122" s="1">
        <v>0.0</v>
      </c>
      <c r="DB1122" s="1">
        <v>0.0</v>
      </c>
      <c r="DC1122" s="1">
        <v>1.0</v>
      </c>
      <c r="DD1122" s="1" t="s">
        <v>5004</v>
      </c>
      <c r="DE1122" s="1">
        <v>3.40582845039251E-4</v>
      </c>
      <c r="DF1122" s="1">
        <v>0.0875524294204872</v>
      </c>
    </row>
    <row r="1123" ht="15.75" customHeight="1">
      <c r="A1123" s="1" t="s">
        <v>5005</v>
      </c>
      <c r="B1123" s="1">
        <v>29.0</v>
      </c>
      <c r="C1123" s="1">
        <v>189.0</v>
      </c>
      <c r="D1123" s="1">
        <v>210926.0</v>
      </c>
      <c r="E1123" s="1">
        <v>0.604</v>
      </c>
      <c r="F1123" s="1">
        <v>29189.0</v>
      </c>
      <c r="G1123" s="1">
        <v>2.9189210926E10</v>
      </c>
      <c r="H1123" s="1" t="s">
        <v>112</v>
      </c>
      <c r="I1123" s="1" t="s">
        <v>113</v>
      </c>
      <c r="J1123" s="1" t="s">
        <v>4566</v>
      </c>
      <c r="K1123" s="1" t="s">
        <v>5006</v>
      </c>
      <c r="L1123" s="1">
        <v>2688.0</v>
      </c>
      <c r="M1123" s="1">
        <v>2513.0</v>
      </c>
      <c r="N1123" s="1">
        <v>215.0</v>
      </c>
      <c r="O1123" s="1">
        <v>1012.0</v>
      </c>
      <c r="P1123" s="1">
        <v>1046.0</v>
      </c>
      <c r="Q1123" s="1">
        <v>38.0</v>
      </c>
      <c r="R1123" s="1">
        <v>963.0</v>
      </c>
      <c r="S1123" s="1">
        <v>187.0</v>
      </c>
      <c r="T1123" s="1">
        <v>190.0</v>
      </c>
      <c r="U1123" s="1">
        <v>112.0</v>
      </c>
      <c r="V1123" s="1">
        <v>470.0</v>
      </c>
      <c r="W1123" s="1">
        <v>28600.0</v>
      </c>
      <c r="X1123" s="1">
        <v>2940.0</v>
      </c>
      <c r="Y1123" s="1">
        <v>263.0</v>
      </c>
      <c r="Z1123" s="1">
        <v>326.0</v>
      </c>
      <c r="AA1123" s="1">
        <v>373.0</v>
      </c>
      <c r="AB1123" s="1">
        <v>720.0</v>
      </c>
      <c r="AC1123" s="1">
        <v>147.0</v>
      </c>
      <c r="AD1123" s="1">
        <v>710.0</v>
      </c>
      <c r="AE1123" s="1">
        <v>0.0</v>
      </c>
      <c r="AF1123" s="1">
        <v>456.0</v>
      </c>
      <c r="AG1123" s="1">
        <v>0.0</v>
      </c>
      <c r="AH1123" s="1">
        <v>197.0</v>
      </c>
      <c r="AI1123" s="1">
        <v>0.0</v>
      </c>
      <c r="AJ1123" s="1">
        <v>114.0</v>
      </c>
      <c r="AK1123" s="1">
        <v>0.0</v>
      </c>
      <c r="AL1123" s="1">
        <v>161.0</v>
      </c>
      <c r="AM1123" s="1">
        <v>10.0</v>
      </c>
      <c r="AN1123" s="1">
        <v>116.0</v>
      </c>
      <c r="AO1123" s="1">
        <v>0.0</v>
      </c>
      <c r="AP1123" s="1">
        <v>0.074413</v>
      </c>
      <c r="AQ1123" s="1">
        <v>0.075338</v>
      </c>
      <c r="AR1123" s="1">
        <v>0.069093</v>
      </c>
      <c r="AS1123" s="1">
        <v>0.289482</v>
      </c>
      <c r="AT1123" s="1">
        <v>28600.0</v>
      </c>
      <c r="AU1123" s="1">
        <v>2940.0</v>
      </c>
      <c r="AV1123" s="1">
        <v>0.143637</v>
      </c>
      <c r="AW1123" s="1">
        <v>0.177655</v>
      </c>
      <c r="AX1123" s="1">
        <v>0.138764</v>
      </c>
      <c r="AY1123" s="1">
        <v>0.267857</v>
      </c>
      <c r="AZ1123" s="1">
        <v>0.15264797</v>
      </c>
      <c r="BA1123" s="1">
        <v>0.264136</v>
      </c>
      <c r="BB1123" s="1">
        <v>0.0</v>
      </c>
      <c r="BC1123" s="1">
        <v>0.192242</v>
      </c>
      <c r="BD1123" s="1">
        <v>0.0</v>
      </c>
      <c r="BE1123" s="1">
        <v>0.188336</v>
      </c>
      <c r="BF1123" s="1">
        <v>0.0</v>
      </c>
      <c r="BG1123" s="1">
        <v>0.108986</v>
      </c>
      <c r="BH1123" s="1">
        <v>0.0</v>
      </c>
      <c r="BI1123" s="1">
        <v>0.15631</v>
      </c>
      <c r="BJ1123" s="1">
        <v>0.009708</v>
      </c>
      <c r="BK1123" s="1">
        <v>0.11262</v>
      </c>
      <c r="BL1123" s="1">
        <v>0.0</v>
      </c>
      <c r="BM1123" s="1">
        <v>0.264</v>
      </c>
      <c r="BN1123" s="1">
        <v>0.505</v>
      </c>
      <c r="BO1123" s="1">
        <v>0.2318</v>
      </c>
      <c r="BP1123" s="1">
        <v>0.541</v>
      </c>
      <c r="BQ1123" s="1">
        <v>1.5418</v>
      </c>
      <c r="BR1123" s="1">
        <v>0.3567</v>
      </c>
      <c r="BS1123" s="1">
        <v>0.485</v>
      </c>
      <c r="BT1123" s="1">
        <v>0.775</v>
      </c>
      <c r="BU1123" s="1">
        <v>0.802</v>
      </c>
      <c r="BV1123" s="1">
        <v>2.062</v>
      </c>
      <c r="BW1123" s="1">
        <v>0.898</v>
      </c>
      <c r="BX1123" s="1">
        <v>0.768</v>
      </c>
      <c r="BY1123" s="1">
        <v>0.0</v>
      </c>
      <c r="BZ1123" s="1">
        <v>0.768</v>
      </c>
      <c r="CA1123" s="1">
        <v>0.374</v>
      </c>
      <c r="CB1123" s="1">
        <v>0.0</v>
      </c>
      <c r="CC1123" s="1">
        <v>0.0</v>
      </c>
      <c r="CD1123" s="1">
        <v>0.0</v>
      </c>
      <c r="CE1123" s="1">
        <v>0.082</v>
      </c>
      <c r="CF1123" s="1">
        <v>0.0</v>
      </c>
      <c r="CG1123" s="1">
        <v>0.082</v>
      </c>
      <c r="CH1123" s="1">
        <v>0.01</v>
      </c>
      <c r="CI1123" s="1">
        <v>4.4538</v>
      </c>
      <c r="CJ1123" s="1">
        <v>0.1292</v>
      </c>
      <c r="CK1123" s="1">
        <v>0.0</v>
      </c>
      <c r="CL1123" s="1">
        <v>0.0</v>
      </c>
      <c r="CM1123" s="1">
        <v>0.0</v>
      </c>
      <c r="CN1123" s="1">
        <v>0.0</v>
      </c>
      <c r="CO1123" s="1">
        <v>0.0</v>
      </c>
      <c r="CP1123" s="1">
        <v>0.0</v>
      </c>
      <c r="CQ1123" s="1">
        <v>0.0</v>
      </c>
      <c r="CR1123" s="1">
        <v>0.0</v>
      </c>
      <c r="CS1123" s="1">
        <v>0.0</v>
      </c>
      <c r="CT1123" s="1">
        <v>0.0</v>
      </c>
      <c r="CU1123" s="1">
        <v>0.0</v>
      </c>
      <c r="CV1123" s="1">
        <v>0.0</v>
      </c>
      <c r="CW1123" s="1">
        <v>0.0</v>
      </c>
      <c r="CX1123" s="1">
        <v>0.0</v>
      </c>
      <c r="CY1123" s="1">
        <v>0.0</v>
      </c>
      <c r="CZ1123" s="1">
        <v>0.0</v>
      </c>
      <c r="DA1123" s="1">
        <v>0.0</v>
      </c>
      <c r="DB1123" s="1">
        <v>0.0</v>
      </c>
      <c r="DC1123" s="1">
        <v>0.0</v>
      </c>
      <c r="DD1123" s="1" t="s">
        <v>5007</v>
      </c>
      <c r="DE1123" s="1">
        <v>1.64055208651364E-4</v>
      </c>
      <c r="DF1123" s="1">
        <v>0.0793794360369998</v>
      </c>
    </row>
    <row r="1124" ht="15.75" customHeight="1">
      <c r="A1124" s="1" t="s">
        <v>5008</v>
      </c>
      <c r="B1124" s="1">
        <v>29.0</v>
      </c>
      <c r="C1124" s="1">
        <v>189.0</v>
      </c>
      <c r="D1124" s="1">
        <v>211101.0</v>
      </c>
      <c r="E1124" s="1">
        <v>1.304</v>
      </c>
      <c r="F1124" s="1">
        <v>29189.0</v>
      </c>
      <c r="G1124" s="1">
        <v>2.9189211101E10</v>
      </c>
      <c r="H1124" s="1" t="s">
        <v>112</v>
      </c>
      <c r="I1124" s="1" t="s">
        <v>113</v>
      </c>
      <c r="J1124" s="1" t="s">
        <v>4566</v>
      </c>
      <c r="K1124" s="1" t="s">
        <v>5009</v>
      </c>
      <c r="L1124" s="1">
        <v>6959.0</v>
      </c>
      <c r="M1124" s="1">
        <v>7004.0</v>
      </c>
      <c r="N1124" s="1">
        <v>409.0</v>
      </c>
      <c r="O1124" s="1">
        <v>3090.0</v>
      </c>
      <c r="P1124" s="1">
        <v>3155.0</v>
      </c>
      <c r="Q1124" s="1">
        <v>130.0</v>
      </c>
      <c r="R1124" s="1">
        <v>2877.0</v>
      </c>
      <c r="S1124" s="1">
        <v>656.0</v>
      </c>
      <c r="T1124" s="1">
        <v>383.0</v>
      </c>
      <c r="U1124" s="1">
        <v>286.0</v>
      </c>
      <c r="V1124" s="1">
        <v>346.0</v>
      </c>
      <c r="W1124" s="1">
        <v>24556.0</v>
      </c>
      <c r="X1124" s="1">
        <v>2759.0</v>
      </c>
      <c r="Y1124" s="1">
        <v>634.0</v>
      </c>
      <c r="Z1124" s="1">
        <v>276.0</v>
      </c>
      <c r="AA1124" s="1">
        <v>998.0</v>
      </c>
      <c r="AB1124" s="1">
        <v>1759.0</v>
      </c>
      <c r="AC1124" s="1">
        <v>503.0</v>
      </c>
      <c r="AD1124" s="1">
        <v>2442.0</v>
      </c>
      <c r="AE1124" s="1">
        <v>111.0</v>
      </c>
      <c r="AF1124" s="1">
        <v>406.0</v>
      </c>
      <c r="AG1124" s="1">
        <v>0.0</v>
      </c>
      <c r="AH1124" s="1">
        <v>197.0</v>
      </c>
      <c r="AI1124" s="1">
        <v>0.0</v>
      </c>
      <c r="AJ1124" s="1">
        <v>114.0</v>
      </c>
      <c r="AK1124" s="1">
        <v>34.0</v>
      </c>
      <c r="AL1124" s="1">
        <v>117.0</v>
      </c>
      <c r="AM1124" s="1">
        <v>128.0</v>
      </c>
      <c r="AN1124" s="1">
        <v>80.0</v>
      </c>
      <c r="AO1124" s="1">
        <v>133.0</v>
      </c>
      <c r="AP1124" s="1">
        <v>0.097286</v>
      </c>
      <c r="AQ1124" s="1">
        <v>0.056481</v>
      </c>
      <c r="AR1124" s="1">
        <v>0.078014</v>
      </c>
      <c r="AS1124" s="1">
        <v>0.093934</v>
      </c>
      <c r="AT1124" s="1">
        <v>24556.0</v>
      </c>
      <c r="AU1124" s="1">
        <v>2759.0</v>
      </c>
      <c r="AV1124" s="1">
        <v>0.134721</v>
      </c>
      <c r="AW1124" s="1">
        <v>0.058037</v>
      </c>
      <c r="AX1124" s="1">
        <v>0.143411</v>
      </c>
      <c r="AY1124" s="1">
        <v>0.252766</v>
      </c>
      <c r="AZ1124" s="1">
        <v>0.17483489</v>
      </c>
      <c r="BA1124" s="1">
        <v>0.350912</v>
      </c>
      <c r="BB1124" s="1">
        <v>0.016902</v>
      </c>
      <c r="BC1124" s="1">
        <v>0.061815</v>
      </c>
      <c r="BD1124" s="1">
        <v>0.0</v>
      </c>
      <c r="BE1124" s="1">
        <v>0.06244</v>
      </c>
      <c r="BF1124" s="1">
        <v>0.0</v>
      </c>
      <c r="BG1124" s="1">
        <v>0.036133</v>
      </c>
      <c r="BH1124" s="1">
        <v>0.011378</v>
      </c>
      <c r="BI1124" s="1">
        <v>0.03915</v>
      </c>
      <c r="BJ1124" s="1">
        <v>0.042838</v>
      </c>
      <c r="BK1124" s="1">
        <v>0.026636</v>
      </c>
      <c r="BL1124" s="1">
        <v>0.019111</v>
      </c>
      <c r="BM1124" s="1">
        <v>0.361</v>
      </c>
      <c r="BN1124" s="1">
        <v>0.593</v>
      </c>
      <c r="BO1124" s="1">
        <v>0.369</v>
      </c>
      <c r="BP1124" s="1">
        <v>0.497</v>
      </c>
      <c r="BQ1124" s="1">
        <v>1.82</v>
      </c>
      <c r="BR1124" s="1">
        <v>0.4375</v>
      </c>
      <c r="BS1124" s="1">
        <v>0.528</v>
      </c>
      <c r="BT1124" s="1">
        <v>0.636</v>
      </c>
      <c r="BU1124" s="1">
        <v>0.854</v>
      </c>
      <c r="BV1124" s="1">
        <v>2.018</v>
      </c>
      <c r="BW1124" s="1">
        <v>0.866</v>
      </c>
      <c r="BX1124" s="1">
        <v>0.819</v>
      </c>
      <c r="BY1124" s="1">
        <v>0.838</v>
      </c>
      <c r="BZ1124" s="1">
        <v>1.657</v>
      </c>
      <c r="CA1124" s="1">
        <v>0.9</v>
      </c>
      <c r="CB1124" s="1">
        <v>0.0</v>
      </c>
      <c r="CC1124" s="1">
        <v>0.0</v>
      </c>
      <c r="CD1124" s="1">
        <v>0.51</v>
      </c>
      <c r="CE1124" s="1">
        <v>0.42</v>
      </c>
      <c r="CF1124" s="1">
        <v>0.697</v>
      </c>
      <c r="CG1124" s="1">
        <v>1.627</v>
      </c>
      <c r="CH1124" s="1">
        <v>0.209</v>
      </c>
      <c r="CI1124" s="1">
        <v>7.122</v>
      </c>
      <c r="CJ1124" s="1">
        <v>0.574</v>
      </c>
      <c r="CK1124" s="1">
        <v>0.0</v>
      </c>
      <c r="CL1124" s="1">
        <v>0.0</v>
      </c>
      <c r="CM1124" s="1">
        <v>0.0</v>
      </c>
      <c r="CN1124" s="1">
        <v>0.0</v>
      </c>
      <c r="CO1124" s="1">
        <v>0.0</v>
      </c>
      <c r="CP1124" s="1">
        <v>0.0</v>
      </c>
      <c r="CQ1124" s="1">
        <v>0.0</v>
      </c>
      <c r="CR1124" s="1">
        <v>0.0</v>
      </c>
      <c r="CS1124" s="1">
        <v>0.0</v>
      </c>
      <c r="CT1124" s="1">
        <v>0.0</v>
      </c>
      <c r="CU1124" s="1">
        <v>0.0</v>
      </c>
      <c r="CV1124" s="1">
        <v>0.0</v>
      </c>
      <c r="CW1124" s="1">
        <v>0.0</v>
      </c>
      <c r="CX1124" s="1">
        <v>0.0</v>
      </c>
      <c r="CY1124" s="1">
        <v>0.0</v>
      </c>
      <c r="CZ1124" s="1">
        <v>0.0</v>
      </c>
      <c r="DA1124" s="1">
        <v>0.0</v>
      </c>
      <c r="DB1124" s="1">
        <v>0.0</v>
      </c>
      <c r="DC1124" s="1">
        <v>0.0</v>
      </c>
      <c r="DD1124" s="1" t="s">
        <v>5010</v>
      </c>
      <c r="DE1124" s="1">
        <v>3.51489858663294E-4</v>
      </c>
      <c r="DF1124" s="1">
        <v>0.0835398178331913</v>
      </c>
    </row>
    <row r="1125" ht="15.75" customHeight="1">
      <c r="A1125" s="1" t="s">
        <v>5011</v>
      </c>
      <c r="B1125" s="1">
        <v>29.0</v>
      </c>
      <c r="C1125" s="1">
        <v>189.0</v>
      </c>
      <c r="D1125" s="1">
        <v>213500.0</v>
      </c>
      <c r="E1125" s="1">
        <v>1.133</v>
      </c>
      <c r="F1125" s="1">
        <v>29189.0</v>
      </c>
      <c r="G1125" s="1">
        <v>2.91892135E10</v>
      </c>
      <c r="H1125" s="1" t="s">
        <v>112</v>
      </c>
      <c r="I1125" s="1" t="s">
        <v>113</v>
      </c>
      <c r="J1125" s="1" t="s">
        <v>4566</v>
      </c>
      <c r="K1125" s="1" t="s">
        <v>5012</v>
      </c>
      <c r="L1125" s="1">
        <v>4983.0</v>
      </c>
      <c r="M1125" s="1">
        <v>5056.0</v>
      </c>
      <c r="N1125" s="1">
        <v>352.0</v>
      </c>
      <c r="O1125" s="1">
        <v>2242.0</v>
      </c>
      <c r="P1125" s="1">
        <v>2275.0</v>
      </c>
      <c r="Q1125" s="1">
        <v>196.0</v>
      </c>
      <c r="R1125" s="1">
        <v>2003.0</v>
      </c>
      <c r="S1125" s="1">
        <v>642.0</v>
      </c>
      <c r="T1125" s="1">
        <v>298.0</v>
      </c>
      <c r="U1125" s="1">
        <v>283.0</v>
      </c>
      <c r="V1125" s="1">
        <v>342.0</v>
      </c>
      <c r="W1125" s="1">
        <v>19834.0</v>
      </c>
      <c r="X1125" s="1">
        <v>1808.0</v>
      </c>
      <c r="Y1125" s="1">
        <v>495.0</v>
      </c>
      <c r="Z1125" s="1">
        <v>247.0</v>
      </c>
      <c r="AA1125" s="1">
        <v>653.0</v>
      </c>
      <c r="AB1125" s="1">
        <v>1169.0</v>
      </c>
      <c r="AC1125" s="1">
        <v>289.0</v>
      </c>
      <c r="AD1125" s="1">
        <v>1717.0</v>
      </c>
      <c r="AE1125" s="1">
        <v>113.0</v>
      </c>
      <c r="AF1125" s="1">
        <v>402.0</v>
      </c>
      <c r="AG1125" s="1">
        <v>0.0</v>
      </c>
      <c r="AH1125" s="1">
        <v>197.0</v>
      </c>
      <c r="AI1125" s="1">
        <v>0.0</v>
      </c>
      <c r="AJ1125" s="1">
        <v>114.0</v>
      </c>
      <c r="AK1125" s="1">
        <v>10.0</v>
      </c>
      <c r="AL1125" s="1">
        <v>18.0</v>
      </c>
      <c r="AM1125" s="1">
        <v>84.0</v>
      </c>
      <c r="AN1125" s="1">
        <v>127.0</v>
      </c>
      <c r="AO1125" s="1">
        <v>78.0</v>
      </c>
      <c r="AP1125" s="1">
        <v>0.128477</v>
      </c>
      <c r="AQ1125" s="1">
        <v>0.058949</v>
      </c>
      <c r="AR1125" s="1">
        <v>0.101216</v>
      </c>
      <c r="AS1125" s="1">
        <v>0.121565</v>
      </c>
      <c r="AT1125" s="1">
        <v>19834.0</v>
      </c>
      <c r="AU1125" s="1">
        <v>1808.0</v>
      </c>
      <c r="AV1125" s="1">
        <v>0.146666</v>
      </c>
      <c r="AW1125" s="1">
        <v>0.072137</v>
      </c>
      <c r="AX1125" s="1">
        <v>0.131045</v>
      </c>
      <c r="AY1125" s="1">
        <v>0.234597</v>
      </c>
      <c r="AZ1125" s="1">
        <v>0.14428357</v>
      </c>
      <c r="BA1125" s="1">
        <v>0.344571</v>
      </c>
      <c r="BB1125" s="1">
        <v>0.023674</v>
      </c>
      <c r="BC1125" s="1">
        <v>0.084201</v>
      </c>
      <c r="BD1125" s="1">
        <v>0.0</v>
      </c>
      <c r="BE1125" s="1">
        <v>0.086593</v>
      </c>
      <c r="BF1125" s="1">
        <v>0.0</v>
      </c>
      <c r="BG1125" s="1">
        <v>0.050109</v>
      </c>
      <c r="BH1125" s="1">
        <v>0.005063</v>
      </c>
      <c r="BI1125" s="1">
        <v>0.0091</v>
      </c>
      <c r="BJ1125" s="1">
        <v>0.042531</v>
      </c>
      <c r="BK1125" s="1">
        <v>0.064173</v>
      </c>
      <c r="BL1125" s="1">
        <v>0.015653</v>
      </c>
      <c r="BM1125" s="1">
        <v>0.49</v>
      </c>
      <c r="BN1125" s="1">
        <v>0.739</v>
      </c>
      <c r="BO1125" s="1">
        <v>0.6238</v>
      </c>
      <c r="BP1125" s="1">
        <v>0.552</v>
      </c>
      <c r="BQ1125" s="1">
        <v>2.4048</v>
      </c>
      <c r="BR1125" s="1">
        <v>0.6332</v>
      </c>
      <c r="BS1125" s="1">
        <v>0.428</v>
      </c>
      <c r="BT1125" s="1">
        <v>0.433</v>
      </c>
      <c r="BU1125" s="1">
        <v>0.777</v>
      </c>
      <c r="BV1125" s="1">
        <v>1.638</v>
      </c>
      <c r="BW1125" s="1">
        <v>0.591</v>
      </c>
      <c r="BX1125" s="1">
        <v>0.815</v>
      </c>
      <c r="BY1125" s="1">
        <v>0.88</v>
      </c>
      <c r="BZ1125" s="1">
        <v>1.695</v>
      </c>
      <c r="CA1125" s="1">
        <v>0.919</v>
      </c>
      <c r="CB1125" s="1">
        <v>0.0</v>
      </c>
      <c r="CC1125" s="1">
        <v>0.0</v>
      </c>
      <c r="CD1125" s="1">
        <v>0.335</v>
      </c>
      <c r="CE1125" s="1">
        <v>0.419</v>
      </c>
      <c r="CF1125" s="1">
        <v>0.654</v>
      </c>
      <c r="CG1125" s="1">
        <v>1.408</v>
      </c>
      <c r="CH1125" s="1">
        <v>0.15</v>
      </c>
      <c r="CI1125" s="1">
        <v>7.1458</v>
      </c>
      <c r="CJ1125" s="1">
        <v>0.5798</v>
      </c>
      <c r="CK1125" s="1">
        <v>0.0</v>
      </c>
      <c r="CL1125" s="1">
        <v>0.0</v>
      </c>
      <c r="CM1125" s="1">
        <v>0.0</v>
      </c>
      <c r="CN1125" s="1">
        <v>0.0</v>
      </c>
      <c r="CO1125" s="1">
        <v>0.0</v>
      </c>
      <c r="CP1125" s="1">
        <v>0.0</v>
      </c>
      <c r="CQ1125" s="1">
        <v>0.0</v>
      </c>
      <c r="CR1125" s="1">
        <v>0.0</v>
      </c>
      <c r="CS1125" s="1">
        <v>0.0</v>
      </c>
      <c r="CT1125" s="1">
        <v>0.0</v>
      </c>
      <c r="CU1125" s="1">
        <v>0.0</v>
      </c>
      <c r="CV1125" s="1">
        <v>0.0</v>
      </c>
      <c r="CW1125" s="1">
        <v>0.0</v>
      </c>
      <c r="CX1125" s="1">
        <v>0.0</v>
      </c>
      <c r="CY1125" s="1">
        <v>0.0</v>
      </c>
      <c r="CZ1125" s="1">
        <v>0.0</v>
      </c>
      <c r="DA1125" s="1">
        <v>0.0</v>
      </c>
      <c r="DB1125" s="1">
        <v>0.0</v>
      </c>
      <c r="DC1125" s="1">
        <v>0.0</v>
      </c>
      <c r="DD1125" s="1" t="s">
        <v>5013</v>
      </c>
      <c r="DE1125" s="1">
        <v>3.03700614881376E-4</v>
      </c>
      <c r="DF1125" s="1">
        <v>0.0837640972321626</v>
      </c>
    </row>
    <row r="1126" ht="15.75" customHeight="1">
      <c r="A1126" s="1" t="s">
        <v>5014</v>
      </c>
      <c r="B1126" s="1">
        <v>29.0</v>
      </c>
      <c r="C1126" s="1">
        <v>189.0</v>
      </c>
      <c r="D1126" s="1">
        <v>213600.0</v>
      </c>
      <c r="E1126" s="1">
        <v>1.218</v>
      </c>
      <c r="F1126" s="1">
        <v>29189.0</v>
      </c>
      <c r="G1126" s="1">
        <v>2.91892136E10</v>
      </c>
      <c r="H1126" s="1" t="s">
        <v>112</v>
      </c>
      <c r="I1126" s="1" t="s">
        <v>113</v>
      </c>
      <c r="J1126" s="1" t="s">
        <v>4566</v>
      </c>
      <c r="K1126" s="1" t="s">
        <v>5015</v>
      </c>
      <c r="L1126" s="1">
        <v>4446.0</v>
      </c>
      <c r="M1126" s="1">
        <v>4079.0</v>
      </c>
      <c r="N1126" s="1">
        <v>398.0</v>
      </c>
      <c r="O1126" s="1">
        <v>2021.0</v>
      </c>
      <c r="P1126" s="1">
        <v>2014.0</v>
      </c>
      <c r="Q1126" s="1">
        <v>201.0</v>
      </c>
      <c r="R1126" s="1">
        <v>1731.0</v>
      </c>
      <c r="S1126" s="1">
        <v>1162.0</v>
      </c>
      <c r="T1126" s="1">
        <v>386.0</v>
      </c>
      <c r="U1126" s="1">
        <v>369.0</v>
      </c>
      <c r="V1126" s="1">
        <v>359.0</v>
      </c>
      <c r="W1126" s="1">
        <v>14844.0</v>
      </c>
      <c r="X1126" s="1">
        <v>1764.0</v>
      </c>
      <c r="Y1126" s="1">
        <v>418.0</v>
      </c>
      <c r="Z1126" s="1">
        <v>259.0</v>
      </c>
      <c r="AA1126" s="1">
        <v>425.0</v>
      </c>
      <c r="AB1126" s="1">
        <v>1284.0</v>
      </c>
      <c r="AC1126" s="1">
        <v>508.0</v>
      </c>
      <c r="AD1126" s="1">
        <v>3858.0</v>
      </c>
      <c r="AE1126" s="1">
        <v>21.0</v>
      </c>
      <c r="AF1126" s="1">
        <v>443.0</v>
      </c>
      <c r="AG1126" s="1">
        <v>267.0</v>
      </c>
      <c r="AH1126" s="1">
        <v>99.0</v>
      </c>
      <c r="AI1126" s="1">
        <v>0.0</v>
      </c>
      <c r="AJ1126" s="1">
        <v>114.0</v>
      </c>
      <c r="AK1126" s="1">
        <v>22.0</v>
      </c>
      <c r="AL1126" s="1">
        <v>116.0</v>
      </c>
      <c r="AM1126" s="1">
        <v>435.0</v>
      </c>
      <c r="AN1126" s="1">
        <v>126.0</v>
      </c>
      <c r="AO1126" s="1">
        <v>113.0</v>
      </c>
      <c r="AP1126" s="1">
        <v>0.286559</v>
      </c>
      <c r="AQ1126" s="1">
        <v>0.090831</v>
      </c>
      <c r="AR1126" s="1">
        <v>0.192789</v>
      </c>
      <c r="AS1126" s="1">
        <v>0.185493</v>
      </c>
      <c r="AT1126" s="1">
        <v>14844.0</v>
      </c>
      <c r="AU1126" s="1">
        <v>1764.0</v>
      </c>
      <c r="AV1126" s="1">
        <v>0.176669</v>
      </c>
      <c r="AW1126" s="1">
        <v>0.108147</v>
      </c>
      <c r="AX1126" s="1">
        <v>0.095591</v>
      </c>
      <c r="AY1126" s="1">
        <v>0.288798</v>
      </c>
      <c r="AZ1126" s="1">
        <v>0.29347198</v>
      </c>
      <c r="BA1126" s="1">
        <v>0.867746</v>
      </c>
      <c r="BB1126" s="1">
        <v>0.005639</v>
      </c>
      <c r="BC1126" s="1">
        <v>0.118956</v>
      </c>
      <c r="BD1126" s="1">
        <v>0.132571</v>
      </c>
      <c r="BE1126" s="1">
        <v>0.047341</v>
      </c>
      <c r="BF1126" s="1">
        <v>0.0</v>
      </c>
      <c r="BG1126" s="1">
        <v>0.056603</v>
      </c>
      <c r="BH1126" s="1">
        <v>0.012485</v>
      </c>
      <c r="BI1126" s="1">
        <v>0.06582</v>
      </c>
      <c r="BJ1126" s="1">
        <v>0.246878</v>
      </c>
      <c r="BK1126" s="1">
        <v>0.066425</v>
      </c>
      <c r="BL1126" s="1">
        <v>0.025416</v>
      </c>
      <c r="BM1126" s="1">
        <v>0.871</v>
      </c>
      <c r="BN1126" s="1">
        <v>0.946</v>
      </c>
      <c r="BO1126" s="1">
        <v>0.8823</v>
      </c>
      <c r="BP1126" s="1">
        <v>0.675</v>
      </c>
      <c r="BQ1126" s="1">
        <v>3.3743</v>
      </c>
      <c r="BR1126" s="1">
        <v>0.8924</v>
      </c>
      <c r="BS1126" s="1">
        <v>0.183</v>
      </c>
      <c r="BT1126" s="1">
        <v>0.885</v>
      </c>
      <c r="BU1126" s="1">
        <v>0.979</v>
      </c>
      <c r="BV1126" s="1">
        <v>2.047</v>
      </c>
      <c r="BW1126" s="1">
        <v>0.892</v>
      </c>
      <c r="BX1126" s="1">
        <v>0.938</v>
      </c>
      <c r="BY1126" s="1">
        <v>0.584</v>
      </c>
      <c r="BZ1126" s="1">
        <v>1.522</v>
      </c>
      <c r="CA1126" s="1">
        <v>0.841</v>
      </c>
      <c r="CB1126" s="1">
        <v>0.815</v>
      </c>
      <c r="CC1126" s="1">
        <v>0.0</v>
      </c>
      <c r="CD1126" s="1">
        <v>0.539</v>
      </c>
      <c r="CE1126" s="1">
        <v>0.939</v>
      </c>
      <c r="CF1126" s="1">
        <v>0.779</v>
      </c>
      <c r="CG1126" s="1">
        <v>3.072</v>
      </c>
      <c r="CH1126" s="1">
        <v>0.804</v>
      </c>
      <c r="CI1126" s="1">
        <v>10.0153</v>
      </c>
      <c r="CJ1126" s="1">
        <v>0.9473</v>
      </c>
      <c r="CK1126" s="1">
        <v>0.0</v>
      </c>
      <c r="CL1126" s="1">
        <v>1.0</v>
      </c>
      <c r="CM1126" s="1">
        <v>0.0</v>
      </c>
      <c r="CN1126" s="1">
        <v>0.0</v>
      </c>
      <c r="CO1126" s="1">
        <v>1.0</v>
      </c>
      <c r="CP1126" s="1">
        <v>0.0</v>
      </c>
      <c r="CQ1126" s="1">
        <v>0.0</v>
      </c>
      <c r="CR1126" s="1">
        <v>1.0</v>
      </c>
      <c r="CS1126" s="1">
        <v>1.0</v>
      </c>
      <c r="CT1126" s="1">
        <v>1.0</v>
      </c>
      <c r="CU1126" s="1">
        <v>0.0</v>
      </c>
      <c r="CV1126" s="1">
        <v>1.0</v>
      </c>
      <c r="CW1126" s="1">
        <v>0.0</v>
      </c>
      <c r="CX1126" s="1">
        <v>0.0</v>
      </c>
      <c r="CY1126" s="1">
        <v>0.0</v>
      </c>
      <c r="CZ1126" s="1">
        <v>1.0</v>
      </c>
      <c r="DA1126" s="1">
        <v>0.0</v>
      </c>
      <c r="DB1126" s="1">
        <v>1.0</v>
      </c>
      <c r="DC1126" s="1">
        <v>4.0</v>
      </c>
      <c r="DD1126" s="1" t="s">
        <v>5016</v>
      </c>
      <c r="DE1126" s="1">
        <v>3.28839631215395E-4</v>
      </c>
      <c r="DF1126" s="1">
        <v>0.0907993974825049</v>
      </c>
    </row>
    <row r="1127" ht="15.75" customHeight="1">
      <c r="A1127" s="1" t="s">
        <v>5017</v>
      </c>
      <c r="B1127" s="1">
        <v>29.0</v>
      </c>
      <c r="C1127" s="1">
        <v>189.0</v>
      </c>
      <c r="D1127" s="1">
        <v>211201.0</v>
      </c>
      <c r="E1127" s="1">
        <v>1.53</v>
      </c>
      <c r="F1127" s="1">
        <v>29189.0</v>
      </c>
      <c r="G1127" s="1">
        <v>2.9189211201E10</v>
      </c>
      <c r="H1127" s="1" t="s">
        <v>112</v>
      </c>
      <c r="I1127" s="1" t="s">
        <v>113</v>
      </c>
      <c r="J1127" s="1" t="s">
        <v>4566</v>
      </c>
      <c r="K1127" s="1" t="s">
        <v>5018</v>
      </c>
      <c r="L1127" s="1">
        <v>5109.0</v>
      </c>
      <c r="M1127" s="1">
        <v>5276.0</v>
      </c>
      <c r="N1127" s="1">
        <v>471.0</v>
      </c>
      <c r="O1127" s="1">
        <v>2698.0</v>
      </c>
      <c r="P1127" s="1">
        <v>2774.0</v>
      </c>
      <c r="Q1127" s="1">
        <v>74.0</v>
      </c>
      <c r="R1127" s="1">
        <v>2438.0</v>
      </c>
      <c r="S1127" s="1">
        <v>959.0</v>
      </c>
      <c r="T1127" s="1">
        <v>478.0</v>
      </c>
      <c r="U1127" s="1">
        <v>234.0</v>
      </c>
      <c r="V1127" s="1">
        <v>461.0</v>
      </c>
      <c r="W1127" s="1">
        <v>20493.0</v>
      </c>
      <c r="X1127" s="1">
        <v>2532.0</v>
      </c>
      <c r="Y1127" s="1">
        <v>513.0</v>
      </c>
      <c r="Z1127" s="1">
        <v>304.0</v>
      </c>
      <c r="AA1127" s="1">
        <v>667.0</v>
      </c>
      <c r="AB1127" s="1">
        <v>1129.0</v>
      </c>
      <c r="AC1127" s="1">
        <v>393.0</v>
      </c>
      <c r="AD1127" s="1">
        <v>2260.0</v>
      </c>
      <c r="AE1127" s="1">
        <v>48.0</v>
      </c>
      <c r="AF1127" s="1">
        <v>429.0</v>
      </c>
      <c r="AG1127" s="1">
        <v>422.0</v>
      </c>
      <c r="AH1127" s="1">
        <v>172.0</v>
      </c>
      <c r="AI1127" s="1">
        <v>0.0</v>
      </c>
      <c r="AJ1127" s="1">
        <v>114.0</v>
      </c>
      <c r="AK1127" s="1">
        <v>21.0</v>
      </c>
      <c r="AL1127" s="1">
        <v>118.0</v>
      </c>
      <c r="AM1127" s="1">
        <v>196.0</v>
      </c>
      <c r="AN1127" s="1">
        <v>94.0</v>
      </c>
      <c r="AO1127" s="1">
        <v>0.0</v>
      </c>
      <c r="AP1127" s="1">
        <v>0.182388</v>
      </c>
      <c r="AQ1127" s="1">
        <v>0.089428</v>
      </c>
      <c r="AR1127" s="1">
        <v>0.088301</v>
      </c>
      <c r="AS1127" s="1">
        <v>0.173453</v>
      </c>
      <c r="AT1127" s="1">
        <v>20493.0</v>
      </c>
      <c r="AU1127" s="1">
        <v>2532.0</v>
      </c>
      <c r="AV1127" s="1">
        <v>0.146571</v>
      </c>
      <c r="AW1127" s="1">
        <v>0.086128</v>
      </c>
      <c r="AX1127" s="1">
        <v>0.130553</v>
      </c>
      <c r="AY1127" s="1">
        <v>0.220982</v>
      </c>
      <c r="AZ1127" s="1">
        <v>0.1611977</v>
      </c>
      <c r="BA1127" s="1">
        <v>0.442356</v>
      </c>
      <c r="BB1127" s="1">
        <v>0.009728</v>
      </c>
      <c r="BC1127" s="1">
        <v>0.086944</v>
      </c>
      <c r="BD1127" s="1">
        <v>0.152126</v>
      </c>
      <c r="BE1127" s="1">
        <v>0.061871</v>
      </c>
      <c r="BF1127" s="1">
        <v>0.0</v>
      </c>
      <c r="BG1127" s="1">
        <v>0.041095</v>
      </c>
      <c r="BH1127" s="1">
        <v>0.008484</v>
      </c>
      <c r="BI1127" s="1">
        <v>0.047674</v>
      </c>
      <c r="BJ1127" s="1">
        <v>0.079191</v>
      </c>
      <c r="BK1127" s="1">
        <v>0.037691</v>
      </c>
      <c r="BL1127" s="1">
        <v>0.0</v>
      </c>
      <c r="BM1127" s="1">
        <v>0.68</v>
      </c>
      <c r="BN1127" s="1">
        <v>0.67</v>
      </c>
      <c r="BO1127" s="1">
        <v>0.5819</v>
      </c>
      <c r="BP1127" s="1">
        <v>0.551</v>
      </c>
      <c r="BQ1127" s="1">
        <v>2.4829</v>
      </c>
      <c r="BR1127" s="1">
        <v>0.6606</v>
      </c>
      <c r="BS1127" s="1">
        <v>0.423</v>
      </c>
      <c r="BT1127" s="1">
        <v>0.307</v>
      </c>
      <c r="BU1127" s="1">
        <v>0.822</v>
      </c>
      <c r="BV1127" s="1">
        <v>1.552</v>
      </c>
      <c r="BW1127" s="1">
        <v>0.522</v>
      </c>
      <c r="BX1127" s="1">
        <v>0.853</v>
      </c>
      <c r="BY1127" s="1">
        <v>0.713</v>
      </c>
      <c r="BZ1127" s="1">
        <v>1.566</v>
      </c>
      <c r="CA1127" s="1">
        <v>0.861</v>
      </c>
      <c r="CB1127" s="1">
        <v>0.841</v>
      </c>
      <c r="CC1127" s="1">
        <v>0.0</v>
      </c>
      <c r="CD1127" s="1">
        <v>0.446</v>
      </c>
      <c r="CE1127" s="1">
        <v>0.668</v>
      </c>
      <c r="CF1127" s="1">
        <v>0.0</v>
      </c>
      <c r="CG1127" s="1">
        <v>1.955</v>
      </c>
      <c r="CH1127" s="1">
        <v>0.326</v>
      </c>
      <c r="CI1127" s="1">
        <v>7.5559</v>
      </c>
      <c r="CJ1127" s="1">
        <v>0.644</v>
      </c>
      <c r="CK1127" s="1">
        <v>0.0</v>
      </c>
      <c r="CL1127" s="1">
        <v>0.0</v>
      </c>
      <c r="CM1127" s="1">
        <v>0.0</v>
      </c>
      <c r="CN1127" s="1">
        <v>0.0</v>
      </c>
      <c r="CO1127" s="1">
        <v>0.0</v>
      </c>
      <c r="CP1127" s="1">
        <v>0.0</v>
      </c>
      <c r="CQ1127" s="1">
        <v>0.0</v>
      </c>
      <c r="CR1127" s="1">
        <v>0.0</v>
      </c>
      <c r="CS1127" s="1">
        <v>0.0</v>
      </c>
      <c r="CT1127" s="1">
        <v>0.0</v>
      </c>
      <c r="CU1127" s="1">
        <v>0.0</v>
      </c>
      <c r="CV1127" s="1">
        <v>0.0</v>
      </c>
      <c r="CW1127" s="1">
        <v>0.0</v>
      </c>
      <c r="CX1127" s="1">
        <v>0.0</v>
      </c>
      <c r="CY1127" s="1">
        <v>0.0</v>
      </c>
      <c r="CZ1127" s="1">
        <v>0.0</v>
      </c>
      <c r="DA1127" s="1">
        <v>0.0</v>
      </c>
      <c r="DB1127" s="1">
        <v>0.0</v>
      </c>
      <c r="DC1127" s="1">
        <v>0.0</v>
      </c>
      <c r="DD1127" s="1" t="s">
        <v>5019</v>
      </c>
      <c r="DE1127" s="1">
        <v>4.08382555502869E-4</v>
      </c>
      <c r="DF1127" s="2" t="s">
        <v>5020</v>
      </c>
    </row>
    <row r="1128" ht="15.75" customHeight="1">
      <c r="A1128" s="1" t="s">
        <v>5021</v>
      </c>
      <c r="B1128" s="1">
        <v>29.0</v>
      </c>
      <c r="C1128" s="1">
        <v>189.0</v>
      </c>
      <c r="D1128" s="1">
        <v>211202.0</v>
      </c>
      <c r="E1128" s="1">
        <v>0.931</v>
      </c>
      <c r="F1128" s="1">
        <v>29189.0</v>
      </c>
      <c r="G1128" s="1">
        <v>2.9189211202E10</v>
      </c>
      <c r="H1128" s="1" t="s">
        <v>112</v>
      </c>
      <c r="I1128" s="1" t="s">
        <v>113</v>
      </c>
      <c r="J1128" s="1" t="s">
        <v>4566</v>
      </c>
      <c r="K1128" s="1" t="s">
        <v>5022</v>
      </c>
      <c r="L1128" s="1">
        <v>3421.0</v>
      </c>
      <c r="M1128" s="1">
        <v>3142.0</v>
      </c>
      <c r="N1128" s="1">
        <v>280.0</v>
      </c>
      <c r="O1128" s="1">
        <v>1569.0</v>
      </c>
      <c r="P1128" s="1">
        <v>1565.0</v>
      </c>
      <c r="Q1128" s="1">
        <v>86.0</v>
      </c>
      <c r="R1128" s="1">
        <v>1459.0</v>
      </c>
      <c r="S1128" s="1">
        <v>401.0</v>
      </c>
      <c r="T1128" s="1">
        <v>285.0</v>
      </c>
      <c r="U1128" s="1">
        <v>140.0</v>
      </c>
      <c r="V1128" s="1">
        <v>402.0</v>
      </c>
      <c r="W1128" s="1">
        <v>27600.0</v>
      </c>
      <c r="X1128" s="1">
        <v>2917.0</v>
      </c>
      <c r="Y1128" s="1">
        <v>397.0</v>
      </c>
      <c r="Z1128" s="1">
        <v>320.0</v>
      </c>
      <c r="AA1128" s="1">
        <v>676.0</v>
      </c>
      <c r="AB1128" s="1">
        <v>711.0</v>
      </c>
      <c r="AC1128" s="1">
        <v>121.0</v>
      </c>
      <c r="AD1128" s="1">
        <v>376.0</v>
      </c>
      <c r="AE1128" s="1">
        <v>29.0</v>
      </c>
      <c r="AF1128" s="1">
        <v>444.0</v>
      </c>
      <c r="AG1128" s="1">
        <v>55.0</v>
      </c>
      <c r="AH1128" s="1">
        <v>175.0</v>
      </c>
      <c r="AI1128" s="1">
        <v>0.0</v>
      </c>
      <c r="AJ1128" s="1">
        <v>114.0</v>
      </c>
      <c r="AK1128" s="1">
        <v>0.0</v>
      </c>
      <c r="AL1128" s="1">
        <v>161.0</v>
      </c>
      <c r="AM1128" s="1">
        <v>132.0</v>
      </c>
      <c r="AN1128" s="1">
        <v>82.0</v>
      </c>
      <c r="AO1128" s="1">
        <v>93.0</v>
      </c>
      <c r="AP1128" s="1">
        <v>0.130618</v>
      </c>
      <c r="AQ1128" s="1">
        <v>0.092261</v>
      </c>
      <c r="AR1128" s="1">
        <v>0.085365</v>
      </c>
      <c r="AS1128" s="1">
        <v>0.244733</v>
      </c>
      <c r="AT1128" s="1">
        <v>27600.0</v>
      </c>
      <c r="AU1128" s="1">
        <v>2917.0</v>
      </c>
      <c r="AV1128" s="1">
        <v>0.164253</v>
      </c>
      <c r="AW1128" s="1">
        <v>0.131437</v>
      </c>
      <c r="AX1128" s="1">
        <v>0.197603</v>
      </c>
      <c r="AY1128" s="1">
        <v>0.207833</v>
      </c>
      <c r="AZ1128" s="1">
        <v>0.08293351</v>
      </c>
      <c r="BA1128" s="1">
        <v>0.109909</v>
      </c>
      <c r="BB1128" s="1">
        <v>0.009741</v>
      </c>
      <c r="BC1128" s="1">
        <v>0.14914</v>
      </c>
      <c r="BD1128" s="1">
        <v>0.035143</v>
      </c>
      <c r="BE1128" s="1">
        <v>0.111804</v>
      </c>
      <c r="BF1128" s="1">
        <v>0.0</v>
      </c>
      <c r="BG1128" s="1">
        <v>0.072843</v>
      </c>
      <c r="BH1128" s="1">
        <v>0.0</v>
      </c>
      <c r="BI1128" s="1">
        <v>0.112666</v>
      </c>
      <c r="BJ1128" s="1">
        <v>0.092372</v>
      </c>
      <c r="BK1128" s="1">
        <v>0.056899</v>
      </c>
      <c r="BL1128" s="1">
        <v>0.027185</v>
      </c>
      <c r="BM1128" s="1">
        <v>0.5</v>
      </c>
      <c r="BN1128" s="1">
        <v>0.651</v>
      </c>
      <c r="BO1128" s="1">
        <v>0.2643</v>
      </c>
      <c r="BP1128" s="1">
        <v>0.629</v>
      </c>
      <c r="BQ1128" s="1">
        <v>2.0443</v>
      </c>
      <c r="BR1128" s="1">
        <v>0.5155</v>
      </c>
      <c r="BS1128" s="1">
        <v>0.862</v>
      </c>
      <c r="BT1128" s="1">
        <v>0.225</v>
      </c>
      <c r="BU1128" s="1">
        <v>0.335</v>
      </c>
      <c r="BV1128" s="1">
        <v>1.422</v>
      </c>
      <c r="BW1128" s="1">
        <v>0.41</v>
      </c>
      <c r="BX1128" s="1">
        <v>0.503</v>
      </c>
      <c r="BY1128" s="1">
        <v>0.714</v>
      </c>
      <c r="BZ1128" s="1">
        <v>1.217</v>
      </c>
      <c r="CA1128" s="1">
        <v>0.669</v>
      </c>
      <c r="CB1128" s="1">
        <v>0.579</v>
      </c>
      <c r="CC1128" s="1">
        <v>0.0</v>
      </c>
      <c r="CD1128" s="1">
        <v>0.0</v>
      </c>
      <c r="CE1128" s="1">
        <v>0.728</v>
      </c>
      <c r="CF1128" s="1">
        <v>0.789</v>
      </c>
      <c r="CG1128" s="1">
        <v>2.096</v>
      </c>
      <c r="CH1128" s="1">
        <v>0.38</v>
      </c>
      <c r="CI1128" s="1">
        <v>6.7793</v>
      </c>
      <c r="CJ1128" s="1">
        <v>0.5076</v>
      </c>
      <c r="CK1128" s="1">
        <v>0.0</v>
      </c>
      <c r="CL1128" s="1">
        <v>0.0</v>
      </c>
      <c r="CM1128" s="1">
        <v>0.0</v>
      </c>
      <c r="CN1128" s="1">
        <v>0.0</v>
      </c>
      <c r="CO1128" s="1">
        <v>0.0</v>
      </c>
      <c r="CP1128" s="1">
        <v>0.0</v>
      </c>
      <c r="CQ1128" s="1">
        <v>0.0</v>
      </c>
      <c r="CR1128" s="1">
        <v>0.0</v>
      </c>
      <c r="CS1128" s="1">
        <v>0.0</v>
      </c>
      <c r="CT1128" s="1">
        <v>0.0</v>
      </c>
      <c r="CU1128" s="1">
        <v>0.0</v>
      </c>
      <c r="CV1128" s="1">
        <v>0.0</v>
      </c>
      <c r="CW1128" s="1">
        <v>0.0</v>
      </c>
      <c r="CX1128" s="1">
        <v>0.0</v>
      </c>
      <c r="CY1128" s="1">
        <v>0.0</v>
      </c>
      <c r="CZ1128" s="1">
        <v>0.0</v>
      </c>
      <c r="DA1128" s="1">
        <v>0.0</v>
      </c>
      <c r="DB1128" s="1">
        <v>0.0</v>
      </c>
      <c r="DC1128" s="1">
        <v>0.0</v>
      </c>
      <c r="DD1128" s="1" t="s">
        <v>5023</v>
      </c>
      <c r="DE1128" s="1">
        <v>2.50038937992521E-4</v>
      </c>
      <c r="DF1128" s="1">
        <v>0.0898311807701739</v>
      </c>
    </row>
    <row r="1129" ht="15.75" customHeight="1">
      <c r="A1129" s="1" t="s">
        <v>5024</v>
      </c>
      <c r="B1129" s="1">
        <v>29.0</v>
      </c>
      <c r="C1129" s="1">
        <v>189.0</v>
      </c>
      <c r="D1129" s="1">
        <v>211301.0</v>
      </c>
      <c r="E1129" s="1">
        <v>1.215</v>
      </c>
      <c r="F1129" s="1">
        <v>29189.0</v>
      </c>
      <c r="G1129" s="1">
        <v>2.9189211301E10</v>
      </c>
      <c r="H1129" s="1" t="s">
        <v>112</v>
      </c>
      <c r="I1129" s="1" t="s">
        <v>113</v>
      </c>
      <c r="J1129" s="1" t="s">
        <v>4566</v>
      </c>
      <c r="K1129" s="1" t="s">
        <v>5025</v>
      </c>
      <c r="L1129" s="1">
        <v>6114.0</v>
      </c>
      <c r="M1129" s="1">
        <v>6012.0</v>
      </c>
      <c r="N1129" s="1">
        <v>473.0</v>
      </c>
      <c r="O1129" s="1">
        <v>2572.0</v>
      </c>
      <c r="P1129" s="1">
        <v>2597.0</v>
      </c>
      <c r="Q1129" s="1">
        <v>99.0</v>
      </c>
      <c r="R1129" s="1">
        <v>2427.0</v>
      </c>
      <c r="S1129" s="1">
        <v>131.0</v>
      </c>
      <c r="T1129" s="1">
        <v>124.0</v>
      </c>
      <c r="U1129" s="1">
        <v>279.0</v>
      </c>
      <c r="V1129" s="1">
        <v>417.0</v>
      </c>
      <c r="W1129" s="1">
        <v>24588.0</v>
      </c>
      <c r="X1129" s="1">
        <v>1528.0</v>
      </c>
      <c r="Y1129" s="1">
        <v>399.0</v>
      </c>
      <c r="Z1129" s="1">
        <v>262.0</v>
      </c>
      <c r="AA1129" s="1">
        <v>931.0</v>
      </c>
      <c r="AB1129" s="1">
        <v>1436.0</v>
      </c>
      <c r="AC1129" s="1">
        <v>286.0</v>
      </c>
      <c r="AD1129" s="1">
        <v>890.0</v>
      </c>
      <c r="AE1129" s="1">
        <v>0.0</v>
      </c>
      <c r="AF1129" s="1">
        <v>456.0</v>
      </c>
      <c r="AG1129" s="1">
        <v>15.0</v>
      </c>
      <c r="AH1129" s="1">
        <v>163.0</v>
      </c>
      <c r="AI1129" s="1">
        <v>0.0</v>
      </c>
      <c r="AJ1129" s="1">
        <v>114.0</v>
      </c>
      <c r="AK1129" s="1">
        <v>0.0</v>
      </c>
      <c r="AL1129" s="1">
        <v>161.0</v>
      </c>
      <c r="AM1129" s="1">
        <v>97.0</v>
      </c>
      <c r="AN1129" s="1">
        <v>74.0</v>
      </c>
      <c r="AO1129" s="1">
        <v>75.0</v>
      </c>
      <c r="AP1129" s="1">
        <v>0.022094</v>
      </c>
      <c r="AQ1129" s="1">
        <v>0.020843</v>
      </c>
      <c r="AR1129" s="1">
        <v>0.086861</v>
      </c>
      <c r="AS1129" s="1">
        <v>0.129389</v>
      </c>
      <c r="AT1129" s="1">
        <v>24588.0</v>
      </c>
      <c r="AU1129" s="1">
        <v>1528.0</v>
      </c>
      <c r="AV1129" s="1">
        <v>0.09633</v>
      </c>
      <c r="AW1129" s="1">
        <v>0.062953</v>
      </c>
      <c r="AX1129" s="1">
        <v>0.152273</v>
      </c>
      <c r="AY1129" s="1">
        <v>0.23487</v>
      </c>
      <c r="AZ1129" s="1">
        <v>0.11784095</v>
      </c>
      <c r="BA1129" s="1">
        <v>0.145567</v>
      </c>
      <c r="BB1129" s="1">
        <v>0.0</v>
      </c>
      <c r="BC1129" s="1">
        <v>0.081023</v>
      </c>
      <c r="BD1129" s="1">
        <v>0.005775</v>
      </c>
      <c r="BE1129" s="1">
        <v>0.062764</v>
      </c>
      <c r="BF1129" s="1">
        <v>0.0</v>
      </c>
      <c r="BG1129" s="1">
        <v>0.043896</v>
      </c>
      <c r="BH1129" s="1">
        <v>0.0</v>
      </c>
      <c r="BI1129" s="1">
        <v>0.065103</v>
      </c>
      <c r="BJ1129" s="1">
        <v>0.039223</v>
      </c>
      <c r="BK1129" s="1">
        <v>0.029846</v>
      </c>
      <c r="BL1129" s="1">
        <v>0.012266</v>
      </c>
      <c r="BM1129" s="1">
        <v>0.064</v>
      </c>
      <c r="BN1129" s="1">
        <v>0.658</v>
      </c>
      <c r="BO1129" s="1">
        <v>0.3661</v>
      </c>
      <c r="BP1129" s="1">
        <v>0.32</v>
      </c>
      <c r="BQ1129" s="1">
        <v>1.4081</v>
      </c>
      <c r="BR1129" s="1">
        <v>0.3141</v>
      </c>
      <c r="BS1129" s="1">
        <v>0.6</v>
      </c>
      <c r="BT1129" s="1">
        <v>0.435</v>
      </c>
      <c r="BU1129" s="1">
        <v>0.654</v>
      </c>
      <c r="BV1129" s="1">
        <v>1.689</v>
      </c>
      <c r="BW1129" s="1">
        <v>0.633</v>
      </c>
      <c r="BX1129" s="1">
        <v>0.61</v>
      </c>
      <c r="BY1129" s="1">
        <v>0.0</v>
      </c>
      <c r="BZ1129" s="1">
        <v>0.61</v>
      </c>
      <c r="CA1129" s="1">
        <v>0.279</v>
      </c>
      <c r="CB1129" s="1">
        <v>0.331</v>
      </c>
      <c r="CC1129" s="1">
        <v>0.0</v>
      </c>
      <c r="CD1129" s="1">
        <v>0.0</v>
      </c>
      <c r="CE1129" s="1">
        <v>0.384</v>
      </c>
      <c r="CF1129" s="1">
        <v>0.607</v>
      </c>
      <c r="CG1129" s="1">
        <v>1.322</v>
      </c>
      <c r="CH1129" s="1">
        <v>0.133</v>
      </c>
      <c r="CI1129" s="1">
        <v>5.0291</v>
      </c>
      <c r="CJ1129" s="1">
        <v>0.2072</v>
      </c>
      <c r="CK1129" s="1">
        <v>0.0</v>
      </c>
      <c r="CL1129" s="1">
        <v>0.0</v>
      </c>
      <c r="CM1129" s="1">
        <v>0.0</v>
      </c>
      <c r="CN1129" s="1">
        <v>0.0</v>
      </c>
      <c r="CO1129" s="1">
        <v>0.0</v>
      </c>
      <c r="CP1129" s="1">
        <v>0.0</v>
      </c>
      <c r="CQ1129" s="1">
        <v>0.0</v>
      </c>
      <c r="CR1129" s="1">
        <v>0.0</v>
      </c>
      <c r="CS1129" s="1">
        <v>0.0</v>
      </c>
      <c r="CT1129" s="1">
        <v>0.0</v>
      </c>
      <c r="CU1129" s="1">
        <v>0.0</v>
      </c>
      <c r="CV1129" s="1">
        <v>0.0</v>
      </c>
      <c r="CW1129" s="1">
        <v>0.0</v>
      </c>
      <c r="CX1129" s="1">
        <v>0.0</v>
      </c>
      <c r="CY1129" s="1">
        <v>0.0</v>
      </c>
      <c r="CZ1129" s="1">
        <v>0.0</v>
      </c>
      <c r="DA1129" s="1">
        <v>0.0</v>
      </c>
      <c r="DB1129" s="1">
        <v>0.0</v>
      </c>
      <c r="DC1129" s="1">
        <v>0.0</v>
      </c>
      <c r="DD1129" s="1" t="s">
        <v>5026</v>
      </c>
      <c r="DE1129" s="1">
        <v>3.2769903991448E-4</v>
      </c>
      <c r="DF1129" s="1">
        <v>0.0764093227237727</v>
      </c>
    </row>
    <row r="1130" ht="15.75" customHeight="1">
      <c r="A1130" s="1" t="s">
        <v>5027</v>
      </c>
      <c r="B1130" s="1">
        <v>29.0</v>
      </c>
      <c r="C1130" s="1">
        <v>189.0</v>
      </c>
      <c r="D1130" s="1">
        <v>211331.0</v>
      </c>
      <c r="E1130" s="1">
        <v>1.075</v>
      </c>
      <c r="F1130" s="1">
        <v>29189.0</v>
      </c>
      <c r="G1130" s="1">
        <v>2.9189211331E10</v>
      </c>
      <c r="H1130" s="1" t="s">
        <v>112</v>
      </c>
      <c r="I1130" s="1" t="s">
        <v>113</v>
      </c>
      <c r="J1130" s="1" t="s">
        <v>4566</v>
      </c>
      <c r="K1130" s="1" t="s">
        <v>5028</v>
      </c>
      <c r="L1130" s="1">
        <v>6352.0</v>
      </c>
      <c r="M1130" s="1">
        <v>6008.0</v>
      </c>
      <c r="N1130" s="1">
        <v>672.0</v>
      </c>
      <c r="O1130" s="1">
        <v>2555.0</v>
      </c>
      <c r="P1130" s="1">
        <v>2629.0</v>
      </c>
      <c r="Q1130" s="1">
        <v>71.0</v>
      </c>
      <c r="R1130" s="1">
        <v>2434.0</v>
      </c>
      <c r="S1130" s="1">
        <v>470.0</v>
      </c>
      <c r="T1130" s="1">
        <v>309.0</v>
      </c>
      <c r="U1130" s="1">
        <v>264.0</v>
      </c>
      <c r="V1130" s="1">
        <v>416.0</v>
      </c>
      <c r="W1130" s="1">
        <v>24409.0</v>
      </c>
      <c r="X1130" s="1">
        <v>1992.0</v>
      </c>
      <c r="Y1130" s="1">
        <v>406.0</v>
      </c>
      <c r="Z1130" s="1">
        <v>199.0</v>
      </c>
      <c r="AA1130" s="1">
        <v>934.0</v>
      </c>
      <c r="AB1130" s="1">
        <v>1433.0</v>
      </c>
      <c r="AC1130" s="1">
        <v>322.0</v>
      </c>
      <c r="AD1130" s="1">
        <v>1377.0</v>
      </c>
      <c r="AE1130" s="1">
        <v>60.0</v>
      </c>
      <c r="AF1130" s="1">
        <v>398.0</v>
      </c>
      <c r="AG1130" s="1">
        <v>311.0</v>
      </c>
      <c r="AH1130" s="1">
        <v>199.0</v>
      </c>
      <c r="AI1130" s="1">
        <v>0.0</v>
      </c>
      <c r="AJ1130" s="1">
        <v>114.0</v>
      </c>
      <c r="AK1130" s="1">
        <v>0.0</v>
      </c>
      <c r="AL1130" s="1">
        <v>161.0</v>
      </c>
      <c r="AM1130" s="1">
        <v>105.0</v>
      </c>
      <c r="AN1130" s="1">
        <v>71.0</v>
      </c>
      <c r="AO1130" s="1">
        <v>290.0</v>
      </c>
      <c r="AP1130" s="1">
        <v>0.08234</v>
      </c>
      <c r="AQ1130" s="1">
        <v>0.053301</v>
      </c>
      <c r="AR1130" s="1">
        <v>0.082525</v>
      </c>
      <c r="AS1130" s="1">
        <v>0.129666</v>
      </c>
      <c r="AT1130" s="1">
        <v>24409.0</v>
      </c>
      <c r="AU1130" s="1">
        <v>1992.0</v>
      </c>
      <c r="AV1130" s="1">
        <v>0.099461</v>
      </c>
      <c r="AW1130" s="1">
        <v>0.048099</v>
      </c>
      <c r="AX1130" s="1">
        <v>0.14704</v>
      </c>
      <c r="AY1130" s="1">
        <v>0.225598</v>
      </c>
      <c r="AZ1130" s="1">
        <v>0.13229252</v>
      </c>
      <c r="BA1130" s="1">
        <v>0.216782</v>
      </c>
      <c r="BB1130" s="1">
        <v>0.010647</v>
      </c>
      <c r="BC1130" s="1">
        <v>0.070619</v>
      </c>
      <c r="BD1130" s="1">
        <v>0.118295</v>
      </c>
      <c r="BE1130" s="1">
        <v>0.075626</v>
      </c>
      <c r="BF1130" s="1">
        <v>0.0</v>
      </c>
      <c r="BG1130" s="1">
        <v>0.043362</v>
      </c>
      <c r="BH1130" s="1">
        <v>0.0</v>
      </c>
      <c r="BI1130" s="1">
        <v>0.067818</v>
      </c>
      <c r="BJ1130" s="1">
        <v>0.044229</v>
      </c>
      <c r="BK1130" s="1">
        <v>0.029752</v>
      </c>
      <c r="BL1130" s="1">
        <v>0.045654</v>
      </c>
      <c r="BM1130" s="1">
        <v>0.3</v>
      </c>
      <c r="BN1130" s="1">
        <v>0.633</v>
      </c>
      <c r="BO1130" s="1">
        <v>0.3747</v>
      </c>
      <c r="BP1130" s="1">
        <v>0.335</v>
      </c>
      <c r="BQ1130" s="1">
        <v>1.6427</v>
      </c>
      <c r="BR1130" s="1">
        <v>0.3863</v>
      </c>
      <c r="BS1130" s="1">
        <v>0.556</v>
      </c>
      <c r="BT1130" s="1">
        <v>0.345</v>
      </c>
      <c r="BU1130" s="1">
        <v>0.726</v>
      </c>
      <c r="BV1130" s="1">
        <v>1.627</v>
      </c>
      <c r="BW1130" s="1">
        <v>0.586</v>
      </c>
      <c r="BX1130" s="1">
        <v>0.732</v>
      </c>
      <c r="BY1130" s="1">
        <v>0.738</v>
      </c>
      <c r="BZ1130" s="1">
        <v>1.47</v>
      </c>
      <c r="CA1130" s="1">
        <v>0.805</v>
      </c>
      <c r="CB1130" s="1">
        <v>0.799</v>
      </c>
      <c r="CC1130" s="1">
        <v>0.0</v>
      </c>
      <c r="CD1130" s="1">
        <v>0.0</v>
      </c>
      <c r="CE1130" s="1">
        <v>0.436</v>
      </c>
      <c r="CF1130" s="1">
        <v>0.879</v>
      </c>
      <c r="CG1130" s="1">
        <v>2.114</v>
      </c>
      <c r="CH1130" s="1">
        <v>0.387</v>
      </c>
      <c r="CI1130" s="1">
        <v>6.8537</v>
      </c>
      <c r="CJ1130" s="1">
        <v>0.5206</v>
      </c>
      <c r="CK1130" s="1">
        <v>0.0</v>
      </c>
      <c r="CL1130" s="1">
        <v>0.0</v>
      </c>
      <c r="CM1130" s="1">
        <v>0.0</v>
      </c>
      <c r="CN1130" s="1">
        <v>0.0</v>
      </c>
      <c r="CO1130" s="1">
        <v>0.0</v>
      </c>
      <c r="CP1130" s="1">
        <v>0.0</v>
      </c>
      <c r="CQ1130" s="1">
        <v>0.0</v>
      </c>
      <c r="CR1130" s="1">
        <v>0.0</v>
      </c>
      <c r="CS1130" s="1">
        <v>0.0</v>
      </c>
      <c r="CT1130" s="1">
        <v>0.0</v>
      </c>
      <c r="CU1130" s="1">
        <v>0.0</v>
      </c>
      <c r="CV1130" s="1">
        <v>0.0</v>
      </c>
      <c r="CW1130" s="1">
        <v>0.0</v>
      </c>
      <c r="CX1130" s="1">
        <v>0.0</v>
      </c>
      <c r="CY1130" s="1">
        <v>0.0</v>
      </c>
      <c r="CZ1130" s="1">
        <v>0.0</v>
      </c>
      <c r="DA1130" s="1">
        <v>0.0</v>
      </c>
      <c r="DB1130" s="1">
        <v>0.0</v>
      </c>
      <c r="DC1130" s="1">
        <v>0.0</v>
      </c>
      <c r="DD1130" s="1" t="s">
        <v>5029</v>
      </c>
      <c r="DE1130" s="1">
        <v>2.87567251804794E-4</v>
      </c>
      <c r="DF1130" s="1">
        <v>0.0713219081271361</v>
      </c>
    </row>
    <row r="1131" ht="15.75" customHeight="1">
      <c r="A1131" s="1" t="s">
        <v>5030</v>
      </c>
      <c r="B1131" s="1">
        <v>29.0</v>
      </c>
      <c r="C1131" s="1">
        <v>189.0</v>
      </c>
      <c r="D1131" s="1">
        <v>211332.0</v>
      </c>
      <c r="E1131" s="1">
        <v>1.265</v>
      </c>
      <c r="F1131" s="1">
        <v>29189.0</v>
      </c>
      <c r="G1131" s="1">
        <v>2.9189211332E10</v>
      </c>
      <c r="H1131" s="1" t="s">
        <v>112</v>
      </c>
      <c r="I1131" s="1" t="s">
        <v>113</v>
      </c>
      <c r="J1131" s="1" t="s">
        <v>4566</v>
      </c>
      <c r="K1131" s="1" t="s">
        <v>5031</v>
      </c>
      <c r="L1131" s="1">
        <v>6483.0</v>
      </c>
      <c r="M1131" s="1">
        <v>5816.0</v>
      </c>
      <c r="N1131" s="1">
        <v>479.0</v>
      </c>
      <c r="O1131" s="1">
        <v>2646.0</v>
      </c>
      <c r="P1131" s="1">
        <v>2557.0</v>
      </c>
      <c r="Q1131" s="1">
        <v>122.0</v>
      </c>
      <c r="R1131" s="1">
        <v>2515.0</v>
      </c>
      <c r="S1131" s="1">
        <v>277.0</v>
      </c>
      <c r="T1131" s="1">
        <v>150.0</v>
      </c>
      <c r="U1131" s="1">
        <v>220.0</v>
      </c>
      <c r="V1131" s="1">
        <v>414.0</v>
      </c>
      <c r="W1131" s="1">
        <v>24505.0</v>
      </c>
      <c r="X1131" s="1">
        <v>1942.0</v>
      </c>
      <c r="Y1131" s="1">
        <v>425.0</v>
      </c>
      <c r="Z1131" s="1">
        <v>293.0</v>
      </c>
      <c r="AA1131" s="1">
        <v>953.0</v>
      </c>
      <c r="AB1131" s="1">
        <v>1596.0</v>
      </c>
      <c r="AC1131" s="1">
        <v>329.0</v>
      </c>
      <c r="AD1131" s="1">
        <v>1501.0</v>
      </c>
      <c r="AE1131" s="1">
        <v>65.0</v>
      </c>
      <c r="AF1131" s="1">
        <v>416.0</v>
      </c>
      <c r="AG1131" s="1">
        <v>18.0</v>
      </c>
      <c r="AH1131" s="1">
        <v>164.0</v>
      </c>
      <c r="AI1131" s="1">
        <v>13.0</v>
      </c>
      <c r="AJ1131" s="1">
        <v>22.0</v>
      </c>
      <c r="AK1131" s="1">
        <v>21.0</v>
      </c>
      <c r="AL1131" s="1">
        <v>117.0</v>
      </c>
      <c r="AM1131" s="1">
        <v>28.0</v>
      </c>
      <c r="AN1131" s="1">
        <v>118.0</v>
      </c>
      <c r="AO1131" s="1">
        <v>3.0</v>
      </c>
      <c r="AP1131" s="1">
        <v>0.047783</v>
      </c>
      <c r="AQ1131" s="1">
        <v>0.025574</v>
      </c>
      <c r="AR1131" s="1">
        <v>0.067196</v>
      </c>
      <c r="AS1131" s="1">
        <v>0.126237</v>
      </c>
      <c r="AT1131" s="1">
        <v>24505.0</v>
      </c>
      <c r="AU1131" s="1">
        <v>1942.0</v>
      </c>
      <c r="AV1131" s="1">
        <v>0.099765</v>
      </c>
      <c r="AW1131" s="1">
        <v>0.068349</v>
      </c>
      <c r="AX1131" s="1">
        <v>0.146999</v>
      </c>
      <c r="AY1131" s="1">
        <v>0.246182</v>
      </c>
      <c r="AZ1131" s="1">
        <v>0.1308151</v>
      </c>
      <c r="BA1131" s="1">
        <v>0.231528</v>
      </c>
      <c r="BB1131" s="1">
        <v>0.011792</v>
      </c>
      <c r="BC1131" s="1">
        <v>0.075465</v>
      </c>
      <c r="BD1131" s="1">
        <v>0.007039</v>
      </c>
      <c r="BE1131" s="1">
        <v>0.064136</v>
      </c>
      <c r="BF1131" s="1">
        <v>0.005084</v>
      </c>
      <c r="BG1131" s="1">
        <v>0.0086</v>
      </c>
      <c r="BH1131" s="1">
        <v>0.00883</v>
      </c>
      <c r="BI1131" s="1">
        <v>0.049197</v>
      </c>
      <c r="BJ1131" s="1">
        <v>0.011774</v>
      </c>
      <c r="BK1131" s="1">
        <v>0.049615</v>
      </c>
      <c r="BL1131" s="1">
        <v>4.62E-4</v>
      </c>
      <c r="BM1131" s="1">
        <v>0.157</v>
      </c>
      <c r="BN1131" s="1">
        <v>0.49</v>
      </c>
      <c r="BO1131" s="1">
        <v>0.3711</v>
      </c>
      <c r="BP1131" s="1">
        <v>0.338</v>
      </c>
      <c r="BQ1131" s="1">
        <v>1.3561</v>
      </c>
      <c r="BR1131" s="1">
        <v>0.2975</v>
      </c>
      <c r="BS1131" s="1">
        <v>0.555</v>
      </c>
      <c r="BT1131" s="1">
        <v>0.558</v>
      </c>
      <c r="BU1131" s="1">
        <v>0.72</v>
      </c>
      <c r="BV1131" s="1">
        <v>1.833</v>
      </c>
      <c r="BW1131" s="1">
        <v>0.757</v>
      </c>
      <c r="BX1131" s="1">
        <v>0.746</v>
      </c>
      <c r="BY1131" s="1">
        <v>0.765</v>
      </c>
      <c r="BZ1131" s="1">
        <v>1.511</v>
      </c>
      <c r="CA1131" s="1">
        <v>0.833</v>
      </c>
      <c r="CB1131" s="1">
        <v>0.352</v>
      </c>
      <c r="CC1131" s="1">
        <v>0.397</v>
      </c>
      <c r="CD1131" s="1">
        <v>0.453</v>
      </c>
      <c r="CE1131" s="1">
        <v>0.106</v>
      </c>
      <c r="CF1131" s="1">
        <v>0.366</v>
      </c>
      <c r="CG1131" s="1">
        <v>1.674</v>
      </c>
      <c r="CH1131" s="1">
        <v>0.224</v>
      </c>
      <c r="CI1131" s="1">
        <v>6.3741</v>
      </c>
      <c r="CJ1131" s="1">
        <v>0.4404</v>
      </c>
      <c r="CK1131" s="1">
        <v>0.0</v>
      </c>
      <c r="CL1131" s="1">
        <v>0.0</v>
      </c>
      <c r="CM1131" s="1">
        <v>0.0</v>
      </c>
      <c r="CN1131" s="1">
        <v>0.0</v>
      </c>
      <c r="CO1131" s="1">
        <v>0.0</v>
      </c>
      <c r="CP1131" s="1">
        <v>0.0</v>
      </c>
      <c r="CQ1131" s="1">
        <v>0.0</v>
      </c>
      <c r="CR1131" s="1">
        <v>0.0</v>
      </c>
      <c r="CS1131" s="1">
        <v>0.0</v>
      </c>
      <c r="CT1131" s="1">
        <v>0.0</v>
      </c>
      <c r="CU1131" s="1">
        <v>0.0</v>
      </c>
      <c r="CV1131" s="1">
        <v>0.0</v>
      </c>
      <c r="CW1131" s="1">
        <v>0.0</v>
      </c>
      <c r="CX1131" s="1">
        <v>0.0</v>
      </c>
      <c r="CY1131" s="1">
        <v>0.0</v>
      </c>
      <c r="CZ1131" s="1">
        <v>0.0</v>
      </c>
      <c r="DA1131" s="1">
        <v>0.0</v>
      </c>
      <c r="DB1131" s="1">
        <v>0.0</v>
      </c>
      <c r="DC1131" s="1">
        <v>0.0</v>
      </c>
      <c r="DD1131" s="1" t="s">
        <v>5032</v>
      </c>
      <c r="DE1131" s="1">
        <v>3.40328686109095E-4</v>
      </c>
      <c r="DF1131" s="1">
        <v>0.0796840260978685</v>
      </c>
    </row>
    <row r="1132" ht="15.75" customHeight="1">
      <c r="A1132" s="1" t="s">
        <v>5033</v>
      </c>
      <c r="B1132" s="1">
        <v>29.0</v>
      </c>
      <c r="C1132" s="1">
        <v>189.0</v>
      </c>
      <c r="D1132" s="1">
        <v>211333.0</v>
      </c>
      <c r="E1132" s="1">
        <v>2.117</v>
      </c>
      <c r="F1132" s="1">
        <v>29189.0</v>
      </c>
      <c r="G1132" s="1">
        <v>2.9189211333E10</v>
      </c>
      <c r="H1132" s="1" t="s">
        <v>112</v>
      </c>
      <c r="I1132" s="1" t="s">
        <v>113</v>
      </c>
      <c r="J1132" s="1" t="s">
        <v>4566</v>
      </c>
      <c r="K1132" s="1" t="s">
        <v>5034</v>
      </c>
      <c r="L1132" s="1">
        <v>5148.0</v>
      </c>
      <c r="M1132" s="1">
        <v>5043.0</v>
      </c>
      <c r="N1132" s="1">
        <v>364.0</v>
      </c>
      <c r="O1132" s="1">
        <v>2295.0</v>
      </c>
      <c r="P1132" s="1">
        <v>2334.0</v>
      </c>
      <c r="Q1132" s="1">
        <v>70.0</v>
      </c>
      <c r="R1132" s="1">
        <v>2216.0</v>
      </c>
      <c r="S1132" s="1">
        <v>251.0</v>
      </c>
      <c r="T1132" s="1">
        <v>216.0</v>
      </c>
      <c r="U1132" s="1">
        <v>122.0</v>
      </c>
      <c r="V1132" s="1">
        <v>418.0</v>
      </c>
      <c r="W1132" s="1">
        <v>33523.0</v>
      </c>
      <c r="X1132" s="1">
        <v>3318.0</v>
      </c>
      <c r="Y1132" s="1">
        <v>156.0</v>
      </c>
      <c r="Z1132" s="1">
        <v>372.0</v>
      </c>
      <c r="AA1132" s="1">
        <v>643.0</v>
      </c>
      <c r="AB1132" s="1">
        <v>1167.0</v>
      </c>
      <c r="AC1132" s="1">
        <v>275.0</v>
      </c>
      <c r="AD1132" s="1">
        <v>1752.0</v>
      </c>
      <c r="AE1132" s="1">
        <v>42.0</v>
      </c>
      <c r="AF1132" s="1">
        <v>447.0</v>
      </c>
      <c r="AG1132" s="1">
        <v>394.0</v>
      </c>
      <c r="AH1132" s="1">
        <v>160.0</v>
      </c>
      <c r="AI1132" s="1">
        <v>0.0</v>
      </c>
      <c r="AJ1132" s="1">
        <v>114.0</v>
      </c>
      <c r="AK1132" s="1">
        <v>0.0</v>
      </c>
      <c r="AL1132" s="1">
        <v>161.0</v>
      </c>
      <c r="AM1132" s="1">
        <v>127.0</v>
      </c>
      <c r="AN1132" s="1">
        <v>89.0</v>
      </c>
      <c r="AO1132" s="1">
        <v>0.0</v>
      </c>
      <c r="AP1132" s="1">
        <v>0.050139</v>
      </c>
      <c r="AQ1132" s="1">
        <v>0.043006</v>
      </c>
      <c r="AR1132" s="1">
        <v>0.042011</v>
      </c>
      <c r="AS1132" s="1">
        <v>0.143845</v>
      </c>
      <c r="AT1132" s="1">
        <v>33523.0</v>
      </c>
      <c r="AU1132" s="1">
        <v>3318.0</v>
      </c>
      <c r="AV1132" s="1">
        <v>0.048462</v>
      </c>
      <c r="AW1132" s="1">
        <v>0.11551</v>
      </c>
      <c r="AX1132" s="1">
        <v>0.124902</v>
      </c>
      <c r="AY1132" s="1">
        <v>0.226689</v>
      </c>
      <c r="AZ1132" s="1">
        <v>0.12409747</v>
      </c>
      <c r="BA1132" s="1">
        <v>0.340326</v>
      </c>
      <c r="BB1132" s="1">
        <v>0.008806</v>
      </c>
      <c r="BC1132" s="1">
        <v>0.093728</v>
      </c>
      <c r="BD1132" s="1">
        <v>0.168808</v>
      </c>
      <c r="BE1132" s="1">
        <v>0.068364</v>
      </c>
      <c r="BF1132" s="1">
        <v>0.0</v>
      </c>
      <c r="BG1132" s="1">
        <v>0.048843</v>
      </c>
      <c r="BH1132" s="1">
        <v>0.0</v>
      </c>
      <c r="BI1132" s="1">
        <v>0.072327</v>
      </c>
      <c r="BJ1132" s="1">
        <v>0.057053</v>
      </c>
      <c r="BK1132" s="1">
        <v>0.03984</v>
      </c>
      <c r="BL1132" s="1">
        <v>0.0</v>
      </c>
      <c r="BM1132" s="1">
        <v>0.166</v>
      </c>
      <c r="BN1132" s="1">
        <v>0.206</v>
      </c>
      <c r="BO1132" s="1">
        <v>0.1357</v>
      </c>
      <c r="BP1132" s="1">
        <v>0.123</v>
      </c>
      <c r="BQ1132" s="1">
        <v>0.6307</v>
      </c>
      <c r="BR1132" s="1">
        <v>0.1047</v>
      </c>
      <c r="BS1132" s="1">
        <v>0.38</v>
      </c>
      <c r="BT1132" s="1">
        <v>0.355</v>
      </c>
      <c r="BU1132" s="1">
        <v>0.695</v>
      </c>
      <c r="BV1132" s="1">
        <v>1.43</v>
      </c>
      <c r="BW1132" s="1">
        <v>0.417</v>
      </c>
      <c r="BX1132" s="1">
        <v>0.812</v>
      </c>
      <c r="BY1132" s="1">
        <v>0.69</v>
      </c>
      <c r="BZ1132" s="1">
        <v>1.502</v>
      </c>
      <c r="CA1132" s="1">
        <v>0.826</v>
      </c>
      <c r="CB1132" s="1">
        <v>0.866</v>
      </c>
      <c r="CC1132" s="1">
        <v>0.0</v>
      </c>
      <c r="CD1132" s="1">
        <v>0.0</v>
      </c>
      <c r="CE1132" s="1">
        <v>0.546</v>
      </c>
      <c r="CF1132" s="1">
        <v>0.0</v>
      </c>
      <c r="CG1132" s="1">
        <v>1.412</v>
      </c>
      <c r="CH1132" s="1">
        <v>0.151</v>
      </c>
      <c r="CI1132" s="1">
        <v>4.9747</v>
      </c>
      <c r="CJ1132" s="1">
        <v>0.1993</v>
      </c>
      <c r="CK1132" s="1">
        <v>0.0</v>
      </c>
      <c r="CL1132" s="1">
        <v>0.0</v>
      </c>
      <c r="CM1132" s="1">
        <v>0.0</v>
      </c>
      <c r="CN1132" s="1">
        <v>0.0</v>
      </c>
      <c r="CO1132" s="1">
        <v>0.0</v>
      </c>
      <c r="CP1132" s="1">
        <v>0.0</v>
      </c>
      <c r="CQ1132" s="1">
        <v>0.0</v>
      </c>
      <c r="CR1132" s="1">
        <v>0.0</v>
      </c>
      <c r="CS1132" s="1">
        <v>0.0</v>
      </c>
      <c r="CT1132" s="1">
        <v>0.0</v>
      </c>
      <c r="CU1132" s="1">
        <v>0.0</v>
      </c>
      <c r="CV1132" s="1">
        <v>0.0</v>
      </c>
      <c r="CW1132" s="1">
        <v>0.0</v>
      </c>
      <c r="CX1132" s="1">
        <v>0.0</v>
      </c>
      <c r="CY1132" s="1">
        <v>0.0</v>
      </c>
      <c r="CZ1132" s="1">
        <v>0.0</v>
      </c>
      <c r="DA1132" s="1">
        <v>0.0</v>
      </c>
      <c r="DB1132" s="1">
        <v>0.0</v>
      </c>
      <c r="DC1132" s="1">
        <v>0.0</v>
      </c>
      <c r="DD1132" s="1" t="s">
        <v>5035</v>
      </c>
      <c r="DE1132" s="1">
        <v>5.70264649762629E-4</v>
      </c>
      <c r="DF1132" s="2" t="s">
        <v>5036</v>
      </c>
    </row>
    <row r="1133" ht="15.75" customHeight="1">
      <c r="A1133" s="1" t="s">
        <v>5037</v>
      </c>
      <c r="B1133" s="1">
        <v>29.0</v>
      </c>
      <c r="C1133" s="1">
        <v>189.0</v>
      </c>
      <c r="D1133" s="1">
        <v>211334.0</v>
      </c>
      <c r="E1133" s="1">
        <v>3.333</v>
      </c>
      <c r="F1133" s="1">
        <v>29189.0</v>
      </c>
      <c r="G1133" s="1">
        <v>2.9189211334E10</v>
      </c>
      <c r="H1133" s="1" t="s">
        <v>112</v>
      </c>
      <c r="I1133" s="1" t="s">
        <v>113</v>
      </c>
      <c r="J1133" s="1" t="s">
        <v>4566</v>
      </c>
      <c r="K1133" s="1" t="s">
        <v>5038</v>
      </c>
      <c r="L1133" s="1">
        <v>4111.0</v>
      </c>
      <c r="M1133" s="1">
        <v>4285.0</v>
      </c>
      <c r="N1133" s="1">
        <v>328.0</v>
      </c>
      <c r="O1133" s="1">
        <v>1710.0</v>
      </c>
      <c r="P1133" s="1">
        <v>1793.0</v>
      </c>
      <c r="Q1133" s="1">
        <v>64.0</v>
      </c>
      <c r="R1133" s="1">
        <v>1622.0</v>
      </c>
      <c r="S1133" s="1">
        <v>145.0</v>
      </c>
      <c r="T1133" s="1">
        <v>142.0</v>
      </c>
      <c r="U1133" s="1">
        <v>265.0</v>
      </c>
      <c r="V1133" s="1">
        <v>400.0</v>
      </c>
      <c r="W1133" s="1">
        <v>22016.0</v>
      </c>
      <c r="X1133" s="1">
        <v>1853.0</v>
      </c>
      <c r="Y1133" s="1">
        <v>316.0</v>
      </c>
      <c r="Z1133" s="1">
        <v>278.0</v>
      </c>
      <c r="AA1133" s="1">
        <v>645.0</v>
      </c>
      <c r="AB1133" s="1">
        <v>1040.0</v>
      </c>
      <c r="AC1133" s="1">
        <v>186.0</v>
      </c>
      <c r="AD1133" s="1">
        <v>827.0</v>
      </c>
      <c r="AE1133" s="1">
        <v>0.0</v>
      </c>
      <c r="AF1133" s="1">
        <v>456.0</v>
      </c>
      <c r="AG1133" s="1">
        <v>306.0</v>
      </c>
      <c r="AH1133" s="1">
        <v>139.0</v>
      </c>
      <c r="AI1133" s="1">
        <v>0.0</v>
      </c>
      <c r="AJ1133" s="1">
        <v>114.0</v>
      </c>
      <c r="AK1133" s="1">
        <v>40.0</v>
      </c>
      <c r="AL1133" s="1">
        <v>120.0</v>
      </c>
      <c r="AM1133" s="1">
        <v>156.0</v>
      </c>
      <c r="AN1133" s="1">
        <v>81.0</v>
      </c>
      <c r="AO1133" s="1">
        <v>126.0</v>
      </c>
      <c r="AP1133" s="1">
        <v>0.035687</v>
      </c>
      <c r="AQ1133" s="1">
        <v>0.034861</v>
      </c>
      <c r="AR1133" s="1">
        <v>0.11825</v>
      </c>
      <c r="AS1133" s="1">
        <v>0.17793</v>
      </c>
      <c r="AT1133" s="1">
        <v>22016.0</v>
      </c>
      <c r="AU1133" s="1">
        <v>1853.0</v>
      </c>
      <c r="AV1133" s="1">
        <v>0.10957</v>
      </c>
      <c r="AW1133" s="1">
        <v>0.096093</v>
      </c>
      <c r="AX1133" s="1">
        <v>0.156896</v>
      </c>
      <c r="AY1133" s="1">
        <v>0.252979</v>
      </c>
      <c r="AZ1133" s="1">
        <v>0.11467324</v>
      </c>
      <c r="BA1133" s="1">
        <v>0.201167</v>
      </c>
      <c r="BB1133" s="1">
        <v>0.0</v>
      </c>
      <c r="BC1133" s="1">
        <v>0.11553</v>
      </c>
      <c r="BD1133" s="1">
        <v>0.170663</v>
      </c>
      <c r="BE1133" s="1">
        <v>0.077283</v>
      </c>
      <c r="BF1133" s="1">
        <v>0.0</v>
      </c>
      <c r="BG1133" s="1">
        <v>0.06358</v>
      </c>
      <c r="BH1133" s="1">
        <v>0.023337</v>
      </c>
      <c r="BI1133" s="1">
        <v>0.069995</v>
      </c>
      <c r="BJ1133" s="1">
        <v>0.091015</v>
      </c>
      <c r="BK1133" s="1">
        <v>0.046902</v>
      </c>
      <c r="BL1133" s="1">
        <v>0.030649</v>
      </c>
      <c r="BM1133" s="1">
        <v>0.106</v>
      </c>
      <c r="BN1133" s="1">
        <v>0.817</v>
      </c>
      <c r="BO1133" s="1">
        <v>0.4924</v>
      </c>
      <c r="BP1133" s="1">
        <v>0.382</v>
      </c>
      <c r="BQ1133" s="1">
        <v>1.7974</v>
      </c>
      <c r="BR1133" s="1">
        <v>0.4289</v>
      </c>
      <c r="BS1133" s="1">
        <v>0.643</v>
      </c>
      <c r="BT1133" s="1">
        <v>0.639</v>
      </c>
      <c r="BU1133" s="1">
        <v>0.628</v>
      </c>
      <c r="BV1133" s="1">
        <v>1.91</v>
      </c>
      <c r="BW1133" s="1">
        <v>0.807</v>
      </c>
      <c r="BX1133" s="1">
        <v>0.712</v>
      </c>
      <c r="BY1133" s="1">
        <v>0.0</v>
      </c>
      <c r="BZ1133" s="1">
        <v>0.712</v>
      </c>
      <c r="CA1133" s="1">
        <v>0.343</v>
      </c>
      <c r="CB1133" s="1">
        <v>0.867</v>
      </c>
      <c r="CC1133" s="1">
        <v>0.0</v>
      </c>
      <c r="CD1133" s="1">
        <v>0.733</v>
      </c>
      <c r="CE1133" s="1">
        <v>0.721</v>
      </c>
      <c r="CF1133" s="1">
        <v>0.811</v>
      </c>
      <c r="CG1133" s="1">
        <v>3.132</v>
      </c>
      <c r="CH1133" s="1">
        <v>0.825</v>
      </c>
      <c r="CI1133" s="1">
        <v>7.5514</v>
      </c>
      <c r="CJ1133" s="1">
        <v>0.6433</v>
      </c>
      <c r="CK1133" s="1">
        <v>0.0</v>
      </c>
      <c r="CL1133" s="1">
        <v>0.0</v>
      </c>
      <c r="CM1133" s="1">
        <v>0.0</v>
      </c>
      <c r="CN1133" s="1">
        <v>0.0</v>
      </c>
      <c r="CO1133" s="1">
        <v>0.0</v>
      </c>
      <c r="CP1133" s="1">
        <v>0.0</v>
      </c>
      <c r="CQ1133" s="1">
        <v>0.0</v>
      </c>
      <c r="CR1133" s="1">
        <v>0.0</v>
      </c>
      <c r="CS1133" s="1">
        <v>0.0</v>
      </c>
      <c r="CT1133" s="1">
        <v>0.0</v>
      </c>
      <c r="CU1133" s="1">
        <v>0.0</v>
      </c>
      <c r="CV1133" s="1">
        <v>0.0</v>
      </c>
      <c r="CW1133" s="1">
        <v>0.0</v>
      </c>
      <c r="CX1133" s="1">
        <v>0.0</v>
      </c>
      <c r="CY1133" s="1">
        <v>0.0</v>
      </c>
      <c r="CZ1133" s="1">
        <v>0.0</v>
      </c>
      <c r="DA1133" s="1">
        <v>0.0</v>
      </c>
      <c r="DB1133" s="1">
        <v>0.0</v>
      </c>
      <c r="DC1133" s="1">
        <v>0.0</v>
      </c>
      <c r="DD1133" s="1" t="s">
        <v>5039</v>
      </c>
      <c r="DE1133" s="1">
        <v>0.00115537804941483</v>
      </c>
      <c r="DF1133" s="2" t="s">
        <v>5040</v>
      </c>
    </row>
    <row r="1134" ht="15.75" customHeight="1">
      <c r="A1134" s="1" t="s">
        <v>5041</v>
      </c>
      <c r="B1134" s="1">
        <v>29.0</v>
      </c>
      <c r="C1134" s="1">
        <v>189.0</v>
      </c>
      <c r="D1134" s="1">
        <v>211402.0</v>
      </c>
      <c r="E1134" s="1">
        <v>2.228</v>
      </c>
      <c r="F1134" s="1">
        <v>29189.0</v>
      </c>
      <c r="G1134" s="1">
        <v>2.9189211402E10</v>
      </c>
      <c r="H1134" s="1" t="s">
        <v>112</v>
      </c>
      <c r="I1134" s="1" t="s">
        <v>113</v>
      </c>
      <c r="J1134" s="1" t="s">
        <v>4566</v>
      </c>
      <c r="K1134" s="1" t="s">
        <v>5042</v>
      </c>
      <c r="L1134" s="1">
        <v>2211.0</v>
      </c>
      <c r="M1134" s="1">
        <v>2269.0</v>
      </c>
      <c r="N1134" s="1">
        <v>200.0</v>
      </c>
      <c r="O1134" s="1">
        <v>1281.0</v>
      </c>
      <c r="P1134" s="1">
        <v>1292.0</v>
      </c>
      <c r="Q1134" s="1">
        <v>62.0</v>
      </c>
      <c r="R1134" s="1">
        <v>1209.0</v>
      </c>
      <c r="S1134" s="1">
        <v>305.0</v>
      </c>
      <c r="T1134" s="1">
        <v>181.0</v>
      </c>
      <c r="U1134" s="1">
        <v>75.0</v>
      </c>
      <c r="V1134" s="1">
        <v>398.0</v>
      </c>
      <c r="W1134" s="1">
        <v>23640.0</v>
      </c>
      <c r="X1134" s="1">
        <v>3361.0</v>
      </c>
      <c r="Y1134" s="1">
        <v>90.0</v>
      </c>
      <c r="Z1134" s="1">
        <v>348.0</v>
      </c>
      <c r="AA1134" s="1">
        <v>186.0</v>
      </c>
      <c r="AB1134" s="1">
        <v>364.0</v>
      </c>
      <c r="AC1134" s="1">
        <v>151.0</v>
      </c>
      <c r="AD1134" s="1">
        <v>1145.0</v>
      </c>
      <c r="AE1134" s="1">
        <v>0.0</v>
      </c>
      <c r="AF1134" s="1">
        <v>456.0</v>
      </c>
      <c r="AG1134" s="1">
        <v>446.0</v>
      </c>
      <c r="AH1134" s="1">
        <v>134.0</v>
      </c>
      <c r="AI1134" s="1">
        <v>92.0</v>
      </c>
      <c r="AJ1134" s="1">
        <v>47.0</v>
      </c>
      <c r="AK1134" s="1">
        <v>0.0</v>
      </c>
      <c r="AL1134" s="1">
        <v>161.0</v>
      </c>
      <c r="AM1134" s="1">
        <v>60.0</v>
      </c>
      <c r="AN1134" s="1">
        <v>43.0</v>
      </c>
      <c r="AO1134" s="1">
        <v>6.0</v>
      </c>
      <c r="AP1134" s="1">
        <v>0.13442</v>
      </c>
      <c r="AQ1134" s="1">
        <v>0.078885</v>
      </c>
      <c r="AR1134" s="1">
        <v>0.051759</v>
      </c>
      <c r="AS1134" s="1">
        <v>0.274458</v>
      </c>
      <c r="AT1134" s="1">
        <v>23640.0</v>
      </c>
      <c r="AU1134" s="1">
        <v>3361.0</v>
      </c>
      <c r="AV1134" s="1">
        <v>0.056004</v>
      </c>
      <c r="AW1134" s="1">
        <v>0.2165</v>
      </c>
      <c r="AX1134" s="1">
        <v>0.084124</v>
      </c>
      <c r="AY1134" s="1">
        <v>0.164631</v>
      </c>
      <c r="AZ1134" s="1">
        <v>0.1248966</v>
      </c>
      <c r="BA1134" s="1">
        <v>0.517865</v>
      </c>
      <c r="BB1134" s="1">
        <v>0.0</v>
      </c>
      <c r="BC1134" s="1">
        <v>0.211994</v>
      </c>
      <c r="BD1134" s="1">
        <v>0.345201</v>
      </c>
      <c r="BE1134" s="1">
        <v>0.102383</v>
      </c>
      <c r="BF1134" s="1">
        <v>0.071207</v>
      </c>
      <c r="BG1134" s="1">
        <v>0.036216</v>
      </c>
      <c r="BH1134" s="1">
        <v>0.0</v>
      </c>
      <c r="BI1134" s="1">
        <v>0.134054</v>
      </c>
      <c r="BJ1134" s="1">
        <v>0.049958</v>
      </c>
      <c r="BK1134" s="1">
        <v>0.03562</v>
      </c>
      <c r="BL1134" s="1">
        <v>0.002713</v>
      </c>
      <c r="BM1134" s="1">
        <v>0.513</v>
      </c>
      <c r="BN1134" s="1">
        <v>0.314</v>
      </c>
      <c r="BO1134" s="1">
        <v>0.4181</v>
      </c>
      <c r="BP1134" s="1">
        <v>0.15</v>
      </c>
      <c r="BQ1134" s="1">
        <v>1.3951</v>
      </c>
      <c r="BR1134" s="1">
        <v>0.309</v>
      </c>
      <c r="BS1134" s="1">
        <v>0.133</v>
      </c>
      <c r="BT1134" s="1">
        <v>0.092</v>
      </c>
      <c r="BU1134" s="1">
        <v>0.697</v>
      </c>
      <c r="BV1134" s="1">
        <v>0.922</v>
      </c>
      <c r="BW1134" s="1">
        <v>0.092</v>
      </c>
      <c r="BX1134" s="1">
        <v>0.867</v>
      </c>
      <c r="BY1134" s="1">
        <v>0.0</v>
      </c>
      <c r="BZ1134" s="1">
        <v>0.867</v>
      </c>
      <c r="CA1134" s="1">
        <v>0.445</v>
      </c>
      <c r="CB1134" s="1">
        <v>0.957</v>
      </c>
      <c r="CC1134" s="1">
        <v>0.653</v>
      </c>
      <c r="CD1134" s="1">
        <v>0.0</v>
      </c>
      <c r="CE1134" s="1">
        <v>0.486</v>
      </c>
      <c r="CF1134" s="1">
        <v>0.467</v>
      </c>
      <c r="CG1134" s="1">
        <v>2.563</v>
      </c>
      <c r="CH1134" s="1">
        <v>0.588</v>
      </c>
      <c r="CI1134" s="1">
        <v>5.7471</v>
      </c>
      <c r="CJ1134" s="1">
        <v>0.3278</v>
      </c>
      <c r="CK1134" s="1">
        <v>0.0</v>
      </c>
      <c r="CL1134" s="1">
        <v>0.0</v>
      </c>
      <c r="CM1134" s="1">
        <v>0.0</v>
      </c>
      <c r="CN1134" s="1">
        <v>0.0</v>
      </c>
      <c r="CO1134" s="1">
        <v>0.0</v>
      </c>
      <c r="CP1134" s="1">
        <v>0.0</v>
      </c>
      <c r="CQ1134" s="1">
        <v>0.0</v>
      </c>
      <c r="CR1134" s="1">
        <v>0.0</v>
      </c>
      <c r="CS1134" s="1">
        <v>0.0</v>
      </c>
      <c r="CT1134" s="1">
        <v>0.0</v>
      </c>
      <c r="CU1134" s="1">
        <v>0.0</v>
      </c>
      <c r="CV1134" s="1">
        <v>0.0</v>
      </c>
      <c r="CW1134" s="1">
        <v>1.0</v>
      </c>
      <c r="CX1134" s="1">
        <v>0.0</v>
      </c>
      <c r="CY1134" s="1">
        <v>0.0</v>
      </c>
      <c r="CZ1134" s="1">
        <v>0.0</v>
      </c>
      <c r="DA1134" s="1">
        <v>0.0</v>
      </c>
      <c r="DB1134" s="1">
        <v>1.0</v>
      </c>
      <c r="DC1134" s="1">
        <v>1.0</v>
      </c>
      <c r="DD1134" s="1" t="s">
        <v>5043</v>
      </c>
      <c r="DE1134" s="1">
        <v>5.97204799576346E-4</v>
      </c>
      <c r="DF1134" s="2" t="s">
        <v>5044</v>
      </c>
    </row>
    <row r="1135" ht="15.75" customHeight="1">
      <c r="A1135" s="1" t="s">
        <v>5045</v>
      </c>
      <c r="B1135" s="1">
        <v>29.0</v>
      </c>
      <c r="C1135" s="1">
        <v>189.0</v>
      </c>
      <c r="D1135" s="1">
        <v>211500.0</v>
      </c>
      <c r="E1135" s="1">
        <v>2.575</v>
      </c>
      <c r="F1135" s="1">
        <v>29189.0</v>
      </c>
      <c r="G1135" s="1">
        <v>2.91892115E10</v>
      </c>
      <c r="H1135" s="1" t="s">
        <v>112</v>
      </c>
      <c r="I1135" s="1" t="s">
        <v>113</v>
      </c>
      <c r="J1135" s="1" t="s">
        <v>4566</v>
      </c>
      <c r="K1135" s="1" t="s">
        <v>5046</v>
      </c>
      <c r="L1135" s="1">
        <v>3494.0</v>
      </c>
      <c r="M1135" s="1">
        <v>4107.0</v>
      </c>
      <c r="N1135" s="1">
        <v>401.0</v>
      </c>
      <c r="O1135" s="1">
        <v>1339.0</v>
      </c>
      <c r="P1135" s="1">
        <v>1422.0</v>
      </c>
      <c r="Q1135" s="1">
        <v>111.0</v>
      </c>
      <c r="R1135" s="1">
        <v>1195.0</v>
      </c>
      <c r="S1135" s="1">
        <v>633.0</v>
      </c>
      <c r="T1135" s="1">
        <v>387.0</v>
      </c>
      <c r="U1135" s="1">
        <v>247.0</v>
      </c>
      <c r="V1135" s="1">
        <v>418.0</v>
      </c>
      <c r="W1135" s="1">
        <v>14670.0</v>
      </c>
      <c r="X1135" s="1">
        <v>3154.0</v>
      </c>
      <c r="Y1135" s="1">
        <v>415.0</v>
      </c>
      <c r="Z1135" s="1">
        <v>294.0</v>
      </c>
      <c r="AA1135" s="1">
        <v>412.0</v>
      </c>
      <c r="AB1135" s="1">
        <v>1131.0</v>
      </c>
      <c r="AC1135" s="1">
        <v>424.0</v>
      </c>
      <c r="AD1135" s="1">
        <v>3300.0</v>
      </c>
      <c r="AE1135" s="1">
        <v>24.0</v>
      </c>
      <c r="AF1135" s="1">
        <v>427.0</v>
      </c>
      <c r="AG1135" s="1">
        <v>65.0</v>
      </c>
      <c r="AH1135" s="1">
        <v>138.0</v>
      </c>
      <c r="AI1135" s="1">
        <v>0.0</v>
      </c>
      <c r="AJ1135" s="1">
        <v>114.0</v>
      </c>
      <c r="AK1135" s="1">
        <v>0.0</v>
      </c>
      <c r="AL1135" s="1">
        <v>161.0</v>
      </c>
      <c r="AM1135" s="1">
        <v>114.0</v>
      </c>
      <c r="AN1135" s="1">
        <v>97.0</v>
      </c>
      <c r="AO1135" s="1">
        <v>0.0</v>
      </c>
      <c r="AP1135" s="1">
        <v>0.155872</v>
      </c>
      <c r="AQ1135" s="1">
        <v>0.094125</v>
      </c>
      <c r="AR1135" s="1">
        <v>0.139864</v>
      </c>
      <c r="AS1135" s="1">
        <v>0.235383</v>
      </c>
      <c r="AT1135" s="1">
        <v>14670.0</v>
      </c>
      <c r="AU1135" s="1">
        <v>3154.0</v>
      </c>
      <c r="AV1135" s="1">
        <v>0.183628</v>
      </c>
      <c r="AW1135" s="1">
        <v>0.129069</v>
      </c>
      <c r="AX1135" s="1">
        <v>0.117916</v>
      </c>
      <c r="AY1135" s="1">
        <v>0.323697</v>
      </c>
      <c r="AZ1135" s="1">
        <v>0.35481171</v>
      </c>
      <c r="BA1135" s="1">
        <v>0.944476</v>
      </c>
      <c r="BB1135" s="1">
        <v>0.006248</v>
      </c>
      <c r="BC1135" s="1">
        <v>0.111167</v>
      </c>
      <c r="BD1135" s="1">
        <v>0.04571</v>
      </c>
      <c r="BE1135" s="1">
        <v>0.09698</v>
      </c>
      <c r="BF1135" s="1">
        <v>0.0</v>
      </c>
      <c r="BG1135" s="1">
        <v>0.080168</v>
      </c>
      <c r="BH1135" s="1">
        <v>0.0</v>
      </c>
      <c r="BI1135" s="1">
        <v>0.116329</v>
      </c>
      <c r="BJ1135" s="1">
        <v>0.082369</v>
      </c>
      <c r="BK1135" s="1">
        <v>0.069727</v>
      </c>
      <c r="BL1135" s="1">
        <v>0.0</v>
      </c>
      <c r="BM1135" s="1">
        <v>0.599</v>
      </c>
      <c r="BN1135" s="1">
        <v>0.874</v>
      </c>
      <c r="BO1135" s="1">
        <v>0.8881</v>
      </c>
      <c r="BP1135" s="1">
        <v>0.698</v>
      </c>
      <c r="BQ1135" s="1">
        <v>3.0591</v>
      </c>
      <c r="BR1135" s="1">
        <v>0.8152</v>
      </c>
      <c r="BS1135" s="1">
        <v>0.328</v>
      </c>
      <c r="BT1135" s="1">
        <v>0.966</v>
      </c>
      <c r="BU1135" s="1">
        <v>0.991</v>
      </c>
      <c r="BV1135" s="1">
        <v>2.285</v>
      </c>
      <c r="BW1135" s="1">
        <v>0.977</v>
      </c>
      <c r="BX1135" s="1">
        <v>0.956</v>
      </c>
      <c r="BY1135" s="1">
        <v>0.609</v>
      </c>
      <c r="BZ1135" s="1">
        <v>1.565</v>
      </c>
      <c r="CA1135" s="1">
        <v>0.858</v>
      </c>
      <c r="CB1135" s="1">
        <v>0.637</v>
      </c>
      <c r="CC1135" s="1">
        <v>0.0</v>
      </c>
      <c r="CD1135" s="1">
        <v>0.0</v>
      </c>
      <c r="CE1135" s="1">
        <v>0.69</v>
      </c>
      <c r="CF1135" s="1">
        <v>0.0</v>
      </c>
      <c r="CG1135" s="1">
        <v>1.327</v>
      </c>
      <c r="CH1135" s="1">
        <v>0.135</v>
      </c>
      <c r="CI1135" s="1">
        <v>8.2361</v>
      </c>
      <c r="CJ1135" s="1">
        <v>0.7523</v>
      </c>
      <c r="CK1135" s="1">
        <v>0.0</v>
      </c>
      <c r="CL1135" s="1">
        <v>0.0</v>
      </c>
      <c r="CM1135" s="1">
        <v>0.0</v>
      </c>
      <c r="CN1135" s="1">
        <v>0.0</v>
      </c>
      <c r="CO1135" s="1">
        <v>0.0</v>
      </c>
      <c r="CP1135" s="1">
        <v>0.0</v>
      </c>
      <c r="CQ1135" s="1">
        <v>1.0</v>
      </c>
      <c r="CR1135" s="1">
        <v>1.0</v>
      </c>
      <c r="CS1135" s="1">
        <v>2.0</v>
      </c>
      <c r="CT1135" s="1">
        <v>1.0</v>
      </c>
      <c r="CU1135" s="1">
        <v>0.0</v>
      </c>
      <c r="CV1135" s="1">
        <v>1.0</v>
      </c>
      <c r="CW1135" s="1">
        <v>0.0</v>
      </c>
      <c r="CX1135" s="1">
        <v>0.0</v>
      </c>
      <c r="CY1135" s="1">
        <v>0.0</v>
      </c>
      <c r="CZ1135" s="1">
        <v>0.0</v>
      </c>
      <c r="DA1135" s="1">
        <v>0.0</v>
      </c>
      <c r="DB1135" s="1">
        <v>0.0</v>
      </c>
      <c r="DC1135" s="1">
        <v>3.0</v>
      </c>
      <c r="DD1135" s="1" t="s">
        <v>5047</v>
      </c>
      <c r="DE1135" s="1">
        <v>6.93650729608365E-4</v>
      </c>
      <c r="DF1135" s="2" t="s">
        <v>5048</v>
      </c>
    </row>
    <row r="1136" ht="15.75" customHeight="1">
      <c r="A1136" s="1" t="s">
        <v>5049</v>
      </c>
      <c r="B1136" s="1">
        <v>29.0</v>
      </c>
      <c r="C1136" s="1">
        <v>189.0</v>
      </c>
      <c r="D1136" s="1">
        <v>211600.0</v>
      </c>
      <c r="E1136" s="1">
        <v>1.567</v>
      </c>
      <c r="F1136" s="1">
        <v>29189.0</v>
      </c>
      <c r="G1136" s="1">
        <v>2.91892116E10</v>
      </c>
      <c r="H1136" s="1" t="s">
        <v>112</v>
      </c>
      <c r="I1136" s="1" t="s">
        <v>113</v>
      </c>
      <c r="J1136" s="1" t="s">
        <v>4566</v>
      </c>
      <c r="K1136" s="1" t="s">
        <v>5050</v>
      </c>
      <c r="L1136" s="1">
        <v>6200.0</v>
      </c>
      <c r="M1136" s="1">
        <v>6735.0</v>
      </c>
      <c r="N1136" s="1">
        <v>572.0</v>
      </c>
      <c r="O1136" s="1">
        <v>2549.0</v>
      </c>
      <c r="P1136" s="1">
        <v>2588.0</v>
      </c>
      <c r="Q1136" s="1">
        <v>73.0</v>
      </c>
      <c r="R1136" s="1">
        <v>2302.0</v>
      </c>
      <c r="S1136" s="1">
        <v>910.0</v>
      </c>
      <c r="T1136" s="1">
        <v>462.0</v>
      </c>
      <c r="U1136" s="1">
        <v>651.0</v>
      </c>
      <c r="V1136" s="1">
        <v>330.0</v>
      </c>
      <c r="W1136" s="1">
        <v>18152.0</v>
      </c>
      <c r="X1136" s="1">
        <v>1937.0</v>
      </c>
      <c r="Y1136" s="1">
        <v>551.0</v>
      </c>
      <c r="Z1136" s="1">
        <v>223.0</v>
      </c>
      <c r="AA1136" s="1">
        <v>633.0</v>
      </c>
      <c r="AB1136" s="1">
        <v>1786.0</v>
      </c>
      <c r="AC1136" s="1">
        <v>563.0</v>
      </c>
      <c r="AD1136" s="1">
        <v>3697.0</v>
      </c>
      <c r="AE1136" s="1">
        <v>116.0</v>
      </c>
      <c r="AF1136" s="1">
        <v>386.0</v>
      </c>
      <c r="AG1136" s="1">
        <v>47.0</v>
      </c>
      <c r="AH1136" s="1">
        <v>129.0</v>
      </c>
      <c r="AI1136" s="1">
        <v>35.0</v>
      </c>
      <c r="AJ1136" s="1">
        <v>54.0</v>
      </c>
      <c r="AK1136" s="1">
        <v>55.0</v>
      </c>
      <c r="AL1136" s="1">
        <v>132.0</v>
      </c>
      <c r="AM1136" s="1">
        <v>76.0</v>
      </c>
      <c r="AN1136" s="1">
        <v>60.0</v>
      </c>
      <c r="AO1136" s="1">
        <v>5.0</v>
      </c>
      <c r="AP1136" s="1">
        <v>0.136329</v>
      </c>
      <c r="AQ1136" s="1">
        <v>0.06822</v>
      </c>
      <c r="AR1136" s="1">
        <v>0.183638</v>
      </c>
      <c r="AS1136" s="1">
        <v>0.090717</v>
      </c>
      <c r="AT1136" s="1">
        <v>18152.0</v>
      </c>
      <c r="AU1136" s="1">
        <v>1937.0</v>
      </c>
      <c r="AV1136" s="1">
        <v>0.141791</v>
      </c>
      <c r="AW1136" s="1">
        <v>0.056324</v>
      </c>
      <c r="AX1136" s="1">
        <v>0.102096</v>
      </c>
      <c r="AY1136" s="1">
        <v>0.288064</v>
      </c>
      <c r="AZ1136" s="1">
        <v>0.24456993</v>
      </c>
      <c r="BA1136" s="1">
        <v>0.59629</v>
      </c>
      <c r="BB1136" s="1">
        <v>0.018363</v>
      </c>
      <c r="BC1136" s="1">
        <v>0.061081</v>
      </c>
      <c r="BD1136" s="1">
        <v>0.01816</v>
      </c>
      <c r="BE1136" s="1">
        <v>0.049842</v>
      </c>
      <c r="BF1136" s="1">
        <v>0.013523</v>
      </c>
      <c r="BG1136" s="1">
        <v>0.020862</v>
      </c>
      <c r="BH1136" s="1">
        <v>0.022916</v>
      </c>
      <c r="BI1136" s="1">
        <v>0.054983</v>
      </c>
      <c r="BJ1136" s="1">
        <v>0.031666</v>
      </c>
      <c r="BK1136" s="1">
        <v>0.024928</v>
      </c>
      <c r="BL1136" s="1">
        <v>8.06E-4</v>
      </c>
      <c r="BM1136" s="1">
        <v>0.527</v>
      </c>
      <c r="BN1136" s="1">
        <v>0.938</v>
      </c>
      <c r="BO1136" s="1">
        <v>0.7227</v>
      </c>
      <c r="BP1136" s="1">
        <v>0.532</v>
      </c>
      <c r="BQ1136" s="1">
        <v>2.7197</v>
      </c>
      <c r="BR1136" s="1">
        <v>0.7292</v>
      </c>
      <c r="BS1136" s="1">
        <v>0.225</v>
      </c>
      <c r="BT1136" s="1">
        <v>0.882</v>
      </c>
      <c r="BU1136" s="1">
        <v>0.941</v>
      </c>
      <c r="BV1136" s="1">
        <v>2.048</v>
      </c>
      <c r="BW1136" s="1">
        <v>0.892</v>
      </c>
      <c r="BX1136" s="1">
        <v>0.882</v>
      </c>
      <c r="BY1136" s="1">
        <v>0.847</v>
      </c>
      <c r="BZ1136" s="1">
        <v>1.729</v>
      </c>
      <c r="CA1136" s="1">
        <v>0.935</v>
      </c>
      <c r="CB1136" s="1">
        <v>0.449</v>
      </c>
      <c r="CC1136" s="1">
        <v>0.482</v>
      </c>
      <c r="CD1136" s="1">
        <v>0.723</v>
      </c>
      <c r="CE1136" s="1">
        <v>0.297</v>
      </c>
      <c r="CF1136" s="1">
        <v>0.384</v>
      </c>
      <c r="CG1136" s="1">
        <v>2.335</v>
      </c>
      <c r="CH1136" s="1">
        <v>0.475</v>
      </c>
      <c r="CI1136" s="1">
        <v>8.8317</v>
      </c>
      <c r="CJ1136" s="1">
        <v>0.831</v>
      </c>
      <c r="CK1136" s="1">
        <v>0.0</v>
      </c>
      <c r="CL1136" s="1">
        <v>1.0</v>
      </c>
      <c r="CM1136" s="1">
        <v>0.0</v>
      </c>
      <c r="CN1136" s="1">
        <v>0.0</v>
      </c>
      <c r="CO1136" s="1">
        <v>1.0</v>
      </c>
      <c r="CP1136" s="1">
        <v>0.0</v>
      </c>
      <c r="CQ1136" s="1">
        <v>0.0</v>
      </c>
      <c r="CR1136" s="1">
        <v>1.0</v>
      </c>
      <c r="CS1136" s="1">
        <v>1.0</v>
      </c>
      <c r="CT1136" s="1">
        <v>0.0</v>
      </c>
      <c r="CU1136" s="1">
        <v>0.0</v>
      </c>
      <c r="CV1136" s="1">
        <v>0.0</v>
      </c>
      <c r="CW1136" s="1">
        <v>0.0</v>
      </c>
      <c r="CX1136" s="1">
        <v>0.0</v>
      </c>
      <c r="CY1136" s="1">
        <v>0.0</v>
      </c>
      <c r="CZ1136" s="1">
        <v>0.0</v>
      </c>
      <c r="DA1136" s="1">
        <v>0.0</v>
      </c>
      <c r="DB1136" s="1">
        <v>0.0</v>
      </c>
      <c r="DC1136" s="1">
        <v>2.0</v>
      </c>
      <c r="DD1136" s="1" t="s">
        <v>5051</v>
      </c>
      <c r="DE1136" s="1">
        <v>4.17297718394893E-4</v>
      </c>
      <c r="DF1136" s="2" t="s">
        <v>5052</v>
      </c>
    </row>
    <row r="1137" ht="15.75" customHeight="1">
      <c r="A1137" s="1" t="s">
        <v>5053</v>
      </c>
      <c r="B1137" s="1">
        <v>29.0</v>
      </c>
      <c r="C1137" s="1">
        <v>189.0</v>
      </c>
      <c r="D1137" s="1">
        <v>211700.0</v>
      </c>
      <c r="E1137" s="1">
        <v>1.756</v>
      </c>
      <c r="F1137" s="1">
        <v>29189.0</v>
      </c>
      <c r="G1137" s="1">
        <v>2.91892117E10</v>
      </c>
      <c r="H1137" s="1" t="s">
        <v>112</v>
      </c>
      <c r="I1137" s="1" t="s">
        <v>113</v>
      </c>
      <c r="J1137" s="1" t="s">
        <v>4566</v>
      </c>
      <c r="K1137" s="1" t="s">
        <v>5054</v>
      </c>
      <c r="L1137" s="1">
        <v>3985.0</v>
      </c>
      <c r="M1137" s="1">
        <v>4044.0</v>
      </c>
      <c r="N1137" s="1">
        <v>405.0</v>
      </c>
      <c r="O1137" s="1">
        <v>1701.0</v>
      </c>
      <c r="P1137" s="1">
        <v>1807.0</v>
      </c>
      <c r="Q1137" s="1">
        <v>131.0</v>
      </c>
      <c r="R1137" s="1">
        <v>1555.0</v>
      </c>
      <c r="S1137" s="1">
        <v>356.0</v>
      </c>
      <c r="T1137" s="1">
        <v>196.0</v>
      </c>
      <c r="U1137" s="1">
        <v>159.0</v>
      </c>
      <c r="V1137" s="1">
        <v>352.0</v>
      </c>
      <c r="W1137" s="1">
        <v>23078.0</v>
      </c>
      <c r="X1137" s="1">
        <v>2187.0</v>
      </c>
      <c r="Y1137" s="1">
        <v>215.0</v>
      </c>
      <c r="Z1137" s="1">
        <v>293.0</v>
      </c>
      <c r="AA1137" s="1">
        <v>543.0</v>
      </c>
      <c r="AB1137" s="1">
        <v>979.0</v>
      </c>
      <c r="AC1137" s="1">
        <v>263.0</v>
      </c>
      <c r="AD1137" s="1">
        <v>2345.0</v>
      </c>
      <c r="AE1137" s="1">
        <v>8.0</v>
      </c>
      <c r="AF1137" s="1">
        <v>442.0</v>
      </c>
      <c r="AG1137" s="1">
        <v>0.0</v>
      </c>
      <c r="AH1137" s="1">
        <v>197.0</v>
      </c>
      <c r="AI1137" s="1">
        <v>33.0</v>
      </c>
      <c r="AJ1137" s="1">
        <v>52.0</v>
      </c>
      <c r="AK1137" s="1">
        <v>0.0</v>
      </c>
      <c r="AL1137" s="1">
        <v>161.0</v>
      </c>
      <c r="AM1137" s="1">
        <v>111.0</v>
      </c>
      <c r="AN1137" s="1">
        <v>78.0</v>
      </c>
      <c r="AO1137" s="1">
        <v>2.0</v>
      </c>
      <c r="AP1137" s="1">
        <v>0.088031</v>
      </c>
      <c r="AQ1137" s="1">
        <v>0.047658</v>
      </c>
      <c r="AR1137" s="1">
        <v>0.078947</v>
      </c>
      <c r="AS1137" s="1">
        <v>0.174398</v>
      </c>
      <c r="AT1137" s="1">
        <v>23078.0</v>
      </c>
      <c r="AU1137" s="1">
        <v>2187.0</v>
      </c>
      <c r="AV1137" s="1">
        <v>0.077227</v>
      </c>
      <c r="AW1137" s="1">
        <v>0.105009</v>
      </c>
      <c r="AX1137" s="1">
        <v>0.13626</v>
      </c>
      <c r="AY1137" s="1">
        <v>0.245671</v>
      </c>
      <c r="AZ1137" s="1">
        <v>0.16913183</v>
      </c>
      <c r="BA1137" s="1">
        <v>0.588456</v>
      </c>
      <c r="BB1137" s="1">
        <v>0.002093</v>
      </c>
      <c r="BC1137" s="1">
        <v>0.115676</v>
      </c>
      <c r="BD1137" s="1">
        <v>0.0</v>
      </c>
      <c r="BE1137" s="1">
        <v>0.10902</v>
      </c>
      <c r="BF1137" s="1">
        <v>0.018262</v>
      </c>
      <c r="BG1137" s="1">
        <v>0.028746</v>
      </c>
      <c r="BH1137" s="1">
        <v>0.0</v>
      </c>
      <c r="BI1137" s="1">
        <v>0.098773</v>
      </c>
      <c r="BJ1137" s="1">
        <v>0.068098</v>
      </c>
      <c r="BK1137" s="1">
        <v>0.047395</v>
      </c>
      <c r="BL1137" s="1">
        <v>5.01E-4</v>
      </c>
      <c r="BM1137" s="1">
        <v>0.33</v>
      </c>
      <c r="BN1137" s="1">
        <v>0.603</v>
      </c>
      <c r="BO1137" s="1">
        <v>0.4433</v>
      </c>
      <c r="BP1137" s="1">
        <v>0.234</v>
      </c>
      <c r="BQ1137" s="1">
        <v>1.6103</v>
      </c>
      <c r="BR1137" s="1">
        <v>0.3769</v>
      </c>
      <c r="BS1137" s="1">
        <v>0.465</v>
      </c>
      <c r="BT1137" s="1">
        <v>0.552</v>
      </c>
      <c r="BU1137" s="1">
        <v>0.843</v>
      </c>
      <c r="BV1137" s="1">
        <v>1.86</v>
      </c>
      <c r="BW1137" s="1">
        <v>0.774</v>
      </c>
      <c r="BX1137" s="1">
        <v>0.881</v>
      </c>
      <c r="BY1137" s="1">
        <v>0.384</v>
      </c>
      <c r="BZ1137" s="1">
        <v>1.265</v>
      </c>
      <c r="CA1137" s="1">
        <v>0.691</v>
      </c>
      <c r="CB1137" s="1">
        <v>0.0</v>
      </c>
      <c r="CC1137" s="1">
        <v>0.503</v>
      </c>
      <c r="CD1137" s="1">
        <v>0.0</v>
      </c>
      <c r="CE1137" s="1">
        <v>0.612</v>
      </c>
      <c r="CF1137" s="1">
        <v>0.368</v>
      </c>
      <c r="CG1137" s="1">
        <v>1.483</v>
      </c>
      <c r="CH1137" s="1">
        <v>0.17</v>
      </c>
      <c r="CI1137" s="1">
        <v>6.2183</v>
      </c>
      <c r="CJ1137" s="1">
        <v>0.4116</v>
      </c>
      <c r="CK1137" s="1">
        <v>0.0</v>
      </c>
      <c r="CL1137" s="1">
        <v>0.0</v>
      </c>
      <c r="CM1137" s="1">
        <v>0.0</v>
      </c>
      <c r="CN1137" s="1">
        <v>0.0</v>
      </c>
      <c r="CO1137" s="1">
        <v>0.0</v>
      </c>
      <c r="CP1137" s="1">
        <v>0.0</v>
      </c>
      <c r="CQ1137" s="1">
        <v>0.0</v>
      </c>
      <c r="CR1137" s="1">
        <v>0.0</v>
      </c>
      <c r="CS1137" s="1">
        <v>0.0</v>
      </c>
      <c r="CT1137" s="1">
        <v>0.0</v>
      </c>
      <c r="CU1137" s="1">
        <v>0.0</v>
      </c>
      <c r="CV1137" s="1">
        <v>0.0</v>
      </c>
      <c r="CW1137" s="1">
        <v>0.0</v>
      </c>
      <c r="CX1137" s="1">
        <v>0.0</v>
      </c>
      <c r="CY1137" s="1">
        <v>0.0</v>
      </c>
      <c r="CZ1137" s="1">
        <v>0.0</v>
      </c>
      <c r="DA1137" s="1">
        <v>0.0</v>
      </c>
      <c r="DB1137" s="1">
        <v>0.0</v>
      </c>
      <c r="DC1137" s="1">
        <v>0.0</v>
      </c>
      <c r="DD1137" s="1" t="s">
        <v>5055</v>
      </c>
      <c r="DE1137" s="1">
        <v>4.73831186146997E-4</v>
      </c>
      <c r="DF1137" s="2" t="s">
        <v>5056</v>
      </c>
    </row>
    <row r="1138" ht="15.75" customHeight="1">
      <c r="A1138" s="1" t="s">
        <v>5057</v>
      </c>
      <c r="B1138" s="1">
        <v>29.0</v>
      </c>
      <c r="C1138" s="1">
        <v>189.0</v>
      </c>
      <c r="D1138" s="1">
        <v>211802.0</v>
      </c>
      <c r="E1138" s="1">
        <v>0.714</v>
      </c>
      <c r="F1138" s="1">
        <v>29189.0</v>
      </c>
      <c r="G1138" s="1">
        <v>2.9189211802E10</v>
      </c>
      <c r="H1138" s="1" t="s">
        <v>112</v>
      </c>
      <c r="I1138" s="1" t="s">
        <v>113</v>
      </c>
      <c r="J1138" s="1" t="s">
        <v>4566</v>
      </c>
      <c r="K1138" s="1" t="s">
        <v>5058</v>
      </c>
      <c r="L1138" s="1">
        <v>3843.0</v>
      </c>
      <c r="M1138" s="1">
        <v>3649.0</v>
      </c>
      <c r="N1138" s="1">
        <v>390.0</v>
      </c>
      <c r="O1138" s="1">
        <v>1616.0</v>
      </c>
      <c r="P1138" s="1">
        <v>1384.0</v>
      </c>
      <c r="Q1138" s="1">
        <v>134.0</v>
      </c>
      <c r="R1138" s="1">
        <v>1473.0</v>
      </c>
      <c r="S1138" s="1">
        <v>729.0</v>
      </c>
      <c r="T1138" s="1">
        <v>434.0</v>
      </c>
      <c r="U1138" s="1">
        <v>269.0</v>
      </c>
      <c r="V1138" s="1">
        <v>383.0</v>
      </c>
      <c r="W1138" s="1">
        <v>17187.0</v>
      </c>
      <c r="X1138" s="1">
        <v>2260.0</v>
      </c>
      <c r="Y1138" s="1">
        <v>206.0</v>
      </c>
      <c r="Z1138" s="1">
        <v>335.0</v>
      </c>
      <c r="AA1138" s="1">
        <v>340.0</v>
      </c>
      <c r="AB1138" s="1">
        <v>1101.0</v>
      </c>
      <c r="AC1138" s="1">
        <v>395.0</v>
      </c>
      <c r="AD1138" s="1">
        <v>3244.0</v>
      </c>
      <c r="AE1138" s="1">
        <v>0.0</v>
      </c>
      <c r="AF1138" s="1">
        <v>456.0</v>
      </c>
      <c r="AG1138" s="1">
        <v>51.0</v>
      </c>
      <c r="AH1138" s="1">
        <v>125.0</v>
      </c>
      <c r="AI1138" s="1">
        <v>7.0</v>
      </c>
      <c r="AJ1138" s="1">
        <v>15.0</v>
      </c>
      <c r="AK1138" s="1">
        <v>19.0</v>
      </c>
      <c r="AL1138" s="1">
        <v>118.0</v>
      </c>
      <c r="AM1138" s="1">
        <v>39.0</v>
      </c>
      <c r="AN1138" s="1">
        <v>120.0</v>
      </c>
      <c r="AO1138" s="1">
        <v>0.0</v>
      </c>
      <c r="AP1138" s="1">
        <v>0.19978</v>
      </c>
      <c r="AQ1138" s="1">
        <v>0.117004</v>
      </c>
      <c r="AR1138" s="1">
        <v>0.147558</v>
      </c>
      <c r="AS1138" s="1">
        <v>0.208429</v>
      </c>
      <c r="AT1138" s="1">
        <v>17187.0</v>
      </c>
      <c r="AU1138" s="1">
        <v>2260.0</v>
      </c>
      <c r="AV1138" s="1">
        <v>0.108937</v>
      </c>
      <c r="AW1138" s="1">
        <v>0.176654</v>
      </c>
      <c r="AX1138" s="1">
        <v>0.088472</v>
      </c>
      <c r="AY1138" s="1">
        <v>0.286494</v>
      </c>
      <c r="AZ1138" s="1">
        <v>0.26816021</v>
      </c>
      <c r="BA1138" s="1">
        <v>0.844132</v>
      </c>
      <c r="BB1138" s="1">
        <v>0.0</v>
      </c>
      <c r="BC1138" s="1">
        <v>0.135633</v>
      </c>
      <c r="BD1138" s="1">
        <v>0.036849</v>
      </c>
      <c r="BE1138" s="1">
        <v>0.090247</v>
      </c>
      <c r="BF1138" s="1">
        <v>0.005057</v>
      </c>
      <c r="BG1138" s="1">
        <v>0.010827</v>
      </c>
      <c r="BH1138" s="1">
        <v>0.014115</v>
      </c>
      <c r="BI1138" s="1">
        <v>0.087654</v>
      </c>
      <c r="BJ1138" s="1">
        <v>0.028974</v>
      </c>
      <c r="BK1138" s="1">
        <v>0.089099</v>
      </c>
      <c r="BL1138" s="1">
        <v>0.0</v>
      </c>
      <c r="BM1138" s="1">
        <v>0.73</v>
      </c>
      <c r="BN1138" s="1">
        <v>0.895</v>
      </c>
      <c r="BO1138" s="1">
        <v>0.7762</v>
      </c>
      <c r="BP1138" s="1">
        <v>0.378</v>
      </c>
      <c r="BQ1138" s="1">
        <v>2.7792</v>
      </c>
      <c r="BR1138" s="1">
        <v>0.7422</v>
      </c>
      <c r="BS1138" s="1">
        <v>0.15</v>
      </c>
      <c r="BT1138" s="1">
        <v>0.876</v>
      </c>
      <c r="BU1138" s="1">
        <v>0.961</v>
      </c>
      <c r="BV1138" s="1">
        <v>1.987</v>
      </c>
      <c r="BW1138" s="1">
        <v>0.852</v>
      </c>
      <c r="BX1138" s="1">
        <v>0.931</v>
      </c>
      <c r="BY1138" s="1">
        <v>0.0</v>
      </c>
      <c r="BZ1138" s="1">
        <v>0.931</v>
      </c>
      <c r="CA1138" s="1">
        <v>0.492</v>
      </c>
      <c r="CB1138" s="1">
        <v>0.592</v>
      </c>
      <c r="CC1138" s="1">
        <v>0.397</v>
      </c>
      <c r="CD1138" s="1">
        <v>0.574</v>
      </c>
      <c r="CE1138" s="1">
        <v>0.277</v>
      </c>
      <c r="CF1138" s="1">
        <v>0.0</v>
      </c>
      <c r="CG1138" s="1">
        <v>1.84</v>
      </c>
      <c r="CH1138" s="1">
        <v>0.28</v>
      </c>
      <c r="CI1138" s="1">
        <v>7.5372</v>
      </c>
      <c r="CJ1138" s="1">
        <v>0.6397</v>
      </c>
      <c r="CK1138" s="1">
        <v>0.0</v>
      </c>
      <c r="CL1138" s="1">
        <v>0.0</v>
      </c>
      <c r="CM1138" s="1">
        <v>0.0</v>
      </c>
      <c r="CN1138" s="1">
        <v>0.0</v>
      </c>
      <c r="CO1138" s="1">
        <v>0.0</v>
      </c>
      <c r="CP1138" s="1">
        <v>0.0</v>
      </c>
      <c r="CQ1138" s="1">
        <v>0.0</v>
      </c>
      <c r="CR1138" s="1">
        <v>1.0</v>
      </c>
      <c r="CS1138" s="1">
        <v>1.0</v>
      </c>
      <c r="CT1138" s="1">
        <v>1.0</v>
      </c>
      <c r="CU1138" s="1">
        <v>0.0</v>
      </c>
      <c r="CV1138" s="1">
        <v>1.0</v>
      </c>
      <c r="CW1138" s="1">
        <v>0.0</v>
      </c>
      <c r="CX1138" s="1">
        <v>0.0</v>
      </c>
      <c r="CY1138" s="1">
        <v>0.0</v>
      </c>
      <c r="CZ1138" s="1">
        <v>0.0</v>
      </c>
      <c r="DA1138" s="1">
        <v>0.0</v>
      </c>
      <c r="DB1138" s="1">
        <v>0.0</v>
      </c>
      <c r="DC1138" s="1">
        <v>2.0</v>
      </c>
      <c r="DD1138" s="1" t="s">
        <v>5059</v>
      </c>
      <c r="DE1138" s="1">
        <v>1.91223652488233E-4</v>
      </c>
      <c r="DF1138" s="1">
        <v>0.0612247800838594</v>
      </c>
    </row>
    <row r="1139" ht="15.75" customHeight="1">
      <c r="A1139" s="1" t="s">
        <v>5060</v>
      </c>
      <c r="B1139" s="1">
        <v>29.0</v>
      </c>
      <c r="C1139" s="1">
        <v>189.0</v>
      </c>
      <c r="D1139" s="1">
        <v>211900.0</v>
      </c>
      <c r="E1139" s="1">
        <v>0.849</v>
      </c>
      <c r="F1139" s="1">
        <v>29189.0</v>
      </c>
      <c r="G1139" s="1">
        <v>2.91892119E10</v>
      </c>
      <c r="H1139" s="1" t="s">
        <v>112</v>
      </c>
      <c r="I1139" s="1" t="s">
        <v>113</v>
      </c>
      <c r="J1139" s="1" t="s">
        <v>4566</v>
      </c>
      <c r="K1139" s="1" t="s">
        <v>5061</v>
      </c>
      <c r="L1139" s="1">
        <v>5454.0</v>
      </c>
      <c r="M1139" s="1">
        <v>4862.0</v>
      </c>
      <c r="N1139" s="1">
        <v>506.0</v>
      </c>
      <c r="O1139" s="1">
        <v>2413.0</v>
      </c>
      <c r="P1139" s="1">
        <v>2514.0</v>
      </c>
      <c r="Q1139" s="1">
        <v>73.0</v>
      </c>
      <c r="R1139" s="1">
        <v>2093.0</v>
      </c>
      <c r="S1139" s="1">
        <v>1542.0</v>
      </c>
      <c r="T1139" s="1">
        <v>448.0</v>
      </c>
      <c r="U1139" s="1">
        <v>399.0</v>
      </c>
      <c r="V1139" s="1">
        <v>336.0</v>
      </c>
      <c r="W1139" s="1">
        <v>15158.0</v>
      </c>
      <c r="X1139" s="1">
        <v>1984.0</v>
      </c>
      <c r="Y1139" s="1">
        <v>470.0</v>
      </c>
      <c r="Z1139" s="1">
        <v>298.0</v>
      </c>
      <c r="AA1139" s="1">
        <v>393.0</v>
      </c>
      <c r="AB1139" s="1">
        <v>1922.0</v>
      </c>
      <c r="AC1139" s="1">
        <v>865.0</v>
      </c>
      <c r="AD1139" s="1">
        <v>5086.0</v>
      </c>
      <c r="AE1139" s="1">
        <v>22.0</v>
      </c>
      <c r="AF1139" s="1">
        <v>443.0</v>
      </c>
      <c r="AG1139" s="1">
        <v>493.0</v>
      </c>
      <c r="AH1139" s="1">
        <v>150.0</v>
      </c>
      <c r="AI1139" s="1">
        <v>0.0</v>
      </c>
      <c r="AJ1139" s="1">
        <v>114.0</v>
      </c>
      <c r="AK1139" s="1">
        <v>22.0</v>
      </c>
      <c r="AL1139" s="1">
        <v>117.0</v>
      </c>
      <c r="AM1139" s="1">
        <v>534.0</v>
      </c>
      <c r="AN1139" s="1">
        <v>161.0</v>
      </c>
      <c r="AO1139" s="1">
        <v>63.0</v>
      </c>
      <c r="AP1139" s="1">
        <v>0.317938</v>
      </c>
      <c r="AQ1139" s="1">
        <v>0.08626</v>
      </c>
      <c r="AR1139" s="1">
        <v>0.172577</v>
      </c>
      <c r="AS1139" s="1">
        <v>0.141906</v>
      </c>
      <c r="AT1139" s="1">
        <v>15158.0</v>
      </c>
      <c r="AU1139" s="1">
        <v>1984.0</v>
      </c>
      <c r="AV1139" s="1">
        <v>0.193894</v>
      </c>
      <c r="AW1139" s="1">
        <v>0.121067</v>
      </c>
      <c r="AX1139" s="1">
        <v>0.072057</v>
      </c>
      <c r="AY1139" s="1">
        <v>0.352401</v>
      </c>
      <c r="AZ1139" s="1">
        <v>0.41328236</v>
      </c>
      <c r="BA1139" s="1">
        <v>0.932526</v>
      </c>
      <c r="BB1139" s="1">
        <v>0.005073</v>
      </c>
      <c r="BC1139" s="1">
        <v>0.102166</v>
      </c>
      <c r="BD1139" s="1">
        <v>0.196101</v>
      </c>
      <c r="BE1139" s="1">
        <v>0.059393</v>
      </c>
      <c r="BF1139" s="1">
        <v>0.0</v>
      </c>
      <c r="BG1139" s="1">
        <v>0.045346</v>
      </c>
      <c r="BH1139" s="1">
        <v>0.010816</v>
      </c>
      <c r="BI1139" s="1">
        <v>0.057514</v>
      </c>
      <c r="BJ1139" s="1">
        <v>0.262536</v>
      </c>
      <c r="BK1139" s="1">
        <v>0.075667</v>
      </c>
      <c r="BL1139" s="1">
        <v>0.011551</v>
      </c>
      <c r="BM1139" s="1">
        <v>0.899</v>
      </c>
      <c r="BN1139" s="1">
        <v>0.927</v>
      </c>
      <c r="BO1139" s="1">
        <v>0.8686</v>
      </c>
      <c r="BP1139" s="1">
        <v>0.735</v>
      </c>
      <c r="BQ1139" s="1">
        <v>3.4296</v>
      </c>
      <c r="BR1139" s="1">
        <v>0.9076</v>
      </c>
      <c r="BS1139" s="1">
        <v>0.09</v>
      </c>
      <c r="BT1139" s="1">
        <v>0.987</v>
      </c>
      <c r="BU1139" s="1">
        <v>0.998</v>
      </c>
      <c r="BV1139" s="1">
        <v>2.075</v>
      </c>
      <c r="BW1139" s="1">
        <v>0.907</v>
      </c>
      <c r="BX1139" s="1">
        <v>0.951</v>
      </c>
      <c r="BY1139" s="1">
        <v>0.564</v>
      </c>
      <c r="BZ1139" s="1">
        <v>1.515</v>
      </c>
      <c r="CA1139" s="1">
        <v>0.835</v>
      </c>
      <c r="CB1139" s="1">
        <v>0.891</v>
      </c>
      <c r="CC1139" s="1">
        <v>0.0</v>
      </c>
      <c r="CD1139" s="1">
        <v>0.494</v>
      </c>
      <c r="CE1139" s="1">
        <v>0.951</v>
      </c>
      <c r="CF1139" s="1">
        <v>0.602</v>
      </c>
      <c r="CG1139" s="1">
        <v>2.938</v>
      </c>
      <c r="CH1139" s="1">
        <v>0.748</v>
      </c>
      <c r="CI1139" s="1">
        <v>9.9576</v>
      </c>
      <c r="CJ1139" s="1">
        <v>0.9458</v>
      </c>
      <c r="CK1139" s="1">
        <v>0.0</v>
      </c>
      <c r="CL1139" s="1">
        <v>1.0</v>
      </c>
      <c r="CM1139" s="1">
        <v>0.0</v>
      </c>
      <c r="CN1139" s="1">
        <v>0.0</v>
      </c>
      <c r="CO1139" s="1">
        <v>1.0</v>
      </c>
      <c r="CP1139" s="1">
        <v>0.0</v>
      </c>
      <c r="CQ1139" s="1">
        <v>1.0</v>
      </c>
      <c r="CR1139" s="1">
        <v>1.0</v>
      </c>
      <c r="CS1139" s="1">
        <v>2.0</v>
      </c>
      <c r="CT1139" s="1">
        <v>1.0</v>
      </c>
      <c r="CU1139" s="1">
        <v>0.0</v>
      </c>
      <c r="CV1139" s="1">
        <v>1.0</v>
      </c>
      <c r="CW1139" s="1">
        <v>0.0</v>
      </c>
      <c r="CX1139" s="1">
        <v>0.0</v>
      </c>
      <c r="CY1139" s="1">
        <v>0.0</v>
      </c>
      <c r="CZ1139" s="1">
        <v>1.0</v>
      </c>
      <c r="DA1139" s="1">
        <v>0.0</v>
      </c>
      <c r="DB1139" s="1">
        <v>1.0</v>
      </c>
      <c r="DC1139" s="1">
        <v>5.0</v>
      </c>
      <c r="DD1139" s="1" t="s">
        <v>5062</v>
      </c>
      <c r="DE1139" s="1">
        <v>2.28446340400472E-4</v>
      </c>
      <c r="DF1139" s="1">
        <v>0.0736878005062273</v>
      </c>
    </row>
    <row r="1140" ht="15.75" customHeight="1">
      <c r="A1140" s="1" t="s">
        <v>5063</v>
      </c>
      <c r="B1140" s="1">
        <v>29.0</v>
      </c>
      <c r="C1140" s="1">
        <v>189.0</v>
      </c>
      <c r="D1140" s="1">
        <v>212001.0</v>
      </c>
      <c r="E1140" s="1">
        <v>1.43</v>
      </c>
      <c r="F1140" s="1">
        <v>29189.0</v>
      </c>
      <c r="G1140" s="1">
        <v>2.9189212001E10</v>
      </c>
      <c r="H1140" s="1" t="s">
        <v>112</v>
      </c>
      <c r="I1140" s="1" t="s">
        <v>113</v>
      </c>
      <c r="J1140" s="1" t="s">
        <v>4566</v>
      </c>
      <c r="K1140" s="1" t="s">
        <v>5064</v>
      </c>
      <c r="L1140" s="1">
        <v>7506.0</v>
      </c>
      <c r="M1140" s="1">
        <v>7974.0</v>
      </c>
      <c r="N1140" s="1">
        <v>536.0</v>
      </c>
      <c r="O1140" s="1">
        <v>3510.0</v>
      </c>
      <c r="P1140" s="1">
        <v>3537.0</v>
      </c>
      <c r="Q1140" s="1">
        <v>226.0</v>
      </c>
      <c r="R1140" s="1">
        <v>3056.0</v>
      </c>
      <c r="S1140" s="1">
        <v>1495.0</v>
      </c>
      <c r="T1140" s="1">
        <v>555.0</v>
      </c>
      <c r="U1140" s="1">
        <v>683.0</v>
      </c>
      <c r="V1140" s="1">
        <v>374.0</v>
      </c>
      <c r="W1140" s="1">
        <v>17239.0</v>
      </c>
      <c r="X1140" s="1">
        <v>1611.0</v>
      </c>
      <c r="Y1140" s="1">
        <v>991.0</v>
      </c>
      <c r="Z1140" s="1">
        <v>314.0</v>
      </c>
      <c r="AA1140" s="1">
        <v>885.0</v>
      </c>
      <c r="AB1140" s="1">
        <v>1897.0</v>
      </c>
      <c r="AC1140" s="1">
        <v>757.0</v>
      </c>
      <c r="AD1140" s="1">
        <v>6775.0</v>
      </c>
      <c r="AE1140" s="1">
        <v>13.0</v>
      </c>
      <c r="AF1140" s="1">
        <v>442.0</v>
      </c>
      <c r="AG1140" s="1">
        <v>186.0</v>
      </c>
      <c r="AH1140" s="1">
        <v>90.0</v>
      </c>
      <c r="AI1140" s="1">
        <v>32.0</v>
      </c>
      <c r="AJ1140" s="1">
        <v>43.0</v>
      </c>
      <c r="AK1140" s="1">
        <v>92.0</v>
      </c>
      <c r="AL1140" s="1">
        <v>133.0</v>
      </c>
      <c r="AM1140" s="1">
        <v>358.0</v>
      </c>
      <c r="AN1140" s="1">
        <v>126.0</v>
      </c>
      <c r="AO1140" s="1">
        <v>0.0</v>
      </c>
      <c r="AP1140" s="1">
        <v>0.190713</v>
      </c>
      <c r="AQ1140" s="1">
        <v>0.069579</v>
      </c>
      <c r="AR1140" s="1">
        <v>0.183159</v>
      </c>
      <c r="AS1140" s="1">
        <v>0.097659</v>
      </c>
      <c r="AT1140" s="1">
        <v>17239.0</v>
      </c>
      <c r="AU1140" s="1">
        <v>1611.0</v>
      </c>
      <c r="AV1140" s="1">
        <v>0.204498</v>
      </c>
      <c r="AW1140" s="1">
        <v>0.063272</v>
      </c>
      <c r="AX1140" s="1">
        <v>0.117905</v>
      </c>
      <c r="AY1140" s="1">
        <v>0.252731</v>
      </c>
      <c r="AZ1140" s="1">
        <v>0.24770942</v>
      </c>
      <c r="BA1140" s="1">
        <v>0.902611</v>
      </c>
      <c r="BB1140" s="1">
        <v>0.001785</v>
      </c>
      <c r="BC1140" s="1">
        <v>0.060697</v>
      </c>
      <c r="BD1140" s="1">
        <v>0.052586</v>
      </c>
      <c r="BE1140" s="1">
        <v>0.025222</v>
      </c>
      <c r="BF1140" s="1">
        <v>0.009047</v>
      </c>
      <c r="BG1140" s="1">
        <v>0.012143</v>
      </c>
      <c r="BH1140" s="1">
        <v>0.028903</v>
      </c>
      <c r="BI1140" s="1">
        <v>0.041738</v>
      </c>
      <c r="BJ1140" s="1">
        <v>0.112472</v>
      </c>
      <c r="BK1140" s="1">
        <v>0.038849</v>
      </c>
      <c r="BL1140" s="1">
        <v>0.0</v>
      </c>
      <c r="BM1140" s="1">
        <v>0.706</v>
      </c>
      <c r="BN1140" s="1">
        <v>0.938</v>
      </c>
      <c r="BO1140" s="1">
        <v>0.7711</v>
      </c>
      <c r="BP1140" s="1">
        <v>0.762</v>
      </c>
      <c r="BQ1140" s="1">
        <v>3.1771</v>
      </c>
      <c r="BR1140" s="1">
        <v>0.8455</v>
      </c>
      <c r="BS1140" s="1">
        <v>0.328</v>
      </c>
      <c r="BT1140" s="1">
        <v>0.635</v>
      </c>
      <c r="BU1140" s="1">
        <v>0.944</v>
      </c>
      <c r="BV1140" s="1">
        <v>1.907</v>
      </c>
      <c r="BW1140" s="1">
        <v>0.805</v>
      </c>
      <c r="BX1140" s="1">
        <v>0.942</v>
      </c>
      <c r="BY1140" s="1">
        <v>0.369</v>
      </c>
      <c r="BZ1140" s="1">
        <v>1.311</v>
      </c>
      <c r="CA1140" s="1">
        <v>0.718</v>
      </c>
      <c r="CB1140" s="1">
        <v>0.662</v>
      </c>
      <c r="CC1140" s="1">
        <v>0.453</v>
      </c>
      <c r="CD1140" s="1">
        <v>0.792</v>
      </c>
      <c r="CE1140" s="1">
        <v>0.788</v>
      </c>
      <c r="CF1140" s="1">
        <v>0.0</v>
      </c>
      <c r="CG1140" s="1">
        <v>2.695</v>
      </c>
      <c r="CH1140" s="1">
        <v>0.641</v>
      </c>
      <c r="CI1140" s="1">
        <v>9.0901</v>
      </c>
      <c r="CJ1140" s="1">
        <v>0.8621</v>
      </c>
      <c r="CK1140" s="1">
        <v>0.0</v>
      </c>
      <c r="CL1140" s="1">
        <v>1.0</v>
      </c>
      <c r="CM1140" s="1">
        <v>0.0</v>
      </c>
      <c r="CN1140" s="1">
        <v>0.0</v>
      </c>
      <c r="CO1140" s="1">
        <v>1.0</v>
      </c>
      <c r="CP1140" s="1">
        <v>0.0</v>
      </c>
      <c r="CQ1140" s="1">
        <v>0.0</v>
      </c>
      <c r="CR1140" s="1">
        <v>1.0</v>
      </c>
      <c r="CS1140" s="1">
        <v>1.0</v>
      </c>
      <c r="CT1140" s="1">
        <v>1.0</v>
      </c>
      <c r="CU1140" s="1">
        <v>0.0</v>
      </c>
      <c r="CV1140" s="1">
        <v>1.0</v>
      </c>
      <c r="CW1140" s="1">
        <v>0.0</v>
      </c>
      <c r="CX1140" s="1">
        <v>0.0</v>
      </c>
      <c r="CY1140" s="1">
        <v>0.0</v>
      </c>
      <c r="CZ1140" s="1">
        <v>0.0</v>
      </c>
      <c r="DA1140" s="1">
        <v>0.0</v>
      </c>
      <c r="DB1140" s="1">
        <v>0.0</v>
      </c>
      <c r="DC1140" s="1">
        <v>3.0</v>
      </c>
      <c r="DD1140" s="1" t="s">
        <v>5065</v>
      </c>
      <c r="DE1140" s="1">
        <v>3.84286122881996E-4</v>
      </c>
      <c r="DF1140" s="1">
        <v>0.0875613238887381</v>
      </c>
    </row>
    <row r="1141" ht="15.75" customHeight="1">
      <c r="A1141" s="1" t="s">
        <v>5066</v>
      </c>
      <c r="B1141" s="1">
        <v>29.0</v>
      </c>
      <c r="C1141" s="1">
        <v>189.0</v>
      </c>
      <c r="D1141" s="1">
        <v>212002.0</v>
      </c>
      <c r="E1141" s="1">
        <v>0.842</v>
      </c>
      <c r="F1141" s="1">
        <v>29189.0</v>
      </c>
      <c r="G1141" s="1">
        <v>2.9189212002E10</v>
      </c>
      <c r="H1141" s="1" t="s">
        <v>112</v>
      </c>
      <c r="I1141" s="1" t="s">
        <v>113</v>
      </c>
      <c r="J1141" s="1" t="s">
        <v>4566</v>
      </c>
      <c r="K1141" s="1" t="s">
        <v>5067</v>
      </c>
      <c r="L1141" s="1">
        <v>3850.0</v>
      </c>
      <c r="M1141" s="1">
        <v>3744.0</v>
      </c>
      <c r="N1141" s="1">
        <v>560.0</v>
      </c>
      <c r="O1141" s="1">
        <v>1803.0</v>
      </c>
      <c r="P1141" s="1">
        <v>1868.0</v>
      </c>
      <c r="Q1141" s="1">
        <v>71.0</v>
      </c>
      <c r="R1141" s="1">
        <v>1477.0</v>
      </c>
      <c r="S1141" s="1">
        <v>1251.0</v>
      </c>
      <c r="T1141" s="1">
        <v>626.0</v>
      </c>
      <c r="U1141" s="1">
        <v>191.0</v>
      </c>
      <c r="V1141" s="1">
        <v>445.0</v>
      </c>
      <c r="W1141" s="1">
        <v>12425.0</v>
      </c>
      <c r="X1141" s="1">
        <v>2379.0</v>
      </c>
      <c r="Y1141" s="1">
        <v>371.0</v>
      </c>
      <c r="Z1141" s="1">
        <v>346.0</v>
      </c>
      <c r="AA1141" s="1">
        <v>225.0</v>
      </c>
      <c r="AB1141" s="1">
        <v>1286.0</v>
      </c>
      <c r="AC1141" s="1">
        <v>565.0</v>
      </c>
      <c r="AD1141" s="1">
        <v>3698.0</v>
      </c>
      <c r="AE1141" s="1">
        <v>0.0</v>
      </c>
      <c r="AF1141" s="1">
        <v>456.0</v>
      </c>
      <c r="AG1141" s="1">
        <v>287.0</v>
      </c>
      <c r="AH1141" s="1">
        <v>181.0</v>
      </c>
      <c r="AI1141" s="1">
        <v>0.0</v>
      </c>
      <c r="AJ1141" s="1">
        <v>114.0</v>
      </c>
      <c r="AK1141" s="1">
        <v>61.0</v>
      </c>
      <c r="AL1141" s="1">
        <v>134.0</v>
      </c>
      <c r="AM1141" s="1">
        <v>392.0</v>
      </c>
      <c r="AN1141" s="1">
        <v>176.0</v>
      </c>
      <c r="AO1141" s="1">
        <v>0.0</v>
      </c>
      <c r="AP1141" s="1">
        <v>0.334134</v>
      </c>
      <c r="AQ1141" s="1">
        <v>0.159556</v>
      </c>
      <c r="AR1141" s="1">
        <v>0.115268</v>
      </c>
      <c r="AS1141" s="1">
        <v>0.267328</v>
      </c>
      <c r="AT1141" s="1">
        <v>12425.0</v>
      </c>
      <c r="AU1141" s="1">
        <v>2379.0</v>
      </c>
      <c r="AV1141" s="1">
        <v>0.211396</v>
      </c>
      <c r="AW1141" s="1">
        <v>0.194837</v>
      </c>
      <c r="AX1141" s="1">
        <v>0.058441</v>
      </c>
      <c r="AY1141" s="1">
        <v>0.334025</v>
      </c>
      <c r="AZ1141" s="1">
        <v>0.38253215</v>
      </c>
      <c r="BA1141" s="1">
        <v>0.960519</v>
      </c>
      <c r="BB1141" s="1">
        <v>0.0</v>
      </c>
      <c r="BC1141" s="1">
        <v>0.139406</v>
      </c>
      <c r="BD1141" s="1">
        <v>0.15364</v>
      </c>
      <c r="BE1141" s="1">
        <v>0.096718</v>
      </c>
      <c r="BF1141" s="1">
        <v>0.0</v>
      </c>
      <c r="BG1141" s="1">
        <v>0.061027</v>
      </c>
      <c r="BH1141" s="1">
        <v>0.041327</v>
      </c>
      <c r="BI1141" s="1">
        <v>0.090673</v>
      </c>
      <c r="BJ1141" s="1">
        <v>0.265582</v>
      </c>
      <c r="BK1141" s="1">
        <v>0.115668</v>
      </c>
      <c r="BL1141" s="1">
        <v>0.0</v>
      </c>
      <c r="BM1141" s="1">
        <v>0.917</v>
      </c>
      <c r="BN1141" s="1">
        <v>0.803</v>
      </c>
      <c r="BO1141" s="1">
        <v>0.9487</v>
      </c>
      <c r="BP1141" s="1">
        <v>0.784</v>
      </c>
      <c r="BQ1141" s="1">
        <v>3.4527</v>
      </c>
      <c r="BR1141" s="1">
        <v>0.9105</v>
      </c>
      <c r="BS1141" s="1">
        <v>0.039</v>
      </c>
      <c r="BT1141" s="1">
        <v>0.977</v>
      </c>
      <c r="BU1141" s="1">
        <v>0.996</v>
      </c>
      <c r="BV1141" s="1">
        <v>2.012</v>
      </c>
      <c r="BW1141" s="1">
        <v>0.864</v>
      </c>
      <c r="BX1141" s="1">
        <v>0.964</v>
      </c>
      <c r="BY1141" s="1">
        <v>0.0</v>
      </c>
      <c r="BZ1141" s="1">
        <v>0.964</v>
      </c>
      <c r="CA1141" s="1">
        <v>0.521</v>
      </c>
      <c r="CB1141" s="1">
        <v>0.843</v>
      </c>
      <c r="CC1141" s="1">
        <v>0.0</v>
      </c>
      <c r="CD1141" s="1">
        <v>0.897</v>
      </c>
      <c r="CE1141" s="1">
        <v>0.952</v>
      </c>
      <c r="CF1141" s="1">
        <v>0.0</v>
      </c>
      <c r="CG1141" s="1">
        <v>2.692</v>
      </c>
      <c r="CH1141" s="1">
        <v>0.638</v>
      </c>
      <c r="CI1141" s="1">
        <v>9.1207</v>
      </c>
      <c r="CJ1141" s="1">
        <v>0.8671</v>
      </c>
      <c r="CK1141" s="1">
        <v>1.0</v>
      </c>
      <c r="CL1141" s="1">
        <v>0.0</v>
      </c>
      <c r="CM1141" s="1">
        <v>1.0</v>
      </c>
      <c r="CN1141" s="1">
        <v>0.0</v>
      </c>
      <c r="CO1141" s="1">
        <v>2.0</v>
      </c>
      <c r="CP1141" s="1">
        <v>0.0</v>
      </c>
      <c r="CQ1141" s="1">
        <v>1.0</v>
      </c>
      <c r="CR1141" s="1">
        <v>1.0</v>
      </c>
      <c r="CS1141" s="1">
        <v>2.0</v>
      </c>
      <c r="CT1141" s="1">
        <v>1.0</v>
      </c>
      <c r="CU1141" s="1">
        <v>0.0</v>
      </c>
      <c r="CV1141" s="1">
        <v>1.0</v>
      </c>
      <c r="CW1141" s="1">
        <v>0.0</v>
      </c>
      <c r="CX1141" s="1">
        <v>0.0</v>
      </c>
      <c r="CY1141" s="1">
        <v>0.0</v>
      </c>
      <c r="CZ1141" s="1">
        <v>1.0</v>
      </c>
      <c r="DA1141" s="1">
        <v>0.0</v>
      </c>
      <c r="DB1141" s="1">
        <v>1.0</v>
      </c>
      <c r="DC1141" s="1">
        <v>6.0</v>
      </c>
      <c r="DD1141" s="1" t="s">
        <v>5068</v>
      </c>
      <c r="DE1141" s="1">
        <v>2.24738030369246E-4</v>
      </c>
      <c r="DF1141" s="1">
        <v>0.0810697721528432</v>
      </c>
    </row>
    <row r="1142" ht="15.75" customHeight="1">
      <c r="A1142" s="1" t="s">
        <v>5069</v>
      </c>
      <c r="B1142" s="1">
        <v>29.0</v>
      </c>
      <c r="C1142" s="1">
        <v>189.0</v>
      </c>
      <c r="D1142" s="1">
        <v>212101.0</v>
      </c>
      <c r="E1142" s="1">
        <v>0.765</v>
      </c>
      <c r="F1142" s="1">
        <v>29189.0</v>
      </c>
      <c r="G1142" s="1">
        <v>2.9189212101E10</v>
      </c>
      <c r="H1142" s="1" t="s">
        <v>112</v>
      </c>
      <c r="I1142" s="1" t="s">
        <v>113</v>
      </c>
      <c r="J1142" s="1" t="s">
        <v>4566</v>
      </c>
      <c r="K1142" s="1" t="s">
        <v>5070</v>
      </c>
      <c r="L1142" s="1">
        <v>4401.0</v>
      </c>
      <c r="M1142" s="1">
        <v>4436.0</v>
      </c>
      <c r="N1142" s="1">
        <v>545.0</v>
      </c>
      <c r="O1142" s="1">
        <v>2097.0</v>
      </c>
      <c r="P1142" s="1">
        <v>2186.0</v>
      </c>
      <c r="Q1142" s="1">
        <v>133.0</v>
      </c>
      <c r="R1142" s="1">
        <v>1629.0</v>
      </c>
      <c r="S1142" s="1">
        <v>1427.0</v>
      </c>
      <c r="T1142" s="1">
        <v>573.0</v>
      </c>
      <c r="U1142" s="1">
        <v>526.0</v>
      </c>
      <c r="V1142" s="1">
        <v>362.0</v>
      </c>
      <c r="W1142" s="1">
        <v>10920.0</v>
      </c>
      <c r="X1142" s="1">
        <v>1470.0</v>
      </c>
      <c r="Y1142" s="1">
        <v>703.0</v>
      </c>
      <c r="Z1142" s="1">
        <v>315.0</v>
      </c>
      <c r="AA1142" s="1">
        <v>325.0</v>
      </c>
      <c r="AB1142" s="1">
        <v>1296.0</v>
      </c>
      <c r="AC1142" s="1">
        <v>521.0</v>
      </c>
      <c r="AD1142" s="1">
        <v>4054.0</v>
      </c>
      <c r="AE1142" s="1">
        <v>0.0</v>
      </c>
      <c r="AF1142" s="1">
        <v>456.0</v>
      </c>
      <c r="AG1142" s="1">
        <v>30.0</v>
      </c>
      <c r="AH1142" s="1">
        <v>117.0</v>
      </c>
      <c r="AI1142" s="1">
        <v>61.0</v>
      </c>
      <c r="AJ1142" s="1">
        <v>97.0</v>
      </c>
      <c r="AK1142" s="1">
        <v>23.0</v>
      </c>
      <c r="AL1142" s="1">
        <v>117.0</v>
      </c>
      <c r="AM1142" s="1">
        <v>317.0</v>
      </c>
      <c r="AN1142" s="1">
        <v>127.0</v>
      </c>
      <c r="AO1142" s="1">
        <v>40.0</v>
      </c>
      <c r="AP1142" s="1">
        <v>0.324097</v>
      </c>
      <c r="AQ1142" s="1">
        <v>0.123801</v>
      </c>
      <c r="AR1142" s="1">
        <v>0.269743</v>
      </c>
      <c r="AS1142" s="1">
        <v>0.177961</v>
      </c>
      <c r="AT1142" s="1">
        <v>10920.0</v>
      </c>
      <c r="AU1142" s="1">
        <v>1470.0</v>
      </c>
      <c r="AV1142" s="1">
        <v>0.299403</v>
      </c>
      <c r="AW1142" s="1">
        <v>0.128587</v>
      </c>
      <c r="AX1142" s="1">
        <v>0.073846</v>
      </c>
      <c r="AY1142" s="1">
        <v>0.294478</v>
      </c>
      <c r="AZ1142" s="1">
        <v>0.31982811</v>
      </c>
      <c r="BA1142" s="1">
        <v>0.921154</v>
      </c>
      <c r="BB1142" s="1">
        <v>0.0</v>
      </c>
      <c r="BC1142" s="1">
        <v>0.110921</v>
      </c>
      <c r="BD1142" s="1">
        <v>0.013723</v>
      </c>
      <c r="BE1142" s="1">
        <v>0.053515</v>
      </c>
      <c r="BF1142" s="1">
        <v>0.027904</v>
      </c>
      <c r="BG1142" s="1">
        <v>0.04434</v>
      </c>
      <c r="BH1142" s="1">
        <v>0.014024</v>
      </c>
      <c r="BI1142" s="1">
        <v>0.071329</v>
      </c>
      <c r="BJ1142" s="1">
        <v>0.193292</v>
      </c>
      <c r="BK1142" s="1">
        <v>0.075253</v>
      </c>
      <c r="BL1142" s="1">
        <v>0.009088</v>
      </c>
      <c r="BM1142" s="1">
        <v>0.907</v>
      </c>
      <c r="BN1142" s="1">
        <v>0.984</v>
      </c>
      <c r="BO1142" s="1">
        <v>0.9783</v>
      </c>
      <c r="BP1142" s="1">
        <v>0.946</v>
      </c>
      <c r="BQ1142" s="1">
        <v>3.8153</v>
      </c>
      <c r="BR1142" s="1">
        <v>0.9841</v>
      </c>
      <c r="BS1142" s="1">
        <v>0.097</v>
      </c>
      <c r="BT1142" s="1">
        <v>0.902</v>
      </c>
      <c r="BU1142" s="1">
        <v>0.983</v>
      </c>
      <c r="BV1142" s="1">
        <v>1.982</v>
      </c>
      <c r="BW1142" s="1">
        <v>0.848</v>
      </c>
      <c r="BX1142" s="1">
        <v>0.946</v>
      </c>
      <c r="BY1142" s="1">
        <v>0.0</v>
      </c>
      <c r="BZ1142" s="1">
        <v>0.946</v>
      </c>
      <c r="CA1142" s="1">
        <v>0.508</v>
      </c>
      <c r="CB1142" s="1">
        <v>0.415</v>
      </c>
      <c r="CC1142" s="1">
        <v>0.542</v>
      </c>
      <c r="CD1142" s="1">
        <v>0.571</v>
      </c>
      <c r="CE1142" s="1">
        <v>0.902</v>
      </c>
      <c r="CF1142" s="1">
        <v>0.561</v>
      </c>
      <c r="CG1142" s="1">
        <v>2.991</v>
      </c>
      <c r="CH1142" s="1">
        <v>0.772</v>
      </c>
      <c r="CI1142" s="1">
        <v>9.7343</v>
      </c>
      <c r="CJ1142" s="1">
        <v>0.9307</v>
      </c>
      <c r="CK1142" s="1">
        <v>1.0</v>
      </c>
      <c r="CL1142" s="1">
        <v>1.0</v>
      </c>
      <c r="CM1142" s="1">
        <v>1.0</v>
      </c>
      <c r="CN1142" s="1">
        <v>1.0</v>
      </c>
      <c r="CO1142" s="1">
        <v>4.0</v>
      </c>
      <c r="CP1142" s="1">
        <v>0.0</v>
      </c>
      <c r="CQ1142" s="1">
        <v>1.0</v>
      </c>
      <c r="CR1142" s="1">
        <v>1.0</v>
      </c>
      <c r="CS1142" s="1">
        <v>2.0</v>
      </c>
      <c r="CT1142" s="1">
        <v>1.0</v>
      </c>
      <c r="CU1142" s="1">
        <v>0.0</v>
      </c>
      <c r="CV1142" s="1">
        <v>1.0</v>
      </c>
      <c r="CW1142" s="1">
        <v>0.0</v>
      </c>
      <c r="CX1142" s="1">
        <v>0.0</v>
      </c>
      <c r="CY1142" s="1">
        <v>0.0</v>
      </c>
      <c r="CZ1142" s="1">
        <v>1.0</v>
      </c>
      <c r="DA1142" s="1">
        <v>0.0</v>
      </c>
      <c r="DB1142" s="1">
        <v>1.0</v>
      </c>
      <c r="DC1142" s="1">
        <v>8.0</v>
      </c>
      <c r="DD1142" s="1" t="s">
        <v>5071</v>
      </c>
      <c r="DE1142" s="1">
        <v>2.05475690994673E-4</v>
      </c>
      <c r="DF1142" s="2" t="s">
        <v>5072</v>
      </c>
    </row>
    <row r="1143" ht="15.75" customHeight="1">
      <c r="A1143" s="1" t="s">
        <v>5073</v>
      </c>
      <c r="B1143" s="1">
        <v>29.0</v>
      </c>
      <c r="C1143" s="1">
        <v>189.0</v>
      </c>
      <c r="D1143" s="1">
        <v>212102.0</v>
      </c>
      <c r="E1143" s="1">
        <v>0.679</v>
      </c>
      <c r="F1143" s="1">
        <v>29189.0</v>
      </c>
      <c r="G1143" s="1">
        <v>2.9189212102E10</v>
      </c>
      <c r="H1143" s="1" t="s">
        <v>112</v>
      </c>
      <c r="I1143" s="1" t="s">
        <v>113</v>
      </c>
      <c r="J1143" s="1" t="s">
        <v>4566</v>
      </c>
      <c r="K1143" s="1" t="s">
        <v>5074</v>
      </c>
      <c r="L1143" s="1">
        <v>3101.0</v>
      </c>
      <c r="M1143" s="1">
        <v>3314.0</v>
      </c>
      <c r="N1143" s="1">
        <v>331.0</v>
      </c>
      <c r="O1143" s="1">
        <v>1288.0</v>
      </c>
      <c r="P1143" s="1">
        <v>1334.0</v>
      </c>
      <c r="Q1143" s="1">
        <v>92.0</v>
      </c>
      <c r="R1143" s="1">
        <v>1087.0</v>
      </c>
      <c r="S1143" s="1">
        <v>1097.0</v>
      </c>
      <c r="T1143" s="1">
        <v>335.0</v>
      </c>
      <c r="U1143" s="1">
        <v>272.0</v>
      </c>
      <c r="V1143" s="1">
        <v>297.0</v>
      </c>
      <c r="W1143" s="1">
        <v>12732.0</v>
      </c>
      <c r="X1143" s="1">
        <v>1373.0</v>
      </c>
      <c r="Y1143" s="1">
        <v>446.0</v>
      </c>
      <c r="Z1143" s="1">
        <v>265.0</v>
      </c>
      <c r="AA1143" s="1">
        <v>209.0</v>
      </c>
      <c r="AB1143" s="1">
        <v>1084.0</v>
      </c>
      <c r="AC1143" s="1">
        <v>422.0</v>
      </c>
      <c r="AD1143" s="1">
        <v>2908.0</v>
      </c>
      <c r="AE1143" s="1">
        <v>0.0</v>
      </c>
      <c r="AF1143" s="1">
        <v>456.0</v>
      </c>
      <c r="AG1143" s="1">
        <v>33.0</v>
      </c>
      <c r="AH1143" s="1">
        <v>121.0</v>
      </c>
      <c r="AI1143" s="1">
        <v>0.0</v>
      </c>
      <c r="AJ1143" s="1">
        <v>114.0</v>
      </c>
      <c r="AK1143" s="1">
        <v>14.0</v>
      </c>
      <c r="AL1143" s="1">
        <v>115.0</v>
      </c>
      <c r="AM1143" s="1">
        <v>177.0</v>
      </c>
      <c r="AN1143" s="1">
        <v>85.0</v>
      </c>
      <c r="AO1143" s="1">
        <v>0.0</v>
      </c>
      <c r="AP1143" s="1">
        <v>0.334043</v>
      </c>
      <c r="AQ1143" s="1">
        <v>0.096504</v>
      </c>
      <c r="AR1143" s="1">
        <v>0.17801</v>
      </c>
      <c r="AS1143" s="1">
        <v>0.192564</v>
      </c>
      <c r="AT1143" s="1">
        <v>12732.0</v>
      </c>
      <c r="AU1143" s="1">
        <v>1373.0</v>
      </c>
      <c r="AV1143" s="1">
        <v>0.252834</v>
      </c>
      <c r="AW1143" s="1">
        <v>0.14851</v>
      </c>
      <c r="AX1143" s="1">
        <v>0.067397</v>
      </c>
      <c r="AY1143" s="1">
        <v>0.349564</v>
      </c>
      <c r="AZ1143" s="1">
        <v>0.38822447</v>
      </c>
      <c r="BA1143" s="1">
        <v>0.937762</v>
      </c>
      <c r="BB1143" s="1">
        <v>0.0</v>
      </c>
      <c r="BC1143" s="1">
        <v>0.149068</v>
      </c>
      <c r="BD1143" s="1">
        <v>0.024737</v>
      </c>
      <c r="BE1143" s="1">
        <v>0.090688</v>
      </c>
      <c r="BF1143" s="1">
        <v>0.0</v>
      </c>
      <c r="BG1143" s="1">
        <v>0.085457</v>
      </c>
      <c r="BH1143" s="1">
        <v>0.011774</v>
      </c>
      <c r="BI1143" s="1">
        <v>0.096713</v>
      </c>
      <c r="BJ1143" s="1">
        <v>0.148864</v>
      </c>
      <c r="BK1143" s="1">
        <v>0.070173</v>
      </c>
      <c r="BL1143" s="1">
        <v>0.0</v>
      </c>
      <c r="BM1143" s="1">
        <v>0.915</v>
      </c>
      <c r="BN1143" s="1">
        <v>0.933</v>
      </c>
      <c r="BO1143" s="1">
        <v>0.9408</v>
      </c>
      <c r="BP1143" s="1">
        <v>0.874</v>
      </c>
      <c r="BQ1143" s="1">
        <v>3.6628</v>
      </c>
      <c r="BR1143" s="1">
        <v>0.9509</v>
      </c>
      <c r="BS1143" s="1">
        <v>0.074</v>
      </c>
      <c r="BT1143" s="1">
        <v>0.984</v>
      </c>
      <c r="BU1143" s="1">
        <v>0.997</v>
      </c>
      <c r="BV1143" s="1">
        <v>2.055</v>
      </c>
      <c r="BW1143" s="1">
        <v>0.894</v>
      </c>
      <c r="BX1143" s="1">
        <v>0.952</v>
      </c>
      <c r="BY1143" s="1">
        <v>0.0</v>
      </c>
      <c r="BZ1143" s="1">
        <v>0.952</v>
      </c>
      <c r="CA1143" s="1">
        <v>0.511</v>
      </c>
      <c r="CB1143" s="1">
        <v>0.512</v>
      </c>
      <c r="CC1143" s="1">
        <v>0.0</v>
      </c>
      <c r="CD1143" s="1">
        <v>0.521</v>
      </c>
      <c r="CE1143" s="1">
        <v>0.856</v>
      </c>
      <c r="CF1143" s="1">
        <v>0.0</v>
      </c>
      <c r="CG1143" s="1">
        <v>1.889</v>
      </c>
      <c r="CH1143" s="1">
        <v>0.3</v>
      </c>
      <c r="CI1143" s="1">
        <v>8.5588</v>
      </c>
      <c r="CJ1143" s="1">
        <v>0.7942</v>
      </c>
      <c r="CK1143" s="1">
        <v>1.0</v>
      </c>
      <c r="CL1143" s="1">
        <v>1.0</v>
      </c>
      <c r="CM1143" s="1">
        <v>1.0</v>
      </c>
      <c r="CN1143" s="1">
        <v>0.0</v>
      </c>
      <c r="CO1143" s="1">
        <v>3.0</v>
      </c>
      <c r="CP1143" s="1">
        <v>0.0</v>
      </c>
      <c r="CQ1143" s="1">
        <v>1.0</v>
      </c>
      <c r="CR1143" s="1">
        <v>1.0</v>
      </c>
      <c r="CS1143" s="1">
        <v>2.0</v>
      </c>
      <c r="CT1143" s="1">
        <v>1.0</v>
      </c>
      <c r="CU1143" s="1">
        <v>0.0</v>
      </c>
      <c r="CV1143" s="1">
        <v>1.0</v>
      </c>
      <c r="CW1143" s="1">
        <v>0.0</v>
      </c>
      <c r="CX1143" s="1">
        <v>0.0</v>
      </c>
      <c r="CY1143" s="1">
        <v>0.0</v>
      </c>
      <c r="CZ1143" s="1">
        <v>0.0</v>
      </c>
      <c r="DA1143" s="1">
        <v>0.0</v>
      </c>
      <c r="DB1143" s="1">
        <v>0.0</v>
      </c>
      <c r="DC1143" s="1">
        <v>6.0</v>
      </c>
      <c r="DD1143" s="1" t="s">
        <v>5075</v>
      </c>
      <c r="DE1143" s="1">
        <v>1.81699086558431E-4</v>
      </c>
      <c r="DF1143" s="1">
        <v>0.0664883360739012</v>
      </c>
    </row>
    <row r="1144" ht="15.75" customHeight="1">
      <c r="A1144" s="1" t="s">
        <v>5076</v>
      </c>
      <c r="B1144" s="1">
        <v>29.0</v>
      </c>
      <c r="C1144" s="1">
        <v>189.0</v>
      </c>
      <c r="D1144" s="1">
        <v>212200.0</v>
      </c>
      <c r="E1144" s="1">
        <v>1.158</v>
      </c>
      <c r="F1144" s="1">
        <v>29189.0</v>
      </c>
      <c r="G1144" s="1">
        <v>2.91892122E10</v>
      </c>
      <c r="H1144" s="1" t="s">
        <v>112</v>
      </c>
      <c r="I1144" s="1" t="s">
        <v>113</v>
      </c>
      <c r="J1144" s="1" t="s">
        <v>4566</v>
      </c>
      <c r="K1144" s="1" t="s">
        <v>5077</v>
      </c>
      <c r="L1144" s="1">
        <v>6778.0</v>
      </c>
      <c r="M1144" s="1">
        <v>6651.0</v>
      </c>
      <c r="N1144" s="1">
        <v>285.0</v>
      </c>
      <c r="O1144" s="1">
        <v>3065.0</v>
      </c>
      <c r="P1144" s="1">
        <v>3120.0</v>
      </c>
      <c r="Q1144" s="1">
        <v>259.0</v>
      </c>
      <c r="R1144" s="1">
        <v>2566.0</v>
      </c>
      <c r="S1144" s="1">
        <v>1670.0</v>
      </c>
      <c r="T1144" s="1">
        <v>612.0</v>
      </c>
      <c r="U1144" s="1">
        <v>457.0</v>
      </c>
      <c r="V1144" s="1">
        <v>349.0</v>
      </c>
      <c r="W1144" s="1">
        <v>15135.0</v>
      </c>
      <c r="X1144" s="1">
        <v>1629.0</v>
      </c>
      <c r="Y1144" s="1">
        <v>676.0</v>
      </c>
      <c r="Z1144" s="1">
        <v>280.0</v>
      </c>
      <c r="AA1144" s="1">
        <v>1137.0</v>
      </c>
      <c r="AB1144" s="1">
        <v>1787.0</v>
      </c>
      <c r="AC1144" s="1">
        <v>694.0</v>
      </c>
      <c r="AD1144" s="1">
        <v>6565.0</v>
      </c>
      <c r="AE1144" s="1">
        <v>57.0</v>
      </c>
      <c r="AF1144" s="1">
        <v>432.0</v>
      </c>
      <c r="AG1144" s="1">
        <v>0.0</v>
      </c>
      <c r="AH1144" s="1">
        <v>197.0</v>
      </c>
      <c r="AI1144" s="1">
        <v>0.0</v>
      </c>
      <c r="AJ1144" s="1">
        <v>114.0</v>
      </c>
      <c r="AK1144" s="1">
        <v>49.0</v>
      </c>
      <c r="AL1144" s="1">
        <v>120.0</v>
      </c>
      <c r="AM1144" s="1">
        <v>413.0</v>
      </c>
      <c r="AN1144" s="1">
        <v>147.0</v>
      </c>
      <c r="AO1144" s="1">
        <v>86.0</v>
      </c>
      <c r="AP1144" s="1">
        <v>0.255039</v>
      </c>
      <c r="AQ1144" s="1">
        <v>0.092665</v>
      </c>
      <c r="AR1144" s="1">
        <v>0.144666</v>
      </c>
      <c r="AS1144" s="1">
        <v>0.108862</v>
      </c>
      <c r="AT1144" s="1">
        <v>15135.0</v>
      </c>
      <c r="AU1144" s="1">
        <v>1629.0</v>
      </c>
      <c r="AV1144" s="1">
        <v>0.164958</v>
      </c>
      <c r="AW1144" s="1">
        <v>0.066949</v>
      </c>
      <c r="AX1144" s="1">
        <v>0.167748</v>
      </c>
      <c r="AY1144" s="1">
        <v>0.263647</v>
      </c>
      <c r="AZ1144" s="1">
        <v>0.27045985</v>
      </c>
      <c r="BA1144" s="1">
        <v>0.968574</v>
      </c>
      <c r="BB1144" s="1">
        <v>0.008967</v>
      </c>
      <c r="BC1144" s="1">
        <v>0.067966</v>
      </c>
      <c r="BD1144" s="1">
        <v>0.0</v>
      </c>
      <c r="BE1144" s="1">
        <v>0.063141</v>
      </c>
      <c r="BF1144" s="1">
        <v>0.0</v>
      </c>
      <c r="BG1144" s="1">
        <v>0.036538</v>
      </c>
      <c r="BH1144" s="1">
        <v>0.018745</v>
      </c>
      <c r="BI1144" s="1">
        <v>0.045875</v>
      </c>
      <c r="BJ1144" s="1">
        <v>0.157995</v>
      </c>
      <c r="BK1144" s="1">
        <v>0.054396</v>
      </c>
      <c r="BL1144" s="1">
        <v>0.012688</v>
      </c>
      <c r="BM1144" s="1">
        <v>0.835</v>
      </c>
      <c r="BN1144" s="1">
        <v>0.887</v>
      </c>
      <c r="BO1144" s="1">
        <v>0.8693</v>
      </c>
      <c r="BP1144" s="1">
        <v>0.633</v>
      </c>
      <c r="BQ1144" s="1">
        <v>3.2243</v>
      </c>
      <c r="BR1144" s="1">
        <v>0.8585</v>
      </c>
      <c r="BS1144" s="1">
        <v>0.72</v>
      </c>
      <c r="BT1144" s="1">
        <v>0.735</v>
      </c>
      <c r="BU1144" s="1">
        <v>0.964</v>
      </c>
      <c r="BV1144" s="1">
        <v>2.419</v>
      </c>
      <c r="BW1144" s="1">
        <v>0.992</v>
      </c>
      <c r="BX1144" s="1">
        <v>0.969</v>
      </c>
      <c r="BY1144" s="1">
        <v>0.694</v>
      </c>
      <c r="BZ1144" s="1">
        <v>1.663</v>
      </c>
      <c r="CA1144" s="1">
        <v>0.902</v>
      </c>
      <c r="CB1144" s="1">
        <v>0.0</v>
      </c>
      <c r="CC1144" s="1">
        <v>0.0</v>
      </c>
      <c r="CD1144" s="1">
        <v>0.656</v>
      </c>
      <c r="CE1144" s="1">
        <v>0.867</v>
      </c>
      <c r="CF1144" s="1">
        <v>0.616</v>
      </c>
      <c r="CG1144" s="1">
        <v>2.139</v>
      </c>
      <c r="CH1144" s="1">
        <v>0.395</v>
      </c>
      <c r="CI1144" s="1">
        <v>9.4453</v>
      </c>
      <c r="CJ1144" s="1">
        <v>0.8989</v>
      </c>
      <c r="CK1144" s="1">
        <v>0.0</v>
      </c>
      <c r="CL1144" s="1">
        <v>0.0</v>
      </c>
      <c r="CM1144" s="1">
        <v>0.0</v>
      </c>
      <c r="CN1144" s="1">
        <v>0.0</v>
      </c>
      <c r="CO1144" s="1">
        <v>0.0</v>
      </c>
      <c r="CP1144" s="1">
        <v>0.0</v>
      </c>
      <c r="CQ1144" s="1">
        <v>0.0</v>
      </c>
      <c r="CR1144" s="1">
        <v>1.0</v>
      </c>
      <c r="CS1144" s="1">
        <v>1.0</v>
      </c>
      <c r="CT1144" s="1">
        <v>1.0</v>
      </c>
      <c r="CU1144" s="1">
        <v>0.0</v>
      </c>
      <c r="CV1144" s="1">
        <v>1.0</v>
      </c>
      <c r="CW1144" s="1">
        <v>0.0</v>
      </c>
      <c r="CX1144" s="1">
        <v>0.0</v>
      </c>
      <c r="CY1144" s="1">
        <v>0.0</v>
      </c>
      <c r="CZ1144" s="1">
        <v>0.0</v>
      </c>
      <c r="DA1144" s="1">
        <v>0.0</v>
      </c>
      <c r="DB1144" s="1">
        <v>0.0</v>
      </c>
      <c r="DC1144" s="1">
        <v>2.0</v>
      </c>
      <c r="DD1144" s="1" t="s">
        <v>5078</v>
      </c>
      <c r="DE1144" s="1">
        <v>3.10222516652657E-4</v>
      </c>
      <c r="DF1144" s="1">
        <v>0.0733842928493041</v>
      </c>
    </row>
    <row r="1145" ht="15.75" customHeight="1">
      <c r="A1145" s="1" t="s">
        <v>5079</v>
      </c>
      <c r="B1145" s="1">
        <v>29.0</v>
      </c>
      <c r="C1145" s="1">
        <v>189.0</v>
      </c>
      <c r="D1145" s="1">
        <v>212300.0</v>
      </c>
      <c r="E1145" s="1">
        <v>0.985</v>
      </c>
      <c r="F1145" s="1">
        <v>29189.0</v>
      </c>
      <c r="G1145" s="1">
        <v>2.91892123E10</v>
      </c>
      <c r="H1145" s="1" t="s">
        <v>112</v>
      </c>
      <c r="I1145" s="1" t="s">
        <v>113</v>
      </c>
      <c r="J1145" s="1" t="s">
        <v>4566</v>
      </c>
      <c r="K1145" s="1" t="s">
        <v>5080</v>
      </c>
      <c r="L1145" s="1">
        <v>5037.0</v>
      </c>
      <c r="M1145" s="1">
        <v>5556.0</v>
      </c>
      <c r="N1145" s="1">
        <v>314.0</v>
      </c>
      <c r="O1145" s="1">
        <v>2744.0</v>
      </c>
      <c r="P1145" s="1">
        <v>2902.0</v>
      </c>
      <c r="Q1145" s="1">
        <v>123.0</v>
      </c>
      <c r="R1145" s="1">
        <v>2441.0</v>
      </c>
      <c r="S1145" s="1">
        <v>944.0</v>
      </c>
      <c r="T1145" s="1">
        <v>409.0</v>
      </c>
      <c r="U1145" s="1">
        <v>302.0</v>
      </c>
      <c r="V1145" s="1">
        <v>280.0</v>
      </c>
      <c r="W1145" s="1">
        <v>23792.0</v>
      </c>
      <c r="X1145" s="1">
        <v>1527.0</v>
      </c>
      <c r="Y1145" s="1">
        <v>340.0</v>
      </c>
      <c r="Z1145" s="1">
        <v>254.0</v>
      </c>
      <c r="AA1145" s="1">
        <v>565.0</v>
      </c>
      <c r="AB1145" s="1">
        <v>1053.0</v>
      </c>
      <c r="AC1145" s="1">
        <v>425.0</v>
      </c>
      <c r="AD1145" s="1">
        <v>4233.0</v>
      </c>
      <c r="AE1145" s="1">
        <v>23.0</v>
      </c>
      <c r="AF1145" s="1">
        <v>427.0</v>
      </c>
      <c r="AG1145" s="1">
        <v>317.0</v>
      </c>
      <c r="AH1145" s="1">
        <v>93.0</v>
      </c>
      <c r="AI1145" s="1">
        <v>0.0</v>
      </c>
      <c r="AJ1145" s="1">
        <v>114.0</v>
      </c>
      <c r="AK1145" s="1">
        <v>51.0</v>
      </c>
      <c r="AL1145" s="1">
        <v>123.0</v>
      </c>
      <c r="AM1145" s="1">
        <v>485.0</v>
      </c>
      <c r="AN1145" s="1">
        <v>150.0</v>
      </c>
      <c r="AO1145" s="1">
        <v>62.0</v>
      </c>
      <c r="AP1145" s="1">
        <v>0.173816</v>
      </c>
      <c r="AQ1145" s="1">
        <v>0.074656</v>
      </c>
      <c r="AR1145" s="1">
        <v>0.103958</v>
      </c>
      <c r="AS1145" s="1">
        <v>0.095769</v>
      </c>
      <c r="AT1145" s="1">
        <v>23792.0</v>
      </c>
      <c r="AU1145" s="1">
        <v>1527.0</v>
      </c>
      <c r="AV1145" s="1">
        <v>0.089145</v>
      </c>
      <c r="AW1145" s="1">
        <v>0.066248</v>
      </c>
      <c r="AX1145" s="1">
        <v>0.112169</v>
      </c>
      <c r="AY1145" s="1">
        <v>0.209053</v>
      </c>
      <c r="AZ1145" s="1">
        <v>0.17410897</v>
      </c>
      <c r="BA1145" s="1">
        <v>0.840381</v>
      </c>
      <c r="BB1145" s="1">
        <v>0.004418</v>
      </c>
      <c r="BC1145" s="1">
        <v>0.082036</v>
      </c>
      <c r="BD1145" s="1">
        <v>0.109235</v>
      </c>
      <c r="BE1145" s="1">
        <v>0.03171</v>
      </c>
      <c r="BF1145" s="1">
        <v>0.0</v>
      </c>
      <c r="BG1145" s="1">
        <v>0.039283</v>
      </c>
      <c r="BH1145" s="1">
        <v>0.018923</v>
      </c>
      <c r="BI1145" s="1">
        <v>0.045631</v>
      </c>
      <c r="BJ1145" s="1">
        <v>0.179962</v>
      </c>
      <c r="BK1145" s="1">
        <v>0.055018</v>
      </c>
      <c r="BL1145" s="1">
        <v>0.012308</v>
      </c>
      <c r="BM1145" s="1">
        <v>0.658</v>
      </c>
      <c r="BN1145" s="1">
        <v>0.755</v>
      </c>
      <c r="BO1145" s="1">
        <v>0.4051</v>
      </c>
      <c r="BP1145" s="1">
        <v>0.291</v>
      </c>
      <c r="BQ1145" s="1">
        <v>2.1091</v>
      </c>
      <c r="BR1145" s="1">
        <v>0.5292</v>
      </c>
      <c r="BS1145" s="1">
        <v>0.289</v>
      </c>
      <c r="BT1145" s="1">
        <v>0.232</v>
      </c>
      <c r="BU1145" s="1">
        <v>0.852</v>
      </c>
      <c r="BV1145" s="1">
        <v>1.373</v>
      </c>
      <c r="BW1145" s="1">
        <v>0.369</v>
      </c>
      <c r="BX1145" s="1">
        <v>0.93</v>
      </c>
      <c r="BY1145" s="1">
        <v>0.533</v>
      </c>
      <c r="BZ1145" s="1">
        <v>1.463</v>
      </c>
      <c r="CA1145" s="1">
        <v>0.801</v>
      </c>
      <c r="CB1145" s="1">
        <v>0.787</v>
      </c>
      <c r="CC1145" s="1">
        <v>0.0</v>
      </c>
      <c r="CD1145" s="1">
        <v>0.661</v>
      </c>
      <c r="CE1145" s="1">
        <v>0.889</v>
      </c>
      <c r="CF1145" s="1">
        <v>0.609</v>
      </c>
      <c r="CG1145" s="1">
        <v>2.946</v>
      </c>
      <c r="CH1145" s="1">
        <v>0.752</v>
      </c>
      <c r="CI1145" s="1">
        <v>7.8911</v>
      </c>
      <c r="CJ1145" s="1">
        <v>0.6953</v>
      </c>
      <c r="CK1145" s="1">
        <v>0.0</v>
      </c>
      <c r="CL1145" s="1">
        <v>0.0</v>
      </c>
      <c r="CM1145" s="1">
        <v>0.0</v>
      </c>
      <c r="CN1145" s="1">
        <v>0.0</v>
      </c>
      <c r="CO1145" s="1">
        <v>0.0</v>
      </c>
      <c r="CP1145" s="1">
        <v>0.0</v>
      </c>
      <c r="CQ1145" s="1">
        <v>0.0</v>
      </c>
      <c r="CR1145" s="1">
        <v>0.0</v>
      </c>
      <c r="CS1145" s="1">
        <v>0.0</v>
      </c>
      <c r="CT1145" s="1">
        <v>1.0</v>
      </c>
      <c r="CU1145" s="1">
        <v>0.0</v>
      </c>
      <c r="CV1145" s="1">
        <v>1.0</v>
      </c>
      <c r="CW1145" s="1">
        <v>0.0</v>
      </c>
      <c r="CX1145" s="1">
        <v>0.0</v>
      </c>
      <c r="CY1145" s="1">
        <v>0.0</v>
      </c>
      <c r="CZ1145" s="1">
        <v>0.0</v>
      </c>
      <c r="DA1145" s="1">
        <v>0.0</v>
      </c>
      <c r="DB1145" s="1">
        <v>0.0</v>
      </c>
      <c r="DC1145" s="1">
        <v>1.0</v>
      </c>
      <c r="DD1145" s="1" t="s">
        <v>5081</v>
      </c>
      <c r="DE1145" s="1">
        <v>2.63881978246146E-4</v>
      </c>
      <c r="DF1145" s="1">
        <v>0.0735985017203949</v>
      </c>
    </row>
    <row r="1146" ht="15.75" customHeight="1">
      <c r="A1146" s="1" t="s">
        <v>5082</v>
      </c>
      <c r="B1146" s="1">
        <v>29.0</v>
      </c>
      <c r="C1146" s="1">
        <v>189.0</v>
      </c>
      <c r="D1146" s="1">
        <v>212400.0</v>
      </c>
      <c r="E1146" s="1">
        <v>1.47</v>
      </c>
      <c r="F1146" s="1">
        <v>29189.0</v>
      </c>
      <c r="G1146" s="1">
        <v>2.91892124E10</v>
      </c>
      <c r="H1146" s="1" t="s">
        <v>112</v>
      </c>
      <c r="I1146" s="1" t="s">
        <v>113</v>
      </c>
      <c r="J1146" s="1" t="s">
        <v>4566</v>
      </c>
      <c r="K1146" s="1" t="s">
        <v>5083</v>
      </c>
      <c r="L1146" s="1">
        <v>2349.0</v>
      </c>
      <c r="M1146" s="1">
        <v>2567.0</v>
      </c>
      <c r="N1146" s="1">
        <v>376.0</v>
      </c>
      <c r="O1146" s="1">
        <v>927.0</v>
      </c>
      <c r="P1146" s="1">
        <v>1061.0</v>
      </c>
      <c r="Q1146" s="1">
        <v>93.0</v>
      </c>
      <c r="R1146" s="1">
        <v>808.0</v>
      </c>
      <c r="S1146" s="1">
        <v>585.0</v>
      </c>
      <c r="T1146" s="1">
        <v>334.0</v>
      </c>
      <c r="U1146" s="1">
        <v>352.0</v>
      </c>
      <c r="V1146" s="1">
        <v>390.0</v>
      </c>
      <c r="W1146" s="1">
        <v>20324.0</v>
      </c>
      <c r="X1146" s="1">
        <v>10069.0</v>
      </c>
      <c r="Y1146" s="1">
        <v>87.0</v>
      </c>
      <c r="Z1146" s="1">
        <v>364.0</v>
      </c>
      <c r="AA1146" s="1">
        <v>241.0</v>
      </c>
      <c r="AB1146" s="1">
        <v>761.0</v>
      </c>
      <c r="AC1146" s="1">
        <v>264.0</v>
      </c>
      <c r="AD1146" s="1">
        <v>2017.0</v>
      </c>
      <c r="AE1146" s="1">
        <v>0.0</v>
      </c>
      <c r="AF1146" s="1">
        <v>456.0</v>
      </c>
      <c r="AG1146" s="1">
        <v>123.0</v>
      </c>
      <c r="AH1146" s="1">
        <v>69.0</v>
      </c>
      <c r="AI1146" s="1">
        <v>0.0</v>
      </c>
      <c r="AJ1146" s="1">
        <v>114.0</v>
      </c>
      <c r="AK1146" s="1">
        <v>0.0</v>
      </c>
      <c r="AL1146" s="1">
        <v>161.0</v>
      </c>
      <c r="AM1146" s="1">
        <v>130.0</v>
      </c>
      <c r="AN1146" s="1">
        <v>78.0</v>
      </c>
      <c r="AO1146" s="1">
        <v>81.0</v>
      </c>
      <c r="AP1146" s="1">
        <v>0.233626</v>
      </c>
      <c r="AQ1146" s="1">
        <v>0.128816</v>
      </c>
      <c r="AR1146" s="1">
        <v>0.270145</v>
      </c>
      <c r="AS1146" s="1">
        <v>0.29191</v>
      </c>
      <c r="AT1146" s="1">
        <v>20324.0</v>
      </c>
      <c r="AU1146" s="1">
        <v>10069.0</v>
      </c>
      <c r="AV1146" s="1">
        <v>0.059548</v>
      </c>
      <c r="AW1146" s="1">
        <v>0.249018</v>
      </c>
      <c r="AX1146" s="1">
        <v>0.102596</v>
      </c>
      <c r="AY1146" s="1">
        <v>0.323967</v>
      </c>
      <c r="AZ1146" s="1">
        <v>0.32673267</v>
      </c>
      <c r="BA1146" s="1">
        <v>0.858663</v>
      </c>
      <c r="BB1146" s="1">
        <v>0.0</v>
      </c>
      <c r="BC1146" s="1">
        <v>0.20348</v>
      </c>
      <c r="BD1146" s="1">
        <v>0.115928</v>
      </c>
      <c r="BE1146" s="1">
        <v>0.064234</v>
      </c>
      <c r="BF1146" s="1">
        <v>0.0</v>
      </c>
      <c r="BG1146" s="1">
        <v>0.107445</v>
      </c>
      <c r="BH1146" s="1">
        <v>0.0</v>
      </c>
      <c r="BI1146" s="1">
        <v>0.171824</v>
      </c>
      <c r="BJ1146" s="1">
        <v>0.13874</v>
      </c>
      <c r="BK1146" s="1">
        <v>0.081575</v>
      </c>
      <c r="BL1146" s="1">
        <v>0.034482</v>
      </c>
      <c r="BM1146" s="1">
        <v>0.798</v>
      </c>
      <c r="BN1146" s="1">
        <v>0.985</v>
      </c>
      <c r="BO1146" s="1">
        <v>0.5942</v>
      </c>
      <c r="BP1146" s="1">
        <v>0.166</v>
      </c>
      <c r="BQ1146" s="1">
        <v>2.5432</v>
      </c>
      <c r="BR1146" s="1">
        <v>0.6801</v>
      </c>
      <c r="BS1146" s="1">
        <v>0.228</v>
      </c>
      <c r="BT1146" s="1">
        <v>0.967</v>
      </c>
      <c r="BU1146" s="1">
        <v>0.984</v>
      </c>
      <c r="BV1146" s="1">
        <v>2.179</v>
      </c>
      <c r="BW1146" s="1">
        <v>0.959</v>
      </c>
      <c r="BX1146" s="1">
        <v>0.935</v>
      </c>
      <c r="BY1146" s="1">
        <v>0.0</v>
      </c>
      <c r="BZ1146" s="1">
        <v>0.935</v>
      </c>
      <c r="CA1146" s="1">
        <v>0.495</v>
      </c>
      <c r="CB1146" s="1">
        <v>0.797</v>
      </c>
      <c r="CC1146" s="1">
        <v>0.0</v>
      </c>
      <c r="CD1146" s="1">
        <v>0.0</v>
      </c>
      <c r="CE1146" s="1">
        <v>0.844</v>
      </c>
      <c r="CF1146" s="1">
        <v>0.834</v>
      </c>
      <c r="CG1146" s="1">
        <v>2.475</v>
      </c>
      <c r="CH1146" s="1">
        <v>0.552</v>
      </c>
      <c r="CI1146" s="1">
        <v>8.1322</v>
      </c>
      <c r="CJ1146" s="1">
        <v>0.7343</v>
      </c>
      <c r="CK1146" s="1">
        <v>0.0</v>
      </c>
      <c r="CL1146" s="1">
        <v>1.0</v>
      </c>
      <c r="CM1146" s="1">
        <v>0.0</v>
      </c>
      <c r="CN1146" s="1">
        <v>0.0</v>
      </c>
      <c r="CO1146" s="1">
        <v>1.0</v>
      </c>
      <c r="CP1146" s="1">
        <v>0.0</v>
      </c>
      <c r="CQ1146" s="1">
        <v>1.0</v>
      </c>
      <c r="CR1146" s="1">
        <v>1.0</v>
      </c>
      <c r="CS1146" s="1">
        <v>2.0</v>
      </c>
      <c r="CT1146" s="1">
        <v>1.0</v>
      </c>
      <c r="CU1146" s="1">
        <v>0.0</v>
      </c>
      <c r="CV1146" s="1">
        <v>1.0</v>
      </c>
      <c r="CW1146" s="1">
        <v>0.0</v>
      </c>
      <c r="CX1146" s="1">
        <v>0.0</v>
      </c>
      <c r="CY1146" s="1">
        <v>0.0</v>
      </c>
      <c r="CZ1146" s="1">
        <v>0.0</v>
      </c>
      <c r="DA1146" s="1">
        <v>0.0</v>
      </c>
      <c r="DB1146" s="1">
        <v>0.0</v>
      </c>
      <c r="DC1146" s="1">
        <v>4.0</v>
      </c>
      <c r="DD1146" s="1" t="s">
        <v>5084</v>
      </c>
      <c r="DE1146" s="1">
        <v>3.96056506953422E-4</v>
      </c>
      <c r="DF1146" s="1">
        <v>0.0946298174749666</v>
      </c>
    </row>
    <row r="1147" ht="15.75" customHeight="1">
      <c r="A1147" s="1" t="s">
        <v>5085</v>
      </c>
      <c r="B1147" s="1">
        <v>29.0</v>
      </c>
      <c r="C1147" s="1">
        <v>189.0</v>
      </c>
      <c r="D1147" s="1">
        <v>212600.0</v>
      </c>
      <c r="E1147" s="1">
        <v>1.291</v>
      </c>
      <c r="F1147" s="1">
        <v>29189.0</v>
      </c>
      <c r="G1147" s="1">
        <v>2.91892126E10</v>
      </c>
      <c r="H1147" s="1" t="s">
        <v>112</v>
      </c>
      <c r="I1147" s="1" t="s">
        <v>113</v>
      </c>
      <c r="J1147" s="1" t="s">
        <v>4566</v>
      </c>
      <c r="K1147" s="1" t="s">
        <v>5086</v>
      </c>
      <c r="L1147" s="1">
        <v>4671.0</v>
      </c>
      <c r="M1147" s="1">
        <v>4722.0</v>
      </c>
      <c r="N1147" s="1">
        <v>471.0</v>
      </c>
      <c r="O1147" s="1">
        <v>2011.0</v>
      </c>
      <c r="P1147" s="1">
        <v>2152.0</v>
      </c>
      <c r="Q1147" s="1">
        <v>155.0</v>
      </c>
      <c r="R1147" s="1">
        <v>1809.0</v>
      </c>
      <c r="S1147" s="1">
        <v>726.0</v>
      </c>
      <c r="T1147" s="1">
        <v>309.0</v>
      </c>
      <c r="U1147" s="1">
        <v>393.0</v>
      </c>
      <c r="V1147" s="1">
        <v>359.0</v>
      </c>
      <c r="W1147" s="1">
        <v>21979.0</v>
      </c>
      <c r="X1147" s="1">
        <v>2776.0</v>
      </c>
      <c r="Y1147" s="1">
        <v>314.0</v>
      </c>
      <c r="Z1147" s="1">
        <v>248.0</v>
      </c>
      <c r="AA1147" s="1">
        <v>542.0</v>
      </c>
      <c r="AB1147" s="1">
        <v>1201.0</v>
      </c>
      <c r="AC1147" s="1">
        <v>360.0</v>
      </c>
      <c r="AD1147" s="1">
        <v>2694.0</v>
      </c>
      <c r="AE1147" s="1">
        <v>14.0</v>
      </c>
      <c r="AF1147" s="1">
        <v>442.0</v>
      </c>
      <c r="AG1147" s="1">
        <v>0.0</v>
      </c>
      <c r="AH1147" s="1">
        <v>197.0</v>
      </c>
      <c r="AI1147" s="1">
        <v>22.0</v>
      </c>
      <c r="AJ1147" s="1">
        <v>27.0</v>
      </c>
      <c r="AK1147" s="1">
        <v>0.0</v>
      </c>
      <c r="AL1147" s="1">
        <v>161.0</v>
      </c>
      <c r="AM1147" s="1">
        <v>258.0</v>
      </c>
      <c r="AN1147" s="1">
        <v>123.0</v>
      </c>
      <c r="AO1147" s="1">
        <v>54.0</v>
      </c>
      <c r="AP1147" s="1">
        <v>0.153748</v>
      </c>
      <c r="AQ1147" s="1">
        <v>0.063615</v>
      </c>
      <c r="AR1147" s="1">
        <v>0.153097</v>
      </c>
      <c r="AS1147" s="1">
        <v>0.138725</v>
      </c>
      <c r="AT1147" s="1">
        <v>21979.0</v>
      </c>
      <c r="AU1147" s="1">
        <v>2776.0</v>
      </c>
      <c r="AV1147" s="1">
        <v>0.104284</v>
      </c>
      <c r="AW1147" s="1">
        <v>0.081799</v>
      </c>
      <c r="AX1147" s="1">
        <v>0.116035</v>
      </c>
      <c r="AY1147" s="1">
        <v>0.257118</v>
      </c>
      <c r="AZ1147" s="1">
        <v>0.19900497</v>
      </c>
      <c r="BA1147" s="1">
        <v>0.57675</v>
      </c>
      <c r="BB1147" s="1">
        <v>0.003131</v>
      </c>
      <c r="BC1147" s="1">
        <v>0.09888</v>
      </c>
      <c r="BD1147" s="1">
        <v>0.0</v>
      </c>
      <c r="BE1147" s="1">
        <v>0.091542</v>
      </c>
      <c r="BF1147" s="1">
        <v>0.010223</v>
      </c>
      <c r="BG1147" s="1">
        <v>0.012524</v>
      </c>
      <c r="BH1147" s="1">
        <v>0.0</v>
      </c>
      <c r="BI1147" s="1">
        <v>0.081975</v>
      </c>
      <c r="BJ1147" s="1">
        <v>0.131364</v>
      </c>
      <c r="BK1147" s="1">
        <v>0.061459</v>
      </c>
      <c r="BL1147" s="1">
        <v>0.01156</v>
      </c>
      <c r="BM1147" s="1">
        <v>0.59</v>
      </c>
      <c r="BN1147" s="1">
        <v>0.903</v>
      </c>
      <c r="BO1147" s="1">
        <v>0.4953</v>
      </c>
      <c r="BP1147" s="1">
        <v>0.358</v>
      </c>
      <c r="BQ1147" s="1">
        <v>2.3463</v>
      </c>
      <c r="BR1147" s="1">
        <v>0.6123</v>
      </c>
      <c r="BS1147" s="1">
        <v>0.315</v>
      </c>
      <c r="BT1147" s="1">
        <v>0.675</v>
      </c>
      <c r="BU1147" s="1">
        <v>0.896</v>
      </c>
      <c r="BV1147" s="1">
        <v>1.886</v>
      </c>
      <c r="BW1147" s="1">
        <v>0.792</v>
      </c>
      <c r="BX1147" s="1">
        <v>0.877</v>
      </c>
      <c r="BY1147" s="1">
        <v>0.457</v>
      </c>
      <c r="BZ1147" s="1">
        <v>1.334</v>
      </c>
      <c r="CA1147" s="1">
        <v>0.728</v>
      </c>
      <c r="CB1147" s="1">
        <v>0.0</v>
      </c>
      <c r="CC1147" s="1">
        <v>0.461</v>
      </c>
      <c r="CD1147" s="1">
        <v>0.0</v>
      </c>
      <c r="CE1147" s="1">
        <v>0.831</v>
      </c>
      <c r="CF1147" s="1">
        <v>0.602</v>
      </c>
      <c r="CG1147" s="1">
        <v>1.894</v>
      </c>
      <c r="CH1147" s="1">
        <v>0.302</v>
      </c>
      <c r="CI1147" s="1">
        <v>7.4603</v>
      </c>
      <c r="CJ1147" s="1">
        <v>0.6332</v>
      </c>
      <c r="CK1147" s="1">
        <v>0.0</v>
      </c>
      <c r="CL1147" s="1">
        <v>1.0</v>
      </c>
      <c r="CM1147" s="1">
        <v>0.0</v>
      </c>
      <c r="CN1147" s="1">
        <v>0.0</v>
      </c>
      <c r="CO1147" s="1">
        <v>1.0</v>
      </c>
      <c r="CP1147" s="1">
        <v>0.0</v>
      </c>
      <c r="CQ1147" s="1">
        <v>0.0</v>
      </c>
      <c r="CR1147" s="1">
        <v>0.0</v>
      </c>
      <c r="CS1147" s="1">
        <v>0.0</v>
      </c>
      <c r="CT1147" s="1">
        <v>0.0</v>
      </c>
      <c r="CU1147" s="1">
        <v>0.0</v>
      </c>
      <c r="CV1147" s="1">
        <v>0.0</v>
      </c>
      <c r="CW1147" s="1">
        <v>0.0</v>
      </c>
      <c r="CX1147" s="1">
        <v>0.0</v>
      </c>
      <c r="CY1147" s="1">
        <v>0.0</v>
      </c>
      <c r="CZ1147" s="1">
        <v>0.0</v>
      </c>
      <c r="DA1147" s="1">
        <v>0.0</v>
      </c>
      <c r="DB1147" s="1">
        <v>0.0</v>
      </c>
      <c r="DC1147" s="1">
        <v>1.0</v>
      </c>
      <c r="DD1147" s="1" t="s">
        <v>5087</v>
      </c>
      <c r="DE1147" s="1">
        <v>3.48150872582765E-4</v>
      </c>
      <c r="DF1147" s="1">
        <v>0.0869209734796476</v>
      </c>
    </row>
    <row r="1148" ht="15.75" customHeight="1">
      <c r="A1148" s="1" t="s">
        <v>5088</v>
      </c>
      <c r="B1148" s="1">
        <v>29.0</v>
      </c>
      <c r="C1148" s="1">
        <v>189.0</v>
      </c>
      <c r="D1148" s="1">
        <v>212700.0</v>
      </c>
      <c r="E1148" s="1">
        <v>1.911</v>
      </c>
      <c r="F1148" s="1">
        <v>29189.0</v>
      </c>
      <c r="G1148" s="1">
        <v>2.91892127E10</v>
      </c>
      <c r="H1148" s="1" t="s">
        <v>112</v>
      </c>
      <c r="I1148" s="1" t="s">
        <v>113</v>
      </c>
      <c r="J1148" s="1" t="s">
        <v>4566</v>
      </c>
      <c r="K1148" s="1" t="s">
        <v>5089</v>
      </c>
      <c r="L1148" s="1">
        <v>5670.0</v>
      </c>
      <c r="M1148" s="1">
        <v>5724.0</v>
      </c>
      <c r="N1148" s="1">
        <v>613.0</v>
      </c>
      <c r="O1148" s="1">
        <v>2408.0</v>
      </c>
      <c r="P1148" s="1">
        <v>2514.0</v>
      </c>
      <c r="Q1148" s="1">
        <v>212.0</v>
      </c>
      <c r="R1148" s="1">
        <v>2112.0</v>
      </c>
      <c r="S1148" s="1">
        <v>1031.0</v>
      </c>
      <c r="T1148" s="1">
        <v>339.0</v>
      </c>
      <c r="U1148" s="1">
        <v>453.0</v>
      </c>
      <c r="V1148" s="1">
        <v>318.0</v>
      </c>
      <c r="W1148" s="1">
        <v>18325.0</v>
      </c>
      <c r="X1148" s="1">
        <v>2350.0</v>
      </c>
      <c r="Y1148" s="1">
        <v>539.0</v>
      </c>
      <c r="Z1148" s="1">
        <v>276.0</v>
      </c>
      <c r="AA1148" s="1">
        <v>509.0</v>
      </c>
      <c r="AB1148" s="1">
        <v>1724.0</v>
      </c>
      <c r="AC1148" s="1">
        <v>547.0</v>
      </c>
      <c r="AD1148" s="1">
        <v>4194.0</v>
      </c>
      <c r="AE1148" s="1">
        <v>0.0</v>
      </c>
      <c r="AF1148" s="1">
        <v>456.0</v>
      </c>
      <c r="AG1148" s="1">
        <v>50.0</v>
      </c>
      <c r="AH1148" s="1">
        <v>128.0</v>
      </c>
      <c r="AI1148" s="1">
        <v>12.0</v>
      </c>
      <c r="AJ1148" s="1">
        <v>19.0</v>
      </c>
      <c r="AK1148" s="1">
        <v>103.0</v>
      </c>
      <c r="AL1148" s="1">
        <v>130.0</v>
      </c>
      <c r="AM1148" s="1">
        <v>270.0</v>
      </c>
      <c r="AN1148" s="1">
        <v>132.0</v>
      </c>
      <c r="AO1148" s="1">
        <v>0.0</v>
      </c>
      <c r="AP1148" s="1">
        <v>0.182671</v>
      </c>
      <c r="AQ1148" s="1">
        <v>0.05716</v>
      </c>
      <c r="AR1148" s="1">
        <v>0.173496</v>
      </c>
      <c r="AS1148" s="1">
        <v>0.11942</v>
      </c>
      <c r="AT1148" s="1">
        <v>18325.0</v>
      </c>
      <c r="AU1148" s="1">
        <v>2350.0</v>
      </c>
      <c r="AV1148" s="1">
        <v>0.162938</v>
      </c>
      <c r="AW1148" s="1">
        <v>0.08143</v>
      </c>
      <c r="AX1148" s="1">
        <v>0.08977</v>
      </c>
      <c r="AY1148" s="1">
        <v>0.304056</v>
      </c>
      <c r="AZ1148" s="1">
        <v>0.25899621</v>
      </c>
      <c r="BA1148" s="1">
        <v>0.739682</v>
      </c>
      <c r="BB1148" s="1">
        <v>0.0</v>
      </c>
      <c r="BC1148" s="1">
        <v>0.08832</v>
      </c>
      <c r="BD1148" s="1">
        <v>0.019888</v>
      </c>
      <c r="BE1148" s="1">
        <v>0.050887</v>
      </c>
      <c r="BF1148" s="1">
        <v>0.004773</v>
      </c>
      <c r="BG1148" s="1">
        <v>0.007546</v>
      </c>
      <c r="BH1148" s="1">
        <v>0.048745</v>
      </c>
      <c r="BI1148" s="1">
        <v>0.061355</v>
      </c>
      <c r="BJ1148" s="1">
        <v>0.12778</v>
      </c>
      <c r="BK1148" s="1">
        <v>0.061323</v>
      </c>
      <c r="BL1148" s="1">
        <v>0.0</v>
      </c>
      <c r="BM1148" s="1">
        <v>0.681</v>
      </c>
      <c r="BN1148" s="1">
        <v>0.928</v>
      </c>
      <c r="BO1148" s="1">
        <v>0.7141</v>
      </c>
      <c r="BP1148" s="1">
        <v>0.625</v>
      </c>
      <c r="BQ1148" s="1">
        <v>2.9481</v>
      </c>
      <c r="BR1148" s="1">
        <v>0.7935</v>
      </c>
      <c r="BS1148" s="1">
        <v>0.158</v>
      </c>
      <c r="BT1148" s="1">
        <v>0.935</v>
      </c>
      <c r="BU1148" s="1">
        <v>0.954</v>
      </c>
      <c r="BV1148" s="1">
        <v>2.047</v>
      </c>
      <c r="BW1148" s="1">
        <v>0.889</v>
      </c>
      <c r="BX1148" s="1">
        <v>0.909</v>
      </c>
      <c r="BY1148" s="1">
        <v>0.0</v>
      </c>
      <c r="BZ1148" s="1">
        <v>0.909</v>
      </c>
      <c r="CA1148" s="1">
        <v>0.473</v>
      </c>
      <c r="CB1148" s="1">
        <v>0.461</v>
      </c>
      <c r="CC1148" s="1">
        <v>0.39</v>
      </c>
      <c r="CD1148" s="1">
        <v>0.93</v>
      </c>
      <c r="CE1148" s="1">
        <v>0.825</v>
      </c>
      <c r="CF1148" s="1">
        <v>0.0</v>
      </c>
      <c r="CG1148" s="1">
        <v>2.606</v>
      </c>
      <c r="CH1148" s="1">
        <v>0.607</v>
      </c>
      <c r="CI1148" s="1">
        <v>8.5101</v>
      </c>
      <c r="CJ1148" s="1">
        <v>0.7884</v>
      </c>
      <c r="CK1148" s="1">
        <v>0.0</v>
      </c>
      <c r="CL1148" s="1">
        <v>1.0</v>
      </c>
      <c r="CM1148" s="1">
        <v>0.0</v>
      </c>
      <c r="CN1148" s="1">
        <v>0.0</v>
      </c>
      <c r="CO1148" s="1">
        <v>1.0</v>
      </c>
      <c r="CP1148" s="1">
        <v>0.0</v>
      </c>
      <c r="CQ1148" s="1">
        <v>1.0</v>
      </c>
      <c r="CR1148" s="1">
        <v>1.0</v>
      </c>
      <c r="CS1148" s="1">
        <v>2.0</v>
      </c>
      <c r="CT1148" s="1">
        <v>1.0</v>
      </c>
      <c r="CU1148" s="1">
        <v>0.0</v>
      </c>
      <c r="CV1148" s="1">
        <v>1.0</v>
      </c>
      <c r="CW1148" s="1">
        <v>0.0</v>
      </c>
      <c r="CX1148" s="1">
        <v>0.0</v>
      </c>
      <c r="CY1148" s="1">
        <v>1.0</v>
      </c>
      <c r="CZ1148" s="1">
        <v>0.0</v>
      </c>
      <c r="DA1148" s="1">
        <v>0.0</v>
      </c>
      <c r="DB1148" s="1">
        <v>1.0</v>
      </c>
      <c r="DC1148" s="1">
        <v>5.0</v>
      </c>
      <c r="DD1148" s="1" t="s">
        <v>5090</v>
      </c>
      <c r="DE1148" s="1">
        <v>5.10372286292774E-4</v>
      </c>
      <c r="DF1148" s="1">
        <v>0.0928271264743718</v>
      </c>
    </row>
    <row r="1149" ht="15.75" customHeight="1">
      <c r="A1149" s="1" t="s">
        <v>5091</v>
      </c>
      <c r="B1149" s="1">
        <v>29.0</v>
      </c>
      <c r="C1149" s="1">
        <v>189.0</v>
      </c>
      <c r="D1149" s="1">
        <v>213101.0</v>
      </c>
      <c r="E1149" s="1">
        <v>3.661</v>
      </c>
      <c r="F1149" s="1">
        <v>29189.0</v>
      </c>
      <c r="G1149" s="1">
        <v>2.9189213101E10</v>
      </c>
      <c r="H1149" s="1" t="s">
        <v>112</v>
      </c>
      <c r="I1149" s="1" t="s">
        <v>113</v>
      </c>
      <c r="J1149" s="1" t="s">
        <v>4566</v>
      </c>
      <c r="K1149" s="1" t="s">
        <v>5092</v>
      </c>
      <c r="L1149" s="1">
        <v>4606.0</v>
      </c>
      <c r="M1149" s="1">
        <v>5141.0</v>
      </c>
      <c r="N1149" s="1">
        <v>330.0</v>
      </c>
      <c r="O1149" s="1">
        <v>2042.0</v>
      </c>
      <c r="P1149" s="1">
        <v>2401.0</v>
      </c>
      <c r="Q1149" s="1">
        <v>167.0</v>
      </c>
      <c r="R1149" s="1">
        <v>1897.0</v>
      </c>
      <c r="S1149" s="1">
        <v>360.0</v>
      </c>
      <c r="T1149" s="1">
        <v>212.0</v>
      </c>
      <c r="U1149" s="1">
        <v>152.0</v>
      </c>
      <c r="V1149" s="1">
        <v>438.0</v>
      </c>
      <c r="W1149" s="1">
        <v>25136.0</v>
      </c>
      <c r="X1149" s="1">
        <v>2191.0</v>
      </c>
      <c r="Y1149" s="1">
        <v>401.0</v>
      </c>
      <c r="Z1149" s="1">
        <v>320.0</v>
      </c>
      <c r="AA1149" s="1">
        <v>1034.0</v>
      </c>
      <c r="AB1149" s="1">
        <v>909.0</v>
      </c>
      <c r="AC1149" s="1">
        <v>253.0</v>
      </c>
      <c r="AD1149" s="1">
        <v>1429.0</v>
      </c>
      <c r="AE1149" s="1">
        <v>178.0</v>
      </c>
      <c r="AF1149" s="1">
        <v>455.0</v>
      </c>
      <c r="AG1149" s="1">
        <v>376.0</v>
      </c>
      <c r="AH1149" s="1">
        <v>117.0</v>
      </c>
      <c r="AI1149" s="1">
        <v>0.0</v>
      </c>
      <c r="AJ1149" s="1">
        <v>114.0</v>
      </c>
      <c r="AK1149" s="1">
        <v>57.0</v>
      </c>
      <c r="AL1149" s="1">
        <v>127.0</v>
      </c>
      <c r="AM1149" s="1">
        <v>293.0</v>
      </c>
      <c r="AN1149" s="1">
        <v>133.0</v>
      </c>
      <c r="AO1149" s="1">
        <v>306.0</v>
      </c>
      <c r="AP1149" s="1">
        <v>0.070025</v>
      </c>
      <c r="AQ1149" s="1">
        <v>0.040991</v>
      </c>
      <c r="AR1149" s="1">
        <v>0.055092</v>
      </c>
      <c r="AS1149" s="1">
        <v>0.158533</v>
      </c>
      <c r="AT1149" s="1">
        <v>25136.0</v>
      </c>
      <c r="AU1149" s="1">
        <v>2191.0</v>
      </c>
      <c r="AV1149" s="1">
        <v>0.110773</v>
      </c>
      <c r="AW1149" s="1">
        <v>0.088016</v>
      </c>
      <c r="AX1149" s="1">
        <v>0.224489</v>
      </c>
      <c r="AY1149" s="1">
        <v>0.197351</v>
      </c>
      <c r="AZ1149" s="1">
        <v>0.13336847</v>
      </c>
      <c r="BA1149" s="1">
        <v>0.310247</v>
      </c>
      <c r="BB1149" s="1">
        <v>0.0364</v>
      </c>
      <c r="BC1149" s="1">
        <v>0.093013</v>
      </c>
      <c r="BD1149" s="1">
        <v>0.156601</v>
      </c>
      <c r="BE1149" s="1">
        <v>0.047496</v>
      </c>
      <c r="BF1149" s="1">
        <v>0.0</v>
      </c>
      <c r="BG1149" s="1">
        <v>0.04748</v>
      </c>
      <c r="BH1149" s="1">
        <v>0.023959</v>
      </c>
      <c r="BI1149" s="1">
        <v>0.053358</v>
      </c>
      <c r="BJ1149" s="1">
        <v>0.12316</v>
      </c>
      <c r="BK1149" s="1">
        <v>0.055257</v>
      </c>
      <c r="BL1149" s="1">
        <v>0.066435</v>
      </c>
      <c r="BM1149" s="1">
        <v>0.25</v>
      </c>
      <c r="BN1149" s="1">
        <v>0.346</v>
      </c>
      <c r="BO1149" s="1">
        <v>0.3408</v>
      </c>
      <c r="BP1149" s="1">
        <v>0.386</v>
      </c>
      <c r="BQ1149" s="1">
        <v>1.3228</v>
      </c>
      <c r="BR1149" s="1">
        <v>0.2845</v>
      </c>
      <c r="BS1149" s="1">
        <v>0.941</v>
      </c>
      <c r="BT1149" s="1">
        <v>0.179</v>
      </c>
      <c r="BU1149" s="1">
        <v>0.733</v>
      </c>
      <c r="BV1149" s="1">
        <v>1.853</v>
      </c>
      <c r="BW1149" s="1">
        <v>0.771</v>
      </c>
      <c r="BX1149" s="1">
        <v>0.794</v>
      </c>
      <c r="BY1149" s="1">
        <v>0.938</v>
      </c>
      <c r="BZ1149" s="1">
        <v>1.732</v>
      </c>
      <c r="CA1149" s="1">
        <v>0.935</v>
      </c>
      <c r="CB1149" s="1">
        <v>0.848</v>
      </c>
      <c r="CC1149" s="1">
        <v>0.0</v>
      </c>
      <c r="CD1149" s="1">
        <v>0.742</v>
      </c>
      <c r="CE1149" s="1">
        <v>0.816</v>
      </c>
      <c r="CF1149" s="1">
        <v>0.916</v>
      </c>
      <c r="CG1149" s="1">
        <v>3.322</v>
      </c>
      <c r="CH1149" s="1">
        <v>0.88</v>
      </c>
      <c r="CI1149" s="1">
        <v>8.2298</v>
      </c>
      <c r="CJ1149" s="1">
        <v>0.7502</v>
      </c>
      <c r="CK1149" s="1">
        <v>0.0</v>
      </c>
      <c r="CL1149" s="1">
        <v>0.0</v>
      </c>
      <c r="CM1149" s="1">
        <v>0.0</v>
      </c>
      <c r="CN1149" s="1">
        <v>0.0</v>
      </c>
      <c r="CO1149" s="1">
        <v>0.0</v>
      </c>
      <c r="CP1149" s="1">
        <v>1.0</v>
      </c>
      <c r="CQ1149" s="1">
        <v>0.0</v>
      </c>
      <c r="CR1149" s="1">
        <v>0.0</v>
      </c>
      <c r="CS1149" s="1">
        <v>1.0</v>
      </c>
      <c r="CT1149" s="1">
        <v>0.0</v>
      </c>
      <c r="CU1149" s="1">
        <v>1.0</v>
      </c>
      <c r="CV1149" s="1">
        <v>1.0</v>
      </c>
      <c r="CW1149" s="1">
        <v>0.0</v>
      </c>
      <c r="CX1149" s="1">
        <v>0.0</v>
      </c>
      <c r="CY1149" s="1">
        <v>0.0</v>
      </c>
      <c r="CZ1149" s="1">
        <v>0.0</v>
      </c>
      <c r="DA1149" s="1">
        <v>1.0</v>
      </c>
      <c r="DB1149" s="1">
        <v>1.0</v>
      </c>
      <c r="DC1149" s="1">
        <v>3.0</v>
      </c>
      <c r="DD1149" s="1" t="s">
        <v>5093</v>
      </c>
      <c r="DE1149" s="1">
        <v>9.79867079535141E-4</v>
      </c>
      <c r="DF1149" s="2" t="s">
        <v>5094</v>
      </c>
    </row>
    <row r="1150" ht="15.75" customHeight="1">
      <c r="A1150" s="1" t="s">
        <v>5095</v>
      </c>
      <c r="B1150" s="1">
        <v>29.0</v>
      </c>
      <c r="C1150" s="1">
        <v>189.0</v>
      </c>
      <c r="D1150" s="1">
        <v>213202.0</v>
      </c>
      <c r="E1150" s="1">
        <v>2.08</v>
      </c>
      <c r="F1150" s="1">
        <v>29189.0</v>
      </c>
      <c r="G1150" s="1">
        <v>2.9189213202E10</v>
      </c>
      <c r="H1150" s="1" t="s">
        <v>112</v>
      </c>
      <c r="I1150" s="1" t="s">
        <v>113</v>
      </c>
      <c r="J1150" s="1" t="s">
        <v>4566</v>
      </c>
      <c r="K1150" s="1" t="s">
        <v>5096</v>
      </c>
      <c r="L1150" s="1">
        <v>6811.0</v>
      </c>
      <c r="M1150" s="1">
        <v>6001.0</v>
      </c>
      <c r="N1150" s="1">
        <v>461.0</v>
      </c>
      <c r="O1150" s="1">
        <v>2874.0</v>
      </c>
      <c r="P1150" s="1">
        <v>2968.0</v>
      </c>
      <c r="Q1150" s="1">
        <v>107.0</v>
      </c>
      <c r="R1150" s="1">
        <v>2732.0</v>
      </c>
      <c r="S1150" s="1">
        <v>405.0</v>
      </c>
      <c r="T1150" s="1">
        <v>288.0</v>
      </c>
      <c r="U1150" s="1">
        <v>231.0</v>
      </c>
      <c r="V1150" s="1">
        <v>392.0</v>
      </c>
      <c r="W1150" s="1">
        <v>30172.0</v>
      </c>
      <c r="X1150" s="1">
        <v>2320.0</v>
      </c>
      <c r="Y1150" s="1">
        <v>439.0</v>
      </c>
      <c r="Z1150" s="1">
        <v>266.0</v>
      </c>
      <c r="AA1150" s="1">
        <v>1139.0</v>
      </c>
      <c r="AB1150" s="1">
        <v>1387.0</v>
      </c>
      <c r="AC1150" s="1">
        <v>240.0</v>
      </c>
      <c r="AD1150" s="1">
        <v>1634.0</v>
      </c>
      <c r="AE1150" s="1">
        <v>45.0</v>
      </c>
      <c r="AF1150" s="1">
        <v>444.0</v>
      </c>
      <c r="AG1150" s="1">
        <v>297.0</v>
      </c>
      <c r="AH1150" s="1">
        <v>181.0</v>
      </c>
      <c r="AI1150" s="1">
        <v>18.0</v>
      </c>
      <c r="AJ1150" s="1">
        <v>28.0</v>
      </c>
      <c r="AK1150" s="1">
        <v>1.0</v>
      </c>
      <c r="AL1150" s="1">
        <v>115.0</v>
      </c>
      <c r="AM1150" s="1">
        <v>87.0</v>
      </c>
      <c r="AN1150" s="1">
        <v>64.0</v>
      </c>
      <c r="AO1150" s="1">
        <v>297.0</v>
      </c>
      <c r="AP1150" s="1">
        <v>0.068936</v>
      </c>
      <c r="AQ1150" s="1">
        <v>0.048762</v>
      </c>
      <c r="AR1150" s="1">
        <v>0.065033</v>
      </c>
      <c r="AS1150" s="1">
        <v>0.11008</v>
      </c>
      <c r="AT1150" s="1">
        <v>30172.0</v>
      </c>
      <c r="AU1150" s="1">
        <v>2320.0</v>
      </c>
      <c r="AV1150" s="1">
        <v>0.096419</v>
      </c>
      <c r="AW1150" s="1">
        <v>0.057993</v>
      </c>
      <c r="AX1150" s="1">
        <v>0.167229</v>
      </c>
      <c r="AY1150" s="1">
        <v>0.203641</v>
      </c>
      <c r="AZ1150" s="1">
        <v>0.08784773</v>
      </c>
      <c r="BA1150" s="1">
        <v>0.239906</v>
      </c>
      <c r="BB1150" s="1">
        <v>0.007769</v>
      </c>
      <c r="BC1150" s="1">
        <v>0.076655</v>
      </c>
      <c r="BD1150" s="1">
        <v>0.100067</v>
      </c>
      <c r="BE1150" s="1">
        <v>0.060877</v>
      </c>
      <c r="BF1150" s="1">
        <v>0.006064</v>
      </c>
      <c r="BG1150" s="1">
        <v>0.009431</v>
      </c>
      <c r="BH1150" s="1">
        <v>3.61E-4</v>
      </c>
      <c r="BI1150" s="1">
        <v>0.041606</v>
      </c>
      <c r="BJ1150" s="1">
        <v>0.031476</v>
      </c>
      <c r="BK1150" s="1">
        <v>0.023083</v>
      </c>
      <c r="BL1150" s="1">
        <v>0.043605</v>
      </c>
      <c r="BM1150" s="1">
        <v>0.245</v>
      </c>
      <c r="BN1150" s="1">
        <v>0.471</v>
      </c>
      <c r="BO1150" s="1">
        <v>0.1949</v>
      </c>
      <c r="BP1150" s="1">
        <v>0.32</v>
      </c>
      <c r="BQ1150" s="1">
        <v>1.2309</v>
      </c>
      <c r="BR1150" s="1">
        <v>0.2635</v>
      </c>
      <c r="BS1150" s="1">
        <v>0.716</v>
      </c>
      <c r="BT1150" s="1">
        <v>0.206</v>
      </c>
      <c r="BU1150" s="1">
        <v>0.386</v>
      </c>
      <c r="BV1150" s="1">
        <v>1.308</v>
      </c>
      <c r="BW1150" s="1">
        <v>0.31</v>
      </c>
      <c r="BX1150" s="1">
        <v>0.753</v>
      </c>
      <c r="BY1150" s="1">
        <v>0.66</v>
      </c>
      <c r="BZ1150" s="1">
        <v>1.413</v>
      </c>
      <c r="CA1150" s="1">
        <v>0.77</v>
      </c>
      <c r="CB1150" s="1">
        <v>0.772</v>
      </c>
      <c r="CC1150" s="1">
        <v>0.411</v>
      </c>
      <c r="CD1150" s="1">
        <v>0.273</v>
      </c>
      <c r="CE1150" s="1">
        <v>0.296</v>
      </c>
      <c r="CF1150" s="1">
        <v>0.877</v>
      </c>
      <c r="CG1150" s="1">
        <v>2.629</v>
      </c>
      <c r="CH1150" s="1">
        <v>0.612</v>
      </c>
      <c r="CI1150" s="1">
        <v>6.5809</v>
      </c>
      <c r="CJ1150" s="1">
        <v>0.4751</v>
      </c>
      <c r="CK1150" s="1">
        <v>0.0</v>
      </c>
      <c r="CL1150" s="1">
        <v>0.0</v>
      </c>
      <c r="CM1150" s="1">
        <v>0.0</v>
      </c>
      <c r="CN1150" s="1">
        <v>0.0</v>
      </c>
      <c r="CO1150" s="1">
        <v>0.0</v>
      </c>
      <c r="CP1150" s="1">
        <v>0.0</v>
      </c>
      <c r="CQ1150" s="1">
        <v>0.0</v>
      </c>
      <c r="CR1150" s="1">
        <v>0.0</v>
      </c>
      <c r="CS1150" s="1">
        <v>0.0</v>
      </c>
      <c r="CT1150" s="1">
        <v>0.0</v>
      </c>
      <c r="CU1150" s="1">
        <v>0.0</v>
      </c>
      <c r="CV1150" s="1">
        <v>0.0</v>
      </c>
      <c r="CW1150" s="1">
        <v>0.0</v>
      </c>
      <c r="CX1150" s="1">
        <v>0.0</v>
      </c>
      <c r="CY1150" s="1">
        <v>0.0</v>
      </c>
      <c r="CZ1150" s="1">
        <v>0.0</v>
      </c>
      <c r="DA1150" s="1">
        <v>0.0</v>
      </c>
      <c r="DB1150" s="1">
        <v>0.0</v>
      </c>
      <c r="DC1150" s="1">
        <v>0.0</v>
      </c>
      <c r="DD1150" s="1" t="s">
        <v>5097</v>
      </c>
      <c r="DE1150" s="1">
        <v>5.59502020801537E-4</v>
      </c>
      <c r="DF1150" s="2" t="s">
        <v>5098</v>
      </c>
    </row>
    <row r="1151" ht="15.75" customHeight="1">
      <c r="A1151" s="1" t="s">
        <v>5099</v>
      </c>
      <c r="B1151" s="1">
        <v>29.0</v>
      </c>
      <c r="C1151" s="1">
        <v>189.0</v>
      </c>
      <c r="D1151" s="1">
        <v>213203.0</v>
      </c>
      <c r="E1151" s="1">
        <v>2.079</v>
      </c>
      <c r="F1151" s="1">
        <v>29189.0</v>
      </c>
      <c r="G1151" s="1">
        <v>2.9189213203E10</v>
      </c>
      <c r="H1151" s="1" t="s">
        <v>112</v>
      </c>
      <c r="I1151" s="1" t="s">
        <v>113</v>
      </c>
      <c r="J1151" s="1" t="s">
        <v>4566</v>
      </c>
      <c r="K1151" s="1" t="s">
        <v>5100</v>
      </c>
      <c r="L1151" s="1">
        <v>4759.0</v>
      </c>
      <c r="M1151" s="1">
        <v>4914.0</v>
      </c>
      <c r="N1151" s="1">
        <v>306.0</v>
      </c>
      <c r="O1151" s="1">
        <v>2060.0</v>
      </c>
      <c r="P1151" s="1">
        <v>2310.0</v>
      </c>
      <c r="Q1151" s="1">
        <v>113.0</v>
      </c>
      <c r="R1151" s="1">
        <v>1960.0</v>
      </c>
      <c r="S1151" s="1">
        <v>213.0</v>
      </c>
      <c r="T1151" s="1">
        <v>139.0</v>
      </c>
      <c r="U1151" s="1">
        <v>44.0</v>
      </c>
      <c r="V1151" s="1">
        <v>486.0</v>
      </c>
      <c r="W1151" s="1">
        <v>42460.0</v>
      </c>
      <c r="X1151" s="1">
        <v>14023.0</v>
      </c>
      <c r="Y1151" s="1">
        <v>401.0</v>
      </c>
      <c r="Z1151" s="1">
        <v>313.0</v>
      </c>
      <c r="AA1151" s="1">
        <v>1109.0</v>
      </c>
      <c r="AB1151" s="1">
        <v>860.0</v>
      </c>
      <c r="AC1151" s="1">
        <v>111.0</v>
      </c>
      <c r="AD1151" s="1">
        <v>676.0</v>
      </c>
      <c r="AE1151" s="1">
        <v>66.0</v>
      </c>
      <c r="AF1151" s="1">
        <v>453.0</v>
      </c>
      <c r="AG1151" s="1">
        <v>95.0</v>
      </c>
      <c r="AH1151" s="1">
        <v>130.0</v>
      </c>
      <c r="AI1151" s="1">
        <v>0.0</v>
      </c>
      <c r="AJ1151" s="1">
        <v>114.0</v>
      </c>
      <c r="AK1151" s="1">
        <v>9.0</v>
      </c>
      <c r="AL1151" s="1">
        <v>115.0</v>
      </c>
      <c r="AM1151" s="1">
        <v>80.0</v>
      </c>
      <c r="AN1151" s="1">
        <v>128.0</v>
      </c>
      <c r="AO1151" s="1">
        <v>132.0</v>
      </c>
      <c r="AP1151" s="1">
        <v>0.044035</v>
      </c>
      <c r="AQ1151" s="1">
        <v>0.028593</v>
      </c>
      <c r="AR1151" s="1">
        <v>0.01831</v>
      </c>
      <c r="AS1151" s="1">
        <v>0.202234</v>
      </c>
      <c r="AT1151" s="1">
        <v>42460.0</v>
      </c>
      <c r="AU1151" s="1">
        <v>14023.0</v>
      </c>
      <c r="AV1151" s="1">
        <v>0.110134</v>
      </c>
      <c r="AW1151" s="1">
        <v>0.085561</v>
      </c>
      <c r="AX1151" s="1">
        <v>0.233032</v>
      </c>
      <c r="AY1151" s="1">
        <v>0.18071</v>
      </c>
      <c r="AZ1151" s="1">
        <v>0.05663265</v>
      </c>
      <c r="BA1151" s="1">
        <v>0.142046</v>
      </c>
      <c r="BB1151" s="1">
        <v>0.01398</v>
      </c>
      <c r="BC1151" s="1">
        <v>0.09595</v>
      </c>
      <c r="BD1151" s="1">
        <v>0.041125</v>
      </c>
      <c r="BE1151" s="1">
        <v>0.056241</v>
      </c>
      <c r="BF1151" s="1">
        <v>0.0</v>
      </c>
      <c r="BG1151" s="1">
        <v>0.04935</v>
      </c>
      <c r="BH1151" s="1">
        <v>0.004349</v>
      </c>
      <c r="BI1151" s="1">
        <v>0.055581</v>
      </c>
      <c r="BJ1151" s="1">
        <v>0.038666</v>
      </c>
      <c r="BK1151" s="1">
        <v>0.061803</v>
      </c>
      <c r="BL1151" s="1">
        <v>0.027736</v>
      </c>
      <c r="BM1151" s="1">
        <v>0.142</v>
      </c>
      <c r="BN1151" s="1">
        <v>0.023</v>
      </c>
      <c r="BO1151" s="1">
        <v>0.052</v>
      </c>
      <c r="BP1151" s="1">
        <v>0.384</v>
      </c>
      <c r="BQ1151" s="1">
        <v>0.601</v>
      </c>
      <c r="BR1151" s="1">
        <v>0.0953</v>
      </c>
      <c r="BS1151" s="1">
        <v>0.953</v>
      </c>
      <c r="BT1151" s="1">
        <v>0.121</v>
      </c>
      <c r="BU1151" s="1">
        <v>0.112</v>
      </c>
      <c r="BV1151" s="1">
        <v>1.186</v>
      </c>
      <c r="BW1151" s="1">
        <v>0.218</v>
      </c>
      <c r="BX1151" s="1">
        <v>0.598</v>
      </c>
      <c r="BY1151" s="1">
        <v>0.796</v>
      </c>
      <c r="BZ1151" s="1">
        <v>1.394</v>
      </c>
      <c r="CA1151" s="1">
        <v>0.763</v>
      </c>
      <c r="CB1151" s="1">
        <v>0.615</v>
      </c>
      <c r="CC1151" s="1">
        <v>0.0</v>
      </c>
      <c r="CD1151" s="1">
        <v>0.316</v>
      </c>
      <c r="CE1151" s="1">
        <v>0.379</v>
      </c>
      <c r="CF1151" s="1">
        <v>0.792</v>
      </c>
      <c r="CG1151" s="1">
        <v>2.102</v>
      </c>
      <c r="CH1151" s="1">
        <v>0.381</v>
      </c>
      <c r="CI1151" s="1">
        <v>5.283</v>
      </c>
      <c r="CJ1151" s="1">
        <v>0.2412</v>
      </c>
      <c r="CK1151" s="1">
        <v>0.0</v>
      </c>
      <c r="CL1151" s="1">
        <v>0.0</v>
      </c>
      <c r="CM1151" s="1">
        <v>0.0</v>
      </c>
      <c r="CN1151" s="1">
        <v>0.0</v>
      </c>
      <c r="CO1151" s="1">
        <v>0.0</v>
      </c>
      <c r="CP1151" s="1">
        <v>1.0</v>
      </c>
      <c r="CQ1151" s="1">
        <v>0.0</v>
      </c>
      <c r="CR1151" s="1">
        <v>0.0</v>
      </c>
      <c r="CS1151" s="1">
        <v>1.0</v>
      </c>
      <c r="CT1151" s="1">
        <v>0.0</v>
      </c>
      <c r="CU1151" s="1">
        <v>0.0</v>
      </c>
      <c r="CV1151" s="1">
        <v>0.0</v>
      </c>
      <c r="CW1151" s="1">
        <v>0.0</v>
      </c>
      <c r="CX1151" s="1">
        <v>0.0</v>
      </c>
      <c r="CY1151" s="1">
        <v>0.0</v>
      </c>
      <c r="CZ1151" s="1">
        <v>0.0</v>
      </c>
      <c r="DA1151" s="1">
        <v>0.0</v>
      </c>
      <c r="DB1151" s="1">
        <v>0.0</v>
      </c>
      <c r="DC1151" s="1">
        <v>1.0</v>
      </c>
      <c r="DD1151" s="1" t="s">
        <v>5101</v>
      </c>
      <c r="DE1151" s="1">
        <v>5.58932974506349E-4</v>
      </c>
      <c r="DF1151" s="2" t="s">
        <v>5102</v>
      </c>
    </row>
    <row r="1152" ht="15.75" customHeight="1">
      <c r="A1152" s="1" t="s">
        <v>5103</v>
      </c>
      <c r="B1152" s="1">
        <v>29.0</v>
      </c>
      <c r="C1152" s="1">
        <v>189.0</v>
      </c>
      <c r="D1152" s="1">
        <v>213204.0</v>
      </c>
      <c r="E1152" s="1">
        <v>1.047</v>
      </c>
      <c r="F1152" s="1">
        <v>29189.0</v>
      </c>
      <c r="G1152" s="1">
        <v>2.9189213204E10</v>
      </c>
      <c r="H1152" s="1" t="s">
        <v>112</v>
      </c>
      <c r="I1152" s="1" t="s">
        <v>113</v>
      </c>
      <c r="J1152" s="1" t="s">
        <v>4566</v>
      </c>
      <c r="K1152" s="1" t="s">
        <v>5104</v>
      </c>
      <c r="L1152" s="1">
        <v>3869.0</v>
      </c>
      <c r="M1152" s="1">
        <v>3902.0</v>
      </c>
      <c r="N1152" s="1">
        <v>480.0</v>
      </c>
      <c r="O1152" s="1">
        <v>1625.0</v>
      </c>
      <c r="P1152" s="1">
        <v>1693.0</v>
      </c>
      <c r="Q1152" s="1">
        <v>81.0</v>
      </c>
      <c r="R1152" s="1">
        <v>1495.0</v>
      </c>
      <c r="S1152" s="1">
        <v>650.0</v>
      </c>
      <c r="T1152" s="1">
        <v>305.0</v>
      </c>
      <c r="U1152" s="1">
        <v>41.0</v>
      </c>
      <c r="V1152" s="1">
        <v>458.0</v>
      </c>
      <c r="W1152" s="1">
        <v>20678.0</v>
      </c>
      <c r="X1152" s="1">
        <v>2678.0</v>
      </c>
      <c r="Y1152" s="1">
        <v>416.0</v>
      </c>
      <c r="Z1152" s="1">
        <v>276.0</v>
      </c>
      <c r="AA1152" s="1">
        <v>525.0</v>
      </c>
      <c r="AB1152" s="1">
        <v>922.0</v>
      </c>
      <c r="AC1152" s="1">
        <v>245.0</v>
      </c>
      <c r="AD1152" s="1">
        <v>1779.0</v>
      </c>
      <c r="AE1152" s="1">
        <v>110.0</v>
      </c>
      <c r="AF1152" s="1">
        <v>421.0</v>
      </c>
      <c r="AG1152" s="1">
        <v>434.0</v>
      </c>
      <c r="AH1152" s="1">
        <v>125.0</v>
      </c>
      <c r="AI1152" s="1">
        <v>0.0</v>
      </c>
      <c r="AJ1152" s="1">
        <v>114.0</v>
      </c>
      <c r="AK1152" s="1">
        <v>47.0</v>
      </c>
      <c r="AL1152" s="1">
        <v>125.0</v>
      </c>
      <c r="AM1152" s="1">
        <v>111.0</v>
      </c>
      <c r="AN1152" s="1">
        <v>149.0</v>
      </c>
      <c r="AO1152" s="1">
        <v>212.0</v>
      </c>
      <c r="AP1152" s="1">
        <v>0.201363</v>
      </c>
      <c r="AQ1152" s="1">
        <v>0.092926</v>
      </c>
      <c r="AR1152" s="1">
        <v>0.027009</v>
      </c>
      <c r="AS1152" s="1">
        <v>0.301664</v>
      </c>
      <c r="AT1152" s="1">
        <v>20678.0</v>
      </c>
      <c r="AU1152" s="1">
        <v>2678.0</v>
      </c>
      <c r="AV1152" s="1">
        <v>0.160866</v>
      </c>
      <c r="AW1152" s="1">
        <v>0.103159</v>
      </c>
      <c r="AX1152" s="1">
        <v>0.135693</v>
      </c>
      <c r="AY1152" s="1">
        <v>0.238304</v>
      </c>
      <c r="AZ1152" s="1">
        <v>0.16387959</v>
      </c>
      <c r="BA1152" s="1">
        <v>0.459808</v>
      </c>
      <c r="BB1152" s="1">
        <v>0.031527</v>
      </c>
      <c r="BC1152" s="1">
        <v>0.120585</v>
      </c>
      <c r="BD1152" s="1">
        <v>0.256349</v>
      </c>
      <c r="BE1152" s="1">
        <v>0.072807</v>
      </c>
      <c r="BF1152" s="1">
        <v>0.0</v>
      </c>
      <c r="BG1152" s="1">
        <v>0.067336</v>
      </c>
      <c r="BH1152" s="1">
        <v>0.033215</v>
      </c>
      <c r="BI1152" s="1">
        <v>0.088289</v>
      </c>
      <c r="BJ1152" s="1">
        <v>0.078445</v>
      </c>
      <c r="BK1152" s="1">
        <v>0.105068</v>
      </c>
      <c r="BL1152" s="1">
        <v>0.054794</v>
      </c>
      <c r="BM1152" s="1">
        <v>0.735</v>
      </c>
      <c r="BN1152" s="1">
        <v>0.064</v>
      </c>
      <c r="BO1152" s="1">
        <v>0.5747</v>
      </c>
      <c r="BP1152" s="1">
        <v>0.615</v>
      </c>
      <c r="BQ1152" s="1">
        <v>1.9887</v>
      </c>
      <c r="BR1152" s="1">
        <v>0.4903</v>
      </c>
      <c r="BS1152" s="1">
        <v>0.458</v>
      </c>
      <c r="BT1152" s="1">
        <v>0.477</v>
      </c>
      <c r="BU1152" s="1">
        <v>0.833</v>
      </c>
      <c r="BV1152" s="1">
        <v>1.768</v>
      </c>
      <c r="BW1152" s="1">
        <v>0.7</v>
      </c>
      <c r="BX1152" s="1">
        <v>0.857</v>
      </c>
      <c r="BY1152" s="1">
        <v>0.922</v>
      </c>
      <c r="BZ1152" s="1">
        <v>1.779</v>
      </c>
      <c r="CA1152" s="1">
        <v>0.956</v>
      </c>
      <c r="CB1152" s="1">
        <v>0.924</v>
      </c>
      <c r="CC1152" s="1">
        <v>0.0</v>
      </c>
      <c r="CD1152" s="1">
        <v>0.844</v>
      </c>
      <c r="CE1152" s="1">
        <v>0.662</v>
      </c>
      <c r="CF1152" s="1">
        <v>0.904</v>
      </c>
      <c r="CG1152" s="1">
        <v>3.334</v>
      </c>
      <c r="CH1152" s="1">
        <v>0.884</v>
      </c>
      <c r="CI1152" s="1">
        <v>8.8697</v>
      </c>
      <c r="CJ1152" s="1">
        <v>0.8368</v>
      </c>
      <c r="CK1152" s="1">
        <v>0.0</v>
      </c>
      <c r="CL1152" s="1">
        <v>0.0</v>
      </c>
      <c r="CM1152" s="1">
        <v>0.0</v>
      </c>
      <c r="CN1152" s="1">
        <v>0.0</v>
      </c>
      <c r="CO1152" s="1">
        <v>0.0</v>
      </c>
      <c r="CP1152" s="1">
        <v>0.0</v>
      </c>
      <c r="CQ1152" s="1">
        <v>0.0</v>
      </c>
      <c r="CR1152" s="1">
        <v>0.0</v>
      </c>
      <c r="CS1152" s="1">
        <v>0.0</v>
      </c>
      <c r="CT1152" s="1">
        <v>0.0</v>
      </c>
      <c r="CU1152" s="1">
        <v>1.0</v>
      </c>
      <c r="CV1152" s="1">
        <v>1.0</v>
      </c>
      <c r="CW1152" s="1">
        <v>1.0</v>
      </c>
      <c r="CX1152" s="1">
        <v>0.0</v>
      </c>
      <c r="CY1152" s="1">
        <v>0.0</v>
      </c>
      <c r="CZ1152" s="1">
        <v>0.0</v>
      </c>
      <c r="DA1152" s="1">
        <v>1.0</v>
      </c>
      <c r="DB1152" s="1">
        <v>2.0</v>
      </c>
      <c r="DC1152" s="1">
        <v>3.0</v>
      </c>
      <c r="DD1152" s="1" t="s">
        <v>5105</v>
      </c>
      <c r="DE1152" s="1">
        <v>2.80076837959335E-4</v>
      </c>
      <c r="DF1152" s="1">
        <v>0.081417874527818</v>
      </c>
    </row>
    <row r="1153" ht="15.75" customHeight="1">
      <c r="A1153" s="1" t="s">
        <v>5106</v>
      </c>
      <c r="B1153" s="1">
        <v>29.0</v>
      </c>
      <c r="C1153" s="1">
        <v>189.0</v>
      </c>
      <c r="D1153" s="1">
        <v>213300.0</v>
      </c>
      <c r="E1153" s="1">
        <v>1.785</v>
      </c>
      <c r="F1153" s="1">
        <v>29189.0</v>
      </c>
      <c r="G1153" s="1">
        <v>2.91892133E10</v>
      </c>
      <c r="H1153" s="1" t="s">
        <v>112</v>
      </c>
      <c r="I1153" s="1" t="s">
        <v>113</v>
      </c>
      <c r="J1153" s="1" t="s">
        <v>4566</v>
      </c>
      <c r="K1153" s="1" t="s">
        <v>5107</v>
      </c>
      <c r="L1153" s="1">
        <v>7213.0</v>
      </c>
      <c r="M1153" s="1">
        <v>7209.0</v>
      </c>
      <c r="N1153" s="1">
        <v>550.0</v>
      </c>
      <c r="O1153" s="1">
        <v>3573.0</v>
      </c>
      <c r="P1153" s="1">
        <v>3853.0</v>
      </c>
      <c r="Q1153" s="1">
        <v>154.0</v>
      </c>
      <c r="R1153" s="1">
        <v>3179.0</v>
      </c>
      <c r="S1153" s="1">
        <v>1567.0</v>
      </c>
      <c r="T1153" s="1">
        <v>495.0</v>
      </c>
      <c r="U1153" s="1">
        <v>444.0</v>
      </c>
      <c r="V1153" s="1">
        <v>356.0</v>
      </c>
      <c r="W1153" s="1">
        <v>19706.0</v>
      </c>
      <c r="X1153" s="1">
        <v>1960.0</v>
      </c>
      <c r="Y1153" s="1">
        <v>821.0</v>
      </c>
      <c r="Z1153" s="1">
        <v>241.0</v>
      </c>
      <c r="AA1153" s="1">
        <v>640.0</v>
      </c>
      <c r="AB1153" s="1">
        <v>1876.0</v>
      </c>
      <c r="AC1153" s="1">
        <v>631.0</v>
      </c>
      <c r="AD1153" s="1">
        <v>3455.0</v>
      </c>
      <c r="AE1153" s="1">
        <v>261.0</v>
      </c>
      <c r="AF1153" s="1">
        <v>395.0</v>
      </c>
      <c r="AG1153" s="1">
        <v>610.0</v>
      </c>
      <c r="AH1153" s="1">
        <v>178.0</v>
      </c>
      <c r="AI1153" s="1">
        <v>43.0</v>
      </c>
      <c r="AJ1153" s="1">
        <v>68.0</v>
      </c>
      <c r="AK1153" s="1">
        <v>51.0</v>
      </c>
      <c r="AL1153" s="1">
        <v>122.0</v>
      </c>
      <c r="AM1153" s="1">
        <v>517.0</v>
      </c>
      <c r="AN1153" s="1">
        <v>168.0</v>
      </c>
      <c r="AO1153" s="1">
        <v>0.0</v>
      </c>
      <c r="AP1153" s="1">
        <v>0.217367</v>
      </c>
      <c r="AQ1153" s="1">
        <v>0.066631</v>
      </c>
      <c r="AR1153" s="1">
        <v>0.108371</v>
      </c>
      <c r="AS1153" s="1">
        <v>0.086095</v>
      </c>
      <c r="AT1153" s="1">
        <v>19706.0</v>
      </c>
      <c r="AU1153" s="1">
        <v>1960.0</v>
      </c>
      <c r="AV1153" s="1">
        <v>0.170296</v>
      </c>
      <c r="AW1153" s="1">
        <v>0.048611</v>
      </c>
      <c r="AX1153" s="1">
        <v>0.088728</v>
      </c>
      <c r="AY1153" s="1">
        <v>0.260085</v>
      </c>
      <c r="AZ1153" s="1">
        <v>0.19849009</v>
      </c>
      <c r="BA1153" s="1">
        <v>0.478996</v>
      </c>
      <c r="BB1153" s="1">
        <v>0.039136</v>
      </c>
      <c r="BC1153" s="1">
        <v>0.059153</v>
      </c>
      <c r="BD1153" s="1">
        <v>0.158318</v>
      </c>
      <c r="BE1153" s="1">
        <v>0.045762</v>
      </c>
      <c r="BF1153" s="1">
        <v>0.01116</v>
      </c>
      <c r="BG1153" s="1">
        <v>0.017642</v>
      </c>
      <c r="BH1153" s="1">
        <v>0.014847</v>
      </c>
      <c r="BI1153" s="1">
        <v>0.035507</v>
      </c>
      <c r="BJ1153" s="1">
        <v>0.150509</v>
      </c>
      <c r="BK1153" s="1">
        <v>0.048194</v>
      </c>
      <c r="BL1153" s="1">
        <v>0.0</v>
      </c>
      <c r="BM1153" s="1">
        <v>0.769</v>
      </c>
      <c r="BN1153" s="1">
        <v>0.779</v>
      </c>
      <c r="BO1153" s="1">
        <v>0.6332</v>
      </c>
      <c r="BP1153" s="1">
        <v>0.653</v>
      </c>
      <c r="BQ1153" s="1">
        <v>2.8342</v>
      </c>
      <c r="BR1153" s="1">
        <v>0.7596</v>
      </c>
      <c r="BS1153" s="1">
        <v>0.151</v>
      </c>
      <c r="BT1153" s="1">
        <v>0.703</v>
      </c>
      <c r="BU1153" s="1">
        <v>0.895</v>
      </c>
      <c r="BV1153" s="1">
        <v>1.749</v>
      </c>
      <c r="BW1153" s="1">
        <v>0.679</v>
      </c>
      <c r="BX1153" s="1">
        <v>0.861</v>
      </c>
      <c r="BY1153" s="1">
        <v>0.943</v>
      </c>
      <c r="BZ1153" s="1">
        <v>1.804</v>
      </c>
      <c r="CA1153" s="1">
        <v>0.965</v>
      </c>
      <c r="CB1153" s="1">
        <v>0.85</v>
      </c>
      <c r="CC1153" s="1">
        <v>0.466</v>
      </c>
      <c r="CD1153" s="1">
        <v>0.593</v>
      </c>
      <c r="CE1153" s="1">
        <v>0.858</v>
      </c>
      <c r="CF1153" s="1">
        <v>0.0</v>
      </c>
      <c r="CG1153" s="1">
        <v>2.767</v>
      </c>
      <c r="CH1153" s="1">
        <v>0.674</v>
      </c>
      <c r="CI1153" s="1">
        <v>9.1542</v>
      </c>
      <c r="CJ1153" s="1">
        <v>0.8715</v>
      </c>
      <c r="CK1153" s="1">
        <v>0.0</v>
      </c>
      <c r="CL1153" s="1">
        <v>0.0</v>
      </c>
      <c r="CM1153" s="1">
        <v>0.0</v>
      </c>
      <c r="CN1153" s="1">
        <v>0.0</v>
      </c>
      <c r="CO1153" s="1">
        <v>0.0</v>
      </c>
      <c r="CP1153" s="1">
        <v>0.0</v>
      </c>
      <c r="CQ1153" s="1">
        <v>0.0</v>
      </c>
      <c r="CR1153" s="1">
        <v>0.0</v>
      </c>
      <c r="CS1153" s="1">
        <v>0.0</v>
      </c>
      <c r="CT1153" s="1">
        <v>0.0</v>
      </c>
      <c r="CU1153" s="1">
        <v>1.0</v>
      </c>
      <c r="CV1153" s="1">
        <v>1.0</v>
      </c>
      <c r="CW1153" s="1">
        <v>0.0</v>
      </c>
      <c r="CX1153" s="1">
        <v>0.0</v>
      </c>
      <c r="CY1153" s="1">
        <v>0.0</v>
      </c>
      <c r="CZ1153" s="1">
        <v>0.0</v>
      </c>
      <c r="DA1153" s="1">
        <v>0.0</v>
      </c>
      <c r="DB1153" s="1">
        <v>0.0</v>
      </c>
      <c r="DC1153" s="1">
        <v>1.0</v>
      </c>
      <c r="DD1153" s="1" t="s">
        <v>5108</v>
      </c>
      <c r="DE1153" s="1">
        <v>4.79327789529347E-4</v>
      </c>
      <c r="DF1153" s="2" t="s">
        <v>5109</v>
      </c>
    </row>
    <row r="1154" ht="15.75" customHeight="1">
      <c r="A1154" s="1" t="s">
        <v>5110</v>
      </c>
      <c r="B1154" s="1">
        <v>29.0</v>
      </c>
      <c r="C1154" s="1">
        <v>189.0</v>
      </c>
      <c r="D1154" s="1">
        <v>213400.0</v>
      </c>
      <c r="E1154" s="1">
        <v>1.624</v>
      </c>
      <c r="F1154" s="1">
        <v>29189.0</v>
      </c>
      <c r="G1154" s="1">
        <v>2.91892134E10</v>
      </c>
      <c r="H1154" s="1" t="s">
        <v>112</v>
      </c>
      <c r="I1154" s="1" t="s">
        <v>113</v>
      </c>
      <c r="J1154" s="1" t="s">
        <v>4566</v>
      </c>
      <c r="K1154" s="1" t="s">
        <v>5111</v>
      </c>
      <c r="L1154" s="1">
        <v>6669.0</v>
      </c>
      <c r="M1154" s="1">
        <v>7055.0</v>
      </c>
      <c r="N1154" s="1">
        <v>456.0</v>
      </c>
      <c r="O1154" s="1">
        <v>2995.0</v>
      </c>
      <c r="P1154" s="1">
        <v>3436.0</v>
      </c>
      <c r="Q1154" s="1">
        <v>230.0</v>
      </c>
      <c r="R1154" s="1">
        <v>2707.0</v>
      </c>
      <c r="S1154" s="1">
        <v>1069.0</v>
      </c>
      <c r="T1154" s="1">
        <v>453.0</v>
      </c>
      <c r="U1154" s="1">
        <v>376.0</v>
      </c>
      <c r="V1154" s="1">
        <v>425.0</v>
      </c>
      <c r="W1154" s="1">
        <v>17761.0</v>
      </c>
      <c r="X1154" s="1">
        <v>1894.0</v>
      </c>
      <c r="Y1154" s="1">
        <v>1082.0</v>
      </c>
      <c r="Z1154" s="1">
        <v>322.0</v>
      </c>
      <c r="AA1154" s="1">
        <v>710.0</v>
      </c>
      <c r="AB1154" s="1">
        <v>1718.0</v>
      </c>
      <c r="AC1154" s="1">
        <v>510.0</v>
      </c>
      <c r="AD1154" s="1">
        <v>3067.0</v>
      </c>
      <c r="AE1154" s="1">
        <v>52.0</v>
      </c>
      <c r="AF1154" s="1">
        <v>414.0</v>
      </c>
      <c r="AG1154" s="1">
        <v>85.0</v>
      </c>
      <c r="AH1154" s="1">
        <v>67.0</v>
      </c>
      <c r="AI1154" s="1">
        <v>67.0</v>
      </c>
      <c r="AJ1154" s="1">
        <v>107.0</v>
      </c>
      <c r="AK1154" s="1">
        <v>69.0</v>
      </c>
      <c r="AL1154" s="1">
        <v>142.0</v>
      </c>
      <c r="AM1154" s="1">
        <v>167.0</v>
      </c>
      <c r="AN1154" s="1">
        <v>121.0</v>
      </c>
      <c r="AO1154" s="1">
        <v>0.0</v>
      </c>
      <c r="AP1154" s="1">
        <v>0.151523</v>
      </c>
      <c r="AQ1154" s="1">
        <v>0.063458</v>
      </c>
      <c r="AR1154" s="1">
        <v>0.100804</v>
      </c>
      <c r="AS1154" s="1">
        <v>0.113224</v>
      </c>
      <c r="AT1154" s="1">
        <v>17761.0</v>
      </c>
      <c r="AU1154" s="1">
        <v>1894.0</v>
      </c>
      <c r="AV1154" s="1">
        <v>0.233189</v>
      </c>
      <c r="AW1154" s="1">
        <v>0.067234</v>
      </c>
      <c r="AX1154" s="1">
        <v>0.106462</v>
      </c>
      <c r="AY1154" s="1">
        <v>0.257609</v>
      </c>
      <c r="AZ1154" s="1">
        <v>0.18840044</v>
      </c>
      <c r="BA1154" s="1">
        <v>0.459889</v>
      </c>
      <c r="BB1154" s="1">
        <v>0.007929</v>
      </c>
      <c r="BC1154" s="1">
        <v>0.063126</v>
      </c>
      <c r="BD1154" s="1">
        <v>0.024738</v>
      </c>
      <c r="BE1154" s="1">
        <v>0.019428</v>
      </c>
      <c r="BF1154" s="1">
        <v>0.019499</v>
      </c>
      <c r="BG1154" s="1">
        <v>0.031113</v>
      </c>
      <c r="BH1154" s="1">
        <v>0.022101</v>
      </c>
      <c r="BI1154" s="1">
        <v>0.04545</v>
      </c>
      <c r="BJ1154" s="1">
        <v>0.053491</v>
      </c>
      <c r="BK1154" s="1">
        <v>0.038525</v>
      </c>
      <c r="BL1154" s="1">
        <v>0.0</v>
      </c>
      <c r="BM1154" s="1">
        <v>0.583</v>
      </c>
      <c r="BN1154" s="1">
        <v>0.736</v>
      </c>
      <c r="BO1154" s="1">
        <v>0.7408</v>
      </c>
      <c r="BP1154" s="1">
        <v>0.831</v>
      </c>
      <c r="BQ1154" s="1">
        <v>2.8908</v>
      </c>
      <c r="BR1154" s="1">
        <v>0.7762</v>
      </c>
      <c r="BS1154" s="1">
        <v>0.247</v>
      </c>
      <c r="BT1154" s="1">
        <v>0.679</v>
      </c>
      <c r="BU1154" s="1">
        <v>0.881</v>
      </c>
      <c r="BV1154" s="1">
        <v>1.807</v>
      </c>
      <c r="BW1154" s="1">
        <v>0.727</v>
      </c>
      <c r="BX1154" s="1">
        <v>0.858</v>
      </c>
      <c r="BY1154" s="1">
        <v>0.664</v>
      </c>
      <c r="BZ1154" s="1">
        <v>1.522</v>
      </c>
      <c r="CA1154" s="1">
        <v>0.842</v>
      </c>
      <c r="CB1154" s="1">
        <v>0.512</v>
      </c>
      <c r="CC1154" s="1">
        <v>0.508</v>
      </c>
      <c r="CD1154" s="1">
        <v>0.713</v>
      </c>
      <c r="CE1154" s="1">
        <v>0.515</v>
      </c>
      <c r="CF1154" s="1">
        <v>0.0</v>
      </c>
      <c r="CG1154" s="1">
        <v>2.248</v>
      </c>
      <c r="CH1154" s="1">
        <v>0.437</v>
      </c>
      <c r="CI1154" s="1">
        <v>8.4678</v>
      </c>
      <c r="CJ1154" s="1">
        <v>0.7791</v>
      </c>
      <c r="CK1154" s="1">
        <v>0.0</v>
      </c>
      <c r="CL1154" s="1">
        <v>0.0</v>
      </c>
      <c r="CM1154" s="1">
        <v>0.0</v>
      </c>
      <c r="CN1154" s="1">
        <v>0.0</v>
      </c>
      <c r="CO1154" s="1">
        <v>0.0</v>
      </c>
      <c r="CP1154" s="1">
        <v>0.0</v>
      </c>
      <c r="CQ1154" s="1">
        <v>0.0</v>
      </c>
      <c r="CR1154" s="1">
        <v>0.0</v>
      </c>
      <c r="CS1154" s="1">
        <v>0.0</v>
      </c>
      <c r="CT1154" s="1">
        <v>0.0</v>
      </c>
      <c r="CU1154" s="1">
        <v>0.0</v>
      </c>
      <c r="CV1154" s="1">
        <v>0.0</v>
      </c>
      <c r="CW1154" s="1">
        <v>0.0</v>
      </c>
      <c r="CX1154" s="1">
        <v>0.0</v>
      </c>
      <c r="CY1154" s="1">
        <v>0.0</v>
      </c>
      <c r="CZ1154" s="1">
        <v>0.0</v>
      </c>
      <c r="DA1154" s="1">
        <v>0.0</v>
      </c>
      <c r="DB1154" s="1">
        <v>0.0</v>
      </c>
      <c r="DC1154" s="1">
        <v>0.0</v>
      </c>
      <c r="DD1154" s="1" t="s">
        <v>5112</v>
      </c>
      <c r="DE1154" s="1">
        <v>4.32172995441899E-4</v>
      </c>
      <c r="DF1154" s="2" t="s">
        <v>5113</v>
      </c>
    </row>
    <row r="1155" ht="15.75" customHeight="1">
      <c r="A1155" s="1" t="s">
        <v>5114</v>
      </c>
      <c r="B1155" s="1">
        <v>29.0</v>
      </c>
      <c r="C1155" s="1">
        <v>189.0</v>
      </c>
      <c r="D1155" s="1">
        <v>213700.0</v>
      </c>
      <c r="E1155" s="1">
        <v>2.849</v>
      </c>
      <c r="F1155" s="1">
        <v>29189.0</v>
      </c>
      <c r="G1155" s="1">
        <v>2.91892137E10</v>
      </c>
      <c r="H1155" s="1" t="s">
        <v>112</v>
      </c>
      <c r="I1155" s="1" t="s">
        <v>113</v>
      </c>
      <c r="J1155" s="1" t="s">
        <v>4566</v>
      </c>
      <c r="K1155" s="1" t="s">
        <v>5115</v>
      </c>
      <c r="L1155" s="1">
        <v>5484.0</v>
      </c>
      <c r="M1155" s="1">
        <v>5291.0</v>
      </c>
      <c r="N1155" s="1">
        <v>415.0</v>
      </c>
      <c r="O1155" s="1">
        <v>2492.0</v>
      </c>
      <c r="P1155" s="1">
        <v>2567.0</v>
      </c>
      <c r="Q1155" s="1">
        <v>138.0</v>
      </c>
      <c r="R1155" s="1">
        <v>2208.0</v>
      </c>
      <c r="S1155" s="1">
        <v>1078.0</v>
      </c>
      <c r="T1155" s="1">
        <v>319.0</v>
      </c>
      <c r="U1155" s="1">
        <v>396.0</v>
      </c>
      <c r="V1155" s="1">
        <v>288.0</v>
      </c>
      <c r="W1155" s="1">
        <v>23846.0</v>
      </c>
      <c r="X1155" s="1">
        <v>1994.0</v>
      </c>
      <c r="Y1155" s="1">
        <v>341.0</v>
      </c>
      <c r="Z1155" s="1">
        <v>257.0</v>
      </c>
      <c r="AA1155" s="1">
        <v>629.0</v>
      </c>
      <c r="AB1155" s="1">
        <v>1043.0</v>
      </c>
      <c r="AC1155" s="1">
        <v>363.0</v>
      </c>
      <c r="AD1155" s="1">
        <v>3756.0</v>
      </c>
      <c r="AE1155" s="1">
        <v>34.0</v>
      </c>
      <c r="AF1155" s="1">
        <v>412.0</v>
      </c>
      <c r="AG1155" s="1">
        <v>454.0</v>
      </c>
      <c r="AH1155" s="1">
        <v>146.0</v>
      </c>
      <c r="AI1155" s="1">
        <v>4.0</v>
      </c>
      <c r="AJ1155" s="1">
        <v>6.0</v>
      </c>
      <c r="AK1155" s="1">
        <v>28.0</v>
      </c>
      <c r="AL1155" s="1">
        <v>116.0</v>
      </c>
      <c r="AM1155" s="1">
        <v>354.0</v>
      </c>
      <c r="AN1155" s="1">
        <v>142.0</v>
      </c>
      <c r="AO1155" s="1">
        <v>406.0</v>
      </c>
      <c r="AP1155" s="1">
        <v>0.204748</v>
      </c>
      <c r="AQ1155" s="1">
        <v>0.058356</v>
      </c>
      <c r="AR1155" s="1">
        <v>0.146938</v>
      </c>
      <c r="AS1155" s="1">
        <v>0.105838</v>
      </c>
      <c r="AT1155" s="1">
        <v>23846.0</v>
      </c>
      <c r="AU1155" s="1">
        <v>1994.0</v>
      </c>
      <c r="AV1155" s="1">
        <v>0.110894</v>
      </c>
      <c r="AW1155" s="1">
        <v>0.083161</v>
      </c>
      <c r="AX1155" s="1">
        <v>0.114697</v>
      </c>
      <c r="AY1155" s="1">
        <v>0.190189</v>
      </c>
      <c r="AZ1155" s="1">
        <v>0.16440217</v>
      </c>
      <c r="BA1155" s="1">
        <v>0.684901</v>
      </c>
      <c r="BB1155" s="1">
        <v>0.007033</v>
      </c>
      <c r="BC1155" s="1">
        <v>0.085227</v>
      </c>
      <c r="BD1155" s="1">
        <v>0.17686</v>
      </c>
      <c r="BE1155" s="1">
        <v>0.056075</v>
      </c>
      <c r="BF1155" s="1">
        <v>0.001558</v>
      </c>
      <c r="BG1155" s="1">
        <v>0.002335</v>
      </c>
      <c r="BH1155" s="1">
        <v>0.012897</v>
      </c>
      <c r="BI1155" s="1">
        <v>0.053425</v>
      </c>
      <c r="BJ1155" s="1">
        <v>0.163058</v>
      </c>
      <c r="BK1155" s="1">
        <v>0.064616</v>
      </c>
      <c r="BL1155" s="1">
        <v>0.074033</v>
      </c>
      <c r="BM1155" s="1">
        <v>0.743</v>
      </c>
      <c r="BN1155" s="1">
        <v>0.894</v>
      </c>
      <c r="BO1155" s="1">
        <v>0.4022</v>
      </c>
      <c r="BP1155" s="1">
        <v>0.387</v>
      </c>
      <c r="BQ1155" s="1">
        <v>2.4262</v>
      </c>
      <c r="BR1155" s="1">
        <v>0.6412</v>
      </c>
      <c r="BS1155" s="1">
        <v>0.309</v>
      </c>
      <c r="BT1155" s="1">
        <v>0.151</v>
      </c>
      <c r="BU1155" s="1">
        <v>0.835</v>
      </c>
      <c r="BV1155" s="1">
        <v>1.295</v>
      </c>
      <c r="BW1155" s="1">
        <v>0.297</v>
      </c>
      <c r="BX1155" s="1">
        <v>0.896</v>
      </c>
      <c r="BY1155" s="1">
        <v>0.634</v>
      </c>
      <c r="BZ1155" s="1">
        <v>1.53</v>
      </c>
      <c r="CA1155" s="1">
        <v>0.846</v>
      </c>
      <c r="CB1155" s="1">
        <v>0.876</v>
      </c>
      <c r="CC1155" s="1">
        <v>0.368</v>
      </c>
      <c r="CD1155" s="1">
        <v>0.546</v>
      </c>
      <c r="CE1155" s="1">
        <v>0.874</v>
      </c>
      <c r="CF1155" s="1">
        <v>0.928</v>
      </c>
      <c r="CG1155" s="1">
        <v>3.592</v>
      </c>
      <c r="CH1155" s="1">
        <v>0.952</v>
      </c>
      <c r="CI1155" s="1">
        <v>8.8432</v>
      </c>
      <c r="CJ1155" s="1">
        <v>0.8325</v>
      </c>
      <c r="CK1155" s="1">
        <v>0.0</v>
      </c>
      <c r="CL1155" s="1">
        <v>0.0</v>
      </c>
      <c r="CM1155" s="1">
        <v>0.0</v>
      </c>
      <c r="CN1155" s="1">
        <v>0.0</v>
      </c>
      <c r="CO1155" s="1">
        <v>0.0</v>
      </c>
      <c r="CP1155" s="1">
        <v>0.0</v>
      </c>
      <c r="CQ1155" s="1">
        <v>0.0</v>
      </c>
      <c r="CR1155" s="1">
        <v>0.0</v>
      </c>
      <c r="CS1155" s="1">
        <v>0.0</v>
      </c>
      <c r="CT1155" s="1">
        <v>0.0</v>
      </c>
      <c r="CU1155" s="1">
        <v>0.0</v>
      </c>
      <c r="CV1155" s="1">
        <v>0.0</v>
      </c>
      <c r="CW1155" s="1">
        <v>0.0</v>
      </c>
      <c r="CX1155" s="1">
        <v>0.0</v>
      </c>
      <c r="CY1155" s="1">
        <v>0.0</v>
      </c>
      <c r="CZ1155" s="1">
        <v>0.0</v>
      </c>
      <c r="DA1155" s="1">
        <v>1.0</v>
      </c>
      <c r="DB1155" s="1">
        <v>1.0</v>
      </c>
      <c r="DC1155" s="1">
        <v>1.0</v>
      </c>
      <c r="DD1155" s="1" t="s">
        <v>5116</v>
      </c>
      <c r="DE1155" s="1">
        <v>7.66532892489234E-4</v>
      </c>
      <c r="DF1155" s="2" t="s">
        <v>5117</v>
      </c>
    </row>
    <row r="1156" ht="15.75" customHeight="1">
      <c r="A1156" s="1" t="s">
        <v>5118</v>
      </c>
      <c r="B1156" s="1">
        <v>29.0</v>
      </c>
      <c r="C1156" s="1">
        <v>189.0</v>
      </c>
      <c r="D1156" s="1">
        <v>213800.0</v>
      </c>
      <c r="E1156" s="1">
        <v>0.928</v>
      </c>
      <c r="F1156" s="1">
        <v>29189.0</v>
      </c>
      <c r="G1156" s="1">
        <v>2.91892138E10</v>
      </c>
      <c r="H1156" s="1" t="s">
        <v>112</v>
      </c>
      <c r="I1156" s="1" t="s">
        <v>113</v>
      </c>
      <c r="J1156" s="1" t="s">
        <v>4566</v>
      </c>
      <c r="K1156" s="1" t="s">
        <v>5119</v>
      </c>
      <c r="L1156" s="1">
        <v>5778.0</v>
      </c>
      <c r="M1156" s="1">
        <v>5906.0</v>
      </c>
      <c r="N1156" s="1">
        <v>401.0</v>
      </c>
      <c r="O1156" s="1">
        <v>2696.0</v>
      </c>
      <c r="P1156" s="1">
        <v>2845.0</v>
      </c>
      <c r="Q1156" s="1">
        <v>91.0</v>
      </c>
      <c r="R1156" s="1">
        <v>2210.0</v>
      </c>
      <c r="S1156" s="1">
        <v>1334.0</v>
      </c>
      <c r="T1156" s="1">
        <v>256.0</v>
      </c>
      <c r="U1156" s="1">
        <v>457.0</v>
      </c>
      <c r="V1156" s="1">
        <v>220.0</v>
      </c>
      <c r="W1156" s="1">
        <v>15791.0</v>
      </c>
      <c r="X1156" s="1">
        <v>1088.0</v>
      </c>
      <c r="Y1156" s="1">
        <v>784.0</v>
      </c>
      <c r="Z1156" s="1">
        <v>171.0</v>
      </c>
      <c r="AA1156" s="1">
        <v>805.0</v>
      </c>
      <c r="AB1156" s="1">
        <v>1554.0</v>
      </c>
      <c r="AC1156" s="1">
        <v>598.0</v>
      </c>
      <c r="AD1156" s="1">
        <v>5651.0</v>
      </c>
      <c r="AE1156" s="1">
        <v>6.0</v>
      </c>
      <c r="AF1156" s="1">
        <v>442.0</v>
      </c>
      <c r="AG1156" s="1">
        <v>31.0</v>
      </c>
      <c r="AH1156" s="1">
        <v>115.0</v>
      </c>
      <c r="AI1156" s="1">
        <v>0.0</v>
      </c>
      <c r="AJ1156" s="1">
        <v>114.0</v>
      </c>
      <c r="AK1156" s="1">
        <v>80.0</v>
      </c>
      <c r="AL1156" s="1">
        <v>123.0</v>
      </c>
      <c r="AM1156" s="1">
        <v>372.0</v>
      </c>
      <c r="AN1156" s="1">
        <v>70.0</v>
      </c>
      <c r="AO1156" s="1">
        <v>0.0</v>
      </c>
      <c r="AP1156" s="1">
        <v>0.227683</v>
      </c>
      <c r="AQ1156" s="1">
        <v>0.040937</v>
      </c>
      <c r="AR1156" s="1">
        <v>0.166423</v>
      </c>
      <c r="AS1156" s="1">
        <v>0.078915</v>
      </c>
      <c r="AT1156" s="1">
        <v>15791.0</v>
      </c>
      <c r="AU1156" s="1">
        <v>1088.0</v>
      </c>
      <c r="AV1156" s="1">
        <v>0.215384</v>
      </c>
      <c r="AW1156" s="1">
        <v>0.044685</v>
      </c>
      <c r="AX1156" s="1">
        <v>0.139321</v>
      </c>
      <c r="AY1156" s="1">
        <v>0.268951</v>
      </c>
      <c r="AZ1156" s="1">
        <v>0.27058823</v>
      </c>
      <c r="BA1156" s="1">
        <v>0.97802</v>
      </c>
      <c r="BB1156" s="1">
        <v>0.001096</v>
      </c>
      <c r="BC1156" s="1">
        <v>0.080745</v>
      </c>
      <c r="BD1156" s="1">
        <v>0.010896</v>
      </c>
      <c r="BE1156" s="1">
        <v>0.04042</v>
      </c>
      <c r="BF1156" s="1">
        <v>0.0</v>
      </c>
      <c r="BG1156" s="1">
        <v>0.04007</v>
      </c>
      <c r="BH1156" s="1">
        <v>0.033883</v>
      </c>
      <c r="BI1156" s="1">
        <v>0.052062</v>
      </c>
      <c r="BJ1156" s="1">
        <v>0.15756</v>
      </c>
      <c r="BK1156" s="1">
        <v>0.028309</v>
      </c>
      <c r="BL1156" s="1">
        <v>0.0</v>
      </c>
      <c r="BM1156" s="1">
        <v>0.786</v>
      </c>
      <c r="BN1156" s="1">
        <v>0.919</v>
      </c>
      <c r="BO1156" s="1">
        <v>0.8462</v>
      </c>
      <c r="BP1156" s="1">
        <v>0.792</v>
      </c>
      <c r="BQ1156" s="1">
        <v>3.3432</v>
      </c>
      <c r="BR1156" s="1">
        <v>0.8874</v>
      </c>
      <c r="BS1156" s="1">
        <v>0.49</v>
      </c>
      <c r="BT1156" s="1">
        <v>0.783</v>
      </c>
      <c r="BU1156" s="1">
        <v>0.966</v>
      </c>
      <c r="BV1156" s="1">
        <v>2.239</v>
      </c>
      <c r="BW1156" s="1">
        <v>0.971</v>
      </c>
      <c r="BX1156" s="1">
        <v>0.978</v>
      </c>
      <c r="BY1156" s="1">
        <v>0.337</v>
      </c>
      <c r="BZ1156" s="1">
        <v>1.315</v>
      </c>
      <c r="CA1156" s="1">
        <v>0.72</v>
      </c>
      <c r="CB1156" s="1">
        <v>0.39</v>
      </c>
      <c r="CC1156" s="1">
        <v>0.0</v>
      </c>
      <c r="CD1156" s="1">
        <v>0.85</v>
      </c>
      <c r="CE1156" s="1">
        <v>0.866</v>
      </c>
      <c r="CF1156" s="1">
        <v>0.0</v>
      </c>
      <c r="CG1156" s="1">
        <v>2.106</v>
      </c>
      <c r="CH1156" s="1">
        <v>0.383</v>
      </c>
      <c r="CI1156" s="1">
        <v>9.0032</v>
      </c>
      <c r="CJ1156" s="1">
        <v>0.8527</v>
      </c>
      <c r="CK1156" s="1">
        <v>0.0</v>
      </c>
      <c r="CL1156" s="1">
        <v>1.0</v>
      </c>
      <c r="CM1156" s="1">
        <v>0.0</v>
      </c>
      <c r="CN1156" s="1">
        <v>0.0</v>
      </c>
      <c r="CO1156" s="1">
        <v>1.0</v>
      </c>
      <c r="CP1156" s="1">
        <v>0.0</v>
      </c>
      <c r="CQ1156" s="1">
        <v>0.0</v>
      </c>
      <c r="CR1156" s="1">
        <v>1.0</v>
      </c>
      <c r="CS1156" s="1">
        <v>1.0</v>
      </c>
      <c r="CT1156" s="1">
        <v>1.0</v>
      </c>
      <c r="CU1156" s="1">
        <v>0.0</v>
      </c>
      <c r="CV1156" s="1">
        <v>1.0</v>
      </c>
      <c r="CW1156" s="1">
        <v>0.0</v>
      </c>
      <c r="CX1156" s="1">
        <v>0.0</v>
      </c>
      <c r="CY1156" s="1">
        <v>0.0</v>
      </c>
      <c r="CZ1156" s="1">
        <v>0.0</v>
      </c>
      <c r="DA1156" s="1">
        <v>0.0</v>
      </c>
      <c r="DB1156" s="1">
        <v>0.0</v>
      </c>
      <c r="DC1156" s="1">
        <v>3.0</v>
      </c>
      <c r="DD1156" s="1" t="s">
        <v>5120</v>
      </c>
      <c r="DE1156" s="1">
        <v>2.48459632121748E-4</v>
      </c>
      <c r="DF1156" s="1">
        <v>0.0690384648975181</v>
      </c>
    </row>
    <row r="1157" ht="15.75" customHeight="1">
      <c r="A1157" s="1" t="s">
        <v>5121</v>
      </c>
      <c r="B1157" s="1">
        <v>29.0</v>
      </c>
      <c r="C1157" s="1">
        <v>189.0</v>
      </c>
      <c r="D1157" s="1">
        <v>213900.0</v>
      </c>
      <c r="E1157" s="1">
        <v>0.911</v>
      </c>
      <c r="F1157" s="1">
        <v>29189.0</v>
      </c>
      <c r="G1157" s="1">
        <v>2.91892139E10</v>
      </c>
      <c r="H1157" s="1" t="s">
        <v>112</v>
      </c>
      <c r="I1157" s="1" t="s">
        <v>113</v>
      </c>
      <c r="J1157" s="1" t="s">
        <v>4566</v>
      </c>
      <c r="K1157" s="1" t="s">
        <v>5122</v>
      </c>
      <c r="L1157" s="1">
        <v>2189.0</v>
      </c>
      <c r="M1157" s="1">
        <v>2036.0</v>
      </c>
      <c r="N1157" s="1">
        <v>398.0</v>
      </c>
      <c r="O1157" s="1">
        <v>922.0</v>
      </c>
      <c r="P1157" s="1">
        <v>993.0</v>
      </c>
      <c r="Q1157" s="1">
        <v>65.0</v>
      </c>
      <c r="R1157" s="1">
        <v>734.0</v>
      </c>
      <c r="S1157" s="1">
        <v>833.0</v>
      </c>
      <c r="T1157" s="1">
        <v>343.0</v>
      </c>
      <c r="U1157" s="1">
        <v>165.0</v>
      </c>
      <c r="V1157" s="1">
        <v>349.0</v>
      </c>
      <c r="W1157" s="1">
        <v>11831.0</v>
      </c>
      <c r="X1157" s="1">
        <v>2757.0</v>
      </c>
      <c r="Y1157" s="1">
        <v>284.0</v>
      </c>
      <c r="Z1157" s="1">
        <v>271.0</v>
      </c>
      <c r="AA1157" s="1">
        <v>182.0</v>
      </c>
      <c r="AB1157" s="1">
        <v>831.0</v>
      </c>
      <c r="AC1157" s="1">
        <v>300.0</v>
      </c>
      <c r="AD1157" s="1">
        <v>2166.0</v>
      </c>
      <c r="AE1157" s="1">
        <v>0.0</v>
      </c>
      <c r="AF1157" s="1">
        <v>456.0</v>
      </c>
      <c r="AG1157" s="1">
        <v>108.0</v>
      </c>
      <c r="AH1157" s="1">
        <v>55.0</v>
      </c>
      <c r="AI1157" s="1">
        <v>0.0</v>
      </c>
      <c r="AJ1157" s="1">
        <v>114.0</v>
      </c>
      <c r="AK1157" s="1">
        <v>26.0</v>
      </c>
      <c r="AL1157" s="1">
        <v>118.0</v>
      </c>
      <c r="AM1157" s="1">
        <v>212.0</v>
      </c>
      <c r="AN1157" s="1">
        <v>81.0</v>
      </c>
      <c r="AO1157" s="1">
        <v>0.0</v>
      </c>
      <c r="AP1157" s="1">
        <v>0.409135</v>
      </c>
      <c r="AQ1157" s="1">
        <v>0.148272</v>
      </c>
      <c r="AR1157" s="1">
        <v>0.197841</v>
      </c>
      <c r="AS1157" s="1">
        <v>0.414342</v>
      </c>
      <c r="AT1157" s="1">
        <v>11831.0</v>
      </c>
      <c r="AU1157" s="1">
        <v>2757.0</v>
      </c>
      <c r="AV1157" s="1">
        <v>0.280078</v>
      </c>
      <c r="AW1157" s="1">
        <v>0.263485</v>
      </c>
      <c r="AX1157" s="1">
        <v>0.083142</v>
      </c>
      <c r="AY1157" s="1">
        <v>0.379625</v>
      </c>
      <c r="AZ1157" s="1">
        <v>0.40871934</v>
      </c>
      <c r="BA1157" s="1">
        <v>0.989492</v>
      </c>
      <c r="BB1157" s="1">
        <v>0.0</v>
      </c>
      <c r="BC1157" s="1">
        <v>0.242295</v>
      </c>
      <c r="BD1157" s="1">
        <v>0.108761</v>
      </c>
      <c r="BE1157" s="1">
        <v>0.054928</v>
      </c>
      <c r="BF1157" s="1">
        <v>0.0</v>
      </c>
      <c r="BG1157" s="1">
        <v>0.114803</v>
      </c>
      <c r="BH1157" s="1">
        <v>0.037735</v>
      </c>
      <c r="BI1157" s="1">
        <v>0.171169</v>
      </c>
      <c r="BJ1157" s="1">
        <v>0.307692</v>
      </c>
      <c r="BK1157" s="1">
        <v>0.108189</v>
      </c>
      <c r="BL1157" s="1">
        <v>0.0</v>
      </c>
      <c r="BM1157" s="1">
        <v>0.961</v>
      </c>
      <c r="BN1157" s="1">
        <v>0.951</v>
      </c>
      <c r="BO1157" s="1">
        <v>0.9617</v>
      </c>
      <c r="BP1157" s="1">
        <v>0.921</v>
      </c>
      <c r="BQ1157" s="1">
        <v>3.7947</v>
      </c>
      <c r="BR1157" s="1">
        <v>0.9791</v>
      </c>
      <c r="BS1157" s="1">
        <v>0.128</v>
      </c>
      <c r="BT1157" s="1">
        <v>0.994</v>
      </c>
      <c r="BU1157" s="1">
        <v>0.997</v>
      </c>
      <c r="BV1157" s="1">
        <v>2.119</v>
      </c>
      <c r="BW1157" s="1">
        <v>0.928</v>
      </c>
      <c r="BX1157" s="1">
        <v>0.989</v>
      </c>
      <c r="BY1157" s="1">
        <v>0.0</v>
      </c>
      <c r="BZ1157" s="1">
        <v>0.989</v>
      </c>
      <c r="CA1157" s="1">
        <v>0.548</v>
      </c>
      <c r="CB1157" s="1">
        <v>0.785</v>
      </c>
      <c r="CC1157" s="1">
        <v>0.0</v>
      </c>
      <c r="CD1157" s="1">
        <v>0.879</v>
      </c>
      <c r="CE1157" s="1">
        <v>0.968</v>
      </c>
      <c r="CF1157" s="1">
        <v>0.0</v>
      </c>
      <c r="CG1157" s="1">
        <v>2.632</v>
      </c>
      <c r="CH1157" s="1">
        <v>0.616</v>
      </c>
      <c r="CI1157" s="1">
        <v>9.5347</v>
      </c>
      <c r="CJ1157" s="1">
        <v>0.909</v>
      </c>
      <c r="CK1157" s="1">
        <v>1.0</v>
      </c>
      <c r="CL1157" s="1">
        <v>1.0</v>
      </c>
      <c r="CM1157" s="1">
        <v>1.0</v>
      </c>
      <c r="CN1157" s="1">
        <v>1.0</v>
      </c>
      <c r="CO1157" s="1">
        <v>4.0</v>
      </c>
      <c r="CP1157" s="1">
        <v>0.0</v>
      </c>
      <c r="CQ1157" s="1">
        <v>1.0</v>
      </c>
      <c r="CR1157" s="1">
        <v>1.0</v>
      </c>
      <c r="CS1157" s="1">
        <v>2.0</v>
      </c>
      <c r="CT1157" s="1">
        <v>1.0</v>
      </c>
      <c r="CU1157" s="1">
        <v>0.0</v>
      </c>
      <c r="CV1157" s="1">
        <v>1.0</v>
      </c>
      <c r="CW1157" s="1">
        <v>0.0</v>
      </c>
      <c r="CX1157" s="1">
        <v>0.0</v>
      </c>
      <c r="CY1157" s="1">
        <v>0.0</v>
      </c>
      <c r="CZ1157" s="1">
        <v>1.0</v>
      </c>
      <c r="DA1157" s="1">
        <v>0.0</v>
      </c>
      <c r="DB1157" s="1">
        <v>1.0</v>
      </c>
      <c r="DC1157" s="1">
        <v>8.0</v>
      </c>
      <c r="DD1157" s="1" t="s">
        <v>5123</v>
      </c>
      <c r="DE1157" s="1">
        <v>2.38573807276954E-4</v>
      </c>
      <c r="DF1157" s="1">
        <v>0.0828383717027227</v>
      </c>
    </row>
    <row r="1158" ht="15.75" customHeight="1">
      <c r="A1158" s="1" t="s">
        <v>5124</v>
      </c>
      <c r="B1158" s="1">
        <v>29.0</v>
      </c>
      <c r="C1158" s="1">
        <v>189.0</v>
      </c>
      <c r="D1158" s="1">
        <v>214200.0</v>
      </c>
      <c r="E1158" s="1">
        <v>1.321</v>
      </c>
      <c r="F1158" s="1">
        <v>29189.0</v>
      </c>
      <c r="G1158" s="1">
        <v>2.91892142E10</v>
      </c>
      <c r="H1158" s="1" t="s">
        <v>112</v>
      </c>
      <c r="I1158" s="1" t="s">
        <v>113</v>
      </c>
      <c r="J1158" s="1" t="s">
        <v>4566</v>
      </c>
      <c r="K1158" s="1" t="s">
        <v>5125</v>
      </c>
      <c r="L1158" s="1">
        <v>3370.0</v>
      </c>
      <c r="M1158" s="1">
        <v>3558.0</v>
      </c>
      <c r="N1158" s="1">
        <v>316.0</v>
      </c>
      <c r="O1158" s="1">
        <v>1487.0</v>
      </c>
      <c r="P1158" s="1">
        <v>1556.0</v>
      </c>
      <c r="Q1158" s="1">
        <v>91.0</v>
      </c>
      <c r="R1158" s="1">
        <v>1274.0</v>
      </c>
      <c r="S1158" s="1">
        <v>828.0</v>
      </c>
      <c r="T1158" s="1">
        <v>337.0</v>
      </c>
      <c r="U1158" s="1">
        <v>322.0</v>
      </c>
      <c r="V1158" s="1">
        <v>250.0</v>
      </c>
      <c r="W1158" s="1">
        <v>15468.0</v>
      </c>
      <c r="X1158" s="1">
        <v>1821.0</v>
      </c>
      <c r="Y1158" s="1">
        <v>557.0</v>
      </c>
      <c r="Z1158" s="1">
        <v>245.0</v>
      </c>
      <c r="AA1158" s="1">
        <v>339.0</v>
      </c>
      <c r="AB1158" s="1">
        <v>944.0</v>
      </c>
      <c r="AC1158" s="1">
        <v>338.0</v>
      </c>
      <c r="AD1158" s="1">
        <v>3102.0</v>
      </c>
      <c r="AE1158" s="1">
        <v>8.0</v>
      </c>
      <c r="AF1158" s="1">
        <v>442.0</v>
      </c>
      <c r="AG1158" s="1">
        <v>19.0</v>
      </c>
      <c r="AH1158" s="1">
        <v>164.0</v>
      </c>
      <c r="AI1158" s="1">
        <v>22.0</v>
      </c>
      <c r="AJ1158" s="1">
        <v>23.0</v>
      </c>
      <c r="AK1158" s="1">
        <v>41.0</v>
      </c>
      <c r="AL1158" s="1">
        <v>120.0</v>
      </c>
      <c r="AM1158" s="1">
        <v>142.0</v>
      </c>
      <c r="AN1158" s="1">
        <v>81.0</v>
      </c>
      <c r="AO1158" s="1">
        <v>60.0</v>
      </c>
      <c r="AP1158" s="1">
        <v>0.232715</v>
      </c>
      <c r="AQ1158" s="1">
        <v>0.092433</v>
      </c>
      <c r="AR1158" s="1">
        <v>0.192009</v>
      </c>
      <c r="AS1158" s="1">
        <v>0.146521</v>
      </c>
      <c r="AT1158" s="1">
        <v>15468.0</v>
      </c>
      <c r="AU1158" s="1">
        <v>1821.0</v>
      </c>
      <c r="AV1158" s="1">
        <v>0.242913</v>
      </c>
      <c r="AW1158" s="1">
        <v>0.104527</v>
      </c>
      <c r="AX1158" s="1">
        <v>0.100593</v>
      </c>
      <c r="AY1158" s="1">
        <v>0.280118</v>
      </c>
      <c r="AZ1158" s="1">
        <v>0.26530612</v>
      </c>
      <c r="BA1158" s="1">
        <v>0.920474</v>
      </c>
      <c r="BB1158" s="1">
        <v>0.002364</v>
      </c>
      <c r="BC1158" s="1">
        <v>0.130614</v>
      </c>
      <c r="BD1158" s="1">
        <v>0.01221</v>
      </c>
      <c r="BE1158" s="1">
        <v>0.105396</v>
      </c>
      <c r="BF1158" s="1">
        <v>0.014138</v>
      </c>
      <c r="BG1158" s="1">
        <v>0.014758</v>
      </c>
      <c r="BH1158" s="1">
        <v>0.029264</v>
      </c>
      <c r="BI1158" s="1">
        <v>0.085619</v>
      </c>
      <c r="BJ1158" s="1">
        <v>0.101356</v>
      </c>
      <c r="BK1158" s="1">
        <v>0.057224</v>
      </c>
      <c r="BL1158" s="1">
        <v>0.017804</v>
      </c>
      <c r="BM1158" s="1">
        <v>0.797</v>
      </c>
      <c r="BN1158" s="1">
        <v>0.945</v>
      </c>
      <c r="BO1158" s="1">
        <v>0.8592</v>
      </c>
      <c r="BP1158" s="1">
        <v>0.855</v>
      </c>
      <c r="BQ1158" s="1">
        <v>3.4562</v>
      </c>
      <c r="BR1158" s="1">
        <v>0.9112</v>
      </c>
      <c r="BS1158" s="1">
        <v>0.214</v>
      </c>
      <c r="BT1158" s="1">
        <v>0.85</v>
      </c>
      <c r="BU1158" s="1">
        <v>0.959</v>
      </c>
      <c r="BV1158" s="1">
        <v>2.023</v>
      </c>
      <c r="BW1158" s="1">
        <v>0.872</v>
      </c>
      <c r="BX1158" s="1">
        <v>0.946</v>
      </c>
      <c r="BY1158" s="1">
        <v>0.404</v>
      </c>
      <c r="BZ1158" s="1">
        <v>1.35</v>
      </c>
      <c r="CA1158" s="1">
        <v>0.737</v>
      </c>
      <c r="CB1158" s="1">
        <v>0.402</v>
      </c>
      <c r="CC1158" s="1">
        <v>0.486</v>
      </c>
      <c r="CD1158" s="1">
        <v>0.797</v>
      </c>
      <c r="CE1158" s="1">
        <v>0.758</v>
      </c>
      <c r="CF1158" s="1">
        <v>0.683</v>
      </c>
      <c r="CG1158" s="1">
        <v>3.126</v>
      </c>
      <c r="CH1158" s="1">
        <v>0.823</v>
      </c>
      <c r="CI1158" s="1">
        <v>9.9552</v>
      </c>
      <c r="CJ1158" s="1">
        <v>0.9451</v>
      </c>
      <c r="CK1158" s="1">
        <v>0.0</v>
      </c>
      <c r="CL1158" s="1">
        <v>1.0</v>
      </c>
      <c r="CM1158" s="1">
        <v>0.0</v>
      </c>
      <c r="CN1158" s="1">
        <v>0.0</v>
      </c>
      <c r="CO1158" s="1">
        <v>1.0</v>
      </c>
      <c r="CP1158" s="1">
        <v>0.0</v>
      </c>
      <c r="CQ1158" s="1">
        <v>0.0</v>
      </c>
      <c r="CR1158" s="1">
        <v>1.0</v>
      </c>
      <c r="CS1158" s="1">
        <v>1.0</v>
      </c>
      <c r="CT1158" s="1">
        <v>1.0</v>
      </c>
      <c r="CU1158" s="1">
        <v>0.0</v>
      </c>
      <c r="CV1158" s="1">
        <v>1.0</v>
      </c>
      <c r="CW1158" s="1">
        <v>0.0</v>
      </c>
      <c r="CX1158" s="1">
        <v>0.0</v>
      </c>
      <c r="CY1158" s="1">
        <v>0.0</v>
      </c>
      <c r="CZ1158" s="1">
        <v>0.0</v>
      </c>
      <c r="DA1158" s="1">
        <v>0.0</v>
      </c>
      <c r="DB1158" s="1">
        <v>0.0</v>
      </c>
      <c r="DC1158" s="1">
        <v>3.0</v>
      </c>
      <c r="DD1158" s="1" t="s">
        <v>5126</v>
      </c>
      <c r="DE1158" s="1">
        <v>3.53923045362778E-4</v>
      </c>
      <c r="DF1158" s="1">
        <v>0.0866711061580055</v>
      </c>
    </row>
    <row r="1159" ht="15.75" customHeight="1">
      <c r="A1159" s="1" t="s">
        <v>5127</v>
      </c>
      <c r="B1159" s="1">
        <v>29.0</v>
      </c>
      <c r="C1159" s="1">
        <v>189.0</v>
      </c>
      <c r="D1159" s="1">
        <v>214300.0</v>
      </c>
      <c r="E1159" s="1">
        <v>1.481</v>
      </c>
      <c r="F1159" s="1">
        <v>29189.0</v>
      </c>
      <c r="G1159" s="1">
        <v>2.91892143E10</v>
      </c>
      <c r="H1159" s="1" t="s">
        <v>112</v>
      </c>
      <c r="I1159" s="1" t="s">
        <v>113</v>
      </c>
      <c r="J1159" s="1" t="s">
        <v>4566</v>
      </c>
      <c r="K1159" s="1" t="s">
        <v>5128</v>
      </c>
      <c r="L1159" s="1">
        <v>4052.0</v>
      </c>
      <c r="M1159" s="1">
        <v>3629.0</v>
      </c>
      <c r="N1159" s="1">
        <v>329.0</v>
      </c>
      <c r="O1159" s="1">
        <v>1815.0</v>
      </c>
      <c r="P1159" s="1">
        <v>1844.0</v>
      </c>
      <c r="Q1159" s="1">
        <v>51.0</v>
      </c>
      <c r="R1159" s="1">
        <v>1613.0</v>
      </c>
      <c r="S1159" s="1">
        <v>811.0</v>
      </c>
      <c r="T1159" s="1">
        <v>227.0</v>
      </c>
      <c r="U1159" s="1">
        <v>251.0</v>
      </c>
      <c r="V1159" s="1">
        <v>242.0</v>
      </c>
      <c r="W1159" s="1">
        <v>18718.0</v>
      </c>
      <c r="X1159" s="1">
        <v>1814.0</v>
      </c>
      <c r="Y1159" s="1">
        <v>449.0</v>
      </c>
      <c r="Z1159" s="1">
        <v>149.0</v>
      </c>
      <c r="AA1159" s="1">
        <v>407.0</v>
      </c>
      <c r="AB1159" s="1">
        <v>1064.0</v>
      </c>
      <c r="AC1159" s="1">
        <v>335.0</v>
      </c>
      <c r="AD1159" s="1">
        <v>2852.0</v>
      </c>
      <c r="AE1159" s="1">
        <v>66.0</v>
      </c>
      <c r="AF1159" s="1">
        <v>414.0</v>
      </c>
      <c r="AG1159" s="1">
        <v>51.0</v>
      </c>
      <c r="AH1159" s="1">
        <v>25.0</v>
      </c>
      <c r="AI1159" s="1">
        <v>9.0</v>
      </c>
      <c r="AJ1159" s="1">
        <v>14.0</v>
      </c>
      <c r="AK1159" s="1">
        <v>41.0</v>
      </c>
      <c r="AL1159" s="1">
        <v>116.0</v>
      </c>
      <c r="AM1159" s="1">
        <v>162.0</v>
      </c>
      <c r="AN1159" s="1">
        <v>74.0</v>
      </c>
      <c r="AO1159" s="1">
        <v>64.0</v>
      </c>
      <c r="AP1159" s="1">
        <v>0.224715</v>
      </c>
      <c r="AQ1159" s="1">
        <v>0.059554</v>
      </c>
      <c r="AR1159" s="1">
        <v>0.120847</v>
      </c>
      <c r="AS1159" s="1">
        <v>0.115949</v>
      </c>
      <c r="AT1159" s="1">
        <v>18718.0</v>
      </c>
      <c r="AU1159" s="1">
        <v>1814.0</v>
      </c>
      <c r="AV1159" s="1">
        <v>0.186616</v>
      </c>
      <c r="AW1159" s="1">
        <v>0.059994</v>
      </c>
      <c r="AX1159" s="1">
        <v>0.100444</v>
      </c>
      <c r="AY1159" s="1">
        <v>0.262586</v>
      </c>
      <c r="AZ1159" s="1">
        <v>0.20768753</v>
      </c>
      <c r="BA1159" s="1">
        <v>0.703849</v>
      </c>
      <c r="BB1159" s="1">
        <v>0.020471</v>
      </c>
      <c r="BC1159" s="1">
        <v>0.1284</v>
      </c>
      <c r="BD1159" s="1">
        <v>0.027657</v>
      </c>
      <c r="BE1159" s="1">
        <v>0.013535</v>
      </c>
      <c r="BF1159" s="1">
        <v>0.00488</v>
      </c>
      <c r="BG1159" s="1">
        <v>0.00759</v>
      </c>
      <c r="BH1159" s="1">
        <v>0.026164</v>
      </c>
      <c r="BI1159" s="1">
        <v>0.074005</v>
      </c>
      <c r="BJ1159" s="1">
        <v>0.103382</v>
      </c>
      <c r="BK1159" s="1">
        <v>0.046693</v>
      </c>
      <c r="BL1159" s="1">
        <v>0.015794</v>
      </c>
      <c r="BM1159" s="1">
        <v>0.781</v>
      </c>
      <c r="BN1159" s="1">
        <v>0.824</v>
      </c>
      <c r="BO1159" s="1">
        <v>0.6881</v>
      </c>
      <c r="BP1159" s="1">
        <v>0.713</v>
      </c>
      <c r="BQ1159" s="1">
        <v>3.0061</v>
      </c>
      <c r="BR1159" s="1">
        <v>0.8036</v>
      </c>
      <c r="BS1159" s="1">
        <v>0.213</v>
      </c>
      <c r="BT1159" s="1">
        <v>0.729</v>
      </c>
      <c r="BU1159" s="1">
        <v>0.905</v>
      </c>
      <c r="BV1159" s="1">
        <v>1.847</v>
      </c>
      <c r="BW1159" s="1">
        <v>0.766</v>
      </c>
      <c r="BX1159" s="1">
        <v>0.901</v>
      </c>
      <c r="BY1159" s="1">
        <v>0.863</v>
      </c>
      <c r="BZ1159" s="1">
        <v>1.764</v>
      </c>
      <c r="CA1159" s="1">
        <v>0.948</v>
      </c>
      <c r="CB1159" s="1">
        <v>0.53</v>
      </c>
      <c r="CC1159" s="1">
        <v>0.392</v>
      </c>
      <c r="CD1159" s="1">
        <v>0.771</v>
      </c>
      <c r="CE1159" s="1">
        <v>0.764</v>
      </c>
      <c r="CF1159" s="1">
        <v>0.658</v>
      </c>
      <c r="CG1159" s="1">
        <v>3.115</v>
      </c>
      <c r="CH1159" s="1">
        <v>0.819</v>
      </c>
      <c r="CI1159" s="1">
        <v>9.7321</v>
      </c>
      <c r="CJ1159" s="1">
        <v>0.93</v>
      </c>
      <c r="CK1159" s="1">
        <v>0.0</v>
      </c>
      <c r="CL1159" s="1">
        <v>0.0</v>
      </c>
      <c r="CM1159" s="1">
        <v>0.0</v>
      </c>
      <c r="CN1159" s="1">
        <v>0.0</v>
      </c>
      <c r="CO1159" s="1">
        <v>0.0</v>
      </c>
      <c r="CP1159" s="1">
        <v>0.0</v>
      </c>
      <c r="CQ1159" s="1">
        <v>0.0</v>
      </c>
      <c r="CR1159" s="1">
        <v>1.0</v>
      </c>
      <c r="CS1159" s="1">
        <v>1.0</v>
      </c>
      <c r="CT1159" s="1">
        <v>1.0</v>
      </c>
      <c r="CU1159" s="1">
        <v>0.0</v>
      </c>
      <c r="CV1159" s="1">
        <v>1.0</v>
      </c>
      <c r="CW1159" s="1">
        <v>0.0</v>
      </c>
      <c r="CX1159" s="1">
        <v>0.0</v>
      </c>
      <c r="CY1159" s="1">
        <v>0.0</v>
      </c>
      <c r="CZ1159" s="1">
        <v>0.0</v>
      </c>
      <c r="DA1159" s="1">
        <v>0.0</v>
      </c>
      <c r="DB1159" s="1">
        <v>0.0</v>
      </c>
      <c r="DC1159" s="1">
        <v>2.0</v>
      </c>
      <c r="DD1159" s="1" t="s">
        <v>5129</v>
      </c>
      <c r="DE1159" s="1">
        <v>3.97105911271534E-4</v>
      </c>
      <c r="DF1159" s="1">
        <v>0.0884061032938997</v>
      </c>
    </row>
    <row r="1160" ht="15.75" customHeight="1">
      <c r="A1160" s="1" t="s">
        <v>5130</v>
      </c>
      <c r="B1160" s="1">
        <v>29.0</v>
      </c>
      <c r="C1160" s="1">
        <v>189.0</v>
      </c>
      <c r="D1160" s="1">
        <v>214500.0</v>
      </c>
      <c r="E1160" s="1">
        <v>0.924</v>
      </c>
      <c r="F1160" s="1">
        <v>29189.0</v>
      </c>
      <c r="G1160" s="1">
        <v>2.91892145E10</v>
      </c>
      <c r="H1160" s="1" t="s">
        <v>112</v>
      </c>
      <c r="I1160" s="1" t="s">
        <v>113</v>
      </c>
      <c r="J1160" s="1" t="s">
        <v>4566</v>
      </c>
      <c r="K1160" s="1" t="s">
        <v>5131</v>
      </c>
      <c r="L1160" s="1">
        <v>3089.0</v>
      </c>
      <c r="M1160" s="1">
        <v>3584.0</v>
      </c>
      <c r="N1160" s="1">
        <v>361.0</v>
      </c>
      <c r="O1160" s="1">
        <v>1481.0</v>
      </c>
      <c r="P1160" s="1">
        <v>1470.0</v>
      </c>
      <c r="Q1160" s="1">
        <v>99.0</v>
      </c>
      <c r="R1160" s="1">
        <v>1371.0</v>
      </c>
      <c r="S1160" s="1">
        <v>245.0</v>
      </c>
      <c r="T1160" s="1">
        <v>139.0</v>
      </c>
      <c r="U1160" s="1">
        <v>114.0</v>
      </c>
      <c r="V1160" s="1">
        <v>432.0</v>
      </c>
      <c r="W1160" s="1">
        <v>22101.0</v>
      </c>
      <c r="X1160" s="1">
        <v>2259.0</v>
      </c>
      <c r="Y1160" s="1">
        <v>356.0</v>
      </c>
      <c r="Z1160" s="1">
        <v>224.0</v>
      </c>
      <c r="AA1160" s="1">
        <v>469.0</v>
      </c>
      <c r="AB1160" s="1">
        <v>614.0</v>
      </c>
      <c r="AC1160" s="1">
        <v>153.0</v>
      </c>
      <c r="AD1160" s="1">
        <v>990.0</v>
      </c>
      <c r="AE1160" s="1">
        <v>38.0</v>
      </c>
      <c r="AF1160" s="1">
        <v>396.0</v>
      </c>
      <c r="AG1160" s="1">
        <v>20.0</v>
      </c>
      <c r="AH1160" s="1">
        <v>163.0</v>
      </c>
      <c r="AI1160" s="1">
        <v>10.0</v>
      </c>
      <c r="AJ1160" s="1">
        <v>17.0</v>
      </c>
      <c r="AK1160" s="1">
        <v>11.0</v>
      </c>
      <c r="AL1160" s="1">
        <v>115.0</v>
      </c>
      <c r="AM1160" s="1">
        <v>114.0</v>
      </c>
      <c r="AN1160" s="1">
        <v>133.0</v>
      </c>
      <c r="AO1160" s="1">
        <v>0.0</v>
      </c>
      <c r="AP1160" s="1">
        <v>0.06882</v>
      </c>
      <c r="AQ1160" s="1">
        <v>0.03843</v>
      </c>
      <c r="AR1160" s="1">
        <v>0.063616</v>
      </c>
      <c r="AS1160" s="1">
        <v>0.240781</v>
      </c>
      <c r="AT1160" s="1">
        <v>22101.0</v>
      </c>
      <c r="AU1160" s="1">
        <v>2259.0</v>
      </c>
      <c r="AV1160" s="1">
        <v>0.152397</v>
      </c>
      <c r="AW1160" s="1">
        <v>0.0952</v>
      </c>
      <c r="AX1160" s="1">
        <v>0.151829</v>
      </c>
      <c r="AY1160" s="1">
        <v>0.198769</v>
      </c>
      <c r="AZ1160" s="1">
        <v>0.11159737</v>
      </c>
      <c r="BA1160" s="1">
        <v>0.320492</v>
      </c>
      <c r="BB1160" s="1">
        <v>0.011421</v>
      </c>
      <c r="BC1160" s="1">
        <v>0.119019</v>
      </c>
      <c r="BD1160" s="1">
        <v>0.013605</v>
      </c>
      <c r="BE1160" s="1">
        <v>0.11088</v>
      </c>
      <c r="BF1160" s="1">
        <v>0.006802</v>
      </c>
      <c r="BG1160" s="1">
        <v>0.011555</v>
      </c>
      <c r="BH1160" s="1">
        <v>0.007482</v>
      </c>
      <c r="BI1160" s="1">
        <v>0.078229</v>
      </c>
      <c r="BJ1160" s="1">
        <v>0.077551</v>
      </c>
      <c r="BK1160" s="1">
        <v>0.090325</v>
      </c>
      <c r="BL1160" s="1">
        <v>0.0</v>
      </c>
      <c r="BM1160" s="1">
        <v>0.244</v>
      </c>
      <c r="BN1160" s="1">
        <v>0.458</v>
      </c>
      <c r="BO1160" s="1">
        <v>0.4895</v>
      </c>
      <c r="BP1160" s="1">
        <v>0.576</v>
      </c>
      <c r="BQ1160" s="1">
        <v>1.7675</v>
      </c>
      <c r="BR1160" s="1">
        <v>0.4217</v>
      </c>
      <c r="BS1160" s="1">
        <v>0.596</v>
      </c>
      <c r="BT1160" s="1">
        <v>0.182</v>
      </c>
      <c r="BU1160" s="1">
        <v>0.598</v>
      </c>
      <c r="BV1160" s="1">
        <v>1.376</v>
      </c>
      <c r="BW1160" s="1">
        <v>0.371</v>
      </c>
      <c r="BX1160" s="1">
        <v>0.802</v>
      </c>
      <c r="BY1160" s="1">
        <v>0.756</v>
      </c>
      <c r="BZ1160" s="1">
        <v>1.558</v>
      </c>
      <c r="CA1160" s="1">
        <v>0.856</v>
      </c>
      <c r="CB1160" s="1">
        <v>0.415</v>
      </c>
      <c r="CC1160" s="1">
        <v>0.423</v>
      </c>
      <c r="CD1160" s="1">
        <v>0.412</v>
      </c>
      <c r="CE1160" s="1">
        <v>0.661</v>
      </c>
      <c r="CF1160" s="1">
        <v>0.0</v>
      </c>
      <c r="CG1160" s="1">
        <v>1.911</v>
      </c>
      <c r="CH1160" s="1">
        <v>0.308</v>
      </c>
      <c r="CI1160" s="1">
        <v>6.6125</v>
      </c>
      <c r="CJ1160" s="1">
        <v>0.4794</v>
      </c>
      <c r="CK1160" s="1">
        <v>0.0</v>
      </c>
      <c r="CL1160" s="1">
        <v>0.0</v>
      </c>
      <c r="CM1160" s="1">
        <v>0.0</v>
      </c>
      <c r="CN1160" s="1">
        <v>0.0</v>
      </c>
      <c r="CO1160" s="1">
        <v>0.0</v>
      </c>
      <c r="CP1160" s="1">
        <v>0.0</v>
      </c>
      <c r="CQ1160" s="1">
        <v>0.0</v>
      </c>
      <c r="CR1160" s="1">
        <v>0.0</v>
      </c>
      <c r="CS1160" s="1">
        <v>0.0</v>
      </c>
      <c r="CT1160" s="1">
        <v>0.0</v>
      </c>
      <c r="CU1160" s="1">
        <v>0.0</v>
      </c>
      <c r="CV1160" s="1">
        <v>0.0</v>
      </c>
      <c r="CW1160" s="1">
        <v>0.0</v>
      </c>
      <c r="CX1160" s="1">
        <v>0.0</v>
      </c>
      <c r="CY1160" s="1">
        <v>0.0</v>
      </c>
      <c r="CZ1160" s="1">
        <v>0.0</v>
      </c>
      <c r="DA1160" s="1">
        <v>0.0</v>
      </c>
      <c r="DB1160" s="1">
        <v>0.0</v>
      </c>
      <c r="DC1160" s="1">
        <v>0.0</v>
      </c>
      <c r="DD1160" s="1" t="s">
        <v>5132</v>
      </c>
      <c r="DE1160" s="1">
        <v>2.52528534079016E-4</v>
      </c>
      <c r="DF1160" s="1">
        <v>0.0785852845569511</v>
      </c>
    </row>
    <row r="1161" ht="15.75" customHeight="1">
      <c r="A1161" s="1" t="s">
        <v>5133</v>
      </c>
      <c r="B1161" s="1">
        <v>29.0</v>
      </c>
      <c r="C1161" s="1">
        <v>189.0</v>
      </c>
      <c r="D1161" s="1">
        <v>214601.0</v>
      </c>
      <c r="E1161" s="1">
        <v>0.824</v>
      </c>
      <c r="F1161" s="1">
        <v>29189.0</v>
      </c>
      <c r="G1161" s="1">
        <v>2.9189214601E10</v>
      </c>
      <c r="H1161" s="1" t="s">
        <v>112</v>
      </c>
      <c r="I1161" s="1" t="s">
        <v>113</v>
      </c>
      <c r="J1161" s="1" t="s">
        <v>4566</v>
      </c>
      <c r="K1161" s="1" t="s">
        <v>5134</v>
      </c>
      <c r="L1161" s="1">
        <v>3958.0</v>
      </c>
      <c r="M1161" s="1">
        <v>3590.0</v>
      </c>
      <c r="N1161" s="1">
        <v>371.0</v>
      </c>
      <c r="O1161" s="1">
        <v>1827.0</v>
      </c>
      <c r="P1161" s="1">
        <v>1790.0</v>
      </c>
      <c r="Q1161" s="1">
        <v>142.0</v>
      </c>
      <c r="R1161" s="1">
        <v>1683.0</v>
      </c>
      <c r="S1161" s="1">
        <v>555.0</v>
      </c>
      <c r="T1161" s="1">
        <v>277.0</v>
      </c>
      <c r="U1161" s="1">
        <v>114.0</v>
      </c>
      <c r="V1161" s="1">
        <v>431.0</v>
      </c>
      <c r="W1161" s="1">
        <v>24302.0</v>
      </c>
      <c r="X1161" s="1">
        <v>6793.0</v>
      </c>
      <c r="Y1161" s="1">
        <v>317.0</v>
      </c>
      <c r="Z1161" s="1">
        <v>313.0</v>
      </c>
      <c r="AA1161" s="1">
        <v>512.0</v>
      </c>
      <c r="AB1161" s="1">
        <v>889.0</v>
      </c>
      <c r="AC1161" s="1">
        <v>261.0</v>
      </c>
      <c r="AD1161" s="1">
        <v>1106.0</v>
      </c>
      <c r="AE1161" s="1">
        <v>20.0</v>
      </c>
      <c r="AF1161" s="1">
        <v>427.0</v>
      </c>
      <c r="AG1161" s="1">
        <v>23.0</v>
      </c>
      <c r="AH1161" s="1">
        <v>165.0</v>
      </c>
      <c r="AI1161" s="1">
        <v>48.0</v>
      </c>
      <c r="AJ1161" s="1">
        <v>56.0</v>
      </c>
      <c r="AK1161" s="1">
        <v>3.0</v>
      </c>
      <c r="AL1161" s="1">
        <v>116.0</v>
      </c>
      <c r="AM1161" s="1">
        <v>137.0</v>
      </c>
      <c r="AN1161" s="1">
        <v>103.0</v>
      </c>
      <c r="AO1161" s="1">
        <v>2.0</v>
      </c>
      <c r="AP1161" s="1">
        <v>0.154596</v>
      </c>
      <c r="AQ1161" s="1">
        <v>0.075486</v>
      </c>
      <c r="AR1161" s="1">
        <v>0.061788</v>
      </c>
      <c r="AS1161" s="1">
        <v>0.233383</v>
      </c>
      <c r="AT1161" s="1">
        <v>24302.0</v>
      </c>
      <c r="AU1161" s="1">
        <v>6793.0</v>
      </c>
      <c r="AV1161" s="1">
        <v>0.120669</v>
      </c>
      <c r="AW1161" s="1">
        <v>0.118509</v>
      </c>
      <c r="AX1161" s="1">
        <v>0.129358</v>
      </c>
      <c r="AY1161" s="1">
        <v>0.224608</v>
      </c>
      <c r="AZ1161" s="1">
        <v>0.15508021</v>
      </c>
      <c r="BA1161" s="1">
        <v>0.279434</v>
      </c>
      <c r="BB1161" s="1">
        <v>0.00597</v>
      </c>
      <c r="BC1161" s="1">
        <v>0.127461</v>
      </c>
      <c r="BD1161" s="1">
        <v>0.012849</v>
      </c>
      <c r="BE1161" s="1">
        <v>0.092173</v>
      </c>
      <c r="BF1161" s="1">
        <v>0.026815</v>
      </c>
      <c r="BG1161" s="1">
        <v>0.031212</v>
      </c>
      <c r="BH1161" s="1">
        <v>0.001795</v>
      </c>
      <c r="BI1161" s="1">
        <v>0.069419</v>
      </c>
      <c r="BJ1161" s="1">
        <v>0.081986</v>
      </c>
      <c r="BK1161" s="1">
        <v>0.061092</v>
      </c>
      <c r="BL1161" s="1">
        <v>5.05E-4</v>
      </c>
      <c r="BM1161" s="1">
        <v>0.594</v>
      </c>
      <c r="BN1161" s="1">
        <v>0.435</v>
      </c>
      <c r="BO1161" s="1">
        <v>0.3798</v>
      </c>
      <c r="BP1161" s="1">
        <v>0.431</v>
      </c>
      <c r="BQ1161" s="1">
        <v>1.8398</v>
      </c>
      <c r="BR1161" s="1">
        <v>0.444</v>
      </c>
      <c r="BS1161" s="1">
        <v>0.414</v>
      </c>
      <c r="BT1161" s="1">
        <v>0.337</v>
      </c>
      <c r="BU1161" s="1">
        <v>0.811</v>
      </c>
      <c r="BV1161" s="1">
        <v>1.562</v>
      </c>
      <c r="BW1161" s="1">
        <v>0.534</v>
      </c>
      <c r="BX1161" s="1">
        <v>0.776</v>
      </c>
      <c r="BY1161" s="1">
        <v>0.597</v>
      </c>
      <c r="BZ1161" s="1">
        <v>1.373</v>
      </c>
      <c r="CA1161" s="1">
        <v>0.753</v>
      </c>
      <c r="CB1161" s="1">
        <v>0.409</v>
      </c>
      <c r="CC1161" s="1">
        <v>0.538</v>
      </c>
      <c r="CD1161" s="1">
        <v>0.279</v>
      </c>
      <c r="CE1161" s="1">
        <v>0.687</v>
      </c>
      <c r="CF1161" s="1">
        <v>0.369</v>
      </c>
      <c r="CG1161" s="1">
        <v>2.282</v>
      </c>
      <c r="CH1161" s="1">
        <v>0.451</v>
      </c>
      <c r="CI1161" s="1">
        <v>7.0568</v>
      </c>
      <c r="CJ1161" s="1">
        <v>0.5596</v>
      </c>
      <c r="CK1161" s="1">
        <v>0.0</v>
      </c>
      <c r="CL1161" s="1">
        <v>0.0</v>
      </c>
      <c r="CM1161" s="1">
        <v>0.0</v>
      </c>
      <c r="CN1161" s="1">
        <v>0.0</v>
      </c>
      <c r="CO1161" s="1">
        <v>0.0</v>
      </c>
      <c r="CP1161" s="1">
        <v>0.0</v>
      </c>
      <c r="CQ1161" s="1">
        <v>0.0</v>
      </c>
      <c r="CR1161" s="1">
        <v>0.0</v>
      </c>
      <c r="CS1161" s="1">
        <v>0.0</v>
      </c>
      <c r="CT1161" s="1">
        <v>0.0</v>
      </c>
      <c r="CU1161" s="1">
        <v>0.0</v>
      </c>
      <c r="CV1161" s="1">
        <v>0.0</v>
      </c>
      <c r="CW1161" s="1">
        <v>0.0</v>
      </c>
      <c r="CX1161" s="1">
        <v>0.0</v>
      </c>
      <c r="CY1161" s="1">
        <v>0.0</v>
      </c>
      <c r="CZ1161" s="1">
        <v>0.0</v>
      </c>
      <c r="DA1161" s="1">
        <v>0.0</v>
      </c>
      <c r="DB1161" s="1">
        <v>0.0</v>
      </c>
      <c r="DC1161" s="1">
        <v>0.0</v>
      </c>
      <c r="DD1161" s="1" t="s">
        <v>5135</v>
      </c>
      <c r="DE1161" s="1">
        <v>2.20696502307182E-4</v>
      </c>
      <c r="DF1161" s="1">
        <v>0.0805467250975914</v>
      </c>
    </row>
    <row r="1162" ht="15.75" customHeight="1">
      <c r="A1162" s="1" t="s">
        <v>5136</v>
      </c>
      <c r="B1162" s="1">
        <v>29.0</v>
      </c>
      <c r="C1162" s="1">
        <v>189.0</v>
      </c>
      <c r="D1162" s="1">
        <v>214602.0</v>
      </c>
      <c r="E1162" s="1">
        <v>0.697</v>
      </c>
      <c r="F1162" s="1">
        <v>29189.0</v>
      </c>
      <c r="G1162" s="1">
        <v>2.9189214602E10</v>
      </c>
      <c r="H1162" s="1" t="s">
        <v>112</v>
      </c>
      <c r="I1162" s="1" t="s">
        <v>113</v>
      </c>
      <c r="J1162" s="1" t="s">
        <v>4566</v>
      </c>
      <c r="K1162" s="1" t="s">
        <v>5137</v>
      </c>
      <c r="L1162" s="1">
        <v>4141.0</v>
      </c>
      <c r="M1162" s="1">
        <v>3748.0</v>
      </c>
      <c r="N1162" s="1">
        <v>347.0</v>
      </c>
      <c r="O1162" s="1">
        <v>1867.0</v>
      </c>
      <c r="P1162" s="1">
        <v>1888.0</v>
      </c>
      <c r="Q1162" s="1">
        <v>106.0</v>
      </c>
      <c r="R1162" s="1">
        <v>1720.0</v>
      </c>
      <c r="S1162" s="1">
        <v>203.0</v>
      </c>
      <c r="T1162" s="1">
        <v>157.0</v>
      </c>
      <c r="U1162" s="1">
        <v>100.0</v>
      </c>
      <c r="V1162" s="1">
        <v>431.0</v>
      </c>
      <c r="W1162" s="1">
        <v>23129.0</v>
      </c>
      <c r="X1162" s="1">
        <v>1923.0</v>
      </c>
      <c r="Y1162" s="1">
        <v>410.0</v>
      </c>
      <c r="Z1162" s="1">
        <v>291.0</v>
      </c>
      <c r="AA1162" s="1">
        <v>466.0</v>
      </c>
      <c r="AB1162" s="1">
        <v>955.0</v>
      </c>
      <c r="AC1162" s="1">
        <v>267.0</v>
      </c>
      <c r="AD1162" s="1">
        <v>1132.0</v>
      </c>
      <c r="AE1162" s="1">
        <v>36.0</v>
      </c>
      <c r="AF1162" s="1">
        <v>428.0</v>
      </c>
      <c r="AG1162" s="1">
        <v>0.0</v>
      </c>
      <c r="AH1162" s="1">
        <v>197.0</v>
      </c>
      <c r="AI1162" s="1">
        <v>0.0</v>
      </c>
      <c r="AJ1162" s="1">
        <v>114.0</v>
      </c>
      <c r="AK1162" s="1">
        <v>0.0</v>
      </c>
      <c r="AL1162" s="1">
        <v>161.0</v>
      </c>
      <c r="AM1162" s="1">
        <v>118.0</v>
      </c>
      <c r="AN1162" s="1">
        <v>104.0</v>
      </c>
      <c r="AO1162" s="1">
        <v>0.0</v>
      </c>
      <c r="AP1162" s="1">
        <v>0.054584</v>
      </c>
      <c r="AQ1162" s="1">
        <v>0.041909</v>
      </c>
      <c r="AR1162" s="1">
        <v>0.049726</v>
      </c>
      <c r="AS1162" s="1">
        <v>0.214221</v>
      </c>
      <c r="AT1162" s="1">
        <v>23129.0</v>
      </c>
      <c r="AU1162" s="1">
        <v>1923.0</v>
      </c>
      <c r="AV1162" s="1">
        <v>0.159533</v>
      </c>
      <c r="AW1162" s="1">
        <v>0.112152</v>
      </c>
      <c r="AX1162" s="1">
        <v>0.112533</v>
      </c>
      <c r="AY1162" s="1">
        <v>0.23062</v>
      </c>
      <c r="AZ1162" s="1">
        <v>0.15523255</v>
      </c>
      <c r="BA1162" s="1">
        <v>0.273363</v>
      </c>
      <c r="BB1162" s="1">
        <v>0.01065</v>
      </c>
      <c r="BC1162" s="1">
        <v>0.126623</v>
      </c>
      <c r="BD1162" s="1">
        <v>0.0</v>
      </c>
      <c r="BE1162" s="1">
        <v>0.104343</v>
      </c>
      <c r="BF1162" s="1">
        <v>0.0</v>
      </c>
      <c r="BG1162" s="1">
        <v>0.060381</v>
      </c>
      <c r="BH1162" s="1">
        <v>0.0</v>
      </c>
      <c r="BI1162" s="1">
        <v>0.100249</v>
      </c>
      <c r="BJ1162" s="1">
        <v>0.073474</v>
      </c>
      <c r="BK1162" s="1">
        <v>0.064382</v>
      </c>
      <c r="BL1162" s="1">
        <v>0.0</v>
      </c>
      <c r="BM1162" s="1">
        <v>0.186</v>
      </c>
      <c r="BN1162" s="1">
        <v>0.289</v>
      </c>
      <c r="BO1162" s="1">
        <v>0.4397</v>
      </c>
      <c r="BP1162" s="1">
        <v>0.609</v>
      </c>
      <c r="BQ1162" s="1">
        <v>1.5237</v>
      </c>
      <c r="BR1162" s="1">
        <v>0.3466</v>
      </c>
      <c r="BS1162" s="1">
        <v>0.29</v>
      </c>
      <c r="BT1162" s="1">
        <v>0.392</v>
      </c>
      <c r="BU1162" s="1">
        <v>0.812</v>
      </c>
      <c r="BV1162" s="1">
        <v>1.494</v>
      </c>
      <c r="BW1162" s="1">
        <v>0.481</v>
      </c>
      <c r="BX1162" s="1">
        <v>0.775</v>
      </c>
      <c r="BY1162" s="1">
        <v>0.738</v>
      </c>
      <c r="BZ1162" s="1">
        <v>1.513</v>
      </c>
      <c r="CA1162" s="1">
        <v>0.833</v>
      </c>
      <c r="CB1162" s="1">
        <v>0.0</v>
      </c>
      <c r="CC1162" s="1">
        <v>0.0</v>
      </c>
      <c r="CD1162" s="1">
        <v>0.0</v>
      </c>
      <c r="CE1162" s="1">
        <v>0.642</v>
      </c>
      <c r="CF1162" s="1">
        <v>0.0</v>
      </c>
      <c r="CG1162" s="1">
        <v>0.642</v>
      </c>
      <c r="CH1162" s="1">
        <v>0.041</v>
      </c>
      <c r="CI1162" s="1">
        <v>5.1727</v>
      </c>
      <c r="CJ1162" s="1">
        <v>0.2274</v>
      </c>
      <c r="CK1162" s="1">
        <v>0.0</v>
      </c>
      <c r="CL1162" s="1">
        <v>0.0</v>
      </c>
      <c r="CM1162" s="1">
        <v>0.0</v>
      </c>
      <c r="CN1162" s="1">
        <v>0.0</v>
      </c>
      <c r="CO1162" s="1">
        <v>0.0</v>
      </c>
      <c r="CP1162" s="1">
        <v>0.0</v>
      </c>
      <c r="CQ1162" s="1">
        <v>0.0</v>
      </c>
      <c r="CR1162" s="1">
        <v>0.0</v>
      </c>
      <c r="CS1162" s="1">
        <v>0.0</v>
      </c>
      <c r="CT1162" s="1">
        <v>0.0</v>
      </c>
      <c r="CU1162" s="1">
        <v>0.0</v>
      </c>
      <c r="CV1162" s="1">
        <v>0.0</v>
      </c>
      <c r="CW1162" s="1">
        <v>0.0</v>
      </c>
      <c r="CX1162" s="1">
        <v>0.0</v>
      </c>
      <c r="CY1162" s="1">
        <v>0.0</v>
      </c>
      <c r="CZ1162" s="1">
        <v>0.0</v>
      </c>
      <c r="DA1162" s="1">
        <v>0.0</v>
      </c>
      <c r="DB1162" s="1">
        <v>0.0</v>
      </c>
      <c r="DC1162" s="1">
        <v>0.0</v>
      </c>
      <c r="DD1162" s="1" t="s">
        <v>5138</v>
      </c>
      <c r="DE1162" s="1">
        <v>1.8681858602507E-4</v>
      </c>
      <c r="DF1162" s="2" t="s">
        <v>5139</v>
      </c>
    </row>
    <row r="1163" ht="15.75" customHeight="1">
      <c r="A1163" s="1" t="s">
        <v>5140</v>
      </c>
      <c r="B1163" s="1">
        <v>29.0</v>
      </c>
      <c r="C1163" s="1">
        <v>189.0</v>
      </c>
      <c r="D1163" s="1">
        <v>214700.0</v>
      </c>
      <c r="E1163" s="1">
        <v>1.28</v>
      </c>
      <c r="F1163" s="1">
        <v>29189.0</v>
      </c>
      <c r="G1163" s="1">
        <v>2.91892147E10</v>
      </c>
      <c r="H1163" s="1" t="s">
        <v>112</v>
      </c>
      <c r="I1163" s="1" t="s">
        <v>113</v>
      </c>
      <c r="J1163" s="1" t="s">
        <v>4566</v>
      </c>
      <c r="K1163" s="1" t="s">
        <v>5141</v>
      </c>
      <c r="L1163" s="1">
        <v>6881.0</v>
      </c>
      <c r="M1163" s="1">
        <v>6740.0</v>
      </c>
      <c r="N1163" s="1">
        <v>608.0</v>
      </c>
      <c r="O1163" s="1">
        <v>3071.0</v>
      </c>
      <c r="P1163" s="1">
        <v>2920.0</v>
      </c>
      <c r="Q1163" s="1">
        <v>243.0</v>
      </c>
      <c r="R1163" s="1">
        <v>2795.0</v>
      </c>
      <c r="S1163" s="1">
        <v>915.0</v>
      </c>
      <c r="T1163" s="1">
        <v>347.0</v>
      </c>
      <c r="U1163" s="1">
        <v>259.0</v>
      </c>
      <c r="V1163" s="1">
        <v>381.0</v>
      </c>
      <c r="W1163" s="1">
        <v>19151.0</v>
      </c>
      <c r="X1163" s="1">
        <v>1720.0</v>
      </c>
      <c r="Y1163" s="1">
        <v>1050.0</v>
      </c>
      <c r="Z1163" s="1">
        <v>292.0</v>
      </c>
      <c r="AA1163" s="1">
        <v>899.0</v>
      </c>
      <c r="AB1163" s="1">
        <v>1685.0</v>
      </c>
      <c r="AC1163" s="1">
        <v>473.0</v>
      </c>
      <c r="AD1163" s="1">
        <v>2519.0</v>
      </c>
      <c r="AE1163" s="1">
        <v>145.0</v>
      </c>
      <c r="AF1163" s="1">
        <v>403.0</v>
      </c>
      <c r="AG1163" s="1">
        <v>138.0</v>
      </c>
      <c r="AH1163" s="1">
        <v>139.0</v>
      </c>
      <c r="AI1163" s="1">
        <v>0.0</v>
      </c>
      <c r="AJ1163" s="1">
        <v>114.0</v>
      </c>
      <c r="AK1163" s="1">
        <v>80.0</v>
      </c>
      <c r="AL1163" s="1">
        <v>130.0</v>
      </c>
      <c r="AM1163" s="1">
        <v>222.0</v>
      </c>
      <c r="AN1163" s="1">
        <v>115.0</v>
      </c>
      <c r="AO1163" s="1">
        <v>67.0</v>
      </c>
      <c r="AP1163" s="1">
        <v>0.135756</v>
      </c>
      <c r="AQ1163" s="1">
        <v>0.050005</v>
      </c>
      <c r="AR1163" s="1">
        <v>0.073852</v>
      </c>
      <c r="AS1163" s="1">
        <v>0.108267</v>
      </c>
      <c r="AT1163" s="1">
        <v>19151.0</v>
      </c>
      <c r="AU1163" s="1">
        <v>1720.0</v>
      </c>
      <c r="AV1163" s="1">
        <v>0.23532</v>
      </c>
      <c r="AW1163" s="1">
        <v>0.062263</v>
      </c>
      <c r="AX1163" s="1">
        <v>0.130649</v>
      </c>
      <c r="AY1163" s="1">
        <v>0.244877</v>
      </c>
      <c r="AZ1163" s="1">
        <v>0.16923076</v>
      </c>
      <c r="BA1163" s="1">
        <v>0.36608</v>
      </c>
      <c r="BB1163" s="1">
        <v>0.022755</v>
      </c>
      <c r="BC1163" s="1">
        <v>0.06321</v>
      </c>
      <c r="BD1163" s="1">
        <v>0.04726</v>
      </c>
      <c r="BE1163" s="1">
        <v>0.047439</v>
      </c>
      <c r="BF1163" s="1">
        <v>0.0</v>
      </c>
      <c r="BG1163" s="1">
        <v>0.039041</v>
      </c>
      <c r="BH1163" s="1">
        <v>0.030257</v>
      </c>
      <c r="BI1163" s="1">
        <v>0.049081</v>
      </c>
      <c r="BJ1163" s="1">
        <v>0.083963</v>
      </c>
      <c r="BK1163" s="1">
        <v>0.04274</v>
      </c>
      <c r="BL1163" s="1">
        <v>0.009736</v>
      </c>
      <c r="BM1163" s="1">
        <v>0.524</v>
      </c>
      <c r="BN1163" s="1">
        <v>0.546</v>
      </c>
      <c r="BO1163" s="1">
        <v>0.6606</v>
      </c>
      <c r="BP1163" s="1">
        <v>0.837</v>
      </c>
      <c r="BQ1163" s="1">
        <v>2.5676</v>
      </c>
      <c r="BR1163" s="1">
        <v>0.6895</v>
      </c>
      <c r="BS1163" s="1">
        <v>0.424</v>
      </c>
      <c r="BT1163" s="1">
        <v>0.546</v>
      </c>
      <c r="BU1163" s="1">
        <v>0.844</v>
      </c>
      <c r="BV1163" s="1">
        <v>1.814</v>
      </c>
      <c r="BW1163" s="1">
        <v>0.731</v>
      </c>
      <c r="BX1163" s="1">
        <v>0.825</v>
      </c>
      <c r="BY1163" s="1">
        <v>0.874</v>
      </c>
      <c r="BZ1163" s="1">
        <v>1.699</v>
      </c>
      <c r="CA1163" s="1">
        <v>0.922</v>
      </c>
      <c r="CB1163" s="1">
        <v>0.646</v>
      </c>
      <c r="CC1163" s="1">
        <v>0.0</v>
      </c>
      <c r="CD1163" s="1">
        <v>0.813</v>
      </c>
      <c r="CE1163" s="1">
        <v>0.698</v>
      </c>
      <c r="CF1163" s="1">
        <v>0.572</v>
      </c>
      <c r="CG1163" s="1">
        <v>2.729</v>
      </c>
      <c r="CH1163" s="1">
        <v>0.657</v>
      </c>
      <c r="CI1163" s="1">
        <v>8.8096</v>
      </c>
      <c r="CJ1163" s="1">
        <v>0.8282</v>
      </c>
      <c r="CK1163" s="1">
        <v>0.0</v>
      </c>
      <c r="CL1163" s="1">
        <v>0.0</v>
      </c>
      <c r="CM1163" s="1">
        <v>0.0</v>
      </c>
      <c r="CN1163" s="1">
        <v>0.0</v>
      </c>
      <c r="CO1163" s="1">
        <v>0.0</v>
      </c>
      <c r="CP1163" s="1">
        <v>0.0</v>
      </c>
      <c r="CQ1163" s="1">
        <v>0.0</v>
      </c>
      <c r="CR1163" s="1">
        <v>0.0</v>
      </c>
      <c r="CS1163" s="1">
        <v>0.0</v>
      </c>
      <c r="CT1163" s="1">
        <v>0.0</v>
      </c>
      <c r="CU1163" s="1">
        <v>0.0</v>
      </c>
      <c r="CV1163" s="1">
        <v>0.0</v>
      </c>
      <c r="CW1163" s="1">
        <v>0.0</v>
      </c>
      <c r="CX1163" s="1">
        <v>0.0</v>
      </c>
      <c r="CY1163" s="1">
        <v>0.0</v>
      </c>
      <c r="CZ1163" s="1">
        <v>0.0</v>
      </c>
      <c r="DA1163" s="1">
        <v>0.0</v>
      </c>
      <c r="DB1163" s="1">
        <v>0.0</v>
      </c>
      <c r="DC1163" s="1">
        <v>0.0</v>
      </c>
      <c r="DD1163" s="1" t="s">
        <v>5142</v>
      </c>
      <c r="DE1163" s="1">
        <v>3.44977768331584E-4</v>
      </c>
      <c r="DF1163" s="1">
        <v>0.0867781908617234</v>
      </c>
    </row>
    <row r="1164" ht="15.75" customHeight="1">
      <c r="A1164" s="1" t="s">
        <v>5143</v>
      </c>
      <c r="B1164" s="1">
        <v>29.0</v>
      </c>
      <c r="C1164" s="1">
        <v>189.0</v>
      </c>
      <c r="D1164" s="1">
        <v>214800.0</v>
      </c>
      <c r="E1164" s="1">
        <v>1.212</v>
      </c>
      <c r="F1164" s="1">
        <v>29189.0</v>
      </c>
      <c r="G1164" s="1">
        <v>2.91892148E10</v>
      </c>
      <c r="H1164" s="1" t="s">
        <v>112</v>
      </c>
      <c r="I1164" s="1" t="s">
        <v>113</v>
      </c>
      <c r="J1164" s="1" t="s">
        <v>4566</v>
      </c>
      <c r="K1164" s="1" t="s">
        <v>5144</v>
      </c>
      <c r="L1164" s="1">
        <v>5571.0</v>
      </c>
      <c r="M1164" s="1">
        <v>5392.0</v>
      </c>
      <c r="N1164" s="1">
        <v>318.0</v>
      </c>
      <c r="O1164" s="1">
        <v>2733.0</v>
      </c>
      <c r="P1164" s="1">
        <v>2729.0</v>
      </c>
      <c r="Q1164" s="1">
        <v>155.0</v>
      </c>
      <c r="R1164" s="1">
        <v>2529.0</v>
      </c>
      <c r="S1164" s="1">
        <v>421.0</v>
      </c>
      <c r="T1164" s="1">
        <v>198.0</v>
      </c>
      <c r="U1164" s="1">
        <v>74.0</v>
      </c>
      <c r="V1164" s="1">
        <v>476.0</v>
      </c>
      <c r="W1164" s="1">
        <v>21916.0</v>
      </c>
      <c r="X1164" s="1">
        <v>2238.0</v>
      </c>
      <c r="Y1164" s="1">
        <v>684.0</v>
      </c>
      <c r="Z1164" s="1">
        <v>269.0</v>
      </c>
      <c r="AA1164" s="1">
        <v>868.0</v>
      </c>
      <c r="AB1164" s="1">
        <v>1195.0</v>
      </c>
      <c r="AC1164" s="1">
        <v>326.0</v>
      </c>
      <c r="AD1164" s="1">
        <v>1467.0</v>
      </c>
      <c r="AE1164" s="1">
        <v>118.0</v>
      </c>
      <c r="AF1164" s="1">
        <v>402.0</v>
      </c>
      <c r="AG1164" s="1">
        <v>339.0</v>
      </c>
      <c r="AH1164" s="1">
        <v>158.0</v>
      </c>
      <c r="AI1164" s="1">
        <v>16.0</v>
      </c>
      <c r="AJ1164" s="1">
        <v>25.0</v>
      </c>
      <c r="AK1164" s="1">
        <v>0.0</v>
      </c>
      <c r="AL1164" s="1">
        <v>161.0</v>
      </c>
      <c r="AM1164" s="1">
        <v>327.0</v>
      </c>
      <c r="AN1164" s="1">
        <v>117.0</v>
      </c>
      <c r="AO1164" s="1">
        <v>4.0</v>
      </c>
      <c r="AP1164" s="1">
        <v>0.078442</v>
      </c>
      <c r="AQ1164" s="1">
        <v>0.0366</v>
      </c>
      <c r="AR1164" s="1">
        <v>0.027007</v>
      </c>
      <c r="AS1164" s="1">
        <v>0.173685</v>
      </c>
      <c r="AT1164" s="1">
        <v>21916.0</v>
      </c>
      <c r="AU1164" s="1">
        <v>2238.0</v>
      </c>
      <c r="AV1164" s="1">
        <v>0.180379</v>
      </c>
      <c r="AW1164" s="1">
        <v>0.07006</v>
      </c>
      <c r="AX1164" s="1">
        <v>0.155806</v>
      </c>
      <c r="AY1164" s="1">
        <v>0.214503</v>
      </c>
      <c r="AZ1164" s="1">
        <v>0.1289047</v>
      </c>
      <c r="BA1164" s="1">
        <v>0.263327</v>
      </c>
      <c r="BB1164" s="1">
        <v>0.023051</v>
      </c>
      <c r="BC1164" s="1">
        <v>0.078515</v>
      </c>
      <c r="BD1164" s="1">
        <v>0.124221</v>
      </c>
      <c r="BE1164" s="1">
        <v>0.057465</v>
      </c>
      <c r="BF1164" s="1">
        <v>0.005862</v>
      </c>
      <c r="BG1164" s="1">
        <v>0.009154</v>
      </c>
      <c r="BH1164" s="1">
        <v>0.0</v>
      </c>
      <c r="BI1164" s="1">
        <v>0.063965</v>
      </c>
      <c r="BJ1164" s="1">
        <v>0.129916</v>
      </c>
      <c r="BK1164" s="1">
        <v>0.045687</v>
      </c>
      <c r="BL1164" s="1">
        <v>7.18E-4</v>
      </c>
      <c r="BM1164" s="1">
        <v>0.287</v>
      </c>
      <c r="BN1164" s="1">
        <v>0.062</v>
      </c>
      <c r="BO1164" s="1">
        <v>0.5004</v>
      </c>
      <c r="BP1164" s="1">
        <v>0.69</v>
      </c>
      <c r="BQ1164" s="1">
        <v>1.5394</v>
      </c>
      <c r="BR1164" s="1">
        <v>0.3545</v>
      </c>
      <c r="BS1164" s="1">
        <v>0.629</v>
      </c>
      <c r="BT1164" s="1">
        <v>0.263</v>
      </c>
      <c r="BU1164" s="1">
        <v>0.71</v>
      </c>
      <c r="BV1164" s="1">
        <v>1.602</v>
      </c>
      <c r="BW1164" s="1">
        <v>0.566</v>
      </c>
      <c r="BX1164" s="1">
        <v>0.767</v>
      </c>
      <c r="BY1164" s="1">
        <v>0.875</v>
      </c>
      <c r="BZ1164" s="1">
        <v>1.642</v>
      </c>
      <c r="CA1164" s="1">
        <v>0.891</v>
      </c>
      <c r="CB1164" s="1">
        <v>0.806</v>
      </c>
      <c r="CC1164" s="1">
        <v>0.408</v>
      </c>
      <c r="CD1164" s="1">
        <v>0.0</v>
      </c>
      <c r="CE1164" s="1">
        <v>0.828</v>
      </c>
      <c r="CF1164" s="1">
        <v>0.379</v>
      </c>
      <c r="CG1164" s="1">
        <v>2.421</v>
      </c>
      <c r="CH1164" s="1">
        <v>0.526</v>
      </c>
      <c r="CI1164" s="1">
        <v>7.2044</v>
      </c>
      <c r="CJ1164" s="1">
        <v>0.5957</v>
      </c>
      <c r="CK1164" s="1">
        <v>0.0</v>
      </c>
      <c r="CL1164" s="1">
        <v>0.0</v>
      </c>
      <c r="CM1164" s="1">
        <v>0.0</v>
      </c>
      <c r="CN1164" s="1">
        <v>0.0</v>
      </c>
      <c r="CO1164" s="1">
        <v>0.0</v>
      </c>
      <c r="CP1164" s="1">
        <v>0.0</v>
      </c>
      <c r="CQ1164" s="1">
        <v>0.0</v>
      </c>
      <c r="CR1164" s="1">
        <v>0.0</v>
      </c>
      <c r="CS1164" s="1">
        <v>0.0</v>
      </c>
      <c r="CT1164" s="1">
        <v>0.0</v>
      </c>
      <c r="CU1164" s="1">
        <v>0.0</v>
      </c>
      <c r="CV1164" s="1">
        <v>0.0</v>
      </c>
      <c r="CW1164" s="1">
        <v>0.0</v>
      </c>
      <c r="CX1164" s="1">
        <v>0.0</v>
      </c>
      <c r="CY1164" s="1">
        <v>0.0</v>
      </c>
      <c r="CZ1164" s="1">
        <v>0.0</v>
      </c>
      <c r="DA1164" s="1">
        <v>0.0</v>
      </c>
      <c r="DB1164" s="1">
        <v>0.0</v>
      </c>
      <c r="DC1164" s="1">
        <v>0.0</v>
      </c>
      <c r="DD1164" s="1" t="s">
        <v>5145</v>
      </c>
      <c r="DE1164" s="1">
        <v>3.24010644296414E-4</v>
      </c>
      <c r="DF1164" s="1">
        <v>0.0850415093900633</v>
      </c>
    </row>
    <row r="1165" ht="15.75" customHeight="1">
      <c r="A1165" s="1" t="s">
        <v>5146</v>
      </c>
      <c r="B1165" s="1">
        <v>29.0</v>
      </c>
      <c r="C1165" s="1">
        <v>189.0</v>
      </c>
      <c r="D1165" s="1">
        <v>214900.0</v>
      </c>
      <c r="E1165" s="1">
        <v>2.042</v>
      </c>
      <c r="F1165" s="1">
        <v>29189.0</v>
      </c>
      <c r="G1165" s="1">
        <v>2.91892149E10</v>
      </c>
      <c r="H1165" s="1" t="s">
        <v>112</v>
      </c>
      <c r="I1165" s="1" t="s">
        <v>113</v>
      </c>
      <c r="J1165" s="1" t="s">
        <v>4566</v>
      </c>
      <c r="K1165" s="1" t="s">
        <v>5147</v>
      </c>
      <c r="L1165" s="1">
        <v>6172.0</v>
      </c>
      <c r="M1165" s="1">
        <v>7507.0</v>
      </c>
      <c r="N1165" s="1">
        <v>1352.0</v>
      </c>
      <c r="O1165" s="1">
        <v>3095.0</v>
      </c>
      <c r="P1165" s="1">
        <v>3220.0</v>
      </c>
      <c r="Q1165" s="1">
        <v>97.0</v>
      </c>
      <c r="R1165" s="1">
        <v>2650.0</v>
      </c>
      <c r="S1165" s="1">
        <v>1765.0</v>
      </c>
      <c r="T1165" s="1">
        <v>1260.0</v>
      </c>
      <c r="U1165" s="1">
        <v>343.0</v>
      </c>
      <c r="V1165" s="1">
        <v>377.0</v>
      </c>
      <c r="W1165" s="1">
        <v>21705.0</v>
      </c>
      <c r="X1165" s="1">
        <v>4984.0</v>
      </c>
      <c r="Y1165" s="1">
        <v>1296.0</v>
      </c>
      <c r="Z1165" s="1">
        <v>736.0</v>
      </c>
      <c r="AA1165" s="1">
        <v>752.0</v>
      </c>
      <c r="AB1165" s="1">
        <v>1339.0</v>
      </c>
      <c r="AC1165" s="1">
        <v>386.0</v>
      </c>
      <c r="AD1165" s="1">
        <v>2267.0</v>
      </c>
      <c r="AE1165" s="1">
        <v>365.0</v>
      </c>
      <c r="AF1165" s="1">
        <v>447.0</v>
      </c>
      <c r="AG1165" s="1">
        <v>785.0</v>
      </c>
      <c r="AH1165" s="1">
        <v>231.0</v>
      </c>
      <c r="AI1165" s="1">
        <v>0.0</v>
      </c>
      <c r="AJ1165" s="1">
        <v>114.0</v>
      </c>
      <c r="AK1165" s="1">
        <v>177.0</v>
      </c>
      <c r="AL1165" s="1">
        <v>170.0</v>
      </c>
      <c r="AM1165" s="1">
        <v>114.0</v>
      </c>
      <c r="AN1165" s="1">
        <v>79.0</v>
      </c>
      <c r="AO1165" s="1">
        <v>80.0</v>
      </c>
      <c r="AP1165" s="1">
        <v>0.235113</v>
      </c>
      <c r="AQ1165" s="1">
        <v>0.162414</v>
      </c>
      <c r="AR1165" s="1">
        <v>0.088814</v>
      </c>
      <c r="AS1165" s="1">
        <v>0.096959</v>
      </c>
      <c r="AT1165" s="1">
        <v>21705.0</v>
      </c>
      <c r="AU1165" s="1">
        <v>4984.0</v>
      </c>
      <c r="AV1165" s="1">
        <v>0.243015</v>
      </c>
      <c r="AW1165" s="1">
        <v>0.129177</v>
      </c>
      <c r="AX1165" s="1">
        <v>0.12184</v>
      </c>
      <c r="AY1165" s="1">
        <v>0.216947</v>
      </c>
      <c r="AZ1165" s="1">
        <v>0.14566037</v>
      </c>
      <c r="BA1165" s="1">
        <v>0.367303</v>
      </c>
      <c r="BB1165" s="1">
        <v>0.050885</v>
      </c>
      <c r="BC1165" s="1">
        <v>0.061622</v>
      </c>
      <c r="BD1165" s="1">
        <v>0.243788</v>
      </c>
      <c r="BE1165" s="1">
        <v>0.071362</v>
      </c>
      <c r="BF1165" s="1">
        <v>0.0</v>
      </c>
      <c r="BG1165" s="1">
        <v>0.035403</v>
      </c>
      <c r="BH1165" s="1">
        <v>0.056968</v>
      </c>
      <c r="BI1165" s="1">
        <v>0.054666</v>
      </c>
      <c r="BJ1165" s="1">
        <v>0.036691</v>
      </c>
      <c r="BK1165" s="1">
        <v>0.025382</v>
      </c>
      <c r="BL1165" s="1">
        <v>0.012961</v>
      </c>
      <c r="BM1165" s="1">
        <v>0.801</v>
      </c>
      <c r="BN1165" s="1">
        <v>0.675</v>
      </c>
      <c r="BO1165" s="1">
        <v>0.5105</v>
      </c>
      <c r="BP1165" s="1">
        <v>0.856</v>
      </c>
      <c r="BQ1165" s="1">
        <v>2.8425</v>
      </c>
      <c r="BR1165" s="1">
        <v>0.7639</v>
      </c>
      <c r="BS1165" s="1">
        <v>0.356</v>
      </c>
      <c r="BT1165" s="1">
        <v>0.281</v>
      </c>
      <c r="BU1165" s="1">
        <v>0.78</v>
      </c>
      <c r="BV1165" s="1">
        <v>1.417</v>
      </c>
      <c r="BW1165" s="1">
        <v>0.405</v>
      </c>
      <c r="BX1165" s="1">
        <v>0.826</v>
      </c>
      <c r="BY1165" s="1">
        <v>0.961</v>
      </c>
      <c r="BZ1165" s="1">
        <v>1.787</v>
      </c>
      <c r="CA1165" s="1">
        <v>0.961</v>
      </c>
      <c r="CB1165" s="1">
        <v>0.916</v>
      </c>
      <c r="CC1165" s="1">
        <v>0.0</v>
      </c>
      <c r="CD1165" s="1">
        <v>0.957</v>
      </c>
      <c r="CE1165" s="1">
        <v>0.353</v>
      </c>
      <c r="CF1165" s="1">
        <v>0.62</v>
      </c>
      <c r="CG1165" s="1">
        <v>2.846</v>
      </c>
      <c r="CH1165" s="1">
        <v>0.707</v>
      </c>
      <c r="CI1165" s="1">
        <v>8.8925</v>
      </c>
      <c r="CJ1165" s="1">
        <v>0.8383</v>
      </c>
      <c r="CK1165" s="1">
        <v>0.0</v>
      </c>
      <c r="CL1165" s="1">
        <v>0.0</v>
      </c>
      <c r="CM1165" s="1">
        <v>0.0</v>
      </c>
      <c r="CN1165" s="1">
        <v>0.0</v>
      </c>
      <c r="CO1165" s="1">
        <v>0.0</v>
      </c>
      <c r="CP1165" s="1">
        <v>0.0</v>
      </c>
      <c r="CQ1165" s="1">
        <v>0.0</v>
      </c>
      <c r="CR1165" s="1">
        <v>0.0</v>
      </c>
      <c r="CS1165" s="1">
        <v>0.0</v>
      </c>
      <c r="CT1165" s="1">
        <v>0.0</v>
      </c>
      <c r="CU1165" s="1">
        <v>1.0</v>
      </c>
      <c r="CV1165" s="1">
        <v>1.0</v>
      </c>
      <c r="CW1165" s="1">
        <v>1.0</v>
      </c>
      <c r="CX1165" s="1">
        <v>0.0</v>
      </c>
      <c r="CY1165" s="1">
        <v>1.0</v>
      </c>
      <c r="CZ1165" s="1">
        <v>0.0</v>
      </c>
      <c r="DA1165" s="1">
        <v>0.0</v>
      </c>
      <c r="DB1165" s="1">
        <v>2.0</v>
      </c>
      <c r="DC1165" s="1">
        <v>3.0</v>
      </c>
      <c r="DD1165" s="1" t="s">
        <v>5148</v>
      </c>
      <c r="DE1165" s="1">
        <v>5.47192208651913E-4</v>
      </c>
      <c r="DF1165" s="1">
        <v>0.0982659887518401</v>
      </c>
    </row>
    <row r="1166" ht="15.75" customHeight="1">
      <c r="A1166" s="1" t="s">
        <v>5149</v>
      </c>
      <c r="B1166" s="1">
        <v>29.0</v>
      </c>
      <c r="C1166" s="1">
        <v>189.0</v>
      </c>
      <c r="D1166" s="1">
        <v>215001.0</v>
      </c>
      <c r="E1166" s="1">
        <v>2.42</v>
      </c>
      <c r="F1166" s="1">
        <v>29189.0</v>
      </c>
      <c r="G1166" s="1">
        <v>2.9189215001E10</v>
      </c>
      <c r="H1166" s="1" t="s">
        <v>112</v>
      </c>
      <c r="I1166" s="1" t="s">
        <v>113</v>
      </c>
      <c r="J1166" s="1" t="s">
        <v>4566</v>
      </c>
      <c r="K1166" s="1" t="s">
        <v>5150</v>
      </c>
      <c r="L1166" s="1">
        <v>2645.0</v>
      </c>
      <c r="M1166" s="1">
        <v>2984.0</v>
      </c>
      <c r="N1166" s="1">
        <v>317.0</v>
      </c>
      <c r="O1166" s="1">
        <v>1373.0</v>
      </c>
      <c r="P1166" s="1">
        <v>1438.0</v>
      </c>
      <c r="Q1166" s="1">
        <v>65.0</v>
      </c>
      <c r="R1166" s="1">
        <v>1264.0</v>
      </c>
      <c r="S1166" s="1">
        <v>208.0</v>
      </c>
      <c r="T1166" s="1">
        <v>142.0</v>
      </c>
      <c r="U1166" s="1">
        <v>32.0</v>
      </c>
      <c r="V1166" s="1">
        <v>457.0</v>
      </c>
      <c r="W1166" s="1">
        <v>31195.0</v>
      </c>
      <c r="X1166" s="1">
        <v>2559.0</v>
      </c>
      <c r="Y1166" s="1">
        <v>214.0</v>
      </c>
      <c r="Z1166" s="1">
        <v>271.0</v>
      </c>
      <c r="AA1166" s="1">
        <v>231.0</v>
      </c>
      <c r="AB1166" s="1">
        <v>498.0</v>
      </c>
      <c r="AC1166" s="1">
        <v>84.0</v>
      </c>
      <c r="AD1166" s="1">
        <v>1000.0</v>
      </c>
      <c r="AE1166" s="1">
        <v>256.0</v>
      </c>
      <c r="AF1166" s="1">
        <v>345.0</v>
      </c>
      <c r="AG1166" s="1">
        <v>672.0</v>
      </c>
      <c r="AH1166" s="1">
        <v>152.0</v>
      </c>
      <c r="AI1166" s="1">
        <v>0.0</v>
      </c>
      <c r="AJ1166" s="1">
        <v>114.0</v>
      </c>
      <c r="AK1166" s="1">
        <v>24.0</v>
      </c>
      <c r="AL1166" s="1">
        <v>116.0</v>
      </c>
      <c r="AM1166" s="1">
        <v>64.0</v>
      </c>
      <c r="AN1166" s="1">
        <v>127.0</v>
      </c>
      <c r="AO1166" s="1">
        <v>0.0</v>
      </c>
      <c r="AP1166" s="1">
        <v>0.069963</v>
      </c>
      <c r="AQ1166" s="1">
        <v>0.04718</v>
      </c>
      <c r="AR1166" s="1">
        <v>0.017269</v>
      </c>
      <c r="AS1166" s="1">
        <v>0.246613</v>
      </c>
      <c r="AT1166" s="1">
        <v>31195.0</v>
      </c>
      <c r="AU1166" s="1">
        <v>2559.0</v>
      </c>
      <c r="AV1166" s="1">
        <v>0.09528</v>
      </c>
      <c r="AW1166" s="1">
        <v>0.120153</v>
      </c>
      <c r="AX1166" s="1">
        <v>0.087334</v>
      </c>
      <c r="AY1166" s="1">
        <v>0.188279</v>
      </c>
      <c r="AZ1166" s="1">
        <v>0.06645569</v>
      </c>
      <c r="BA1166" s="1">
        <v>0.378071</v>
      </c>
      <c r="BB1166" s="1">
        <v>0.089793</v>
      </c>
      <c r="BC1166" s="1">
        <v>0.120706</v>
      </c>
      <c r="BD1166" s="1">
        <v>0.467315</v>
      </c>
      <c r="BE1166" s="1">
        <v>0.10357</v>
      </c>
      <c r="BF1166" s="1">
        <v>0.0</v>
      </c>
      <c r="BG1166" s="1">
        <v>0.079276</v>
      </c>
      <c r="BH1166" s="1">
        <v>0.017569</v>
      </c>
      <c r="BI1166" s="1">
        <v>0.084909</v>
      </c>
      <c r="BJ1166" s="1">
        <v>0.046852</v>
      </c>
      <c r="BK1166" s="1">
        <v>0.092907</v>
      </c>
      <c r="BL1166" s="1">
        <v>0.0</v>
      </c>
      <c r="BM1166" s="1">
        <v>0.249</v>
      </c>
      <c r="BN1166" s="1">
        <v>0.02</v>
      </c>
      <c r="BO1166" s="1">
        <v>0.1733</v>
      </c>
      <c r="BP1166" s="1">
        <v>0.315</v>
      </c>
      <c r="BQ1166" s="1">
        <v>0.7573</v>
      </c>
      <c r="BR1166" s="1">
        <v>0.143</v>
      </c>
      <c r="BS1166" s="1">
        <v>0.147</v>
      </c>
      <c r="BT1166" s="1">
        <v>0.145</v>
      </c>
      <c r="BU1166" s="1">
        <v>0.184</v>
      </c>
      <c r="BV1166" s="1">
        <v>0.476</v>
      </c>
      <c r="BW1166" s="1">
        <v>0.032</v>
      </c>
      <c r="BX1166" s="1">
        <v>0.831</v>
      </c>
      <c r="BY1166" s="1">
        <v>0.982</v>
      </c>
      <c r="BZ1166" s="1">
        <v>1.813</v>
      </c>
      <c r="CA1166" s="1">
        <v>0.969</v>
      </c>
      <c r="CB1166" s="1">
        <v>0.976</v>
      </c>
      <c r="CC1166" s="1">
        <v>0.0</v>
      </c>
      <c r="CD1166" s="1">
        <v>0.638</v>
      </c>
      <c r="CE1166" s="1">
        <v>0.46</v>
      </c>
      <c r="CF1166" s="1">
        <v>0.0</v>
      </c>
      <c r="CG1166" s="1">
        <v>2.074</v>
      </c>
      <c r="CH1166" s="1">
        <v>0.371</v>
      </c>
      <c r="CI1166" s="1">
        <v>5.1203</v>
      </c>
      <c r="CJ1166" s="1">
        <v>0.2209</v>
      </c>
      <c r="CK1166" s="1">
        <v>0.0</v>
      </c>
      <c r="CL1166" s="1">
        <v>0.0</v>
      </c>
      <c r="CM1166" s="1">
        <v>0.0</v>
      </c>
      <c r="CN1166" s="1">
        <v>0.0</v>
      </c>
      <c r="CO1166" s="1">
        <v>0.0</v>
      </c>
      <c r="CP1166" s="1">
        <v>0.0</v>
      </c>
      <c r="CQ1166" s="1">
        <v>0.0</v>
      </c>
      <c r="CR1166" s="1">
        <v>0.0</v>
      </c>
      <c r="CS1166" s="1">
        <v>0.0</v>
      </c>
      <c r="CT1166" s="1">
        <v>0.0</v>
      </c>
      <c r="CU1166" s="1">
        <v>1.0</v>
      </c>
      <c r="CV1166" s="1">
        <v>1.0</v>
      </c>
      <c r="CW1166" s="1">
        <v>1.0</v>
      </c>
      <c r="CX1166" s="1">
        <v>0.0</v>
      </c>
      <c r="CY1166" s="1">
        <v>0.0</v>
      </c>
      <c r="CZ1166" s="1">
        <v>0.0</v>
      </c>
      <c r="DA1166" s="1">
        <v>0.0</v>
      </c>
      <c r="DB1166" s="1">
        <v>1.0</v>
      </c>
      <c r="DC1166" s="1">
        <v>2.0</v>
      </c>
      <c r="DD1166" s="1" t="s">
        <v>5151</v>
      </c>
      <c r="DE1166" s="1">
        <v>6.51520109929859E-4</v>
      </c>
      <c r="DF1166" s="2" t="s">
        <v>5152</v>
      </c>
    </row>
    <row r="1167" ht="15.75" customHeight="1">
      <c r="A1167" s="1" t="s">
        <v>5153</v>
      </c>
      <c r="B1167" s="1">
        <v>29.0</v>
      </c>
      <c r="C1167" s="1">
        <v>189.0</v>
      </c>
      <c r="D1167" s="1">
        <v>215003.0</v>
      </c>
      <c r="E1167" s="1">
        <v>1.46</v>
      </c>
      <c r="F1167" s="1">
        <v>29189.0</v>
      </c>
      <c r="G1167" s="1">
        <v>2.9189215003E10</v>
      </c>
      <c r="H1167" s="1" t="s">
        <v>112</v>
      </c>
      <c r="I1167" s="1" t="s">
        <v>113</v>
      </c>
      <c r="J1167" s="1" t="s">
        <v>4566</v>
      </c>
      <c r="K1167" s="1" t="s">
        <v>5154</v>
      </c>
      <c r="L1167" s="1">
        <v>4308.0</v>
      </c>
      <c r="M1167" s="1">
        <v>4333.0</v>
      </c>
      <c r="N1167" s="1">
        <v>197.0</v>
      </c>
      <c r="O1167" s="1">
        <v>2108.0</v>
      </c>
      <c r="P1167" s="1">
        <v>2047.0</v>
      </c>
      <c r="Q1167" s="1">
        <v>33.0</v>
      </c>
      <c r="R1167" s="1">
        <v>1990.0</v>
      </c>
      <c r="S1167" s="1">
        <v>198.0</v>
      </c>
      <c r="T1167" s="1">
        <v>138.0</v>
      </c>
      <c r="U1167" s="1">
        <v>86.0</v>
      </c>
      <c r="V1167" s="1">
        <v>445.0</v>
      </c>
      <c r="W1167" s="1">
        <v>38873.0</v>
      </c>
      <c r="X1167" s="1">
        <v>3046.0</v>
      </c>
      <c r="Y1167" s="1">
        <v>228.0</v>
      </c>
      <c r="Z1167" s="1">
        <v>337.0</v>
      </c>
      <c r="AA1167" s="1">
        <v>1010.0</v>
      </c>
      <c r="AB1167" s="1">
        <v>811.0</v>
      </c>
      <c r="AC1167" s="1">
        <v>97.0</v>
      </c>
      <c r="AD1167" s="1">
        <v>775.0</v>
      </c>
      <c r="AE1167" s="1">
        <v>60.0</v>
      </c>
      <c r="AF1167" s="1">
        <v>431.0</v>
      </c>
      <c r="AG1167" s="1">
        <v>223.0</v>
      </c>
      <c r="AH1167" s="1">
        <v>134.0</v>
      </c>
      <c r="AI1167" s="1">
        <v>0.0</v>
      </c>
      <c r="AJ1167" s="1">
        <v>114.0</v>
      </c>
      <c r="AK1167" s="1">
        <v>19.0</v>
      </c>
      <c r="AL1167" s="1">
        <v>116.0</v>
      </c>
      <c r="AM1167" s="1">
        <v>144.0</v>
      </c>
      <c r="AN1167" s="1">
        <v>66.0</v>
      </c>
      <c r="AO1167" s="1">
        <v>0.0</v>
      </c>
      <c r="AP1167" s="1">
        <v>0.045695</v>
      </c>
      <c r="AQ1167" s="1">
        <v>0.03178</v>
      </c>
      <c r="AR1167" s="1">
        <v>0.040546</v>
      </c>
      <c r="AS1167" s="1">
        <v>0.209758</v>
      </c>
      <c r="AT1167" s="1">
        <v>38873.0</v>
      </c>
      <c r="AU1167" s="1">
        <v>3046.0</v>
      </c>
      <c r="AV1167" s="1">
        <v>0.068778</v>
      </c>
      <c r="AW1167" s="1">
        <v>0.10162</v>
      </c>
      <c r="AX1167" s="1">
        <v>0.234447</v>
      </c>
      <c r="AY1167" s="1">
        <v>0.188254</v>
      </c>
      <c r="AZ1167" s="1">
        <v>0.04874371</v>
      </c>
      <c r="BA1167" s="1">
        <v>0.179897</v>
      </c>
      <c r="BB1167" s="1">
        <v>0.014796</v>
      </c>
      <c r="BC1167" s="1">
        <v>0.106286</v>
      </c>
      <c r="BD1167" s="1">
        <v>0.108939</v>
      </c>
      <c r="BE1167" s="1">
        <v>0.065438</v>
      </c>
      <c r="BF1167" s="1">
        <v>0.0</v>
      </c>
      <c r="BG1167" s="1">
        <v>0.055691</v>
      </c>
      <c r="BH1167" s="1">
        <v>0.009391</v>
      </c>
      <c r="BI1167" s="1">
        <v>0.05734</v>
      </c>
      <c r="BJ1167" s="1">
        <v>0.071181</v>
      </c>
      <c r="BK1167" s="1">
        <v>0.032592</v>
      </c>
      <c r="BL1167" s="1">
        <v>0.0</v>
      </c>
      <c r="BM1167" s="1">
        <v>0.147</v>
      </c>
      <c r="BN1167" s="1">
        <v>0.184</v>
      </c>
      <c r="BO1167" s="1">
        <v>0.0773</v>
      </c>
      <c r="BP1167" s="1">
        <v>0.197</v>
      </c>
      <c r="BQ1167" s="1">
        <v>0.6053</v>
      </c>
      <c r="BR1167" s="1">
        <v>0.0982</v>
      </c>
      <c r="BS1167" s="1">
        <v>0.956</v>
      </c>
      <c r="BT1167" s="1">
        <v>0.144</v>
      </c>
      <c r="BU1167" s="1">
        <v>0.064</v>
      </c>
      <c r="BV1167" s="1">
        <v>1.164</v>
      </c>
      <c r="BW1167" s="1">
        <v>0.207</v>
      </c>
      <c r="BX1167" s="1">
        <v>0.678</v>
      </c>
      <c r="BY1167" s="1">
        <v>0.807</v>
      </c>
      <c r="BZ1167" s="1">
        <v>1.485</v>
      </c>
      <c r="CA1167" s="1">
        <v>0.813</v>
      </c>
      <c r="CB1167" s="1">
        <v>0.787</v>
      </c>
      <c r="CC1167" s="1">
        <v>0.0</v>
      </c>
      <c r="CD1167" s="1">
        <v>0.466</v>
      </c>
      <c r="CE1167" s="1">
        <v>0.632</v>
      </c>
      <c r="CF1167" s="1">
        <v>0.0</v>
      </c>
      <c r="CG1167" s="1">
        <v>1.885</v>
      </c>
      <c r="CH1167" s="1">
        <v>0.297</v>
      </c>
      <c r="CI1167" s="1">
        <v>5.1393</v>
      </c>
      <c r="CJ1167" s="1">
        <v>0.2238</v>
      </c>
      <c r="CK1167" s="1">
        <v>0.0</v>
      </c>
      <c r="CL1167" s="1">
        <v>0.0</v>
      </c>
      <c r="CM1167" s="1">
        <v>0.0</v>
      </c>
      <c r="CN1167" s="1">
        <v>0.0</v>
      </c>
      <c r="CO1167" s="1">
        <v>0.0</v>
      </c>
      <c r="CP1167" s="1">
        <v>1.0</v>
      </c>
      <c r="CQ1167" s="1">
        <v>0.0</v>
      </c>
      <c r="CR1167" s="1">
        <v>0.0</v>
      </c>
      <c r="CS1167" s="1">
        <v>1.0</v>
      </c>
      <c r="CT1167" s="1">
        <v>0.0</v>
      </c>
      <c r="CU1167" s="1">
        <v>0.0</v>
      </c>
      <c r="CV1167" s="1">
        <v>0.0</v>
      </c>
      <c r="CW1167" s="1">
        <v>0.0</v>
      </c>
      <c r="CX1167" s="1">
        <v>0.0</v>
      </c>
      <c r="CY1167" s="1">
        <v>0.0</v>
      </c>
      <c r="CZ1167" s="1">
        <v>0.0</v>
      </c>
      <c r="DA1167" s="1">
        <v>0.0</v>
      </c>
      <c r="DB1167" s="1">
        <v>0.0</v>
      </c>
      <c r="DC1167" s="1">
        <v>1.0</v>
      </c>
      <c r="DD1167" s="1" t="s">
        <v>5155</v>
      </c>
      <c r="DE1167" s="1">
        <v>3.91137873185672E-4</v>
      </c>
      <c r="DF1167" s="1">
        <v>0.097291199399749</v>
      </c>
    </row>
    <row r="1168" ht="15.75" customHeight="1">
      <c r="A1168" s="1" t="s">
        <v>5156</v>
      </c>
      <c r="B1168" s="1">
        <v>29.0</v>
      </c>
      <c r="C1168" s="1">
        <v>189.0</v>
      </c>
      <c r="D1168" s="1">
        <v>215005.0</v>
      </c>
      <c r="E1168" s="1">
        <v>1.042</v>
      </c>
      <c r="F1168" s="1">
        <v>29189.0</v>
      </c>
      <c r="G1168" s="1">
        <v>2.9189215005E10</v>
      </c>
      <c r="H1168" s="1" t="s">
        <v>112</v>
      </c>
      <c r="I1168" s="1" t="s">
        <v>113</v>
      </c>
      <c r="J1168" s="1" t="s">
        <v>4566</v>
      </c>
      <c r="K1168" s="1" t="s">
        <v>5157</v>
      </c>
      <c r="L1168" s="1">
        <v>5491.0</v>
      </c>
      <c r="M1168" s="1">
        <v>5415.0</v>
      </c>
      <c r="N1168" s="1">
        <v>350.0</v>
      </c>
      <c r="O1168" s="1">
        <v>2918.0</v>
      </c>
      <c r="P1168" s="1">
        <v>2824.0</v>
      </c>
      <c r="Q1168" s="1">
        <v>45.0</v>
      </c>
      <c r="R1168" s="1">
        <v>2650.0</v>
      </c>
      <c r="S1168" s="1">
        <v>618.0</v>
      </c>
      <c r="T1168" s="1">
        <v>262.0</v>
      </c>
      <c r="U1168" s="1">
        <v>203.0</v>
      </c>
      <c r="V1168" s="1">
        <v>412.0</v>
      </c>
      <c r="W1168" s="1">
        <v>29309.0</v>
      </c>
      <c r="X1168" s="1">
        <v>3168.0</v>
      </c>
      <c r="Y1168" s="1">
        <v>239.0</v>
      </c>
      <c r="Z1168" s="1">
        <v>298.0</v>
      </c>
      <c r="AA1168" s="1">
        <v>1139.0</v>
      </c>
      <c r="AB1168" s="1">
        <v>975.0</v>
      </c>
      <c r="AC1168" s="1">
        <v>164.0</v>
      </c>
      <c r="AD1168" s="1">
        <v>1707.0</v>
      </c>
      <c r="AE1168" s="1">
        <v>38.0</v>
      </c>
      <c r="AF1168" s="1">
        <v>428.0</v>
      </c>
      <c r="AG1168" s="1">
        <v>1054.0</v>
      </c>
      <c r="AH1168" s="1">
        <v>185.0</v>
      </c>
      <c r="AI1168" s="1">
        <v>0.0</v>
      </c>
      <c r="AJ1168" s="1">
        <v>114.0</v>
      </c>
      <c r="AK1168" s="1">
        <v>0.0</v>
      </c>
      <c r="AL1168" s="1">
        <v>161.0</v>
      </c>
      <c r="AM1168" s="1">
        <v>27.0</v>
      </c>
      <c r="AN1168" s="1">
        <v>118.0</v>
      </c>
      <c r="AO1168" s="1">
        <v>118.0</v>
      </c>
      <c r="AP1168" s="1">
        <v>0.117938</v>
      </c>
      <c r="AQ1168" s="1">
        <v>0.049551</v>
      </c>
      <c r="AR1168" s="1">
        <v>0.072113</v>
      </c>
      <c r="AS1168" s="1">
        <v>0.145979</v>
      </c>
      <c r="AT1168" s="1">
        <v>29309.0</v>
      </c>
      <c r="AU1168" s="1">
        <v>3168.0</v>
      </c>
      <c r="AV1168" s="1">
        <v>0.057827</v>
      </c>
      <c r="AW1168" s="1">
        <v>0.071978</v>
      </c>
      <c r="AX1168" s="1">
        <v>0.20743</v>
      </c>
      <c r="AY1168" s="1">
        <v>0.177563</v>
      </c>
      <c r="AZ1168" s="1">
        <v>0.06188679</v>
      </c>
      <c r="BA1168" s="1">
        <v>0.310872</v>
      </c>
      <c r="BB1168" s="1">
        <v>0.00735</v>
      </c>
      <c r="BC1168" s="1">
        <v>0.082783</v>
      </c>
      <c r="BD1168" s="1">
        <v>0.373229</v>
      </c>
      <c r="BE1168" s="1">
        <v>0.065239</v>
      </c>
      <c r="BF1168" s="1">
        <v>0.0</v>
      </c>
      <c r="BG1168" s="1">
        <v>0.040368</v>
      </c>
      <c r="BH1168" s="1">
        <v>0.0</v>
      </c>
      <c r="BI1168" s="1">
        <v>0.062548</v>
      </c>
      <c r="BJ1168" s="1">
        <v>0.010489</v>
      </c>
      <c r="BK1168" s="1">
        <v>0.045839</v>
      </c>
      <c r="BL1168" s="1">
        <v>0.021489</v>
      </c>
      <c r="BM1168" s="1">
        <v>0.445</v>
      </c>
      <c r="BN1168" s="1">
        <v>0.53</v>
      </c>
      <c r="BO1168" s="1">
        <v>0.2123</v>
      </c>
      <c r="BP1168" s="1">
        <v>0.159</v>
      </c>
      <c r="BQ1168" s="1">
        <v>1.3463</v>
      </c>
      <c r="BR1168" s="1">
        <v>0.2931</v>
      </c>
      <c r="BS1168" s="1">
        <v>0.902</v>
      </c>
      <c r="BT1168" s="1">
        <v>0.113</v>
      </c>
      <c r="BU1168" s="1">
        <v>0.144</v>
      </c>
      <c r="BV1168" s="1">
        <v>1.159</v>
      </c>
      <c r="BW1168" s="1">
        <v>0.203</v>
      </c>
      <c r="BX1168" s="1">
        <v>0.794</v>
      </c>
      <c r="BY1168" s="1">
        <v>0.643</v>
      </c>
      <c r="BZ1168" s="1">
        <v>1.437</v>
      </c>
      <c r="CA1168" s="1">
        <v>0.785</v>
      </c>
      <c r="CB1168" s="1">
        <v>0.963</v>
      </c>
      <c r="CC1168" s="1">
        <v>0.0</v>
      </c>
      <c r="CD1168" s="1">
        <v>0.0</v>
      </c>
      <c r="CE1168" s="1">
        <v>0.094</v>
      </c>
      <c r="CF1168" s="1">
        <v>0.726</v>
      </c>
      <c r="CG1168" s="1">
        <v>1.783</v>
      </c>
      <c r="CH1168" s="1">
        <v>0.261</v>
      </c>
      <c r="CI1168" s="1">
        <v>5.7253</v>
      </c>
      <c r="CJ1168" s="1">
        <v>0.3249</v>
      </c>
      <c r="CK1168" s="1">
        <v>0.0</v>
      </c>
      <c r="CL1168" s="1">
        <v>0.0</v>
      </c>
      <c r="CM1168" s="1">
        <v>0.0</v>
      </c>
      <c r="CN1168" s="1">
        <v>0.0</v>
      </c>
      <c r="CO1168" s="1">
        <v>0.0</v>
      </c>
      <c r="CP1168" s="1">
        <v>1.0</v>
      </c>
      <c r="CQ1168" s="1">
        <v>0.0</v>
      </c>
      <c r="CR1168" s="1">
        <v>0.0</v>
      </c>
      <c r="CS1168" s="1">
        <v>1.0</v>
      </c>
      <c r="CT1168" s="1">
        <v>0.0</v>
      </c>
      <c r="CU1168" s="1">
        <v>0.0</v>
      </c>
      <c r="CV1168" s="1">
        <v>0.0</v>
      </c>
      <c r="CW1168" s="1">
        <v>1.0</v>
      </c>
      <c r="CX1168" s="1">
        <v>0.0</v>
      </c>
      <c r="CY1168" s="1">
        <v>0.0</v>
      </c>
      <c r="CZ1168" s="1">
        <v>0.0</v>
      </c>
      <c r="DA1168" s="1">
        <v>0.0</v>
      </c>
      <c r="DB1168" s="1">
        <v>1.0</v>
      </c>
      <c r="DC1168" s="1">
        <v>2.0</v>
      </c>
      <c r="DD1168" s="1" t="s">
        <v>5158</v>
      </c>
      <c r="DE1168" s="1">
        <v>2.81558501514074E-4</v>
      </c>
      <c r="DF1168" s="1">
        <v>0.0756121037711938</v>
      </c>
    </row>
    <row r="1169" ht="15.75" customHeight="1">
      <c r="A1169" s="1" t="s">
        <v>5159</v>
      </c>
      <c r="B1169" s="1">
        <v>29.0</v>
      </c>
      <c r="C1169" s="1">
        <v>189.0</v>
      </c>
      <c r="D1169" s="1">
        <v>215102.0</v>
      </c>
      <c r="E1169" s="1">
        <v>1.476</v>
      </c>
      <c r="F1169" s="1">
        <v>29189.0</v>
      </c>
      <c r="G1169" s="1">
        <v>2.9189215102E10</v>
      </c>
      <c r="H1169" s="1" t="s">
        <v>112</v>
      </c>
      <c r="I1169" s="1" t="s">
        <v>113</v>
      </c>
      <c r="J1169" s="1" t="s">
        <v>4566</v>
      </c>
      <c r="K1169" s="1" t="s">
        <v>5160</v>
      </c>
      <c r="L1169" s="1">
        <v>4746.0</v>
      </c>
      <c r="M1169" s="1">
        <v>4555.0</v>
      </c>
      <c r="N1169" s="1">
        <v>267.0</v>
      </c>
      <c r="O1169" s="1">
        <v>2379.0</v>
      </c>
      <c r="P1169" s="1">
        <v>2368.0</v>
      </c>
      <c r="Q1169" s="1">
        <v>43.0</v>
      </c>
      <c r="R1169" s="1">
        <v>2190.0</v>
      </c>
      <c r="S1169" s="1">
        <v>126.0</v>
      </c>
      <c r="T1169" s="1">
        <v>90.0</v>
      </c>
      <c r="U1169" s="1">
        <v>137.0</v>
      </c>
      <c r="V1169" s="1">
        <v>423.0</v>
      </c>
      <c r="W1169" s="1">
        <v>37681.0</v>
      </c>
      <c r="X1169" s="1">
        <v>4040.0</v>
      </c>
      <c r="Y1169" s="1">
        <v>121.0</v>
      </c>
      <c r="Z1169" s="1">
        <v>384.0</v>
      </c>
      <c r="AA1169" s="1">
        <v>775.0</v>
      </c>
      <c r="AB1169" s="1">
        <v>928.0</v>
      </c>
      <c r="AC1169" s="1">
        <v>165.0</v>
      </c>
      <c r="AD1169" s="1">
        <v>1206.0</v>
      </c>
      <c r="AE1169" s="1">
        <v>72.0</v>
      </c>
      <c r="AF1169" s="1">
        <v>414.0</v>
      </c>
      <c r="AG1169" s="1">
        <v>566.0</v>
      </c>
      <c r="AH1169" s="1">
        <v>200.0</v>
      </c>
      <c r="AI1169" s="1">
        <v>0.0</v>
      </c>
      <c r="AJ1169" s="1">
        <v>114.0</v>
      </c>
      <c r="AK1169" s="1">
        <v>0.0</v>
      </c>
      <c r="AL1169" s="1">
        <v>161.0</v>
      </c>
      <c r="AM1169" s="1">
        <v>86.0</v>
      </c>
      <c r="AN1169" s="1">
        <v>61.0</v>
      </c>
      <c r="AO1169" s="1">
        <v>0.0</v>
      </c>
      <c r="AP1169" s="1">
        <v>0.027661</v>
      </c>
      <c r="AQ1169" s="1">
        <v>0.019691</v>
      </c>
      <c r="AR1169" s="1">
        <v>0.055465</v>
      </c>
      <c r="AS1169" s="1">
        <v>0.171073</v>
      </c>
      <c r="AT1169" s="1">
        <v>37681.0</v>
      </c>
      <c r="AU1169" s="1">
        <v>4040.0</v>
      </c>
      <c r="AV1169" s="1">
        <v>0.036303</v>
      </c>
      <c r="AW1169" s="1">
        <v>0.115187</v>
      </c>
      <c r="AX1169" s="1">
        <v>0.163295</v>
      </c>
      <c r="AY1169" s="1">
        <v>0.195533</v>
      </c>
      <c r="AZ1169" s="1">
        <v>0.07534246</v>
      </c>
      <c r="BA1169" s="1">
        <v>0.254108</v>
      </c>
      <c r="BB1169" s="1">
        <v>0.016457</v>
      </c>
      <c r="BC1169" s="1">
        <v>0.094623</v>
      </c>
      <c r="BD1169" s="1">
        <v>0.23902</v>
      </c>
      <c r="BE1169" s="1">
        <v>0.084347</v>
      </c>
      <c r="BF1169" s="1">
        <v>0.0</v>
      </c>
      <c r="BG1169" s="1">
        <v>0.048141</v>
      </c>
      <c r="BH1169" s="1">
        <v>0.0</v>
      </c>
      <c r="BI1169" s="1">
        <v>0.074125</v>
      </c>
      <c r="BJ1169" s="1">
        <v>0.039594</v>
      </c>
      <c r="BK1169" s="1">
        <v>0.027999</v>
      </c>
      <c r="BL1169" s="1">
        <v>0.0</v>
      </c>
      <c r="BM1169" s="1">
        <v>0.08</v>
      </c>
      <c r="BN1169" s="1">
        <v>0.354</v>
      </c>
      <c r="BO1169" s="1">
        <v>0.0866</v>
      </c>
      <c r="BP1169" s="1">
        <v>0.086</v>
      </c>
      <c r="BQ1169" s="1">
        <v>0.6066</v>
      </c>
      <c r="BR1169" s="1">
        <v>0.0989</v>
      </c>
      <c r="BS1169" s="1">
        <v>0.691</v>
      </c>
      <c r="BT1169" s="1">
        <v>0.169</v>
      </c>
      <c r="BU1169" s="1">
        <v>0.258</v>
      </c>
      <c r="BV1169" s="1">
        <v>1.118</v>
      </c>
      <c r="BW1169" s="1">
        <v>0.18</v>
      </c>
      <c r="BX1169" s="1">
        <v>0.764</v>
      </c>
      <c r="BY1169" s="1">
        <v>0.828</v>
      </c>
      <c r="BZ1169" s="1">
        <v>1.592</v>
      </c>
      <c r="CA1169" s="1">
        <v>0.867</v>
      </c>
      <c r="CB1169" s="1">
        <v>0.914</v>
      </c>
      <c r="CC1169" s="1">
        <v>0.0</v>
      </c>
      <c r="CD1169" s="1">
        <v>0.0</v>
      </c>
      <c r="CE1169" s="1">
        <v>0.387</v>
      </c>
      <c r="CF1169" s="1">
        <v>0.0</v>
      </c>
      <c r="CG1169" s="1">
        <v>1.301</v>
      </c>
      <c r="CH1169" s="1">
        <v>0.128</v>
      </c>
      <c r="CI1169" s="1">
        <v>4.6176</v>
      </c>
      <c r="CJ1169" s="1">
        <v>0.1451</v>
      </c>
      <c r="CK1169" s="1">
        <v>0.0</v>
      </c>
      <c r="CL1169" s="1">
        <v>0.0</v>
      </c>
      <c r="CM1169" s="1">
        <v>0.0</v>
      </c>
      <c r="CN1169" s="1">
        <v>0.0</v>
      </c>
      <c r="CO1169" s="1">
        <v>0.0</v>
      </c>
      <c r="CP1169" s="1">
        <v>0.0</v>
      </c>
      <c r="CQ1169" s="1">
        <v>0.0</v>
      </c>
      <c r="CR1169" s="1">
        <v>0.0</v>
      </c>
      <c r="CS1169" s="1">
        <v>0.0</v>
      </c>
      <c r="CT1169" s="1">
        <v>0.0</v>
      </c>
      <c r="CU1169" s="1">
        <v>0.0</v>
      </c>
      <c r="CV1169" s="1">
        <v>0.0</v>
      </c>
      <c r="CW1169" s="1">
        <v>1.0</v>
      </c>
      <c r="CX1169" s="1">
        <v>0.0</v>
      </c>
      <c r="CY1169" s="1">
        <v>0.0</v>
      </c>
      <c r="CZ1169" s="1">
        <v>0.0</v>
      </c>
      <c r="DA1169" s="1">
        <v>0.0</v>
      </c>
      <c r="DB1169" s="1">
        <v>1.0</v>
      </c>
      <c r="DC1169" s="1">
        <v>1.0</v>
      </c>
      <c r="DD1169" s="1" t="s">
        <v>5161</v>
      </c>
      <c r="DE1169" s="1">
        <v>3.94608397969195E-4</v>
      </c>
      <c r="DF1169" s="2" t="s">
        <v>5162</v>
      </c>
    </row>
    <row r="1170" ht="15.75" customHeight="1">
      <c r="A1170" s="1" t="s">
        <v>5163</v>
      </c>
      <c r="B1170" s="1">
        <v>29.0</v>
      </c>
      <c r="C1170" s="1">
        <v>189.0</v>
      </c>
      <c r="D1170" s="1">
        <v>215103.0</v>
      </c>
      <c r="E1170" s="1">
        <v>0.966</v>
      </c>
      <c r="F1170" s="1">
        <v>29189.0</v>
      </c>
      <c r="G1170" s="1">
        <v>2.9189215103E10</v>
      </c>
      <c r="H1170" s="1" t="s">
        <v>112</v>
      </c>
      <c r="I1170" s="1" t="s">
        <v>113</v>
      </c>
      <c r="J1170" s="1" t="s">
        <v>4566</v>
      </c>
      <c r="K1170" s="1" t="s">
        <v>5164</v>
      </c>
      <c r="L1170" s="1">
        <v>2549.0</v>
      </c>
      <c r="M1170" s="1">
        <v>2340.0</v>
      </c>
      <c r="N1170" s="1">
        <v>206.0</v>
      </c>
      <c r="O1170" s="1">
        <v>1124.0</v>
      </c>
      <c r="P1170" s="1">
        <v>1089.0</v>
      </c>
      <c r="Q1170" s="1">
        <v>23.0</v>
      </c>
      <c r="R1170" s="1">
        <v>1065.0</v>
      </c>
      <c r="S1170" s="1">
        <v>74.0</v>
      </c>
      <c r="T1170" s="1">
        <v>63.0</v>
      </c>
      <c r="U1170" s="1">
        <v>97.0</v>
      </c>
      <c r="V1170" s="1">
        <v>446.0</v>
      </c>
      <c r="W1170" s="1">
        <v>38802.0</v>
      </c>
      <c r="X1170" s="1">
        <v>4752.0</v>
      </c>
      <c r="Y1170" s="1">
        <v>58.0</v>
      </c>
      <c r="Z1170" s="1">
        <v>380.0</v>
      </c>
      <c r="AA1170" s="1">
        <v>466.0</v>
      </c>
      <c r="AB1170" s="1">
        <v>574.0</v>
      </c>
      <c r="AC1170" s="1">
        <v>67.0</v>
      </c>
      <c r="AD1170" s="1">
        <v>700.0</v>
      </c>
      <c r="AE1170" s="1">
        <v>74.0</v>
      </c>
      <c r="AF1170" s="1">
        <v>416.0</v>
      </c>
      <c r="AG1170" s="1">
        <v>192.0</v>
      </c>
      <c r="AH1170" s="1">
        <v>173.0</v>
      </c>
      <c r="AI1170" s="1">
        <v>0.0</v>
      </c>
      <c r="AJ1170" s="1">
        <v>114.0</v>
      </c>
      <c r="AK1170" s="1">
        <v>16.0</v>
      </c>
      <c r="AL1170" s="1">
        <v>116.0</v>
      </c>
      <c r="AM1170" s="1">
        <v>44.0</v>
      </c>
      <c r="AN1170" s="1">
        <v>32.0</v>
      </c>
      <c r="AO1170" s="1">
        <v>48.0</v>
      </c>
      <c r="AP1170" s="1">
        <v>0.032427</v>
      </c>
      <c r="AQ1170" s="1">
        <v>0.027493</v>
      </c>
      <c r="AR1170" s="1">
        <v>0.081787</v>
      </c>
      <c r="AS1170" s="1">
        <v>0.375578</v>
      </c>
      <c r="AT1170" s="1">
        <v>38802.0</v>
      </c>
      <c r="AU1170" s="1">
        <v>4752.0</v>
      </c>
      <c r="AV1170" s="1">
        <v>0.032602</v>
      </c>
      <c r="AW1170" s="1">
        <v>0.213583</v>
      </c>
      <c r="AX1170" s="1">
        <v>0.182816</v>
      </c>
      <c r="AY1170" s="1">
        <v>0.225186</v>
      </c>
      <c r="AZ1170" s="1">
        <v>0.06291079</v>
      </c>
      <c r="BA1170" s="1">
        <v>0.274617</v>
      </c>
      <c r="BB1170" s="1">
        <v>0.03283</v>
      </c>
      <c r="BC1170" s="1">
        <v>0.184536</v>
      </c>
      <c r="BD1170" s="1">
        <v>0.176308</v>
      </c>
      <c r="BE1170" s="1">
        <v>0.158817</v>
      </c>
      <c r="BF1170" s="1">
        <v>0.0</v>
      </c>
      <c r="BG1170" s="1">
        <v>0.104683</v>
      </c>
      <c r="BH1170" s="1">
        <v>0.015779</v>
      </c>
      <c r="BI1170" s="1">
        <v>0.114393</v>
      </c>
      <c r="BJ1170" s="1">
        <v>0.043392</v>
      </c>
      <c r="BK1170" s="1">
        <v>0.031427</v>
      </c>
      <c r="BL1170" s="1">
        <v>0.01883</v>
      </c>
      <c r="BM1170" s="1">
        <v>0.095</v>
      </c>
      <c r="BN1170" s="1">
        <v>0.626</v>
      </c>
      <c r="BO1170" s="1">
        <v>0.078</v>
      </c>
      <c r="BP1170" s="1">
        <v>0.07</v>
      </c>
      <c r="BQ1170" s="1">
        <v>0.869</v>
      </c>
      <c r="BR1170" s="1">
        <v>0.1747</v>
      </c>
      <c r="BS1170" s="1">
        <v>0.808</v>
      </c>
      <c r="BT1170" s="1">
        <v>0.342</v>
      </c>
      <c r="BU1170" s="1">
        <v>0.156</v>
      </c>
      <c r="BV1170" s="1">
        <v>1.306</v>
      </c>
      <c r="BW1170" s="1">
        <v>0.309</v>
      </c>
      <c r="BX1170" s="1">
        <v>0.776</v>
      </c>
      <c r="BY1170" s="1">
        <v>0.925</v>
      </c>
      <c r="BZ1170" s="1">
        <v>1.701</v>
      </c>
      <c r="CA1170" s="1">
        <v>0.924</v>
      </c>
      <c r="CB1170" s="1">
        <v>0.876</v>
      </c>
      <c r="CC1170" s="1">
        <v>0.0</v>
      </c>
      <c r="CD1170" s="1">
        <v>0.61</v>
      </c>
      <c r="CE1170" s="1">
        <v>0.426</v>
      </c>
      <c r="CF1170" s="1">
        <v>0.694</v>
      </c>
      <c r="CG1170" s="1">
        <v>2.606</v>
      </c>
      <c r="CH1170" s="1">
        <v>0.607</v>
      </c>
      <c r="CI1170" s="1">
        <v>6.482</v>
      </c>
      <c r="CJ1170" s="1">
        <v>0.4556</v>
      </c>
      <c r="CK1170" s="1">
        <v>0.0</v>
      </c>
      <c r="CL1170" s="1">
        <v>0.0</v>
      </c>
      <c r="CM1170" s="1">
        <v>0.0</v>
      </c>
      <c r="CN1170" s="1">
        <v>0.0</v>
      </c>
      <c r="CO1170" s="1">
        <v>0.0</v>
      </c>
      <c r="CP1170" s="1">
        <v>0.0</v>
      </c>
      <c r="CQ1170" s="1">
        <v>0.0</v>
      </c>
      <c r="CR1170" s="1">
        <v>0.0</v>
      </c>
      <c r="CS1170" s="1">
        <v>0.0</v>
      </c>
      <c r="CT1170" s="1">
        <v>0.0</v>
      </c>
      <c r="CU1170" s="1">
        <v>1.0</v>
      </c>
      <c r="CV1170" s="1">
        <v>1.0</v>
      </c>
      <c r="CW1170" s="1">
        <v>0.0</v>
      </c>
      <c r="CX1170" s="1">
        <v>0.0</v>
      </c>
      <c r="CY1170" s="1">
        <v>0.0</v>
      </c>
      <c r="CZ1170" s="1">
        <v>0.0</v>
      </c>
      <c r="DA1170" s="1">
        <v>0.0</v>
      </c>
      <c r="DB1170" s="1">
        <v>0.0</v>
      </c>
      <c r="DC1170" s="1">
        <v>1.0</v>
      </c>
      <c r="DD1170" s="1" t="s">
        <v>5165</v>
      </c>
      <c r="DE1170" s="1">
        <v>2.57898801905036E-4</v>
      </c>
      <c r="DF1170" s="1">
        <v>0.0643934822093312</v>
      </c>
    </row>
    <row r="1171" ht="15.75" customHeight="1">
      <c r="A1171" s="1" t="s">
        <v>5166</v>
      </c>
      <c r="B1171" s="1">
        <v>29.0</v>
      </c>
      <c r="C1171" s="1">
        <v>189.0</v>
      </c>
      <c r="D1171" s="1">
        <v>215105.0</v>
      </c>
      <c r="E1171" s="1">
        <v>6.773</v>
      </c>
      <c r="F1171" s="1">
        <v>29189.0</v>
      </c>
      <c r="G1171" s="1">
        <v>2.9189215105E10</v>
      </c>
      <c r="H1171" s="1" t="s">
        <v>112</v>
      </c>
      <c r="I1171" s="1" t="s">
        <v>113</v>
      </c>
      <c r="J1171" s="1" t="s">
        <v>4566</v>
      </c>
      <c r="K1171" s="1" t="s">
        <v>5167</v>
      </c>
      <c r="L1171" s="1">
        <v>2349.0</v>
      </c>
      <c r="M1171" s="1">
        <v>2279.0</v>
      </c>
      <c r="N1171" s="1">
        <v>162.0</v>
      </c>
      <c r="O1171" s="1">
        <v>1188.0</v>
      </c>
      <c r="P1171" s="1">
        <v>1195.0</v>
      </c>
      <c r="Q1171" s="1">
        <v>33.0</v>
      </c>
      <c r="R1171" s="1">
        <v>1080.0</v>
      </c>
      <c r="S1171" s="1">
        <v>132.0</v>
      </c>
      <c r="T1171" s="1">
        <v>77.0</v>
      </c>
      <c r="U1171" s="1">
        <v>42.0</v>
      </c>
      <c r="V1171" s="1">
        <v>471.0</v>
      </c>
      <c r="W1171" s="1">
        <v>42872.0</v>
      </c>
      <c r="X1171" s="1">
        <v>8371.0</v>
      </c>
      <c r="Y1171" s="1">
        <v>9.0</v>
      </c>
      <c r="Z1171" s="1">
        <v>442.0</v>
      </c>
      <c r="AA1171" s="1">
        <v>328.0</v>
      </c>
      <c r="AB1171" s="1">
        <v>463.0</v>
      </c>
      <c r="AC1171" s="1">
        <v>59.0</v>
      </c>
      <c r="AD1171" s="1">
        <v>569.0</v>
      </c>
      <c r="AE1171" s="1">
        <v>85.0</v>
      </c>
      <c r="AF1171" s="1">
        <v>384.0</v>
      </c>
      <c r="AG1171" s="1">
        <v>303.0</v>
      </c>
      <c r="AH1171" s="1">
        <v>101.0</v>
      </c>
      <c r="AI1171" s="1">
        <v>0.0</v>
      </c>
      <c r="AJ1171" s="1">
        <v>114.0</v>
      </c>
      <c r="AK1171" s="1">
        <v>0.0</v>
      </c>
      <c r="AL1171" s="1">
        <v>161.0</v>
      </c>
      <c r="AM1171" s="1">
        <v>75.0</v>
      </c>
      <c r="AN1171" s="1">
        <v>62.0</v>
      </c>
      <c r="AO1171" s="1">
        <v>0.0</v>
      </c>
      <c r="AP1171" s="1">
        <v>0.05792</v>
      </c>
      <c r="AQ1171" s="1">
        <v>0.033534</v>
      </c>
      <c r="AR1171" s="1">
        <v>0.029871</v>
      </c>
      <c r="AS1171" s="1">
        <v>0.334963</v>
      </c>
      <c r="AT1171" s="1">
        <v>42872.0</v>
      </c>
      <c r="AU1171" s="1">
        <v>8371.0</v>
      </c>
      <c r="AV1171" s="1">
        <v>0.005518</v>
      </c>
      <c r="AW1171" s="1">
        <v>0.270999</v>
      </c>
      <c r="AX1171" s="1">
        <v>0.139633</v>
      </c>
      <c r="AY1171" s="1">
        <v>0.197105</v>
      </c>
      <c r="AZ1171" s="1">
        <v>0.05462962</v>
      </c>
      <c r="BA1171" s="1">
        <v>0.24223</v>
      </c>
      <c r="BB1171" s="1">
        <v>0.038759</v>
      </c>
      <c r="BC1171" s="1">
        <v>0.175073</v>
      </c>
      <c r="BD1171" s="1">
        <v>0.253556</v>
      </c>
      <c r="BE1171" s="1">
        <v>0.084228</v>
      </c>
      <c r="BF1171" s="1">
        <v>0.0</v>
      </c>
      <c r="BG1171" s="1">
        <v>0.095397</v>
      </c>
      <c r="BH1171" s="1">
        <v>0.0</v>
      </c>
      <c r="BI1171" s="1">
        <v>0.139152</v>
      </c>
      <c r="BJ1171" s="1">
        <v>0.064822</v>
      </c>
      <c r="BK1171" s="1">
        <v>0.053498</v>
      </c>
      <c r="BL1171" s="1">
        <v>0.0</v>
      </c>
      <c r="BM1171" s="1">
        <v>0.195</v>
      </c>
      <c r="BN1171" s="1">
        <v>0.087</v>
      </c>
      <c r="BO1171" s="1">
        <v>0.0498</v>
      </c>
      <c r="BP1171" s="1">
        <v>0.009</v>
      </c>
      <c r="BQ1171" s="1">
        <v>0.3408</v>
      </c>
      <c r="BR1171" s="1">
        <v>0.0289</v>
      </c>
      <c r="BS1171" s="1">
        <v>0.494</v>
      </c>
      <c r="BT1171" s="1">
        <v>0.177</v>
      </c>
      <c r="BU1171" s="1">
        <v>0.103</v>
      </c>
      <c r="BV1171" s="1">
        <v>0.774</v>
      </c>
      <c r="BW1171" s="1">
        <v>0.074</v>
      </c>
      <c r="BX1171" s="1">
        <v>0.756</v>
      </c>
      <c r="BY1171" s="1">
        <v>0.942</v>
      </c>
      <c r="BZ1171" s="1">
        <v>1.698</v>
      </c>
      <c r="CA1171" s="1">
        <v>0.921</v>
      </c>
      <c r="CB1171" s="1">
        <v>0.922</v>
      </c>
      <c r="CC1171" s="1">
        <v>0.0</v>
      </c>
      <c r="CD1171" s="1">
        <v>0.0</v>
      </c>
      <c r="CE1171" s="1">
        <v>0.597</v>
      </c>
      <c r="CF1171" s="1">
        <v>0.0</v>
      </c>
      <c r="CG1171" s="1">
        <v>1.519</v>
      </c>
      <c r="CH1171" s="1">
        <v>0.18</v>
      </c>
      <c r="CI1171" s="1">
        <v>4.3318</v>
      </c>
      <c r="CJ1171" s="1">
        <v>0.1184</v>
      </c>
      <c r="CK1171" s="1">
        <v>0.0</v>
      </c>
      <c r="CL1171" s="1">
        <v>0.0</v>
      </c>
      <c r="CM1171" s="1">
        <v>0.0</v>
      </c>
      <c r="CN1171" s="1">
        <v>0.0</v>
      </c>
      <c r="CO1171" s="1">
        <v>0.0</v>
      </c>
      <c r="CP1171" s="1">
        <v>0.0</v>
      </c>
      <c r="CQ1171" s="1">
        <v>0.0</v>
      </c>
      <c r="CR1171" s="1">
        <v>0.0</v>
      </c>
      <c r="CS1171" s="1">
        <v>0.0</v>
      </c>
      <c r="CT1171" s="1">
        <v>0.0</v>
      </c>
      <c r="CU1171" s="1">
        <v>1.0</v>
      </c>
      <c r="CV1171" s="1">
        <v>1.0</v>
      </c>
      <c r="CW1171" s="1">
        <v>1.0</v>
      </c>
      <c r="CX1171" s="1">
        <v>0.0</v>
      </c>
      <c r="CY1171" s="1">
        <v>0.0</v>
      </c>
      <c r="CZ1171" s="1">
        <v>0.0</v>
      </c>
      <c r="DA1171" s="1">
        <v>0.0</v>
      </c>
      <c r="DB1171" s="1">
        <v>1.0</v>
      </c>
      <c r="DC1171" s="1">
        <v>2.0</v>
      </c>
      <c r="DD1171" s="1" t="s">
        <v>5168</v>
      </c>
      <c r="DE1171" s="1">
        <v>0.00200452678396719</v>
      </c>
      <c r="DF1171" s="2" t="s">
        <v>5169</v>
      </c>
    </row>
    <row r="1172" ht="15.75" customHeight="1">
      <c r="A1172" s="1" t="s">
        <v>5170</v>
      </c>
      <c r="B1172" s="1">
        <v>29.0</v>
      </c>
      <c r="C1172" s="1">
        <v>189.0</v>
      </c>
      <c r="D1172" s="1">
        <v>215141.0</v>
      </c>
      <c r="E1172" s="1">
        <v>2.564</v>
      </c>
      <c r="F1172" s="1">
        <v>29189.0</v>
      </c>
      <c r="G1172" s="1">
        <v>2.9189215141E10</v>
      </c>
      <c r="H1172" s="1" t="s">
        <v>112</v>
      </c>
      <c r="I1172" s="1" t="s">
        <v>113</v>
      </c>
      <c r="J1172" s="1" t="s">
        <v>4566</v>
      </c>
      <c r="K1172" s="1" t="s">
        <v>5171</v>
      </c>
      <c r="L1172" s="1">
        <v>4193.0</v>
      </c>
      <c r="M1172" s="1">
        <v>4327.0</v>
      </c>
      <c r="N1172" s="1">
        <v>339.0</v>
      </c>
      <c r="O1172" s="1">
        <v>2018.0</v>
      </c>
      <c r="P1172" s="1">
        <v>1976.0</v>
      </c>
      <c r="Q1172" s="1">
        <v>33.0</v>
      </c>
      <c r="R1172" s="1">
        <v>1916.0</v>
      </c>
      <c r="S1172" s="1">
        <v>91.0</v>
      </c>
      <c r="T1172" s="1">
        <v>59.0</v>
      </c>
      <c r="U1172" s="1">
        <v>71.0</v>
      </c>
      <c r="V1172" s="1">
        <v>413.0</v>
      </c>
      <c r="W1172" s="1">
        <v>45483.0</v>
      </c>
      <c r="X1172" s="1">
        <v>6097.0</v>
      </c>
      <c r="Y1172" s="1">
        <v>358.0</v>
      </c>
      <c r="Z1172" s="1">
        <v>376.0</v>
      </c>
      <c r="AA1172" s="1">
        <v>1076.0</v>
      </c>
      <c r="AB1172" s="1">
        <v>748.0</v>
      </c>
      <c r="AC1172" s="1">
        <v>69.0</v>
      </c>
      <c r="AD1172" s="1">
        <v>675.0</v>
      </c>
      <c r="AE1172" s="1">
        <v>43.0</v>
      </c>
      <c r="AF1172" s="1">
        <v>444.0</v>
      </c>
      <c r="AG1172" s="1">
        <v>127.0</v>
      </c>
      <c r="AH1172" s="1">
        <v>69.0</v>
      </c>
      <c r="AI1172" s="1">
        <v>8.0</v>
      </c>
      <c r="AJ1172" s="1">
        <v>13.0</v>
      </c>
      <c r="AK1172" s="1">
        <v>0.0</v>
      </c>
      <c r="AL1172" s="1">
        <v>161.0</v>
      </c>
      <c r="AM1172" s="1">
        <v>22.0</v>
      </c>
      <c r="AN1172" s="1">
        <v>24.0</v>
      </c>
      <c r="AO1172" s="1">
        <v>57.0</v>
      </c>
      <c r="AP1172" s="1">
        <v>0.02103</v>
      </c>
      <c r="AQ1172" s="1">
        <v>0.013535</v>
      </c>
      <c r="AR1172" s="1">
        <v>0.031388</v>
      </c>
      <c r="AS1172" s="1">
        <v>0.182543</v>
      </c>
      <c r="AT1172" s="1">
        <v>45483.0</v>
      </c>
      <c r="AU1172" s="1">
        <v>6097.0</v>
      </c>
      <c r="AV1172" s="1">
        <v>0.104586</v>
      </c>
      <c r="AW1172" s="1">
        <v>0.109622</v>
      </c>
      <c r="AX1172" s="1">
        <v>0.256618</v>
      </c>
      <c r="AY1172" s="1">
        <v>0.178392</v>
      </c>
      <c r="AZ1172" s="1">
        <v>0.03601252</v>
      </c>
      <c r="BA1172" s="1">
        <v>0.160982</v>
      </c>
      <c r="BB1172" s="1">
        <v>0.010108</v>
      </c>
      <c r="BC1172" s="1">
        <v>0.104369</v>
      </c>
      <c r="BD1172" s="1">
        <v>0.064271</v>
      </c>
      <c r="BE1172" s="1">
        <v>0.034902</v>
      </c>
      <c r="BF1172" s="1">
        <v>0.004048</v>
      </c>
      <c r="BG1172" s="1">
        <v>0.006578</v>
      </c>
      <c r="BH1172" s="1">
        <v>0.0</v>
      </c>
      <c r="BI1172" s="1">
        <v>0.084205</v>
      </c>
      <c r="BJ1172" s="1">
        <v>0.011506</v>
      </c>
      <c r="BK1172" s="1">
        <v>0.012546</v>
      </c>
      <c r="BL1172" s="1">
        <v>0.013594</v>
      </c>
      <c r="BM1172" s="1">
        <v>0.06</v>
      </c>
      <c r="BN1172" s="1">
        <v>0.097</v>
      </c>
      <c r="BO1172" s="1">
        <v>0.0375</v>
      </c>
      <c r="BP1172" s="1">
        <v>0.361</v>
      </c>
      <c r="BQ1172" s="1">
        <v>0.5555</v>
      </c>
      <c r="BR1172" s="1">
        <v>0.0838</v>
      </c>
      <c r="BS1172" s="1">
        <v>0.97</v>
      </c>
      <c r="BT1172" s="1">
        <v>0.116</v>
      </c>
      <c r="BU1172" s="1">
        <v>0.028</v>
      </c>
      <c r="BV1172" s="1">
        <v>1.114</v>
      </c>
      <c r="BW1172" s="1">
        <v>0.176</v>
      </c>
      <c r="BX1172" s="1">
        <v>0.651</v>
      </c>
      <c r="BY1172" s="1">
        <v>0.725</v>
      </c>
      <c r="BZ1172" s="1">
        <v>1.376</v>
      </c>
      <c r="CA1172" s="1">
        <v>0.754</v>
      </c>
      <c r="CB1172" s="1">
        <v>0.697</v>
      </c>
      <c r="CC1172" s="1">
        <v>0.378</v>
      </c>
      <c r="CD1172" s="1">
        <v>0.0</v>
      </c>
      <c r="CE1172" s="1">
        <v>0.102</v>
      </c>
      <c r="CF1172" s="1">
        <v>0.629</v>
      </c>
      <c r="CG1172" s="1">
        <v>1.806</v>
      </c>
      <c r="CH1172" s="1">
        <v>0.269</v>
      </c>
      <c r="CI1172" s="1">
        <v>4.8515</v>
      </c>
      <c r="CJ1172" s="1">
        <v>0.1856</v>
      </c>
      <c r="CK1172" s="1">
        <v>0.0</v>
      </c>
      <c r="CL1172" s="1">
        <v>0.0</v>
      </c>
      <c r="CM1172" s="1">
        <v>0.0</v>
      </c>
      <c r="CN1172" s="1">
        <v>0.0</v>
      </c>
      <c r="CO1172" s="1">
        <v>0.0</v>
      </c>
      <c r="CP1172" s="1">
        <v>1.0</v>
      </c>
      <c r="CQ1172" s="1">
        <v>0.0</v>
      </c>
      <c r="CR1172" s="1">
        <v>0.0</v>
      </c>
      <c r="CS1172" s="1">
        <v>1.0</v>
      </c>
      <c r="CT1172" s="1">
        <v>0.0</v>
      </c>
      <c r="CU1172" s="1">
        <v>0.0</v>
      </c>
      <c r="CV1172" s="1">
        <v>0.0</v>
      </c>
      <c r="CW1172" s="1">
        <v>0.0</v>
      </c>
      <c r="CX1172" s="1">
        <v>0.0</v>
      </c>
      <c r="CY1172" s="1">
        <v>0.0</v>
      </c>
      <c r="CZ1172" s="1">
        <v>0.0</v>
      </c>
      <c r="DA1172" s="1">
        <v>0.0</v>
      </c>
      <c r="DB1172" s="1">
        <v>0.0</v>
      </c>
      <c r="DC1172" s="1">
        <v>1.0</v>
      </c>
      <c r="DD1172" s="1" t="s">
        <v>5172</v>
      </c>
      <c r="DE1172" s="1">
        <v>8.35620527077485E-4</v>
      </c>
      <c r="DF1172" s="2" t="s">
        <v>5173</v>
      </c>
    </row>
    <row r="1173" ht="15.75" customHeight="1">
      <c r="A1173" s="1" t="s">
        <v>5174</v>
      </c>
      <c r="B1173" s="1">
        <v>29.0</v>
      </c>
      <c r="C1173" s="1">
        <v>189.0</v>
      </c>
      <c r="D1173" s="1">
        <v>215142.0</v>
      </c>
      <c r="E1173" s="1">
        <v>1.547</v>
      </c>
      <c r="F1173" s="1">
        <v>29189.0</v>
      </c>
      <c r="G1173" s="1">
        <v>2.9189215142E10</v>
      </c>
      <c r="H1173" s="1" t="s">
        <v>112</v>
      </c>
      <c r="I1173" s="1" t="s">
        <v>113</v>
      </c>
      <c r="J1173" s="1" t="s">
        <v>4566</v>
      </c>
      <c r="K1173" s="1" t="s">
        <v>5175</v>
      </c>
      <c r="L1173" s="1">
        <v>6855.0</v>
      </c>
      <c r="M1173" s="1">
        <v>6682.0</v>
      </c>
      <c r="N1173" s="1">
        <v>416.0</v>
      </c>
      <c r="O1173" s="1">
        <v>3612.0</v>
      </c>
      <c r="P1173" s="1">
        <v>3644.0</v>
      </c>
      <c r="Q1173" s="1">
        <v>149.0</v>
      </c>
      <c r="R1173" s="1">
        <v>3313.0</v>
      </c>
      <c r="S1173" s="1">
        <v>841.0</v>
      </c>
      <c r="T1173" s="1">
        <v>364.0</v>
      </c>
      <c r="U1173" s="1">
        <v>362.0</v>
      </c>
      <c r="V1173" s="1">
        <v>400.0</v>
      </c>
      <c r="W1173" s="1">
        <v>31236.0</v>
      </c>
      <c r="X1173" s="1">
        <v>2924.0</v>
      </c>
      <c r="Y1173" s="1">
        <v>329.0</v>
      </c>
      <c r="Z1173" s="1">
        <v>357.0</v>
      </c>
      <c r="AA1173" s="1">
        <v>474.0</v>
      </c>
      <c r="AB1173" s="1">
        <v>1339.0</v>
      </c>
      <c r="AC1173" s="1">
        <v>382.0</v>
      </c>
      <c r="AD1173" s="1">
        <v>2599.0</v>
      </c>
      <c r="AE1173" s="1">
        <v>274.0</v>
      </c>
      <c r="AF1173" s="1">
        <v>412.0</v>
      </c>
      <c r="AG1173" s="1">
        <v>1008.0</v>
      </c>
      <c r="AH1173" s="1">
        <v>264.0</v>
      </c>
      <c r="AI1173" s="1">
        <v>0.0</v>
      </c>
      <c r="AJ1173" s="1">
        <v>114.0</v>
      </c>
      <c r="AK1173" s="1">
        <v>52.0</v>
      </c>
      <c r="AL1173" s="1">
        <v>132.0</v>
      </c>
      <c r="AM1173" s="1">
        <v>141.0</v>
      </c>
      <c r="AN1173" s="1">
        <v>88.0</v>
      </c>
      <c r="AO1173" s="1">
        <v>1.0</v>
      </c>
      <c r="AP1173" s="1">
        <v>0.126295</v>
      </c>
      <c r="AQ1173" s="1">
        <v>0.054101</v>
      </c>
      <c r="AR1173" s="1">
        <v>0.083912</v>
      </c>
      <c r="AS1173" s="1">
        <v>0.092254</v>
      </c>
      <c r="AT1173" s="1">
        <v>31236.0</v>
      </c>
      <c r="AU1173" s="1">
        <v>2924.0</v>
      </c>
      <c r="AV1173" s="1">
        <v>0.072835</v>
      </c>
      <c r="AW1173" s="1">
        <v>0.078904</v>
      </c>
      <c r="AX1173" s="1">
        <v>0.069146</v>
      </c>
      <c r="AY1173" s="1">
        <v>0.195331</v>
      </c>
      <c r="AZ1173" s="1">
        <v>0.11530335</v>
      </c>
      <c r="BA1173" s="1">
        <v>0.379139</v>
      </c>
      <c r="BB1173" s="1">
        <v>0.043088</v>
      </c>
      <c r="BC1173" s="1">
        <v>0.064732</v>
      </c>
      <c r="BD1173" s="1">
        <v>0.276619</v>
      </c>
      <c r="BE1173" s="1">
        <v>0.071559</v>
      </c>
      <c r="BF1173" s="1">
        <v>0.0</v>
      </c>
      <c r="BG1173" s="1">
        <v>0.031284</v>
      </c>
      <c r="BH1173" s="1">
        <v>0.015222</v>
      </c>
      <c r="BI1173" s="1">
        <v>0.038635</v>
      </c>
      <c r="BJ1173" s="1">
        <v>0.041276</v>
      </c>
      <c r="BK1173" s="1">
        <v>0.025689</v>
      </c>
      <c r="BL1173" s="1">
        <v>1.45E-4</v>
      </c>
      <c r="BM1173" s="1">
        <v>0.479</v>
      </c>
      <c r="BN1173" s="1">
        <v>0.644</v>
      </c>
      <c r="BO1173" s="1">
        <v>0.1726</v>
      </c>
      <c r="BP1173" s="1">
        <v>0.213</v>
      </c>
      <c r="BQ1173" s="1">
        <v>1.5086</v>
      </c>
      <c r="BR1173" s="1">
        <v>0.3415</v>
      </c>
      <c r="BS1173" s="1">
        <v>0.082</v>
      </c>
      <c r="BT1173" s="1">
        <v>0.169</v>
      </c>
      <c r="BU1173" s="1">
        <v>0.635</v>
      </c>
      <c r="BV1173" s="1">
        <v>0.886</v>
      </c>
      <c r="BW1173" s="1">
        <v>0.089</v>
      </c>
      <c r="BX1173" s="1">
        <v>0.833</v>
      </c>
      <c r="BY1173" s="1">
        <v>0.948</v>
      </c>
      <c r="BZ1173" s="1">
        <v>1.781</v>
      </c>
      <c r="CA1173" s="1">
        <v>0.958</v>
      </c>
      <c r="CB1173" s="1">
        <v>0.931</v>
      </c>
      <c r="CC1173" s="1">
        <v>0.0</v>
      </c>
      <c r="CD1173" s="1">
        <v>0.602</v>
      </c>
      <c r="CE1173" s="1">
        <v>0.402</v>
      </c>
      <c r="CF1173" s="1">
        <v>0.343</v>
      </c>
      <c r="CG1173" s="1">
        <v>2.278</v>
      </c>
      <c r="CH1173" s="1">
        <v>0.45</v>
      </c>
      <c r="CI1173" s="1">
        <v>6.4536</v>
      </c>
      <c r="CJ1173" s="1">
        <v>0.4505</v>
      </c>
      <c r="CK1173" s="1">
        <v>0.0</v>
      </c>
      <c r="CL1173" s="1">
        <v>0.0</v>
      </c>
      <c r="CM1173" s="1">
        <v>0.0</v>
      </c>
      <c r="CN1173" s="1">
        <v>0.0</v>
      </c>
      <c r="CO1173" s="1">
        <v>0.0</v>
      </c>
      <c r="CP1173" s="1">
        <v>0.0</v>
      </c>
      <c r="CQ1173" s="1">
        <v>0.0</v>
      </c>
      <c r="CR1173" s="1">
        <v>0.0</v>
      </c>
      <c r="CS1173" s="1">
        <v>0.0</v>
      </c>
      <c r="CT1173" s="1">
        <v>0.0</v>
      </c>
      <c r="CU1173" s="1">
        <v>1.0</v>
      </c>
      <c r="CV1173" s="1">
        <v>1.0</v>
      </c>
      <c r="CW1173" s="1">
        <v>1.0</v>
      </c>
      <c r="CX1173" s="1">
        <v>0.0</v>
      </c>
      <c r="CY1173" s="1">
        <v>0.0</v>
      </c>
      <c r="CZ1173" s="1">
        <v>0.0</v>
      </c>
      <c r="DA1173" s="1">
        <v>0.0</v>
      </c>
      <c r="DB1173" s="1">
        <v>1.0</v>
      </c>
      <c r="DC1173" s="1">
        <v>2.0</v>
      </c>
      <c r="DD1173" s="1" t="s">
        <v>5176</v>
      </c>
      <c r="DE1173" s="1">
        <v>4.15985095945097E-4</v>
      </c>
      <c r="DF1173" s="1">
        <v>0.091982483366023</v>
      </c>
    </row>
    <row r="1174" ht="15.75" customHeight="1">
      <c r="A1174" s="1" t="s">
        <v>5177</v>
      </c>
      <c r="B1174" s="1">
        <v>29.0</v>
      </c>
      <c r="C1174" s="1">
        <v>189.0</v>
      </c>
      <c r="D1174" s="1">
        <v>215143.0</v>
      </c>
      <c r="E1174" s="1">
        <v>5.236</v>
      </c>
      <c r="F1174" s="1">
        <v>29189.0</v>
      </c>
      <c r="G1174" s="1">
        <v>2.9189215143E10</v>
      </c>
      <c r="H1174" s="1" t="s">
        <v>112</v>
      </c>
      <c r="I1174" s="1" t="s">
        <v>113</v>
      </c>
      <c r="J1174" s="1" t="s">
        <v>4566</v>
      </c>
      <c r="K1174" s="1" t="s">
        <v>5178</v>
      </c>
      <c r="L1174" s="1">
        <v>2975.0</v>
      </c>
      <c r="M1174" s="1">
        <v>3029.0</v>
      </c>
      <c r="N1174" s="1">
        <v>189.0</v>
      </c>
      <c r="O1174" s="1">
        <v>1254.0</v>
      </c>
      <c r="P1174" s="1">
        <v>1297.0</v>
      </c>
      <c r="Q1174" s="1">
        <v>50.0</v>
      </c>
      <c r="R1174" s="1">
        <v>1206.0</v>
      </c>
      <c r="S1174" s="1">
        <v>107.0</v>
      </c>
      <c r="T1174" s="1">
        <v>88.0</v>
      </c>
      <c r="U1174" s="1">
        <v>85.0</v>
      </c>
      <c r="V1174" s="1">
        <v>431.0</v>
      </c>
      <c r="W1174" s="1">
        <v>25900.0</v>
      </c>
      <c r="X1174" s="1">
        <v>2021.0</v>
      </c>
      <c r="Y1174" s="1">
        <v>242.0</v>
      </c>
      <c r="Z1174" s="1">
        <v>316.0</v>
      </c>
      <c r="AA1174" s="1">
        <v>464.0</v>
      </c>
      <c r="AB1174" s="1">
        <v>619.0</v>
      </c>
      <c r="AC1174" s="1">
        <v>126.0</v>
      </c>
      <c r="AD1174" s="1">
        <v>323.0</v>
      </c>
      <c r="AE1174" s="1">
        <v>17.0</v>
      </c>
      <c r="AF1174" s="1">
        <v>442.0</v>
      </c>
      <c r="AG1174" s="1">
        <v>36.0</v>
      </c>
      <c r="AH1174" s="1">
        <v>166.0</v>
      </c>
      <c r="AI1174" s="1">
        <v>0.0</v>
      </c>
      <c r="AJ1174" s="1">
        <v>114.0</v>
      </c>
      <c r="AK1174" s="1">
        <v>0.0</v>
      </c>
      <c r="AL1174" s="1">
        <v>161.0</v>
      </c>
      <c r="AM1174" s="1">
        <v>14.0</v>
      </c>
      <c r="AN1174" s="1">
        <v>116.0</v>
      </c>
      <c r="AO1174" s="1">
        <v>0.0</v>
      </c>
      <c r="AP1174" s="1">
        <v>0.035325</v>
      </c>
      <c r="AQ1174" s="1">
        <v>0.028968</v>
      </c>
      <c r="AR1174" s="1">
        <v>0.053191</v>
      </c>
      <c r="AS1174" s="1">
        <v>0.269553</v>
      </c>
      <c r="AT1174" s="1">
        <v>25900.0</v>
      </c>
      <c r="AU1174" s="1">
        <v>2021.0</v>
      </c>
      <c r="AV1174" s="1">
        <v>0.108277</v>
      </c>
      <c r="AW1174" s="1">
        <v>0.141197</v>
      </c>
      <c r="AX1174" s="1">
        <v>0.155966</v>
      </c>
      <c r="AY1174" s="1">
        <v>0.208067</v>
      </c>
      <c r="AZ1174" s="1">
        <v>0.10447761</v>
      </c>
      <c r="BA1174" s="1">
        <v>0.108571</v>
      </c>
      <c r="BB1174" s="1">
        <v>0.005833</v>
      </c>
      <c r="BC1174" s="1">
        <v>0.15168</v>
      </c>
      <c r="BD1174" s="1">
        <v>0.027756</v>
      </c>
      <c r="BE1174" s="1">
        <v>0.127983</v>
      </c>
      <c r="BF1174" s="1">
        <v>0.0</v>
      </c>
      <c r="BG1174" s="1">
        <v>0.087895</v>
      </c>
      <c r="BH1174" s="1">
        <v>0.0</v>
      </c>
      <c r="BI1174" s="1">
        <v>0.128082</v>
      </c>
      <c r="BJ1174" s="1">
        <v>0.011137</v>
      </c>
      <c r="BK1174" s="1">
        <v>0.092281</v>
      </c>
      <c r="BL1174" s="1">
        <v>0.0</v>
      </c>
      <c r="BM1174" s="1">
        <v>0.105</v>
      </c>
      <c r="BN1174" s="1">
        <v>0.326</v>
      </c>
      <c r="BO1174" s="1">
        <v>0.3155</v>
      </c>
      <c r="BP1174" s="1">
        <v>0.374</v>
      </c>
      <c r="BQ1174" s="1">
        <v>1.1205</v>
      </c>
      <c r="BR1174" s="1">
        <v>0.2318</v>
      </c>
      <c r="BS1174" s="1">
        <v>0.631</v>
      </c>
      <c r="BT1174" s="1">
        <v>0.225</v>
      </c>
      <c r="BU1174" s="1">
        <v>0.536</v>
      </c>
      <c r="BV1174" s="1">
        <v>1.392</v>
      </c>
      <c r="BW1174" s="1">
        <v>0.383</v>
      </c>
      <c r="BX1174" s="1">
        <v>0.5</v>
      </c>
      <c r="BY1174" s="1">
        <v>0.588</v>
      </c>
      <c r="BZ1174" s="1">
        <v>1.088</v>
      </c>
      <c r="CA1174" s="1">
        <v>0.606</v>
      </c>
      <c r="CB1174" s="1">
        <v>0.532</v>
      </c>
      <c r="CC1174" s="1">
        <v>0.0</v>
      </c>
      <c r="CD1174" s="1">
        <v>0.0</v>
      </c>
      <c r="CE1174" s="1">
        <v>0.1</v>
      </c>
      <c r="CF1174" s="1">
        <v>0.0</v>
      </c>
      <c r="CG1174" s="1">
        <v>0.632</v>
      </c>
      <c r="CH1174" s="1">
        <v>0.039</v>
      </c>
      <c r="CI1174" s="1">
        <v>4.2325</v>
      </c>
      <c r="CJ1174" s="1">
        <v>0.109</v>
      </c>
      <c r="CK1174" s="1">
        <v>0.0</v>
      </c>
      <c r="CL1174" s="1">
        <v>0.0</v>
      </c>
      <c r="CM1174" s="1">
        <v>0.0</v>
      </c>
      <c r="CN1174" s="1">
        <v>0.0</v>
      </c>
      <c r="CO1174" s="1">
        <v>0.0</v>
      </c>
      <c r="CP1174" s="1">
        <v>0.0</v>
      </c>
      <c r="CQ1174" s="1">
        <v>0.0</v>
      </c>
      <c r="CR1174" s="1">
        <v>0.0</v>
      </c>
      <c r="CS1174" s="1">
        <v>0.0</v>
      </c>
      <c r="CT1174" s="1">
        <v>0.0</v>
      </c>
      <c r="CU1174" s="1">
        <v>0.0</v>
      </c>
      <c r="CV1174" s="1">
        <v>0.0</v>
      </c>
      <c r="CW1174" s="1">
        <v>0.0</v>
      </c>
      <c r="CX1174" s="1">
        <v>0.0</v>
      </c>
      <c r="CY1174" s="1">
        <v>0.0</v>
      </c>
      <c r="CZ1174" s="1">
        <v>0.0</v>
      </c>
      <c r="DA1174" s="1">
        <v>0.0</v>
      </c>
      <c r="DB1174" s="1">
        <v>0.0</v>
      </c>
      <c r="DC1174" s="1">
        <v>0.0</v>
      </c>
      <c r="DD1174" s="1" t="s">
        <v>5179</v>
      </c>
      <c r="DE1174" s="1">
        <v>0.00147407407324387</v>
      </c>
      <c r="DF1174" s="2" t="s">
        <v>5180</v>
      </c>
    </row>
    <row r="1175" ht="15.75" customHeight="1">
      <c r="A1175" s="1" t="s">
        <v>5181</v>
      </c>
      <c r="B1175" s="1">
        <v>29.0</v>
      </c>
      <c r="C1175" s="1">
        <v>189.0</v>
      </c>
      <c r="D1175" s="1">
        <v>215201.0</v>
      </c>
      <c r="E1175" s="1">
        <v>4.468</v>
      </c>
      <c r="F1175" s="1">
        <v>29189.0</v>
      </c>
      <c r="G1175" s="1">
        <v>2.9189215201E10</v>
      </c>
      <c r="H1175" s="1" t="s">
        <v>112</v>
      </c>
      <c r="I1175" s="1" t="s">
        <v>113</v>
      </c>
      <c r="J1175" s="1" t="s">
        <v>4566</v>
      </c>
      <c r="K1175" s="1" t="s">
        <v>5182</v>
      </c>
      <c r="L1175" s="1">
        <v>6430.0</v>
      </c>
      <c r="M1175" s="1">
        <v>6218.0</v>
      </c>
      <c r="N1175" s="1">
        <v>396.0</v>
      </c>
      <c r="O1175" s="1">
        <v>2657.0</v>
      </c>
      <c r="P1175" s="1">
        <v>2527.0</v>
      </c>
      <c r="Q1175" s="1">
        <v>139.0</v>
      </c>
      <c r="R1175" s="1">
        <v>2467.0</v>
      </c>
      <c r="S1175" s="1">
        <v>260.0</v>
      </c>
      <c r="T1175" s="1">
        <v>150.0</v>
      </c>
      <c r="U1175" s="1">
        <v>105.0</v>
      </c>
      <c r="V1175" s="1">
        <v>449.0</v>
      </c>
      <c r="W1175" s="1">
        <v>59943.0</v>
      </c>
      <c r="X1175" s="1">
        <v>8380.0</v>
      </c>
      <c r="Y1175" s="1">
        <v>68.0</v>
      </c>
      <c r="Z1175" s="1">
        <v>398.0</v>
      </c>
      <c r="AA1175" s="1">
        <v>1319.0</v>
      </c>
      <c r="AB1175" s="1">
        <v>1234.0</v>
      </c>
      <c r="AC1175" s="1">
        <v>109.0</v>
      </c>
      <c r="AD1175" s="1">
        <v>1438.0</v>
      </c>
      <c r="AE1175" s="1">
        <v>35.0</v>
      </c>
      <c r="AF1175" s="1">
        <v>413.0</v>
      </c>
      <c r="AG1175" s="1">
        <v>599.0</v>
      </c>
      <c r="AH1175" s="1">
        <v>187.0</v>
      </c>
      <c r="AI1175" s="1">
        <v>0.0</v>
      </c>
      <c r="AJ1175" s="1">
        <v>114.0</v>
      </c>
      <c r="AK1175" s="1">
        <v>35.0</v>
      </c>
      <c r="AL1175" s="1">
        <v>123.0</v>
      </c>
      <c r="AM1175" s="1">
        <v>57.0</v>
      </c>
      <c r="AN1175" s="1">
        <v>45.0</v>
      </c>
      <c r="AO1175" s="1">
        <v>537.0</v>
      </c>
      <c r="AP1175" s="1">
        <v>0.04397</v>
      </c>
      <c r="AQ1175" s="1">
        <v>0.025213</v>
      </c>
      <c r="AR1175" s="1">
        <v>0.036971</v>
      </c>
      <c r="AS1175" s="1">
        <v>0.158012</v>
      </c>
      <c r="AT1175" s="1">
        <v>59943.0</v>
      </c>
      <c r="AU1175" s="1">
        <v>8380.0</v>
      </c>
      <c r="AV1175" s="1">
        <v>0.015988</v>
      </c>
      <c r="AW1175" s="1">
        <v>0.09357</v>
      </c>
      <c r="AX1175" s="1">
        <v>0.205132</v>
      </c>
      <c r="AY1175" s="1">
        <v>0.191912</v>
      </c>
      <c r="AZ1175" s="1">
        <v>0.04418321</v>
      </c>
      <c r="BA1175" s="1">
        <v>0.223639</v>
      </c>
      <c r="BB1175" s="1">
        <v>0.005842</v>
      </c>
      <c r="BC1175" s="1">
        <v>0.068935</v>
      </c>
      <c r="BD1175" s="1">
        <v>0.237039</v>
      </c>
      <c r="BE1175" s="1">
        <v>0.072843</v>
      </c>
      <c r="BF1175" s="1">
        <v>0.0</v>
      </c>
      <c r="BG1175" s="1">
        <v>0.045112</v>
      </c>
      <c r="BH1175" s="1">
        <v>0.014303</v>
      </c>
      <c r="BI1175" s="1">
        <v>0.050257</v>
      </c>
      <c r="BJ1175" s="1">
        <v>0.023293</v>
      </c>
      <c r="BK1175" s="1">
        <v>0.018332</v>
      </c>
      <c r="BL1175" s="1">
        <v>0.083514</v>
      </c>
      <c r="BM1175" s="1">
        <v>0.141</v>
      </c>
      <c r="BN1175" s="1">
        <v>0.156</v>
      </c>
      <c r="BO1175" s="1">
        <v>0.013</v>
      </c>
      <c r="BP1175" s="1">
        <v>0.027</v>
      </c>
      <c r="BQ1175" s="1">
        <v>0.337</v>
      </c>
      <c r="BR1175" s="1">
        <v>0.0274</v>
      </c>
      <c r="BS1175" s="1">
        <v>0.893</v>
      </c>
      <c r="BT1175" s="1">
        <v>0.156</v>
      </c>
      <c r="BU1175" s="1">
        <v>0.055</v>
      </c>
      <c r="BV1175" s="1">
        <v>1.104</v>
      </c>
      <c r="BW1175" s="1">
        <v>0.169</v>
      </c>
      <c r="BX1175" s="1">
        <v>0.736</v>
      </c>
      <c r="BY1175" s="1">
        <v>0.59</v>
      </c>
      <c r="BZ1175" s="1">
        <v>1.326</v>
      </c>
      <c r="CA1175" s="1">
        <v>0.724</v>
      </c>
      <c r="CB1175" s="1">
        <v>0.912</v>
      </c>
      <c r="CC1175" s="1">
        <v>0.0</v>
      </c>
      <c r="CD1175" s="1">
        <v>0.577</v>
      </c>
      <c r="CE1175" s="1">
        <v>0.219</v>
      </c>
      <c r="CF1175" s="1">
        <v>0.935</v>
      </c>
      <c r="CG1175" s="1">
        <v>2.643</v>
      </c>
      <c r="CH1175" s="1">
        <v>0.62</v>
      </c>
      <c r="CI1175" s="1">
        <v>5.41</v>
      </c>
      <c r="CJ1175" s="1">
        <v>0.2657</v>
      </c>
      <c r="CK1175" s="1">
        <v>0.0</v>
      </c>
      <c r="CL1175" s="1">
        <v>0.0</v>
      </c>
      <c r="CM1175" s="1">
        <v>0.0</v>
      </c>
      <c r="CN1175" s="1">
        <v>0.0</v>
      </c>
      <c r="CO1175" s="1">
        <v>0.0</v>
      </c>
      <c r="CP1175" s="1">
        <v>0.0</v>
      </c>
      <c r="CQ1175" s="1">
        <v>0.0</v>
      </c>
      <c r="CR1175" s="1">
        <v>0.0</v>
      </c>
      <c r="CS1175" s="1">
        <v>0.0</v>
      </c>
      <c r="CT1175" s="1">
        <v>0.0</v>
      </c>
      <c r="CU1175" s="1">
        <v>0.0</v>
      </c>
      <c r="CV1175" s="1">
        <v>0.0</v>
      </c>
      <c r="CW1175" s="1">
        <v>1.0</v>
      </c>
      <c r="CX1175" s="1">
        <v>0.0</v>
      </c>
      <c r="CY1175" s="1">
        <v>0.0</v>
      </c>
      <c r="CZ1175" s="1">
        <v>0.0</v>
      </c>
      <c r="DA1175" s="1">
        <v>1.0</v>
      </c>
      <c r="DB1175" s="1">
        <v>2.0</v>
      </c>
      <c r="DC1175" s="1">
        <v>2.0</v>
      </c>
      <c r="DD1175" s="1" t="s">
        <v>5183</v>
      </c>
      <c r="DE1175" s="1">
        <v>0.00119724495043607</v>
      </c>
      <c r="DF1175" s="2" t="s">
        <v>5184</v>
      </c>
    </row>
    <row r="1176" ht="15.75" customHeight="1">
      <c r="A1176" s="1" t="s">
        <v>5185</v>
      </c>
      <c r="B1176" s="1">
        <v>29.0</v>
      </c>
      <c r="C1176" s="1">
        <v>189.0</v>
      </c>
      <c r="D1176" s="1">
        <v>215202.0</v>
      </c>
      <c r="E1176" s="1">
        <v>4.556</v>
      </c>
      <c r="F1176" s="1">
        <v>29189.0</v>
      </c>
      <c r="G1176" s="1">
        <v>2.9189215202E10</v>
      </c>
      <c r="H1176" s="1" t="s">
        <v>112</v>
      </c>
      <c r="I1176" s="1" t="s">
        <v>113</v>
      </c>
      <c r="J1176" s="1" t="s">
        <v>4566</v>
      </c>
      <c r="K1176" s="1" t="s">
        <v>5186</v>
      </c>
      <c r="L1176" s="1">
        <v>7020.0</v>
      </c>
      <c r="M1176" s="1">
        <v>6790.0</v>
      </c>
      <c r="N1176" s="1">
        <v>475.0</v>
      </c>
      <c r="O1176" s="1">
        <v>2967.0</v>
      </c>
      <c r="P1176" s="1">
        <v>2884.0</v>
      </c>
      <c r="Q1176" s="1">
        <v>103.0</v>
      </c>
      <c r="R1176" s="1">
        <v>2755.0</v>
      </c>
      <c r="S1176" s="1">
        <v>309.0</v>
      </c>
      <c r="T1176" s="1">
        <v>259.0</v>
      </c>
      <c r="U1176" s="1">
        <v>151.0</v>
      </c>
      <c r="V1176" s="1">
        <v>401.0</v>
      </c>
      <c r="W1176" s="1">
        <v>55477.0</v>
      </c>
      <c r="X1176" s="1">
        <v>7069.0</v>
      </c>
      <c r="Y1176" s="1">
        <v>52.0</v>
      </c>
      <c r="Z1176" s="1">
        <v>429.0</v>
      </c>
      <c r="AA1176" s="1">
        <v>1152.0</v>
      </c>
      <c r="AB1176" s="1">
        <v>1496.0</v>
      </c>
      <c r="AC1176" s="1">
        <v>167.0</v>
      </c>
      <c r="AD1176" s="1">
        <v>1460.0</v>
      </c>
      <c r="AE1176" s="1">
        <v>14.0</v>
      </c>
      <c r="AF1176" s="1">
        <v>442.0</v>
      </c>
      <c r="AG1176" s="1">
        <v>267.0</v>
      </c>
      <c r="AH1176" s="1">
        <v>177.0</v>
      </c>
      <c r="AI1176" s="1">
        <v>0.0</v>
      </c>
      <c r="AJ1176" s="1">
        <v>114.0</v>
      </c>
      <c r="AK1176" s="1">
        <v>0.0</v>
      </c>
      <c r="AL1176" s="1">
        <v>161.0</v>
      </c>
      <c r="AM1176" s="1">
        <v>27.0</v>
      </c>
      <c r="AN1176" s="1">
        <v>118.0</v>
      </c>
      <c r="AO1176" s="1">
        <v>326.0</v>
      </c>
      <c r="AP1176" s="1">
        <v>0.04724</v>
      </c>
      <c r="AQ1176" s="1">
        <v>0.03947</v>
      </c>
      <c r="AR1176" s="1">
        <v>0.047128</v>
      </c>
      <c r="AS1176" s="1">
        <v>0.125024</v>
      </c>
      <c r="AT1176" s="1">
        <v>55477.0</v>
      </c>
      <c r="AU1176" s="1">
        <v>7069.0</v>
      </c>
      <c r="AV1176" s="1">
        <v>0.011473</v>
      </c>
      <c r="AW1176" s="1">
        <v>0.094657</v>
      </c>
      <c r="AX1176" s="1">
        <v>0.164102</v>
      </c>
      <c r="AY1176" s="1">
        <v>0.213105</v>
      </c>
      <c r="AZ1176" s="1">
        <v>0.06061705</v>
      </c>
      <c r="BA1176" s="1">
        <v>0.207977</v>
      </c>
      <c r="BB1176" s="1">
        <v>0.00216</v>
      </c>
      <c r="BC1176" s="1">
        <v>0.068199</v>
      </c>
      <c r="BD1176" s="1">
        <v>0.092579</v>
      </c>
      <c r="BE1176" s="1">
        <v>0.061283</v>
      </c>
      <c r="BF1176" s="1">
        <v>0.0</v>
      </c>
      <c r="BG1176" s="1">
        <v>0.039528</v>
      </c>
      <c r="BH1176" s="1">
        <v>0.0</v>
      </c>
      <c r="BI1176" s="1">
        <v>0.062817</v>
      </c>
      <c r="BJ1176" s="1">
        <v>0.010534</v>
      </c>
      <c r="BK1176" s="1">
        <v>0.046036</v>
      </c>
      <c r="BL1176" s="1">
        <v>0.046438</v>
      </c>
      <c r="BM1176" s="1">
        <v>0.153</v>
      </c>
      <c r="BN1176" s="1">
        <v>0.264</v>
      </c>
      <c r="BO1176" s="1">
        <v>0.0181</v>
      </c>
      <c r="BP1176" s="1">
        <v>0.018</v>
      </c>
      <c r="BQ1176" s="1">
        <v>0.4531</v>
      </c>
      <c r="BR1176" s="1">
        <v>0.052</v>
      </c>
      <c r="BS1176" s="1">
        <v>0.7</v>
      </c>
      <c r="BT1176" s="1">
        <v>0.248</v>
      </c>
      <c r="BU1176" s="1">
        <v>0.137</v>
      </c>
      <c r="BV1176" s="1">
        <v>1.085</v>
      </c>
      <c r="BW1176" s="1">
        <v>0.157</v>
      </c>
      <c r="BX1176" s="1">
        <v>0.719</v>
      </c>
      <c r="BY1176" s="1">
        <v>0.389</v>
      </c>
      <c r="BZ1176" s="1">
        <v>1.108</v>
      </c>
      <c r="CA1176" s="1">
        <v>0.62</v>
      </c>
      <c r="CB1176" s="1">
        <v>0.753</v>
      </c>
      <c r="CC1176" s="1">
        <v>0.0</v>
      </c>
      <c r="CD1176" s="1">
        <v>0.0</v>
      </c>
      <c r="CE1176" s="1">
        <v>0.095</v>
      </c>
      <c r="CF1176" s="1">
        <v>0.884</v>
      </c>
      <c r="CG1176" s="1">
        <v>1.732</v>
      </c>
      <c r="CH1176" s="1">
        <v>0.245</v>
      </c>
      <c r="CI1176" s="1">
        <v>4.3781</v>
      </c>
      <c r="CJ1176" s="1">
        <v>0.122</v>
      </c>
      <c r="CK1176" s="1">
        <v>0.0</v>
      </c>
      <c r="CL1176" s="1">
        <v>0.0</v>
      </c>
      <c r="CM1176" s="1">
        <v>0.0</v>
      </c>
      <c r="CN1176" s="1">
        <v>0.0</v>
      </c>
      <c r="CO1176" s="1">
        <v>0.0</v>
      </c>
      <c r="CP1176" s="1">
        <v>0.0</v>
      </c>
      <c r="CQ1176" s="1">
        <v>0.0</v>
      </c>
      <c r="CR1176" s="1">
        <v>0.0</v>
      </c>
      <c r="CS1176" s="1">
        <v>0.0</v>
      </c>
      <c r="CT1176" s="1">
        <v>0.0</v>
      </c>
      <c r="CU1176" s="1">
        <v>0.0</v>
      </c>
      <c r="CV1176" s="1">
        <v>0.0</v>
      </c>
      <c r="CW1176" s="1">
        <v>0.0</v>
      </c>
      <c r="CX1176" s="1">
        <v>0.0</v>
      </c>
      <c r="CY1176" s="1">
        <v>0.0</v>
      </c>
      <c r="CZ1176" s="1">
        <v>0.0</v>
      </c>
      <c r="DA1176" s="1">
        <v>0.0</v>
      </c>
      <c r="DB1176" s="1">
        <v>0.0</v>
      </c>
      <c r="DC1176" s="1">
        <v>0.0</v>
      </c>
      <c r="DD1176" s="1" t="s">
        <v>5187</v>
      </c>
      <c r="DE1176" s="1">
        <v>0.0012206465870262</v>
      </c>
      <c r="DF1176" s="2" t="s">
        <v>5188</v>
      </c>
    </row>
    <row r="1177" ht="15.75" customHeight="1">
      <c r="A1177" s="1" t="s">
        <v>5189</v>
      </c>
      <c r="B1177" s="1">
        <v>29.0</v>
      </c>
      <c r="C1177" s="1">
        <v>189.0</v>
      </c>
      <c r="D1177" s="1">
        <v>215231.0</v>
      </c>
      <c r="E1177" s="1">
        <v>1.782</v>
      </c>
      <c r="F1177" s="1">
        <v>29189.0</v>
      </c>
      <c r="G1177" s="1">
        <v>2.9189215231E10</v>
      </c>
      <c r="H1177" s="1" t="s">
        <v>112</v>
      </c>
      <c r="I1177" s="1" t="s">
        <v>113</v>
      </c>
      <c r="J1177" s="1" t="s">
        <v>4566</v>
      </c>
      <c r="K1177" s="1" t="s">
        <v>5190</v>
      </c>
      <c r="L1177" s="1">
        <v>4504.0</v>
      </c>
      <c r="M1177" s="1">
        <v>4544.0</v>
      </c>
      <c r="N1177" s="1">
        <v>209.0</v>
      </c>
      <c r="O1177" s="1">
        <v>1891.0</v>
      </c>
      <c r="P1177" s="1">
        <v>1863.0</v>
      </c>
      <c r="Q1177" s="1">
        <v>70.0</v>
      </c>
      <c r="R1177" s="1">
        <v>1792.0</v>
      </c>
      <c r="S1177" s="1">
        <v>155.0</v>
      </c>
      <c r="T1177" s="1">
        <v>80.0</v>
      </c>
      <c r="U1177" s="1">
        <v>88.0</v>
      </c>
      <c r="V1177" s="1">
        <v>431.0</v>
      </c>
      <c r="W1177" s="1">
        <v>42456.0</v>
      </c>
      <c r="X1177" s="1">
        <v>4400.0</v>
      </c>
      <c r="Y1177" s="1">
        <v>126.0</v>
      </c>
      <c r="Z1177" s="1">
        <v>385.0</v>
      </c>
      <c r="AA1177" s="1">
        <v>930.0</v>
      </c>
      <c r="AB1177" s="1">
        <v>1041.0</v>
      </c>
      <c r="AC1177" s="1">
        <v>104.0</v>
      </c>
      <c r="AD1177" s="1">
        <v>619.0</v>
      </c>
      <c r="AE1177" s="1">
        <v>25.0</v>
      </c>
      <c r="AF1177" s="1">
        <v>412.0</v>
      </c>
      <c r="AG1177" s="1">
        <v>109.0</v>
      </c>
      <c r="AH1177" s="1">
        <v>66.0</v>
      </c>
      <c r="AI1177" s="1">
        <v>6.0</v>
      </c>
      <c r="AJ1177" s="1">
        <v>10.0</v>
      </c>
      <c r="AK1177" s="1">
        <v>8.0</v>
      </c>
      <c r="AL1177" s="1">
        <v>115.0</v>
      </c>
      <c r="AM1177" s="1">
        <v>30.0</v>
      </c>
      <c r="AN1177" s="1">
        <v>116.0</v>
      </c>
      <c r="AO1177" s="1">
        <v>0.0</v>
      </c>
      <c r="AP1177" s="1">
        <v>0.03411</v>
      </c>
      <c r="AQ1177" s="1">
        <v>0.017535</v>
      </c>
      <c r="AR1177" s="1">
        <v>0.041159</v>
      </c>
      <c r="AS1177" s="1">
        <v>0.20154</v>
      </c>
      <c r="AT1177" s="1">
        <v>42456.0</v>
      </c>
      <c r="AU1177" s="1">
        <v>4400.0</v>
      </c>
      <c r="AV1177" s="1">
        <v>0.040789</v>
      </c>
      <c r="AW1177" s="1">
        <v>0.124623</v>
      </c>
      <c r="AX1177" s="1">
        <v>0.206483</v>
      </c>
      <c r="AY1177" s="1">
        <v>0.231127</v>
      </c>
      <c r="AZ1177" s="1">
        <v>0.05803571</v>
      </c>
      <c r="BA1177" s="1">
        <v>0.137433</v>
      </c>
      <c r="BB1177" s="1">
        <v>0.005931</v>
      </c>
      <c r="BC1177" s="1">
        <v>0.097745</v>
      </c>
      <c r="BD1177" s="1">
        <v>0.058507</v>
      </c>
      <c r="BE1177" s="1">
        <v>0.035358</v>
      </c>
      <c r="BF1177" s="1">
        <v>0.00322</v>
      </c>
      <c r="BG1177" s="1">
        <v>0.005366</v>
      </c>
      <c r="BH1177" s="1">
        <v>0.004471</v>
      </c>
      <c r="BI1177" s="1">
        <v>0.064281</v>
      </c>
      <c r="BJ1177" s="1">
        <v>0.016769</v>
      </c>
      <c r="BK1177" s="1">
        <v>0.064836</v>
      </c>
      <c r="BL1177" s="1">
        <v>0.0</v>
      </c>
      <c r="BM1177" s="1">
        <v>0.1</v>
      </c>
      <c r="BN1177" s="1">
        <v>0.194</v>
      </c>
      <c r="BO1177" s="1">
        <v>0.0527</v>
      </c>
      <c r="BP1177" s="1">
        <v>0.1</v>
      </c>
      <c r="BQ1177" s="1">
        <v>0.4467</v>
      </c>
      <c r="BR1177" s="1">
        <v>0.0513</v>
      </c>
      <c r="BS1177" s="1">
        <v>0.9</v>
      </c>
      <c r="BT1177" s="1">
        <v>0.398</v>
      </c>
      <c r="BU1177" s="1">
        <v>0.12</v>
      </c>
      <c r="BV1177" s="1">
        <v>1.418</v>
      </c>
      <c r="BW1177" s="1">
        <v>0.407</v>
      </c>
      <c r="BX1177" s="1">
        <v>0.582</v>
      </c>
      <c r="BY1177" s="1">
        <v>0.594</v>
      </c>
      <c r="BZ1177" s="1">
        <v>1.176</v>
      </c>
      <c r="CA1177" s="1">
        <v>0.649</v>
      </c>
      <c r="CB1177" s="1">
        <v>0.682</v>
      </c>
      <c r="CC1177" s="1">
        <v>0.372</v>
      </c>
      <c r="CD1177" s="1">
        <v>0.321</v>
      </c>
      <c r="CE1177" s="1">
        <v>0.15</v>
      </c>
      <c r="CF1177" s="1">
        <v>0.0</v>
      </c>
      <c r="CG1177" s="1">
        <v>1.525</v>
      </c>
      <c r="CH1177" s="1">
        <v>0.182</v>
      </c>
      <c r="CI1177" s="1">
        <v>4.5657</v>
      </c>
      <c r="CJ1177" s="1">
        <v>0.1394</v>
      </c>
      <c r="CK1177" s="1">
        <v>0.0</v>
      </c>
      <c r="CL1177" s="1">
        <v>0.0</v>
      </c>
      <c r="CM1177" s="1">
        <v>0.0</v>
      </c>
      <c r="CN1177" s="1">
        <v>0.0</v>
      </c>
      <c r="CO1177" s="1">
        <v>0.0</v>
      </c>
      <c r="CP1177" s="1">
        <v>1.0</v>
      </c>
      <c r="CQ1177" s="1">
        <v>0.0</v>
      </c>
      <c r="CR1177" s="1">
        <v>0.0</v>
      </c>
      <c r="CS1177" s="1">
        <v>1.0</v>
      </c>
      <c r="CT1177" s="1">
        <v>0.0</v>
      </c>
      <c r="CU1177" s="1">
        <v>0.0</v>
      </c>
      <c r="CV1177" s="1">
        <v>0.0</v>
      </c>
      <c r="CW1177" s="1">
        <v>0.0</v>
      </c>
      <c r="CX1177" s="1">
        <v>0.0</v>
      </c>
      <c r="CY1177" s="1">
        <v>0.0</v>
      </c>
      <c r="CZ1177" s="1">
        <v>0.0</v>
      </c>
      <c r="DA1177" s="1">
        <v>0.0</v>
      </c>
      <c r="DB1177" s="1">
        <v>0.0</v>
      </c>
      <c r="DC1177" s="1">
        <v>1.0</v>
      </c>
      <c r="DD1177" s="1" t="s">
        <v>5191</v>
      </c>
      <c r="DE1177" s="1">
        <v>4.75687029955647E-4</v>
      </c>
      <c r="DF1177" s="1">
        <v>0.0920516633455374</v>
      </c>
    </row>
    <row r="1178" ht="15.75" customHeight="1">
      <c r="A1178" s="1" t="s">
        <v>5192</v>
      </c>
      <c r="B1178" s="1">
        <v>29.0</v>
      </c>
      <c r="C1178" s="1">
        <v>189.0</v>
      </c>
      <c r="D1178" s="1">
        <v>215232.0</v>
      </c>
      <c r="E1178" s="1">
        <v>2.918</v>
      </c>
      <c r="F1178" s="1">
        <v>29189.0</v>
      </c>
      <c r="G1178" s="1">
        <v>2.9189215232E10</v>
      </c>
      <c r="H1178" s="1" t="s">
        <v>112</v>
      </c>
      <c r="I1178" s="1" t="s">
        <v>113</v>
      </c>
      <c r="J1178" s="1" t="s">
        <v>4566</v>
      </c>
      <c r="K1178" s="1" t="s">
        <v>5193</v>
      </c>
      <c r="L1178" s="1">
        <v>7936.0</v>
      </c>
      <c r="M1178" s="1">
        <v>7920.0</v>
      </c>
      <c r="N1178" s="1">
        <v>367.0</v>
      </c>
      <c r="O1178" s="1">
        <v>3323.0</v>
      </c>
      <c r="P1178" s="1">
        <v>3276.0</v>
      </c>
      <c r="Q1178" s="1">
        <v>64.0</v>
      </c>
      <c r="R1178" s="1">
        <v>3115.0</v>
      </c>
      <c r="S1178" s="1">
        <v>150.0</v>
      </c>
      <c r="T1178" s="1">
        <v>107.0</v>
      </c>
      <c r="U1178" s="1">
        <v>94.0</v>
      </c>
      <c r="V1178" s="1">
        <v>446.0</v>
      </c>
      <c r="W1178" s="1">
        <v>49162.0</v>
      </c>
      <c r="X1178" s="1">
        <v>3907.0</v>
      </c>
      <c r="Y1178" s="1">
        <v>376.0</v>
      </c>
      <c r="Z1178" s="1">
        <v>306.0</v>
      </c>
      <c r="AA1178" s="1">
        <v>2298.0</v>
      </c>
      <c r="AB1178" s="1">
        <v>1592.0</v>
      </c>
      <c r="AC1178" s="1">
        <v>104.0</v>
      </c>
      <c r="AD1178" s="1">
        <v>1202.0</v>
      </c>
      <c r="AE1178" s="1">
        <v>187.0</v>
      </c>
      <c r="AF1178" s="1">
        <v>380.0</v>
      </c>
      <c r="AG1178" s="1">
        <v>407.0</v>
      </c>
      <c r="AH1178" s="1">
        <v>126.0</v>
      </c>
      <c r="AI1178" s="1">
        <v>22.0</v>
      </c>
      <c r="AJ1178" s="1">
        <v>35.0</v>
      </c>
      <c r="AK1178" s="1">
        <v>0.0</v>
      </c>
      <c r="AL1178" s="1">
        <v>161.0</v>
      </c>
      <c r="AM1178" s="1">
        <v>130.0</v>
      </c>
      <c r="AN1178" s="1">
        <v>60.0</v>
      </c>
      <c r="AO1178" s="1">
        <v>474.0</v>
      </c>
      <c r="AP1178" s="1">
        <v>0.019734</v>
      </c>
      <c r="AQ1178" s="1">
        <v>0.014046</v>
      </c>
      <c r="AR1178" s="1">
        <v>0.025364</v>
      </c>
      <c r="AS1178" s="1">
        <v>0.120321</v>
      </c>
      <c r="AT1178" s="1">
        <v>49162.0</v>
      </c>
      <c r="AU1178" s="1">
        <v>3907.0</v>
      </c>
      <c r="AV1178" s="1">
        <v>0.064054</v>
      </c>
      <c r="AW1178" s="1">
        <v>0.052027</v>
      </c>
      <c r="AX1178" s="1">
        <v>0.289566</v>
      </c>
      <c r="AY1178" s="1">
        <v>0.200604</v>
      </c>
      <c r="AZ1178" s="1">
        <v>0.03338683</v>
      </c>
      <c r="BA1178" s="1">
        <v>0.151461</v>
      </c>
      <c r="BB1178" s="1">
        <v>0.02491</v>
      </c>
      <c r="BC1178" s="1">
        <v>0.050604</v>
      </c>
      <c r="BD1178" s="1">
        <v>0.124236</v>
      </c>
      <c r="BE1178" s="1">
        <v>0.038384</v>
      </c>
      <c r="BF1178" s="1">
        <v>0.006715</v>
      </c>
      <c r="BG1178" s="1">
        <v>0.010682</v>
      </c>
      <c r="BH1178" s="1">
        <v>0.0</v>
      </c>
      <c r="BI1178" s="1">
        <v>0.053258</v>
      </c>
      <c r="BJ1178" s="1">
        <v>0.043003</v>
      </c>
      <c r="BK1178" s="1">
        <v>0.01974</v>
      </c>
      <c r="BL1178" s="1">
        <v>0.059727</v>
      </c>
      <c r="BM1178" s="1">
        <v>0.053</v>
      </c>
      <c r="BN1178" s="1">
        <v>0.053</v>
      </c>
      <c r="BO1178" s="1">
        <v>0.0282</v>
      </c>
      <c r="BP1178" s="1">
        <v>0.181</v>
      </c>
      <c r="BQ1178" s="1">
        <v>0.3152</v>
      </c>
      <c r="BR1178" s="1">
        <v>0.0217</v>
      </c>
      <c r="BS1178" s="1">
        <v>0.985</v>
      </c>
      <c r="BT1178" s="1">
        <v>0.188</v>
      </c>
      <c r="BU1178" s="1">
        <v>0.021</v>
      </c>
      <c r="BV1178" s="1">
        <v>1.194</v>
      </c>
      <c r="BW1178" s="1">
        <v>0.225</v>
      </c>
      <c r="BX1178" s="1">
        <v>0.628</v>
      </c>
      <c r="BY1178" s="1">
        <v>0.89</v>
      </c>
      <c r="BZ1178" s="1">
        <v>1.518</v>
      </c>
      <c r="CA1178" s="1">
        <v>0.838</v>
      </c>
      <c r="CB1178" s="1">
        <v>0.807</v>
      </c>
      <c r="CC1178" s="1">
        <v>0.421</v>
      </c>
      <c r="CD1178" s="1">
        <v>0.0</v>
      </c>
      <c r="CE1178" s="1">
        <v>0.423</v>
      </c>
      <c r="CF1178" s="1">
        <v>0.91</v>
      </c>
      <c r="CG1178" s="1">
        <v>2.561</v>
      </c>
      <c r="CH1178" s="1">
        <v>0.587</v>
      </c>
      <c r="CI1178" s="1">
        <v>5.5882</v>
      </c>
      <c r="CJ1178" s="1">
        <v>0.2989</v>
      </c>
      <c r="CK1178" s="1">
        <v>0.0</v>
      </c>
      <c r="CL1178" s="1">
        <v>0.0</v>
      </c>
      <c r="CM1178" s="1">
        <v>0.0</v>
      </c>
      <c r="CN1178" s="1">
        <v>0.0</v>
      </c>
      <c r="CO1178" s="1">
        <v>0.0</v>
      </c>
      <c r="CP1178" s="1">
        <v>1.0</v>
      </c>
      <c r="CQ1178" s="1">
        <v>0.0</v>
      </c>
      <c r="CR1178" s="1">
        <v>0.0</v>
      </c>
      <c r="CS1178" s="1">
        <v>1.0</v>
      </c>
      <c r="CT1178" s="1">
        <v>0.0</v>
      </c>
      <c r="CU1178" s="1">
        <v>0.0</v>
      </c>
      <c r="CV1178" s="1">
        <v>0.0</v>
      </c>
      <c r="CW1178" s="1">
        <v>0.0</v>
      </c>
      <c r="CX1178" s="1">
        <v>0.0</v>
      </c>
      <c r="CY1178" s="1">
        <v>0.0</v>
      </c>
      <c r="CZ1178" s="1">
        <v>0.0</v>
      </c>
      <c r="DA1178" s="1">
        <v>1.0</v>
      </c>
      <c r="DB1178" s="1">
        <v>1.0</v>
      </c>
      <c r="DC1178" s="1">
        <v>2.0</v>
      </c>
      <c r="DD1178" s="1" t="s">
        <v>5194</v>
      </c>
      <c r="DE1178" s="1">
        <v>7.84137203151542E-4</v>
      </c>
      <c r="DF1178" s="2" t="s">
        <v>5195</v>
      </c>
    </row>
    <row r="1179" ht="15.75" customHeight="1">
      <c r="A1179" s="1" t="s">
        <v>5196</v>
      </c>
      <c r="B1179" s="1">
        <v>29.0</v>
      </c>
      <c r="C1179" s="1">
        <v>189.0</v>
      </c>
      <c r="D1179" s="1">
        <v>215500.0</v>
      </c>
      <c r="E1179" s="1">
        <v>2.053</v>
      </c>
      <c r="F1179" s="1">
        <v>29189.0</v>
      </c>
      <c r="G1179" s="1">
        <v>2.91892155E10</v>
      </c>
      <c r="H1179" s="1" t="s">
        <v>112</v>
      </c>
      <c r="I1179" s="1" t="s">
        <v>113</v>
      </c>
      <c r="J1179" s="1" t="s">
        <v>4566</v>
      </c>
      <c r="K1179" s="1" t="s">
        <v>5197</v>
      </c>
      <c r="L1179" s="1">
        <v>4759.0</v>
      </c>
      <c r="M1179" s="1">
        <v>4527.0</v>
      </c>
      <c r="N1179" s="1">
        <v>285.0</v>
      </c>
      <c r="O1179" s="1">
        <v>1942.0</v>
      </c>
      <c r="P1179" s="1">
        <v>1888.0</v>
      </c>
      <c r="Q1179" s="1">
        <v>111.0</v>
      </c>
      <c r="R1179" s="1">
        <v>1813.0</v>
      </c>
      <c r="S1179" s="1">
        <v>113.0</v>
      </c>
      <c r="T1179" s="1">
        <v>92.0</v>
      </c>
      <c r="U1179" s="1">
        <v>91.0</v>
      </c>
      <c r="V1179" s="1">
        <v>414.0</v>
      </c>
      <c r="W1179" s="1">
        <v>57776.0</v>
      </c>
      <c r="X1179" s="1">
        <v>6347.0</v>
      </c>
      <c r="Y1179" s="1">
        <v>172.0</v>
      </c>
      <c r="Z1179" s="1">
        <v>373.0</v>
      </c>
      <c r="AA1179" s="1">
        <v>852.0</v>
      </c>
      <c r="AB1179" s="1">
        <v>1278.0</v>
      </c>
      <c r="AC1179" s="1">
        <v>127.0</v>
      </c>
      <c r="AD1179" s="1">
        <v>1093.0</v>
      </c>
      <c r="AE1179" s="1">
        <v>87.0</v>
      </c>
      <c r="AF1179" s="1">
        <v>417.0</v>
      </c>
      <c r="AG1179" s="1">
        <v>13.0</v>
      </c>
      <c r="AH1179" s="1">
        <v>163.0</v>
      </c>
      <c r="AI1179" s="1">
        <v>0.0</v>
      </c>
      <c r="AJ1179" s="1">
        <v>114.0</v>
      </c>
      <c r="AK1179" s="1">
        <v>0.0</v>
      </c>
      <c r="AL1179" s="1">
        <v>161.0</v>
      </c>
      <c r="AM1179" s="1">
        <v>11.0</v>
      </c>
      <c r="AN1179" s="1">
        <v>115.0</v>
      </c>
      <c r="AO1179" s="1">
        <v>0.0</v>
      </c>
      <c r="AP1179" s="1">
        <v>0.024961</v>
      </c>
      <c r="AQ1179" s="1">
        <v>0.020261</v>
      </c>
      <c r="AR1179" s="1">
        <v>0.042168</v>
      </c>
      <c r="AS1179" s="1">
        <v>0.191755</v>
      </c>
      <c r="AT1179" s="1">
        <v>57776.0</v>
      </c>
      <c r="AU1179" s="1">
        <v>6347.0</v>
      </c>
      <c r="AV1179" s="1">
        <v>0.052712</v>
      </c>
      <c r="AW1179" s="1">
        <v>0.114251</v>
      </c>
      <c r="AX1179" s="1">
        <v>0.179029</v>
      </c>
      <c r="AY1179" s="1">
        <v>0.268543</v>
      </c>
      <c r="AZ1179" s="1">
        <v>0.07004964</v>
      </c>
      <c r="BA1179" s="1">
        <v>0.22967</v>
      </c>
      <c r="BB1179" s="1">
        <v>0.020166</v>
      </c>
      <c r="BC1179" s="1">
        <v>0.096653</v>
      </c>
      <c r="BD1179" s="1">
        <v>0.006885</v>
      </c>
      <c r="BE1179" s="1">
        <v>0.086333</v>
      </c>
      <c r="BF1179" s="1">
        <v>0.0</v>
      </c>
      <c r="BG1179" s="1">
        <v>0.060381</v>
      </c>
      <c r="BH1179" s="1">
        <v>0.0</v>
      </c>
      <c r="BI1179" s="1">
        <v>0.089444</v>
      </c>
      <c r="BJ1179" s="1">
        <v>0.006111</v>
      </c>
      <c r="BK1179" s="1">
        <v>0.063887</v>
      </c>
      <c r="BL1179" s="1">
        <v>0.0</v>
      </c>
      <c r="BM1179" s="1">
        <v>0.072</v>
      </c>
      <c r="BN1179" s="1">
        <v>0.208</v>
      </c>
      <c r="BO1179" s="1">
        <v>0.0144</v>
      </c>
      <c r="BP1179" s="1">
        <v>0.137</v>
      </c>
      <c r="BQ1179" s="1">
        <v>0.4314</v>
      </c>
      <c r="BR1179" s="1">
        <v>0.0477</v>
      </c>
      <c r="BS1179" s="1">
        <v>0.781</v>
      </c>
      <c r="BT1179" s="1">
        <v>0.78</v>
      </c>
      <c r="BU1179" s="1">
        <v>0.216</v>
      </c>
      <c r="BV1179" s="1">
        <v>1.777</v>
      </c>
      <c r="BW1179" s="1">
        <v>0.703</v>
      </c>
      <c r="BX1179" s="1">
        <v>0.743</v>
      </c>
      <c r="BY1179" s="1">
        <v>0.858</v>
      </c>
      <c r="BZ1179" s="1">
        <v>1.601</v>
      </c>
      <c r="CA1179" s="1">
        <v>0.872</v>
      </c>
      <c r="CB1179" s="1">
        <v>0.351</v>
      </c>
      <c r="CC1179" s="1">
        <v>0.0</v>
      </c>
      <c r="CD1179" s="1">
        <v>0.0</v>
      </c>
      <c r="CE1179" s="1">
        <v>0.056</v>
      </c>
      <c r="CF1179" s="1">
        <v>0.0</v>
      </c>
      <c r="CG1179" s="1">
        <v>0.407</v>
      </c>
      <c r="CH1179" s="1">
        <v>0.02</v>
      </c>
      <c r="CI1179" s="1">
        <v>4.2164</v>
      </c>
      <c r="CJ1179" s="1">
        <v>0.1076</v>
      </c>
      <c r="CK1179" s="1">
        <v>0.0</v>
      </c>
      <c r="CL1179" s="1">
        <v>0.0</v>
      </c>
      <c r="CM1179" s="1">
        <v>0.0</v>
      </c>
      <c r="CN1179" s="1">
        <v>0.0</v>
      </c>
      <c r="CO1179" s="1">
        <v>0.0</v>
      </c>
      <c r="CP1179" s="1">
        <v>0.0</v>
      </c>
      <c r="CQ1179" s="1">
        <v>0.0</v>
      </c>
      <c r="CR1179" s="1">
        <v>0.0</v>
      </c>
      <c r="CS1179" s="1">
        <v>0.0</v>
      </c>
      <c r="CT1179" s="1">
        <v>0.0</v>
      </c>
      <c r="CU1179" s="1">
        <v>0.0</v>
      </c>
      <c r="CV1179" s="1">
        <v>0.0</v>
      </c>
      <c r="CW1179" s="1">
        <v>0.0</v>
      </c>
      <c r="CX1179" s="1">
        <v>0.0</v>
      </c>
      <c r="CY1179" s="1">
        <v>0.0</v>
      </c>
      <c r="CZ1179" s="1">
        <v>0.0</v>
      </c>
      <c r="DA1179" s="1">
        <v>0.0</v>
      </c>
      <c r="DB1179" s="1">
        <v>0.0</v>
      </c>
      <c r="DC1179" s="1">
        <v>0.0</v>
      </c>
      <c r="DD1179" s="1" t="s">
        <v>5198</v>
      </c>
      <c r="DE1179" s="1">
        <v>5.5028111197176E-4</v>
      </c>
      <c r="DF1179" s="2" t="s">
        <v>5199</v>
      </c>
    </row>
    <row r="1180" ht="15.75" customHeight="1">
      <c r="A1180" s="1" t="s">
        <v>5200</v>
      </c>
      <c r="B1180" s="1">
        <v>29.0</v>
      </c>
      <c r="C1180" s="1">
        <v>189.0</v>
      </c>
      <c r="D1180" s="1">
        <v>215600.0</v>
      </c>
      <c r="E1180" s="1">
        <v>2.811</v>
      </c>
      <c r="F1180" s="1">
        <v>29189.0</v>
      </c>
      <c r="G1180" s="1">
        <v>2.91892156E10</v>
      </c>
      <c r="H1180" s="1" t="s">
        <v>112</v>
      </c>
      <c r="I1180" s="1" t="s">
        <v>113</v>
      </c>
      <c r="J1180" s="1" t="s">
        <v>4566</v>
      </c>
      <c r="K1180" s="1" t="s">
        <v>5201</v>
      </c>
      <c r="L1180" s="1">
        <v>4889.0</v>
      </c>
      <c r="M1180" s="1">
        <v>4859.0</v>
      </c>
      <c r="N1180" s="1">
        <v>263.0</v>
      </c>
      <c r="O1180" s="1">
        <v>2102.0</v>
      </c>
      <c r="P1180" s="1">
        <v>2146.0</v>
      </c>
      <c r="Q1180" s="1">
        <v>109.0</v>
      </c>
      <c r="R1180" s="1">
        <v>1952.0</v>
      </c>
      <c r="S1180" s="1">
        <v>1024.0</v>
      </c>
      <c r="T1180" s="1">
        <v>392.0</v>
      </c>
      <c r="U1180" s="1">
        <v>207.0</v>
      </c>
      <c r="V1180" s="1">
        <v>407.0</v>
      </c>
      <c r="W1180" s="1">
        <v>24990.0</v>
      </c>
      <c r="X1180" s="1">
        <v>4090.0</v>
      </c>
      <c r="Y1180" s="1">
        <v>438.0</v>
      </c>
      <c r="Z1180" s="1">
        <v>355.0</v>
      </c>
      <c r="AA1180" s="1">
        <v>606.0</v>
      </c>
      <c r="AB1180" s="1">
        <v>1294.0</v>
      </c>
      <c r="AC1180" s="1">
        <v>402.0</v>
      </c>
      <c r="AD1180" s="1">
        <v>3315.0</v>
      </c>
      <c r="AE1180" s="1">
        <v>215.0</v>
      </c>
      <c r="AF1180" s="1">
        <v>419.0</v>
      </c>
      <c r="AG1180" s="1">
        <v>245.0</v>
      </c>
      <c r="AH1180" s="1">
        <v>103.0</v>
      </c>
      <c r="AI1180" s="1">
        <v>0.0</v>
      </c>
      <c r="AJ1180" s="1">
        <v>114.0</v>
      </c>
      <c r="AK1180" s="1">
        <v>42.0</v>
      </c>
      <c r="AL1180" s="1">
        <v>119.0</v>
      </c>
      <c r="AM1180" s="1">
        <v>152.0</v>
      </c>
      <c r="AN1180" s="1">
        <v>147.0</v>
      </c>
      <c r="AO1180" s="1">
        <v>81.0</v>
      </c>
      <c r="AP1180" s="1">
        <v>0.211177</v>
      </c>
      <c r="AQ1180" s="1">
        <v>0.080007</v>
      </c>
      <c r="AR1180" s="1">
        <v>0.091431</v>
      </c>
      <c r="AS1180" s="1">
        <v>0.179393</v>
      </c>
      <c r="AT1180" s="1">
        <v>24990.0</v>
      </c>
      <c r="AU1180" s="1">
        <v>4090.0</v>
      </c>
      <c r="AV1180" s="1">
        <v>0.139135</v>
      </c>
      <c r="AW1180" s="1">
        <v>0.11233</v>
      </c>
      <c r="AX1180" s="1">
        <v>0.123951</v>
      </c>
      <c r="AY1180" s="1">
        <v>0.264675</v>
      </c>
      <c r="AZ1180" s="1">
        <v>0.20594262</v>
      </c>
      <c r="BA1180" s="1">
        <v>0.678052</v>
      </c>
      <c r="BB1180" s="1">
        <v>0.048963</v>
      </c>
      <c r="BC1180" s="1">
        <v>0.09538</v>
      </c>
      <c r="BD1180" s="1">
        <v>0.114165</v>
      </c>
      <c r="BE1180" s="1">
        <v>0.047644</v>
      </c>
      <c r="BF1180" s="1">
        <v>0.0</v>
      </c>
      <c r="BG1180" s="1">
        <v>0.053122</v>
      </c>
      <c r="BH1180" s="1">
        <v>0.020989</v>
      </c>
      <c r="BI1180" s="1">
        <v>0.059451</v>
      </c>
      <c r="BJ1180" s="1">
        <v>0.075962</v>
      </c>
      <c r="BK1180" s="1">
        <v>0.073265</v>
      </c>
      <c r="BL1180" s="1">
        <v>0.016567</v>
      </c>
      <c r="BM1180" s="1">
        <v>0.753</v>
      </c>
      <c r="BN1180" s="1">
        <v>0.687</v>
      </c>
      <c r="BO1180" s="1">
        <v>0.3495</v>
      </c>
      <c r="BP1180" s="1">
        <v>0.52</v>
      </c>
      <c r="BQ1180" s="1">
        <v>2.3095</v>
      </c>
      <c r="BR1180" s="1">
        <v>0.6065</v>
      </c>
      <c r="BS1180" s="1">
        <v>0.371</v>
      </c>
      <c r="BT1180" s="1">
        <v>0.748</v>
      </c>
      <c r="BU1180" s="1">
        <v>0.901</v>
      </c>
      <c r="BV1180" s="1">
        <v>2.02</v>
      </c>
      <c r="BW1180" s="1">
        <v>0.867</v>
      </c>
      <c r="BX1180" s="1">
        <v>0.894</v>
      </c>
      <c r="BY1180" s="1">
        <v>0.959</v>
      </c>
      <c r="BZ1180" s="1">
        <v>1.853</v>
      </c>
      <c r="CA1180" s="1">
        <v>0.98</v>
      </c>
      <c r="CB1180" s="1">
        <v>0.794</v>
      </c>
      <c r="CC1180" s="1">
        <v>0.0</v>
      </c>
      <c r="CD1180" s="1">
        <v>0.695</v>
      </c>
      <c r="CE1180" s="1">
        <v>0.653</v>
      </c>
      <c r="CF1180" s="1">
        <v>0.666</v>
      </c>
      <c r="CG1180" s="1">
        <v>2.808</v>
      </c>
      <c r="CH1180" s="1">
        <v>0.692</v>
      </c>
      <c r="CI1180" s="1">
        <v>8.9905</v>
      </c>
      <c r="CJ1180" s="1">
        <v>0.8513</v>
      </c>
      <c r="CK1180" s="1">
        <v>0.0</v>
      </c>
      <c r="CL1180" s="1">
        <v>0.0</v>
      </c>
      <c r="CM1180" s="1">
        <v>0.0</v>
      </c>
      <c r="CN1180" s="1">
        <v>0.0</v>
      </c>
      <c r="CO1180" s="1">
        <v>0.0</v>
      </c>
      <c r="CP1180" s="1">
        <v>0.0</v>
      </c>
      <c r="CQ1180" s="1">
        <v>0.0</v>
      </c>
      <c r="CR1180" s="1">
        <v>1.0</v>
      </c>
      <c r="CS1180" s="1">
        <v>1.0</v>
      </c>
      <c r="CT1180" s="1">
        <v>0.0</v>
      </c>
      <c r="CU1180" s="1">
        <v>1.0</v>
      </c>
      <c r="CV1180" s="1">
        <v>1.0</v>
      </c>
      <c r="CW1180" s="1">
        <v>0.0</v>
      </c>
      <c r="CX1180" s="1">
        <v>0.0</v>
      </c>
      <c r="CY1180" s="1">
        <v>0.0</v>
      </c>
      <c r="CZ1180" s="1">
        <v>0.0</v>
      </c>
      <c r="DA1180" s="1">
        <v>0.0</v>
      </c>
      <c r="DB1180" s="1">
        <v>0.0</v>
      </c>
      <c r="DC1180" s="1">
        <v>2.0</v>
      </c>
      <c r="DD1180" s="1" t="s">
        <v>5202</v>
      </c>
      <c r="DE1180" s="1">
        <v>7.5642778767062E-4</v>
      </c>
      <c r="DF1180" s="2" t="s">
        <v>5203</v>
      </c>
    </row>
    <row r="1181" ht="15.75" customHeight="1">
      <c r="A1181" s="1" t="s">
        <v>5204</v>
      </c>
      <c r="B1181" s="1">
        <v>29.0</v>
      </c>
      <c r="C1181" s="1">
        <v>189.0</v>
      </c>
      <c r="D1181" s="1">
        <v>215700.0</v>
      </c>
      <c r="E1181" s="1">
        <v>1.399</v>
      </c>
      <c r="F1181" s="1">
        <v>29189.0</v>
      </c>
      <c r="G1181" s="1">
        <v>2.91892157E10</v>
      </c>
      <c r="H1181" s="1" t="s">
        <v>112</v>
      </c>
      <c r="I1181" s="1" t="s">
        <v>113</v>
      </c>
      <c r="J1181" s="1" t="s">
        <v>4566</v>
      </c>
      <c r="K1181" s="1" t="s">
        <v>5205</v>
      </c>
      <c r="L1181" s="1">
        <v>5747.0</v>
      </c>
      <c r="M1181" s="1">
        <v>5506.0</v>
      </c>
      <c r="N1181" s="1">
        <v>446.0</v>
      </c>
      <c r="O1181" s="1">
        <v>2785.0</v>
      </c>
      <c r="P1181" s="1">
        <v>2999.0</v>
      </c>
      <c r="Q1181" s="1">
        <v>93.0</v>
      </c>
      <c r="R1181" s="1">
        <v>2568.0</v>
      </c>
      <c r="S1181" s="1">
        <v>704.0</v>
      </c>
      <c r="T1181" s="1">
        <v>327.0</v>
      </c>
      <c r="U1181" s="1">
        <v>472.0</v>
      </c>
      <c r="V1181" s="1">
        <v>383.0</v>
      </c>
      <c r="W1181" s="1">
        <v>24648.0</v>
      </c>
      <c r="X1181" s="1">
        <v>2757.0</v>
      </c>
      <c r="Y1181" s="1">
        <v>570.0</v>
      </c>
      <c r="Z1181" s="1">
        <v>292.0</v>
      </c>
      <c r="AA1181" s="1">
        <v>1069.0</v>
      </c>
      <c r="AB1181" s="1">
        <v>1071.0</v>
      </c>
      <c r="AC1181" s="1">
        <v>415.0</v>
      </c>
      <c r="AD1181" s="1">
        <v>4820.0</v>
      </c>
      <c r="AE1181" s="1">
        <v>59.0</v>
      </c>
      <c r="AF1181" s="1">
        <v>398.0</v>
      </c>
      <c r="AG1181" s="1">
        <v>76.0</v>
      </c>
      <c r="AH1181" s="1">
        <v>164.0</v>
      </c>
      <c r="AI1181" s="1">
        <v>0.0</v>
      </c>
      <c r="AJ1181" s="1">
        <v>114.0</v>
      </c>
      <c r="AK1181" s="1">
        <v>17.0</v>
      </c>
      <c r="AL1181" s="1">
        <v>117.0</v>
      </c>
      <c r="AM1181" s="1">
        <v>310.0</v>
      </c>
      <c r="AN1181" s="1">
        <v>144.0</v>
      </c>
      <c r="AO1181" s="1">
        <v>10.0</v>
      </c>
      <c r="AP1181" s="1">
        <v>0.12786</v>
      </c>
      <c r="AQ1181" s="1">
        <v>0.058479</v>
      </c>
      <c r="AR1181" s="1">
        <v>0.181608</v>
      </c>
      <c r="AS1181" s="1">
        <v>0.144939</v>
      </c>
      <c r="AT1181" s="1">
        <v>24648.0</v>
      </c>
      <c r="AU1181" s="1">
        <v>2757.0</v>
      </c>
      <c r="AV1181" s="1">
        <v>0.133802</v>
      </c>
      <c r="AW1181" s="1">
        <v>0.067727</v>
      </c>
      <c r="AX1181" s="1">
        <v>0.18601</v>
      </c>
      <c r="AY1181" s="1">
        <v>0.186358</v>
      </c>
      <c r="AZ1181" s="1">
        <v>0.16160436</v>
      </c>
      <c r="BA1181" s="1">
        <v>0.838698</v>
      </c>
      <c r="BB1181" s="1">
        <v>0.011159</v>
      </c>
      <c r="BC1181" s="1">
        <v>0.075273</v>
      </c>
      <c r="BD1181" s="1">
        <v>0.025341</v>
      </c>
      <c r="BE1181" s="1">
        <v>0.054679</v>
      </c>
      <c r="BF1181" s="1">
        <v>0.0</v>
      </c>
      <c r="BG1181" s="1">
        <v>0.038012</v>
      </c>
      <c r="BH1181" s="1">
        <v>0.006422</v>
      </c>
      <c r="BI1181" s="1">
        <v>0.044198</v>
      </c>
      <c r="BJ1181" s="1">
        <v>0.117113</v>
      </c>
      <c r="BK1181" s="1">
        <v>0.053768</v>
      </c>
      <c r="BL1181" s="1">
        <v>0.00174</v>
      </c>
      <c r="BM1181" s="1">
        <v>0.487</v>
      </c>
      <c r="BN1181" s="1">
        <v>0.935</v>
      </c>
      <c r="BO1181" s="1">
        <v>0.3646</v>
      </c>
      <c r="BP1181" s="1">
        <v>0.49</v>
      </c>
      <c r="BQ1181" s="1">
        <v>2.2766</v>
      </c>
      <c r="BR1181" s="1">
        <v>0.5942</v>
      </c>
      <c r="BS1181" s="1">
        <v>0.82</v>
      </c>
      <c r="BT1181" s="1">
        <v>0.138</v>
      </c>
      <c r="BU1181" s="1">
        <v>0.823</v>
      </c>
      <c r="BV1181" s="1">
        <v>1.781</v>
      </c>
      <c r="BW1181" s="1">
        <v>0.706</v>
      </c>
      <c r="BX1181" s="1">
        <v>0.93</v>
      </c>
      <c r="BY1181" s="1">
        <v>0.751</v>
      </c>
      <c r="BZ1181" s="1">
        <v>1.681</v>
      </c>
      <c r="CA1181" s="1">
        <v>0.912</v>
      </c>
      <c r="CB1181" s="1">
        <v>0.517</v>
      </c>
      <c r="CC1181" s="1">
        <v>0.0</v>
      </c>
      <c r="CD1181" s="1">
        <v>0.371</v>
      </c>
      <c r="CE1181" s="1">
        <v>0.799</v>
      </c>
      <c r="CF1181" s="1">
        <v>0.434</v>
      </c>
      <c r="CG1181" s="1">
        <v>2.121</v>
      </c>
      <c r="CH1181" s="1">
        <v>0.39</v>
      </c>
      <c r="CI1181" s="1">
        <v>7.8596</v>
      </c>
      <c r="CJ1181" s="1">
        <v>0.6903</v>
      </c>
      <c r="CK1181" s="1">
        <v>0.0</v>
      </c>
      <c r="CL1181" s="1">
        <v>1.0</v>
      </c>
      <c r="CM1181" s="1">
        <v>0.0</v>
      </c>
      <c r="CN1181" s="1">
        <v>0.0</v>
      </c>
      <c r="CO1181" s="1">
        <v>1.0</v>
      </c>
      <c r="CP1181" s="1">
        <v>0.0</v>
      </c>
      <c r="CQ1181" s="1">
        <v>0.0</v>
      </c>
      <c r="CR1181" s="1">
        <v>0.0</v>
      </c>
      <c r="CS1181" s="1">
        <v>0.0</v>
      </c>
      <c r="CT1181" s="1">
        <v>1.0</v>
      </c>
      <c r="CU1181" s="1">
        <v>0.0</v>
      </c>
      <c r="CV1181" s="1">
        <v>1.0</v>
      </c>
      <c r="CW1181" s="1">
        <v>0.0</v>
      </c>
      <c r="CX1181" s="1">
        <v>0.0</v>
      </c>
      <c r="CY1181" s="1">
        <v>0.0</v>
      </c>
      <c r="CZ1181" s="1">
        <v>0.0</v>
      </c>
      <c r="DA1181" s="1">
        <v>0.0</v>
      </c>
      <c r="DB1181" s="1">
        <v>0.0</v>
      </c>
      <c r="DC1181" s="1">
        <v>2.0</v>
      </c>
      <c r="DD1181" s="1" t="s">
        <v>5206</v>
      </c>
      <c r="DE1181" s="1">
        <v>3.72595574774865E-4</v>
      </c>
      <c r="DF1181" s="1">
        <v>0.0879174933224562</v>
      </c>
    </row>
    <row r="1182" ht="15.75" customHeight="1">
      <c r="A1182" s="1" t="s">
        <v>5207</v>
      </c>
      <c r="B1182" s="1">
        <v>29.0</v>
      </c>
      <c r="C1182" s="1">
        <v>189.0</v>
      </c>
      <c r="D1182" s="1">
        <v>215800.0</v>
      </c>
      <c r="E1182" s="1">
        <v>1.223</v>
      </c>
      <c r="F1182" s="1">
        <v>29189.0</v>
      </c>
      <c r="G1182" s="1">
        <v>2.91892158E10</v>
      </c>
      <c r="H1182" s="1" t="s">
        <v>112</v>
      </c>
      <c r="I1182" s="1" t="s">
        <v>113</v>
      </c>
      <c r="J1182" s="1" t="s">
        <v>4566</v>
      </c>
      <c r="K1182" s="1" t="s">
        <v>5208</v>
      </c>
      <c r="L1182" s="1">
        <v>7801.0</v>
      </c>
      <c r="M1182" s="1">
        <v>7902.0</v>
      </c>
      <c r="N1182" s="1">
        <v>355.0</v>
      </c>
      <c r="O1182" s="1">
        <v>4612.0</v>
      </c>
      <c r="P1182" s="1">
        <v>4619.0</v>
      </c>
      <c r="Q1182" s="1">
        <v>167.0</v>
      </c>
      <c r="R1182" s="1">
        <v>4036.0</v>
      </c>
      <c r="S1182" s="1">
        <v>826.0</v>
      </c>
      <c r="T1182" s="1">
        <v>294.0</v>
      </c>
      <c r="U1182" s="1">
        <v>196.0</v>
      </c>
      <c r="V1182" s="1">
        <v>459.0</v>
      </c>
      <c r="W1182" s="1">
        <v>47703.0</v>
      </c>
      <c r="X1182" s="1">
        <v>5785.0</v>
      </c>
      <c r="Y1182" s="1">
        <v>243.0</v>
      </c>
      <c r="Z1182" s="1">
        <v>343.0</v>
      </c>
      <c r="AA1182" s="1">
        <v>1827.0</v>
      </c>
      <c r="AB1182" s="1">
        <v>1425.0</v>
      </c>
      <c r="AC1182" s="1">
        <v>229.0</v>
      </c>
      <c r="AD1182" s="1">
        <v>2293.0</v>
      </c>
      <c r="AE1182" s="1">
        <v>195.0</v>
      </c>
      <c r="AF1182" s="1">
        <v>395.0</v>
      </c>
      <c r="AG1182" s="1">
        <v>1097.0</v>
      </c>
      <c r="AH1182" s="1">
        <v>201.0</v>
      </c>
      <c r="AI1182" s="1">
        <v>17.0</v>
      </c>
      <c r="AJ1182" s="1">
        <v>28.0</v>
      </c>
      <c r="AK1182" s="1">
        <v>32.0</v>
      </c>
      <c r="AL1182" s="1">
        <v>119.0</v>
      </c>
      <c r="AM1182" s="1">
        <v>764.0</v>
      </c>
      <c r="AN1182" s="1">
        <v>180.0</v>
      </c>
      <c r="AO1182" s="1">
        <v>15.0</v>
      </c>
      <c r="AP1182" s="1">
        <v>0.10453</v>
      </c>
      <c r="AQ1182" s="1">
        <v>0.036908</v>
      </c>
      <c r="AR1182" s="1">
        <v>0.050962</v>
      </c>
      <c r="AS1182" s="1">
        <v>0.119218</v>
      </c>
      <c r="AT1182" s="1">
        <v>47703.0</v>
      </c>
      <c r="AU1182" s="1">
        <v>5785.0</v>
      </c>
      <c r="AV1182" s="1">
        <v>0.04215</v>
      </c>
      <c r="AW1182" s="1">
        <v>0.059454</v>
      </c>
      <c r="AX1182" s="1">
        <v>0.2342</v>
      </c>
      <c r="AY1182" s="1">
        <v>0.182668</v>
      </c>
      <c r="AZ1182" s="1">
        <v>0.05673934</v>
      </c>
      <c r="BA1182" s="1">
        <v>0.293936</v>
      </c>
      <c r="BB1182" s="1">
        <v>0.026433</v>
      </c>
      <c r="BC1182" s="1">
        <v>0.053528</v>
      </c>
      <c r="BD1182" s="1">
        <v>0.237497</v>
      </c>
      <c r="BE1182" s="1">
        <v>0.04266</v>
      </c>
      <c r="BF1182" s="1">
        <v>0.00368</v>
      </c>
      <c r="BG1182" s="1">
        <v>0.00606</v>
      </c>
      <c r="BH1182" s="1">
        <v>0.007637</v>
      </c>
      <c r="BI1182" s="1">
        <v>0.028398</v>
      </c>
      <c r="BJ1182" s="1">
        <v>0.182338</v>
      </c>
      <c r="BK1182" s="1">
        <v>0.04205</v>
      </c>
      <c r="BL1182" s="1">
        <v>0.001922</v>
      </c>
      <c r="BM1182" s="1">
        <v>0.389</v>
      </c>
      <c r="BN1182" s="1">
        <v>0.303</v>
      </c>
      <c r="BO1182" s="1">
        <v>0.0318</v>
      </c>
      <c r="BP1182" s="1">
        <v>0.103</v>
      </c>
      <c r="BQ1182" s="1">
        <v>0.8268</v>
      </c>
      <c r="BR1182" s="1">
        <v>0.1661</v>
      </c>
      <c r="BS1182" s="1">
        <v>0.954</v>
      </c>
      <c r="BT1182" s="1">
        <v>0.125</v>
      </c>
      <c r="BU1182" s="1">
        <v>0.115</v>
      </c>
      <c r="BV1182" s="1">
        <v>1.194</v>
      </c>
      <c r="BW1182" s="1">
        <v>0.225</v>
      </c>
      <c r="BX1182" s="1">
        <v>0.784</v>
      </c>
      <c r="BY1182" s="1">
        <v>0.9</v>
      </c>
      <c r="BZ1182" s="1">
        <v>1.684</v>
      </c>
      <c r="CA1182" s="1">
        <v>0.912</v>
      </c>
      <c r="CB1182" s="1">
        <v>0.913</v>
      </c>
      <c r="CC1182" s="1">
        <v>0.375</v>
      </c>
      <c r="CD1182" s="1">
        <v>0.417</v>
      </c>
      <c r="CE1182" s="1">
        <v>0.894</v>
      </c>
      <c r="CF1182" s="1">
        <v>0.44</v>
      </c>
      <c r="CG1182" s="1">
        <v>3.039</v>
      </c>
      <c r="CH1182" s="1">
        <v>0.79</v>
      </c>
      <c r="CI1182" s="1">
        <v>6.7438</v>
      </c>
      <c r="CJ1182" s="1">
        <v>0.5004</v>
      </c>
      <c r="CK1182" s="1">
        <v>0.0</v>
      </c>
      <c r="CL1182" s="1">
        <v>0.0</v>
      </c>
      <c r="CM1182" s="1">
        <v>0.0</v>
      </c>
      <c r="CN1182" s="1">
        <v>0.0</v>
      </c>
      <c r="CO1182" s="1">
        <v>0.0</v>
      </c>
      <c r="CP1182" s="1">
        <v>1.0</v>
      </c>
      <c r="CQ1182" s="1">
        <v>0.0</v>
      </c>
      <c r="CR1182" s="1">
        <v>0.0</v>
      </c>
      <c r="CS1182" s="1">
        <v>1.0</v>
      </c>
      <c r="CT1182" s="1">
        <v>0.0</v>
      </c>
      <c r="CU1182" s="1">
        <v>1.0</v>
      </c>
      <c r="CV1182" s="1">
        <v>1.0</v>
      </c>
      <c r="CW1182" s="1">
        <v>1.0</v>
      </c>
      <c r="CX1182" s="1">
        <v>0.0</v>
      </c>
      <c r="CY1182" s="1">
        <v>0.0</v>
      </c>
      <c r="CZ1182" s="1">
        <v>0.0</v>
      </c>
      <c r="DA1182" s="1">
        <v>0.0</v>
      </c>
      <c r="DB1182" s="1">
        <v>1.0</v>
      </c>
      <c r="DC1182" s="1">
        <v>3.0</v>
      </c>
      <c r="DD1182" s="1" t="s">
        <v>5209</v>
      </c>
      <c r="DE1182" s="1">
        <v>3.27561696994116E-4</v>
      </c>
      <c r="DF1182" s="1">
        <v>0.0902214704669034</v>
      </c>
    </row>
    <row r="1183" ht="15.75" customHeight="1">
      <c r="A1183" s="1" t="s">
        <v>5210</v>
      </c>
      <c r="B1183" s="1">
        <v>29.0</v>
      </c>
      <c r="C1183" s="1">
        <v>189.0</v>
      </c>
      <c r="D1183" s="1">
        <v>215900.0</v>
      </c>
      <c r="E1183" s="1">
        <v>1.317</v>
      </c>
      <c r="F1183" s="1">
        <v>29189.0</v>
      </c>
      <c r="G1183" s="1">
        <v>2.91892159E10</v>
      </c>
      <c r="H1183" s="1" t="s">
        <v>112</v>
      </c>
      <c r="I1183" s="1" t="s">
        <v>113</v>
      </c>
      <c r="J1183" s="1" t="s">
        <v>4566</v>
      </c>
      <c r="K1183" s="1" t="s">
        <v>5211</v>
      </c>
      <c r="L1183" s="1">
        <v>7005.0</v>
      </c>
      <c r="M1183" s="1">
        <v>7617.0</v>
      </c>
      <c r="N1183" s="1">
        <v>480.0</v>
      </c>
      <c r="O1183" s="1">
        <v>3080.0</v>
      </c>
      <c r="P1183" s="1">
        <v>3365.0</v>
      </c>
      <c r="Q1183" s="1">
        <v>109.0</v>
      </c>
      <c r="R1183" s="1">
        <v>2817.0</v>
      </c>
      <c r="S1183" s="1">
        <v>755.0</v>
      </c>
      <c r="T1183" s="1">
        <v>363.0</v>
      </c>
      <c r="U1183" s="1">
        <v>224.0</v>
      </c>
      <c r="V1183" s="1">
        <v>396.0</v>
      </c>
      <c r="W1183" s="1">
        <v>24678.0</v>
      </c>
      <c r="X1183" s="1">
        <v>2234.0</v>
      </c>
      <c r="Y1183" s="1">
        <v>662.0</v>
      </c>
      <c r="Z1183" s="1">
        <v>296.0</v>
      </c>
      <c r="AA1183" s="1">
        <v>1179.0</v>
      </c>
      <c r="AB1183" s="1">
        <v>1493.0</v>
      </c>
      <c r="AC1183" s="1">
        <v>495.0</v>
      </c>
      <c r="AD1183" s="1">
        <v>5501.0</v>
      </c>
      <c r="AE1183" s="1">
        <v>24.0</v>
      </c>
      <c r="AF1183" s="1">
        <v>428.0</v>
      </c>
      <c r="AG1183" s="1">
        <v>57.0</v>
      </c>
      <c r="AH1183" s="1">
        <v>46.0</v>
      </c>
      <c r="AI1183" s="1">
        <v>0.0</v>
      </c>
      <c r="AJ1183" s="1">
        <v>114.0</v>
      </c>
      <c r="AK1183" s="1">
        <v>12.0</v>
      </c>
      <c r="AL1183" s="1">
        <v>116.0</v>
      </c>
      <c r="AM1183" s="1">
        <v>227.0</v>
      </c>
      <c r="AN1183" s="1">
        <v>114.0</v>
      </c>
      <c r="AO1183" s="1">
        <v>147.0</v>
      </c>
      <c r="AP1183" s="1">
        <v>0.10107</v>
      </c>
      <c r="AQ1183" s="1">
        <v>0.048185</v>
      </c>
      <c r="AR1183" s="1">
        <v>0.058792</v>
      </c>
      <c r="AS1183" s="1">
        <v>0.103661</v>
      </c>
      <c r="AT1183" s="1">
        <v>24678.0</v>
      </c>
      <c r="AU1183" s="1">
        <v>2234.0</v>
      </c>
      <c r="AV1183" s="1">
        <v>0.123622</v>
      </c>
      <c r="AW1183" s="1">
        <v>0.054721</v>
      </c>
      <c r="AX1183" s="1">
        <v>0.168308</v>
      </c>
      <c r="AY1183" s="1">
        <v>0.213133</v>
      </c>
      <c r="AZ1183" s="1">
        <v>0.17571884</v>
      </c>
      <c r="BA1183" s="1">
        <v>0.785296</v>
      </c>
      <c r="BB1183" s="1">
        <v>0.00327</v>
      </c>
      <c r="BC1183" s="1">
        <v>0.058326</v>
      </c>
      <c r="BD1183" s="1">
        <v>0.016939</v>
      </c>
      <c r="BE1183" s="1">
        <v>0.013659</v>
      </c>
      <c r="BF1183" s="1">
        <v>0.0</v>
      </c>
      <c r="BG1183" s="1">
        <v>0.033878</v>
      </c>
      <c r="BH1183" s="1">
        <v>0.003903</v>
      </c>
      <c r="BI1183" s="1">
        <v>0.037735</v>
      </c>
      <c r="BJ1183" s="1">
        <v>0.073845</v>
      </c>
      <c r="BK1183" s="1">
        <v>0.036806</v>
      </c>
      <c r="BL1183" s="1">
        <v>0.020985</v>
      </c>
      <c r="BM1183" s="1">
        <v>0.374</v>
      </c>
      <c r="BN1183" s="1">
        <v>0.402</v>
      </c>
      <c r="BO1183" s="1">
        <v>0.3617</v>
      </c>
      <c r="BP1183" s="1">
        <v>0.444</v>
      </c>
      <c r="BQ1183" s="1">
        <v>1.5817</v>
      </c>
      <c r="BR1183" s="1">
        <v>0.3661</v>
      </c>
      <c r="BS1183" s="1">
        <v>0.724</v>
      </c>
      <c r="BT1183" s="1">
        <v>0.249</v>
      </c>
      <c r="BU1183" s="1">
        <v>0.857</v>
      </c>
      <c r="BV1183" s="1">
        <v>1.83</v>
      </c>
      <c r="BW1183" s="1">
        <v>0.751</v>
      </c>
      <c r="BX1183" s="1">
        <v>0.923</v>
      </c>
      <c r="BY1183" s="1">
        <v>0.465</v>
      </c>
      <c r="BZ1183" s="1">
        <v>1.388</v>
      </c>
      <c r="CA1183" s="1">
        <v>0.761</v>
      </c>
      <c r="CB1183" s="1">
        <v>0.441</v>
      </c>
      <c r="CC1183" s="1">
        <v>0.0</v>
      </c>
      <c r="CD1183" s="1">
        <v>0.307</v>
      </c>
      <c r="CE1183" s="1">
        <v>0.644</v>
      </c>
      <c r="CF1183" s="1">
        <v>0.72</v>
      </c>
      <c r="CG1183" s="1">
        <v>2.112</v>
      </c>
      <c r="CH1183" s="1">
        <v>0.386</v>
      </c>
      <c r="CI1183" s="1">
        <v>6.9117</v>
      </c>
      <c r="CJ1183" s="1">
        <v>0.5343</v>
      </c>
      <c r="CK1183" s="1">
        <v>0.0</v>
      </c>
      <c r="CL1183" s="1">
        <v>0.0</v>
      </c>
      <c r="CM1183" s="1">
        <v>0.0</v>
      </c>
      <c r="CN1183" s="1">
        <v>0.0</v>
      </c>
      <c r="CO1183" s="1">
        <v>0.0</v>
      </c>
      <c r="CP1183" s="1">
        <v>0.0</v>
      </c>
      <c r="CQ1183" s="1">
        <v>0.0</v>
      </c>
      <c r="CR1183" s="1">
        <v>0.0</v>
      </c>
      <c r="CS1183" s="1">
        <v>0.0</v>
      </c>
      <c r="CT1183" s="1">
        <v>1.0</v>
      </c>
      <c r="CU1183" s="1">
        <v>0.0</v>
      </c>
      <c r="CV1183" s="1">
        <v>1.0</v>
      </c>
      <c r="CW1183" s="1">
        <v>0.0</v>
      </c>
      <c r="CX1183" s="1">
        <v>0.0</v>
      </c>
      <c r="CY1183" s="1">
        <v>0.0</v>
      </c>
      <c r="CZ1183" s="1">
        <v>0.0</v>
      </c>
      <c r="DA1183" s="1">
        <v>0.0</v>
      </c>
      <c r="DB1183" s="1">
        <v>0.0</v>
      </c>
      <c r="DC1183" s="1">
        <v>1.0</v>
      </c>
      <c r="DD1183" s="1" t="s">
        <v>5212</v>
      </c>
      <c r="DE1183" s="1">
        <v>3.53627254075169E-4</v>
      </c>
      <c r="DF1183" s="1">
        <v>0.089096289872329</v>
      </c>
    </row>
    <row r="1184" ht="15.75" customHeight="1">
      <c r="A1184" s="1" t="s">
        <v>5213</v>
      </c>
      <c r="B1184" s="1">
        <v>29.0</v>
      </c>
      <c r="C1184" s="1">
        <v>189.0</v>
      </c>
      <c r="D1184" s="1">
        <v>216100.0</v>
      </c>
      <c r="E1184" s="1">
        <v>0.646</v>
      </c>
      <c r="F1184" s="1">
        <v>29189.0</v>
      </c>
      <c r="G1184" s="1">
        <v>2.91892161E10</v>
      </c>
      <c r="H1184" s="1" t="s">
        <v>112</v>
      </c>
      <c r="I1184" s="1" t="s">
        <v>113</v>
      </c>
      <c r="J1184" s="1" t="s">
        <v>4566</v>
      </c>
      <c r="K1184" s="1" t="s">
        <v>5214</v>
      </c>
      <c r="L1184" s="1">
        <v>5479.0</v>
      </c>
      <c r="M1184" s="1">
        <v>5327.0</v>
      </c>
      <c r="N1184" s="1">
        <v>491.0</v>
      </c>
      <c r="O1184" s="1">
        <v>3135.0</v>
      </c>
      <c r="P1184" s="1">
        <v>2983.0</v>
      </c>
      <c r="Q1184" s="1">
        <v>168.0</v>
      </c>
      <c r="R1184" s="1">
        <v>2713.0</v>
      </c>
      <c r="S1184" s="1">
        <v>1931.0</v>
      </c>
      <c r="T1184" s="1">
        <v>466.0</v>
      </c>
      <c r="U1184" s="1">
        <v>151.0</v>
      </c>
      <c r="V1184" s="1">
        <v>403.0</v>
      </c>
      <c r="W1184" s="1">
        <v>28768.0</v>
      </c>
      <c r="X1184" s="1">
        <v>4720.0</v>
      </c>
      <c r="Y1184" s="1">
        <v>162.0</v>
      </c>
      <c r="Z1184" s="1">
        <v>356.0</v>
      </c>
      <c r="AA1184" s="1">
        <v>495.0</v>
      </c>
      <c r="AB1184" s="1">
        <v>857.0</v>
      </c>
      <c r="AC1184" s="1">
        <v>200.0</v>
      </c>
      <c r="AD1184" s="1">
        <v>2194.0</v>
      </c>
      <c r="AE1184" s="1">
        <v>125.0</v>
      </c>
      <c r="AF1184" s="1">
        <v>420.0</v>
      </c>
      <c r="AG1184" s="1">
        <v>498.0</v>
      </c>
      <c r="AH1184" s="1">
        <v>142.0</v>
      </c>
      <c r="AI1184" s="1">
        <v>0.0</v>
      </c>
      <c r="AJ1184" s="1">
        <v>114.0</v>
      </c>
      <c r="AK1184" s="1">
        <v>19.0</v>
      </c>
      <c r="AL1184" s="1">
        <v>117.0</v>
      </c>
      <c r="AM1184" s="1">
        <v>552.0</v>
      </c>
      <c r="AN1184" s="1">
        <v>214.0</v>
      </c>
      <c r="AO1184" s="1">
        <v>51.0</v>
      </c>
      <c r="AP1184" s="1">
        <v>0.367809</v>
      </c>
      <c r="AQ1184" s="1">
        <v>0.082512</v>
      </c>
      <c r="AR1184" s="1">
        <v>0.056533</v>
      </c>
      <c r="AS1184" s="1">
        <v>0.150651</v>
      </c>
      <c r="AT1184" s="1">
        <v>28768.0</v>
      </c>
      <c r="AU1184" s="1">
        <v>4720.0</v>
      </c>
      <c r="AV1184" s="1">
        <v>0.055214</v>
      </c>
      <c r="AW1184" s="1">
        <v>0.121195</v>
      </c>
      <c r="AX1184" s="1">
        <v>0.090344</v>
      </c>
      <c r="AY1184" s="1">
        <v>0.156415</v>
      </c>
      <c r="AZ1184" s="1">
        <v>0.07371913</v>
      </c>
      <c r="BA1184" s="1">
        <v>0.400438</v>
      </c>
      <c r="BB1184" s="1">
        <v>0.025221</v>
      </c>
      <c r="BC1184" s="1">
        <v>0.084721</v>
      </c>
      <c r="BD1184" s="1">
        <v>0.166946</v>
      </c>
      <c r="BE1184" s="1">
        <v>0.046665</v>
      </c>
      <c r="BF1184" s="1">
        <v>0.0</v>
      </c>
      <c r="BG1184" s="1">
        <v>0.038216</v>
      </c>
      <c r="BH1184" s="1">
        <v>0.007483</v>
      </c>
      <c r="BI1184" s="1">
        <v>0.046077</v>
      </c>
      <c r="BJ1184" s="1">
        <v>0.217408</v>
      </c>
      <c r="BK1184" s="1">
        <v>0.0827</v>
      </c>
      <c r="BL1184" s="1">
        <v>0.009308</v>
      </c>
      <c r="BM1184" s="1">
        <v>0.935</v>
      </c>
      <c r="BN1184" s="1">
        <v>0.375</v>
      </c>
      <c r="BO1184" s="1">
        <v>0.2274</v>
      </c>
      <c r="BP1184" s="1">
        <v>0.148</v>
      </c>
      <c r="BQ1184" s="1">
        <v>1.6854</v>
      </c>
      <c r="BR1184" s="1">
        <v>0.3978</v>
      </c>
      <c r="BS1184" s="1">
        <v>0.161</v>
      </c>
      <c r="BT1184" s="1">
        <v>0.077</v>
      </c>
      <c r="BU1184" s="1">
        <v>0.246</v>
      </c>
      <c r="BV1184" s="1">
        <v>0.484</v>
      </c>
      <c r="BW1184" s="1">
        <v>0.033</v>
      </c>
      <c r="BX1184" s="1">
        <v>0.842</v>
      </c>
      <c r="BY1184" s="1">
        <v>0.893</v>
      </c>
      <c r="BZ1184" s="1">
        <v>1.735</v>
      </c>
      <c r="CA1184" s="1">
        <v>0.939</v>
      </c>
      <c r="CB1184" s="1">
        <v>0.863</v>
      </c>
      <c r="CC1184" s="1">
        <v>0.0</v>
      </c>
      <c r="CD1184" s="1">
        <v>0.412</v>
      </c>
      <c r="CE1184" s="1">
        <v>0.922</v>
      </c>
      <c r="CF1184" s="1">
        <v>0.564</v>
      </c>
      <c r="CG1184" s="1">
        <v>2.761</v>
      </c>
      <c r="CH1184" s="1">
        <v>0.67</v>
      </c>
      <c r="CI1184" s="1">
        <v>6.6654</v>
      </c>
      <c r="CJ1184" s="1">
        <v>0.4859</v>
      </c>
      <c r="CK1184" s="1">
        <v>1.0</v>
      </c>
      <c r="CL1184" s="1">
        <v>0.0</v>
      </c>
      <c r="CM1184" s="1">
        <v>0.0</v>
      </c>
      <c r="CN1184" s="1">
        <v>0.0</v>
      </c>
      <c r="CO1184" s="1">
        <v>1.0</v>
      </c>
      <c r="CP1184" s="1">
        <v>0.0</v>
      </c>
      <c r="CQ1184" s="1">
        <v>0.0</v>
      </c>
      <c r="CR1184" s="1">
        <v>0.0</v>
      </c>
      <c r="CS1184" s="1">
        <v>0.0</v>
      </c>
      <c r="CT1184" s="1">
        <v>0.0</v>
      </c>
      <c r="CU1184" s="1">
        <v>0.0</v>
      </c>
      <c r="CV1184" s="1">
        <v>0.0</v>
      </c>
      <c r="CW1184" s="1">
        <v>0.0</v>
      </c>
      <c r="CX1184" s="1">
        <v>0.0</v>
      </c>
      <c r="CY1184" s="1">
        <v>0.0</v>
      </c>
      <c r="CZ1184" s="1">
        <v>1.0</v>
      </c>
      <c r="DA1184" s="1">
        <v>0.0</v>
      </c>
      <c r="DB1184" s="1">
        <v>1.0</v>
      </c>
      <c r="DC1184" s="1">
        <v>2.0</v>
      </c>
      <c r="DD1184" s="1" t="s">
        <v>5215</v>
      </c>
      <c r="DE1184" s="1">
        <v>1.72287668088888E-4</v>
      </c>
      <c r="DF1184" s="1">
        <v>0.0593229189876869</v>
      </c>
    </row>
    <row r="1185" ht="15.75" customHeight="1">
      <c r="A1185" s="1" t="s">
        <v>5216</v>
      </c>
      <c r="B1185" s="1">
        <v>29.0</v>
      </c>
      <c r="C1185" s="1">
        <v>189.0</v>
      </c>
      <c r="D1185" s="1">
        <v>216200.0</v>
      </c>
      <c r="E1185" s="1">
        <v>1.095</v>
      </c>
      <c r="F1185" s="1">
        <v>29189.0</v>
      </c>
      <c r="G1185" s="1">
        <v>2.91892162E10</v>
      </c>
      <c r="H1185" s="1" t="s">
        <v>112</v>
      </c>
      <c r="I1185" s="1" t="s">
        <v>113</v>
      </c>
      <c r="J1185" s="1" t="s">
        <v>4566</v>
      </c>
      <c r="K1185" s="1" t="s">
        <v>5217</v>
      </c>
      <c r="L1185" s="1">
        <v>7589.0</v>
      </c>
      <c r="M1185" s="1">
        <v>7314.0</v>
      </c>
      <c r="N1185" s="1">
        <v>527.0</v>
      </c>
      <c r="O1185" s="1">
        <v>3629.0</v>
      </c>
      <c r="P1185" s="1">
        <v>3709.0</v>
      </c>
      <c r="Q1185" s="1">
        <v>134.0</v>
      </c>
      <c r="R1185" s="1">
        <v>3343.0</v>
      </c>
      <c r="S1185" s="1">
        <v>405.0</v>
      </c>
      <c r="T1185" s="1">
        <v>206.0</v>
      </c>
      <c r="U1185" s="1">
        <v>115.0</v>
      </c>
      <c r="V1185" s="1">
        <v>433.0</v>
      </c>
      <c r="W1185" s="1">
        <v>48286.0</v>
      </c>
      <c r="X1185" s="1">
        <v>5189.0</v>
      </c>
      <c r="Y1185" s="1">
        <v>172.0</v>
      </c>
      <c r="Z1185" s="1">
        <v>361.0</v>
      </c>
      <c r="AA1185" s="1">
        <v>882.0</v>
      </c>
      <c r="AB1185" s="1">
        <v>1583.0</v>
      </c>
      <c r="AC1185" s="1">
        <v>196.0</v>
      </c>
      <c r="AD1185" s="1">
        <v>1562.0</v>
      </c>
      <c r="AE1185" s="1">
        <v>14.0</v>
      </c>
      <c r="AF1185" s="1">
        <v>442.0</v>
      </c>
      <c r="AG1185" s="1">
        <v>119.0</v>
      </c>
      <c r="AH1185" s="1">
        <v>93.0</v>
      </c>
      <c r="AI1185" s="1">
        <v>0.0</v>
      </c>
      <c r="AJ1185" s="1">
        <v>114.0</v>
      </c>
      <c r="AK1185" s="1">
        <v>0.0</v>
      </c>
      <c r="AL1185" s="1">
        <v>161.0</v>
      </c>
      <c r="AM1185" s="1">
        <v>174.0</v>
      </c>
      <c r="AN1185" s="1">
        <v>121.0</v>
      </c>
      <c r="AO1185" s="1">
        <v>10.0</v>
      </c>
      <c r="AP1185" s="1">
        <v>0.055555</v>
      </c>
      <c r="AQ1185" s="1">
        <v>0.027975</v>
      </c>
      <c r="AR1185" s="1">
        <v>0.028021</v>
      </c>
      <c r="AS1185" s="1">
        <v>0.105467</v>
      </c>
      <c r="AT1185" s="1">
        <v>48286.0</v>
      </c>
      <c r="AU1185" s="1">
        <v>5189.0</v>
      </c>
      <c r="AV1185" s="1">
        <v>0.033456</v>
      </c>
      <c r="AW1185" s="1">
        <v>0.070187</v>
      </c>
      <c r="AX1185" s="1">
        <v>0.11622</v>
      </c>
      <c r="AY1185" s="1">
        <v>0.208591</v>
      </c>
      <c r="AZ1185" s="1">
        <v>0.05862997</v>
      </c>
      <c r="BA1185" s="1">
        <v>0.205824</v>
      </c>
      <c r="BB1185" s="1">
        <v>0.002071</v>
      </c>
      <c r="BC1185" s="1">
        <v>0.065384</v>
      </c>
      <c r="BD1185" s="1">
        <v>0.032084</v>
      </c>
      <c r="BE1185" s="1">
        <v>0.025047</v>
      </c>
      <c r="BF1185" s="1">
        <v>0.0</v>
      </c>
      <c r="BG1185" s="1">
        <v>0.030736</v>
      </c>
      <c r="BH1185" s="1">
        <v>0.0</v>
      </c>
      <c r="BI1185" s="1">
        <v>0.049584</v>
      </c>
      <c r="BJ1185" s="1">
        <v>0.053587</v>
      </c>
      <c r="BK1185" s="1">
        <v>0.037109</v>
      </c>
      <c r="BL1185" s="1">
        <v>0.001317</v>
      </c>
      <c r="BM1185" s="1">
        <v>0.191</v>
      </c>
      <c r="BN1185" s="1">
        <v>0.072</v>
      </c>
      <c r="BO1185" s="1">
        <v>0.0296</v>
      </c>
      <c r="BP1185" s="1">
        <v>0.073</v>
      </c>
      <c r="BQ1185" s="1">
        <v>0.3656</v>
      </c>
      <c r="BR1185" s="1">
        <v>0.031</v>
      </c>
      <c r="BS1185" s="1">
        <v>0.317</v>
      </c>
      <c r="BT1185" s="1">
        <v>0.229</v>
      </c>
      <c r="BU1185" s="1">
        <v>0.123</v>
      </c>
      <c r="BV1185" s="1">
        <v>0.669</v>
      </c>
      <c r="BW1185" s="1">
        <v>0.052</v>
      </c>
      <c r="BX1185" s="1">
        <v>0.716</v>
      </c>
      <c r="BY1185" s="1">
        <v>0.384</v>
      </c>
      <c r="BZ1185" s="1">
        <v>1.1</v>
      </c>
      <c r="CA1185" s="1">
        <v>0.615</v>
      </c>
      <c r="CB1185" s="1">
        <v>0.559</v>
      </c>
      <c r="CC1185" s="1">
        <v>0.0</v>
      </c>
      <c r="CD1185" s="1">
        <v>0.0</v>
      </c>
      <c r="CE1185" s="1">
        <v>0.515</v>
      </c>
      <c r="CF1185" s="1">
        <v>0.417</v>
      </c>
      <c r="CG1185" s="1">
        <v>1.491</v>
      </c>
      <c r="CH1185" s="1">
        <v>0.173</v>
      </c>
      <c r="CI1185" s="1">
        <v>3.6256</v>
      </c>
      <c r="CJ1185" s="1">
        <v>0.0505</v>
      </c>
      <c r="CK1185" s="1">
        <v>0.0</v>
      </c>
      <c r="CL1185" s="1">
        <v>0.0</v>
      </c>
      <c r="CM1185" s="1">
        <v>0.0</v>
      </c>
      <c r="CN1185" s="1">
        <v>0.0</v>
      </c>
      <c r="CO1185" s="1">
        <v>0.0</v>
      </c>
      <c r="CP1185" s="1">
        <v>0.0</v>
      </c>
      <c r="CQ1185" s="1">
        <v>0.0</v>
      </c>
      <c r="CR1185" s="1">
        <v>0.0</v>
      </c>
      <c r="CS1185" s="1">
        <v>0.0</v>
      </c>
      <c r="CT1185" s="1">
        <v>0.0</v>
      </c>
      <c r="CU1185" s="1">
        <v>0.0</v>
      </c>
      <c r="CV1185" s="1">
        <v>0.0</v>
      </c>
      <c r="CW1185" s="1">
        <v>0.0</v>
      </c>
      <c r="CX1185" s="1">
        <v>0.0</v>
      </c>
      <c r="CY1185" s="1">
        <v>0.0</v>
      </c>
      <c r="CZ1185" s="1">
        <v>0.0</v>
      </c>
      <c r="DA1185" s="1">
        <v>0.0</v>
      </c>
      <c r="DB1185" s="1">
        <v>0.0</v>
      </c>
      <c r="DC1185" s="1">
        <v>0.0</v>
      </c>
      <c r="DD1185" s="1" t="s">
        <v>5218</v>
      </c>
      <c r="DE1185" s="1">
        <v>2.95355028087894E-4</v>
      </c>
      <c r="DF1185" s="1">
        <v>0.0733604558681407</v>
      </c>
    </row>
    <row r="1186" ht="15.75" customHeight="1">
      <c r="A1186" s="1" t="s">
        <v>5219</v>
      </c>
      <c r="B1186" s="1">
        <v>29.0</v>
      </c>
      <c r="C1186" s="1">
        <v>189.0</v>
      </c>
      <c r="D1186" s="1">
        <v>216300.0</v>
      </c>
      <c r="E1186" s="1">
        <v>0.756</v>
      </c>
      <c r="F1186" s="1">
        <v>29189.0</v>
      </c>
      <c r="G1186" s="1">
        <v>2.91892163E10</v>
      </c>
      <c r="H1186" s="1" t="s">
        <v>112</v>
      </c>
      <c r="I1186" s="1" t="s">
        <v>113</v>
      </c>
      <c r="J1186" s="1" t="s">
        <v>4566</v>
      </c>
      <c r="K1186" s="1" t="s">
        <v>5220</v>
      </c>
      <c r="L1186" s="1">
        <v>6924.0</v>
      </c>
      <c r="M1186" s="1">
        <v>7178.0</v>
      </c>
      <c r="N1186" s="1">
        <v>625.0</v>
      </c>
      <c r="O1186" s="1">
        <v>1345.0</v>
      </c>
      <c r="P1186" s="1">
        <v>1645.0</v>
      </c>
      <c r="Q1186" s="1">
        <v>83.0</v>
      </c>
      <c r="R1186" s="1">
        <v>1190.0</v>
      </c>
      <c r="S1186" s="1">
        <v>551.0</v>
      </c>
      <c r="T1186" s="1">
        <v>220.0</v>
      </c>
      <c r="U1186" s="1">
        <v>150.0</v>
      </c>
      <c r="V1186" s="1">
        <v>432.0</v>
      </c>
      <c r="W1186" s="1">
        <v>22506.0</v>
      </c>
      <c r="X1186" s="1">
        <v>4291.0</v>
      </c>
      <c r="Y1186" s="1">
        <v>0.0</v>
      </c>
      <c r="Z1186" s="1">
        <v>456.0</v>
      </c>
      <c r="AA1186" s="1">
        <v>232.0</v>
      </c>
      <c r="AB1186" s="1">
        <v>625.0</v>
      </c>
      <c r="AC1186" s="1">
        <v>67.0</v>
      </c>
      <c r="AD1186" s="1">
        <v>1852.0</v>
      </c>
      <c r="AE1186" s="1">
        <v>27.0</v>
      </c>
      <c r="AF1186" s="1">
        <v>428.0</v>
      </c>
      <c r="AG1186" s="1">
        <v>58.0</v>
      </c>
      <c r="AH1186" s="1">
        <v>120.0</v>
      </c>
      <c r="AI1186" s="1">
        <v>0.0</v>
      </c>
      <c r="AJ1186" s="1">
        <v>114.0</v>
      </c>
      <c r="AK1186" s="1">
        <v>52.0</v>
      </c>
      <c r="AL1186" s="1">
        <v>119.0</v>
      </c>
      <c r="AM1186" s="1">
        <v>36.0</v>
      </c>
      <c r="AN1186" s="1">
        <v>118.0</v>
      </c>
      <c r="AO1186" s="1">
        <v>4277.0</v>
      </c>
      <c r="AP1186" s="1">
        <v>0.152631</v>
      </c>
      <c r="AQ1186" s="1">
        <v>0.059879</v>
      </c>
      <c r="AR1186" s="1">
        <v>0.056264</v>
      </c>
      <c r="AS1186" s="1">
        <v>0.161881</v>
      </c>
      <c r="AT1186" s="1">
        <v>22506.0</v>
      </c>
      <c r="AU1186" s="1">
        <v>4291.0</v>
      </c>
      <c r="AV1186" s="1">
        <v>0.0</v>
      </c>
      <c r="AW1186" s="1">
        <v>0.200439</v>
      </c>
      <c r="AX1186" s="1">
        <v>0.033506</v>
      </c>
      <c r="AY1186" s="1">
        <v>0.090265</v>
      </c>
      <c r="AZ1186" s="1">
        <v>0.05630252</v>
      </c>
      <c r="BA1186" s="1">
        <v>0.267475</v>
      </c>
      <c r="BB1186" s="1">
        <v>0.003835</v>
      </c>
      <c r="BC1186" s="1">
        <v>0.060794</v>
      </c>
      <c r="BD1186" s="1">
        <v>0.035258</v>
      </c>
      <c r="BE1186" s="1">
        <v>0.072926</v>
      </c>
      <c r="BF1186" s="1">
        <v>0.0</v>
      </c>
      <c r="BG1186" s="1">
        <v>0.0693</v>
      </c>
      <c r="BH1186" s="1">
        <v>0.033986</v>
      </c>
      <c r="BI1186" s="1">
        <v>0.077746</v>
      </c>
      <c r="BJ1186" s="1">
        <v>0.023529</v>
      </c>
      <c r="BK1186" s="1">
        <v>0.077109</v>
      </c>
      <c r="BL1186" s="1">
        <v>0.617706</v>
      </c>
      <c r="BM1186" s="1">
        <v>0.587</v>
      </c>
      <c r="BN1186" s="1">
        <v>0.371</v>
      </c>
      <c r="BO1186" s="1">
        <v>0.4679</v>
      </c>
      <c r="BP1186" s="1">
        <v>0.0</v>
      </c>
      <c r="BQ1186" s="1">
        <v>1.4259</v>
      </c>
      <c r="BR1186" s="1">
        <v>0.3206</v>
      </c>
      <c r="BS1186" s="1">
        <v>0.011</v>
      </c>
      <c r="BT1186" s="1">
        <v>0.02</v>
      </c>
      <c r="BU1186" s="1">
        <v>0.112</v>
      </c>
      <c r="BV1186" s="1">
        <v>0.143</v>
      </c>
      <c r="BW1186" s="1">
        <v>0.01</v>
      </c>
      <c r="BX1186" s="1">
        <v>0.773</v>
      </c>
      <c r="BY1186" s="1">
        <v>0.504</v>
      </c>
      <c r="BZ1186" s="1">
        <v>1.277</v>
      </c>
      <c r="CA1186" s="1">
        <v>0.7</v>
      </c>
      <c r="CB1186" s="1">
        <v>0.58</v>
      </c>
      <c r="CC1186" s="1">
        <v>0.0</v>
      </c>
      <c r="CD1186" s="1">
        <v>0.852</v>
      </c>
      <c r="CE1186" s="1">
        <v>0.223</v>
      </c>
      <c r="CF1186" s="1">
        <v>0.996</v>
      </c>
      <c r="CG1186" s="1">
        <v>2.651</v>
      </c>
      <c r="CH1186" s="1">
        <v>0.623</v>
      </c>
      <c r="CI1186" s="1">
        <v>5.4969</v>
      </c>
      <c r="CJ1186" s="1">
        <v>0.2823</v>
      </c>
      <c r="CK1186" s="1">
        <v>0.0</v>
      </c>
      <c r="CL1186" s="1">
        <v>0.0</v>
      </c>
      <c r="CM1186" s="1">
        <v>0.0</v>
      </c>
      <c r="CN1186" s="1">
        <v>0.0</v>
      </c>
      <c r="CO1186" s="1">
        <v>0.0</v>
      </c>
      <c r="CP1186" s="1">
        <v>0.0</v>
      </c>
      <c r="CQ1186" s="1">
        <v>0.0</v>
      </c>
      <c r="CR1186" s="1">
        <v>0.0</v>
      </c>
      <c r="CS1186" s="1">
        <v>0.0</v>
      </c>
      <c r="CT1186" s="1">
        <v>0.0</v>
      </c>
      <c r="CU1186" s="1">
        <v>0.0</v>
      </c>
      <c r="CV1186" s="1">
        <v>0.0</v>
      </c>
      <c r="CW1186" s="1">
        <v>0.0</v>
      </c>
      <c r="CX1186" s="1">
        <v>0.0</v>
      </c>
      <c r="CY1186" s="1">
        <v>0.0</v>
      </c>
      <c r="CZ1186" s="1">
        <v>0.0</v>
      </c>
      <c r="DA1186" s="1">
        <v>1.0</v>
      </c>
      <c r="DB1186" s="1">
        <v>1.0</v>
      </c>
      <c r="DC1186" s="1">
        <v>1.0</v>
      </c>
      <c r="DD1186" s="1" t="s">
        <v>5221</v>
      </c>
      <c r="DE1186" s="1">
        <v>2.02974617412613E-4</v>
      </c>
      <c r="DF1186" s="1">
        <v>0.0580180344414899</v>
      </c>
    </row>
    <row r="1187" ht="15.75" customHeight="1">
      <c r="A1187" s="1" t="s">
        <v>5222</v>
      </c>
      <c r="B1187" s="1">
        <v>29.0</v>
      </c>
      <c r="C1187" s="1">
        <v>189.0</v>
      </c>
      <c r="D1187" s="1">
        <v>216400.0</v>
      </c>
      <c r="E1187" s="1">
        <v>1.024</v>
      </c>
      <c r="F1187" s="1">
        <v>29189.0</v>
      </c>
      <c r="G1187" s="1">
        <v>2.91892164E10</v>
      </c>
      <c r="H1187" s="1" t="s">
        <v>112</v>
      </c>
      <c r="I1187" s="1" t="s">
        <v>113</v>
      </c>
      <c r="J1187" s="1" t="s">
        <v>4566</v>
      </c>
      <c r="K1187" s="1" t="s">
        <v>5223</v>
      </c>
      <c r="L1187" s="1">
        <v>5537.0</v>
      </c>
      <c r="M1187" s="1">
        <v>6565.0</v>
      </c>
      <c r="N1187" s="1">
        <v>342.0</v>
      </c>
      <c r="O1187" s="1">
        <v>2915.0</v>
      </c>
      <c r="P1187" s="1">
        <v>3368.0</v>
      </c>
      <c r="Q1187" s="1">
        <v>190.0</v>
      </c>
      <c r="R1187" s="1">
        <v>2548.0</v>
      </c>
      <c r="S1187" s="1">
        <v>344.0</v>
      </c>
      <c r="T1187" s="1">
        <v>137.0</v>
      </c>
      <c r="U1187" s="1">
        <v>89.0</v>
      </c>
      <c r="V1187" s="1">
        <v>477.0</v>
      </c>
      <c r="W1187" s="1">
        <v>73712.0</v>
      </c>
      <c r="X1187" s="1">
        <v>11436.0</v>
      </c>
      <c r="Y1187" s="1">
        <v>49.0</v>
      </c>
      <c r="Z1187" s="1">
        <v>429.0</v>
      </c>
      <c r="AA1187" s="1">
        <v>777.0</v>
      </c>
      <c r="AB1187" s="1">
        <v>1304.0</v>
      </c>
      <c r="AC1187" s="1">
        <v>171.0</v>
      </c>
      <c r="AD1187" s="1">
        <v>990.0</v>
      </c>
      <c r="AE1187" s="1">
        <v>27.0</v>
      </c>
      <c r="AF1187" s="1">
        <v>443.0</v>
      </c>
      <c r="AG1187" s="1">
        <v>926.0</v>
      </c>
      <c r="AH1187" s="1">
        <v>202.0</v>
      </c>
      <c r="AI1187" s="1">
        <v>0.0</v>
      </c>
      <c r="AJ1187" s="1">
        <v>114.0</v>
      </c>
      <c r="AK1187" s="1">
        <v>18.0</v>
      </c>
      <c r="AL1187" s="1">
        <v>117.0</v>
      </c>
      <c r="AM1187" s="1">
        <v>41.0</v>
      </c>
      <c r="AN1187" s="1">
        <v>123.0</v>
      </c>
      <c r="AO1187" s="1">
        <v>0.0</v>
      </c>
      <c r="AP1187" s="1">
        <v>0.052527</v>
      </c>
      <c r="AQ1187" s="1">
        <v>0.020738</v>
      </c>
      <c r="AR1187" s="1">
        <v>0.025955</v>
      </c>
      <c r="AS1187" s="1">
        <v>0.13907</v>
      </c>
      <c r="AT1187" s="1">
        <v>73712.0</v>
      </c>
      <c r="AU1187" s="1">
        <v>11436.0</v>
      </c>
      <c r="AV1187" s="1">
        <v>0.01032</v>
      </c>
      <c r="AW1187" s="1">
        <v>0.090351</v>
      </c>
      <c r="AX1187" s="1">
        <v>0.140328</v>
      </c>
      <c r="AY1187" s="1">
        <v>0.235506</v>
      </c>
      <c r="AZ1187" s="1">
        <v>0.06711145</v>
      </c>
      <c r="BA1187" s="1">
        <v>0.178797</v>
      </c>
      <c r="BB1187" s="1">
        <v>0.004384</v>
      </c>
      <c r="BC1187" s="1">
        <v>0.071938</v>
      </c>
      <c r="BD1187" s="1">
        <v>0.27494</v>
      </c>
      <c r="BE1187" s="1">
        <v>0.057936</v>
      </c>
      <c r="BF1187" s="1">
        <v>0.0</v>
      </c>
      <c r="BG1187" s="1">
        <v>0.033847</v>
      </c>
      <c r="BH1187" s="1">
        <v>0.006034</v>
      </c>
      <c r="BI1187" s="1">
        <v>0.03922</v>
      </c>
      <c r="BJ1187" s="1">
        <v>0.013744</v>
      </c>
      <c r="BK1187" s="1">
        <v>0.041224</v>
      </c>
      <c r="BL1187" s="1">
        <v>0.0</v>
      </c>
      <c r="BM1187" s="1">
        <v>0.179</v>
      </c>
      <c r="BN1187" s="1">
        <v>0.057</v>
      </c>
      <c r="BO1187" s="1">
        <v>0.0029</v>
      </c>
      <c r="BP1187" s="1">
        <v>0.016</v>
      </c>
      <c r="BQ1187" s="1">
        <v>0.2549</v>
      </c>
      <c r="BR1187" s="1">
        <v>0.0108</v>
      </c>
      <c r="BS1187" s="1">
        <v>0.5</v>
      </c>
      <c r="BT1187" s="1">
        <v>0.445</v>
      </c>
      <c r="BU1187" s="1">
        <v>0.19</v>
      </c>
      <c r="BV1187" s="1">
        <v>1.135</v>
      </c>
      <c r="BW1187" s="1">
        <v>0.189</v>
      </c>
      <c r="BX1187" s="1">
        <v>0.675</v>
      </c>
      <c r="BY1187" s="1">
        <v>0.53</v>
      </c>
      <c r="BZ1187" s="1">
        <v>1.205</v>
      </c>
      <c r="CA1187" s="1">
        <v>0.664</v>
      </c>
      <c r="CB1187" s="1">
        <v>0.93</v>
      </c>
      <c r="CC1187" s="1">
        <v>0.0</v>
      </c>
      <c r="CD1187" s="1">
        <v>0.358</v>
      </c>
      <c r="CE1187" s="1">
        <v>0.124</v>
      </c>
      <c r="CF1187" s="1">
        <v>0.0</v>
      </c>
      <c r="CG1187" s="1">
        <v>1.412</v>
      </c>
      <c r="CH1187" s="1">
        <v>0.151</v>
      </c>
      <c r="CI1187" s="1">
        <v>4.0069</v>
      </c>
      <c r="CJ1187" s="1">
        <v>0.0859</v>
      </c>
      <c r="CK1187" s="1">
        <v>0.0</v>
      </c>
      <c r="CL1187" s="1">
        <v>0.0</v>
      </c>
      <c r="CM1187" s="1">
        <v>0.0</v>
      </c>
      <c r="CN1187" s="1">
        <v>0.0</v>
      </c>
      <c r="CO1187" s="1">
        <v>0.0</v>
      </c>
      <c r="CP1187" s="1">
        <v>0.0</v>
      </c>
      <c r="CQ1187" s="1">
        <v>0.0</v>
      </c>
      <c r="CR1187" s="1">
        <v>0.0</v>
      </c>
      <c r="CS1187" s="1">
        <v>0.0</v>
      </c>
      <c r="CT1187" s="1">
        <v>0.0</v>
      </c>
      <c r="CU1187" s="1">
        <v>0.0</v>
      </c>
      <c r="CV1187" s="1">
        <v>0.0</v>
      </c>
      <c r="CW1187" s="1">
        <v>1.0</v>
      </c>
      <c r="CX1187" s="1">
        <v>0.0</v>
      </c>
      <c r="CY1187" s="1">
        <v>0.0</v>
      </c>
      <c r="CZ1187" s="1">
        <v>0.0</v>
      </c>
      <c r="DA1187" s="1">
        <v>0.0</v>
      </c>
      <c r="DB1187" s="1">
        <v>1.0</v>
      </c>
      <c r="DC1187" s="1">
        <v>1.0</v>
      </c>
      <c r="DD1187" s="1" t="s">
        <v>5224</v>
      </c>
      <c r="DE1187" s="1">
        <v>2.74366155936957E-4</v>
      </c>
      <c r="DF1187" s="1">
        <v>0.0771283513198888</v>
      </c>
    </row>
    <row r="1188" ht="15.75" customHeight="1">
      <c r="A1188" s="1" t="s">
        <v>5225</v>
      </c>
      <c r="B1188" s="1">
        <v>29.0</v>
      </c>
      <c r="C1188" s="1">
        <v>189.0</v>
      </c>
      <c r="D1188" s="1">
        <v>216500.0</v>
      </c>
      <c r="E1188" s="1">
        <v>0.873</v>
      </c>
      <c r="F1188" s="1">
        <v>29189.0</v>
      </c>
      <c r="G1188" s="1">
        <v>2.91892165E10</v>
      </c>
      <c r="H1188" s="1" t="s">
        <v>112</v>
      </c>
      <c r="I1188" s="1" t="s">
        <v>113</v>
      </c>
      <c r="J1188" s="1" t="s">
        <v>4566</v>
      </c>
      <c r="K1188" s="1" t="s">
        <v>5226</v>
      </c>
      <c r="L1188" s="1">
        <v>4450.0</v>
      </c>
      <c r="M1188" s="1">
        <v>5033.0</v>
      </c>
      <c r="N1188" s="1">
        <v>318.0</v>
      </c>
      <c r="O1188" s="1">
        <v>2061.0</v>
      </c>
      <c r="P1188" s="1">
        <v>2156.0</v>
      </c>
      <c r="Q1188" s="1">
        <v>124.0</v>
      </c>
      <c r="R1188" s="1">
        <v>1584.0</v>
      </c>
      <c r="S1188" s="1">
        <v>85.0</v>
      </c>
      <c r="T1188" s="1">
        <v>57.0</v>
      </c>
      <c r="U1188" s="1">
        <v>62.0</v>
      </c>
      <c r="V1188" s="1">
        <v>444.0</v>
      </c>
      <c r="W1188" s="1">
        <v>54100.0</v>
      </c>
      <c r="X1188" s="1">
        <v>8191.0</v>
      </c>
      <c r="Y1188" s="1">
        <v>355.0</v>
      </c>
      <c r="Z1188" s="1">
        <v>293.0</v>
      </c>
      <c r="AA1188" s="1">
        <v>864.0</v>
      </c>
      <c r="AB1188" s="1">
        <v>588.0</v>
      </c>
      <c r="AC1188" s="1">
        <v>81.0</v>
      </c>
      <c r="AD1188" s="1">
        <v>1330.0</v>
      </c>
      <c r="AE1188" s="1">
        <v>38.0</v>
      </c>
      <c r="AF1188" s="1">
        <v>413.0</v>
      </c>
      <c r="AG1188" s="1">
        <v>608.0</v>
      </c>
      <c r="AH1188" s="1">
        <v>173.0</v>
      </c>
      <c r="AI1188" s="1">
        <v>0.0</v>
      </c>
      <c r="AJ1188" s="1">
        <v>114.0</v>
      </c>
      <c r="AK1188" s="1">
        <v>0.0</v>
      </c>
      <c r="AL1188" s="1">
        <v>161.0</v>
      </c>
      <c r="AM1188" s="1">
        <v>59.0</v>
      </c>
      <c r="AN1188" s="1">
        <v>42.0</v>
      </c>
      <c r="AO1188" s="1">
        <v>1352.0</v>
      </c>
      <c r="AP1188" s="1">
        <v>0.024127</v>
      </c>
      <c r="AQ1188" s="1">
        <v>0.01609</v>
      </c>
      <c r="AR1188" s="1">
        <v>0.037014</v>
      </c>
      <c r="AS1188" s="1">
        <v>0.265011</v>
      </c>
      <c r="AT1188" s="1">
        <v>54100.0</v>
      </c>
      <c r="AU1188" s="1">
        <v>8191.0</v>
      </c>
      <c r="AV1188" s="1">
        <v>0.096284</v>
      </c>
      <c r="AW1188" s="1">
        <v>0.079311</v>
      </c>
      <c r="AX1188" s="1">
        <v>0.194157</v>
      </c>
      <c r="AY1188" s="1">
        <v>0.132134</v>
      </c>
      <c r="AZ1188" s="1">
        <v>0.05113636</v>
      </c>
      <c r="BA1188" s="1">
        <v>0.298876</v>
      </c>
      <c r="BB1188" s="1">
        <v>0.007722</v>
      </c>
      <c r="BC1188" s="1">
        <v>0.083924</v>
      </c>
      <c r="BD1188" s="1">
        <v>0.282003</v>
      </c>
      <c r="BE1188" s="1">
        <v>0.078584</v>
      </c>
      <c r="BF1188" s="1">
        <v>0.0</v>
      </c>
      <c r="BG1188" s="1">
        <v>0.052875</v>
      </c>
      <c r="BH1188" s="1">
        <v>0.0</v>
      </c>
      <c r="BI1188" s="1">
        <v>0.089394</v>
      </c>
      <c r="BJ1188" s="1">
        <v>0.032759</v>
      </c>
      <c r="BK1188" s="1">
        <v>0.023166</v>
      </c>
      <c r="BL1188" s="1">
        <v>0.30382</v>
      </c>
      <c r="BM1188" s="1">
        <v>0.07</v>
      </c>
      <c r="BN1188" s="1">
        <v>0.157</v>
      </c>
      <c r="BO1188" s="1">
        <v>0.0202</v>
      </c>
      <c r="BP1188" s="1">
        <v>0.319</v>
      </c>
      <c r="BQ1188" s="1">
        <v>0.5662</v>
      </c>
      <c r="BR1188" s="1">
        <v>0.0845</v>
      </c>
      <c r="BS1188" s="1">
        <v>0.854</v>
      </c>
      <c r="BT1188" s="1">
        <v>0.043</v>
      </c>
      <c r="BU1188" s="1">
        <v>0.081</v>
      </c>
      <c r="BV1188" s="1">
        <v>0.978</v>
      </c>
      <c r="BW1188" s="1">
        <v>0.107</v>
      </c>
      <c r="BX1188" s="1">
        <v>0.787</v>
      </c>
      <c r="BY1188" s="1">
        <v>0.656</v>
      </c>
      <c r="BZ1188" s="1">
        <v>1.443</v>
      </c>
      <c r="CA1188" s="1">
        <v>0.789</v>
      </c>
      <c r="CB1188" s="1">
        <v>0.934</v>
      </c>
      <c r="CC1188" s="1">
        <v>0.0</v>
      </c>
      <c r="CD1188" s="1">
        <v>0.0</v>
      </c>
      <c r="CE1188" s="1">
        <v>0.311</v>
      </c>
      <c r="CF1188" s="1">
        <v>0.979</v>
      </c>
      <c r="CG1188" s="1">
        <v>2.224</v>
      </c>
      <c r="CH1188" s="1">
        <v>0.427</v>
      </c>
      <c r="CI1188" s="1">
        <v>5.2112</v>
      </c>
      <c r="CJ1188" s="1">
        <v>0.2318</v>
      </c>
      <c r="CK1188" s="1">
        <v>0.0</v>
      </c>
      <c r="CL1188" s="1">
        <v>0.0</v>
      </c>
      <c r="CM1188" s="1">
        <v>0.0</v>
      </c>
      <c r="CN1188" s="1">
        <v>0.0</v>
      </c>
      <c r="CO1188" s="1">
        <v>0.0</v>
      </c>
      <c r="CP1188" s="1">
        <v>0.0</v>
      </c>
      <c r="CQ1188" s="1">
        <v>0.0</v>
      </c>
      <c r="CR1188" s="1">
        <v>0.0</v>
      </c>
      <c r="CS1188" s="1">
        <v>0.0</v>
      </c>
      <c r="CT1188" s="1">
        <v>0.0</v>
      </c>
      <c r="CU1188" s="1">
        <v>0.0</v>
      </c>
      <c r="CV1188" s="1">
        <v>0.0</v>
      </c>
      <c r="CW1188" s="1">
        <v>1.0</v>
      </c>
      <c r="CX1188" s="1">
        <v>0.0</v>
      </c>
      <c r="CY1188" s="1">
        <v>0.0</v>
      </c>
      <c r="CZ1188" s="1">
        <v>0.0</v>
      </c>
      <c r="DA1188" s="1">
        <v>1.0</v>
      </c>
      <c r="DB1188" s="1">
        <v>2.0</v>
      </c>
      <c r="DC1188" s="1">
        <v>2.0</v>
      </c>
      <c r="DD1188" s="1" t="s">
        <v>5227</v>
      </c>
      <c r="DE1188" s="1">
        <v>2.34659732697742E-4</v>
      </c>
      <c r="DF1188" s="1">
        <v>0.0766917443924067</v>
      </c>
    </row>
    <row r="1189" ht="15.75" customHeight="1">
      <c r="A1189" s="1" t="s">
        <v>5228</v>
      </c>
      <c r="B1189" s="1">
        <v>29.0</v>
      </c>
      <c r="C1189" s="1">
        <v>189.0</v>
      </c>
      <c r="D1189" s="1">
        <v>216600.0</v>
      </c>
      <c r="E1189" s="1">
        <v>0.93</v>
      </c>
      <c r="F1189" s="1">
        <v>29189.0</v>
      </c>
      <c r="G1189" s="1">
        <v>2.91892166E10</v>
      </c>
      <c r="H1189" s="1" t="s">
        <v>112</v>
      </c>
      <c r="I1189" s="1" t="s">
        <v>113</v>
      </c>
      <c r="J1189" s="1" t="s">
        <v>4566</v>
      </c>
      <c r="K1189" s="1" t="s">
        <v>5229</v>
      </c>
      <c r="L1189" s="1">
        <v>1889.0</v>
      </c>
      <c r="M1189" s="1">
        <v>1935.0</v>
      </c>
      <c r="N1189" s="1">
        <v>251.0</v>
      </c>
      <c r="O1189" s="1">
        <v>903.0</v>
      </c>
      <c r="P1189" s="1">
        <v>812.0</v>
      </c>
      <c r="Q1189" s="1">
        <v>94.0</v>
      </c>
      <c r="R1189" s="1">
        <v>827.0</v>
      </c>
      <c r="S1189" s="1">
        <v>70.0</v>
      </c>
      <c r="T1189" s="1">
        <v>58.0</v>
      </c>
      <c r="U1189" s="1">
        <v>57.0</v>
      </c>
      <c r="V1189" s="1">
        <v>474.0</v>
      </c>
      <c r="W1189" s="1">
        <v>64695.0</v>
      </c>
      <c r="X1189" s="1">
        <v>15455.0</v>
      </c>
      <c r="Y1189" s="1">
        <v>25.0</v>
      </c>
      <c r="Z1189" s="1">
        <v>427.0</v>
      </c>
      <c r="AA1189" s="1">
        <v>313.0</v>
      </c>
      <c r="AB1189" s="1">
        <v>472.0</v>
      </c>
      <c r="AC1189" s="1">
        <v>48.0</v>
      </c>
      <c r="AD1189" s="1">
        <v>187.0</v>
      </c>
      <c r="AE1189" s="1">
        <v>0.0</v>
      </c>
      <c r="AF1189" s="1">
        <v>456.0</v>
      </c>
      <c r="AG1189" s="1">
        <v>10.0</v>
      </c>
      <c r="AH1189" s="1">
        <v>162.0</v>
      </c>
      <c r="AI1189" s="1">
        <v>0.0</v>
      </c>
      <c r="AJ1189" s="1">
        <v>114.0</v>
      </c>
      <c r="AK1189" s="1">
        <v>0.0</v>
      </c>
      <c r="AL1189" s="1">
        <v>161.0</v>
      </c>
      <c r="AM1189" s="1">
        <v>8.0</v>
      </c>
      <c r="AN1189" s="1">
        <v>115.0</v>
      </c>
      <c r="AO1189" s="1">
        <v>0.0</v>
      </c>
      <c r="AP1189" s="1">
        <v>0.036344</v>
      </c>
      <c r="AQ1189" s="1">
        <v>0.029745</v>
      </c>
      <c r="AR1189" s="1">
        <v>0.071878</v>
      </c>
      <c r="AS1189" s="1">
        <v>0.597415</v>
      </c>
      <c r="AT1189" s="1">
        <v>64695.0</v>
      </c>
      <c r="AU1189" s="1">
        <v>15455.0</v>
      </c>
      <c r="AV1189" s="1">
        <v>0.019809</v>
      </c>
      <c r="AW1189" s="1">
        <v>0.338346</v>
      </c>
      <c r="AX1189" s="1">
        <v>0.165696</v>
      </c>
      <c r="AY1189" s="1">
        <v>0.249867</v>
      </c>
      <c r="AZ1189" s="1">
        <v>0.05804111</v>
      </c>
      <c r="BA1189" s="1">
        <v>0.098994</v>
      </c>
      <c r="BB1189" s="1">
        <v>0.0</v>
      </c>
      <c r="BC1189" s="1">
        <v>0.24307</v>
      </c>
      <c r="BD1189" s="1">
        <v>0.012315</v>
      </c>
      <c r="BE1189" s="1">
        <v>0.199502</v>
      </c>
      <c r="BF1189" s="1">
        <v>0.0</v>
      </c>
      <c r="BG1189" s="1">
        <v>0.140394</v>
      </c>
      <c r="BH1189" s="1">
        <v>0.0</v>
      </c>
      <c r="BI1189" s="1">
        <v>0.209362</v>
      </c>
      <c r="BJ1189" s="1">
        <v>0.010403</v>
      </c>
      <c r="BK1189" s="1">
        <v>0.14954</v>
      </c>
      <c r="BL1189" s="1">
        <v>0.0</v>
      </c>
      <c r="BM1189" s="1">
        <v>0.109</v>
      </c>
      <c r="BN1189" s="1">
        <v>0.529</v>
      </c>
      <c r="BO1189" s="1">
        <v>0.0087</v>
      </c>
      <c r="BP1189" s="1">
        <v>0.033</v>
      </c>
      <c r="BQ1189" s="1">
        <v>0.6797</v>
      </c>
      <c r="BR1189" s="1">
        <v>0.1177</v>
      </c>
      <c r="BS1189" s="1">
        <v>0.707</v>
      </c>
      <c r="BT1189" s="1">
        <v>0.594</v>
      </c>
      <c r="BU1189" s="1">
        <v>0.12</v>
      </c>
      <c r="BV1189" s="1">
        <v>1.421</v>
      </c>
      <c r="BW1189" s="1">
        <v>0.408</v>
      </c>
      <c r="BX1189" s="1">
        <v>0.464</v>
      </c>
      <c r="BY1189" s="1">
        <v>0.0</v>
      </c>
      <c r="BZ1189" s="1">
        <v>0.464</v>
      </c>
      <c r="CA1189" s="1">
        <v>0.192</v>
      </c>
      <c r="CB1189" s="1">
        <v>0.402</v>
      </c>
      <c r="CC1189" s="1">
        <v>0.0</v>
      </c>
      <c r="CD1189" s="1">
        <v>0.0</v>
      </c>
      <c r="CE1189" s="1">
        <v>0.092</v>
      </c>
      <c r="CF1189" s="1">
        <v>0.0</v>
      </c>
      <c r="CG1189" s="1">
        <v>0.494</v>
      </c>
      <c r="CH1189" s="1">
        <v>0.029</v>
      </c>
      <c r="CI1189" s="1">
        <v>3.0587</v>
      </c>
      <c r="CJ1189" s="1">
        <v>0.0209</v>
      </c>
      <c r="CK1189" s="1">
        <v>0.0</v>
      </c>
      <c r="CL1189" s="1">
        <v>0.0</v>
      </c>
      <c r="CM1189" s="1">
        <v>0.0</v>
      </c>
      <c r="CN1189" s="1">
        <v>0.0</v>
      </c>
      <c r="CO1189" s="1">
        <v>0.0</v>
      </c>
      <c r="CP1189" s="1">
        <v>0.0</v>
      </c>
      <c r="CQ1189" s="1">
        <v>0.0</v>
      </c>
      <c r="CR1189" s="1">
        <v>0.0</v>
      </c>
      <c r="CS1189" s="1">
        <v>0.0</v>
      </c>
      <c r="CT1189" s="1">
        <v>0.0</v>
      </c>
      <c r="CU1189" s="1">
        <v>0.0</v>
      </c>
      <c r="CV1189" s="1">
        <v>0.0</v>
      </c>
      <c r="CW1189" s="1">
        <v>0.0</v>
      </c>
      <c r="CX1189" s="1">
        <v>0.0</v>
      </c>
      <c r="CY1189" s="1">
        <v>0.0</v>
      </c>
      <c r="CZ1189" s="1">
        <v>0.0</v>
      </c>
      <c r="DA1189" s="1">
        <v>0.0</v>
      </c>
      <c r="DB1189" s="1">
        <v>0.0</v>
      </c>
      <c r="DC1189" s="1">
        <v>0.0</v>
      </c>
      <c r="DD1189" s="1" t="s">
        <v>5230</v>
      </c>
      <c r="DE1189" s="1">
        <v>2.49548535118573E-4</v>
      </c>
      <c r="DF1189" s="1">
        <v>0.0761971199353792</v>
      </c>
    </row>
    <row r="1190" ht="15.75" customHeight="1">
      <c r="A1190" s="1" t="s">
        <v>5231</v>
      </c>
      <c r="B1190" s="1">
        <v>29.0</v>
      </c>
      <c r="C1190" s="1">
        <v>189.0</v>
      </c>
      <c r="D1190" s="1">
        <v>216800.0</v>
      </c>
      <c r="E1190" s="1">
        <v>0.589</v>
      </c>
      <c r="F1190" s="1">
        <v>29189.0</v>
      </c>
      <c r="G1190" s="1">
        <v>2.91892168E10</v>
      </c>
      <c r="H1190" s="1" t="s">
        <v>112</v>
      </c>
      <c r="I1190" s="1" t="s">
        <v>113</v>
      </c>
      <c r="J1190" s="1" t="s">
        <v>4566</v>
      </c>
      <c r="K1190" s="1" t="s">
        <v>5232</v>
      </c>
      <c r="L1190" s="1">
        <v>3205.0</v>
      </c>
      <c r="M1190" s="1">
        <v>2962.0</v>
      </c>
      <c r="N1190" s="1">
        <v>259.0</v>
      </c>
      <c r="O1190" s="1">
        <v>1810.0</v>
      </c>
      <c r="P1190" s="1">
        <v>1736.0</v>
      </c>
      <c r="Q1190" s="1">
        <v>123.0</v>
      </c>
      <c r="R1190" s="1">
        <v>1635.0</v>
      </c>
      <c r="S1190" s="1">
        <v>346.0</v>
      </c>
      <c r="T1190" s="1">
        <v>170.0</v>
      </c>
      <c r="U1190" s="1">
        <v>53.0</v>
      </c>
      <c r="V1190" s="1">
        <v>472.0</v>
      </c>
      <c r="W1190" s="1">
        <v>33959.0</v>
      </c>
      <c r="X1190" s="1">
        <v>5018.0</v>
      </c>
      <c r="Y1190" s="1">
        <v>75.0</v>
      </c>
      <c r="Z1190" s="1">
        <v>345.0</v>
      </c>
      <c r="AA1190" s="1">
        <v>353.0</v>
      </c>
      <c r="AB1190" s="1">
        <v>529.0</v>
      </c>
      <c r="AC1190" s="1">
        <v>87.0</v>
      </c>
      <c r="AD1190" s="1">
        <v>484.0</v>
      </c>
      <c r="AE1190" s="1">
        <v>60.0</v>
      </c>
      <c r="AF1190" s="1">
        <v>432.0</v>
      </c>
      <c r="AG1190" s="1">
        <v>186.0</v>
      </c>
      <c r="AH1190" s="1">
        <v>139.0</v>
      </c>
      <c r="AI1190" s="1">
        <v>0.0</v>
      </c>
      <c r="AJ1190" s="1">
        <v>114.0</v>
      </c>
      <c r="AK1190" s="1">
        <v>0.0</v>
      </c>
      <c r="AL1190" s="1">
        <v>161.0</v>
      </c>
      <c r="AM1190" s="1">
        <v>60.0</v>
      </c>
      <c r="AN1190" s="1">
        <v>34.0</v>
      </c>
      <c r="AO1190" s="1">
        <v>55.0</v>
      </c>
      <c r="AP1190" s="1">
        <v>0.116812</v>
      </c>
      <c r="AQ1190" s="1">
        <v>0.056477</v>
      </c>
      <c r="AR1190" s="1">
        <v>0.027054</v>
      </c>
      <c r="AS1190" s="1">
        <v>0.240901</v>
      </c>
      <c r="AT1190" s="1">
        <v>33959.0</v>
      </c>
      <c r="AU1190" s="1">
        <v>5018.0</v>
      </c>
      <c r="AV1190" s="1">
        <v>0.033632</v>
      </c>
      <c r="AW1190" s="1">
        <v>0.154678</v>
      </c>
      <c r="AX1190" s="1">
        <v>0.11014</v>
      </c>
      <c r="AY1190" s="1">
        <v>0.165054</v>
      </c>
      <c r="AZ1190" s="1">
        <v>0.053211</v>
      </c>
      <c r="BA1190" s="1">
        <v>0.151014</v>
      </c>
      <c r="BB1190" s="1">
        <v>0.021606</v>
      </c>
      <c r="BC1190" s="1">
        <v>0.155551</v>
      </c>
      <c r="BD1190" s="1">
        <v>0.107142</v>
      </c>
      <c r="BE1190" s="1">
        <v>0.079708</v>
      </c>
      <c r="BF1190" s="1">
        <v>0.0</v>
      </c>
      <c r="BG1190" s="1">
        <v>0.065668</v>
      </c>
      <c r="BH1190" s="1">
        <v>0.0</v>
      </c>
      <c r="BI1190" s="1">
        <v>0.103938</v>
      </c>
      <c r="BJ1190" s="1">
        <v>0.038734</v>
      </c>
      <c r="BK1190" s="1">
        <v>0.021676</v>
      </c>
      <c r="BL1190" s="1">
        <v>0.01716</v>
      </c>
      <c r="BM1190" s="1">
        <v>0.44</v>
      </c>
      <c r="BN1190" s="1">
        <v>0.065</v>
      </c>
      <c r="BO1190" s="1">
        <v>0.1285</v>
      </c>
      <c r="BP1190" s="1">
        <v>0.074</v>
      </c>
      <c r="BQ1190" s="1">
        <v>0.7075</v>
      </c>
      <c r="BR1190" s="1">
        <v>0.1285</v>
      </c>
      <c r="BS1190" s="1">
        <v>0.274</v>
      </c>
      <c r="BT1190" s="1">
        <v>0.093</v>
      </c>
      <c r="BU1190" s="1">
        <v>0.094</v>
      </c>
      <c r="BV1190" s="1">
        <v>0.461</v>
      </c>
      <c r="BW1190" s="1">
        <v>0.031</v>
      </c>
      <c r="BX1190" s="1">
        <v>0.627</v>
      </c>
      <c r="BY1190" s="1">
        <v>0.868</v>
      </c>
      <c r="BZ1190" s="1">
        <v>1.495</v>
      </c>
      <c r="CA1190" s="1">
        <v>0.822</v>
      </c>
      <c r="CB1190" s="1">
        <v>0.782</v>
      </c>
      <c r="CC1190" s="1">
        <v>0.0</v>
      </c>
      <c r="CD1190" s="1">
        <v>0.0</v>
      </c>
      <c r="CE1190" s="1">
        <v>0.381</v>
      </c>
      <c r="CF1190" s="1">
        <v>0.675</v>
      </c>
      <c r="CG1190" s="1">
        <v>1.838</v>
      </c>
      <c r="CH1190" s="1">
        <v>0.279</v>
      </c>
      <c r="CI1190" s="1">
        <v>4.5015</v>
      </c>
      <c r="CJ1190" s="1">
        <v>0.1343</v>
      </c>
      <c r="CK1190" s="1">
        <v>0.0</v>
      </c>
      <c r="CL1190" s="1">
        <v>0.0</v>
      </c>
      <c r="CM1190" s="1">
        <v>0.0</v>
      </c>
      <c r="CN1190" s="1">
        <v>0.0</v>
      </c>
      <c r="CO1190" s="1">
        <v>0.0</v>
      </c>
      <c r="CP1190" s="1">
        <v>0.0</v>
      </c>
      <c r="CQ1190" s="1">
        <v>0.0</v>
      </c>
      <c r="CR1190" s="1">
        <v>0.0</v>
      </c>
      <c r="CS1190" s="1">
        <v>0.0</v>
      </c>
      <c r="CT1190" s="1">
        <v>0.0</v>
      </c>
      <c r="CU1190" s="1">
        <v>0.0</v>
      </c>
      <c r="CV1190" s="1">
        <v>0.0</v>
      </c>
      <c r="CW1190" s="1">
        <v>0.0</v>
      </c>
      <c r="CX1190" s="1">
        <v>0.0</v>
      </c>
      <c r="CY1190" s="1">
        <v>0.0</v>
      </c>
      <c r="CZ1190" s="1">
        <v>0.0</v>
      </c>
      <c r="DA1190" s="1">
        <v>0.0</v>
      </c>
      <c r="DB1190" s="1">
        <v>0.0</v>
      </c>
      <c r="DC1190" s="1">
        <v>0.0</v>
      </c>
      <c r="DD1190" s="1" t="s">
        <v>5233</v>
      </c>
      <c r="DE1190" s="1">
        <v>1.58430229122956E-4</v>
      </c>
      <c r="DF1190" s="2" t="s">
        <v>5234</v>
      </c>
    </row>
    <row r="1191" ht="15.75" customHeight="1">
      <c r="A1191" s="1" t="s">
        <v>5235</v>
      </c>
      <c r="B1191" s="1">
        <v>29.0</v>
      </c>
      <c r="C1191" s="1">
        <v>189.0</v>
      </c>
      <c r="D1191" s="1">
        <v>216900.0</v>
      </c>
      <c r="E1191" s="1">
        <v>0.266</v>
      </c>
      <c r="F1191" s="1">
        <v>29189.0</v>
      </c>
      <c r="G1191" s="1">
        <v>2.91892169E10</v>
      </c>
      <c r="H1191" s="1" t="s">
        <v>112</v>
      </c>
      <c r="I1191" s="1" t="s">
        <v>113</v>
      </c>
      <c r="J1191" s="1" t="s">
        <v>4566</v>
      </c>
      <c r="K1191" s="1" t="s">
        <v>5236</v>
      </c>
      <c r="L1191" s="1">
        <v>2327.0</v>
      </c>
      <c r="M1191" s="1">
        <v>2442.0</v>
      </c>
      <c r="N1191" s="1">
        <v>208.0</v>
      </c>
      <c r="O1191" s="1">
        <v>1497.0</v>
      </c>
      <c r="P1191" s="1">
        <v>1570.0</v>
      </c>
      <c r="Q1191" s="1">
        <v>105.0</v>
      </c>
      <c r="R1191" s="1">
        <v>1313.0</v>
      </c>
      <c r="S1191" s="1">
        <v>333.0</v>
      </c>
      <c r="T1191" s="1">
        <v>161.0</v>
      </c>
      <c r="U1191" s="1">
        <v>198.0</v>
      </c>
      <c r="V1191" s="1">
        <v>408.0</v>
      </c>
      <c r="W1191" s="1">
        <v>26367.0</v>
      </c>
      <c r="X1191" s="1">
        <v>4039.0</v>
      </c>
      <c r="Y1191" s="1">
        <v>163.0</v>
      </c>
      <c r="Z1191" s="1">
        <v>356.0</v>
      </c>
      <c r="AA1191" s="1">
        <v>145.0</v>
      </c>
      <c r="AB1191" s="1">
        <v>399.0</v>
      </c>
      <c r="AC1191" s="1">
        <v>149.0</v>
      </c>
      <c r="AD1191" s="1">
        <v>699.0</v>
      </c>
      <c r="AE1191" s="1">
        <v>8.0</v>
      </c>
      <c r="AF1191" s="1">
        <v>442.0</v>
      </c>
      <c r="AG1191" s="1">
        <v>478.0</v>
      </c>
      <c r="AH1191" s="1">
        <v>128.0</v>
      </c>
      <c r="AI1191" s="1">
        <v>0.0</v>
      </c>
      <c r="AJ1191" s="1">
        <v>114.0</v>
      </c>
      <c r="AK1191" s="1">
        <v>5.0</v>
      </c>
      <c r="AL1191" s="1">
        <v>114.0</v>
      </c>
      <c r="AM1191" s="1">
        <v>185.0</v>
      </c>
      <c r="AN1191" s="1">
        <v>99.0</v>
      </c>
      <c r="AO1191" s="1">
        <v>0.0</v>
      </c>
      <c r="AP1191" s="1">
        <v>0.136363</v>
      </c>
      <c r="AQ1191" s="1">
        <v>0.064898</v>
      </c>
      <c r="AR1191" s="1">
        <v>0.107258</v>
      </c>
      <c r="AS1191" s="1">
        <v>0.220435</v>
      </c>
      <c r="AT1191" s="1">
        <v>26367.0</v>
      </c>
      <c r="AU1191" s="1">
        <v>4039.0</v>
      </c>
      <c r="AV1191" s="1">
        <v>0.09778</v>
      </c>
      <c r="AW1191" s="1">
        <v>0.21331</v>
      </c>
      <c r="AX1191" s="1">
        <v>0.062311</v>
      </c>
      <c r="AY1191" s="1">
        <v>0.171465</v>
      </c>
      <c r="AZ1191" s="1">
        <v>0.11348057</v>
      </c>
      <c r="BA1191" s="1">
        <v>0.300386</v>
      </c>
      <c r="BB1191" s="1">
        <v>0.003504</v>
      </c>
      <c r="BC1191" s="1">
        <v>0.193604</v>
      </c>
      <c r="BD1191" s="1">
        <v>0.304458</v>
      </c>
      <c r="BE1191" s="1">
        <v>0.078945</v>
      </c>
      <c r="BF1191" s="1">
        <v>0.0</v>
      </c>
      <c r="BG1191" s="1">
        <v>0.072611</v>
      </c>
      <c r="BH1191" s="1">
        <v>0.003625</v>
      </c>
      <c r="BI1191" s="1">
        <v>0.082668</v>
      </c>
      <c r="BJ1191" s="1">
        <v>0.134155</v>
      </c>
      <c r="BK1191" s="1">
        <v>0.070867</v>
      </c>
      <c r="BL1191" s="1">
        <v>0.0</v>
      </c>
      <c r="BM1191" s="1">
        <v>0.528</v>
      </c>
      <c r="BN1191" s="1">
        <v>0.774</v>
      </c>
      <c r="BO1191" s="1">
        <v>0.3004</v>
      </c>
      <c r="BP1191" s="1">
        <v>0.327</v>
      </c>
      <c r="BQ1191" s="1">
        <v>1.9294</v>
      </c>
      <c r="BR1191" s="1">
        <v>0.4729</v>
      </c>
      <c r="BS1191" s="1">
        <v>0.051</v>
      </c>
      <c r="BT1191" s="1">
        <v>0.105</v>
      </c>
      <c r="BU1191" s="1">
        <v>0.615</v>
      </c>
      <c r="BV1191" s="1">
        <v>0.771</v>
      </c>
      <c r="BW1191" s="1">
        <v>0.072</v>
      </c>
      <c r="BX1191" s="1">
        <v>0.787</v>
      </c>
      <c r="BY1191" s="1">
        <v>0.483</v>
      </c>
      <c r="BZ1191" s="1">
        <v>1.27</v>
      </c>
      <c r="CA1191" s="1">
        <v>0.697</v>
      </c>
      <c r="CB1191" s="1">
        <v>0.946</v>
      </c>
      <c r="CC1191" s="1">
        <v>0.0</v>
      </c>
      <c r="CD1191" s="1">
        <v>0.304</v>
      </c>
      <c r="CE1191" s="1">
        <v>0.837</v>
      </c>
      <c r="CF1191" s="1">
        <v>0.0</v>
      </c>
      <c r="CG1191" s="1">
        <v>2.087</v>
      </c>
      <c r="CH1191" s="1">
        <v>0.378</v>
      </c>
      <c r="CI1191" s="1">
        <v>6.0574</v>
      </c>
      <c r="CJ1191" s="1">
        <v>0.3812</v>
      </c>
      <c r="CK1191" s="1">
        <v>0.0</v>
      </c>
      <c r="CL1191" s="1">
        <v>0.0</v>
      </c>
      <c r="CM1191" s="1">
        <v>0.0</v>
      </c>
      <c r="CN1191" s="1">
        <v>0.0</v>
      </c>
      <c r="CO1191" s="1">
        <v>0.0</v>
      </c>
      <c r="CP1191" s="1">
        <v>0.0</v>
      </c>
      <c r="CQ1191" s="1">
        <v>0.0</v>
      </c>
      <c r="CR1191" s="1">
        <v>0.0</v>
      </c>
      <c r="CS1191" s="1">
        <v>0.0</v>
      </c>
      <c r="CT1191" s="1">
        <v>0.0</v>
      </c>
      <c r="CU1191" s="1">
        <v>0.0</v>
      </c>
      <c r="CV1191" s="1">
        <v>0.0</v>
      </c>
      <c r="CW1191" s="1">
        <v>1.0</v>
      </c>
      <c r="CX1191" s="1">
        <v>0.0</v>
      </c>
      <c r="CY1191" s="1">
        <v>0.0</v>
      </c>
      <c r="CZ1191" s="1">
        <v>0.0</v>
      </c>
      <c r="DA1191" s="1">
        <v>0.0</v>
      </c>
      <c r="DB1191" s="1">
        <v>1.0</v>
      </c>
      <c r="DC1191" s="1">
        <v>1.0</v>
      </c>
      <c r="DD1191" s="1" t="s">
        <v>5237</v>
      </c>
      <c r="DE1191" s="2" t="s">
        <v>5238</v>
      </c>
      <c r="DF1191" s="1">
        <v>0.0387654669335338</v>
      </c>
    </row>
    <row r="1192" ht="15.75" customHeight="1">
      <c r="A1192" s="1" t="s">
        <v>5239</v>
      </c>
      <c r="B1192" s="1">
        <v>29.0</v>
      </c>
      <c r="C1192" s="1">
        <v>189.0</v>
      </c>
      <c r="D1192" s="1">
        <v>217000.0</v>
      </c>
      <c r="E1192" s="1">
        <v>0.849</v>
      </c>
      <c r="F1192" s="1">
        <v>29189.0</v>
      </c>
      <c r="G1192" s="1">
        <v>2.9189217E10</v>
      </c>
      <c r="H1192" s="1" t="s">
        <v>112</v>
      </c>
      <c r="I1192" s="1" t="s">
        <v>113</v>
      </c>
      <c r="J1192" s="1" t="s">
        <v>4566</v>
      </c>
      <c r="K1192" s="1" t="s">
        <v>5240</v>
      </c>
      <c r="L1192" s="1">
        <v>3942.0</v>
      </c>
      <c r="M1192" s="1">
        <v>4160.0</v>
      </c>
      <c r="N1192" s="1">
        <v>241.0</v>
      </c>
      <c r="O1192" s="1">
        <v>2320.0</v>
      </c>
      <c r="P1192" s="1">
        <v>2554.0</v>
      </c>
      <c r="Q1192" s="1">
        <v>143.0</v>
      </c>
      <c r="R1192" s="1">
        <v>2015.0</v>
      </c>
      <c r="S1192" s="1">
        <v>784.0</v>
      </c>
      <c r="T1192" s="1">
        <v>330.0</v>
      </c>
      <c r="U1192" s="1">
        <v>163.0</v>
      </c>
      <c r="V1192" s="1">
        <v>472.0</v>
      </c>
      <c r="W1192" s="1">
        <v>23196.0</v>
      </c>
      <c r="X1192" s="1">
        <v>2170.0</v>
      </c>
      <c r="Y1192" s="1">
        <v>304.0</v>
      </c>
      <c r="Z1192" s="1">
        <v>328.0</v>
      </c>
      <c r="AA1192" s="1">
        <v>309.0</v>
      </c>
      <c r="AB1192" s="1">
        <v>724.0</v>
      </c>
      <c r="AC1192" s="1">
        <v>185.0</v>
      </c>
      <c r="AD1192" s="1">
        <v>1005.0</v>
      </c>
      <c r="AE1192" s="1">
        <v>69.0</v>
      </c>
      <c r="AF1192" s="1">
        <v>416.0</v>
      </c>
      <c r="AG1192" s="1">
        <v>857.0</v>
      </c>
      <c r="AH1192" s="1">
        <v>238.0</v>
      </c>
      <c r="AI1192" s="1">
        <v>0.0</v>
      </c>
      <c r="AJ1192" s="1">
        <v>114.0</v>
      </c>
      <c r="AK1192" s="1">
        <v>47.0</v>
      </c>
      <c r="AL1192" s="1">
        <v>129.0</v>
      </c>
      <c r="AM1192" s="1">
        <v>527.0</v>
      </c>
      <c r="AN1192" s="1">
        <v>166.0</v>
      </c>
      <c r="AO1192" s="1">
        <v>0.0</v>
      </c>
      <c r="AP1192" s="1">
        <v>0.188461</v>
      </c>
      <c r="AQ1192" s="1">
        <v>0.078571</v>
      </c>
      <c r="AR1192" s="1">
        <v>0.06308</v>
      </c>
      <c r="AS1192" s="1">
        <v>0.182432</v>
      </c>
      <c r="AT1192" s="1">
        <v>23196.0</v>
      </c>
      <c r="AU1192" s="1">
        <v>2170.0</v>
      </c>
      <c r="AV1192" s="1">
        <v>0.10023</v>
      </c>
      <c r="AW1192" s="1">
        <v>0.107775</v>
      </c>
      <c r="AX1192" s="1">
        <v>0.078386</v>
      </c>
      <c r="AY1192" s="1">
        <v>0.183663</v>
      </c>
      <c r="AZ1192" s="1">
        <v>0.09181141</v>
      </c>
      <c r="BA1192" s="1">
        <v>0.254946</v>
      </c>
      <c r="BB1192" s="1">
        <v>0.018039</v>
      </c>
      <c r="BC1192" s="1">
        <v>0.108752</v>
      </c>
      <c r="BD1192" s="1">
        <v>0.335552</v>
      </c>
      <c r="BE1192" s="1">
        <v>0.091273</v>
      </c>
      <c r="BF1192" s="1">
        <v>0.0</v>
      </c>
      <c r="BG1192" s="1">
        <v>0.044635</v>
      </c>
      <c r="BH1192" s="1">
        <v>0.02151</v>
      </c>
      <c r="BI1192" s="1">
        <v>0.05902</v>
      </c>
      <c r="BJ1192" s="1">
        <v>0.241189</v>
      </c>
      <c r="BK1192" s="1">
        <v>0.074195</v>
      </c>
      <c r="BL1192" s="1">
        <v>0.0</v>
      </c>
      <c r="BM1192" s="1">
        <v>0.699</v>
      </c>
      <c r="BN1192" s="1">
        <v>0.45</v>
      </c>
      <c r="BO1192" s="1">
        <v>0.4375</v>
      </c>
      <c r="BP1192" s="1">
        <v>0.34</v>
      </c>
      <c r="BQ1192" s="1">
        <v>1.9265</v>
      </c>
      <c r="BR1192" s="1">
        <v>0.4693</v>
      </c>
      <c r="BS1192" s="1">
        <v>0.109</v>
      </c>
      <c r="BT1192" s="1">
        <v>0.13</v>
      </c>
      <c r="BU1192" s="1">
        <v>0.417</v>
      </c>
      <c r="BV1192" s="1">
        <v>0.656</v>
      </c>
      <c r="BW1192" s="1">
        <v>0.051</v>
      </c>
      <c r="BX1192" s="1">
        <v>0.764</v>
      </c>
      <c r="BY1192" s="1">
        <v>0.846</v>
      </c>
      <c r="BZ1192" s="1">
        <v>1.61</v>
      </c>
      <c r="CA1192" s="1">
        <v>0.876</v>
      </c>
      <c r="CB1192" s="1">
        <v>0.953</v>
      </c>
      <c r="CC1192" s="1">
        <v>0.0</v>
      </c>
      <c r="CD1192" s="1">
        <v>0.702</v>
      </c>
      <c r="CE1192" s="1">
        <v>0.933</v>
      </c>
      <c r="CF1192" s="1">
        <v>0.0</v>
      </c>
      <c r="CG1192" s="1">
        <v>2.588</v>
      </c>
      <c r="CH1192" s="1">
        <v>0.598</v>
      </c>
      <c r="CI1192" s="1">
        <v>6.7805</v>
      </c>
      <c r="CJ1192" s="1">
        <v>0.5083</v>
      </c>
      <c r="CK1192" s="1">
        <v>0.0</v>
      </c>
      <c r="CL1192" s="1">
        <v>0.0</v>
      </c>
      <c r="CM1192" s="1">
        <v>0.0</v>
      </c>
      <c r="CN1192" s="1">
        <v>0.0</v>
      </c>
      <c r="CO1192" s="1">
        <v>0.0</v>
      </c>
      <c r="CP1192" s="1">
        <v>0.0</v>
      </c>
      <c r="CQ1192" s="1">
        <v>0.0</v>
      </c>
      <c r="CR1192" s="1">
        <v>0.0</v>
      </c>
      <c r="CS1192" s="1">
        <v>0.0</v>
      </c>
      <c r="CT1192" s="1">
        <v>0.0</v>
      </c>
      <c r="CU1192" s="1">
        <v>0.0</v>
      </c>
      <c r="CV1192" s="1">
        <v>0.0</v>
      </c>
      <c r="CW1192" s="1">
        <v>1.0</v>
      </c>
      <c r="CX1192" s="1">
        <v>0.0</v>
      </c>
      <c r="CY1192" s="1">
        <v>0.0</v>
      </c>
      <c r="CZ1192" s="1">
        <v>1.0</v>
      </c>
      <c r="DA1192" s="1">
        <v>0.0</v>
      </c>
      <c r="DB1192" s="1">
        <v>2.0</v>
      </c>
      <c r="DC1192" s="1">
        <v>2.0</v>
      </c>
      <c r="DD1192" s="1" t="s">
        <v>5241</v>
      </c>
      <c r="DE1192" s="1">
        <v>2.27901488738791E-4</v>
      </c>
      <c r="DF1192" s="1">
        <v>0.0663292983219732</v>
      </c>
    </row>
    <row r="1193" ht="15.75" customHeight="1">
      <c r="A1193" s="1" t="s">
        <v>5242</v>
      </c>
      <c r="B1193" s="1">
        <v>29.0</v>
      </c>
      <c r="C1193" s="1">
        <v>189.0</v>
      </c>
      <c r="D1193" s="1">
        <v>217300.0</v>
      </c>
      <c r="E1193" s="1">
        <v>0.88</v>
      </c>
      <c r="F1193" s="1">
        <v>29189.0</v>
      </c>
      <c r="G1193" s="1">
        <v>2.91892173E10</v>
      </c>
      <c r="H1193" s="1" t="s">
        <v>112</v>
      </c>
      <c r="I1193" s="1" t="s">
        <v>113</v>
      </c>
      <c r="J1193" s="1" t="s">
        <v>4566</v>
      </c>
      <c r="K1193" s="1" t="s">
        <v>5243</v>
      </c>
      <c r="L1193" s="1">
        <v>2972.0</v>
      </c>
      <c r="M1193" s="1">
        <v>2914.0</v>
      </c>
      <c r="N1193" s="1">
        <v>189.0</v>
      </c>
      <c r="O1193" s="1">
        <v>1608.0</v>
      </c>
      <c r="P1193" s="1">
        <v>1592.0</v>
      </c>
      <c r="Q1193" s="1">
        <v>88.0</v>
      </c>
      <c r="R1193" s="1">
        <v>1488.0</v>
      </c>
      <c r="S1193" s="1">
        <v>118.0</v>
      </c>
      <c r="T1193" s="1">
        <v>72.0</v>
      </c>
      <c r="U1193" s="1">
        <v>90.0</v>
      </c>
      <c r="V1193" s="1">
        <v>459.0</v>
      </c>
      <c r="W1193" s="1">
        <v>44070.0</v>
      </c>
      <c r="X1193" s="1">
        <v>6228.0</v>
      </c>
      <c r="Y1193" s="1">
        <v>60.0</v>
      </c>
      <c r="Z1193" s="1">
        <v>398.0</v>
      </c>
      <c r="AA1193" s="1">
        <v>345.0</v>
      </c>
      <c r="AB1193" s="1">
        <v>533.0</v>
      </c>
      <c r="AC1193" s="1">
        <v>97.0</v>
      </c>
      <c r="AD1193" s="1">
        <v>536.0</v>
      </c>
      <c r="AE1193" s="1">
        <v>73.0</v>
      </c>
      <c r="AF1193" s="1">
        <v>417.0</v>
      </c>
      <c r="AG1193" s="1">
        <v>419.0</v>
      </c>
      <c r="AH1193" s="1">
        <v>116.0</v>
      </c>
      <c r="AI1193" s="1">
        <v>0.0</v>
      </c>
      <c r="AJ1193" s="1">
        <v>114.0</v>
      </c>
      <c r="AK1193" s="1">
        <v>17.0</v>
      </c>
      <c r="AL1193" s="1">
        <v>116.0</v>
      </c>
      <c r="AM1193" s="1">
        <v>14.0</v>
      </c>
      <c r="AN1193" s="1">
        <v>116.0</v>
      </c>
      <c r="AO1193" s="1">
        <v>4.0</v>
      </c>
      <c r="AP1193" s="1">
        <v>0.040494</v>
      </c>
      <c r="AQ1193" s="1">
        <v>0.024568</v>
      </c>
      <c r="AR1193" s="1">
        <v>0.048886</v>
      </c>
      <c r="AS1193" s="1">
        <v>0.249212</v>
      </c>
      <c r="AT1193" s="1">
        <v>44070.0</v>
      </c>
      <c r="AU1193" s="1">
        <v>6228.0</v>
      </c>
      <c r="AV1193" s="1">
        <v>0.027173</v>
      </c>
      <c r="AW1193" s="1">
        <v>0.180243</v>
      </c>
      <c r="AX1193" s="1">
        <v>0.116083</v>
      </c>
      <c r="AY1193" s="1">
        <v>0.17934</v>
      </c>
      <c r="AZ1193" s="1">
        <v>0.06518817</v>
      </c>
      <c r="BA1193" s="1">
        <v>0.180349</v>
      </c>
      <c r="BB1193" s="1">
        <v>0.026183</v>
      </c>
      <c r="BC1193" s="1">
        <v>0.149559</v>
      </c>
      <c r="BD1193" s="1">
        <v>0.26319</v>
      </c>
      <c r="BE1193" s="1">
        <v>0.071397</v>
      </c>
      <c r="BF1193" s="1">
        <v>0.0</v>
      </c>
      <c r="BG1193" s="1">
        <v>0.071608</v>
      </c>
      <c r="BH1193" s="1">
        <v>0.011846</v>
      </c>
      <c r="BI1193" s="1">
        <v>0.080832</v>
      </c>
      <c r="BJ1193" s="1">
        <v>0.009756</v>
      </c>
      <c r="BK1193" s="1">
        <v>0.080833</v>
      </c>
      <c r="BL1193" s="1">
        <v>0.001345</v>
      </c>
      <c r="BM1193" s="1">
        <v>0.125</v>
      </c>
      <c r="BN1193" s="1">
        <v>0.284</v>
      </c>
      <c r="BO1193" s="1">
        <v>0.0448</v>
      </c>
      <c r="BP1193" s="1">
        <v>0.05</v>
      </c>
      <c r="BQ1193" s="1">
        <v>0.5038</v>
      </c>
      <c r="BR1193" s="1">
        <v>0.0671</v>
      </c>
      <c r="BS1193" s="1">
        <v>0.317</v>
      </c>
      <c r="BT1193" s="1">
        <v>0.117</v>
      </c>
      <c r="BU1193" s="1">
        <v>0.174</v>
      </c>
      <c r="BV1193" s="1">
        <v>0.608</v>
      </c>
      <c r="BW1193" s="1">
        <v>0.045</v>
      </c>
      <c r="BX1193" s="1">
        <v>0.679</v>
      </c>
      <c r="BY1193" s="1">
        <v>0.897</v>
      </c>
      <c r="BZ1193" s="1">
        <v>1.576</v>
      </c>
      <c r="CA1193" s="1">
        <v>0.863</v>
      </c>
      <c r="CB1193" s="1">
        <v>0.927</v>
      </c>
      <c r="CC1193" s="1">
        <v>0.0</v>
      </c>
      <c r="CD1193" s="1">
        <v>0.526</v>
      </c>
      <c r="CE1193" s="1">
        <v>0.084</v>
      </c>
      <c r="CF1193" s="1">
        <v>0.417</v>
      </c>
      <c r="CG1193" s="1">
        <v>1.954</v>
      </c>
      <c r="CH1193" s="1">
        <v>0.325</v>
      </c>
      <c r="CI1193" s="1">
        <v>4.6418</v>
      </c>
      <c r="CJ1193" s="1">
        <v>0.1487</v>
      </c>
      <c r="CK1193" s="1">
        <v>0.0</v>
      </c>
      <c r="CL1193" s="1">
        <v>0.0</v>
      </c>
      <c r="CM1193" s="1">
        <v>0.0</v>
      </c>
      <c r="CN1193" s="1">
        <v>0.0</v>
      </c>
      <c r="CO1193" s="1">
        <v>0.0</v>
      </c>
      <c r="CP1193" s="1">
        <v>0.0</v>
      </c>
      <c r="CQ1193" s="1">
        <v>0.0</v>
      </c>
      <c r="CR1193" s="1">
        <v>0.0</v>
      </c>
      <c r="CS1193" s="1">
        <v>0.0</v>
      </c>
      <c r="CT1193" s="1">
        <v>0.0</v>
      </c>
      <c r="CU1193" s="1">
        <v>0.0</v>
      </c>
      <c r="CV1193" s="1">
        <v>0.0</v>
      </c>
      <c r="CW1193" s="1">
        <v>1.0</v>
      </c>
      <c r="CX1193" s="1">
        <v>0.0</v>
      </c>
      <c r="CY1193" s="1">
        <v>0.0</v>
      </c>
      <c r="CZ1193" s="1">
        <v>0.0</v>
      </c>
      <c r="DA1193" s="1">
        <v>0.0</v>
      </c>
      <c r="DB1193" s="1">
        <v>1.0</v>
      </c>
      <c r="DC1193" s="1">
        <v>1.0</v>
      </c>
      <c r="DD1193" s="1" t="s">
        <v>5244</v>
      </c>
      <c r="DE1193" s="1">
        <v>2.35183953775734E-4</v>
      </c>
      <c r="DF1193" s="1">
        <v>0.0628976125292636</v>
      </c>
    </row>
    <row r="1194" ht="15.75" customHeight="1">
      <c r="A1194" s="1" t="s">
        <v>5245</v>
      </c>
      <c r="B1194" s="1">
        <v>29.0</v>
      </c>
      <c r="C1194" s="1">
        <v>189.0</v>
      </c>
      <c r="D1194" s="1">
        <v>219500.0</v>
      </c>
      <c r="E1194" s="1">
        <v>1.691</v>
      </c>
      <c r="F1194" s="1">
        <v>29189.0</v>
      </c>
      <c r="G1194" s="1">
        <v>2.91892195E10</v>
      </c>
      <c r="H1194" s="1" t="s">
        <v>112</v>
      </c>
      <c r="I1194" s="1" t="s">
        <v>113</v>
      </c>
      <c r="J1194" s="1" t="s">
        <v>4566</v>
      </c>
      <c r="K1194" s="1" t="s">
        <v>5246</v>
      </c>
      <c r="L1194" s="1">
        <v>7047.0</v>
      </c>
      <c r="M1194" s="1">
        <v>6501.0</v>
      </c>
      <c r="N1194" s="1">
        <v>366.0</v>
      </c>
      <c r="O1194" s="1">
        <v>3103.0</v>
      </c>
      <c r="P1194" s="1">
        <v>3149.0</v>
      </c>
      <c r="Q1194" s="1">
        <v>125.0</v>
      </c>
      <c r="R1194" s="1">
        <v>2944.0</v>
      </c>
      <c r="S1194" s="1">
        <v>681.0</v>
      </c>
      <c r="T1194" s="1">
        <v>457.0</v>
      </c>
      <c r="U1194" s="1">
        <v>165.0</v>
      </c>
      <c r="V1194" s="1">
        <v>373.0</v>
      </c>
      <c r="W1194" s="1">
        <v>34567.0</v>
      </c>
      <c r="X1194" s="1">
        <v>3523.0</v>
      </c>
      <c r="Y1194" s="1">
        <v>260.0</v>
      </c>
      <c r="Z1194" s="1">
        <v>360.0</v>
      </c>
      <c r="AA1194" s="1">
        <v>1481.0</v>
      </c>
      <c r="AB1194" s="1">
        <v>1389.0</v>
      </c>
      <c r="AC1194" s="1">
        <v>155.0</v>
      </c>
      <c r="AD1194" s="1">
        <v>559.0</v>
      </c>
      <c r="AE1194" s="1">
        <v>22.0</v>
      </c>
      <c r="AF1194" s="1">
        <v>427.0</v>
      </c>
      <c r="AG1194" s="1">
        <v>564.0</v>
      </c>
      <c r="AH1194" s="1">
        <v>146.0</v>
      </c>
      <c r="AI1194" s="1">
        <v>40.0</v>
      </c>
      <c r="AJ1194" s="1">
        <v>59.0</v>
      </c>
      <c r="AK1194" s="1">
        <v>0.0</v>
      </c>
      <c r="AL1194" s="1">
        <v>161.0</v>
      </c>
      <c r="AM1194" s="1">
        <v>257.0</v>
      </c>
      <c r="AN1194" s="1">
        <v>107.0</v>
      </c>
      <c r="AO1194" s="1">
        <v>537.0</v>
      </c>
      <c r="AP1194" s="1">
        <v>0.111002</v>
      </c>
      <c r="AQ1194" s="1">
        <v>0.074261</v>
      </c>
      <c r="AR1194" s="1">
        <v>0.050167</v>
      </c>
      <c r="AS1194" s="1">
        <v>0.113265</v>
      </c>
      <c r="AT1194" s="1">
        <v>34567.0</v>
      </c>
      <c r="AU1194" s="1">
        <v>3523.0</v>
      </c>
      <c r="AV1194" s="1">
        <v>0.05718</v>
      </c>
      <c r="AW1194" s="1">
        <v>0.07911</v>
      </c>
      <c r="AX1194" s="1">
        <v>0.21016</v>
      </c>
      <c r="AY1194" s="1">
        <v>0.197105</v>
      </c>
      <c r="AZ1194" s="1">
        <v>0.05264945</v>
      </c>
      <c r="BA1194" s="1">
        <v>0.079324</v>
      </c>
      <c r="BB1194" s="1">
        <v>0.003567</v>
      </c>
      <c r="BC1194" s="1">
        <v>0.069239</v>
      </c>
      <c r="BD1194" s="1">
        <v>0.179104</v>
      </c>
      <c r="BE1194" s="1">
        <v>0.045815</v>
      </c>
      <c r="BF1194" s="1">
        <v>0.012702</v>
      </c>
      <c r="BG1194" s="1">
        <v>0.018729</v>
      </c>
      <c r="BH1194" s="1">
        <v>0.0</v>
      </c>
      <c r="BI1194" s="1">
        <v>0.055863</v>
      </c>
      <c r="BJ1194" s="1">
        <v>0.089174</v>
      </c>
      <c r="BK1194" s="1">
        <v>0.036811</v>
      </c>
      <c r="BL1194" s="1">
        <v>0.076202</v>
      </c>
      <c r="BM1194" s="1">
        <v>0.423</v>
      </c>
      <c r="BN1194" s="1">
        <v>0.293</v>
      </c>
      <c r="BO1194" s="1">
        <v>0.1184</v>
      </c>
      <c r="BP1194" s="1">
        <v>0.158</v>
      </c>
      <c r="BQ1194" s="1">
        <v>0.9924</v>
      </c>
      <c r="BR1194" s="1">
        <v>0.1993</v>
      </c>
      <c r="BS1194" s="1">
        <v>0.909</v>
      </c>
      <c r="BT1194" s="1">
        <v>0.177</v>
      </c>
      <c r="BU1194" s="1">
        <v>0.088</v>
      </c>
      <c r="BV1194" s="1">
        <v>1.174</v>
      </c>
      <c r="BW1194" s="1">
        <v>0.211</v>
      </c>
      <c r="BX1194" s="1">
        <v>0.398</v>
      </c>
      <c r="BY1194" s="1">
        <v>0.487</v>
      </c>
      <c r="BZ1194" s="1">
        <v>0.885</v>
      </c>
      <c r="CA1194" s="1">
        <v>0.456</v>
      </c>
      <c r="CB1194" s="1">
        <v>0.879</v>
      </c>
      <c r="CC1194" s="1">
        <v>0.476</v>
      </c>
      <c r="CD1194" s="1">
        <v>0.0</v>
      </c>
      <c r="CE1194" s="1">
        <v>0.715</v>
      </c>
      <c r="CF1194" s="1">
        <v>0.93</v>
      </c>
      <c r="CG1194" s="1">
        <v>3.0</v>
      </c>
      <c r="CH1194" s="1">
        <v>0.776</v>
      </c>
      <c r="CI1194" s="1">
        <v>6.0514</v>
      </c>
      <c r="CJ1194" s="1">
        <v>0.3798</v>
      </c>
      <c r="CK1194" s="1">
        <v>0.0</v>
      </c>
      <c r="CL1194" s="1">
        <v>0.0</v>
      </c>
      <c r="CM1194" s="1">
        <v>0.0</v>
      </c>
      <c r="CN1194" s="1">
        <v>0.0</v>
      </c>
      <c r="CO1194" s="1">
        <v>0.0</v>
      </c>
      <c r="CP1194" s="1">
        <v>1.0</v>
      </c>
      <c r="CQ1194" s="1">
        <v>0.0</v>
      </c>
      <c r="CR1194" s="1">
        <v>0.0</v>
      </c>
      <c r="CS1194" s="1">
        <v>1.0</v>
      </c>
      <c r="CT1194" s="1">
        <v>0.0</v>
      </c>
      <c r="CU1194" s="1">
        <v>0.0</v>
      </c>
      <c r="CV1194" s="1">
        <v>0.0</v>
      </c>
      <c r="CW1194" s="1">
        <v>0.0</v>
      </c>
      <c r="CX1194" s="1">
        <v>0.0</v>
      </c>
      <c r="CY1194" s="1">
        <v>0.0</v>
      </c>
      <c r="CZ1194" s="1">
        <v>0.0</v>
      </c>
      <c r="DA1194" s="1">
        <v>1.0</v>
      </c>
      <c r="DB1194" s="1">
        <v>1.0</v>
      </c>
      <c r="DC1194" s="1">
        <v>2.0</v>
      </c>
      <c r="DD1194" s="1" t="s">
        <v>5247</v>
      </c>
      <c r="DE1194" s="1">
        <v>4.51269451119121E-4</v>
      </c>
      <c r="DF1194" s="1">
        <v>0.0923577858029476</v>
      </c>
    </row>
    <row r="1195" ht="15.75" customHeight="1">
      <c r="A1195" s="1" t="s">
        <v>5248</v>
      </c>
      <c r="B1195" s="1">
        <v>29.0</v>
      </c>
      <c r="C1195" s="1">
        <v>189.0</v>
      </c>
      <c r="D1195" s="1">
        <v>219600.0</v>
      </c>
      <c r="E1195" s="1">
        <v>1.522</v>
      </c>
      <c r="F1195" s="1">
        <v>29189.0</v>
      </c>
      <c r="G1195" s="1">
        <v>2.91892196E10</v>
      </c>
      <c r="H1195" s="1" t="s">
        <v>112</v>
      </c>
      <c r="I1195" s="1" t="s">
        <v>113</v>
      </c>
      <c r="J1195" s="1" t="s">
        <v>4566</v>
      </c>
      <c r="K1195" s="1" t="s">
        <v>5249</v>
      </c>
      <c r="L1195" s="1">
        <v>6607.0</v>
      </c>
      <c r="M1195" s="1">
        <v>6713.0</v>
      </c>
      <c r="N1195" s="1">
        <v>183.0</v>
      </c>
      <c r="O1195" s="1">
        <v>3628.0</v>
      </c>
      <c r="P1195" s="1">
        <v>3284.0</v>
      </c>
      <c r="Q1195" s="1">
        <v>221.0</v>
      </c>
      <c r="R1195" s="1">
        <v>3350.0</v>
      </c>
      <c r="S1195" s="1">
        <v>503.0</v>
      </c>
      <c r="T1195" s="1">
        <v>218.0</v>
      </c>
      <c r="U1195" s="1">
        <v>153.0</v>
      </c>
      <c r="V1195" s="1">
        <v>387.0</v>
      </c>
      <c r="W1195" s="1">
        <v>30721.0</v>
      </c>
      <c r="X1195" s="1">
        <v>2245.0</v>
      </c>
      <c r="Y1195" s="1">
        <v>363.0</v>
      </c>
      <c r="Z1195" s="1">
        <v>252.0</v>
      </c>
      <c r="AA1195" s="1">
        <v>1590.0</v>
      </c>
      <c r="AB1195" s="1">
        <v>952.0</v>
      </c>
      <c r="AC1195" s="1">
        <v>157.0</v>
      </c>
      <c r="AD1195" s="1">
        <v>743.0</v>
      </c>
      <c r="AE1195" s="1">
        <v>33.0</v>
      </c>
      <c r="AF1195" s="1">
        <v>445.0</v>
      </c>
      <c r="AG1195" s="1">
        <v>940.0</v>
      </c>
      <c r="AH1195" s="1">
        <v>178.0</v>
      </c>
      <c r="AI1195" s="1">
        <v>0.0</v>
      </c>
      <c r="AJ1195" s="1">
        <v>114.0</v>
      </c>
      <c r="AK1195" s="1">
        <v>0.0</v>
      </c>
      <c r="AL1195" s="1">
        <v>161.0</v>
      </c>
      <c r="AM1195" s="1">
        <v>350.0</v>
      </c>
      <c r="AN1195" s="1">
        <v>101.0</v>
      </c>
      <c r="AO1195" s="1">
        <v>320.0</v>
      </c>
      <c r="AP1195" s="1">
        <v>0.079676</v>
      </c>
      <c r="AQ1195" s="1">
        <v>0.034411</v>
      </c>
      <c r="AR1195" s="1">
        <v>0.041576</v>
      </c>
      <c r="AS1195" s="1">
        <v>0.105051</v>
      </c>
      <c r="AT1195" s="1">
        <v>30721.0</v>
      </c>
      <c r="AU1195" s="1">
        <v>2245.0</v>
      </c>
      <c r="AV1195" s="1">
        <v>0.071938</v>
      </c>
      <c r="AW1195" s="1">
        <v>0.049759</v>
      </c>
      <c r="AX1195" s="1">
        <v>0.240653</v>
      </c>
      <c r="AY1195" s="1">
        <v>0.144089</v>
      </c>
      <c r="AZ1195" s="1">
        <v>0.04686567</v>
      </c>
      <c r="BA1195" s="1">
        <v>0.112456</v>
      </c>
      <c r="BB1195" s="1">
        <v>0.005102</v>
      </c>
      <c r="BC1195" s="1">
        <v>0.06881</v>
      </c>
      <c r="BD1195" s="1">
        <v>0.286236</v>
      </c>
      <c r="BE1195" s="1">
        <v>0.050663</v>
      </c>
      <c r="BF1195" s="1">
        <v>0.0</v>
      </c>
      <c r="BG1195" s="1">
        <v>0.034713</v>
      </c>
      <c r="BH1195" s="1">
        <v>0.0</v>
      </c>
      <c r="BI1195" s="1">
        <v>0.04925</v>
      </c>
      <c r="BJ1195" s="1">
        <v>0.107066</v>
      </c>
      <c r="BK1195" s="1">
        <v>0.030028</v>
      </c>
      <c r="BL1195" s="1">
        <v>0.048433</v>
      </c>
      <c r="BM1195" s="1">
        <v>0.292</v>
      </c>
      <c r="BN1195" s="1">
        <v>0.2</v>
      </c>
      <c r="BO1195" s="1">
        <v>0.1819</v>
      </c>
      <c r="BP1195" s="1">
        <v>0.209</v>
      </c>
      <c r="BQ1195" s="1">
        <v>0.8829</v>
      </c>
      <c r="BR1195" s="1">
        <v>0.1762</v>
      </c>
      <c r="BS1195" s="1">
        <v>0.962</v>
      </c>
      <c r="BT1195" s="1">
        <v>0.057</v>
      </c>
      <c r="BU1195" s="1">
        <v>0.061</v>
      </c>
      <c r="BV1195" s="1">
        <v>1.08</v>
      </c>
      <c r="BW1195" s="1">
        <v>0.154</v>
      </c>
      <c r="BX1195" s="1">
        <v>0.512</v>
      </c>
      <c r="BY1195" s="1">
        <v>0.566</v>
      </c>
      <c r="BZ1195" s="1">
        <v>1.078</v>
      </c>
      <c r="CA1195" s="1">
        <v>0.599</v>
      </c>
      <c r="CB1195" s="1">
        <v>0.937</v>
      </c>
      <c r="CC1195" s="1">
        <v>0.0</v>
      </c>
      <c r="CD1195" s="1">
        <v>0.0</v>
      </c>
      <c r="CE1195" s="1">
        <v>0.773</v>
      </c>
      <c r="CF1195" s="1">
        <v>0.891</v>
      </c>
      <c r="CG1195" s="1">
        <v>2.601</v>
      </c>
      <c r="CH1195" s="1">
        <v>0.603</v>
      </c>
      <c r="CI1195" s="1">
        <v>5.6419</v>
      </c>
      <c r="CJ1195" s="1">
        <v>0.309</v>
      </c>
      <c r="CK1195" s="1">
        <v>0.0</v>
      </c>
      <c r="CL1195" s="1">
        <v>0.0</v>
      </c>
      <c r="CM1195" s="1">
        <v>0.0</v>
      </c>
      <c r="CN1195" s="1">
        <v>0.0</v>
      </c>
      <c r="CO1195" s="1">
        <v>0.0</v>
      </c>
      <c r="CP1195" s="1">
        <v>1.0</v>
      </c>
      <c r="CQ1195" s="1">
        <v>0.0</v>
      </c>
      <c r="CR1195" s="1">
        <v>0.0</v>
      </c>
      <c r="CS1195" s="1">
        <v>1.0</v>
      </c>
      <c r="CT1195" s="1">
        <v>0.0</v>
      </c>
      <c r="CU1195" s="1">
        <v>0.0</v>
      </c>
      <c r="CV1195" s="1">
        <v>0.0</v>
      </c>
      <c r="CW1195" s="1">
        <v>1.0</v>
      </c>
      <c r="CX1195" s="1">
        <v>0.0</v>
      </c>
      <c r="CY1195" s="1">
        <v>0.0</v>
      </c>
      <c r="CZ1195" s="1">
        <v>0.0</v>
      </c>
      <c r="DA1195" s="1">
        <v>0.0</v>
      </c>
      <c r="DB1195" s="1">
        <v>1.0</v>
      </c>
      <c r="DC1195" s="1">
        <v>2.0</v>
      </c>
      <c r="DD1195" s="1" t="s">
        <v>5250</v>
      </c>
      <c r="DE1195" s="1">
        <v>4.05812598076984E-4</v>
      </c>
      <c r="DF1195" s="1">
        <v>0.0977082813093875</v>
      </c>
    </row>
    <row r="1196" ht="15.75" customHeight="1">
      <c r="A1196" s="1" t="s">
        <v>5251</v>
      </c>
      <c r="B1196" s="1">
        <v>29.0</v>
      </c>
      <c r="C1196" s="1">
        <v>189.0</v>
      </c>
      <c r="D1196" s="1">
        <v>219800.0</v>
      </c>
      <c r="E1196" s="1">
        <v>1.518</v>
      </c>
      <c r="F1196" s="1">
        <v>29189.0</v>
      </c>
      <c r="G1196" s="1">
        <v>2.91892198E10</v>
      </c>
      <c r="H1196" s="1" t="s">
        <v>112</v>
      </c>
      <c r="I1196" s="1" t="s">
        <v>113</v>
      </c>
      <c r="J1196" s="1" t="s">
        <v>4566</v>
      </c>
      <c r="K1196" s="1" t="s">
        <v>5252</v>
      </c>
      <c r="L1196" s="1">
        <v>7435.0</v>
      </c>
      <c r="M1196" s="1">
        <v>7307.0</v>
      </c>
      <c r="N1196" s="1">
        <v>376.0</v>
      </c>
      <c r="O1196" s="1">
        <v>3463.0</v>
      </c>
      <c r="P1196" s="1">
        <v>3353.0</v>
      </c>
      <c r="Q1196" s="1">
        <v>62.0</v>
      </c>
      <c r="R1196" s="1">
        <v>3268.0</v>
      </c>
      <c r="S1196" s="1">
        <v>405.0</v>
      </c>
      <c r="T1196" s="1">
        <v>220.0</v>
      </c>
      <c r="U1196" s="1">
        <v>244.0</v>
      </c>
      <c r="V1196" s="1">
        <v>393.0</v>
      </c>
      <c r="W1196" s="1">
        <v>25194.0</v>
      </c>
      <c r="X1196" s="1">
        <v>1702.0</v>
      </c>
      <c r="Y1196" s="1">
        <v>749.0</v>
      </c>
      <c r="Z1196" s="1">
        <v>261.0</v>
      </c>
      <c r="AA1196" s="1">
        <v>1005.0</v>
      </c>
      <c r="AB1196" s="1">
        <v>1511.0</v>
      </c>
      <c r="AC1196" s="1">
        <v>309.0</v>
      </c>
      <c r="AD1196" s="1">
        <v>724.0</v>
      </c>
      <c r="AE1196" s="1">
        <v>257.0</v>
      </c>
      <c r="AF1196" s="1">
        <v>438.0</v>
      </c>
      <c r="AG1196" s="1">
        <v>205.0</v>
      </c>
      <c r="AH1196" s="1">
        <v>113.0</v>
      </c>
      <c r="AI1196" s="1">
        <v>37.0</v>
      </c>
      <c r="AJ1196" s="1">
        <v>57.0</v>
      </c>
      <c r="AK1196" s="1">
        <v>0.0</v>
      </c>
      <c r="AL1196" s="1">
        <v>161.0</v>
      </c>
      <c r="AM1196" s="1">
        <v>130.0</v>
      </c>
      <c r="AN1196" s="1">
        <v>63.0</v>
      </c>
      <c r="AO1196" s="1">
        <v>0.0</v>
      </c>
      <c r="AP1196" s="1">
        <v>0.055426</v>
      </c>
      <c r="AQ1196" s="1">
        <v>0.029972</v>
      </c>
      <c r="AR1196" s="1">
        <v>0.057344</v>
      </c>
      <c r="AS1196" s="1">
        <v>0.092212</v>
      </c>
      <c r="AT1196" s="1">
        <v>25194.0</v>
      </c>
      <c r="AU1196" s="1">
        <v>1702.0</v>
      </c>
      <c r="AV1196" s="1">
        <v>0.149054</v>
      </c>
      <c r="AW1196" s="1">
        <v>0.051286</v>
      </c>
      <c r="AX1196" s="1">
        <v>0.135171</v>
      </c>
      <c r="AY1196" s="1">
        <v>0.203227</v>
      </c>
      <c r="AZ1196" s="1">
        <v>0.09455324</v>
      </c>
      <c r="BA1196" s="1">
        <v>0.097377</v>
      </c>
      <c r="BB1196" s="1">
        <v>0.036851</v>
      </c>
      <c r="BC1196" s="1">
        <v>0.062773</v>
      </c>
      <c r="BD1196" s="1">
        <v>0.061139</v>
      </c>
      <c r="BE1196" s="1">
        <v>0.033682</v>
      </c>
      <c r="BF1196" s="1">
        <v>0.011034</v>
      </c>
      <c r="BG1196" s="1">
        <v>0.016998</v>
      </c>
      <c r="BH1196" s="1">
        <v>0.0</v>
      </c>
      <c r="BI1196" s="1">
        <v>0.052357</v>
      </c>
      <c r="BJ1196" s="1">
        <v>0.042276</v>
      </c>
      <c r="BK1196" s="1">
        <v>0.020387</v>
      </c>
      <c r="BL1196" s="1">
        <v>0.0</v>
      </c>
      <c r="BM1196" s="1">
        <v>0.189</v>
      </c>
      <c r="BN1196" s="1">
        <v>0.387</v>
      </c>
      <c r="BO1196" s="1">
        <v>0.3386</v>
      </c>
      <c r="BP1196" s="1">
        <v>0.564</v>
      </c>
      <c r="BQ1196" s="1">
        <v>1.4786</v>
      </c>
      <c r="BR1196" s="1">
        <v>0.335</v>
      </c>
      <c r="BS1196" s="1">
        <v>0.453</v>
      </c>
      <c r="BT1196" s="1">
        <v>0.203</v>
      </c>
      <c r="BU1196" s="1">
        <v>0.445</v>
      </c>
      <c r="BV1196" s="1">
        <v>1.101</v>
      </c>
      <c r="BW1196" s="1">
        <v>0.165</v>
      </c>
      <c r="BX1196" s="1">
        <v>0.461</v>
      </c>
      <c r="BY1196" s="1">
        <v>0.94</v>
      </c>
      <c r="BZ1196" s="1">
        <v>1.401</v>
      </c>
      <c r="CA1196" s="1">
        <v>0.767</v>
      </c>
      <c r="CB1196" s="1">
        <v>0.687</v>
      </c>
      <c r="CC1196" s="1">
        <v>0.464</v>
      </c>
      <c r="CD1196" s="1">
        <v>0.0</v>
      </c>
      <c r="CE1196" s="1">
        <v>0.415</v>
      </c>
      <c r="CF1196" s="1">
        <v>0.0</v>
      </c>
      <c r="CG1196" s="1">
        <v>1.566</v>
      </c>
      <c r="CH1196" s="1">
        <v>0.188</v>
      </c>
      <c r="CI1196" s="1">
        <v>5.5466</v>
      </c>
      <c r="CJ1196" s="1">
        <v>0.2895</v>
      </c>
      <c r="CK1196" s="1">
        <v>0.0</v>
      </c>
      <c r="CL1196" s="1">
        <v>0.0</v>
      </c>
      <c r="CM1196" s="1">
        <v>0.0</v>
      </c>
      <c r="CN1196" s="1">
        <v>0.0</v>
      </c>
      <c r="CO1196" s="1">
        <v>0.0</v>
      </c>
      <c r="CP1196" s="1">
        <v>0.0</v>
      </c>
      <c r="CQ1196" s="1">
        <v>0.0</v>
      </c>
      <c r="CR1196" s="1">
        <v>0.0</v>
      </c>
      <c r="CS1196" s="1">
        <v>0.0</v>
      </c>
      <c r="CT1196" s="1">
        <v>0.0</v>
      </c>
      <c r="CU1196" s="1">
        <v>1.0</v>
      </c>
      <c r="CV1196" s="1">
        <v>1.0</v>
      </c>
      <c r="CW1196" s="1">
        <v>0.0</v>
      </c>
      <c r="CX1196" s="1">
        <v>0.0</v>
      </c>
      <c r="CY1196" s="1">
        <v>0.0</v>
      </c>
      <c r="CZ1196" s="1">
        <v>0.0</v>
      </c>
      <c r="DA1196" s="1">
        <v>0.0</v>
      </c>
      <c r="DB1196" s="1">
        <v>0.0</v>
      </c>
      <c r="DC1196" s="1">
        <v>1.0</v>
      </c>
      <c r="DD1196" s="1" t="s">
        <v>5253</v>
      </c>
      <c r="DE1196" s="1">
        <v>4.06470624804423E-4</v>
      </c>
      <c r="DF1196" s="1">
        <v>0.0915851845324258</v>
      </c>
    </row>
    <row r="1197" ht="15.75" customHeight="1">
      <c r="A1197" s="1" t="s">
        <v>5254</v>
      </c>
      <c r="B1197" s="1">
        <v>29.0</v>
      </c>
      <c r="C1197" s="1">
        <v>189.0</v>
      </c>
      <c r="D1197" s="1">
        <v>219900.0</v>
      </c>
      <c r="E1197" s="1">
        <v>1.048</v>
      </c>
      <c r="F1197" s="1">
        <v>29189.0</v>
      </c>
      <c r="G1197" s="1">
        <v>2.91892199E10</v>
      </c>
      <c r="H1197" s="1" t="s">
        <v>112</v>
      </c>
      <c r="I1197" s="1" t="s">
        <v>113</v>
      </c>
      <c r="J1197" s="1" t="s">
        <v>4566</v>
      </c>
      <c r="K1197" s="1" t="s">
        <v>5255</v>
      </c>
      <c r="L1197" s="1">
        <v>5951.0</v>
      </c>
      <c r="M1197" s="1">
        <v>5764.0</v>
      </c>
      <c r="N1197" s="1">
        <v>291.0</v>
      </c>
      <c r="O1197" s="1">
        <v>2621.0</v>
      </c>
      <c r="P1197" s="1">
        <v>2568.0</v>
      </c>
      <c r="Q1197" s="1">
        <v>32.0</v>
      </c>
      <c r="R1197" s="1">
        <v>2485.0</v>
      </c>
      <c r="S1197" s="1">
        <v>315.0</v>
      </c>
      <c r="T1197" s="1">
        <v>175.0</v>
      </c>
      <c r="U1197" s="1">
        <v>212.0</v>
      </c>
      <c r="V1197" s="1">
        <v>391.0</v>
      </c>
      <c r="W1197" s="1">
        <v>22977.0</v>
      </c>
      <c r="X1197" s="1">
        <v>1428.0</v>
      </c>
      <c r="Y1197" s="1">
        <v>800.0</v>
      </c>
      <c r="Z1197" s="1">
        <v>267.0</v>
      </c>
      <c r="AA1197" s="1">
        <v>1053.0</v>
      </c>
      <c r="AB1197" s="1">
        <v>1165.0</v>
      </c>
      <c r="AC1197" s="1">
        <v>184.0</v>
      </c>
      <c r="AD1197" s="1">
        <v>610.0</v>
      </c>
      <c r="AE1197" s="1">
        <v>336.0</v>
      </c>
      <c r="AF1197" s="1">
        <v>456.0</v>
      </c>
      <c r="AG1197" s="1">
        <v>0.0</v>
      </c>
      <c r="AH1197" s="1">
        <v>197.0</v>
      </c>
      <c r="AI1197" s="1">
        <v>0.0</v>
      </c>
      <c r="AJ1197" s="1">
        <v>114.0</v>
      </c>
      <c r="AK1197" s="1">
        <v>22.0</v>
      </c>
      <c r="AL1197" s="1">
        <v>116.0</v>
      </c>
      <c r="AM1197" s="1">
        <v>91.0</v>
      </c>
      <c r="AN1197" s="1">
        <v>50.0</v>
      </c>
      <c r="AO1197" s="1">
        <v>1.0</v>
      </c>
      <c r="AP1197" s="1">
        <v>0.054649</v>
      </c>
      <c r="AQ1197" s="1">
        <v>0.030235</v>
      </c>
      <c r="AR1197" s="1">
        <v>0.06758</v>
      </c>
      <c r="AS1197" s="1">
        <v>0.124475</v>
      </c>
      <c r="AT1197" s="1">
        <v>22977.0</v>
      </c>
      <c r="AU1197" s="1">
        <v>1428.0</v>
      </c>
      <c r="AV1197" s="1">
        <v>0.192585</v>
      </c>
      <c r="AW1197" s="1">
        <v>0.063737</v>
      </c>
      <c r="AX1197" s="1">
        <v>0.176945</v>
      </c>
      <c r="AY1197" s="1">
        <v>0.195765</v>
      </c>
      <c r="AZ1197" s="1">
        <v>0.07404426</v>
      </c>
      <c r="BA1197" s="1">
        <v>0.102503</v>
      </c>
      <c r="BB1197" s="1">
        <v>0.061832</v>
      </c>
      <c r="BC1197" s="1">
        <v>0.083853</v>
      </c>
      <c r="BD1197" s="1">
        <v>0.0</v>
      </c>
      <c r="BE1197" s="1">
        <v>0.076713</v>
      </c>
      <c r="BF1197" s="1">
        <v>0.0</v>
      </c>
      <c r="BG1197" s="1">
        <v>0.044392</v>
      </c>
      <c r="BH1197" s="1">
        <v>0.008954</v>
      </c>
      <c r="BI1197" s="1">
        <v>0.04721</v>
      </c>
      <c r="BJ1197" s="1">
        <v>0.037037</v>
      </c>
      <c r="BK1197" s="1">
        <v>0.020295</v>
      </c>
      <c r="BL1197" s="1">
        <v>1.68E-4</v>
      </c>
      <c r="BM1197" s="1">
        <v>0.187</v>
      </c>
      <c r="BN1197" s="1">
        <v>0.494</v>
      </c>
      <c r="BO1197" s="1">
        <v>0.4469</v>
      </c>
      <c r="BP1197" s="1">
        <v>0.733</v>
      </c>
      <c r="BQ1197" s="1">
        <v>1.8609</v>
      </c>
      <c r="BR1197" s="1">
        <v>0.4527</v>
      </c>
      <c r="BS1197" s="1">
        <v>0.768</v>
      </c>
      <c r="BT1197" s="1">
        <v>0.171</v>
      </c>
      <c r="BU1197" s="1">
        <v>0.249</v>
      </c>
      <c r="BV1197" s="1">
        <v>1.188</v>
      </c>
      <c r="BW1197" s="1">
        <v>0.22</v>
      </c>
      <c r="BX1197" s="1">
        <v>0.479</v>
      </c>
      <c r="BY1197" s="1">
        <v>0.969</v>
      </c>
      <c r="BZ1197" s="1">
        <v>1.448</v>
      </c>
      <c r="CA1197" s="1">
        <v>0.792</v>
      </c>
      <c r="CB1197" s="1">
        <v>0.0</v>
      </c>
      <c r="CC1197" s="1">
        <v>0.0</v>
      </c>
      <c r="CD1197" s="1">
        <v>0.456</v>
      </c>
      <c r="CE1197" s="1">
        <v>0.362</v>
      </c>
      <c r="CF1197" s="1">
        <v>0.345</v>
      </c>
      <c r="CG1197" s="1">
        <v>1.163</v>
      </c>
      <c r="CH1197" s="1">
        <v>0.103</v>
      </c>
      <c r="CI1197" s="1">
        <v>5.6599</v>
      </c>
      <c r="CJ1197" s="1">
        <v>0.3126</v>
      </c>
      <c r="CK1197" s="1">
        <v>0.0</v>
      </c>
      <c r="CL1197" s="1">
        <v>0.0</v>
      </c>
      <c r="CM1197" s="1">
        <v>0.0</v>
      </c>
      <c r="CN1197" s="1">
        <v>0.0</v>
      </c>
      <c r="CO1197" s="1">
        <v>0.0</v>
      </c>
      <c r="CP1197" s="1">
        <v>0.0</v>
      </c>
      <c r="CQ1197" s="1">
        <v>0.0</v>
      </c>
      <c r="CR1197" s="1">
        <v>0.0</v>
      </c>
      <c r="CS1197" s="1">
        <v>0.0</v>
      </c>
      <c r="CT1197" s="1">
        <v>0.0</v>
      </c>
      <c r="CU1197" s="1">
        <v>1.0</v>
      </c>
      <c r="CV1197" s="1">
        <v>1.0</v>
      </c>
      <c r="CW1197" s="1">
        <v>0.0</v>
      </c>
      <c r="CX1197" s="1">
        <v>0.0</v>
      </c>
      <c r="CY1197" s="1">
        <v>0.0</v>
      </c>
      <c r="CZ1197" s="1">
        <v>0.0</v>
      </c>
      <c r="DA1197" s="1">
        <v>0.0</v>
      </c>
      <c r="DB1197" s="1">
        <v>0.0</v>
      </c>
      <c r="DC1197" s="1">
        <v>1.0</v>
      </c>
      <c r="DD1197" s="1" t="s">
        <v>5256</v>
      </c>
      <c r="DE1197" s="1">
        <v>2.80057820331126E-4</v>
      </c>
      <c r="DF1197" s="1">
        <v>0.0673402090487003</v>
      </c>
    </row>
    <row r="1198" ht="15.75" customHeight="1">
      <c r="A1198" s="1" t="s">
        <v>5257</v>
      </c>
      <c r="B1198" s="1">
        <v>29.0</v>
      </c>
      <c r="C1198" s="1">
        <v>195.0</v>
      </c>
      <c r="D1198" s="2" t="s">
        <v>2007</v>
      </c>
      <c r="E1198" s="1">
        <v>282.497</v>
      </c>
      <c r="F1198" s="1">
        <v>29195.0</v>
      </c>
      <c r="G1198" s="1">
        <v>2.91950902E10</v>
      </c>
      <c r="H1198" s="1" t="s">
        <v>112</v>
      </c>
      <c r="I1198" s="1" t="s">
        <v>113</v>
      </c>
      <c r="J1198" s="1" t="s">
        <v>5258</v>
      </c>
      <c r="K1198" s="1" t="s">
        <v>5259</v>
      </c>
      <c r="L1198" s="1">
        <v>2525.0</v>
      </c>
      <c r="M1198" s="1">
        <v>2474.0</v>
      </c>
      <c r="N1198" s="1">
        <v>313.0</v>
      </c>
      <c r="O1198" s="1">
        <v>1029.0</v>
      </c>
      <c r="P1198" s="1">
        <v>1073.0</v>
      </c>
      <c r="Q1198" s="1">
        <v>58.0</v>
      </c>
      <c r="R1198" s="1">
        <v>929.0</v>
      </c>
      <c r="S1198" s="1">
        <v>166.0</v>
      </c>
      <c r="T1198" s="1">
        <v>76.0</v>
      </c>
      <c r="U1198" s="1">
        <v>73.0</v>
      </c>
      <c r="V1198" s="1">
        <v>362.0</v>
      </c>
      <c r="W1198" s="1">
        <v>23284.0</v>
      </c>
      <c r="X1198" s="1">
        <v>3732.0</v>
      </c>
      <c r="Y1198" s="1">
        <v>284.0</v>
      </c>
      <c r="Z1198" s="1">
        <v>241.0</v>
      </c>
      <c r="AA1198" s="1">
        <v>458.0</v>
      </c>
      <c r="AB1198" s="1">
        <v>550.0</v>
      </c>
      <c r="AC1198" s="1">
        <v>63.0</v>
      </c>
      <c r="AD1198" s="1">
        <v>127.0</v>
      </c>
      <c r="AE1198" s="1">
        <v>0.0</v>
      </c>
      <c r="AF1198" s="1">
        <v>456.0</v>
      </c>
      <c r="AG1198" s="1">
        <v>0.0</v>
      </c>
      <c r="AH1198" s="1">
        <v>197.0</v>
      </c>
      <c r="AI1198" s="1">
        <v>118.0</v>
      </c>
      <c r="AJ1198" s="1">
        <v>48.0</v>
      </c>
      <c r="AK1198" s="1">
        <v>4.0</v>
      </c>
      <c r="AL1198" s="1">
        <v>114.0</v>
      </c>
      <c r="AM1198" s="1">
        <v>14.0</v>
      </c>
      <c r="AN1198" s="1">
        <v>13.0</v>
      </c>
      <c r="AO1198" s="1">
        <v>181.0</v>
      </c>
      <c r="AP1198" s="1">
        <v>0.07678</v>
      </c>
      <c r="AQ1198" s="1">
        <v>0.034586</v>
      </c>
      <c r="AR1198" s="1">
        <v>0.06043</v>
      </c>
      <c r="AS1198" s="1">
        <v>0.299565</v>
      </c>
      <c r="AT1198" s="1">
        <v>23284.0</v>
      </c>
      <c r="AU1198" s="1">
        <v>3732.0</v>
      </c>
      <c r="AV1198" s="1">
        <v>0.164637</v>
      </c>
      <c r="AW1198" s="1">
        <v>0.138306</v>
      </c>
      <c r="AX1198" s="1">
        <v>0.181386</v>
      </c>
      <c r="AY1198" s="1">
        <v>0.217821</v>
      </c>
      <c r="AZ1198" s="1">
        <v>0.06781485</v>
      </c>
      <c r="BA1198" s="1">
        <v>0.050297</v>
      </c>
      <c r="BB1198" s="1">
        <v>0.0</v>
      </c>
      <c r="BC1198" s="1">
        <v>0.192</v>
      </c>
      <c r="BD1198" s="1">
        <v>0.0</v>
      </c>
      <c r="BE1198" s="1">
        <v>0.183597</v>
      </c>
      <c r="BF1198" s="1">
        <v>0.109972</v>
      </c>
      <c r="BG1198" s="1">
        <v>0.044337</v>
      </c>
      <c r="BH1198" s="1">
        <v>0.004296</v>
      </c>
      <c r="BI1198" s="1">
        <v>0.122448</v>
      </c>
      <c r="BJ1198" s="1">
        <v>0.015037</v>
      </c>
      <c r="BK1198" s="1">
        <v>0.013912</v>
      </c>
      <c r="BL1198" s="1">
        <v>0.071683</v>
      </c>
      <c r="BM1198" s="1">
        <v>0.278</v>
      </c>
      <c r="BN1198" s="1">
        <v>0.422</v>
      </c>
      <c r="BO1198" s="1">
        <v>0.4332</v>
      </c>
      <c r="BP1198" s="1">
        <v>0.632</v>
      </c>
      <c r="BQ1198" s="1">
        <v>1.7652</v>
      </c>
      <c r="BR1198" s="1">
        <v>0.4209</v>
      </c>
      <c r="BS1198" s="1">
        <v>0.799</v>
      </c>
      <c r="BT1198" s="1">
        <v>0.287</v>
      </c>
      <c r="BU1198" s="1">
        <v>0.197</v>
      </c>
      <c r="BV1198" s="1">
        <v>1.283</v>
      </c>
      <c r="BW1198" s="1">
        <v>0.29</v>
      </c>
      <c r="BX1198" s="1">
        <v>0.247</v>
      </c>
      <c r="BY1198" s="1">
        <v>0.0</v>
      </c>
      <c r="BZ1198" s="1">
        <v>0.247</v>
      </c>
      <c r="CA1198" s="1">
        <v>0.107</v>
      </c>
      <c r="CB1198" s="1">
        <v>0.0</v>
      </c>
      <c r="CC1198" s="1">
        <v>0.74</v>
      </c>
      <c r="CD1198" s="1">
        <v>0.315</v>
      </c>
      <c r="CE1198" s="1">
        <v>0.135</v>
      </c>
      <c r="CF1198" s="1">
        <v>0.924</v>
      </c>
      <c r="CG1198" s="1">
        <v>2.114</v>
      </c>
      <c r="CH1198" s="1">
        <v>0.387</v>
      </c>
      <c r="CI1198" s="1">
        <v>5.4092</v>
      </c>
      <c r="CJ1198" s="1">
        <v>0.2643</v>
      </c>
      <c r="CK1198" s="1">
        <v>0.0</v>
      </c>
      <c r="CL1198" s="1">
        <v>0.0</v>
      </c>
      <c r="CM1198" s="1">
        <v>0.0</v>
      </c>
      <c r="CN1198" s="1">
        <v>0.0</v>
      </c>
      <c r="CO1198" s="1">
        <v>0.0</v>
      </c>
      <c r="CP1198" s="1">
        <v>0.0</v>
      </c>
      <c r="CQ1198" s="1">
        <v>0.0</v>
      </c>
      <c r="CR1198" s="1">
        <v>0.0</v>
      </c>
      <c r="CS1198" s="1">
        <v>0.0</v>
      </c>
      <c r="CT1198" s="1">
        <v>0.0</v>
      </c>
      <c r="CU1198" s="1">
        <v>0.0</v>
      </c>
      <c r="CV1198" s="1">
        <v>0.0</v>
      </c>
      <c r="CW1198" s="1">
        <v>0.0</v>
      </c>
      <c r="CX1198" s="1">
        <v>0.0</v>
      </c>
      <c r="CY1198" s="1">
        <v>0.0</v>
      </c>
      <c r="CZ1198" s="1">
        <v>0.0</v>
      </c>
      <c r="DA1198" s="1">
        <v>1.0</v>
      </c>
      <c r="DB1198" s="1">
        <v>1.0</v>
      </c>
      <c r="DC1198" s="1">
        <v>1.0</v>
      </c>
      <c r="DD1198" s="1" t="s">
        <v>5260</v>
      </c>
      <c r="DE1198" s="1">
        <v>0.07771207977319</v>
      </c>
      <c r="DF1198" s="1">
        <v>2.10915936556793</v>
      </c>
    </row>
    <row r="1199" ht="15.75" customHeight="1">
      <c r="A1199" s="1" t="s">
        <v>5261</v>
      </c>
      <c r="B1199" s="1">
        <v>29.0</v>
      </c>
      <c r="C1199" s="1">
        <v>195.0</v>
      </c>
      <c r="D1199" s="2" t="s">
        <v>1981</v>
      </c>
      <c r="E1199" s="1">
        <v>85.008</v>
      </c>
      <c r="F1199" s="1">
        <v>29195.0</v>
      </c>
      <c r="G1199" s="1">
        <v>2.91950901E10</v>
      </c>
      <c r="H1199" s="1" t="s">
        <v>112</v>
      </c>
      <c r="I1199" s="1" t="s">
        <v>113</v>
      </c>
      <c r="J1199" s="1" t="s">
        <v>5258</v>
      </c>
      <c r="K1199" s="1" t="s">
        <v>5262</v>
      </c>
      <c r="L1199" s="1">
        <v>2483.0</v>
      </c>
      <c r="M1199" s="1">
        <v>2687.0</v>
      </c>
      <c r="N1199" s="1">
        <v>222.0</v>
      </c>
      <c r="O1199" s="1">
        <v>1326.0</v>
      </c>
      <c r="P1199" s="1">
        <v>1426.0</v>
      </c>
      <c r="Q1199" s="1">
        <v>102.0</v>
      </c>
      <c r="R1199" s="1">
        <v>1064.0</v>
      </c>
      <c r="S1199" s="1">
        <v>599.0</v>
      </c>
      <c r="T1199" s="1">
        <v>151.0</v>
      </c>
      <c r="U1199" s="1">
        <v>83.0</v>
      </c>
      <c r="V1199" s="1">
        <v>413.0</v>
      </c>
      <c r="W1199" s="1">
        <v>17156.0</v>
      </c>
      <c r="X1199" s="1">
        <v>1613.0</v>
      </c>
      <c r="Y1199" s="1">
        <v>452.0</v>
      </c>
      <c r="Z1199" s="1">
        <v>149.0</v>
      </c>
      <c r="AA1199" s="1">
        <v>487.0</v>
      </c>
      <c r="AB1199" s="1">
        <v>575.0</v>
      </c>
      <c r="AC1199" s="1">
        <v>114.0</v>
      </c>
      <c r="AD1199" s="1">
        <v>239.0</v>
      </c>
      <c r="AE1199" s="1">
        <v>7.0</v>
      </c>
      <c r="AF1199" s="1">
        <v>442.0</v>
      </c>
      <c r="AG1199" s="1">
        <v>21.0</v>
      </c>
      <c r="AH1199" s="1">
        <v>162.0</v>
      </c>
      <c r="AI1199" s="1">
        <v>48.0</v>
      </c>
      <c r="AJ1199" s="1">
        <v>29.0</v>
      </c>
      <c r="AK1199" s="1">
        <v>12.0</v>
      </c>
      <c r="AL1199" s="1">
        <v>115.0</v>
      </c>
      <c r="AM1199" s="1">
        <v>113.0</v>
      </c>
      <c r="AN1199" s="1">
        <v>56.0</v>
      </c>
      <c r="AO1199" s="1">
        <v>48.0</v>
      </c>
      <c r="AP1199" s="1">
        <v>0.228016</v>
      </c>
      <c r="AQ1199" s="1">
        <v>0.054599</v>
      </c>
      <c r="AR1199" s="1">
        <v>0.080975</v>
      </c>
      <c r="AS1199" s="1">
        <v>0.402797</v>
      </c>
      <c r="AT1199" s="1">
        <v>17156.0</v>
      </c>
      <c r="AU1199" s="1">
        <v>1613.0</v>
      </c>
      <c r="AV1199" s="1">
        <v>0.239153</v>
      </c>
      <c r="AW1199" s="1">
        <v>0.076962</v>
      </c>
      <c r="AX1199" s="1">
        <v>0.196133</v>
      </c>
      <c r="AY1199" s="1">
        <v>0.231574</v>
      </c>
      <c r="AZ1199" s="1">
        <v>0.10714285</v>
      </c>
      <c r="BA1199" s="1">
        <v>0.096254</v>
      </c>
      <c r="BB1199" s="1">
        <v>0.002774</v>
      </c>
      <c r="BC1199" s="1">
        <v>0.175188</v>
      </c>
      <c r="BD1199" s="1">
        <v>0.014726</v>
      </c>
      <c r="BE1199" s="1">
        <v>0.113599</v>
      </c>
      <c r="BF1199" s="1">
        <v>0.03366</v>
      </c>
      <c r="BG1199" s="1">
        <v>0.020193</v>
      </c>
      <c r="BH1199" s="1">
        <v>0.010619</v>
      </c>
      <c r="BI1199" s="1">
        <v>0.101765</v>
      </c>
      <c r="BJ1199" s="1">
        <v>0.1</v>
      </c>
      <c r="BK1199" s="1">
        <v>0.048792</v>
      </c>
      <c r="BL1199" s="1">
        <v>0.019331</v>
      </c>
      <c r="BM1199" s="1">
        <v>0.787</v>
      </c>
      <c r="BN1199" s="1">
        <v>0.62</v>
      </c>
      <c r="BO1199" s="1">
        <v>0.7783</v>
      </c>
      <c r="BP1199" s="1">
        <v>0.843</v>
      </c>
      <c r="BQ1199" s="1">
        <v>3.0283</v>
      </c>
      <c r="BR1199" s="1">
        <v>0.8094</v>
      </c>
      <c r="BS1199" s="1">
        <v>0.858</v>
      </c>
      <c r="BT1199" s="1">
        <v>0.404</v>
      </c>
      <c r="BU1199" s="1">
        <v>0.561</v>
      </c>
      <c r="BV1199" s="1">
        <v>1.823</v>
      </c>
      <c r="BW1199" s="1">
        <v>0.741</v>
      </c>
      <c r="BX1199" s="1">
        <v>0.457</v>
      </c>
      <c r="BY1199" s="1">
        <v>0.434</v>
      </c>
      <c r="BZ1199" s="1">
        <v>0.891</v>
      </c>
      <c r="CA1199" s="1">
        <v>0.461</v>
      </c>
      <c r="CB1199" s="1">
        <v>0.423</v>
      </c>
      <c r="CC1199" s="1">
        <v>0.559</v>
      </c>
      <c r="CD1199" s="1">
        <v>0.49</v>
      </c>
      <c r="CE1199" s="1">
        <v>0.754</v>
      </c>
      <c r="CF1199" s="1">
        <v>0.699</v>
      </c>
      <c r="CG1199" s="1">
        <v>2.925</v>
      </c>
      <c r="CH1199" s="1">
        <v>0.74</v>
      </c>
      <c r="CI1199" s="1">
        <v>8.6673</v>
      </c>
      <c r="CJ1199" s="1">
        <v>0.8072</v>
      </c>
      <c r="CK1199" s="1">
        <v>0.0</v>
      </c>
      <c r="CL1199" s="1">
        <v>0.0</v>
      </c>
      <c r="CM1199" s="1">
        <v>0.0</v>
      </c>
      <c r="CN1199" s="1">
        <v>0.0</v>
      </c>
      <c r="CO1199" s="1">
        <v>0.0</v>
      </c>
      <c r="CP1199" s="1">
        <v>0.0</v>
      </c>
      <c r="CQ1199" s="1">
        <v>0.0</v>
      </c>
      <c r="CR1199" s="1">
        <v>0.0</v>
      </c>
      <c r="CS1199" s="1">
        <v>0.0</v>
      </c>
      <c r="CT1199" s="1">
        <v>0.0</v>
      </c>
      <c r="CU1199" s="1">
        <v>0.0</v>
      </c>
      <c r="CV1199" s="1">
        <v>0.0</v>
      </c>
      <c r="CW1199" s="1">
        <v>0.0</v>
      </c>
      <c r="CX1199" s="1">
        <v>0.0</v>
      </c>
      <c r="CY1199" s="1">
        <v>0.0</v>
      </c>
      <c r="CZ1199" s="1">
        <v>0.0</v>
      </c>
      <c r="DA1199" s="1">
        <v>0.0</v>
      </c>
      <c r="DB1199" s="1">
        <v>0.0</v>
      </c>
      <c r="DC1199" s="1">
        <v>0.0</v>
      </c>
      <c r="DD1199" s="1" t="s">
        <v>5263</v>
      </c>
      <c r="DE1199" s="2" t="s">
        <v>5264</v>
      </c>
      <c r="DF1199" s="2" t="s">
        <v>5265</v>
      </c>
    </row>
    <row r="1200" ht="15.75" customHeight="1">
      <c r="A1200" s="1" t="s">
        <v>5266</v>
      </c>
      <c r="B1200" s="1">
        <v>29.0</v>
      </c>
      <c r="C1200" s="1">
        <v>195.0</v>
      </c>
      <c r="D1200" s="2" t="s">
        <v>2011</v>
      </c>
      <c r="E1200" s="1">
        <v>7.153</v>
      </c>
      <c r="F1200" s="1">
        <v>29195.0</v>
      </c>
      <c r="G1200" s="1">
        <v>2.91950903E10</v>
      </c>
      <c r="H1200" s="1" t="s">
        <v>112</v>
      </c>
      <c r="I1200" s="1" t="s">
        <v>113</v>
      </c>
      <c r="J1200" s="1" t="s">
        <v>5258</v>
      </c>
      <c r="K1200" s="1" t="s">
        <v>5267</v>
      </c>
      <c r="L1200" s="1">
        <v>3073.0</v>
      </c>
      <c r="M1200" s="1">
        <v>3155.0</v>
      </c>
      <c r="N1200" s="1">
        <v>321.0</v>
      </c>
      <c r="O1200" s="1">
        <v>1371.0</v>
      </c>
      <c r="P1200" s="1">
        <v>1199.0</v>
      </c>
      <c r="Q1200" s="1">
        <v>110.0</v>
      </c>
      <c r="R1200" s="1">
        <v>1244.0</v>
      </c>
      <c r="S1200" s="1">
        <v>727.0</v>
      </c>
      <c r="T1200" s="1">
        <v>283.0</v>
      </c>
      <c r="U1200" s="1">
        <v>78.0</v>
      </c>
      <c r="V1200" s="1">
        <v>445.0</v>
      </c>
      <c r="W1200" s="1">
        <v>13353.0</v>
      </c>
      <c r="X1200" s="1">
        <v>1732.0</v>
      </c>
      <c r="Y1200" s="1">
        <v>487.0</v>
      </c>
      <c r="Z1200" s="1">
        <v>266.0</v>
      </c>
      <c r="AA1200" s="1">
        <v>447.0</v>
      </c>
      <c r="AB1200" s="1">
        <v>779.0</v>
      </c>
      <c r="AC1200" s="1">
        <v>196.0</v>
      </c>
      <c r="AD1200" s="1">
        <v>696.0</v>
      </c>
      <c r="AE1200" s="1">
        <v>88.0</v>
      </c>
      <c r="AF1200" s="1">
        <v>429.0</v>
      </c>
      <c r="AG1200" s="1">
        <v>52.0</v>
      </c>
      <c r="AH1200" s="1">
        <v>121.0</v>
      </c>
      <c r="AI1200" s="1">
        <v>105.0</v>
      </c>
      <c r="AJ1200" s="1">
        <v>53.0</v>
      </c>
      <c r="AK1200" s="1">
        <v>62.0</v>
      </c>
      <c r="AL1200" s="1">
        <v>125.0</v>
      </c>
      <c r="AM1200" s="1">
        <v>86.0</v>
      </c>
      <c r="AN1200" s="1">
        <v>59.0</v>
      </c>
      <c r="AO1200" s="1">
        <v>47.0</v>
      </c>
      <c r="AP1200" s="1">
        <v>0.238048</v>
      </c>
      <c r="AQ1200" s="1">
        <v>0.089686</v>
      </c>
      <c r="AR1200" s="1">
        <v>0.054091</v>
      </c>
      <c r="AS1200" s="1">
        <v>0.308358</v>
      </c>
      <c r="AT1200" s="1">
        <v>13353.0</v>
      </c>
      <c r="AU1200" s="1">
        <v>1732.0</v>
      </c>
      <c r="AV1200" s="1">
        <v>0.248469</v>
      </c>
      <c r="AW1200" s="1">
        <v>0.132655</v>
      </c>
      <c r="AX1200" s="1">
        <v>0.14546</v>
      </c>
      <c r="AY1200" s="1">
        <v>0.253498</v>
      </c>
      <c r="AZ1200" s="1">
        <v>0.15755627</v>
      </c>
      <c r="BA1200" s="1">
        <v>0.226488</v>
      </c>
      <c r="BB1200" s="1">
        <v>0.030376</v>
      </c>
      <c r="BC1200" s="1">
        <v>0.148051</v>
      </c>
      <c r="BD1200" s="1">
        <v>0.043369</v>
      </c>
      <c r="BE1200" s="1">
        <v>0.100838</v>
      </c>
      <c r="BF1200" s="1">
        <v>0.087572</v>
      </c>
      <c r="BG1200" s="1">
        <v>0.043467</v>
      </c>
      <c r="BH1200" s="1">
        <v>0.055755</v>
      </c>
      <c r="BI1200" s="1">
        <v>0.112281</v>
      </c>
      <c r="BJ1200" s="1">
        <v>0.077338</v>
      </c>
      <c r="BK1200" s="1">
        <v>0.052533</v>
      </c>
      <c r="BL1200" s="1">
        <v>0.015294</v>
      </c>
      <c r="BM1200" s="1">
        <v>0.804</v>
      </c>
      <c r="BN1200" s="1">
        <v>0.338</v>
      </c>
      <c r="BO1200" s="1">
        <v>0.9264</v>
      </c>
      <c r="BP1200" s="1">
        <v>0.863</v>
      </c>
      <c r="BQ1200" s="1">
        <v>2.9314</v>
      </c>
      <c r="BR1200" s="1">
        <v>0.7884</v>
      </c>
      <c r="BS1200" s="1">
        <v>0.544</v>
      </c>
      <c r="BT1200" s="1">
        <v>0.644</v>
      </c>
      <c r="BU1200" s="1">
        <v>0.818</v>
      </c>
      <c r="BV1200" s="1">
        <v>2.006</v>
      </c>
      <c r="BW1200" s="1">
        <v>0.862</v>
      </c>
      <c r="BX1200" s="1">
        <v>0.738</v>
      </c>
      <c r="BY1200" s="1">
        <v>0.916</v>
      </c>
      <c r="BZ1200" s="1">
        <v>1.654</v>
      </c>
      <c r="CA1200" s="1">
        <v>0.899</v>
      </c>
      <c r="CB1200" s="1">
        <v>0.625</v>
      </c>
      <c r="CC1200" s="1">
        <v>0.696</v>
      </c>
      <c r="CD1200" s="1">
        <v>0.952</v>
      </c>
      <c r="CE1200" s="1">
        <v>0.658</v>
      </c>
      <c r="CF1200" s="1">
        <v>0.651</v>
      </c>
      <c r="CG1200" s="1">
        <v>3.582</v>
      </c>
      <c r="CH1200" s="1">
        <v>0.95</v>
      </c>
      <c r="CI1200" s="1">
        <v>10.1734</v>
      </c>
      <c r="CJ1200" s="1">
        <v>0.9588</v>
      </c>
      <c r="CK1200" s="1">
        <v>0.0</v>
      </c>
      <c r="CL1200" s="1">
        <v>0.0</v>
      </c>
      <c r="CM1200" s="1">
        <v>1.0</v>
      </c>
      <c r="CN1200" s="1">
        <v>0.0</v>
      </c>
      <c r="CO1200" s="1">
        <v>1.0</v>
      </c>
      <c r="CP1200" s="1">
        <v>0.0</v>
      </c>
      <c r="CQ1200" s="1">
        <v>0.0</v>
      </c>
      <c r="CR1200" s="1">
        <v>0.0</v>
      </c>
      <c r="CS1200" s="1">
        <v>0.0</v>
      </c>
      <c r="CT1200" s="1">
        <v>0.0</v>
      </c>
      <c r="CU1200" s="1">
        <v>1.0</v>
      </c>
      <c r="CV1200" s="1">
        <v>1.0</v>
      </c>
      <c r="CW1200" s="1">
        <v>0.0</v>
      </c>
      <c r="CX1200" s="1">
        <v>0.0</v>
      </c>
      <c r="CY1200" s="1">
        <v>1.0</v>
      </c>
      <c r="CZ1200" s="1">
        <v>0.0</v>
      </c>
      <c r="DA1200" s="1">
        <v>0.0</v>
      </c>
      <c r="DB1200" s="1">
        <v>1.0</v>
      </c>
      <c r="DC1200" s="1">
        <v>3.0</v>
      </c>
      <c r="DD1200" s="1" t="s">
        <v>5268</v>
      </c>
      <c r="DE1200" s="1">
        <v>0.00192931670008052</v>
      </c>
      <c r="DF1200" s="2" t="s">
        <v>5269</v>
      </c>
    </row>
    <row r="1201" ht="15.75" customHeight="1">
      <c r="A1201" s="1" t="s">
        <v>5270</v>
      </c>
      <c r="B1201" s="1">
        <v>29.0</v>
      </c>
      <c r="C1201" s="1">
        <v>195.0</v>
      </c>
      <c r="D1201" s="2" t="s">
        <v>2016</v>
      </c>
      <c r="E1201" s="1">
        <v>1.968</v>
      </c>
      <c r="F1201" s="1">
        <v>29195.0</v>
      </c>
      <c r="G1201" s="1">
        <v>2.91950904E10</v>
      </c>
      <c r="H1201" s="1" t="s">
        <v>112</v>
      </c>
      <c r="I1201" s="1" t="s">
        <v>113</v>
      </c>
      <c r="J1201" s="1" t="s">
        <v>5258</v>
      </c>
      <c r="K1201" s="1" t="s">
        <v>5271</v>
      </c>
      <c r="L1201" s="1">
        <v>2939.0</v>
      </c>
      <c r="M1201" s="1">
        <v>2803.0</v>
      </c>
      <c r="N1201" s="1">
        <v>391.0</v>
      </c>
      <c r="O1201" s="1">
        <v>1221.0</v>
      </c>
      <c r="P1201" s="1">
        <v>1277.0</v>
      </c>
      <c r="Q1201" s="1">
        <v>79.0</v>
      </c>
      <c r="R1201" s="1">
        <v>1064.0</v>
      </c>
      <c r="S1201" s="1">
        <v>577.0</v>
      </c>
      <c r="T1201" s="1">
        <v>246.0</v>
      </c>
      <c r="U1201" s="1">
        <v>100.0</v>
      </c>
      <c r="V1201" s="1">
        <v>398.0</v>
      </c>
      <c r="W1201" s="1">
        <v>18803.0</v>
      </c>
      <c r="X1201" s="1">
        <v>2125.0</v>
      </c>
      <c r="Y1201" s="1">
        <v>568.0</v>
      </c>
      <c r="Z1201" s="1">
        <v>184.0</v>
      </c>
      <c r="AA1201" s="1">
        <v>364.0</v>
      </c>
      <c r="AB1201" s="1">
        <v>761.0</v>
      </c>
      <c r="AC1201" s="1">
        <v>156.0</v>
      </c>
      <c r="AD1201" s="1">
        <v>777.0</v>
      </c>
      <c r="AE1201" s="1">
        <v>86.0</v>
      </c>
      <c r="AF1201" s="1">
        <v>432.0</v>
      </c>
      <c r="AG1201" s="1">
        <v>71.0</v>
      </c>
      <c r="AH1201" s="1">
        <v>120.0</v>
      </c>
      <c r="AI1201" s="1">
        <v>61.0</v>
      </c>
      <c r="AJ1201" s="1">
        <v>34.0</v>
      </c>
      <c r="AK1201" s="1">
        <v>20.0</v>
      </c>
      <c r="AL1201" s="1">
        <v>117.0</v>
      </c>
      <c r="AM1201" s="1">
        <v>52.0</v>
      </c>
      <c r="AN1201" s="1">
        <v>126.0</v>
      </c>
      <c r="AO1201" s="1">
        <v>209.0</v>
      </c>
      <c r="AP1201" s="1">
        <v>0.216023</v>
      </c>
      <c r="AQ1201" s="1">
        <v>0.086109</v>
      </c>
      <c r="AR1201" s="1">
        <v>0.078247</v>
      </c>
      <c r="AS1201" s="1">
        <v>0.311077</v>
      </c>
      <c r="AT1201" s="1">
        <v>18803.0</v>
      </c>
      <c r="AU1201" s="1">
        <v>2125.0</v>
      </c>
      <c r="AV1201" s="1">
        <v>0.312947</v>
      </c>
      <c r="AW1201" s="1">
        <v>0.093371</v>
      </c>
      <c r="AX1201" s="1">
        <v>0.123851</v>
      </c>
      <c r="AY1201" s="1">
        <v>0.258931</v>
      </c>
      <c r="AZ1201" s="1">
        <v>0.14661654</v>
      </c>
      <c r="BA1201" s="1">
        <v>0.264375</v>
      </c>
      <c r="BB1201" s="1">
        <v>0.032912</v>
      </c>
      <c r="BC1201" s="1">
        <v>0.165266</v>
      </c>
      <c r="BD1201" s="1">
        <v>0.055599</v>
      </c>
      <c r="BE1201" s="1">
        <v>0.093907</v>
      </c>
      <c r="BF1201" s="1">
        <v>0.047768</v>
      </c>
      <c r="BG1201" s="1">
        <v>0.02646</v>
      </c>
      <c r="BH1201" s="1">
        <v>0.018921</v>
      </c>
      <c r="BI1201" s="1">
        <v>0.110668</v>
      </c>
      <c r="BJ1201" s="1">
        <v>0.049195</v>
      </c>
      <c r="BK1201" s="1">
        <v>0.119063</v>
      </c>
      <c r="BL1201" s="1">
        <v>0.071112</v>
      </c>
      <c r="BM1201" s="1">
        <v>0.764</v>
      </c>
      <c r="BN1201" s="1">
        <v>0.594</v>
      </c>
      <c r="BO1201" s="1">
        <v>0.6838</v>
      </c>
      <c r="BP1201" s="1">
        <v>0.951</v>
      </c>
      <c r="BQ1201" s="1">
        <v>2.9928</v>
      </c>
      <c r="BR1201" s="1">
        <v>0.8014</v>
      </c>
      <c r="BS1201" s="1">
        <v>0.369</v>
      </c>
      <c r="BT1201" s="1">
        <v>0.695</v>
      </c>
      <c r="BU1201" s="1">
        <v>0.782</v>
      </c>
      <c r="BV1201" s="1">
        <v>1.846</v>
      </c>
      <c r="BW1201" s="1">
        <v>0.765</v>
      </c>
      <c r="BX1201" s="1">
        <v>0.769</v>
      </c>
      <c r="BY1201" s="1">
        <v>0.926</v>
      </c>
      <c r="BZ1201" s="1">
        <v>1.695</v>
      </c>
      <c r="CA1201" s="1">
        <v>0.92</v>
      </c>
      <c r="CB1201" s="1">
        <v>0.671</v>
      </c>
      <c r="CC1201" s="1">
        <v>0.599</v>
      </c>
      <c r="CD1201" s="1">
        <v>0.66</v>
      </c>
      <c r="CE1201" s="1">
        <v>0.481</v>
      </c>
      <c r="CF1201" s="1">
        <v>0.923</v>
      </c>
      <c r="CG1201" s="1">
        <v>3.334</v>
      </c>
      <c r="CH1201" s="1">
        <v>0.884</v>
      </c>
      <c r="CI1201" s="1">
        <v>9.8678</v>
      </c>
      <c r="CJ1201" s="1">
        <v>0.9415</v>
      </c>
      <c r="CK1201" s="1">
        <v>0.0</v>
      </c>
      <c r="CL1201" s="1">
        <v>0.0</v>
      </c>
      <c r="CM1201" s="1">
        <v>0.0</v>
      </c>
      <c r="CN1201" s="1">
        <v>1.0</v>
      </c>
      <c r="CO1201" s="1">
        <v>1.0</v>
      </c>
      <c r="CP1201" s="1">
        <v>0.0</v>
      </c>
      <c r="CQ1201" s="1">
        <v>0.0</v>
      </c>
      <c r="CR1201" s="1">
        <v>0.0</v>
      </c>
      <c r="CS1201" s="1">
        <v>0.0</v>
      </c>
      <c r="CT1201" s="1">
        <v>0.0</v>
      </c>
      <c r="CU1201" s="1">
        <v>1.0</v>
      </c>
      <c r="CV1201" s="1">
        <v>1.0</v>
      </c>
      <c r="CW1201" s="1">
        <v>0.0</v>
      </c>
      <c r="CX1201" s="1">
        <v>0.0</v>
      </c>
      <c r="CY1201" s="1">
        <v>0.0</v>
      </c>
      <c r="CZ1201" s="1">
        <v>0.0</v>
      </c>
      <c r="DA1201" s="1">
        <v>1.0</v>
      </c>
      <c r="DB1201" s="1">
        <v>1.0</v>
      </c>
      <c r="DC1201" s="1">
        <v>3.0</v>
      </c>
      <c r="DD1201" s="1" t="s">
        <v>5272</v>
      </c>
      <c r="DE1201" s="1">
        <v>5.35698529894924E-4</v>
      </c>
      <c r="DF1201" s="1">
        <v>0.0996485575159146</v>
      </c>
    </row>
    <row r="1202" ht="15.75" customHeight="1">
      <c r="A1202" s="1" t="s">
        <v>5273</v>
      </c>
      <c r="B1202" s="1">
        <v>29.0</v>
      </c>
      <c r="C1202" s="1">
        <v>195.0</v>
      </c>
      <c r="D1202" s="2" t="s">
        <v>1987</v>
      </c>
      <c r="E1202" s="1">
        <v>4.029</v>
      </c>
      <c r="F1202" s="1">
        <v>29195.0</v>
      </c>
      <c r="G1202" s="1">
        <v>2.91950905E10</v>
      </c>
      <c r="H1202" s="1" t="s">
        <v>112</v>
      </c>
      <c r="I1202" s="1" t="s">
        <v>113</v>
      </c>
      <c r="J1202" s="1" t="s">
        <v>5258</v>
      </c>
      <c r="K1202" s="1" t="s">
        <v>5274</v>
      </c>
      <c r="L1202" s="1">
        <v>4218.0</v>
      </c>
      <c r="M1202" s="1">
        <v>4287.0</v>
      </c>
      <c r="N1202" s="1">
        <v>358.0</v>
      </c>
      <c r="O1202" s="1">
        <v>1474.0</v>
      </c>
      <c r="P1202" s="1">
        <v>1542.0</v>
      </c>
      <c r="Q1202" s="1">
        <v>91.0</v>
      </c>
      <c r="R1202" s="1">
        <v>1369.0</v>
      </c>
      <c r="S1202" s="1">
        <v>829.0</v>
      </c>
      <c r="T1202" s="1">
        <v>252.0</v>
      </c>
      <c r="U1202" s="1">
        <v>107.0</v>
      </c>
      <c r="V1202" s="1">
        <v>448.0</v>
      </c>
      <c r="W1202" s="1">
        <v>18166.0</v>
      </c>
      <c r="X1202" s="1">
        <v>2299.0</v>
      </c>
      <c r="Y1202" s="1">
        <v>277.0</v>
      </c>
      <c r="Z1202" s="1">
        <v>272.0</v>
      </c>
      <c r="AA1202" s="1">
        <v>607.0</v>
      </c>
      <c r="AB1202" s="1">
        <v>789.0</v>
      </c>
      <c r="AC1202" s="1">
        <v>140.0</v>
      </c>
      <c r="AD1202" s="1">
        <v>989.0</v>
      </c>
      <c r="AE1202" s="1">
        <v>44.0</v>
      </c>
      <c r="AF1202" s="1">
        <v>428.0</v>
      </c>
      <c r="AG1202" s="1">
        <v>34.0</v>
      </c>
      <c r="AH1202" s="1">
        <v>163.0</v>
      </c>
      <c r="AI1202" s="1">
        <v>0.0</v>
      </c>
      <c r="AJ1202" s="1">
        <v>114.0</v>
      </c>
      <c r="AK1202" s="1">
        <v>63.0</v>
      </c>
      <c r="AL1202" s="1">
        <v>125.0</v>
      </c>
      <c r="AM1202" s="1">
        <v>87.0</v>
      </c>
      <c r="AN1202" s="1">
        <v>46.0</v>
      </c>
      <c r="AO1202" s="1">
        <v>860.0</v>
      </c>
      <c r="AP1202" s="1">
        <v>0.239526</v>
      </c>
      <c r="AQ1202" s="1">
        <v>0.069405</v>
      </c>
      <c r="AR1202" s="1">
        <v>0.061742</v>
      </c>
      <c r="AS1202" s="1">
        <v>0.258386</v>
      </c>
      <c r="AT1202" s="1">
        <v>18166.0</v>
      </c>
      <c r="AU1202" s="1">
        <v>2299.0</v>
      </c>
      <c r="AV1202" s="1">
        <v>0.118833</v>
      </c>
      <c r="AW1202" s="1">
        <v>0.116263</v>
      </c>
      <c r="AX1202" s="1">
        <v>0.143907</v>
      </c>
      <c r="AY1202" s="1">
        <v>0.187055</v>
      </c>
      <c r="AZ1202" s="1">
        <v>0.10226442</v>
      </c>
      <c r="BA1202" s="1">
        <v>0.234471</v>
      </c>
      <c r="BB1202" s="1">
        <v>0.011016</v>
      </c>
      <c r="BC1202" s="1">
        <v>0.107156</v>
      </c>
      <c r="BD1202" s="1">
        <v>0.022049</v>
      </c>
      <c r="BE1202" s="1">
        <v>0.105698</v>
      </c>
      <c r="BF1202" s="1">
        <v>0.0</v>
      </c>
      <c r="BG1202" s="1">
        <v>0.073929</v>
      </c>
      <c r="BH1202" s="1">
        <v>0.04375</v>
      </c>
      <c r="BI1202" s="1">
        <v>0.086735</v>
      </c>
      <c r="BJ1202" s="1">
        <v>0.060416</v>
      </c>
      <c r="BK1202" s="1">
        <v>0.031577</v>
      </c>
      <c r="BL1202" s="1">
        <v>0.203888</v>
      </c>
      <c r="BM1202" s="1">
        <v>0.808</v>
      </c>
      <c r="BN1202" s="1">
        <v>0.434</v>
      </c>
      <c r="BO1202" s="1">
        <v>0.722</v>
      </c>
      <c r="BP1202" s="1">
        <v>0.422</v>
      </c>
      <c r="BQ1202" s="1">
        <v>2.386</v>
      </c>
      <c r="BR1202" s="1">
        <v>0.6253</v>
      </c>
      <c r="BS1202" s="1">
        <v>0.533</v>
      </c>
      <c r="BT1202" s="1">
        <v>0.141</v>
      </c>
      <c r="BU1202" s="1">
        <v>0.511</v>
      </c>
      <c r="BV1202" s="1">
        <v>1.185</v>
      </c>
      <c r="BW1202" s="1">
        <v>0.217</v>
      </c>
      <c r="BX1202" s="1">
        <v>0.748</v>
      </c>
      <c r="BY1202" s="1">
        <v>0.746</v>
      </c>
      <c r="BZ1202" s="1">
        <v>1.494</v>
      </c>
      <c r="CA1202" s="1">
        <v>0.82</v>
      </c>
      <c r="CB1202" s="1">
        <v>0.489</v>
      </c>
      <c r="CC1202" s="1">
        <v>0.0</v>
      </c>
      <c r="CD1202" s="1">
        <v>0.909</v>
      </c>
      <c r="CE1202" s="1">
        <v>0.57</v>
      </c>
      <c r="CF1202" s="1">
        <v>0.967</v>
      </c>
      <c r="CG1202" s="1">
        <v>2.935</v>
      </c>
      <c r="CH1202" s="1">
        <v>0.744</v>
      </c>
      <c r="CI1202" s="1">
        <v>8.0</v>
      </c>
      <c r="CJ1202" s="1">
        <v>0.7134</v>
      </c>
      <c r="CK1202" s="1">
        <v>0.0</v>
      </c>
      <c r="CL1202" s="1">
        <v>0.0</v>
      </c>
      <c r="CM1202" s="1">
        <v>0.0</v>
      </c>
      <c r="CN1202" s="1">
        <v>0.0</v>
      </c>
      <c r="CO1202" s="1">
        <v>0.0</v>
      </c>
      <c r="CP1202" s="1">
        <v>0.0</v>
      </c>
      <c r="CQ1202" s="1">
        <v>0.0</v>
      </c>
      <c r="CR1202" s="1">
        <v>0.0</v>
      </c>
      <c r="CS1202" s="1">
        <v>0.0</v>
      </c>
      <c r="CT1202" s="1">
        <v>0.0</v>
      </c>
      <c r="CU1202" s="1">
        <v>0.0</v>
      </c>
      <c r="CV1202" s="1">
        <v>0.0</v>
      </c>
      <c r="CW1202" s="1">
        <v>0.0</v>
      </c>
      <c r="CX1202" s="1">
        <v>0.0</v>
      </c>
      <c r="CY1202" s="1">
        <v>1.0</v>
      </c>
      <c r="CZ1202" s="1">
        <v>0.0</v>
      </c>
      <c r="DA1202" s="1">
        <v>1.0</v>
      </c>
      <c r="DB1202" s="1">
        <v>2.0</v>
      </c>
      <c r="DC1202" s="1">
        <v>2.0</v>
      </c>
      <c r="DD1202" s="1" t="s">
        <v>5275</v>
      </c>
      <c r="DE1202" s="1">
        <v>0.00109448707884146</v>
      </c>
      <c r="DF1202" s="2" t="s">
        <v>5276</v>
      </c>
    </row>
    <row r="1203" ht="15.75" customHeight="1">
      <c r="A1203" s="1" t="s">
        <v>5277</v>
      </c>
      <c r="B1203" s="1">
        <v>29.0</v>
      </c>
      <c r="C1203" s="1">
        <v>195.0</v>
      </c>
      <c r="D1203" s="2" t="s">
        <v>1997</v>
      </c>
      <c r="E1203" s="1">
        <v>116.391</v>
      </c>
      <c r="F1203" s="1">
        <v>29195.0</v>
      </c>
      <c r="G1203" s="1">
        <v>2.91950907E10</v>
      </c>
      <c r="H1203" s="1" t="s">
        <v>112</v>
      </c>
      <c r="I1203" s="1" t="s">
        <v>113</v>
      </c>
      <c r="J1203" s="1" t="s">
        <v>5258</v>
      </c>
      <c r="K1203" s="1" t="s">
        <v>5278</v>
      </c>
      <c r="L1203" s="1">
        <v>2715.0</v>
      </c>
      <c r="M1203" s="1">
        <v>2785.0</v>
      </c>
      <c r="N1203" s="1">
        <v>185.0</v>
      </c>
      <c r="O1203" s="1">
        <v>1269.0</v>
      </c>
      <c r="P1203" s="1">
        <v>1314.0</v>
      </c>
      <c r="Q1203" s="1">
        <v>69.0</v>
      </c>
      <c r="R1203" s="1">
        <v>1090.0</v>
      </c>
      <c r="S1203" s="1">
        <v>362.0</v>
      </c>
      <c r="T1203" s="1">
        <v>113.0</v>
      </c>
      <c r="U1203" s="1">
        <v>52.0</v>
      </c>
      <c r="V1203" s="1">
        <v>428.0</v>
      </c>
      <c r="W1203" s="1">
        <v>21191.0</v>
      </c>
      <c r="X1203" s="1">
        <v>1818.0</v>
      </c>
      <c r="Y1203" s="1">
        <v>310.0</v>
      </c>
      <c r="Z1203" s="1">
        <v>209.0</v>
      </c>
      <c r="AA1203" s="1">
        <v>486.0</v>
      </c>
      <c r="AB1203" s="1">
        <v>619.0</v>
      </c>
      <c r="AC1203" s="1">
        <v>119.0</v>
      </c>
      <c r="AD1203" s="1">
        <v>145.0</v>
      </c>
      <c r="AE1203" s="1">
        <v>11.0</v>
      </c>
      <c r="AF1203" s="1">
        <v>411.0</v>
      </c>
      <c r="AG1203" s="1">
        <v>11.0</v>
      </c>
      <c r="AH1203" s="1">
        <v>114.0</v>
      </c>
      <c r="AI1203" s="1">
        <v>65.0</v>
      </c>
      <c r="AJ1203" s="1">
        <v>33.0</v>
      </c>
      <c r="AK1203" s="1">
        <v>8.0</v>
      </c>
      <c r="AL1203" s="1">
        <v>114.0</v>
      </c>
      <c r="AM1203" s="1">
        <v>55.0</v>
      </c>
      <c r="AN1203" s="1">
        <v>26.0</v>
      </c>
      <c r="AO1203" s="1">
        <v>58.0</v>
      </c>
      <c r="AP1203" s="1">
        <v>0.13178</v>
      </c>
      <c r="AQ1203" s="1">
        <v>0.040167</v>
      </c>
      <c r="AR1203" s="1">
        <v>0.037383</v>
      </c>
      <c r="AS1203" s="1">
        <v>0.307668</v>
      </c>
      <c r="AT1203" s="1">
        <v>21191.0</v>
      </c>
      <c r="AU1203" s="1">
        <v>1818.0</v>
      </c>
      <c r="AV1203" s="1">
        <v>0.159301</v>
      </c>
      <c r="AW1203" s="1">
        <v>0.106812</v>
      </c>
      <c r="AX1203" s="1">
        <v>0.179005</v>
      </c>
      <c r="AY1203" s="1">
        <v>0.227992</v>
      </c>
      <c r="AZ1203" s="1">
        <v>0.10917431</v>
      </c>
      <c r="BA1203" s="1">
        <v>0.053407</v>
      </c>
      <c r="BB1203" s="1">
        <v>0.004146</v>
      </c>
      <c r="BC1203" s="1">
        <v>0.154918</v>
      </c>
      <c r="BD1203" s="1">
        <v>0.008371</v>
      </c>
      <c r="BE1203" s="1">
        <v>0.086756</v>
      </c>
      <c r="BF1203" s="1">
        <v>0.049467</v>
      </c>
      <c r="BG1203" s="1">
        <v>0.024979</v>
      </c>
      <c r="BH1203" s="1">
        <v>0.006908</v>
      </c>
      <c r="BI1203" s="1">
        <v>0.098444</v>
      </c>
      <c r="BJ1203" s="1">
        <v>0.047495</v>
      </c>
      <c r="BK1203" s="1">
        <v>0.022251</v>
      </c>
      <c r="BL1203" s="1">
        <v>0.021362</v>
      </c>
      <c r="BM1203" s="1">
        <v>0.506</v>
      </c>
      <c r="BN1203" s="1">
        <v>0.159</v>
      </c>
      <c r="BO1203" s="1">
        <v>0.5422</v>
      </c>
      <c r="BP1203" s="1">
        <v>0.607</v>
      </c>
      <c r="BQ1203" s="1">
        <v>1.8142</v>
      </c>
      <c r="BR1203" s="1">
        <v>0.4361</v>
      </c>
      <c r="BS1203" s="1">
        <v>0.78</v>
      </c>
      <c r="BT1203" s="1">
        <v>0.366</v>
      </c>
      <c r="BU1203" s="1">
        <v>0.58</v>
      </c>
      <c r="BV1203" s="1">
        <v>1.726</v>
      </c>
      <c r="BW1203" s="1">
        <v>0.661</v>
      </c>
      <c r="BX1203" s="1">
        <v>0.274</v>
      </c>
      <c r="BY1203" s="1">
        <v>0.523</v>
      </c>
      <c r="BZ1203" s="1">
        <v>0.797</v>
      </c>
      <c r="CA1203" s="1">
        <v>0.397</v>
      </c>
      <c r="CB1203" s="1">
        <v>0.366</v>
      </c>
      <c r="CC1203" s="1">
        <v>0.604</v>
      </c>
      <c r="CD1203" s="1">
        <v>0.389</v>
      </c>
      <c r="CE1203" s="1">
        <v>0.467</v>
      </c>
      <c r="CF1203" s="1">
        <v>0.724</v>
      </c>
      <c r="CG1203" s="1">
        <v>2.55</v>
      </c>
      <c r="CH1203" s="1">
        <v>0.582</v>
      </c>
      <c r="CI1203" s="1">
        <v>6.8872</v>
      </c>
      <c r="CJ1203" s="1">
        <v>0.5271</v>
      </c>
      <c r="CK1203" s="1">
        <v>0.0</v>
      </c>
      <c r="CL1203" s="1">
        <v>0.0</v>
      </c>
      <c r="CM1203" s="1">
        <v>0.0</v>
      </c>
      <c r="CN1203" s="1">
        <v>0.0</v>
      </c>
      <c r="CO1203" s="1">
        <v>0.0</v>
      </c>
      <c r="CP1203" s="1">
        <v>0.0</v>
      </c>
      <c r="CQ1203" s="1">
        <v>0.0</v>
      </c>
      <c r="CR1203" s="1">
        <v>0.0</v>
      </c>
      <c r="CS1203" s="1">
        <v>0.0</v>
      </c>
      <c r="CT1203" s="1">
        <v>0.0</v>
      </c>
      <c r="CU1203" s="1">
        <v>0.0</v>
      </c>
      <c r="CV1203" s="1">
        <v>0.0</v>
      </c>
      <c r="CW1203" s="1">
        <v>0.0</v>
      </c>
      <c r="CX1203" s="1">
        <v>0.0</v>
      </c>
      <c r="CY1203" s="1">
        <v>0.0</v>
      </c>
      <c r="CZ1203" s="1">
        <v>0.0</v>
      </c>
      <c r="DA1203" s="1">
        <v>0.0</v>
      </c>
      <c r="DB1203" s="1">
        <v>0.0</v>
      </c>
      <c r="DC1203" s="1">
        <v>0.0</v>
      </c>
      <c r="DD1203" s="1" t="s">
        <v>5279</v>
      </c>
      <c r="DE1203" s="1">
        <v>0.031574350894311</v>
      </c>
      <c r="DF1203" s="2" t="s">
        <v>5280</v>
      </c>
    </row>
    <row r="1204" ht="15.75" customHeight="1">
      <c r="A1204" s="1" t="s">
        <v>5281</v>
      </c>
      <c r="B1204" s="1">
        <v>29.0</v>
      </c>
      <c r="C1204" s="1">
        <v>195.0</v>
      </c>
      <c r="D1204" s="2" t="s">
        <v>2002</v>
      </c>
      <c r="E1204" s="1">
        <v>257.87</v>
      </c>
      <c r="F1204" s="1">
        <v>29195.0</v>
      </c>
      <c r="G1204" s="1">
        <v>2.91950908E10</v>
      </c>
      <c r="H1204" s="1" t="s">
        <v>112</v>
      </c>
      <c r="I1204" s="1" t="s">
        <v>113</v>
      </c>
      <c r="J1204" s="1" t="s">
        <v>5258</v>
      </c>
      <c r="K1204" s="1" t="s">
        <v>5282</v>
      </c>
      <c r="L1204" s="1">
        <v>2575.0</v>
      </c>
      <c r="M1204" s="1">
        <v>2299.0</v>
      </c>
      <c r="N1204" s="1">
        <v>186.0</v>
      </c>
      <c r="O1204" s="1">
        <v>1173.0</v>
      </c>
      <c r="P1204" s="1">
        <v>1095.0</v>
      </c>
      <c r="Q1204" s="1">
        <v>79.0</v>
      </c>
      <c r="R1204" s="1">
        <v>1013.0</v>
      </c>
      <c r="S1204" s="1">
        <v>277.0</v>
      </c>
      <c r="T1204" s="1">
        <v>143.0</v>
      </c>
      <c r="U1204" s="1">
        <v>20.0</v>
      </c>
      <c r="V1204" s="1">
        <v>456.0</v>
      </c>
      <c r="W1204" s="1">
        <v>22028.0</v>
      </c>
      <c r="X1204" s="1">
        <v>2535.0</v>
      </c>
      <c r="Y1204" s="1">
        <v>207.0</v>
      </c>
      <c r="Z1204" s="1">
        <v>289.0</v>
      </c>
      <c r="AA1204" s="1">
        <v>472.0</v>
      </c>
      <c r="AB1204" s="1">
        <v>540.0</v>
      </c>
      <c r="AC1204" s="1">
        <v>63.0</v>
      </c>
      <c r="AD1204" s="1">
        <v>101.0</v>
      </c>
      <c r="AE1204" s="1">
        <v>0.0</v>
      </c>
      <c r="AF1204" s="1">
        <v>456.0</v>
      </c>
      <c r="AG1204" s="1">
        <v>0.0</v>
      </c>
      <c r="AH1204" s="1">
        <v>197.0</v>
      </c>
      <c r="AI1204" s="1">
        <v>149.0</v>
      </c>
      <c r="AJ1204" s="1">
        <v>60.0</v>
      </c>
      <c r="AK1204" s="1">
        <v>8.0</v>
      </c>
      <c r="AL1204" s="1">
        <v>114.0</v>
      </c>
      <c r="AM1204" s="1">
        <v>17.0</v>
      </c>
      <c r="AN1204" s="1">
        <v>116.0</v>
      </c>
      <c r="AO1204" s="1">
        <v>45.0</v>
      </c>
      <c r="AP1204" s="1">
        <v>0.121437</v>
      </c>
      <c r="AQ1204" s="1">
        <v>0.061887</v>
      </c>
      <c r="AR1204" s="1">
        <v>0.016722</v>
      </c>
      <c r="AS1204" s="1">
        <v>0.381261</v>
      </c>
      <c r="AT1204" s="1">
        <v>22028.0</v>
      </c>
      <c r="AU1204" s="1">
        <v>2535.0</v>
      </c>
      <c r="AV1204" s="1">
        <v>0.117015</v>
      </c>
      <c r="AW1204" s="1">
        <v>0.163083</v>
      </c>
      <c r="AX1204" s="1">
        <v>0.1833</v>
      </c>
      <c r="AY1204" s="1">
        <v>0.209708</v>
      </c>
      <c r="AZ1204" s="1">
        <v>0.06219151</v>
      </c>
      <c r="BA1204" s="1">
        <v>0.039223</v>
      </c>
      <c r="BB1204" s="1">
        <v>0.0</v>
      </c>
      <c r="BC1204" s="1">
        <v>0.204026</v>
      </c>
      <c r="BD1204" s="1">
        <v>0.0</v>
      </c>
      <c r="BE1204" s="1">
        <v>0.179908</v>
      </c>
      <c r="BF1204" s="1">
        <v>0.136073</v>
      </c>
      <c r="BG1204" s="1">
        <v>0.053907</v>
      </c>
      <c r="BH1204" s="1">
        <v>0.008154</v>
      </c>
      <c r="BI1204" s="1">
        <v>0.116206</v>
      </c>
      <c r="BJ1204" s="1">
        <v>0.017329</v>
      </c>
      <c r="BK1204" s="1">
        <v>0.118238</v>
      </c>
      <c r="BL1204" s="1">
        <v>0.017475</v>
      </c>
      <c r="BM1204" s="1">
        <v>0.458</v>
      </c>
      <c r="BN1204" s="1">
        <v>0.019</v>
      </c>
      <c r="BO1204" s="1">
        <v>0.491</v>
      </c>
      <c r="BP1204" s="1">
        <v>0.412</v>
      </c>
      <c r="BQ1204" s="1">
        <v>1.38</v>
      </c>
      <c r="BR1204" s="1">
        <v>0.3054</v>
      </c>
      <c r="BS1204" s="1">
        <v>0.81</v>
      </c>
      <c r="BT1204" s="1">
        <v>0.235</v>
      </c>
      <c r="BU1204" s="1">
        <v>0.15</v>
      </c>
      <c r="BV1204" s="1">
        <v>1.195</v>
      </c>
      <c r="BW1204" s="1">
        <v>0.228</v>
      </c>
      <c r="BX1204" s="1">
        <v>0.157</v>
      </c>
      <c r="BY1204" s="1">
        <v>0.0</v>
      </c>
      <c r="BZ1204" s="1">
        <v>0.157</v>
      </c>
      <c r="CA1204" s="1">
        <v>0.074</v>
      </c>
      <c r="CB1204" s="1">
        <v>0.0</v>
      </c>
      <c r="CC1204" s="1">
        <v>0.79</v>
      </c>
      <c r="CD1204" s="1">
        <v>0.437</v>
      </c>
      <c r="CE1204" s="1">
        <v>0.156</v>
      </c>
      <c r="CF1204" s="1">
        <v>0.679</v>
      </c>
      <c r="CG1204" s="1">
        <v>2.062</v>
      </c>
      <c r="CH1204" s="1">
        <v>0.369</v>
      </c>
      <c r="CI1204" s="1">
        <v>4.794</v>
      </c>
      <c r="CJ1204" s="1">
        <v>0.1762</v>
      </c>
      <c r="CK1204" s="1">
        <v>0.0</v>
      </c>
      <c r="CL1204" s="1">
        <v>0.0</v>
      </c>
      <c r="CM1204" s="1">
        <v>0.0</v>
      </c>
      <c r="CN1204" s="1">
        <v>0.0</v>
      </c>
      <c r="CO1204" s="1">
        <v>0.0</v>
      </c>
      <c r="CP1204" s="1">
        <v>0.0</v>
      </c>
      <c r="CQ1204" s="1">
        <v>0.0</v>
      </c>
      <c r="CR1204" s="1">
        <v>0.0</v>
      </c>
      <c r="CS1204" s="1">
        <v>0.0</v>
      </c>
      <c r="CT1204" s="1">
        <v>0.0</v>
      </c>
      <c r="CU1204" s="1">
        <v>0.0</v>
      </c>
      <c r="CV1204" s="1">
        <v>0.0</v>
      </c>
      <c r="CW1204" s="1">
        <v>0.0</v>
      </c>
      <c r="CX1204" s="1">
        <v>0.0</v>
      </c>
      <c r="CY1204" s="1">
        <v>0.0</v>
      </c>
      <c r="CZ1204" s="1">
        <v>0.0</v>
      </c>
      <c r="DA1204" s="1">
        <v>0.0</v>
      </c>
      <c r="DB1204" s="1">
        <v>0.0</v>
      </c>
      <c r="DC1204" s="1">
        <v>0.0</v>
      </c>
      <c r="DD1204" s="1" t="s">
        <v>5283</v>
      </c>
      <c r="DE1204" s="1">
        <v>0.0702817443306548</v>
      </c>
      <c r="DF1204" s="2" t="s">
        <v>5284</v>
      </c>
    </row>
    <row r="1205" ht="15.75" customHeight="1">
      <c r="A1205" s="1" t="s">
        <v>5285</v>
      </c>
      <c r="B1205" s="1">
        <v>29.0</v>
      </c>
      <c r="C1205" s="1">
        <v>195.0</v>
      </c>
      <c r="D1205" s="2" t="s">
        <v>1992</v>
      </c>
      <c r="E1205" s="1">
        <v>0.588</v>
      </c>
      <c r="F1205" s="1">
        <v>29195.0</v>
      </c>
      <c r="G1205" s="1">
        <v>2.91950906E10</v>
      </c>
      <c r="H1205" s="1" t="s">
        <v>112</v>
      </c>
      <c r="I1205" s="1" t="s">
        <v>113</v>
      </c>
      <c r="J1205" s="1" t="s">
        <v>5258</v>
      </c>
      <c r="K1205" s="1" t="s">
        <v>5286</v>
      </c>
      <c r="L1205" s="1">
        <v>2842.0</v>
      </c>
      <c r="M1205" s="1">
        <v>2636.0</v>
      </c>
      <c r="N1205" s="1">
        <v>267.0</v>
      </c>
      <c r="O1205" s="1">
        <v>1254.0</v>
      </c>
      <c r="P1205" s="1">
        <v>1243.0</v>
      </c>
      <c r="Q1205" s="1">
        <v>91.0</v>
      </c>
      <c r="R1205" s="1">
        <v>1110.0</v>
      </c>
      <c r="S1205" s="1">
        <v>602.0</v>
      </c>
      <c r="T1205" s="1">
        <v>226.0</v>
      </c>
      <c r="U1205" s="1">
        <v>99.0</v>
      </c>
      <c r="V1205" s="1">
        <v>382.0</v>
      </c>
      <c r="W1205" s="1">
        <v>16550.0</v>
      </c>
      <c r="X1205" s="1">
        <v>2139.0</v>
      </c>
      <c r="Y1205" s="1">
        <v>461.0</v>
      </c>
      <c r="Z1205" s="1">
        <v>213.0</v>
      </c>
      <c r="AA1205" s="1">
        <v>378.0</v>
      </c>
      <c r="AB1205" s="1">
        <v>783.0</v>
      </c>
      <c r="AC1205" s="1">
        <v>193.0</v>
      </c>
      <c r="AD1205" s="1">
        <v>855.0</v>
      </c>
      <c r="AE1205" s="1">
        <v>24.0</v>
      </c>
      <c r="AF1205" s="1">
        <v>427.0</v>
      </c>
      <c r="AG1205" s="1">
        <v>25.0</v>
      </c>
      <c r="AH1205" s="1">
        <v>163.0</v>
      </c>
      <c r="AI1205" s="1">
        <v>44.0</v>
      </c>
      <c r="AJ1205" s="1">
        <v>58.0</v>
      </c>
      <c r="AK1205" s="1">
        <v>0.0</v>
      </c>
      <c r="AL1205" s="1">
        <v>161.0</v>
      </c>
      <c r="AM1205" s="1">
        <v>105.0</v>
      </c>
      <c r="AN1205" s="1">
        <v>76.0</v>
      </c>
      <c r="AO1205" s="1">
        <v>36.0</v>
      </c>
      <c r="AP1205" s="1">
        <v>0.228376</v>
      </c>
      <c r="AQ1205" s="1">
        <v>0.082556</v>
      </c>
      <c r="AR1205" s="1">
        <v>0.078014</v>
      </c>
      <c r="AS1205" s="1">
        <v>0.3007</v>
      </c>
      <c r="AT1205" s="1">
        <v>16550.0</v>
      </c>
      <c r="AU1205" s="1">
        <v>2139.0</v>
      </c>
      <c r="AV1205" s="1">
        <v>0.286335</v>
      </c>
      <c r="AW1205" s="1">
        <v>0.129899</v>
      </c>
      <c r="AX1205" s="1">
        <v>0.133004</v>
      </c>
      <c r="AY1205" s="1">
        <v>0.27551</v>
      </c>
      <c r="AZ1205" s="1">
        <v>0.17387387</v>
      </c>
      <c r="BA1205" s="1">
        <v>0.300844</v>
      </c>
      <c r="BB1205" s="1">
        <v>0.010058</v>
      </c>
      <c r="BC1205" s="1">
        <v>0.178957</v>
      </c>
      <c r="BD1205" s="1">
        <v>0.020112</v>
      </c>
      <c r="BE1205" s="1">
        <v>0.131126</v>
      </c>
      <c r="BF1205" s="1">
        <v>0.035398</v>
      </c>
      <c r="BG1205" s="1">
        <v>0.046589</v>
      </c>
      <c r="BH1205" s="1">
        <v>0.0</v>
      </c>
      <c r="BI1205" s="1">
        <v>0.142477</v>
      </c>
      <c r="BJ1205" s="1">
        <v>0.09292</v>
      </c>
      <c r="BK1205" s="1">
        <v>0.066721</v>
      </c>
      <c r="BL1205" s="1">
        <v>0.012667</v>
      </c>
      <c r="BM1205" s="1">
        <v>0.787</v>
      </c>
      <c r="BN1205" s="1">
        <v>0.593</v>
      </c>
      <c r="BO1205" s="1">
        <v>0.8101</v>
      </c>
      <c r="BP1205" s="1">
        <v>0.926</v>
      </c>
      <c r="BQ1205" s="1">
        <v>3.1161</v>
      </c>
      <c r="BR1205" s="1">
        <v>0.8282</v>
      </c>
      <c r="BS1205" s="1">
        <v>0.441</v>
      </c>
      <c r="BT1205" s="1">
        <v>0.826</v>
      </c>
      <c r="BU1205" s="1">
        <v>0.851</v>
      </c>
      <c r="BV1205" s="1">
        <v>2.118</v>
      </c>
      <c r="BW1205" s="1">
        <v>0.927</v>
      </c>
      <c r="BX1205" s="1">
        <v>0.789</v>
      </c>
      <c r="BY1205" s="1">
        <v>0.725</v>
      </c>
      <c r="BZ1205" s="1">
        <v>1.514</v>
      </c>
      <c r="CA1205" s="1">
        <v>0.834</v>
      </c>
      <c r="CB1205" s="1">
        <v>0.463</v>
      </c>
      <c r="CC1205" s="1">
        <v>0.564</v>
      </c>
      <c r="CD1205" s="1">
        <v>0.0</v>
      </c>
      <c r="CE1205" s="1">
        <v>0.73</v>
      </c>
      <c r="CF1205" s="1">
        <v>0.615</v>
      </c>
      <c r="CG1205" s="1">
        <v>2.372</v>
      </c>
      <c r="CH1205" s="1">
        <v>0.497</v>
      </c>
      <c r="CI1205" s="1">
        <v>9.1201</v>
      </c>
      <c r="CJ1205" s="1">
        <v>0.8664</v>
      </c>
      <c r="CK1205" s="1">
        <v>0.0</v>
      </c>
      <c r="CL1205" s="1">
        <v>0.0</v>
      </c>
      <c r="CM1205" s="1">
        <v>0.0</v>
      </c>
      <c r="CN1205" s="1">
        <v>1.0</v>
      </c>
      <c r="CO1205" s="1">
        <v>1.0</v>
      </c>
      <c r="CP1205" s="1">
        <v>0.0</v>
      </c>
      <c r="CQ1205" s="1">
        <v>0.0</v>
      </c>
      <c r="CR1205" s="1">
        <v>0.0</v>
      </c>
      <c r="CS1205" s="1">
        <v>0.0</v>
      </c>
      <c r="CT1205" s="1">
        <v>0.0</v>
      </c>
      <c r="CU1205" s="1">
        <v>0.0</v>
      </c>
      <c r="CV1205" s="1">
        <v>0.0</v>
      </c>
      <c r="CW1205" s="1">
        <v>0.0</v>
      </c>
      <c r="CX1205" s="1">
        <v>0.0</v>
      </c>
      <c r="CY1205" s="1">
        <v>0.0</v>
      </c>
      <c r="CZ1205" s="1">
        <v>0.0</v>
      </c>
      <c r="DA1205" s="1">
        <v>0.0</v>
      </c>
      <c r="DB1205" s="1">
        <v>0.0</v>
      </c>
      <c r="DC1205" s="1">
        <v>1.0</v>
      </c>
      <c r="DD1205" s="1" t="s">
        <v>5287</v>
      </c>
      <c r="DE1205" s="1">
        <v>1.57028740769368E-4</v>
      </c>
      <c r="DF1205" s="2" t="s">
        <v>5288</v>
      </c>
    </row>
    <row r="1206" ht="15.75" customHeight="1">
      <c r="A1206" s="1" t="s">
        <v>5289</v>
      </c>
      <c r="B1206" s="1">
        <v>29.0</v>
      </c>
      <c r="C1206" s="1">
        <v>197.0</v>
      </c>
      <c r="D1206" s="1">
        <v>470200.0</v>
      </c>
      <c r="E1206" s="1">
        <v>164.294</v>
      </c>
      <c r="F1206" s="1">
        <v>29197.0</v>
      </c>
      <c r="G1206" s="1">
        <v>2.91974702E10</v>
      </c>
      <c r="H1206" s="1" t="s">
        <v>112</v>
      </c>
      <c r="I1206" s="1" t="s">
        <v>113</v>
      </c>
      <c r="J1206" s="1" t="s">
        <v>5290</v>
      </c>
      <c r="K1206" s="1" t="s">
        <v>5291</v>
      </c>
      <c r="L1206" s="1">
        <v>2356.0</v>
      </c>
      <c r="M1206" s="1">
        <v>2322.0</v>
      </c>
      <c r="N1206" s="1">
        <v>158.0</v>
      </c>
      <c r="O1206" s="1">
        <v>1117.0</v>
      </c>
      <c r="P1206" s="1">
        <v>1291.0</v>
      </c>
      <c r="Q1206" s="1">
        <v>78.0</v>
      </c>
      <c r="R1206" s="1">
        <v>944.0</v>
      </c>
      <c r="S1206" s="1">
        <v>523.0</v>
      </c>
      <c r="T1206" s="1">
        <v>151.0</v>
      </c>
      <c r="U1206" s="1">
        <v>63.0</v>
      </c>
      <c r="V1206" s="1">
        <v>397.0</v>
      </c>
      <c r="W1206" s="1">
        <v>19642.0</v>
      </c>
      <c r="X1206" s="1">
        <v>2432.0</v>
      </c>
      <c r="Y1206" s="1">
        <v>215.0</v>
      </c>
      <c r="Z1206" s="1">
        <v>236.0</v>
      </c>
      <c r="AA1206" s="1">
        <v>496.0</v>
      </c>
      <c r="AB1206" s="1">
        <v>590.0</v>
      </c>
      <c r="AC1206" s="1">
        <v>86.0</v>
      </c>
      <c r="AD1206" s="1">
        <v>46.0</v>
      </c>
      <c r="AE1206" s="1">
        <v>0.0</v>
      </c>
      <c r="AF1206" s="1">
        <v>456.0</v>
      </c>
      <c r="AG1206" s="1">
        <v>6.0</v>
      </c>
      <c r="AH1206" s="1">
        <v>161.0</v>
      </c>
      <c r="AI1206" s="1">
        <v>208.0</v>
      </c>
      <c r="AJ1206" s="1">
        <v>60.0</v>
      </c>
      <c r="AK1206" s="1">
        <v>34.0</v>
      </c>
      <c r="AL1206" s="1">
        <v>115.0</v>
      </c>
      <c r="AM1206" s="1">
        <v>83.0</v>
      </c>
      <c r="AN1206" s="1">
        <v>45.0</v>
      </c>
      <c r="AO1206" s="1">
        <v>47.0</v>
      </c>
      <c r="AP1206" s="1">
        <v>0.226406</v>
      </c>
      <c r="AQ1206" s="1">
        <v>0.06353</v>
      </c>
      <c r="AR1206" s="1">
        <v>0.061403</v>
      </c>
      <c r="AS1206" s="1">
        <v>0.386834</v>
      </c>
      <c r="AT1206" s="1">
        <v>19642.0</v>
      </c>
      <c r="AU1206" s="1">
        <v>2432.0</v>
      </c>
      <c r="AV1206" s="1">
        <v>0.134711</v>
      </c>
      <c r="AW1206" s="1">
        <v>0.147455</v>
      </c>
      <c r="AX1206" s="1">
        <v>0.210526</v>
      </c>
      <c r="AY1206" s="1">
        <v>0.250424</v>
      </c>
      <c r="AZ1206" s="1">
        <v>0.09110169</v>
      </c>
      <c r="BA1206" s="1">
        <v>0.019524</v>
      </c>
      <c r="BB1206" s="1">
        <v>0.0</v>
      </c>
      <c r="BC1206" s="1">
        <v>0.201413</v>
      </c>
      <c r="BD1206" s="1">
        <v>0.004647</v>
      </c>
      <c r="BE1206" s="1">
        <v>0.124709</v>
      </c>
      <c r="BF1206" s="1">
        <v>0.161115</v>
      </c>
      <c r="BG1206" s="1">
        <v>0.045444</v>
      </c>
      <c r="BH1206" s="1">
        <v>0.030685</v>
      </c>
      <c r="BI1206" s="1">
        <v>0.103769</v>
      </c>
      <c r="BJ1206" s="1">
        <v>0.074909</v>
      </c>
      <c r="BK1206" s="1">
        <v>0.040287</v>
      </c>
      <c r="BL1206" s="1">
        <v>0.019949</v>
      </c>
      <c r="BM1206" s="1">
        <v>0.784</v>
      </c>
      <c r="BN1206" s="1">
        <v>0.429</v>
      </c>
      <c r="BO1206" s="1">
        <v>0.6368</v>
      </c>
      <c r="BP1206" s="1">
        <v>0.496</v>
      </c>
      <c r="BQ1206" s="1">
        <v>2.3458</v>
      </c>
      <c r="BR1206" s="1">
        <v>0.6116</v>
      </c>
      <c r="BS1206" s="1">
        <v>0.91</v>
      </c>
      <c r="BT1206" s="1">
        <v>0.601</v>
      </c>
      <c r="BU1206" s="1">
        <v>0.413</v>
      </c>
      <c r="BV1206" s="1">
        <v>1.924</v>
      </c>
      <c r="BW1206" s="1">
        <v>0.817</v>
      </c>
      <c r="BX1206" s="1">
        <v>0.016</v>
      </c>
      <c r="BY1206" s="1">
        <v>0.0</v>
      </c>
      <c r="BZ1206" s="1">
        <v>0.016</v>
      </c>
      <c r="CA1206" s="1">
        <v>0.008</v>
      </c>
      <c r="CB1206" s="1">
        <v>0.31</v>
      </c>
      <c r="CC1206" s="1">
        <v>0.84</v>
      </c>
      <c r="CD1206" s="1">
        <v>0.816</v>
      </c>
      <c r="CE1206" s="1">
        <v>0.648</v>
      </c>
      <c r="CF1206" s="1">
        <v>0.711</v>
      </c>
      <c r="CG1206" s="1">
        <v>3.325</v>
      </c>
      <c r="CH1206" s="1">
        <v>0.882</v>
      </c>
      <c r="CI1206" s="1">
        <v>7.6108</v>
      </c>
      <c r="CJ1206" s="1">
        <v>0.6542</v>
      </c>
      <c r="CK1206" s="1">
        <v>0.0</v>
      </c>
      <c r="CL1206" s="1">
        <v>0.0</v>
      </c>
      <c r="CM1206" s="1">
        <v>0.0</v>
      </c>
      <c r="CN1206" s="1">
        <v>0.0</v>
      </c>
      <c r="CO1206" s="1">
        <v>0.0</v>
      </c>
      <c r="CP1206" s="1">
        <v>1.0</v>
      </c>
      <c r="CQ1206" s="1">
        <v>0.0</v>
      </c>
      <c r="CR1206" s="1">
        <v>0.0</v>
      </c>
      <c r="CS1206" s="1">
        <v>1.0</v>
      </c>
      <c r="CT1206" s="1">
        <v>0.0</v>
      </c>
      <c r="CU1206" s="1">
        <v>0.0</v>
      </c>
      <c r="CV1206" s="1">
        <v>0.0</v>
      </c>
      <c r="CW1206" s="1">
        <v>0.0</v>
      </c>
      <c r="CX1206" s="1">
        <v>0.0</v>
      </c>
      <c r="CY1206" s="1">
        <v>0.0</v>
      </c>
      <c r="CZ1206" s="1">
        <v>0.0</v>
      </c>
      <c r="DA1206" s="1">
        <v>0.0</v>
      </c>
      <c r="DB1206" s="1">
        <v>0.0</v>
      </c>
      <c r="DC1206" s="1">
        <v>1.0</v>
      </c>
      <c r="DD1206" s="1" t="s">
        <v>5292</v>
      </c>
      <c r="DE1206" s="1">
        <v>0.0452987927587624</v>
      </c>
      <c r="DF1206" s="2" t="s">
        <v>5293</v>
      </c>
    </row>
    <row r="1207" ht="15.75" customHeight="1">
      <c r="A1207" s="1" t="s">
        <v>5294</v>
      </c>
      <c r="B1207" s="1">
        <v>29.0</v>
      </c>
      <c r="C1207" s="1">
        <v>197.0</v>
      </c>
      <c r="D1207" s="1">
        <v>470100.0</v>
      </c>
      <c r="E1207" s="1">
        <v>143.009</v>
      </c>
      <c r="F1207" s="1">
        <v>29197.0</v>
      </c>
      <c r="G1207" s="1">
        <v>2.91974701E10</v>
      </c>
      <c r="H1207" s="1" t="s">
        <v>112</v>
      </c>
      <c r="I1207" s="1" t="s">
        <v>113</v>
      </c>
      <c r="J1207" s="1" t="s">
        <v>5290</v>
      </c>
      <c r="K1207" s="1" t="s">
        <v>5295</v>
      </c>
      <c r="L1207" s="1">
        <v>2075.0</v>
      </c>
      <c r="M1207" s="1">
        <v>2039.0</v>
      </c>
      <c r="N1207" s="1">
        <v>158.0</v>
      </c>
      <c r="O1207" s="1">
        <v>985.0</v>
      </c>
      <c r="P1207" s="1">
        <v>1106.0</v>
      </c>
      <c r="Q1207" s="1">
        <v>63.0</v>
      </c>
      <c r="R1207" s="1">
        <v>852.0</v>
      </c>
      <c r="S1207" s="1">
        <v>386.0</v>
      </c>
      <c r="T1207" s="1">
        <v>156.0</v>
      </c>
      <c r="U1207" s="1">
        <v>58.0</v>
      </c>
      <c r="V1207" s="1">
        <v>428.0</v>
      </c>
      <c r="W1207" s="1">
        <v>17007.0</v>
      </c>
      <c r="X1207" s="1">
        <v>1996.0</v>
      </c>
      <c r="Y1207" s="1">
        <v>165.0</v>
      </c>
      <c r="Z1207" s="1">
        <v>260.0</v>
      </c>
      <c r="AA1207" s="1">
        <v>374.0</v>
      </c>
      <c r="AB1207" s="1">
        <v>550.0</v>
      </c>
      <c r="AC1207" s="1">
        <v>71.0</v>
      </c>
      <c r="AD1207" s="1">
        <v>32.0</v>
      </c>
      <c r="AE1207" s="1">
        <v>0.0</v>
      </c>
      <c r="AF1207" s="1">
        <v>456.0</v>
      </c>
      <c r="AG1207" s="1">
        <v>9.0</v>
      </c>
      <c r="AH1207" s="1">
        <v>162.0</v>
      </c>
      <c r="AI1207" s="1">
        <v>137.0</v>
      </c>
      <c r="AJ1207" s="1">
        <v>51.0</v>
      </c>
      <c r="AK1207" s="1">
        <v>47.0</v>
      </c>
      <c r="AL1207" s="1">
        <v>123.0</v>
      </c>
      <c r="AM1207" s="1">
        <v>81.0</v>
      </c>
      <c r="AN1207" s="1">
        <v>45.0</v>
      </c>
      <c r="AO1207" s="1">
        <v>0.0</v>
      </c>
      <c r="AP1207" s="1">
        <v>0.189308</v>
      </c>
      <c r="AQ1207" s="1">
        <v>0.075088</v>
      </c>
      <c r="AR1207" s="1">
        <v>0.071253</v>
      </c>
      <c r="AS1207" s="1">
        <v>0.525661</v>
      </c>
      <c r="AT1207" s="1">
        <v>17007.0</v>
      </c>
      <c r="AU1207" s="1">
        <v>1996.0</v>
      </c>
      <c r="AV1207" s="1">
        <v>0.123688</v>
      </c>
      <c r="AW1207" s="1">
        <v>0.19464</v>
      </c>
      <c r="AX1207" s="1">
        <v>0.18024</v>
      </c>
      <c r="AY1207" s="1">
        <v>0.26506</v>
      </c>
      <c r="AZ1207" s="1">
        <v>0.08333333</v>
      </c>
      <c r="BA1207" s="1">
        <v>0.015421</v>
      </c>
      <c r="BB1207" s="1">
        <v>0.0</v>
      </c>
      <c r="BC1207" s="1">
        <v>0.24385</v>
      </c>
      <c r="BD1207" s="1">
        <v>0.008137</v>
      </c>
      <c r="BE1207" s="1">
        <v>0.146473</v>
      </c>
      <c r="BF1207" s="1">
        <v>0.123869</v>
      </c>
      <c r="BG1207" s="1">
        <v>0.045569</v>
      </c>
      <c r="BH1207" s="1">
        <v>0.047522</v>
      </c>
      <c r="BI1207" s="1">
        <v>0.124332</v>
      </c>
      <c r="BJ1207" s="1">
        <v>0.0819</v>
      </c>
      <c r="BK1207" s="1">
        <v>0.045209</v>
      </c>
      <c r="BL1207" s="1">
        <v>0.0</v>
      </c>
      <c r="BM1207" s="1">
        <v>0.702</v>
      </c>
      <c r="BN1207" s="1">
        <v>0.526</v>
      </c>
      <c r="BO1207" s="1">
        <v>0.7863</v>
      </c>
      <c r="BP1207" s="1">
        <v>0.446</v>
      </c>
      <c r="BQ1207" s="1">
        <v>2.4603</v>
      </c>
      <c r="BR1207" s="1">
        <v>0.6527</v>
      </c>
      <c r="BS1207" s="1">
        <v>0.789</v>
      </c>
      <c r="BT1207" s="1">
        <v>0.752</v>
      </c>
      <c r="BU1207" s="1">
        <v>0.343</v>
      </c>
      <c r="BV1207" s="1">
        <v>1.884</v>
      </c>
      <c r="BW1207" s="1">
        <v>0.789</v>
      </c>
      <c r="BX1207" s="1">
        <v>0.005</v>
      </c>
      <c r="BY1207" s="1">
        <v>0.0</v>
      </c>
      <c r="BZ1207" s="1">
        <v>0.005</v>
      </c>
      <c r="CA1207" s="1">
        <v>0.002</v>
      </c>
      <c r="CB1207" s="1">
        <v>0.364</v>
      </c>
      <c r="CC1207" s="1">
        <v>0.766</v>
      </c>
      <c r="CD1207" s="1">
        <v>0.925</v>
      </c>
      <c r="CE1207" s="1">
        <v>0.686</v>
      </c>
      <c r="CF1207" s="1">
        <v>0.0</v>
      </c>
      <c r="CG1207" s="1">
        <v>2.741</v>
      </c>
      <c r="CH1207" s="1">
        <v>0.663</v>
      </c>
      <c r="CI1207" s="1">
        <v>7.0903</v>
      </c>
      <c r="CJ1207" s="1">
        <v>0.5675</v>
      </c>
      <c r="CK1207" s="1">
        <v>0.0</v>
      </c>
      <c r="CL1207" s="1">
        <v>0.0</v>
      </c>
      <c r="CM1207" s="1">
        <v>0.0</v>
      </c>
      <c r="CN1207" s="1">
        <v>0.0</v>
      </c>
      <c r="CO1207" s="1">
        <v>0.0</v>
      </c>
      <c r="CP1207" s="1">
        <v>0.0</v>
      </c>
      <c r="CQ1207" s="1">
        <v>0.0</v>
      </c>
      <c r="CR1207" s="1">
        <v>0.0</v>
      </c>
      <c r="CS1207" s="1">
        <v>0.0</v>
      </c>
      <c r="CT1207" s="1">
        <v>0.0</v>
      </c>
      <c r="CU1207" s="1">
        <v>0.0</v>
      </c>
      <c r="CV1207" s="1">
        <v>0.0</v>
      </c>
      <c r="CW1207" s="1">
        <v>0.0</v>
      </c>
      <c r="CX1207" s="1">
        <v>0.0</v>
      </c>
      <c r="CY1207" s="1">
        <v>1.0</v>
      </c>
      <c r="CZ1207" s="1">
        <v>0.0</v>
      </c>
      <c r="DA1207" s="1">
        <v>0.0</v>
      </c>
      <c r="DB1207" s="1">
        <v>1.0</v>
      </c>
      <c r="DC1207" s="1">
        <v>1.0</v>
      </c>
      <c r="DD1207" s="1" t="s">
        <v>5296</v>
      </c>
      <c r="DE1207" s="2" t="s">
        <v>5297</v>
      </c>
      <c r="DF1207" s="2" t="s">
        <v>5298</v>
      </c>
    </row>
    <row r="1208" ht="15.75" customHeight="1">
      <c r="A1208" s="1" t="s">
        <v>5299</v>
      </c>
      <c r="B1208" s="1">
        <v>29.0</v>
      </c>
      <c r="C1208" s="1">
        <v>199.0</v>
      </c>
      <c r="D1208" s="1">
        <v>480200.0</v>
      </c>
      <c r="E1208" s="1">
        <v>7.268</v>
      </c>
      <c r="F1208" s="1">
        <v>29199.0</v>
      </c>
      <c r="G1208" s="1">
        <v>2.91994802E10</v>
      </c>
      <c r="H1208" s="1" t="s">
        <v>112</v>
      </c>
      <c r="I1208" s="1" t="s">
        <v>113</v>
      </c>
      <c r="J1208" s="1" t="s">
        <v>5300</v>
      </c>
      <c r="K1208" s="1" t="s">
        <v>5301</v>
      </c>
      <c r="L1208" s="1">
        <v>1947.0</v>
      </c>
      <c r="M1208" s="1">
        <v>2024.0</v>
      </c>
      <c r="N1208" s="1">
        <v>176.0</v>
      </c>
      <c r="O1208" s="1">
        <v>1050.0</v>
      </c>
      <c r="P1208" s="1">
        <v>1140.0</v>
      </c>
      <c r="Q1208" s="1">
        <v>67.0</v>
      </c>
      <c r="R1208" s="1">
        <v>861.0</v>
      </c>
      <c r="S1208" s="1">
        <v>256.0</v>
      </c>
      <c r="T1208" s="1">
        <v>89.0</v>
      </c>
      <c r="U1208" s="1">
        <v>52.0</v>
      </c>
      <c r="V1208" s="1">
        <v>458.0</v>
      </c>
      <c r="W1208" s="1">
        <v>21416.0</v>
      </c>
      <c r="X1208" s="1">
        <v>3123.0</v>
      </c>
      <c r="Y1208" s="1">
        <v>155.0</v>
      </c>
      <c r="Z1208" s="1">
        <v>285.0</v>
      </c>
      <c r="AA1208" s="1">
        <v>446.0</v>
      </c>
      <c r="AB1208" s="1">
        <v>470.0</v>
      </c>
      <c r="AC1208" s="1">
        <v>95.0</v>
      </c>
      <c r="AD1208" s="1">
        <v>32.0</v>
      </c>
      <c r="AE1208" s="1">
        <v>0.0</v>
      </c>
      <c r="AF1208" s="1">
        <v>456.0</v>
      </c>
      <c r="AG1208" s="1">
        <v>24.0</v>
      </c>
      <c r="AH1208" s="1">
        <v>117.0</v>
      </c>
      <c r="AI1208" s="1">
        <v>111.0</v>
      </c>
      <c r="AJ1208" s="1">
        <v>58.0</v>
      </c>
      <c r="AK1208" s="1">
        <v>11.0</v>
      </c>
      <c r="AL1208" s="1">
        <v>115.0</v>
      </c>
      <c r="AM1208" s="1">
        <v>102.0</v>
      </c>
      <c r="AN1208" s="1">
        <v>52.0</v>
      </c>
      <c r="AO1208" s="1">
        <v>76.0</v>
      </c>
      <c r="AP1208" s="1">
        <v>0.134665</v>
      </c>
      <c r="AQ1208" s="1">
        <v>0.045334</v>
      </c>
      <c r="AR1208" s="1">
        <v>0.055378</v>
      </c>
      <c r="AS1208" s="1">
        <v>0.487544</v>
      </c>
      <c r="AT1208" s="1">
        <v>21416.0</v>
      </c>
      <c r="AU1208" s="1">
        <v>3123.0</v>
      </c>
      <c r="AV1208" s="1">
        <v>0.111994</v>
      </c>
      <c r="AW1208" s="1">
        <v>0.205532</v>
      </c>
      <c r="AX1208" s="1">
        <v>0.22907</v>
      </c>
      <c r="AY1208" s="1">
        <v>0.241397</v>
      </c>
      <c r="AZ1208" s="1">
        <v>0.11033681</v>
      </c>
      <c r="BA1208" s="1">
        <v>0.016435</v>
      </c>
      <c r="BB1208" s="1">
        <v>0.0</v>
      </c>
      <c r="BC1208" s="1">
        <v>0.242682</v>
      </c>
      <c r="BD1208" s="1">
        <v>0.021052</v>
      </c>
      <c r="BE1208" s="1">
        <v>0.102624</v>
      </c>
      <c r="BF1208" s="1">
        <v>0.097368</v>
      </c>
      <c r="BG1208" s="1">
        <v>0.050554</v>
      </c>
      <c r="BH1208" s="1">
        <v>0.011789</v>
      </c>
      <c r="BI1208" s="1">
        <v>0.123252</v>
      </c>
      <c r="BJ1208" s="1">
        <v>0.109324</v>
      </c>
      <c r="BK1208" s="1">
        <v>0.054611</v>
      </c>
      <c r="BL1208" s="1">
        <v>0.039034</v>
      </c>
      <c r="BM1208" s="1">
        <v>0.515</v>
      </c>
      <c r="BN1208" s="1">
        <v>0.351</v>
      </c>
      <c r="BO1208" s="1">
        <v>0.5271</v>
      </c>
      <c r="BP1208" s="1">
        <v>0.389</v>
      </c>
      <c r="BQ1208" s="1">
        <v>1.7821</v>
      </c>
      <c r="BR1208" s="1">
        <v>0.4245</v>
      </c>
      <c r="BS1208" s="1">
        <v>0.947</v>
      </c>
      <c r="BT1208" s="1">
        <v>0.507</v>
      </c>
      <c r="BU1208" s="1">
        <v>0.589</v>
      </c>
      <c r="BV1208" s="1">
        <v>2.043</v>
      </c>
      <c r="BW1208" s="1">
        <v>0.887</v>
      </c>
      <c r="BX1208" s="1">
        <v>0.007</v>
      </c>
      <c r="BY1208" s="1">
        <v>0.0</v>
      </c>
      <c r="BZ1208" s="1">
        <v>0.007</v>
      </c>
      <c r="CA1208" s="1">
        <v>0.004</v>
      </c>
      <c r="CB1208" s="1">
        <v>0.475</v>
      </c>
      <c r="CC1208" s="1">
        <v>0.708</v>
      </c>
      <c r="CD1208" s="1">
        <v>0.523</v>
      </c>
      <c r="CE1208" s="1">
        <v>0.777</v>
      </c>
      <c r="CF1208" s="1">
        <v>0.864</v>
      </c>
      <c r="CG1208" s="1">
        <v>3.347</v>
      </c>
      <c r="CH1208" s="1">
        <v>0.892</v>
      </c>
      <c r="CI1208" s="1">
        <v>7.1791</v>
      </c>
      <c r="CJ1208" s="1">
        <v>0.587</v>
      </c>
      <c r="CK1208" s="1">
        <v>0.0</v>
      </c>
      <c r="CL1208" s="1">
        <v>0.0</v>
      </c>
      <c r="CM1208" s="1">
        <v>0.0</v>
      </c>
      <c r="CN1208" s="1">
        <v>0.0</v>
      </c>
      <c r="CO1208" s="1">
        <v>0.0</v>
      </c>
      <c r="CP1208" s="1">
        <v>1.0</v>
      </c>
      <c r="CQ1208" s="1">
        <v>0.0</v>
      </c>
      <c r="CR1208" s="1">
        <v>0.0</v>
      </c>
      <c r="CS1208" s="1">
        <v>1.0</v>
      </c>
      <c r="CT1208" s="1">
        <v>0.0</v>
      </c>
      <c r="CU1208" s="1">
        <v>0.0</v>
      </c>
      <c r="CV1208" s="1">
        <v>0.0</v>
      </c>
      <c r="CW1208" s="1">
        <v>0.0</v>
      </c>
      <c r="CX1208" s="1">
        <v>0.0</v>
      </c>
      <c r="CY1208" s="1">
        <v>0.0</v>
      </c>
      <c r="CZ1208" s="1">
        <v>0.0</v>
      </c>
      <c r="DA1208" s="1">
        <v>0.0</v>
      </c>
      <c r="DB1208" s="1">
        <v>0.0</v>
      </c>
      <c r="DC1208" s="1">
        <v>1.0</v>
      </c>
      <c r="DD1208" s="1" t="s">
        <v>5302</v>
      </c>
      <c r="DE1208" s="1">
        <v>0.00203704187242045</v>
      </c>
      <c r="DF1208" s="2" t="s">
        <v>5303</v>
      </c>
    </row>
    <row r="1209" ht="15.75" customHeight="1">
      <c r="A1209" s="1" t="s">
        <v>5304</v>
      </c>
      <c r="B1209" s="1">
        <v>29.0</v>
      </c>
      <c r="C1209" s="1">
        <v>199.0</v>
      </c>
      <c r="D1209" s="1">
        <v>480100.0</v>
      </c>
      <c r="E1209" s="1">
        <v>429.403</v>
      </c>
      <c r="F1209" s="1">
        <v>29199.0</v>
      </c>
      <c r="G1209" s="1">
        <v>2.91994801E10</v>
      </c>
      <c r="H1209" s="1" t="s">
        <v>112</v>
      </c>
      <c r="I1209" s="1" t="s">
        <v>113</v>
      </c>
      <c r="J1209" s="1" t="s">
        <v>5300</v>
      </c>
      <c r="K1209" s="1" t="s">
        <v>5305</v>
      </c>
      <c r="L1209" s="1">
        <v>2896.0</v>
      </c>
      <c r="M1209" s="1">
        <v>2807.0</v>
      </c>
      <c r="N1209" s="1">
        <v>176.0</v>
      </c>
      <c r="O1209" s="1">
        <v>1319.0</v>
      </c>
      <c r="P1209" s="1">
        <v>1194.0</v>
      </c>
      <c r="Q1209" s="1">
        <v>70.0</v>
      </c>
      <c r="R1209" s="1">
        <v>1019.0</v>
      </c>
      <c r="S1209" s="1">
        <v>663.0</v>
      </c>
      <c r="T1209" s="1">
        <v>226.0</v>
      </c>
      <c r="U1209" s="1">
        <v>46.0</v>
      </c>
      <c r="V1209" s="1">
        <v>459.0</v>
      </c>
      <c r="W1209" s="1">
        <v>18798.0</v>
      </c>
      <c r="X1209" s="1">
        <v>2565.0</v>
      </c>
      <c r="Y1209" s="1">
        <v>434.0</v>
      </c>
      <c r="Z1209" s="1">
        <v>266.0</v>
      </c>
      <c r="AA1209" s="1">
        <v>433.0</v>
      </c>
      <c r="AB1209" s="1">
        <v>892.0</v>
      </c>
      <c r="AC1209" s="1">
        <v>50.0</v>
      </c>
      <c r="AD1209" s="1">
        <v>51.0</v>
      </c>
      <c r="AE1209" s="1">
        <v>0.0</v>
      </c>
      <c r="AF1209" s="1">
        <v>456.0</v>
      </c>
      <c r="AG1209" s="1">
        <v>0.0</v>
      </c>
      <c r="AH1209" s="1">
        <v>197.0</v>
      </c>
      <c r="AI1209" s="1">
        <v>141.0</v>
      </c>
      <c r="AJ1209" s="1">
        <v>61.0</v>
      </c>
      <c r="AK1209" s="1">
        <v>73.0</v>
      </c>
      <c r="AL1209" s="1">
        <v>28.0</v>
      </c>
      <c r="AM1209" s="1">
        <v>62.0</v>
      </c>
      <c r="AN1209" s="1">
        <v>28.0</v>
      </c>
      <c r="AO1209" s="1">
        <v>0.0</v>
      </c>
      <c r="AP1209" s="1">
        <v>0.236195</v>
      </c>
      <c r="AQ1209" s="1">
        <v>0.079139</v>
      </c>
      <c r="AR1209" s="1">
        <v>0.034379</v>
      </c>
      <c r="AS1209" s="1">
        <v>0.343023</v>
      </c>
      <c r="AT1209" s="1">
        <v>18798.0</v>
      </c>
      <c r="AU1209" s="1">
        <v>2565.0</v>
      </c>
      <c r="AV1209" s="1">
        <v>0.240177</v>
      </c>
      <c r="AW1209" s="1">
        <v>0.146218</v>
      </c>
      <c r="AX1209" s="1">
        <v>0.149516</v>
      </c>
      <c r="AY1209" s="1">
        <v>0.308011</v>
      </c>
      <c r="AZ1209" s="1">
        <v>0.04906771</v>
      </c>
      <c r="BA1209" s="1">
        <v>0.01761</v>
      </c>
      <c r="BB1209" s="1">
        <v>0.0</v>
      </c>
      <c r="BC1209" s="1">
        <v>0.183353</v>
      </c>
      <c r="BD1209" s="1">
        <v>0.0</v>
      </c>
      <c r="BE1209" s="1">
        <v>0.164991</v>
      </c>
      <c r="BF1209" s="1">
        <v>0.11809</v>
      </c>
      <c r="BG1209" s="1">
        <v>0.050617</v>
      </c>
      <c r="BH1209" s="1">
        <v>0.069723</v>
      </c>
      <c r="BI1209" s="1">
        <v>0.026309</v>
      </c>
      <c r="BJ1209" s="1">
        <v>0.059216</v>
      </c>
      <c r="BK1209" s="1">
        <v>0.026431</v>
      </c>
      <c r="BL1209" s="1">
        <v>0.0</v>
      </c>
      <c r="BM1209" s="1">
        <v>0.802</v>
      </c>
      <c r="BN1209" s="1">
        <v>0.125</v>
      </c>
      <c r="BO1209" s="1">
        <v>0.6845</v>
      </c>
      <c r="BP1209" s="1">
        <v>0.846</v>
      </c>
      <c r="BQ1209" s="1">
        <v>2.4575</v>
      </c>
      <c r="BR1209" s="1">
        <v>0.6513</v>
      </c>
      <c r="BS1209" s="1">
        <v>0.574</v>
      </c>
      <c r="BT1209" s="1">
        <v>0.943</v>
      </c>
      <c r="BU1209" s="1">
        <v>0.066</v>
      </c>
      <c r="BV1209" s="1">
        <v>1.583</v>
      </c>
      <c r="BW1209" s="1">
        <v>0.555</v>
      </c>
      <c r="BX1209" s="1">
        <v>0.013</v>
      </c>
      <c r="BY1209" s="1">
        <v>0.0</v>
      </c>
      <c r="BZ1209" s="1">
        <v>0.013</v>
      </c>
      <c r="CA1209" s="1">
        <v>0.007</v>
      </c>
      <c r="CB1209" s="1">
        <v>0.0</v>
      </c>
      <c r="CC1209" s="1">
        <v>0.756</v>
      </c>
      <c r="CD1209" s="1">
        <v>0.976</v>
      </c>
      <c r="CE1209" s="1">
        <v>0.564</v>
      </c>
      <c r="CF1209" s="1">
        <v>0.0</v>
      </c>
      <c r="CG1209" s="1">
        <v>2.296</v>
      </c>
      <c r="CH1209" s="1">
        <v>0.455</v>
      </c>
      <c r="CI1209" s="1">
        <v>6.3495</v>
      </c>
      <c r="CJ1209" s="1">
        <v>0.4361</v>
      </c>
      <c r="CK1209" s="1">
        <v>0.0</v>
      </c>
      <c r="CL1209" s="1">
        <v>0.0</v>
      </c>
      <c r="CM1209" s="1">
        <v>0.0</v>
      </c>
      <c r="CN1209" s="1">
        <v>0.0</v>
      </c>
      <c r="CO1209" s="1">
        <v>0.0</v>
      </c>
      <c r="CP1209" s="1">
        <v>0.0</v>
      </c>
      <c r="CQ1209" s="1">
        <v>1.0</v>
      </c>
      <c r="CR1209" s="1">
        <v>0.0</v>
      </c>
      <c r="CS1209" s="1">
        <v>1.0</v>
      </c>
      <c r="CT1209" s="1">
        <v>0.0</v>
      </c>
      <c r="CU1209" s="1">
        <v>0.0</v>
      </c>
      <c r="CV1209" s="1">
        <v>0.0</v>
      </c>
      <c r="CW1209" s="1">
        <v>0.0</v>
      </c>
      <c r="CX1209" s="1">
        <v>0.0</v>
      </c>
      <c r="CY1209" s="1">
        <v>1.0</v>
      </c>
      <c r="CZ1209" s="1">
        <v>0.0</v>
      </c>
      <c r="DA1209" s="1">
        <v>0.0</v>
      </c>
      <c r="DB1209" s="1">
        <v>1.0</v>
      </c>
      <c r="DC1209" s="1">
        <v>2.0</v>
      </c>
      <c r="DD1209" s="1" t="s">
        <v>5306</v>
      </c>
      <c r="DE1209" s="2" t="s">
        <v>5307</v>
      </c>
      <c r="DF1209" s="2" t="s">
        <v>5308</v>
      </c>
    </row>
    <row r="1210" ht="15.75" customHeight="1">
      <c r="A1210" s="1" t="s">
        <v>5309</v>
      </c>
      <c r="B1210" s="1">
        <v>29.0</v>
      </c>
      <c r="C1210" s="1">
        <v>201.0</v>
      </c>
      <c r="D1210" s="1">
        <v>780600.0</v>
      </c>
      <c r="E1210" s="1">
        <v>12.476</v>
      </c>
      <c r="F1210" s="1">
        <v>29201.0</v>
      </c>
      <c r="G1210" s="1">
        <v>2.92017806E10</v>
      </c>
      <c r="H1210" s="1" t="s">
        <v>112</v>
      </c>
      <c r="I1210" s="1" t="s">
        <v>113</v>
      </c>
      <c r="J1210" s="1" t="s">
        <v>5310</v>
      </c>
      <c r="K1210" s="1" t="s">
        <v>5311</v>
      </c>
      <c r="L1210" s="1">
        <v>4306.0</v>
      </c>
      <c r="M1210" s="1">
        <v>4176.0</v>
      </c>
      <c r="N1210" s="1">
        <v>397.0</v>
      </c>
      <c r="O1210" s="1">
        <v>1873.0</v>
      </c>
      <c r="P1210" s="1">
        <v>1842.0</v>
      </c>
      <c r="Q1210" s="1">
        <v>113.0</v>
      </c>
      <c r="R1210" s="1">
        <v>1752.0</v>
      </c>
      <c r="S1210" s="1">
        <v>463.0</v>
      </c>
      <c r="T1210" s="1">
        <v>169.0</v>
      </c>
      <c r="U1210" s="1">
        <v>132.0</v>
      </c>
      <c r="V1210" s="1">
        <v>383.0</v>
      </c>
      <c r="W1210" s="1">
        <v>17712.0</v>
      </c>
      <c r="X1210" s="1">
        <v>1452.0</v>
      </c>
      <c r="Y1210" s="1">
        <v>758.0</v>
      </c>
      <c r="Z1210" s="1">
        <v>189.0</v>
      </c>
      <c r="AA1210" s="1">
        <v>673.0</v>
      </c>
      <c r="AB1210" s="1">
        <v>1050.0</v>
      </c>
      <c r="AC1210" s="1">
        <v>229.0</v>
      </c>
      <c r="AD1210" s="1">
        <v>523.0</v>
      </c>
      <c r="AE1210" s="1">
        <v>55.0</v>
      </c>
      <c r="AF1210" s="1">
        <v>398.0</v>
      </c>
      <c r="AG1210" s="1">
        <v>28.0</v>
      </c>
      <c r="AH1210" s="1">
        <v>116.0</v>
      </c>
      <c r="AI1210" s="1">
        <v>138.0</v>
      </c>
      <c r="AJ1210" s="1">
        <v>82.0</v>
      </c>
      <c r="AK1210" s="1">
        <v>5.0</v>
      </c>
      <c r="AL1210" s="1">
        <v>114.0</v>
      </c>
      <c r="AM1210" s="1">
        <v>77.0</v>
      </c>
      <c r="AN1210" s="1">
        <v>46.0</v>
      </c>
      <c r="AO1210" s="1">
        <v>43.0</v>
      </c>
      <c r="AP1210" s="1">
        <v>0.113955</v>
      </c>
      <c r="AQ1210" s="1">
        <v>0.040378</v>
      </c>
      <c r="AR1210" s="1">
        <v>0.066734</v>
      </c>
      <c r="AS1210" s="1">
        <v>0.193447</v>
      </c>
      <c r="AT1210" s="1">
        <v>17712.0</v>
      </c>
      <c r="AU1210" s="1">
        <v>1452.0</v>
      </c>
      <c r="AV1210" s="1">
        <v>0.266995</v>
      </c>
      <c r="AW1210" s="1">
        <v>0.061183</v>
      </c>
      <c r="AX1210" s="1">
        <v>0.156293</v>
      </c>
      <c r="AY1210" s="1">
        <v>0.243845</v>
      </c>
      <c r="AZ1210" s="1">
        <v>0.13070776</v>
      </c>
      <c r="BA1210" s="1">
        <v>0.121458</v>
      </c>
      <c r="BB1210" s="1">
        <v>0.013952</v>
      </c>
      <c r="BC1210" s="1">
        <v>0.100954</v>
      </c>
      <c r="BD1210" s="1">
        <v>0.0152</v>
      </c>
      <c r="BE1210" s="1">
        <v>0.062968</v>
      </c>
      <c r="BF1210" s="1">
        <v>0.074918</v>
      </c>
      <c r="BG1210" s="1">
        <v>0.044278</v>
      </c>
      <c r="BH1210" s="1">
        <v>0.002905</v>
      </c>
      <c r="BI1210" s="1">
        <v>0.06624</v>
      </c>
      <c r="BJ1210" s="1">
        <v>0.044741</v>
      </c>
      <c r="BK1210" s="1">
        <v>0.02645</v>
      </c>
      <c r="BL1210" s="1">
        <v>0.009986</v>
      </c>
      <c r="BM1210" s="1">
        <v>0.429</v>
      </c>
      <c r="BN1210" s="1">
        <v>0.484</v>
      </c>
      <c r="BO1210" s="1">
        <v>0.7437</v>
      </c>
      <c r="BP1210" s="1">
        <v>0.902</v>
      </c>
      <c r="BQ1210" s="1">
        <v>2.5587</v>
      </c>
      <c r="BR1210" s="1">
        <v>0.6838</v>
      </c>
      <c r="BS1210" s="1">
        <v>0.638</v>
      </c>
      <c r="BT1210" s="1">
        <v>0.532</v>
      </c>
      <c r="BU1210" s="1">
        <v>0.718</v>
      </c>
      <c r="BV1210" s="1">
        <v>1.888</v>
      </c>
      <c r="BW1210" s="1">
        <v>0.794</v>
      </c>
      <c r="BX1210" s="1">
        <v>0.54</v>
      </c>
      <c r="BY1210" s="1">
        <v>0.795</v>
      </c>
      <c r="BZ1210" s="1">
        <v>1.335</v>
      </c>
      <c r="CA1210" s="1">
        <v>0.728</v>
      </c>
      <c r="CB1210" s="1">
        <v>0.428</v>
      </c>
      <c r="CC1210" s="1">
        <v>0.663</v>
      </c>
      <c r="CD1210" s="1">
        <v>0.292</v>
      </c>
      <c r="CE1210" s="1">
        <v>0.439</v>
      </c>
      <c r="CF1210" s="1">
        <v>0.579</v>
      </c>
      <c r="CG1210" s="1">
        <v>2.401</v>
      </c>
      <c r="CH1210" s="1">
        <v>0.517</v>
      </c>
      <c r="CI1210" s="1">
        <v>8.1827</v>
      </c>
      <c r="CJ1210" s="1">
        <v>0.7408</v>
      </c>
      <c r="CK1210" s="1">
        <v>0.0</v>
      </c>
      <c r="CL1210" s="1">
        <v>0.0</v>
      </c>
      <c r="CM1210" s="1">
        <v>0.0</v>
      </c>
      <c r="CN1210" s="1">
        <v>1.0</v>
      </c>
      <c r="CO1210" s="1">
        <v>1.0</v>
      </c>
      <c r="CP1210" s="1">
        <v>0.0</v>
      </c>
      <c r="CQ1210" s="1">
        <v>0.0</v>
      </c>
      <c r="CR1210" s="1">
        <v>0.0</v>
      </c>
      <c r="CS1210" s="1">
        <v>0.0</v>
      </c>
      <c r="CT1210" s="1">
        <v>0.0</v>
      </c>
      <c r="CU1210" s="1">
        <v>0.0</v>
      </c>
      <c r="CV1210" s="1">
        <v>0.0</v>
      </c>
      <c r="CW1210" s="1">
        <v>0.0</v>
      </c>
      <c r="CX1210" s="1">
        <v>0.0</v>
      </c>
      <c r="CY1210" s="1">
        <v>0.0</v>
      </c>
      <c r="CZ1210" s="1">
        <v>0.0</v>
      </c>
      <c r="DA1210" s="1">
        <v>0.0</v>
      </c>
      <c r="DB1210" s="1">
        <v>0.0</v>
      </c>
      <c r="DC1210" s="1">
        <v>1.0</v>
      </c>
      <c r="DD1210" s="1" t="s">
        <v>5312</v>
      </c>
      <c r="DE1210" s="1">
        <v>0.00327169486476736</v>
      </c>
      <c r="DF1210" s="2" t="s">
        <v>5313</v>
      </c>
    </row>
    <row r="1211" ht="15.75" customHeight="1">
      <c r="A1211" s="1" t="s">
        <v>5314</v>
      </c>
      <c r="B1211" s="1">
        <v>29.0</v>
      </c>
      <c r="C1211" s="1">
        <v>201.0</v>
      </c>
      <c r="D1211" s="1">
        <v>781300.0</v>
      </c>
      <c r="E1211" s="1">
        <v>4.403</v>
      </c>
      <c r="F1211" s="1">
        <v>29201.0</v>
      </c>
      <c r="G1211" s="1">
        <v>2.92017813E10</v>
      </c>
      <c r="H1211" s="1" t="s">
        <v>112</v>
      </c>
      <c r="I1211" s="1" t="s">
        <v>113</v>
      </c>
      <c r="J1211" s="1" t="s">
        <v>5310</v>
      </c>
      <c r="K1211" s="1" t="s">
        <v>5315</v>
      </c>
      <c r="L1211" s="1">
        <v>3138.0</v>
      </c>
      <c r="M1211" s="1">
        <v>2842.0</v>
      </c>
      <c r="N1211" s="1">
        <v>253.0</v>
      </c>
      <c r="O1211" s="1">
        <v>1453.0</v>
      </c>
      <c r="P1211" s="1">
        <v>1463.0</v>
      </c>
      <c r="Q1211" s="1">
        <v>127.0</v>
      </c>
      <c r="R1211" s="1">
        <v>1369.0</v>
      </c>
      <c r="S1211" s="1">
        <v>580.0</v>
      </c>
      <c r="T1211" s="1">
        <v>199.0</v>
      </c>
      <c r="U1211" s="1">
        <v>69.0</v>
      </c>
      <c r="V1211" s="1">
        <v>488.0</v>
      </c>
      <c r="W1211" s="1">
        <v>29325.0</v>
      </c>
      <c r="X1211" s="1">
        <v>3857.0</v>
      </c>
      <c r="Y1211" s="1">
        <v>465.0</v>
      </c>
      <c r="Z1211" s="1">
        <v>250.0</v>
      </c>
      <c r="AA1211" s="1">
        <v>582.0</v>
      </c>
      <c r="AB1211" s="1">
        <v>676.0</v>
      </c>
      <c r="AC1211" s="1">
        <v>136.0</v>
      </c>
      <c r="AD1211" s="1">
        <v>508.0</v>
      </c>
      <c r="AE1211" s="1">
        <v>0.0</v>
      </c>
      <c r="AF1211" s="1">
        <v>456.0</v>
      </c>
      <c r="AG1211" s="1">
        <v>137.0</v>
      </c>
      <c r="AH1211" s="1">
        <v>68.0</v>
      </c>
      <c r="AI1211" s="1">
        <v>0.0</v>
      </c>
      <c r="AJ1211" s="1">
        <v>114.0</v>
      </c>
      <c r="AK1211" s="1">
        <v>0.0</v>
      </c>
      <c r="AL1211" s="1">
        <v>161.0</v>
      </c>
      <c r="AM1211" s="1">
        <v>268.0</v>
      </c>
      <c r="AN1211" s="1">
        <v>126.0</v>
      </c>
      <c r="AO1211" s="1">
        <v>107.0</v>
      </c>
      <c r="AP1211" s="1">
        <v>0.208333</v>
      </c>
      <c r="AQ1211" s="1">
        <v>0.068906</v>
      </c>
      <c r="AR1211" s="1">
        <v>0.05665</v>
      </c>
      <c r="AS1211" s="1">
        <v>0.400523</v>
      </c>
      <c r="AT1211" s="1">
        <v>29325.0</v>
      </c>
      <c r="AU1211" s="1">
        <v>3857.0</v>
      </c>
      <c r="AV1211" s="1">
        <v>0.221534</v>
      </c>
      <c r="AW1211" s="1">
        <v>0.117043</v>
      </c>
      <c r="AX1211" s="1">
        <v>0.185468</v>
      </c>
      <c r="AY1211" s="1">
        <v>0.215423</v>
      </c>
      <c r="AZ1211" s="1">
        <v>0.09934258</v>
      </c>
      <c r="BA1211" s="1">
        <v>0.161886</v>
      </c>
      <c r="BB1211" s="1">
        <v>0.0</v>
      </c>
      <c r="BC1211" s="1">
        <v>0.168826</v>
      </c>
      <c r="BD1211" s="1">
        <v>0.093643</v>
      </c>
      <c r="BE1211" s="1">
        <v>0.045763</v>
      </c>
      <c r="BF1211" s="1">
        <v>0.0</v>
      </c>
      <c r="BG1211" s="1">
        <v>0.077922</v>
      </c>
      <c r="BH1211" s="1">
        <v>0.0</v>
      </c>
      <c r="BI1211" s="1">
        <v>0.111264</v>
      </c>
      <c r="BJ1211" s="1">
        <v>0.18521</v>
      </c>
      <c r="BK1211" s="1">
        <v>0.085472</v>
      </c>
      <c r="BL1211" s="1">
        <v>0.034098</v>
      </c>
      <c r="BM1211" s="1">
        <v>0.75</v>
      </c>
      <c r="BN1211" s="1">
        <v>0.377</v>
      </c>
      <c r="BO1211" s="1">
        <v>0.2116</v>
      </c>
      <c r="BP1211" s="1">
        <v>0.805</v>
      </c>
      <c r="BQ1211" s="1">
        <v>2.1436</v>
      </c>
      <c r="BR1211" s="1">
        <v>0.543</v>
      </c>
      <c r="BS1211" s="1">
        <v>0.817</v>
      </c>
      <c r="BT1211" s="1">
        <v>0.271</v>
      </c>
      <c r="BU1211" s="1">
        <v>0.487</v>
      </c>
      <c r="BV1211" s="1">
        <v>1.575</v>
      </c>
      <c r="BW1211" s="1">
        <v>0.546</v>
      </c>
      <c r="BX1211" s="1">
        <v>0.654</v>
      </c>
      <c r="BY1211" s="1">
        <v>0.0</v>
      </c>
      <c r="BZ1211" s="1">
        <v>0.654</v>
      </c>
      <c r="CA1211" s="1">
        <v>0.305</v>
      </c>
      <c r="CB1211" s="1">
        <v>0.757</v>
      </c>
      <c r="CC1211" s="1">
        <v>0.0</v>
      </c>
      <c r="CD1211" s="1">
        <v>0.0</v>
      </c>
      <c r="CE1211" s="1">
        <v>0.896</v>
      </c>
      <c r="CF1211" s="1">
        <v>0.831</v>
      </c>
      <c r="CG1211" s="1">
        <v>2.484</v>
      </c>
      <c r="CH1211" s="1">
        <v>0.554</v>
      </c>
      <c r="CI1211" s="1">
        <v>6.8566</v>
      </c>
      <c r="CJ1211" s="1">
        <v>0.5213</v>
      </c>
      <c r="CK1211" s="1">
        <v>0.0</v>
      </c>
      <c r="CL1211" s="1">
        <v>0.0</v>
      </c>
      <c r="CM1211" s="1">
        <v>0.0</v>
      </c>
      <c r="CN1211" s="1">
        <v>0.0</v>
      </c>
      <c r="CO1211" s="1">
        <v>0.0</v>
      </c>
      <c r="CP1211" s="1">
        <v>0.0</v>
      </c>
      <c r="CQ1211" s="1">
        <v>0.0</v>
      </c>
      <c r="CR1211" s="1">
        <v>0.0</v>
      </c>
      <c r="CS1211" s="1">
        <v>0.0</v>
      </c>
      <c r="CT1211" s="1">
        <v>0.0</v>
      </c>
      <c r="CU1211" s="1">
        <v>0.0</v>
      </c>
      <c r="CV1211" s="1">
        <v>0.0</v>
      </c>
      <c r="CW1211" s="1">
        <v>0.0</v>
      </c>
      <c r="CX1211" s="1">
        <v>0.0</v>
      </c>
      <c r="CY1211" s="1">
        <v>0.0</v>
      </c>
      <c r="CZ1211" s="1">
        <v>0.0</v>
      </c>
      <c r="DA1211" s="1">
        <v>0.0</v>
      </c>
      <c r="DB1211" s="1">
        <v>0.0</v>
      </c>
      <c r="DC1211" s="1">
        <v>0.0</v>
      </c>
      <c r="DD1211" s="1" t="s">
        <v>5316</v>
      </c>
      <c r="DE1211" s="1">
        <v>0.00115597509059128</v>
      </c>
      <c r="DF1211" s="2" t="s">
        <v>5317</v>
      </c>
    </row>
    <row r="1212" ht="15.75" customHeight="1">
      <c r="A1212" s="1" t="s">
        <v>5318</v>
      </c>
      <c r="B1212" s="1">
        <v>29.0</v>
      </c>
      <c r="C1212" s="1">
        <v>201.0</v>
      </c>
      <c r="D1212" s="1">
        <v>780100.0</v>
      </c>
      <c r="E1212" s="1">
        <v>10.713</v>
      </c>
      <c r="F1212" s="1">
        <v>29201.0</v>
      </c>
      <c r="G1212" s="1">
        <v>2.92017801E10</v>
      </c>
      <c r="H1212" s="1" t="s">
        <v>112</v>
      </c>
      <c r="I1212" s="1" t="s">
        <v>113</v>
      </c>
      <c r="J1212" s="1" t="s">
        <v>5310</v>
      </c>
      <c r="K1212" s="1" t="s">
        <v>5319</v>
      </c>
      <c r="L1212" s="1">
        <v>3375.0</v>
      </c>
      <c r="M1212" s="1">
        <v>3466.0</v>
      </c>
      <c r="N1212" s="1">
        <v>314.0</v>
      </c>
      <c r="O1212" s="1">
        <v>1462.0</v>
      </c>
      <c r="P1212" s="1">
        <v>1404.0</v>
      </c>
      <c r="Q1212" s="1">
        <v>135.0</v>
      </c>
      <c r="R1212" s="1">
        <v>1329.0</v>
      </c>
      <c r="S1212" s="1">
        <v>580.0</v>
      </c>
      <c r="T1212" s="1">
        <v>219.0</v>
      </c>
      <c r="U1212" s="1">
        <v>215.0</v>
      </c>
      <c r="V1212" s="1">
        <v>390.0</v>
      </c>
      <c r="W1212" s="1">
        <v>17251.0</v>
      </c>
      <c r="X1212" s="1">
        <v>2291.0</v>
      </c>
      <c r="Y1212" s="1">
        <v>550.0</v>
      </c>
      <c r="Z1212" s="1">
        <v>285.0</v>
      </c>
      <c r="AA1212" s="1">
        <v>447.0</v>
      </c>
      <c r="AB1212" s="1">
        <v>854.0</v>
      </c>
      <c r="AC1212" s="1">
        <v>148.0</v>
      </c>
      <c r="AD1212" s="1">
        <v>125.0</v>
      </c>
      <c r="AE1212" s="1">
        <v>7.0</v>
      </c>
      <c r="AF1212" s="1">
        <v>442.0</v>
      </c>
      <c r="AG1212" s="1">
        <v>16.0</v>
      </c>
      <c r="AH1212" s="1">
        <v>162.0</v>
      </c>
      <c r="AI1212" s="1">
        <v>243.0</v>
      </c>
      <c r="AJ1212" s="1">
        <v>94.0</v>
      </c>
      <c r="AK1212" s="1">
        <v>25.0</v>
      </c>
      <c r="AL1212" s="1">
        <v>120.0</v>
      </c>
      <c r="AM1212" s="1">
        <v>165.0</v>
      </c>
      <c r="AN1212" s="1">
        <v>70.0</v>
      </c>
      <c r="AO1212" s="1">
        <v>17.0</v>
      </c>
      <c r="AP1212" s="1">
        <v>0.168359</v>
      </c>
      <c r="AQ1212" s="1">
        <v>0.061702</v>
      </c>
      <c r="AR1212" s="1">
        <v>0.12551</v>
      </c>
      <c r="AS1212" s="1">
        <v>0.226757</v>
      </c>
      <c r="AT1212" s="1">
        <v>17251.0</v>
      </c>
      <c r="AU1212" s="1">
        <v>2291.0</v>
      </c>
      <c r="AV1212" s="1">
        <v>0.240489</v>
      </c>
      <c r="AW1212" s="1">
        <v>0.121698</v>
      </c>
      <c r="AX1212" s="1">
        <v>0.132444</v>
      </c>
      <c r="AY1212" s="1">
        <v>0.253037</v>
      </c>
      <c r="AZ1212" s="1">
        <v>0.11136192</v>
      </c>
      <c r="BA1212" s="1">
        <v>0.037037</v>
      </c>
      <c r="BB1212" s="1">
        <v>0.002194</v>
      </c>
      <c r="BC1212" s="1">
        <v>0.138557</v>
      </c>
      <c r="BD1212" s="1">
        <v>0.011396</v>
      </c>
      <c r="BE1212" s="1">
        <v>0.115379</v>
      </c>
      <c r="BF1212" s="1">
        <v>0.173076</v>
      </c>
      <c r="BG1212" s="1">
        <v>0.06485</v>
      </c>
      <c r="BH1212" s="1">
        <v>0.019305</v>
      </c>
      <c r="BI1212" s="1">
        <v>0.092644</v>
      </c>
      <c r="BJ1212" s="1">
        <v>0.127413</v>
      </c>
      <c r="BK1212" s="1">
        <v>0.052542</v>
      </c>
      <c r="BL1212" s="1">
        <v>0.005037</v>
      </c>
      <c r="BM1212" s="1">
        <v>0.635</v>
      </c>
      <c r="BN1212" s="1">
        <v>0.842</v>
      </c>
      <c r="BO1212" s="1">
        <v>0.7682</v>
      </c>
      <c r="BP1212" s="1">
        <v>0.846</v>
      </c>
      <c r="BQ1212" s="1">
        <v>3.0912</v>
      </c>
      <c r="BR1212" s="1">
        <v>0.8195</v>
      </c>
      <c r="BS1212" s="1">
        <v>0.438</v>
      </c>
      <c r="BT1212" s="1">
        <v>0.641</v>
      </c>
      <c r="BU1212" s="1">
        <v>0.596</v>
      </c>
      <c r="BV1212" s="1">
        <v>1.675</v>
      </c>
      <c r="BW1212" s="1">
        <v>0.623</v>
      </c>
      <c r="BX1212" s="1">
        <v>0.137</v>
      </c>
      <c r="BY1212" s="1">
        <v>0.392</v>
      </c>
      <c r="BZ1212" s="1">
        <v>0.529</v>
      </c>
      <c r="CA1212" s="1">
        <v>0.226</v>
      </c>
      <c r="CB1212" s="1">
        <v>0.396</v>
      </c>
      <c r="CC1212" s="1">
        <v>0.856</v>
      </c>
      <c r="CD1212" s="1">
        <v>0.669</v>
      </c>
      <c r="CE1212" s="1">
        <v>0.822</v>
      </c>
      <c r="CF1212" s="1">
        <v>0.512</v>
      </c>
      <c r="CG1212" s="1">
        <v>3.255</v>
      </c>
      <c r="CH1212" s="1">
        <v>0.859</v>
      </c>
      <c r="CI1212" s="1">
        <v>8.5502</v>
      </c>
      <c r="CJ1212" s="1">
        <v>0.7928</v>
      </c>
      <c r="CK1212" s="1">
        <v>0.0</v>
      </c>
      <c r="CL1212" s="1">
        <v>0.0</v>
      </c>
      <c r="CM1212" s="1">
        <v>0.0</v>
      </c>
      <c r="CN1212" s="1">
        <v>0.0</v>
      </c>
      <c r="CO1212" s="1">
        <v>0.0</v>
      </c>
      <c r="CP1212" s="1">
        <v>0.0</v>
      </c>
      <c r="CQ1212" s="1">
        <v>0.0</v>
      </c>
      <c r="CR1212" s="1">
        <v>0.0</v>
      </c>
      <c r="CS1212" s="1">
        <v>0.0</v>
      </c>
      <c r="CT1212" s="1">
        <v>0.0</v>
      </c>
      <c r="CU1212" s="1">
        <v>0.0</v>
      </c>
      <c r="CV1212" s="1">
        <v>0.0</v>
      </c>
      <c r="CW1212" s="1">
        <v>0.0</v>
      </c>
      <c r="CX1212" s="1">
        <v>0.0</v>
      </c>
      <c r="CY1212" s="1">
        <v>0.0</v>
      </c>
      <c r="CZ1212" s="1">
        <v>0.0</v>
      </c>
      <c r="DA1212" s="1">
        <v>0.0</v>
      </c>
      <c r="DB1212" s="1">
        <v>0.0</v>
      </c>
      <c r="DC1212" s="1">
        <v>0.0</v>
      </c>
      <c r="DD1212" s="1" t="s">
        <v>5320</v>
      </c>
      <c r="DE1212" s="1">
        <v>0.00306087993687761</v>
      </c>
      <c r="DF1212" s="2" t="s">
        <v>5321</v>
      </c>
    </row>
    <row r="1213" ht="15.75" customHeight="1">
      <c r="A1213" s="1" t="s">
        <v>5322</v>
      </c>
      <c r="B1213" s="1">
        <v>29.0</v>
      </c>
      <c r="C1213" s="1">
        <v>201.0</v>
      </c>
      <c r="D1213" s="1">
        <v>780200.0</v>
      </c>
      <c r="E1213" s="1">
        <v>39.464</v>
      </c>
      <c r="F1213" s="1">
        <v>29201.0</v>
      </c>
      <c r="G1213" s="1">
        <v>2.92017802E10</v>
      </c>
      <c r="H1213" s="1" t="s">
        <v>112</v>
      </c>
      <c r="I1213" s="1" t="s">
        <v>113</v>
      </c>
      <c r="J1213" s="1" t="s">
        <v>5310</v>
      </c>
      <c r="K1213" s="1" t="s">
        <v>5323</v>
      </c>
      <c r="L1213" s="1">
        <v>4164.0</v>
      </c>
      <c r="M1213" s="1">
        <v>4228.0</v>
      </c>
      <c r="N1213" s="1">
        <v>351.0</v>
      </c>
      <c r="O1213" s="1">
        <v>1816.0</v>
      </c>
      <c r="P1213" s="1">
        <v>1920.0</v>
      </c>
      <c r="Q1213" s="1">
        <v>175.0</v>
      </c>
      <c r="R1213" s="1">
        <v>1654.0</v>
      </c>
      <c r="S1213" s="1">
        <v>698.0</v>
      </c>
      <c r="T1213" s="1">
        <v>304.0</v>
      </c>
      <c r="U1213" s="1">
        <v>221.0</v>
      </c>
      <c r="V1213" s="1">
        <v>409.0</v>
      </c>
      <c r="W1213" s="1">
        <v>21189.0</v>
      </c>
      <c r="X1213" s="1">
        <v>3746.0</v>
      </c>
      <c r="Y1213" s="1">
        <v>530.0</v>
      </c>
      <c r="Z1213" s="1">
        <v>265.0</v>
      </c>
      <c r="AA1213" s="1">
        <v>650.0</v>
      </c>
      <c r="AB1213" s="1">
        <v>1072.0</v>
      </c>
      <c r="AC1213" s="1">
        <v>182.0</v>
      </c>
      <c r="AD1213" s="1">
        <v>116.0</v>
      </c>
      <c r="AE1213" s="1">
        <v>0.0</v>
      </c>
      <c r="AF1213" s="1">
        <v>456.0</v>
      </c>
      <c r="AG1213" s="1">
        <v>76.0</v>
      </c>
      <c r="AH1213" s="1">
        <v>168.0</v>
      </c>
      <c r="AI1213" s="1">
        <v>95.0</v>
      </c>
      <c r="AJ1213" s="1">
        <v>45.0</v>
      </c>
      <c r="AK1213" s="1">
        <v>6.0</v>
      </c>
      <c r="AL1213" s="1">
        <v>115.0</v>
      </c>
      <c r="AM1213" s="1">
        <v>126.0</v>
      </c>
      <c r="AN1213" s="1">
        <v>67.0</v>
      </c>
      <c r="AO1213" s="1">
        <v>56.0</v>
      </c>
      <c r="AP1213" s="1">
        <v>0.165089</v>
      </c>
      <c r="AQ1213" s="1">
        <v>0.070583</v>
      </c>
      <c r="AR1213" s="1">
        <v>0.106403</v>
      </c>
      <c r="AS1213" s="1">
        <v>0.196491</v>
      </c>
      <c r="AT1213" s="1">
        <v>21189.0</v>
      </c>
      <c r="AU1213" s="1">
        <v>3746.0</v>
      </c>
      <c r="AV1213" s="1">
        <v>0.197319</v>
      </c>
      <c r="AW1213" s="1">
        <v>0.097017</v>
      </c>
      <c r="AX1213" s="1">
        <v>0.156099</v>
      </c>
      <c r="AY1213" s="1">
        <v>0.257444</v>
      </c>
      <c r="AZ1213" s="1">
        <v>0.11003627</v>
      </c>
      <c r="BA1213" s="1">
        <v>0.027857</v>
      </c>
      <c r="BB1213" s="1">
        <v>0.0</v>
      </c>
      <c r="BC1213" s="1">
        <v>0.117253</v>
      </c>
      <c r="BD1213" s="1">
        <v>0.039583</v>
      </c>
      <c r="BE1213" s="1">
        <v>0.087425</v>
      </c>
      <c r="BF1213" s="1">
        <v>0.049479</v>
      </c>
      <c r="BG1213" s="1">
        <v>0.022999</v>
      </c>
      <c r="BH1213" s="1">
        <v>0.003494</v>
      </c>
      <c r="BI1213" s="1">
        <v>0.066976</v>
      </c>
      <c r="BJ1213" s="1">
        <v>0.073383</v>
      </c>
      <c r="BK1213" s="1">
        <v>0.038298</v>
      </c>
      <c r="BL1213" s="1">
        <v>0.013448</v>
      </c>
      <c r="BM1213" s="1">
        <v>0.625</v>
      </c>
      <c r="BN1213" s="1">
        <v>0.769</v>
      </c>
      <c r="BO1213" s="1">
        <v>0.543</v>
      </c>
      <c r="BP1213" s="1">
        <v>0.743</v>
      </c>
      <c r="BQ1213" s="1">
        <v>2.68</v>
      </c>
      <c r="BR1213" s="1">
        <v>0.7155</v>
      </c>
      <c r="BS1213" s="1">
        <v>0.635</v>
      </c>
      <c r="BT1213" s="1">
        <v>0.678</v>
      </c>
      <c r="BU1213" s="1">
        <v>0.588</v>
      </c>
      <c r="BV1213" s="1">
        <v>1.901</v>
      </c>
      <c r="BW1213" s="1">
        <v>0.802</v>
      </c>
      <c r="BX1213" s="1">
        <v>0.065</v>
      </c>
      <c r="BY1213" s="1">
        <v>0.0</v>
      </c>
      <c r="BZ1213" s="1">
        <v>0.065</v>
      </c>
      <c r="CA1213" s="1">
        <v>0.031</v>
      </c>
      <c r="CB1213" s="1">
        <v>0.609</v>
      </c>
      <c r="CC1213" s="1">
        <v>0.605</v>
      </c>
      <c r="CD1213" s="1">
        <v>0.3</v>
      </c>
      <c r="CE1213" s="1">
        <v>0.641</v>
      </c>
      <c r="CF1213" s="1">
        <v>0.628</v>
      </c>
      <c r="CG1213" s="1">
        <v>2.783</v>
      </c>
      <c r="CH1213" s="1">
        <v>0.683</v>
      </c>
      <c r="CI1213" s="1">
        <v>7.429</v>
      </c>
      <c r="CJ1213" s="1">
        <v>0.6289</v>
      </c>
      <c r="CK1213" s="1">
        <v>0.0</v>
      </c>
      <c r="CL1213" s="1">
        <v>0.0</v>
      </c>
      <c r="CM1213" s="1">
        <v>0.0</v>
      </c>
      <c r="CN1213" s="1">
        <v>0.0</v>
      </c>
      <c r="CO1213" s="1">
        <v>0.0</v>
      </c>
      <c r="CP1213" s="1">
        <v>0.0</v>
      </c>
      <c r="CQ1213" s="1">
        <v>0.0</v>
      </c>
      <c r="CR1213" s="1">
        <v>0.0</v>
      </c>
      <c r="CS1213" s="1">
        <v>0.0</v>
      </c>
      <c r="CT1213" s="1">
        <v>0.0</v>
      </c>
      <c r="CU1213" s="1">
        <v>0.0</v>
      </c>
      <c r="CV1213" s="1">
        <v>0.0</v>
      </c>
      <c r="CW1213" s="1">
        <v>0.0</v>
      </c>
      <c r="CX1213" s="1">
        <v>0.0</v>
      </c>
      <c r="CY1213" s="1">
        <v>0.0</v>
      </c>
      <c r="CZ1213" s="1">
        <v>0.0</v>
      </c>
      <c r="DA1213" s="1">
        <v>0.0</v>
      </c>
      <c r="DB1213" s="1">
        <v>0.0</v>
      </c>
      <c r="DC1213" s="1">
        <v>0.0</v>
      </c>
      <c r="DD1213" s="1" t="s">
        <v>5324</v>
      </c>
      <c r="DE1213" s="2" t="s">
        <v>5325</v>
      </c>
      <c r="DF1213" s="2" t="s">
        <v>5326</v>
      </c>
    </row>
    <row r="1214" ht="15.75" customHeight="1">
      <c r="A1214" s="1" t="s">
        <v>5327</v>
      </c>
      <c r="B1214" s="1">
        <v>29.0</v>
      </c>
      <c r="C1214" s="1">
        <v>201.0</v>
      </c>
      <c r="D1214" s="1">
        <v>780700.0</v>
      </c>
      <c r="E1214" s="1">
        <v>3.448</v>
      </c>
      <c r="F1214" s="1">
        <v>29201.0</v>
      </c>
      <c r="G1214" s="1">
        <v>2.92017807E10</v>
      </c>
      <c r="H1214" s="1" t="s">
        <v>112</v>
      </c>
      <c r="I1214" s="1" t="s">
        <v>113</v>
      </c>
      <c r="J1214" s="1" t="s">
        <v>5310</v>
      </c>
      <c r="K1214" s="1" t="s">
        <v>5328</v>
      </c>
      <c r="L1214" s="1">
        <v>3114.0</v>
      </c>
      <c r="M1214" s="1">
        <v>2869.0</v>
      </c>
      <c r="N1214" s="1">
        <v>316.0</v>
      </c>
      <c r="O1214" s="1">
        <v>1304.0</v>
      </c>
      <c r="P1214" s="1">
        <v>1189.0</v>
      </c>
      <c r="Q1214" s="1">
        <v>109.0</v>
      </c>
      <c r="R1214" s="1">
        <v>1224.0</v>
      </c>
      <c r="S1214" s="1">
        <v>686.0</v>
      </c>
      <c r="T1214" s="1">
        <v>281.0</v>
      </c>
      <c r="U1214" s="1">
        <v>173.0</v>
      </c>
      <c r="V1214" s="1">
        <v>407.0</v>
      </c>
      <c r="W1214" s="1">
        <v>17091.0</v>
      </c>
      <c r="X1214" s="1">
        <v>3285.0</v>
      </c>
      <c r="Y1214" s="1">
        <v>688.0</v>
      </c>
      <c r="Z1214" s="1">
        <v>236.0</v>
      </c>
      <c r="AA1214" s="1">
        <v>508.0</v>
      </c>
      <c r="AB1214" s="1">
        <v>854.0</v>
      </c>
      <c r="AC1214" s="1">
        <v>276.0</v>
      </c>
      <c r="AD1214" s="1">
        <v>1831.0</v>
      </c>
      <c r="AE1214" s="1">
        <v>0.0</v>
      </c>
      <c r="AF1214" s="1">
        <v>456.0</v>
      </c>
      <c r="AG1214" s="1">
        <v>36.0</v>
      </c>
      <c r="AH1214" s="1">
        <v>121.0</v>
      </c>
      <c r="AI1214" s="1">
        <v>32.0</v>
      </c>
      <c r="AJ1214" s="1">
        <v>39.0</v>
      </c>
      <c r="AK1214" s="1">
        <v>0.0</v>
      </c>
      <c r="AL1214" s="1">
        <v>161.0</v>
      </c>
      <c r="AM1214" s="1">
        <v>208.0</v>
      </c>
      <c r="AN1214" s="1">
        <v>93.0</v>
      </c>
      <c r="AO1214" s="1">
        <v>93.0</v>
      </c>
      <c r="AP1214" s="1">
        <v>0.246054</v>
      </c>
      <c r="AQ1214" s="1">
        <v>0.09808</v>
      </c>
      <c r="AR1214" s="1">
        <v>0.142036</v>
      </c>
      <c r="AS1214" s="1">
        <v>0.332775</v>
      </c>
      <c r="AT1214" s="1">
        <v>17091.0</v>
      </c>
      <c r="AU1214" s="1">
        <v>3285.0</v>
      </c>
      <c r="AV1214" s="1">
        <v>0.355188</v>
      </c>
      <c r="AW1214" s="1">
        <v>0.114705</v>
      </c>
      <c r="AX1214" s="1">
        <v>0.163134</v>
      </c>
      <c r="AY1214" s="1">
        <v>0.274245</v>
      </c>
      <c r="AZ1214" s="1">
        <v>0.22549019</v>
      </c>
      <c r="BA1214" s="1">
        <v>0.587989</v>
      </c>
      <c r="BB1214" s="1">
        <v>0.0</v>
      </c>
      <c r="BC1214" s="1">
        <v>0.170531</v>
      </c>
      <c r="BD1214" s="1">
        <v>0.030277</v>
      </c>
      <c r="BE1214" s="1">
        <v>0.101728</v>
      </c>
      <c r="BF1214" s="1">
        <v>0.026913</v>
      </c>
      <c r="BG1214" s="1">
        <v>0.032707</v>
      </c>
      <c r="BH1214" s="1">
        <v>0.0</v>
      </c>
      <c r="BI1214" s="1">
        <v>0.148798</v>
      </c>
      <c r="BJ1214" s="1">
        <v>0.192236</v>
      </c>
      <c r="BK1214" s="1">
        <v>0.083942</v>
      </c>
      <c r="BL1214" s="1">
        <v>0.029865</v>
      </c>
      <c r="BM1214" s="1">
        <v>0.818</v>
      </c>
      <c r="BN1214" s="1">
        <v>0.88</v>
      </c>
      <c r="BO1214" s="1">
        <v>0.7812</v>
      </c>
      <c r="BP1214" s="1">
        <v>0.98</v>
      </c>
      <c r="BQ1214" s="1">
        <v>3.4592</v>
      </c>
      <c r="BR1214" s="1">
        <v>0.9126</v>
      </c>
      <c r="BS1214" s="1">
        <v>0.689</v>
      </c>
      <c r="BT1214" s="1">
        <v>0.814</v>
      </c>
      <c r="BU1214" s="1">
        <v>0.923</v>
      </c>
      <c r="BV1214" s="1">
        <v>2.426</v>
      </c>
      <c r="BW1214" s="1">
        <v>0.993</v>
      </c>
      <c r="BX1214" s="1">
        <v>0.88</v>
      </c>
      <c r="BY1214" s="1">
        <v>0.0</v>
      </c>
      <c r="BZ1214" s="1">
        <v>0.88</v>
      </c>
      <c r="CA1214" s="1">
        <v>0.451</v>
      </c>
      <c r="CB1214" s="1">
        <v>0.55</v>
      </c>
      <c r="CC1214" s="1">
        <v>0.538</v>
      </c>
      <c r="CD1214" s="1">
        <v>0.0</v>
      </c>
      <c r="CE1214" s="1">
        <v>0.901</v>
      </c>
      <c r="CF1214" s="1">
        <v>0.807</v>
      </c>
      <c r="CG1214" s="1">
        <v>2.796</v>
      </c>
      <c r="CH1214" s="1">
        <v>0.685</v>
      </c>
      <c r="CI1214" s="1">
        <v>9.5612</v>
      </c>
      <c r="CJ1214" s="1">
        <v>0.9119</v>
      </c>
      <c r="CK1214" s="1">
        <v>0.0</v>
      </c>
      <c r="CL1214" s="1">
        <v>0.0</v>
      </c>
      <c r="CM1214" s="1">
        <v>0.0</v>
      </c>
      <c r="CN1214" s="1">
        <v>1.0</v>
      </c>
      <c r="CO1214" s="1">
        <v>1.0</v>
      </c>
      <c r="CP1214" s="1">
        <v>0.0</v>
      </c>
      <c r="CQ1214" s="1">
        <v>0.0</v>
      </c>
      <c r="CR1214" s="1">
        <v>1.0</v>
      </c>
      <c r="CS1214" s="1">
        <v>1.0</v>
      </c>
      <c r="CT1214" s="1">
        <v>0.0</v>
      </c>
      <c r="CU1214" s="1">
        <v>0.0</v>
      </c>
      <c r="CV1214" s="1">
        <v>0.0</v>
      </c>
      <c r="CW1214" s="1">
        <v>0.0</v>
      </c>
      <c r="CX1214" s="1">
        <v>0.0</v>
      </c>
      <c r="CY1214" s="1">
        <v>0.0</v>
      </c>
      <c r="CZ1214" s="1">
        <v>1.0</v>
      </c>
      <c r="DA1214" s="1">
        <v>0.0</v>
      </c>
      <c r="DB1214" s="1">
        <v>1.0</v>
      </c>
      <c r="DC1214" s="1">
        <v>3.0</v>
      </c>
      <c r="DD1214" s="1" t="s">
        <v>5329</v>
      </c>
      <c r="DE1214" s="1">
        <v>9.41075124076698E-4</v>
      </c>
      <c r="DF1214" s="2" t="s">
        <v>5330</v>
      </c>
    </row>
    <row r="1215" ht="15.75" customHeight="1">
      <c r="A1215" s="1" t="s">
        <v>5331</v>
      </c>
      <c r="B1215" s="1">
        <v>29.0</v>
      </c>
      <c r="C1215" s="1">
        <v>201.0</v>
      </c>
      <c r="D1215" s="1">
        <v>781200.0</v>
      </c>
      <c r="E1215" s="1">
        <v>5.699</v>
      </c>
      <c r="F1215" s="1">
        <v>29201.0</v>
      </c>
      <c r="G1215" s="1">
        <v>2.92017812E10</v>
      </c>
      <c r="H1215" s="1" t="s">
        <v>112</v>
      </c>
      <c r="I1215" s="1" t="s">
        <v>113</v>
      </c>
      <c r="J1215" s="1" t="s">
        <v>5310</v>
      </c>
      <c r="K1215" s="1" t="s">
        <v>5332</v>
      </c>
      <c r="L1215" s="1">
        <v>5844.0</v>
      </c>
      <c r="M1215" s="1">
        <v>6579.0</v>
      </c>
      <c r="N1215" s="1">
        <v>520.0</v>
      </c>
      <c r="O1215" s="1">
        <v>2681.0</v>
      </c>
      <c r="P1215" s="1">
        <v>2840.0</v>
      </c>
      <c r="Q1215" s="1">
        <v>189.0</v>
      </c>
      <c r="R1215" s="1">
        <v>2398.0</v>
      </c>
      <c r="S1215" s="1">
        <v>1941.0</v>
      </c>
      <c r="T1215" s="1">
        <v>658.0</v>
      </c>
      <c r="U1215" s="1">
        <v>379.0</v>
      </c>
      <c r="V1215" s="1">
        <v>334.0</v>
      </c>
      <c r="W1215" s="1">
        <v>16359.0</v>
      </c>
      <c r="X1215" s="1">
        <v>2327.0</v>
      </c>
      <c r="Y1215" s="1">
        <v>1428.0</v>
      </c>
      <c r="Z1215" s="1">
        <v>377.0</v>
      </c>
      <c r="AA1215" s="1">
        <v>908.0</v>
      </c>
      <c r="AB1215" s="1">
        <v>1542.0</v>
      </c>
      <c r="AC1215" s="1">
        <v>439.0</v>
      </c>
      <c r="AD1215" s="1">
        <v>1996.0</v>
      </c>
      <c r="AE1215" s="1">
        <v>15.0</v>
      </c>
      <c r="AF1215" s="1">
        <v>442.0</v>
      </c>
      <c r="AG1215" s="1">
        <v>260.0</v>
      </c>
      <c r="AH1215" s="1">
        <v>140.0</v>
      </c>
      <c r="AI1215" s="1">
        <v>109.0</v>
      </c>
      <c r="AJ1215" s="1">
        <v>95.0</v>
      </c>
      <c r="AK1215" s="1">
        <v>83.0</v>
      </c>
      <c r="AL1215" s="1">
        <v>127.0</v>
      </c>
      <c r="AM1215" s="1">
        <v>440.0</v>
      </c>
      <c r="AN1215" s="1">
        <v>147.0</v>
      </c>
      <c r="AO1215" s="1">
        <v>109.0</v>
      </c>
      <c r="AP1215" s="1">
        <v>0.29779</v>
      </c>
      <c r="AQ1215" s="1">
        <v>0.097702</v>
      </c>
      <c r="AR1215" s="1">
        <v>0.131187</v>
      </c>
      <c r="AS1215" s="1">
        <v>0.114356</v>
      </c>
      <c r="AT1215" s="1">
        <v>16359.0</v>
      </c>
      <c r="AU1215" s="1">
        <v>2327.0</v>
      </c>
      <c r="AV1215" s="1">
        <v>0.32425</v>
      </c>
      <c r="AW1215" s="1">
        <v>0.079177</v>
      </c>
      <c r="AX1215" s="1">
        <v>0.155373</v>
      </c>
      <c r="AY1215" s="1">
        <v>0.26386</v>
      </c>
      <c r="AZ1215" s="1">
        <v>0.18306922</v>
      </c>
      <c r="BA1215" s="1">
        <v>0.341546</v>
      </c>
      <c r="BB1215" s="1">
        <v>0.002458</v>
      </c>
      <c r="BC1215" s="1">
        <v>0.072434</v>
      </c>
      <c r="BD1215" s="1">
        <v>0.091549</v>
      </c>
      <c r="BE1215" s="1">
        <v>0.048917</v>
      </c>
      <c r="BF1215" s="1">
        <v>0.03838</v>
      </c>
      <c r="BG1215" s="1">
        <v>0.033353</v>
      </c>
      <c r="BH1215" s="1">
        <v>0.033001</v>
      </c>
      <c r="BI1215" s="1">
        <v>0.050405</v>
      </c>
      <c r="BJ1215" s="1">
        <v>0.17495</v>
      </c>
      <c r="BK1215" s="1">
        <v>0.056177</v>
      </c>
      <c r="BL1215" s="1">
        <v>0.018651</v>
      </c>
      <c r="BM1215" s="1">
        <v>0.886</v>
      </c>
      <c r="BN1215" s="1">
        <v>0.86</v>
      </c>
      <c r="BO1215" s="1">
        <v>0.8181</v>
      </c>
      <c r="BP1215" s="1">
        <v>0.962</v>
      </c>
      <c r="BQ1215" s="1">
        <v>3.5261</v>
      </c>
      <c r="BR1215" s="1">
        <v>0.9264</v>
      </c>
      <c r="BS1215" s="1">
        <v>0.623</v>
      </c>
      <c r="BT1215" s="1">
        <v>0.738</v>
      </c>
      <c r="BU1215" s="1">
        <v>0.871</v>
      </c>
      <c r="BV1215" s="1">
        <v>2.232</v>
      </c>
      <c r="BW1215" s="1">
        <v>0.969</v>
      </c>
      <c r="BX1215" s="1">
        <v>0.813</v>
      </c>
      <c r="BY1215" s="1">
        <v>0.41</v>
      </c>
      <c r="BZ1215" s="1">
        <v>1.223</v>
      </c>
      <c r="CA1215" s="1">
        <v>0.671</v>
      </c>
      <c r="CB1215" s="1">
        <v>0.751</v>
      </c>
      <c r="CC1215" s="1">
        <v>0.572</v>
      </c>
      <c r="CD1215" s="1">
        <v>0.842</v>
      </c>
      <c r="CE1215" s="1">
        <v>0.883</v>
      </c>
      <c r="CF1215" s="1">
        <v>0.692</v>
      </c>
      <c r="CG1215" s="1">
        <v>3.74</v>
      </c>
      <c r="CH1215" s="1">
        <v>0.981</v>
      </c>
      <c r="CI1215" s="1">
        <v>10.7211</v>
      </c>
      <c r="CJ1215" s="1">
        <v>0.9827</v>
      </c>
      <c r="CK1215" s="1">
        <v>0.0</v>
      </c>
      <c r="CL1215" s="1">
        <v>0.0</v>
      </c>
      <c r="CM1215" s="1">
        <v>0.0</v>
      </c>
      <c r="CN1215" s="1">
        <v>1.0</v>
      </c>
      <c r="CO1215" s="1">
        <v>1.0</v>
      </c>
      <c r="CP1215" s="1">
        <v>0.0</v>
      </c>
      <c r="CQ1215" s="1">
        <v>0.0</v>
      </c>
      <c r="CR1215" s="1">
        <v>0.0</v>
      </c>
      <c r="CS1215" s="1">
        <v>0.0</v>
      </c>
      <c r="CT1215" s="1">
        <v>0.0</v>
      </c>
      <c r="CU1215" s="1">
        <v>0.0</v>
      </c>
      <c r="CV1215" s="1">
        <v>0.0</v>
      </c>
      <c r="CW1215" s="1">
        <v>0.0</v>
      </c>
      <c r="CX1215" s="1">
        <v>0.0</v>
      </c>
      <c r="CY1215" s="1">
        <v>0.0</v>
      </c>
      <c r="CZ1215" s="1">
        <v>0.0</v>
      </c>
      <c r="DA1215" s="1">
        <v>0.0</v>
      </c>
      <c r="DB1215" s="1">
        <v>0.0</v>
      </c>
      <c r="DC1215" s="1">
        <v>1.0</v>
      </c>
      <c r="DD1215" s="1" t="s">
        <v>5333</v>
      </c>
      <c r="DE1215" s="1">
        <v>0.00149075493250233</v>
      </c>
      <c r="DF1215" s="2" t="s">
        <v>5334</v>
      </c>
    </row>
    <row r="1216" ht="15.75" customHeight="1">
      <c r="A1216" s="1" t="s">
        <v>5335</v>
      </c>
      <c r="B1216" s="1">
        <v>29.0</v>
      </c>
      <c r="C1216" s="1">
        <v>201.0</v>
      </c>
      <c r="D1216" s="1">
        <v>780400.0</v>
      </c>
      <c r="E1216" s="1">
        <v>174.794</v>
      </c>
      <c r="F1216" s="1">
        <v>29201.0</v>
      </c>
      <c r="G1216" s="1">
        <v>2.92017804E10</v>
      </c>
      <c r="H1216" s="1" t="s">
        <v>112</v>
      </c>
      <c r="I1216" s="1" t="s">
        <v>113</v>
      </c>
      <c r="J1216" s="1" t="s">
        <v>5310</v>
      </c>
      <c r="K1216" s="1" t="s">
        <v>5336</v>
      </c>
      <c r="L1216" s="1">
        <v>5335.0</v>
      </c>
      <c r="M1216" s="1">
        <v>5416.0</v>
      </c>
      <c r="N1216" s="1">
        <v>415.0</v>
      </c>
      <c r="O1216" s="1">
        <v>2158.0</v>
      </c>
      <c r="P1216" s="1">
        <v>2259.0</v>
      </c>
      <c r="Q1216" s="1">
        <v>138.0</v>
      </c>
      <c r="R1216" s="1">
        <v>1990.0</v>
      </c>
      <c r="S1216" s="1">
        <v>817.0</v>
      </c>
      <c r="T1216" s="1">
        <v>318.0</v>
      </c>
      <c r="U1216" s="1">
        <v>124.0</v>
      </c>
      <c r="V1216" s="1">
        <v>403.0</v>
      </c>
      <c r="W1216" s="1">
        <v>20247.0</v>
      </c>
      <c r="X1216" s="1">
        <v>2238.0</v>
      </c>
      <c r="Y1216" s="1">
        <v>857.0</v>
      </c>
      <c r="Z1216" s="1">
        <v>190.0</v>
      </c>
      <c r="AA1216" s="1">
        <v>681.0</v>
      </c>
      <c r="AB1216" s="1">
        <v>1341.0</v>
      </c>
      <c r="AC1216" s="1">
        <v>229.0</v>
      </c>
      <c r="AD1216" s="1">
        <v>478.0</v>
      </c>
      <c r="AE1216" s="1">
        <v>18.0</v>
      </c>
      <c r="AF1216" s="1">
        <v>427.0</v>
      </c>
      <c r="AG1216" s="1">
        <v>0.0</v>
      </c>
      <c r="AH1216" s="1">
        <v>197.0</v>
      </c>
      <c r="AI1216" s="1">
        <v>636.0</v>
      </c>
      <c r="AJ1216" s="1">
        <v>134.0</v>
      </c>
      <c r="AK1216" s="1">
        <v>34.0</v>
      </c>
      <c r="AL1216" s="1">
        <v>117.0</v>
      </c>
      <c r="AM1216" s="1">
        <v>91.0</v>
      </c>
      <c r="AN1216" s="1">
        <v>69.0</v>
      </c>
      <c r="AO1216" s="1">
        <v>28.0</v>
      </c>
      <c r="AP1216" s="1">
        <v>0.152254</v>
      </c>
      <c r="AQ1216" s="1">
        <v>0.058114</v>
      </c>
      <c r="AR1216" s="1">
        <v>0.047931</v>
      </c>
      <c r="AS1216" s="1">
        <v>0.155688</v>
      </c>
      <c r="AT1216" s="1">
        <v>20247.0</v>
      </c>
      <c r="AU1216" s="1">
        <v>2238.0</v>
      </c>
      <c r="AV1216" s="1">
        <v>0.245418</v>
      </c>
      <c r="AW1216" s="1">
        <v>0.050835</v>
      </c>
      <c r="AX1216" s="1">
        <v>0.127647</v>
      </c>
      <c r="AY1216" s="1">
        <v>0.251358</v>
      </c>
      <c r="AZ1216" s="1">
        <v>0.11507537</v>
      </c>
      <c r="BA1216" s="1">
        <v>0.089597</v>
      </c>
      <c r="BB1216" s="1">
        <v>0.003478</v>
      </c>
      <c r="BC1216" s="1">
        <v>0.082527</v>
      </c>
      <c r="BD1216" s="1">
        <v>0.0</v>
      </c>
      <c r="BE1216" s="1">
        <v>0.087206</v>
      </c>
      <c r="BF1216" s="1">
        <v>0.28154</v>
      </c>
      <c r="BG1216" s="1">
        <v>0.05677</v>
      </c>
      <c r="BH1216" s="1">
        <v>0.016856</v>
      </c>
      <c r="BI1216" s="1">
        <v>0.057994</v>
      </c>
      <c r="BJ1216" s="1">
        <v>0.045116</v>
      </c>
      <c r="BK1216" s="1">
        <v>0.034061</v>
      </c>
      <c r="BL1216" s="1">
        <v>0.005248</v>
      </c>
      <c r="BM1216" s="1">
        <v>0.584</v>
      </c>
      <c r="BN1216" s="1">
        <v>0.273</v>
      </c>
      <c r="BO1216" s="1">
        <v>0.5957</v>
      </c>
      <c r="BP1216" s="1">
        <v>0.86</v>
      </c>
      <c r="BQ1216" s="1">
        <v>2.3127</v>
      </c>
      <c r="BR1216" s="1">
        <v>0.6072</v>
      </c>
      <c r="BS1216" s="1">
        <v>0.399</v>
      </c>
      <c r="BT1216" s="1">
        <v>0.615</v>
      </c>
      <c r="BU1216" s="1">
        <v>0.63</v>
      </c>
      <c r="BV1216" s="1">
        <v>1.644</v>
      </c>
      <c r="BW1216" s="1">
        <v>0.6</v>
      </c>
      <c r="BX1216" s="1">
        <v>0.428</v>
      </c>
      <c r="BY1216" s="1">
        <v>0.479</v>
      </c>
      <c r="BZ1216" s="1">
        <v>0.907</v>
      </c>
      <c r="CA1216" s="1">
        <v>0.471</v>
      </c>
      <c r="CB1216" s="1">
        <v>0.0</v>
      </c>
      <c r="CC1216" s="1">
        <v>0.976</v>
      </c>
      <c r="CD1216" s="1">
        <v>0.627</v>
      </c>
      <c r="CE1216" s="1">
        <v>0.446</v>
      </c>
      <c r="CF1216" s="1">
        <v>0.515</v>
      </c>
      <c r="CG1216" s="1">
        <v>2.564</v>
      </c>
      <c r="CH1216" s="1">
        <v>0.589</v>
      </c>
      <c r="CI1216" s="1">
        <v>7.4277</v>
      </c>
      <c r="CJ1216" s="1">
        <v>0.6282</v>
      </c>
      <c r="CK1216" s="1">
        <v>0.0</v>
      </c>
      <c r="CL1216" s="1">
        <v>0.0</v>
      </c>
      <c r="CM1216" s="1">
        <v>0.0</v>
      </c>
      <c r="CN1216" s="1">
        <v>0.0</v>
      </c>
      <c r="CO1216" s="1">
        <v>0.0</v>
      </c>
      <c r="CP1216" s="1">
        <v>0.0</v>
      </c>
      <c r="CQ1216" s="1">
        <v>0.0</v>
      </c>
      <c r="CR1216" s="1">
        <v>0.0</v>
      </c>
      <c r="CS1216" s="1">
        <v>0.0</v>
      </c>
      <c r="CT1216" s="1">
        <v>0.0</v>
      </c>
      <c r="CU1216" s="1">
        <v>0.0</v>
      </c>
      <c r="CV1216" s="1">
        <v>0.0</v>
      </c>
      <c r="CW1216" s="1">
        <v>0.0</v>
      </c>
      <c r="CX1216" s="1">
        <v>1.0</v>
      </c>
      <c r="CY1216" s="1">
        <v>0.0</v>
      </c>
      <c r="CZ1216" s="1">
        <v>0.0</v>
      </c>
      <c r="DA1216" s="1">
        <v>0.0</v>
      </c>
      <c r="DB1216" s="1">
        <v>1.0</v>
      </c>
      <c r="DC1216" s="1">
        <v>1.0</v>
      </c>
      <c r="DD1216" s="1" t="s">
        <v>5337</v>
      </c>
      <c r="DE1216" s="1">
        <v>0.046189344255623</v>
      </c>
      <c r="DF1216" s="2" t="s">
        <v>5338</v>
      </c>
    </row>
    <row r="1217" ht="15.75" customHeight="1">
      <c r="A1217" s="1" t="s">
        <v>5339</v>
      </c>
      <c r="B1217" s="1">
        <v>29.0</v>
      </c>
      <c r="C1217" s="1">
        <v>201.0</v>
      </c>
      <c r="D1217" s="1">
        <v>781000.0</v>
      </c>
      <c r="E1217" s="1">
        <v>86.996</v>
      </c>
      <c r="F1217" s="1">
        <v>29201.0</v>
      </c>
      <c r="G1217" s="1">
        <v>2.9201781E10</v>
      </c>
      <c r="H1217" s="1" t="s">
        <v>112</v>
      </c>
      <c r="I1217" s="1" t="s">
        <v>113</v>
      </c>
      <c r="J1217" s="1" t="s">
        <v>5310</v>
      </c>
      <c r="K1217" s="1" t="s">
        <v>5340</v>
      </c>
      <c r="L1217" s="1">
        <v>3935.0</v>
      </c>
      <c r="M1217" s="1">
        <v>3834.0</v>
      </c>
      <c r="N1217" s="1">
        <v>321.0</v>
      </c>
      <c r="O1217" s="1">
        <v>1621.0</v>
      </c>
      <c r="P1217" s="1">
        <v>1594.0</v>
      </c>
      <c r="Q1217" s="1">
        <v>98.0</v>
      </c>
      <c r="R1217" s="1">
        <v>1481.0</v>
      </c>
      <c r="S1217" s="1">
        <v>346.0</v>
      </c>
      <c r="T1217" s="1">
        <v>185.0</v>
      </c>
      <c r="U1217" s="1">
        <v>42.0</v>
      </c>
      <c r="V1217" s="1">
        <v>428.0</v>
      </c>
      <c r="W1217" s="1">
        <v>21846.0</v>
      </c>
      <c r="X1217" s="1">
        <v>2504.0</v>
      </c>
      <c r="Y1217" s="1">
        <v>340.0</v>
      </c>
      <c r="Z1217" s="1">
        <v>155.0</v>
      </c>
      <c r="AA1217" s="1">
        <v>506.0</v>
      </c>
      <c r="AB1217" s="1">
        <v>993.0</v>
      </c>
      <c r="AC1217" s="1">
        <v>156.0</v>
      </c>
      <c r="AD1217" s="1">
        <v>180.0</v>
      </c>
      <c r="AE1217" s="1">
        <v>16.0</v>
      </c>
      <c r="AF1217" s="1">
        <v>442.0</v>
      </c>
      <c r="AG1217" s="1">
        <v>7.0</v>
      </c>
      <c r="AH1217" s="1">
        <v>161.0</v>
      </c>
      <c r="AI1217" s="1">
        <v>563.0</v>
      </c>
      <c r="AJ1217" s="1">
        <v>117.0</v>
      </c>
      <c r="AK1217" s="1">
        <v>75.0</v>
      </c>
      <c r="AL1217" s="1">
        <v>125.0</v>
      </c>
      <c r="AM1217" s="1">
        <v>46.0</v>
      </c>
      <c r="AN1217" s="1">
        <v>25.0</v>
      </c>
      <c r="AO1217" s="1">
        <v>100.0</v>
      </c>
      <c r="AP1217" s="1">
        <v>0.090742</v>
      </c>
      <c r="AQ1217" s="1">
        <v>0.047905</v>
      </c>
      <c r="AR1217" s="1">
        <v>0.021233</v>
      </c>
      <c r="AS1217" s="1">
        <v>0.216362</v>
      </c>
      <c r="AT1217" s="1">
        <v>21846.0</v>
      </c>
      <c r="AU1217" s="1">
        <v>2504.0</v>
      </c>
      <c r="AV1217" s="1">
        <v>0.138775</v>
      </c>
      <c r="AW1217" s="1">
        <v>0.062323</v>
      </c>
      <c r="AX1217" s="1">
        <v>0.128589</v>
      </c>
      <c r="AY1217" s="1">
        <v>0.25235</v>
      </c>
      <c r="AZ1217" s="1">
        <v>0.10533423</v>
      </c>
      <c r="BA1217" s="1">
        <v>0.045743</v>
      </c>
      <c r="BB1217" s="1">
        <v>0.004626</v>
      </c>
      <c r="BC1217" s="1">
        <v>0.127819</v>
      </c>
      <c r="BD1217" s="1">
        <v>0.004391</v>
      </c>
      <c r="BE1217" s="1">
        <v>0.101003</v>
      </c>
      <c r="BF1217" s="1">
        <v>0.353199</v>
      </c>
      <c r="BG1217" s="1">
        <v>0.070114</v>
      </c>
      <c r="BH1217" s="1">
        <v>0.051939</v>
      </c>
      <c r="BI1217" s="1">
        <v>0.086491</v>
      </c>
      <c r="BJ1217" s="1">
        <v>0.031855</v>
      </c>
      <c r="BK1217" s="1">
        <v>0.017174</v>
      </c>
      <c r="BL1217" s="1">
        <v>0.025412</v>
      </c>
      <c r="BM1217" s="1">
        <v>0.339</v>
      </c>
      <c r="BN1217" s="1">
        <v>0.035</v>
      </c>
      <c r="BO1217" s="1">
        <v>0.5047</v>
      </c>
      <c r="BP1217" s="1">
        <v>0.518</v>
      </c>
      <c r="BQ1217" s="1">
        <v>1.3967</v>
      </c>
      <c r="BR1217" s="1">
        <v>0.3097</v>
      </c>
      <c r="BS1217" s="1">
        <v>0.405</v>
      </c>
      <c r="BT1217" s="1">
        <v>0.629</v>
      </c>
      <c r="BU1217" s="1">
        <v>0.545</v>
      </c>
      <c r="BV1217" s="1">
        <v>1.579</v>
      </c>
      <c r="BW1217" s="1">
        <v>0.55</v>
      </c>
      <c r="BX1217" s="1">
        <v>0.218</v>
      </c>
      <c r="BY1217" s="1">
        <v>0.543</v>
      </c>
      <c r="BZ1217" s="1">
        <v>0.761</v>
      </c>
      <c r="CA1217" s="1">
        <v>0.371</v>
      </c>
      <c r="CB1217" s="1">
        <v>0.308</v>
      </c>
      <c r="CC1217" s="1">
        <v>0.989</v>
      </c>
      <c r="CD1217" s="1">
        <v>0.943</v>
      </c>
      <c r="CE1217" s="1">
        <v>0.301</v>
      </c>
      <c r="CF1217" s="1">
        <v>0.778</v>
      </c>
      <c r="CG1217" s="1">
        <v>3.319</v>
      </c>
      <c r="CH1217" s="1">
        <v>0.878</v>
      </c>
      <c r="CI1217" s="1">
        <v>7.0557</v>
      </c>
      <c r="CJ1217" s="1">
        <v>0.5588</v>
      </c>
      <c r="CK1217" s="1">
        <v>0.0</v>
      </c>
      <c r="CL1217" s="1">
        <v>0.0</v>
      </c>
      <c r="CM1217" s="1">
        <v>0.0</v>
      </c>
      <c r="CN1217" s="1">
        <v>0.0</v>
      </c>
      <c r="CO1217" s="1">
        <v>0.0</v>
      </c>
      <c r="CP1217" s="1">
        <v>0.0</v>
      </c>
      <c r="CQ1217" s="1">
        <v>0.0</v>
      </c>
      <c r="CR1217" s="1">
        <v>0.0</v>
      </c>
      <c r="CS1217" s="1">
        <v>0.0</v>
      </c>
      <c r="CT1217" s="1">
        <v>0.0</v>
      </c>
      <c r="CU1217" s="1">
        <v>0.0</v>
      </c>
      <c r="CV1217" s="1">
        <v>0.0</v>
      </c>
      <c r="CW1217" s="1">
        <v>0.0</v>
      </c>
      <c r="CX1217" s="1">
        <v>1.0</v>
      </c>
      <c r="CY1217" s="1">
        <v>1.0</v>
      </c>
      <c r="CZ1217" s="1">
        <v>0.0</v>
      </c>
      <c r="DA1217" s="1">
        <v>0.0</v>
      </c>
      <c r="DB1217" s="1">
        <v>2.0</v>
      </c>
      <c r="DC1217" s="1">
        <v>2.0</v>
      </c>
      <c r="DD1217" s="1" t="s">
        <v>5341</v>
      </c>
      <c r="DE1217" s="2" t="s">
        <v>5342</v>
      </c>
      <c r="DF1217" s="2" t="s">
        <v>5343</v>
      </c>
    </row>
    <row r="1218" ht="15.75" customHeight="1">
      <c r="A1218" s="1" t="s">
        <v>5344</v>
      </c>
      <c r="B1218" s="1">
        <v>29.0</v>
      </c>
      <c r="C1218" s="1">
        <v>201.0</v>
      </c>
      <c r="D1218" s="1">
        <v>781100.0</v>
      </c>
      <c r="E1218" s="1">
        <v>29.343</v>
      </c>
      <c r="F1218" s="1">
        <v>29201.0</v>
      </c>
      <c r="G1218" s="1">
        <v>2.92017811E10</v>
      </c>
      <c r="H1218" s="1" t="s">
        <v>112</v>
      </c>
      <c r="I1218" s="1" t="s">
        <v>113</v>
      </c>
      <c r="J1218" s="1" t="s">
        <v>5310</v>
      </c>
      <c r="K1218" s="1" t="s">
        <v>5345</v>
      </c>
      <c r="L1218" s="1">
        <v>3251.0</v>
      </c>
      <c r="M1218" s="1">
        <v>3146.0</v>
      </c>
      <c r="N1218" s="1">
        <v>316.0</v>
      </c>
      <c r="O1218" s="1">
        <v>1393.0</v>
      </c>
      <c r="P1218" s="1">
        <v>1363.0</v>
      </c>
      <c r="Q1218" s="1">
        <v>80.0</v>
      </c>
      <c r="R1218" s="1">
        <v>1256.0</v>
      </c>
      <c r="S1218" s="1">
        <v>473.0</v>
      </c>
      <c r="T1218" s="1">
        <v>275.0</v>
      </c>
      <c r="U1218" s="1">
        <v>93.0</v>
      </c>
      <c r="V1218" s="1">
        <v>432.0</v>
      </c>
      <c r="W1218" s="1">
        <v>19905.0</v>
      </c>
      <c r="X1218" s="1">
        <v>2532.0</v>
      </c>
      <c r="Y1218" s="1">
        <v>381.0</v>
      </c>
      <c r="Z1218" s="1">
        <v>251.0</v>
      </c>
      <c r="AA1218" s="1">
        <v>486.0</v>
      </c>
      <c r="AB1218" s="1">
        <v>767.0</v>
      </c>
      <c r="AC1218" s="1">
        <v>109.0</v>
      </c>
      <c r="AD1218" s="1">
        <v>74.0</v>
      </c>
      <c r="AE1218" s="1">
        <v>0.0</v>
      </c>
      <c r="AF1218" s="1">
        <v>456.0</v>
      </c>
      <c r="AG1218" s="1">
        <v>0.0</v>
      </c>
      <c r="AH1218" s="1">
        <v>197.0</v>
      </c>
      <c r="AI1218" s="1">
        <v>152.0</v>
      </c>
      <c r="AJ1218" s="1">
        <v>76.0</v>
      </c>
      <c r="AK1218" s="1">
        <v>0.0</v>
      </c>
      <c r="AL1218" s="1">
        <v>161.0</v>
      </c>
      <c r="AM1218" s="1">
        <v>33.0</v>
      </c>
      <c r="AN1218" s="1">
        <v>27.0</v>
      </c>
      <c r="AO1218" s="1">
        <v>0.0</v>
      </c>
      <c r="AP1218" s="1">
        <v>0.150349</v>
      </c>
      <c r="AQ1218" s="1">
        <v>0.086098</v>
      </c>
      <c r="AR1218" s="1">
        <v>0.058749</v>
      </c>
      <c r="AS1218" s="1">
        <v>0.272757</v>
      </c>
      <c r="AT1218" s="1">
        <v>19905.0</v>
      </c>
      <c r="AU1218" s="1">
        <v>2532.0</v>
      </c>
      <c r="AV1218" s="1">
        <v>0.184414</v>
      </c>
      <c r="AW1218" s="1">
        <v>0.120493</v>
      </c>
      <c r="AX1218" s="1">
        <v>0.149492</v>
      </c>
      <c r="AY1218" s="1">
        <v>0.235927</v>
      </c>
      <c r="AZ1218" s="1">
        <v>0.08678343</v>
      </c>
      <c r="BA1218" s="1">
        <v>0.022762</v>
      </c>
      <c r="BB1218" s="1">
        <v>0.0</v>
      </c>
      <c r="BC1218" s="1">
        <v>0.155154</v>
      </c>
      <c r="BD1218" s="1">
        <v>0.0</v>
      </c>
      <c r="BE1218" s="1">
        <v>0.144534</v>
      </c>
      <c r="BF1218" s="1">
        <v>0.111518</v>
      </c>
      <c r="BG1218" s="1">
        <v>0.055373</v>
      </c>
      <c r="BH1218" s="1">
        <v>0.0</v>
      </c>
      <c r="BI1218" s="1">
        <v>0.137372</v>
      </c>
      <c r="BJ1218" s="1">
        <v>0.028156</v>
      </c>
      <c r="BK1218" s="1">
        <v>0.022919</v>
      </c>
      <c r="BL1218" s="1">
        <v>0.0</v>
      </c>
      <c r="BM1218" s="1">
        <v>0.579</v>
      </c>
      <c r="BN1218" s="1">
        <v>0.402</v>
      </c>
      <c r="BO1218" s="1">
        <v>0.6202</v>
      </c>
      <c r="BP1218" s="1">
        <v>0.703</v>
      </c>
      <c r="BQ1218" s="1">
        <v>2.3042</v>
      </c>
      <c r="BR1218" s="1">
        <v>0.6051</v>
      </c>
      <c r="BS1218" s="1">
        <v>0.574</v>
      </c>
      <c r="BT1218" s="1">
        <v>0.451</v>
      </c>
      <c r="BU1218" s="1">
        <v>0.374</v>
      </c>
      <c r="BV1218" s="1">
        <v>1.399</v>
      </c>
      <c r="BW1218" s="1">
        <v>0.391</v>
      </c>
      <c r="BX1218" s="1">
        <v>0.03</v>
      </c>
      <c r="BY1218" s="1">
        <v>0.0</v>
      </c>
      <c r="BZ1218" s="1">
        <v>0.03</v>
      </c>
      <c r="CA1218" s="1">
        <v>0.017</v>
      </c>
      <c r="CB1218" s="1">
        <v>0.0</v>
      </c>
      <c r="CC1218" s="1">
        <v>0.743</v>
      </c>
      <c r="CD1218" s="1">
        <v>0.0</v>
      </c>
      <c r="CE1218" s="1">
        <v>0.269</v>
      </c>
      <c r="CF1218" s="1">
        <v>0.0</v>
      </c>
      <c r="CG1218" s="1">
        <v>1.012</v>
      </c>
      <c r="CH1218" s="1">
        <v>0.078</v>
      </c>
      <c r="CI1218" s="1">
        <v>4.7452</v>
      </c>
      <c r="CJ1218" s="1">
        <v>0.1675</v>
      </c>
      <c r="CK1218" s="1">
        <v>0.0</v>
      </c>
      <c r="CL1218" s="1">
        <v>0.0</v>
      </c>
      <c r="CM1218" s="1">
        <v>0.0</v>
      </c>
      <c r="CN1218" s="1">
        <v>0.0</v>
      </c>
      <c r="CO1218" s="1">
        <v>0.0</v>
      </c>
      <c r="CP1218" s="1">
        <v>0.0</v>
      </c>
      <c r="CQ1218" s="1">
        <v>0.0</v>
      </c>
      <c r="CR1218" s="1">
        <v>0.0</v>
      </c>
      <c r="CS1218" s="1">
        <v>0.0</v>
      </c>
      <c r="CT1218" s="1">
        <v>0.0</v>
      </c>
      <c r="CU1218" s="1">
        <v>0.0</v>
      </c>
      <c r="CV1218" s="1">
        <v>0.0</v>
      </c>
      <c r="CW1218" s="1">
        <v>0.0</v>
      </c>
      <c r="CX1218" s="1">
        <v>0.0</v>
      </c>
      <c r="CY1218" s="1">
        <v>0.0</v>
      </c>
      <c r="CZ1218" s="1">
        <v>0.0</v>
      </c>
      <c r="DA1218" s="1">
        <v>0.0</v>
      </c>
      <c r="DB1218" s="1">
        <v>0.0</v>
      </c>
      <c r="DC1218" s="1">
        <v>0.0</v>
      </c>
      <c r="DD1218" s="1" t="s">
        <v>5346</v>
      </c>
      <c r="DE1218" s="1">
        <v>0.00787415560721046</v>
      </c>
      <c r="DF1218" s="2" t="s">
        <v>5347</v>
      </c>
    </row>
    <row r="1219" ht="15.75" customHeight="1">
      <c r="A1219" s="1" t="s">
        <v>5348</v>
      </c>
      <c r="B1219" s="1">
        <v>29.0</v>
      </c>
      <c r="C1219" s="1">
        <v>201.0</v>
      </c>
      <c r="D1219" s="1">
        <v>780300.0</v>
      </c>
      <c r="E1219" s="1">
        <v>52.654</v>
      </c>
      <c r="F1219" s="1">
        <v>29201.0</v>
      </c>
      <c r="G1219" s="1">
        <v>2.92017803E10</v>
      </c>
      <c r="H1219" s="1" t="s">
        <v>112</v>
      </c>
      <c r="I1219" s="1" t="s">
        <v>113</v>
      </c>
      <c r="J1219" s="1" t="s">
        <v>5310</v>
      </c>
      <c r="K1219" s="1" t="s">
        <v>5349</v>
      </c>
      <c r="L1219" s="1">
        <v>2729.0</v>
      </c>
      <c r="M1219" s="1">
        <v>2814.0</v>
      </c>
      <c r="N1219" s="1">
        <v>234.0</v>
      </c>
      <c r="O1219" s="1">
        <v>1226.0</v>
      </c>
      <c r="P1219" s="1">
        <v>1244.0</v>
      </c>
      <c r="Q1219" s="1">
        <v>67.0</v>
      </c>
      <c r="R1219" s="1">
        <v>1085.0</v>
      </c>
      <c r="S1219" s="1">
        <v>432.0</v>
      </c>
      <c r="T1219" s="1">
        <v>165.0</v>
      </c>
      <c r="U1219" s="1">
        <v>94.0</v>
      </c>
      <c r="V1219" s="1">
        <v>397.0</v>
      </c>
      <c r="W1219" s="1">
        <v>18095.0</v>
      </c>
      <c r="X1219" s="1">
        <v>1722.0</v>
      </c>
      <c r="Y1219" s="1">
        <v>333.0</v>
      </c>
      <c r="Z1219" s="1">
        <v>211.0</v>
      </c>
      <c r="AA1219" s="1">
        <v>431.0</v>
      </c>
      <c r="AB1219" s="1">
        <v>701.0</v>
      </c>
      <c r="AC1219" s="1">
        <v>104.0</v>
      </c>
      <c r="AD1219" s="1">
        <v>103.0</v>
      </c>
      <c r="AE1219" s="1">
        <v>0.0</v>
      </c>
      <c r="AF1219" s="1">
        <v>456.0</v>
      </c>
      <c r="AG1219" s="1">
        <v>3.0</v>
      </c>
      <c r="AH1219" s="1">
        <v>161.0</v>
      </c>
      <c r="AI1219" s="1">
        <v>160.0</v>
      </c>
      <c r="AJ1219" s="1">
        <v>57.0</v>
      </c>
      <c r="AK1219" s="1">
        <v>6.0</v>
      </c>
      <c r="AL1219" s="1">
        <v>114.0</v>
      </c>
      <c r="AM1219" s="1">
        <v>89.0</v>
      </c>
      <c r="AN1219" s="1">
        <v>43.0</v>
      </c>
      <c r="AO1219" s="1">
        <v>6.0</v>
      </c>
      <c r="AP1219" s="1">
        <v>0.155061</v>
      </c>
      <c r="AQ1219" s="1">
        <v>0.057774</v>
      </c>
      <c r="AR1219" s="1">
        <v>0.074425</v>
      </c>
      <c r="AS1219" s="1">
        <v>0.314114</v>
      </c>
      <c r="AT1219" s="1">
        <v>18095.0</v>
      </c>
      <c r="AU1219" s="1">
        <v>1722.0</v>
      </c>
      <c r="AV1219" s="1">
        <v>0.179128</v>
      </c>
      <c r="AW1219" s="1">
        <v>0.112731</v>
      </c>
      <c r="AX1219" s="1">
        <v>0.157933</v>
      </c>
      <c r="AY1219" s="1">
        <v>0.25687</v>
      </c>
      <c r="AZ1219" s="1">
        <v>0.09585253</v>
      </c>
      <c r="BA1219" s="1">
        <v>0.037742</v>
      </c>
      <c r="BB1219" s="1">
        <v>0.0</v>
      </c>
      <c r="BC1219" s="1">
        <v>0.178613</v>
      </c>
      <c r="BD1219" s="1">
        <v>0.002411</v>
      </c>
      <c r="BE1219" s="1">
        <v>0.129421</v>
      </c>
      <c r="BF1219" s="1">
        <v>0.128617</v>
      </c>
      <c r="BG1219" s="1">
        <v>0.045293</v>
      </c>
      <c r="BH1219" s="1">
        <v>0.005405</v>
      </c>
      <c r="BI1219" s="1">
        <v>0.102702</v>
      </c>
      <c r="BJ1219" s="1">
        <v>0.08018</v>
      </c>
      <c r="BK1219" s="1">
        <v>0.038326</v>
      </c>
      <c r="BL1219" s="1">
        <v>0.002198</v>
      </c>
      <c r="BM1219" s="1">
        <v>0.597</v>
      </c>
      <c r="BN1219" s="1">
        <v>0.551</v>
      </c>
      <c r="BO1219" s="1">
        <v>0.7264</v>
      </c>
      <c r="BP1219" s="1">
        <v>0.686</v>
      </c>
      <c r="BQ1219" s="1">
        <v>2.5604</v>
      </c>
      <c r="BR1219" s="1">
        <v>0.6859</v>
      </c>
      <c r="BS1219" s="1">
        <v>0.65</v>
      </c>
      <c r="BT1219" s="1">
        <v>0.671</v>
      </c>
      <c r="BU1219" s="1">
        <v>0.454</v>
      </c>
      <c r="BV1219" s="1">
        <v>1.775</v>
      </c>
      <c r="BW1219" s="1">
        <v>0.702</v>
      </c>
      <c r="BX1219" s="1">
        <v>0.145</v>
      </c>
      <c r="BY1219" s="1">
        <v>0.0</v>
      </c>
      <c r="BZ1219" s="1">
        <v>0.145</v>
      </c>
      <c r="CA1219" s="1">
        <v>0.069</v>
      </c>
      <c r="CB1219" s="1">
        <v>0.278</v>
      </c>
      <c r="CC1219" s="1">
        <v>0.776</v>
      </c>
      <c r="CD1219" s="1">
        <v>0.344</v>
      </c>
      <c r="CE1219" s="1">
        <v>0.675</v>
      </c>
      <c r="CF1219" s="1">
        <v>0.453</v>
      </c>
      <c r="CG1219" s="1">
        <v>2.526</v>
      </c>
      <c r="CH1219" s="1">
        <v>0.571</v>
      </c>
      <c r="CI1219" s="1">
        <v>7.0064</v>
      </c>
      <c r="CJ1219" s="1">
        <v>0.5466</v>
      </c>
      <c r="CK1219" s="1">
        <v>0.0</v>
      </c>
      <c r="CL1219" s="1">
        <v>0.0</v>
      </c>
      <c r="CM1219" s="1">
        <v>0.0</v>
      </c>
      <c r="CN1219" s="1">
        <v>0.0</v>
      </c>
      <c r="CO1219" s="1">
        <v>0.0</v>
      </c>
      <c r="CP1219" s="1">
        <v>0.0</v>
      </c>
      <c r="CQ1219" s="1">
        <v>0.0</v>
      </c>
      <c r="CR1219" s="1">
        <v>0.0</v>
      </c>
      <c r="CS1219" s="1">
        <v>0.0</v>
      </c>
      <c r="CT1219" s="1">
        <v>0.0</v>
      </c>
      <c r="CU1219" s="1">
        <v>0.0</v>
      </c>
      <c r="CV1219" s="1">
        <v>0.0</v>
      </c>
      <c r="CW1219" s="1">
        <v>0.0</v>
      </c>
      <c r="CX1219" s="1">
        <v>0.0</v>
      </c>
      <c r="CY1219" s="1">
        <v>0.0</v>
      </c>
      <c r="CZ1219" s="1">
        <v>0.0</v>
      </c>
      <c r="DA1219" s="1">
        <v>0.0</v>
      </c>
      <c r="DB1219" s="1">
        <v>0.0</v>
      </c>
      <c r="DC1219" s="1">
        <v>0.0</v>
      </c>
      <c r="DD1219" s="1" t="s">
        <v>5350</v>
      </c>
      <c r="DE1219" s="1">
        <v>0.0138516416525009</v>
      </c>
      <c r="DF1219" s="2" t="s">
        <v>5351</v>
      </c>
    </row>
    <row r="1220" ht="15.75" customHeight="1">
      <c r="A1220" s="1" t="s">
        <v>5352</v>
      </c>
      <c r="B1220" s="1">
        <v>29.0</v>
      </c>
      <c r="C1220" s="1">
        <v>203.0</v>
      </c>
      <c r="D1220" s="1">
        <v>470100.0</v>
      </c>
      <c r="E1220" s="1">
        <v>690.208</v>
      </c>
      <c r="F1220" s="1">
        <v>29203.0</v>
      </c>
      <c r="G1220" s="1">
        <v>2.92034701E10</v>
      </c>
      <c r="H1220" s="1" t="s">
        <v>112</v>
      </c>
      <c r="I1220" s="1" t="s">
        <v>113</v>
      </c>
      <c r="J1220" s="1" t="s">
        <v>5353</v>
      </c>
      <c r="K1220" s="1" t="s">
        <v>5354</v>
      </c>
      <c r="L1220" s="1">
        <v>3393.0</v>
      </c>
      <c r="M1220" s="1">
        <v>3423.0</v>
      </c>
      <c r="N1220" s="1">
        <v>295.0</v>
      </c>
      <c r="O1220" s="1">
        <v>1871.0</v>
      </c>
      <c r="P1220" s="1">
        <v>1813.0</v>
      </c>
      <c r="Q1220" s="1">
        <v>79.0</v>
      </c>
      <c r="R1220" s="1">
        <v>1427.0</v>
      </c>
      <c r="S1220" s="1">
        <v>520.0</v>
      </c>
      <c r="T1220" s="1">
        <v>209.0</v>
      </c>
      <c r="U1220" s="1">
        <v>122.0</v>
      </c>
      <c r="V1220" s="1">
        <v>402.0</v>
      </c>
      <c r="W1220" s="1">
        <v>18531.0</v>
      </c>
      <c r="X1220" s="1">
        <v>1953.0</v>
      </c>
      <c r="Y1220" s="1">
        <v>411.0</v>
      </c>
      <c r="Z1220" s="1">
        <v>221.0</v>
      </c>
      <c r="AA1220" s="1">
        <v>641.0</v>
      </c>
      <c r="AB1220" s="1">
        <v>741.0</v>
      </c>
      <c r="AC1220" s="1">
        <v>98.0</v>
      </c>
      <c r="AD1220" s="1">
        <v>142.0</v>
      </c>
      <c r="AE1220" s="1">
        <v>0.0</v>
      </c>
      <c r="AF1220" s="1">
        <v>456.0</v>
      </c>
      <c r="AG1220" s="1">
        <v>0.0</v>
      </c>
      <c r="AH1220" s="1">
        <v>197.0</v>
      </c>
      <c r="AI1220" s="1">
        <v>244.0</v>
      </c>
      <c r="AJ1220" s="1">
        <v>96.0</v>
      </c>
      <c r="AK1220" s="1">
        <v>61.0</v>
      </c>
      <c r="AL1220" s="1">
        <v>124.0</v>
      </c>
      <c r="AM1220" s="1">
        <v>78.0</v>
      </c>
      <c r="AN1220" s="1">
        <v>47.0</v>
      </c>
      <c r="AO1220" s="1">
        <v>32.0</v>
      </c>
      <c r="AP1220" s="1">
        <v>0.151913</v>
      </c>
      <c r="AQ1220" s="1">
        <v>0.059637</v>
      </c>
      <c r="AR1220" s="1">
        <v>0.084663</v>
      </c>
      <c r="AS1220" s="1">
        <v>0.278732</v>
      </c>
      <c r="AT1220" s="1">
        <v>18531.0</v>
      </c>
      <c r="AU1220" s="1">
        <v>1953.0</v>
      </c>
      <c r="AV1220" s="1">
        <v>0.163614</v>
      </c>
      <c r="AW1220" s="1">
        <v>0.087112</v>
      </c>
      <c r="AX1220" s="1">
        <v>0.188918</v>
      </c>
      <c r="AY1220" s="1">
        <v>0.21839</v>
      </c>
      <c r="AZ1220" s="1">
        <v>0.06867554</v>
      </c>
      <c r="BA1220" s="1">
        <v>0.04185</v>
      </c>
      <c r="BB1220" s="1">
        <v>0.0</v>
      </c>
      <c r="BC1220" s="1">
        <v>0.14061</v>
      </c>
      <c r="BD1220" s="1">
        <v>0.0</v>
      </c>
      <c r="BE1220" s="1">
        <v>0.108659</v>
      </c>
      <c r="BF1220" s="1">
        <v>0.134583</v>
      </c>
      <c r="BG1220" s="1">
        <v>0.052625</v>
      </c>
      <c r="BH1220" s="1">
        <v>0.041496</v>
      </c>
      <c r="BI1220" s="1">
        <v>0.084297</v>
      </c>
      <c r="BJ1220" s="1">
        <v>0.053061</v>
      </c>
      <c r="BK1220" s="1">
        <v>0.031729</v>
      </c>
      <c r="BL1220" s="1">
        <v>0.009431</v>
      </c>
      <c r="BM1220" s="1">
        <v>0.584</v>
      </c>
      <c r="BN1220" s="1">
        <v>0.647</v>
      </c>
      <c r="BO1220" s="1">
        <v>0.7076</v>
      </c>
      <c r="BP1220" s="1">
        <v>0.627</v>
      </c>
      <c r="BQ1220" s="1">
        <v>2.5656</v>
      </c>
      <c r="BR1220" s="1">
        <v>0.6881</v>
      </c>
      <c r="BS1220" s="1">
        <v>0.834</v>
      </c>
      <c r="BT1220" s="1">
        <v>0.292</v>
      </c>
      <c r="BU1220" s="1">
        <v>0.204</v>
      </c>
      <c r="BV1220" s="1">
        <v>1.33</v>
      </c>
      <c r="BW1220" s="1">
        <v>0.327</v>
      </c>
      <c r="BX1220" s="1">
        <v>0.182</v>
      </c>
      <c r="BY1220" s="1">
        <v>0.0</v>
      </c>
      <c r="BZ1220" s="1">
        <v>0.182</v>
      </c>
      <c r="CA1220" s="1">
        <v>0.085</v>
      </c>
      <c r="CB1220" s="1">
        <v>0.0</v>
      </c>
      <c r="CC1220" s="1">
        <v>0.785</v>
      </c>
      <c r="CD1220" s="1">
        <v>0.899</v>
      </c>
      <c r="CE1220" s="1">
        <v>0.513</v>
      </c>
      <c r="CF1220" s="1">
        <v>0.566</v>
      </c>
      <c r="CG1220" s="1">
        <v>2.763</v>
      </c>
      <c r="CH1220" s="1">
        <v>0.671</v>
      </c>
      <c r="CI1220" s="1">
        <v>6.8406</v>
      </c>
      <c r="CJ1220" s="1">
        <v>0.5184</v>
      </c>
      <c r="CK1220" s="1">
        <v>0.0</v>
      </c>
      <c r="CL1220" s="1">
        <v>0.0</v>
      </c>
      <c r="CM1220" s="1">
        <v>0.0</v>
      </c>
      <c r="CN1220" s="1">
        <v>0.0</v>
      </c>
      <c r="CO1220" s="1">
        <v>0.0</v>
      </c>
      <c r="CP1220" s="1">
        <v>0.0</v>
      </c>
      <c r="CQ1220" s="1">
        <v>0.0</v>
      </c>
      <c r="CR1220" s="1">
        <v>0.0</v>
      </c>
      <c r="CS1220" s="1">
        <v>0.0</v>
      </c>
      <c r="CT1220" s="1">
        <v>0.0</v>
      </c>
      <c r="CU1220" s="1">
        <v>0.0</v>
      </c>
      <c r="CV1220" s="1">
        <v>0.0</v>
      </c>
      <c r="CW1220" s="1">
        <v>0.0</v>
      </c>
      <c r="CX1220" s="1">
        <v>0.0</v>
      </c>
      <c r="CY1220" s="1">
        <v>0.0</v>
      </c>
      <c r="CZ1220" s="1">
        <v>0.0</v>
      </c>
      <c r="DA1220" s="1">
        <v>0.0</v>
      </c>
      <c r="DB1220" s="1">
        <v>0.0</v>
      </c>
      <c r="DC1220" s="1">
        <v>0.0</v>
      </c>
      <c r="DD1220" s="1" t="s">
        <v>5355</v>
      </c>
      <c r="DE1220" s="2" t="s">
        <v>5356</v>
      </c>
      <c r="DF1220" s="2" t="s">
        <v>5357</v>
      </c>
    </row>
    <row r="1221" ht="15.75" customHeight="1">
      <c r="A1221" s="1" t="s">
        <v>5358</v>
      </c>
      <c r="B1221" s="1">
        <v>29.0</v>
      </c>
      <c r="C1221" s="1">
        <v>203.0</v>
      </c>
      <c r="D1221" s="1">
        <v>470200.0</v>
      </c>
      <c r="E1221" s="1">
        <v>313.612</v>
      </c>
      <c r="F1221" s="1">
        <v>29203.0</v>
      </c>
      <c r="G1221" s="1">
        <v>2.92034702E10</v>
      </c>
      <c r="H1221" s="1" t="s">
        <v>112</v>
      </c>
      <c r="I1221" s="1" t="s">
        <v>113</v>
      </c>
      <c r="J1221" s="1" t="s">
        <v>5353</v>
      </c>
      <c r="K1221" s="1" t="s">
        <v>5359</v>
      </c>
      <c r="L1221" s="1">
        <v>5048.0</v>
      </c>
      <c r="M1221" s="1">
        <v>4981.0</v>
      </c>
      <c r="N1221" s="1">
        <v>295.0</v>
      </c>
      <c r="O1221" s="1">
        <v>2293.0</v>
      </c>
      <c r="P1221" s="1">
        <v>2320.0</v>
      </c>
      <c r="Q1221" s="1">
        <v>85.0</v>
      </c>
      <c r="R1221" s="1">
        <v>2021.0</v>
      </c>
      <c r="S1221" s="1">
        <v>1390.0</v>
      </c>
      <c r="T1221" s="1">
        <v>355.0</v>
      </c>
      <c r="U1221" s="1">
        <v>286.0</v>
      </c>
      <c r="V1221" s="1">
        <v>313.0</v>
      </c>
      <c r="W1221" s="1">
        <v>13094.0</v>
      </c>
      <c r="X1221" s="1">
        <v>1151.0</v>
      </c>
      <c r="Y1221" s="1">
        <v>941.0</v>
      </c>
      <c r="Z1221" s="1">
        <v>151.0</v>
      </c>
      <c r="AA1221" s="1">
        <v>821.0</v>
      </c>
      <c r="AB1221" s="1">
        <v>1230.0</v>
      </c>
      <c r="AC1221" s="1">
        <v>201.0</v>
      </c>
      <c r="AD1221" s="1">
        <v>285.0</v>
      </c>
      <c r="AE1221" s="1">
        <v>21.0</v>
      </c>
      <c r="AF1221" s="1">
        <v>442.0</v>
      </c>
      <c r="AG1221" s="1">
        <v>10.0</v>
      </c>
      <c r="AH1221" s="1">
        <v>115.0</v>
      </c>
      <c r="AI1221" s="1">
        <v>410.0</v>
      </c>
      <c r="AJ1221" s="1">
        <v>102.0</v>
      </c>
      <c r="AK1221" s="1">
        <v>27.0</v>
      </c>
      <c r="AL1221" s="1">
        <v>117.0</v>
      </c>
      <c r="AM1221" s="1">
        <v>107.0</v>
      </c>
      <c r="AN1221" s="1">
        <v>49.0</v>
      </c>
      <c r="AO1221" s="1">
        <v>48.0</v>
      </c>
      <c r="AP1221" s="1">
        <v>0.279621</v>
      </c>
      <c r="AQ1221" s="1">
        <v>0.069459</v>
      </c>
      <c r="AR1221" s="1">
        <v>0.146441</v>
      </c>
      <c r="AS1221" s="1">
        <v>0.159611</v>
      </c>
      <c r="AT1221" s="1">
        <v>13094.0</v>
      </c>
      <c r="AU1221" s="1">
        <v>1151.0</v>
      </c>
      <c r="AV1221" s="1">
        <v>0.293603</v>
      </c>
      <c r="AW1221" s="1">
        <v>0.043248</v>
      </c>
      <c r="AX1221" s="1">
        <v>0.162638</v>
      </c>
      <c r="AY1221" s="1">
        <v>0.24366</v>
      </c>
      <c r="AZ1221" s="1">
        <v>0.09945571</v>
      </c>
      <c r="BA1221" s="1">
        <v>0.056458</v>
      </c>
      <c r="BB1221" s="1">
        <v>0.004512</v>
      </c>
      <c r="BC1221" s="1">
        <v>0.094971</v>
      </c>
      <c r="BD1221" s="1">
        <v>0.00431</v>
      </c>
      <c r="BE1221" s="1">
        <v>0.049568</v>
      </c>
      <c r="BF1221" s="1">
        <v>0.176724</v>
      </c>
      <c r="BG1221" s="1">
        <v>0.043486</v>
      </c>
      <c r="BH1221" s="1">
        <v>0.013975</v>
      </c>
      <c r="BI1221" s="1">
        <v>0.06055</v>
      </c>
      <c r="BJ1221" s="1">
        <v>0.055383</v>
      </c>
      <c r="BK1221" s="1">
        <v>0.025042</v>
      </c>
      <c r="BL1221" s="1">
        <v>0.009508</v>
      </c>
      <c r="BM1221" s="1">
        <v>0.866</v>
      </c>
      <c r="BN1221" s="1">
        <v>0.893</v>
      </c>
      <c r="BO1221" s="1">
        <v>0.9343</v>
      </c>
      <c r="BP1221" s="1">
        <v>0.936</v>
      </c>
      <c r="BQ1221" s="1">
        <v>3.6293</v>
      </c>
      <c r="BR1221" s="1">
        <v>0.9444</v>
      </c>
      <c r="BS1221" s="1">
        <v>0.687</v>
      </c>
      <c r="BT1221" s="1">
        <v>0.53</v>
      </c>
      <c r="BU1221" s="1">
        <v>0.487</v>
      </c>
      <c r="BV1221" s="1">
        <v>1.704</v>
      </c>
      <c r="BW1221" s="1">
        <v>0.643</v>
      </c>
      <c r="BX1221" s="1">
        <v>0.294</v>
      </c>
      <c r="BY1221" s="1">
        <v>0.538</v>
      </c>
      <c r="BZ1221" s="1">
        <v>0.832</v>
      </c>
      <c r="CA1221" s="1">
        <v>0.421</v>
      </c>
      <c r="CB1221" s="1">
        <v>0.306</v>
      </c>
      <c r="CC1221" s="1">
        <v>0.862</v>
      </c>
      <c r="CD1221" s="1">
        <v>0.57</v>
      </c>
      <c r="CE1221" s="1">
        <v>0.533</v>
      </c>
      <c r="CF1221" s="1">
        <v>0.567</v>
      </c>
      <c r="CG1221" s="1">
        <v>2.838</v>
      </c>
      <c r="CH1221" s="1">
        <v>0.704</v>
      </c>
      <c r="CI1221" s="1">
        <v>9.0033</v>
      </c>
      <c r="CJ1221" s="1">
        <v>0.8534</v>
      </c>
      <c r="CK1221" s="1">
        <v>0.0</v>
      </c>
      <c r="CL1221" s="1">
        <v>0.0</v>
      </c>
      <c r="CM1221" s="1">
        <v>1.0</v>
      </c>
      <c r="CN1221" s="1">
        <v>1.0</v>
      </c>
      <c r="CO1221" s="1">
        <v>2.0</v>
      </c>
      <c r="CP1221" s="1">
        <v>0.0</v>
      </c>
      <c r="CQ1221" s="1">
        <v>0.0</v>
      </c>
      <c r="CR1221" s="1">
        <v>0.0</v>
      </c>
      <c r="CS1221" s="1">
        <v>0.0</v>
      </c>
      <c r="CT1221" s="1">
        <v>0.0</v>
      </c>
      <c r="CU1221" s="1">
        <v>0.0</v>
      </c>
      <c r="CV1221" s="1">
        <v>0.0</v>
      </c>
      <c r="CW1221" s="1">
        <v>0.0</v>
      </c>
      <c r="CX1221" s="1">
        <v>0.0</v>
      </c>
      <c r="CY1221" s="1">
        <v>0.0</v>
      </c>
      <c r="CZ1221" s="1">
        <v>0.0</v>
      </c>
      <c r="DA1221" s="1">
        <v>0.0</v>
      </c>
      <c r="DB1221" s="1">
        <v>0.0</v>
      </c>
      <c r="DC1221" s="1">
        <v>2.0</v>
      </c>
      <c r="DD1221" s="1" t="s">
        <v>5360</v>
      </c>
      <c r="DE1221" s="1">
        <v>0.0822149060999978</v>
      </c>
      <c r="DF1221" s="2" t="s">
        <v>5361</v>
      </c>
    </row>
    <row r="1222" ht="15.75" customHeight="1">
      <c r="A1222" s="1" t="s">
        <v>5362</v>
      </c>
      <c r="B1222" s="1">
        <v>29.0</v>
      </c>
      <c r="C1222" s="1">
        <v>205.0</v>
      </c>
      <c r="D1222" s="1">
        <v>450100.0</v>
      </c>
      <c r="E1222" s="1">
        <v>194.97</v>
      </c>
      <c r="F1222" s="1">
        <v>29205.0</v>
      </c>
      <c r="G1222" s="1">
        <v>2.92054501E10</v>
      </c>
      <c r="H1222" s="1" t="s">
        <v>112</v>
      </c>
      <c r="I1222" s="1" t="s">
        <v>113</v>
      </c>
      <c r="J1222" s="1" t="s">
        <v>5363</v>
      </c>
      <c r="K1222" s="1" t="s">
        <v>5364</v>
      </c>
      <c r="L1222" s="1">
        <v>1880.0</v>
      </c>
      <c r="M1222" s="1">
        <v>1895.0</v>
      </c>
      <c r="N1222" s="1">
        <v>187.0</v>
      </c>
      <c r="O1222" s="1">
        <v>936.0</v>
      </c>
      <c r="P1222" s="1">
        <v>892.0</v>
      </c>
      <c r="Q1222" s="1">
        <v>63.0</v>
      </c>
      <c r="R1222" s="1">
        <v>735.0</v>
      </c>
      <c r="S1222" s="1">
        <v>148.0</v>
      </c>
      <c r="T1222" s="1">
        <v>79.0</v>
      </c>
      <c r="U1222" s="1">
        <v>29.0</v>
      </c>
      <c r="V1222" s="1">
        <v>456.0</v>
      </c>
      <c r="W1222" s="1">
        <v>18822.0</v>
      </c>
      <c r="X1222" s="1">
        <v>1789.0</v>
      </c>
      <c r="Y1222" s="1">
        <v>89.0</v>
      </c>
      <c r="Z1222" s="1">
        <v>303.0</v>
      </c>
      <c r="AA1222" s="1">
        <v>310.0</v>
      </c>
      <c r="AB1222" s="1">
        <v>484.0</v>
      </c>
      <c r="AC1222" s="1">
        <v>58.0</v>
      </c>
      <c r="AD1222" s="1">
        <v>54.0</v>
      </c>
      <c r="AE1222" s="1">
        <v>20.0</v>
      </c>
      <c r="AF1222" s="1">
        <v>442.0</v>
      </c>
      <c r="AG1222" s="1">
        <v>19.0</v>
      </c>
      <c r="AH1222" s="1">
        <v>115.0</v>
      </c>
      <c r="AI1222" s="1">
        <v>73.0</v>
      </c>
      <c r="AJ1222" s="1">
        <v>36.0</v>
      </c>
      <c r="AK1222" s="1">
        <v>5.0</v>
      </c>
      <c r="AL1222" s="1">
        <v>114.0</v>
      </c>
      <c r="AM1222" s="1">
        <v>6.0</v>
      </c>
      <c r="AN1222" s="1">
        <v>114.0</v>
      </c>
      <c r="AO1222" s="1">
        <v>38.0</v>
      </c>
      <c r="AP1222" s="1">
        <v>0.078389</v>
      </c>
      <c r="AQ1222" s="1">
        <v>0.041132</v>
      </c>
      <c r="AR1222" s="1">
        <v>0.028942</v>
      </c>
      <c r="AS1222" s="1">
        <v>0.455075</v>
      </c>
      <c r="AT1222" s="1">
        <v>18822.0</v>
      </c>
      <c r="AU1222" s="1">
        <v>1789.0</v>
      </c>
      <c r="AV1222" s="1">
        <v>0.072006</v>
      </c>
      <c r="AW1222" s="1">
        <v>0.245024</v>
      </c>
      <c r="AX1222" s="1">
        <v>0.164893</v>
      </c>
      <c r="AY1222" s="1">
        <v>0.257446</v>
      </c>
      <c r="AZ1222" s="1">
        <v>0.07891156</v>
      </c>
      <c r="BA1222" s="1">
        <v>0.028723</v>
      </c>
      <c r="BB1222" s="1">
        <v>0.010982</v>
      </c>
      <c r="BC1222" s="1">
        <v>0.242721</v>
      </c>
      <c r="BD1222" s="1">
        <v>0.0213</v>
      </c>
      <c r="BE1222" s="1">
        <v>0.128914</v>
      </c>
      <c r="BF1222" s="1">
        <v>0.081838</v>
      </c>
      <c r="BG1222" s="1">
        <v>0.039942</v>
      </c>
      <c r="BH1222" s="1">
        <v>0.007002</v>
      </c>
      <c r="BI1222" s="1">
        <v>0.159662</v>
      </c>
      <c r="BJ1222" s="1">
        <v>0.008403</v>
      </c>
      <c r="BK1222" s="1">
        <v>0.159661</v>
      </c>
      <c r="BL1222" s="1">
        <v>0.020212</v>
      </c>
      <c r="BM1222" s="1">
        <v>0.286</v>
      </c>
      <c r="BN1222" s="1">
        <v>0.079</v>
      </c>
      <c r="BO1222" s="1">
        <v>0.6816</v>
      </c>
      <c r="BP1222" s="1">
        <v>0.21</v>
      </c>
      <c r="BQ1222" s="1">
        <v>1.2566</v>
      </c>
      <c r="BR1222" s="1">
        <v>0.2715</v>
      </c>
      <c r="BS1222" s="1">
        <v>0.702</v>
      </c>
      <c r="BT1222" s="1">
        <v>0.679</v>
      </c>
      <c r="BU1222" s="1">
        <v>0.292</v>
      </c>
      <c r="BV1222" s="1">
        <v>1.673</v>
      </c>
      <c r="BW1222" s="1">
        <v>0.618</v>
      </c>
      <c r="BX1222" s="1">
        <v>0.071</v>
      </c>
      <c r="BY1222" s="1">
        <v>0.746</v>
      </c>
      <c r="BZ1222" s="1">
        <v>0.817</v>
      </c>
      <c r="CA1222" s="1">
        <v>0.412</v>
      </c>
      <c r="CB1222" s="1">
        <v>0.479</v>
      </c>
      <c r="CC1222" s="1">
        <v>0.679</v>
      </c>
      <c r="CD1222" s="1">
        <v>0.393</v>
      </c>
      <c r="CE1222" s="1">
        <v>0.067</v>
      </c>
      <c r="CF1222" s="1">
        <v>0.715</v>
      </c>
      <c r="CG1222" s="1">
        <v>2.333</v>
      </c>
      <c r="CH1222" s="1">
        <v>0.471</v>
      </c>
      <c r="CI1222" s="1">
        <v>6.0796</v>
      </c>
      <c r="CJ1222" s="1">
        <v>0.3856</v>
      </c>
      <c r="CK1222" s="1">
        <v>0.0</v>
      </c>
      <c r="CL1222" s="1">
        <v>0.0</v>
      </c>
      <c r="CM1222" s="1">
        <v>0.0</v>
      </c>
      <c r="CN1222" s="1">
        <v>0.0</v>
      </c>
      <c r="CO1222" s="1">
        <v>0.0</v>
      </c>
      <c r="CP1222" s="1">
        <v>0.0</v>
      </c>
      <c r="CQ1222" s="1">
        <v>0.0</v>
      </c>
      <c r="CR1222" s="1">
        <v>0.0</v>
      </c>
      <c r="CS1222" s="1">
        <v>0.0</v>
      </c>
      <c r="CT1222" s="1">
        <v>0.0</v>
      </c>
      <c r="CU1222" s="1">
        <v>0.0</v>
      </c>
      <c r="CV1222" s="1">
        <v>0.0</v>
      </c>
      <c r="CW1222" s="1">
        <v>0.0</v>
      </c>
      <c r="CX1222" s="1">
        <v>0.0</v>
      </c>
      <c r="CY1222" s="1">
        <v>0.0</v>
      </c>
      <c r="CZ1222" s="1">
        <v>0.0</v>
      </c>
      <c r="DA1222" s="1">
        <v>0.0</v>
      </c>
      <c r="DB1222" s="1">
        <v>0.0</v>
      </c>
      <c r="DC1222" s="1">
        <v>0.0</v>
      </c>
      <c r="DD1222" s="1" t="s">
        <v>5365</v>
      </c>
      <c r="DE1222" s="1">
        <v>0.0532220013828088</v>
      </c>
      <c r="DF1222" s="2" t="s">
        <v>5366</v>
      </c>
    </row>
    <row r="1223" ht="15.75" customHeight="1">
      <c r="A1223" s="1" t="s">
        <v>5367</v>
      </c>
      <c r="B1223" s="1">
        <v>29.0</v>
      </c>
      <c r="C1223" s="1">
        <v>205.0</v>
      </c>
      <c r="D1223" s="1">
        <v>450200.0</v>
      </c>
      <c r="E1223" s="1">
        <v>117.927</v>
      </c>
      <c r="F1223" s="1">
        <v>29205.0</v>
      </c>
      <c r="G1223" s="1">
        <v>2.92054502E10</v>
      </c>
      <c r="H1223" s="1" t="s">
        <v>112</v>
      </c>
      <c r="I1223" s="1" t="s">
        <v>113</v>
      </c>
      <c r="J1223" s="1" t="s">
        <v>5363</v>
      </c>
      <c r="K1223" s="1" t="s">
        <v>5368</v>
      </c>
      <c r="L1223" s="1">
        <v>2672.0</v>
      </c>
      <c r="M1223" s="1">
        <v>2696.0</v>
      </c>
      <c r="N1223" s="1">
        <v>210.0</v>
      </c>
      <c r="O1223" s="1">
        <v>1339.0</v>
      </c>
      <c r="P1223" s="1">
        <v>1369.0</v>
      </c>
      <c r="Q1223" s="1">
        <v>77.0</v>
      </c>
      <c r="R1223" s="1">
        <v>1106.0</v>
      </c>
      <c r="S1223" s="1">
        <v>436.0</v>
      </c>
      <c r="T1223" s="1">
        <v>186.0</v>
      </c>
      <c r="U1223" s="1">
        <v>57.0</v>
      </c>
      <c r="V1223" s="1">
        <v>412.0</v>
      </c>
      <c r="W1223" s="1">
        <v>16905.0</v>
      </c>
      <c r="X1223" s="1">
        <v>1264.0</v>
      </c>
      <c r="Y1223" s="1">
        <v>273.0</v>
      </c>
      <c r="Z1223" s="1">
        <v>183.0</v>
      </c>
      <c r="AA1223" s="1">
        <v>560.0</v>
      </c>
      <c r="AB1223" s="1">
        <v>625.0</v>
      </c>
      <c r="AC1223" s="1">
        <v>101.0</v>
      </c>
      <c r="AD1223" s="1">
        <v>60.0</v>
      </c>
      <c r="AE1223" s="1">
        <v>0.0</v>
      </c>
      <c r="AF1223" s="1">
        <v>456.0</v>
      </c>
      <c r="AG1223" s="1">
        <v>12.0</v>
      </c>
      <c r="AH1223" s="1">
        <v>115.0</v>
      </c>
      <c r="AI1223" s="1">
        <v>136.0</v>
      </c>
      <c r="AJ1223" s="1">
        <v>55.0</v>
      </c>
      <c r="AK1223" s="1">
        <v>23.0</v>
      </c>
      <c r="AL1223" s="1">
        <v>115.0</v>
      </c>
      <c r="AM1223" s="1">
        <v>73.0</v>
      </c>
      <c r="AN1223" s="1">
        <v>37.0</v>
      </c>
      <c r="AO1223" s="1">
        <v>74.0</v>
      </c>
      <c r="AP1223" s="1">
        <v>0.172332</v>
      </c>
      <c r="AQ1223" s="1">
        <v>0.072085</v>
      </c>
      <c r="AR1223" s="1">
        <v>0.050576</v>
      </c>
      <c r="AS1223" s="1">
        <v>0.365531</v>
      </c>
      <c r="AT1223" s="1">
        <v>16905.0</v>
      </c>
      <c r="AU1223" s="1">
        <v>1264.0</v>
      </c>
      <c r="AV1223" s="1">
        <v>0.141818</v>
      </c>
      <c r="AW1223" s="1">
        <v>0.094196</v>
      </c>
      <c r="AX1223" s="1">
        <v>0.20958</v>
      </c>
      <c r="AY1223" s="1">
        <v>0.233907</v>
      </c>
      <c r="AZ1223" s="1">
        <v>0.09132007</v>
      </c>
      <c r="BA1223" s="1">
        <v>0.022455</v>
      </c>
      <c r="BB1223" s="1">
        <v>0.0</v>
      </c>
      <c r="BC1223" s="1">
        <v>0.182108</v>
      </c>
      <c r="BD1223" s="1">
        <v>0.008765</v>
      </c>
      <c r="BE1223" s="1">
        <v>0.084001</v>
      </c>
      <c r="BF1223" s="1">
        <v>0.099342</v>
      </c>
      <c r="BG1223" s="1">
        <v>0.039784</v>
      </c>
      <c r="BH1223" s="1">
        <v>0.019913</v>
      </c>
      <c r="BI1223" s="1">
        <v>0.099555</v>
      </c>
      <c r="BJ1223" s="1">
        <v>0.063203</v>
      </c>
      <c r="BK1223" s="1">
        <v>0.031678</v>
      </c>
      <c r="BL1223" s="1">
        <v>0.027694</v>
      </c>
      <c r="BM1223" s="1">
        <v>0.654</v>
      </c>
      <c r="BN1223" s="1">
        <v>0.296</v>
      </c>
      <c r="BO1223" s="1">
        <v>0.7928</v>
      </c>
      <c r="BP1223" s="1">
        <v>0.533</v>
      </c>
      <c r="BQ1223" s="1">
        <v>2.2758</v>
      </c>
      <c r="BR1223" s="1">
        <v>0.5928</v>
      </c>
      <c r="BS1223" s="1">
        <v>0.906</v>
      </c>
      <c r="BT1223" s="1">
        <v>0.428</v>
      </c>
      <c r="BU1223" s="1">
        <v>0.415</v>
      </c>
      <c r="BV1223" s="1">
        <v>1.749</v>
      </c>
      <c r="BW1223" s="1">
        <v>0.679</v>
      </c>
      <c r="BX1223" s="1">
        <v>0.028</v>
      </c>
      <c r="BY1223" s="1">
        <v>0.0</v>
      </c>
      <c r="BZ1223" s="1">
        <v>0.028</v>
      </c>
      <c r="CA1223" s="1">
        <v>0.015</v>
      </c>
      <c r="CB1223" s="1">
        <v>0.369</v>
      </c>
      <c r="CC1223" s="1">
        <v>0.715</v>
      </c>
      <c r="CD1223" s="1">
        <v>0.682</v>
      </c>
      <c r="CE1223" s="1">
        <v>0.585</v>
      </c>
      <c r="CF1223" s="1">
        <v>0.792</v>
      </c>
      <c r="CG1223" s="1">
        <v>3.143</v>
      </c>
      <c r="CH1223" s="1">
        <v>0.83</v>
      </c>
      <c r="CI1223" s="1">
        <v>7.1958</v>
      </c>
      <c r="CJ1223" s="1">
        <v>0.5942</v>
      </c>
      <c r="CK1223" s="1">
        <v>0.0</v>
      </c>
      <c r="CL1223" s="1">
        <v>0.0</v>
      </c>
      <c r="CM1223" s="1">
        <v>0.0</v>
      </c>
      <c r="CN1223" s="1">
        <v>0.0</v>
      </c>
      <c r="CO1223" s="1">
        <v>0.0</v>
      </c>
      <c r="CP1223" s="1">
        <v>1.0</v>
      </c>
      <c r="CQ1223" s="1">
        <v>0.0</v>
      </c>
      <c r="CR1223" s="1">
        <v>0.0</v>
      </c>
      <c r="CS1223" s="1">
        <v>1.0</v>
      </c>
      <c r="CT1223" s="1">
        <v>0.0</v>
      </c>
      <c r="CU1223" s="1">
        <v>0.0</v>
      </c>
      <c r="CV1223" s="1">
        <v>0.0</v>
      </c>
      <c r="CW1223" s="1">
        <v>0.0</v>
      </c>
      <c r="CX1223" s="1">
        <v>0.0</v>
      </c>
      <c r="CY1223" s="1">
        <v>0.0</v>
      </c>
      <c r="CZ1223" s="1">
        <v>0.0</v>
      </c>
      <c r="DA1223" s="1">
        <v>0.0</v>
      </c>
      <c r="DB1223" s="1">
        <v>0.0</v>
      </c>
      <c r="DC1223" s="1">
        <v>1.0</v>
      </c>
      <c r="DD1223" s="1" t="s">
        <v>5369</v>
      </c>
      <c r="DE1223" s="1">
        <v>0.0322448507429089</v>
      </c>
      <c r="DF1223" s="2" t="s">
        <v>5370</v>
      </c>
    </row>
    <row r="1224" ht="15.75" customHeight="1">
      <c r="A1224" s="1" t="s">
        <v>5371</v>
      </c>
      <c r="B1224" s="1">
        <v>29.0</v>
      </c>
      <c r="C1224" s="1">
        <v>205.0</v>
      </c>
      <c r="D1224" s="1">
        <v>450300.0</v>
      </c>
      <c r="E1224" s="1">
        <v>187.966</v>
      </c>
      <c r="F1224" s="1">
        <v>29205.0</v>
      </c>
      <c r="G1224" s="1">
        <v>2.92054503E10</v>
      </c>
      <c r="H1224" s="1" t="s">
        <v>112</v>
      </c>
      <c r="I1224" s="1" t="s">
        <v>113</v>
      </c>
      <c r="J1224" s="1" t="s">
        <v>5363</v>
      </c>
      <c r="K1224" s="1" t="s">
        <v>5372</v>
      </c>
      <c r="L1224" s="1">
        <v>1821.0</v>
      </c>
      <c r="M1224" s="1">
        <v>1848.0</v>
      </c>
      <c r="N1224" s="1">
        <v>170.0</v>
      </c>
      <c r="O1224" s="1">
        <v>931.0</v>
      </c>
      <c r="P1224" s="1">
        <v>979.0</v>
      </c>
      <c r="Q1224" s="1">
        <v>68.0</v>
      </c>
      <c r="R1224" s="1">
        <v>740.0</v>
      </c>
      <c r="S1224" s="1">
        <v>164.0</v>
      </c>
      <c r="T1224" s="1">
        <v>53.0</v>
      </c>
      <c r="U1224" s="1">
        <v>36.0</v>
      </c>
      <c r="V1224" s="1">
        <v>395.0</v>
      </c>
      <c r="W1224" s="1">
        <v>18949.0</v>
      </c>
      <c r="X1224" s="1">
        <v>1732.0</v>
      </c>
      <c r="Y1224" s="1">
        <v>141.0</v>
      </c>
      <c r="Z1224" s="1">
        <v>233.0</v>
      </c>
      <c r="AA1224" s="1">
        <v>369.0</v>
      </c>
      <c r="AB1224" s="1">
        <v>488.0</v>
      </c>
      <c r="AC1224" s="1">
        <v>64.0</v>
      </c>
      <c r="AD1224" s="1">
        <v>57.0</v>
      </c>
      <c r="AE1224" s="1">
        <v>6.0</v>
      </c>
      <c r="AF1224" s="1">
        <v>442.0</v>
      </c>
      <c r="AG1224" s="1">
        <v>0.0</v>
      </c>
      <c r="AH1224" s="1">
        <v>197.0</v>
      </c>
      <c r="AI1224" s="1">
        <v>80.0</v>
      </c>
      <c r="AJ1224" s="1">
        <v>39.0</v>
      </c>
      <c r="AK1224" s="1">
        <v>11.0</v>
      </c>
      <c r="AL1224" s="1">
        <v>12.0</v>
      </c>
      <c r="AM1224" s="1">
        <v>69.0</v>
      </c>
      <c r="AN1224" s="1">
        <v>34.0</v>
      </c>
      <c r="AO1224" s="1">
        <v>86.0</v>
      </c>
      <c r="AP1224" s="1">
        <v>0.089519</v>
      </c>
      <c r="AQ1224" s="1">
        <v>0.027667</v>
      </c>
      <c r="AR1224" s="1">
        <v>0.044117</v>
      </c>
      <c r="AS1224" s="1">
        <v>0.484035</v>
      </c>
      <c r="AT1224" s="1">
        <v>18949.0</v>
      </c>
      <c r="AU1224" s="1">
        <v>1732.0</v>
      </c>
      <c r="AV1224" s="1">
        <v>0.114077</v>
      </c>
      <c r="AW1224" s="1">
        <v>0.188222</v>
      </c>
      <c r="AX1224" s="1">
        <v>0.202635</v>
      </c>
      <c r="AY1224" s="1">
        <v>0.267984</v>
      </c>
      <c r="AZ1224" s="1">
        <v>0.08648648</v>
      </c>
      <c r="BA1224" s="1">
        <v>0.031301</v>
      </c>
      <c r="BB1224" s="1">
        <v>0.003544</v>
      </c>
      <c r="BC1224" s="1">
        <v>0.261074</v>
      </c>
      <c r="BD1224" s="1">
        <v>0.0</v>
      </c>
      <c r="BE1224" s="1">
        <v>0.201225</v>
      </c>
      <c r="BF1224" s="1">
        <v>0.081716</v>
      </c>
      <c r="BG1224" s="1">
        <v>0.03943</v>
      </c>
      <c r="BH1224" s="1">
        <v>0.013157</v>
      </c>
      <c r="BI1224" s="1">
        <v>0.014305</v>
      </c>
      <c r="BJ1224" s="1">
        <v>0.082535</v>
      </c>
      <c r="BK1224" s="1">
        <v>0.03999</v>
      </c>
      <c r="BL1224" s="1">
        <v>0.047226</v>
      </c>
      <c r="BM1224" s="1">
        <v>0.335</v>
      </c>
      <c r="BN1224" s="1">
        <v>0.228</v>
      </c>
      <c r="BO1224" s="1">
        <v>0.6744</v>
      </c>
      <c r="BP1224" s="1">
        <v>0.4</v>
      </c>
      <c r="BQ1224" s="1">
        <v>1.6374</v>
      </c>
      <c r="BR1224" s="1">
        <v>0.3834</v>
      </c>
      <c r="BS1224" s="1">
        <v>0.884</v>
      </c>
      <c r="BT1224" s="1">
        <v>0.776</v>
      </c>
      <c r="BU1224" s="1">
        <v>0.371</v>
      </c>
      <c r="BV1224" s="1">
        <v>2.031</v>
      </c>
      <c r="BW1224" s="1">
        <v>0.877</v>
      </c>
      <c r="BX1224" s="1">
        <v>0.089</v>
      </c>
      <c r="BY1224" s="1">
        <v>0.485</v>
      </c>
      <c r="BZ1224" s="1">
        <v>0.574</v>
      </c>
      <c r="CA1224" s="1">
        <v>0.256</v>
      </c>
      <c r="CB1224" s="1">
        <v>0.0</v>
      </c>
      <c r="CC1224" s="1">
        <v>0.679</v>
      </c>
      <c r="CD1224" s="1">
        <v>0.553</v>
      </c>
      <c r="CE1224" s="1">
        <v>0.693</v>
      </c>
      <c r="CF1224" s="1">
        <v>0.887</v>
      </c>
      <c r="CG1224" s="1">
        <v>2.812</v>
      </c>
      <c r="CH1224" s="1">
        <v>0.693</v>
      </c>
      <c r="CI1224" s="1">
        <v>7.0544</v>
      </c>
      <c r="CJ1224" s="1">
        <v>0.5581</v>
      </c>
      <c r="CK1224" s="1">
        <v>0.0</v>
      </c>
      <c r="CL1224" s="1">
        <v>0.0</v>
      </c>
      <c r="CM1224" s="1">
        <v>0.0</v>
      </c>
      <c r="CN1224" s="1">
        <v>0.0</v>
      </c>
      <c r="CO1224" s="1">
        <v>0.0</v>
      </c>
      <c r="CP1224" s="1">
        <v>0.0</v>
      </c>
      <c r="CQ1224" s="1">
        <v>0.0</v>
      </c>
      <c r="CR1224" s="1">
        <v>0.0</v>
      </c>
      <c r="CS1224" s="1">
        <v>0.0</v>
      </c>
      <c r="CT1224" s="1">
        <v>0.0</v>
      </c>
      <c r="CU1224" s="1">
        <v>0.0</v>
      </c>
      <c r="CV1224" s="1">
        <v>0.0</v>
      </c>
      <c r="CW1224" s="1">
        <v>0.0</v>
      </c>
      <c r="CX1224" s="1">
        <v>0.0</v>
      </c>
      <c r="CY1224" s="1">
        <v>0.0</v>
      </c>
      <c r="CZ1224" s="1">
        <v>0.0</v>
      </c>
      <c r="DA1224" s="1">
        <v>0.0</v>
      </c>
      <c r="DB1224" s="1">
        <v>0.0</v>
      </c>
      <c r="DC1224" s="1">
        <v>0.0</v>
      </c>
      <c r="DD1224" s="1" t="s">
        <v>5373</v>
      </c>
      <c r="DE1224" s="2" t="s">
        <v>5374</v>
      </c>
      <c r="DF1224" s="2" t="s">
        <v>5375</v>
      </c>
    </row>
    <row r="1225" ht="15.75" customHeight="1">
      <c r="A1225" s="1" t="s">
        <v>5376</v>
      </c>
      <c r="B1225" s="1">
        <v>29.0</v>
      </c>
      <c r="C1225" s="1">
        <v>207.0</v>
      </c>
      <c r="D1225" s="1">
        <v>470500.0</v>
      </c>
      <c r="E1225" s="1">
        <v>3.025</v>
      </c>
      <c r="F1225" s="1">
        <v>29207.0</v>
      </c>
      <c r="G1225" s="1">
        <v>2.92074705E10</v>
      </c>
      <c r="H1225" s="1" t="s">
        <v>112</v>
      </c>
      <c r="I1225" s="1" t="s">
        <v>113</v>
      </c>
      <c r="J1225" s="1" t="s">
        <v>5377</v>
      </c>
      <c r="K1225" s="1" t="s">
        <v>5378</v>
      </c>
      <c r="L1225" s="1">
        <v>3494.0</v>
      </c>
      <c r="M1225" s="1">
        <v>3543.0</v>
      </c>
      <c r="N1225" s="1">
        <v>280.0</v>
      </c>
      <c r="O1225" s="1">
        <v>1682.0</v>
      </c>
      <c r="P1225" s="1">
        <v>1678.0</v>
      </c>
      <c r="Q1225" s="1">
        <v>106.0</v>
      </c>
      <c r="R1225" s="1">
        <v>1546.0</v>
      </c>
      <c r="S1225" s="1">
        <v>917.0</v>
      </c>
      <c r="T1225" s="1">
        <v>258.0</v>
      </c>
      <c r="U1225" s="1">
        <v>201.0</v>
      </c>
      <c r="V1225" s="1">
        <v>422.0</v>
      </c>
      <c r="W1225" s="1">
        <v>16592.0</v>
      </c>
      <c r="X1225" s="1">
        <v>2000.0</v>
      </c>
      <c r="Y1225" s="1">
        <v>673.0</v>
      </c>
      <c r="Z1225" s="1">
        <v>252.0</v>
      </c>
      <c r="AA1225" s="1">
        <v>638.0</v>
      </c>
      <c r="AB1225" s="1">
        <v>841.0</v>
      </c>
      <c r="AC1225" s="1">
        <v>255.0</v>
      </c>
      <c r="AD1225" s="1">
        <v>174.0</v>
      </c>
      <c r="AE1225" s="1">
        <v>6.0</v>
      </c>
      <c r="AF1225" s="1">
        <v>442.0</v>
      </c>
      <c r="AG1225" s="1">
        <v>108.0</v>
      </c>
      <c r="AH1225" s="1">
        <v>53.0</v>
      </c>
      <c r="AI1225" s="1">
        <v>60.0</v>
      </c>
      <c r="AJ1225" s="1">
        <v>46.0</v>
      </c>
      <c r="AK1225" s="1">
        <v>42.0</v>
      </c>
      <c r="AL1225" s="1">
        <v>123.0</v>
      </c>
      <c r="AM1225" s="1">
        <v>185.0</v>
      </c>
      <c r="AN1225" s="1">
        <v>78.0</v>
      </c>
      <c r="AO1225" s="1">
        <v>113.0</v>
      </c>
      <c r="AP1225" s="1">
        <v>0.259773</v>
      </c>
      <c r="AQ1225" s="1">
        <v>0.070187</v>
      </c>
      <c r="AR1225" s="1">
        <v>0.124074</v>
      </c>
      <c r="AS1225" s="1">
        <v>0.259725</v>
      </c>
      <c r="AT1225" s="1">
        <v>16592.0</v>
      </c>
      <c r="AU1225" s="1">
        <v>2000.0</v>
      </c>
      <c r="AV1225" s="1">
        <v>0.283129</v>
      </c>
      <c r="AW1225" s="1">
        <v>0.103849</v>
      </c>
      <c r="AX1225" s="1">
        <v>0.182598</v>
      </c>
      <c r="AY1225" s="1">
        <v>0.240698</v>
      </c>
      <c r="AZ1225" s="1">
        <v>0.16494178</v>
      </c>
      <c r="BA1225" s="1">
        <v>0.049799</v>
      </c>
      <c r="BB1225" s="1">
        <v>0.001821</v>
      </c>
      <c r="BC1225" s="1">
        <v>0.134183</v>
      </c>
      <c r="BD1225" s="1">
        <v>0.064362</v>
      </c>
      <c r="BE1225" s="1">
        <v>0.031322</v>
      </c>
      <c r="BF1225" s="1">
        <v>0.035756</v>
      </c>
      <c r="BG1225" s="1">
        <v>0.02732</v>
      </c>
      <c r="BH1225" s="1">
        <v>0.026802</v>
      </c>
      <c r="BI1225" s="1">
        <v>0.078472</v>
      </c>
      <c r="BJ1225" s="1">
        <v>0.118059</v>
      </c>
      <c r="BK1225" s="1">
        <v>0.049107</v>
      </c>
      <c r="BL1225" s="1">
        <v>0.032341</v>
      </c>
      <c r="BM1225" s="1">
        <v>0.843</v>
      </c>
      <c r="BN1225" s="1">
        <v>0.837</v>
      </c>
      <c r="BO1225" s="1">
        <v>0.8079</v>
      </c>
      <c r="BP1225" s="1">
        <v>0.924</v>
      </c>
      <c r="BQ1225" s="1">
        <v>3.4119</v>
      </c>
      <c r="BR1225" s="1">
        <v>0.9025</v>
      </c>
      <c r="BS1225" s="1">
        <v>0.807</v>
      </c>
      <c r="BT1225" s="1">
        <v>0.501</v>
      </c>
      <c r="BU1225" s="1">
        <v>0.836</v>
      </c>
      <c r="BV1225" s="1">
        <v>2.144</v>
      </c>
      <c r="BW1225" s="1">
        <v>0.944</v>
      </c>
      <c r="BX1225" s="1">
        <v>0.245</v>
      </c>
      <c r="BY1225" s="1">
        <v>0.372</v>
      </c>
      <c r="BZ1225" s="1">
        <v>0.617</v>
      </c>
      <c r="CA1225" s="1">
        <v>0.282</v>
      </c>
      <c r="CB1225" s="1">
        <v>0.699</v>
      </c>
      <c r="CC1225" s="1">
        <v>0.566</v>
      </c>
      <c r="CD1225" s="1">
        <v>0.779</v>
      </c>
      <c r="CE1225" s="1">
        <v>0.802</v>
      </c>
      <c r="CF1225" s="1">
        <v>0.815</v>
      </c>
      <c r="CG1225" s="1">
        <v>3.661</v>
      </c>
      <c r="CH1225" s="1">
        <v>0.97</v>
      </c>
      <c r="CI1225" s="1">
        <v>9.8339</v>
      </c>
      <c r="CJ1225" s="1">
        <v>0.9379</v>
      </c>
      <c r="CK1225" s="1">
        <v>0.0</v>
      </c>
      <c r="CL1225" s="1">
        <v>0.0</v>
      </c>
      <c r="CM1225" s="1">
        <v>0.0</v>
      </c>
      <c r="CN1225" s="1">
        <v>1.0</v>
      </c>
      <c r="CO1225" s="1">
        <v>1.0</v>
      </c>
      <c r="CP1225" s="1">
        <v>0.0</v>
      </c>
      <c r="CQ1225" s="1">
        <v>0.0</v>
      </c>
      <c r="CR1225" s="1">
        <v>0.0</v>
      </c>
      <c r="CS1225" s="1">
        <v>0.0</v>
      </c>
      <c r="CT1225" s="1">
        <v>0.0</v>
      </c>
      <c r="CU1225" s="1">
        <v>0.0</v>
      </c>
      <c r="CV1225" s="1">
        <v>0.0</v>
      </c>
      <c r="CW1225" s="1">
        <v>0.0</v>
      </c>
      <c r="CX1225" s="1">
        <v>0.0</v>
      </c>
      <c r="CY1225" s="1">
        <v>0.0</v>
      </c>
      <c r="CZ1225" s="1">
        <v>0.0</v>
      </c>
      <c r="DA1225" s="1">
        <v>0.0</v>
      </c>
      <c r="DB1225" s="1">
        <v>0.0</v>
      </c>
      <c r="DC1225" s="1">
        <v>1.0</v>
      </c>
      <c r="DD1225" s="1" t="s">
        <v>5379</v>
      </c>
      <c r="DE1225" s="1">
        <v>8.12086335514476E-4</v>
      </c>
      <c r="DF1225" s="2" t="s">
        <v>5380</v>
      </c>
    </row>
    <row r="1226" ht="15.75" customHeight="1">
      <c r="A1226" s="1" t="s">
        <v>5381</v>
      </c>
      <c r="B1226" s="1">
        <v>29.0</v>
      </c>
      <c r="C1226" s="1">
        <v>207.0</v>
      </c>
      <c r="D1226" s="1">
        <v>470100.0</v>
      </c>
      <c r="E1226" s="1">
        <v>134.756</v>
      </c>
      <c r="F1226" s="1">
        <v>29207.0</v>
      </c>
      <c r="G1226" s="1">
        <v>2.92074701E10</v>
      </c>
      <c r="H1226" s="1" t="s">
        <v>112</v>
      </c>
      <c r="I1226" s="1" t="s">
        <v>113</v>
      </c>
      <c r="J1226" s="1" t="s">
        <v>5377</v>
      </c>
      <c r="K1226" s="1" t="s">
        <v>5382</v>
      </c>
      <c r="L1226" s="1">
        <v>3826.0</v>
      </c>
      <c r="M1226" s="1">
        <v>3818.0</v>
      </c>
      <c r="N1226" s="1">
        <v>175.0</v>
      </c>
      <c r="O1226" s="1">
        <v>1760.0</v>
      </c>
      <c r="P1226" s="1">
        <v>1680.0</v>
      </c>
      <c r="Q1226" s="1">
        <v>124.0</v>
      </c>
      <c r="R1226" s="1">
        <v>1556.0</v>
      </c>
      <c r="S1226" s="1">
        <v>582.0</v>
      </c>
      <c r="T1226" s="1">
        <v>139.0</v>
      </c>
      <c r="U1226" s="1">
        <v>165.0</v>
      </c>
      <c r="V1226" s="1">
        <v>308.0</v>
      </c>
      <c r="W1226" s="1">
        <v>17454.0</v>
      </c>
      <c r="X1226" s="1">
        <v>1296.0</v>
      </c>
      <c r="Y1226" s="1">
        <v>749.0</v>
      </c>
      <c r="Z1226" s="1">
        <v>124.0</v>
      </c>
      <c r="AA1226" s="1">
        <v>684.0</v>
      </c>
      <c r="AB1226" s="1">
        <v>879.0</v>
      </c>
      <c r="AC1226" s="1">
        <v>155.0</v>
      </c>
      <c r="AD1226" s="1">
        <v>118.0</v>
      </c>
      <c r="AE1226" s="1">
        <v>0.0</v>
      </c>
      <c r="AF1226" s="1">
        <v>456.0</v>
      </c>
      <c r="AG1226" s="1">
        <v>0.0</v>
      </c>
      <c r="AH1226" s="1">
        <v>197.0</v>
      </c>
      <c r="AI1226" s="1">
        <v>226.0</v>
      </c>
      <c r="AJ1226" s="1">
        <v>58.0</v>
      </c>
      <c r="AK1226" s="1">
        <v>12.0</v>
      </c>
      <c r="AL1226" s="1">
        <v>115.0</v>
      </c>
      <c r="AM1226" s="1">
        <v>70.0</v>
      </c>
      <c r="AN1226" s="1">
        <v>32.0</v>
      </c>
      <c r="AO1226" s="1">
        <v>43.0</v>
      </c>
      <c r="AP1226" s="1">
        <v>0.15919</v>
      </c>
      <c r="AQ1226" s="1">
        <v>0.036849</v>
      </c>
      <c r="AR1226" s="1">
        <v>0.109126</v>
      </c>
      <c r="AS1226" s="1">
        <v>0.203191</v>
      </c>
      <c r="AT1226" s="1">
        <v>17454.0</v>
      </c>
      <c r="AU1226" s="1">
        <v>1296.0</v>
      </c>
      <c r="AV1226" s="1">
        <v>0.279061</v>
      </c>
      <c r="AW1226" s="1">
        <v>0.043297</v>
      </c>
      <c r="AX1226" s="1">
        <v>0.178776</v>
      </c>
      <c r="AY1226" s="1">
        <v>0.229743</v>
      </c>
      <c r="AZ1226" s="1">
        <v>0.09961439</v>
      </c>
      <c r="BA1226" s="1">
        <v>0.030841</v>
      </c>
      <c r="BB1226" s="1">
        <v>0.0</v>
      </c>
      <c r="BC1226" s="1">
        <v>0.127481</v>
      </c>
      <c r="BD1226" s="1">
        <v>0.0</v>
      </c>
      <c r="BE1226" s="1">
        <v>0.117261</v>
      </c>
      <c r="BF1226" s="1">
        <v>0.134523</v>
      </c>
      <c r="BG1226" s="1">
        <v>0.033065</v>
      </c>
      <c r="BH1226" s="1">
        <v>0.007968</v>
      </c>
      <c r="BI1226" s="1">
        <v>0.076358</v>
      </c>
      <c r="BJ1226" s="1">
        <v>0.04648</v>
      </c>
      <c r="BK1226" s="1">
        <v>0.020965</v>
      </c>
      <c r="BL1226" s="1">
        <v>0.011238</v>
      </c>
      <c r="BM1226" s="1">
        <v>0.609</v>
      </c>
      <c r="BN1226" s="1">
        <v>0.784</v>
      </c>
      <c r="BO1226" s="1">
        <v>0.7567</v>
      </c>
      <c r="BP1226" s="1">
        <v>0.92</v>
      </c>
      <c r="BQ1226" s="1">
        <v>3.0697</v>
      </c>
      <c r="BR1226" s="1">
        <v>0.8173</v>
      </c>
      <c r="BS1226" s="1">
        <v>0.779</v>
      </c>
      <c r="BT1226" s="1">
        <v>0.383</v>
      </c>
      <c r="BU1226" s="1">
        <v>0.489</v>
      </c>
      <c r="BV1226" s="1">
        <v>1.651</v>
      </c>
      <c r="BW1226" s="1">
        <v>0.603</v>
      </c>
      <c r="BX1226" s="1">
        <v>0.086</v>
      </c>
      <c r="BY1226" s="1">
        <v>0.0</v>
      </c>
      <c r="BZ1226" s="1">
        <v>0.086</v>
      </c>
      <c r="CA1226" s="1">
        <v>0.041</v>
      </c>
      <c r="CB1226" s="1">
        <v>0.0</v>
      </c>
      <c r="CC1226" s="1">
        <v>0.784</v>
      </c>
      <c r="CD1226" s="1">
        <v>0.435</v>
      </c>
      <c r="CE1226" s="1">
        <v>0.456</v>
      </c>
      <c r="CF1226" s="1">
        <v>0.594</v>
      </c>
      <c r="CG1226" s="1">
        <v>2.269</v>
      </c>
      <c r="CH1226" s="1">
        <v>0.446</v>
      </c>
      <c r="CI1226" s="1">
        <v>7.0757</v>
      </c>
      <c r="CJ1226" s="1">
        <v>0.5639</v>
      </c>
      <c r="CK1226" s="1">
        <v>0.0</v>
      </c>
      <c r="CL1226" s="1">
        <v>0.0</v>
      </c>
      <c r="CM1226" s="1">
        <v>0.0</v>
      </c>
      <c r="CN1226" s="1">
        <v>1.0</v>
      </c>
      <c r="CO1226" s="1">
        <v>1.0</v>
      </c>
      <c r="CP1226" s="1">
        <v>0.0</v>
      </c>
      <c r="CQ1226" s="1">
        <v>0.0</v>
      </c>
      <c r="CR1226" s="1">
        <v>0.0</v>
      </c>
      <c r="CS1226" s="1">
        <v>0.0</v>
      </c>
      <c r="CT1226" s="1">
        <v>0.0</v>
      </c>
      <c r="CU1226" s="1">
        <v>0.0</v>
      </c>
      <c r="CV1226" s="1">
        <v>0.0</v>
      </c>
      <c r="CW1226" s="1">
        <v>0.0</v>
      </c>
      <c r="CX1226" s="1">
        <v>0.0</v>
      </c>
      <c r="CY1226" s="1">
        <v>0.0</v>
      </c>
      <c r="CZ1226" s="1">
        <v>0.0</v>
      </c>
      <c r="DA1226" s="1">
        <v>0.0</v>
      </c>
      <c r="DB1226" s="1">
        <v>0.0</v>
      </c>
      <c r="DC1226" s="1">
        <v>1.0</v>
      </c>
      <c r="DD1226" s="1" t="s">
        <v>5383</v>
      </c>
      <c r="DE1226" s="1">
        <v>0.035532507526698</v>
      </c>
      <c r="DF1226" s="2" t="s">
        <v>5384</v>
      </c>
    </row>
    <row r="1227" ht="15.75" customHeight="1">
      <c r="A1227" s="1" t="s">
        <v>5385</v>
      </c>
      <c r="B1227" s="1">
        <v>29.0</v>
      </c>
      <c r="C1227" s="1">
        <v>207.0</v>
      </c>
      <c r="D1227" s="1">
        <v>470200.0</v>
      </c>
      <c r="E1227" s="1">
        <v>221.305</v>
      </c>
      <c r="F1227" s="1">
        <v>29207.0</v>
      </c>
      <c r="G1227" s="1">
        <v>2.92074702E10</v>
      </c>
      <c r="H1227" s="1" t="s">
        <v>112</v>
      </c>
      <c r="I1227" s="1" t="s">
        <v>113</v>
      </c>
      <c r="J1227" s="1" t="s">
        <v>5377</v>
      </c>
      <c r="K1227" s="1" t="s">
        <v>5386</v>
      </c>
      <c r="L1227" s="1">
        <v>4573.0</v>
      </c>
      <c r="M1227" s="1">
        <v>4478.0</v>
      </c>
      <c r="N1227" s="1">
        <v>179.0</v>
      </c>
      <c r="O1227" s="1">
        <v>2021.0</v>
      </c>
      <c r="P1227" s="1">
        <v>2012.0</v>
      </c>
      <c r="Q1227" s="1">
        <v>169.0</v>
      </c>
      <c r="R1227" s="1">
        <v>1764.0</v>
      </c>
      <c r="S1227" s="1">
        <v>1134.0</v>
      </c>
      <c r="T1227" s="1">
        <v>309.0</v>
      </c>
      <c r="U1227" s="1">
        <v>284.0</v>
      </c>
      <c r="V1227" s="1">
        <v>297.0</v>
      </c>
      <c r="W1227" s="1">
        <v>17744.0</v>
      </c>
      <c r="X1227" s="1">
        <v>2069.0</v>
      </c>
      <c r="Y1227" s="1">
        <v>851.0</v>
      </c>
      <c r="Z1227" s="1">
        <v>157.0</v>
      </c>
      <c r="AA1227" s="1">
        <v>773.0</v>
      </c>
      <c r="AB1227" s="1">
        <v>1087.0</v>
      </c>
      <c r="AC1227" s="1">
        <v>159.0</v>
      </c>
      <c r="AD1227" s="1">
        <v>124.0</v>
      </c>
      <c r="AE1227" s="1">
        <v>11.0</v>
      </c>
      <c r="AF1227" s="1">
        <v>442.0</v>
      </c>
      <c r="AG1227" s="1">
        <v>2.0</v>
      </c>
      <c r="AH1227" s="1">
        <v>161.0</v>
      </c>
      <c r="AI1227" s="1">
        <v>385.0</v>
      </c>
      <c r="AJ1227" s="1">
        <v>108.0</v>
      </c>
      <c r="AK1227" s="1">
        <v>42.0</v>
      </c>
      <c r="AL1227" s="1">
        <v>120.0</v>
      </c>
      <c r="AM1227" s="1">
        <v>94.0</v>
      </c>
      <c r="AN1227" s="1">
        <v>54.0</v>
      </c>
      <c r="AO1227" s="1">
        <v>245.0</v>
      </c>
      <c r="AP1227" s="1">
        <v>0.258845</v>
      </c>
      <c r="AQ1227" s="1">
        <v>0.069661</v>
      </c>
      <c r="AR1227" s="1">
        <v>0.156732</v>
      </c>
      <c r="AS1227" s="1">
        <v>0.162878</v>
      </c>
      <c r="AT1227" s="1">
        <v>17744.0</v>
      </c>
      <c r="AU1227" s="1">
        <v>2069.0</v>
      </c>
      <c r="AV1227" s="1">
        <v>0.275226</v>
      </c>
      <c r="AW1227" s="1">
        <v>0.047418</v>
      </c>
      <c r="AX1227" s="1">
        <v>0.169035</v>
      </c>
      <c r="AY1227" s="1">
        <v>0.237699</v>
      </c>
      <c r="AZ1227" s="1">
        <v>0.09013605</v>
      </c>
      <c r="BA1227" s="1">
        <v>0.027115</v>
      </c>
      <c r="BB1227" s="1">
        <v>0.002598</v>
      </c>
      <c r="BC1227" s="1">
        <v>0.104392</v>
      </c>
      <c r="BD1227" s="1">
        <v>9.94E-4</v>
      </c>
      <c r="BE1227" s="1">
        <v>0.080019</v>
      </c>
      <c r="BF1227" s="1">
        <v>0.191351</v>
      </c>
      <c r="BG1227" s="1">
        <v>0.051215</v>
      </c>
      <c r="BH1227" s="1">
        <v>0.023782</v>
      </c>
      <c r="BI1227" s="1">
        <v>0.06792</v>
      </c>
      <c r="BJ1227" s="1">
        <v>0.053227</v>
      </c>
      <c r="BK1227" s="1">
        <v>0.030245</v>
      </c>
      <c r="BL1227" s="1">
        <v>0.053575</v>
      </c>
      <c r="BM1227" s="1">
        <v>0.842</v>
      </c>
      <c r="BN1227" s="1">
        <v>0.909</v>
      </c>
      <c r="BO1227" s="1">
        <v>0.7415</v>
      </c>
      <c r="BP1227" s="1">
        <v>0.912</v>
      </c>
      <c r="BQ1227" s="1">
        <v>3.4045</v>
      </c>
      <c r="BR1227" s="1">
        <v>0.9004</v>
      </c>
      <c r="BS1227" s="1">
        <v>0.73</v>
      </c>
      <c r="BT1227" s="1">
        <v>0.471</v>
      </c>
      <c r="BU1227" s="1">
        <v>0.403</v>
      </c>
      <c r="BV1227" s="1">
        <v>1.604</v>
      </c>
      <c r="BW1227" s="1">
        <v>0.571</v>
      </c>
      <c r="BX1227" s="1">
        <v>0.059</v>
      </c>
      <c r="BY1227" s="1">
        <v>0.421</v>
      </c>
      <c r="BZ1227" s="1">
        <v>0.48</v>
      </c>
      <c r="CA1227" s="1">
        <v>0.2</v>
      </c>
      <c r="CB1227" s="1">
        <v>0.256</v>
      </c>
      <c r="CC1227" s="1">
        <v>0.884</v>
      </c>
      <c r="CD1227" s="1">
        <v>0.741</v>
      </c>
      <c r="CE1227" s="1">
        <v>0.514</v>
      </c>
      <c r="CF1227" s="1">
        <v>0.902</v>
      </c>
      <c r="CG1227" s="1">
        <v>3.297</v>
      </c>
      <c r="CH1227" s="1">
        <v>0.871</v>
      </c>
      <c r="CI1227" s="1">
        <v>8.7855</v>
      </c>
      <c r="CJ1227" s="1">
        <v>0.826</v>
      </c>
      <c r="CK1227" s="1">
        <v>0.0</v>
      </c>
      <c r="CL1227" s="1">
        <v>1.0</v>
      </c>
      <c r="CM1227" s="1">
        <v>0.0</v>
      </c>
      <c r="CN1227" s="1">
        <v>1.0</v>
      </c>
      <c r="CO1227" s="1">
        <v>2.0</v>
      </c>
      <c r="CP1227" s="1">
        <v>0.0</v>
      </c>
      <c r="CQ1227" s="1">
        <v>0.0</v>
      </c>
      <c r="CR1227" s="1">
        <v>0.0</v>
      </c>
      <c r="CS1227" s="1">
        <v>0.0</v>
      </c>
      <c r="CT1227" s="1">
        <v>0.0</v>
      </c>
      <c r="CU1227" s="1">
        <v>0.0</v>
      </c>
      <c r="CV1227" s="1">
        <v>0.0</v>
      </c>
      <c r="CW1227" s="1">
        <v>0.0</v>
      </c>
      <c r="CX1227" s="1">
        <v>0.0</v>
      </c>
      <c r="CY1227" s="1">
        <v>0.0</v>
      </c>
      <c r="CZ1227" s="1">
        <v>0.0</v>
      </c>
      <c r="DA1227" s="1">
        <v>1.0</v>
      </c>
      <c r="DB1227" s="1">
        <v>1.0</v>
      </c>
      <c r="DC1227" s="1">
        <v>3.0</v>
      </c>
      <c r="DD1227" s="1" t="s">
        <v>5387</v>
      </c>
      <c r="DE1227" s="2" t="s">
        <v>5388</v>
      </c>
      <c r="DF1227" s="2" t="s">
        <v>5389</v>
      </c>
    </row>
    <row r="1228" ht="15.75" customHeight="1">
      <c r="A1228" s="1" t="s">
        <v>5390</v>
      </c>
      <c r="B1228" s="1">
        <v>29.0</v>
      </c>
      <c r="C1228" s="1">
        <v>207.0</v>
      </c>
      <c r="D1228" s="1">
        <v>470300.0</v>
      </c>
      <c r="E1228" s="1">
        <v>50.922</v>
      </c>
      <c r="F1228" s="1">
        <v>29207.0</v>
      </c>
      <c r="G1228" s="1">
        <v>2.92074703E10</v>
      </c>
      <c r="H1228" s="1" t="s">
        <v>112</v>
      </c>
      <c r="I1228" s="1" t="s">
        <v>113</v>
      </c>
      <c r="J1228" s="1" t="s">
        <v>5377</v>
      </c>
      <c r="K1228" s="1" t="s">
        <v>5391</v>
      </c>
      <c r="L1228" s="1">
        <v>4248.0</v>
      </c>
      <c r="M1228" s="1">
        <v>4239.0</v>
      </c>
      <c r="N1228" s="1">
        <v>363.0</v>
      </c>
      <c r="O1228" s="1">
        <v>1896.0</v>
      </c>
      <c r="P1228" s="1">
        <v>1920.0</v>
      </c>
      <c r="Q1228" s="1">
        <v>166.0</v>
      </c>
      <c r="R1228" s="1">
        <v>1725.0</v>
      </c>
      <c r="S1228" s="1">
        <v>875.0</v>
      </c>
      <c r="T1228" s="1">
        <v>384.0</v>
      </c>
      <c r="U1228" s="1">
        <v>136.0</v>
      </c>
      <c r="V1228" s="1">
        <v>401.0</v>
      </c>
      <c r="W1228" s="1">
        <v>18966.0</v>
      </c>
      <c r="X1228" s="1">
        <v>1900.0</v>
      </c>
      <c r="Y1228" s="1">
        <v>739.0</v>
      </c>
      <c r="Z1228" s="1">
        <v>189.0</v>
      </c>
      <c r="AA1228" s="1">
        <v>851.0</v>
      </c>
      <c r="AB1228" s="1">
        <v>885.0</v>
      </c>
      <c r="AC1228" s="1">
        <v>140.0</v>
      </c>
      <c r="AD1228" s="1">
        <v>84.0</v>
      </c>
      <c r="AE1228" s="1">
        <v>0.0</v>
      </c>
      <c r="AF1228" s="1">
        <v>456.0</v>
      </c>
      <c r="AG1228" s="1">
        <v>0.0</v>
      </c>
      <c r="AH1228" s="1">
        <v>197.0</v>
      </c>
      <c r="AI1228" s="1">
        <v>267.0</v>
      </c>
      <c r="AJ1228" s="1">
        <v>104.0</v>
      </c>
      <c r="AK1228" s="1">
        <v>8.0</v>
      </c>
      <c r="AL1228" s="1">
        <v>115.0</v>
      </c>
      <c r="AM1228" s="1">
        <v>66.0</v>
      </c>
      <c r="AN1228" s="1">
        <v>40.0</v>
      </c>
      <c r="AO1228" s="1">
        <v>170.0</v>
      </c>
      <c r="AP1228" s="1">
        <v>0.21125</v>
      </c>
      <c r="AQ1228" s="1">
        <v>0.090984</v>
      </c>
      <c r="AR1228" s="1">
        <v>0.069458</v>
      </c>
      <c r="AS1228" s="1">
        <v>0.204639</v>
      </c>
      <c r="AT1228" s="1">
        <v>18966.0</v>
      </c>
      <c r="AU1228" s="1">
        <v>1900.0</v>
      </c>
      <c r="AV1228" s="1">
        <v>0.265731</v>
      </c>
      <c r="AW1228" s="1">
        <v>0.062595</v>
      </c>
      <c r="AX1228" s="1">
        <v>0.200329</v>
      </c>
      <c r="AY1228" s="1">
        <v>0.208333</v>
      </c>
      <c r="AZ1228" s="1">
        <v>0.08115942</v>
      </c>
      <c r="BA1228" s="1">
        <v>0.019774</v>
      </c>
      <c r="BB1228" s="1">
        <v>0.0</v>
      </c>
      <c r="BC1228" s="1">
        <v>0.114544</v>
      </c>
      <c r="BD1228" s="1">
        <v>0.0</v>
      </c>
      <c r="BE1228" s="1">
        <v>0.102604</v>
      </c>
      <c r="BF1228" s="1">
        <v>0.139062</v>
      </c>
      <c r="BG1228" s="1">
        <v>0.052815</v>
      </c>
      <c r="BH1228" s="1">
        <v>0.004767</v>
      </c>
      <c r="BI1228" s="1">
        <v>0.068532</v>
      </c>
      <c r="BJ1228" s="1">
        <v>0.039332</v>
      </c>
      <c r="BK1228" s="1">
        <v>0.02359</v>
      </c>
      <c r="BL1228" s="1">
        <v>0.040018</v>
      </c>
      <c r="BM1228" s="1">
        <v>0.754</v>
      </c>
      <c r="BN1228" s="1">
        <v>0.51</v>
      </c>
      <c r="BO1228" s="1">
        <v>0.6736</v>
      </c>
      <c r="BP1228" s="1">
        <v>0.9</v>
      </c>
      <c r="BQ1228" s="1">
        <v>2.8376</v>
      </c>
      <c r="BR1228" s="1">
        <v>0.7625</v>
      </c>
      <c r="BS1228" s="1">
        <v>0.874</v>
      </c>
      <c r="BT1228" s="1">
        <v>0.228</v>
      </c>
      <c r="BU1228" s="1">
        <v>0.315</v>
      </c>
      <c r="BV1228" s="1">
        <v>1.417</v>
      </c>
      <c r="BW1228" s="1">
        <v>0.405</v>
      </c>
      <c r="BX1228" s="1">
        <v>0.018</v>
      </c>
      <c r="BY1228" s="1">
        <v>0.0</v>
      </c>
      <c r="BZ1228" s="1">
        <v>0.018</v>
      </c>
      <c r="CA1228" s="1">
        <v>0.01</v>
      </c>
      <c r="CB1228" s="1">
        <v>0.0</v>
      </c>
      <c r="CC1228" s="1">
        <v>0.797</v>
      </c>
      <c r="CD1228" s="1">
        <v>0.328</v>
      </c>
      <c r="CE1228" s="1">
        <v>0.384</v>
      </c>
      <c r="CF1228" s="1">
        <v>0.867</v>
      </c>
      <c r="CG1228" s="1">
        <v>2.376</v>
      </c>
      <c r="CH1228" s="1">
        <v>0.502</v>
      </c>
      <c r="CI1228" s="1">
        <v>6.6486</v>
      </c>
      <c r="CJ1228" s="1">
        <v>0.483</v>
      </c>
      <c r="CK1228" s="1">
        <v>0.0</v>
      </c>
      <c r="CL1228" s="1">
        <v>0.0</v>
      </c>
      <c r="CM1228" s="1">
        <v>0.0</v>
      </c>
      <c r="CN1228" s="1">
        <v>1.0</v>
      </c>
      <c r="CO1228" s="1">
        <v>1.0</v>
      </c>
      <c r="CP1228" s="1">
        <v>0.0</v>
      </c>
      <c r="CQ1228" s="1">
        <v>0.0</v>
      </c>
      <c r="CR1228" s="1">
        <v>0.0</v>
      </c>
      <c r="CS1228" s="1">
        <v>0.0</v>
      </c>
      <c r="CT1228" s="1">
        <v>0.0</v>
      </c>
      <c r="CU1228" s="1">
        <v>0.0</v>
      </c>
      <c r="CV1228" s="1">
        <v>0.0</v>
      </c>
      <c r="CW1228" s="1">
        <v>0.0</v>
      </c>
      <c r="CX1228" s="1">
        <v>0.0</v>
      </c>
      <c r="CY1228" s="1">
        <v>0.0</v>
      </c>
      <c r="CZ1228" s="1">
        <v>0.0</v>
      </c>
      <c r="DA1228" s="1">
        <v>0.0</v>
      </c>
      <c r="DB1228" s="1">
        <v>0.0</v>
      </c>
      <c r="DC1228" s="1">
        <v>1.0</v>
      </c>
      <c r="DD1228" s="1" t="s">
        <v>5392</v>
      </c>
      <c r="DE1228" s="2" t="s">
        <v>5393</v>
      </c>
      <c r="DF1228" s="1">
        <v>0.568470837724085</v>
      </c>
    </row>
    <row r="1229" ht="15.75" customHeight="1">
      <c r="A1229" s="1" t="s">
        <v>5394</v>
      </c>
      <c r="B1229" s="1">
        <v>29.0</v>
      </c>
      <c r="C1229" s="1">
        <v>207.0</v>
      </c>
      <c r="D1229" s="1">
        <v>470400.0</v>
      </c>
      <c r="E1229" s="1">
        <v>172.503</v>
      </c>
      <c r="F1229" s="1">
        <v>29207.0</v>
      </c>
      <c r="G1229" s="1">
        <v>2.92074704E10</v>
      </c>
      <c r="H1229" s="1" t="s">
        <v>112</v>
      </c>
      <c r="I1229" s="1" t="s">
        <v>113</v>
      </c>
      <c r="J1229" s="1" t="s">
        <v>5377</v>
      </c>
      <c r="K1229" s="1" t="s">
        <v>5395</v>
      </c>
      <c r="L1229" s="1">
        <v>3102.0</v>
      </c>
      <c r="M1229" s="1">
        <v>3584.0</v>
      </c>
      <c r="N1229" s="1">
        <v>297.0</v>
      </c>
      <c r="O1229" s="1">
        <v>1378.0</v>
      </c>
      <c r="P1229" s="1">
        <v>1489.0</v>
      </c>
      <c r="Q1229" s="1">
        <v>106.0</v>
      </c>
      <c r="R1229" s="1">
        <v>1219.0</v>
      </c>
      <c r="S1229" s="1">
        <v>710.0</v>
      </c>
      <c r="T1229" s="1">
        <v>261.0</v>
      </c>
      <c r="U1229" s="1">
        <v>145.0</v>
      </c>
      <c r="V1229" s="1">
        <v>307.0</v>
      </c>
      <c r="W1229" s="1">
        <v>16125.0</v>
      </c>
      <c r="X1229" s="1">
        <v>1827.0</v>
      </c>
      <c r="Y1229" s="1">
        <v>478.0</v>
      </c>
      <c r="Z1229" s="1">
        <v>117.0</v>
      </c>
      <c r="AA1229" s="1">
        <v>471.0</v>
      </c>
      <c r="AB1229" s="1">
        <v>703.0</v>
      </c>
      <c r="AC1229" s="1">
        <v>122.0</v>
      </c>
      <c r="AD1229" s="1">
        <v>144.0</v>
      </c>
      <c r="AE1229" s="1">
        <v>0.0</v>
      </c>
      <c r="AF1229" s="1">
        <v>456.0</v>
      </c>
      <c r="AG1229" s="1">
        <v>0.0</v>
      </c>
      <c r="AH1229" s="1">
        <v>197.0</v>
      </c>
      <c r="AI1229" s="1">
        <v>258.0</v>
      </c>
      <c r="AJ1229" s="1">
        <v>97.0</v>
      </c>
      <c r="AK1229" s="1">
        <v>15.0</v>
      </c>
      <c r="AL1229" s="1">
        <v>115.0</v>
      </c>
      <c r="AM1229" s="1">
        <v>45.0</v>
      </c>
      <c r="AN1229" s="1">
        <v>25.0</v>
      </c>
      <c r="AO1229" s="1">
        <v>68.0</v>
      </c>
      <c r="AP1229" s="1">
        <v>0.199494</v>
      </c>
      <c r="AQ1229" s="1">
        <v>0.071433</v>
      </c>
      <c r="AR1229" s="1">
        <v>0.094771</v>
      </c>
      <c r="AS1229" s="1">
        <v>0.200124</v>
      </c>
      <c r="AT1229" s="1">
        <v>16125.0</v>
      </c>
      <c r="AU1229" s="1">
        <v>1827.0</v>
      </c>
      <c r="AV1229" s="1">
        <v>0.20436</v>
      </c>
      <c r="AW1229" s="1">
        <v>0.047337</v>
      </c>
      <c r="AX1229" s="1">
        <v>0.151837</v>
      </c>
      <c r="AY1229" s="1">
        <v>0.226627</v>
      </c>
      <c r="AZ1229" s="1">
        <v>0.10008203</v>
      </c>
      <c r="BA1229" s="1">
        <v>0.046421</v>
      </c>
      <c r="BB1229" s="1">
        <v>0.0</v>
      </c>
      <c r="BC1229" s="1">
        <v>0.13706</v>
      </c>
      <c r="BD1229" s="1">
        <v>0.0</v>
      </c>
      <c r="BE1229" s="1">
        <v>0.132303</v>
      </c>
      <c r="BF1229" s="1">
        <v>0.17327</v>
      </c>
      <c r="BG1229" s="1">
        <v>0.063965</v>
      </c>
      <c r="BH1229" s="1">
        <v>0.011415</v>
      </c>
      <c r="BI1229" s="1">
        <v>0.087514</v>
      </c>
      <c r="BJ1229" s="1">
        <v>0.034246</v>
      </c>
      <c r="BK1229" s="1">
        <v>0.018839</v>
      </c>
      <c r="BL1229" s="1">
        <v>0.021921</v>
      </c>
      <c r="BM1229" s="1">
        <v>0.728</v>
      </c>
      <c r="BN1229" s="1">
        <v>0.704</v>
      </c>
      <c r="BO1229" s="1">
        <v>0.831</v>
      </c>
      <c r="BP1229" s="1">
        <v>0.761</v>
      </c>
      <c r="BQ1229" s="1">
        <v>3.024</v>
      </c>
      <c r="BR1229" s="1">
        <v>0.8079</v>
      </c>
      <c r="BS1229" s="1">
        <v>0.597</v>
      </c>
      <c r="BT1229" s="1">
        <v>0.354</v>
      </c>
      <c r="BU1229" s="1">
        <v>0.495</v>
      </c>
      <c r="BV1229" s="1">
        <v>1.446</v>
      </c>
      <c r="BW1229" s="1">
        <v>0.434</v>
      </c>
      <c r="BX1229" s="1">
        <v>0.225</v>
      </c>
      <c r="BY1229" s="1">
        <v>0.0</v>
      </c>
      <c r="BZ1229" s="1">
        <v>0.225</v>
      </c>
      <c r="CA1229" s="1">
        <v>0.098</v>
      </c>
      <c r="CB1229" s="1">
        <v>0.0</v>
      </c>
      <c r="CC1229" s="1">
        <v>0.857</v>
      </c>
      <c r="CD1229" s="1">
        <v>0.51</v>
      </c>
      <c r="CE1229" s="1">
        <v>0.327</v>
      </c>
      <c r="CF1229" s="1">
        <v>0.734</v>
      </c>
      <c r="CG1229" s="1">
        <v>2.428</v>
      </c>
      <c r="CH1229" s="1">
        <v>0.53</v>
      </c>
      <c r="CI1229" s="1">
        <v>7.123</v>
      </c>
      <c r="CJ1229" s="1">
        <v>0.5755</v>
      </c>
      <c r="CK1229" s="1">
        <v>0.0</v>
      </c>
      <c r="CL1229" s="1">
        <v>0.0</v>
      </c>
      <c r="CM1229" s="1">
        <v>0.0</v>
      </c>
      <c r="CN1229" s="1">
        <v>0.0</v>
      </c>
      <c r="CO1229" s="1">
        <v>0.0</v>
      </c>
      <c r="CP1229" s="1">
        <v>0.0</v>
      </c>
      <c r="CQ1229" s="1">
        <v>0.0</v>
      </c>
      <c r="CR1229" s="1">
        <v>0.0</v>
      </c>
      <c r="CS1229" s="1">
        <v>0.0</v>
      </c>
      <c r="CT1229" s="1">
        <v>0.0</v>
      </c>
      <c r="CU1229" s="1">
        <v>0.0</v>
      </c>
      <c r="CV1229" s="1">
        <v>0.0</v>
      </c>
      <c r="CW1229" s="1">
        <v>0.0</v>
      </c>
      <c r="CX1229" s="1">
        <v>0.0</v>
      </c>
      <c r="CY1229" s="1">
        <v>0.0</v>
      </c>
      <c r="CZ1229" s="1">
        <v>0.0</v>
      </c>
      <c r="DA1229" s="1">
        <v>0.0</v>
      </c>
      <c r="DB1229" s="1">
        <v>0.0</v>
      </c>
      <c r="DC1229" s="1">
        <v>0.0</v>
      </c>
      <c r="DD1229" s="1" t="s">
        <v>5396</v>
      </c>
      <c r="DE1229" s="1">
        <v>0.045367209307169</v>
      </c>
      <c r="DF1229" s="2" t="s">
        <v>5397</v>
      </c>
    </row>
    <row r="1230" ht="15.75" customHeight="1">
      <c r="A1230" s="1" t="s">
        <v>5398</v>
      </c>
      <c r="B1230" s="1">
        <v>29.0</v>
      </c>
      <c r="C1230" s="1">
        <v>207.0</v>
      </c>
      <c r="D1230" s="1">
        <v>470600.0</v>
      </c>
      <c r="E1230" s="1">
        <v>7.643</v>
      </c>
      <c r="F1230" s="1">
        <v>29207.0</v>
      </c>
      <c r="G1230" s="1">
        <v>2.92074706E10</v>
      </c>
      <c r="H1230" s="1" t="s">
        <v>112</v>
      </c>
      <c r="I1230" s="1" t="s">
        <v>113</v>
      </c>
      <c r="J1230" s="1" t="s">
        <v>5377</v>
      </c>
      <c r="K1230" s="1" t="s">
        <v>5399</v>
      </c>
      <c r="L1230" s="1">
        <v>4968.0</v>
      </c>
      <c r="M1230" s="1">
        <v>4666.0</v>
      </c>
      <c r="N1230" s="1">
        <v>330.0</v>
      </c>
      <c r="O1230" s="1">
        <v>2288.0</v>
      </c>
      <c r="P1230" s="1">
        <v>2295.0</v>
      </c>
      <c r="Q1230" s="1">
        <v>126.0</v>
      </c>
      <c r="R1230" s="1">
        <v>2091.0</v>
      </c>
      <c r="S1230" s="1">
        <v>355.0</v>
      </c>
      <c r="T1230" s="1">
        <v>131.0</v>
      </c>
      <c r="U1230" s="1">
        <v>188.0</v>
      </c>
      <c r="V1230" s="1">
        <v>407.0</v>
      </c>
      <c r="W1230" s="1">
        <v>31697.0</v>
      </c>
      <c r="X1230" s="1">
        <v>13153.0</v>
      </c>
      <c r="Y1230" s="1">
        <v>820.0</v>
      </c>
      <c r="Z1230" s="1">
        <v>298.0</v>
      </c>
      <c r="AA1230" s="1">
        <v>935.0</v>
      </c>
      <c r="AB1230" s="1">
        <v>1106.0</v>
      </c>
      <c r="AC1230" s="1">
        <v>229.0</v>
      </c>
      <c r="AD1230" s="1">
        <v>162.0</v>
      </c>
      <c r="AE1230" s="1">
        <v>13.0</v>
      </c>
      <c r="AF1230" s="1">
        <v>442.0</v>
      </c>
      <c r="AG1230" s="1">
        <v>13.0</v>
      </c>
      <c r="AH1230" s="1">
        <v>163.0</v>
      </c>
      <c r="AI1230" s="1">
        <v>111.0</v>
      </c>
      <c r="AJ1230" s="1">
        <v>70.0</v>
      </c>
      <c r="AK1230" s="1">
        <v>0.0</v>
      </c>
      <c r="AL1230" s="1">
        <v>161.0</v>
      </c>
      <c r="AM1230" s="1">
        <v>132.0</v>
      </c>
      <c r="AN1230" s="1">
        <v>61.0</v>
      </c>
      <c r="AO1230" s="1">
        <v>50.0</v>
      </c>
      <c r="AP1230" s="1">
        <v>0.079525</v>
      </c>
      <c r="AQ1230" s="1">
        <v>0.028831</v>
      </c>
      <c r="AR1230" s="1">
        <v>0.085454</v>
      </c>
      <c r="AS1230" s="1">
        <v>0.184627</v>
      </c>
      <c r="AT1230" s="1">
        <v>31697.0</v>
      </c>
      <c r="AU1230" s="1">
        <v>13153.0</v>
      </c>
      <c r="AV1230" s="1">
        <v>0.247734</v>
      </c>
      <c r="AW1230" s="1">
        <v>0.088048</v>
      </c>
      <c r="AX1230" s="1">
        <v>0.188204</v>
      </c>
      <c r="AY1230" s="1">
        <v>0.222624</v>
      </c>
      <c r="AZ1230" s="1">
        <v>0.10951697</v>
      </c>
      <c r="BA1230" s="1">
        <v>0.032608</v>
      </c>
      <c r="BB1230" s="1">
        <v>0.003001</v>
      </c>
      <c r="BC1230" s="1">
        <v>0.102054</v>
      </c>
      <c r="BD1230" s="1">
        <v>0.005664</v>
      </c>
      <c r="BE1230" s="1">
        <v>0.071023</v>
      </c>
      <c r="BF1230" s="1">
        <v>0.048366</v>
      </c>
      <c r="BG1230" s="1">
        <v>0.030385</v>
      </c>
      <c r="BH1230" s="1">
        <v>0.0</v>
      </c>
      <c r="BI1230" s="1">
        <v>0.079584</v>
      </c>
      <c r="BJ1230" s="1">
        <v>0.065249</v>
      </c>
      <c r="BK1230" s="1">
        <v>0.029697</v>
      </c>
      <c r="BL1230" s="1">
        <v>0.010064</v>
      </c>
      <c r="BM1230" s="1">
        <v>0.292</v>
      </c>
      <c r="BN1230" s="1">
        <v>0.652</v>
      </c>
      <c r="BO1230" s="1">
        <v>0.1625</v>
      </c>
      <c r="BP1230" s="1">
        <v>0.862</v>
      </c>
      <c r="BQ1230" s="1">
        <v>1.9685</v>
      </c>
      <c r="BR1230" s="1">
        <v>0.4845</v>
      </c>
      <c r="BS1230" s="1">
        <v>0.831</v>
      </c>
      <c r="BT1230" s="1">
        <v>0.323</v>
      </c>
      <c r="BU1230" s="1">
        <v>0.583</v>
      </c>
      <c r="BV1230" s="1">
        <v>1.737</v>
      </c>
      <c r="BW1230" s="1">
        <v>0.671</v>
      </c>
      <c r="BX1230" s="1">
        <v>0.1</v>
      </c>
      <c r="BY1230" s="1">
        <v>0.45</v>
      </c>
      <c r="BZ1230" s="1">
        <v>0.55</v>
      </c>
      <c r="CA1230" s="1">
        <v>0.24</v>
      </c>
      <c r="CB1230" s="1">
        <v>0.329</v>
      </c>
      <c r="CC1230" s="1">
        <v>0.6</v>
      </c>
      <c r="CD1230" s="1">
        <v>0.0</v>
      </c>
      <c r="CE1230" s="1">
        <v>0.599</v>
      </c>
      <c r="CF1230" s="1">
        <v>0.582</v>
      </c>
      <c r="CG1230" s="1">
        <v>2.11</v>
      </c>
      <c r="CH1230" s="1">
        <v>0.385</v>
      </c>
      <c r="CI1230" s="1">
        <v>6.3655</v>
      </c>
      <c r="CJ1230" s="1">
        <v>0.439</v>
      </c>
      <c r="CK1230" s="1">
        <v>0.0</v>
      </c>
      <c r="CL1230" s="1">
        <v>0.0</v>
      </c>
      <c r="CM1230" s="1">
        <v>0.0</v>
      </c>
      <c r="CN1230" s="1">
        <v>0.0</v>
      </c>
      <c r="CO1230" s="1">
        <v>0.0</v>
      </c>
      <c r="CP1230" s="1">
        <v>0.0</v>
      </c>
      <c r="CQ1230" s="1">
        <v>0.0</v>
      </c>
      <c r="CR1230" s="1">
        <v>0.0</v>
      </c>
      <c r="CS1230" s="1">
        <v>0.0</v>
      </c>
      <c r="CT1230" s="1">
        <v>0.0</v>
      </c>
      <c r="CU1230" s="1">
        <v>0.0</v>
      </c>
      <c r="CV1230" s="1">
        <v>0.0</v>
      </c>
      <c r="CW1230" s="1">
        <v>0.0</v>
      </c>
      <c r="CX1230" s="1">
        <v>0.0</v>
      </c>
      <c r="CY1230" s="1">
        <v>0.0</v>
      </c>
      <c r="CZ1230" s="1">
        <v>0.0</v>
      </c>
      <c r="DA1230" s="1">
        <v>0.0</v>
      </c>
      <c r="DB1230" s="1">
        <v>0.0</v>
      </c>
      <c r="DC1230" s="1">
        <v>0.0</v>
      </c>
      <c r="DD1230" s="1" t="s">
        <v>5400</v>
      </c>
      <c r="DE1230" s="1">
        <v>0.00201384973234557</v>
      </c>
      <c r="DF1230" s="2" t="s">
        <v>5401</v>
      </c>
    </row>
    <row r="1231" ht="15.75" customHeight="1">
      <c r="A1231" s="1" t="s">
        <v>5402</v>
      </c>
      <c r="B1231" s="1">
        <v>29.0</v>
      </c>
      <c r="C1231" s="1">
        <v>207.0</v>
      </c>
      <c r="D1231" s="1">
        <v>470700.0</v>
      </c>
      <c r="E1231" s="1">
        <v>130.715</v>
      </c>
      <c r="F1231" s="1">
        <v>29207.0</v>
      </c>
      <c r="G1231" s="1">
        <v>2.92074707E10</v>
      </c>
      <c r="H1231" s="1" t="s">
        <v>112</v>
      </c>
      <c r="I1231" s="1" t="s">
        <v>113</v>
      </c>
      <c r="J1231" s="1" t="s">
        <v>5377</v>
      </c>
      <c r="K1231" s="1" t="s">
        <v>5403</v>
      </c>
      <c r="L1231" s="1">
        <v>2724.0</v>
      </c>
      <c r="M1231" s="1">
        <v>2618.0</v>
      </c>
      <c r="N1231" s="1">
        <v>214.0</v>
      </c>
      <c r="O1231" s="1">
        <v>1279.0</v>
      </c>
      <c r="P1231" s="1">
        <v>1277.0</v>
      </c>
      <c r="Q1231" s="1">
        <v>87.0</v>
      </c>
      <c r="R1231" s="1">
        <v>1151.0</v>
      </c>
      <c r="S1231" s="1">
        <v>650.0</v>
      </c>
      <c r="T1231" s="1">
        <v>258.0</v>
      </c>
      <c r="U1231" s="1">
        <v>152.0</v>
      </c>
      <c r="V1231" s="1">
        <v>366.0</v>
      </c>
      <c r="W1231" s="1">
        <v>20686.0</v>
      </c>
      <c r="X1231" s="1">
        <v>4196.0</v>
      </c>
      <c r="Y1231" s="1">
        <v>528.0</v>
      </c>
      <c r="Z1231" s="1">
        <v>229.0</v>
      </c>
      <c r="AA1231" s="1">
        <v>488.0</v>
      </c>
      <c r="AB1231" s="1">
        <v>644.0</v>
      </c>
      <c r="AC1231" s="1">
        <v>132.0</v>
      </c>
      <c r="AD1231" s="1">
        <v>163.0</v>
      </c>
      <c r="AE1231" s="1">
        <v>0.0</v>
      </c>
      <c r="AF1231" s="1">
        <v>456.0</v>
      </c>
      <c r="AG1231" s="1">
        <v>20.0</v>
      </c>
      <c r="AH1231" s="1">
        <v>116.0</v>
      </c>
      <c r="AI1231" s="1">
        <v>40.0</v>
      </c>
      <c r="AJ1231" s="1">
        <v>46.0</v>
      </c>
      <c r="AK1231" s="1">
        <v>60.0</v>
      </c>
      <c r="AL1231" s="1">
        <v>120.0</v>
      </c>
      <c r="AM1231" s="1">
        <v>117.0</v>
      </c>
      <c r="AN1231" s="1">
        <v>52.0</v>
      </c>
      <c r="AO1231" s="1">
        <v>0.0</v>
      </c>
      <c r="AP1231" s="1">
        <v>0.254204</v>
      </c>
      <c r="AQ1231" s="1">
        <v>0.09884</v>
      </c>
      <c r="AR1231" s="1">
        <v>0.148873</v>
      </c>
      <c r="AS1231" s="1">
        <v>0.357377</v>
      </c>
      <c r="AT1231" s="1">
        <v>20686.0</v>
      </c>
      <c r="AU1231" s="1">
        <v>4196.0</v>
      </c>
      <c r="AV1231" s="1">
        <v>0.294314</v>
      </c>
      <c r="AW1231" s="1">
        <v>0.125411</v>
      </c>
      <c r="AX1231" s="1">
        <v>0.179148</v>
      </c>
      <c r="AY1231" s="1">
        <v>0.236417</v>
      </c>
      <c r="AZ1231" s="1">
        <v>0.11468288</v>
      </c>
      <c r="BA1231" s="1">
        <v>0.059838</v>
      </c>
      <c r="BB1231" s="1">
        <v>0.0</v>
      </c>
      <c r="BC1231" s="1">
        <v>0.179456</v>
      </c>
      <c r="BD1231" s="1">
        <v>0.015661</v>
      </c>
      <c r="BE1231" s="1">
        <v>0.090831</v>
      </c>
      <c r="BF1231" s="1">
        <v>0.031323</v>
      </c>
      <c r="BG1231" s="1">
        <v>0.035958</v>
      </c>
      <c r="BH1231" s="1">
        <v>0.055813</v>
      </c>
      <c r="BI1231" s="1">
        <v>0.111527</v>
      </c>
      <c r="BJ1231" s="1">
        <v>0.108837</v>
      </c>
      <c r="BK1231" s="1">
        <v>0.047486</v>
      </c>
      <c r="BL1231" s="1">
        <v>0.0</v>
      </c>
      <c r="BM1231" s="1">
        <v>0.833</v>
      </c>
      <c r="BN1231" s="1">
        <v>0.898</v>
      </c>
      <c r="BO1231" s="1">
        <v>0.5733</v>
      </c>
      <c r="BP1231" s="1">
        <v>0.938</v>
      </c>
      <c r="BQ1231" s="1">
        <v>3.2423</v>
      </c>
      <c r="BR1231" s="1">
        <v>0.8643</v>
      </c>
      <c r="BS1231" s="1">
        <v>0.783</v>
      </c>
      <c r="BT1231" s="1">
        <v>0.456</v>
      </c>
      <c r="BU1231" s="1">
        <v>0.628</v>
      </c>
      <c r="BV1231" s="1">
        <v>1.867</v>
      </c>
      <c r="BW1231" s="1">
        <v>0.777</v>
      </c>
      <c r="BX1231" s="1">
        <v>0.312</v>
      </c>
      <c r="BY1231" s="1">
        <v>0.0</v>
      </c>
      <c r="BZ1231" s="1">
        <v>0.312</v>
      </c>
      <c r="CA1231" s="1">
        <v>0.133</v>
      </c>
      <c r="CB1231" s="1">
        <v>0.431</v>
      </c>
      <c r="CC1231" s="1">
        <v>0.554</v>
      </c>
      <c r="CD1231" s="1">
        <v>0.953</v>
      </c>
      <c r="CE1231" s="1">
        <v>0.775</v>
      </c>
      <c r="CF1231" s="1">
        <v>0.0</v>
      </c>
      <c r="CG1231" s="1">
        <v>2.713</v>
      </c>
      <c r="CH1231" s="1">
        <v>0.65</v>
      </c>
      <c r="CI1231" s="1">
        <v>8.1343</v>
      </c>
      <c r="CJ1231" s="1">
        <v>0.735</v>
      </c>
      <c r="CK1231" s="1">
        <v>0.0</v>
      </c>
      <c r="CL1231" s="1">
        <v>0.0</v>
      </c>
      <c r="CM1231" s="1">
        <v>0.0</v>
      </c>
      <c r="CN1231" s="1">
        <v>1.0</v>
      </c>
      <c r="CO1231" s="1">
        <v>1.0</v>
      </c>
      <c r="CP1231" s="1">
        <v>0.0</v>
      </c>
      <c r="CQ1231" s="1">
        <v>0.0</v>
      </c>
      <c r="CR1231" s="1">
        <v>0.0</v>
      </c>
      <c r="CS1231" s="1">
        <v>0.0</v>
      </c>
      <c r="CT1231" s="1">
        <v>0.0</v>
      </c>
      <c r="CU1231" s="1">
        <v>0.0</v>
      </c>
      <c r="CV1231" s="1">
        <v>0.0</v>
      </c>
      <c r="CW1231" s="1">
        <v>0.0</v>
      </c>
      <c r="CX1231" s="1">
        <v>0.0</v>
      </c>
      <c r="CY1231" s="1">
        <v>1.0</v>
      </c>
      <c r="CZ1231" s="1">
        <v>0.0</v>
      </c>
      <c r="DA1231" s="1">
        <v>0.0</v>
      </c>
      <c r="DB1231" s="1">
        <v>1.0</v>
      </c>
      <c r="DC1231" s="1">
        <v>2.0</v>
      </c>
      <c r="DD1231" s="1" t="s">
        <v>5404</v>
      </c>
      <c r="DE1231" s="1">
        <v>0.0342106476040178</v>
      </c>
      <c r="DF1231" s="2" t="s">
        <v>5405</v>
      </c>
    </row>
    <row r="1232" ht="15.75" customHeight="1">
      <c r="A1232" s="1" t="s">
        <v>5406</v>
      </c>
      <c r="B1232" s="1">
        <v>29.0</v>
      </c>
      <c r="C1232" s="1">
        <v>207.0</v>
      </c>
      <c r="D1232" s="1">
        <v>470800.0</v>
      </c>
      <c r="E1232" s="1">
        <v>102.355</v>
      </c>
      <c r="F1232" s="1">
        <v>29207.0</v>
      </c>
      <c r="G1232" s="1">
        <v>2.92074708E10</v>
      </c>
      <c r="H1232" s="1" t="s">
        <v>112</v>
      </c>
      <c r="I1232" s="1" t="s">
        <v>113</v>
      </c>
      <c r="J1232" s="1" t="s">
        <v>5377</v>
      </c>
      <c r="K1232" s="1" t="s">
        <v>5407</v>
      </c>
      <c r="L1232" s="1">
        <v>3033.0</v>
      </c>
      <c r="M1232" s="1">
        <v>3143.0</v>
      </c>
      <c r="N1232" s="1">
        <v>250.0</v>
      </c>
      <c r="O1232" s="1">
        <v>1305.0</v>
      </c>
      <c r="P1232" s="1">
        <v>1282.0</v>
      </c>
      <c r="Q1232" s="1">
        <v>102.0</v>
      </c>
      <c r="R1232" s="1">
        <v>1203.0</v>
      </c>
      <c r="S1232" s="1">
        <v>75.0</v>
      </c>
      <c r="T1232" s="1">
        <v>53.0</v>
      </c>
      <c r="U1232" s="1">
        <v>45.0</v>
      </c>
      <c r="V1232" s="1">
        <v>458.0</v>
      </c>
      <c r="W1232" s="1">
        <v>26743.0</v>
      </c>
      <c r="X1232" s="1">
        <v>2644.0</v>
      </c>
      <c r="Y1232" s="1">
        <v>308.0</v>
      </c>
      <c r="Z1232" s="1">
        <v>220.0</v>
      </c>
      <c r="AA1232" s="1">
        <v>506.0</v>
      </c>
      <c r="AB1232" s="1">
        <v>686.0</v>
      </c>
      <c r="AC1232" s="1">
        <v>75.0</v>
      </c>
      <c r="AD1232" s="1">
        <v>68.0</v>
      </c>
      <c r="AE1232" s="1">
        <v>0.0</v>
      </c>
      <c r="AF1232" s="1">
        <v>456.0</v>
      </c>
      <c r="AG1232" s="1">
        <v>0.0</v>
      </c>
      <c r="AH1232" s="1">
        <v>197.0</v>
      </c>
      <c r="AI1232" s="1">
        <v>113.0</v>
      </c>
      <c r="AJ1232" s="1">
        <v>57.0</v>
      </c>
      <c r="AK1232" s="1">
        <v>0.0</v>
      </c>
      <c r="AL1232" s="1">
        <v>161.0</v>
      </c>
      <c r="AM1232" s="1">
        <v>44.0</v>
      </c>
      <c r="AN1232" s="1">
        <v>125.0</v>
      </c>
      <c r="AO1232" s="1">
        <v>0.0</v>
      </c>
      <c r="AP1232" s="1">
        <v>0.023862</v>
      </c>
      <c r="AQ1232" s="1">
        <v>0.016755</v>
      </c>
      <c r="AR1232" s="1">
        <v>0.027256</v>
      </c>
      <c r="AS1232" s="1">
        <v>0.277379</v>
      </c>
      <c r="AT1232" s="1">
        <v>26743.0</v>
      </c>
      <c r="AU1232" s="1">
        <v>2644.0</v>
      </c>
      <c r="AV1232" s="1">
        <v>0.137071</v>
      </c>
      <c r="AW1232" s="1">
        <v>0.097227</v>
      </c>
      <c r="AX1232" s="1">
        <v>0.166831</v>
      </c>
      <c r="AY1232" s="1">
        <v>0.226178</v>
      </c>
      <c r="AZ1232" s="1">
        <v>0.06234413</v>
      </c>
      <c r="BA1232" s="1">
        <v>0.02242</v>
      </c>
      <c r="BB1232" s="1">
        <v>0.0</v>
      </c>
      <c r="BC1232" s="1">
        <v>0.152253</v>
      </c>
      <c r="BD1232" s="1">
        <v>0.0</v>
      </c>
      <c r="BE1232" s="1">
        <v>0.153666</v>
      </c>
      <c r="BF1232" s="1">
        <v>0.088143</v>
      </c>
      <c r="BG1232" s="1">
        <v>0.043905</v>
      </c>
      <c r="BH1232" s="1">
        <v>0.0</v>
      </c>
      <c r="BI1232" s="1">
        <v>0.134054</v>
      </c>
      <c r="BJ1232" s="1">
        <v>0.036636</v>
      </c>
      <c r="BK1232" s="1">
        <v>0.104032</v>
      </c>
      <c r="BL1232" s="1">
        <v>0.0</v>
      </c>
      <c r="BM1232" s="1">
        <v>0.069</v>
      </c>
      <c r="BN1232" s="1">
        <v>0.067</v>
      </c>
      <c r="BO1232" s="1">
        <v>0.2924</v>
      </c>
      <c r="BP1232" s="1">
        <v>0.507</v>
      </c>
      <c r="BQ1232" s="1">
        <v>0.9354</v>
      </c>
      <c r="BR1232" s="1">
        <v>0.1863</v>
      </c>
      <c r="BS1232" s="1">
        <v>0.712</v>
      </c>
      <c r="BT1232" s="1">
        <v>0.35</v>
      </c>
      <c r="BU1232" s="1">
        <v>0.151</v>
      </c>
      <c r="BV1232" s="1">
        <v>1.213</v>
      </c>
      <c r="BW1232" s="1">
        <v>0.241</v>
      </c>
      <c r="BX1232" s="1">
        <v>0.028</v>
      </c>
      <c r="BY1232" s="1">
        <v>0.0</v>
      </c>
      <c r="BZ1232" s="1">
        <v>0.028</v>
      </c>
      <c r="CA1232" s="1">
        <v>0.015</v>
      </c>
      <c r="CB1232" s="1">
        <v>0.0</v>
      </c>
      <c r="CC1232" s="1">
        <v>0.698</v>
      </c>
      <c r="CD1232" s="1">
        <v>0.0</v>
      </c>
      <c r="CE1232" s="1">
        <v>0.353</v>
      </c>
      <c r="CF1232" s="1">
        <v>0.0</v>
      </c>
      <c r="CG1232" s="1">
        <v>1.051</v>
      </c>
      <c r="CH1232" s="1">
        <v>0.086</v>
      </c>
      <c r="CI1232" s="1">
        <v>3.2274</v>
      </c>
      <c r="CJ1232" s="1">
        <v>0.0296</v>
      </c>
      <c r="CK1232" s="1">
        <v>0.0</v>
      </c>
      <c r="CL1232" s="1">
        <v>0.0</v>
      </c>
      <c r="CM1232" s="1">
        <v>0.0</v>
      </c>
      <c r="CN1232" s="1">
        <v>0.0</v>
      </c>
      <c r="CO1232" s="1">
        <v>0.0</v>
      </c>
      <c r="CP1232" s="1">
        <v>0.0</v>
      </c>
      <c r="CQ1232" s="1">
        <v>0.0</v>
      </c>
      <c r="CR1232" s="1">
        <v>0.0</v>
      </c>
      <c r="CS1232" s="1">
        <v>0.0</v>
      </c>
      <c r="CT1232" s="1">
        <v>0.0</v>
      </c>
      <c r="CU1232" s="1">
        <v>0.0</v>
      </c>
      <c r="CV1232" s="1">
        <v>0.0</v>
      </c>
      <c r="CW1232" s="1">
        <v>0.0</v>
      </c>
      <c r="CX1232" s="1">
        <v>0.0</v>
      </c>
      <c r="CY1232" s="1">
        <v>0.0</v>
      </c>
      <c r="CZ1232" s="1">
        <v>0.0</v>
      </c>
      <c r="DA1232" s="1">
        <v>0.0</v>
      </c>
      <c r="DB1232" s="1">
        <v>0.0</v>
      </c>
      <c r="DC1232" s="1">
        <v>0.0</v>
      </c>
      <c r="DD1232" s="1" t="s">
        <v>5408</v>
      </c>
      <c r="DE1232" s="2" t="s">
        <v>5409</v>
      </c>
      <c r="DF1232" s="2" t="s">
        <v>5410</v>
      </c>
    </row>
    <row r="1233" ht="15.75" customHeight="1">
      <c r="A1233" s="1" t="s">
        <v>5411</v>
      </c>
      <c r="B1233" s="1">
        <v>29.0</v>
      </c>
      <c r="C1233" s="1">
        <v>209.0</v>
      </c>
      <c r="D1233" s="2" t="s">
        <v>1981</v>
      </c>
      <c r="E1233" s="1">
        <v>175.334</v>
      </c>
      <c r="F1233" s="1">
        <v>29209.0</v>
      </c>
      <c r="G1233" s="1">
        <v>2.92090901E10</v>
      </c>
      <c r="H1233" s="1" t="s">
        <v>112</v>
      </c>
      <c r="I1233" s="1" t="s">
        <v>113</v>
      </c>
      <c r="J1233" s="1" t="s">
        <v>5412</v>
      </c>
      <c r="K1233" s="1" t="s">
        <v>5413</v>
      </c>
      <c r="L1233" s="1">
        <v>7480.0</v>
      </c>
      <c r="M1233" s="1">
        <v>7388.0</v>
      </c>
      <c r="N1233" s="1">
        <v>539.0</v>
      </c>
      <c r="O1233" s="1">
        <v>3176.0</v>
      </c>
      <c r="P1233" s="1">
        <v>3337.0</v>
      </c>
      <c r="Q1233" s="1">
        <v>161.0</v>
      </c>
      <c r="R1233" s="1">
        <v>2807.0</v>
      </c>
      <c r="S1233" s="1">
        <v>1209.0</v>
      </c>
      <c r="T1233" s="1">
        <v>387.0</v>
      </c>
      <c r="U1233" s="1">
        <v>238.0</v>
      </c>
      <c r="V1233" s="1">
        <v>315.0</v>
      </c>
      <c r="W1233" s="1">
        <v>20201.0</v>
      </c>
      <c r="X1233" s="1">
        <v>2242.0</v>
      </c>
      <c r="Y1233" s="1">
        <v>1061.0</v>
      </c>
      <c r="Z1233" s="1">
        <v>247.0</v>
      </c>
      <c r="AA1233" s="1">
        <v>1123.0</v>
      </c>
      <c r="AB1233" s="1">
        <v>1953.0</v>
      </c>
      <c r="AC1233" s="1">
        <v>231.0</v>
      </c>
      <c r="AD1233" s="1">
        <v>267.0</v>
      </c>
      <c r="AE1233" s="1">
        <v>0.0</v>
      </c>
      <c r="AF1233" s="1">
        <v>456.0</v>
      </c>
      <c r="AG1233" s="1">
        <v>28.0</v>
      </c>
      <c r="AH1233" s="1">
        <v>115.0</v>
      </c>
      <c r="AI1233" s="1">
        <v>596.0</v>
      </c>
      <c r="AJ1233" s="1">
        <v>168.0</v>
      </c>
      <c r="AK1233" s="1">
        <v>43.0</v>
      </c>
      <c r="AL1233" s="1">
        <v>119.0</v>
      </c>
      <c r="AM1233" s="1">
        <v>169.0</v>
      </c>
      <c r="AN1233" s="1">
        <v>69.0</v>
      </c>
      <c r="AO1233" s="1">
        <v>106.0</v>
      </c>
      <c r="AP1233" s="1">
        <v>0.163821</v>
      </c>
      <c r="AQ1233" s="1">
        <v>0.051045</v>
      </c>
      <c r="AR1233" s="1">
        <v>0.068548</v>
      </c>
      <c r="AS1233" s="1">
        <v>0.090463</v>
      </c>
      <c r="AT1233" s="1">
        <v>20201.0</v>
      </c>
      <c r="AU1233" s="1">
        <v>2242.0</v>
      </c>
      <c r="AV1233" s="1">
        <v>0.205222</v>
      </c>
      <c r="AW1233" s="1">
        <v>0.045525</v>
      </c>
      <c r="AX1233" s="1">
        <v>0.150133</v>
      </c>
      <c r="AY1233" s="1">
        <v>0.261096</v>
      </c>
      <c r="AZ1233" s="1">
        <v>0.08229426</v>
      </c>
      <c r="BA1233" s="1">
        <v>0.035695</v>
      </c>
      <c r="BB1233" s="1">
        <v>0.0</v>
      </c>
      <c r="BC1233" s="1">
        <v>0.065536</v>
      </c>
      <c r="BD1233" s="1">
        <v>0.00839</v>
      </c>
      <c r="BE1233" s="1">
        <v>0.034459</v>
      </c>
      <c r="BF1233" s="1">
        <v>0.178603</v>
      </c>
      <c r="BG1233" s="1">
        <v>0.049601</v>
      </c>
      <c r="BH1233" s="1">
        <v>0.014625</v>
      </c>
      <c r="BI1233" s="1">
        <v>0.040458</v>
      </c>
      <c r="BJ1233" s="1">
        <v>0.057482</v>
      </c>
      <c r="BK1233" s="1">
        <v>0.022995</v>
      </c>
      <c r="BL1233" s="1">
        <v>0.014171</v>
      </c>
      <c r="BM1233" s="1">
        <v>0.622</v>
      </c>
      <c r="BN1233" s="1">
        <v>0.5</v>
      </c>
      <c r="BO1233" s="1">
        <v>0.6</v>
      </c>
      <c r="BP1233" s="1">
        <v>0.766</v>
      </c>
      <c r="BQ1233" s="1">
        <v>2.488</v>
      </c>
      <c r="BR1233" s="1">
        <v>0.6621</v>
      </c>
      <c r="BS1233" s="1">
        <v>0.578</v>
      </c>
      <c r="BT1233" s="1">
        <v>0.708</v>
      </c>
      <c r="BU1233" s="1">
        <v>0.327</v>
      </c>
      <c r="BV1233" s="1">
        <v>1.613</v>
      </c>
      <c r="BW1233" s="1">
        <v>0.577</v>
      </c>
      <c r="BX1233" s="1">
        <v>0.125</v>
      </c>
      <c r="BY1233" s="1">
        <v>0.0</v>
      </c>
      <c r="BZ1233" s="1">
        <v>0.125</v>
      </c>
      <c r="CA1233" s="1">
        <v>0.06</v>
      </c>
      <c r="CB1233" s="1">
        <v>0.366</v>
      </c>
      <c r="CC1233" s="1">
        <v>0.864</v>
      </c>
      <c r="CD1233" s="1">
        <v>0.585</v>
      </c>
      <c r="CE1233" s="1">
        <v>0.553</v>
      </c>
      <c r="CF1233" s="1">
        <v>0.638</v>
      </c>
      <c r="CG1233" s="1">
        <v>3.006</v>
      </c>
      <c r="CH1233" s="1">
        <v>0.778</v>
      </c>
      <c r="CI1233" s="1">
        <v>7.232</v>
      </c>
      <c r="CJ1233" s="1">
        <v>0.5993</v>
      </c>
      <c r="CK1233" s="1">
        <v>0.0</v>
      </c>
      <c r="CL1233" s="1">
        <v>0.0</v>
      </c>
      <c r="CM1233" s="1">
        <v>0.0</v>
      </c>
      <c r="CN1233" s="1">
        <v>0.0</v>
      </c>
      <c r="CO1233" s="1">
        <v>0.0</v>
      </c>
      <c r="CP1233" s="1">
        <v>0.0</v>
      </c>
      <c r="CQ1233" s="1">
        <v>0.0</v>
      </c>
      <c r="CR1233" s="1">
        <v>0.0</v>
      </c>
      <c r="CS1233" s="1">
        <v>0.0</v>
      </c>
      <c r="CT1233" s="1">
        <v>0.0</v>
      </c>
      <c r="CU1233" s="1">
        <v>0.0</v>
      </c>
      <c r="CV1233" s="1">
        <v>0.0</v>
      </c>
      <c r="CW1233" s="1">
        <v>0.0</v>
      </c>
      <c r="CX1233" s="1">
        <v>0.0</v>
      </c>
      <c r="CY1233" s="1">
        <v>0.0</v>
      </c>
      <c r="CZ1233" s="1">
        <v>0.0</v>
      </c>
      <c r="DA1233" s="1">
        <v>0.0</v>
      </c>
      <c r="DB1233" s="1">
        <v>0.0</v>
      </c>
      <c r="DC1233" s="1">
        <v>0.0</v>
      </c>
      <c r="DD1233" s="1" t="s">
        <v>5414</v>
      </c>
      <c r="DE1233" s="1">
        <v>0.0460960756615156</v>
      </c>
      <c r="DF1233" s="2" t="s">
        <v>5415</v>
      </c>
    </row>
    <row r="1234" ht="15.75" customHeight="1">
      <c r="A1234" s="1" t="s">
        <v>5416</v>
      </c>
      <c r="B1234" s="1">
        <v>29.0</v>
      </c>
      <c r="C1234" s="1">
        <v>209.0</v>
      </c>
      <c r="D1234" s="2" t="s">
        <v>2016</v>
      </c>
      <c r="E1234" s="1">
        <v>86.092</v>
      </c>
      <c r="F1234" s="1">
        <v>29209.0</v>
      </c>
      <c r="G1234" s="1">
        <v>2.92090904E10</v>
      </c>
      <c r="H1234" s="1" t="s">
        <v>112</v>
      </c>
      <c r="I1234" s="1" t="s">
        <v>113</v>
      </c>
      <c r="J1234" s="1" t="s">
        <v>5412</v>
      </c>
      <c r="K1234" s="1" t="s">
        <v>5417</v>
      </c>
      <c r="L1234" s="1">
        <v>5399.0</v>
      </c>
      <c r="M1234" s="1">
        <v>5512.0</v>
      </c>
      <c r="N1234" s="1">
        <v>562.0</v>
      </c>
      <c r="O1234" s="1">
        <v>4146.0</v>
      </c>
      <c r="P1234" s="1">
        <v>3839.0</v>
      </c>
      <c r="Q1234" s="1">
        <v>120.0</v>
      </c>
      <c r="R1234" s="1">
        <v>2453.0</v>
      </c>
      <c r="S1234" s="1">
        <v>1059.0</v>
      </c>
      <c r="T1234" s="1">
        <v>577.0</v>
      </c>
      <c r="U1234" s="1">
        <v>158.0</v>
      </c>
      <c r="V1234" s="1">
        <v>474.0</v>
      </c>
      <c r="W1234" s="1">
        <v>22718.0</v>
      </c>
      <c r="X1234" s="1">
        <v>3686.0</v>
      </c>
      <c r="Y1234" s="1">
        <v>878.0</v>
      </c>
      <c r="Z1234" s="1">
        <v>336.0</v>
      </c>
      <c r="AA1234" s="1">
        <v>1600.0</v>
      </c>
      <c r="AB1234" s="1">
        <v>787.0</v>
      </c>
      <c r="AC1234" s="1">
        <v>131.0</v>
      </c>
      <c r="AD1234" s="1">
        <v>180.0</v>
      </c>
      <c r="AE1234" s="1">
        <v>0.0</v>
      </c>
      <c r="AF1234" s="1">
        <v>456.0</v>
      </c>
      <c r="AG1234" s="1">
        <v>103.0</v>
      </c>
      <c r="AH1234" s="1">
        <v>188.0</v>
      </c>
      <c r="AI1234" s="1">
        <v>745.0</v>
      </c>
      <c r="AJ1234" s="1">
        <v>189.0</v>
      </c>
      <c r="AK1234" s="1">
        <v>81.0</v>
      </c>
      <c r="AL1234" s="1">
        <v>139.0</v>
      </c>
      <c r="AM1234" s="1">
        <v>46.0</v>
      </c>
      <c r="AN1234" s="1">
        <v>121.0</v>
      </c>
      <c r="AO1234" s="1">
        <v>72.0</v>
      </c>
      <c r="AP1234" s="1">
        <v>0.192126</v>
      </c>
      <c r="AQ1234" s="1">
        <v>0.102831</v>
      </c>
      <c r="AR1234" s="1">
        <v>0.08178</v>
      </c>
      <c r="AS1234" s="1">
        <v>0.244785</v>
      </c>
      <c r="AT1234" s="1">
        <v>22718.0</v>
      </c>
      <c r="AU1234" s="1">
        <v>3686.0</v>
      </c>
      <c r="AV1234" s="1">
        <v>0.208848</v>
      </c>
      <c r="AW1234" s="1">
        <v>0.07703</v>
      </c>
      <c r="AX1234" s="1">
        <v>0.296351</v>
      </c>
      <c r="AY1234" s="1">
        <v>0.145767</v>
      </c>
      <c r="AZ1234" s="1">
        <v>0.05340399</v>
      </c>
      <c r="BA1234" s="1">
        <v>0.033339</v>
      </c>
      <c r="BB1234" s="1">
        <v>0.0</v>
      </c>
      <c r="BC1234" s="1">
        <v>0.085924</v>
      </c>
      <c r="BD1234" s="1">
        <v>0.026829</v>
      </c>
      <c r="BE1234" s="1">
        <v>0.048963</v>
      </c>
      <c r="BF1234" s="1">
        <v>0.19406</v>
      </c>
      <c r="BG1234" s="1">
        <v>0.048856</v>
      </c>
      <c r="BH1234" s="1">
        <v>0.03375</v>
      </c>
      <c r="BI1234" s="1">
        <v>0.05781</v>
      </c>
      <c r="BJ1234" s="1">
        <v>0.019166</v>
      </c>
      <c r="BK1234" s="1">
        <v>0.050377</v>
      </c>
      <c r="BL1234" s="1">
        <v>0.013335</v>
      </c>
      <c r="BM1234" s="1">
        <v>0.708</v>
      </c>
      <c r="BN1234" s="1">
        <v>0.625</v>
      </c>
      <c r="BO1234" s="1">
        <v>0.4599</v>
      </c>
      <c r="BP1234" s="1">
        <v>0.779</v>
      </c>
      <c r="BQ1234" s="1">
        <v>2.5719</v>
      </c>
      <c r="BR1234" s="1">
        <v>0.6917</v>
      </c>
      <c r="BS1234" s="1">
        <v>0.987</v>
      </c>
      <c r="BT1234" s="1">
        <v>0.061</v>
      </c>
      <c r="BU1234" s="1">
        <v>0.094</v>
      </c>
      <c r="BV1234" s="1">
        <v>1.142</v>
      </c>
      <c r="BW1234" s="1">
        <v>0.194</v>
      </c>
      <c r="BX1234" s="1">
        <v>0.107</v>
      </c>
      <c r="BY1234" s="1">
        <v>0.0</v>
      </c>
      <c r="BZ1234" s="1">
        <v>0.107</v>
      </c>
      <c r="CA1234" s="1">
        <v>0.051</v>
      </c>
      <c r="CB1234" s="1">
        <v>0.525</v>
      </c>
      <c r="CC1234" s="1">
        <v>0.889</v>
      </c>
      <c r="CD1234" s="1">
        <v>0.848</v>
      </c>
      <c r="CE1234" s="1">
        <v>0.174</v>
      </c>
      <c r="CF1234" s="1">
        <v>0.625</v>
      </c>
      <c r="CG1234" s="1">
        <v>3.061</v>
      </c>
      <c r="CH1234" s="1">
        <v>0.799</v>
      </c>
      <c r="CI1234" s="1">
        <v>6.8819</v>
      </c>
      <c r="CJ1234" s="1">
        <v>0.5264</v>
      </c>
      <c r="CK1234" s="1">
        <v>0.0</v>
      </c>
      <c r="CL1234" s="1">
        <v>0.0</v>
      </c>
      <c r="CM1234" s="1">
        <v>0.0</v>
      </c>
      <c r="CN1234" s="1">
        <v>0.0</v>
      </c>
      <c r="CO1234" s="1">
        <v>0.0</v>
      </c>
      <c r="CP1234" s="1">
        <v>1.0</v>
      </c>
      <c r="CQ1234" s="1">
        <v>0.0</v>
      </c>
      <c r="CR1234" s="1">
        <v>0.0</v>
      </c>
      <c r="CS1234" s="1">
        <v>1.0</v>
      </c>
      <c r="CT1234" s="1">
        <v>0.0</v>
      </c>
      <c r="CU1234" s="1">
        <v>0.0</v>
      </c>
      <c r="CV1234" s="1">
        <v>0.0</v>
      </c>
      <c r="CW1234" s="1">
        <v>0.0</v>
      </c>
      <c r="CX1234" s="1">
        <v>0.0</v>
      </c>
      <c r="CY1234" s="1">
        <v>0.0</v>
      </c>
      <c r="CZ1234" s="1">
        <v>0.0</v>
      </c>
      <c r="DA1234" s="1">
        <v>0.0</v>
      </c>
      <c r="DB1234" s="1">
        <v>0.0</v>
      </c>
      <c r="DC1234" s="1">
        <v>1.0</v>
      </c>
      <c r="DD1234" s="1" t="s">
        <v>5418</v>
      </c>
      <c r="DE1234" s="1">
        <v>0.0268461264318187</v>
      </c>
      <c r="DF1234" s="2" t="s">
        <v>5419</v>
      </c>
    </row>
    <row r="1235" ht="15.75" customHeight="1">
      <c r="A1235" s="1" t="s">
        <v>5420</v>
      </c>
      <c r="B1235" s="1">
        <v>29.0</v>
      </c>
      <c r="C1235" s="1">
        <v>209.0</v>
      </c>
      <c r="D1235" s="2" t="s">
        <v>1987</v>
      </c>
      <c r="E1235" s="1">
        <v>14.849</v>
      </c>
      <c r="F1235" s="1">
        <v>29209.0</v>
      </c>
      <c r="G1235" s="1">
        <v>2.92090905E10</v>
      </c>
      <c r="H1235" s="1" t="s">
        <v>112</v>
      </c>
      <c r="I1235" s="1" t="s">
        <v>113</v>
      </c>
      <c r="J1235" s="1" t="s">
        <v>5412</v>
      </c>
      <c r="K1235" s="1" t="s">
        <v>5421</v>
      </c>
      <c r="L1235" s="1">
        <v>5778.0</v>
      </c>
      <c r="M1235" s="1">
        <v>5658.0</v>
      </c>
      <c r="N1235" s="1">
        <v>467.0</v>
      </c>
      <c r="O1235" s="1">
        <v>3643.0</v>
      </c>
      <c r="P1235" s="1">
        <v>3525.0</v>
      </c>
      <c r="Q1235" s="1">
        <v>166.0</v>
      </c>
      <c r="R1235" s="1">
        <v>2565.0</v>
      </c>
      <c r="S1235" s="1">
        <v>509.0</v>
      </c>
      <c r="T1235" s="1">
        <v>245.0</v>
      </c>
      <c r="U1235" s="1">
        <v>201.0</v>
      </c>
      <c r="V1235" s="1">
        <v>440.0</v>
      </c>
      <c r="W1235" s="1">
        <v>23630.0</v>
      </c>
      <c r="X1235" s="1">
        <v>2604.0</v>
      </c>
      <c r="Y1235" s="1">
        <v>601.0</v>
      </c>
      <c r="Z1235" s="1">
        <v>323.0</v>
      </c>
      <c r="AA1235" s="1">
        <v>1910.0</v>
      </c>
      <c r="AB1235" s="1">
        <v>880.0</v>
      </c>
      <c r="AC1235" s="1">
        <v>138.0</v>
      </c>
      <c r="AD1235" s="1">
        <v>179.0</v>
      </c>
      <c r="AE1235" s="1">
        <v>0.0</v>
      </c>
      <c r="AF1235" s="1">
        <v>456.0</v>
      </c>
      <c r="AG1235" s="1">
        <v>76.0</v>
      </c>
      <c r="AH1235" s="1">
        <v>122.0</v>
      </c>
      <c r="AI1235" s="1">
        <v>444.0</v>
      </c>
      <c r="AJ1235" s="1">
        <v>191.0</v>
      </c>
      <c r="AK1235" s="1">
        <v>18.0</v>
      </c>
      <c r="AL1235" s="1">
        <v>117.0</v>
      </c>
      <c r="AM1235" s="1">
        <v>52.0</v>
      </c>
      <c r="AN1235" s="1">
        <v>49.0</v>
      </c>
      <c r="AO1235" s="1">
        <v>112.0</v>
      </c>
      <c r="AP1235" s="1">
        <v>0.094346</v>
      </c>
      <c r="AQ1235" s="1">
        <v>0.044687</v>
      </c>
      <c r="AR1235" s="1">
        <v>0.10055</v>
      </c>
      <c r="AS1235" s="1">
        <v>0.219517</v>
      </c>
      <c r="AT1235" s="1">
        <v>23630.0</v>
      </c>
      <c r="AU1235" s="1">
        <v>2604.0</v>
      </c>
      <c r="AV1235" s="1">
        <v>0.128281</v>
      </c>
      <c r="AW1235" s="1">
        <v>0.068141</v>
      </c>
      <c r="AX1235" s="1">
        <v>0.330564</v>
      </c>
      <c r="AY1235" s="1">
        <v>0.152301</v>
      </c>
      <c r="AZ1235" s="1">
        <v>0.05380116</v>
      </c>
      <c r="BA1235" s="1">
        <v>0.030979</v>
      </c>
      <c r="BB1235" s="1">
        <v>0.0</v>
      </c>
      <c r="BC1235" s="1">
        <v>0.082863</v>
      </c>
      <c r="BD1235" s="1">
        <v>0.02156</v>
      </c>
      <c r="BE1235" s="1">
        <v>0.034595</v>
      </c>
      <c r="BF1235" s="1">
        <v>0.125957</v>
      </c>
      <c r="BG1235" s="1">
        <v>0.053858</v>
      </c>
      <c r="BH1235" s="1">
        <v>0.006823</v>
      </c>
      <c r="BI1235" s="1">
        <v>0.044348</v>
      </c>
      <c r="BJ1235" s="1">
        <v>0.019711</v>
      </c>
      <c r="BK1235" s="1">
        <v>0.018507</v>
      </c>
      <c r="BL1235" s="1">
        <v>0.019383</v>
      </c>
      <c r="BM1235" s="1">
        <v>0.356</v>
      </c>
      <c r="BN1235" s="1">
        <v>0.735</v>
      </c>
      <c r="BO1235" s="1">
        <v>0.4195</v>
      </c>
      <c r="BP1235" s="1">
        <v>0.464</v>
      </c>
      <c r="BQ1235" s="1">
        <v>1.9745</v>
      </c>
      <c r="BR1235" s="1">
        <v>0.4852</v>
      </c>
      <c r="BS1235" s="1">
        <v>0.994</v>
      </c>
      <c r="BT1235" s="1">
        <v>0.071</v>
      </c>
      <c r="BU1235" s="1">
        <v>0.097</v>
      </c>
      <c r="BV1235" s="1">
        <v>1.162</v>
      </c>
      <c r="BW1235" s="1">
        <v>0.207</v>
      </c>
      <c r="BX1235" s="1">
        <v>0.087</v>
      </c>
      <c r="BY1235" s="1">
        <v>0.0</v>
      </c>
      <c r="BZ1235" s="1">
        <v>0.087</v>
      </c>
      <c r="CA1235" s="1">
        <v>0.041</v>
      </c>
      <c r="CB1235" s="1">
        <v>0.482</v>
      </c>
      <c r="CC1235" s="1">
        <v>0.769</v>
      </c>
      <c r="CD1235" s="1">
        <v>0.386</v>
      </c>
      <c r="CE1235" s="1">
        <v>0.18</v>
      </c>
      <c r="CF1235" s="1">
        <v>0.702</v>
      </c>
      <c r="CG1235" s="1">
        <v>2.519</v>
      </c>
      <c r="CH1235" s="1">
        <v>0.569</v>
      </c>
      <c r="CI1235" s="1">
        <v>5.7425</v>
      </c>
      <c r="CJ1235" s="1">
        <v>0.3264</v>
      </c>
      <c r="CK1235" s="1">
        <v>0.0</v>
      </c>
      <c r="CL1235" s="1">
        <v>0.0</v>
      </c>
      <c r="CM1235" s="1">
        <v>0.0</v>
      </c>
      <c r="CN1235" s="1">
        <v>0.0</v>
      </c>
      <c r="CO1235" s="1">
        <v>0.0</v>
      </c>
      <c r="CP1235" s="1">
        <v>1.0</v>
      </c>
      <c r="CQ1235" s="1">
        <v>0.0</v>
      </c>
      <c r="CR1235" s="1">
        <v>0.0</v>
      </c>
      <c r="CS1235" s="1">
        <v>1.0</v>
      </c>
      <c r="CT1235" s="1">
        <v>0.0</v>
      </c>
      <c r="CU1235" s="1">
        <v>0.0</v>
      </c>
      <c r="CV1235" s="1">
        <v>0.0</v>
      </c>
      <c r="CW1235" s="1">
        <v>0.0</v>
      </c>
      <c r="CX1235" s="1">
        <v>0.0</v>
      </c>
      <c r="CY1235" s="1">
        <v>0.0</v>
      </c>
      <c r="CZ1235" s="1">
        <v>0.0</v>
      </c>
      <c r="DA1235" s="1">
        <v>0.0</v>
      </c>
      <c r="DB1235" s="1">
        <v>0.0</v>
      </c>
      <c r="DC1235" s="1">
        <v>1.0</v>
      </c>
      <c r="DD1235" s="1" t="s">
        <v>5422</v>
      </c>
      <c r="DE1235" s="1">
        <v>0.00519637072358543</v>
      </c>
      <c r="DF1235" s="2" t="s">
        <v>5423</v>
      </c>
    </row>
    <row r="1236" ht="15.75" customHeight="1">
      <c r="A1236" s="1" t="s">
        <v>5424</v>
      </c>
      <c r="B1236" s="1">
        <v>29.0</v>
      </c>
      <c r="C1236" s="1">
        <v>209.0</v>
      </c>
      <c r="D1236" s="2" t="s">
        <v>3265</v>
      </c>
      <c r="E1236" s="1">
        <v>21.007</v>
      </c>
      <c r="F1236" s="1">
        <v>29209.0</v>
      </c>
      <c r="G1236" s="1">
        <v>2.9209090601E10</v>
      </c>
      <c r="H1236" s="1" t="s">
        <v>112</v>
      </c>
      <c r="I1236" s="1" t="s">
        <v>113</v>
      </c>
      <c r="J1236" s="1" t="s">
        <v>5412</v>
      </c>
      <c r="K1236" s="1" t="s">
        <v>5425</v>
      </c>
      <c r="L1236" s="1">
        <v>3381.0</v>
      </c>
      <c r="M1236" s="1">
        <v>3033.0</v>
      </c>
      <c r="N1236" s="1">
        <v>370.0</v>
      </c>
      <c r="O1236" s="1">
        <v>2958.0</v>
      </c>
      <c r="P1236" s="1">
        <v>2736.0</v>
      </c>
      <c r="Q1236" s="1">
        <v>130.0</v>
      </c>
      <c r="R1236" s="1">
        <v>1572.0</v>
      </c>
      <c r="S1236" s="1">
        <v>353.0</v>
      </c>
      <c r="T1236" s="1">
        <v>197.0</v>
      </c>
      <c r="U1236" s="1">
        <v>180.0</v>
      </c>
      <c r="V1236" s="1">
        <v>414.0</v>
      </c>
      <c r="W1236" s="1">
        <v>29396.0</v>
      </c>
      <c r="X1236" s="1">
        <v>5198.0</v>
      </c>
      <c r="Y1236" s="1">
        <v>323.0</v>
      </c>
      <c r="Z1236" s="1">
        <v>304.0</v>
      </c>
      <c r="AA1236" s="1">
        <v>1029.0</v>
      </c>
      <c r="AB1236" s="1">
        <v>421.0</v>
      </c>
      <c r="AC1236" s="1">
        <v>73.0</v>
      </c>
      <c r="AD1236" s="1">
        <v>124.0</v>
      </c>
      <c r="AE1236" s="1">
        <v>0.0</v>
      </c>
      <c r="AF1236" s="1">
        <v>456.0</v>
      </c>
      <c r="AG1236" s="1">
        <v>198.0</v>
      </c>
      <c r="AH1236" s="1">
        <v>171.0</v>
      </c>
      <c r="AI1236" s="1">
        <v>265.0</v>
      </c>
      <c r="AJ1236" s="1">
        <v>123.0</v>
      </c>
      <c r="AK1236" s="1">
        <v>47.0</v>
      </c>
      <c r="AL1236" s="1">
        <v>124.0</v>
      </c>
      <c r="AM1236" s="1">
        <v>52.0</v>
      </c>
      <c r="AN1236" s="1">
        <v>125.0</v>
      </c>
      <c r="AO1236" s="1">
        <v>0.0</v>
      </c>
      <c r="AP1236" s="1">
        <v>0.116386</v>
      </c>
      <c r="AQ1236" s="1">
        <v>0.063381</v>
      </c>
      <c r="AR1236" s="1">
        <v>0.133729</v>
      </c>
      <c r="AS1236" s="1">
        <v>0.306466</v>
      </c>
      <c r="AT1236" s="1">
        <v>29396.0</v>
      </c>
      <c r="AU1236" s="1">
        <v>5198.0</v>
      </c>
      <c r="AV1236" s="1">
        <v>0.129614</v>
      </c>
      <c r="AW1236" s="1">
        <v>0.121021</v>
      </c>
      <c r="AX1236" s="1">
        <v>0.304347</v>
      </c>
      <c r="AY1236" s="1">
        <v>0.124519</v>
      </c>
      <c r="AZ1236" s="1">
        <v>0.04643765</v>
      </c>
      <c r="BA1236" s="1">
        <v>0.036675</v>
      </c>
      <c r="BB1236" s="1">
        <v>0.0</v>
      </c>
      <c r="BC1236" s="1">
        <v>0.15302</v>
      </c>
      <c r="BD1236" s="1">
        <v>0.072368</v>
      </c>
      <c r="BE1236" s="1">
        <v>0.062405</v>
      </c>
      <c r="BF1236" s="1">
        <v>0.096856</v>
      </c>
      <c r="BG1236" s="1">
        <v>0.044719</v>
      </c>
      <c r="BH1236" s="1">
        <v>0.035391</v>
      </c>
      <c r="BI1236" s="1">
        <v>0.093259</v>
      </c>
      <c r="BJ1236" s="1">
        <v>0.039156</v>
      </c>
      <c r="BK1236" s="1">
        <v>0.093988</v>
      </c>
      <c r="BL1236" s="1">
        <v>0.0</v>
      </c>
      <c r="BM1236" s="1">
        <v>0.437</v>
      </c>
      <c r="BN1236" s="1">
        <v>0.866</v>
      </c>
      <c r="BO1236" s="1">
        <v>0.2101</v>
      </c>
      <c r="BP1236" s="1">
        <v>0.469</v>
      </c>
      <c r="BQ1236" s="1">
        <v>1.9821</v>
      </c>
      <c r="BR1236" s="1">
        <v>0.4888</v>
      </c>
      <c r="BS1236" s="1">
        <v>0.989</v>
      </c>
      <c r="BT1236" s="1">
        <v>0.039</v>
      </c>
      <c r="BU1236" s="1">
        <v>0.059</v>
      </c>
      <c r="BV1236" s="1">
        <v>1.087</v>
      </c>
      <c r="BW1236" s="1">
        <v>0.158</v>
      </c>
      <c r="BX1236" s="1">
        <v>0.133</v>
      </c>
      <c r="BY1236" s="1">
        <v>0.0</v>
      </c>
      <c r="BZ1236" s="1">
        <v>0.133</v>
      </c>
      <c r="CA1236" s="1">
        <v>0.064</v>
      </c>
      <c r="CB1236" s="1">
        <v>0.72</v>
      </c>
      <c r="CC1236" s="1">
        <v>0.707</v>
      </c>
      <c r="CD1236" s="1">
        <v>0.864</v>
      </c>
      <c r="CE1236" s="1">
        <v>0.383</v>
      </c>
      <c r="CF1236" s="1">
        <v>0.0</v>
      </c>
      <c r="CG1236" s="1">
        <v>2.674</v>
      </c>
      <c r="CH1236" s="1">
        <v>0.634</v>
      </c>
      <c r="CI1236" s="1">
        <v>5.8761</v>
      </c>
      <c r="CJ1236" s="1">
        <v>0.3509</v>
      </c>
      <c r="CK1236" s="1">
        <v>0.0</v>
      </c>
      <c r="CL1236" s="1">
        <v>0.0</v>
      </c>
      <c r="CM1236" s="1">
        <v>0.0</v>
      </c>
      <c r="CN1236" s="1">
        <v>0.0</v>
      </c>
      <c r="CO1236" s="1">
        <v>0.0</v>
      </c>
      <c r="CP1236" s="1">
        <v>1.0</v>
      </c>
      <c r="CQ1236" s="1">
        <v>0.0</v>
      </c>
      <c r="CR1236" s="1">
        <v>0.0</v>
      </c>
      <c r="CS1236" s="1">
        <v>1.0</v>
      </c>
      <c r="CT1236" s="1">
        <v>0.0</v>
      </c>
      <c r="CU1236" s="1">
        <v>0.0</v>
      </c>
      <c r="CV1236" s="1">
        <v>0.0</v>
      </c>
      <c r="CW1236" s="1">
        <v>0.0</v>
      </c>
      <c r="CX1236" s="1">
        <v>0.0</v>
      </c>
      <c r="CY1236" s="1">
        <v>0.0</v>
      </c>
      <c r="CZ1236" s="1">
        <v>0.0</v>
      </c>
      <c r="DA1236" s="1">
        <v>0.0</v>
      </c>
      <c r="DB1236" s="1">
        <v>0.0</v>
      </c>
      <c r="DC1236" s="1">
        <v>1.0</v>
      </c>
      <c r="DD1236" s="1" t="s">
        <v>5426</v>
      </c>
      <c r="DE1236" s="1">
        <v>0.00755803829973865</v>
      </c>
      <c r="DF1236" s="1">
        <v>0.545881578833878</v>
      </c>
    </row>
    <row r="1237" ht="15.75" customHeight="1">
      <c r="A1237" s="1" t="s">
        <v>5427</v>
      </c>
      <c r="B1237" s="1">
        <v>29.0</v>
      </c>
      <c r="C1237" s="1">
        <v>209.0</v>
      </c>
      <c r="D1237" s="2" t="s">
        <v>3274</v>
      </c>
      <c r="E1237" s="1">
        <v>67.191</v>
      </c>
      <c r="F1237" s="1">
        <v>29209.0</v>
      </c>
      <c r="G1237" s="1">
        <v>2.9209090602E10</v>
      </c>
      <c r="H1237" s="1" t="s">
        <v>112</v>
      </c>
      <c r="I1237" s="1" t="s">
        <v>113</v>
      </c>
      <c r="J1237" s="1" t="s">
        <v>5412</v>
      </c>
      <c r="K1237" s="1" t="s">
        <v>5428</v>
      </c>
      <c r="L1237" s="1">
        <v>5214.0</v>
      </c>
      <c r="M1237" s="1">
        <v>5701.0</v>
      </c>
      <c r="N1237" s="1">
        <v>630.0</v>
      </c>
      <c r="O1237" s="1">
        <v>2891.0</v>
      </c>
      <c r="P1237" s="1">
        <v>2768.0</v>
      </c>
      <c r="Q1237" s="1">
        <v>145.0</v>
      </c>
      <c r="R1237" s="1">
        <v>2150.0</v>
      </c>
      <c r="S1237" s="1">
        <v>1222.0</v>
      </c>
      <c r="T1237" s="1">
        <v>490.0</v>
      </c>
      <c r="U1237" s="1">
        <v>292.0</v>
      </c>
      <c r="V1237" s="1">
        <v>262.0</v>
      </c>
      <c r="W1237" s="1">
        <v>19477.0</v>
      </c>
      <c r="X1237" s="1">
        <v>2434.0</v>
      </c>
      <c r="Y1237" s="1">
        <v>510.0</v>
      </c>
      <c r="Z1237" s="1">
        <v>214.0</v>
      </c>
      <c r="AA1237" s="1">
        <v>913.0</v>
      </c>
      <c r="AB1237" s="1">
        <v>1165.0</v>
      </c>
      <c r="AC1237" s="1">
        <v>220.0</v>
      </c>
      <c r="AD1237" s="1">
        <v>340.0</v>
      </c>
      <c r="AE1237" s="1">
        <v>60.0</v>
      </c>
      <c r="AF1237" s="1">
        <v>430.0</v>
      </c>
      <c r="AG1237" s="1">
        <v>126.0</v>
      </c>
      <c r="AH1237" s="1">
        <v>137.0</v>
      </c>
      <c r="AI1237" s="1">
        <v>607.0</v>
      </c>
      <c r="AJ1237" s="1">
        <v>155.0</v>
      </c>
      <c r="AK1237" s="1">
        <v>142.0</v>
      </c>
      <c r="AL1237" s="1">
        <v>146.0</v>
      </c>
      <c r="AM1237" s="1">
        <v>53.0</v>
      </c>
      <c r="AN1237" s="1">
        <v>42.0</v>
      </c>
      <c r="AO1237" s="1">
        <v>8.0</v>
      </c>
      <c r="AP1237" s="1">
        <v>0.217825</v>
      </c>
      <c r="AQ1237" s="1">
        <v>0.08406</v>
      </c>
      <c r="AR1237" s="1">
        <v>0.100481</v>
      </c>
      <c r="AS1237" s="1">
        <v>0.089236</v>
      </c>
      <c r="AT1237" s="1">
        <v>19477.0</v>
      </c>
      <c r="AU1237" s="1">
        <v>2434.0</v>
      </c>
      <c r="AV1237" s="1">
        <v>0.130301</v>
      </c>
      <c r="AW1237" s="1">
        <v>0.053143</v>
      </c>
      <c r="AX1237" s="1">
        <v>0.175105</v>
      </c>
      <c r="AY1237" s="1">
        <v>0.223436</v>
      </c>
      <c r="AZ1237" s="1">
        <v>0.10232558</v>
      </c>
      <c r="BA1237" s="1">
        <v>0.065209</v>
      </c>
      <c r="BB1237" s="1">
        <v>0.011171</v>
      </c>
      <c r="BC1237" s="1">
        <v>0.08005</v>
      </c>
      <c r="BD1237" s="1">
        <v>0.04552</v>
      </c>
      <c r="BE1237" s="1">
        <v>0.049436</v>
      </c>
      <c r="BF1237" s="1">
        <v>0.219291</v>
      </c>
      <c r="BG1237" s="1">
        <v>0.054806</v>
      </c>
      <c r="BH1237" s="1">
        <v>0.063111</v>
      </c>
      <c r="BI1237" s="1">
        <v>0.06462</v>
      </c>
      <c r="BJ1237" s="1">
        <v>0.023555</v>
      </c>
      <c r="BK1237" s="1">
        <v>0.018536</v>
      </c>
      <c r="BL1237" s="1">
        <v>0.001534</v>
      </c>
      <c r="BM1237" s="1">
        <v>0.77</v>
      </c>
      <c r="BN1237" s="1">
        <v>0.734</v>
      </c>
      <c r="BO1237" s="1">
        <v>0.6462</v>
      </c>
      <c r="BP1237" s="1">
        <v>0.471</v>
      </c>
      <c r="BQ1237" s="1">
        <v>2.6212</v>
      </c>
      <c r="BR1237" s="1">
        <v>0.7011</v>
      </c>
      <c r="BS1237" s="1">
        <v>0.763</v>
      </c>
      <c r="BT1237" s="1">
        <v>0.33</v>
      </c>
      <c r="BU1237" s="1">
        <v>0.513</v>
      </c>
      <c r="BV1237" s="1">
        <v>1.606</v>
      </c>
      <c r="BW1237" s="1">
        <v>0.571</v>
      </c>
      <c r="BX1237" s="1">
        <v>0.343</v>
      </c>
      <c r="BY1237" s="1">
        <v>0.751</v>
      </c>
      <c r="BZ1237" s="1">
        <v>1.094</v>
      </c>
      <c r="CA1237" s="1">
        <v>0.611</v>
      </c>
      <c r="CB1237" s="1">
        <v>0.635</v>
      </c>
      <c r="CC1237" s="1">
        <v>0.92</v>
      </c>
      <c r="CD1237" s="1">
        <v>0.969</v>
      </c>
      <c r="CE1237" s="1">
        <v>0.224</v>
      </c>
      <c r="CF1237" s="1">
        <v>0.424</v>
      </c>
      <c r="CG1237" s="1">
        <v>3.172</v>
      </c>
      <c r="CH1237" s="1">
        <v>0.838</v>
      </c>
      <c r="CI1237" s="1">
        <v>8.4932</v>
      </c>
      <c r="CJ1237" s="1">
        <v>0.7841</v>
      </c>
      <c r="CK1237" s="1">
        <v>0.0</v>
      </c>
      <c r="CL1237" s="1">
        <v>0.0</v>
      </c>
      <c r="CM1237" s="1">
        <v>0.0</v>
      </c>
      <c r="CN1237" s="1">
        <v>0.0</v>
      </c>
      <c r="CO1237" s="1">
        <v>0.0</v>
      </c>
      <c r="CP1237" s="1">
        <v>0.0</v>
      </c>
      <c r="CQ1237" s="1">
        <v>0.0</v>
      </c>
      <c r="CR1237" s="1">
        <v>0.0</v>
      </c>
      <c r="CS1237" s="1">
        <v>0.0</v>
      </c>
      <c r="CT1237" s="1">
        <v>0.0</v>
      </c>
      <c r="CU1237" s="1">
        <v>0.0</v>
      </c>
      <c r="CV1237" s="1">
        <v>0.0</v>
      </c>
      <c r="CW1237" s="1">
        <v>0.0</v>
      </c>
      <c r="CX1237" s="1">
        <v>1.0</v>
      </c>
      <c r="CY1237" s="1">
        <v>1.0</v>
      </c>
      <c r="CZ1237" s="1">
        <v>0.0</v>
      </c>
      <c r="DA1237" s="1">
        <v>0.0</v>
      </c>
      <c r="DB1237" s="1">
        <v>2.0</v>
      </c>
      <c r="DC1237" s="1">
        <v>2.0</v>
      </c>
      <c r="DD1237" s="1" t="s">
        <v>5429</v>
      </c>
      <c r="DE1237" s="2" t="s">
        <v>5430</v>
      </c>
      <c r="DF1237" s="2" t="s">
        <v>5431</v>
      </c>
    </row>
    <row r="1238" ht="15.75" customHeight="1">
      <c r="A1238" s="1" t="s">
        <v>5432</v>
      </c>
      <c r="B1238" s="1">
        <v>29.0</v>
      </c>
      <c r="C1238" s="1">
        <v>209.0</v>
      </c>
      <c r="D1238" s="2" t="s">
        <v>2007</v>
      </c>
      <c r="E1238" s="1">
        <v>99.561</v>
      </c>
      <c r="F1238" s="1">
        <v>29209.0</v>
      </c>
      <c r="G1238" s="1">
        <v>2.92090902E10</v>
      </c>
      <c r="H1238" s="1" t="s">
        <v>112</v>
      </c>
      <c r="I1238" s="1" t="s">
        <v>113</v>
      </c>
      <c r="J1238" s="1" t="s">
        <v>5412</v>
      </c>
      <c r="K1238" s="1" t="s">
        <v>5433</v>
      </c>
      <c r="L1238" s="1">
        <v>4950.0</v>
      </c>
      <c r="M1238" s="1">
        <v>4711.0</v>
      </c>
      <c r="N1238" s="1">
        <v>548.0</v>
      </c>
      <c r="O1238" s="1">
        <v>3559.0</v>
      </c>
      <c r="P1238" s="1">
        <v>3326.0</v>
      </c>
      <c r="Q1238" s="1">
        <v>150.0</v>
      </c>
      <c r="R1238" s="1">
        <v>2143.0</v>
      </c>
      <c r="S1238" s="1">
        <v>723.0</v>
      </c>
      <c r="T1238" s="1">
        <v>229.0</v>
      </c>
      <c r="U1238" s="1">
        <v>352.0</v>
      </c>
      <c r="V1238" s="1">
        <v>332.0</v>
      </c>
      <c r="W1238" s="1">
        <v>18606.0</v>
      </c>
      <c r="X1238" s="1">
        <v>2378.0</v>
      </c>
      <c r="Y1238" s="1">
        <v>604.0</v>
      </c>
      <c r="Z1238" s="1">
        <v>278.0</v>
      </c>
      <c r="AA1238" s="1">
        <v>1295.0</v>
      </c>
      <c r="AB1238" s="1">
        <v>826.0</v>
      </c>
      <c r="AC1238" s="1">
        <v>119.0</v>
      </c>
      <c r="AD1238" s="1">
        <v>174.0</v>
      </c>
      <c r="AE1238" s="1">
        <v>15.0</v>
      </c>
      <c r="AF1238" s="1">
        <v>442.0</v>
      </c>
      <c r="AG1238" s="1">
        <v>8.0</v>
      </c>
      <c r="AH1238" s="1">
        <v>161.0</v>
      </c>
      <c r="AI1238" s="1">
        <v>750.0</v>
      </c>
      <c r="AJ1238" s="1">
        <v>155.0</v>
      </c>
      <c r="AK1238" s="1">
        <v>20.0</v>
      </c>
      <c r="AL1238" s="1">
        <v>115.0</v>
      </c>
      <c r="AM1238" s="1">
        <v>72.0</v>
      </c>
      <c r="AN1238" s="1">
        <v>50.0</v>
      </c>
      <c r="AO1238" s="1">
        <v>2.0</v>
      </c>
      <c r="AP1238" s="1">
        <v>0.153928</v>
      </c>
      <c r="AQ1238" s="1">
        <v>0.045492</v>
      </c>
      <c r="AR1238" s="1">
        <v>0.196209</v>
      </c>
      <c r="AS1238" s="1">
        <v>0.181805</v>
      </c>
      <c r="AT1238" s="1">
        <v>18606.0</v>
      </c>
      <c r="AU1238" s="1">
        <v>2378.0</v>
      </c>
      <c r="AV1238" s="1">
        <v>0.174163</v>
      </c>
      <c r="AW1238" s="1">
        <v>0.078321</v>
      </c>
      <c r="AX1238" s="1">
        <v>0.261616</v>
      </c>
      <c r="AY1238" s="1">
        <v>0.166868</v>
      </c>
      <c r="AZ1238" s="1">
        <v>0.05552963</v>
      </c>
      <c r="BA1238" s="1">
        <v>0.035151</v>
      </c>
      <c r="BB1238" s="1">
        <v>0.003373</v>
      </c>
      <c r="BC1238" s="1">
        <v>0.099392</v>
      </c>
      <c r="BD1238" s="1">
        <v>0.002405</v>
      </c>
      <c r="BE1238" s="1">
        <v>0.048406</v>
      </c>
      <c r="BF1238" s="1">
        <v>0.225496</v>
      </c>
      <c r="BG1238" s="1">
        <v>0.045479</v>
      </c>
      <c r="BH1238" s="1">
        <v>0.010136</v>
      </c>
      <c r="BI1238" s="1">
        <v>0.058277</v>
      </c>
      <c r="BJ1238" s="1">
        <v>0.036492</v>
      </c>
      <c r="BK1238" s="1">
        <v>0.025065</v>
      </c>
      <c r="BL1238" s="1">
        <v>4.04E-4</v>
      </c>
      <c r="BM1238" s="1">
        <v>0.592</v>
      </c>
      <c r="BN1238" s="1">
        <v>0.948</v>
      </c>
      <c r="BO1238" s="1">
        <v>0.6996</v>
      </c>
      <c r="BP1238" s="1">
        <v>0.664</v>
      </c>
      <c r="BQ1238" s="1">
        <v>2.9036</v>
      </c>
      <c r="BR1238" s="1">
        <v>0.7812</v>
      </c>
      <c r="BS1238" s="1">
        <v>0.975</v>
      </c>
      <c r="BT1238" s="1">
        <v>0.095</v>
      </c>
      <c r="BU1238" s="1">
        <v>0.106</v>
      </c>
      <c r="BV1238" s="1">
        <v>1.176</v>
      </c>
      <c r="BW1238" s="1">
        <v>0.212</v>
      </c>
      <c r="BX1238" s="1">
        <v>0.121</v>
      </c>
      <c r="BY1238" s="1">
        <v>0.474</v>
      </c>
      <c r="BZ1238" s="1">
        <v>0.595</v>
      </c>
      <c r="CA1238" s="1">
        <v>0.265</v>
      </c>
      <c r="CB1238" s="1">
        <v>0.277</v>
      </c>
      <c r="CC1238" s="1">
        <v>0.925</v>
      </c>
      <c r="CD1238" s="1">
        <v>0.479</v>
      </c>
      <c r="CE1238" s="1">
        <v>0.347</v>
      </c>
      <c r="CF1238" s="1">
        <v>0.36</v>
      </c>
      <c r="CG1238" s="1">
        <v>2.388</v>
      </c>
      <c r="CH1238" s="1">
        <v>0.507</v>
      </c>
      <c r="CI1238" s="1">
        <v>7.0626</v>
      </c>
      <c r="CJ1238" s="1">
        <v>0.5603</v>
      </c>
      <c r="CK1238" s="1">
        <v>0.0</v>
      </c>
      <c r="CL1238" s="1">
        <v>1.0</v>
      </c>
      <c r="CM1238" s="1">
        <v>0.0</v>
      </c>
      <c r="CN1238" s="1">
        <v>0.0</v>
      </c>
      <c r="CO1238" s="1">
        <v>1.0</v>
      </c>
      <c r="CP1238" s="1">
        <v>1.0</v>
      </c>
      <c r="CQ1238" s="1">
        <v>0.0</v>
      </c>
      <c r="CR1238" s="1">
        <v>0.0</v>
      </c>
      <c r="CS1238" s="1">
        <v>1.0</v>
      </c>
      <c r="CT1238" s="1">
        <v>0.0</v>
      </c>
      <c r="CU1238" s="1">
        <v>0.0</v>
      </c>
      <c r="CV1238" s="1">
        <v>0.0</v>
      </c>
      <c r="CW1238" s="1">
        <v>0.0</v>
      </c>
      <c r="CX1238" s="1">
        <v>1.0</v>
      </c>
      <c r="CY1238" s="1">
        <v>0.0</v>
      </c>
      <c r="CZ1238" s="1">
        <v>0.0</v>
      </c>
      <c r="DA1238" s="1">
        <v>0.0</v>
      </c>
      <c r="DB1238" s="1">
        <v>1.0</v>
      </c>
      <c r="DC1238" s="1">
        <v>3.0</v>
      </c>
      <c r="DD1238" s="1" t="s">
        <v>5434</v>
      </c>
      <c r="DE1238" s="2" t="s">
        <v>5435</v>
      </c>
      <c r="DF1238" s="2" t="s">
        <v>5436</v>
      </c>
    </row>
    <row r="1239" ht="15.75" customHeight="1">
      <c r="A1239" s="1" t="s">
        <v>5437</v>
      </c>
      <c r="B1239" s="1">
        <v>29.0</v>
      </c>
      <c r="C1239" s="1">
        <v>211.0</v>
      </c>
      <c r="D1239" s="1">
        <v>480100.0</v>
      </c>
      <c r="E1239" s="1">
        <v>285.487</v>
      </c>
      <c r="F1239" s="1">
        <v>29211.0</v>
      </c>
      <c r="G1239" s="1">
        <v>2.92114801E10</v>
      </c>
      <c r="H1239" s="1" t="s">
        <v>112</v>
      </c>
      <c r="I1239" s="1" t="s">
        <v>113</v>
      </c>
      <c r="J1239" s="1" t="s">
        <v>5438</v>
      </c>
      <c r="K1239" s="1" t="s">
        <v>5439</v>
      </c>
      <c r="L1239" s="1">
        <v>2124.0</v>
      </c>
      <c r="M1239" s="1">
        <v>2404.0</v>
      </c>
      <c r="N1239" s="1">
        <v>179.0</v>
      </c>
      <c r="O1239" s="1">
        <v>1187.0</v>
      </c>
      <c r="P1239" s="1">
        <v>1266.0</v>
      </c>
      <c r="Q1239" s="1">
        <v>80.0</v>
      </c>
      <c r="R1239" s="1">
        <v>941.0</v>
      </c>
      <c r="S1239" s="1">
        <v>465.0</v>
      </c>
      <c r="T1239" s="1">
        <v>138.0</v>
      </c>
      <c r="U1239" s="1">
        <v>87.0</v>
      </c>
      <c r="V1239" s="1">
        <v>326.0</v>
      </c>
      <c r="W1239" s="1">
        <v>14277.0</v>
      </c>
      <c r="X1239" s="1">
        <v>1503.0</v>
      </c>
      <c r="Y1239" s="1">
        <v>259.0</v>
      </c>
      <c r="Z1239" s="1">
        <v>172.0</v>
      </c>
      <c r="AA1239" s="1">
        <v>452.0</v>
      </c>
      <c r="AB1239" s="1">
        <v>458.0</v>
      </c>
      <c r="AC1239" s="1">
        <v>82.0</v>
      </c>
      <c r="AD1239" s="1">
        <v>121.0</v>
      </c>
      <c r="AE1239" s="1">
        <v>11.0</v>
      </c>
      <c r="AF1239" s="1">
        <v>427.0</v>
      </c>
      <c r="AG1239" s="1">
        <v>7.0</v>
      </c>
      <c r="AH1239" s="1">
        <v>162.0</v>
      </c>
      <c r="AI1239" s="1">
        <v>293.0</v>
      </c>
      <c r="AJ1239" s="1">
        <v>87.0</v>
      </c>
      <c r="AK1239" s="1">
        <v>9.0</v>
      </c>
      <c r="AL1239" s="1">
        <v>115.0</v>
      </c>
      <c r="AM1239" s="1">
        <v>78.0</v>
      </c>
      <c r="AN1239" s="1">
        <v>32.0</v>
      </c>
      <c r="AO1239" s="1">
        <v>0.0</v>
      </c>
      <c r="AP1239" s="1">
        <v>0.194235</v>
      </c>
      <c r="AQ1239" s="1">
        <v>0.055784</v>
      </c>
      <c r="AR1239" s="1">
        <v>0.087967</v>
      </c>
      <c r="AS1239" s="1">
        <v>0.329429</v>
      </c>
      <c r="AT1239" s="1">
        <v>14277.0</v>
      </c>
      <c r="AU1239" s="1">
        <v>1503.0</v>
      </c>
      <c r="AV1239" s="1">
        <v>0.154258</v>
      </c>
      <c r="AW1239" s="1">
        <v>0.101732</v>
      </c>
      <c r="AX1239" s="1">
        <v>0.212806</v>
      </c>
      <c r="AY1239" s="1">
        <v>0.21563</v>
      </c>
      <c r="AZ1239" s="1">
        <v>0.08714133</v>
      </c>
      <c r="BA1239" s="1">
        <v>0.056967</v>
      </c>
      <c r="BB1239" s="1">
        <v>0.004915</v>
      </c>
      <c r="BC1239" s="1">
        <v>0.190794</v>
      </c>
      <c r="BD1239" s="1">
        <v>0.005529</v>
      </c>
      <c r="BE1239" s="1">
        <v>0.127961</v>
      </c>
      <c r="BF1239" s="1">
        <v>0.231437</v>
      </c>
      <c r="BG1239" s="1">
        <v>0.067146</v>
      </c>
      <c r="BH1239" s="1">
        <v>0.009155</v>
      </c>
      <c r="BI1239" s="1">
        <v>0.116985</v>
      </c>
      <c r="BJ1239" s="1">
        <v>0.079348</v>
      </c>
      <c r="BK1239" s="1">
        <v>0.031656</v>
      </c>
      <c r="BL1239" s="1">
        <v>0.0</v>
      </c>
      <c r="BM1239" s="1">
        <v>0.714</v>
      </c>
      <c r="BN1239" s="1">
        <v>0.666</v>
      </c>
      <c r="BO1239" s="1">
        <v>0.9025</v>
      </c>
      <c r="BP1239" s="1">
        <v>0.584</v>
      </c>
      <c r="BQ1239" s="1">
        <v>2.8665</v>
      </c>
      <c r="BR1239" s="1">
        <v>0.7704</v>
      </c>
      <c r="BS1239" s="1">
        <v>0.916</v>
      </c>
      <c r="BT1239" s="1">
        <v>0.274</v>
      </c>
      <c r="BU1239" s="1">
        <v>0.378</v>
      </c>
      <c r="BV1239" s="1">
        <v>1.568</v>
      </c>
      <c r="BW1239" s="1">
        <v>0.537</v>
      </c>
      <c r="BX1239" s="1">
        <v>0.297</v>
      </c>
      <c r="BY1239" s="1">
        <v>0.556</v>
      </c>
      <c r="BZ1239" s="1">
        <v>0.853</v>
      </c>
      <c r="CA1239" s="1">
        <v>0.438</v>
      </c>
      <c r="CB1239" s="1">
        <v>0.326</v>
      </c>
      <c r="CC1239" s="1">
        <v>0.931</v>
      </c>
      <c r="CD1239" s="1">
        <v>0.46</v>
      </c>
      <c r="CE1239" s="1">
        <v>0.671</v>
      </c>
      <c r="CF1239" s="1">
        <v>0.0</v>
      </c>
      <c r="CG1239" s="1">
        <v>2.388</v>
      </c>
      <c r="CH1239" s="1">
        <v>0.507</v>
      </c>
      <c r="CI1239" s="1">
        <v>7.6755</v>
      </c>
      <c r="CJ1239" s="1">
        <v>0.6657</v>
      </c>
      <c r="CK1239" s="1">
        <v>0.0</v>
      </c>
      <c r="CL1239" s="1">
        <v>0.0</v>
      </c>
      <c r="CM1239" s="1">
        <v>1.0</v>
      </c>
      <c r="CN1239" s="1">
        <v>0.0</v>
      </c>
      <c r="CO1239" s="1">
        <v>1.0</v>
      </c>
      <c r="CP1239" s="1">
        <v>1.0</v>
      </c>
      <c r="CQ1239" s="1">
        <v>0.0</v>
      </c>
      <c r="CR1239" s="1">
        <v>0.0</v>
      </c>
      <c r="CS1239" s="1">
        <v>1.0</v>
      </c>
      <c r="CT1239" s="1">
        <v>0.0</v>
      </c>
      <c r="CU1239" s="1">
        <v>0.0</v>
      </c>
      <c r="CV1239" s="1">
        <v>0.0</v>
      </c>
      <c r="CW1239" s="1">
        <v>0.0</v>
      </c>
      <c r="CX1239" s="1">
        <v>1.0</v>
      </c>
      <c r="CY1239" s="1">
        <v>0.0</v>
      </c>
      <c r="CZ1239" s="1">
        <v>0.0</v>
      </c>
      <c r="DA1239" s="1">
        <v>0.0</v>
      </c>
      <c r="DB1239" s="1">
        <v>1.0</v>
      </c>
      <c r="DC1239" s="1">
        <v>3.0</v>
      </c>
      <c r="DD1239" s="1" t="s">
        <v>5440</v>
      </c>
      <c r="DE1239" s="1">
        <v>0.0785563328005299</v>
      </c>
      <c r="DF1239" s="2" t="s">
        <v>5441</v>
      </c>
    </row>
    <row r="1240" ht="15.75" customHeight="1">
      <c r="A1240" s="1" t="s">
        <v>5442</v>
      </c>
      <c r="B1240" s="1">
        <v>29.0</v>
      </c>
      <c r="C1240" s="1">
        <v>211.0</v>
      </c>
      <c r="D1240" s="1">
        <v>480200.0</v>
      </c>
      <c r="E1240" s="1">
        <v>287.668</v>
      </c>
      <c r="F1240" s="1">
        <v>29211.0</v>
      </c>
      <c r="G1240" s="1">
        <v>2.92114802E10</v>
      </c>
      <c r="H1240" s="1" t="s">
        <v>112</v>
      </c>
      <c r="I1240" s="1" t="s">
        <v>113</v>
      </c>
      <c r="J1240" s="1" t="s">
        <v>5438</v>
      </c>
      <c r="K1240" s="1" t="s">
        <v>5443</v>
      </c>
      <c r="L1240" s="1">
        <v>1579.0</v>
      </c>
      <c r="M1240" s="1">
        <v>1404.0</v>
      </c>
      <c r="N1240" s="1">
        <v>152.0</v>
      </c>
      <c r="O1240" s="1">
        <v>869.0</v>
      </c>
      <c r="P1240" s="1">
        <v>874.0</v>
      </c>
      <c r="Q1240" s="1">
        <v>48.0</v>
      </c>
      <c r="R1240" s="1">
        <v>674.0</v>
      </c>
      <c r="S1240" s="1">
        <v>305.0</v>
      </c>
      <c r="T1240" s="1">
        <v>104.0</v>
      </c>
      <c r="U1240" s="1">
        <v>17.0</v>
      </c>
      <c r="V1240" s="1">
        <v>456.0</v>
      </c>
      <c r="W1240" s="1">
        <v>21285.0</v>
      </c>
      <c r="X1240" s="1">
        <v>4566.0</v>
      </c>
      <c r="Y1240" s="1">
        <v>163.0</v>
      </c>
      <c r="Z1240" s="1">
        <v>233.0</v>
      </c>
      <c r="AA1240" s="1">
        <v>269.0</v>
      </c>
      <c r="AB1240" s="1">
        <v>363.0</v>
      </c>
      <c r="AC1240" s="1">
        <v>62.0</v>
      </c>
      <c r="AD1240" s="1">
        <v>99.0</v>
      </c>
      <c r="AE1240" s="1">
        <v>2.0</v>
      </c>
      <c r="AF1240" s="1">
        <v>442.0</v>
      </c>
      <c r="AG1240" s="1">
        <v>8.0</v>
      </c>
      <c r="AH1240" s="1">
        <v>161.0</v>
      </c>
      <c r="AI1240" s="1">
        <v>120.0</v>
      </c>
      <c r="AJ1240" s="1">
        <v>38.0</v>
      </c>
      <c r="AK1240" s="1">
        <v>0.0</v>
      </c>
      <c r="AL1240" s="1">
        <v>161.0</v>
      </c>
      <c r="AM1240" s="1">
        <v>37.0</v>
      </c>
      <c r="AN1240" s="1">
        <v>23.0</v>
      </c>
      <c r="AO1240" s="1">
        <v>0.0</v>
      </c>
      <c r="AP1240" s="1">
        <v>0.218012</v>
      </c>
      <c r="AQ1240" s="1">
        <v>0.070464</v>
      </c>
      <c r="AR1240" s="1">
        <v>0.028716</v>
      </c>
      <c r="AS1240" s="1">
        <v>0.770259</v>
      </c>
      <c r="AT1240" s="1">
        <v>21285.0</v>
      </c>
      <c r="AU1240" s="1">
        <v>4566.0</v>
      </c>
      <c r="AV1240" s="1">
        <v>0.160275</v>
      </c>
      <c r="AW1240" s="1">
        <v>0.22854</v>
      </c>
      <c r="AX1240" s="1">
        <v>0.17036</v>
      </c>
      <c r="AY1240" s="1">
        <v>0.229892</v>
      </c>
      <c r="AZ1240" s="1">
        <v>0.09198813</v>
      </c>
      <c r="BA1240" s="1">
        <v>0.062697</v>
      </c>
      <c r="BB1240" s="1">
        <v>0.001515</v>
      </c>
      <c r="BC1240" s="1">
        <v>0.334848</v>
      </c>
      <c r="BD1240" s="1">
        <v>0.009153</v>
      </c>
      <c r="BE1240" s="1">
        <v>0.184209</v>
      </c>
      <c r="BF1240" s="1">
        <v>0.137299</v>
      </c>
      <c r="BG1240" s="1">
        <v>0.042819</v>
      </c>
      <c r="BH1240" s="1">
        <v>0.0</v>
      </c>
      <c r="BI1240" s="1">
        <v>0.264367</v>
      </c>
      <c r="BJ1240" s="1">
        <v>0.060755</v>
      </c>
      <c r="BK1240" s="1">
        <v>0.037336</v>
      </c>
      <c r="BL1240" s="1">
        <v>0.0</v>
      </c>
      <c r="BM1240" s="1">
        <v>0.772</v>
      </c>
      <c r="BN1240" s="1">
        <v>0.076</v>
      </c>
      <c r="BO1240" s="1">
        <v>0.5343</v>
      </c>
      <c r="BP1240" s="1">
        <v>0.613</v>
      </c>
      <c r="BQ1240" s="1">
        <v>1.9953</v>
      </c>
      <c r="BR1240" s="1">
        <v>0.4917</v>
      </c>
      <c r="BS1240" s="1">
        <v>0.74</v>
      </c>
      <c r="BT1240" s="1">
        <v>0.384</v>
      </c>
      <c r="BU1240" s="1">
        <v>0.42</v>
      </c>
      <c r="BV1240" s="1">
        <v>1.544</v>
      </c>
      <c r="BW1240" s="1">
        <v>0.517</v>
      </c>
      <c r="BX1240" s="1">
        <v>0.326</v>
      </c>
      <c r="BY1240" s="1">
        <v>0.356</v>
      </c>
      <c r="BZ1240" s="1">
        <v>0.682</v>
      </c>
      <c r="CA1240" s="1">
        <v>0.325</v>
      </c>
      <c r="CB1240" s="1">
        <v>0.376</v>
      </c>
      <c r="CC1240" s="1">
        <v>0.792</v>
      </c>
      <c r="CD1240" s="1">
        <v>0.0</v>
      </c>
      <c r="CE1240" s="1">
        <v>0.571</v>
      </c>
      <c r="CF1240" s="1">
        <v>0.0</v>
      </c>
      <c r="CG1240" s="1">
        <v>1.739</v>
      </c>
      <c r="CH1240" s="1">
        <v>0.247</v>
      </c>
      <c r="CI1240" s="1">
        <v>5.9603</v>
      </c>
      <c r="CJ1240" s="1">
        <v>0.3661</v>
      </c>
      <c r="CK1240" s="1">
        <v>0.0</v>
      </c>
      <c r="CL1240" s="1">
        <v>0.0</v>
      </c>
      <c r="CM1240" s="1">
        <v>0.0</v>
      </c>
      <c r="CN1240" s="1">
        <v>0.0</v>
      </c>
      <c r="CO1240" s="1">
        <v>0.0</v>
      </c>
      <c r="CP1240" s="1">
        <v>0.0</v>
      </c>
      <c r="CQ1240" s="1">
        <v>0.0</v>
      </c>
      <c r="CR1240" s="1">
        <v>0.0</v>
      </c>
      <c r="CS1240" s="1">
        <v>0.0</v>
      </c>
      <c r="CT1240" s="1">
        <v>0.0</v>
      </c>
      <c r="CU1240" s="1">
        <v>0.0</v>
      </c>
      <c r="CV1240" s="1">
        <v>0.0</v>
      </c>
      <c r="CW1240" s="1">
        <v>0.0</v>
      </c>
      <c r="CX1240" s="1">
        <v>0.0</v>
      </c>
      <c r="CY1240" s="1">
        <v>0.0</v>
      </c>
      <c r="CZ1240" s="1">
        <v>0.0</v>
      </c>
      <c r="DA1240" s="1">
        <v>0.0</v>
      </c>
      <c r="DB1240" s="1">
        <v>0.0</v>
      </c>
      <c r="DC1240" s="1">
        <v>0.0</v>
      </c>
      <c r="DD1240" s="1" t="s">
        <v>5444</v>
      </c>
      <c r="DE1240" s="1">
        <v>0.0792336949360256</v>
      </c>
      <c r="DF1240" s="2" t="s">
        <v>5445</v>
      </c>
    </row>
    <row r="1241" ht="15.75" customHeight="1">
      <c r="A1241" s="1" t="s">
        <v>5446</v>
      </c>
      <c r="B1241" s="1">
        <v>29.0</v>
      </c>
      <c r="C1241" s="1">
        <v>211.0</v>
      </c>
      <c r="D1241" s="1">
        <v>480300.0</v>
      </c>
      <c r="E1241" s="1">
        <v>74.826</v>
      </c>
      <c r="F1241" s="1">
        <v>29211.0</v>
      </c>
      <c r="G1241" s="1">
        <v>2.92114803E10</v>
      </c>
      <c r="H1241" s="1" t="s">
        <v>112</v>
      </c>
      <c r="I1241" s="1" t="s">
        <v>113</v>
      </c>
      <c r="J1241" s="1" t="s">
        <v>5438</v>
      </c>
      <c r="K1241" s="1" t="s">
        <v>5447</v>
      </c>
      <c r="L1241" s="1">
        <v>3011.0</v>
      </c>
      <c r="M1241" s="1">
        <v>2920.0</v>
      </c>
      <c r="N1241" s="1">
        <v>138.0</v>
      </c>
      <c r="O1241" s="1">
        <v>1302.0</v>
      </c>
      <c r="P1241" s="1">
        <v>1248.0</v>
      </c>
      <c r="Q1241" s="1">
        <v>106.0</v>
      </c>
      <c r="R1241" s="1">
        <v>1125.0</v>
      </c>
      <c r="S1241" s="1">
        <v>627.0</v>
      </c>
      <c r="T1241" s="1">
        <v>249.0</v>
      </c>
      <c r="U1241" s="1">
        <v>143.0</v>
      </c>
      <c r="V1241" s="1">
        <v>385.0</v>
      </c>
      <c r="W1241" s="1">
        <v>16335.0</v>
      </c>
      <c r="X1241" s="1">
        <v>1920.0</v>
      </c>
      <c r="Y1241" s="1">
        <v>464.0</v>
      </c>
      <c r="Z1241" s="1">
        <v>227.0</v>
      </c>
      <c r="AA1241" s="1">
        <v>423.0</v>
      </c>
      <c r="AB1241" s="1">
        <v>804.0</v>
      </c>
      <c r="AC1241" s="1">
        <v>158.0</v>
      </c>
      <c r="AD1241" s="1">
        <v>1144.0</v>
      </c>
      <c r="AE1241" s="1">
        <v>323.0</v>
      </c>
      <c r="AF1241" s="1">
        <v>411.0</v>
      </c>
      <c r="AG1241" s="1">
        <v>33.0</v>
      </c>
      <c r="AH1241" s="1">
        <v>27.0</v>
      </c>
      <c r="AI1241" s="1">
        <v>245.0</v>
      </c>
      <c r="AJ1241" s="1">
        <v>91.0</v>
      </c>
      <c r="AK1241" s="1">
        <v>75.0</v>
      </c>
      <c r="AL1241" s="1">
        <v>52.0</v>
      </c>
      <c r="AM1241" s="1">
        <v>71.0</v>
      </c>
      <c r="AN1241" s="1">
        <v>33.0</v>
      </c>
      <c r="AO1241" s="1">
        <v>108.0</v>
      </c>
      <c r="AP1241" s="1">
        <v>0.220619</v>
      </c>
      <c r="AQ1241" s="1">
        <v>0.086442</v>
      </c>
      <c r="AR1241" s="1">
        <v>0.108006</v>
      </c>
      <c r="AS1241" s="1">
        <v>0.290363</v>
      </c>
      <c r="AT1241" s="1">
        <v>16335.0</v>
      </c>
      <c r="AU1241" s="1">
        <v>1920.0</v>
      </c>
      <c r="AV1241" s="1">
        <v>0.238683</v>
      </c>
      <c r="AW1241" s="1">
        <v>0.115788</v>
      </c>
      <c r="AX1241" s="1">
        <v>0.140484</v>
      </c>
      <c r="AY1241" s="1">
        <v>0.26702</v>
      </c>
      <c r="AZ1241" s="1">
        <v>0.14044444</v>
      </c>
      <c r="BA1241" s="1">
        <v>0.37994</v>
      </c>
      <c r="BB1241" s="1">
        <v>0.117668</v>
      </c>
      <c r="BC1241" s="1">
        <v>0.149602</v>
      </c>
      <c r="BD1241" s="1">
        <v>0.026442</v>
      </c>
      <c r="BE1241" s="1">
        <v>0.021517</v>
      </c>
      <c r="BF1241" s="1">
        <v>0.196314</v>
      </c>
      <c r="BG1241" s="1">
        <v>0.070984</v>
      </c>
      <c r="BH1241" s="1">
        <v>0.071428</v>
      </c>
      <c r="BI1241" s="1">
        <v>0.048996</v>
      </c>
      <c r="BJ1241" s="1">
        <v>0.067619</v>
      </c>
      <c r="BK1241" s="1">
        <v>0.030678</v>
      </c>
      <c r="BL1241" s="1">
        <v>0.035868</v>
      </c>
      <c r="BM1241" s="1">
        <v>0.774</v>
      </c>
      <c r="BN1241" s="1">
        <v>0.779</v>
      </c>
      <c r="BO1241" s="1">
        <v>0.8217</v>
      </c>
      <c r="BP1241" s="1">
        <v>0.841</v>
      </c>
      <c r="BQ1241" s="1">
        <v>3.2157</v>
      </c>
      <c r="BR1241" s="1">
        <v>0.8563</v>
      </c>
      <c r="BS1241" s="1">
        <v>0.5</v>
      </c>
      <c r="BT1241" s="1">
        <v>0.77</v>
      </c>
      <c r="BU1241" s="1">
        <v>0.758</v>
      </c>
      <c r="BV1241" s="1">
        <v>2.028</v>
      </c>
      <c r="BW1241" s="1">
        <v>0.875</v>
      </c>
      <c r="BX1241" s="1">
        <v>0.833</v>
      </c>
      <c r="BY1241" s="1">
        <v>0.986</v>
      </c>
      <c r="BZ1241" s="1">
        <v>1.819</v>
      </c>
      <c r="CA1241" s="1">
        <v>0.97</v>
      </c>
      <c r="CB1241" s="1">
        <v>0.523</v>
      </c>
      <c r="CC1241" s="1">
        <v>0.895</v>
      </c>
      <c r="CD1241" s="1">
        <v>0.978</v>
      </c>
      <c r="CE1241" s="1">
        <v>0.61</v>
      </c>
      <c r="CF1241" s="1">
        <v>0.846</v>
      </c>
      <c r="CG1241" s="1">
        <v>3.852</v>
      </c>
      <c r="CH1241" s="1">
        <v>0.989</v>
      </c>
      <c r="CI1241" s="1">
        <v>10.9147</v>
      </c>
      <c r="CJ1241" s="1">
        <v>0.9892</v>
      </c>
      <c r="CK1241" s="1">
        <v>0.0</v>
      </c>
      <c r="CL1241" s="1">
        <v>0.0</v>
      </c>
      <c r="CM1241" s="1">
        <v>0.0</v>
      </c>
      <c r="CN1241" s="1">
        <v>0.0</v>
      </c>
      <c r="CO1241" s="1">
        <v>0.0</v>
      </c>
      <c r="CP1241" s="1">
        <v>0.0</v>
      </c>
      <c r="CQ1241" s="1">
        <v>0.0</v>
      </c>
      <c r="CR1241" s="1">
        <v>0.0</v>
      </c>
      <c r="CS1241" s="1">
        <v>0.0</v>
      </c>
      <c r="CT1241" s="1">
        <v>0.0</v>
      </c>
      <c r="CU1241" s="1">
        <v>1.0</v>
      </c>
      <c r="CV1241" s="1">
        <v>1.0</v>
      </c>
      <c r="CW1241" s="1">
        <v>0.0</v>
      </c>
      <c r="CX1241" s="1">
        <v>0.0</v>
      </c>
      <c r="CY1241" s="1">
        <v>1.0</v>
      </c>
      <c r="CZ1241" s="1">
        <v>0.0</v>
      </c>
      <c r="DA1241" s="1">
        <v>0.0</v>
      </c>
      <c r="DB1241" s="1">
        <v>1.0</v>
      </c>
      <c r="DC1241" s="1">
        <v>2.0</v>
      </c>
      <c r="DD1241" s="1" t="s">
        <v>5448</v>
      </c>
      <c r="DE1241" s="2" t="s">
        <v>5449</v>
      </c>
      <c r="DF1241" s="2" t="s">
        <v>5450</v>
      </c>
    </row>
    <row r="1242" ht="15.75" customHeight="1">
      <c r="A1242" s="1" t="s">
        <v>5451</v>
      </c>
      <c r="B1242" s="1">
        <v>29.0</v>
      </c>
      <c r="C1242" s="1">
        <v>213.0</v>
      </c>
      <c r="D1242" s="1">
        <v>480105.0</v>
      </c>
      <c r="E1242" s="1">
        <v>11.232</v>
      </c>
      <c r="F1242" s="1">
        <v>29213.0</v>
      </c>
      <c r="G1242" s="1">
        <v>2.9213480105E10</v>
      </c>
      <c r="H1242" s="1" t="s">
        <v>112</v>
      </c>
      <c r="I1242" s="1" t="s">
        <v>113</v>
      </c>
      <c r="J1242" s="1" t="s">
        <v>5452</v>
      </c>
      <c r="K1242" s="1" t="s">
        <v>5453</v>
      </c>
      <c r="L1242" s="1">
        <v>6529.0</v>
      </c>
      <c r="M1242" s="1">
        <v>6359.0</v>
      </c>
      <c r="N1242" s="1">
        <v>555.0</v>
      </c>
      <c r="O1242" s="1">
        <v>5994.0</v>
      </c>
      <c r="P1242" s="1">
        <v>4966.0</v>
      </c>
      <c r="Q1242" s="1">
        <v>284.0</v>
      </c>
      <c r="R1242" s="1">
        <v>2862.0</v>
      </c>
      <c r="S1242" s="1">
        <v>530.0</v>
      </c>
      <c r="T1242" s="1">
        <v>385.0</v>
      </c>
      <c r="U1242" s="1">
        <v>112.0</v>
      </c>
      <c r="V1242" s="1">
        <v>450.0</v>
      </c>
      <c r="W1242" s="1">
        <v>23652.0</v>
      </c>
      <c r="X1242" s="1">
        <v>2434.0</v>
      </c>
      <c r="Y1242" s="1">
        <v>506.0</v>
      </c>
      <c r="Z1242" s="1">
        <v>343.0</v>
      </c>
      <c r="AA1242" s="1">
        <v>1306.0</v>
      </c>
      <c r="AB1242" s="1">
        <v>1193.0</v>
      </c>
      <c r="AC1242" s="1">
        <v>227.0</v>
      </c>
      <c r="AD1242" s="1">
        <v>912.0</v>
      </c>
      <c r="AE1242" s="1">
        <v>94.0</v>
      </c>
      <c r="AF1242" s="1">
        <v>443.0</v>
      </c>
      <c r="AG1242" s="1">
        <v>2032.0</v>
      </c>
      <c r="AH1242" s="1">
        <v>386.0</v>
      </c>
      <c r="AI1242" s="1">
        <v>462.0</v>
      </c>
      <c r="AJ1242" s="1">
        <v>148.0</v>
      </c>
      <c r="AK1242" s="1">
        <v>24.0</v>
      </c>
      <c r="AL1242" s="1">
        <v>120.0</v>
      </c>
      <c r="AM1242" s="1">
        <v>93.0</v>
      </c>
      <c r="AN1242" s="1">
        <v>61.0</v>
      </c>
      <c r="AO1242" s="1">
        <v>118.0</v>
      </c>
      <c r="AP1242" s="1">
        <v>0.083346</v>
      </c>
      <c r="AQ1242" s="1">
        <v>0.060105</v>
      </c>
      <c r="AR1242" s="1">
        <v>0.036328</v>
      </c>
      <c r="AS1242" s="1">
        <v>0.145869</v>
      </c>
      <c r="AT1242" s="1">
        <v>23652.0</v>
      </c>
      <c r="AU1242" s="1">
        <v>2434.0</v>
      </c>
      <c r="AV1242" s="1">
        <v>0.106796</v>
      </c>
      <c r="AW1242" s="1">
        <v>0.071741</v>
      </c>
      <c r="AX1242" s="1">
        <v>0.20003</v>
      </c>
      <c r="AY1242" s="1">
        <v>0.182723</v>
      </c>
      <c r="AZ1242" s="1">
        <v>0.07931516</v>
      </c>
      <c r="BA1242" s="1">
        <v>0.139684</v>
      </c>
      <c r="BB1242" s="1">
        <v>0.015274</v>
      </c>
      <c r="BC1242" s="1">
        <v>0.071974</v>
      </c>
      <c r="BD1242" s="1">
        <v>0.409182</v>
      </c>
      <c r="BE1242" s="1">
        <v>0.074122</v>
      </c>
      <c r="BF1242" s="1">
        <v>0.093032</v>
      </c>
      <c r="BG1242" s="1">
        <v>0.029323</v>
      </c>
      <c r="BH1242" s="1">
        <v>0.008205</v>
      </c>
      <c r="BI1242" s="1">
        <v>0.041017</v>
      </c>
      <c r="BJ1242" s="1">
        <v>0.031794</v>
      </c>
      <c r="BK1242" s="1">
        <v>0.020598</v>
      </c>
      <c r="BL1242" s="1">
        <v>0.018073</v>
      </c>
      <c r="BM1242" s="1">
        <v>0.305</v>
      </c>
      <c r="BN1242" s="1">
        <v>0.149</v>
      </c>
      <c r="BO1242" s="1">
        <v>0.4173</v>
      </c>
      <c r="BP1242" s="1">
        <v>0.368</v>
      </c>
      <c r="BQ1242" s="1">
        <v>1.2393</v>
      </c>
      <c r="BR1242" s="1">
        <v>0.2643</v>
      </c>
      <c r="BS1242" s="1">
        <v>0.872</v>
      </c>
      <c r="BT1242" s="1">
        <v>0.126</v>
      </c>
      <c r="BU1242" s="1">
        <v>0.297</v>
      </c>
      <c r="BV1242" s="1">
        <v>1.295</v>
      </c>
      <c r="BW1242" s="1">
        <v>0.297</v>
      </c>
      <c r="BX1242" s="1">
        <v>0.592</v>
      </c>
      <c r="BY1242" s="1">
        <v>0.813</v>
      </c>
      <c r="BZ1242" s="1">
        <v>1.405</v>
      </c>
      <c r="CA1242" s="1">
        <v>0.769</v>
      </c>
      <c r="CB1242" s="1">
        <v>0.969</v>
      </c>
      <c r="CC1242" s="1">
        <v>0.703</v>
      </c>
      <c r="CD1242" s="1">
        <v>0.439</v>
      </c>
      <c r="CE1242" s="1">
        <v>0.299</v>
      </c>
      <c r="CF1242" s="1">
        <v>0.687</v>
      </c>
      <c r="CG1242" s="1">
        <v>3.097</v>
      </c>
      <c r="CH1242" s="1">
        <v>0.815</v>
      </c>
      <c r="CI1242" s="1">
        <v>7.0363</v>
      </c>
      <c r="CJ1242" s="1">
        <v>0.5538</v>
      </c>
      <c r="CK1242" s="1">
        <v>0.0</v>
      </c>
      <c r="CL1242" s="1">
        <v>0.0</v>
      </c>
      <c r="CM1242" s="1">
        <v>0.0</v>
      </c>
      <c r="CN1242" s="1">
        <v>0.0</v>
      </c>
      <c r="CO1242" s="1">
        <v>0.0</v>
      </c>
      <c r="CP1242" s="1">
        <v>0.0</v>
      </c>
      <c r="CQ1242" s="1">
        <v>0.0</v>
      </c>
      <c r="CR1242" s="1">
        <v>0.0</v>
      </c>
      <c r="CS1242" s="1">
        <v>0.0</v>
      </c>
      <c r="CT1242" s="1">
        <v>0.0</v>
      </c>
      <c r="CU1242" s="1">
        <v>0.0</v>
      </c>
      <c r="CV1242" s="1">
        <v>0.0</v>
      </c>
      <c r="CW1242" s="1">
        <v>1.0</v>
      </c>
      <c r="CX1242" s="1">
        <v>0.0</v>
      </c>
      <c r="CY1242" s="1">
        <v>0.0</v>
      </c>
      <c r="CZ1242" s="1">
        <v>0.0</v>
      </c>
      <c r="DA1242" s="1">
        <v>0.0</v>
      </c>
      <c r="DB1242" s="1">
        <v>1.0</v>
      </c>
      <c r="DC1242" s="1">
        <v>1.0</v>
      </c>
      <c r="DD1242" s="1" t="s">
        <v>5454</v>
      </c>
      <c r="DE1242" s="1">
        <v>0.00304955531085672</v>
      </c>
      <c r="DF1242" s="2" t="s">
        <v>5455</v>
      </c>
    </row>
    <row r="1243" ht="15.75" customHeight="1">
      <c r="A1243" s="1" t="s">
        <v>5456</v>
      </c>
      <c r="B1243" s="1">
        <v>29.0</v>
      </c>
      <c r="C1243" s="1">
        <v>213.0</v>
      </c>
      <c r="D1243" s="1">
        <v>480302.0</v>
      </c>
      <c r="E1243" s="1">
        <v>126.2</v>
      </c>
      <c r="F1243" s="1">
        <v>29213.0</v>
      </c>
      <c r="G1243" s="1">
        <v>2.9213480302E10</v>
      </c>
      <c r="H1243" s="1" t="s">
        <v>112</v>
      </c>
      <c r="I1243" s="1" t="s">
        <v>113</v>
      </c>
      <c r="J1243" s="1" t="s">
        <v>5452</v>
      </c>
      <c r="K1243" s="1" t="s">
        <v>5457</v>
      </c>
      <c r="L1243" s="1">
        <v>4193.0</v>
      </c>
      <c r="M1243" s="1">
        <v>3948.0</v>
      </c>
      <c r="N1243" s="1">
        <v>442.0</v>
      </c>
      <c r="O1243" s="1">
        <v>2413.0</v>
      </c>
      <c r="P1243" s="1">
        <v>2382.0</v>
      </c>
      <c r="Q1243" s="1">
        <v>143.0</v>
      </c>
      <c r="R1243" s="1">
        <v>1669.0</v>
      </c>
      <c r="S1243" s="1">
        <v>841.0</v>
      </c>
      <c r="T1243" s="1">
        <v>259.0</v>
      </c>
      <c r="U1243" s="1">
        <v>135.0</v>
      </c>
      <c r="V1243" s="1">
        <v>384.0</v>
      </c>
      <c r="W1243" s="1">
        <v>18564.0</v>
      </c>
      <c r="X1243" s="1">
        <v>2077.0</v>
      </c>
      <c r="Y1243" s="1">
        <v>370.0</v>
      </c>
      <c r="Z1243" s="1">
        <v>292.0</v>
      </c>
      <c r="AA1243" s="1">
        <v>585.0</v>
      </c>
      <c r="AB1243" s="1">
        <v>1057.0</v>
      </c>
      <c r="AC1243" s="1">
        <v>182.0</v>
      </c>
      <c r="AD1243" s="1">
        <v>276.0</v>
      </c>
      <c r="AE1243" s="1">
        <v>12.0</v>
      </c>
      <c r="AF1243" s="1">
        <v>442.0</v>
      </c>
      <c r="AG1243" s="1">
        <v>166.0</v>
      </c>
      <c r="AH1243" s="1">
        <v>180.0</v>
      </c>
      <c r="AI1243" s="1">
        <v>557.0</v>
      </c>
      <c r="AJ1243" s="1">
        <v>148.0</v>
      </c>
      <c r="AK1243" s="1">
        <v>25.0</v>
      </c>
      <c r="AL1243" s="1">
        <v>116.0</v>
      </c>
      <c r="AM1243" s="1">
        <v>92.0</v>
      </c>
      <c r="AN1243" s="1">
        <v>62.0</v>
      </c>
      <c r="AO1243" s="1">
        <v>0.0</v>
      </c>
      <c r="AP1243" s="1">
        <v>0.213235</v>
      </c>
      <c r="AQ1243" s="1">
        <v>0.061166</v>
      </c>
      <c r="AR1243" s="1">
        <v>0.074958</v>
      </c>
      <c r="AS1243" s="1">
        <v>0.212931</v>
      </c>
      <c r="AT1243" s="1">
        <v>18564.0</v>
      </c>
      <c r="AU1243" s="1">
        <v>2077.0</v>
      </c>
      <c r="AV1243" s="1">
        <v>0.136079</v>
      </c>
      <c r="AW1243" s="1">
        <v>0.106183</v>
      </c>
      <c r="AX1243" s="1">
        <v>0.139518</v>
      </c>
      <c r="AY1243" s="1">
        <v>0.252086</v>
      </c>
      <c r="AZ1243" s="1">
        <v>0.10904733</v>
      </c>
      <c r="BA1243" s="1">
        <v>0.065823</v>
      </c>
      <c r="BB1243" s="1">
        <v>0.003329</v>
      </c>
      <c r="BC1243" s="1">
        <v>0.12264</v>
      </c>
      <c r="BD1243" s="1">
        <v>0.069689</v>
      </c>
      <c r="BE1243" s="1">
        <v>0.07545</v>
      </c>
      <c r="BF1243" s="1">
        <v>0.233837</v>
      </c>
      <c r="BG1243" s="1">
        <v>0.060526</v>
      </c>
      <c r="BH1243" s="1">
        <v>0.014827</v>
      </c>
      <c r="BI1243" s="1">
        <v>0.068785</v>
      </c>
      <c r="BJ1243" s="1">
        <v>0.054567</v>
      </c>
      <c r="BK1243" s="1">
        <v>0.036344</v>
      </c>
      <c r="BL1243" s="1">
        <v>0.0</v>
      </c>
      <c r="BM1243" s="1">
        <v>0.761</v>
      </c>
      <c r="BN1243" s="1">
        <v>0.558</v>
      </c>
      <c r="BO1243" s="1">
        <v>0.7054</v>
      </c>
      <c r="BP1243" s="1">
        <v>0.504</v>
      </c>
      <c r="BQ1243" s="1">
        <v>2.5284</v>
      </c>
      <c r="BR1243" s="1">
        <v>0.6751</v>
      </c>
      <c r="BS1243" s="1">
        <v>0.492</v>
      </c>
      <c r="BT1243" s="1">
        <v>0.625</v>
      </c>
      <c r="BU1243" s="1">
        <v>0.577</v>
      </c>
      <c r="BV1243" s="1">
        <v>1.694</v>
      </c>
      <c r="BW1243" s="1">
        <v>0.638</v>
      </c>
      <c r="BX1243" s="1">
        <v>0.344</v>
      </c>
      <c r="BY1243" s="1">
        <v>0.471</v>
      </c>
      <c r="BZ1243" s="1">
        <v>0.815</v>
      </c>
      <c r="CA1243" s="1">
        <v>0.408</v>
      </c>
      <c r="CB1243" s="1">
        <v>0.715</v>
      </c>
      <c r="CC1243" s="1">
        <v>0.934</v>
      </c>
      <c r="CD1243" s="1">
        <v>0.592</v>
      </c>
      <c r="CE1243" s="1">
        <v>0.525</v>
      </c>
      <c r="CF1243" s="1">
        <v>0.0</v>
      </c>
      <c r="CG1243" s="1">
        <v>2.766</v>
      </c>
      <c r="CH1243" s="1">
        <v>0.672</v>
      </c>
      <c r="CI1243" s="1">
        <v>7.8034</v>
      </c>
      <c r="CJ1243" s="1">
        <v>0.6809</v>
      </c>
      <c r="CK1243" s="1">
        <v>0.0</v>
      </c>
      <c r="CL1243" s="1">
        <v>0.0</v>
      </c>
      <c r="CM1243" s="1">
        <v>0.0</v>
      </c>
      <c r="CN1243" s="1">
        <v>0.0</v>
      </c>
      <c r="CO1243" s="1">
        <v>0.0</v>
      </c>
      <c r="CP1243" s="1">
        <v>0.0</v>
      </c>
      <c r="CQ1243" s="1">
        <v>0.0</v>
      </c>
      <c r="CR1243" s="1">
        <v>0.0</v>
      </c>
      <c r="CS1243" s="1">
        <v>0.0</v>
      </c>
      <c r="CT1243" s="1">
        <v>0.0</v>
      </c>
      <c r="CU1243" s="1">
        <v>0.0</v>
      </c>
      <c r="CV1243" s="1">
        <v>0.0</v>
      </c>
      <c r="CW1243" s="1">
        <v>0.0</v>
      </c>
      <c r="CX1243" s="1">
        <v>1.0</v>
      </c>
      <c r="CY1243" s="1">
        <v>0.0</v>
      </c>
      <c r="CZ1243" s="1">
        <v>0.0</v>
      </c>
      <c r="DA1243" s="1">
        <v>0.0</v>
      </c>
      <c r="DB1243" s="1">
        <v>1.0</v>
      </c>
      <c r="DC1243" s="1">
        <v>1.0</v>
      </c>
      <c r="DD1243" s="1" t="s">
        <v>5458</v>
      </c>
      <c r="DE1243" s="1">
        <v>0.0350382920156293</v>
      </c>
      <c r="DF1243" s="2" t="s">
        <v>5459</v>
      </c>
    </row>
    <row r="1244" ht="15.75" customHeight="1">
      <c r="A1244" s="1" t="s">
        <v>5460</v>
      </c>
      <c r="B1244" s="1">
        <v>29.0</v>
      </c>
      <c r="C1244" s="1">
        <v>213.0</v>
      </c>
      <c r="D1244" s="1">
        <v>480106.0</v>
      </c>
      <c r="E1244" s="1">
        <v>6.823</v>
      </c>
      <c r="F1244" s="1">
        <v>29213.0</v>
      </c>
      <c r="G1244" s="1">
        <v>2.9213480106E10</v>
      </c>
      <c r="H1244" s="1" t="s">
        <v>112</v>
      </c>
      <c r="I1244" s="1" t="s">
        <v>113</v>
      </c>
      <c r="J1244" s="1" t="s">
        <v>5452</v>
      </c>
      <c r="K1244" s="1" t="s">
        <v>5461</v>
      </c>
      <c r="L1244" s="1">
        <v>1943.0</v>
      </c>
      <c r="M1244" s="1">
        <v>1762.0</v>
      </c>
      <c r="N1244" s="1">
        <v>325.0</v>
      </c>
      <c r="O1244" s="1">
        <v>1386.0</v>
      </c>
      <c r="P1244" s="1">
        <v>1099.0</v>
      </c>
      <c r="Q1244" s="1">
        <v>172.0</v>
      </c>
      <c r="R1244" s="1">
        <v>815.0</v>
      </c>
      <c r="S1244" s="1">
        <v>244.0</v>
      </c>
      <c r="T1244" s="1">
        <v>308.0</v>
      </c>
      <c r="U1244" s="1">
        <v>121.0</v>
      </c>
      <c r="V1244" s="1">
        <v>448.0</v>
      </c>
      <c r="W1244" s="1">
        <v>24286.0</v>
      </c>
      <c r="X1244" s="1">
        <v>8316.0</v>
      </c>
      <c r="Y1244" s="1">
        <v>130.0</v>
      </c>
      <c r="Z1244" s="1">
        <v>349.0</v>
      </c>
      <c r="AA1244" s="1">
        <v>302.0</v>
      </c>
      <c r="AB1244" s="1">
        <v>418.0</v>
      </c>
      <c r="AC1244" s="1">
        <v>82.0</v>
      </c>
      <c r="AD1244" s="1">
        <v>432.0</v>
      </c>
      <c r="AE1244" s="1">
        <v>44.0</v>
      </c>
      <c r="AF1244" s="1">
        <v>449.0</v>
      </c>
      <c r="AG1244" s="1">
        <v>269.0</v>
      </c>
      <c r="AH1244" s="1">
        <v>253.0</v>
      </c>
      <c r="AI1244" s="1">
        <v>8.0</v>
      </c>
      <c r="AJ1244" s="1">
        <v>13.0</v>
      </c>
      <c r="AK1244" s="1">
        <v>0.0</v>
      </c>
      <c r="AL1244" s="1">
        <v>161.0</v>
      </c>
      <c r="AM1244" s="1">
        <v>8.0</v>
      </c>
      <c r="AN1244" s="1">
        <v>115.0</v>
      </c>
      <c r="AO1244" s="1">
        <v>0.0</v>
      </c>
      <c r="AP1244" s="1">
        <v>0.138479</v>
      </c>
      <c r="AQ1244" s="1">
        <v>0.172925</v>
      </c>
      <c r="AR1244" s="1">
        <v>0.115019</v>
      </c>
      <c r="AS1244" s="1">
        <v>0.424032</v>
      </c>
      <c r="AT1244" s="1">
        <v>24286.0</v>
      </c>
      <c r="AU1244" s="1">
        <v>8316.0</v>
      </c>
      <c r="AV1244" s="1">
        <v>0.093123</v>
      </c>
      <c r="AW1244" s="1">
        <v>0.24958</v>
      </c>
      <c r="AX1244" s="1">
        <v>0.155429</v>
      </c>
      <c r="AY1244" s="1">
        <v>0.215131</v>
      </c>
      <c r="AZ1244" s="1">
        <v>0.10061349</v>
      </c>
      <c r="BA1244" s="1">
        <v>0.222336</v>
      </c>
      <c r="BB1244" s="1">
        <v>0.027177</v>
      </c>
      <c r="BC1244" s="1">
        <v>0.277292</v>
      </c>
      <c r="BD1244" s="1">
        <v>0.244767</v>
      </c>
      <c r="BE1244" s="1">
        <v>0.226999</v>
      </c>
      <c r="BF1244" s="1">
        <v>0.007279</v>
      </c>
      <c r="BG1244" s="1">
        <v>0.011773</v>
      </c>
      <c r="BH1244" s="1">
        <v>0.0</v>
      </c>
      <c r="BI1244" s="1">
        <v>0.203539</v>
      </c>
      <c r="BJ1244" s="1">
        <v>0.010113</v>
      </c>
      <c r="BK1244" s="1">
        <v>0.145371</v>
      </c>
      <c r="BL1244" s="1">
        <v>0.0</v>
      </c>
      <c r="BM1244" s="1">
        <v>0.536</v>
      </c>
      <c r="BN1244" s="1">
        <v>0.802</v>
      </c>
      <c r="BO1244" s="1">
        <v>0.3812</v>
      </c>
      <c r="BP1244" s="1">
        <v>0.308</v>
      </c>
      <c r="BQ1244" s="1">
        <v>2.0272</v>
      </c>
      <c r="BR1244" s="1">
        <v>0.5083</v>
      </c>
      <c r="BS1244" s="1">
        <v>0.624</v>
      </c>
      <c r="BT1244" s="1">
        <v>0.269</v>
      </c>
      <c r="BU1244" s="1">
        <v>0.5</v>
      </c>
      <c r="BV1244" s="1">
        <v>1.393</v>
      </c>
      <c r="BW1244" s="1">
        <v>0.384</v>
      </c>
      <c r="BX1244" s="1">
        <v>0.735</v>
      </c>
      <c r="BY1244" s="1">
        <v>0.902</v>
      </c>
      <c r="BZ1244" s="1">
        <v>1.637</v>
      </c>
      <c r="CA1244" s="1">
        <v>0.887</v>
      </c>
      <c r="CB1244" s="1">
        <v>0.918</v>
      </c>
      <c r="CC1244" s="1">
        <v>0.431</v>
      </c>
      <c r="CD1244" s="1">
        <v>0.0</v>
      </c>
      <c r="CE1244" s="1">
        <v>0.087</v>
      </c>
      <c r="CF1244" s="1">
        <v>0.0</v>
      </c>
      <c r="CG1244" s="1">
        <v>1.436</v>
      </c>
      <c r="CH1244" s="1">
        <v>0.156</v>
      </c>
      <c r="CI1244" s="1">
        <v>6.4932</v>
      </c>
      <c r="CJ1244" s="1">
        <v>0.4563</v>
      </c>
      <c r="CK1244" s="1">
        <v>0.0</v>
      </c>
      <c r="CL1244" s="1">
        <v>0.0</v>
      </c>
      <c r="CM1244" s="1">
        <v>0.0</v>
      </c>
      <c r="CN1244" s="1">
        <v>0.0</v>
      </c>
      <c r="CO1244" s="1">
        <v>0.0</v>
      </c>
      <c r="CP1244" s="1">
        <v>0.0</v>
      </c>
      <c r="CQ1244" s="1">
        <v>0.0</v>
      </c>
      <c r="CR1244" s="1">
        <v>0.0</v>
      </c>
      <c r="CS1244" s="1">
        <v>0.0</v>
      </c>
      <c r="CT1244" s="1">
        <v>0.0</v>
      </c>
      <c r="CU1244" s="1">
        <v>1.0</v>
      </c>
      <c r="CV1244" s="1">
        <v>1.0</v>
      </c>
      <c r="CW1244" s="1">
        <v>1.0</v>
      </c>
      <c r="CX1244" s="1">
        <v>0.0</v>
      </c>
      <c r="CY1244" s="1">
        <v>0.0</v>
      </c>
      <c r="CZ1244" s="1">
        <v>0.0</v>
      </c>
      <c r="DA1244" s="1">
        <v>0.0</v>
      </c>
      <c r="DB1244" s="1">
        <v>1.0</v>
      </c>
      <c r="DC1244" s="1">
        <v>2.0</v>
      </c>
      <c r="DD1244" s="1" t="s">
        <v>5462</v>
      </c>
      <c r="DE1244" s="1">
        <v>0.00177427228375474</v>
      </c>
      <c r="DF1244" s="2" t="s">
        <v>5463</v>
      </c>
    </row>
    <row r="1245" ht="15.75" customHeight="1">
      <c r="A1245" s="1" t="s">
        <v>5464</v>
      </c>
      <c r="B1245" s="1">
        <v>29.0</v>
      </c>
      <c r="C1245" s="1">
        <v>213.0</v>
      </c>
      <c r="D1245" s="1">
        <v>480201.0</v>
      </c>
      <c r="E1245" s="1">
        <v>28.075</v>
      </c>
      <c r="F1245" s="1">
        <v>29213.0</v>
      </c>
      <c r="G1245" s="1">
        <v>2.9213480201E10</v>
      </c>
      <c r="H1245" s="1" t="s">
        <v>112</v>
      </c>
      <c r="I1245" s="1" t="s">
        <v>113</v>
      </c>
      <c r="J1245" s="1" t="s">
        <v>5452</v>
      </c>
      <c r="K1245" s="1" t="s">
        <v>5465</v>
      </c>
      <c r="L1245" s="1">
        <v>9130.0</v>
      </c>
      <c r="M1245" s="1">
        <v>8820.0</v>
      </c>
      <c r="N1245" s="1">
        <v>660.0</v>
      </c>
      <c r="O1245" s="1">
        <v>4477.0</v>
      </c>
      <c r="P1245" s="1">
        <v>4210.0</v>
      </c>
      <c r="Q1245" s="1">
        <v>204.0</v>
      </c>
      <c r="R1245" s="1">
        <v>3708.0</v>
      </c>
      <c r="S1245" s="1">
        <v>1116.0</v>
      </c>
      <c r="T1245" s="1">
        <v>469.0</v>
      </c>
      <c r="U1245" s="1">
        <v>139.0</v>
      </c>
      <c r="V1245" s="1">
        <v>433.0</v>
      </c>
      <c r="W1245" s="1">
        <v>25328.0</v>
      </c>
      <c r="X1245" s="1">
        <v>4817.0</v>
      </c>
      <c r="Y1245" s="1">
        <v>467.0</v>
      </c>
      <c r="Z1245" s="1">
        <v>253.0</v>
      </c>
      <c r="AA1245" s="1">
        <v>1471.0</v>
      </c>
      <c r="AB1245" s="1">
        <v>2234.0</v>
      </c>
      <c r="AC1245" s="1">
        <v>422.0</v>
      </c>
      <c r="AD1245" s="1">
        <v>960.0</v>
      </c>
      <c r="AE1245" s="1">
        <v>21.0</v>
      </c>
      <c r="AF1245" s="1">
        <v>442.0</v>
      </c>
      <c r="AG1245" s="1">
        <v>905.0</v>
      </c>
      <c r="AH1245" s="1">
        <v>263.0</v>
      </c>
      <c r="AI1245" s="1">
        <v>317.0</v>
      </c>
      <c r="AJ1245" s="1">
        <v>98.0</v>
      </c>
      <c r="AK1245" s="1">
        <v>121.0</v>
      </c>
      <c r="AL1245" s="1">
        <v>150.0</v>
      </c>
      <c r="AM1245" s="1">
        <v>119.0</v>
      </c>
      <c r="AN1245" s="1">
        <v>74.0</v>
      </c>
      <c r="AO1245" s="1">
        <v>116.0</v>
      </c>
      <c r="AP1245" s="1">
        <v>0.12653</v>
      </c>
      <c r="AQ1245" s="1">
        <v>0.052324</v>
      </c>
      <c r="AR1245" s="1">
        <v>0.032659</v>
      </c>
      <c r="AS1245" s="1">
        <v>0.10168</v>
      </c>
      <c r="AT1245" s="1">
        <v>25328.0</v>
      </c>
      <c r="AU1245" s="1">
        <v>4817.0</v>
      </c>
      <c r="AV1245" s="1">
        <v>0.080102</v>
      </c>
      <c r="AW1245" s="1">
        <v>0.04301</v>
      </c>
      <c r="AX1245" s="1">
        <v>0.161117</v>
      </c>
      <c r="AY1245" s="1">
        <v>0.244687</v>
      </c>
      <c r="AZ1245" s="1">
        <v>0.11380798</v>
      </c>
      <c r="BA1245" s="1">
        <v>0.105147</v>
      </c>
      <c r="BB1245" s="1">
        <v>0.002605</v>
      </c>
      <c r="BC1245" s="1">
        <v>0.054831</v>
      </c>
      <c r="BD1245" s="1">
        <v>0.214964</v>
      </c>
      <c r="BE1245" s="1">
        <v>0.061595</v>
      </c>
      <c r="BF1245" s="1">
        <v>0.075296</v>
      </c>
      <c r="BG1245" s="1">
        <v>0.02299</v>
      </c>
      <c r="BH1245" s="1">
        <v>0.034036</v>
      </c>
      <c r="BI1245" s="1">
        <v>0.042126</v>
      </c>
      <c r="BJ1245" s="1">
        <v>0.033473</v>
      </c>
      <c r="BK1245" s="1">
        <v>0.020683</v>
      </c>
      <c r="BL1245" s="1">
        <v>0.012705</v>
      </c>
      <c r="BM1245" s="1">
        <v>0.482</v>
      </c>
      <c r="BN1245" s="1">
        <v>0.11</v>
      </c>
      <c r="BO1245" s="1">
        <v>0.3336</v>
      </c>
      <c r="BP1245" s="1">
        <v>0.248</v>
      </c>
      <c r="BQ1245" s="1">
        <v>1.1736</v>
      </c>
      <c r="BR1245" s="1">
        <v>0.2469</v>
      </c>
      <c r="BS1245" s="1">
        <v>0.675</v>
      </c>
      <c r="BT1245" s="1">
        <v>0.543</v>
      </c>
      <c r="BU1245" s="1">
        <v>0.618</v>
      </c>
      <c r="BV1245" s="1">
        <v>1.836</v>
      </c>
      <c r="BW1245" s="1">
        <v>0.76</v>
      </c>
      <c r="BX1245" s="1">
        <v>0.488</v>
      </c>
      <c r="BY1245" s="1">
        <v>0.422</v>
      </c>
      <c r="BZ1245" s="1">
        <v>0.91</v>
      </c>
      <c r="CA1245" s="1">
        <v>0.474</v>
      </c>
      <c r="CB1245" s="1">
        <v>0.902</v>
      </c>
      <c r="CC1245" s="1">
        <v>0.664</v>
      </c>
      <c r="CD1245" s="1">
        <v>0.853</v>
      </c>
      <c r="CE1245" s="1">
        <v>0.319</v>
      </c>
      <c r="CF1245" s="1">
        <v>0.617</v>
      </c>
      <c r="CG1245" s="1">
        <v>3.355</v>
      </c>
      <c r="CH1245" s="1">
        <v>0.895</v>
      </c>
      <c r="CI1245" s="1">
        <v>7.2746</v>
      </c>
      <c r="CJ1245" s="1">
        <v>0.6036</v>
      </c>
      <c r="CK1245" s="1">
        <v>0.0</v>
      </c>
      <c r="CL1245" s="1">
        <v>0.0</v>
      </c>
      <c r="CM1245" s="1">
        <v>0.0</v>
      </c>
      <c r="CN1245" s="1">
        <v>0.0</v>
      </c>
      <c r="CO1245" s="1">
        <v>0.0</v>
      </c>
      <c r="CP1245" s="1">
        <v>0.0</v>
      </c>
      <c r="CQ1245" s="1">
        <v>0.0</v>
      </c>
      <c r="CR1245" s="1">
        <v>0.0</v>
      </c>
      <c r="CS1245" s="1">
        <v>0.0</v>
      </c>
      <c r="CT1245" s="1">
        <v>0.0</v>
      </c>
      <c r="CU1245" s="1">
        <v>0.0</v>
      </c>
      <c r="CV1245" s="1">
        <v>0.0</v>
      </c>
      <c r="CW1245" s="1">
        <v>1.0</v>
      </c>
      <c r="CX1245" s="1">
        <v>0.0</v>
      </c>
      <c r="CY1245" s="1">
        <v>0.0</v>
      </c>
      <c r="CZ1245" s="1">
        <v>0.0</v>
      </c>
      <c r="DA1245" s="1">
        <v>0.0</v>
      </c>
      <c r="DB1245" s="1">
        <v>1.0</v>
      </c>
      <c r="DC1245" s="1">
        <v>1.0</v>
      </c>
      <c r="DD1245" s="1" t="s">
        <v>5466</v>
      </c>
      <c r="DE1245" s="1">
        <v>0.00747291155535563</v>
      </c>
      <c r="DF1245" s="2" t="s">
        <v>5467</v>
      </c>
    </row>
    <row r="1246" ht="15.75" customHeight="1">
      <c r="A1246" s="1" t="s">
        <v>5468</v>
      </c>
      <c r="B1246" s="1">
        <v>29.0</v>
      </c>
      <c r="C1246" s="1">
        <v>213.0</v>
      </c>
      <c r="D1246" s="1">
        <v>480202.0</v>
      </c>
      <c r="E1246" s="1">
        <v>66.074</v>
      </c>
      <c r="F1246" s="1">
        <v>29213.0</v>
      </c>
      <c r="G1246" s="1">
        <v>2.9213480202E10</v>
      </c>
      <c r="H1246" s="1" t="s">
        <v>112</v>
      </c>
      <c r="I1246" s="1" t="s">
        <v>113</v>
      </c>
      <c r="J1246" s="1" t="s">
        <v>5452</v>
      </c>
      <c r="K1246" s="1" t="s">
        <v>5469</v>
      </c>
      <c r="L1246" s="1">
        <v>6932.0</v>
      </c>
      <c r="M1246" s="1">
        <v>6190.0</v>
      </c>
      <c r="N1246" s="1">
        <v>425.0</v>
      </c>
      <c r="O1246" s="1">
        <v>3272.0</v>
      </c>
      <c r="P1246" s="1">
        <v>3117.0</v>
      </c>
      <c r="Q1246" s="1">
        <v>155.0</v>
      </c>
      <c r="R1246" s="1">
        <v>2644.0</v>
      </c>
      <c r="S1246" s="1">
        <v>1266.0</v>
      </c>
      <c r="T1246" s="1">
        <v>337.0</v>
      </c>
      <c r="U1246" s="1">
        <v>369.0</v>
      </c>
      <c r="V1246" s="1">
        <v>260.0</v>
      </c>
      <c r="W1246" s="1">
        <v>18296.0</v>
      </c>
      <c r="X1246" s="1">
        <v>2065.0</v>
      </c>
      <c r="Y1246" s="1">
        <v>707.0</v>
      </c>
      <c r="Z1246" s="1">
        <v>219.0</v>
      </c>
      <c r="AA1246" s="1">
        <v>955.0</v>
      </c>
      <c r="AB1246" s="1">
        <v>1818.0</v>
      </c>
      <c r="AC1246" s="1">
        <v>364.0</v>
      </c>
      <c r="AD1246" s="1">
        <v>518.0</v>
      </c>
      <c r="AE1246" s="1">
        <v>56.0</v>
      </c>
      <c r="AF1246" s="1">
        <v>415.0</v>
      </c>
      <c r="AG1246" s="1">
        <v>57.0</v>
      </c>
      <c r="AH1246" s="1">
        <v>118.0</v>
      </c>
      <c r="AI1246" s="1">
        <v>1011.0</v>
      </c>
      <c r="AJ1246" s="1">
        <v>176.0</v>
      </c>
      <c r="AK1246" s="1">
        <v>38.0</v>
      </c>
      <c r="AL1246" s="1">
        <v>118.0</v>
      </c>
      <c r="AM1246" s="1">
        <v>106.0</v>
      </c>
      <c r="AN1246" s="1">
        <v>53.0</v>
      </c>
      <c r="AO1246" s="1">
        <v>43.0</v>
      </c>
      <c r="AP1246" s="1">
        <v>0.207643</v>
      </c>
      <c r="AQ1246" s="1">
        <v>0.053602</v>
      </c>
      <c r="AR1246" s="1">
        <v>0.125127</v>
      </c>
      <c r="AS1246" s="1">
        <v>0.087314</v>
      </c>
      <c r="AT1246" s="1">
        <v>18296.0</v>
      </c>
      <c r="AU1246" s="1">
        <v>2065.0</v>
      </c>
      <c r="AV1246" s="1">
        <v>0.168213</v>
      </c>
      <c r="AW1246" s="1">
        <v>0.051151</v>
      </c>
      <c r="AX1246" s="1">
        <v>0.137766</v>
      </c>
      <c r="AY1246" s="1">
        <v>0.262261</v>
      </c>
      <c r="AZ1246" s="1">
        <v>0.13767019</v>
      </c>
      <c r="BA1246" s="1">
        <v>0.074725</v>
      </c>
      <c r="BB1246" s="1">
        <v>0.009635</v>
      </c>
      <c r="BC1246" s="1">
        <v>0.0714</v>
      </c>
      <c r="BD1246" s="1">
        <v>0.018286</v>
      </c>
      <c r="BE1246" s="1">
        <v>0.037845</v>
      </c>
      <c r="BF1246" s="1">
        <v>0.32435</v>
      </c>
      <c r="BG1246" s="1">
        <v>0.054111</v>
      </c>
      <c r="BH1246" s="1">
        <v>0.014901</v>
      </c>
      <c r="BI1246" s="1">
        <v>0.046264</v>
      </c>
      <c r="BJ1246" s="1">
        <v>0.041568</v>
      </c>
      <c r="BK1246" s="1">
        <v>0.020607</v>
      </c>
      <c r="BL1246" s="1">
        <v>0.006203</v>
      </c>
      <c r="BM1246" s="1">
        <v>0.748</v>
      </c>
      <c r="BN1246" s="1">
        <v>0.841</v>
      </c>
      <c r="BO1246" s="1">
        <v>0.7162</v>
      </c>
      <c r="BP1246" s="1">
        <v>0.648</v>
      </c>
      <c r="BQ1246" s="1">
        <v>2.9532</v>
      </c>
      <c r="BR1246" s="1">
        <v>0.7964</v>
      </c>
      <c r="BS1246" s="1">
        <v>0.479</v>
      </c>
      <c r="BT1246" s="1">
        <v>0.724</v>
      </c>
      <c r="BU1246" s="1">
        <v>0.751</v>
      </c>
      <c r="BV1246" s="1">
        <v>1.954</v>
      </c>
      <c r="BW1246" s="1">
        <v>0.835</v>
      </c>
      <c r="BX1246" s="1">
        <v>0.376</v>
      </c>
      <c r="BY1246" s="1">
        <v>0.71</v>
      </c>
      <c r="BZ1246" s="1">
        <v>1.086</v>
      </c>
      <c r="CA1246" s="1">
        <v>0.603</v>
      </c>
      <c r="CB1246" s="1">
        <v>0.45</v>
      </c>
      <c r="CC1246" s="1">
        <v>0.984</v>
      </c>
      <c r="CD1246" s="1">
        <v>0.594</v>
      </c>
      <c r="CE1246" s="1">
        <v>0.407</v>
      </c>
      <c r="CF1246" s="1">
        <v>0.532</v>
      </c>
      <c r="CG1246" s="1">
        <v>2.967</v>
      </c>
      <c r="CH1246" s="1">
        <v>0.761</v>
      </c>
      <c r="CI1246" s="1">
        <v>8.9602</v>
      </c>
      <c r="CJ1246" s="1">
        <v>0.8448</v>
      </c>
      <c r="CK1246" s="1">
        <v>0.0</v>
      </c>
      <c r="CL1246" s="1">
        <v>0.0</v>
      </c>
      <c r="CM1246" s="1">
        <v>0.0</v>
      </c>
      <c r="CN1246" s="1">
        <v>0.0</v>
      </c>
      <c r="CO1246" s="1">
        <v>0.0</v>
      </c>
      <c r="CP1246" s="1">
        <v>0.0</v>
      </c>
      <c r="CQ1246" s="1">
        <v>0.0</v>
      </c>
      <c r="CR1246" s="1">
        <v>0.0</v>
      </c>
      <c r="CS1246" s="1">
        <v>0.0</v>
      </c>
      <c r="CT1246" s="1">
        <v>0.0</v>
      </c>
      <c r="CU1246" s="1">
        <v>0.0</v>
      </c>
      <c r="CV1246" s="1">
        <v>0.0</v>
      </c>
      <c r="CW1246" s="1">
        <v>0.0</v>
      </c>
      <c r="CX1246" s="1">
        <v>1.0</v>
      </c>
      <c r="CY1246" s="1">
        <v>0.0</v>
      </c>
      <c r="CZ1246" s="1">
        <v>0.0</v>
      </c>
      <c r="DA1246" s="1">
        <v>0.0</v>
      </c>
      <c r="DB1246" s="1">
        <v>1.0</v>
      </c>
      <c r="DC1246" s="1">
        <v>1.0</v>
      </c>
      <c r="DD1246" s="1" t="s">
        <v>5470</v>
      </c>
      <c r="DE1246" s="1">
        <v>0.0173491652617272</v>
      </c>
      <c r="DF1246" s="2" t="s">
        <v>5471</v>
      </c>
    </row>
    <row r="1247" ht="15.75" customHeight="1">
      <c r="A1247" s="1" t="s">
        <v>5472</v>
      </c>
      <c r="B1247" s="1">
        <v>29.0</v>
      </c>
      <c r="C1247" s="1">
        <v>213.0</v>
      </c>
      <c r="D1247" s="1">
        <v>480301.0</v>
      </c>
      <c r="E1247" s="1">
        <v>21.982</v>
      </c>
      <c r="F1247" s="1">
        <v>29213.0</v>
      </c>
      <c r="G1247" s="1">
        <v>2.9213480301E10</v>
      </c>
      <c r="H1247" s="1" t="s">
        <v>112</v>
      </c>
      <c r="I1247" s="1" t="s">
        <v>113</v>
      </c>
      <c r="J1247" s="1" t="s">
        <v>5452</v>
      </c>
      <c r="K1247" s="1" t="s">
        <v>5473</v>
      </c>
      <c r="L1247" s="1">
        <v>4899.0</v>
      </c>
      <c r="M1247" s="1">
        <v>4774.0</v>
      </c>
      <c r="N1247" s="1">
        <v>454.0</v>
      </c>
      <c r="O1247" s="1">
        <v>2195.0</v>
      </c>
      <c r="P1247" s="1">
        <v>2126.0</v>
      </c>
      <c r="Q1247" s="1">
        <v>144.0</v>
      </c>
      <c r="R1247" s="1">
        <v>1837.0</v>
      </c>
      <c r="S1247" s="1">
        <v>521.0</v>
      </c>
      <c r="T1247" s="1">
        <v>222.0</v>
      </c>
      <c r="U1247" s="1">
        <v>117.0</v>
      </c>
      <c r="V1247" s="1">
        <v>367.0</v>
      </c>
      <c r="W1247" s="1">
        <v>20771.0</v>
      </c>
      <c r="X1247" s="1">
        <v>2823.0</v>
      </c>
      <c r="Y1247" s="1">
        <v>363.0</v>
      </c>
      <c r="Z1247" s="1">
        <v>229.0</v>
      </c>
      <c r="AA1247" s="1">
        <v>789.0</v>
      </c>
      <c r="AB1247" s="1">
        <v>1264.0</v>
      </c>
      <c r="AC1247" s="1">
        <v>192.0</v>
      </c>
      <c r="AD1247" s="1">
        <v>416.0</v>
      </c>
      <c r="AE1247" s="1">
        <v>30.0</v>
      </c>
      <c r="AF1247" s="1">
        <v>428.0</v>
      </c>
      <c r="AG1247" s="1">
        <v>8.0</v>
      </c>
      <c r="AH1247" s="1">
        <v>162.0</v>
      </c>
      <c r="AI1247" s="1">
        <v>381.0</v>
      </c>
      <c r="AJ1247" s="1">
        <v>113.0</v>
      </c>
      <c r="AK1247" s="1">
        <v>64.0</v>
      </c>
      <c r="AL1247" s="1">
        <v>128.0</v>
      </c>
      <c r="AM1247" s="1">
        <v>26.0</v>
      </c>
      <c r="AN1247" s="1">
        <v>118.0</v>
      </c>
      <c r="AO1247" s="1">
        <v>70.0</v>
      </c>
      <c r="AP1247" s="1">
        <v>0.10973</v>
      </c>
      <c r="AQ1247" s="1">
        <v>0.04559</v>
      </c>
      <c r="AR1247" s="1">
        <v>0.052584</v>
      </c>
      <c r="AS1247" s="1">
        <v>0.164788</v>
      </c>
      <c r="AT1247" s="1">
        <v>20771.0</v>
      </c>
      <c r="AU1247" s="1">
        <v>2823.0</v>
      </c>
      <c r="AV1247" s="1">
        <v>0.119055</v>
      </c>
      <c r="AW1247" s="1">
        <v>0.074379</v>
      </c>
      <c r="AX1247" s="1">
        <v>0.161053</v>
      </c>
      <c r="AY1247" s="1">
        <v>0.258011</v>
      </c>
      <c r="AZ1247" s="1">
        <v>0.10451823</v>
      </c>
      <c r="BA1247" s="1">
        <v>0.084915</v>
      </c>
      <c r="BB1247" s="1">
        <v>0.007001</v>
      </c>
      <c r="BC1247" s="1">
        <v>0.099881</v>
      </c>
      <c r="BD1247" s="1">
        <v>0.003762</v>
      </c>
      <c r="BE1247" s="1">
        <v>0.076199</v>
      </c>
      <c r="BF1247" s="1">
        <v>0.179209</v>
      </c>
      <c r="BG1247" s="1">
        <v>0.051746</v>
      </c>
      <c r="BH1247" s="1">
        <v>0.037209</v>
      </c>
      <c r="BI1247" s="1">
        <v>0.074348</v>
      </c>
      <c r="BJ1247" s="1">
        <v>0.015116</v>
      </c>
      <c r="BK1247" s="1">
        <v>0.068592</v>
      </c>
      <c r="BL1247" s="1">
        <v>0.014288</v>
      </c>
      <c r="BM1247" s="1">
        <v>0.413</v>
      </c>
      <c r="BN1247" s="1">
        <v>0.32</v>
      </c>
      <c r="BO1247" s="1">
        <v>0.5653</v>
      </c>
      <c r="BP1247" s="1">
        <v>0.424</v>
      </c>
      <c r="BQ1247" s="1">
        <v>1.7223</v>
      </c>
      <c r="BR1247" s="1">
        <v>0.4087</v>
      </c>
      <c r="BS1247" s="1">
        <v>0.673</v>
      </c>
      <c r="BT1247" s="1">
        <v>0.685</v>
      </c>
      <c r="BU1247" s="1">
        <v>0.538</v>
      </c>
      <c r="BV1247" s="1">
        <v>1.896</v>
      </c>
      <c r="BW1247" s="1">
        <v>0.8</v>
      </c>
      <c r="BX1247" s="1">
        <v>0.41</v>
      </c>
      <c r="BY1247" s="1">
        <v>0.633</v>
      </c>
      <c r="BZ1247" s="1">
        <v>1.043</v>
      </c>
      <c r="CA1247" s="1">
        <v>0.576</v>
      </c>
      <c r="CB1247" s="1">
        <v>0.3</v>
      </c>
      <c r="CC1247" s="1">
        <v>0.866</v>
      </c>
      <c r="CD1247" s="1">
        <v>0.874</v>
      </c>
      <c r="CE1247" s="1">
        <v>0.136</v>
      </c>
      <c r="CF1247" s="1">
        <v>0.64</v>
      </c>
      <c r="CG1247" s="1">
        <v>2.816</v>
      </c>
      <c r="CH1247" s="1">
        <v>0.695</v>
      </c>
      <c r="CI1247" s="1">
        <v>7.4773</v>
      </c>
      <c r="CJ1247" s="1">
        <v>0.6354</v>
      </c>
      <c r="CK1247" s="1">
        <v>0.0</v>
      </c>
      <c r="CL1247" s="1">
        <v>0.0</v>
      </c>
      <c r="CM1247" s="1">
        <v>0.0</v>
      </c>
      <c r="CN1247" s="1">
        <v>0.0</v>
      </c>
      <c r="CO1247" s="1">
        <v>0.0</v>
      </c>
      <c r="CP1247" s="1">
        <v>0.0</v>
      </c>
      <c r="CQ1247" s="1">
        <v>0.0</v>
      </c>
      <c r="CR1247" s="1">
        <v>0.0</v>
      </c>
      <c r="CS1247" s="1">
        <v>0.0</v>
      </c>
      <c r="CT1247" s="1">
        <v>0.0</v>
      </c>
      <c r="CU1247" s="1">
        <v>0.0</v>
      </c>
      <c r="CV1247" s="1">
        <v>0.0</v>
      </c>
      <c r="CW1247" s="1">
        <v>0.0</v>
      </c>
      <c r="CX1247" s="1">
        <v>0.0</v>
      </c>
      <c r="CY1247" s="1">
        <v>0.0</v>
      </c>
      <c r="CZ1247" s="1">
        <v>0.0</v>
      </c>
      <c r="DA1247" s="1">
        <v>0.0</v>
      </c>
      <c r="DB1247" s="1">
        <v>0.0</v>
      </c>
      <c r="DC1247" s="1">
        <v>0.0</v>
      </c>
      <c r="DD1247" s="1" t="s">
        <v>5474</v>
      </c>
      <c r="DE1247" s="1">
        <v>0.00607554169187606</v>
      </c>
      <c r="DF1247" s="2" t="s">
        <v>5475</v>
      </c>
    </row>
    <row r="1248" ht="15.75" customHeight="1">
      <c r="A1248" s="1" t="s">
        <v>5476</v>
      </c>
      <c r="B1248" s="1">
        <v>29.0</v>
      </c>
      <c r="C1248" s="1">
        <v>213.0</v>
      </c>
      <c r="D1248" s="1">
        <v>480401.0</v>
      </c>
      <c r="E1248" s="1">
        <v>67.435</v>
      </c>
      <c r="F1248" s="1">
        <v>29213.0</v>
      </c>
      <c r="G1248" s="1">
        <v>2.9213480401E10</v>
      </c>
      <c r="H1248" s="1" t="s">
        <v>112</v>
      </c>
      <c r="I1248" s="1" t="s">
        <v>113</v>
      </c>
      <c r="J1248" s="1" t="s">
        <v>5452</v>
      </c>
      <c r="K1248" s="1" t="s">
        <v>5477</v>
      </c>
      <c r="L1248" s="1">
        <v>5747.0</v>
      </c>
      <c r="M1248" s="1">
        <v>4801.0</v>
      </c>
      <c r="N1248" s="1">
        <v>398.0</v>
      </c>
      <c r="O1248" s="1">
        <v>2945.0</v>
      </c>
      <c r="P1248" s="1">
        <v>2824.0</v>
      </c>
      <c r="Q1248" s="1">
        <v>158.0</v>
      </c>
      <c r="R1248" s="1">
        <v>2467.0</v>
      </c>
      <c r="S1248" s="1">
        <v>761.0</v>
      </c>
      <c r="T1248" s="1">
        <v>222.0</v>
      </c>
      <c r="U1248" s="1">
        <v>245.0</v>
      </c>
      <c r="V1248" s="1">
        <v>295.0</v>
      </c>
      <c r="W1248" s="1">
        <v>19766.0</v>
      </c>
      <c r="X1248" s="1">
        <v>1947.0</v>
      </c>
      <c r="Y1248" s="1">
        <v>520.0</v>
      </c>
      <c r="Z1248" s="1">
        <v>237.0</v>
      </c>
      <c r="AA1248" s="1">
        <v>1462.0</v>
      </c>
      <c r="AB1248" s="1">
        <v>1106.0</v>
      </c>
      <c r="AC1248" s="1">
        <v>207.0</v>
      </c>
      <c r="AD1248" s="1">
        <v>285.0</v>
      </c>
      <c r="AE1248" s="1">
        <v>0.0</v>
      </c>
      <c r="AF1248" s="1">
        <v>456.0</v>
      </c>
      <c r="AG1248" s="1">
        <v>181.0</v>
      </c>
      <c r="AH1248" s="1">
        <v>79.0</v>
      </c>
      <c r="AI1248" s="1">
        <v>534.0</v>
      </c>
      <c r="AJ1248" s="1">
        <v>142.0</v>
      </c>
      <c r="AK1248" s="1">
        <v>12.0</v>
      </c>
      <c r="AL1248" s="1">
        <v>115.0</v>
      </c>
      <c r="AM1248" s="1">
        <v>58.0</v>
      </c>
      <c r="AN1248" s="1">
        <v>43.0</v>
      </c>
      <c r="AO1248" s="1">
        <v>211.0</v>
      </c>
      <c r="AP1248" s="1">
        <v>0.16292</v>
      </c>
      <c r="AQ1248" s="1">
        <v>0.04559</v>
      </c>
      <c r="AR1248" s="1">
        <v>0.125964</v>
      </c>
      <c r="AS1248" s="1">
        <v>0.150865</v>
      </c>
      <c r="AT1248" s="1">
        <v>19766.0</v>
      </c>
      <c r="AU1248" s="1">
        <v>1947.0</v>
      </c>
      <c r="AV1248" s="1">
        <v>0.147727</v>
      </c>
      <c r="AW1248" s="1">
        <v>0.066125</v>
      </c>
      <c r="AX1248" s="1">
        <v>0.254393</v>
      </c>
      <c r="AY1248" s="1">
        <v>0.192448</v>
      </c>
      <c r="AZ1248" s="1">
        <v>0.08390758</v>
      </c>
      <c r="BA1248" s="1">
        <v>0.049591</v>
      </c>
      <c r="BB1248" s="1">
        <v>0.0</v>
      </c>
      <c r="BC1248" s="1">
        <v>0.100929</v>
      </c>
      <c r="BD1248" s="1">
        <v>0.064093</v>
      </c>
      <c r="BE1248" s="1">
        <v>0.027743</v>
      </c>
      <c r="BF1248" s="1">
        <v>0.189093</v>
      </c>
      <c r="BG1248" s="1">
        <v>0.049157</v>
      </c>
      <c r="BH1248" s="1">
        <v>0.005568</v>
      </c>
      <c r="BI1248" s="1">
        <v>0.053361</v>
      </c>
      <c r="BJ1248" s="1">
        <v>0.026914</v>
      </c>
      <c r="BK1248" s="1">
        <v>0.019802</v>
      </c>
      <c r="BL1248" s="1">
        <v>0.036714</v>
      </c>
      <c r="BM1248" s="1">
        <v>0.618</v>
      </c>
      <c r="BN1248" s="1">
        <v>0.843</v>
      </c>
      <c r="BO1248" s="1">
        <v>0.6289</v>
      </c>
      <c r="BP1248" s="1">
        <v>0.558</v>
      </c>
      <c r="BQ1248" s="1">
        <v>2.6479</v>
      </c>
      <c r="BR1248" s="1">
        <v>0.7069</v>
      </c>
      <c r="BS1248" s="1">
        <v>0.969</v>
      </c>
      <c r="BT1248" s="1">
        <v>0.159</v>
      </c>
      <c r="BU1248" s="1">
        <v>0.348</v>
      </c>
      <c r="BV1248" s="1">
        <v>1.476</v>
      </c>
      <c r="BW1248" s="1">
        <v>0.462</v>
      </c>
      <c r="BX1248" s="1">
        <v>0.243</v>
      </c>
      <c r="BY1248" s="1">
        <v>0.0</v>
      </c>
      <c r="BZ1248" s="1">
        <v>0.243</v>
      </c>
      <c r="CA1248" s="1">
        <v>0.105</v>
      </c>
      <c r="CB1248" s="1">
        <v>0.695</v>
      </c>
      <c r="CC1248" s="1">
        <v>0.877</v>
      </c>
      <c r="CD1248" s="1">
        <v>0.35</v>
      </c>
      <c r="CE1248" s="1">
        <v>0.256</v>
      </c>
      <c r="CF1248" s="1">
        <v>0.853</v>
      </c>
      <c r="CG1248" s="1">
        <v>3.031</v>
      </c>
      <c r="CH1248" s="1">
        <v>0.788</v>
      </c>
      <c r="CI1248" s="1">
        <v>7.3979</v>
      </c>
      <c r="CJ1248" s="1">
        <v>0.6245</v>
      </c>
      <c r="CK1248" s="1">
        <v>0.0</v>
      </c>
      <c r="CL1248" s="1">
        <v>0.0</v>
      </c>
      <c r="CM1248" s="1">
        <v>0.0</v>
      </c>
      <c r="CN1248" s="1">
        <v>0.0</v>
      </c>
      <c r="CO1248" s="1">
        <v>0.0</v>
      </c>
      <c r="CP1248" s="1">
        <v>1.0</v>
      </c>
      <c r="CQ1248" s="1">
        <v>0.0</v>
      </c>
      <c r="CR1248" s="1">
        <v>0.0</v>
      </c>
      <c r="CS1248" s="1">
        <v>1.0</v>
      </c>
      <c r="CT1248" s="1">
        <v>0.0</v>
      </c>
      <c r="CU1248" s="1">
        <v>0.0</v>
      </c>
      <c r="CV1248" s="1">
        <v>0.0</v>
      </c>
      <c r="CW1248" s="1">
        <v>0.0</v>
      </c>
      <c r="CX1248" s="1">
        <v>0.0</v>
      </c>
      <c r="CY1248" s="1">
        <v>0.0</v>
      </c>
      <c r="CZ1248" s="1">
        <v>0.0</v>
      </c>
      <c r="DA1248" s="1">
        <v>0.0</v>
      </c>
      <c r="DB1248" s="1">
        <v>0.0</v>
      </c>
      <c r="DC1248" s="1">
        <v>1.0</v>
      </c>
      <c r="DD1248" s="1" t="s">
        <v>5478</v>
      </c>
      <c r="DE1248" s="2" t="s">
        <v>5479</v>
      </c>
      <c r="DF1248" s="2" t="s">
        <v>5480</v>
      </c>
    </row>
    <row r="1249" ht="15.75" customHeight="1">
      <c r="A1249" s="1" t="s">
        <v>5481</v>
      </c>
      <c r="B1249" s="1">
        <v>29.0</v>
      </c>
      <c r="C1249" s="1">
        <v>213.0</v>
      </c>
      <c r="D1249" s="1">
        <v>480402.0</v>
      </c>
      <c r="E1249" s="1">
        <v>261.667</v>
      </c>
      <c r="F1249" s="1">
        <v>29213.0</v>
      </c>
      <c r="G1249" s="1">
        <v>2.9213480402E10</v>
      </c>
      <c r="H1249" s="1" t="s">
        <v>112</v>
      </c>
      <c r="I1249" s="1" t="s">
        <v>113</v>
      </c>
      <c r="J1249" s="1" t="s">
        <v>5452</v>
      </c>
      <c r="K1249" s="1" t="s">
        <v>5482</v>
      </c>
      <c r="L1249" s="1">
        <v>2495.0</v>
      </c>
      <c r="M1249" s="1">
        <v>2626.0</v>
      </c>
      <c r="N1249" s="1">
        <v>281.0</v>
      </c>
      <c r="O1249" s="1">
        <v>1309.0</v>
      </c>
      <c r="P1249" s="1">
        <v>1358.0</v>
      </c>
      <c r="Q1249" s="1">
        <v>75.0</v>
      </c>
      <c r="R1249" s="1">
        <v>1010.0</v>
      </c>
      <c r="S1249" s="1">
        <v>506.0</v>
      </c>
      <c r="T1249" s="1">
        <v>153.0</v>
      </c>
      <c r="U1249" s="1">
        <v>116.0</v>
      </c>
      <c r="V1249" s="1">
        <v>365.0</v>
      </c>
      <c r="W1249" s="1">
        <v>17701.0</v>
      </c>
      <c r="X1249" s="1">
        <v>2863.0</v>
      </c>
      <c r="Y1249" s="1">
        <v>412.0</v>
      </c>
      <c r="Z1249" s="1">
        <v>191.0</v>
      </c>
      <c r="AA1249" s="1">
        <v>483.0</v>
      </c>
      <c r="AB1249" s="1">
        <v>579.0</v>
      </c>
      <c r="AC1249" s="1">
        <v>72.0</v>
      </c>
      <c r="AD1249" s="1">
        <v>62.0</v>
      </c>
      <c r="AE1249" s="1">
        <v>0.0</v>
      </c>
      <c r="AF1249" s="1">
        <v>456.0</v>
      </c>
      <c r="AG1249" s="1">
        <v>0.0</v>
      </c>
      <c r="AH1249" s="1">
        <v>197.0</v>
      </c>
      <c r="AI1249" s="1">
        <v>332.0</v>
      </c>
      <c r="AJ1249" s="1">
        <v>83.0</v>
      </c>
      <c r="AK1249" s="1">
        <v>17.0</v>
      </c>
      <c r="AL1249" s="1">
        <v>115.0</v>
      </c>
      <c r="AM1249" s="1">
        <v>54.0</v>
      </c>
      <c r="AN1249" s="1">
        <v>27.0</v>
      </c>
      <c r="AO1249" s="1">
        <v>0.0</v>
      </c>
      <c r="AP1249" s="1">
        <v>0.192688</v>
      </c>
      <c r="AQ1249" s="1">
        <v>0.054493</v>
      </c>
      <c r="AR1249" s="1">
        <v>0.100869</v>
      </c>
      <c r="AS1249" s="1">
        <v>0.316967</v>
      </c>
      <c r="AT1249" s="1">
        <v>17701.0</v>
      </c>
      <c r="AU1249" s="1">
        <v>2863.0</v>
      </c>
      <c r="AV1249" s="1">
        <v>0.221267</v>
      </c>
      <c r="AW1249" s="1">
        <v>0.100568</v>
      </c>
      <c r="AX1249" s="1">
        <v>0.193587</v>
      </c>
      <c r="AY1249" s="1">
        <v>0.232064</v>
      </c>
      <c r="AZ1249" s="1">
        <v>0.07128712</v>
      </c>
      <c r="BA1249" s="1">
        <v>0.024849</v>
      </c>
      <c r="BB1249" s="1">
        <v>0.0</v>
      </c>
      <c r="BC1249" s="1">
        <v>0.182985</v>
      </c>
      <c r="BD1249" s="1">
        <v>0.0</v>
      </c>
      <c r="BE1249" s="1">
        <v>0.145066</v>
      </c>
      <c r="BF1249" s="1">
        <v>0.244477</v>
      </c>
      <c r="BG1249" s="1">
        <v>0.059609</v>
      </c>
      <c r="BH1249" s="1">
        <v>0.015315</v>
      </c>
      <c r="BI1249" s="1">
        <v>0.103595</v>
      </c>
      <c r="BJ1249" s="1">
        <v>0.048648</v>
      </c>
      <c r="BK1249" s="1">
        <v>0.02398</v>
      </c>
      <c r="BL1249" s="1">
        <v>0.0</v>
      </c>
      <c r="BM1249" s="1">
        <v>0.71</v>
      </c>
      <c r="BN1249" s="1">
        <v>0.737</v>
      </c>
      <c r="BO1249" s="1">
        <v>0.7451</v>
      </c>
      <c r="BP1249" s="1">
        <v>0.805</v>
      </c>
      <c r="BQ1249" s="1">
        <v>2.9971</v>
      </c>
      <c r="BR1249" s="1">
        <v>0.8022</v>
      </c>
      <c r="BS1249" s="1">
        <v>0.852</v>
      </c>
      <c r="BT1249" s="1">
        <v>0.409</v>
      </c>
      <c r="BU1249" s="1">
        <v>0.228</v>
      </c>
      <c r="BV1249" s="1">
        <v>1.489</v>
      </c>
      <c r="BW1249" s="1">
        <v>0.479</v>
      </c>
      <c r="BX1249" s="1">
        <v>0.044</v>
      </c>
      <c r="BY1249" s="1">
        <v>0.0</v>
      </c>
      <c r="BZ1249" s="1">
        <v>0.044</v>
      </c>
      <c r="CA1249" s="1">
        <v>0.023</v>
      </c>
      <c r="CB1249" s="1">
        <v>0.0</v>
      </c>
      <c r="CC1249" s="1">
        <v>0.946</v>
      </c>
      <c r="CD1249" s="1">
        <v>0.604</v>
      </c>
      <c r="CE1249" s="1">
        <v>0.476</v>
      </c>
      <c r="CF1249" s="1">
        <v>0.0</v>
      </c>
      <c r="CG1249" s="1">
        <v>2.026</v>
      </c>
      <c r="CH1249" s="1">
        <v>0.357</v>
      </c>
      <c r="CI1249" s="1">
        <v>6.5561</v>
      </c>
      <c r="CJ1249" s="1">
        <v>0.4664</v>
      </c>
      <c r="CK1249" s="1">
        <v>0.0</v>
      </c>
      <c r="CL1249" s="1">
        <v>0.0</v>
      </c>
      <c r="CM1249" s="1">
        <v>0.0</v>
      </c>
      <c r="CN1249" s="1">
        <v>0.0</v>
      </c>
      <c r="CO1249" s="1">
        <v>0.0</v>
      </c>
      <c r="CP1249" s="1">
        <v>0.0</v>
      </c>
      <c r="CQ1249" s="1">
        <v>0.0</v>
      </c>
      <c r="CR1249" s="1">
        <v>0.0</v>
      </c>
      <c r="CS1249" s="1">
        <v>0.0</v>
      </c>
      <c r="CT1249" s="1">
        <v>0.0</v>
      </c>
      <c r="CU1249" s="1">
        <v>0.0</v>
      </c>
      <c r="CV1249" s="1">
        <v>0.0</v>
      </c>
      <c r="CW1249" s="1">
        <v>0.0</v>
      </c>
      <c r="CX1249" s="1">
        <v>1.0</v>
      </c>
      <c r="CY1249" s="1">
        <v>0.0</v>
      </c>
      <c r="CZ1249" s="1">
        <v>0.0</v>
      </c>
      <c r="DA1249" s="1">
        <v>0.0</v>
      </c>
      <c r="DB1249" s="1">
        <v>1.0</v>
      </c>
      <c r="DC1249" s="1">
        <v>1.0</v>
      </c>
      <c r="DD1249" s="1" t="s">
        <v>5483</v>
      </c>
      <c r="DE1249" s="1">
        <v>0.0687341803180982</v>
      </c>
      <c r="DF1249" s="2" t="s">
        <v>5484</v>
      </c>
    </row>
    <row r="1250" ht="15.75" customHeight="1">
      <c r="A1250" s="1" t="s">
        <v>5485</v>
      </c>
      <c r="B1250" s="1">
        <v>29.0</v>
      </c>
      <c r="C1250" s="1">
        <v>213.0</v>
      </c>
      <c r="D1250" s="1">
        <v>480501.0</v>
      </c>
      <c r="E1250" s="1">
        <v>17.268</v>
      </c>
      <c r="F1250" s="1">
        <v>29213.0</v>
      </c>
      <c r="G1250" s="1">
        <v>2.9213480501E10</v>
      </c>
      <c r="H1250" s="1" t="s">
        <v>112</v>
      </c>
      <c r="I1250" s="1" t="s">
        <v>113</v>
      </c>
      <c r="J1250" s="1" t="s">
        <v>5452</v>
      </c>
      <c r="K1250" s="1" t="s">
        <v>5486</v>
      </c>
      <c r="L1250" s="1">
        <v>2301.0</v>
      </c>
      <c r="M1250" s="1">
        <v>2246.0</v>
      </c>
      <c r="N1250" s="1">
        <v>307.0</v>
      </c>
      <c r="O1250" s="1">
        <v>1981.0</v>
      </c>
      <c r="P1250" s="1">
        <v>2061.0</v>
      </c>
      <c r="Q1250" s="1">
        <v>108.0</v>
      </c>
      <c r="R1250" s="1">
        <v>1034.0</v>
      </c>
      <c r="S1250" s="1">
        <v>191.0</v>
      </c>
      <c r="T1250" s="1">
        <v>128.0</v>
      </c>
      <c r="U1250" s="1">
        <v>84.0</v>
      </c>
      <c r="V1250" s="1">
        <v>488.0</v>
      </c>
      <c r="W1250" s="1">
        <v>22222.0</v>
      </c>
      <c r="X1250" s="1">
        <v>3055.0</v>
      </c>
      <c r="Y1250" s="1">
        <v>263.0</v>
      </c>
      <c r="Z1250" s="1">
        <v>317.0</v>
      </c>
      <c r="AA1250" s="1">
        <v>596.0</v>
      </c>
      <c r="AB1250" s="1">
        <v>358.0</v>
      </c>
      <c r="AC1250" s="1">
        <v>64.0</v>
      </c>
      <c r="AD1250" s="1">
        <v>87.0</v>
      </c>
      <c r="AE1250" s="1">
        <v>0.0</v>
      </c>
      <c r="AF1250" s="1">
        <v>456.0</v>
      </c>
      <c r="AG1250" s="1">
        <v>457.0</v>
      </c>
      <c r="AH1250" s="1">
        <v>250.0</v>
      </c>
      <c r="AI1250" s="1">
        <v>283.0</v>
      </c>
      <c r="AJ1250" s="1">
        <v>166.0</v>
      </c>
      <c r="AK1250" s="1">
        <v>0.0</v>
      </c>
      <c r="AL1250" s="1">
        <v>161.0</v>
      </c>
      <c r="AM1250" s="1">
        <v>92.0</v>
      </c>
      <c r="AN1250" s="1">
        <v>161.0</v>
      </c>
      <c r="AO1250" s="1">
        <v>0.0</v>
      </c>
      <c r="AP1250" s="1">
        <v>0.085573</v>
      </c>
      <c r="AQ1250" s="1">
        <v>0.056126</v>
      </c>
      <c r="AR1250" s="1">
        <v>0.076363</v>
      </c>
      <c r="AS1250" s="1">
        <v>0.443207</v>
      </c>
      <c r="AT1250" s="1">
        <v>22222.0</v>
      </c>
      <c r="AU1250" s="1">
        <v>3055.0</v>
      </c>
      <c r="AV1250" s="1">
        <v>0.142316</v>
      </c>
      <c r="AW1250" s="1">
        <v>0.170487</v>
      </c>
      <c r="AX1250" s="1">
        <v>0.259017</v>
      </c>
      <c r="AY1250" s="1">
        <v>0.155584</v>
      </c>
      <c r="AZ1250" s="1">
        <v>0.06189555</v>
      </c>
      <c r="BA1250" s="1">
        <v>0.037809</v>
      </c>
      <c r="BB1250" s="1">
        <v>0.0</v>
      </c>
      <c r="BC1250" s="1">
        <v>0.206055</v>
      </c>
      <c r="BD1250" s="1">
        <v>0.221737</v>
      </c>
      <c r="BE1250" s="1">
        <v>0.120742</v>
      </c>
      <c r="BF1250" s="1">
        <v>0.137311</v>
      </c>
      <c r="BG1250" s="1">
        <v>0.080221</v>
      </c>
      <c r="BH1250" s="1">
        <v>0.0</v>
      </c>
      <c r="BI1250" s="1">
        <v>0.14623</v>
      </c>
      <c r="BJ1250" s="1">
        <v>0.08356</v>
      </c>
      <c r="BK1250" s="1">
        <v>0.145633</v>
      </c>
      <c r="BL1250" s="1">
        <v>0.0</v>
      </c>
      <c r="BM1250" s="1">
        <v>0.319</v>
      </c>
      <c r="BN1250" s="1">
        <v>0.572</v>
      </c>
      <c r="BO1250" s="1">
        <v>0.4838</v>
      </c>
      <c r="BP1250" s="1">
        <v>0.537</v>
      </c>
      <c r="BQ1250" s="1">
        <v>1.9118</v>
      </c>
      <c r="BR1250" s="1">
        <v>0.465</v>
      </c>
      <c r="BS1250" s="1">
        <v>0.973</v>
      </c>
      <c r="BT1250" s="1">
        <v>0.076</v>
      </c>
      <c r="BU1250" s="1">
        <v>0.145</v>
      </c>
      <c r="BV1250" s="1">
        <v>1.194</v>
      </c>
      <c r="BW1250" s="1">
        <v>0.225</v>
      </c>
      <c r="BX1250" s="1">
        <v>0.146</v>
      </c>
      <c r="BY1250" s="1">
        <v>0.0</v>
      </c>
      <c r="BZ1250" s="1">
        <v>0.146</v>
      </c>
      <c r="CA1250" s="1">
        <v>0.069</v>
      </c>
      <c r="CB1250" s="1">
        <v>0.906</v>
      </c>
      <c r="CC1250" s="1">
        <v>0.793</v>
      </c>
      <c r="CD1250" s="1">
        <v>0.0</v>
      </c>
      <c r="CE1250" s="1">
        <v>0.696</v>
      </c>
      <c r="CF1250" s="1">
        <v>0.0</v>
      </c>
      <c r="CG1250" s="1">
        <v>2.395</v>
      </c>
      <c r="CH1250" s="1">
        <v>0.513</v>
      </c>
      <c r="CI1250" s="1">
        <v>5.6468</v>
      </c>
      <c r="CJ1250" s="1">
        <v>0.3097</v>
      </c>
      <c r="CK1250" s="1">
        <v>0.0</v>
      </c>
      <c r="CL1250" s="1">
        <v>0.0</v>
      </c>
      <c r="CM1250" s="1">
        <v>0.0</v>
      </c>
      <c r="CN1250" s="1">
        <v>0.0</v>
      </c>
      <c r="CO1250" s="1">
        <v>0.0</v>
      </c>
      <c r="CP1250" s="1">
        <v>1.0</v>
      </c>
      <c r="CQ1250" s="1">
        <v>0.0</v>
      </c>
      <c r="CR1250" s="1">
        <v>0.0</v>
      </c>
      <c r="CS1250" s="1">
        <v>1.0</v>
      </c>
      <c r="CT1250" s="1">
        <v>0.0</v>
      </c>
      <c r="CU1250" s="1">
        <v>0.0</v>
      </c>
      <c r="CV1250" s="1">
        <v>0.0</v>
      </c>
      <c r="CW1250" s="1">
        <v>1.0</v>
      </c>
      <c r="CX1250" s="1">
        <v>0.0</v>
      </c>
      <c r="CY1250" s="1">
        <v>0.0</v>
      </c>
      <c r="CZ1250" s="1">
        <v>0.0</v>
      </c>
      <c r="DA1250" s="1">
        <v>0.0</v>
      </c>
      <c r="DB1250" s="1">
        <v>1.0</v>
      </c>
      <c r="DC1250" s="1">
        <v>2.0</v>
      </c>
      <c r="DD1250" s="1" t="s">
        <v>5487</v>
      </c>
      <c r="DE1250" s="1">
        <v>0.00579699982856062</v>
      </c>
      <c r="DF1250" s="2" t="s">
        <v>5488</v>
      </c>
    </row>
    <row r="1251" ht="15.75" customHeight="1">
      <c r="A1251" s="1" t="s">
        <v>5489</v>
      </c>
      <c r="B1251" s="1">
        <v>29.0</v>
      </c>
      <c r="C1251" s="1">
        <v>213.0</v>
      </c>
      <c r="D1251" s="1">
        <v>480502.0</v>
      </c>
      <c r="E1251" s="1">
        <v>25.68</v>
      </c>
      <c r="F1251" s="1">
        <v>29213.0</v>
      </c>
      <c r="G1251" s="1">
        <v>2.9213480502E10</v>
      </c>
      <c r="H1251" s="1" t="s">
        <v>112</v>
      </c>
      <c r="I1251" s="1" t="s">
        <v>113</v>
      </c>
      <c r="J1251" s="1" t="s">
        <v>5452</v>
      </c>
      <c r="K1251" s="1" t="s">
        <v>5490</v>
      </c>
      <c r="L1251" s="1">
        <v>7506.0</v>
      </c>
      <c r="M1251" s="1">
        <v>7798.0</v>
      </c>
      <c r="N1251" s="1">
        <v>379.0</v>
      </c>
      <c r="O1251" s="1">
        <v>3283.0</v>
      </c>
      <c r="P1251" s="1">
        <v>3092.0</v>
      </c>
      <c r="Q1251" s="1">
        <v>275.0</v>
      </c>
      <c r="R1251" s="1">
        <v>2709.0</v>
      </c>
      <c r="S1251" s="1">
        <v>1026.0</v>
      </c>
      <c r="T1251" s="1">
        <v>378.0</v>
      </c>
      <c r="U1251" s="1">
        <v>296.0</v>
      </c>
      <c r="V1251" s="1">
        <v>361.0</v>
      </c>
      <c r="W1251" s="1">
        <v>21234.0</v>
      </c>
      <c r="X1251" s="1">
        <v>4838.0</v>
      </c>
      <c r="Y1251" s="1">
        <v>789.0</v>
      </c>
      <c r="Z1251" s="1">
        <v>288.0</v>
      </c>
      <c r="AA1251" s="1">
        <v>1201.0</v>
      </c>
      <c r="AB1251" s="1">
        <v>1400.0</v>
      </c>
      <c r="AC1251" s="1">
        <v>316.0</v>
      </c>
      <c r="AD1251" s="1">
        <v>644.0</v>
      </c>
      <c r="AE1251" s="1">
        <v>12.0</v>
      </c>
      <c r="AF1251" s="1">
        <v>442.0</v>
      </c>
      <c r="AG1251" s="1">
        <v>381.0</v>
      </c>
      <c r="AH1251" s="1">
        <v>130.0</v>
      </c>
      <c r="AI1251" s="1">
        <v>488.0</v>
      </c>
      <c r="AJ1251" s="1">
        <v>142.0</v>
      </c>
      <c r="AK1251" s="1">
        <v>21.0</v>
      </c>
      <c r="AL1251" s="1">
        <v>120.0</v>
      </c>
      <c r="AM1251" s="1">
        <v>103.0</v>
      </c>
      <c r="AN1251" s="1">
        <v>72.0</v>
      </c>
      <c r="AO1251" s="1">
        <v>1186.0</v>
      </c>
      <c r="AP1251" s="1">
        <v>0.165804</v>
      </c>
      <c r="AQ1251" s="1">
        <v>0.060194</v>
      </c>
      <c r="AR1251" s="1">
        <v>0.073963</v>
      </c>
      <c r="AS1251" s="1">
        <v>0.089837</v>
      </c>
      <c r="AT1251" s="1">
        <v>21234.0</v>
      </c>
      <c r="AU1251" s="1">
        <v>4838.0</v>
      </c>
      <c r="AV1251" s="1">
        <v>0.174983</v>
      </c>
      <c r="AW1251" s="1">
        <v>0.062377</v>
      </c>
      <c r="AX1251" s="1">
        <v>0.160005</v>
      </c>
      <c r="AY1251" s="1">
        <v>0.186517</v>
      </c>
      <c r="AZ1251" s="1">
        <v>0.1166482</v>
      </c>
      <c r="BA1251" s="1">
        <v>0.085798</v>
      </c>
      <c r="BB1251" s="1">
        <v>0.001586</v>
      </c>
      <c r="BC1251" s="1">
        <v>0.058442</v>
      </c>
      <c r="BD1251" s="1">
        <v>0.123221</v>
      </c>
      <c r="BE1251" s="1">
        <v>0.04059</v>
      </c>
      <c r="BF1251" s="1">
        <v>0.157826</v>
      </c>
      <c r="BG1251" s="1">
        <v>0.043727</v>
      </c>
      <c r="BH1251" s="1">
        <v>0.007812</v>
      </c>
      <c r="BI1251" s="1">
        <v>0.044636</v>
      </c>
      <c r="BJ1251" s="1">
        <v>0.038318</v>
      </c>
      <c r="BK1251" s="1">
        <v>0.026541</v>
      </c>
      <c r="BL1251" s="1">
        <v>0.158006</v>
      </c>
      <c r="BM1251" s="1">
        <v>0.628</v>
      </c>
      <c r="BN1251" s="1">
        <v>0.546</v>
      </c>
      <c r="BO1251" s="1">
        <v>0.5386</v>
      </c>
      <c r="BP1251" s="1">
        <v>0.669</v>
      </c>
      <c r="BQ1251" s="1">
        <v>2.3816</v>
      </c>
      <c r="BR1251" s="1">
        <v>0.6245</v>
      </c>
      <c r="BS1251" s="1">
        <v>0.661</v>
      </c>
      <c r="BT1251" s="1">
        <v>0.138</v>
      </c>
      <c r="BU1251" s="1">
        <v>0.647</v>
      </c>
      <c r="BV1251" s="1">
        <v>1.446</v>
      </c>
      <c r="BW1251" s="1">
        <v>0.435</v>
      </c>
      <c r="BX1251" s="1">
        <v>0.414</v>
      </c>
      <c r="BY1251" s="1">
        <v>0.358</v>
      </c>
      <c r="BZ1251" s="1">
        <v>0.772</v>
      </c>
      <c r="CA1251" s="1">
        <v>0.377</v>
      </c>
      <c r="CB1251" s="1">
        <v>0.804</v>
      </c>
      <c r="CC1251" s="1">
        <v>0.835</v>
      </c>
      <c r="CD1251" s="1">
        <v>0.43</v>
      </c>
      <c r="CE1251" s="1">
        <v>0.373</v>
      </c>
      <c r="CF1251" s="1">
        <v>0.958</v>
      </c>
      <c r="CG1251" s="1">
        <v>3.4</v>
      </c>
      <c r="CH1251" s="1">
        <v>0.914</v>
      </c>
      <c r="CI1251" s="1">
        <v>7.9996</v>
      </c>
      <c r="CJ1251" s="1">
        <v>0.7126</v>
      </c>
      <c r="CK1251" s="1">
        <v>0.0</v>
      </c>
      <c r="CL1251" s="1">
        <v>0.0</v>
      </c>
      <c r="CM1251" s="1">
        <v>0.0</v>
      </c>
      <c r="CN1251" s="1">
        <v>0.0</v>
      </c>
      <c r="CO1251" s="1">
        <v>0.0</v>
      </c>
      <c r="CP1251" s="1">
        <v>0.0</v>
      </c>
      <c r="CQ1251" s="1">
        <v>0.0</v>
      </c>
      <c r="CR1251" s="1">
        <v>0.0</v>
      </c>
      <c r="CS1251" s="1">
        <v>0.0</v>
      </c>
      <c r="CT1251" s="1">
        <v>0.0</v>
      </c>
      <c r="CU1251" s="1">
        <v>0.0</v>
      </c>
      <c r="CV1251" s="1">
        <v>0.0</v>
      </c>
      <c r="CW1251" s="1">
        <v>0.0</v>
      </c>
      <c r="CX1251" s="1">
        <v>0.0</v>
      </c>
      <c r="CY1251" s="1">
        <v>0.0</v>
      </c>
      <c r="CZ1251" s="1">
        <v>0.0</v>
      </c>
      <c r="DA1251" s="1">
        <v>1.0</v>
      </c>
      <c r="DB1251" s="1">
        <v>1.0</v>
      </c>
      <c r="DC1251" s="1">
        <v>1.0</v>
      </c>
      <c r="DD1251" s="1" t="s">
        <v>5491</v>
      </c>
      <c r="DE1251" s="1">
        <v>0.0067832609030338</v>
      </c>
      <c r="DF1251" s="2" t="s">
        <v>5492</v>
      </c>
    </row>
    <row r="1252" ht="15.75" customHeight="1">
      <c r="A1252" s="1" t="s">
        <v>5493</v>
      </c>
      <c r="B1252" s="1">
        <v>29.0</v>
      </c>
      <c r="C1252" s="1">
        <v>215.0</v>
      </c>
      <c r="D1252" s="1">
        <v>480300.0</v>
      </c>
      <c r="E1252" s="1">
        <v>273.512</v>
      </c>
      <c r="F1252" s="1">
        <v>29215.0</v>
      </c>
      <c r="G1252" s="1">
        <v>2.92154803E10</v>
      </c>
      <c r="H1252" s="1" t="s">
        <v>112</v>
      </c>
      <c r="I1252" s="1" t="s">
        <v>113</v>
      </c>
      <c r="J1252" s="1" t="s">
        <v>5494</v>
      </c>
      <c r="K1252" s="1" t="s">
        <v>5495</v>
      </c>
      <c r="L1252" s="1">
        <v>6522.0</v>
      </c>
      <c r="M1252" s="1">
        <v>6359.0</v>
      </c>
      <c r="N1252" s="1">
        <v>475.0</v>
      </c>
      <c r="O1252" s="1">
        <v>3146.0</v>
      </c>
      <c r="P1252" s="1">
        <v>3156.0</v>
      </c>
      <c r="Q1252" s="1">
        <v>194.0</v>
      </c>
      <c r="R1252" s="1">
        <v>2731.0</v>
      </c>
      <c r="S1252" s="1">
        <v>860.0</v>
      </c>
      <c r="T1252" s="1">
        <v>262.0</v>
      </c>
      <c r="U1252" s="1">
        <v>114.0</v>
      </c>
      <c r="V1252" s="1">
        <v>348.0</v>
      </c>
      <c r="W1252" s="1">
        <v>19497.0</v>
      </c>
      <c r="X1252" s="1">
        <v>2335.0</v>
      </c>
      <c r="Y1252" s="1">
        <v>829.0</v>
      </c>
      <c r="Z1252" s="1">
        <v>206.0</v>
      </c>
      <c r="AA1252" s="1">
        <v>1318.0</v>
      </c>
      <c r="AB1252" s="1">
        <v>1467.0</v>
      </c>
      <c r="AC1252" s="1">
        <v>279.0</v>
      </c>
      <c r="AD1252" s="1">
        <v>297.0</v>
      </c>
      <c r="AE1252" s="1">
        <v>15.0</v>
      </c>
      <c r="AF1252" s="1">
        <v>427.0</v>
      </c>
      <c r="AG1252" s="1">
        <v>7.0</v>
      </c>
      <c r="AH1252" s="1">
        <v>162.0</v>
      </c>
      <c r="AI1252" s="1">
        <v>502.0</v>
      </c>
      <c r="AJ1252" s="1">
        <v>141.0</v>
      </c>
      <c r="AK1252" s="1">
        <v>18.0</v>
      </c>
      <c r="AL1252" s="1">
        <v>116.0</v>
      </c>
      <c r="AM1252" s="1">
        <v>124.0</v>
      </c>
      <c r="AN1252" s="1">
        <v>64.0</v>
      </c>
      <c r="AO1252" s="1">
        <v>146.0</v>
      </c>
      <c r="AP1252" s="1">
        <v>0.138956</v>
      </c>
      <c r="AQ1252" s="1">
        <v>0.041059</v>
      </c>
      <c r="AR1252" s="1">
        <v>0.045581</v>
      </c>
      <c r="AS1252" s="1">
        <v>0.13904</v>
      </c>
      <c r="AT1252" s="1">
        <v>19497.0</v>
      </c>
      <c r="AU1252" s="1">
        <v>2335.0</v>
      </c>
      <c r="AV1252" s="1">
        <v>0.186417</v>
      </c>
      <c r="AW1252" s="1">
        <v>0.044363</v>
      </c>
      <c r="AX1252" s="1">
        <v>0.202085</v>
      </c>
      <c r="AY1252" s="1">
        <v>0.224931</v>
      </c>
      <c r="AZ1252" s="1">
        <v>0.10216038</v>
      </c>
      <c r="BA1252" s="1">
        <v>0.045538</v>
      </c>
      <c r="BB1252" s="1">
        <v>0.002468</v>
      </c>
      <c r="BC1252" s="1">
        <v>0.070276</v>
      </c>
      <c r="BD1252" s="1">
        <v>0.002217</v>
      </c>
      <c r="BE1252" s="1">
        <v>0.05133</v>
      </c>
      <c r="BF1252" s="1">
        <v>0.159062</v>
      </c>
      <c r="BG1252" s="1">
        <v>0.043593</v>
      </c>
      <c r="BH1252" s="1">
        <v>0.006849</v>
      </c>
      <c r="BI1252" s="1">
        <v>0.044137</v>
      </c>
      <c r="BJ1252" s="1">
        <v>0.047184</v>
      </c>
      <c r="BK1252" s="1">
        <v>0.024123</v>
      </c>
      <c r="BL1252" s="1">
        <v>0.022385</v>
      </c>
      <c r="BM1252" s="1">
        <v>0.54</v>
      </c>
      <c r="BN1252" s="1">
        <v>0.246</v>
      </c>
      <c r="BO1252" s="1">
        <v>0.6448</v>
      </c>
      <c r="BP1252" s="1">
        <v>0.712</v>
      </c>
      <c r="BQ1252" s="1">
        <v>2.1428</v>
      </c>
      <c r="BR1252" s="1">
        <v>0.5422</v>
      </c>
      <c r="BS1252" s="1">
        <v>0.88</v>
      </c>
      <c r="BT1252" s="1">
        <v>0.341</v>
      </c>
      <c r="BU1252" s="1">
        <v>0.51</v>
      </c>
      <c r="BV1252" s="1">
        <v>1.731</v>
      </c>
      <c r="BW1252" s="1">
        <v>0.666</v>
      </c>
      <c r="BX1252" s="1">
        <v>0.217</v>
      </c>
      <c r="BY1252" s="1">
        <v>0.41</v>
      </c>
      <c r="BZ1252" s="1">
        <v>0.627</v>
      </c>
      <c r="CA1252" s="1">
        <v>0.291</v>
      </c>
      <c r="CB1252" s="1">
        <v>0.274</v>
      </c>
      <c r="CC1252" s="1">
        <v>0.837</v>
      </c>
      <c r="CD1252" s="1">
        <v>0.388</v>
      </c>
      <c r="CE1252" s="1">
        <v>0.465</v>
      </c>
      <c r="CF1252" s="1">
        <v>0.741</v>
      </c>
      <c r="CG1252" s="1">
        <v>2.705</v>
      </c>
      <c r="CH1252" s="1">
        <v>0.643</v>
      </c>
      <c r="CI1252" s="1">
        <v>7.2058</v>
      </c>
      <c r="CJ1252" s="1">
        <v>0.5964</v>
      </c>
      <c r="CK1252" s="1">
        <v>0.0</v>
      </c>
      <c r="CL1252" s="1">
        <v>0.0</v>
      </c>
      <c r="CM1252" s="1">
        <v>0.0</v>
      </c>
      <c r="CN1252" s="1">
        <v>0.0</v>
      </c>
      <c r="CO1252" s="1">
        <v>0.0</v>
      </c>
      <c r="CP1252" s="1">
        <v>0.0</v>
      </c>
      <c r="CQ1252" s="1">
        <v>0.0</v>
      </c>
      <c r="CR1252" s="1">
        <v>0.0</v>
      </c>
      <c r="CS1252" s="1">
        <v>0.0</v>
      </c>
      <c r="CT1252" s="1">
        <v>0.0</v>
      </c>
      <c r="CU1252" s="1">
        <v>0.0</v>
      </c>
      <c r="CV1252" s="1">
        <v>0.0</v>
      </c>
      <c r="CW1252" s="1">
        <v>0.0</v>
      </c>
      <c r="CX1252" s="1">
        <v>0.0</v>
      </c>
      <c r="CY1252" s="1">
        <v>0.0</v>
      </c>
      <c r="CZ1252" s="1">
        <v>0.0</v>
      </c>
      <c r="DA1252" s="1">
        <v>0.0</v>
      </c>
      <c r="DB1252" s="1">
        <v>0.0</v>
      </c>
      <c r="DC1252" s="1">
        <v>0.0</v>
      </c>
      <c r="DD1252" s="1" t="s">
        <v>5496</v>
      </c>
      <c r="DE1252" s="1">
        <v>0.0722633223633178</v>
      </c>
      <c r="DF1252" s="2" t="s">
        <v>5497</v>
      </c>
    </row>
    <row r="1253" ht="15.75" customHeight="1">
      <c r="A1253" s="1" t="s">
        <v>5498</v>
      </c>
      <c r="B1253" s="1">
        <v>29.0</v>
      </c>
      <c r="C1253" s="1">
        <v>215.0</v>
      </c>
      <c r="D1253" s="1">
        <v>480400.0</v>
      </c>
      <c r="E1253" s="1">
        <v>238.836</v>
      </c>
      <c r="F1253" s="1">
        <v>29215.0</v>
      </c>
      <c r="G1253" s="1">
        <v>2.92154804E10</v>
      </c>
      <c r="H1253" s="1" t="s">
        <v>112</v>
      </c>
      <c r="I1253" s="1" t="s">
        <v>113</v>
      </c>
      <c r="J1253" s="1" t="s">
        <v>5494</v>
      </c>
      <c r="K1253" s="1" t="s">
        <v>5499</v>
      </c>
      <c r="L1253" s="1">
        <v>6369.0</v>
      </c>
      <c r="M1253" s="1">
        <v>6628.0</v>
      </c>
      <c r="N1253" s="1">
        <v>499.0</v>
      </c>
      <c r="O1253" s="1">
        <v>3012.0</v>
      </c>
      <c r="P1253" s="1">
        <v>2991.0</v>
      </c>
      <c r="Q1253" s="1">
        <v>182.0</v>
      </c>
      <c r="R1253" s="1">
        <v>2660.0</v>
      </c>
      <c r="S1253" s="1">
        <v>1921.0</v>
      </c>
      <c r="T1253" s="1">
        <v>509.0</v>
      </c>
      <c r="U1253" s="1">
        <v>220.0</v>
      </c>
      <c r="V1253" s="1">
        <v>315.0</v>
      </c>
      <c r="W1253" s="1">
        <v>15646.0</v>
      </c>
      <c r="X1253" s="1">
        <v>2116.0</v>
      </c>
      <c r="Y1253" s="1">
        <v>867.0</v>
      </c>
      <c r="Z1253" s="1">
        <v>246.0</v>
      </c>
      <c r="AA1253" s="1">
        <v>1274.0</v>
      </c>
      <c r="AB1253" s="1">
        <v>1488.0</v>
      </c>
      <c r="AC1253" s="1">
        <v>233.0</v>
      </c>
      <c r="AD1253" s="1">
        <v>280.0</v>
      </c>
      <c r="AE1253" s="1">
        <v>0.0</v>
      </c>
      <c r="AF1253" s="1">
        <v>456.0</v>
      </c>
      <c r="AG1253" s="1">
        <v>123.0</v>
      </c>
      <c r="AH1253" s="1">
        <v>60.0</v>
      </c>
      <c r="AI1253" s="1">
        <v>433.0</v>
      </c>
      <c r="AJ1253" s="1">
        <v>147.0</v>
      </c>
      <c r="AK1253" s="1">
        <v>53.0</v>
      </c>
      <c r="AL1253" s="1">
        <v>120.0</v>
      </c>
      <c r="AM1253" s="1">
        <v>136.0</v>
      </c>
      <c r="AN1253" s="1">
        <v>75.0</v>
      </c>
      <c r="AO1253" s="1">
        <v>92.0</v>
      </c>
      <c r="AP1253" s="1">
        <v>0.290928</v>
      </c>
      <c r="AQ1253" s="1">
        <v>0.073765</v>
      </c>
      <c r="AR1253" s="1">
        <v>0.093856</v>
      </c>
      <c r="AS1253" s="1">
        <v>0.133917</v>
      </c>
      <c r="AT1253" s="1">
        <v>15646.0</v>
      </c>
      <c r="AU1253" s="1">
        <v>2116.0</v>
      </c>
      <c r="AV1253" s="1">
        <v>0.19867</v>
      </c>
      <c r="AW1253" s="1">
        <v>0.05428</v>
      </c>
      <c r="AX1253" s="1">
        <v>0.200031</v>
      </c>
      <c r="AY1253" s="1">
        <v>0.233631</v>
      </c>
      <c r="AZ1253" s="1">
        <v>0.08759398</v>
      </c>
      <c r="BA1253" s="1">
        <v>0.043962</v>
      </c>
      <c r="BB1253" s="1">
        <v>0.0</v>
      </c>
      <c r="BC1253" s="1">
        <v>0.074876</v>
      </c>
      <c r="BD1253" s="1">
        <v>0.041123</v>
      </c>
      <c r="BE1253" s="1">
        <v>0.019903</v>
      </c>
      <c r="BF1253" s="1">
        <v>0.144767</v>
      </c>
      <c r="BG1253" s="1">
        <v>0.048351</v>
      </c>
      <c r="BH1253" s="1">
        <v>0.021623</v>
      </c>
      <c r="BI1253" s="1">
        <v>0.048932</v>
      </c>
      <c r="BJ1253" s="1">
        <v>0.055487</v>
      </c>
      <c r="BK1253" s="1">
        <v>0.030314</v>
      </c>
      <c r="BL1253" s="1">
        <v>0.014444</v>
      </c>
      <c r="BM1253" s="1">
        <v>0.874</v>
      </c>
      <c r="BN1253" s="1">
        <v>0.701</v>
      </c>
      <c r="BO1253" s="1">
        <v>0.852</v>
      </c>
      <c r="BP1253" s="1">
        <v>0.747</v>
      </c>
      <c r="BQ1253" s="1">
        <v>3.174</v>
      </c>
      <c r="BR1253" s="1">
        <v>0.8448</v>
      </c>
      <c r="BS1253" s="1">
        <v>0.873</v>
      </c>
      <c r="BT1253" s="1">
        <v>0.426</v>
      </c>
      <c r="BU1253" s="1">
        <v>0.383</v>
      </c>
      <c r="BV1253" s="1">
        <v>1.682</v>
      </c>
      <c r="BW1253" s="1">
        <v>0.628</v>
      </c>
      <c r="BX1253" s="1">
        <v>0.205</v>
      </c>
      <c r="BY1253" s="1">
        <v>0.0</v>
      </c>
      <c r="BZ1253" s="1">
        <v>0.205</v>
      </c>
      <c r="CA1253" s="1">
        <v>0.093</v>
      </c>
      <c r="CB1253" s="1">
        <v>0.615</v>
      </c>
      <c r="CC1253" s="1">
        <v>0.806</v>
      </c>
      <c r="CD1253" s="1">
        <v>0.704</v>
      </c>
      <c r="CE1253" s="1">
        <v>0.535</v>
      </c>
      <c r="CF1253" s="1">
        <v>0.641</v>
      </c>
      <c r="CG1253" s="1">
        <v>3.301</v>
      </c>
      <c r="CH1253" s="1">
        <v>0.873</v>
      </c>
      <c r="CI1253" s="1">
        <v>8.362</v>
      </c>
      <c r="CJ1253" s="1">
        <v>0.7697</v>
      </c>
      <c r="CK1253" s="1">
        <v>0.0</v>
      </c>
      <c r="CL1253" s="1">
        <v>0.0</v>
      </c>
      <c r="CM1253" s="1">
        <v>0.0</v>
      </c>
      <c r="CN1253" s="1">
        <v>0.0</v>
      </c>
      <c r="CO1253" s="1">
        <v>0.0</v>
      </c>
      <c r="CP1253" s="1">
        <v>0.0</v>
      </c>
      <c r="CQ1253" s="1">
        <v>0.0</v>
      </c>
      <c r="CR1253" s="1">
        <v>0.0</v>
      </c>
      <c r="CS1253" s="1">
        <v>0.0</v>
      </c>
      <c r="CT1253" s="1">
        <v>0.0</v>
      </c>
      <c r="CU1253" s="1">
        <v>0.0</v>
      </c>
      <c r="CV1253" s="1">
        <v>0.0</v>
      </c>
      <c r="CW1253" s="1">
        <v>0.0</v>
      </c>
      <c r="CX1253" s="1">
        <v>0.0</v>
      </c>
      <c r="CY1253" s="1">
        <v>0.0</v>
      </c>
      <c r="CZ1253" s="1">
        <v>0.0</v>
      </c>
      <c r="DA1253" s="1">
        <v>0.0</v>
      </c>
      <c r="DB1253" s="1">
        <v>0.0</v>
      </c>
      <c r="DC1253" s="1">
        <v>0.0</v>
      </c>
      <c r="DD1253" s="1" t="s">
        <v>5500</v>
      </c>
      <c r="DE1253" s="1">
        <v>0.0628044446783652</v>
      </c>
      <c r="DF1253" s="2" t="s">
        <v>5501</v>
      </c>
    </row>
    <row r="1254" ht="15.75" customHeight="1">
      <c r="A1254" s="1" t="s">
        <v>5502</v>
      </c>
      <c r="B1254" s="1">
        <v>29.0</v>
      </c>
      <c r="C1254" s="1">
        <v>215.0</v>
      </c>
      <c r="D1254" s="1">
        <v>480100.0</v>
      </c>
      <c r="E1254" s="1">
        <v>261.852</v>
      </c>
      <c r="F1254" s="1">
        <v>29215.0</v>
      </c>
      <c r="G1254" s="1">
        <v>2.92154801E10</v>
      </c>
      <c r="H1254" s="1" t="s">
        <v>112</v>
      </c>
      <c r="I1254" s="1" t="s">
        <v>113</v>
      </c>
      <c r="J1254" s="1" t="s">
        <v>5494</v>
      </c>
      <c r="K1254" s="1" t="s">
        <v>5503</v>
      </c>
      <c r="L1254" s="1">
        <v>7828.0</v>
      </c>
      <c r="M1254" s="1">
        <v>7562.0</v>
      </c>
      <c r="N1254" s="1">
        <v>363.0</v>
      </c>
      <c r="O1254" s="1">
        <v>2863.0</v>
      </c>
      <c r="P1254" s="1">
        <v>2901.0</v>
      </c>
      <c r="Q1254" s="1">
        <v>198.0</v>
      </c>
      <c r="R1254" s="1">
        <v>2475.0</v>
      </c>
      <c r="S1254" s="1">
        <v>1000.0</v>
      </c>
      <c r="T1254" s="1">
        <v>222.0</v>
      </c>
      <c r="U1254" s="1">
        <v>158.0</v>
      </c>
      <c r="V1254" s="1">
        <v>367.0</v>
      </c>
      <c r="W1254" s="1">
        <v>13622.0</v>
      </c>
      <c r="X1254" s="1">
        <v>1324.0</v>
      </c>
      <c r="Y1254" s="1">
        <v>1055.0</v>
      </c>
      <c r="Z1254" s="1">
        <v>243.0</v>
      </c>
      <c r="AA1254" s="1">
        <v>1063.0</v>
      </c>
      <c r="AB1254" s="1">
        <v>1574.0</v>
      </c>
      <c r="AC1254" s="1">
        <v>243.0</v>
      </c>
      <c r="AD1254" s="1">
        <v>1138.0</v>
      </c>
      <c r="AE1254" s="1">
        <v>12.0</v>
      </c>
      <c r="AF1254" s="1">
        <v>442.0</v>
      </c>
      <c r="AG1254" s="1">
        <v>19.0</v>
      </c>
      <c r="AH1254" s="1">
        <v>115.0</v>
      </c>
      <c r="AI1254" s="1">
        <v>564.0</v>
      </c>
      <c r="AJ1254" s="1">
        <v>163.0</v>
      </c>
      <c r="AK1254" s="1">
        <v>15.0</v>
      </c>
      <c r="AL1254" s="1">
        <v>115.0</v>
      </c>
      <c r="AM1254" s="1">
        <v>195.0</v>
      </c>
      <c r="AN1254" s="1">
        <v>94.0</v>
      </c>
      <c r="AO1254" s="1">
        <v>1648.0</v>
      </c>
      <c r="AP1254" s="1">
        <v>0.167336</v>
      </c>
      <c r="AQ1254" s="1">
        <v>0.035339</v>
      </c>
      <c r="AR1254" s="1">
        <v>0.068427</v>
      </c>
      <c r="AS1254" s="1">
        <v>0.158747</v>
      </c>
      <c r="AT1254" s="1">
        <v>13622.0</v>
      </c>
      <c r="AU1254" s="1">
        <v>1324.0</v>
      </c>
      <c r="AV1254" s="1">
        <v>0.204854</v>
      </c>
      <c r="AW1254" s="1">
        <v>0.045973</v>
      </c>
      <c r="AX1254" s="1">
        <v>0.135794</v>
      </c>
      <c r="AY1254" s="1">
        <v>0.201073</v>
      </c>
      <c r="AZ1254" s="1">
        <v>0.09818181</v>
      </c>
      <c r="BA1254" s="1">
        <v>0.145375</v>
      </c>
      <c r="BB1254" s="1">
        <v>0.001706</v>
      </c>
      <c r="BC1254" s="1">
        <v>0.062864</v>
      </c>
      <c r="BD1254" s="1">
        <v>0.006549</v>
      </c>
      <c r="BE1254" s="1">
        <v>0.039638</v>
      </c>
      <c r="BF1254" s="1">
        <v>0.194415</v>
      </c>
      <c r="BG1254" s="1">
        <v>0.054598</v>
      </c>
      <c r="BH1254" s="1">
        <v>0.006347</v>
      </c>
      <c r="BI1254" s="1">
        <v>0.048664</v>
      </c>
      <c r="BJ1254" s="1">
        <v>0.082522</v>
      </c>
      <c r="BK1254" s="1">
        <v>0.039216</v>
      </c>
      <c r="BL1254" s="1">
        <v>0.210526</v>
      </c>
      <c r="BM1254" s="1">
        <v>0.631</v>
      </c>
      <c r="BN1254" s="1">
        <v>0.5</v>
      </c>
      <c r="BO1254" s="1">
        <v>0.9206</v>
      </c>
      <c r="BP1254" s="1">
        <v>0.764</v>
      </c>
      <c r="BQ1254" s="1">
        <v>2.8156</v>
      </c>
      <c r="BR1254" s="1">
        <v>0.7523</v>
      </c>
      <c r="BS1254" s="1">
        <v>0.461</v>
      </c>
      <c r="BT1254" s="1">
        <v>0.191</v>
      </c>
      <c r="BU1254" s="1">
        <v>0.477</v>
      </c>
      <c r="BV1254" s="1">
        <v>1.129</v>
      </c>
      <c r="BW1254" s="1">
        <v>0.185</v>
      </c>
      <c r="BX1254" s="1">
        <v>0.607</v>
      </c>
      <c r="BY1254" s="1">
        <v>0.367</v>
      </c>
      <c r="BZ1254" s="1">
        <v>0.974</v>
      </c>
      <c r="CA1254" s="1">
        <v>0.53</v>
      </c>
      <c r="CB1254" s="1">
        <v>0.346</v>
      </c>
      <c r="CC1254" s="1">
        <v>0.89</v>
      </c>
      <c r="CD1254" s="1">
        <v>0.371</v>
      </c>
      <c r="CE1254" s="1">
        <v>0.692</v>
      </c>
      <c r="CF1254" s="1">
        <v>0.969</v>
      </c>
      <c r="CG1254" s="1">
        <v>3.268</v>
      </c>
      <c r="CH1254" s="1">
        <v>0.864</v>
      </c>
      <c r="CI1254" s="1">
        <v>8.1866</v>
      </c>
      <c r="CJ1254" s="1">
        <v>0.7415</v>
      </c>
      <c r="CK1254" s="1">
        <v>0.0</v>
      </c>
      <c r="CL1254" s="1">
        <v>0.0</v>
      </c>
      <c r="CM1254" s="1">
        <v>1.0</v>
      </c>
      <c r="CN1254" s="1">
        <v>0.0</v>
      </c>
      <c r="CO1254" s="1">
        <v>1.0</v>
      </c>
      <c r="CP1254" s="1">
        <v>0.0</v>
      </c>
      <c r="CQ1254" s="1">
        <v>0.0</v>
      </c>
      <c r="CR1254" s="1">
        <v>0.0</v>
      </c>
      <c r="CS1254" s="1">
        <v>0.0</v>
      </c>
      <c r="CT1254" s="1">
        <v>0.0</v>
      </c>
      <c r="CU1254" s="1">
        <v>0.0</v>
      </c>
      <c r="CV1254" s="1">
        <v>0.0</v>
      </c>
      <c r="CW1254" s="1">
        <v>0.0</v>
      </c>
      <c r="CX1254" s="1">
        <v>0.0</v>
      </c>
      <c r="CY1254" s="1">
        <v>0.0</v>
      </c>
      <c r="CZ1254" s="1">
        <v>0.0</v>
      </c>
      <c r="DA1254" s="1">
        <v>1.0</v>
      </c>
      <c r="DB1254" s="1">
        <v>1.0</v>
      </c>
      <c r="DC1254" s="1">
        <v>2.0</v>
      </c>
      <c r="DD1254" s="1" t="s">
        <v>5504</v>
      </c>
      <c r="DE1254" s="1">
        <v>0.0693192523828087</v>
      </c>
      <c r="DF1254" s="2" t="s">
        <v>5505</v>
      </c>
    </row>
    <row r="1255" ht="15.75" customHeight="1">
      <c r="A1255" s="1" t="s">
        <v>5506</v>
      </c>
      <c r="B1255" s="1">
        <v>29.0</v>
      </c>
      <c r="C1255" s="1">
        <v>215.0</v>
      </c>
      <c r="D1255" s="1">
        <v>480200.0</v>
      </c>
      <c r="E1255" s="1">
        <v>403.066</v>
      </c>
      <c r="F1255" s="1">
        <v>29215.0</v>
      </c>
      <c r="G1255" s="1">
        <v>2.92154802E10</v>
      </c>
      <c r="H1255" s="1" t="s">
        <v>112</v>
      </c>
      <c r="I1255" s="1" t="s">
        <v>113</v>
      </c>
      <c r="J1255" s="1" t="s">
        <v>5494</v>
      </c>
      <c r="K1255" s="1" t="s">
        <v>5507</v>
      </c>
      <c r="L1255" s="1">
        <v>5289.0</v>
      </c>
      <c r="M1255" s="1">
        <v>5113.0</v>
      </c>
      <c r="N1255" s="1">
        <v>493.0</v>
      </c>
      <c r="O1255" s="1">
        <v>2664.0</v>
      </c>
      <c r="P1255" s="1">
        <v>2576.0</v>
      </c>
      <c r="Q1255" s="1">
        <v>158.0</v>
      </c>
      <c r="R1255" s="1">
        <v>2191.0</v>
      </c>
      <c r="S1255" s="1">
        <v>1356.0</v>
      </c>
      <c r="T1255" s="1">
        <v>545.0</v>
      </c>
      <c r="U1255" s="1">
        <v>153.0</v>
      </c>
      <c r="V1255" s="1">
        <v>330.0</v>
      </c>
      <c r="W1255" s="1">
        <v>14575.0</v>
      </c>
      <c r="X1255" s="1">
        <v>1584.0</v>
      </c>
      <c r="Y1255" s="1">
        <v>882.0</v>
      </c>
      <c r="Z1255" s="1">
        <v>214.0</v>
      </c>
      <c r="AA1255" s="1">
        <v>1027.0</v>
      </c>
      <c r="AB1255" s="1">
        <v>1192.0</v>
      </c>
      <c r="AC1255" s="1">
        <v>181.0</v>
      </c>
      <c r="AD1255" s="1">
        <v>283.0</v>
      </c>
      <c r="AE1255" s="1">
        <v>3.0</v>
      </c>
      <c r="AF1255" s="1">
        <v>442.0</v>
      </c>
      <c r="AG1255" s="1">
        <v>0.0</v>
      </c>
      <c r="AH1255" s="1">
        <v>197.0</v>
      </c>
      <c r="AI1255" s="1">
        <v>628.0</v>
      </c>
      <c r="AJ1255" s="1">
        <v>172.0</v>
      </c>
      <c r="AK1255" s="1">
        <v>25.0</v>
      </c>
      <c r="AL1255" s="1">
        <v>119.0</v>
      </c>
      <c r="AM1255" s="1">
        <v>94.0</v>
      </c>
      <c r="AN1255" s="1">
        <v>49.0</v>
      </c>
      <c r="AO1255" s="1">
        <v>11.0</v>
      </c>
      <c r="AP1255" s="1">
        <v>0.26531</v>
      </c>
      <c r="AQ1255" s="1">
        <v>0.103516</v>
      </c>
      <c r="AR1255" s="1">
        <v>0.081339</v>
      </c>
      <c r="AS1255" s="1">
        <v>0.17511</v>
      </c>
      <c r="AT1255" s="1">
        <v>14575.0</v>
      </c>
      <c r="AU1255" s="1">
        <v>1584.0</v>
      </c>
      <c r="AV1255" s="1">
        <v>0.23883</v>
      </c>
      <c r="AW1255" s="1">
        <v>0.054051</v>
      </c>
      <c r="AX1255" s="1">
        <v>0.194176</v>
      </c>
      <c r="AY1255" s="1">
        <v>0.225373</v>
      </c>
      <c r="AZ1255" s="1">
        <v>0.08261068</v>
      </c>
      <c r="BA1255" s="1">
        <v>0.053507</v>
      </c>
      <c r="BB1255" s="1">
        <v>6.2E-4</v>
      </c>
      <c r="BC1255" s="1">
        <v>0.09136</v>
      </c>
      <c r="BD1255" s="1">
        <v>0.0</v>
      </c>
      <c r="BE1255" s="1">
        <v>0.076475</v>
      </c>
      <c r="BF1255" s="1">
        <v>0.243788</v>
      </c>
      <c r="BG1255" s="1">
        <v>0.065074</v>
      </c>
      <c r="BH1255" s="1">
        <v>0.012013</v>
      </c>
      <c r="BI1255" s="1">
        <v>0.057174</v>
      </c>
      <c r="BJ1255" s="1">
        <v>0.04517</v>
      </c>
      <c r="BK1255" s="1">
        <v>0.023223</v>
      </c>
      <c r="BL1255" s="1">
        <v>0.002079</v>
      </c>
      <c r="BM1255" s="1">
        <v>0.848</v>
      </c>
      <c r="BN1255" s="1">
        <v>0.621</v>
      </c>
      <c r="BO1255" s="1">
        <v>0.8903</v>
      </c>
      <c r="BP1255" s="1">
        <v>0.842</v>
      </c>
      <c r="BQ1255" s="1">
        <v>3.2013</v>
      </c>
      <c r="BR1255" s="1">
        <v>0.8527</v>
      </c>
      <c r="BS1255" s="1">
        <v>0.855</v>
      </c>
      <c r="BT1255" s="1">
        <v>0.343</v>
      </c>
      <c r="BU1255" s="1">
        <v>0.332</v>
      </c>
      <c r="BV1255" s="1">
        <v>1.53</v>
      </c>
      <c r="BW1255" s="1">
        <v>0.506</v>
      </c>
      <c r="BX1255" s="1">
        <v>0.274</v>
      </c>
      <c r="BY1255" s="1">
        <v>0.323</v>
      </c>
      <c r="BZ1255" s="1">
        <v>0.597</v>
      </c>
      <c r="CA1255" s="1">
        <v>0.266</v>
      </c>
      <c r="CB1255" s="1">
        <v>0.0</v>
      </c>
      <c r="CC1255" s="1">
        <v>0.945</v>
      </c>
      <c r="CD1255" s="1">
        <v>0.53</v>
      </c>
      <c r="CE1255" s="1">
        <v>0.446</v>
      </c>
      <c r="CF1255" s="1">
        <v>0.448</v>
      </c>
      <c r="CG1255" s="1">
        <v>2.369</v>
      </c>
      <c r="CH1255" s="1">
        <v>0.495</v>
      </c>
      <c r="CI1255" s="1">
        <v>7.6973</v>
      </c>
      <c r="CJ1255" s="1">
        <v>0.6686</v>
      </c>
      <c r="CK1255" s="1">
        <v>0.0</v>
      </c>
      <c r="CL1255" s="1">
        <v>0.0</v>
      </c>
      <c r="CM1255" s="1">
        <v>0.0</v>
      </c>
      <c r="CN1255" s="1">
        <v>0.0</v>
      </c>
      <c r="CO1255" s="1">
        <v>0.0</v>
      </c>
      <c r="CP1255" s="1">
        <v>0.0</v>
      </c>
      <c r="CQ1255" s="1">
        <v>0.0</v>
      </c>
      <c r="CR1255" s="1">
        <v>0.0</v>
      </c>
      <c r="CS1255" s="1">
        <v>0.0</v>
      </c>
      <c r="CT1255" s="1">
        <v>0.0</v>
      </c>
      <c r="CU1255" s="1">
        <v>0.0</v>
      </c>
      <c r="CV1255" s="1">
        <v>0.0</v>
      </c>
      <c r="CW1255" s="1">
        <v>0.0</v>
      </c>
      <c r="CX1255" s="1">
        <v>1.0</v>
      </c>
      <c r="CY1255" s="1">
        <v>0.0</v>
      </c>
      <c r="CZ1255" s="1">
        <v>0.0</v>
      </c>
      <c r="DA1255" s="1">
        <v>0.0</v>
      </c>
      <c r="DB1255" s="1">
        <v>1.0</v>
      </c>
      <c r="DC1255" s="1">
        <v>1.0</v>
      </c>
      <c r="DD1255" s="1" t="s">
        <v>5508</v>
      </c>
      <c r="DE1255" s="2" t="s">
        <v>5509</v>
      </c>
      <c r="DF1255" s="2" t="s">
        <v>5510</v>
      </c>
    </row>
    <row r="1256" ht="15.75" customHeight="1">
      <c r="A1256" s="1" t="s">
        <v>5511</v>
      </c>
      <c r="B1256" s="1">
        <v>29.0</v>
      </c>
      <c r="C1256" s="1">
        <v>217.0</v>
      </c>
      <c r="D1256" s="1">
        <v>950300.0</v>
      </c>
      <c r="E1256" s="1">
        <v>6.934</v>
      </c>
      <c r="F1256" s="1">
        <v>29217.0</v>
      </c>
      <c r="G1256" s="1">
        <v>2.92179503E10</v>
      </c>
      <c r="H1256" s="1" t="s">
        <v>112</v>
      </c>
      <c r="I1256" s="1" t="s">
        <v>113</v>
      </c>
      <c r="J1256" s="1" t="s">
        <v>5512</v>
      </c>
      <c r="K1256" s="1" t="s">
        <v>5513</v>
      </c>
      <c r="L1256" s="1">
        <v>6049.0</v>
      </c>
      <c r="M1256" s="1">
        <v>5929.0</v>
      </c>
      <c r="N1256" s="1">
        <v>455.0</v>
      </c>
      <c r="O1256" s="1">
        <v>2691.0</v>
      </c>
      <c r="P1256" s="1">
        <v>2705.0</v>
      </c>
      <c r="Q1256" s="1">
        <v>158.0</v>
      </c>
      <c r="R1256" s="1">
        <v>2411.0</v>
      </c>
      <c r="S1256" s="1">
        <v>1147.0</v>
      </c>
      <c r="T1256" s="1">
        <v>397.0</v>
      </c>
      <c r="U1256" s="1">
        <v>294.0</v>
      </c>
      <c r="V1256" s="1">
        <v>437.0</v>
      </c>
      <c r="W1256" s="1">
        <v>19682.0</v>
      </c>
      <c r="X1256" s="1">
        <v>2444.0</v>
      </c>
      <c r="Y1256" s="1">
        <v>632.0</v>
      </c>
      <c r="Z1256" s="1">
        <v>335.0</v>
      </c>
      <c r="AA1256" s="1">
        <v>1290.0</v>
      </c>
      <c r="AB1256" s="1">
        <v>1355.0</v>
      </c>
      <c r="AC1256" s="1">
        <v>269.0</v>
      </c>
      <c r="AD1256" s="1">
        <v>352.0</v>
      </c>
      <c r="AE1256" s="1">
        <v>0.0</v>
      </c>
      <c r="AF1256" s="1">
        <v>456.0</v>
      </c>
      <c r="AG1256" s="1">
        <v>57.0</v>
      </c>
      <c r="AH1256" s="1">
        <v>133.0</v>
      </c>
      <c r="AI1256" s="1">
        <v>48.0</v>
      </c>
      <c r="AJ1256" s="1">
        <v>45.0</v>
      </c>
      <c r="AK1256" s="1">
        <v>48.0</v>
      </c>
      <c r="AL1256" s="1">
        <v>124.0</v>
      </c>
      <c r="AM1256" s="1">
        <v>363.0</v>
      </c>
      <c r="AN1256" s="1">
        <v>140.0</v>
      </c>
      <c r="AO1256" s="1">
        <v>763.0</v>
      </c>
      <c r="AP1256" s="1">
        <v>0.211701</v>
      </c>
      <c r="AQ1256" s="1">
        <v>0.07119</v>
      </c>
      <c r="AR1256" s="1">
        <v>0.113909</v>
      </c>
      <c r="AS1256" s="1">
        <v>0.168764</v>
      </c>
      <c r="AT1256" s="1">
        <v>19682.0</v>
      </c>
      <c r="AU1256" s="1">
        <v>2444.0</v>
      </c>
      <c r="AV1256" s="1">
        <v>0.162342</v>
      </c>
      <c r="AW1256" s="1">
        <v>0.085366</v>
      </c>
      <c r="AX1256" s="1">
        <v>0.213258</v>
      </c>
      <c r="AY1256" s="1">
        <v>0.224003</v>
      </c>
      <c r="AZ1256" s="1">
        <v>0.11157196</v>
      </c>
      <c r="BA1256" s="1">
        <v>0.058191</v>
      </c>
      <c r="BB1256" s="1">
        <v>0.0</v>
      </c>
      <c r="BC1256" s="1">
        <v>0.08172</v>
      </c>
      <c r="BD1256" s="1">
        <v>0.021072</v>
      </c>
      <c r="BE1256" s="1">
        <v>0.049152</v>
      </c>
      <c r="BF1256" s="1">
        <v>0.017744</v>
      </c>
      <c r="BG1256" s="1">
        <v>0.016603</v>
      </c>
      <c r="BH1256" s="1">
        <v>0.020382</v>
      </c>
      <c r="BI1256" s="1">
        <v>0.052627</v>
      </c>
      <c r="BJ1256" s="1">
        <v>0.15414</v>
      </c>
      <c r="BK1256" s="1">
        <v>0.058118</v>
      </c>
      <c r="BL1256" s="1">
        <v>0.126136</v>
      </c>
      <c r="BM1256" s="1">
        <v>0.757</v>
      </c>
      <c r="BN1256" s="1">
        <v>0.798</v>
      </c>
      <c r="BO1256" s="1">
        <v>0.6339</v>
      </c>
      <c r="BP1256" s="1">
        <v>0.621</v>
      </c>
      <c r="BQ1256" s="1">
        <v>2.8099</v>
      </c>
      <c r="BR1256" s="1">
        <v>0.7502</v>
      </c>
      <c r="BS1256" s="1">
        <v>0.917</v>
      </c>
      <c r="BT1256" s="1">
        <v>0.334</v>
      </c>
      <c r="BU1256" s="1">
        <v>0.597</v>
      </c>
      <c r="BV1256" s="1">
        <v>1.848</v>
      </c>
      <c r="BW1256" s="1">
        <v>0.767</v>
      </c>
      <c r="BX1256" s="1">
        <v>0.302</v>
      </c>
      <c r="BY1256" s="1">
        <v>0.0</v>
      </c>
      <c r="BZ1256" s="1">
        <v>0.302</v>
      </c>
      <c r="CA1256" s="1">
        <v>0.129</v>
      </c>
      <c r="CB1256" s="1">
        <v>0.476</v>
      </c>
      <c r="CC1256" s="1">
        <v>0.5</v>
      </c>
      <c r="CD1256" s="1">
        <v>0.688</v>
      </c>
      <c r="CE1256" s="1">
        <v>0.864</v>
      </c>
      <c r="CF1256" s="1">
        <v>0.949</v>
      </c>
      <c r="CG1256" s="1">
        <v>3.477</v>
      </c>
      <c r="CH1256" s="1">
        <v>0.929</v>
      </c>
      <c r="CI1256" s="1">
        <v>8.4369</v>
      </c>
      <c r="CJ1256" s="1">
        <v>0.7762</v>
      </c>
      <c r="CK1256" s="1">
        <v>0.0</v>
      </c>
      <c r="CL1256" s="1">
        <v>0.0</v>
      </c>
      <c r="CM1256" s="1">
        <v>0.0</v>
      </c>
      <c r="CN1256" s="1">
        <v>0.0</v>
      </c>
      <c r="CO1256" s="1">
        <v>0.0</v>
      </c>
      <c r="CP1256" s="1">
        <v>1.0</v>
      </c>
      <c r="CQ1256" s="1">
        <v>0.0</v>
      </c>
      <c r="CR1256" s="1">
        <v>0.0</v>
      </c>
      <c r="CS1256" s="1">
        <v>1.0</v>
      </c>
      <c r="CT1256" s="1">
        <v>0.0</v>
      </c>
      <c r="CU1256" s="1">
        <v>0.0</v>
      </c>
      <c r="CV1256" s="1">
        <v>0.0</v>
      </c>
      <c r="CW1256" s="1">
        <v>0.0</v>
      </c>
      <c r="CX1256" s="1">
        <v>0.0</v>
      </c>
      <c r="CY1256" s="1">
        <v>0.0</v>
      </c>
      <c r="CZ1256" s="1">
        <v>0.0</v>
      </c>
      <c r="DA1256" s="1">
        <v>1.0</v>
      </c>
      <c r="DB1256" s="1">
        <v>1.0</v>
      </c>
      <c r="DC1256" s="1">
        <v>2.0</v>
      </c>
      <c r="DD1256" s="1" t="s">
        <v>5514</v>
      </c>
      <c r="DE1256" s="1">
        <v>0.00184695630170175</v>
      </c>
      <c r="DF1256" s="2" t="s">
        <v>5515</v>
      </c>
    </row>
    <row r="1257" ht="15.75" customHeight="1">
      <c r="A1257" s="1" t="s">
        <v>5516</v>
      </c>
      <c r="B1257" s="1">
        <v>29.0</v>
      </c>
      <c r="C1257" s="1">
        <v>217.0</v>
      </c>
      <c r="D1257" s="1">
        <v>950100.0</v>
      </c>
      <c r="E1257" s="1">
        <v>245.733</v>
      </c>
      <c r="F1257" s="1">
        <v>29217.0</v>
      </c>
      <c r="G1257" s="1">
        <v>2.92179501E10</v>
      </c>
      <c r="H1257" s="1" t="s">
        <v>112</v>
      </c>
      <c r="I1257" s="1" t="s">
        <v>113</v>
      </c>
      <c r="J1257" s="1" t="s">
        <v>5512</v>
      </c>
      <c r="K1257" s="1" t="s">
        <v>5517</v>
      </c>
      <c r="L1257" s="1">
        <v>3422.0</v>
      </c>
      <c r="M1257" s="1">
        <v>3382.0</v>
      </c>
      <c r="N1257" s="1">
        <v>312.0</v>
      </c>
      <c r="O1257" s="1">
        <v>1546.0</v>
      </c>
      <c r="P1257" s="1">
        <v>1664.0</v>
      </c>
      <c r="Q1257" s="1">
        <v>93.0</v>
      </c>
      <c r="R1257" s="1">
        <v>1363.0</v>
      </c>
      <c r="S1257" s="1">
        <v>713.0</v>
      </c>
      <c r="T1257" s="1">
        <v>192.0</v>
      </c>
      <c r="U1257" s="1">
        <v>67.0</v>
      </c>
      <c r="V1257" s="1">
        <v>413.0</v>
      </c>
      <c r="W1257" s="1">
        <v>15740.0</v>
      </c>
      <c r="X1257" s="1">
        <v>1959.0</v>
      </c>
      <c r="Y1257" s="1">
        <v>327.0</v>
      </c>
      <c r="Z1257" s="1">
        <v>214.0</v>
      </c>
      <c r="AA1257" s="1">
        <v>569.0</v>
      </c>
      <c r="AB1257" s="1">
        <v>836.0</v>
      </c>
      <c r="AC1257" s="1">
        <v>103.0</v>
      </c>
      <c r="AD1257" s="1">
        <v>99.0</v>
      </c>
      <c r="AE1257" s="1">
        <v>19.0</v>
      </c>
      <c r="AF1257" s="1">
        <v>427.0</v>
      </c>
      <c r="AG1257" s="1">
        <v>0.0</v>
      </c>
      <c r="AH1257" s="1">
        <v>197.0</v>
      </c>
      <c r="AI1257" s="1">
        <v>403.0</v>
      </c>
      <c r="AJ1257" s="1">
        <v>99.0</v>
      </c>
      <c r="AK1257" s="1">
        <v>43.0</v>
      </c>
      <c r="AL1257" s="1">
        <v>119.0</v>
      </c>
      <c r="AM1257" s="1">
        <v>57.0</v>
      </c>
      <c r="AN1257" s="1">
        <v>35.0</v>
      </c>
      <c r="AO1257" s="1">
        <v>12.0</v>
      </c>
      <c r="AP1257" s="1">
        <v>0.211384</v>
      </c>
      <c r="AQ1257" s="1">
        <v>0.053527</v>
      </c>
      <c r="AR1257" s="1">
        <v>0.045547</v>
      </c>
      <c r="AS1257" s="1">
        <v>0.280703</v>
      </c>
      <c r="AT1257" s="1">
        <v>15740.0</v>
      </c>
      <c r="AU1257" s="1">
        <v>1959.0</v>
      </c>
      <c r="AV1257" s="1">
        <v>0.144179</v>
      </c>
      <c r="AW1257" s="1">
        <v>0.093504</v>
      </c>
      <c r="AX1257" s="1">
        <v>0.166277</v>
      </c>
      <c r="AY1257" s="1">
        <v>0.244301</v>
      </c>
      <c r="AZ1257" s="1">
        <v>0.07556859</v>
      </c>
      <c r="BA1257" s="1">
        <v>0.02893</v>
      </c>
      <c r="BB1257" s="1">
        <v>0.005986</v>
      </c>
      <c r="BC1257" s="1">
        <v>0.134529</v>
      </c>
      <c r="BD1257" s="1">
        <v>0.0</v>
      </c>
      <c r="BE1257" s="1">
        <v>0.118389</v>
      </c>
      <c r="BF1257" s="1">
        <v>0.242187</v>
      </c>
      <c r="BG1257" s="1">
        <v>0.057934</v>
      </c>
      <c r="BH1257" s="1">
        <v>0.030217</v>
      </c>
      <c r="BI1257" s="1">
        <v>0.08359</v>
      </c>
      <c r="BJ1257" s="1">
        <v>0.040056</v>
      </c>
      <c r="BK1257" s="1">
        <v>0.024381</v>
      </c>
      <c r="BL1257" s="1">
        <v>0.003506</v>
      </c>
      <c r="BM1257" s="1">
        <v>0.755</v>
      </c>
      <c r="BN1257" s="1">
        <v>0.245</v>
      </c>
      <c r="BO1257" s="1">
        <v>0.8469</v>
      </c>
      <c r="BP1257" s="1">
        <v>0.543</v>
      </c>
      <c r="BQ1257" s="1">
        <v>2.3899</v>
      </c>
      <c r="BR1257" s="1">
        <v>0.6267</v>
      </c>
      <c r="BS1257" s="1">
        <v>0.709</v>
      </c>
      <c r="BT1257" s="1">
        <v>0.537</v>
      </c>
      <c r="BU1257" s="1">
        <v>0.261</v>
      </c>
      <c r="BV1257" s="1">
        <v>1.507</v>
      </c>
      <c r="BW1257" s="1">
        <v>0.491</v>
      </c>
      <c r="BX1257" s="1">
        <v>0.071</v>
      </c>
      <c r="BY1257" s="1">
        <v>0.598</v>
      </c>
      <c r="BZ1257" s="1">
        <v>0.669</v>
      </c>
      <c r="CA1257" s="1">
        <v>0.316</v>
      </c>
      <c r="CB1257" s="1">
        <v>0.0</v>
      </c>
      <c r="CC1257" s="1">
        <v>0.941</v>
      </c>
      <c r="CD1257" s="1">
        <v>0.81</v>
      </c>
      <c r="CE1257" s="1">
        <v>0.391</v>
      </c>
      <c r="CF1257" s="1">
        <v>0.487</v>
      </c>
      <c r="CG1257" s="1">
        <v>2.629</v>
      </c>
      <c r="CH1257" s="1">
        <v>0.612</v>
      </c>
      <c r="CI1257" s="1">
        <v>7.1949</v>
      </c>
      <c r="CJ1257" s="1">
        <v>0.5928</v>
      </c>
      <c r="CK1257" s="1">
        <v>0.0</v>
      </c>
      <c r="CL1257" s="1">
        <v>0.0</v>
      </c>
      <c r="CM1257" s="1">
        <v>0.0</v>
      </c>
      <c r="CN1257" s="1">
        <v>0.0</v>
      </c>
      <c r="CO1257" s="1">
        <v>0.0</v>
      </c>
      <c r="CP1257" s="1">
        <v>0.0</v>
      </c>
      <c r="CQ1257" s="1">
        <v>0.0</v>
      </c>
      <c r="CR1257" s="1">
        <v>0.0</v>
      </c>
      <c r="CS1257" s="1">
        <v>0.0</v>
      </c>
      <c r="CT1257" s="1">
        <v>0.0</v>
      </c>
      <c r="CU1257" s="1">
        <v>0.0</v>
      </c>
      <c r="CV1257" s="1">
        <v>0.0</v>
      </c>
      <c r="CW1257" s="1">
        <v>0.0</v>
      </c>
      <c r="CX1257" s="1">
        <v>1.0</v>
      </c>
      <c r="CY1257" s="1">
        <v>0.0</v>
      </c>
      <c r="CZ1257" s="1">
        <v>0.0</v>
      </c>
      <c r="DA1257" s="1">
        <v>0.0</v>
      </c>
      <c r="DB1257" s="1">
        <v>1.0</v>
      </c>
      <c r="DC1257" s="1">
        <v>1.0</v>
      </c>
      <c r="DD1257" s="1" t="s">
        <v>5518</v>
      </c>
      <c r="DE1257" s="1">
        <v>0.0664856284152062</v>
      </c>
      <c r="DF1257" s="2" t="s">
        <v>5519</v>
      </c>
    </row>
    <row r="1258" ht="15.75" customHeight="1">
      <c r="A1258" s="1" t="s">
        <v>5520</v>
      </c>
      <c r="B1258" s="1">
        <v>29.0</v>
      </c>
      <c r="C1258" s="1">
        <v>217.0</v>
      </c>
      <c r="D1258" s="1">
        <v>950200.0</v>
      </c>
      <c r="E1258" s="1">
        <v>240.917</v>
      </c>
      <c r="F1258" s="1">
        <v>29217.0</v>
      </c>
      <c r="G1258" s="1">
        <v>2.92179502E10</v>
      </c>
      <c r="H1258" s="1" t="s">
        <v>112</v>
      </c>
      <c r="I1258" s="1" t="s">
        <v>113</v>
      </c>
      <c r="J1258" s="1" t="s">
        <v>5512</v>
      </c>
      <c r="K1258" s="1" t="s">
        <v>5521</v>
      </c>
      <c r="L1258" s="1">
        <v>2215.0</v>
      </c>
      <c r="M1258" s="1">
        <v>2185.0</v>
      </c>
      <c r="N1258" s="1">
        <v>326.0</v>
      </c>
      <c r="O1258" s="1">
        <v>933.0</v>
      </c>
      <c r="P1258" s="1">
        <v>868.0</v>
      </c>
      <c r="Q1258" s="1">
        <v>85.0</v>
      </c>
      <c r="R1258" s="1">
        <v>820.0</v>
      </c>
      <c r="S1258" s="1">
        <v>464.0</v>
      </c>
      <c r="T1258" s="1">
        <v>277.0</v>
      </c>
      <c r="U1258" s="1">
        <v>78.0</v>
      </c>
      <c r="V1258" s="1">
        <v>429.0</v>
      </c>
      <c r="W1258" s="1">
        <v>15929.0</v>
      </c>
      <c r="X1258" s="1">
        <v>2788.0</v>
      </c>
      <c r="Y1258" s="1">
        <v>279.0</v>
      </c>
      <c r="Z1258" s="1">
        <v>337.0</v>
      </c>
      <c r="AA1258" s="1">
        <v>327.0</v>
      </c>
      <c r="AB1258" s="1">
        <v>626.0</v>
      </c>
      <c r="AC1258" s="1">
        <v>58.0</v>
      </c>
      <c r="AD1258" s="1">
        <v>46.0</v>
      </c>
      <c r="AE1258" s="1">
        <v>21.0</v>
      </c>
      <c r="AF1258" s="1">
        <v>427.0</v>
      </c>
      <c r="AG1258" s="1">
        <v>0.0</v>
      </c>
      <c r="AH1258" s="1">
        <v>197.0</v>
      </c>
      <c r="AI1258" s="1">
        <v>102.0</v>
      </c>
      <c r="AJ1258" s="1">
        <v>48.0</v>
      </c>
      <c r="AK1258" s="1">
        <v>0.0</v>
      </c>
      <c r="AL1258" s="1">
        <v>161.0</v>
      </c>
      <c r="AM1258" s="1">
        <v>37.0</v>
      </c>
      <c r="AN1258" s="1">
        <v>33.0</v>
      </c>
      <c r="AO1258" s="1">
        <v>0.0</v>
      </c>
      <c r="AP1258" s="1">
        <v>0.212648</v>
      </c>
      <c r="AQ1258" s="1">
        <v>0.122907</v>
      </c>
      <c r="AR1258" s="1">
        <v>0.08469</v>
      </c>
      <c r="AS1258" s="1">
        <v>0.46527</v>
      </c>
      <c r="AT1258" s="1">
        <v>15929.0</v>
      </c>
      <c r="AU1258" s="1">
        <v>2788.0</v>
      </c>
      <c r="AV1258" s="1">
        <v>0.200287</v>
      </c>
      <c r="AW1258" s="1">
        <v>0.240626</v>
      </c>
      <c r="AX1258" s="1">
        <v>0.147629</v>
      </c>
      <c r="AY1258" s="1">
        <v>0.282618</v>
      </c>
      <c r="AZ1258" s="1">
        <v>0.0707317</v>
      </c>
      <c r="BA1258" s="1">
        <v>0.020767</v>
      </c>
      <c r="BB1258" s="1">
        <v>0.010258</v>
      </c>
      <c r="BC1258" s="1">
        <v>0.208591</v>
      </c>
      <c r="BD1258" s="1">
        <v>0.0</v>
      </c>
      <c r="BE1258" s="1">
        <v>0.226958</v>
      </c>
      <c r="BF1258" s="1">
        <v>0.117511</v>
      </c>
      <c r="BG1258" s="1">
        <v>0.054088</v>
      </c>
      <c r="BH1258" s="1">
        <v>0.0</v>
      </c>
      <c r="BI1258" s="1">
        <v>0.211286</v>
      </c>
      <c r="BJ1258" s="1">
        <v>0.048556</v>
      </c>
      <c r="BK1258" s="1">
        <v>0.042975</v>
      </c>
      <c r="BL1258" s="1">
        <v>0.0</v>
      </c>
      <c r="BM1258" s="1">
        <v>0.758</v>
      </c>
      <c r="BN1258" s="1">
        <v>0.648</v>
      </c>
      <c r="BO1258" s="1">
        <v>0.8426</v>
      </c>
      <c r="BP1258" s="1">
        <v>0.751</v>
      </c>
      <c r="BQ1258" s="1">
        <v>2.9996</v>
      </c>
      <c r="BR1258" s="1">
        <v>0.8029</v>
      </c>
      <c r="BS1258" s="1">
        <v>0.56</v>
      </c>
      <c r="BT1258" s="1">
        <v>0.859</v>
      </c>
      <c r="BU1258" s="1">
        <v>0.22</v>
      </c>
      <c r="BV1258" s="1">
        <v>1.639</v>
      </c>
      <c r="BW1258" s="1">
        <v>0.592</v>
      </c>
      <c r="BX1258" s="1">
        <v>0.022</v>
      </c>
      <c r="BY1258" s="1">
        <v>0.728</v>
      </c>
      <c r="BZ1258" s="1">
        <v>0.75</v>
      </c>
      <c r="CA1258" s="1">
        <v>0.36</v>
      </c>
      <c r="CB1258" s="1">
        <v>0.0</v>
      </c>
      <c r="CC1258" s="1">
        <v>0.753</v>
      </c>
      <c r="CD1258" s="1">
        <v>0.0</v>
      </c>
      <c r="CE1258" s="1">
        <v>0.475</v>
      </c>
      <c r="CF1258" s="1">
        <v>0.0</v>
      </c>
      <c r="CG1258" s="1">
        <v>1.228</v>
      </c>
      <c r="CH1258" s="1">
        <v>0.115</v>
      </c>
      <c r="CI1258" s="1">
        <v>6.6166</v>
      </c>
      <c r="CJ1258" s="1">
        <v>0.4801</v>
      </c>
      <c r="CK1258" s="1">
        <v>0.0</v>
      </c>
      <c r="CL1258" s="1">
        <v>0.0</v>
      </c>
      <c r="CM1258" s="1">
        <v>0.0</v>
      </c>
      <c r="CN1258" s="1">
        <v>0.0</v>
      </c>
      <c r="CO1258" s="1">
        <v>0.0</v>
      </c>
      <c r="CP1258" s="1">
        <v>0.0</v>
      </c>
      <c r="CQ1258" s="1">
        <v>0.0</v>
      </c>
      <c r="CR1258" s="1">
        <v>0.0</v>
      </c>
      <c r="CS1258" s="1">
        <v>0.0</v>
      </c>
      <c r="CT1258" s="1">
        <v>0.0</v>
      </c>
      <c r="CU1258" s="1">
        <v>0.0</v>
      </c>
      <c r="CV1258" s="1">
        <v>0.0</v>
      </c>
      <c r="CW1258" s="1">
        <v>0.0</v>
      </c>
      <c r="CX1258" s="1">
        <v>0.0</v>
      </c>
      <c r="CY1258" s="1">
        <v>0.0</v>
      </c>
      <c r="CZ1258" s="1">
        <v>0.0</v>
      </c>
      <c r="DA1258" s="1">
        <v>0.0</v>
      </c>
      <c r="DB1258" s="1">
        <v>0.0</v>
      </c>
      <c r="DC1258" s="1">
        <v>0.0</v>
      </c>
      <c r="DD1258" s="1" t="s">
        <v>5522</v>
      </c>
      <c r="DE1258" s="1">
        <v>0.0649384976871945</v>
      </c>
      <c r="DF1258" s="2" t="s">
        <v>5523</v>
      </c>
    </row>
    <row r="1259" ht="15.75" customHeight="1">
      <c r="A1259" s="1" t="s">
        <v>5524</v>
      </c>
      <c r="B1259" s="1">
        <v>29.0</v>
      </c>
      <c r="C1259" s="1">
        <v>217.0</v>
      </c>
      <c r="D1259" s="1">
        <v>950400.0</v>
      </c>
      <c r="E1259" s="1">
        <v>4.428</v>
      </c>
      <c r="F1259" s="1">
        <v>29217.0</v>
      </c>
      <c r="G1259" s="1">
        <v>2.92179504E10</v>
      </c>
      <c r="H1259" s="1" t="s">
        <v>112</v>
      </c>
      <c r="I1259" s="1" t="s">
        <v>113</v>
      </c>
      <c r="J1259" s="1" t="s">
        <v>5512</v>
      </c>
      <c r="K1259" s="1" t="s">
        <v>5525</v>
      </c>
      <c r="L1259" s="1">
        <v>3197.0</v>
      </c>
      <c r="M1259" s="1">
        <v>2902.0</v>
      </c>
      <c r="N1259" s="1">
        <v>372.0</v>
      </c>
      <c r="O1259" s="1">
        <v>1658.0</v>
      </c>
      <c r="P1259" s="1">
        <v>1530.0</v>
      </c>
      <c r="Q1259" s="1">
        <v>126.0</v>
      </c>
      <c r="R1259" s="1">
        <v>1396.0</v>
      </c>
      <c r="S1259" s="1">
        <v>832.0</v>
      </c>
      <c r="T1259" s="1">
        <v>218.0</v>
      </c>
      <c r="U1259" s="1">
        <v>140.0</v>
      </c>
      <c r="V1259" s="1">
        <v>418.0</v>
      </c>
      <c r="W1259" s="1">
        <v>13265.0</v>
      </c>
      <c r="X1259" s="1">
        <v>1155.0</v>
      </c>
      <c r="Y1259" s="1">
        <v>436.0</v>
      </c>
      <c r="Z1259" s="1">
        <v>266.0</v>
      </c>
      <c r="AA1259" s="1">
        <v>354.0</v>
      </c>
      <c r="AB1259" s="1">
        <v>821.0</v>
      </c>
      <c r="AC1259" s="1">
        <v>229.0</v>
      </c>
      <c r="AD1259" s="1">
        <v>177.0</v>
      </c>
      <c r="AE1259" s="1">
        <v>0.0</v>
      </c>
      <c r="AF1259" s="1">
        <v>456.0</v>
      </c>
      <c r="AG1259" s="1">
        <v>83.0</v>
      </c>
      <c r="AH1259" s="1">
        <v>170.0</v>
      </c>
      <c r="AI1259" s="1">
        <v>55.0</v>
      </c>
      <c r="AJ1259" s="1">
        <v>57.0</v>
      </c>
      <c r="AK1259" s="1">
        <v>0.0</v>
      </c>
      <c r="AL1259" s="1">
        <v>161.0</v>
      </c>
      <c r="AM1259" s="1">
        <v>185.0</v>
      </c>
      <c r="AN1259" s="1">
        <v>69.0</v>
      </c>
      <c r="AO1259" s="1">
        <v>80.0</v>
      </c>
      <c r="AP1259" s="1">
        <v>0.2903</v>
      </c>
      <c r="AQ1259" s="1">
        <v>0.06619</v>
      </c>
      <c r="AR1259" s="1">
        <v>0.09352</v>
      </c>
      <c r="AS1259" s="1">
        <v>0.278718</v>
      </c>
      <c r="AT1259" s="1">
        <v>13265.0</v>
      </c>
      <c r="AU1259" s="1">
        <v>1155.0</v>
      </c>
      <c r="AV1259" s="1">
        <v>0.223704</v>
      </c>
      <c r="AW1259" s="1">
        <v>0.133992</v>
      </c>
      <c r="AX1259" s="1">
        <v>0.110728</v>
      </c>
      <c r="AY1259" s="1">
        <v>0.256803</v>
      </c>
      <c r="AZ1259" s="1">
        <v>0.16404011</v>
      </c>
      <c r="BA1259" s="1">
        <v>0.055364</v>
      </c>
      <c r="BB1259" s="1">
        <v>0.0</v>
      </c>
      <c r="BC1259" s="1">
        <v>0.170531</v>
      </c>
      <c r="BD1259" s="1">
        <v>0.054248</v>
      </c>
      <c r="BE1259" s="1">
        <v>0.111021</v>
      </c>
      <c r="BF1259" s="1">
        <v>0.035947</v>
      </c>
      <c r="BG1259" s="1">
        <v>0.037137</v>
      </c>
      <c r="BH1259" s="1">
        <v>0.0</v>
      </c>
      <c r="BI1259" s="1">
        <v>0.121693</v>
      </c>
      <c r="BJ1259" s="1">
        <v>0.139833</v>
      </c>
      <c r="BK1259" s="1">
        <v>0.050282</v>
      </c>
      <c r="BL1259" s="1">
        <v>0.025023</v>
      </c>
      <c r="BM1259" s="1">
        <v>0.874</v>
      </c>
      <c r="BN1259" s="1">
        <v>0.7</v>
      </c>
      <c r="BO1259" s="1">
        <v>0.9314</v>
      </c>
      <c r="BP1259" s="1">
        <v>0.81</v>
      </c>
      <c r="BQ1259" s="1">
        <v>3.3154</v>
      </c>
      <c r="BR1259" s="1">
        <v>0.8823</v>
      </c>
      <c r="BS1259" s="1">
        <v>0.277</v>
      </c>
      <c r="BT1259" s="1">
        <v>0.671</v>
      </c>
      <c r="BU1259" s="1">
        <v>0.834</v>
      </c>
      <c r="BV1259" s="1">
        <v>1.782</v>
      </c>
      <c r="BW1259" s="1">
        <v>0.707</v>
      </c>
      <c r="BX1259" s="1">
        <v>0.286</v>
      </c>
      <c r="BY1259" s="1">
        <v>0.0</v>
      </c>
      <c r="BZ1259" s="1">
        <v>0.286</v>
      </c>
      <c r="CA1259" s="1">
        <v>0.121</v>
      </c>
      <c r="CB1259" s="1">
        <v>0.666</v>
      </c>
      <c r="CC1259" s="1">
        <v>0.568</v>
      </c>
      <c r="CD1259" s="1">
        <v>0.0</v>
      </c>
      <c r="CE1259" s="1">
        <v>0.848</v>
      </c>
      <c r="CF1259" s="1">
        <v>0.77</v>
      </c>
      <c r="CG1259" s="1">
        <v>2.852</v>
      </c>
      <c r="CH1259" s="1">
        <v>0.709</v>
      </c>
      <c r="CI1259" s="1">
        <v>8.2354</v>
      </c>
      <c r="CJ1259" s="1">
        <v>0.7516</v>
      </c>
      <c r="CK1259" s="1">
        <v>0.0</v>
      </c>
      <c r="CL1259" s="1">
        <v>0.0</v>
      </c>
      <c r="CM1259" s="1">
        <v>1.0</v>
      </c>
      <c r="CN1259" s="1">
        <v>0.0</v>
      </c>
      <c r="CO1259" s="1">
        <v>1.0</v>
      </c>
      <c r="CP1259" s="1">
        <v>0.0</v>
      </c>
      <c r="CQ1259" s="1">
        <v>0.0</v>
      </c>
      <c r="CR1259" s="1">
        <v>0.0</v>
      </c>
      <c r="CS1259" s="1">
        <v>0.0</v>
      </c>
      <c r="CT1259" s="1">
        <v>0.0</v>
      </c>
      <c r="CU1259" s="1">
        <v>0.0</v>
      </c>
      <c r="CV1259" s="1">
        <v>0.0</v>
      </c>
      <c r="CW1259" s="1">
        <v>0.0</v>
      </c>
      <c r="CX1259" s="1">
        <v>0.0</v>
      </c>
      <c r="CY1259" s="1">
        <v>0.0</v>
      </c>
      <c r="CZ1259" s="1">
        <v>0.0</v>
      </c>
      <c r="DA1259" s="1">
        <v>0.0</v>
      </c>
      <c r="DB1259" s="1">
        <v>0.0</v>
      </c>
      <c r="DC1259" s="1">
        <v>1.0</v>
      </c>
      <c r="DD1259" s="1" t="s">
        <v>5526</v>
      </c>
      <c r="DE1259" s="1">
        <v>0.00118134245016294</v>
      </c>
      <c r="DF1259" s="2" t="s">
        <v>5527</v>
      </c>
    </row>
    <row r="1260" ht="15.75" customHeight="1">
      <c r="A1260" s="1" t="s">
        <v>5528</v>
      </c>
      <c r="B1260" s="1">
        <v>29.0</v>
      </c>
      <c r="C1260" s="1">
        <v>217.0</v>
      </c>
      <c r="D1260" s="1">
        <v>950500.0</v>
      </c>
      <c r="E1260" s="1">
        <v>137.706</v>
      </c>
      <c r="F1260" s="1">
        <v>29217.0</v>
      </c>
      <c r="G1260" s="1">
        <v>2.92179505E10</v>
      </c>
      <c r="H1260" s="1" t="s">
        <v>112</v>
      </c>
      <c r="I1260" s="1" t="s">
        <v>113</v>
      </c>
      <c r="J1260" s="1" t="s">
        <v>5512</v>
      </c>
      <c r="K1260" s="1" t="s">
        <v>5529</v>
      </c>
      <c r="L1260" s="1">
        <v>3184.0</v>
      </c>
      <c r="M1260" s="1">
        <v>3289.0</v>
      </c>
      <c r="N1260" s="1">
        <v>409.0</v>
      </c>
      <c r="O1260" s="1">
        <v>1306.0</v>
      </c>
      <c r="P1260" s="1">
        <v>1224.0</v>
      </c>
      <c r="Q1260" s="1">
        <v>72.0</v>
      </c>
      <c r="R1260" s="1">
        <v>1226.0</v>
      </c>
      <c r="S1260" s="1">
        <v>653.0</v>
      </c>
      <c r="T1260" s="1">
        <v>519.0</v>
      </c>
      <c r="U1260" s="1">
        <v>37.0</v>
      </c>
      <c r="V1260" s="1">
        <v>472.0</v>
      </c>
      <c r="W1260" s="1">
        <v>23108.0</v>
      </c>
      <c r="X1260" s="1">
        <v>4042.0</v>
      </c>
      <c r="Y1260" s="1">
        <v>144.0</v>
      </c>
      <c r="Z1260" s="1">
        <v>286.0</v>
      </c>
      <c r="AA1260" s="1">
        <v>458.0</v>
      </c>
      <c r="AB1260" s="1">
        <v>796.0</v>
      </c>
      <c r="AC1260" s="1">
        <v>83.0</v>
      </c>
      <c r="AD1260" s="1">
        <v>130.0</v>
      </c>
      <c r="AE1260" s="1">
        <v>0.0</v>
      </c>
      <c r="AF1260" s="1">
        <v>456.0</v>
      </c>
      <c r="AG1260" s="1">
        <v>0.0</v>
      </c>
      <c r="AH1260" s="1">
        <v>197.0</v>
      </c>
      <c r="AI1260" s="1">
        <v>157.0</v>
      </c>
      <c r="AJ1260" s="1">
        <v>82.0</v>
      </c>
      <c r="AK1260" s="1">
        <v>44.0</v>
      </c>
      <c r="AL1260" s="1">
        <v>124.0</v>
      </c>
      <c r="AM1260" s="1">
        <v>3.0</v>
      </c>
      <c r="AN1260" s="1">
        <v>114.0</v>
      </c>
      <c r="AO1260" s="1">
        <v>11.0</v>
      </c>
      <c r="AP1260" s="1">
        <v>0.200061</v>
      </c>
      <c r="AQ1260" s="1">
        <v>0.156999</v>
      </c>
      <c r="AR1260" s="1">
        <v>0.022533</v>
      </c>
      <c r="AS1260" s="1">
        <v>0.28742</v>
      </c>
      <c r="AT1260" s="1">
        <v>23108.0</v>
      </c>
      <c r="AU1260" s="1">
        <v>4042.0</v>
      </c>
      <c r="AV1260" s="1">
        <v>0.066759</v>
      </c>
      <c r="AW1260" s="1">
        <v>0.132496</v>
      </c>
      <c r="AX1260" s="1">
        <v>0.143844</v>
      </c>
      <c r="AY1260" s="1">
        <v>0.25</v>
      </c>
      <c r="AZ1260" s="1">
        <v>0.06769983</v>
      </c>
      <c r="BA1260" s="1">
        <v>0.040829</v>
      </c>
      <c r="BB1260" s="1">
        <v>0.0</v>
      </c>
      <c r="BC1260" s="1">
        <v>0.148727</v>
      </c>
      <c r="BD1260" s="1">
        <v>0.0</v>
      </c>
      <c r="BE1260" s="1">
        <v>0.160947</v>
      </c>
      <c r="BF1260" s="1">
        <v>0.128267</v>
      </c>
      <c r="BG1260" s="1">
        <v>0.066567</v>
      </c>
      <c r="BH1260" s="1">
        <v>0.036273</v>
      </c>
      <c r="BI1260" s="1">
        <v>0.102199</v>
      </c>
      <c r="BJ1260" s="1">
        <v>0.002473</v>
      </c>
      <c r="BK1260" s="1">
        <v>0.093981</v>
      </c>
      <c r="BL1260" s="1">
        <v>0.003454</v>
      </c>
      <c r="BM1260" s="1">
        <v>0.733</v>
      </c>
      <c r="BN1260" s="1">
        <v>0.041</v>
      </c>
      <c r="BO1260" s="1">
        <v>0.4412</v>
      </c>
      <c r="BP1260" s="1">
        <v>0.188</v>
      </c>
      <c r="BQ1260" s="1">
        <v>1.4032</v>
      </c>
      <c r="BR1260" s="1">
        <v>0.3112</v>
      </c>
      <c r="BS1260" s="1">
        <v>0.532</v>
      </c>
      <c r="BT1260" s="1">
        <v>0.594</v>
      </c>
      <c r="BU1260" s="1">
        <v>0.195</v>
      </c>
      <c r="BV1260" s="1">
        <v>1.321</v>
      </c>
      <c r="BW1260" s="1">
        <v>0.319</v>
      </c>
      <c r="BX1260" s="1">
        <v>0.169</v>
      </c>
      <c r="BY1260" s="1">
        <v>0.0</v>
      </c>
      <c r="BZ1260" s="1">
        <v>0.169</v>
      </c>
      <c r="CA1260" s="1">
        <v>0.079</v>
      </c>
      <c r="CB1260" s="1">
        <v>0.0</v>
      </c>
      <c r="CC1260" s="1">
        <v>0.774</v>
      </c>
      <c r="CD1260" s="1">
        <v>0.867</v>
      </c>
      <c r="CE1260" s="1">
        <v>0.035</v>
      </c>
      <c r="CF1260" s="1">
        <v>0.485</v>
      </c>
      <c r="CG1260" s="1">
        <v>2.161</v>
      </c>
      <c r="CH1260" s="1">
        <v>0.402</v>
      </c>
      <c r="CI1260" s="1">
        <v>5.0542</v>
      </c>
      <c r="CJ1260" s="1">
        <v>0.2116</v>
      </c>
      <c r="CK1260" s="1">
        <v>0.0</v>
      </c>
      <c r="CL1260" s="1">
        <v>0.0</v>
      </c>
      <c r="CM1260" s="1">
        <v>0.0</v>
      </c>
      <c r="CN1260" s="1">
        <v>0.0</v>
      </c>
      <c r="CO1260" s="1">
        <v>0.0</v>
      </c>
      <c r="CP1260" s="1">
        <v>0.0</v>
      </c>
      <c r="CQ1260" s="1">
        <v>0.0</v>
      </c>
      <c r="CR1260" s="1">
        <v>0.0</v>
      </c>
      <c r="CS1260" s="1">
        <v>0.0</v>
      </c>
      <c r="CT1260" s="1">
        <v>0.0</v>
      </c>
      <c r="CU1260" s="1">
        <v>0.0</v>
      </c>
      <c r="CV1260" s="1">
        <v>0.0</v>
      </c>
      <c r="CW1260" s="1">
        <v>0.0</v>
      </c>
      <c r="CX1260" s="1">
        <v>0.0</v>
      </c>
      <c r="CY1260" s="1">
        <v>0.0</v>
      </c>
      <c r="CZ1260" s="1">
        <v>0.0</v>
      </c>
      <c r="DA1260" s="1">
        <v>0.0</v>
      </c>
      <c r="DB1260" s="1">
        <v>0.0</v>
      </c>
      <c r="DC1260" s="1">
        <v>0.0</v>
      </c>
      <c r="DD1260" s="1" t="s">
        <v>5530</v>
      </c>
      <c r="DE1260" s="1">
        <v>0.0367540747337475</v>
      </c>
      <c r="DF1260" s="2" t="s">
        <v>5531</v>
      </c>
    </row>
    <row r="1261" ht="15.75" customHeight="1">
      <c r="A1261" s="1" t="s">
        <v>5532</v>
      </c>
      <c r="B1261" s="1">
        <v>29.0</v>
      </c>
      <c r="C1261" s="1">
        <v>217.0</v>
      </c>
      <c r="D1261" s="1">
        <v>950600.0</v>
      </c>
      <c r="E1261" s="1">
        <v>190.678</v>
      </c>
      <c r="F1261" s="1">
        <v>29217.0</v>
      </c>
      <c r="G1261" s="1">
        <v>2.92179506E10</v>
      </c>
      <c r="H1261" s="1" t="s">
        <v>112</v>
      </c>
      <c r="I1261" s="1" t="s">
        <v>113</v>
      </c>
      <c r="J1261" s="1" t="s">
        <v>5512</v>
      </c>
      <c r="K1261" s="1" t="s">
        <v>5533</v>
      </c>
      <c r="L1261" s="1">
        <v>3092.0</v>
      </c>
      <c r="M1261" s="1">
        <v>3230.0</v>
      </c>
      <c r="N1261" s="1">
        <v>307.0</v>
      </c>
      <c r="O1261" s="1">
        <v>1361.0</v>
      </c>
      <c r="P1261" s="1">
        <v>1469.0</v>
      </c>
      <c r="Q1261" s="1">
        <v>104.0</v>
      </c>
      <c r="R1261" s="1">
        <v>1180.0</v>
      </c>
      <c r="S1261" s="1">
        <v>492.0</v>
      </c>
      <c r="T1261" s="1">
        <v>148.0</v>
      </c>
      <c r="U1261" s="1">
        <v>111.0</v>
      </c>
      <c r="V1261" s="1">
        <v>326.0</v>
      </c>
      <c r="W1261" s="1">
        <v>19765.0</v>
      </c>
      <c r="X1261" s="1">
        <v>2031.0</v>
      </c>
      <c r="Y1261" s="1">
        <v>379.0</v>
      </c>
      <c r="Z1261" s="1">
        <v>272.0</v>
      </c>
      <c r="AA1261" s="1">
        <v>478.0</v>
      </c>
      <c r="AB1261" s="1">
        <v>829.0</v>
      </c>
      <c r="AC1261" s="1">
        <v>109.0</v>
      </c>
      <c r="AD1261" s="1">
        <v>158.0</v>
      </c>
      <c r="AE1261" s="1">
        <v>9.0</v>
      </c>
      <c r="AF1261" s="1">
        <v>427.0</v>
      </c>
      <c r="AG1261" s="1">
        <v>5.0</v>
      </c>
      <c r="AH1261" s="1">
        <v>161.0</v>
      </c>
      <c r="AI1261" s="1">
        <v>256.0</v>
      </c>
      <c r="AJ1261" s="1">
        <v>72.0</v>
      </c>
      <c r="AK1261" s="1">
        <v>14.0</v>
      </c>
      <c r="AL1261" s="1">
        <v>114.0</v>
      </c>
      <c r="AM1261" s="1">
        <v>35.0</v>
      </c>
      <c r="AN1261" s="1">
        <v>25.0</v>
      </c>
      <c r="AO1261" s="1">
        <v>0.0</v>
      </c>
      <c r="AP1261" s="1">
        <v>0.152321</v>
      </c>
      <c r="AQ1261" s="1">
        <v>0.043473</v>
      </c>
      <c r="AR1261" s="1">
        <v>0.073218</v>
      </c>
      <c r="AS1261" s="1">
        <v>0.214795</v>
      </c>
      <c r="AT1261" s="1">
        <v>19765.0</v>
      </c>
      <c r="AU1261" s="1">
        <v>2031.0</v>
      </c>
      <c r="AV1261" s="1">
        <v>0.174413</v>
      </c>
      <c r="AW1261" s="1">
        <v>0.1242</v>
      </c>
      <c r="AX1261" s="1">
        <v>0.154592</v>
      </c>
      <c r="AY1261" s="1">
        <v>0.268111</v>
      </c>
      <c r="AZ1261" s="1">
        <v>0.09237288</v>
      </c>
      <c r="BA1261" s="1">
        <v>0.051099</v>
      </c>
      <c r="BB1261" s="1">
        <v>0.003068</v>
      </c>
      <c r="BC1261" s="1">
        <v>0.145584</v>
      </c>
      <c r="BD1261" s="1">
        <v>0.003403</v>
      </c>
      <c r="BE1261" s="1">
        <v>0.109598</v>
      </c>
      <c r="BF1261" s="1">
        <v>0.174268</v>
      </c>
      <c r="BG1261" s="1">
        <v>0.047434</v>
      </c>
      <c r="BH1261" s="1">
        <v>0.011173</v>
      </c>
      <c r="BI1261" s="1">
        <v>0.090975</v>
      </c>
      <c r="BJ1261" s="1">
        <v>0.027932</v>
      </c>
      <c r="BK1261" s="1">
        <v>0.01978</v>
      </c>
      <c r="BL1261" s="1">
        <v>0.0</v>
      </c>
      <c r="BM1261" s="1">
        <v>0.586</v>
      </c>
      <c r="BN1261" s="1">
        <v>0.539</v>
      </c>
      <c r="BO1261" s="1">
        <v>0.6296</v>
      </c>
      <c r="BP1261" s="1">
        <v>0.666</v>
      </c>
      <c r="BQ1261" s="1">
        <v>2.4206</v>
      </c>
      <c r="BR1261" s="1">
        <v>0.6383</v>
      </c>
      <c r="BS1261" s="1">
        <v>0.615</v>
      </c>
      <c r="BT1261" s="1">
        <v>0.778</v>
      </c>
      <c r="BU1261" s="1">
        <v>0.423</v>
      </c>
      <c r="BV1261" s="1">
        <v>1.816</v>
      </c>
      <c r="BW1261" s="1">
        <v>0.732</v>
      </c>
      <c r="BX1261" s="1">
        <v>0.254</v>
      </c>
      <c r="BY1261" s="1">
        <v>0.455</v>
      </c>
      <c r="BZ1261" s="1">
        <v>0.709</v>
      </c>
      <c r="CA1261" s="1">
        <v>0.341</v>
      </c>
      <c r="CB1261" s="1">
        <v>0.292</v>
      </c>
      <c r="CC1261" s="1">
        <v>0.859</v>
      </c>
      <c r="CD1261" s="1">
        <v>0.502</v>
      </c>
      <c r="CE1261" s="1">
        <v>0.267</v>
      </c>
      <c r="CF1261" s="1">
        <v>0.0</v>
      </c>
      <c r="CG1261" s="1">
        <v>1.92</v>
      </c>
      <c r="CH1261" s="1">
        <v>0.311</v>
      </c>
      <c r="CI1261" s="1">
        <v>6.8656</v>
      </c>
      <c r="CJ1261" s="1">
        <v>0.5235</v>
      </c>
      <c r="CK1261" s="1">
        <v>0.0</v>
      </c>
      <c r="CL1261" s="1">
        <v>0.0</v>
      </c>
      <c r="CM1261" s="1">
        <v>0.0</v>
      </c>
      <c r="CN1261" s="1">
        <v>0.0</v>
      </c>
      <c r="CO1261" s="1">
        <v>0.0</v>
      </c>
      <c r="CP1261" s="1">
        <v>0.0</v>
      </c>
      <c r="CQ1261" s="1">
        <v>0.0</v>
      </c>
      <c r="CR1261" s="1">
        <v>0.0</v>
      </c>
      <c r="CS1261" s="1">
        <v>0.0</v>
      </c>
      <c r="CT1261" s="1">
        <v>0.0</v>
      </c>
      <c r="CU1261" s="1">
        <v>0.0</v>
      </c>
      <c r="CV1261" s="1">
        <v>0.0</v>
      </c>
      <c r="CW1261" s="1">
        <v>0.0</v>
      </c>
      <c r="CX1261" s="1">
        <v>0.0</v>
      </c>
      <c r="CY1261" s="1">
        <v>0.0</v>
      </c>
      <c r="CZ1261" s="1">
        <v>0.0</v>
      </c>
      <c r="DA1261" s="1">
        <v>0.0</v>
      </c>
      <c r="DB1261" s="1">
        <v>0.0</v>
      </c>
      <c r="DC1261" s="1">
        <v>0.0</v>
      </c>
      <c r="DD1261" s="1" t="s">
        <v>5534</v>
      </c>
      <c r="DE1261" s="2" t="s">
        <v>5535</v>
      </c>
      <c r="DF1261" s="2" t="s">
        <v>5536</v>
      </c>
    </row>
    <row r="1262" ht="15.75" customHeight="1">
      <c r="A1262" s="1" t="s">
        <v>5537</v>
      </c>
      <c r="B1262" s="1">
        <v>29.0</v>
      </c>
      <c r="C1262" s="1">
        <v>219.0</v>
      </c>
      <c r="D1262" s="1">
        <v>820103.0</v>
      </c>
      <c r="E1262" s="1">
        <v>38.667</v>
      </c>
      <c r="F1262" s="1">
        <v>29219.0</v>
      </c>
      <c r="G1262" s="1">
        <v>2.9219820103E10</v>
      </c>
      <c r="H1262" s="1" t="s">
        <v>112</v>
      </c>
      <c r="I1262" s="1" t="s">
        <v>113</v>
      </c>
      <c r="J1262" s="1" t="s">
        <v>5538</v>
      </c>
      <c r="K1262" s="1" t="s">
        <v>5539</v>
      </c>
      <c r="L1262" s="1">
        <v>7141.0</v>
      </c>
      <c r="M1262" s="1">
        <v>6451.0</v>
      </c>
      <c r="N1262" s="1">
        <v>469.0</v>
      </c>
      <c r="O1262" s="1">
        <v>2870.0</v>
      </c>
      <c r="P1262" s="1">
        <v>2711.0</v>
      </c>
      <c r="Q1262" s="1">
        <v>187.0</v>
      </c>
      <c r="R1262" s="1">
        <v>2649.0</v>
      </c>
      <c r="S1262" s="1">
        <v>1017.0</v>
      </c>
      <c r="T1262" s="1">
        <v>262.0</v>
      </c>
      <c r="U1262" s="1">
        <v>229.0</v>
      </c>
      <c r="V1262" s="1">
        <v>353.0</v>
      </c>
      <c r="W1262" s="1">
        <v>21767.0</v>
      </c>
      <c r="X1262" s="1">
        <v>1838.0</v>
      </c>
      <c r="Y1262" s="1">
        <v>794.0</v>
      </c>
      <c r="Z1262" s="1">
        <v>282.0</v>
      </c>
      <c r="AA1262" s="1">
        <v>809.0</v>
      </c>
      <c r="AB1262" s="1">
        <v>1896.0</v>
      </c>
      <c r="AC1262" s="1">
        <v>352.0</v>
      </c>
      <c r="AD1262" s="1">
        <v>849.0</v>
      </c>
      <c r="AE1262" s="1">
        <v>66.0</v>
      </c>
      <c r="AF1262" s="1">
        <v>382.0</v>
      </c>
      <c r="AG1262" s="1">
        <v>61.0</v>
      </c>
      <c r="AH1262" s="1">
        <v>118.0</v>
      </c>
      <c r="AI1262" s="1">
        <v>366.0</v>
      </c>
      <c r="AJ1262" s="1">
        <v>135.0</v>
      </c>
      <c r="AK1262" s="1">
        <v>16.0</v>
      </c>
      <c r="AL1262" s="1">
        <v>116.0</v>
      </c>
      <c r="AM1262" s="1">
        <v>165.0</v>
      </c>
      <c r="AN1262" s="1">
        <v>75.0</v>
      </c>
      <c r="AO1262" s="1">
        <v>0.0</v>
      </c>
      <c r="AP1262" s="1">
        <v>0.157649</v>
      </c>
      <c r="AQ1262" s="1">
        <v>0.038963</v>
      </c>
      <c r="AR1262" s="1">
        <v>0.070657</v>
      </c>
      <c r="AS1262" s="1">
        <v>0.108637</v>
      </c>
      <c r="AT1262" s="1">
        <v>21767.0</v>
      </c>
      <c r="AU1262" s="1">
        <v>1838.0</v>
      </c>
      <c r="AV1262" s="1">
        <v>0.187706</v>
      </c>
      <c r="AW1262" s="1">
        <v>0.065175</v>
      </c>
      <c r="AX1262" s="1">
        <v>0.113289</v>
      </c>
      <c r="AY1262" s="1">
        <v>0.265509</v>
      </c>
      <c r="AZ1262" s="1">
        <v>0.13288033</v>
      </c>
      <c r="BA1262" s="1">
        <v>0.11889</v>
      </c>
      <c r="BB1262" s="1">
        <v>0.011274</v>
      </c>
      <c r="BC1262" s="1">
        <v>0.065248</v>
      </c>
      <c r="BD1262" s="1">
        <v>0.0225</v>
      </c>
      <c r="BE1262" s="1">
        <v>0.043498</v>
      </c>
      <c r="BF1262" s="1">
        <v>0.135005</v>
      </c>
      <c r="BG1262" s="1">
        <v>0.048918</v>
      </c>
      <c r="BH1262" s="1">
        <v>0.006264</v>
      </c>
      <c r="BI1262" s="1">
        <v>0.045416</v>
      </c>
      <c r="BJ1262" s="1">
        <v>0.064604</v>
      </c>
      <c r="BK1262" s="1">
        <v>0.028998</v>
      </c>
      <c r="BL1262" s="1">
        <v>0.0</v>
      </c>
      <c r="BM1262" s="1">
        <v>0.603</v>
      </c>
      <c r="BN1262" s="1">
        <v>0.522</v>
      </c>
      <c r="BO1262" s="1">
        <v>0.5076</v>
      </c>
      <c r="BP1262" s="1">
        <v>0.717</v>
      </c>
      <c r="BQ1262" s="1">
        <v>2.3496</v>
      </c>
      <c r="BR1262" s="1">
        <v>0.6137</v>
      </c>
      <c r="BS1262" s="1">
        <v>0.297</v>
      </c>
      <c r="BT1262" s="1">
        <v>0.756</v>
      </c>
      <c r="BU1262" s="1">
        <v>0.729</v>
      </c>
      <c r="BV1262" s="1">
        <v>1.782</v>
      </c>
      <c r="BW1262" s="1">
        <v>0.707</v>
      </c>
      <c r="BX1262" s="1">
        <v>0.533</v>
      </c>
      <c r="BY1262" s="1">
        <v>0.754</v>
      </c>
      <c r="BZ1262" s="1">
        <v>1.287</v>
      </c>
      <c r="CA1262" s="1">
        <v>0.706</v>
      </c>
      <c r="CB1262" s="1">
        <v>0.496</v>
      </c>
      <c r="CC1262" s="1">
        <v>0.786</v>
      </c>
      <c r="CD1262" s="1">
        <v>0.368</v>
      </c>
      <c r="CE1262" s="1">
        <v>0.596</v>
      </c>
      <c r="CF1262" s="1">
        <v>0.0</v>
      </c>
      <c r="CG1262" s="1">
        <v>2.246</v>
      </c>
      <c r="CH1262" s="1">
        <v>0.435</v>
      </c>
      <c r="CI1262" s="1">
        <v>7.6646</v>
      </c>
      <c r="CJ1262" s="1">
        <v>0.6628</v>
      </c>
      <c r="CK1262" s="1">
        <v>0.0</v>
      </c>
      <c r="CL1262" s="1">
        <v>0.0</v>
      </c>
      <c r="CM1262" s="1">
        <v>0.0</v>
      </c>
      <c r="CN1262" s="1">
        <v>0.0</v>
      </c>
      <c r="CO1262" s="1">
        <v>0.0</v>
      </c>
      <c r="CP1262" s="1">
        <v>0.0</v>
      </c>
      <c r="CQ1262" s="1">
        <v>0.0</v>
      </c>
      <c r="CR1262" s="1">
        <v>0.0</v>
      </c>
      <c r="CS1262" s="1">
        <v>0.0</v>
      </c>
      <c r="CT1262" s="1">
        <v>0.0</v>
      </c>
      <c r="CU1262" s="1">
        <v>0.0</v>
      </c>
      <c r="CV1262" s="1">
        <v>0.0</v>
      </c>
      <c r="CW1262" s="1">
        <v>0.0</v>
      </c>
      <c r="CX1262" s="1">
        <v>0.0</v>
      </c>
      <c r="CY1262" s="1">
        <v>0.0</v>
      </c>
      <c r="CZ1262" s="1">
        <v>0.0</v>
      </c>
      <c r="DA1262" s="1">
        <v>0.0</v>
      </c>
      <c r="DB1262" s="1">
        <v>0.0</v>
      </c>
      <c r="DC1262" s="1">
        <v>0.0</v>
      </c>
      <c r="DD1262" s="1" t="s">
        <v>5540</v>
      </c>
      <c r="DE1262" s="2" t="s">
        <v>5541</v>
      </c>
      <c r="DF1262" s="2" t="s">
        <v>5542</v>
      </c>
    </row>
    <row r="1263" ht="15.75" customHeight="1">
      <c r="A1263" s="1" t="s">
        <v>5543</v>
      </c>
      <c r="B1263" s="1">
        <v>29.0</v>
      </c>
      <c r="C1263" s="1">
        <v>219.0</v>
      </c>
      <c r="D1263" s="1">
        <v>820101.0</v>
      </c>
      <c r="E1263" s="1">
        <v>104.488</v>
      </c>
      <c r="F1263" s="1">
        <v>29219.0</v>
      </c>
      <c r="G1263" s="1">
        <v>2.9219820101E10</v>
      </c>
      <c r="H1263" s="1" t="s">
        <v>112</v>
      </c>
      <c r="I1263" s="1" t="s">
        <v>113</v>
      </c>
      <c r="J1263" s="1" t="s">
        <v>5538</v>
      </c>
      <c r="K1263" s="1" t="s">
        <v>5544</v>
      </c>
      <c r="L1263" s="1">
        <v>7236.0</v>
      </c>
      <c r="M1263" s="1">
        <v>7035.0</v>
      </c>
      <c r="N1263" s="1">
        <v>514.0</v>
      </c>
      <c r="O1263" s="1">
        <v>2986.0</v>
      </c>
      <c r="P1263" s="1">
        <v>2964.0</v>
      </c>
      <c r="Q1263" s="1">
        <v>155.0</v>
      </c>
      <c r="R1263" s="1">
        <v>2686.0</v>
      </c>
      <c r="S1263" s="1">
        <v>909.0</v>
      </c>
      <c r="T1263" s="1">
        <v>300.0</v>
      </c>
      <c r="U1263" s="1">
        <v>467.0</v>
      </c>
      <c r="V1263" s="1">
        <v>344.0</v>
      </c>
      <c r="W1263" s="1">
        <v>22617.0</v>
      </c>
      <c r="X1263" s="1">
        <v>1929.0</v>
      </c>
      <c r="Y1263" s="1">
        <v>698.0</v>
      </c>
      <c r="Z1263" s="1">
        <v>242.0</v>
      </c>
      <c r="AA1263" s="1">
        <v>929.0</v>
      </c>
      <c r="AB1263" s="1">
        <v>1899.0</v>
      </c>
      <c r="AC1263" s="1">
        <v>323.0</v>
      </c>
      <c r="AD1263" s="1">
        <v>504.0</v>
      </c>
      <c r="AE1263" s="1">
        <v>58.0</v>
      </c>
      <c r="AF1263" s="1">
        <v>414.0</v>
      </c>
      <c r="AG1263" s="1">
        <v>18.0</v>
      </c>
      <c r="AH1263" s="1">
        <v>116.0</v>
      </c>
      <c r="AI1263" s="1">
        <v>706.0</v>
      </c>
      <c r="AJ1263" s="1">
        <v>147.0</v>
      </c>
      <c r="AK1263" s="1">
        <v>49.0</v>
      </c>
      <c r="AL1263" s="1">
        <v>121.0</v>
      </c>
      <c r="AM1263" s="1">
        <v>133.0</v>
      </c>
      <c r="AN1263" s="1">
        <v>84.0</v>
      </c>
      <c r="AO1263" s="1">
        <v>75.0</v>
      </c>
      <c r="AP1263" s="1">
        <v>0.132352</v>
      </c>
      <c r="AQ1263" s="1">
        <v>0.04263</v>
      </c>
      <c r="AR1263" s="1">
        <v>0.134854</v>
      </c>
      <c r="AS1263" s="1">
        <v>0.098374</v>
      </c>
      <c r="AT1263" s="1">
        <v>22617.0</v>
      </c>
      <c r="AU1263" s="1">
        <v>1929.0</v>
      </c>
      <c r="AV1263" s="1">
        <v>0.151049</v>
      </c>
      <c r="AW1263" s="1">
        <v>0.05106</v>
      </c>
      <c r="AX1263" s="1">
        <v>0.128385</v>
      </c>
      <c r="AY1263" s="1">
        <v>0.262437</v>
      </c>
      <c r="AZ1263" s="1">
        <v>0.12025316</v>
      </c>
      <c r="BA1263" s="1">
        <v>0.069651</v>
      </c>
      <c r="BB1263" s="1">
        <v>0.008989</v>
      </c>
      <c r="BC1263" s="1">
        <v>0.064162</v>
      </c>
      <c r="BD1263" s="1">
        <v>0.006072</v>
      </c>
      <c r="BE1263" s="1">
        <v>0.039135</v>
      </c>
      <c r="BF1263" s="1">
        <v>0.238191</v>
      </c>
      <c r="BG1263" s="1">
        <v>0.048005</v>
      </c>
      <c r="BH1263" s="1">
        <v>0.019014</v>
      </c>
      <c r="BI1263" s="1">
        <v>0.046926</v>
      </c>
      <c r="BJ1263" s="1">
        <v>0.05161</v>
      </c>
      <c r="BK1263" s="1">
        <v>0.032299</v>
      </c>
      <c r="BL1263" s="1">
        <v>0.010364</v>
      </c>
      <c r="BM1263" s="1">
        <v>0.509</v>
      </c>
      <c r="BN1263" s="1">
        <v>0.868</v>
      </c>
      <c r="BO1263" s="1">
        <v>0.4635</v>
      </c>
      <c r="BP1263" s="1">
        <v>0.572</v>
      </c>
      <c r="BQ1263" s="1">
        <v>2.4125</v>
      </c>
      <c r="BR1263" s="1">
        <v>0.6368</v>
      </c>
      <c r="BS1263" s="1">
        <v>0.403</v>
      </c>
      <c r="BT1263" s="1">
        <v>0.727</v>
      </c>
      <c r="BU1263" s="1">
        <v>0.673</v>
      </c>
      <c r="BV1263" s="1">
        <v>1.803</v>
      </c>
      <c r="BW1263" s="1">
        <v>0.723</v>
      </c>
      <c r="BX1263" s="1">
        <v>0.361</v>
      </c>
      <c r="BY1263" s="1">
        <v>0.696</v>
      </c>
      <c r="BZ1263" s="1">
        <v>1.057</v>
      </c>
      <c r="CA1263" s="1">
        <v>0.588</v>
      </c>
      <c r="CB1263" s="1">
        <v>0.338</v>
      </c>
      <c r="CC1263" s="1">
        <v>0.938</v>
      </c>
      <c r="CD1263" s="1">
        <v>0.664</v>
      </c>
      <c r="CE1263" s="1">
        <v>0.497</v>
      </c>
      <c r="CF1263" s="1">
        <v>0.585</v>
      </c>
      <c r="CG1263" s="1">
        <v>3.022</v>
      </c>
      <c r="CH1263" s="1">
        <v>0.784</v>
      </c>
      <c r="CI1263" s="1">
        <v>8.2945</v>
      </c>
      <c r="CJ1263" s="1">
        <v>0.7603</v>
      </c>
      <c r="CK1263" s="1">
        <v>0.0</v>
      </c>
      <c r="CL1263" s="1">
        <v>0.0</v>
      </c>
      <c r="CM1263" s="1">
        <v>0.0</v>
      </c>
      <c r="CN1263" s="1">
        <v>0.0</v>
      </c>
      <c r="CO1263" s="1">
        <v>0.0</v>
      </c>
      <c r="CP1263" s="1">
        <v>0.0</v>
      </c>
      <c r="CQ1263" s="1">
        <v>0.0</v>
      </c>
      <c r="CR1263" s="1">
        <v>0.0</v>
      </c>
      <c r="CS1263" s="1">
        <v>0.0</v>
      </c>
      <c r="CT1263" s="1">
        <v>0.0</v>
      </c>
      <c r="CU1263" s="1">
        <v>0.0</v>
      </c>
      <c r="CV1263" s="1">
        <v>0.0</v>
      </c>
      <c r="CW1263" s="1">
        <v>0.0</v>
      </c>
      <c r="CX1263" s="1">
        <v>1.0</v>
      </c>
      <c r="CY1263" s="1">
        <v>0.0</v>
      </c>
      <c r="CZ1263" s="1">
        <v>0.0</v>
      </c>
      <c r="DA1263" s="1">
        <v>0.0</v>
      </c>
      <c r="DB1263" s="1">
        <v>1.0</v>
      </c>
      <c r="DC1263" s="1">
        <v>1.0</v>
      </c>
      <c r="DD1263" s="1" t="s">
        <v>5545</v>
      </c>
      <c r="DE1263" s="2" t="s">
        <v>5546</v>
      </c>
      <c r="DF1263" s="2" t="s">
        <v>5547</v>
      </c>
    </row>
    <row r="1264" ht="15.75" customHeight="1">
      <c r="A1264" s="1" t="s">
        <v>5548</v>
      </c>
      <c r="B1264" s="1">
        <v>29.0</v>
      </c>
      <c r="C1264" s="1">
        <v>219.0</v>
      </c>
      <c r="D1264" s="1">
        <v>820102.0</v>
      </c>
      <c r="E1264" s="1">
        <v>27.769</v>
      </c>
      <c r="F1264" s="1">
        <v>29219.0</v>
      </c>
      <c r="G1264" s="1">
        <v>2.9219820102E10</v>
      </c>
      <c r="H1264" s="1" t="s">
        <v>112</v>
      </c>
      <c r="I1264" s="1" t="s">
        <v>113</v>
      </c>
      <c r="J1264" s="1" t="s">
        <v>5538</v>
      </c>
      <c r="K1264" s="1" t="s">
        <v>5549</v>
      </c>
      <c r="L1264" s="1">
        <v>8412.0</v>
      </c>
      <c r="M1264" s="1">
        <v>8376.0</v>
      </c>
      <c r="N1264" s="1">
        <v>573.0</v>
      </c>
      <c r="O1264" s="1">
        <v>3626.0</v>
      </c>
      <c r="P1264" s="1">
        <v>3576.0</v>
      </c>
      <c r="Q1264" s="1">
        <v>202.0</v>
      </c>
      <c r="R1264" s="1">
        <v>3253.0</v>
      </c>
      <c r="S1264" s="1">
        <v>1186.0</v>
      </c>
      <c r="T1264" s="1">
        <v>426.0</v>
      </c>
      <c r="U1264" s="1">
        <v>382.0</v>
      </c>
      <c r="V1264" s="1">
        <v>315.0</v>
      </c>
      <c r="W1264" s="1">
        <v>23074.0</v>
      </c>
      <c r="X1264" s="1">
        <v>2449.0</v>
      </c>
      <c r="Y1264" s="1">
        <v>1055.0</v>
      </c>
      <c r="Z1264" s="1">
        <v>209.0</v>
      </c>
      <c r="AA1264" s="1">
        <v>1402.0</v>
      </c>
      <c r="AB1264" s="1">
        <v>2174.0</v>
      </c>
      <c r="AC1264" s="1">
        <v>403.0</v>
      </c>
      <c r="AD1264" s="1">
        <v>659.0</v>
      </c>
      <c r="AE1264" s="1">
        <v>65.0</v>
      </c>
      <c r="AF1264" s="1">
        <v>415.0</v>
      </c>
      <c r="AG1264" s="1">
        <v>27.0</v>
      </c>
      <c r="AH1264" s="1">
        <v>117.0</v>
      </c>
      <c r="AI1264" s="1">
        <v>524.0</v>
      </c>
      <c r="AJ1264" s="1">
        <v>137.0</v>
      </c>
      <c r="AK1264" s="1">
        <v>57.0</v>
      </c>
      <c r="AL1264" s="1">
        <v>123.0</v>
      </c>
      <c r="AM1264" s="1">
        <v>202.0</v>
      </c>
      <c r="AN1264" s="1">
        <v>101.0</v>
      </c>
      <c r="AO1264" s="1">
        <v>163.0</v>
      </c>
      <c r="AP1264" s="1">
        <v>0.147237</v>
      </c>
      <c r="AQ1264" s="1">
        <v>0.0519</v>
      </c>
      <c r="AR1264" s="1">
        <v>0.097201</v>
      </c>
      <c r="AS1264" s="1">
        <v>0.079536</v>
      </c>
      <c r="AT1264" s="1">
        <v>23074.0</v>
      </c>
      <c r="AU1264" s="1">
        <v>2449.0</v>
      </c>
      <c r="AV1264" s="1">
        <v>0.19429</v>
      </c>
      <c r="AW1264" s="1">
        <v>0.036193</v>
      </c>
      <c r="AX1264" s="1">
        <v>0.166666</v>
      </c>
      <c r="AY1264" s="1">
        <v>0.25844</v>
      </c>
      <c r="AZ1264" s="1">
        <v>0.12388564</v>
      </c>
      <c r="BA1264" s="1">
        <v>0.07834</v>
      </c>
      <c r="BB1264" s="1">
        <v>0.008137</v>
      </c>
      <c r="BC1264" s="1">
        <v>0.051949</v>
      </c>
      <c r="BD1264" s="1">
        <v>0.00755</v>
      </c>
      <c r="BE1264" s="1">
        <v>0.032715</v>
      </c>
      <c r="BF1264" s="1">
        <v>0.146532</v>
      </c>
      <c r="BG1264" s="1">
        <v>0.037406</v>
      </c>
      <c r="BH1264" s="1">
        <v>0.017372</v>
      </c>
      <c r="BI1264" s="1">
        <v>0.037474</v>
      </c>
      <c r="BJ1264" s="1">
        <v>0.061566</v>
      </c>
      <c r="BK1264" s="1">
        <v>0.030565</v>
      </c>
      <c r="BL1264" s="1">
        <v>0.019377</v>
      </c>
      <c r="BM1264" s="1">
        <v>0.571</v>
      </c>
      <c r="BN1264" s="1">
        <v>0.716</v>
      </c>
      <c r="BO1264" s="1">
        <v>0.444</v>
      </c>
      <c r="BP1264" s="1">
        <v>0.737</v>
      </c>
      <c r="BQ1264" s="1">
        <v>2.468</v>
      </c>
      <c r="BR1264" s="1">
        <v>0.6556</v>
      </c>
      <c r="BS1264" s="1">
        <v>0.711</v>
      </c>
      <c r="BT1264" s="1">
        <v>0.69</v>
      </c>
      <c r="BU1264" s="1">
        <v>0.692</v>
      </c>
      <c r="BV1264" s="1">
        <v>2.093</v>
      </c>
      <c r="BW1264" s="1">
        <v>0.913</v>
      </c>
      <c r="BX1264" s="1">
        <v>0.392</v>
      </c>
      <c r="BY1264" s="1">
        <v>0.672</v>
      </c>
      <c r="BZ1264" s="1">
        <v>1.064</v>
      </c>
      <c r="CA1264" s="1">
        <v>0.592</v>
      </c>
      <c r="CB1264" s="1">
        <v>0.358</v>
      </c>
      <c r="CC1264" s="1">
        <v>0.808</v>
      </c>
      <c r="CD1264" s="1">
        <v>0.635</v>
      </c>
      <c r="CE1264" s="1">
        <v>0.574</v>
      </c>
      <c r="CF1264" s="1">
        <v>0.701</v>
      </c>
      <c r="CG1264" s="1">
        <v>3.076</v>
      </c>
      <c r="CH1264" s="1">
        <v>0.806</v>
      </c>
      <c r="CI1264" s="1">
        <v>8.701</v>
      </c>
      <c r="CJ1264" s="1">
        <v>0.813</v>
      </c>
      <c r="CK1264" s="1">
        <v>0.0</v>
      </c>
      <c r="CL1264" s="1">
        <v>0.0</v>
      </c>
      <c r="CM1264" s="1">
        <v>0.0</v>
      </c>
      <c r="CN1264" s="1">
        <v>0.0</v>
      </c>
      <c r="CO1264" s="1">
        <v>0.0</v>
      </c>
      <c r="CP1264" s="1">
        <v>0.0</v>
      </c>
      <c r="CQ1264" s="1">
        <v>0.0</v>
      </c>
      <c r="CR1264" s="1">
        <v>0.0</v>
      </c>
      <c r="CS1264" s="1">
        <v>0.0</v>
      </c>
      <c r="CT1264" s="1">
        <v>0.0</v>
      </c>
      <c r="CU1264" s="1">
        <v>0.0</v>
      </c>
      <c r="CV1264" s="1">
        <v>0.0</v>
      </c>
      <c r="CW1264" s="1">
        <v>0.0</v>
      </c>
      <c r="CX1264" s="1">
        <v>0.0</v>
      </c>
      <c r="CY1264" s="1">
        <v>0.0</v>
      </c>
      <c r="CZ1264" s="1">
        <v>0.0</v>
      </c>
      <c r="DA1264" s="1">
        <v>0.0</v>
      </c>
      <c r="DB1264" s="1">
        <v>0.0</v>
      </c>
      <c r="DC1264" s="1">
        <v>0.0</v>
      </c>
      <c r="DD1264" s="1" t="s">
        <v>5550</v>
      </c>
      <c r="DE1264" s="1">
        <v>0.00766855138819062</v>
      </c>
      <c r="DF1264" s="2" t="s">
        <v>5551</v>
      </c>
    </row>
    <row r="1265" ht="15.75" customHeight="1">
      <c r="A1265" s="1" t="s">
        <v>5552</v>
      </c>
      <c r="B1265" s="1">
        <v>29.0</v>
      </c>
      <c r="C1265" s="1">
        <v>219.0</v>
      </c>
      <c r="D1265" s="1">
        <v>820201.0</v>
      </c>
      <c r="E1265" s="1">
        <v>35.973</v>
      </c>
      <c r="F1265" s="1">
        <v>29219.0</v>
      </c>
      <c r="G1265" s="1">
        <v>2.9219820201E10</v>
      </c>
      <c r="H1265" s="1" t="s">
        <v>112</v>
      </c>
      <c r="I1265" s="1" t="s">
        <v>113</v>
      </c>
      <c r="J1265" s="1" t="s">
        <v>5538</v>
      </c>
      <c r="K1265" s="1" t="s">
        <v>5553</v>
      </c>
      <c r="L1265" s="1">
        <v>2216.0</v>
      </c>
      <c r="M1265" s="1">
        <v>2264.0</v>
      </c>
      <c r="N1265" s="1">
        <v>267.0</v>
      </c>
      <c r="O1265" s="1">
        <v>1914.0</v>
      </c>
      <c r="P1265" s="1">
        <v>2022.0</v>
      </c>
      <c r="Q1265" s="1">
        <v>89.0</v>
      </c>
      <c r="R1265" s="1">
        <v>921.0</v>
      </c>
      <c r="S1265" s="1">
        <v>231.0</v>
      </c>
      <c r="T1265" s="1">
        <v>254.0</v>
      </c>
      <c r="U1265" s="1">
        <v>40.0</v>
      </c>
      <c r="V1265" s="1">
        <v>471.0</v>
      </c>
      <c r="W1265" s="1">
        <v>38322.0</v>
      </c>
      <c r="X1265" s="1">
        <v>10215.0</v>
      </c>
      <c r="Y1265" s="1">
        <v>230.0</v>
      </c>
      <c r="Z1265" s="1">
        <v>315.0</v>
      </c>
      <c r="AA1265" s="1">
        <v>521.0</v>
      </c>
      <c r="AB1265" s="1">
        <v>380.0</v>
      </c>
      <c r="AC1265" s="1">
        <v>49.0</v>
      </c>
      <c r="AD1265" s="1">
        <v>93.0</v>
      </c>
      <c r="AE1265" s="1">
        <v>0.0</v>
      </c>
      <c r="AF1265" s="1">
        <v>456.0</v>
      </c>
      <c r="AG1265" s="1">
        <v>0.0</v>
      </c>
      <c r="AH1265" s="1">
        <v>197.0</v>
      </c>
      <c r="AI1265" s="1">
        <v>178.0</v>
      </c>
      <c r="AJ1265" s="1">
        <v>74.0</v>
      </c>
      <c r="AK1265" s="1">
        <v>9.0</v>
      </c>
      <c r="AL1265" s="1">
        <v>115.0</v>
      </c>
      <c r="AM1265" s="1">
        <v>44.0</v>
      </c>
      <c r="AN1265" s="1">
        <v>122.0</v>
      </c>
      <c r="AO1265" s="1">
        <v>0.0</v>
      </c>
      <c r="AP1265" s="1">
        <v>0.102031</v>
      </c>
      <c r="AQ1265" s="1">
        <v>0.111543</v>
      </c>
      <c r="AR1265" s="1">
        <v>0.045924</v>
      </c>
      <c r="AS1265" s="1">
        <v>0.540649</v>
      </c>
      <c r="AT1265" s="1">
        <v>38322.0</v>
      </c>
      <c r="AU1265" s="1">
        <v>10215.0</v>
      </c>
      <c r="AV1265" s="1">
        <v>0.141712</v>
      </c>
      <c r="AW1265" s="1">
        <v>0.193815</v>
      </c>
      <c r="AX1265" s="1">
        <v>0.235108</v>
      </c>
      <c r="AY1265" s="1">
        <v>0.17148</v>
      </c>
      <c r="AZ1265" s="1">
        <v>0.05320304</v>
      </c>
      <c r="BA1265" s="1">
        <v>0.041967</v>
      </c>
      <c r="BB1265" s="1">
        <v>0.0</v>
      </c>
      <c r="BC1265" s="1">
        <v>0.217246</v>
      </c>
      <c r="BD1265" s="1">
        <v>0.0</v>
      </c>
      <c r="BE1265" s="1">
        <v>0.097428</v>
      </c>
      <c r="BF1265" s="1">
        <v>0.088031</v>
      </c>
      <c r="BG1265" s="1">
        <v>0.036391</v>
      </c>
      <c r="BH1265" s="1">
        <v>0.009584</v>
      </c>
      <c r="BI1265" s="1">
        <v>0.122466</v>
      </c>
      <c r="BJ1265" s="1">
        <v>0.046858</v>
      </c>
      <c r="BK1265" s="1">
        <v>0.129831</v>
      </c>
      <c r="BL1265" s="1">
        <v>0.0</v>
      </c>
      <c r="BM1265" s="1">
        <v>0.377</v>
      </c>
      <c r="BN1265" s="1">
        <v>0.25</v>
      </c>
      <c r="BO1265" s="1">
        <v>0.0816</v>
      </c>
      <c r="BP1265" s="1">
        <v>0.531</v>
      </c>
      <c r="BQ1265" s="1">
        <v>1.2396</v>
      </c>
      <c r="BR1265" s="1">
        <v>0.265</v>
      </c>
      <c r="BS1265" s="1">
        <v>0.957</v>
      </c>
      <c r="BT1265" s="1">
        <v>0.106</v>
      </c>
      <c r="BU1265" s="1">
        <v>0.093</v>
      </c>
      <c r="BV1265" s="1">
        <v>1.156</v>
      </c>
      <c r="BW1265" s="1">
        <v>0.202</v>
      </c>
      <c r="BX1265" s="1">
        <v>0.183</v>
      </c>
      <c r="BY1265" s="1">
        <v>0.0</v>
      </c>
      <c r="BZ1265" s="1">
        <v>0.183</v>
      </c>
      <c r="CA1265" s="1">
        <v>0.086</v>
      </c>
      <c r="CB1265" s="1">
        <v>0.0</v>
      </c>
      <c r="CC1265" s="1">
        <v>0.697</v>
      </c>
      <c r="CD1265" s="1">
        <v>0.469</v>
      </c>
      <c r="CE1265" s="1">
        <v>0.461</v>
      </c>
      <c r="CF1265" s="1">
        <v>0.0</v>
      </c>
      <c r="CG1265" s="1">
        <v>1.627</v>
      </c>
      <c r="CH1265" s="1">
        <v>0.21</v>
      </c>
      <c r="CI1265" s="1">
        <v>4.2056</v>
      </c>
      <c r="CJ1265" s="1">
        <v>0.1069</v>
      </c>
      <c r="CK1265" s="1">
        <v>0.0</v>
      </c>
      <c r="CL1265" s="1">
        <v>0.0</v>
      </c>
      <c r="CM1265" s="1">
        <v>0.0</v>
      </c>
      <c r="CN1265" s="1">
        <v>0.0</v>
      </c>
      <c r="CO1265" s="1">
        <v>0.0</v>
      </c>
      <c r="CP1265" s="1">
        <v>1.0</v>
      </c>
      <c r="CQ1265" s="1">
        <v>0.0</v>
      </c>
      <c r="CR1265" s="1">
        <v>0.0</v>
      </c>
      <c r="CS1265" s="1">
        <v>1.0</v>
      </c>
      <c r="CT1265" s="1">
        <v>0.0</v>
      </c>
      <c r="CU1265" s="1">
        <v>0.0</v>
      </c>
      <c r="CV1265" s="1">
        <v>0.0</v>
      </c>
      <c r="CW1265" s="1">
        <v>0.0</v>
      </c>
      <c r="CX1265" s="1">
        <v>0.0</v>
      </c>
      <c r="CY1265" s="1">
        <v>0.0</v>
      </c>
      <c r="CZ1265" s="1">
        <v>0.0</v>
      </c>
      <c r="DA1265" s="1">
        <v>0.0</v>
      </c>
      <c r="DB1265" s="1">
        <v>0.0</v>
      </c>
      <c r="DC1265" s="1">
        <v>1.0</v>
      </c>
      <c r="DD1265" s="1" t="s">
        <v>5554</v>
      </c>
      <c r="DE1265" s="1">
        <v>0.00992457410875418</v>
      </c>
      <c r="DF1265" s="2" t="s">
        <v>5555</v>
      </c>
    </row>
    <row r="1266" ht="15.75" customHeight="1">
      <c r="A1266" s="1" t="s">
        <v>5556</v>
      </c>
      <c r="B1266" s="1">
        <v>29.0</v>
      </c>
      <c r="C1266" s="1">
        <v>219.0</v>
      </c>
      <c r="D1266" s="1">
        <v>820202.0</v>
      </c>
      <c r="E1266" s="1">
        <v>221.704</v>
      </c>
      <c r="F1266" s="1">
        <v>29219.0</v>
      </c>
      <c r="G1266" s="1">
        <v>2.9219820202E10</v>
      </c>
      <c r="H1266" s="1" t="s">
        <v>112</v>
      </c>
      <c r="I1266" s="1" t="s">
        <v>113</v>
      </c>
      <c r="J1266" s="1" t="s">
        <v>5538</v>
      </c>
      <c r="K1266" s="1" t="s">
        <v>5557</v>
      </c>
      <c r="L1266" s="1">
        <v>7508.0</v>
      </c>
      <c r="M1266" s="1">
        <v>7509.0</v>
      </c>
      <c r="N1266" s="1">
        <v>528.0</v>
      </c>
      <c r="O1266" s="1">
        <v>3289.0</v>
      </c>
      <c r="P1266" s="1">
        <v>3052.0</v>
      </c>
      <c r="Q1266" s="1">
        <v>180.0</v>
      </c>
      <c r="R1266" s="1">
        <v>2830.0</v>
      </c>
      <c r="S1266" s="1">
        <v>475.0</v>
      </c>
      <c r="T1266" s="1">
        <v>293.0</v>
      </c>
      <c r="U1266" s="1">
        <v>246.0</v>
      </c>
      <c r="V1266" s="1">
        <v>394.0</v>
      </c>
      <c r="W1266" s="1">
        <v>25437.0</v>
      </c>
      <c r="X1266" s="1">
        <v>2068.0</v>
      </c>
      <c r="Y1266" s="1">
        <v>823.0</v>
      </c>
      <c r="Z1266" s="1">
        <v>232.0</v>
      </c>
      <c r="AA1266" s="1">
        <v>1088.0</v>
      </c>
      <c r="AB1266" s="1">
        <v>1777.0</v>
      </c>
      <c r="AC1266" s="1">
        <v>197.0</v>
      </c>
      <c r="AD1266" s="1">
        <v>207.0</v>
      </c>
      <c r="AE1266" s="1">
        <v>65.0</v>
      </c>
      <c r="AF1266" s="1">
        <v>431.0</v>
      </c>
      <c r="AG1266" s="1">
        <v>15.0</v>
      </c>
      <c r="AH1266" s="1">
        <v>116.0</v>
      </c>
      <c r="AI1266" s="1">
        <v>287.0</v>
      </c>
      <c r="AJ1266" s="1">
        <v>121.0</v>
      </c>
      <c r="AK1266" s="1">
        <v>73.0</v>
      </c>
      <c r="AL1266" s="1">
        <v>137.0</v>
      </c>
      <c r="AM1266" s="1">
        <v>22.0</v>
      </c>
      <c r="AN1266" s="1">
        <v>116.0</v>
      </c>
      <c r="AO1266" s="1">
        <v>79.0</v>
      </c>
      <c r="AP1266" s="1">
        <v>0.063282</v>
      </c>
      <c r="AQ1266" s="1">
        <v>0.038779</v>
      </c>
      <c r="AR1266" s="1">
        <v>0.06298</v>
      </c>
      <c r="AS1266" s="1">
        <v>0.10071</v>
      </c>
      <c r="AT1266" s="1">
        <v>25437.0</v>
      </c>
      <c r="AU1266" s="1">
        <v>2068.0</v>
      </c>
      <c r="AV1266" s="1">
        <v>0.155989</v>
      </c>
      <c r="AW1266" s="1">
        <v>0.042165</v>
      </c>
      <c r="AX1266" s="1">
        <v>0.144912</v>
      </c>
      <c r="AY1266" s="1">
        <v>0.23668</v>
      </c>
      <c r="AZ1266" s="1">
        <v>0.0696113</v>
      </c>
      <c r="BA1266" s="1">
        <v>0.02757</v>
      </c>
      <c r="BB1266" s="1">
        <v>0.00923</v>
      </c>
      <c r="BC1266" s="1">
        <v>0.0612</v>
      </c>
      <c r="BD1266" s="1">
        <v>0.004914</v>
      </c>
      <c r="BE1266" s="1">
        <v>0.038006</v>
      </c>
      <c r="BF1266" s="1">
        <v>0.094036</v>
      </c>
      <c r="BG1266" s="1">
        <v>0.039256</v>
      </c>
      <c r="BH1266" s="1">
        <v>0.026344</v>
      </c>
      <c r="BI1266" s="1">
        <v>0.049405</v>
      </c>
      <c r="BJ1266" s="1">
        <v>0.007939</v>
      </c>
      <c r="BK1266" s="1">
        <v>0.041858</v>
      </c>
      <c r="BL1266" s="1">
        <v>0.010522</v>
      </c>
      <c r="BM1266" s="1">
        <v>0.218</v>
      </c>
      <c r="BN1266" s="1">
        <v>0.448</v>
      </c>
      <c r="BO1266" s="1">
        <v>0.3292</v>
      </c>
      <c r="BP1266" s="1">
        <v>0.589</v>
      </c>
      <c r="BQ1266" s="1">
        <v>1.5842</v>
      </c>
      <c r="BR1266" s="1">
        <v>0.3682</v>
      </c>
      <c r="BS1266" s="1">
        <v>0.538</v>
      </c>
      <c r="BT1266" s="1">
        <v>0.458</v>
      </c>
      <c r="BU1266" s="1">
        <v>0.213</v>
      </c>
      <c r="BV1266" s="1">
        <v>1.209</v>
      </c>
      <c r="BW1266" s="1">
        <v>0.238</v>
      </c>
      <c r="BX1266" s="1">
        <v>0.063</v>
      </c>
      <c r="BY1266" s="1">
        <v>0.702</v>
      </c>
      <c r="BZ1266" s="1">
        <v>0.765</v>
      </c>
      <c r="CA1266" s="1">
        <v>0.372</v>
      </c>
      <c r="CB1266" s="1">
        <v>0.314</v>
      </c>
      <c r="CC1266" s="1">
        <v>0.705</v>
      </c>
      <c r="CD1266" s="1">
        <v>0.773</v>
      </c>
      <c r="CE1266" s="1">
        <v>0.064</v>
      </c>
      <c r="CF1266" s="1">
        <v>0.587</v>
      </c>
      <c r="CG1266" s="1">
        <v>2.443</v>
      </c>
      <c r="CH1266" s="1">
        <v>0.538</v>
      </c>
      <c r="CI1266" s="1">
        <v>6.0012</v>
      </c>
      <c r="CJ1266" s="1">
        <v>0.3726</v>
      </c>
      <c r="CK1266" s="1">
        <v>0.0</v>
      </c>
      <c r="CL1266" s="1">
        <v>0.0</v>
      </c>
      <c r="CM1266" s="1">
        <v>0.0</v>
      </c>
      <c r="CN1266" s="1">
        <v>0.0</v>
      </c>
      <c r="CO1266" s="1">
        <v>0.0</v>
      </c>
      <c r="CP1266" s="1">
        <v>0.0</v>
      </c>
      <c r="CQ1266" s="1">
        <v>0.0</v>
      </c>
      <c r="CR1266" s="1">
        <v>0.0</v>
      </c>
      <c r="CS1266" s="1">
        <v>0.0</v>
      </c>
      <c r="CT1266" s="1">
        <v>0.0</v>
      </c>
      <c r="CU1266" s="1">
        <v>0.0</v>
      </c>
      <c r="CV1266" s="1">
        <v>0.0</v>
      </c>
      <c r="CW1266" s="1">
        <v>0.0</v>
      </c>
      <c r="CX1266" s="1">
        <v>0.0</v>
      </c>
      <c r="CY1266" s="1">
        <v>0.0</v>
      </c>
      <c r="CZ1266" s="1">
        <v>0.0</v>
      </c>
      <c r="DA1266" s="1">
        <v>0.0</v>
      </c>
      <c r="DB1266" s="1">
        <v>0.0</v>
      </c>
      <c r="DC1266" s="1">
        <v>0.0</v>
      </c>
      <c r="DD1266" s="1" t="s">
        <v>5558</v>
      </c>
      <c r="DE1266" s="1">
        <v>0.06100565995055</v>
      </c>
      <c r="DF1266" s="2" t="s">
        <v>5559</v>
      </c>
    </row>
    <row r="1267" ht="15.75" customHeight="1">
      <c r="A1267" s="1" t="s">
        <v>5560</v>
      </c>
      <c r="B1267" s="1">
        <v>29.0</v>
      </c>
      <c r="C1267" s="1">
        <v>221.0</v>
      </c>
      <c r="D1267" s="1">
        <v>460100.0</v>
      </c>
      <c r="E1267" s="1">
        <v>126.001</v>
      </c>
      <c r="F1267" s="1">
        <v>29221.0</v>
      </c>
      <c r="G1267" s="1">
        <v>2.92214601E10</v>
      </c>
      <c r="H1267" s="1" t="s">
        <v>112</v>
      </c>
      <c r="I1267" s="1" t="s">
        <v>113</v>
      </c>
      <c r="J1267" s="1" t="s">
        <v>5561</v>
      </c>
      <c r="K1267" s="1" t="s">
        <v>5562</v>
      </c>
      <c r="L1267" s="1">
        <v>6525.0</v>
      </c>
      <c r="M1267" s="1">
        <v>7034.0</v>
      </c>
      <c r="N1267" s="1">
        <v>629.0</v>
      </c>
      <c r="O1267" s="1">
        <v>2743.0</v>
      </c>
      <c r="P1267" s="1">
        <v>2854.0</v>
      </c>
      <c r="Q1267" s="1">
        <v>161.0</v>
      </c>
      <c r="R1267" s="1">
        <v>2442.0</v>
      </c>
      <c r="S1267" s="1">
        <v>1784.0</v>
      </c>
      <c r="T1267" s="1">
        <v>549.0</v>
      </c>
      <c r="U1267" s="1">
        <v>505.0</v>
      </c>
      <c r="V1267" s="1">
        <v>371.0</v>
      </c>
      <c r="W1267" s="1">
        <v>14546.0</v>
      </c>
      <c r="X1267" s="1">
        <v>1438.0</v>
      </c>
      <c r="Y1267" s="1">
        <v>1339.0</v>
      </c>
      <c r="Z1267" s="1">
        <v>288.0</v>
      </c>
      <c r="AA1267" s="1">
        <v>704.0</v>
      </c>
      <c r="AB1267" s="1">
        <v>1733.0</v>
      </c>
      <c r="AC1267" s="1">
        <v>310.0</v>
      </c>
      <c r="AD1267" s="1">
        <v>176.0</v>
      </c>
      <c r="AE1267" s="1">
        <v>0.0</v>
      </c>
      <c r="AF1267" s="1">
        <v>456.0</v>
      </c>
      <c r="AG1267" s="1">
        <v>0.0</v>
      </c>
      <c r="AH1267" s="1">
        <v>197.0</v>
      </c>
      <c r="AI1267" s="1">
        <v>1165.0</v>
      </c>
      <c r="AJ1267" s="1">
        <v>221.0</v>
      </c>
      <c r="AK1267" s="1">
        <v>146.0</v>
      </c>
      <c r="AL1267" s="1">
        <v>101.0</v>
      </c>
      <c r="AM1267" s="1">
        <v>129.0</v>
      </c>
      <c r="AN1267" s="1">
        <v>73.0</v>
      </c>
      <c r="AO1267" s="1">
        <v>1.0</v>
      </c>
      <c r="AP1267" s="1">
        <v>0.255514</v>
      </c>
      <c r="AQ1267" s="1">
        <v>0.075329</v>
      </c>
      <c r="AR1267" s="1">
        <v>0.173718</v>
      </c>
      <c r="AS1267" s="1">
        <v>0.12565</v>
      </c>
      <c r="AT1267" s="1">
        <v>14546.0</v>
      </c>
      <c r="AU1267" s="1">
        <v>1438.0</v>
      </c>
      <c r="AV1267" s="1">
        <v>0.314466</v>
      </c>
      <c r="AW1267" s="1">
        <v>0.062472</v>
      </c>
      <c r="AX1267" s="1">
        <v>0.107892</v>
      </c>
      <c r="AY1267" s="1">
        <v>0.265593</v>
      </c>
      <c r="AZ1267" s="1">
        <v>0.12694512</v>
      </c>
      <c r="BA1267" s="1">
        <v>0.026973</v>
      </c>
      <c r="BB1267" s="1">
        <v>0.0</v>
      </c>
      <c r="BC1267" s="1">
        <v>0.071216</v>
      </c>
      <c r="BD1267" s="1">
        <v>0.0</v>
      </c>
      <c r="BE1267" s="1">
        <v>0.069025</v>
      </c>
      <c r="BF1267" s="1">
        <v>0.408199</v>
      </c>
      <c r="BG1267" s="1">
        <v>0.073932</v>
      </c>
      <c r="BH1267" s="1">
        <v>0.060833</v>
      </c>
      <c r="BI1267" s="1">
        <v>0.041738</v>
      </c>
      <c r="BJ1267" s="1">
        <v>0.05375</v>
      </c>
      <c r="BK1267" s="1">
        <v>0.030043</v>
      </c>
      <c r="BL1267" s="1">
        <v>1.53E-4</v>
      </c>
      <c r="BM1267" s="1">
        <v>0.837</v>
      </c>
      <c r="BN1267" s="1">
        <v>0.929</v>
      </c>
      <c r="BO1267" s="1">
        <v>0.891</v>
      </c>
      <c r="BP1267" s="1">
        <v>0.954</v>
      </c>
      <c r="BQ1267" s="1">
        <v>3.611</v>
      </c>
      <c r="BR1267" s="1">
        <v>0.9394</v>
      </c>
      <c r="BS1267" s="1">
        <v>0.258</v>
      </c>
      <c r="BT1267" s="1">
        <v>0.758</v>
      </c>
      <c r="BU1267" s="1">
        <v>0.704</v>
      </c>
      <c r="BV1267" s="1">
        <v>1.72</v>
      </c>
      <c r="BW1267" s="1">
        <v>0.657</v>
      </c>
      <c r="BX1267" s="1">
        <v>0.058</v>
      </c>
      <c r="BY1267" s="1">
        <v>0.0</v>
      </c>
      <c r="BZ1267" s="1">
        <v>0.058</v>
      </c>
      <c r="CA1267" s="1">
        <v>0.028</v>
      </c>
      <c r="CB1267" s="1">
        <v>0.0</v>
      </c>
      <c r="CC1267" s="1">
        <v>0.995</v>
      </c>
      <c r="CD1267" s="1">
        <v>0.964</v>
      </c>
      <c r="CE1267" s="1">
        <v>0.518</v>
      </c>
      <c r="CF1267" s="1">
        <v>0.343</v>
      </c>
      <c r="CG1267" s="1">
        <v>2.82</v>
      </c>
      <c r="CH1267" s="1">
        <v>0.697</v>
      </c>
      <c r="CI1267" s="1">
        <v>8.209</v>
      </c>
      <c r="CJ1267" s="1">
        <v>0.7444</v>
      </c>
      <c r="CK1267" s="1">
        <v>0.0</v>
      </c>
      <c r="CL1267" s="1">
        <v>1.0</v>
      </c>
      <c r="CM1267" s="1">
        <v>0.0</v>
      </c>
      <c r="CN1267" s="1">
        <v>1.0</v>
      </c>
      <c r="CO1267" s="1">
        <v>2.0</v>
      </c>
      <c r="CP1267" s="1">
        <v>0.0</v>
      </c>
      <c r="CQ1267" s="1">
        <v>0.0</v>
      </c>
      <c r="CR1267" s="1">
        <v>0.0</v>
      </c>
      <c r="CS1267" s="1">
        <v>0.0</v>
      </c>
      <c r="CT1267" s="1">
        <v>0.0</v>
      </c>
      <c r="CU1267" s="1">
        <v>0.0</v>
      </c>
      <c r="CV1267" s="1">
        <v>0.0</v>
      </c>
      <c r="CW1267" s="1">
        <v>0.0</v>
      </c>
      <c r="CX1267" s="1">
        <v>1.0</v>
      </c>
      <c r="CY1267" s="1">
        <v>1.0</v>
      </c>
      <c r="CZ1267" s="1">
        <v>0.0</v>
      </c>
      <c r="DA1267" s="1">
        <v>0.0</v>
      </c>
      <c r="DB1267" s="1">
        <v>2.0</v>
      </c>
      <c r="DC1267" s="1">
        <v>4.0</v>
      </c>
      <c r="DD1267" s="1" t="s">
        <v>5563</v>
      </c>
      <c r="DE1267" s="1">
        <v>0.0336749976108781</v>
      </c>
      <c r="DF1267" s="2" t="s">
        <v>5564</v>
      </c>
    </row>
    <row r="1268" ht="15.75" customHeight="1">
      <c r="A1268" s="1" t="s">
        <v>5565</v>
      </c>
      <c r="B1268" s="1">
        <v>29.0</v>
      </c>
      <c r="C1268" s="1">
        <v>221.0</v>
      </c>
      <c r="D1268" s="1">
        <v>460200.0</v>
      </c>
      <c r="E1268" s="1">
        <v>304.332</v>
      </c>
      <c r="F1268" s="1">
        <v>29221.0</v>
      </c>
      <c r="G1268" s="1">
        <v>2.92214602E10</v>
      </c>
      <c r="H1268" s="1" t="s">
        <v>112</v>
      </c>
      <c r="I1268" s="1" t="s">
        <v>113</v>
      </c>
      <c r="J1268" s="1" t="s">
        <v>5561</v>
      </c>
      <c r="K1268" s="1" t="s">
        <v>5566</v>
      </c>
      <c r="L1268" s="1">
        <v>4785.0</v>
      </c>
      <c r="M1268" s="1">
        <v>4867.0</v>
      </c>
      <c r="N1268" s="1">
        <v>390.0</v>
      </c>
      <c r="O1268" s="1">
        <v>2454.0</v>
      </c>
      <c r="P1268" s="1">
        <v>2283.0</v>
      </c>
      <c r="Q1268" s="1">
        <v>126.0</v>
      </c>
      <c r="R1268" s="1">
        <v>1818.0</v>
      </c>
      <c r="S1268" s="1">
        <v>866.0</v>
      </c>
      <c r="T1268" s="1">
        <v>312.0</v>
      </c>
      <c r="U1268" s="1">
        <v>318.0</v>
      </c>
      <c r="V1268" s="1">
        <v>385.0</v>
      </c>
      <c r="W1268" s="1">
        <v>17958.0</v>
      </c>
      <c r="X1268" s="1">
        <v>2228.0</v>
      </c>
      <c r="Y1268" s="1">
        <v>777.0</v>
      </c>
      <c r="Z1268" s="1">
        <v>185.0</v>
      </c>
      <c r="AA1268" s="1">
        <v>639.0</v>
      </c>
      <c r="AB1268" s="1">
        <v>1171.0</v>
      </c>
      <c r="AC1268" s="1">
        <v>180.0</v>
      </c>
      <c r="AD1268" s="1">
        <v>139.0</v>
      </c>
      <c r="AE1268" s="1">
        <v>0.0</v>
      </c>
      <c r="AF1268" s="1">
        <v>456.0</v>
      </c>
      <c r="AG1268" s="1">
        <v>0.0</v>
      </c>
      <c r="AH1268" s="1">
        <v>197.0</v>
      </c>
      <c r="AI1268" s="1">
        <v>886.0</v>
      </c>
      <c r="AJ1268" s="1">
        <v>140.0</v>
      </c>
      <c r="AK1268" s="1">
        <v>19.0</v>
      </c>
      <c r="AL1268" s="1">
        <v>116.0</v>
      </c>
      <c r="AM1268" s="1">
        <v>106.0</v>
      </c>
      <c r="AN1268" s="1">
        <v>136.0</v>
      </c>
      <c r="AO1268" s="1">
        <v>0.0</v>
      </c>
      <c r="AP1268" s="1">
        <v>0.178851</v>
      </c>
      <c r="AQ1268" s="1">
        <v>0.062779</v>
      </c>
      <c r="AR1268" s="1">
        <v>0.151356</v>
      </c>
      <c r="AS1268" s="1">
        <v>0.182108</v>
      </c>
      <c r="AT1268" s="1">
        <v>17958.0</v>
      </c>
      <c r="AU1268" s="1">
        <v>2228.0</v>
      </c>
      <c r="AV1268" s="1">
        <v>0.25016</v>
      </c>
      <c r="AW1268" s="1">
        <v>0.055193</v>
      </c>
      <c r="AX1268" s="1">
        <v>0.133542</v>
      </c>
      <c r="AY1268" s="1">
        <v>0.244723</v>
      </c>
      <c r="AZ1268" s="1">
        <v>0.0990099</v>
      </c>
      <c r="BA1268" s="1">
        <v>0.029049</v>
      </c>
      <c r="BB1268" s="1">
        <v>0.0</v>
      </c>
      <c r="BC1268" s="1">
        <v>0.09853</v>
      </c>
      <c r="BD1268" s="1">
        <v>0.0</v>
      </c>
      <c r="BE1268" s="1">
        <v>0.086289</v>
      </c>
      <c r="BF1268" s="1">
        <v>0.388085</v>
      </c>
      <c r="BG1268" s="1">
        <v>0.05746</v>
      </c>
      <c r="BH1268" s="1">
        <v>0.010584</v>
      </c>
      <c r="BI1268" s="1">
        <v>0.064617</v>
      </c>
      <c r="BJ1268" s="1">
        <v>0.059052</v>
      </c>
      <c r="BK1268" s="1">
        <v>0.075585</v>
      </c>
      <c r="BL1268" s="1">
        <v>0.0</v>
      </c>
      <c r="BM1268" s="1">
        <v>0.674</v>
      </c>
      <c r="BN1268" s="1">
        <v>0.902</v>
      </c>
      <c r="BO1268" s="1">
        <v>0.7321</v>
      </c>
      <c r="BP1268" s="1">
        <v>0.869</v>
      </c>
      <c r="BQ1268" s="1">
        <v>3.1771</v>
      </c>
      <c r="BR1268" s="1">
        <v>0.8455</v>
      </c>
      <c r="BS1268" s="1">
        <v>0.448</v>
      </c>
      <c r="BT1268" s="1">
        <v>0.543</v>
      </c>
      <c r="BU1268" s="1">
        <v>0.482</v>
      </c>
      <c r="BV1268" s="1">
        <v>1.473</v>
      </c>
      <c r="BW1268" s="1">
        <v>0.458</v>
      </c>
      <c r="BX1268" s="1">
        <v>0.073</v>
      </c>
      <c r="BY1268" s="1">
        <v>0.0</v>
      </c>
      <c r="BZ1268" s="1">
        <v>0.073</v>
      </c>
      <c r="CA1268" s="1">
        <v>0.035</v>
      </c>
      <c r="CB1268" s="1">
        <v>0.0</v>
      </c>
      <c r="CC1268" s="1">
        <v>0.992</v>
      </c>
      <c r="CD1268" s="1">
        <v>0.488</v>
      </c>
      <c r="CE1268" s="1">
        <v>0.562</v>
      </c>
      <c r="CF1268" s="1">
        <v>0.0</v>
      </c>
      <c r="CG1268" s="1">
        <v>2.042</v>
      </c>
      <c r="CH1268" s="1">
        <v>0.361</v>
      </c>
      <c r="CI1268" s="1">
        <v>6.7651</v>
      </c>
      <c r="CJ1268" s="1">
        <v>0.5047</v>
      </c>
      <c r="CK1268" s="1">
        <v>0.0</v>
      </c>
      <c r="CL1268" s="1">
        <v>1.0</v>
      </c>
      <c r="CM1268" s="1">
        <v>0.0</v>
      </c>
      <c r="CN1268" s="1">
        <v>0.0</v>
      </c>
      <c r="CO1268" s="1">
        <v>1.0</v>
      </c>
      <c r="CP1268" s="1">
        <v>0.0</v>
      </c>
      <c r="CQ1268" s="1">
        <v>0.0</v>
      </c>
      <c r="CR1268" s="1">
        <v>0.0</v>
      </c>
      <c r="CS1268" s="1">
        <v>0.0</v>
      </c>
      <c r="CT1268" s="1">
        <v>0.0</v>
      </c>
      <c r="CU1268" s="1">
        <v>0.0</v>
      </c>
      <c r="CV1268" s="1">
        <v>0.0</v>
      </c>
      <c r="CW1268" s="1">
        <v>0.0</v>
      </c>
      <c r="CX1268" s="1">
        <v>1.0</v>
      </c>
      <c r="CY1268" s="1">
        <v>0.0</v>
      </c>
      <c r="CZ1268" s="1">
        <v>0.0</v>
      </c>
      <c r="DA1268" s="1">
        <v>0.0</v>
      </c>
      <c r="DB1268" s="1">
        <v>1.0</v>
      </c>
      <c r="DC1268" s="1">
        <v>2.0</v>
      </c>
      <c r="DD1268" s="1" t="s">
        <v>5567</v>
      </c>
      <c r="DE1268" s="1">
        <v>0.081187802768972</v>
      </c>
      <c r="DF1268" s="2" t="s">
        <v>5568</v>
      </c>
    </row>
    <row r="1269" ht="15.75" customHeight="1">
      <c r="A1269" s="1" t="s">
        <v>5569</v>
      </c>
      <c r="B1269" s="1">
        <v>29.0</v>
      </c>
      <c r="C1269" s="1">
        <v>221.0</v>
      </c>
      <c r="D1269" s="1">
        <v>460300.0</v>
      </c>
      <c r="E1269" s="1">
        <v>11.961</v>
      </c>
      <c r="F1269" s="1">
        <v>29221.0</v>
      </c>
      <c r="G1269" s="1">
        <v>2.92214603E10</v>
      </c>
      <c r="H1269" s="1" t="s">
        <v>112</v>
      </c>
      <c r="I1269" s="1" t="s">
        <v>113</v>
      </c>
      <c r="J1269" s="1" t="s">
        <v>5561</v>
      </c>
      <c r="K1269" s="1" t="s">
        <v>5570</v>
      </c>
      <c r="L1269" s="1">
        <v>4664.0</v>
      </c>
      <c r="M1269" s="1">
        <v>4464.0</v>
      </c>
      <c r="N1269" s="1">
        <v>319.0</v>
      </c>
      <c r="O1269" s="1">
        <v>1756.0</v>
      </c>
      <c r="P1269" s="1">
        <v>1701.0</v>
      </c>
      <c r="Q1269" s="1">
        <v>128.0</v>
      </c>
      <c r="R1269" s="1">
        <v>1599.0</v>
      </c>
      <c r="S1269" s="1">
        <v>838.0</v>
      </c>
      <c r="T1269" s="1">
        <v>215.0</v>
      </c>
      <c r="U1269" s="1">
        <v>223.0</v>
      </c>
      <c r="V1269" s="1">
        <v>390.0</v>
      </c>
      <c r="W1269" s="1">
        <v>14951.0</v>
      </c>
      <c r="X1269" s="1">
        <v>2079.0</v>
      </c>
      <c r="Y1269" s="1">
        <v>987.0</v>
      </c>
      <c r="Z1269" s="1">
        <v>204.0</v>
      </c>
      <c r="AA1269" s="1">
        <v>578.0</v>
      </c>
      <c r="AB1269" s="1">
        <v>983.0</v>
      </c>
      <c r="AC1269" s="1">
        <v>250.0</v>
      </c>
      <c r="AD1269" s="1">
        <v>658.0</v>
      </c>
      <c r="AE1269" s="1">
        <v>68.0</v>
      </c>
      <c r="AF1269" s="1">
        <v>431.0</v>
      </c>
      <c r="AG1269" s="1">
        <v>37.0</v>
      </c>
      <c r="AH1269" s="1">
        <v>119.0</v>
      </c>
      <c r="AI1269" s="1">
        <v>146.0</v>
      </c>
      <c r="AJ1269" s="1">
        <v>65.0</v>
      </c>
      <c r="AK1269" s="1">
        <v>38.0</v>
      </c>
      <c r="AL1269" s="1">
        <v>120.0</v>
      </c>
      <c r="AM1269" s="1">
        <v>169.0</v>
      </c>
      <c r="AN1269" s="1">
        <v>70.0</v>
      </c>
      <c r="AO1269" s="1">
        <v>926.0</v>
      </c>
      <c r="AP1269" s="1">
        <v>0.238474</v>
      </c>
      <c r="AQ1269" s="1">
        <v>0.058625</v>
      </c>
      <c r="AR1269" s="1">
        <v>0.153899</v>
      </c>
      <c r="AS1269" s="1">
        <v>0.268294</v>
      </c>
      <c r="AT1269" s="1">
        <v>14951.0</v>
      </c>
      <c r="AU1269" s="1">
        <v>2079.0</v>
      </c>
      <c r="AV1269" s="1">
        <v>0.307093</v>
      </c>
      <c r="AW1269" s="1">
        <v>0.058844</v>
      </c>
      <c r="AX1269" s="1">
        <v>0.123927</v>
      </c>
      <c r="AY1269" s="1">
        <v>0.210763</v>
      </c>
      <c r="AZ1269" s="1">
        <v>0.15634771</v>
      </c>
      <c r="BA1269" s="1">
        <v>0.14108</v>
      </c>
      <c r="BB1269" s="1">
        <v>0.016159</v>
      </c>
      <c r="BC1269" s="1">
        <v>0.102416</v>
      </c>
      <c r="BD1269" s="1">
        <v>0.021751</v>
      </c>
      <c r="BE1269" s="1">
        <v>0.069939</v>
      </c>
      <c r="BF1269" s="1">
        <v>0.085831</v>
      </c>
      <c r="BG1269" s="1">
        <v>0.037663</v>
      </c>
      <c r="BH1269" s="1">
        <v>0.025099</v>
      </c>
      <c r="BI1269" s="1">
        <v>0.07924</v>
      </c>
      <c r="BJ1269" s="1">
        <v>0.111624</v>
      </c>
      <c r="BK1269" s="1">
        <v>0.045544</v>
      </c>
      <c r="BL1269" s="1">
        <v>0.198542</v>
      </c>
      <c r="BM1269" s="1">
        <v>0.805</v>
      </c>
      <c r="BN1269" s="1">
        <v>0.904</v>
      </c>
      <c r="BO1269" s="1">
        <v>0.878</v>
      </c>
      <c r="BP1269" s="1">
        <v>0.948</v>
      </c>
      <c r="BQ1269" s="1">
        <v>3.535</v>
      </c>
      <c r="BR1269" s="1">
        <v>0.9285</v>
      </c>
      <c r="BS1269" s="1">
        <v>0.37</v>
      </c>
      <c r="BT1269" s="1">
        <v>0.24</v>
      </c>
      <c r="BU1269" s="1">
        <v>0.815</v>
      </c>
      <c r="BV1269" s="1">
        <v>1.425</v>
      </c>
      <c r="BW1269" s="1">
        <v>0.412</v>
      </c>
      <c r="BX1269" s="1">
        <v>0.596</v>
      </c>
      <c r="BY1269" s="1">
        <v>0.826</v>
      </c>
      <c r="BZ1269" s="1">
        <v>1.422</v>
      </c>
      <c r="CA1269" s="1">
        <v>0.776</v>
      </c>
      <c r="CB1269" s="1">
        <v>0.485</v>
      </c>
      <c r="CC1269" s="1">
        <v>0.689</v>
      </c>
      <c r="CD1269" s="1">
        <v>0.759</v>
      </c>
      <c r="CE1269" s="1">
        <v>0.784</v>
      </c>
      <c r="CF1269" s="1">
        <v>0.966</v>
      </c>
      <c r="CG1269" s="1">
        <v>3.683</v>
      </c>
      <c r="CH1269" s="1">
        <v>0.972</v>
      </c>
      <c r="CI1269" s="1">
        <v>10.065</v>
      </c>
      <c r="CJ1269" s="1">
        <v>0.9516</v>
      </c>
      <c r="CK1269" s="1">
        <v>0.0</v>
      </c>
      <c r="CL1269" s="1">
        <v>1.0</v>
      </c>
      <c r="CM1269" s="1">
        <v>0.0</v>
      </c>
      <c r="CN1269" s="1">
        <v>1.0</v>
      </c>
      <c r="CO1269" s="1">
        <v>2.0</v>
      </c>
      <c r="CP1269" s="1">
        <v>0.0</v>
      </c>
      <c r="CQ1269" s="1">
        <v>0.0</v>
      </c>
      <c r="CR1269" s="1">
        <v>0.0</v>
      </c>
      <c r="CS1269" s="1">
        <v>0.0</v>
      </c>
      <c r="CT1269" s="1">
        <v>0.0</v>
      </c>
      <c r="CU1269" s="1">
        <v>0.0</v>
      </c>
      <c r="CV1269" s="1">
        <v>0.0</v>
      </c>
      <c r="CW1269" s="1">
        <v>0.0</v>
      </c>
      <c r="CX1269" s="1">
        <v>0.0</v>
      </c>
      <c r="CY1269" s="1">
        <v>0.0</v>
      </c>
      <c r="CZ1269" s="1">
        <v>0.0</v>
      </c>
      <c r="DA1269" s="1">
        <v>1.0</v>
      </c>
      <c r="DB1269" s="1">
        <v>1.0</v>
      </c>
      <c r="DC1269" s="1">
        <v>3.0</v>
      </c>
      <c r="DD1269" s="1" t="s">
        <v>5571</v>
      </c>
      <c r="DE1269" s="1">
        <v>0.003217631040077</v>
      </c>
      <c r="DF1269" s="2" t="s">
        <v>5572</v>
      </c>
    </row>
    <row r="1270" ht="15.75" customHeight="1">
      <c r="A1270" s="1" t="s">
        <v>5573</v>
      </c>
      <c r="B1270" s="1">
        <v>29.0</v>
      </c>
      <c r="C1270" s="1">
        <v>221.0</v>
      </c>
      <c r="D1270" s="1">
        <v>460400.0</v>
      </c>
      <c r="E1270" s="1">
        <v>62.311</v>
      </c>
      <c r="F1270" s="1">
        <v>29221.0</v>
      </c>
      <c r="G1270" s="1">
        <v>2.92214604E10</v>
      </c>
      <c r="H1270" s="1" t="s">
        <v>112</v>
      </c>
      <c r="I1270" s="1" t="s">
        <v>113</v>
      </c>
      <c r="J1270" s="1" t="s">
        <v>5561</v>
      </c>
      <c r="K1270" s="1" t="s">
        <v>5574</v>
      </c>
      <c r="L1270" s="1">
        <v>5062.0</v>
      </c>
      <c r="M1270" s="1">
        <v>5077.0</v>
      </c>
      <c r="N1270" s="1">
        <v>450.0</v>
      </c>
      <c r="O1270" s="1">
        <v>2095.0</v>
      </c>
      <c r="P1270" s="1">
        <v>2171.0</v>
      </c>
      <c r="Q1270" s="1">
        <v>90.0</v>
      </c>
      <c r="R1270" s="1">
        <v>1856.0</v>
      </c>
      <c r="S1270" s="1">
        <v>910.0</v>
      </c>
      <c r="T1270" s="1">
        <v>318.0</v>
      </c>
      <c r="U1270" s="1">
        <v>239.0</v>
      </c>
      <c r="V1270" s="1">
        <v>315.0</v>
      </c>
      <c r="W1270" s="1">
        <v>18679.0</v>
      </c>
      <c r="X1270" s="1">
        <v>3208.0</v>
      </c>
      <c r="Y1270" s="1">
        <v>1155.0</v>
      </c>
      <c r="Z1270" s="1">
        <v>205.0</v>
      </c>
      <c r="AA1270" s="1">
        <v>776.0</v>
      </c>
      <c r="AB1270" s="1">
        <v>1223.0</v>
      </c>
      <c r="AC1270" s="1">
        <v>217.0</v>
      </c>
      <c r="AD1270" s="1">
        <v>140.0</v>
      </c>
      <c r="AE1270" s="1">
        <v>0.0</v>
      </c>
      <c r="AF1270" s="1">
        <v>456.0</v>
      </c>
      <c r="AG1270" s="1">
        <v>0.0</v>
      </c>
      <c r="AH1270" s="1">
        <v>197.0</v>
      </c>
      <c r="AI1270" s="1">
        <v>1055.0</v>
      </c>
      <c r="AJ1270" s="1">
        <v>151.0</v>
      </c>
      <c r="AK1270" s="1">
        <v>22.0</v>
      </c>
      <c r="AL1270" s="1">
        <v>117.0</v>
      </c>
      <c r="AM1270" s="1">
        <v>68.0</v>
      </c>
      <c r="AN1270" s="1">
        <v>121.0</v>
      </c>
      <c r="AO1270" s="1">
        <v>164.0</v>
      </c>
      <c r="AP1270" s="1">
        <v>0.190018</v>
      </c>
      <c r="AQ1270" s="1">
        <v>0.064044</v>
      </c>
      <c r="AR1270" s="1">
        <v>0.119083</v>
      </c>
      <c r="AS1270" s="1">
        <v>0.156184</v>
      </c>
      <c r="AT1270" s="1">
        <v>18679.0</v>
      </c>
      <c r="AU1270" s="1">
        <v>3208.0</v>
      </c>
      <c r="AV1270" s="1">
        <v>0.322625</v>
      </c>
      <c r="AW1270" s="1">
        <v>0.052127</v>
      </c>
      <c r="AX1270" s="1">
        <v>0.153299</v>
      </c>
      <c r="AY1270" s="1">
        <v>0.241604</v>
      </c>
      <c r="AZ1270" s="1">
        <v>0.1169181</v>
      </c>
      <c r="BA1270" s="1">
        <v>0.027657</v>
      </c>
      <c r="BB1270" s="1">
        <v>0.0</v>
      </c>
      <c r="BC1270" s="1">
        <v>0.094782</v>
      </c>
      <c r="BD1270" s="1">
        <v>0.0</v>
      </c>
      <c r="BE1270" s="1">
        <v>0.090741</v>
      </c>
      <c r="BF1270" s="1">
        <v>0.485951</v>
      </c>
      <c r="BG1270" s="1">
        <v>0.066571</v>
      </c>
      <c r="BH1270" s="1">
        <v>0.01184</v>
      </c>
      <c r="BI1270" s="1">
        <v>0.062965</v>
      </c>
      <c r="BJ1270" s="1">
        <v>0.036598</v>
      </c>
      <c r="BK1270" s="1">
        <v>0.065074</v>
      </c>
      <c r="BL1270" s="1">
        <v>0.032398</v>
      </c>
      <c r="BM1270" s="1">
        <v>0.703</v>
      </c>
      <c r="BN1270" s="1">
        <v>0.82</v>
      </c>
      <c r="BO1270" s="1">
        <v>0.6931</v>
      </c>
      <c r="BP1270" s="1">
        <v>0.961</v>
      </c>
      <c r="BQ1270" s="1">
        <v>3.1771</v>
      </c>
      <c r="BR1270" s="1">
        <v>0.8455</v>
      </c>
      <c r="BS1270" s="1">
        <v>0.605</v>
      </c>
      <c r="BT1270" s="1">
        <v>0.51</v>
      </c>
      <c r="BU1270" s="1">
        <v>0.65</v>
      </c>
      <c r="BV1270" s="1">
        <v>1.765</v>
      </c>
      <c r="BW1270" s="1">
        <v>0.698</v>
      </c>
      <c r="BX1270" s="1">
        <v>0.064</v>
      </c>
      <c r="BY1270" s="1">
        <v>0.0</v>
      </c>
      <c r="BZ1270" s="1">
        <v>0.064</v>
      </c>
      <c r="CA1270" s="1">
        <v>0.03</v>
      </c>
      <c r="CB1270" s="1">
        <v>0.0</v>
      </c>
      <c r="CC1270" s="1">
        <v>0.999</v>
      </c>
      <c r="CD1270" s="1">
        <v>0.525</v>
      </c>
      <c r="CE1270" s="1">
        <v>0.35</v>
      </c>
      <c r="CF1270" s="1">
        <v>0.818</v>
      </c>
      <c r="CG1270" s="1">
        <v>2.692</v>
      </c>
      <c r="CH1270" s="1">
        <v>0.638</v>
      </c>
      <c r="CI1270" s="1">
        <v>7.6981</v>
      </c>
      <c r="CJ1270" s="1">
        <v>0.6693</v>
      </c>
      <c r="CK1270" s="1">
        <v>0.0</v>
      </c>
      <c r="CL1270" s="1">
        <v>0.0</v>
      </c>
      <c r="CM1270" s="1">
        <v>0.0</v>
      </c>
      <c r="CN1270" s="1">
        <v>1.0</v>
      </c>
      <c r="CO1270" s="1">
        <v>1.0</v>
      </c>
      <c r="CP1270" s="1">
        <v>0.0</v>
      </c>
      <c r="CQ1270" s="1">
        <v>0.0</v>
      </c>
      <c r="CR1270" s="1">
        <v>0.0</v>
      </c>
      <c r="CS1270" s="1">
        <v>0.0</v>
      </c>
      <c r="CT1270" s="1">
        <v>0.0</v>
      </c>
      <c r="CU1270" s="1">
        <v>0.0</v>
      </c>
      <c r="CV1270" s="1">
        <v>0.0</v>
      </c>
      <c r="CW1270" s="1">
        <v>0.0</v>
      </c>
      <c r="CX1270" s="1">
        <v>1.0</v>
      </c>
      <c r="CY1270" s="1">
        <v>0.0</v>
      </c>
      <c r="CZ1270" s="1">
        <v>0.0</v>
      </c>
      <c r="DA1270" s="1">
        <v>0.0</v>
      </c>
      <c r="DB1270" s="1">
        <v>1.0</v>
      </c>
      <c r="DC1270" s="1">
        <v>2.0</v>
      </c>
      <c r="DD1270" s="1" t="s">
        <v>5575</v>
      </c>
      <c r="DE1270" s="2" t="s">
        <v>5576</v>
      </c>
      <c r="DF1270" s="2" t="s">
        <v>5577</v>
      </c>
    </row>
    <row r="1271" ht="15.75" customHeight="1">
      <c r="A1271" s="1" t="s">
        <v>5578</v>
      </c>
      <c r="B1271" s="1">
        <v>29.0</v>
      </c>
      <c r="C1271" s="1">
        <v>221.0</v>
      </c>
      <c r="D1271" s="1">
        <v>460500.0</v>
      </c>
      <c r="E1271" s="1">
        <v>255.308</v>
      </c>
      <c r="F1271" s="1">
        <v>29221.0</v>
      </c>
      <c r="G1271" s="1">
        <v>2.92214605E10</v>
      </c>
      <c r="H1271" s="1" t="s">
        <v>112</v>
      </c>
      <c r="I1271" s="1" t="s">
        <v>113</v>
      </c>
      <c r="J1271" s="1" t="s">
        <v>5561</v>
      </c>
      <c r="K1271" s="1" t="s">
        <v>5579</v>
      </c>
      <c r="L1271" s="1">
        <v>4159.0</v>
      </c>
      <c r="M1271" s="1">
        <v>3539.0</v>
      </c>
      <c r="N1271" s="1">
        <v>347.0</v>
      </c>
      <c r="O1271" s="1">
        <v>1969.0</v>
      </c>
      <c r="P1271" s="1">
        <v>1909.0</v>
      </c>
      <c r="Q1271" s="1">
        <v>100.0</v>
      </c>
      <c r="R1271" s="1">
        <v>1640.0</v>
      </c>
      <c r="S1271" s="1">
        <v>488.0</v>
      </c>
      <c r="T1271" s="1">
        <v>188.0</v>
      </c>
      <c r="U1271" s="1">
        <v>106.0</v>
      </c>
      <c r="V1271" s="1">
        <v>400.0</v>
      </c>
      <c r="W1271" s="1">
        <v>19796.0</v>
      </c>
      <c r="X1271" s="1">
        <v>1822.0</v>
      </c>
      <c r="Y1271" s="1">
        <v>730.0</v>
      </c>
      <c r="Z1271" s="1">
        <v>231.0</v>
      </c>
      <c r="AA1271" s="1">
        <v>681.0</v>
      </c>
      <c r="AB1271" s="1">
        <v>953.0</v>
      </c>
      <c r="AC1271" s="1">
        <v>147.0</v>
      </c>
      <c r="AD1271" s="1">
        <v>113.0</v>
      </c>
      <c r="AE1271" s="1">
        <v>0.0</v>
      </c>
      <c r="AF1271" s="1">
        <v>456.0</v>
      </c>
      <c r="AG1271" s="1">
        <v>2.0</v>
      </c>
      <c r="AH1271" s="1">
        <v>161.0</v>
      </c>
      <c r="AI1271" s="1">
        <v>539.0</v>
      </c>
      <c r="AJ1271" s="1">
        <v>141.0</v>
      </c>
      <c r="AK1271" s="1">
        <v>5.0</v>
      </c>
      <c r="AL1271" s="1">
        <v>114.0</v>
      </c>
      <c r="AM1271" s="1">
        <v>49.0</v>
      </c>
      <c r="AN1271" s="1">
        <v>118.0</v>
      </c>
      <c r="AO1271" s="1">
        <v>0.0</v>
      </c>
      <c r="AP1271" s="1">
        <v>0.138518</v>
      </c>
      <c r="AQ1271" s="1">
        <v>0.051651</v>
      </c>
      <c r="AR1271" s="1">
        <v>0.073305</v>
      </c>
      <c r="AS1271" s="1">
        <v>0.276394</v>
      </c>
      <c r="AT1271" s="1">
        <v>19796.0</v>
      </c>
      <c r="AU1271" s="1">
        <v>1822.0</v>
      </c>
      <c r="AV1271" s="1">
        <v>0.276096</v>
      </c>
      <c r="AW1271" s="1">
        <v>0.084678</v>
      </c>
      <c r="AX1271" s="1">
        <v>0.163741</v>
      </c>
      <c r="AY1271" s="1">
        <v>0.229141</v>
      </c>
      <c r="AZ1271" s="1">
        <v>0.08963414</v>
      </c>
      <c r="BA1271" s="1">
        <v>0.027169</v>
      </c>
      <c r="BB1271" s="1">
        <v>0.0</v>
      </c>
      <c r="BC1271" s="1">
        <v>0.137308</v>
      </c>
      <c r="BD1271" s="1">
        <v>0.001047</v>
      </c>
      <c r="BE1271" s="1">
        <v>0.084337</v>
      </c>
      <c r="BF1271" s="1">
        <v>0.282346</v>
      </c>
      <c r="BG1271" s="1">
        <v>0.072364</v>
      </c>
      <c r="BH1271" s="1">
        <v>0.003326</v>
      </c>
      <c r="BI1271" s="1">
        <v>0.075847</v>
      </c>
      <c r="BJ1271" s="1">
        <v>0.032601</v>
      </c>
      <c r="BK1271" s="1">
        <v>0.078463</v>
      </c>
      <c r="BL1271" s="1">
        <v>0.0</v>
      </c>
      <c r="BM1271" s="1">
        <v>0.537</v>
      </c>
      <c r="BN1271" s="1">
        <v>0.542</v>
      </c>
      <c r="BO1271" s="1">
        <v>0.6267</v>
      </c>
      <c r="BP1271" s="1">
        <v>0.916</v>
      </c>
      <c r="BQ1271" s="1">
        <v>2.6217</v>
      </c>
      <c r="BR1271" s="1">
        <v>0.7025</v>
      </c>
      <c r="BS1271" s="1">
        <v>0.697</v>
      </c>
      <c r="BT1271" s="1">
        <v>0.376</v>
      </c>
      <c r="BU1271" s="1">
        <v>0.395</v>
      </c>
      <c r="BV1271" s="1">
        <v>1.468</v>
      </c>
      <c r="BW1271" s="1">
        <v>0.452</v>
      </c>
      <c r="BX1271" s="1">
        <v>0.06</v>
      </c>
      <c r="BY1271" s="1">
        <v>0.0</v>
      </c>
      <c r="BZ1271" s="1">
        <v>0.06</v>
      </c>
      <c r="CA1271" s="1">
        <v>0.029</v>
      </c>
      <c r="CB1271" s="1">
        <v>0.257</v>
      </c>
      <c r="CC1271" s="1">
        <v>0.976</v>
      </c>
      <c r="CD1271" s="1">
        <v>0.296</v>
      </c>
      <c r="CE1271" s="1">
        <v>0.307</v>
      </c>
      <c r="CF1271" s="1">
        <v>0.0</v>
      </c>
      <c r="CG1271" s="1">
        <v>1.836</v>
      </c>
      <c r="CH1271" s="1">
        <v>0.277</v>
      </c>
      <c r="CI1271" s="1">
        <v>5.9857</v>
      </c>
      <c r="CJ1271" s="1">
        <v>0.3697</v>
      </c>
      <c r="CK1271" s="1">
        <v>0.0</v>
      </c>
      <c r="CL1271" s="1">
        <v>0.0</v>
      </c>
      <c r="CM1271" s="1">
        <v>0.0</v>
      </c>
      <c r="CN1271" s="1">
        <v>1.0</v>
      </c>
      <c r="CO1271" s="1">
        <v>1.0</v>
      </c>
      <c r="CP1271" s="1">
        <v>0.0</v>
      </c>
      <c r="CQ1271" s="1">
        <v>0.0</v>
      </c>
      <c r="CR1271" s="1">
        <v>0.0</v>
      </c>
      <c r="CS1271" s="1">
        <v>0.0</v>
      </c>
      <c r="CT1271" s="1">
        <v>0.0</v>
      </c>
      <c r="CU1271" s="1">
        <v>0.0</v>
      </c>
      <c r="CV1271" s="1">
        <v>0.0</v>
      </c>
      <c r="CW1271" s="1">
        <v>0.0</v>
      </c>
      <c r="CX1271" s="1">
        <v>1.0</v>
      </c>
      <c r="CY1271" s="1">
        <v>0.0</v>
      </c>
      <c r="CZ1271" s="1">
        <v>0.0</v>
      </c>
      <c r="DA1271" s="1">
        <v>0.0</v>
      </c>
      <c r="DB1271" s="1">
        <v>1.0</v>
      </c>
      <c r="DC1271" s="1">
        <v>2.0</v>
      </c>
      <c r="DD1271" s="1" t="s">
        <v>5580</v>
      </c>
      <c r="DE1271" s="1">
        <v>0.067771859749154</v>
      </c>
      <c r="DF1271" s="2" t="s">
        <v>5581</v>
      </c>
    </row>
    <row r="1272" ht="15.75" customHeight="1">
      <c r="A1272" s="1" t="s">
        <v>5582</v>
      </c>
      <c r="B1272" s="1">
        <v>29.0</v>
      </c>
      <c r="C1272" s="1">
        <v>223.0</v>
      </c>
      <c r="D1272" s="1">
        <v>690100.0</v>
      </c>
      <c r="E1272" s="1">
        <v>255.857</v>
      </c>
      <c r="F1272" s="1">
        <v>29223.0</v>
      </c>
      <c r="G1272" s="1">
        <v>2.92236901E10</v>
      </c>
      <c r="H1272" s="1" t="s">
        <v>112</v>
      </c>
      <c r="I1272" s="1" t="s">
        <v>113</v>
      </c>
      <c r="J1272" s="1" t="s">
        <v>5583</v>
      </c>
      <c r="K1272" s="1" t="s">
        <v>5584</v>
      </c>
      <c r="L1272" s="1">
        <v>3603.0</v>
      </c>
      <c r="M1272" s="1">
        <v>2994.0</v>
      </c>
      <c r="N1272" s="1">
        <v>379.0</v>
      </c>
      <c r="O1272" s="1">
        <v>2545.0</v>
      </c>
      <c r="P1272" s="1">
        <v>2382.0</v>
      </c>
      <c r="Q1272" s="1">
        <v>122.0</v>
      </c>
      <c r="R1272" s="1">
        <v>1581.0</v>
      </c>
      <c r="S1272" s="1">
        <v>485.0</v>
      </c>
      <c r="T1272" s="1">
        <v>220.0</v>
      </c>
      <c r="U1272" s="1">
        <v>78.0</v>
      </c>
      <c r="V1272" s="1">
        <v>473.0</v>
      </c>
      <c r="W1272" s="1">
        <v>18177.0</v>
      </c>
      <c r="X1272" s="1">
        <v>2508.0</v>
      </c>
      <c r="Y1272" s="1">
        <v>635.0</v>
      </c>
      <c r="Z1272" s="1">
        <v>254.0</v>
      </c>
      <c r="AA1272" s="1">
        <v>846.0</v>
      </c>
      <c r="AB1272" s="1">
        <v>682.0</v>
      </c>
      <c r="AC1272" s="1">
        <v>112.0</v>
      </c>
      <c r="AD1272" s="1">
        <v>137.0</v>
      </c>
      <c r="AE1272" s="1">
        <v>0.0</v>
      </c>
      <c r="AF1272" s="1">
        <v>456.0</v>
      </c>
      <c r="AG1272" s="1">
        <v>6.0</v>
      </c>
      <c r="AH1272" s="1">
        <v>161.0</v>
      </c>
      <c r="AI1272" s="1">
        <v>1024.0</v>
      </c>
      <c r="AJ1272" s="1">
        <v>176.0</v>
      </c>
      <c r="AK1272" s="1">
        <v>10.0</v>
      </c>
      <c r="AL1272" s="1">
        <v>115.0</v>
      </c>
      <c r="AM1272" s="1">
        <v>80.0</v>
      </c>
      <c r="AN1272" s="1">
        <v>60.0</v>
      </c>
      <c r="AO1272" s="1">
        <v>0.0</v>
      </c>
      <c r="AP1272" s="1">
        <v>0.16199</v>
      </c>
      <c r="AQ1272" s="1">
        <v>0.070561</v>
      </c>
      <c r="AR1272" s="1">
        <v>0.069518</v>
      </c>
      <c r="AS1272" s="1">
        <v>0.42115</v>
      </c>
      <c r="AT1272" s="1">
        <v>18177.0</v>
      </c>
      <c r="AU1272" s="1">
        <v>2508.0</v>
      </c>
      <c r="AV1272" s="1">
        <v>0.270442</v>
      </c>
      <c r="AW1272" s="1">
        <v>0.1044</v>
      </c>
      <c r="AX1272" s="1">
        <v>0.234804</v>
      </c>
      <c r="AY1272" s="1">
        <v>0.189286</v>
      </c>
      <c r="AZ1272" s="1">
        <v>0.07084123</v>
      </c>
      <c r="BA1272" s="1">
        <v>0.038023</v>
      </c>
      <c r="BB1272" s="1">
        <v>0.0</v>
      </c>
      <c r="BC1272" s="1">
        <v>0.159719</v>
      </c>
      <c r="BD1272" s="1">
        <v>0.002518</v>
      </c>
      <c r="BE1272" s="1">
        <v>0.06759</v>
      </c>
      <c r="BF1272" s="1">
        <v>0.42989</v>
      </c>
      <c r="BG1272" s="1">
        <v>0.07053</v>
      </c>
      <c r="BH1272" s="1">
        <v>0.006711</v>
      </c>
      <c r="BI1272" s="1">
        <v>0.077177</v>
      </c>
      <c r="BJ1272" s="1">
        <v>0.053691</v>
      </c>
      <c r="BK1272" s="1">
        <v>0.039782</v>
      </c>
      <c r="BL1272" s="1">
        <v>0.0</v>
      </c>
      <c r="BM1272" s="1">
        <v>0.616</v>
      </c>
      <c r="BN1272" s="1">
        <v>0.51</v>
      </c>
      <c r="BO1272" s="1">
        <v>0.7213</v>
      </c>
      <c r="BP1272" s="1">
        <v>0.906</v>
      </c>
      <c r="BQ1272" s="1">
        <v>2.7533</v>
      </c>
      <c r="BR1272" s="1">
        <v>0.7343</v>
      </c>
      <c r="BS1272" s="1">
        <v>0.956</v>
      </c>
      <c r="BT1272" s="1">
        <v>0.148</v>
      </c>
      <c r="BU1272" s="1">
        <v>0.221</v>
      </c>
      <c r="BV1272" s="1">
        <v>1.325</v>
      </c>
      <c r="BW1272" s="1">
        <v>0.323</v>
      </c>
      <c r="BX1272" s="1">
        <v>0.148</v>
      </c>
      <c r="BY1272" s="1">
        <v>0.0</v>
      </c>
      <c r="BZ1272" s="1">
        <v>0.148</v>
      </c>
      <c r="CA1272" s="1">
        <v>0.071</v>
      </c>
      <c r="CB1272" s="1">
        <v>0.279</v>
      </c>
      <c r="CC1272" s="1">
        <v>0.997</v>
      </c>
      <c r="CD1272" s="1">
        <v>0.382</v>
      </c>
      <c r="CE1272" s="1">
        <v>0.517</v>
      </c>
      <c r="CF1272" s="1">
        <v>0.0</v>
      </c>
      <c r="CG1272" s="1">
        <v>2.175</v>
      </c>
      <c r="CH1272" s="1">
        <v>0.408</v>
      </c>
      <c r="CI1272" s="1">
        <v>6.4013</v>
      </c>
      <c r="CJ1272" s="1">
        <v>0.4455</v>
      </c>
      <c r="CK1272" s="1">
        <v>0.0</v>
      </c>
      <c r="CL1272" s="1">
        <v>0.0</v>
      </c>
      <c r="CM1272" s="1">
        <v>0.0</v>
      </c>
      <c r="CN1272" s="1">
        <v>1.0</v>
      </c>
      <c r="CO1272" s="1">
        <v>1.0</v>
      </c>
      <c r="CP1272" s="1">
        <v>1.0</v>
      </c>
      <c r="CQ1272" s="1">
        <v>0.0</v>
      </c>
      <c r="CR1272" s="1">
        <v>0.0</v>
      </c>
      <c r="CS1272" s="1">
        <v>1.0</v>
      </c>
      <c r="CT1272" s="1">
        <v>0.0</v>
      </c>
      <c r="CU1272" s="1">
        <v>0.0</v>
      </c>
      <c r="CV1272" s="1">
        <v>0.0</v>
      </c>
      <c r="CW1272" s="1">
        <v>0.0</v>
      </c>
      <c r="CX1272" s="1">
        <v>1.0</v>
      </c>
      <c r="CY1272" s="1">
        <v>0.0</v>
      </c>
      <c r="CZ1272" s="1">
        <v>0.0</v>
      </c>
      <c r="DA1272" s="1">
        <v>0.0</v>
      </c>
      <c r="DB1272" s="1">
        <v>1.0</v>
      </c>
      <c r="DC1272" s="1">
        <v>3.0</v>
      </c>
      <c r="DD1272" s="1" t="s">
        <v>5585</v>
      </c>
      <c r="DE1272" s="1">
        <v>0.0688719396061826</v>
      </c>
      <c r="DF1272" s="2" t="s">
        <v>5586</v>
      </c>
    </row>
    <row r="1273" ht="15.75" customHeight="1">
      <c r="A1273" s="1" t="s">
        <v>5587</v>
      </c>
      <c r="B1273" s="1">
        <v>29.0</v>
      </c>
      <c r="C1273" s="1">
        <v>223.0</v>
      </c>
      <c r="D1273" s="1">
        <v>690200.0</v>
      </c>
      <c r="E1273" s="1">
        <v>230.305</v>
      </c>
      <c r="F1273" s="1">
        <v>29223.0</v>
      </c>
      <c r="G1273" s="1">
        <v>2.92236902E10</v>
      </c>
      <c r="H1273" s="1" t="s">
        <v>112</v>
      </c>
      <c r="I1273" s="1" t="s">
        <v>113</v>
      </c>
      <c r="J1273" s="1" t="s">
        <v>5583</v>
      </c>
      <c r="K1273" s="1" t="s">
        <v>5588</v>
      </c>
      <c r="L1273" s="1">
        <v>3456.0</v>
      </c>
      <c r="M1273" s="1">
        <v>3537.0</v>
      </c>
      <c r="N1273" s="1">
        <v>468.0</v>
      </c>
      <c r="O1273" s="1">
        <v>1821.0</v>
      </c>
      <c r="P1273" s="1">
        <v>1758.0</v>
      </c>
      <c r="Q1273" s="1">
        <v>100.0</v>
      </c>
      <c r="R1273" s="1">
        <v>1425.0</v>
      </c>
      <c r="S1273" s="1">
        <v>864.0</v>
      </c>
      <c r="T1273" s="1">
        <v>240.0</v>
      </c>
      <c r="U1273" s="1">
        <v>153.0</v>
      </c>
      <c r="V1273" s="1">
        <v>404.0</v>
      </c>
      <c r="W1273" s="1">
        <v>17010.0</v>
      </c>
      <c r="X1273" s="1">
        <v>2327.0</v>
      </c>
      <c r="Y1273" s="1">
        <v>752.0</v>
      </c>
      <c r="Z1273" s="1">
        <v>228.0</v>
      </c>
      <c r="AA1273" s="1">
        <v>731.0</v>
      </c>
      <c r="AB1273" s="1">
        <v>721.0</v>
      </c>
      <c r="AC1273" s="1">
        <v>131.0</v>
      </c>
      <c r="AD1273" s="1">
        <v>112.0</v>
      </c>
      <c r="AE1273" s="1">
        <v>0.0</v>
      </c>
      <c r="AF1273" s="1">
        <v>456.0</v>
      </c>
      <c r="AG1273" s="1">
        <v>2.0</v>
      </c>
      <c r="AH1273" s="1">
        <v>161.0</v>
      </c>
      <c r="AI1273" s="1">
        <v>449.0</v>
      </c>
      <c r="AJ1273" s="1">
        <v>115.0</v>
      </c>
      <c r="AK1273" s="1">
        <v>15.0</v>
      </c>
      <c r="AL1273" s="1">
        <v>115.0</v>
      </c>
      <c r="AM1273" s="1">
        <v>66.0</v>
      </c>
      <c r="AN1273" s="1">
        <v>126.0</v>
      </c>
      <c r="AO1273" s="1">
        <v>66.0</v>
      </c>
      <c r="AP1273" s="1">
        <v>0.253968</v>
      </c>
      <c r="AQ1273" s="1">
        <v>0.063525</v>
      </c>
      <c r="AR1273" s="1">
        <v>0.118696</v>
      </c>
      <c r="AS1273" s="1">
        <v>0.312729</v>
      </c>
      <c r="AT1273" s="1">
        <v>17010.0</v>
      </c>
      <c r="AU1273" s="1">
        <v>2327.0</v>
      </c>
      <c r="AV1273" s="1">
        <v>0.299124</v>
      </c>
      <c r="AW1273" s="1">
        <v>0.085209</v>
      </c>
      <c r="AX1273" s="1">
        <v>0.211516</v>
      </c>
      <c r="AY1273" s="1">
        <v>0.208622</v>
      </c>
      <c r="AZ1273" s="1">
        <v>0.09192982</v>
      </c>
      <c r="BA1273" s="1">
        <v>0.032407</v>
      </c>
      <c r="BB1273" s="1">
        <v>0.0</v>
      </c>
      <c r="BC1273" s="1">
        <v>0.137225</v>
      </c>
      <c r="BD1273" s="1">
        <v>0.001137</v>
      </c>
      <c r="BE1273" s="1">
        <v>0.091581</v>
      </c>
      <c r="BF1273" s="1">
        <v>0.255403</v>
      </c>
      <c r="BG1273" s="1">
        <v>0.063781</v>
      </c>
      <c r="BH1273" s="1">
        <v>0.010714</v>
      </c>
      <c r="BI1273" s="1">
        <v>0.082137</v>
      </c>
      <c r="BJ1273" s="1">
        <v>0.047142</v>
      </c>
      <c r="BK1273" s="1">
        <v>0.089899</v>
      </c>
      <c r="BL1273" s="1">
        <v>0.019097</v>
      </c>
      <c r="BM1273" s="1">
        <v>0.833</v>
      </c>
      <c r="BN1273" s="1">
        <v>0.818</v>
      </c>
      <c r="BO1273" s="1">
        <v>0.7856</v>
      </c>
      <c r="BP1273" s="1">
        <v>0.945</v>
      </c>
      <c r="BQ1273" s="1">
        <v>3.3816</v>
      </c>
      <c r="BR1273" s="1">
        <v>0.896</v>
      </c>
      <c r="BS1273" s="1">
        <v>0.912</v>
      </c>
      <c r="BT1273" s="1">
        <v>0.23</v>
      </c>
      <c r="BU1273" s="1">
        <v>0.418</v>
      </c>
      <c r="BV1273" s="1">
        <v>1.56</v>
      </c>
      <c r="BW1273" s="1">
        <v>0.532</v>
      </c>
      <c r="BX1273" s="1">
        <v>0.098</v>
      </c>
      <c r="BY1273" s="1">
        <v>0.0</v>
      </c>
      <c r="BZ1273" s="1">
        <v>0.098</v>
      </c>
      <c r="CA1273" s="1">
        <v>0.047</v>
      </c>
      <c r="CB1273" s="1">
        <v>0.259</v>
      </c>
      <c r="CC1273" s="1">
        <v>0.956</v>
      </c>
      <c r="CD1273" s="1">
        <v>0.493</v>
      </c>
      <c r="CE1273" s="1">
        <v>0.464</v>
      </c>
      <c r="CF1273" s="1">
        <v>0.696</v>
      </c>
      <c r="CG1273" s="1">
        <v>2.868</v>
      </c>
      <c r="CH1273" s="1">
        <v>0.718</v>
      </c>
      <c r="CI1273" s="1">
        <v>7.9076</v>
      </c>
      <c r="CJ1273" s="1">
        <v>0.6982</v>
      </c>
      <c r="CK1273" s="1">
        <v>0.0</v>
      </c>
      <c r="CL1273" s="1">
        <v>0.0</v>
      </c>
      <c r="CM1273" s="1">
        <v>0.0</v>
      </c>
      <c r="CN1273" s="1">
        <v>1.0</v>
      </c>
      <c r="CO1273" s="1">
        <v>1.0</v>
      </c>
      <c r="CP1273" s="1">
        <v>1.0</v>
      </c>
      <c r="CQ1273" s="1">
        <v>0.0</v>
      </c>
      <c r="CR1273" s="1">
        <v>0.0</v>
      </c>
      <c r="CS1273" s="1">
        <v>1.0</v>
      </c>
      <c r="CT1273" s="1">
        <v>0.0</v>
      </c>
      <c r="CU1273" s="1">
        <v>0.0</v>
      </c>
      <c r="CV1273" s="1">
        <v>0.0</v>
      </c>
      <c r="CW1273" s="1">
        <v>0.0</v>
      </c>
      <c r="CX1273" s="1">
        <v>1.0</v>
      </c>
      <c r="CY1273" s="1">
        <v>0.0</v>
      </c>
      <c r="CZ1273" s="1">
        <v>0.0</v>
      </c>
      <c r="DA1273" s="1">
        <v>0.0</v>
      </c>
      <c r="DB1273" s="1">
        <v>1.0</v>
      </c>
      <c r="DC1273" s="1">
        <v>3.0</v>
      </c>
      <c r="DD1273" s="1" t="s">
        <v>5589</v>
      </c>
      <c r="DE1273" s="2" t="s">
        <v>5590</v>
      </c>
      <c r="DF1273" s="2" t="s">
        <v>5591</v>
      </c>
    </row>
    <row r="1274" ht="15.75" customHeight="1">
      <c r="A1274" s="1" t="s">
        <v>5592</v>
      </c>
      <c r="B1274" s="1">
        <v>29.0</v>
      </c>
      <c r="C1274" s="1">
        <v>223.0</v>
      </c>
      <c r="D1274" s="1">
        <v>690300.0</v>
      </c>
      <c r="E1274" s="1">
        <v>65.957</v>
      </c>
      <c r="F1274" s="1">
        <v>29223.0</v>
      </c>
      <c r="G1274" s="1">
        <v>2.92236903E10</v>
      </c>
      <c r="H1274" s="1" t="s">
        <v>112</v>
      </c>
      <c r="I1274" s="1" t="s">
        <v>113</v>
      </c>
      <c r="J1274" s="1" t="s">
        <v>5583</v>
      </c>
      <c r="K1274" s="1" t="s">
        <v>5593</v>
      </c>
      <c r="L1274" s="1">
        <v>4040.0</v>
      </c>
      <c r="M1274" s="1">
        <v>4570.0</v>
      </c>
      <c r="N1274" s="1">
        <v>403.0</v>
      </c>
      <c r="O1274" s="1">
        <v>2191.0</v>
      </c>
      <c r="P1274" s="1">
        <v>2406.0</v>
      </c>
      <c r="Q1274" s="1">
        <v>107.0</v>
      </c>
      <c r="R1274" s="1">
        <v>1682.0</v>
      </c>
      <c r="S1274" s="1">
        <v>856.0</v>
      </c>
      <c r="T1274" s="1">
        <v>267.0</v>
      </c>
      <c r="U1274" s="1">
        <v>106.0</v>
      </c>
      <c r="V1274" s="1">
        <v>416.0</v>
      </c>
      <c r="W1274" s="1">
        <v>17289.0</v>
      </c>
      <c r="X1274" s="1">
        <v>1531.0</v>
      </c>
      <c r="Y1274" s="1">
        <v>802.0</v>
      </c>
      <c r="Z1274" s="1">
        <v>247.0</v>
      </c>
      <c r="AA1274" s="1">
        <v>847.0</v>
      </c>
      <c r="AB1274" s="1">
        <v>891.0</v>
      </c>
      <c r="AC1274" s="1">
        <v>178.0</v>
      </c>
      <c r="AD1274" s="1">
        <v>154.0</v>
      </c>
      <c r="AE1274" s="1">
        <v>0.0</v>
      </c>
      <c r="AF1274" s="1">
        <v>456.0</v>
      </c>
      <c r="AG1274" s="1">
        <v>54.0</v>
      </c>
      <c r="AH1274" s="1">
        <v>121.0</v>
      </c>
      <c r="AI1274" s="1">
        <v>471.0</v>
      </c>
      <c r="AJ1274" s="1">
        <v>131.0</v>
      </c>
      <c r="AK1274" s="1">
        <v>22.0</v>
      </c>
      <c r="AL1274" s="1">
        <v>120.0</v>
      </c>
      <c r="AM1274" s="1">
        <v>194.0</v>
      </c>
      <c r="AN1274" s="1">
        <v>73.0</v>
      </c>
      <c r="AO1274" s="1">
        <v>67.0</v>
      </c>
      <c r="AP1274" s="1">
        <v>0.187308</v>
      </c>
      <c r="AQ1274" s="1">
        <v>0.05604</v>
      </c>
      <c r="AR1274" s="1">
        <v>0.050888</v>
      </c>
      <c r="AS1274" s="1">
        <v>0.199616</v>
      </c>
      <c r="AT1274" s="1">
        <v>17289.0</v>
      </c>
      <c r="AU1274" s="1">
        <v>1531.0</v>
      </c>
      <c r="AV1274" s="1">
        <v>0.259127</v>
      </c>
      <c r="AW1274" s="1">
        <v>0.077651</v>
      </c>
      <c r="AX1274" s="1">
        <v>0.209653</v>
      </c>
      <c r="AY1274" s="1">
        <v>0.220544</v>
      </c>
      <c r="AZ1274" s="1">
        <v>0.10582639</v>
      </c>
      <c r="BA1274" s="1">
        <v>0.038118</v>
      </c>
      <c r="BB1274" s="1">
        <v>0.0</v>
      </c>
      <c r="BC1274" s="1">
        <v>0.106891</v>
      </c>
      <c r="BD1274" s="1">
        <v>0.022443</v>
      </c>
      <c r="BE1274" s="1">
        <v>0.050281</v>
      </c>
      <c r="BF1274" s="1">
        <v>0.19576</v>
      </c>
      <c r="BG1274" s="1">
        <v>0.053746</v>
      </c>
      <c r="BH1274" s="1">
        <v>0.011016</v>
      </c>
      <c r="BI1274" s="1">
        <v>0.060085</v>
      </c>
      <c r="BJ1274" s="1">
        <v>0.097145</v>
      </c>
      <c r="BK1274" s="1">
        <v>0.035924</v>
      </c>
      <c r="BL1274" s="1">
        <v>0.016584</v>
      </c>
      <c r="BM1274" s="1">
        <v>0.696</v>
      </c>
      <c r="BN1274" s="1">
        <v>0.301</v>
      </c>
      <c r="BO1274" s="1">
        <v>0.7661</v>
      </c>
      <c r="BP1274" s="1">
        <v>0.887</v>
      </c>
      <c r="BQ1274" s="1">
        <v>2.6501</v>
      </c>
      <c r="BR1274" s="1">
        <v>0.7076</v>
      </c>
      <c r="BS1274" s="1">
        <v>0.907</v>
      </c>
      <c r="BT1274" s="1">
        <v>0.303</v>
      </c>
      <c r="BU1274" s="1">
        <v>0.548</v>
      </c>
      <c r="BV1274" s="1">
        <v>1.758</v>
      </c>
      <c r="BW1274" s="1">
        <v>0.689</v>
      </c>
      <c r="BX1274" s="1">
        <v>0.149</v>
      </c>
      <c r="BY1274" s="1">
        <v>0.0</v>
      </c>
      <c r="BZ1274" s="1">
        <v>0.149</v>
      </c>
      <c r="CA1274" s="1">
        <v>0.071</v>
      </c>
      <c r="CB1274" s="1">
        <v>0.494</v>
      </c>
      <c r="CC1274" s="1">
        <v>0.894</v>
      </c>
      <c r="CD1274" s="1">
        <v>0.499</v>
      </c>
      <c r="CE1274" s="1">
        <v>0.745</v>
      </c>
      <c r="CF1274" s="1">
        <v>0.667</v>
      </c>
      <c r="CG1274" s="1">
        <v>3.299</v>
      </c>
      <c r="CH1274" s="1">
        <v>0.872</v>
      </c>
      <c r="CI1274" s="1">
        <v>7.8561</v>
      </c>
      <c r="CJ1274" s="1">
        <v>0.6895</v>
      </c>
      <c r="CK1274" s="1">
        <v>0.0</v>
      </c>
      <c r="CL1274" s="1">
        <v>0.0</v>
      </c>
      <c r="CM1274" s="1">
        <v>0.0</v>
      </c>
      <c r="CN1274" s="1">
        <v>0.0</v>
      </c>
      <c r="CO1274" s="1">
        <v>0.0</v>
      </c>
      <c r="CP1274" s="1">
        <v>1.0</v>
      </c>
      <c r="CQ1274" s="1">
        <v>0.0</v>
      </c>
      <c r="CR1274" s="1">
        <v>0.0</v>
      </c>
      <c r="CS1274" s="1">
        <v>1.0</v>
      </c>
      <c r="CT1274" s="1">
        <v>0.0</v>
      </c>
      <c r="CU1274" s="1">
        <v>0.0</v>
      </c>
      <c r="CV1274" s="1">
        <v>0.0</v>
      </c>
      <c r="CW1274" s="1">
        <v>0.0</v>
      </c>
      <c r="CX1274" s="1">
        <v>0.0</v>
      </c>
      <c r="CY1274" s="1">
        <v>0.0</v>
      </c>
      <c r="CZ1274" s="1">
        <v>0.0</v>
      </c>
      <c r="DA1274" s="1">
        <v>0.0</v>
      </c>
      <c r="DB1274" s="1">
        <v>0.0</v>
      </c>
      <c r="DC1274" s="1">
        <v>1.0</v>
      </c>
      <c r="DD1274" s="1" t="s">
        <v>5594</v>
      </c>
      <c r="DE1274" s="2" t="s">
        <v>5595</v>
      </c>
      <c r="DF1274" s="2" t="s">
        <v>5596</v>
      </c>
    </row>
    <row r="1275" ht="15.75" customHeight="1">
      <c r="A1275" s="1" t="s">
        <v>5597</v>
      </c>
      <c r="B1275" s="1">
        <v>29.0</v>
      </c>
      <c r="C1275" s="1">
        <v>223.0</v>
      </c>
      <c r="D1275" s="1">
        <v>690400.0</v>
      </c>
      <c r="E1275" s="1">
        <v>207.057</v>
      </c>
      <c r="F1275" s="1">
        <v>29223.0</v>
      </c>
      <c r="G1275" s="1">
        <v>2.92236904E10</v>
      </c>
      <c r="H1275" s="1" t="s">
        <v>112</v>
      </c>
      <c r="I1275" s="1" t="s">
        <v>113</v>
      </c>
      <c r="J1275" s="1" t="s">
        <v>5583</v>
      </c>
      <c r="K1275" s="1" t="s">
        <v>5598</v>
      </c>
      <c r="L1275" s="1">
        <v>2422.0</v>
      </c>
      <c r="M1275" s="1">
        <v>2332.0</v>
      </c>
      <c r="N1275" s="1">
        <v>367.0</v>
      </c>
      <c r="O1275" s="1">
        <v>1526.0</v>
      </c>
      <c r="P1275" s="1">
        <v>1510.0</v>
      </c>
      <c r="Q1275" s="1">
        <v>90.0</v>
      </c>
      <c r="R1275" s="1">
        <v>1029.0</v>
      </c>
      <c r="S1275" s="1">
        <v>428.0</v>
      </c>
      <c r="T1275" s="1">
        <v>148.0</v>
      </c>
      <c r="U1275" s="1">
        <v>110.0</v>
      </c>
      <c r="V1275" s="1">
        <v>399.0</v>
      </c>
      <c r="W1275" s="1">
        <v>15511.0</v>
      </c>
      <c r="X1275" s="1">
        <v>2984.0</v>
      </c>
      <c r="Y1275" s="1">
        <v>414.0</v>
      </c>
      <c r="Z1275" s="1">
        <v>157.0</v>
      </c>
      <c r="AA1275" s="1">
        <v>471.0</v>
      </c>
      <c r="AB1275" s="1">
        <v>512.0</v>
      </c>
      <c r="AC1275" s="1">
        <v>96.0</v>
      </c>
      <c r="AD1275" s="1">
        <v>65.0</v>
      </c>
      <c r="AE1275" s="1">
        <v>0.0</v>
      </c>
      <c r="AF1275" s="1">
        <v>456.0</v>
      </c>
      <c r="AG1275" s="1">
        <v>0.0</v>
      </c>
      <c r="AH1275" s="1">
        <v>197.0</v>
      </c>
      <c r="AI1275" s="1">
        <v>415.0</v>
      </c>
      <c r="AJ1275" s="1">
        <v>113.0</v>
      </c>
      <c r="AK1275" s="1">
        <v>28.0</v>
      </c>
      <c r="AL1275" s="1">
        <v>119.0</v>
      </c>
      <c r="AM1275" s="1">
        <v>44.0</v>
      </c>
      <c r="AN1275" s="1">
        <v>25.0</v>
      </c>
      <c r="AO1275" s="1">
        <v>0.0</v>
      </c>
      <c r="AP1275" s="1">
        <v>0.183533</v>
      </c>
      <c r="AQ1275" s="1">
        <v>0.056511</v>
      </c>
      <c r="AR1275" s="1">
        <v>0.116033</v>
      </c>
      <c r="AS1275" s="1">
        <v>0.42018</v>
      </c>
      <c r="AT1275" s="1">
        <v>15511.0</v>
      </c>
      <c r="AU1275" s="1">
        <v>2984.0</v>
      </c>
      <c r="AV1275" s="1">
        <v>0.250909</v>
      </c>
      <c r="AW1275" s="1">
        <v>0.090211</v>
      </c>
      <c r="AX1275" s="1">
        <v>0.194467</v>
      </c>
      <c r="AY1275" s="1">
        <v>0.211395</v>
      </c>
      <c r="AZ1275" s="1">
        <v>0.09329446</v>
      </c>
      <c r="BA1275" s="1">
        <v>0.026837</v>
      </c>
      <c r="BB1275" s="1">
        <v>0.0</v>
      </c>
      <c r="BC1275" s="1">
        <v>0.200439</v>
      </c>
      <c r="BD1275" s="1">
        <v>0.0</v>
      </c>
      <c r="BE1275" s="1">
        <v>0.130463</v>
      </c>
      <c r="BF1275" s="1">
        <v>0.274834</v>
      </c>
      <c r="BG1275" s="1">
        <v>0.073019</v>
      </c>
      <c r="BH1275" s="1">
        <v>0.029442</v>
      </c>
      <c r="BI1275" s="1">
        <v>0.125079</v>
      </c>
      <c r="BJ1275" s="1">
        <v>0.046267</v>
      </c>
      <c r="BK1275" s="1">
        <v>0.025675</v>
      </c>
      <c r="BL1275" s="1">
        <v>0.0</v>
      </c>
      <c r="BM1275" s="1">
        <v>0.683</v>
      </c>
      <c r="BN1275" s="1">
        <v>0.806</v>
      </c>
      <c r="BO1275" s="1">
        <v>0.857</v>
      </c>
      <c r="BP1275" s="1">
        <v>0.869</v>
      </c>
      <c r="BQ1275" s="1">
        <v>3.215</v>
      </c>
      <c r="BR1275" s="1">
        <v>0.8556</v>
      </c>
      <c r="BS1275" s="1">
        <v>0.856</v>
      </c>
      <c r="BT1275" s="1">
        <v>0.242</v>
      </c>
      <c r="BU1275" s="1">
        <v>0.433</v>
      </c>
      <c r="BV1275" s="1">
        <v>1.531</v>
      </c>
      <c r="BW1275" s="1">
        <v>0.507</v>
      </c>
      <c r="BX1275" s="1">
        <v>0.056</v>
      </c>
      <c r="BY1275" s="1">
        <v>0.0</v>
      </c>
      <c r="BZ1275" s="1">
        <v>0.056</v>
      </c>
      <c r="CA1275" s="1">
        <v>0.027</v>
      </c>
      <c r="CB1275" s="1">
        <v>0.0</v>
      </c>
      <c r="CC1275" s="1">
        <v>0.972</v>
      </c>
      <c r="CD1275" s="1">
        <v>0.799</v>
      </c>
      <c r="CE1275" s="1">
        <v>0.454</v>
      </c>
      <c r="CF1275" s="1">
        <v>0.0</v>
      </c>
      <c r="CG1275" s="1">
        <v>2.225</v>
      </c>
      <c r="CH1275" s="1">
        <v>0.428</v>
      </c>
      <c r="CI1275" s="1">
        <v>7.027</v>
      </c>
      <c r="CJ1275" s="1">
        <v>0.5502</v>
      </c>
      <c r="CK1275" s="1">
        <v>0.0</v>
      </c>
      <c r="CL1275" s="1">
        <v>0.0</v>
      </c>
      <c r="CM1275" s="1">
        <v>0.0</v>
      </c>
      <c r="CN1275" s="1">
        <v>0.0</v>
      </c>
      <c r="CO1275" s="1">
        <v>0.0</v>
      </c>
      <c r="CP1275" s="1">
        <v>0.0</v>
      </c>
      <c r="CQ1275" s="1">
        <v>0.0</v>
      </c>
      <c r="CR1275" s="1">
        <v>0.0</v>
      </c>
      <c r="CS1275" s="1">
        <v>0.0</v>
      </c>
      <c r="CT1275" s="1">
        <v>0.0</v>
      </c>
      <c r="CU1275" s="1">
        <v>0.0</v>
      </c>
      <c r="CV1275" s="1">
        <v>0.0</v>
      </c>
      <c r="CW1275" s="1">
        <v>0.0</v>
      </c>
      <c r="CX1275" s="1">
        <v>1.0</v>
      </c>
      <c r="CY1275" s="1">
        <v>0.0</v>
      </c>
      <c r="CZ1275" s="1">
        <v>0.0</v>
      </c>
      <c r="DA1275" s="1">
        <v>0.0</v>
      </c>
      <c r="DB1275" s="1">
        <v>1.0</v>
      </c>
      <c r="DC1275" s="1">
        <v>1.0</v>
      </c>
      <c r="DD1275" s="1" t="s">
        <v>5599</v>
      </c>
      <c r="DE1275" s="1">
        <v>0.0556061193971458</v>
      </c>
      <c r="DF1275" s="2" t="s">
        <v>5600</v>
      </c>
    </row>
    <row r="1276" ht="15.75" customHeight="1">
      <c r="A1276" s="1" t="s">
        <v>5601</v>
      </c>
      <c r="B1276" s="1">
        <v>29.0</v>
      </c>
      <c r="C1276" s="1">
        <v>225.0</v>
      </c>
      <c r="D1276" s="1">
        <v>470202.0</v>
      </c>
      <c r="E1276" s="1">
        <v>20.313</v>
      </c>
      <c r="F1276" s="1">
        <v>29225.0</v>
      </c>
      <c r="G1276" s="1">
        <v>2.9225470202E10</v>
      </c>
      <c r="H1276" s="1" t="s">
        <v>112</v>
      </c>
      <c r="I1276" s="1" t="s">
        <v>113</v>
      </c>
      <c r="J1276" s="1" t="s">
        <v>5602</v>
      </c>
      <c r="K1276" s="1" t="s">
        <v>5603</v>
      </c>
      <c r="L1276" s="1">
        <v>4111.0</v>
      </c>
      <c r="M1276" s="1">
        <v>4135.0</v>
      </c>
      <c r="N1276" s="1">
        <v>421.0</v>
      </c>
      <c r="O1276" s="1">
        <v>1822.0</v>
      </c>
      <c r="P1276" s="1">
        <v>1753.0</v>
      </c>
      <c r="Q1276" s="1">
        <v>144.0</v>
      </c>
      <c r="R1276" s="1">
        <v>1628.0</v>
      </c>
      <c r="S1276" s="1">
        <v>853.0</v>
      </c>
      <c r="T1276" s="1">
        <v>411.0</v>
      </c>
      <c r="U1276" s="1">
        <v>142.0</v>
      </c>
      <c r="V1276" s="1">
        <v>437.0</v>
      </c>
      <c r="W1276" s="1">
        <v>17775.0</v>
      </c>
      <c r="X1276" s="1">
        <v>2238.0</v>
      </c>
      <c r="Y1276" s="1">
        <v>425.0</v>
      </c>
      <c r="Z1276" s="1">
        <v>308.0</v>
      </c>
      <c r="AA1276" s="1">
        <v>877.0</v>
      </c>
      <c r="AB1276" s="1">
        <v>1002.0</v>
      </c>
      <c r="AC1276" s="1">
        <v>182.0</v>
      </c>
      <c r="AD1276" s="1">
        <v>172.0</v>
      </c>
      <c r="AE1276" s="1">
        <v>30.0</v>
      </c>
      <c r="AF1276" s="1">
        <v>444.0</v>
      </c>
      <c r="AG1276" s="1">
        <v>62.0</v>
      </c>
      <c r="AH1276" s="1">
        <v>122.0</v>
      </c>
      <c r="AI1276" s="1">
        <v>75.0</v>
      </c>
      <c r="AJ1276" s="1">
        <v>54.0</v>
      </c>
      <c r="AK1276" s="1">
        <v>17.0</v>
      </c>
      <c r="AL1276" s="1">
        <v>117.0</v>
      </c>
      <c r="AM1276" s="1">
        <v>201.0</v>
      </c>
      <c r="AN1276" s="1">
        <v>108.0</v>
      </c>
      <c r="AO1276" s="1">
        <v>163.0</v>
      </c>
      <c r="AP1276" s="1">
        <v>0.217991</v>
      </c>
      <c r="AQ1276" s="1">
        <v>0.102558</v>
      </c>
      <c r="AR1276" s="1">
        <v>0.075854</v>
      </c>
      <c r="AS1276" s="1">
        <v>0.233189</v>
      </c>
      <c r="AT1276" s="1">
        <v>17775.0</v>
      </c>
      <c r="AU1276" s="1">
        <v>2238.0</v>
      </c>
      <c r="AV1276" s="1">
        <v>0.15602</v>
      </c>
      <c r="AW1276" s="1">
        <v>0.111799</v>
      </c>
      <c r="AX1276" s="1">
        <v>0.21333</v>
      </c>
      <c r="AY1276" s="1">
        <v>0.243736</v>
      </c>
      <c r="AZ1276" s="1">
        <v>0.11179361</v>
      </c>
      <c r="BA1276" s="1">
        <v>0.041838</v>
      </c>
      <c r="BB1276" s="1">
        <v>0.007832</v>
      </c>
      <c r="BC1276" s="1">
        <v>0.115924</v>
      </c>
      <c r="BD1276" s="1">
        <v>0.035367</v>
      </c>
      <c r="BE1276" s="1">
        <v>0.069534</v>
      </c>
      <c r="BF1276" s="1">
        <v>0.042783</v>
      </c>
      <c r="BG1276" s="1">
        <v>0.030603</v>
      </c>
      <c r="BH1276" s="1">
        <v>0.010618</v>
      </c>
      <c r="BI1276" s="1">
        <v>0.073072</v>
      </c>
      <c r="BJ1276" s="1">
        <v>0.125546</v>
      </c>
      <c r="BK1276" s="1">
        <v>0.066339</v>
      </c>
      <c r="BL1276" s="1">
        <v>0.039649</v>
      </c>
      <c r="BM1276" s="1">
        <v>0.771</v>
      </c>
      <c r="BN1276" s="1">
        <v>0.569</v>
      </c>
      <c r="BO1276" s="1">
        <v>0.7401</v>
      </c>
      <c r="BP1276" s="1">
        <v>0.591</v>
      </c>
      <c r="BQ1276" s="1">
        <v>2.6711</v>
      </c>
      <c r="BR1276" s="1">
        <v>0.7126</v>
      </c>
      <c r="BS1276" s="1">
        <v>0.918</v>
      </c>
      <c r="BT1276" s="1">
        <v>0.531</v>
      </c>
      <c r="BU1276" s="1">
        <v>0.6</v>
      </c>
      <c r="BV1276" s="1">
        <v>2.049</v>
      </c>
      <c r="BW1276" s="1">
        <v>0.893</v>
      </c>
      <c r="BX1276" s="1">
        <v>0.18</v>
      </c>
      <c r="BY1276" s="1">
        <v>0.662</v>
      </c>
      <c r="BZ1276" s="1">
        <v>0.842</v>
      </c>
      <c r="CA1276" s="1">
        <v>0.425</v>
      </c>
      <c r="CB1276" s="1">
        <v>0.582</v>
      </c>
      <c r="CC1276" s="1">
        <v>0.587</v>
      </c>
      <c r="CD1276" s="1">
        <v>0.489</v>
      </c>
      <c r="CE1276" s="1">
        <v>0.819</v>
      </c>
      <c r="CF1276" s="1">
        <v>0.866</v>
      </c>
      <c r="CG1276" s="1">
        <v>3.343</v>
      </c>
      <c r="CH1276" s="1">
        <v>0.892</v>
      </c>
      <c r="CI1276" s="1">
        <v>8.9051</v>
      </c>
      <c r="CJ1276" s="1">
        <v>0.8404</v>
      </c>
      <c r="CK1276" s="1">
        <v>0.0</v>
      </c>
      <c r="CL1276" s="1">
        <v>0.0</v>
      </c>
      <c r="CM1276" s="1">
        <v>0.0</v>
      </c>
      <c r="CN1276" s="1">
        <v>0.0</v>
      </c>
      <c r="CO1276" s="1">
        <v>0.0</v>
      </c>
      <c r="CP1276" s="1">
        <v>1.0</v>
      </c>
      <c r="CQ1276" s="1">
        <v>0.0</v>
      </c>
      <c r="CR1276" s="1">
        <v>0.0</v>
      </c>
      <c r="CS1276" s="1">
        <v>1.0</v>
      </c>
      <c r="CT1276" s="1">
        <v>0.0</v>
      </c>
      <c r="CU1276" s="1">
        <v>0.0</v>
      </c>
      <c r="CV1276" s="1">
        <v>0.0</v>
      </c>
      <c r="CW1276" s="1">
        <v>0.0</v>
      </c>
      <c r="CX1276" s="1">
        <v>0.0</v>
      </c>
      <c r="CY1276" s="1">
        <v>0.0</v>
      </c>
      <c r="CZ1276" s="1">
        <v>0.0</v>
      </c>
      <c r="DA1276" s="1">
        <v>0.0</v>
      </c>
      <c r="DB1276" s="1">
        <v>0.0</v>
      </c>
      <c r="DC1276" s="1">
        <v>1.0</v>
      </c>
      <c r="DD1276" s="1" t="s">
        <v>5604</v>
      </c>
      <c r="DE1276" s="1">
        <v>0.00535729474883414</v>
      </c>
      <c r="DF1276" s="1">
        <v>0.349734651777819</v>
      </c>
    </row>
    <row r="1277" ht="15.75" customHeight="1">
      <c r="A1277" s="1" t="s">
        <v>5605</v>
      </c>
      <c r="B1277" s="1">
        <v>29.0</v>
      </c>
      <c r="C1277" s="1">
        <v>225.0</v>
      </c>
      <c r="D1277" s="1">
        <v>470401.0</v>
      </c>
      <c r="E1277" s="1">
        <v>61.408</v>
      </c>
      <c r="F1277" s="1">
        <v>29225.0</v>
      </c>
      <c r="G1277" s="1">
        <v>2.9225470401E10</v>
      </c>
      <c r="H1277" s="1" t="s">
        <v>112</v>
      </c>
      <c r="I1277" s="1" t="s">
        <v>113</v>
      </c>
      <c r="J1277" s="1" t="s">
        <v>5602</v>
      </c>
      <c r="K1277" s="1" t="s">
        <v>5606</v>
      </c>
      <c r="L1277" s="1">
        <v>3773.0</v>
      </c>
      <c r="M1277" s="1">
        <v>3597.0</v>
      </c>
      <c r="N1277" s="1">
        <v>559.0</v>
      </c>
      <c r="O1277" s="1">
        <v>1489.0</v>
      </c>
      <c r="P1277" s="1">
        <v>1434.0</v>
      </c>
      <c r="Q1277" s="1">
        <v>97.0</v>
      </c>
      <c r="R1277" s="1">
        <v>1338.0</v>
      </c>
      <c r="S1277" s="1">
        <v>715.0</v>
      </c>
      <c r="T1277" s="1">
        <v>420.0</v>
      </c>
      <c r="U1277" s="1">
        <v>123.0</v>
      </c>
      <c r="V1277" s="1">
        <v>346.0</v>
      </c>
      <c r="W1277" s="1">
        <v>16356.0</v>
      </c>
      <c r="X1277" s="1">
        <v>3342.0</v>
      </c>
      <c r="Y1277" s="1">
        <v>519.0</v>
      </c>
      <c r="Z1277" s="1">
        <v>194.0</v>
      </c>
      <c r="AA1277" s="1">
        <v>551.0</v>
      </c>
      <c r="AB1277" s="1">
        <v>1137.0</v>
      </c>
      <c r="AC1277" s="1">
        <v>150.0</v>
      </c>
      <c r="AD1277" s="1">
        <v>181.0</v>
      </c>
      <c r="AE1277" s="1">
        <v>16.0</v>
      </c>
      <c r="AF1277" s="1">
        <v>442.0</v>
      </c>
      <c r="AG1277" s="1">
        <v>9.0</v>
      </c>
      <c r="AH1277" s="1">
        <v>114.0</v>
      </c>
      <c r="AI1277" s="1">
        <v>125.0</v>
      </c>
      <c r="AJ1277" s="1">
        <v>65.0</v>
      </c>
      <c r="AK1277" s="1">
        <v>48.0</v>
      </c>
      <c r="AL1277" s="1">
        <v>48.0</v>
      </c>
      <c r="AM1277" s="1">
        <v>164.0</v>
      </c>
      <c r="AN1277" s="1">
        <v>53.0</v>
      </c>
      <c r="AO1277" s="1">
        <v>42.0</v>
      </c>
      <c r="AP1277" s="1">
        <v>0.206946</v>
      </c>
      <c r="AQ1277" s="1">
        <v>0.117425</v>
      </c>
      <c r="AR1277" s="1">
        <v>0.096093</v>
      </c>
      <c r="AS1277" s="1">
        <v>0.269825</v>
      </c>
      <c r="AT1277" s="1">
        <v>16356.0</v>
      </c>
      <c r="AU1277" s="1">
        <v>3342.0</v>
      </c>
      <c r="AV1277" s="1">
        <v>0.248801</v>
      </c>
      <c r="AW1277" s="1">
        <v>0.089326</v>
      </c>
      <c r="AX1277" s="1">
        <v>0.146037</v>
      </c>
      <c r="AY1277" s="1">
        <v>0.301351</v>
      </c>
      <c r="AZ1277" s="1">
        <v>0.11210762</v>
      </c>
      <c r="BA1277" s="1">
        <v>0.047972</v>
      </c>
      <c r="BB1277" s="1">
        <v>0.004753</v>
      </c>
      <c r="BC1277" s="1">
        <v>0.131311</v>
      </c>
      <c r="BD1277" s="1">
        <v>0.006276</v>
      </c>
      <c r="BE1277" s="1">
        <v>0.079496</v>
      </c>
      <c r="BF1277" s="1">
        <v>0.087168</v>
      </c>
      <c r="BG1277" s="1">
        <v>0.044942</v>
      </c>
      <c r="BH1277" s="1">
        <v>0.037735</v>
      </c>
      <c r="BI1277" s="1">
        <v>0.037567</v>
      </c>
      <c r="BJ1277" s="1">
        <v>0.12893</v>
      </c>
      <c r="BK1277" s="1">
        <v>0.039851</v>
      </c>
      <c r="BL1277" s="1">
        <v>0.011131</v>
      </c>
      <c r="BM1277" s="1">
        <v>0.746</v>
      </c>
      <c r="BN1277" s="1">
        <v>0.71</v>
      </c>
      <c r="BO1277" s="1">
        <v>0.8188</v>
      </c>
      <c r="BP1277" s="1">
        <v>0.864</v>
      </c>
      <c r="BQ1277" s="1">
        <v>3.1388</v>
      </c>
      <c r="BR1277" s="1">
        <v>0.8375</v>
      </c>
      <c r="BS1277" s="1">
        <v>0.547</v>
      </c>
      <c r="BT1277" s="1">
        <v>0.925</v>
      </c>
      <c r="BU1277" s="1">
        <v>0.604</v>
      </c>
      <c r="BV1277" s="1">
        <v>2.076</v>
      </c>
      <c r="BW1277" s="1">
        <v>0.908</v>
      </c>
      <c r="BX1277" s="1">
        <v>0.233</v>
      </c>
      <c r="BY1277" s="1">
        <v>0.55</v>
      </c>
      <c r="BZ1277" s="1">
        <v>0.783</v>
      </c>
      <c r="CA1277" s="1">
        <v>0.385</v>
      </c>
      <c r="CB1277" s="1">
        <v>0.342</v>
      </c>
      <c r="CC1277" s="1">
        <v>0.694</v>
      </c>
      <c r="CD1277" s="1">
        <v>0.879</v>
      </c>
      <c r="CE1277" s="1">
        <v>0.826</v>
      </c>
      <c r="CF1277" s="1">
        <v>0.594</v>
      </c>
      <c r="CG1277" s="1">
        <v>3.335</v>
      </c>
      <c r="CH1277" s="1">
        <v>0.886</v>
      </c>
      <c r="CI1277" s="1">
        <v>9.3328</v>
      </c>
      <c r="CJ1277" s="1">
        <v>0.8931</v>
      </c>
      <c r="CK1277" s="1">
        <v>0.0</v>
      </c>
      <c r="CL1277" s="1">
        <v>0.0</v>
      </c>
      <c r="CM1277" s="1">
        <v>0.0</v>
      </c>
      <c r="CN1277" s="1">
        <v>0.0</v>
      </c>
      <c r="CO1277" s="1">
        <v>0.0</v>
      </c>
      <c r="CP1277" s="1">
        <v>0.0</v>
      </c>
      <c r="CQ1277" s="1">
        <v>1.0</v>
      </c>
      <c r="CR1277" s="1">
        <v>0.0</v>
      </c>
      <c r="CS1277" s="1">
        <v>1.0</v>
      </c>
      <c r="CT1277" s="1">
        <v>0.0</v>
      </c>
      <c r="CU1277" s="1">
        <v>0.0</v>
      </c>
      <c r="CV1277" s="1">
        <v>0.0</v>
      </c>
      <c r="CW1277" s="1">
        <v>0.0</v>
      </c>
      <c r="CX1277" s="1">
        <v>0.0</v>
      </c>
      <c r="CY1277" s="1">
        <v>0.0</v>
      </c>
      <c r="CZ1277" s="1">
        <v>0.0</v>
      </c>
      <c r="DA1277" s="1">
        <v>0.0</v>
      </c>
      <c r="DB1277" s="1">
        <v>0.0</v>
      </c>
      <c r="DC1277" s="1">
        <v>1.0</v>
      </c>
      <c r="DD1277" s="1" t="s">
        <v>5607</v>
      </c>
      <c r="DE1277" s="2" t="s">
        <v>5608</v>
      </c>
      <c r="DF1277" s="2" t="s">
        <v>5609</v>
      </c>
    </row>
    <row r="1278" ht="15.75" customHeight="1">
      <c r="A1278" s="1" t="s">
        <v>5610</v>
      </c>
      <c r="B1278" s="1">
        <v>29.0</v>
      </c>
      <c r="C1278" s="1">
        <v>225.0</v>
      </c>
      <c r="D1278" s="1">
        <v>470402.0</v>
      </c>
      <c r="E1278" s="1">
        <v>47.807</v>
      </c>
      <c r="F1278" s="1">
        <v>29225.0</v>
      </c>
      <c r="G1278" s="1">
        <v>2.9225470402E10</v>
      </c>
      <c r="H1278" s="1" t="s">
        <v>112</v>
      </c>
      <c r="I1278" s="1" t="s">
        <v>113</v>
      </c>
      <c r="J1278" s="1" t="s">
        <v>5602</v>
      </c>
      <c r="K1278" s="1" t="s">
        <v>5611</v>
      </c>
      <c r="L1278" s="1">
        <v>2989.0</v>
      </c>
      <c r="M1278" s="1">
        <v>2489.0</v>
      </c>
      <c r="N1278" s="1">
        <v>270.0</v>
      </c>
      <c r="O1278" s="1">
        <v>1025.0</v>
      </c>
      <c r="P1278" s="1">
        <v>955.0</v>
      </c>
      <c r="Q1278" s="1">
        <v>76.0</v>
      </c>
      <c r="R1278" s="1">
        <v>925.0</v>
      </c>
      <c r="S1278" s="1">
        <v>558.0</v>
      </c>
      <c r="T1278" s="1">
        <v>186.0</v>
      </c>
      <c r="U1278" s="1">
        <v>24.0</v>
      </c>
      <c r="V1278" s="1">
        <v>442.0</v>
      </c>
      <c r="W1278" s="1">
        <v>16196.0</v>
      </c>
      <c r="X1278" s="1">
        <v>2434.0</v>
      </c>
      <c r="Y1278" s="1">
        <v>489.0</v>
      </c>
      <c r="Z1278" s="1">
        <v>260.0</v>
      </c>
      <c r="AA1278" s="1">
        <v>329.0</v>
      </c>
      <c r="AB1278" s="1">
        <v>613.0</v>
      </c>
      <c r="AC1278" s="1">
        <v>98.0</v>
      </c>
      <c r="AD1278" s="1">
        <v>306.0</v>
      </c>
      <c r="AE1278" s="1">
        <v>39.0</v>
      </c>
      <c r="AF1278" s="1">
        <v>442.0</v>
      </c>
      <c r="AG1278" s="1">
        <v>2.0</v>
      </c>
      <c r="AH1278" s="1">
        <v>161.0</v>
      </c>
      <c r="AI1278" s="1">
        <v>122.0</v>
      </c>
      <c r="AJ1278" s="1">
        <v>95.0</v>
      </c>
      <c r="AK1278" s="1">
        <v>0.0</v>
      </c>
      <c r="AL1278" s="1">
        <v>161.0</v>
      </c>
      <c r="AM1278" s="1">
        <v>116.0</v>
      </c>
      <c r="AN1278" s="1">
        <v>57.0</v>
      </c>
      <c r="AO1278" s="1">
        <v>629.0</v>
      </c>
      <c r="AP1278" s="1">
        <v>0.273395</v>
      </c>
      <c r="AQ1278" s="1">
        <v>0.08698</v>
      </c>
      <c r="AR1278" s="1">
        <v>0.024896</v>
      </c>
      <c r="AS1278" s="1">
        <v>0.458471</v>
      </c>
      <c r="AT1278" s="1">
        <v>16196.0</v>
      </c>
      <c r="AU1278" s="1">
        <v>2434.0</v>
      </c>
      <c r="AV1278" s="1">
        <v>0.268239</v>
      </c>
      <c r="AW1278" s="1">
        <v>0.138512</v>
      </c>
      <c r="AX1278" s="1">
        <v>0.11007</v>
      </c>
      <c r="AY1278" s="1">
        <v>0.205085</v>
      </c>
      <c r="AZ1278" s="1">
        <v>0.10594594</v>
      </c>
      <c r="BA1278" s="1">
        <v>0.102375</v>
      </c>
      <c r="BB1278" s="1">
        <v>0.017127</v>
      </c>
      <c r="BC1278" s="1">
        <v>0.194103</v>
      </c>
      <c r="BD1278" s="1">
        <v>0.002094</v>
      </c>
      <c r="BE1278" s="1">
        <v>0.168586</v>
      </c>
      <c r="BF1278" s="1">
        <v>0.127748</v>
      </c>
      <c r="BG1278" s="1">
        <v>0.098955</v>
      </c>
      <c r="BH1278" s="1">
        <v>0.0</v>
      </c>
      <c r="BI1278" s="1">
        <v>0.192124</v>
      </c>
      <c r="BJ1278" s="1">
        <v>0.138424</v>
      </c>
      <c r="BK1278" s="1">
        <v>0.066819</v>
      </c>
      <c r="BL1278" s="1">
        <v>0.210438</v>
      </c>
      <c r="BM1278" s="1">
        <v>0.86</v>
      </c>
      <c r="BN1278" s="1">
        <v>0.05</v>
      </c>
      <c r="BO1278" s="1">
        <v>0.8289</v>
      </c>
      <c r="BP1278" s="1">
        <v>0.903</v>
      </c>
      <c r="BQ1278" s="1">
        <v>2.6419</v>
      </c>
      <c r="BR1278" s="1">
        <v>0.7061</v>
      </c>
      <c r="BS1278" s="1">
        <v>0.272</v>
      </c>
      <c r="BT1278" s="1">
        <v>0.212</v>
      </c>
      <c r="BU1278" s="1">
        <v>0.55</v>
      </c>
      <c r="BV1278" s="1">
        <v>1.034</v>
      </c>
      <c r="BW1278" s="1">
        <v>0.126</v>
      </c>
      <c r="BX1278" s="1">
        <v>0.477</v>
      </c>
      <c r="BY1278" s="1">
        <v>0.838</v>
      </c>
      <c r="BZ1278" s="1">
        <v>1.315</v>
      </c>
      <c r="CA1278" s="1">
        <v>0.72</v>
      </c>
      <c r="CB1278" s="1">
        <v>0.272</v>
      </c>
      <c r="CC1278" s="1">
        <v>0.773</v>
      </c>
      <c r="CD1278" s="1">
        <v>0.0</v>
      </c>
      <c r="CE1278" s="1">
        <v>0.843</v>
      </c>
      <c r="CF1278" s="1">
        <v>0.968</v>
      </c>
      <c r="CG1278" s="1">
        <v>2.856</v>
      </c>
      <c r="CH1278" s="1">
        <v>0.712</v>
      </c>
      <c r="CI1278" s="1">
        <v>7.8469</v>
      </c>
      <c r="CJ1278" s="1">
        <v>0.6888</v>
      </c>
      <c r="CK1278" s="1">
        <v>0.0</v>
      </c>
      <c r="CL1278" s="1">
        <v>0.0</v>
      </c>
      <c r="CM1278" s="1">
        <v>0.0</v>
      </c>
      <c r="CN1278" s="1">
        <v>1.0</v>
      </c>
      <c r="CO1278" s="1">
        <v>1.0</v>
      </c>
      <c r="CP1278" s="1">
        <v>0.0</v>
      </c>
      <c r="CQ1278" s="1">
        <v>0.0</v>
      </c>
      <c r="CR1278" s="1">
        <v>0.0</v>
      </c>
      <c r="CS1278" s="1">
        <v>0.0</v>
      </c>
      <c r="CT1278" s="1">
        <v>0.0</v>
      </c>
      <c r="CU1278" s="1">
        <v>0.0</v>
      </c>
      <c r="CV1278" s="1">
        <v>0.0</v>
      </c>
      <c r="CW1278" s="1">
        <v>0.0</v>
      </c>
      <c r="CX1278" s="1">
        <v>0.0</v>
      </c>
      <c r="CY1278" s="1">
        <v>0.0</v>
      </c>
      <c r="CZ1278" s="1">
        <v>0.0</v>
      </c>
      <c r="DA1278" s="1">
        <v>1.0</v>
      </c>
      <c r="DB1278" s="1">
        <v>1.0</v>
      </c>
      <c r="DC1278" s="1">
        <v>2.0</v>
      </c>
      <c r="DD1278" s="1" t="s">
        <v>5612</v>
      </c>
      <c r="DE1278" s="2" t="s">
        <v>5613</v>
      </c>
      <c r="DF1278" s="2" t="s">
        <v>5614</v>
      </c>
    </row>
    <row r="1279" ht="15.75" customHeight="1">
      <c r="A1279" s="1" t="s">
        <v>5615</v>
      </c>
      <c r="B1279" s="1">
        <v>29.0</v>
      </c>
      <c r="C1279" s="1">
        <v>225.0</v>
      </c>
      <c r="D1279" s="1">
        <v>470101.0</v>
      </c>
      <c r="E1279" s="1">
        <v>158.75</v>
      </c>
      <c r="F1279" s="1">
        <v>29225.0</v>
      </c>
      <c r="G1279" s="1">
        <v>2.9225470101E10</v>
      </c>
      <c r="H1279" s="1" t="s">
        <v>112</v>
      </c>
      <c r="I1279" s="1" t="s">
        <v>113</v>
      </c>
      <c r="J1279" s="1" t="s">
        <v>5602</v>
      </c>
      <c r="K1279" s="1" t="s">
        <v>5616</v>
      </c>
      <c r="L1279" s="1">
        <v>4713.0</v>
      </c>
      <c r="M1279" s="1">
        <v>5681.0</v>
      </c>
      <c r="N1279" s="1">
        <v>589.0</v>
      </c>
      <c r="O1279" s="1">
        <v>1963.0</v>
      </c>
      <c r="P1279" s="1">
        <v>1964.0</v>
      </c>
      <c r="Q1279" s="1">
        <v>104.0</v>
      </c>
      <c r="R1279" s="1">
        <v>1749.0</v>
      </c>
      <c r="S1279" s="1">
        <v>614.0</v>
      </c>
      <c r="T1279" s="1">
        <v>384.0</v>
      </c>
      <c r="U1279" s="1">
        <v>133.0</v>
      </c>
      <c r="V1279" s="1">
        <v>402.0</v>
      </c>
      <c r="W1279" s="1">
        <v>18129.0</v>
      </c>
      <c r="X1279" s="1">
        <v>1990.0</v>
      </c>
      <c r="Y1279" s="1">
        <v>572.0</v>
      </c>
      <c r="Z1279" s="1">
        <v>270.0</v>
      </c>
      <c r="AA1279" s="1">
        <v>653.0</v>
      </c>
      <c r="AB1279" s="1">
        <v>1208.0</v>
      </c>
      <c r="AC1279" s="1">
        <v>139.0</v>
      </c>
      <c r="AD1279" s="1">
        <v>179.0</v>
      </c>
      <c r="AE1279" s="1">
        <v>0.0</v>
      </c>
      <c r="AF1279" s="1">
        <v>456.0</v>
      </c>
      <c r="AG1279" s="1">
        <v>0.0</v>
      </c>
      <c r="AH1279" s="1">
        <v>197.0</v>
      </c>
      <c r="AI1279" s="1">
        <v>534.0</v>
      </c>
      <c r="AJ1279" s="1">
        <v>109.0</v>
      </c>
      <c r="AK1279" s="1">
        <v>70.0</v>
      </c>
      <c r="AL1279" s="1">
        <v>68.0</v>
      </c>
      <c r="AM1279" s="1">
        <v>110.0</v>
      </c>
      <c r="AN1279" s="1">
        <v>74.0</v>
      </c>
      <c r="AO1279" s="1">
        <v>13.0</v>
      </c>
      <c r="AP1279" s="1">
        <v>0.108079</v>
      </c>
      <c r="AQ1279" s="1">
        <v>0.066658</v>
      </c>
      <c r="AR1279" s="1">
        <v>0.0625</v>
      </c>
      <c r="AS1279" s="1">
        <v>0.188754</v>
      </c>
      <c r="AT1279" s="1">
        <v>18129.0</v>
      </c>
      <c r="AU1279" s="1">
        <v>1990.0</v>
      </c>
      <c r="AV1279" s="1">
        <v>0.165941</v>
      </c>
      <c r="AW1279" s="1">
        <v>0.077464</v>
      </c>
      <c r="AX1279" s="1">
        <v>0.138552</v>
      </c>
      <c r="AY1279" s="1">
        <v>0.256312</v>
      </c>
      <c r="AZ1279" s="1">
        <v>0.07947398</v>
      </c>
      <c r="BA1279" s="1">
        <v>0.03798</v>
      </c>
      <c r="BB1279" s="1">
        <v>0.0</v>
      </c>
      <c r="BC1279" s="1">
        <v>0.086086</v>
      </c>
      <c r="BD1279" s="1">
        <v>0.0</v>
      </c>
      <c r="BE1279" s="1">
        <v>0.100305</v>
      </c>
      <c r="BF1279" s="1">
        <v>0.271894</v>
      </c>
      <c r="BG1279" s="1">
        <v>0.053598</v>
      </c>
      <c r="BH1279" s="1">
        <v>0.039392</v>
      </c>
      <c r="BI1279" s="1">
        <v>0.038161</v>
      </c>
      <c r="BJ1279" s="1">
        <v>0.061902</v>
      </c>
      <c r="BK1279" s="1">
        <v>0.041403</v>
      </c>
      <c r="BL1279" s="1">
        <v>0.002758</v>
      </c>
      <c r="BM1279" s="1">
        <v>0.405</v>
      </c>
      <c r="BN1279" s="1">
        <v>0.441</v>
      </c>
      <c r="BO1279" s="1">
        <v>0.7242</v>
      </c>
      <c r="BP1279" s="1">
        <v>0.638</v>
      </c>
      <c r="BQ1279" s="1">
        <v>2.2082</v>
      </c>
      <c r="BR1279" s="1">
        <v>0.5711</v>
      </c>
      <c r="BS1279" s="1">
        <v>0.484</v>
      </c>
      <c r="BT1279" s="1">
        <v>0.666</v>
      </c>
      <c r="BU1279" s="1">
        <v>0.3</v>
      </c>
      <c r="BV1279" s="1">
        <v>1.45</v>
      </c>
      <c r="BW1279" s="1">
        <v>0.438</v>
      </c>
      <c r="BX1279" s="1">
        <v>0.147</v>
      </c>
      <c r="BY1279" s="1">
        <v>0.0</v>
      </c>
      <c r="BZ1279" s="1">
        <v>0.147</v>
      </c>
      <c r="CA1279" s="1">
        <v>0.07</v>
      </c>
      <c r="CB1279" s="1">
        <v>0.0</v>
      </c>
      <c r="CC1279" s="1">
        <v>0.97</v>
      </c>
      <c r="CD1279" s="1">
        <v>0.889</v>
      </c>
      <c r="CE1279" s="1">
        <v>0.578</v>
      </c>
      <c r="CF1279" s="1">
        <v>0.469</v>
      </c>
      <c r="CG1279" s="1">
        <v>2.906</v>
      </c>
      <c r="CH1279" s="1">
        <v>0.735</v>
      </c>
      <c r="CI1279" s="1">
        <v>6.7112</v>
      </c>
      <c r="CJ1279" s="1">
        <v>0.4931</v>
      </c>
      <c r="CK1279" s="1">
        <v>0.0</v>
      </c>
      <c r="CL1279" s="1">
        <v>0.0</v>
      </c>
      <c r="CM1279" s="1">
        <v>0.0</v>
      </c>
      <c r="CN1279" s="1">
        <v>0.0</v>
      </c>
      <c r="CO1279" s="1">
        <v>0.0</v>
      </c>
      <c r="CP1279" s="1">
        <v>0.0</v>
      </c>
      <c r="CQ1279" s="1">
        <v>0.0</v>
      </c>
      <c r="CR1279" s="1">
        <v>0.0</v>
      </c>
      <c r="CS1279" s="1">
        <v>0.0</v>
      </c>
      <c r="CT1279" s="1">
        <v>0.0</v>
      </c>
      <c r="CU1279" s="1">
        <v>0.0</v>
      </c>
      <c r="CV1279" s="1">
        <v>0.0</v>
      </c>
      <c r="CW1279" s="1">
        <v>0.0</v>
      </c>
      <c r="CX1279" s="1">
        <v>1.0</v>
      </c>
      <c r="CY1279" s="1">
        <v>0.0</v>
      </c>
      <c r="CZ1279" s="1">
        <v>0.0</v>
      </c>
      <c r="DA1279" s="1">
        <v>0.0</v>
      </c>
      <c r="DB1279" s="1">
        <v>1.0</v>
      </c>
      <c r="DC1279" s="1">
        <v>1.0</v>
      </c>
      <c r="DD1279" s="1" t="s">
        <v>5617</v>
      </c>
      <c r="DE1279" s="2" t="s">
        <v>5618</v>
      </c>
      <c r="DF1279" s="2" t="s">
        <v>5619</v>
      </c>
    </row>
    <row r="1280" ht="15.75" customHeight="1">
      <c r="A1280" s="1" t="s">
        <v>5620</v>
      </c>
      <c r="B1280" s="1">
        <v>29.0</v>
      </c>
      <c r="C1280" s="1">
        <v>225.0</v>
      </c>
      <c r="D1280" s="1">
        <v>470102.0</v>
      </c>
      <c r="E1280" s="1">
        <v>123.566</v>
      </c>
      <c r="F1280" s="1">
        <v>29225.0</v>
      </c>
      <c r="G1280" s="1">
        <v>2.9225470102E10</v>
      </c>
      <c r="H1280" s="1" t="s">
        <v>112</v>
      </c>
      <c r="I1280" s="1" t="s">
        <v>113</v>
      </c>
      <c r="J1280" s="1" t="s">
        <v>5602</v>
      </c>
      <c r="K1280" s="1" t="s">
        <v>5621</v>
      </c>
      <c r="L1280" s="1">
        <v>5616.0</v>
      </c>
      <c r="M1280" s="1">
        <v>5298.0</v>
      </c>
      <c r="N1280" s="1">
        <v>476.0</v>
      </c>
      <c r="O1280" s="1">
        <v>2321.0</v>
      </c>
      <c r="P1280" s="1">
        <v>2384.0</v>
      </c>
      <c r="Q1280" s="1">
        <v>129.0</v>
      </c>
      <c r="R1280" s="1">
        <v>2149.0</v>
      </c>
      <c r="S1280" s="1">
        <v>768.0</v>
      </c>
      <c r="T1280" s="1">
        <v>388.0</v>
      </c>
      <c r="U1280" s="1">
        <v>139.0</v>
      </c>
      <c r="V1280" s="1">
        <v>435.0</v>
      </c>
      <c r="W1280" s="1">
        <v>20939.0</v>
      </c>
      <c r="X1280" s="1">
        <v>2473.0</v>
      </c>
      <c r="Y1280" s="1">
        <v>675.0</v>
      </c>
      <c r="Z1280" s="1">
        <v>291.0</v>
      </c>
      <c r="AA1280" s="1">
        <v>700.0</v>
      </c>
      <c r="AB1280" s="1">
        <v>1353.0</v>
      </c>
      <c r="AC1280" s="1">
        <v>170.0</v>
      </c>
      <c r="AD1280" s="1">
        <v>233.0</v>
      </c>
      <c r="AE1280" s="1">
        <v>0.0</v>
      </c>
      <c r="AF1280" s="1">
        <v>456.0</v>
      </c>
      <c r="AG1280" s="1">
        <v>0.0</v>
      </c>
      <c r="AH1280" s="1">
        <v>197.0</v>
      </c>
      <c r="AI1280" s="1">
        <v>561.0</v>
      </c>
      <c r="AJ1280" s="1">
        <v>168.0</v>
      </c>
      <c r="AK1280" s="1">
        <v>18.0</v>
      </c>
      <c r="AL1280" s="1">
        <v>118.0</v>
      </c>
      <c r="AM1280" s="1">
        <v>22.0</v>
      </c>
      <c r="AN1280" s="1">
        <v>116.0</v>
      </c>
      <c r="AO1280" s="1">
        <v>0.0</v>
      </c>
      <c r="AP1280" s="1">
        <v>0.14496</v>
      </c>
      <c r="AQ1280" s="1">
        <v>0.072067</v>
      </c>
      <c r="AR1280" s="1">
        <v>0.048618</v>
      </c>
      <c r="AS1280" s="1">
        <v>0.152048</v>
      </c>
      <c r="AT1280" s="1">
        <v>20939.0</v>
      </c>
      <c r="AU1280" s="1">
        <v>2473.0</v>
      </c>
      <c r="AV1280" s="1">
        <v>0.174418</v>
      </c>
      <c r="AW1280" s="1">
        <v>0.074049</v>
      </c>
      <c r="AX1280" s="1">
        <v>0.124643</v>
      </c>
      <c r="AY1280" s="1">
        <v>0.240918</v>
      </c>
      <c r="AZ1280" s="1">
        <v>0.07910656</v>
      </c>
      <c r="BA1280" s="1">
        <v>0.041488</v>
      </c>
      <c r="BB1280" s="1">
        <v>0.0</v>
      </c>
      <c r="BC1280" s="1">
        <v>0.088389</v>
      </c>
      <c r="BD1280" s="1">
        <v>0.0</v>
      </c>
      <c r="BE1280" s="1">
        <v>0.082634</v>
      </c>
      <c r="BF1280" s="1">
        <v>0.235318</v>
      </c>
      <c r="BG1280" s="1">
        <v>0.069309</v>
      </c>
      <c r="BH1280" s="1">
        <v>0.008482</v>
      </c>
      <c r="BI1280" s="1">
        <v>0.055604</v>
      </c>
      <c r="BJ1280" s="1">
        <v>0.010367</v>
      </c>
      <c r="BK1280" s="1">
        <v>0.05466</v>
      </c>
      <c r="BL1280" s="1">
        <v>0.0</v>
      </c>
      <c r="BM1280" s="1">
        <v>0.564</v>
      </c>
      <c r="BN1280" s="1">
        <v>0.282</v>
      </c>
      <c r="BO1280" s="1">
        <v>0.5574</v>
      </c>
      <c r="BP1280" s="1">
        <v>0.667</v>
      </c>
      <c r="BQ1280" s="1">
        <v>2.0704</v>
      </c>
      <c r="BR1280" s="1">
        <v>0.5227</v>
      </c>
      <c r="BS1280" s="1">
        <v>0.377</v>
      </c>
      <c r="BT1280" s="1">
        <v>0.502</v>
      </c>
      <c r="BU1280" s="1">
        <v>0.294</v>
      </c>
      <c r="BV1280" s="1">
        <v>1.173</v>
      </c>
      <c r="BW1280" s="1">
        <v>0.21</v>
      </c>
      <c r="BX1280" s="1">
        <v>0.174</v>
      </c>
      <c r="BY1280" s="1">
        <v>0.0</v>
      </c>
      <c r="BZ1280" s="1">
        <v>0.174</v>
      </c>
      <c r="CA1280" s="1">
        <v>0.082</v>
      </c>
      <c r="CB1280" s="1">
        <v>0.0</v>
      </c>
      <c r="CC1280" s="1">
        <v>0.936</v>
      </c>
      <c r="CD1280" s="1">
        <v>0.445</v>
      </c>
      <c r="CE1280" s="1">
        <v>0.091</v>
      </c>
      <c r="CF1280" s="1">
        <v>0.0</v>
      </c>
      <c r="CG1280" s="1">
        <v>1.472</v>
      </c>
      <c r="CH1280" s="1">
        <v>0.164</v>
      </c>
      <c r="CI1280" s="1">
        <v>4.8894</v>
      </c>
      <c r="CJ1280" s="1">
        <v>0.1884</v>
      </c>
      <c r="CK1280" s="1">
        <v>0.0</v>
      </c>
      <c r="CL1280" s="1">
        <v>0.0</v>
      </c>
      <c r="CM1280" s="1">
        <v>0.0</v>
      </c>
      <c r="CN1280" s="1">
        <v>0.0</v>
      </c>
      <c r="CO1280" s="1">
        <v>0.0</v>
      </c>
      <c r="CP1280" s="1">
        <v>0.0</v>
      </c>
      <c r="CQ1280" s="1">
        <v>0.0</v>
      </c>
      <c r="CR1280" s="1">
        <v>0.0</v>
      </c>
      <c r="CS1280" s="1">
        <v>0.0</v>
      </c>
      <c r="CT1280" s="1">
        <v>0.0</v>
      </c>
      <c r="CU1280" s="1">
        <v>0.0</v>
      </c>
      <c r="CV1280" s="1">
        <v>0.0</v>
      </c>
      <c r="CW1280" s="1">
        <v>0.0</v>
      </c>
      <c r="CX1280" s="1">
        <v>1.0</v>
      </c>
      <c r="CY1280" s="1">
        <v>0.0</v>
      </c>
      <c r="CZ1280" s="1">
        <v>0.0</v>
      </c>
      <c r="DA1280" s="1">
        <v>0.0</v>
      </c>
      <c r="DB1280" s="1">
        <v>1.0</v>
      </c>
      <c r="DC1280" s="1">
        <v>1.0</v>
      </c>
      <c r="DD1280" s="1" t="s">
        <v>5622</v>
      </c>
      <c r="DE1280" s="1">
        <v>0.0326527736469211</v>
      </c>
      <c r="DF1280" s="2" t="s">
        <v>5623</v>
      </c>
    </row>
    <row r="1281" ht="15.75" customHeight="1">
      <c r="A1281" s="1" t="s">
        <v>5624</v>
      </c>
      <c r="B1281" s="1">
        <v>29.0</v>
      </c>
      <c r="C1281" s="1">
        <v>225.0</v>
      </c>
      <c r="D1281" s="1">
        <v>470201.0</v>
      </c>
      <c r="E1281" s="1">
        <v>26.913</v>
      </c>
      <c r="F1281" s="1">
        <v>29225.0</v>
      </c>
      <c r="G1281" s="1">
        <v>2.9225470201E10</v>
      </c>
      <c r="H1281" s="1" t="s">
        <v>112</v>
      </c>
      <c r="I1281" s="1" t="s">
        <v>113</v>
      </c>
      <c r="J1281" s="1" t="s">
        <v>5602</v>
      </c>
      <c r="K1281" s="1" t="s">
        <v>5625</v>
      </c>
      <c r="L1281" s="1">
        <v>5113.0</v>
      </c>
      <c r="M1281" s="1">
        <v>5282.0</v>
      </c>
      <c r="N1281" s="1">
        <v>441.0</v>
      </c>
      <c r="O1281" s="1">
        <v>2148.0</v>
      </c>
      <c r="P1281" s="1">
        <v>2108.0</v>
      </c>
      <c r="Q1281" s="1">
        <v>128.0</v>
      </c>
      <c r="R1281" s="1">
        <v>1933.0</v>
      </c>
      <c r="S1281" s="1">
        <v>963.0</v>
      </c>
      <c r="T1281" s="1">
        <v>416.0</v>
      </c>
      <c r="U1281" s="1">
        <v>133.0</v>
      </c>
      <c r="V1281" s="1">
        <v>448.0</v>
      </c>
      <c r="W1281" s="1">
        <v>18517.0</v>
      </c>
      <c r="X1281" s="1">
        <v>3312.0</v>
      </c>
      <c r="Y1281" s="1">
        <v>388.0</v>
      </c>
      <c r="Z1281" s="1">
        <v>306.0</v>
      </c>
      <c r="AA1281" s="1">
        <v>678.0</v>
      </c>
      <c r="AB1281" s="1">
        <v>1463.0</v>
      </c>
      <c r="AC1281" s="1">
        <v>239.0</v>
      </c>
      <c r="AD1281" s="1">
        <v>226.0</v>
      </c>
      <c r="AE1281" s="1">
        <v>25.0</v>
      </c>
      <c r="AF1281" s="1">
        <v>444.0</v>
      </c>
      <c r="AG1281" s="1">
        <v>11.0</v>
      </c>
      <c r="AH1281" s="1">
        <v>162.0</v>
      </c>
      <c r="AI1281" s="1">
        <v>90.0</v>
      </c>
      <c r="AJ1281" s="1">
        <v>77.0</v>
      </c>
      <c r="AK1281" s="1">
        <v>33.0</v>
      </c>
      <c r="AL1281" s="1">
        <v>120.0</v>
      </c>
      <c r="AM1281" s="1">
        <v>76.0</v>
      </c>
      <c r="AN1281" s="1">
        <v>62.0</v>
      </c>
      <c r="AO1281" s="1">
        <v>32.0</v>
      </c>
      <c r="AP1281" s="1">
        <v>0.185763</v>
      </c>
      <c r="AQ1281" s="1">
        <v>0.078829</v>
      </c>
      <c r="AR1281" s="1">
        <v>0.056427</v>
      </c>
      <c r="AS1281" s="1">
        <v>0.18989</v>
      </c>
      <c r="AT1281" s="1">
        <v>18517.0</v>
      </c>
      <c r="AU1281" s="1">
        <v>3312.0</v>
      </c>
      <c r="AV1281" s="1">
        <v>0.118148</v>
      </c>
      <c r="AW1281" s="1">
        <v>0.092629</v>
      </c>
      <c r="AX1281" s="1">
        <v>0.132603</v>
      </c>
      <c r="AY1281" s="1">
        <v>0.286133</v>
      </c>
      <c r="AZ1281" s="1">
        <v>0.123642</v>
      </c>
      <c r="BA1281" s="1">
        <v>0.044201</v>
      </c>
      <c r="BB1281" s="1">
        <v>0.005298</v>
      </c>
      <c r="BC1281" s="1">
        <v>0.094106</v>
      </c>
      <c r="BD1281" s="1">
        <v>0.005218</v>
      </c>
      <c r="BE1281" s="1">
        <v>0.076849</v>
      </c>
      <c r="BF1281" s="1">
        <v>0.042694</v>
      </c>
      <c r="BG1281" s="1">
        <v>0.036435</v>
      </c>
      <c r="BH1281" s="1">
        <v>0.016208</v>
      </c>
      <c r="BI1281" s="1">
        <v>0.058929</v>
      </c>
      <c r="BJ1281" s="1">
        <v>0.037328</v>
      </c>
      <c r="BK1281" s="1">
        <v>0.030349</v>
      </c>
      <c r="BL1281" s="1">
        <v>0.006258</v>
      </c>
      <c r="BM1281" s="1">
        <v>0.69</v>
      </c>
      <c r="BN1281" s="1">
        <v>0.374</v>
      </c>
      <c r="BO1281" s="1">
        <v>0.7083</v>
      </c>
      <c r="BP1281" s="1">
        <v>0.417</v>
      </c>
      <c r="BQ1281" s="1">
        <v>2.1893</v>
      </c>
      <c r="BR1281" s="1">
        <v>0.5596</v>
      </c>
      <c r="BS1281" s="1">
        <v>0.439</v>
      </c>
      <c r="BT1281" s="1">
        <v>0.874</v>
      </c>
      <c r="BU1281" s="1">
        <v>0.689</v>
      </c>
      <c r="BV1281" s="1">
        <v>2.002</v>
      </c>
      <c r="BW1281" s="1">
        <v>0.86</v>
      </c>
      <c r="BX1281" s="1">
        <v>0.208</v>
      </c>
      <c r="BY1281" s="1">
        <v>0.574</v>
      </c>
      <c r="BZ1281" s="1">
        <v>0.782</v>
      </c>
      <c r="CA1281" s="1">
        <v>0.382</v>
      </c>
      <c r="CB1281" s="1">
        <v>0.321</v>
      </c>
      <c r="CC1281" s="1">
        <v>0.587</v>
      </c>
      <c r="CD1281" s="1">
        <v>0.617</v>
      </c>
      <c r="CE1281" s="1">
        <v>0.364</v>
      </c>
      <c r="CF1281" s="1">
        <v>0.533</v>
      </c>
      <c r="CG1281" s="1">
        <v>2.422</v>
      </c>
      <c r="CH1281" s="1">
        <v>0.528</v>
      </c>
      <c r="CI1281" s="1">
        <v>7.3953</v>
      </c>
      <c r="CJ1281" s="1">
        <v>0.6238</v>
      </c>
      <c r="CK1281" s="1">
        <v>0.0</v>
      </c>
      <c r="CL1281" s="1">
        <v>0.0</v>
      </c>
      <c r="CM1281" s="1">
        <v>0.0</v>
      </c>
      <c r="CN1281" s="1">
        <v>0.0</v>
      </c>
      <c r="CO1281" s="1">
        <v>0.0</v>
      </c>
      <c r="CP1281" s="1">
        <v>0.0</v>
      </c>
      <c r="CQ1281" s="1">
        <v>0.0</v>
      </c>
      <c r="CR1281" s="1">
        <v>0.0</v>
      </c>
      <c r="CS1281" s="1">
        <v>0.0</v>
      </c>
      <c r="CT1281" s="1">
        <v>0.0</v>
      </c>
      <c r="CU1281" s="1">
        <v>0.0</v>
      </c>
      <c r="CV1281" s="1">
        <v>0.0</v>
      </c>
      <c r="CW1281" s="1">
        <v>0.0</v>
      </c>
      <c r="CX1281" s="1">
        <v>0.0</v>
      </c>
      <c r="CY1281" s="1">
        <v>0.0</v>
      </c>
      <c r="CZ1281" s="1">
        <v>0.0</v>
      </c>
      <c r="DA1281" s="1">
        <v>0.0</v>
      </c>
      <c r="DB1281" s="1">
        <v>0.0</v>
      </c>
      <c r="DC1281" s="1">
        <v>0.0</v>
      </c>
      <c r="DD1281" s="1" t="s">
        <v>5626</v>
      </c>
      <c r="DE1281" s="1">
        <v>0.00710314122241891</v>
      </c>
      <c r="DF1281" s="2" t="s">
        <v>5627</v>
      </c>
    </row>
    <row r="1282" ht="15.75" customHeight="1">
      <c r="A1282" s="1" t="s">
        <v>5628</v>
      </c>
      <c r="B1282" s="1">
        <v>29.0</v>
      </c>
      <c r="C1282" s="1">
        <v>225.0</v>
      </c>
      <c r="D1282" s="1">
        <v>470301.0</v>
      </c>
      <c r="E1282" s="1">
        <v>40.633</v>
      </c>
      <c r="F1282" s="1">
        <v>29225.0</v>
      </c>
      <c r="G1282" s="1">
        <v>2.9225470301E10</v>
      </c>
      <c r="H1282" s="1" t="s">
        <v>112</v>
      </c>
      <c r="I1282" s="1" t="s">
        <v>113</v>
      </c>
      <c r="J1282" s="1" t="s">
        <v>5602</v>
      </c>
      <c r="K1282" s="1" t="s">
        <v>5629</v>
      </c>
      <c r="L1282" s="1">
        <v>5252.0</v>
      </c>
      <c r="M1282" s="1">
        <v>4976.0</v>
      </c>
      <c r="N1282" s="1">
        <v>411.0</v>
      </c>
      <c r="O1282" s="1">
        <v>2113.0</v>
      </c>
      <c r="P1282" s="1">
        <v>2001.0</v>
      </c>
      <c r="Q1282" s="1">
        <v>140.0</v>
      </c>
      <c r="R1282" s="1">
        <v>1945.0</v>
      </c>
      <c r="S1282" s="1">
        <v>816.0</v>
      </c>
      <c r="T1282" s="1">
        <v>501.0</v>
      </c>
      <c r="U1282" s="1">
        <v>213.0</v>
      </c>
      <c r="V1282" s="1">
        <v>381.0</v>
      </c>
      <c r="W1282" s="1">
        <v>19759.0</v>
      </c>
      <c r="X1282" s="1">
        <v>2367.0</v>
      </c>
      <c r="Y1282" s="1">
        <v>479.0</v>
      </c>
      <c r="Z1282" s="1">
        <v>273.0</v>
      </c>
      <c r="AA1282" s="1">
        <v>541.0</v>
      </c>
      <c r="AB1282" s="1">
        <v>1549.0</v>
      </c>
      <c r="AC1282" s="1">
        <v>237.0</v>
      </c>
      <c r="AD1282" s="1">
        <v>325.0</v>
      </c>
      <c r="AE1282" s="1">
        <v>0.0</v>
      </c>
      <c r="AF1282" s="1">
        <v>456.0</v>
      </c>
      <c r="AG1282" s="1">
        <v>71.0</v>
      </c>
      <c r="AH1282" s="1">
        <v>122.0</v>
      </c>
      <c r="AI1282" s="1">
        <v>288.0</v>
      </c>
      <c r="AJ1282" s="1">
        <v>116.0</v>
      </c>
      <c r="AK1282" s="1">
        <v>105.0</v>
      </c>
      <c r="AL1282" s="1">
        <v>139.0</v>
      </c>
      <c r="AM1282" s="1">
        <v>73.0</v>
      </c>
      <c r="AN1282" s="1">
        <v>44.0</v>
      </c>
      <c r="AO1282" s="1">
        <v>0.0</v>
      </c>
      <c r="AP1282" s="1">
        <v>0.163987</v>
      </c>
      <c r="AQ1282" s="1">
        <v>0.099768</v>
      </c>
      <c r="AR1282" s="1">
        <v>0.095945</v>
      </c>
      <c r="AS1282" s="1">
        <v>0.171283</v>
      </c>
      <c r="AT1282" s="1">
        <v>19759.0</v>
      </c>
      <c r="AU1282" s="1">
        <v>2367.0</v>
      </c>
      <c r="AV1282" s="1">
        <v>0.159507</v>
      </c>
      <c r="AW1282" s="1">
        <v>0.090127</v>
      </c>
      <c r="AX1282" s="1">
        <v>0.103008</v>
      </c>
      <c r="AY1282" s="1">
        <v>0.294935</v>
      </c>
      <c r="AZ1282" s="1">
        <v>0.12185089</v>
      </c>
      <c r="BA1282" s="1">
        <v>0.061881</v>
      </c>
      <c r="BB1282" s="1">
        <v>0.0</v>
      </c>
      <c r="BC1282" s="1">
        <v>0.103331</v>
      </c>
      <c r="BD1282" s="1">
        <v>0.035482</v>
      </c>
      <c r="BE1282" s="1">
        <v>0.060918</v>
      </c>
      <c r="BF1282" s="1">
        <v>0.143928</v>
      </c>
      <c r="BG1282" s="1">
        <v>0.057089</v>
      </c>
      <c r="BH1282" s="1">
        <v>0.059288</v>
      </c>
      <c r="BI1282" s="1">
        <v>0.078362</v>
      </c>
      <c r="BJ1282" s="1">
        <v>0.041219</v>
      </c>
      <c r="BK1282" s="1">
        <v>0.024654</v>
      </c>
      <c r="BL1282" s="1">
        <v>0.0</v>
      </c>
      <c r="BM1282" s="1">
        <v>0.623</v>
      </c>
      <c r="BN1282" s="1">
        <v>0.707</v>
      </c>
      <c r="BO1282" s="1">
        <v>0.631</v>
      </c>
      <c r="BP1282" s="1">
        <v>0.608</v>
      </c>
      <c r="BQ1282" s="1">
        <v>2.569</v>
      </c>
      <c r="BR1282" s="1">
        <v>0.6903</v>
      </c>
      <c r="BS1282" s="1">
        <v>0.231</v>
      </c>
      <c r="BT1282" s="1">
        <v>0.904</v>
      </c>
      <c r="BU1282" s="1">
        <v>0.678</v>
      </c>
      <c r="BV1282" s="1">
        <v>1.813</v>
      </c>
      <c r="BW1282" s="1">
        <v>0.73</v>
      </c>
      <c r="BX1282" s="1">
        <v>0.322</v>
      </c>
      <c r="BY1282" s="1">
        <v>0.0</v>
      </c>
      <c r="BZ1282" s="1">
        <v>0.322</v>
      </c>
      <c r="CA1282" s="1">
        <v>0.137</v>
      </c>
      <c r="CB1282" s="1">
        <v>0.583</v>
      </c>
      <c r="CC1282" s="1">
        <v>0.805</v>
      </c>
      <c r="CD1282" s="1">
        <v>0.961</v>
      </c>
      <c r="CE1282" s="1">
        <v>0.402</v>
      </c>
      <c r="CF1282" s="1">
        <v>0.0</v>
      </c>
      <c r="CG1282" s="1">
        <v>2.751</v>
      </c>
      <c r="CH1282" s="1">
        <v>0.665</v>
      </c>
      <c r="CI1282" s="1">
        <v>7.455</v>
      </c>
      <c r="CJ1282" s="1">
        <v>0.6318</v>
      </c>
      <c r="CK1282" s="1">
        <v>0.0</v>
      </c>
      <c r="CL1282" s="1">
        <v>0.0</v>
      </c>
      <c r="CM1282" s="1">
        <v>0.0</v>
      </c>
      <c r="CN1282" s="1">
        <v>0.0</v>
      </c>
      <c r="CO1282" s="1">
        <v>0.0</v>
      </c>
      <c r="CP1282" s="1">
        <v>0.0</v>
      </c>
      <c r="CQ1282" s="1">
        <v>1.0</v>
      </c>
      <c r="CR1282" s="1">
        <v>0.0</v>
      </c>
      <c r="CS1282" s="1">
        <v>1.0</v>
      </c>
      <c r="CT1282" s="1">
        <v>0.0</v>
      </c>
      <c r="CU1282" s="1">
        <v>0.0</v>
      </c>
      <c r="CV1282" s="1">
        <v>0.0</v>
      </c>
      <c r="CW1282" s="1">
        <v>0.0</v>
      </c>
      <c r="CX1282" s="1">
        <v>0.0</v>
      </c>
      <c r="CY1282" s="1">
        <v>1.0</v>
      </c>
      <c r="CZ1282" s="1">
        <v>0.0</v>
      </c>
      <c r="DA1282" s="1">
        <v>0.0</v>
      </c>
      <c r="DB1282" s="1">
        <v>1.0</v>
      </c>
      <c r="DC1282" s="1">
        <v>2.0</v>
      </c>
      <c r="DD1282" s="1" t="s">
        <v>5630</v>
      </c>
      <c r="DE1282" s="2" t="s">
        <v>5631</v>
      </c>
      <c r="DF1282" s="2" t="s">
        <v>5632</v>
      </c>
    </row>
    <row r="1283" ht="15.75" customHeight="1">
      <c r="A1283" s="1" t="s">
        <v>5633</v>
      </c>
      <c r="B1283" s="1">
        <v>29.0</v>
      </c>
      <c r="C1283" s="1">
        <v>225.0</v>
      </c>
      <c r="D1283" s="1">
        <v>470302.0</v>
      </c>
      <c r="E1283" s="1">
        <v>113.172</v>
      </c>
      <c r="F1283" s="1">
        <v>29225.0</v>
      </c>
      <c r="G1283" s="1">
        <v>2.9225470302E10</v>
      </c>
      <c r="H1283" s="1" t="s">
        <v>112</v>
      </c>
      <c r="I1283" s="1" t="s">
        <v>113</v>
      </c>
      <c r="J1283" s="1" t="s">
        <v>5602</v>
      </c>
      <c r="K1283" s="1" t="s">
        <v>5634</v>
      </c>
      <c r="L1283" s="1">
        <v>4635.0</v>
      </c>
      <c r="M1283" s="1">
        <v>4220.0</v>
      </c>
      <c r="N1283" s="1">
        <v>517.0</v>
      </c>
      <c r="O1283" s="1">
        <v>1536.0</v>
      </c>
      <c r="P1283" s="1">
        <v>1564.0</v>
      </c>
      <c r="Q1283" s="1">
        <v>130.0</v>
      </c>
      <c r="R1283" s="1">
        <v>1395.0</v>
      </c>
      <c r="S1283" s="1">
        <v>559.0</v>
      </c>
      <c r="T1283" s="1">
        <v>302.0</v>
      </c>
      <c r="U1283" s="1">
        <v>107.0</v>
      </c>
      <c r="V1283" s="1">
        <v>417.0</v>
      </c>
      <c r="W1283" s="1">
        <v>20010.0</v>
      </c>
      <c r="X1283" s="1">
        <v>3190.0</v>
      </c>
      <c r="Y1283" s="1">
        <v>540.0</v>
      </c>
      <c r="Z1283" s="1">
        <v>307.0</v>
      </c>
      <c r="AA1283" s="1">
        <v>423.0</v>
      </c>
      <c r="AB1283" s="1">
        <v>1714.0</v>
      </c>
      <c r="AC1283" s="1">
        <v>92.0</v>
      </c>
      <c r="AD1283" s="1">
        <v>111.0</v>
      </c>
      <c r="AE1283" s="1">
        <v>20.0</v>
      </c>
      <c r="AF1283" s="1">
        <v>443.0</v>
      </c>
      <c r="AG1283" s="1">
        <v>0.0</v>
      </c>
      <c r="AH1283" s="1">
        <v>197.0</v>
      </c>
      <c r="AI1283" s="1">
        <v>258.0</v>
      </c>
      <c r="AJ1283" s="1">
        <v>121.0</v>
      </c>
      <c r="AK1283" s="1">
        <v>28.0</v>
      </c>
      <c r="AL1283" s="1">
        <v>123.0</v>
      </c>
      <c r="AM1283" s="1">
        <v>144.0</v>
      </c>
      <c r="AN1283" s="1">
        <v>86.0</v>
      </c>
      <c r="AO1283" s="1">
        <v>0.0</v>
      </c>
      <c r="AP1283" s="1">
        <v>0.132464</v>
      </c>
      <c r="AQ1283" s="1">
        <v>0.069699</v>
      </c>
      <c r="AR1283" s="1">
        <v>0.059116</v>
      </c>
      <c r="AS1283" s="1">
        <v>0.230165</v>
      </c>
      <c r="AT1283" s="1">
        <v>20010.0</v>
      </c>
      <c r="AU1283" s="1">
        <v>3190.0</v>
      </c>
      <c r="AV1283" s="1">
        <v>0.202626</v>
      </c>
      <c r="AW1283" s="1">
        <v>0.11354</v>
      </c>
      <c r="AX1283" s="1">
        <v>0.091262</v>
      </c>
      <c r="AY1283" s="1">
        <v>0.369795</v>
      </c>
      <c r="AZ1283" s="1">
        <v>0.06594982</v>
      </c>
      <c r="BA1283" s="1">
        <v>0.023948</v>
      </c>
      <c r="BB1283" s="1">
        <v>0.00509</v>
      </c>
      <c r="BC1283" s="1">
        <v>0.112749</v>
      </c>
      <c r="BD1283" s="1">
        <v>0.0</v>
      </c>
      <c r="BE1283" s="1">
        <v>0.125959</v>
      </c>
      <c r="BF1283" s="1">
        <v>0.164961</v>
      </c>
      <c r="BG1283" s="1">
        <v>0.07614</v>
      </c>
      <c r="BH1283" s="1">
        <v>0.01853</v>
      </c>
      <c r="BI1283" s="1">
        <v>0.081383</v>
      </c>
      <c r="BJ1283" s="1">
        <v>0.095301</v>
      </c>
      <c r="BK1283" s="1">
        <v>0.056166</v>
      </c>
      <c r="BL1283" s="1">
        <v>0.0</v>
      </c>
      <c r="BM1283" s="1">
        <v>0.51</v>
      </c>
      <c r="BN1283" s="1">
        <v>0.407</v>
      </c>
      <c r="BO1283" s="1">
        <v>0.6123</v>
      </c>
      <c r="BP1283" s="1">
        <v>0.756</v>
      </c>
      <c r="BQ1283" s="1">
        <v>2.2853</v>
      </c>
      <c r="BR1283" s="1">
        <v>0.5971</v>
      </c>
      <c r="BS1283" s="1">
        <v>0.166</v>
      </c>
      <c r="BT1283" s="1">
        <v>0.992</v>
      </c>
      <c r="BU1283" s="1">
        <v>0.179</v>
      </c>
      <c r="BV1283" s="1">
        <v>1.337</v>
      </c>
      <c r="BW1283" s="1">
        <v>0.333</v>
      </c>
      <c r="BX1283" s="1">
        <v>0.038</v>
      </c>
      <c r="BY1283" s="1">
        <v>0.565</v>
      </c>
      <c r="BZ1283" s="1">
        <v>0.603</v>
      </c>
      <c r="CA1283" s="1">
        <v>0.271</v>
      </c>
      <c r="CB1283" s="1">
        <v>0.0</v>
      </c>
      <c r="CC1283" s="1">
        <v>0.844</v>
      </c>
      <c r="CD1283" s="1">
        <v>0.653</v>
      </c>
      <c r="CE1283" s="1">
        <v>0.737</v>
      </c>
      <c r="CF1283" s="1">
        <v>0.0</v>
      </c>
      <c r="CG1283" s="1">
        <v>2.234</v>
      </c>
      <c r="CH1283" s="1">
        <v>0.432</v>
      </c>
      <c r="CI1283" s="1">
        <v>6.4593</v>
      </c>
      <c r="CJ1283" s="1">
        <v>0.452</v>
      </c>
      <c r="CK1283" s="1">
        <v>0.0</v>
      </c>
      <c r="CL1283" s="1">
        <v>0.0</v>
      </c>
      <c r="CM1283" s="1">
        <v>0.0</v>
      </c>
      <c r="CN1283" s="1">
        <v>0.0</v>
      </c>
      <c r="CO1283" s="1">
        <v>0.0</v>
      </c>
      <c r="CP1283" s="1">
        <v>0.0</v>
      </c>
      <c r="CQ1283" s="1">
        <v>1.0</v>
      </c>
      <c r="CR1283" s="1">
        <v>0.0</v>
      </c>
      <c r="CS1283" s="1">
        <v>1.0</v>
      </c>
      <c r="CT1283" s="1">
        <v>0.0</v>
      </c>
      <c r="CU1283" s="1">
        <v>0.0</v>
      </c>
      <c r="CV1283" s="1">
        <v>0.0</v>
      </c>
      <c r="CW1283" s="1">
        <v>0.0</v>
      </c>
      <c r="CX1283" s="1">
        <v>0.0</v>
      </c>
      <c r="CY1283" s="1">
        <v>0.0</v>
      </c>
      <c r="CZ1283" s="1">
        <v>0.0</v>
      </c>
      <c r="DA1283" s="1">
        <v>0.0</v>
      </c>
      <c r="DB1283" s="1">
        <v>0.0</v>
      </c>
      <c r="DC1283" s="1">
        <v>1.0</v>
      </c>
      <c r="DD1283" s="1" t="s">
        <v>5635</v>
      </c>
      <c r="DE1283" s="2" t="s">
        <v>5636</v>
      </c>
      <c r="DF1283" s="2" t="s">
        <v>5637</v>
      </c>
    </row>
    <row r="1284" ht="15.75" customHeight="1">
      <c r="A1284" s="1" t="s">
        <v>5638</v>
      </c>
      <c r="B1284" s="1">
        <v>29.0</v>
      </c>
      <c r="C1284" s="1">
        <v>227.0</v>
      </c>
      <c r="D1284" s="1">
        <v>960100.0</v>
      </c>
      <c r="E1284" s="1">
        <v>266.613</v>
      </c>
      <c r="F1284" s="1">
        <v>29227.0</v>
      </c>
      <c r="G1284" s="1">
        <v>2.92279601E10</v>
      </c>
      <c r="H1284" s="1" t="s">
        <v>112</v>
      </c>
      <c r="I1284" s="1" t="s">
        <v>113</v>
      </c>
      <c r="J1284" s="1" t="s">
        <v>5639</v>
      </c>
      <c r="K1284" s="1" t="s">
        <v>5640</v>
      </c>
      <c r="L1284" s="1">
        <v>2171.0</v>
      </c>
      <c r="M1284" s="1">
        <v>2188.0</v>
      </c>
      <c r="N1284" s="1">
        <v>0.0</v>
      </c>
      <c r="O1284" s="1">
        <v>1281.0</v>
      </c>
      <c r="P1284" s="1">
        <v>1206.0</v>
      </c>
      <c r="Q1284" s="1">
        <v>87.0</v>
      </c>
      <c r="R1284" s="1">
        <v>944.0</v>
      </c>
      <c r="S1284" s="1">
        <v>346.0</v>
      </c>
      <c r="T1284" s="1">
        <v>122.0</v>
      </c>
      <c r="U1284" s="1">
        <v>55.0</v>
      </c>
      <c r="V1284" s="1">
        <v>380.0</v>
      </c>
      <c r="W1284" s="1">
        <v>18229.0</v>
      </c>
      <c r="X1284" s="1">
        <v>2054.0</v>
      </c>
      <c r="Y1284" s="1">
        <v>222.0</v>
      </c>
      <c r="Z1284" s="1">
        <v>207.0</v>
      </c>
      <c r="AA1284" s="1">
        <v>514.0</v>
      </c>
      <c r="AB1284" s="1">
        <v>444.0</v>
      </c>
      <c r="AC1284" s="1">
        <v>60.0</v>
      </c>
      <c r="AD1284" s="1">
        <v>56.0</v>
      </c>
      <c r="AE1284" s="1">
        <v>6.0</v>
      </c>
      <c r="AF1284" s="1">
        <v>442.0</v>
      </c>
      <c r="AG1284" s="1">
        <v>21.0</v>
      </c>
      <c r="AH1284" s="1">
        <v>115.0</v>
      </c>
      <c r="AI1284" s="1">
        <v>78.0</v>
      </c>
      <c r="AJ1284" s="1">
        <v>31.0</v>
      </c>
      <c r="AK1284" s="1">
        <v>6.0</v>
      </c>
      <c r="AL1284" s="1">
        <v>114.0</v>
      </c>
      <c r="AM1284" s="1">
        <v>33.0</v>
      </c>
      <c r="AN1284" s="1">
        <v>20.0</v>
      </c>
      <c r="AO1284" s="1">
        <v>52.0</v>
      </c>
      <c r="AP1284" s="1">
        <v>0.162288</v>
      </c>
      <c r="AQ1284" s="1">
        <v>0.056793</v>
      </c>
      <c r="AR1284" s="1">
        <v>0.050136</v>
      </c>
      <c r="AS1284" s="1">
        <v>0.346349</v>
      </c>
      <c r="AT1284" s="1">
        <v>18229.0</v>
      </c>
      <c r="AU1284" s="1">
        <v>2054.0</v>
      </c>
      <c r="AV1284" s="1">
        <v>0.144531</v>
      </c>
      <c r="AW1284" s="1">
        <v>0.134416</v>
      </c>
      <c r="AX1284" s="1">
        <v>0.236757</v>
      </c>
      <c r="AY1284" s="1">
        <v>0.204514</v>
      </c>
      <c r="AZ1284" s="1">
        <v>0.06355932</v>
      </c>
      <c r="BA1284" s="1">
        <v>0.025794</v>
      </c>
      <c r="BB1284" s="1">
        <v>0.002855</v>
      </c>
      <c r="BC1284" s="1">
        <v>0.210376</v>
      </c>
      <c r="BD1284" s="1">
        <v>0.017412</v>
      </c>
      <c r="BE1284" s="1">
        <v>0.095348</v>
      </c>
      <c r="BF1284" s="1">
        <v>0.064676</v>
      </c>
      <c r="BG1284" s="1">
        <v>0.025277</v>
      </c>
      <c r="BH1284" s="1">
        <v>0.006141</v>
      </c>
      <c r="BI1284" s="1">
        <v>0.116682</v>
      </c>
      <c r="BJ1284" s="1">
        <v>0.033776</v>
      </c>
      <c r="BK1284" s="1">
        <v>0.020283</v>
      </c>
      <c r="BL1284" s="1">
        <v>0.023952</v>
      </c>
      <c r="BM1284" s="1">
        <v>0.617</v>
      </c>
      <c r="BN1284" s="1">
        <v>0.292</v>
      </c>
      <c r="BO1284" s="1">
        <v>0.7191</v>
      </c>
      <c r="BP1284" s="1">
        <v>0.543</v>
      </c>
      <c r="BQ1284" s="1">
        <v>2.1711</v>
      </c>
      <c r="BR1284" s="1">
        <v>0.5538</v>
      </c>
      <c r="BS1284" s="1">
        <v>0.961</v>
      </c>
      <c r="BT1284" s="1">
        <v>0.21</v>
      </c>
      <c r="BU1284" s="1">
        <v>0.161</v>
      </c>
      <c r="BV1284" s="1">
        <v>1.332</v>
      </c>
      <c r="BW1284" s="1">
        <v>0.329</v>
      </c>
      <c r="BX1284" s="1">
        <v>0.051</v>
      </c>
      <c r="BY1284" s="1">
        <v>0.441</v>
      </c>
      <c r="BZ1284" s="1">
        <v>0.492</v>
      </c>
      <c r="CA1284" s="1">
        <v>0.205</v>
      </c>
      <c r="CB1284" s="1">
        <v>0.444</v>
      </c>
      <c r="CC1284" s="1">
        <v>0.639</v>
      </c>
      <c r="CD1284" s="1">
        <v>0.361</v>
      </c>
      <c r="CE1284" s="1">
        <v>0.323</v>
      </c>
      <c r="CF1284" s="1">
        <v>0.756</v>
      </c>
      <c r="CG1284" s="1">
        <v>2.523</v>
      </c>
      <c r="CH1284" s="1">
        <v>0.57</v>
      </c>
      <c r="CI1284" s="1">
        <v>6.5181</v>
      </c>
      <c r="CJ1284" s="1">
        <v>0.4614</v>
      </c>
      <c r="CK1284" s="1">
        <v>0.0</v>
      </c>
      <c r="CL1284" s="1">
        <v>0.0</v>
      </c>
      <c r="CM1284" s="1">
        <v>0.0</v>
      </c>
      <c r="CN1284" s="1">
        <v>0.0</v>
      </c>
      <c r="CO1284" s="1">
        <v>0.0</v>
      </c>
      <c r="CP1284" s="1">
        <v>1.0</v>
      </c>
      <c r="CQ1284" s="1">
        <v>0.0</v>
      </c>
      <c r="CR1284" s="1">
        <v>0.0</v>
      </c>
      <c r="CS1284" s="1">
        <v>1.0</v>
      </c>
      <c r="CT1284" s="1">
        <v>0.0</v>
      </c>
      <c r="CU1284" s="1">
        <v>0.0</v>
      </c>
      <c r="CV1284" s="1">
        <v>0.0</v>
      </c>
      <c r="CW1284" s="1">
        <v>0.0</v>
      </c>
      <c r="CX1284" s="1">
        <v>0.0</v>
      </c>
      <c r="CY1284" s="1">
        <v>0.0</v>
      </c>
      <c r="CZ1284" s="1">
        <v>0.0</v>
      </c>
      <c r="DA1284" s="1">
        <v>0.0</v>
      </c>
      <c r="DB1284" s="1">
        <v>0.0</v>
      </c>
      <c r="DC1284" s="1">
        <v>1.0</v>
      </c>
      <c r="DD1284" s="1" t="s">
        <v>5641</v>
      </c>
      <c r="DE1284" s="1">
        <v>0.0733922401170524</v>
      </c>
      <c r="DF1284" s="2" t="s">
        <v>5642</v>
      </c>
    </row>
    <row r="1285" ht="15.75" customHeight="1">
      <c r="A1285" s="1" t="s">
        <v>5643</v>
      </c>
      <c r="B1285" s="1">
        <v>29.0</v>
      </c>
      <c r="C1285" s="1">
        <v>229.0</v>
      </c>
      <c r="D1285" s="1">
        <v>490100.0</v>
      </c>
      <c r="E1285" s="1">
        <v>318.97</v>
      </c>
      <c r="F1285" s="1">
        <v>29229.0</v>
      </c>
      <c r="G1285" s="1">
        <v>2.92294901E10</v>
      </c>
      <c r="H1285" s="1" t="s">
        <v>112</v>
      </c>
      <c r="I1285" s="1" t="s">
        <v>113</v>
      </c>
      <c r="J1285" s="1" t="s">
        <v>5644</v>
      </c>
      <c r="K1285" s="1" t="s">
        <v>5645</v>
      </c>
      <c r="L1285" s="1">
        <v>3820.0</v>
      </c>
      <c r="M1285" s="1">
        <v>3829.0</v>
      </c>
      <c r="N1285" s="1">
        <v>250.0</v>
      </c>
      <c r="O1285" s="1">
        <v>1820.0</v>
      </c>
      <c r="P1285" s="1">
        <v>1775.0</v>
      </c>
      <c r="Q1285" s="1">
        <v>120.0</v>
      </c>
      <c r="R1285" s="1">
        <v>1535.0</v>
      </c>
      <c r="S1285" s="1">
        <v>757.0</v>
      </c>
      <c r="T1285" s="1">
        <v>241.0</v>
      </c>
      <c r="U1285" s="1">
        <v>105.0</v>
      </c>
      <c r="V1285" s="1">
        <v>415.0</v>
      </c>
      <c r="W1285" s="1">
        <v>20215.0</v>
      </c>
      <c r="X1285" s="1">
        <v>5959.0</v>
      </c>
      <c r="Y1285" s="1">
        <v>617.0</v>
      </c>
      <c r="Z1285" s="1">
        <v>266.0</v>
      </c>
      <c r="AA1285" s="1">
        <v>718.0</v>
      </c>
      <c r="AB1285" s="1">
        <v>909.0</v>
      </c>
      <c r="AC1285" s="1">
        <v>112.0</v>
      </c>
      <c r="AD1285" s="1">
        <v>97.0</v>
      </c>
      <c r="AE1285" s="1">
        <v>6.0</v>
      </c>
      <c r="AF1285" s="1">
        <v>442.0</v>
      </c>
      <c r="AG1285" s="1">
        <v>0.0</v>
      </c>
      <c r="AH1285" s="1">
        <v>197.0</v>
      </c>
      <c r="AI1285" s="1">
        <v>377.0</v>
      </c>
      <c r="AJ1285" s="1">
        <v>114.0</v>
      </c>
      <c r="AK1285" s="1">
        <v>51.0</v>
      </c>
      <c r="AL1285" s="1">
        <v>117.0</v>
      </c>
      <c r="AM1285" s="1">
        <v>62.0</v>
      </c>
      <c r="AN1285" s="1">
        <v>40.0</v>
      </c>
      <c r="AO1285" s="1">
        <v>0.0</v>
      </c>
      <c r="AP1285" s="1">
        <v>0.197701</v>
      </c>
      <c r="AQ1285" s="1">
        <v>0.061602</v>
      </c>
      <c r="AR1285" s="1">
        <v>0.077605</v>
      </c>
      <c r="AS1285" s="1">
        <v>0.306523</v>
      </c>
      <c r="AT1285" s="1">
        <v>20215.0</v>
      </c>
      <c r="AU1285" s="1">
        <v>5959.0</v>
      </c>
      <c r="AV1285" s="1">
        <v>0.223065</v>
      </c>
      <c r="AW1285" s="1">
        <v>0.094977</v>
      </c>
      <c r="AX1285" s="1">
        <v>0.187958</v>
      </c>
      <c r="AY1285" s="1">
        <v>0.237958</v>
      </c>
      <c r="AZ1285" s="1">
        <v>0.07296416</v>
      </c>
      <c r="BA1285" s="1">
        <v>0.025392</v>
      </c>
      <c r="BB1285" s="1">
        <v>0.00164</v>
      </c>
      <c r="BC1285" s="1">
        <v>0.120864</v>
      </c>
      <c r="BD1285" s="1">
        <v>0.0</v>
      </c>
      <c r="BE1285" s="1">
        <v>0.110985</v>
      </c>
      <c r="BF1285" s="1">
        <v>0.212394</v>
      </c>
      <c r="BG1285" s="1">
        <v>0.062599</v>
      </c>
      <c r="BH1285" s="1">
        <v>0.033116</v>
      </c>
      <c r="BI1285" s="1">
        <v>0.075939</v>
      </c>
      <c r="BJ1285" s="1">
        <v>0.040259</v>
      </c>
      <c r="BK1285" s="1">
        <v>0.025822</v>
      </c>
      <c r="BL1285" s="1">
        <v>0.0</v>
      </c>
      <c r="BM1285" s="1">
        <v>0.724</v>
      </c>
      <c r="BN1285" s="1">
        <v>0.589</v>
      </c>
      <c r="BO1285" s="1">
        <v>0.5978</v>
      </c>
      <c r="BP1285" s="1">
        <v>0.808</v>
      </c>
      <c r="BQ1285" s="1">
        <v>2.7188</v>
      </c>
      <c r="BR1285" s="1">
        <v>0.7285</v>
      </c>
      <c r="BS1285" s="1">
        <v>0.827</v>
      </c>
      <c r="BT1285" s="1">
        <v>0.474</v>
      </c>
      <c r="BU1285" s="1">
        <v>0.238</v>
      </c>
      <c r="BV1285" s="1">
        <v>1.539</v>
      </c>
      <c r="BW1285" s="1">
        <v>0.516</v>
      </c>
      <c r="BX1285" s="1">
        <v>0.05</v>
      </c>
      <c r="BY1285" s="1">
        <v>0.361</v>
      </c>
      <c r="BZ1285" s="1">
        <v>0.411</v>
      </c>
      <c r="CA1285" s="1">
        <v>0.169</v>
      </c>
      <c r="CB1285" s="1">
        <v>0.0</v>
      </c>
      <c r="CC1285" s="1">
        <v>0.913</v>
      </c>
      <c r="CD1285" s="1">
        <v>0.843</v>
      </c>
      <c r="CE1285" s="1">
        <v>0.392</v>
      </c>
      <c r="CF1285" s="1">
        <v>0.0</v>
      </c>
      <c r="CG1285" s="1">
        <v>2.148</v>
      </c>
      <c r="CH1285" s="1">
        <v>0.399</v>
      </c>
      <c r="CI1285" s="1">
        <v>6.8168</v>
      </c>
      <c r="CJ1285" s="1">
        <v>0.5141</v>
      </c>
      <c r="CK1285" s="1">
        <v>0.0</v>
      </c>
      <c r="CL1285" s="1">
        <v>0.0</v>
      </c>
      <c r="CM1285" s="1">
        <v>0.0</v>
      </c>
      <c r="CN1285" s="1">
        <v>0.0</v>
      </c>
      <c r="CO1285" s="1">
        <v>0.0</v>
      </c>
      <c r="CP1285" s="1">
        <v>0.0</v>
      </c>
      <c r="CQ1285" s="1">
        <v>0.0</v>
      </c>
      <c r="CR1285" s="1">
        <v>0.0</v>
      </c>
      <c r="CS1285" s="1">
        <v>0.0</v>
      </c>
      <c r="CT1285" s="1">
        <v>0.0</v>
      </c>
      <c r="CU1285" s="1">
        <v>0.0</v>
      </c>
      <c r="CV1285" s="1">
        <v>0.0</v>
      </c>
      <c r="CW1285" s="1">
        <v>0.0</v>
      </c>
      <c r="CX1285" s="1">
        <v>1.0</v>
      </c>
      <c r="CY1285" s="1">
        <v>0.0</v>
      </c>
      <c r="CZ1285" s="1">
        <v>0.0</v>
      </c>
      <c r="DA1285" s="1">
        <v>0.0</v>
      </c>
      <c r="DB1285" s="1">
        <v>1.0</v>
      </c>
      <c r="DC1285" s="1">
        <v>1.0</v>
      </c>
      <c r="DD1285" s="1" t="s">
        <v>5646</v>
      </c>
      <c r="DE1285" s="1">
        <v>0.0842234516030583</v>
      </c>
      <c r="DF1285" s="2" t="s">
        <v>5647</v>
      </c>
    </row>
    <row r="1286" ht="15.75" customHeight="1">
      <c r="A1286" s="1" t="s">
        <v>5648</v>
      </c>
      <c r="B1286" s="1">
        <v>29.0</v>
      </c>
      <c r="C1286" s="1">
        <v>229.0</v>
      </c>
      <c r="D1286" s="1">
        <v>490200.0</v>
      </c>
      <c r="E1286" s="1">
        <v>192.741</v>
      </c>
      <c r="F1286" s="1">
        <v>29229.0</v>
      </c>
      <c r="G1286" s="1">
        <v>2.92294902E10</v>
      </c>
      <c r="H1286" s="1" t="s">
        <v>112</v>
      </c>
      <c r="I1286" s="1" t="s">
        <v>113</v>
      </c>
      <c r="J1286" s="1" t="s">
        <v>5644</v>
      </c>
      <c r="K1286" s="1" t="s">
        <v>5649</v>
      </c>
      <c r="L1286" s="1">
        <v>3917.0</v>
      </c>
      <c r="M1286" s="1">
        <v>4190.0</v>
      </c>
      <c r="N1286" s="1">
        <v>339.0</v>
      </c>
      <c r="O1286" s="1">
        <v>1826.0</v>
      </c>
      <c r="P1286" s="1">
        <v>1839.0</v>
      </c>
      <c r="Q1286" s="1">
        <v>115.0</v>
      </c>
      <c r="R1286" s="1">
        <v>1516.0</v>
      </c>
      <c r="S1286" s="1">
        <v>770.0</v>
      </c>
      <c r="T1286" s="1">
        <v>276.0</v>
      </c>
      <c r="U1286" s="1">
        <v>210.0</v>
      </c>
      <c r="V1286" s="1">
        <v>372.0</v>
      </c>
      <c r="W1286" s="1">
        <v>16066.0</v>
      </c>
      <c r="X1286" s="1">
        <v>2119.0</v>
      </c>
      <c r="Y1286" s="1">
        <v>735.0</v>
      </c>
      <c r="Z1286" s="1">
        <v>253.0</v>
      </c>
      <c r="AA1286" s="1">
        <v>631.0</v>
      </c>
      <c r="AB1286" s="1">
        <v>1013.0</v>
      </c>
      <c r="AC1286" s="1">
        <v>134.0</v>
      </c>
      <c r="AD1286" s="1">
        <v>154.0</v>
      </c>
      <c r="AE1286" s="1">
        <v>0.0</v>
      </c>
      <c r="AF1286" s="1">
        <v>456.0</v>
      </c>
      <c r="AG1286" s="1">
        <v>11.0</v>
      </c>
      <c r="AH1286" s="1">
        <v>162.0</v>
      </c>
      <c r="AI1286" s="1">
        <v>494.0</v>
      </c>
      <c r="AJ1286" s="1">
        <v>126.0</v>
      </c>
      <c r="AK1286" s="1">
        <v>16.0</v>
      </c>
      <c r="AL1286" s="1">
        <v>116.0</v>
      </c>
      <c r="AM1286" s="1">
        <v>106.0</v>
      </c>
      <c r="AN1286" s="1">
        <v>52.0</v>
      </c>
      <c r="AO1286" s="1">
        <v>70.0</v>
      </c>
      <c r="AP1286" s="1">
        <v>0.191209</v>
      </c>
      <c r="AQ1286" s="1">
        <v>0.066917</v>
      </c>
      <c r="AR1286" s="1">
        <v>0.128518</v>
      </c>
      <c r="AS1286" s="1">
        <v>0.226942</v>
      </c>
      <c r="AT1286" s="1">
        <v>16066.0</v>
      </c>
      <c r="AU1286" s="1">
        <v>2119.0</v>
      </c>
      <c r="AV1286" s="1">
        <v>0.261658</v>
      </c>
      <c r="AW1286" s="1">
        <v>0.087128</v>
      </c>
      <c r="AX1286" s="1">
        <v>0.161092</v>
      </c>
      <c r="AY1286" s="1">
        <v>0.258616</v>
      </c>
      <c r="AZ1286" s="1">
        <v>0.0883905</v>
      </c>
      <c r="BA1286" s="1">
        <v>0.039315</v>
      </c>
      <c r="BB1286" s="1">
        <v>0.0</v>
      </c>
      <c r="BC1286" s="1">
        <v>0.115883</v>
      </c>
      <c r="BD1286" s="1">
        <v>0.005981</v>
      </c>
      <c r="BE1286" s="1">
        <v>0.08809</v>
      </c>
      <c r="BF1286" s="1">
        <v>0.268624</v>
      </c>
      <c r="BG1286" s="1">
        <v>0.066424</v>
      </c>
      <c r="BH1286" s="1">
        <v>0.0099</v>
      </c>
      <c r="BI1286" s="1">
        <v>0.071778</v>
      </c>
      <c r="BJ1286" s="1">
        <v>0.065594</v>
      </c>
      <c r="BK1286" s="1">
        <v>0.031819</v>
      </c>
      <c r="BL1286" s="1">
        <v>0.01787</v>
      </c>
      <c r="BM1286" s="1">
        <v>0.707</v>
      </c>
      <c r="BN1286" s="1">
        <v>0.852</v>
      </c>
      <c r="BO1286" s="1">
        <v>0.8354</v>
      </c>
      <c r="BP1286" s="1">
        <v>0.892</v>
      </c>
      <c r="BQ1286" s="1">
        <v>3.2864</v>
      </c>
      <c r="BR1286" s="1">
        <v>0.8744</v>
      </c>
      <c r="BS1286" s="1">
        <v>0.674</v>
      </c>
      <c r="BT1286" s="1">
        <v>0.691</v>
      </c>
      <c r="BU1286" s="1">
        <v>0.39</v>
      </c>
      <c r="BV1286" s="1">
        <v>1.755</v>
      </c>
      <c r="BW1286" s="1">
        <v>0.685</v>
      </c>
      <c r="BX1286" s="1">
        <v>0.158</v>
      </c>
      <c r="BY1286" s="1">
        <v>0.0</v>
      </c>
      <c r="BZ1286" s="1">
        <v>0.158</v>
      </c>
      <c r="CA1286" s="1">
        <v>0.075</v>
      </c>
      <c r="CB1286" s="1">
        <v>0.337</v>
      </c>
      <c r="CC1286" s="1">
        <v>0.968</v>
      </c>
      <c r="CD1286" s="1">
        <v>0.472</v>
      </c>
      <c r="CE1286" s="1">
        <v>0.602</v>
      </c>
      <c r="CF1286" s="1">
        <v>0.684</v>
      </c>
      <c r="CG1286" s="1">
        <v>3.063</v>
      </c>
      <c r="CH1286" s="1">
        <v>0.802</v>
      </c>
      <c r="CI1286" s="1">
        <v>8.2624</v>
      </c>
      <c r="CJ1286" s="1">
        <v>0.7538</v>
      </c>
      <c r="CK1286" s="1">
        <v>0.0</v>
      </c>
      <c r="CL1286" s="1">
        <v>0.0</v>
      </c>
      <c r="CM1286" s="1">
        <v>0.0</v>
      </c>
      <c r="CN1286" s="1">
        <v>0.0</v>
      </c>
      <c r="CO1286" s="1">
        <v>0.0</v>
      </c>
      <c r="CP1286" s="1">
        <v>0.0</v>
      </c>
      <c r="CQ1286" s="1">
        <v>0.0</v>
      </c>
      <c r="CR1286" s="1">
        <v>0.0</v>
      </c>
      <c r="CS1286" s="1">
        <v>0.0</v>
      </c>
      <c r="CT1286" s="1">
        <v>0.0</v>
      </c>
      <c r="CU1286" s="1">
        <v>0.0</v>
      </c>
      <c r="CV1286" s="1">
        <v>0.0</v>
      </c>
      <c r="CW1286" s="1">
        <v>0.0</v>
      </c>
      <c r="CX1286" s="1">
        <v>1.0</v>
      </c>
      <c r="CY1286" s="1">
        <v>0.0</v>
      </c>
      <c r="CZ1286" s="1">
        <v>0.0</v>
      </c>
      <c r="DA1286" s="1">
        <v>0.0</v>
      </c>
      <c r="DB1286" s="1">
        <v>1.0</v>
      </c>
      <c r="DC1286" s="1">
        <v>1.0</v>
      </c>
      <c r="DD1286" s="1" t="s">
        <v>5650</v>
      </c>
      <c r="DE1286" s="2" t="s">
        <v>5651</v>
      </c>
      <c r="DF1286" s="2" t="s">
        <v>5652</v>
      </c>
    </row>
    <row r="1287" ht="15.75" customHeight="1">
      <c r="A1287" s="1" t="s">
        <v>5653</v>
      </c>
      <c r="B1287" s="1">
        <v>29.0</v>
      </c>
      <c r="C1287" s="1">
        <v>229.0</v>
      </c>
      <c r="D1287" s="1">
        <v>490400.0</v>
      </c>
      <c r="E1287" s="1">
        <v>40.559</v>
      </c>
      <c r="F1287" s="1">
        <v>29229.0</v>
      </c>
      <c r="G1287" s="1">
        <v>2.92294904E10</v>
      </c>
      <c r="H1287" s="1" t="s">
        <v>112</v>
      </c>
      <c r="I1287" s="1" t="s">
        <v>113</v>
      </c>
      <c r="J1287" s="1" t="s">
        <v>5644</v>
      </c>
      <c r="K1287" s="1" t="s">
        <v>5654</v>
      </c>
      <c r="L1287" s="1">
        <v>5647.0</v>
      </c>
      <c r="M1287" s="1">
        <v>5493.0</v>
      </c>
      <c r="N1287" s="1">
        <v>292.0</v>
      </c>
      <c r="O1287" s="1">
        <v>2656.0</v>
      </c>
      <c r="P1287" s="1">
        <v>2542.0</v>
      </c>
      <c r="Q1287" s="1">
        <v>217.0</v>
      </c>
      <c r="R1287" s="1">
        <v>2330.0</v>
      </c>
      <c r="S1287" s="1">
        <v>1575.0</v>
      </c>
      <c r="T1287" s="1">
        <v>473.0</v>
      </c>
      <c r="U1287" s="1">
        <v>261.0</v>
      </c>
      <c r="V1287" s="1">
        <v>366.0</v>
      </c>
      <c r="W1287" s="1">
        <v>15470.0</v>
      </c>
      <c r="X1287" s="1">
        <v>1952.0</v>
      </c>
      <c r="Y1287" s="1">
        <v>839.0</v>
      </c>
      <c r="Z1287" s="1">
        <v>250.0</v>
      </c>
      <c r="AA1287" s="1">
        <v>1062.0</v>
      </c>
      <c r="AB1287" s="1">
        <v>1515.0</v>
      </c>
      <c r="AC1287" s="1">
        <v>301.0</v>
      </c>
      <c r="AD1287" s="1">
        <v>274.0</v>
      </c>
      <c r="AE1287" s="1">
        <v>25.0</v>
      </c>
      <c r="AF1287" s="1">
        <v>442.0</v>
      </c>
      <c r="AG1287" s="1">
        <v>70.0</v>
      </c>
      <c r="AH1287" s="1">
        <v>47.0</v>
      </c>
      <c r="AI1287" s="1">
        <v>116.0</v>
      </c>
      <c r="AJ1287" s="1">
        <v>68.0</v>
      </c>
      <c r="AK1287" s="1">
        <v>40.0</v>
      </c>
      <c r="AL1287" s="1">
        <v>120.0</v>
      </c>
      <c r="AM1287" s="1">
        <v>118.0</v>
      </c>
      <c r="AN1287" s="1">
        <v>130.0</v>
      </c>
      <c r="AO1287" s="1">
        <v>84.0</v>
      </c>
      <c r="AP1287" s="1">
        <v>0.294007</v>
      </c>
      <c r="AQ1287" s="1">
        <v>0.085716</v>
      </c>
      <c r="AR1287" s="1">
        <v>0.123931</v>
      </c>
      <c r="AS1287" s="1">
        <v>0.173011</v>
      </c>
      <c r="AT1287" s="1">
        <v>15470.0</v>
      </c>
      <c r="AU1287" s="1">
        <v>1952.0</v>
      </c>
      <c r="AV1287" s="1">
        <v>0.240953</v>
      </c>
      <c r="AW1287" s="1">
        <v>0.068855</v>
      </c>
      <c r="AX1287" s="1">
        <v>0.188064</v>
      </c>
      <c r="AY1287" s="1">
        <v>0.268284</v>
      </c>
      <c r="AZ1287" s="1">
        <v>0.12918454</v>
      </c>
      <c r="BA1287" s="1">
        <v>0.048521</v>
      </c>
      <c r="BB1287" s="1">
        <v>0.004985</v>
      </c>
      <c r="BC1287" s="1">
        <v>0.088135</v>
      </c>
      <c r="BD1287" s="1">
        <v>0.027537</v>
      </c>
      <c r="BE1287" s="1">
        <v>0.018339</v>
      </c>
      <c r="BF1287" s="1">
        <v>0.045633</v>
      </c>
      <c r="BG1287" s="1">
        <v>0.026465</v>
      </c>
      <c r="BH1287" s="1">
        <v>0.017667</v>
      </c>
      <c r="BI1287" s="1">
        <v>0.052979</v>
      </c>
      <c r="BJ1287" s="1">
        <v>0.05212</v>
      </c>
      <c r="BK1287" s="1">
        <v>0.05723</v>
      </c>
      <c r="BL1287" s="1">
        <v>0.014875</v>
      </c>
      <c r="BM1287" s="1">
        <v>0.879</v>
      </c>
      <c r="BN1287" s="1">
        <v>0.836</v>
      </c>
      <c r="BO1287" s="1">
        <v>0.8585</v>
      </c>
      <c r="BP1287" s="1">
        <v>0.848</v>
      </c>
      <c r="BQ1287" s="1">
        <v>3.4215</v>
      </c>
      <c r="BR1287" s="1">
        <v>0.9047</v>
      </c>
      <c r="BS1287" s="1">
        <v>0.828</v>
      </c>
      <c r="BT1287" s="1">
        <v>0.779</v>
      </c>
      <c r="BU1287" s="1">
        <v>0.712</v>
      </c>
      <c r="BV1287" s="1">
        <v>2.319</v>
      </c>
      <c r="BW1287" s="1">
        <v>0.984</v>
      </c>
      <c r="BX1287" s="1">
        <v>0.238</v>
      </c>
      <c r="BY1287" s="1">
        <v>0.559</v>
      </c>
      <c r="BZ1287" s="1">
        <v>0.797</v>
      </c>
      <c r="CA1287" s="1">
        <v>0.397</v>
      </c>
      <c r="CB1287" s="1">
        <v>0.529</v>
      </c>
      <c r="CC1287" s="1">
        <v>0.594</v>
      </c>
      <c r="CD1287" s="1">
        <v>0.643</v>
      </c>
      <c r="CE1287" s="1">
        <v>0.503</v>
      </c>
      <c r="CF1287" s="1">
        <v>0.644</v>
      </c>
      <c r="CG1287" s="1">
        <v>2.913</v>
      </c>
      <c r="CH1287" s="1">
        <v>0.737</v>
      </c>
      <c r="CI1287" s="1">
        <v>9.4505</v>
      </c>
      <c r="CJ1287" s="1">
        <v>0.9004</v>
      </c>
      <c r="CK1287" s="1">
        <v>0.0</v>
      </c>
      <c r="CL1287" s="1">
        <v>0.0</v>
      </c>
      <c r="CM1287" s="1">
        <v>0.0</v>
      </c>
      <c r="CN1287" s="1">
        <v>0.0</v>
      </c>
      <c r="CO1287" s="1">
        <v>0.0</v>
      </c>
      <c r="CP1287" s="1">
        <v>0.0</v>
      </c>
      <c r="CQ1287" s="1">
        <v>0.0</v>
      </c>
      <c r="CR1287" s="1">
        <v>0.0</v>
      </c>
      <c r="CS1287" s="1">
        <v>0.0</v>
      </c>
      <c r="CT1287" s="1">
        <v>0.0</v>
      </c>
      <c r="CU1287" s="1">
        <v>0.0</v>
      </c>
      <c r="CV1287" s="1">
        <v>0.0</v>
      </c>
      <c r="CW1287" s="1">
        <v>0.0</v>
      </c>
      <c r="CX1287" s="1">
        <v>0.0</v>
      </c>
      <c r="CY1287" s="1">
        <v>0.0</v>
      </c>
      <c r="CZ1287" s="1">
        <v>0.0</v>
      </c>
      <c r="DA1287" s="1">
        <v>0.0</v>
      </c>
      <c r="DB1287" s="1">
        <v>0.0</v>
      </c>
      <c r="DC1287" s="1">
        <v>0.0</v>
      </c>
      <c r="DD1287" s="1" t="s">
        <v>5655</v>
      </c>
      <c r="DE1287" s="2" t="s">
        <v>5656</v>
      </c>
      <c r="DF1287" s="2" t="s">
        <v>5657</v>
      </c>
    </row>
    <row r="1288" ht="15.75" customHeight="1">
      <c r="A1288" s="1" t="s">
        <v>5658</v>
      </c>
      <c r="B1288" s="1">
        <v>29.0</v>
      </c>
      <c r="C1288" s="1">
        <v>229.0</v>
      </c>
      <c r="D1288" s="1">
        <v>490300.0</v>
      </c>
      <c r="E1288" s="1">
        <v>129.501</v>
      </c>
      <c r="F1288" s="1">
        <v>29229.0</v>
      </c>
      <c r="G1288" s="1">
        <v>2.92294903E10</v>
      </c>
      <c r="H1288" s="1" t="s">
        <v>112</v>
      </c>
      <c r="I1288" s="1" t="s">
        <v>113</v>
      </c>
      <c r="J1288" s="1" t="s">
        <v>5644</v>
      </c>
      <c r="K1288" s="1" t="s">
        <v>5659</v>
      </c>
      <c r="L1288" s="1">
        <v>5431.0</v>
      </c>
      <c r="M1288" s="1">
        <v>5219.0</v>
      </c>
      <c r="N1288" s="1">
        <v>350.0</v>
      </c>
      <c r="O1288" s="1">
        <v>2398.0</v>
      </c>
      <c r="P1288" s="1">
        <v>2448.0</v>
      </c>
      <c r="Q1288" s="1">
        <v>132.0</v>
      </c>
      <c r="R1288" s="1">
        <v>2118.0</v>
      </c>
      <c r="S1288" s="1">
        <v>1433.0</v>
      </c>
      <c r="T1288" s="1">
        <v>394.0</v>
      </c>
      <c r="U1288" s="1">
        <v>194.0</v>
      </c>
      <c r="V1288" s="1">
        <v>290.0</v>
      </c>
      <c r="W1288" s="1">
        <v>14894.0</v>
      </c>
      <c r="X1288" s="1">
        <v>1459.0</v>
      </c>
      <c r="Y1288" s="1">
        <v>750.0</v>
      </c>
      <c r="Z1288" s="1">
        <v>181.0</v>
      </c>
      <c r="AA1288" s="1">
        <v>880.0</v>
      </c>
      <c r="AB1288" s="1">
        <v>1435.0</v>
      </c>
      <c r="AC1288" s="1">
        <v>223.0</v>
      </c>
      <c r="AD1288" s="1">
        <v>167.0</v>
      </c>
      <c r="AE1288" s="1">
        <v>6.0</v>
      </c>
      <c r="AF1288" s="1">
        <v>442.0</v>
      </c>
      <c r="AG1288" s="1">
        <v>12.0</v>
      </c>
      <c r="AH1288" s="1">
        <v>114.0</v>
      </c>
      <c r="AI1288" s="1">
        <v>479.0</v>
      </c>
      <c r="AJ1288" s="1">
        <v>106.0</v>
      </c>
      <c r="AK1288" s="1">
        <v>64.0</v>
      </c>
      <c r="AL1288" s="1">
        <v>132.0</v>
      </c>
      <c r="AM1288" s="1">
        <v>184.0</v>
      </c>
      <c r="AN1288" s="1">
        <v>77.0</v>
      </c>
      <c r="AO1288" s="1">
        <v>41.0</v>
      </c>
      <c r="AP1288" s="1">
        <v>0.277122</v>
      </c>
      <c r="AQ1288" s="1">
        <v>0.073983</v>
      </c>
      <c r="AR1288" s="1">
        <v>0.090064</v>
      </c>
      <c r="AS1288" s="1">
        <v>0.134213</v>
      </c>
      <c r="AT1288" s="1">
        <v>14894.0</v>
      </c>
      <c r="AU1288" s="1">
        <v>1459.0</v>
      </c>
      <c r="AV1288" s="1">
        <v>0.222551</v>
      </c>
      <c r="AW1288" s="1">
        <v>0.050755</v>
      </c>
      <c r="AX1288" s="1">
        <v>0.162032</v>
      </c>
      <c r="AY1288" s="1">
        <v>0.264223</v>
      </c>
      <c r="AZ1288" s="1">
        <v>0.105288</v>
      </c>
      <c r="BA1288" s="1">
        <v>0.030749</v>
      </c>
      <c r="BB1288" s="1">
        <v>0.001253</v>
      </c>
      <c r="BC1288" s="1">
        <v>0.092333</v>
      </c>
      <c r="BD1288" s="1">
        <v>0.004901</v>
      </c>
      <c r="BE1288" s="1">
        <v>0.046567</v>
      </c>
      <c r="BF1288" s="1">
        <v>0.195669</v>
      </c>
      <c r="BG1288" s="1">
        <v>0.041995</v>
      </c>
      <c r="BH1288" s="1">
        <v>0.030784</v>
      </c>
      <c r="BI1288" s="1">
        <v>0.063456</v>
      </c>
      <c r="BJ1288" s="1">
        <v>0.088504</v>
      </c>
      <c r="BK1288" s="1">
        <v>0.036526</v>
      </c>
      <c r="BL1288" s="1">
        <v>0.007549</v>
      </c>
      <c r="BM1288" s="1">
        <v>0.864</v>
      </c>
      <c r="BN1288" s="1">
        <v>0.684</v>
      </c>
      <c r="BO1288" s="1">
        <v>0.8794</v>
      </c>
      <c r="BP1288" s="1">
        <v>0.807</v>
      </c>
      <c r="BQ1288" s="1">
        <v>3.2344</v>
      </c>
      <c r="BR1288" s="1">
        <v>0.8606</v>
      </c>
      <c r="BS1288" s="1">
        <v>0.682</v>
      </c>
      <c r="BT1288" s="1">
        <v>0.741</v>
      </c>
      <c r="BU1288" s="1">
        <v>0.544</v>
      </c>
      <c r="BV1288" s="1">
        <v>1.967</v>
      </c>
      <c r="BW1288" s="1">
        <v>0.843</v>
      </c>
      <c r="BX1288" s="1">
        <v>0.084</v>
      </c>
      <c r="BY1288" s="1">
        <v>0.343</v>
      </c>
      <c r="BZ1288" s="1">
        <v>0.427</v>
      </c>
      <c r="CA1288" s="1">
        <v>0.177</v>
      </c>
      <c r="CB1288" s="1">
        <v>0.312</v>
      </c>
      <c r="CC1288" s="1">
        <v>0.893</v>
      </c>
      <c r="CD1288" s="1">
        <v>0.817</v>
      </c>
      <c r="CE1288" s="1">
        <v>0.711</v>
      </c>
      <c r="CF1288" s="1">
        <v>0.545</v>
      </c>
      <c r="CG1288" s="1">
        <v>3.278</v>
      </c>
      <c r="CH1288" s="1">
        <v>0.865</v>
      </c>
      <c r="CI1288" s="1">
        <v>8.9064</v>
      </c>
      <c r="CJ1288" s="1">
        <v>0.8412</v>
      </c>
      <c r="CK1288" s="1">
        <v>0.0</v>
      </c>
      <c r="CL1288" s="1">
        <v>0.0</v>
      </c>
      <c r="CM1288" s="1">
        <v>0.0</v>
      </c>
      <c r="CN1288" s="1">
        <v>0.0</v>
      </c>
      <c r="CO1288" s="1">
        <v>0.0</v>
      </c>
      <c r="CP1288" s="1">
        <v>0.0</v>
      </c>
      <c r="CQ1288" s="1">
        <v>0.0</v>
      </c>
      <c r="CR1288" s="1">
        <v>0.0</v>
      </c>
      <c r="CS1288" s="1">
        <v>0.0</v>
      </c>
      <c r="CT1288" s="1">
        <v>0.0</v>
      </c>
      <c r="CU1288" s="1">
        <v>0.0</v>
      </c>
      <c r="CV1288" s="1">
        <v>0.0</v>
      </c>
      <c r="CW1288" s="1">
        <v>0.0</v>
      </c>
      <c r="CX1288" s="1">
        <v>0.0</v>
      </c>
      <c r="CY1288" s="1">
        <v>0.0</v>
      </c>
      <c r="CZ1288" s="1">
        <v>0.0</v>
      </c>
      <c r="DA1288" s="1">
        <v>0.0</v>
      </c>
      <c r="DB1288" s="1">
        <v>0.0</v>
      </c>
      <c r="DC1288" s="1">
        <v>0.0</v>
      </c>
      <c r="DD1288" s="1" t="s">
        <v>5660</v>
      </c>
      <c r="DE1288" s="1">
        <v>0.0340338247560817</v>
      </c>
      <c r="DF1288" s="2" t="s">
        <v>5661</v>
      </c>
    </row>
    <row r="1289" ht="15.75" customHeight="1">
      <c r="A1289" s="1" t="s">
        <v>5662</v>
      </c>
      <c r="B1289" s="1">
        <v>29.0</v>
      </c>
      <c r="C1289" s="1">
        <v>510.0</v>
      </c>
      <c r="D1289" s="1">
        <v>107400.0</v>
      </c>
      <c r="E1289" s="1">
        <v>0.419</v>
      </c>
      <c r="F1289" s="1">
        <v>29510.0</v>
      </c>
      <c r="G1289" s="1">
        <v>2.95101074E10</v>
      </c>
      <c r="H1289" s="1" t="s">
        <v>112</v>
      </c>
      <c r="I1289" s="1" t="s">
        <v>113</v>
      </c>
      <c r="J1289" s="1" t="s">
        <v>5663</v>
      </c>
      <c r="K1289" s="1" t="s">
        <v>5664</v>
      </c>
      <c r="L1289" s="1">
        <v>2788.0</v>
      </c>
      <c r="M1289" s="1">
        <v>2107.0</v>
      </c>
      <c r="N1289" s="1">
        <v>347.0</v>
      </c>
      <c r="O1289" s="1">
        <v>1292.0</v>
      </c>
      <c r="P1289" s="1">
        <v>1299.0</v>
      </c>
      <c r="Q1289" s="1">
        <v>89.0</v>
      </c>
      <c r="R1289" s="1">
        <v>931.0</v>
      </c>
      <c r="S1289" s="1">
        <v>541.0</v>
      </c>
      <c r="T1289" s="1">
        <v>245.0</v>
      </c>
      <c r="U1289" s="1">
        <v>187.0</v>
      </c>
      <c r="V1289" s="1">
        <v>386.0</v>
      </c>
      <c r="W1289" s="1">
        <v>16209.0</v>
      </c>
      <c r="X1289" s="1">
        <v>3120.0</v>
      </c>
      <c r="Y1289" s="1">
        <v>288.0</v>
      </c>
      <c r="Z1289" s="1">
        <v>274.0</v>
      </c>
      <c r="AA1289" s="1">
        <v>332.0</v>
      </c>
      <c r="AB1289" s="1">
        <v>844.0</v>
      </c>
      <c r="AC1289" s="1">
        <v>313.0</v>
      </c>
      <c r="AD1289" s="1">
        <v>2756.0</v>
      </c>
      <c r="AE1289" s="1">
        <v>0.0</v>
      </c>
      <c r="AF1289" s="1">
        <v>456.0</v>
      </c>
      <c r="AG1289" s="1">
        <v>8.0</v>
      </c>
      <c r="AH1289" s="1">
        <v>162.0</v>
      </c>
      <c r="AI1289" s="1">
        <v>0.0</v>
      </c>
      <c r="AJ1289" s="1">
        <v>114.0</v>
      </c>
      <c r="AK1289" s="1">
        <v>0.0</v>
      </c>
      <c r="AL1289" s="1">
        <v>161.0</v>
      </c>
      <c r="AM1289" s="1">
        <v>178.0</v>
      </c>
      <c r="AN1289" s="1">
        <v>77.0</v>
      </c>
      <c r="AO1289" s="1">
        <v>14.0</v>
      </c>
      <c r="AP1289" s="1">
        <v>0.256763</v>
      </c>
      <c r="AQ1289" s="1">
        <v>0.108317</v>
      </c>
      <c r="AR1289" s="1">
        <v>0.196428</v>
      </c>
      <c r="AS1289" s="1">
        <v>0.401897</v>
      </c>
      <c r="AT1289" s="1">
        <v>16209.0</v>
      </c>
      <c r="AU1289" s="1">
        <v>3120.0</v>
      </c>
      <c r="AV1289" s="1">
        <v>0.212703</v>
      </c>
      <c r="AW1289" s="1">
        <v>0.200508</v>
      </c>
      <c r="AX1289" s="1">
        <v>0.119081</v>
      </c>
      <c r="AY1289" s="1">
        <v>0.302725</v>
      </c>
      <c r="AZ1289" s="1">
        <v>0.33619763</v>
      </c>
      <c r="BA1289" s="1">
        <v>0.988522</v>
      </c>
      <c r="BB1289" s="1">
        <v>0.0</v>
      </c>
      <c r="BC1289" s="1">
        <v>0.236514</v>
      </c>
      <c r="BD1289" s="1">
        <v>0.006158</v>
      </c>
      <c r="BE1289" s="1">
        <v>0.12471</v>
      </c>
      <c r="BF1289" s="1">
        <v>0.0</v>
      </c>
      <c r="BG1289" s="1">
        <v>0.087759</v>
      </c>
      <c r="BH1289" s="1">
        <v>0.0</v>
      </c>
      <c r="BI1289" s="1">
        <v>0.196581</v>
      </c>
      <c r="BJ1289" s="1">
        <v>0.217338</v>
      </c>
      <c r="BK1289" s="1">
        <v>0.090115</v>
      </c>
      <c r="BL1289" s="1">
        <v>0.005021</v>
      </c>
      <c r="BM1289" s="1">
        <v>0.838</v>
      </c>
      <c r="BN1289" s="1">
        <v>0.95</v>
      </c>
      <c r="BO1289" s="1">
        <v>0.8282</v>
      </c>
      <c r="BP1289" s="1">
        <v>0.787</v>
      </c>
      <c r="BQ1289" s="1">
        <v>3.4032</v>
      </c>
      <c r="BR1289" s="1">
        <v>0.8996</v>
      </c>
      <c r="BS1289" s="1">
        <v>0.336</v>
      </c>
      <c r="BT1289" s="1">
        <v>0.929</v>
      </c>
      <c r="BU1289" s="1">
        <v>0.988</v>
      </c>
      <c r="BV1289" s="1">
        <v>2.253</v>
      </c>
      <c r="BW1289" s="1">
        <v>0.973</v>
      </c>
      <c r="BX1289" s="1">
        <v>0.986</v>
      </c>
      <c r="BY1289" s="1">
        <v>0.0</v>
      </c>
      <c r="BZ1289" s="1">
        <v>0.986</v>
      </c>
      <c r="CA1289" s="1">
        <v>0.546</v>
      </c>
      <c r="CB1289" s="1">
        <v>0.341</v>
      </c>
      <c r="CC1289" s="1">
        <v>0.0</v>
      </c>
      <c r="CD1289" s="1">
        <v>0.0</v>
      </c>
      <c r="CE1289" s="1">
        <v>0.921</v>
      </c>
      <c r="CF1289" s="1">
        <v>0.51</v>
      </c>
      <c r="CG1289" s="1">
        <v>1.772</v>
      </c>
      <c r="CH1289" s="1">
        <v>0.259</v>
      </c>
      <c r="CI1289" s="1">
        <v>8.4142</v>
      </c>
      <c r="CJ1289" s="1">
        <v>0.774</v>
      </c>
      <c r="CK1289" s="1">
        <v>0.0</v>
      </c>
      <c r="CL1289" s="1">
        <v>1.0</v>
      </c>
      <c r="CM1289" s="1">
        <v>0.0</v>
      </c>
      <c r="CN1289" s="1">
        <v>0.0</v>
      </c>
      <c r="CO1289" s="1">
        <v>1.0</v>
      </c>
      <c r="CP1289" s="1">
        <v>0.0</v>
      </c>
      <c r="CQ1289" s="1">
        <v>1.0</v>
      </c>
      <c r="CR1289" s="1">
        <v>1.0</v>
      </c>
      <c r="CS1289" s="1">
        <v>2.0</v>
      </c>
      <c r="CT1289" s="1">
        <v>1.0</v>
      </c>
      <c r="CU1289" s="1">
        <v>0.0</v>
      </c>
      <c r="CV1289" s="1">
        <v>1.0</v>
      </c>
      <c r="CW1289" s="1">
        <v>0.0</v>
      </c>
      <c r="CX1289" s="1">
        <v>0.0</v>
      </c>
      <c r="CY1289" s="1">
        <v>0.0</v>
      </c>
      <c r="CZ1289" s="1">
        <v>1.0</v>
      </c>
      <c r="DA1289" s="1">
        <v>0.0</v>
      </c>
      <c r="DB1289" s="1">
        <v>1.0</v>
      </c>
      <c r="DC1289" s="1">
        <v>5.0</v>
      </c>
      <c r="DD1289" s="1" t="s">
        <v>5665</v>
      </c>
      <c r="DE1289" s="1">
        <v>1.1149333622892E-4</v>
      </c>
      <c r="DF1289" s="1">
        <v>0.0462566580866699</v>
      </c>
    </row>
    <row r="1290" ht="15.75" customHeight="1">
      <c r="A1290" s="1" t="s">
        <v>5666</v>
      </c>
      <c r="B1290" s="1">
        <v>29.0</v>
      </c>
      <c r="C1290" s="1">
        <v>510.0</v>
      </c>
      <c r="D1290" s="1">
        <v>109700.0</v>
      </c>
      <c r="E1290" s="1">
        <v>1.369</v>
      </c>
      <c r="F1290" s="1">
        <v>29510.0</v>
      </c>
      <c r="G1290" s="1">
        <v>2.95101097E10</v>
      </c>
      <c r="H1290" s="1" t="s">
        <v>112</v>
      </c>
      <c r="I1290" s="1" t="s">
        <v>113</v>
      </c>
      <c r="J1290" s="1" t="s">
        <v>5663</v>
      </c>
      <c r="K1290" s="1" t="s">
        <v>5667</v>
      </c>
      <c r="L1290" s="1">
        <v>2487.0</v>
      </c>
      <c r="M1290" s="1">
        <v>2939.0</v>
      </c>
      <c r="N1290" s="1">
        <v>510.0</v>
      </c>
      <c r="O1290" s="1">
        <v>1547.0</v>
      </c>
      <c r="P1290" s="1">
        <v>1619.0</v>
      </c>
      <c r="Q1290" s="1">
        <v>143.0</v>
      </c>
      <c r="R1290" s="1">
        <v>903.0</v>
      </c>
      <c r="S1290" s="1">
        <v>1263.0</v>
      </c>
      <c r="T1290" s="1">
        <v>461.0</v>
      </c>
      <c r="U1290" s="1">
        <v>218.0</v>
      </c>
      <c r="V1290" s="1">
        <v>372.0</v>
      </c>
      <c r="W1290" s="1">
        <v>11422.0</v>
      </c>
      <c r="X1290" s="1">
        <v>2327.0</v>
      </c>
      <c r="Y1290" s="1">
        <v>384.0</v>
      </c>
      <c r="Z1290" s="1">
        <v>281.0</v>
      </c>
      <c r="AA1290" s="1">
        <v>267.0</v>
      </c>
      <c r="AB1290" s="1">
        <v>720.0</v>
      </c>
      <c r="AC1290" s="1">
        <v>303.0</v>
      </c>
      <c r="AD1290" s="1">
        <v>2375.0</v>
      </c>
      <c r="AE1290" s="1">
        <v>11.0</v>
      </c>
      <c r="AF1290" s="1">
        <v>442.0</v>
      </c>
      <c r="AG1290" s="1">
        <v>10.0</v>
      </c>
      <c r="AH1290" s="1">
        <v>162.0</v>
      </c>
      <c r="AI1290" s="1">
        <v>9.0</v>
      </c>
      <c r="AJ1290" s="1">
        <v>14.0</v>
      </c>
      <c r="AK1290" s="1">
        <v>47.0</v>
      </c>
      <c r="AL1290" s="1">
        <v>124.0</v>
      </c>
      <c r="AM1290" s="1">
        <v>322.0</v>
      </c>
      <c r="AN1290" s="1">
        <v>116.0</v>
      </c>
      <c r="AO1290" s="1">
        <v>44.0</v>
      </c>
      <c r="AP1290" s="1">
        <v>0.429738</v>
      </c>
      <c r="AQ1290" s="1">
        <v>0.137995</v>
      </c>
      <c r="AR1290" s="1">
        <v>0.185689</v>
      </c>
      <c r="AS1290" s="1">
        <v>0.314583</v>
      </c>
      <c r="AT1290" s="1">
        <v>11422.0</v>
      </c>
      <c r="AU1290" s="1">
        <v>2327.0</v>
      </c>
      <c r="AV1290" s="1">
        <v>0.231464</v>
      </c>
      <c r="AW1290" s="1">
        <v>0.16563</v>
      </c>
      <c r="AX1290" s="1">
        <v>0.107358</v>
      </c>
      <c r="AY1290" s="1">
        <v>0.289505</v>
      </c>
      <c r="AZ1290" s="1">
        <v>0.33554817</v>
      </c>
      <c r="BA1290" s="1">
        <v>0.954965</v>
      </c>
      <c r="BB1290" s="1">
        <v>0.004176</v>
      </c>
      <c r="BC1290" s="1">
        <v>0.167804</v>
      </c>
      <c r="BD1290" s="1">
        <v>0.006176</v>
      </c>
      <c r="BE1290" s="1">
        <v>0.10006</v>
      </c>
      <c r="BF1290" s="1">
        <v>0.005558</v>
      </c>
      <c r="BG1290" s="1">
        <v>0.008633</v>
      </c>
      <c r="BH1290" s="1">
        <v>0.04372</v>
      </c>
      <c r="BI1290" s="1">
        <v>0.115187</v>
      </c>
      <c r="BJ1290" s="1">
        <v>0.299534</v>
      </c>
      <c r="BK1290" s="1">
        <v>0.099483</v>
      </c>
      <c r="BL1290" s="1">
        <v>0.017692</v>
      </c>
      <c r="BM1290" s="1">
        <v>0.971</v>
      </c>
      <c r="BN1290" s="1">
        <v>0.94</v>
      </c>
      <c r="BO1290" s="1">
        <v>0.9697</v>
      </c>
      <c r="BP1290" s="1">
        <v>0.83</v>
      </c>
      <c r="BQ1290" s="1">
        <v>3.7107</v>
      </c>
      <c r="BR1290" s="1">
        <v>0.9632</v>
      </c>
      <c r="BS1290" s="1">
        <v>0.253</v>
      </c>
      <c r="BT1290" s="1">
        <v>0.887</v>
      </c>
      <c r="BU1290" s="1">
        <v>0.987</v>
      </c>
      <c r="BV1290" s="1">
        <v>2.127</v>
      </c>
      <c r="BW1290" s="1">
        <v>0.935</v>
      </c>
      <c r="BX1290" s="1">
        <v>0.96</v>
      </c>
      <c r="BY1290" s="1">
        <v>0.525</v>
      </c>
      <c r="BZ1290" s="1">
        <v>1.485</v>
      </c>
      <c r="CA1290" s="1">
        <v>0.812</v>
      </c>
      <c r="CB1290" s="1">
        <v>0.341</v>
      </c>
      <c r="CC1290" s="1">
        <v>0.405</v>
      </c>
      <c r="CD1290" s="1">
        <v>0.908</v>
      </c>
      <c r="CE1290" s="1">
        <v>0.966</v>
      </c>
      <c r="CF1290" s="1">
        <v>0.682</v>
      </c>
      <c r="CG1290" s="1">
        <v>3.302</v>
      </c>
      <c r="CH1290" s="1">
        <v>0.874</v>
      </c>
      <c r="CI1290" s="1">
        <v>10.6247</v>
      </c>
      <c r="CJ1290" s="1">
        <v>0.9798</v>
      </c>
      <c r="CK1290" s="1">
        <v>1.0</v>
      </c>
      <c r="CL1290" s="1">
        <v>1.0</v>
      </c>
      <c r="CM1290" s="1">
        <v>1.0</v>
      </c>
      <c r="CN1290" s="1">
        <v>0.0</v>
      </c>
      <c r="CO1290" s="1">
        <v>3.0</v>
      </c>
      <c r="CP1290" s="1">
        <v>0.0</v>
      </c>
      <c r="CQ1290" s="1">
        <v>0.0</v>
      </c>
      <c r="CR1290" s="1">
        <v>1.0</v>
      </c>
      <c r="CS1290" s="1">
        <v>1.0</v>
      </c>
      <c r="CT1290" s="1">
        <v>1.0</v>
      </c>
      <c r="CU1290" s="1">
        <v>0.0</v>
      </c>
      <c r="CV1290" s="1">
        <v>1.0</v>
      </c>
      <c r="CW1290" s="1">
        <v>0.0</v>
      </c>
      <c r="CX1290" s="1">
        <v>0.0</v>
      </c>
      <c r="CY1290" s="1">
        <v>1.0</v>
      </c>
      <c r="CZ1290" s="1">
        <v>1.0</v>
      </c>
      <c r="DA1290" s="1">
        <v>0.0</v>
      </c>
      <c r="DB1290" s="1">
        <v>2.0</v>
      </c>
      <c r="DC1290" s="1">
        <v>7.0</v>
      </c>
      <c r="DD1290" s="1" t="s">
        <v>5668</v>
      </c>
      <c r="DE1290" s="1">
        <v>4.18456020538964E-4</v>
      </c>
      <c r="DF1290" s="1">
        <v>0.0880409817346701</v>
      </c>
    </row>
    <row r="1291" ht="15.75" customHeight="1">
      <c r="A1291" s="1" t="s">
        <v>5669</v>
      </c>
      <c r="B1291" s="1">
        <v>29.0</v>
      </c>
      <c r="C1291" s="1">
        <v>510.0</v>
      </c>
      <c r="D1291" s="1">
        <v>111100.0</v>
      </c>
      <c r="E1291" s="1">
        <v>0.421</v>
      </c>
      <c r="F1291" s="1">
        <v>29510.0</v>
      </c>
      <c r="G1291" s="1">
        <v>2.95101111E10</v>
      </c>
      <c r="H1291" s="1" t="s">
        <v>112</v>
      </c>
      <c r="I1291" s="1" t="s">
        <v>113</v>
      </c>
      <c r="J1291" s="1" t="s">
        <v>5663</v>
      </c>
      <c r="K1291" s="1" t="s">
        <v>5670</v>
      </c>
      <c r="L1291" s="1">
        <v>1556.0</v>
      </c>
      <c r="M1291" s="1">
        <v>1559.0</v>
      </c>
      <c r="N1291" s="1">
        <v>340.0</v>
      </c>
      <c r="O1291" s="1">
        <v>811.0</v>
      </c>
      <c r="P1291" s="1">
        <v>870.0</v>
      </c>
      <c r="Q1291" s="1">
        <v>106.0</v>
      </c>
      <c r="R1291" s="1">
        <v>575.0</v>
      </c>
      <c r="S1291" s="1">
        <v>438.0</v>
      </c>
      <c r="T1291" s="1">
        <v>291.0</v>
      </c>
      <c r="U1291" s="1">
        <v>212.0</v>
      </c>
      <c r="V1291" s="1">
        <v>427.0</v>
      </c>
      <c r="W1291" s="1">
        <v>14506.0</v>
      </c>
      <c r="X1291" s="1">
        <v>4298.0</v>
      </c>
      <c r="Y1291" s="1">
        <v>348.0</v>
      </c>
      <c r="Z1291" s="1">
        <v>336.0</v>
      </c>
      <c r="AA1291" s="1">
        <v>197.0</v>
      </c>
      <c r="AB1291" s="1">
        <v>354.0</v>
      </c>
      <c r="AC1291" s="1">
        <v>136.0</v>
      </c>
      <c r="AD1291" s="1">
        <v>1511.0</v>
      </c>
      <c r="AE1291" s="1">
        <v>8.0</v>
      </c>
      <c r="AF1291" s="1">
        <v>442.0</v>
      </c>
      <c r="AG1291" s="1">
        <v>151.0</v>
      </c>
      <c r="AH1291" s="1">
        <v>149.0</v>
      </c>
      <c r="AI1291" s="1">
        <v>0.0</v>
      </c>
      <c r="AJ1291" s="1">
        <v>114.0</v>
      </c>
      <c r="AK1291" s="1">
        <v>0.0</v>
      </c>
      <c r="AL1291" s="1">
        <v>161.0</v>
      </c>
      <c r="AM1291" s="1">
        <v>144.0</v>
      </c>
      <c r="AN1291" s="1">
        <v>69.0</v>
      </c>
      <c r="AO1291" s="1">
        <v>158.0</v>
      </c>
      <c r="AP1291" s="1">
        <v>0.296547</v>
      </c>
      <c r="AQ1291" s="1">
        <v>0.186998</v>
      </c>
      <c r="AR1291" s="1">
        <v>0.298171</v>
      </c>
      <c r="AS1291" s="1">
        <v>0.586507</v>
      </c>
      <c r="AT1291" s="1">
        <v>14506.0</v>
      </c>
      <c r="AU1291" s="1">
        <v>4298.0</v>
      </c>
      <c r="AV1291" s="1">
        <v>0.324022</v>
      </c>
      <c r="AW1291" s="1">
        <v>0.304918</v>
      </c>
      <c r="AX1291" s="1">
        <v>0.126606</v>
      </c>
      <c r="AY1291" s="1">
        <v>0.227506</v>
      </c>
      <c r="AZ1291" s="1">
        <v>0.23652173</v>
      </c>
      <c r="BA1291" s="1">
        <v>0.971079</v>
      </c>
      <c r="BB1291" s="1">
        <v>0.005438</v>
      </c>
      <c r="BC1291" s="1">
        <v>0.300473</v>
      </c>
      <c r="BD1291" s="1">
        <v>0.173563</v>
      </c>
      <c r="BE1291" s="1">
        <v>0.169953</v>
      </c>
      <c r="BF1291" s="1">
        <v>0.0</v>
      </c>
      <c r="BG1291" s="1">
        <v>0.131034</v>
      </c>
      <c r="BH1291" s="1">
        <v>0.0</v>
      </c>
      <c r="BI1291" s="1">
        <v>0.279029</v>
      </c>
      <c r="BJ1291" s="1">
        <v>0.249566</v>
      </c>
      <c r="BK1291" s="1">
        <v>0.107098</v>
      </c>
      <c r="BL1291" s="1">
        <v>0.101542</v>
      </c>
      <c r="BM1291" s="1">
        <v>0.882</v>
      </c>
      <c r="BN1291" s="1">
        <v>0.99</v>
      </c>
      <c r="BO1291" s="1">
        <v>0.8924</v>
      </c>
      <c r="BP1291" s="1">
        <v>0.961</v>
      </c>
      <c r="BQ1291" s="1">
        <v>3.7254</v>
      </c>
      <c r="BR1291" s="1">
        <v>0.9653</v>
      </c>
      <c r="BS1291" s="1">
        <v>0.392</v>
      </c>
      <c r="BT1291" s="1">
        <v>0.364</v>
      </c>
      <c r="BU1291" s="1">
        <v>0.931</v>
      </c>
      <c r="BV1291" s="1">
        <v>1.687</v>
      </c>
      <c r="BW1291" s="1">
        <v>0.631</v>
      </c>
      <c r="BX1291" s="1">
        <v>0.972</v>
      </c>
      <c r="BY1291" s="1">
        <v>0.578</v>
      </c>
      <c r="BZ1291" s="1">
        <v>1.55</v>
      </c>
      <c r="CA1291" s="1">
        <v>0.851</v>
      </c>
      <c r="CB1291" s="1">
        <v>0.873</v>
      </c>
      <c r="CC1291" s="1">
        <v>0.0</v>
      </c>
      <c r="CD1291" s="1">
        <v>0.0</v>
      </c>
      <c r="CE1291" s="1">
        <v>0.941</v>
      </c>
      <c r="CF1291" s="1">
        <v>0.943</v>
      </c>
      <c r="CG1291" s="1">
        <v>2.757</v>
      </c>
      <c r="CH1291" s="1">
        <v>0.669</v>
      </c>
      <c r="CI1291" s="1">
        <v>9.7194</v>
      </c>
      <c r="CJ1291" s="1">
        <v>0.9278</v>
      </c>
      <c r="CK1291" s="1">
        <v>0.0</v>
      </c>
      <c r="CL1291" s="1">
        <v>1.0</v>
      </c>
      <c r="CM1291" s="1">
        <v>0.0</v>
      </c>
      <c r="CN1291" s="1">
        <v>1.0</v>
      </c>
      <c r="CO1291" s="1">
        <v>2.0</v>
      </c>
      <c r="CP1291" s="1">
        <v>0.0</v>
      </c>
      <c r="CQ1291" s="1">
        <v>0.0</v>
      </c>
      <c r="CR1291" s="1">
        <v>1.0</v>
      </c>
      <c r="CS1291" s="1">
        <v>1.0</v>
      </c>
      <c r="CT1291" s="1">
        <v>1.0</v>
      </c>
      <c r="CU1291" s="1">
        <v>0.0</v>
      </c>
      <c r="CV1291" s="1">
        <v>1.0</v>
      </c>
      <c r="CW1291" s="1">
        <v>0.0</v>
      </c>
      <c r="CX1291" s="1">
        <v>0.0</v>
      </c>
      <c r="CY1291" s="1">
        <v>0.0</v>
      </c>
      <c r="CZ1291" s="1">
        <v>1.0</v>
      </c>
      <c r="DA1291" s="1">
        <v>1.0</v>
      </c>
      <c r="DB1291" s="1">
        <v>2.0</v>
      </c>
      <c r="DC1291" s="1">
        <v>6.0</v>
      </c>
      <c r="DD1291" s="1" t="s">
        <v>5671</v>
      </c>
      <c r="DE1291" s="1">
        <v>1.12970246285974E-4</v>
      </c>
      <c r="DF1291" s="1">
        <v>0.0600399613837629</v>
      </c>
    </row>
    <row r="1292" ht="15.75" customHeight="1">
      <c r="A1292" s="1" t="s">
        <v>5672</v>
      </c>
      <c r="B1292" s="1">
        <v>29.0</v>
      </c>
      <c r="C1292" s="1">
        <v>510.0</v>
      </c>
      <c r="D1292" s="1">
        <v>101100.0</v>
      </c>
      <c r="E1292" s="1">
        <v>0.46</v>
      </c>
      <c r="F1292" s="1">
        <v>29510.0</v>
      </c>
      <c r="G1292" s="1">
        <v>2.95101011E10</v>
      </c>
      <c r="H1292" s="1" t="s">
        <v>112</v>
      </c>
      <c r="I1292" s="1" t="s">
        <v>113</v>
      </c>
      <c r="J1292" s="1" t="s">
        <v>5663</v>
      </c>
      <c r="K1292" s="1" t="s">
        <v>5673</v>
      </c>
      <c r="L1292" s="1">
        <v>2600.0</v>
      </c>
      <c r="M1292" s="1">
        <v>2416.0</v>
      </c>
      <c r="N1292" s="1">
        <v>259.0</v>
      </c>
      <c r="O1292" s="1">
        <v>1220.0</v>
      </c>
      <c r="P1292" s="1">
        <v>1181.0</v>
      </c>
      <c r="Q1292" s="1">
        <v>36.0</v>
      </c>
      <c r="R1292" s="1">
        <v>1150.0</v>
      </c>
      <c r="S1292" s="1">
        <v>253.0</v>
      </c>
      <c r="T1292" s="1">
        <v>128.0</v>
      </c>
      <c r="U1292" s="1">
        <v>49.0</v>
      </c>
      <c r="V1292" s="1">
        <v>428.0</v>
      </c>
      <c r="W1292" s="1">
        <v>25064.0</v>
      </c>
      <c r="X1292" s="1">
        <v>2691.0</v>
      </c>
      <c r="Y1292" s="1">
        <v>209.0</v>
      </c>
      <c r="Z1292" s="1">
        <v>289.0</v>
      </c>
      <c r="AA1292" s="1">
        <v>417.0</v>
      </c>
      <c r="AB1292" s="1">
        <v>494.0</v>
      </c>
      <c r="AC1292" s="1">
        <v>93.0</v>
      </c>
      <c r="AD1292" s="1">
        <v>402.0</v>
      </c>
      <c r="AE1292" s="1">
        <v>42.0</v>
      </c>
      <c r="AF1292" s="1">
        <v>413.0</v>
      </c>
      <c r="AG1292" s="1">
        <v>11.0</v>
      </c>
      <c r="AH1292" s="1">
        <v>162.0</v>
      </c>
      <c r="AI1292" s="1">
        <v>0.0</v>
      </c>
      <c r="AJ1292" s="1">
        <v>114.0</v>
      </c>
      <c r="AK1292" s="1">
        <v>19.0</v>
      </c>
      <c r="AL1292" s="1">
        <v>117.0</v>
      </c>
      <c r="AM1292" s="1">
        <v>47.0</v>
      </c>
      <c r="AN1292" s="1">
        <v>33.0</v>
      </c>
      <c r="AO1292" s="1">
        <v>0.0</v>
      </c>
      <c r="AP1292" s="1">
        <v>0.109098</v>
      </c>
      <c r="AQ1292" s="1">
        <v>0.054134</v>
      </c>
      <c r="AR1292" s="1">
        <v>0.039012</v>
      </c>
      <c r="AS1292" s="1">
        <v>0.340697</v>
      </c>
      <c r="AT1292" s="1">
        <v>25064.0</v>
      </c>
      <c r="AU1292" s="1">
        <v>2691.0</v>
      </c>
      <c r="AV1292" s="1">
        <v>0.113279</v>
      </c>
      <c r="AW1292" s="1">
        <v>0.156448</v>
      </c>
      <c r="AX1292" s="1">
        <v>0.160384</v>
      </c>
      <c r="AY1292" s="1">
        <v>0.19</v>
      </c>
      <c r="AZ1292" s="1">
        <v>0.08086956</v>
      </c>
      <c r="BA1292" s="1">
        <v>0.154615</v>
      </c>
      <c r="BB1292" s="1">
        <v>0.018518</v>
      </c>
      <c r="BC1292" s="1">
        <v>0.182089</v>
      </c>
      <c r="BD1292" s="1">
        <v>0.009314</v>
      </c>
      <c r="BE1292" s="1">
        <v>0.137171</v>
      </c>
      <c r="BF1292" s="1">
        <v>0.0</v>
      </c>
      <c r="BG1292" s="1">
        <v>0.096528</v>
      </c>
      <c r="BH1292" s="1">
        <v>0.016695</v>
      </c>
      <c r="BI1292" s="1">
        <v>0.102809</v>
      </c>
      <c r="BJ1292" s="1">
        <v>0.0413</v>
      </c>
      <c r="BK1292" s="1">
        <v>0.028934</v>
      </c>
      <c r="BL1292" s="1">
        <v>0.0</v>
      </c>
      <c r="BM1292" s="1">
        <v>0.408</v>
      </c>
      <c r="BN1292" s="1">
        <v>0.175</v>
      </c>
      <c r="BO1292" s="1">
        <v>0.3451</v>
      </c>
      <c r="BP1292" s="1">
        <v>0.395</v>
      </c>
      <c r="BQ1292" s="1">
        <v>1.3231</v>
      </c>
      <c r="BR1292" s="1">
        <v>0.2852</v>
      </c>
      <c r="BS1292" s="1">
        <v>0.667</v>
      </c>
      <c r="BT1292" s="1">
        <v>0.151</v>
      </c>
      <c r="BU1292" s="1">
        <v>0.313</v>
      </c>
      <c r="BV1292" s="1">
        <v>1.131</v>
      </c>
      <c r="BW1292" s="1">
        <v>0.186</v>
      </c>
      <c r="BX1292" s="1">
        <v>0.638</v>
      </c>
      <c r="BY1292" s="1">
        <v>0.848</v>
      </c>
      <c r="BZ1292" s="1">
        <v>1.486</v>
      </c>
      <c r="CA1292" s="1">
        <v>0.814</v>
      </c>
      <c r="CB1292" s="1">
        <v>0.378</v>
      </c>
      <c r="CC1292" s="1">
        <v>0.0</v>
      </c>
      <c r="CD1292" s="1">
        <v>0.625</v>
      </c>
      <c r="CE1292" s="1">
        <v>0.403</v>
      </c>
      <c r="CF1292" s="1">
        <v>0.0</v>
      </c>
      <c r="CG1292" s="1">
        <v>1.406</v>
      </c>
      <c r="CH1292" s="1">
        <v>0.148</v>
      </c>
      <c r="CI1292" s="1">
        <v>5.3461</v>
      </c>
      <c r="CJ1292" s="1">
        <v>0.2542</v>
      </c>
      <c r="CK1292" s="1">
        <v>0.0</v>
      </c>
      <c r="CL1292" s="1">
        <v>0.0</v>
      </c>
      <c r="CM1292" s="1">
        <v>0.0</v>
      </c>
      <c r="CN1292" s="1">
        <v>0.0</v>
      </c>
      <c r="CO1292" s="1">
        <v>0.0</v>
      </c>
      <c r="CP1292" s="1">
        <v>0.0</v>
      </c>
      <c r="CQ1292" s="1">
        <v>0.0</v>
      </c>
      <c r="CR1292" s="1">
        <v>0.0</v>
      </c>
      <c r="CS1292" s="1">
        <v>0.0</v>
      </c>
      <c r="CT1292" s="1">
        <v>0.0</v>
      </c>
      <c r="CU1292" s="1">
        <v>0.0</v>
      </c>
      <c r="CV1292" s="1">
        <v>0.0</v>
      </c>
      <c r="CW1292" s="1">
        <v>0.0</v>
      </c>
      <c r="CX1292" s="1">
        <v>0.0</v>
      </c>
      <c r="CY1292" s="1">
        <v>0.0</v>
      </c>
      <c r="CZ1292" s="1">
        <v>0.0</v>
      </c>
      <c r="DA1292" s="1">
        <v>0.0</v>
      </c>
      <c r="DB1292" s="1">
        <v>0.0</v>
      </c>
      <c r="DC1292" s="1">
        <v>0.0</v>
      </c>
      <c r="DD1292" s="1" t="s">
        <v>5674</v>
      </c>
      <c r="DE1292" s="1">
        <v>1.3048114935615E-4</v>
      </c>
      <c r="DF1292" s="1">
        <v>0.0637122527641137</v>
      </c>
    </row>
    <row r="1293" ht="15.75" customHeight="1">
      <c r="A1293" s="1" t="s">
        <v>5675</v>
      </c>
      <c r="B1293" s="1">
        <v>29.0</v>
      </c>
      <c r="C1293" s="1">
        <v>510.0</v>
      </c>
      <c r="D1293" s="1">
        <v>102100.0</v>
      </c>
      <c r="E1293" s="1">
        <v>0.57</v>
      </c>
      <c r="F1293" s="1">
        <v>29510.0</v>
      </c>
      <c r="G1293" s="1">
        <v>2.95101021E10</v>
      </c>
      <c r="H1293" s="1" t="s">
        <v>112</v>
      </c>
      <c r="I1293" s="1" t="s">
        <v>113</v>
      </c>
      <c r="J1293" s="1" t="s">
        <v>5663</v>
      </c>
      <c r="K1293" s="1" t="s">
        <v>5676</v>
      </c>
      <c r="L1293" s="1">
        <v>2780.0</v>
      </c>
      <c r="M1293" s="1">
        <v>2806.0</v>
      </c>
      <c r="N1293" s="1">
        <v>224.0</v>
      </c>
      <c r="O1293" s="1">
        <v>1764.0</v>
      </c>
      <c r="P1293" s="1">
        <v>1748.0</v>
      </c>
      <c r="Q1293" s="1">
        <v>54.0</v>
      </c>
      <c r="R1293" s="1">
        <v>1578.0</v>
      </c>
      <c r="S1293" s="1">
        <v>293.0</v>
      </c>
      <c r="T1293" s="1">
        <v>134.0</v>
      </c>
      <c r="U1293" s="1">
        <v>117.0</v>
      </c>
      <c r="V1293" s="1">
        <v>366.0</v>
      </c>
      <c r="W1293" s="1">
        <v>24589.0</v>
      </c>
      <c r="X1293" s="1">
        <v>3457.0</v>
      </c>
      <c r="Y1293" s="1">
        <v>286.0</v>
      </c>
      <c r="Z1293" s="1">
        <v>277.0</v>
      </c>
      <c r="AA1293" s="1">
        <v>415.0</v>
      </c>
      <c r="AB1293" s="1">
        <v>390.0</v>
      </c>
      <c r="AC1293" s="1">
        <v>103.0</v>
      </c>
      <c r="AD1293" s="1">
        <v>325.0</v>
      </c>
      <c r="AE1293" s="1">
        <v>37.0</v>
      </c>
      <c r="AF1293" s="1">
        <v>414.0</v>
      </c>
      <c r="AG1293" s="1">
        <v>134.0</v>
      </c>
      <c r="AH1293" s="1">
        <v>69.0</v>
      </c>
      <c r="AI1293" s="1">
        <v>0.0</v>
      </c>
      <c r="AJ1293" s="1">
        <v>114.0</v>
      </c>
      <c r="AK1293" s="1">
        <v>36.0</v>
      </c>
      <c r="AL1293" s="1">
        <v>126.0</v>
      </c>
      <c r="AM1293" s="1">
        <v>293.0</v>
      </c>
      <c r="AN1293" s="1">
        <v>96.0</v>
      </c>
      <c r="AO1293" s="1">
        <v>0.0</v>
      </c>
      <c r="AP1293" s="1">
        <v>0.105319</v>
      </c>
      <c r="AQ1293" s="1">
        <v>0.047461</v>
      </c>
      <c r="AR1293" s="1">
        <v>0.077024</v>
      </c>
      <c r="AS1293" s="1">
        <v>0.240687</v>
      </c>
      <c r="AT1293" s="1">
        <v>24589.0</v>
      </c>
      <c r="AU1293" s="1">
        <v>3457.0</v>
      </c>
      <c r="AV1293" s="1">
        <v>0.135033</v>
      </c>
      <c r="AW1293" s="1">
        <v>0.130424</v>
      </c>
      <c r="AX1293" s="1">
        <v>0.14928</v>
      </c>
      <c r="AY1293" s="1">
        <v>0.140287</v>
      </c>
      <c r="AZ1293" s="1">
        <v>0.06527249</v>
      </c>
      <c r="BA1293" s="1">
        <v>0.116906</v>
      </c>
      <c r="BB1293" s="1">
        <v>0.01504</v>
      </c>
      <c r="BC1293" s="1">
        <v>0.168289</v>
      </c>
      <c r="BD1293" s="1">
        <v>0.076659</v>
      </c>
      <c r="BE1293" s="1">
        <v>0.039402</v>
      </c>
      <c r="BF1293" s="1">
        <v>0.0</v>
      </c>
      <c r="BG1293" s="1">
        <v>0.065217</v>
      </c>
      <c r="BH1293" s="1">
        <v>0.022857</v>
      </c>
      <c r="BI1293" s="1">
        <v>0.079983</v>
      </c>
      <c r="BJ1293" s="1">
        <v>0.186031</v>
      </c>
      <c r="BK1293" s="1">
        <v>0.059499</v>
      </c>
      <c r="BL1293" s="1">
        <v>0.0</v>
      </c>
      <c r="BM1293" s="1">
        <v>0.394</v>
      </c>
      <c r="BN1293" s="1">
        <v>0.579</v>
      </c>
      <c r="BO1293" s="1">
        <v>0.3653</v>
      </c>
      <c r="BP1293" s="1">
        <v>0.5</v>
      </c>
      <c r="BQ1293" s="1">
        <v>1.8383</v>
      </c>
      <c r="BR1293" s="1">
        <v>0.4433</v>
      </c>
      <c r="BS1293" s="1">
        <v>0.572</v>
      </c>
      <c r="BT1293" s="1">
        <v>0.053</v>
      </c>
      <c r="BU1293" s="1">
        <v>0.175</v>
      </c>
      <c r="BV1293" s="1">
        <v>0.8</v>
      </c>
      <c r="BW1293" s="1">
        <v>0.077</v>
      </c>
      <c r="BX1293" s="1">
        <v>0.528</v>
      </c>
      <c r="BY1293" s="1">
        <v>0.81</v>
      </c>
      <c r="BZ1293" s="1">
        <v>1.338</v>
      </c>
      <c r="CA1293" s="1">
        <v>0.729</v>
      </c>
      <c r="CB1293" s="1">
        <v>0.725</v>
      </c>
      <c r="CC1293" s="1">
        <v>0.0</v>
      </c>
      <c r="CD1293" s="1">
        <v>0.722</v>
      </c>
      <c r="CE1293" s="1">
        <v>0.897</v>
      </c>
      <c r="CF1293" s="1">
        <v>0.0</v>
      </c>
      <c r="CG1293" s="1">
        <v>2.344</v>
      </c>
      <c r="CH1293" s="1">
        <v>0.483</v>
      </c>
      <c r="CI1293" s="1">
        <v>6.3203</v>
      </c>
      <c r="CJ1293" s="1">
        <v>0.4332</v>
      </c>
      <c r="CK1293" s="1">
        <v>0.0</v>
      </c>
      <c r="CL1293" s="1">
        <v>0.0</v>
      </c>
      <c r="CM1293" s="1">
        <v>0.0</v>
      </c>
      <c r="CN1293" s="1">
        <v>0.0</v>
      </c>
      <c r="CO1293" s="1">
        <v>0.0</v>
      </c>
      <c r="CP1293" s="1">
        <v>0.0</v>
      </c>
      <c r="CQ1293" s="1">
        <v>0.0</v>
      </c>
      <c r="CR1293" s="1">
        <v>0.0</v>
      </c>
      <c r="CS1293" s="1">
        <v>0.0</v>
      </c>
      <c r="CT1293" s="1">
        <v>0.0</v>
      </c>
      <c r="CU1293" s="1">
        <v>0.0</v>
      </c>
      <c r="CV1293" s="1">
        <v>0.0</v>
      </c>
      <c r="CW1293" s="1">
        <v>0.0</v>
      </c>
      <c r="CX1293" s="1">
        <v>0.0</v>
      </c>
      <c r="CY1293" s="1">
        <v>0.0</v>
      </c>
      <c r="CZ1293" s="1">
        <v>0.0</v>
      </c>
      <c r="DA1293" s="1">
        <v>0.0</v>
      </c>
      <c r="DB1293" s="1">
        <v>0.0</v>
      </c>
      <c r="DC1293" s="1">
        <v>0.0</v>
      </c>
      <c r="DD1293" s="1" t="s">
        <v>5677</v>
      </c>
      <c r="DE1293" s="1">
        <v>1.587397671371E-4</v>
      </c>
      <c r="DF1293" s="1">
        <v>0.0594402371574018</v>
      </c>
    </row>
    <row r="1294" ht="15.75" customHeight="1">
      <c r="A1294" s="1" t="s">
        <v>5678</v>
      </c>
      <c r="B1294" s="1">
        <v>29.0</v>
      </c>
      <c r="C1294" s="1">
        <v>510.0</v>
      </c>
      <c r="D1294" s="1">
        <v>103400.0</v>
      </c>
      <c r="E1294" s="1">
        <v>0.351</v>
      </c>
      <c r="F1294" s="1">
        <v>29510.0</v>
      </c>
      <c r="G1294" s="1">
        <v>2.95101034E10</v>
      </c>
      <c r="H1294" s="1" t="s">
        <v>112</v>
      </c>
      <c r="I1294" s="1" t="s">
        <v>113</v>
      </c>
      <c r="J1294" s="1" t="s">
        <v>5663</v>
      </c>
      <c r="K1294" s="1" t="s">
        <v>5679</v>
      </c>
      <c r="L1294" s="1">
        <v>1968.0</v>
      </c>
      <c r="M1294" s="1">
        <v>1933.0</v>
      </c>
      <c r="N1294" s="1">
        <v>156.0</v>
      </c>
      <c r="O1294" s="1">
        <v>970.0</v>
      </c>
      <c r="P1294" s="1">
        <v>952.0</v>
      </c>
      <c r="Q1294" s="1">
        <v>28.0</v>
      </c>
      <c r="R1294" s="1">
        <v>904.0</v>
      </c>
      <c r="S1294" s="1">
        <v>118.0</v>
      </c>
      <c r="T1294" s="1">
        <v>82.0</v>
      </c>
      <c r="U1294" s="1">
        <v>54.0</v>
      </c>
      <c r="V1294" s="1">
        <v>472.0</v>
      </c>
      <c r="W1294" s="1">
        <v>28772.0</v>
      </c>
      <c r="X1294" s="1">
        <v>3271.0</v>
      </c>
      <c r="Y1294" s="1">
        <v>142.0</v>
      </c>
      <c r="Z1294" s="1">
        <v>329.0</v>
      </c>
      <c r="AA1294" s="1">
        <v>188.0</v>
      </c>
      <c r="AB1294" s="1">
        <v>352.0</v>
      </c>
      <c r="AC1294" s="1">
        <v>61.0</v>
      </c>
      <c r="AD1294" s="1">
        <v>183.0</v>
      </c>
      <c r="AE1294" s="1">
        <v>18.0</v>
      </c>
      <c r="AF1294" s="1">
        <v>442.0</v>
      </c>
      <c r="AG1294" s="1">
        <v>0.0</v>
      </c>
      <c r="AH1294" s="1">
        <v>197.0</v>
      </c>
      <c r="AI1294" s="1">
        <v>5.0</v>
      </c>
      <c r="AJ1294" s="1">
        <v>9.0</v>
      </c>
      <c r="AK1294" s="1">
        <v>21.0</v>
      </c>
      <c r="AL1294" s="1">
        <v>117.0</v>
      </c>
      <c r="AM1294" s="1">
        <v>69.0</v>
      </c>
      <c r="AN1294" s="1">
        <v>41.0</v>
      </c>
      <c r="AO1294" s="1">
        <v>4.0</v>
      </c>
      <c r="AP1294" s="1">
        <v>0.061045</v>
      </c>
      <c r="AQ1294" s="1">
        <v>0.042134</v>
      </c>
      <c r="AR1294" s="1">
        <v>0.045</v>
      </c>
      <c r="AS1294" s="1">
        <v>0.39321</v>
      </c>
      <c r="AT1294" s="1">
        <v>28772.0</v>
      </c>
      <c r="AU1294" s="1">
        <v>3271.0</v>
      </c>
      <c r="AV1294" s="1">
        <v>0.103197</v>
      </c>
      <c r="AW1294" s="1">
        <v>0.238926</v>
      </c>
      <c r="AX1294" s="1">
        <v>0.095528</v>
      </c>
      <c r="AY1294" s="1">
        <v>0.178861</v>
      </c>
      <c r="AZ1294" s="1">
        <v>0.06747787</v>
      </c>
      <c r="BA1294" s="1">
        <v>0.092987</v>
      </c>
      <c r="BB1294" s="1">
        <v>0.009625</v>
      </c>
      <c r="BC1294" s="1">
        <v>0.236362</v>
      </c>
      <c r="BD1294" s="1">
        <v>0.0</v>
      </c>
      <c r="BE1294" s="1">
        <v>0.206932</v>
      </c>
      <c r="BF1294" s="1">
        <v>0.005252</v>
      </c>
      <c r="BG1294" s="1">
        <v>0.009452</v>
      </c>
      <c r="BH1294" s="1">
        <v>0.025089</v>
      </c>
      <c r="BI1294" s="1">
        <v>0.139765</v>
      </c>
      <c r="BJ1294" s="1">
        <v>0.082437</v>
      </c>
      <c r="BK1294" s="1">
        <v>0.048378</v>
      </c>
      <c r="BL1294" s="1">
        <v>0.002032</v>
      </c>
      <c r="BM1294" s="1">
        <v>0.21</v>
      </c>
      <c r="BN1294" s="1">
        <v>0.239</v>
      </c>
      <c r="BO1294" s="1">
        <v>0.226</v>
      </c>
      <c r="BP1294" s="1">
        <v>0.35</v>
      </c>
      <c r="BQ1294" s="1">
        <v>1.025</v>
      </c>
      <c r="BR1294" s="1">
        <v>0.2072</v>
      </c>
      <c r="BS1294" s="1">
        <v>0.182</v>
      </c>
      <c r="BT1294" s="1">
        <v>0.117</v>
      </c>
      <c r="BU1294" s="1">
        <v>0.192</v>
      </c>
      <c r="BV1294" s="1">
        <v>0.491</v>
      </c>
      <c r="BW1294" s="1">
        <v>0.035</v>
      </c>
      <c r="BX1294" s="1">
        <v>0.442</v>
      </c>
      <c r="BY1294" s="1">
        <v>0.709</v>
      </c>
      <c r="BZ1294" s="1">
        <v>1.151</v>
      </c>
      <c r="CA1294" s="1">
        <v>0.633</v>
      </c>
      <c r="CB1294" s="1">
        <v>0.0</v>
      </c>
      <c r="CC1294" s="1">
        <v>0.401</v>
      </c>
      <c r="CD1294" s="1">
        <v>0.758</v>
      </c>
      <c r="CE1294" s="1">
        <v>0.692</v>
      </c>
      <c r="CF1294" s="1">
        <v>0.446</v>
      </c>
      <c r="CG1294" s="1">
        <v>2.297</v>
      </c>
      <c r="CH1294" s="1">
        <v>0.457</v>
      </c>
      <c r="CI1294" s="1">
        <v>4.964</v>
      </c>
      <c r="CJ1294" s="1">
        <v>0.1978</v>
      </c>
      <c r="CK1294" s="1">
        <v>0.0</v>
      </c>
      <c r="CL1294" s="1">
        <v>0.0</v>
      </c>
      <c r="CM1294" s="1">
        <v>0.0</v>
      </c>
      <c r="CN1294" s="1">
        <v>0.0</v>
      </c>
      <c r="CO1294" s="1">
        <v>0.0</v>
      </c>
      <c r="CP1294" s="1">
        <v>0.0</v>
      </c>
      <c r="CQ1294" s="1">
        <v>0.0</v>
      </c>
      <c r="CR1294" s="1">
        <v>0.0</v>
      </c>
      <c r="CS1294" s="1">
        <v>0.0</v>
      </c>
      <c r="CT1294" s="1">
        <v>0.0</v>
      </c>
      <c r="CU1294" s="1">
        <v>0.0</v>
      </c>
      <c r="CV1294" s="1">
        <v>0.0</v>
      </c>
      <c r="CW1294" s="1">
        <v>0.0</v>
      </c>
      <c r="CX1294" s="1">
        <v>0.0</v>
      </c>
      <c r="CY1294" s="1">
        <v>0.0</v>
      </c>
      <c r="CZ1294" s="1">
        <v>0.0</v>
      </c>
      <c r="DA1294" s="1">
        <v>0.0</v>
      </c>
      <c r="DB1294" s="1">
        <v>0.0</v>
      </c>
      <c r="DC1294" s="1">
        <v>0.0</v>
      </c>
      <c r="DD1294" s="1" t="s">
        <v>5680</v>
      </c>
      <c r="DE1294" s="2" t="s">
        <v>5681</v>
      </c>
      <c r="DF1294" s="1">
        <v>0.0387265005336296</v>
      </c>
    </row>
    <row r="1295" ht="15.75" customHeight="1">
      <c r="A1295" s="1" t="s">
        <v>5682</v>
      </c>
      <c r="B1295" s="1">
        <v>29.0</v>
      </c>
      <c r="C1295" s="1">
        <v>510.0</v>
      </c>
      <c r="D1295" s="1">
        <v>104500.0</v>
      </c>
      <c r="E1295" s="1">
        <v>0.749</v>
      </c>
      <c r="F1295" s="1">
        <v>29510.0</v>
      </c>
      <c r="G1295" s="1">
        <v>2.95101045E10</v>
      </c>
      <c r="H1295" s="1" t="s">
        <v>112</v>
      </c>
      <c r="I1295" s="1" t="s">
        <v>113</v>
      </c>
      <c r="J1295" s="1" t="s">
        <v>5663</v>
      </c>
      <c r="K1295" s="1" t="s">
        <v>5683</v>
      </c>
      <c r="L1295" s="1">
        <v>1846.0</v>
      </c>
      <c r="M1295" s="1">
        <v>1793.0</v>
      </c>
      <c r="N1295" s="1">
        <v>269.0</v>
      </c>
      <c r="O1295" s="1">
        <v>1227.0</v>
      </c>
      <c r="P1295" s="1">
        <v>1181.0</v>
      </c>
      <c r="Q1295" s="1">
        <v>60.0</v>
      </c>
      <c r="R1295" s="1">
        <v>1015.0</v>
      </c>
      <c r="S1295" s="1">
        <v>95.0</v>
      </c>
      <c r="T1295" s="1">
        <v>59.0</v>
      </c>
      <c r="U1295" s="1">
        <v>51.0</v>
      </c>
      <c r="V1295" s="1">
        <v>443.0</v>
      </c>
      <c r="W1295" s="1">
        <v>29590.0</v>
      </c>
      <c r="X1295" s="1">
        <v>4944.0</v>
      </c>
      <c r="Y1295" s="1">
        <v>196.0</v>
      </c>
      <c r="Z1295" s="1">
        <v>331.0</v>
      </c>
      <c r="AA1295" s="1">
        <v>187.0</v>
      </c>
      <c r="AB1295" s="1">
        <v>215.0</v>
      </c>
      <c r="AC1295" s="1">
        <v>61.0</v>
      </c>
      <c r="AD1295" s="1">
        <v>458.0</v>
      </c>
      <c r="AE1295" s="1">
        <v>0.0</v>
      </c>
      <c r="AF1295" s="1">
        <v>456.0</v>
      </c>
      <c r="AG1295" s="1">
        <v>246.0</v>
      </c>
      <c r="AH1295" s="1">
        <v>97.0</v>
      </c>
      <c r="AI1295" s="1">
        <v>0.0</v>
      </c>
      <c r="AJ1295" s="1">
        <v>114.0</v>
      </c>
      <c r="AK1295" s="1">
        <v>0.0</v>
      </c>
      <c r="AL1295" s="1">
        <v>161.0</v>
      </c>
      <c r="AM1295" s="1">
        <v>50.0</v>
      </c>
      <c r="AN1295" s="1">
        <v>48.0</v>
      </c>
      <c r="AO1295" s="1">
        <v>5.0</v>
      </c>
      <c r="AP1295" s="1">
        <v>0.055296</v>
      </c>
      <c r="AQ1295" s="1">
        <v>0.033447</v>
      </c>
      <c r="AR1295" s="1">
        <v>0.041769</v>
      </c>
      <c r="AS1295" s="1">
        <v>0.362718</v>
      </c>
      <c r="AT1295" s="1">
        <v>29590.0</v>
      </c>
      <c r="AU1295" s="1">
        <v>4944.0</v>
      </c>
      <c r="AV1295" s="1">
        <v>0.142235</v>
      </c>
      <c r="AW1295" s="1">
        <v>0.239523</v>
      </c>
      <c r="AX1295" s="1">
        <v>0.1013</v>
      </c>
      <c r="AY1295" s="1">
        <v>0.116468</v>
      </c>
      <c r="AZ1295" s="1">
        <v>0.06009852</v>
      </c>
      <c r="BA1295" s="1">
        <v>0.248104</v>
      </c>
      <c r="BB1295" s="1">
        <v>0.0</v>
      </c>
      <c r="BC1295" s="1">
        <v>0.255033</v>
      </c>
      <c r="BD1295" s="1">
        <v>0.208298</v>
      </c>
      <c r="BE1295" s="1">
        <v>0.081449</v>
      </c>
      <c r="BF1295" s="1">
        <v>0.0</v>
      </c>
      <c r="BG1295" s="1">
        <v>0.096528</v>
      </c>
      <c r="BH1295" s="1">
        <v>0.0</v>
      </c>
      <c r="BI1295" s="1">
        <v>0.154658</v>
      </c>
      <c r="BJ1295" s="1">
        <v>0.04803</v>
      </c>
      <c r="BK1295" s="1">
        <v>0.045913</v>
      </c>
      <c r="BL1295" s="1">
        <v>0.002708</v>
      </c>
      <c r="BM1295" s="1">
        <v>0.188</v>
      </c>
      <c r="BN1295" s="1">
        <v>0.202</v>
      </c>
      <c r="BO1295" s="1">
        <v>0.2065</v>
      </c>
      <c r="BP1295" s="1">
        <v>0.535</v>
      </c>
      <c r="BQ1295" s="1">
        <v>1.1315</v>
      </c>
      <c r="BR1295" s="1">
        <v>0.2347</v>
      </c>
      <c r="BS1295" s="1">
        <v>0.22</v>
      </c>
      <c r="BT1295" s="1">
        <v>0.035</v>
      </c>
      <c r="BU1295" s="1">
        <v>0.131</v>
      </c>
      <c r="BV1295" s="1">
        <v>0.386</v>
      </c>
      <c r="BW1295" s="1">
        <v>0.027</v>
      </c>
      <c r="BX1295" s="1">
        <v>0.76</v>
      </c>
      <c r="BY1295" s="1">
        <v>0.0</v>
      </c>
      <c r="BZ1295" s="1">
        <v>0.76</v>
      </c>
      <c r="CA1295" s="1">
        <v>0.367</v>
      </c>
      <c r="CB1295" s="1">
        <v>0.897</v>
      </c>
      <c r="CC1295" s="1">
        <v>0.0</v>
      </c>
      <c r="CD1295" s="1">
        <v>0.0</v>
      </c>
      <c r="CE1295" s="1">
        <v>0.471</v>
      </c>
      <c r="CF1295" s="1">
        <v>0.466</v>
      </c>
      <c r="CG1295" s="1">
        <v>1.834</v>
      </c>
      <c r="CH1295" s="1">
        <v>0.276</v>
      </c>
      <c r="CI1295" s="1">
        <v>4.1115</v>
      </c>
      <c r="CJ1295" s="1">
        <v>0.0953</v>
      </c>
      <c r="CK1295" s="1">
        <v>0.0</v>
      </c>
      <c r="CL1295" s="1">
        <v>0.0</v>
      </c>
      <c r="CM1295" s="1">
        <v>0.0</v>
      </c>
      <c r="CN1295" s="1">
        <v>0.0</v>
      </c>
      <c r="CO1295" s="1">
        <v>0.0</v>
      </c>
      <c r="CP1295" s="1">
        <v>0.0</v>
      </c>
      <c r="CQ1295" s="1">
        <v>0.0</v>
      </c>
      <c r="CR1295" s="1">
        <v>0.0</v>
      </c>
      <c r="CS1295" s="1">
        <v>0.0</v>
      </c>
      <c r="CT1295" s="1">
        <v>0.0</v>
      </c>
      <c r="CU1295" s="1">
        <v>0.0</v>
      </c>
      <c r="CV1295" s="1">
        <v>0.0</v>
      </c>
      <c r="CW1295" s="1">
        <v>0.0</v>
      </c>
      <c r="CX1295" s="1">
        <v>0.0</v>
      </c>
      <c r="CY1295" s="1">
        <v>0.0</v>
      </c>
      <c r="CZ1295" s="1">
        <v>0.0</v>
      </c>
      <c r="DA1295" s="1">
        <v>0.0</v>
      </c>
      <c r="DB1295" s="1">
        <v>0.0</v>
      </c>
      <c r="DC1295" s="1">
        <v>0.0</v>
      </c>
      <c r="DD1295" s="1" t="s">
        <v>5684</v>
      </c>
      <c r="DE1295" s="1">
        <v>2.01909902574046E-4</v>
      </c>
      <c r="DF1295" s="1">
        <v>0.0735686115153152</v>
      </c>
    </row>
    <row r="1296" ht="15.75" customHeight="1">
      <c r="A1296" s="1" t="s">
        <v>5685</v>
      </c>
      <c r="B1296" s="1">
        <v>29.0</v>
      </c>
      <c r="C1296" s="1">
        <v>510.0</v>
      </c>
      <c r="D1296" s="1">
        <v>105400.0</v>
      </c>
      <c r="E1296" s="1">
        <v>0.273</v>
      </c>
      <c r="F1296" s="1">
        <v>29510.0</v>
      </c>
      <c r="G1296" s="1">
        <v>2.95101054E10</v>
      </c>
      <c r="H1296" s="1" t="s">
        <v>112</v>
      </c>
      <c r="I1296" s="1" t="s">
        <v>113</v>
      </c>
      <c r="J1296" s="1" t="s">
        <v>5663</v>
      </c>
      <c r="K1296" s="1" t="s">
        <v>5686</v>
      </c>
      <c r="L1296" s="1">
        <v>2507.0</v>
      </c>
      <c r="M1296" s="1">
        <v>2438.0</v>
      </c>
      <c r="N1296" s="1">
        <v>380.0</v>
      </c>
      <c r="O1296" s="1">
        <v>1213.0</v>
      </c>
      <c r="P1296" s="1">
        <v>1207.0</v>
      </c>
      <c r="Q1296" s="1">
        <v>60.0</v>
      </c>
      <c r="R1296" s="1">
        <v>918.0</v>
      </c>
      <c r="S1296" s="1">
        <v>1169.0</v>
      </c>
      <c r="T1296" s="1">
        <v>443.0</v>
      </c>
      <c r="U1296" s="1">
        <v>122.0</v>
      </c>
      <c r="V1296" s="1">
        <v>434.0</v>
      </c>
      <c r="W1296" s="1">
        <v>12602.0</v>
      </c>
      <c r="X1296" s="1">
        <v>2492.0</v>
      </c>
      <c r="Y1296" s="1">
        <v>435.0</v>
      </c>
      <c r="Z1296" s="1">
        <v>233.0</v>
      </c>
      <c r="AA1296" s="1">
        <v>179.0</v>
      </c>
      <c r="AB1296" s="1">
        <v>873.0</v>
      </c>
      <c r="AC1296" s="1">
        <v>259.0</v>
      </c>
      <c r="AD1296" s="1">
        <v>2321.0</v>
      </c>
      <c r="AE1296" s="1">
        <v>367.0</v>
      </c>
      <c r="AF1296" s="1">
        <v>437.0</v>
      </c>
      <c r="AG1296" s="1">
        <v>280.0</v>
      </c>
      <c r="AH1296" s="1">
        <v>99.0</v>
      </c>
      <c r="AI1296" s="1">
        <v>0.0</v>
      </c>
      <c r="AJ1296" s="1">
        <v>114.0</v>
      </c>
      <c r="AK1296" s="1">
        <v>70.0</v>
      </c>
      <c r="AL1296" s="1">
        <v>64.0</v>
      </c>
      <c r="AM1296" s="1">
        <v>261.0</v>
      </c>
      <c r="AN1296" s="1">
        <v>95.0</v>
      </c>
      <c r="AO1296" s="1">
        <v>33.0</v>
      </c>
      <c r="AP1296" s="1">
        <v>0.48226</v>
      </c>
      <c r="AQ1296" s="1">
        <v>0.166922</v>
      </c>
      <c r="AR1296" s="1">
        <v>0.112754</v>
      </c>
      <c r="AS1296" s="1">
        <v>0.399658</v>
      </c>
      <c r="AT1296" s="1">
        <v>12602.0</v>
      </c>
      <c r="AU1296" s="1">
        <v>2492.0</v>
      </c>
      <c r="AV1296" s="1">
        <v>0.331554</v>
      </c>
      <c r="AW1296" s="1">
        <v>0.164787</v>
      </c>
      <c r="AX1296" s="1">
        <v>0.0714</v>
      </c>
      <c r="AY1296" s="1">
        <v>0.348224</v>
      </c>
      <c r="AZ1296" s="1">
        <v>0.28213507</v>
      </c>
      <c r="BA1296" s="1">
        <v>0.925807</v>
      </c>
      <c r="BB1296" s="1">
        <v>0.175934</v>
      </c>
      <c r="BC1296" s="1">
        <v>0.207843</v>
      </c>
      <c r="BD1296" s="1">
        <v>0.23198</v>
      </c>
      <c r="BE1296" s="1">
        <v>0.081206</v>
      </c>
      <c r="BF1296" s="1">
        <v>0.0</v>
      </c>
      <c r="BG1296" s="1">
        <v>0.094449</v>
      </c>
      <c r="BH1296" s="1">
        <v>0.079908</v>
      </c>
      <c r="BI1296" s="1">
        <v>0.072499</v>
      </c>
      <c r="BJ1296" s="1">
        <v>0.297945</v>
      </c>
      <c r="BK1296" s="1">
        <v>0.103087</v>
      </c>
      <c r="BL1296" s="1">
        <v>0.013163</v>
      </c>
      <c r="BM1296" s="1">
        <v>0.984</v>
      </c>
      <c r="BN1296" s="1">
        <v>0.794</v>
      </c>
      <c r="BO1296" s="1">
        <v>0.9444</v>
      </c>
      <c r="BP1296" s="1">
        <v>0.968</v>
      </c>
      <c r="BQ1296" s="1">
        <v>3.6904</v>
      </c>
      <c r="BR1296" s="1">
        <v>0.9567</v>
      </c>
      <c r="BS1296" s="1">
        <v>0.088</v>
      </c>
      <c r="BT1296" s="1">
        <v>0.983</v>
      </c>
      <c r="BU1296" s="1">
        <v>0.973</v>
      </c>
      <c r="BV1296" s="1">
        <v>2.044</v>
      </c>
      <c r="BW1296" s="1">
        <v>0.887</v>
      </c>
      <c r="BX1296" s="1">
        <v>0.948</v>
      </c>
      <c r="BY1296" s="1">
        <v>0.994</v>
      </c>
      <c r="BZ1296" s="1">
        <v>1.942</v>
      </c>
      <c r="CA1296" s="1">
        <v>1.0</v>
      </c>
      <c r="CB1296" s="1">
        <v>0.91</v>
      </c>
      <c r="CC1296" s="1">
        <v>0.0</v>
      </c>
      <c r="CD1296" s="1">
        <v>0.987</v>
      </c>
      <c r="CE1296" s="1">
        <v>0.966</v>
      </c>
      <c r="CF1296" s="1">
        <v>0.623</v>
      </c>
      <c r="CG1296" s="1">
        <v>3.486</v>
      </c>
      <c r="CH1296" s="1">
        <v>0.932</v>
      </c>
      <c r="CI1296" s="1">
        <v>11.1624</v>
      </c>
      <c r="CJ1296" s="1">
        <v>0.9971</v>
      </c>
      <c r="CK1296" s="1">
        <v>1.0</v>
      </c>
      <c r="CL1296" s="1">
        <v>0.0</v>
      </c>
      <c r="CM1296" s="1">
        <v>1.0</v>
      </c>
      <c r="CN1296" s="1">
        <v>1.0</v>
      </c>
      <c r="CO1296" s="1">
        <v>3.0</v>
      </c>
      <c r="CP1296" s="1">
        <v>0.0</v>
      </c>
      <c r="CQ1296" s="1">
        <v>1.0</v>
      </c>
      <c r="CR1296" s="1">
        <v>1.0</v>
      </c>
      <c r="CS1296" s="1">
        <v>2.0</v>
      </c>
      <c r="CT1296" s="1">
        <v>1.0</v>
      </c>
      <c r="CU1296" s="1">
        <v>1.0</v>
      </c>
      <c r="CV1296" s="1">
        <v>2.0</v>
      </c>
      <c r="CW1296" s="1">
        <v>1.0</v>
      </c>
      <c r="CX1296" s="1">
        <v>0.0</v>
      </c>
      <c r="CY1296" s="1">
        <v>1.0</v>
      </c>
      <c r="CZ1296" s="1">
        <v>1.0</v>
      </c>
      <c r="DA1296" s="1">
        <v>0.0</v>
      </c>
      <c r="DB1296" s="1">
        <v>3.0</v>
      </c>
      <c r="DC1296" s="1">
        <v>10.0</v>
      </c>
      <c r="DD1296" s="1" t="s">
        <v>5687</v>
      </c>
      <c r="DE1296" s="2" t="s">
        <v>5688</v>
      </c>
      <c r="DF1296" s="1">
        <v>0.0364399290242444</v>
      </c>
    </row>
    <row r="1297" ht="15.75" customHeight="1">
      <c r="A1297" s="1" t="s">
        <v>5689</v>
      </c>
      <c r="B1297" s="1">
        <v>29.0</v>
      </c>
      <c r="C1297" s="1">
        <v>510.0</v>
      </c>
      <c r="D1297" s="1">
        <v>106400.0</v>
      </c>
      <c r="E1297" s="1">
        <v>0.427</v>
      </c>
      <c r="F1297" s="1">
        <v>29510.0</v>
      </c>
      <c r="G1297" s="1">
        <v>2.95101064E10</v>
      </c>
      <c r="H1297" s="1" t="s">
        <v>112</v>
      </c>
      <c r="I1297" s="1" t="s">
        <v>113</v>
      </c>
      <c r="J1297" s="1" t="s">
        <v>5663</v>
      </c>
      <c r="K1297" s="1" t="s">
        <v>5690</v>
      </c>
      <c r="L1297" s="1">
        <v>2392.0</v>
      </c>
      <c r="M1297" s="1">
        <v>2481.0</v>
      </c>
      <c r="N1297" s="1">
        <v>495.0</v>
      </c>
      <c r="O1297" s="1">
        <v>1547.0</v>
      </c>
      <c r="P1297" s="1">
        <v>1584.0</v>
      </c>
      <c r="Q1297" s="1">
        <v>117.0</v>
      </c>
      <c r="R1297" s="1">
        <v>1016.0</v>
      </c>
      <c r="S1297" s="1">
        <v>1011.0</v>
      </c>
      <c r="T1297" s="1">
        <v>403.0</v>
      </c>
      <c r="U1297" s="1">
        <v>396.0</v>
      </c>
      <c r="V1297" s="1">
        <v>345.0</v>
      </c>
      <c r="W1297" s="1">
        <v>14108.0</v>
      </c>
      <c r="X1297" s="1">
        <v>2718.0</v>
      </c>
      <c r="Y1297" s="1">
        <v>406.0</v>
      </c>
      <c r="Z1297" s="1">
        <v>294.0</v>
      </c>
      <c r="AA1297" s="1">
        <v>364.0</v>
      </c>
      <c r="AB1297" s="1">
        <v>565.0</v>
      </c>
      <c r="AC1297" s="1">
        <v>235.0</v>
      </c>
      <c r="AD1297" s="1">
        <v>2370.0</v>
      </c>
      <c r="AE1297" s="1">
        <v>0.0</v>
      </c>
      <c r="AF1297" s="1">
        <v>456.0</v>
      </c>
      <c r="AG1297" s="1">
        <v>73.0</v>
      </c>
      <c r="AH1297" s="1">
        <v>136.0</v>
      </c>
      <c r="AI1297" s="1">
        <v>0.0</v>
      </c>
      <c r="AJ1297" s="1">
        <v>114.0</v>
      </c>
      <c r="AK1297" s="1">
        <v>8.0</v>
      </c>
      <c r="AL1297" s="1">
        <v>115.0</v>
      </c>
      <c r="AM1297" s="1">
        <v>283.0</v>
      </c>
      <c r="AN1297" s="1">
        <v>112.0</v>
      </c>
      <c r="AO1297" s="1">
        <v>0.0</v>
      </c>
      <c r="AP1297" s="1">
        <v>0.40898</v>
      </c>
      <c r="AQ1297" s="1">
        <v>0.14125</v>
      </c>
      <c r="AR1297" s="1">
        <v>0.333333</v>
      </c>
      <c r="AS1297" s="1">
        <v>0.276806</v>
      </c>
      <c r="AT1297" s="1">
        <v>14108.0</v>
      </c>
      <c r="AU1297" s="1">
        <v>2718.0</v>
      </c>
      <c r="AV1297" s="1">
        <v>0.249539</v>
      </c>
      <c r="AW1297" s="1">
        <v>0.177344</v>
      </c>
      <c r="AX1297" s="1">
        <v>0.152173</v>
      </c>
      <c r="AY1297" s="1">
        <v>0.236204</v>
      </c>
      <c r="AZ1297" s="1">
        <v>0.23129921</v>
      </c>
      <c r="BA1297" s="1">
        <v>0.990802</v>
      </c>
      <c r="BB1297" s="1">
        <v>0.0</v>
      </c>
      <c r="BC1297" s="1">
        <v>0.199387</v>
      </c>
      <c r="BD1297" s="1">
        <v>0.046085</v>
      </c>
      <c r="BE1297" s="1">
        <v>0.085791</v>
      </c>
      <c r="BF1297" s="1">
        <v>0.0</v>
      </c>
      <c r="BG1297" s="1">
        <v>0.071969</v>
      </c>
      <c r="BH1297" s="1">
        <v>0.007213</v>
      </c>
      <c r="BI1297" s="1">
        <v>0.103691</v>
      </c>
      <c r="BJ1297" s="1">
        <v>0.255184</v>
      </c>
      <c r="BK1297" s="1">
        <v>0.093395</v>
      </c>
      <c r="BL1297" s="1">
        <v>0.0</v>
      </c>
      <c r="BM1297" s="1">
        <v>0.96</v>
      </c>
      <c r="BN1297" s="1">
        <v>0.994</v>
      </c>
      <c r="BO1297" s="1">
        <v>0.9097</v>
      </c>
      <c r="BP1297" s="1">
        <v>0.867</v>
      </c>
      <c r="BQ1297" s="1">
        <v>3.7307</v>
      </c>
      <c r="BR1297" s="1">
        <v>0.9668</v>
      </c>
      <c r="BS1297" s="1">
        <v>0.599</v>
      </c>
      <c r="BT1297" s="1">
        <v>0.453</v>
      </c>
      <c r="BU1297" s="1">
        <v>0.928</v>
      </c>
      <c r="BV1297" s="1">
        <v>1.98</v>
      </c>
      <c r="BW1297" s="1">
        <v>0.848</v>
      </c>
      <c r="BX1297" s="1">
        <v>0.991</v>
      </c>
      <c r="BY1297" s="1">
        <v>0.0</v>
      </c>
      <c r="BZ1297" s="1">
        <v>0.991</v>
      </c>
      <c r="CA1297" s="1">
        <v>0.552</v>
      </c>
      <c r="CB1297" s="1">
        <v>0.639</v>
      </c>
      <c r="CC1297" s="1">
        <v>0.0</v>
      </c>
      <c r="CD1297" s="1">
        <v>0.399</v>
      </c>
      <c r="CE1297" s="1">
        <v>0.946</v>
      </c>
      <c r="CF1297" s="1">
        <v>0.0</v>
      </c>
      <c r="CG1297" s="1">
        <v>1.984</v>
      </c>
      <c r="CH1297" s="1">
        <v>0.343</v>
      </c>
      <c r="CI1297" s="1">
        <v>8.6857</v>
      </c>
      <c r="CJ1297" s="1">
        <v>0.8108</v>
      </c>
      <c r="CK1297" s="1">
        <v>1.0</v>
      </c>
      <c r="CL1297" s="1">
        <v>1.0</v>
      </c>
      <c r="CM1297" s="1">
        <v>1.0</v>
      </c>
      <c r="CN1297" s="1">
        <v>0.0</v>
      </c>
      <c r="CO1297" s="1">
        <v>3.0</v>
      </c>
      <c r="CP1297" s="1">
        <v>0.0</v>
      </c>
      <c r="CQ1297" s="1">
        <v>0.0</v>
      </c>
      <c r="CR1297" s="1">
        <v>1.0</v>
      </c>
      <c r="CS1297" s="1">
        <v>1.0</v>
      </c>
      <c r="CT1297" s="1">
        <v>1.0</v>
      </c>
      <c r="CU1297" s="1">
        <v>0.0</v>
      </c>
      <c r="CV1297" s="1">
        <v>1.0</v>
      </c>
      <c r="CW1297" s="1">
        <v>0.0</v>
      </c>
      <c r="CX1297" s="1">
        <v>0.0</v>
      </c>
      <c r="CY1297" s="1">
        <v>0.0</v>
      </c>
      <c r="CZ1297" s="1">
        <v>1.0</v>
      </c>
      <c r="DA1297" s="1">
        <v>0.0</v>
      </c>
      <c r="DB1297" s="1">
        <v>1.0</v>
      </c>
      <c r="DC1297" s="1">
        <v>6.0</v>
      </c>
      <c r="DD1297" s="1" t="s">
        <v>5691</v>
      </c>
      <c r="DE1297" s="1">
        <v>1.14588670206472E-4</v>
      </c>
      <c r="DF1297" s="1">
        <v>0.0489462973799888</v>
      </c>
    </row>
    <row r="1298" ht="15.75" customHeight="1">
      <c r="A1298" s="1" t="s">
        <v>5692</v>
      </c>
      <c r="B1298" s="1">
        <v>29.0</v>
      </c>
      <c r="C1298" s="1">
        <v>510.0</v>
      </c>
      <c r="D1298" s="1">
        <v>111500.0</v>
      </c>
      <c r="E1298" s="1">
        <v>0.304</v>
      </c>
      <c r="F1298" s="1">
        <v>29510.0</v>
      </c>
      <c r="G1298" s="1">
        <v>2.95101115E10</v>
      </c>
      <c r="H1298" s="1" t="s">
        <v>112</v>
      </c>
      <c r="I1298" s="1" t="s">
        <v>113</v>
      </c>
      <c r="J1298" s="1" t="s">
        <v>5663</v>
      </c>
      <c r="K1298" s="1" t="s">
        <v>5693</v>
      </c>
      <c r="L1298" s="1">
        <v>1010.0</v>
      </c>
      <c r="M1298" s="1">
        <v>1080.0</v>
      </c>
      <c r="N1298" s="1">
        <v>321.0</v>
      </c>
      <c r="O1298" s="1">
        <v>452.0</v>
      </c>
      <c r="P1298" s="1">
        <v>462.0</v>
      </c>
      <c r="Q1298" s="1">
        <v>95.0</v>
      </c>
      <c r="R1298" s="1">
        <v>338.0</v>
      </c>
      <c r="S1298" s="1">
        <v>438.0</v>
      </c>
      <c r="T1298" s="1">
        <v>329.0</v>
      </c>
      <c r="U1298" s="1">
        <v>86.0</v>
      </c>
      <c r="V1298" s="1">
        <v>460.0</v>
      </c>
      <c r="W1298" s="1">
        <v>9411.0</v>
      </c>
      <c r="X1298" s="1">
        <v>3461.0</v>
      </c>
      <c r="Y1298" s="1">
        <v>89.0</v>
      </c>
      <c r="Z1298" s="1">
        <v>400.0</v>
      </c>
      <c r="AA1298" s="1">
        <v>114.0</v>
      </c>
      <c r="AB1298" s="1">
        <v>274.0</v>
      </c>
      <c r="AC1298" s="1">
        <v>99.0</v>
      </c>
      <c r="AD1298" s="1">
        <v>989.0</v>
      </c>
      <c r="AE1298" s="1">
        <v>0.0</v>
      </c>
      <c r="AF1298" s="1">
        <v>456.0</v>
      </c>
      <c r="AG1298" s="1">
        <v>0.0</v>
      </c>
      <c r="AH1298" s="1">
        <v>197.0</v>
      </c>
      <c r="AI1298" s="1">
        <v>0.0</v>
      </c>
      <c r="AJ1298" s="1">
        <v>114.0</v>
      </c>
      <c r="AK1298" s="1">
        <v>26.0</v>
      </c>
      <c r="AL1298" s="1">
        <v>117.0</v>
      </c>
      <c r="AM1298" s="1">
        <v>78.0</v>
      </c>
      <c r="AN1298" s="1">
        <v>54.0</v>
      </c>
      <c r="AO1298" s="1">
        <v>38.0</v>
      </c>
      <c r="AP1298" s="1">
        <v>0.405555</v>
      </c>
      <c r="AQ1298" s="1">
        <v>0.279766</v>
      </c>
      <c r="AR1298" s="1">
        <v>0.219948</v>
      </c>
      <c r="AS1298" s="1">
        <v>1.158114</v>
      </c>
      <c r="AT1298" s="1">
        <v>9411.0</v>
      </c>
      <c r="AU1298" s="1">
        <v>3461.0</v>
      </c>
      <c r="AV1298" s="1">
        <v>0.15669</v>
      </c>
      <c r="AW1298" s="1">
        <v>0.70126</v>
      </c>
      <c r="AX1298" s="1">
        <v>0.112871</v>
      </c>
      <c r="AY1298" s="1">
        <v>0.271287</v>
      </c>
      <c r="AZ1298" s="1">
        <v>0.2928994</v>
      </c>
      <c r="BA1298" s="1">
        <v>0.979207</v>
      </c>
      <c r="BB1298" s="1">
        <v>0.0</v>
      </c>
      <c r="BC1298" s="1">
        <v>0.474505</v>
      </c>
      <c r="BD1298" s="1">
        <v>0.0</v>
      </c>
      <c r="BE1298" s="1">
        <v>0.426406</v>
      </c>
      <c r="BF1298" s="1">
        <v>0.0</v>
      </c>
      <c r="BG1298" s="1">
        <v>0.246753</v>
      </c>
      <c r="BH1298" s="1">
        <v>0.081761</v>
      </c>
      <c r="BI1298" s="1">
        <v>0.367163</v>
      </c>
      <c r="BJ1298" s="1">
        <v>0.245283</v>
      </c>
      <c r="BK1298" s="1">
        <v>0.154273</v>
      </c>
      <c r="BL1298" s="1">
        <v>0.037623</v>
      </c>
      <c r="BM1298" s="1">
        <v>0.954</v>
      </c>
      <c r="BN1298" s="1">
        <v>0.966</v>
      </c>
      <c r="BO1298" s="1">
        <v>0.9913</v>
      </c>
      <c r="BP1298" s="1">
        <v>0.594</v>
      </c>
      <c r="BQ1298" s="1">
        <v>3.5053</v>
      </c>
      <c r="BR1298" s="1">
        <v>0.9235</v>
      </c>
      <c r="BS1298" s="1">
        <v>0.293</v>
      </c>
      <c r="BT1298" s="1">
        <v>0.8</v>
      </c>
      <c r="BU1298" s="1">
        <v>0.979</v>
      </c>
      <c r="BV1298" s="1">
        <v>2.072</v>
      </c>
      <c r="BW1298" s="1">
        <v>0.905</v>
      </c>
      <c r="BX1298" s="1">
        <v>0.979</v>
      </c>
      <c r="BY1298" s="1">
        <v>0.0</v>
      </c>
      <c r="BZ1298" s="1">
        <v>0.979</v>
      </c>
      <c r="CA1298" s="1">
        <v>0.538</v>
      </c>
      <c r="CB1298" s="1">
        <v>0.0</v>
      </c>
      <c r="CC1298" s="1">
        <v>0.0</v>
      </c>
      <c r="CD1298" s="1">
        <v>0.989</v>
      </c>
      <c r="CE1298" s="1">
        <v>0.935</v>
      </c>
      <c r="CF1298" s="1">
        <v>0.857</v>
      </c>
      <c r="CG1298" s="1">
        <v>2.781</v>
      </c>
      <c r="CH1298" s="1">
        <v>0.682</v>
      </c>
      <c r="CI1298" s="1">
        <v>9.3373</v>
      </c>
      <c r="CJ1298" s="1">
        <v>0.8939</v>
      </c>
      <c r="CK1298" s="1">
        <v>1.0</v>
      </c>
      <c r="CL1298" s="1">
        <v>1.0</v>
      </c>
      <c r="CM1298" s="1">
        <v>1.0</v>
      </c>
      <c r="CN1298" s="1">
        <v>0.0</v>
      </c>
      <c r="CO1298" s="1">
        <v>3.0</v>
      </c>
      <c r="CP1298" s="1">
        <v>0.0</v>
      </c>
      <c r="CQ1298" s="1">
        <v>0.0</v>
      </c>
      <c r="CR1298" s="1">
        <v>1.0</v>
      </c>
      <c r="CS1298" s="1">
        <v>1.0</v>
      </c>
      <c r="CT1298" s="1">
        <v>1.0</v>
      </c>
      <c r="CU1298" s="1">
        <v>0.0</v>
      </c>
      <c r="CV1298" s="1">
        <v>1.0</v>
      </c>
      <c r="CW1298" s="1">
        <v>0.0</v>
      </c>
      <c r="CX1298" s="1">
        <v>0.0</v>
      </c>
      <c r="CY1298" s="1">
        <v>1.0</v>
      </c>
      <c r="CZ1298" s="1">
        <v>1.0</v>
      </c>
      <c r="DA1298" s="1">
        <v>0.0</v>
      </c>
      <c r="DB1298" s="1">
        <v>2.0</v>
      </c>
      <c r="DC1298" s="1">
        <v>7.0</v>
      </c>
      <c r="DD1298" s="1" t="s">
        <v>5694</v>
      </c>
      <c r="DE1298" s="2" t="s">
        <v>5695</v>
      </c>
      <c r="DF1298" s="1">
        <v>0.04407930244475</v>
      </c>
    </row>
    <row r="1299" ht="15.75" customHeight="1">
      <c r="A1299" s="1" t="s">
        <v>5696</v>
      </c>
      <c r="B1299" s="1">
        <v>29.0</v>
      </c>
      <c r="C1299" s="1">
        <v>510.0</v>
      </c>
      <c r="D1299" s="1">
        <v>114101.0</v>
      </c>
      <c r="E1299" s="1">
        <v>0.367</v>
      </c>
      <c r="F1299" s="1">
        <v>29510.0</v>
      </c>
      <c r="G1299" s="1">
        <v>2.9510114101E10</v>
      </c>
      <c r="H1299" s="1" t="s">
        <v>112</v>
      </c>
      <c r="I1299" s="1" t="s">
        <v>113</v>
      </c>
      <c r="J1299" s="1" t="s">
        <v>5663</v>
      </c>
      <c r="K1299" s="1" t="s">
        <v>5697</v>
      </c>
      <c r="L1299" s="1">
        <v>4281.0</v>
      </c>
      <c r="M1299" s="1">
        <v>4296.0</v>
      </c>
      <c r="N1299" s="1">
        <v>430.0</v>
      </c>
      <c r="O1299" s="1">
        <v>2590.0</v>
      </c>
      <c r="P1299" s="1">
        <v>2571.0</v>
      </c>
      <c r="Q1299" s="1">
        <v>68.0</v>
      </c>
      <c r="R1299" s="1">
        <v>2257.0</v>
      </c>
      <c r="S1299" s="1">
        <v>673.0</v>
      </c>
      <c r="T1299" s="1">
        <v>327.0</v>
      </c>
      <c r="U1299" s="1">
        <v>340.0</v>
      </c>
      <c r="V1299" s="1">
        <v>381.0</v>
      </c>
      <c r="W1299" s="1">
        <v>24788.0</v>
      </c>
      <c r="X1299" s="1">
        <v>3129.0</v>
      </c>
      <c r="Y1299" s="1">
        <v>365.0</v>
      </c>
      <c r="Z1299" s="1">
        <v>361.0</v>
      </c>
      <c r="AA1299" s="1">
        <v>360.0</v>
      </c>
      <c r="AB1299" s="1">
        <v>722.0</v>
      </c>
      <c r="AC1299" s="1">
        <v>204.0</v>
      </c>
      <c r="AD1299" s="1">
        <v>1325.0</v>
      </c>
      <c r="AE1299" s="1">
        <v>61.0</v>
      </c>
      <c r="AF1299" s="1">
        <v>430.0</v>
      </c>
      <c r="AG1299" s="1">
        <v>61.0</v>
      </c>
      <c r="AH1299" s="1">
        <v>128.0</v>
      </c>
      <c r="AI1299" s="1">
        <v>0.0</v>
      </c>
      <c r="AJ1299" s="1">
        <v>114.0</v>
      </c>
      <c r="AK1299" s="1">
        <v>20.0</v>
      </c>
      <c r="AL1299" s="1">
        <v>119.0</v>
      </c>
      <c r="AM1299" s="1">
        <v>253.0</v>
      </c>
      <c r="AN1299" s="1">
        <v>129.0</v>
      </c>
      <c r="AO1299" s="1">
        <v>0.0</v>
      </c>
      <c r="AP1299" s="1">
        <v>0.156657</v>
      </c>
      <c r="AQ1299" s="1">
        <v>0.074484</v>
      </c>
      <c r="AR1299" s="1">
        <v>0.119382</v>
      </c>
      <c r="AS1299" s="1">
        <v>0.132447</v>
      </c>
      <c r="AT1299" s="1">
        <v>24788.0</v>
      </c>
      <c r="AU1299" s="1">
        <v>3129.0</v>
      </c>
      <c r="AV1299" s="1">
        <v>0.11932</v>
      </c>
      <c r="AW1299" s="1">
        <v>0.11722</v>
      </c>
      <c r="AX1299" s="1">
        <v>0.084092</v>
      </c>
      <c r="AY1299" s="1">
        <v>0.168652</v>
      </c>
      <c r="AZ1299" s="1">
        <v>0.09038546</v>
      </c>
      <c r="BA1299" s="1">
        <v>0.309507</v>
      </c>
      <c r="BB1299" s="1">
        <v>0.015778</v>
      </c>
      <c r="BC1299" s="1">
        <v>0.111215</v>
      </c>
      <c r="BD1299" s="1">
        <v>0.023726</v>
      </c>
      <c r="BE1299" s="1">
        <v>0.049782</v>
      </c>
      <c r="BF1299" s="1">
        <v>0.0</v>
      </c>
      <c r="BG1299" s="1">
        <v>0.04434</v>
      </c>
      <c r="BH1299" s="1">
        <v>0.008714</v>
      </c>
      <c r="BI1299" s="1">
        <v>0.051848</v>
      </c>
      <c r="BJ1299" s="1">
        <v>0.110239</v>
      </c>
      <c r="BK1299" s="1">
        <v>0.055781</v>
      </c>
      <c r="BL1299" s="1">
        <v>0.0</v>
      </c>
      <c r="BM1299" s="1">
        <v>0.601</v>
      </c>
      <c r="BN1299" s="1">
        <v>0.821</v>
      </c>
      <c r="BO1299" s="1">
        <v>0.3574</v>
      </c>
      <c r="BP1299" s="1">
        <v>0.425</v>
      </c>
      <c r="BQ1299" s="1">
        <v>2.2044</v>
      </c>
      <c r="BR1299" s="1">
        <v>0.569</v>
      </c>
      <c r="BS1299" s="1">
        <v>0.133</v>
      </c>
      <c r="BT1299" s="1">
        <v>0.098</v>
      </c>
      <c r="BU1299" s="1">
        <v>0.406</v>
      </c>
      <c r="BV1299" s="1">
        <v>0.637</v>
      </c>
      <c r="BW1299" s="1">
        <v>0.05</v>
      </c>
      <c r="BX1299" s="1">
        <v>0.793</v>
      </c>
      <c r="BY1299" s="1">
        <v>0.818</v>
      </c>
      <c r="BZ1299" s="1">
        <v>1.611</v>
      </c>
      <c r="CA1299" s="1">
        <v>0.877</v>
      </c>
      <c r="CB1299" s="1">
        <v>0.505</v>
      </c>
      <c r="CC1299" s="1">
        <v>0.0</v>
      </c>
      <c r="CD1299" s="1">
        <v>0.451</v>
      </c>
      <c r="CE1299" s="1">
        <v>0.781</v>
      </c>
      <c r="CF1299" s="1">
        <v>0.0</v>
      </c>
      <c r="CG1299" s="1">
        <v>1.737</v>
      </c>
      <c r="CH1299" s="1">
        <v>0.246</v>
      </c>
      <c r="CI1299" s="1">
        <v>6.1894</v>
      </c>
      <c r="CJ1299" s="1">
        <v>0.4051</v>
      </c>
      <c r="CK1299" s="1">
        <v>0.0</v>
      </c>
      <c r="CL1299" s="1">
        <v>0.0</v>
      </c>
      <c r="CM1299" s="1">
        <v>0.0</v>
      </c>
      <c r="CN1299" s="1">
        <v>0.0</v>
      </c>
      <c r="CO1299" s="1">
        <v>0.0</v>
      </c>
      <c r="CP1299" s="1">
        <v>0.0</v>
      </c>
      <c r="CQ1299" s="1">
        <v>0.0</v>
      </c>
      <c r="CR1299" s="1">
        <v>0.0</v>
      </c>
      <c r="CS1299" s="1">
        <v>0.0</v>
      </c>
      <c r="CT1299" s="1">
        <v>0.0</v>
      </c>
      <c r="CU1299" s="1">
        <v>0.0</v>
      </c>
      <c r="CV1299" s="1">
        <v>0.0</v>
      </c>
      <c r="CW1299" s="1">
        <v>0.0</v>
      </c>
      <c r="CX1299" s="1">
        <v>0.0</v>
      </c>
      <c r="CY1299" s="1">
        <v>0.0</v>
      </c>
      <c r="CZ1299" s="1">
        <v>0.0</v>
      </c>
      <c r="DA1299" s="1">
        <v>0.0</v>
      </c>
      <c r="DB1299" s="1">
        <v>0.0</v>
      </c>
      <c r="DC1299" s="1">
        <v>0.0</v>
      </c>
      <c r="DD1299" s="1" t="s">
        <v>5698</v>
      </c>
      <c r="DE1299" s="2" t="s">
        <v>5699</v>
      </c>
      <c r="DF1299" s="2" t="s">
        <v>5700</v>
      </c>
    </row>
    <row r="1300" ht="15.75" customHeight="1">
      <c r="A1300" s="1" t="s">
        <v>5701</v>
      </c>
      <c r="B1300" s="1">
        <v>29.0</v>
      </c>
      <c r="C1300" s="1">
        <v>510.0</v>
      </c>
      <c r="D1300" s="1">
        <v>115300.0</v>
      </c>
      <c r="E1300" s="1">
        <v>0.639</v>
      </c>
      <c r="F1300" s="1">
        <v>29510.0</v>
      </c>
      <c r="G1300" s="1">
        <v>2.95101153E10</v>
      </c>
      <c r="H1300" s="1" t="s">
        <v>112</v>
      </c>
      <c r="I1300" s="1" t="s">
        <v>113</v>
      </c>
      <c r="J1300" s="1" t="s">
        <v>5663</v>
      </c>
      <c r="K1300" s="1" t="s">
        <v>5702</v>
      </c>
      <c r="L1300" s="1">
        <v>4958.0</v>
      </c>
      <c r="M1300" s="1">
        <v>5260.0</v>
      </c>
      <c r="N1300" s="1">
        <v>604.0</v>
      </c>
      <c r="O1300" s="1">
        <v>2325.0</v>
      </c>
      <c r="P1300" s="1">
        <v>2515.0</v>
      </c>
      <c r="Q1300" s="1">
        <v>107.0</v>
      </c>
      <c r="R1300" s="1">
        <v>1939.0</v>
      </c>
      <c r="S1300" s="1">
        <v>1529.0</v>
      </c>
      <c r="T1300" s="1">
        <v>655.0</v>
      </c>
      <c r="U1300" s="1">
        <v>352.0</v>
      </c>
      <c r="V1300" s="1">
        <v>414.0</v>
      </c>
      <c r="W1300" s="1">
        <v>18651.0</v>
      </c>
      <c r="X1300" s="1">
        <v>2416.0</v>
      </c>
      <c r="Y1300" s="1">
        <v>570.0</v>
      </c>
      <c r="Z1300" s="1">
        <v>299.0</v>
      </c>
      <c r="AA1300" s="1">
        <v>393.0</v>
      </c>
      <c r="AB1300" s="1">
        <v>1232.0</v>
      </c>
      <c r="AC1300" s="1">
        <v>338.0</v>
      </c>
      <c r="AD1300" s="1">
        <v>2520.0</v>
      </c>
      <c r="AE1300" s="1">
        <v>139.0</v>
      </c>
      <c r="AF1300" s="1">
        <v>409.0</v>
      </c>
      <c r="AG1300" s="1">
        <v>99.0</v>
      </c>
      <c r="AH1300" s="1">
        <v>154.0</v>
      </c>
      <c r="AI1300" s="1">
        <v>0.0</v>
      </c>
      <c r="AJ1300" s="1">
        <v>114.0</v>
      </c>
      <c r="AK1300" s="1">
        <v>189.0</v>
      </c>
      <c r="AL1300" s="1">
        <v>145.0</v>
      </c>
      <c r="AM1300" s="1">
        <v>315.0</v>
      </c>
      <c r="AN1300" s="1">
        <v>148.0</v>
      </c>
      <c r="AO1300" s="1">
        <v>0.0</v>
      </c>
      <c r="AP1300" s="1">
        <v>0.291793</v>
      </c>
      <c r="AQ1300" s="1">
        <v>0.120436</v>
      </c>
      <c r="AR1300" s="1">
        <v>0.129793</v>
      </c>
      <c r="AS1300" s="1">
        <v>0.151674</v>
      </c>
      <c r="AT1300" s="1">
        <v>18651.0</v>
      </c>
      <c r="AU1300" s="1">
        <v>2416.0</v>
      </c>
      <c r="AV1300" s="1">
        <v>0.181067</v>
      </c>
      <c r="AW1300" s="1">
        <v>0.093515</v>
      </c>
      <c r="AX1300" s="1">
        <v>0.079265</v>
      </c>
      <c r="AY1300" s="1">
        <v>0.248487</v>
      </c>
      <c r="AZ1300" s="1">
        <v>0.17431665</v>
      </c>
      <c r="BA1300" s="1">
        <v>0.508269</v>
      </c>
      <c r="BB1300" s="1">
        <v>0.029587</v>
      </c>
      <c r="BC1300" s="1">
        <v>0.087001</v>
      </c>
      <c r="BD1300" s="1">
        <v>0.039363</v>
      </c>
      <c r="BE1300" s="1">
        <v>0.061209</v>
      </c>
      <c r="BF1300" s="1">
        <v>0.0</v>
      </c>
      <c r="BG1300" s="1">
        <v>0.045328</v>
      </c>
      <c r="BH1300" s="1">
        <v>0.094879</v>
      </c>
      <c r="BI1300" s="1">
        <v>0.072139</v>
      </c>
      <c r="BJ1300" s="1">
        <v>0.158132</v>
      </c>
      <c r="BK1300" s="1">
        <v>0.07251</v>
      </c>
      <c r="BL1300" s="1">
        <v>0.0</v>
      </c>
      <c r="BM1300" s="1">
        <v>0.878</v>
      </c>
      <c r="BN1300" s="1">
        <v>0.856</v>
      </c>
      <c r="BO1300" s="1">
        <v>0.696</v>
      </c>
      <c r="BP1300" s="1">
        <v>0.691</v>
      </c>
      <c r="BQ1300" s="1">
        <v>3.121</v>
      </c>
      <c r="BR1300" s="1">
        <v>0.831</v>
      </c>
      <c r="BS1300" s="1">
        <v>0.114</v>
      </c>
      <c r="BT1300" s="1">
        <v>0.581</v>
      </c>
      <c r="BU1300" s="1">
        <v>0.853</v>
      </c>
      <c r="BV1300" s="1">
        <v>1.548</v>
      </c>
      <c r="BW1300" s="1">
        <v>0.519</v>
      </c>
      <c r="BX1300" s="1">
        <v>0.864</v>
      </c>
      <c r="BY1300" s="1">
        <v>0.91</v>
      </c>
      <c r="BZ1300" s="1">
        <v>1.774</v>
      </c>
      <c r="CA1300" s="1">
        <v>0.953</v>
      </c>
      <c r="CB1300" s="1">
        <v>0.607</v>
      </c>
      <c r="CC1300" s="1">
        <v>0.0</v>
      </c>
      <c r="CD1300" s="1">
        <v>0.994</v>
      </c>
      <c r="CE1300" s="1">
        <v>0.868</v>
      </c>
      <c r="CF1300" s="1">
        <v>0.0</v>
      </c>
      <c r="CG1300" s="1">
        <v>2.469</v>
      </c>
      <c r="CH1300" s="1">
        <v>0.551</v>
      </c>
      <c r="CI1300" s="1">
        <v>8.912</v>
      </c>
      <c r="CJ1300" s="1">
        <v>0.8419</v>
      </c>
      <c r="CK1300" s="1">
        <v>0.0</v>
      </c>
      <c r="CL1300" s="1">
        <v>0.0</v>
      </c>
      <c r="CM1300" s="1">
        <v>0.0</v>
      </c>
      <c r="CN1300" s="1">
        <v>0.0</v>
      </c>
      <c r="CO1300" s="1">
        <v>0.0</v>
      </c>
      <c r="CP1300" s="1">
        <v>0.0</v>
      </c>
      <c r="CQ1300" s="1">
        <v>0.0</v>
      </c>
      <c r="CR1300" s="1">
        <v>0.0</v>
      </c>
      <c r="CS1300" s="1">
        <v>0.0</v>
      </c>
      <c r="CT1300" s="1">
        <v>0.0</v>
      </c>
      <c r="CU1300" s="1">
        <v>1.0</v>
      </c>
      <c r="CV1300" s="1">
        <v>1.0</v>
      </c>
      <c r="CW1300" s="1">
        <v>0.0</v>
      </c>
      <c r="CX1300" s="1">
        <v>0.0</v>
      </c>
      <c r="CY1300" s="1">
        <v>1.0</v>
      </c>
      <c r="CZ1300" s="1">
        <v>0.0</v>
      </c>
      <c r="DA1300" s="1">
        <v>0.0</v>
      </c>
      <c r="DB1300" s="1">
        <v>1.0</v>
      </c>
      <c r="DC1300" s="1">
        <v>2.0</v>
      </c>
      <c r="DD1300" s="1" t="s">
        <v>5703</v>
      </c>
      <c r="DE1300" s="1">
        <v>1.71017306630871E-4</v>
      </c>
      <c r="DF1300" s="1">
        <v>0.0559584927435423</v>
      </c>
    </row>
    <row r="1301" ht="15.75" customHeight="1">
      <c r="A1301" s="1" t="s">
        <v>5704</v>
      </c>
      <c r="B1301" s="1">
        <v>29.0</v>
      </c>
      <c r="C1301" s="1">
        <v>510.0</v>
      </c>
      <c r="D1301" s="1">
        <v>116301.0</v>
      </c>
      <c r="E1301" s="1">
        <v>0.249</v>
      </c>
      <c r="F1301" s="1">
        <v>29510.0</v>
      </c>
      <c r="G1301" s="1">
        <v>2.9510116301E10</v>
      </c>
      <c r="H1301" s="1" t="s">
        <v>112</v>
      </c>
      <c r="I1301" s="1" t="s">
        <v>113</v>
      </c>
      <c r="J1301" s="1" t="s">
        <v>5663</v>
      </c>
      <c r="K1301" s="1" t="s">
        <v>5705</v>
      </c>
      <c r="L1301" s="1">
        <v>2999.0</v>
      </c>
      <c r="M1301" s="1">
        <v>3320.0</v>
      </c>
      <c r="N1301" s="1">
        <v>502.0</v>
      </c>
      <c r="O1301" s="1">
        <v>1599.0</v>
      </c>
      <c r="P1301" s="1">
        <v>1722.0</v>
      </c>
      <c r="Q1301" s="1">
        <v>68.0</v>
      </c>
      <c r="R1301" s="1">
        <v>1343.0</v>
      </c>
      <c r="S1301" s="1">
        <v>865.0</v>
      </c>
      <c r="T1301" s="1">
        <v>378.0</v>
      </c>
      <c r="U1301" s="1">
        <v>166.0</v>
      </c>
      <c r="V1301" s="1">
        <v>388.0</v>
      </c>
      <c r="W1301" s="1">
        <v>24167.0</v>
      </c>
      <c r="X1301" s="1">
        <v>3938.0</v>
      </c>
      <c r="Y1301" s="1">
        <v>295.0</v>
      </c>
      <c r="Z1301" s="1">
        <v>323.0</v>
      </c>
      <c r="AA1301" s="1">
        <v>229.0</v>
      </c>
      <c r="AB1301" s="1">
        <v>560.0</v>
      </c>
      <c r="AC1301" s="1">
        <v>139.0</v>
      </c>
      <c r="AD1301" s="1">
        <v>1115.0</v>
      </c>
      <c r="AE1301" s="1">
        <v>211.0</v>
      </c>
      <c r="AF1301" s="1">
        <v>402.0</v>
      </c>
      <c r="AG1301" s="1">
        <v>78.0</v>
      </c>
      <c r="AH1301" s="1">
        <v>45.0</v>
      </c>
      <c r="AI1301" s="1">
        <v>0.0</v>
      </c>
      <c r="AJ1301" s="1">
        <v>114.0</v>
      </c>
      <c r="AK1301" s="1">
        <v>69.0</v>
      </c>
      <c r="AL1301" s="1">
        <v>127.0</v>
      </c>
      <c r="AM1301" s="1">
        <v>76.0</v>
      </c>
      <c r="AN1301" s="1">
        <v>50.0</v>
      </c>
      <c r="AO1301" s="1">
        <v>0.0</v>
      </c>
      <c r="AP1301" s="1">
        <v>0.261566</v>
      </c>
      <c r="AQ1301" s="1">
        <v>0.107301</v>
      </c>
      <c r="AR1301" s="1">
        <v>0.092893</v>
      </c>
      <c r="AS1301" s="1">
        <v>0.216436</v>
      </c>
      <c r="AT1301" s="1">
        <v>24167.0</v>
      </c>
      <c r="AU1301" s="1">
        <v>3938.0</v>
      </c>
      <c r="AV1301" s="1">
        <v>0.133847</v>
      </c>
      <c r="AW1301" s="1">
        <v>0.145744</v>
      </c>
      <c r="AX1301" s="1">
        <v>0.076358</v>
      </c>
      <c r="AY1301" s="1">
        <v>0.186728</v>
      </c>
      <c r="AZ1301" s="1">
        <v>0.10349962</v>
      </c>
      <c r="BA1301" s="1">
        <v>0.37179</v>
      </c>
      <c r="BB1301" s="1">
        <v>0.067628</v>
      </c>
      <c r="BC1301" s="1">
        <v>0.128466</v>
      </c>
      <c r="BD1301" s="1">
        <v>0.045296</v>
      </c>
      <c r="BE1301" s="1">
        <v>0.026071</v>
      </c>
      <c r="BF1301" s="1">
        <v>0.0</v>
      </c>
      <c r="BG1301" s="1">
        <v>0.066202</v>
      </c>
      <c r="BH1301" s="1">
        <v>0.049215</v>
      </c>
      <c r="BI1301" s="1">
        <v>0.090466</v>
      </c>
      <c r="BJ1301" s="1">
        <v>0.054208</v>
      </c>
      <c r="BK1301" s="1">
        <v>0.035296</v>
      </c>
      <c r="BL1301" s="1">
        <v>0.0</v>
      </c>
      <c r="BM1301" s="1">
        <v>0.844</v>
      </c>
      <c r="BN1301" s="1">
        <v>0.694</v>
      </c>
      <c r="BO1301" s="1">
        <v>0.3856</v>
      </c>
      <c r="BP1301" s="1">
        <v>0.491</v>
      </c>
      <c r="BQ1301" s="1">
        <v>2.4146</v>
      </c>
      <c r="BR1301" s="1">
        <v>0.6375</v>
      </c>
      <c r="BS1301" s="1">
        <v>0.104</v>
      </c>
      <c r="BT1301" s="1">
        <v>0.139</v>
      </c>
      <c r="BU1301" s="1">
        <v>0.528</v>
      </c>
      <c r="BV1301" s="1">
        <v>0.771</v>
      </c>
      <c r="BW1301" s="1">
        <v>0.072</v>
      </c>
      <c r="BX1301" s="1">
        <v>0.829</v>
      </c>
      <c r="BY1301" s="1">
        <v>0.974</v>
      </c>
      <c r="BZ1301" s="1">
        <v>1.803</v>
      </c>
      <c r="CA1301" s="1">
        <v>0.964</v>
      </c>
      <c r="CB1301" s="1">
        <v>0.633</v>
      </c>
      <c r="CC1301" s="1">
        <v>0.0</v>
      </c>
      <c r="CD1301" s="1">
        <v>0.933</v>
      </c>
      <c r="CE1301" s="1">
        <v>0.523</v>
      </c>
      <c r="CF1301" s="1">
        <v>0.0</v>
      </c>
      <c r="CG1301" s="1">
        <v>2.089</v>
      </c>
      <c r="CH1301" s="1">
        <v>0.379</v>
      </c>
      <c r="CI1301" s="1">
        <v>7.0776</v>
      </c>
      <c r="CJ1301" s="1">
        <v>0.5646</v>
      </c>
      <c r="CK1301" s="1">
        <v>0.0</v>
      </c>
      <c r="CL1301" s="1">
        <v>0.0</v>
      </c>
      <c r="CM1301" s="1">
        <v>0.0</v>
      </c>
      <c r="CN1301" s="1">
        <v>0.0</v>
      </c>
      <c r="CO1301" s="1">
        <v>0.0</v>
      </c>
      <c r="CP1301" s="1">
        <v>0.0</v>
      </c>
      <c r="CQ1301" s="1">
        <v>0.0</v>
      </c>
      <c r="CR1301" s="1">
        <v>0.0</v>
      </c>
      <c r="CS1301" s="1">
        <v>0.0</v>
      </c>
      <c r="CT1301" s="1">
        <v>0.0</v>
      </c>
      <c r="CU1301" s="1">
        <v>1.0</v>
      </c>
      <c r="CV1301" s="1">
        <v>1.0</v>
      </c>
      <c r="CW1301" s="1">
        <v>0.0</v>
      </c>
      <c r="CX1301" s="1">
        <v>0.0</v>
      </c>
      <c r="CY1301" s="1">
        <v>1.0</v>
      </c>
      <c r="CZ1301" s="1">
        <v>0.0</v>
      </c>
      <c r="DA1301" s="1">
        <v>0.0</v>
      </c>
      <c r="DB1301" s="1">
        <v>1.0</v>
      </c>
      <c r="DC1301" s="1">
        <v>2.0</v>
      </c>
      <c r="DD1301" s="1" t="s">
        <v>5706</v>
      </c>
      <c r="DE1301" s="2" t="s">
        <v>5707</v>
      </c>
      <c r="DF1301" s="1">
        <v>0.032823575034814</v>
      </c>
    </row>
    <row r="1302" ht="15.75" customHeight="1">
      <c r="A1302" s="1" t="s">
        <v>5708</v>
      </c>
      <c r="B1302" s="1">
        <v>29.0</v>
      </c>
      <c r="C1302" s="1">
        <v>510.0</v>
      </c>
      <c r="D1302" s="1">
        <v>117100.0</v>
      </c>
      <c r="E1302" s="1">
        <v>0.418</v>
      </c>
      <c r="F1302" s="1">
        <v>29510.0</v>
      </c>
      <c r="G1302" s="1">
        <v>2.95101171E10</v>
      </c>
      <c r="H1302" s="1" t="s">
        <v>112</v>
      </c>
      <c r="I1302" s="1" t="s">
        <v>113</v>
      </c>
      <c r="J1302" s="1" t="s">
        <v>5663</v>
      </c>
      <c r="K1302" s="1" t="s">
        <v>5709</v>
      </c>
      <c r="L1302" s="1">
        <v>1537.0</v>
      </c>
      <c r="M1302" s="1">
        <v>1611.0</v>
      </c>
      <c r="N1302" s="1">
        <v>298.0</v>
      </c>
      <c r="O1302" s="1">
        <v>1167.0</v>
      </c>
      <c r="P1302" s="1">
        <v>1192.0</v>
      </c>
      <c r="Q1302" s="1">
        <v>29.0</v>
      </c>
      <c r="R1302" s="1">
        <v>993.0</v>
      </c>
      <c r="S1302" s="1">
        <v>85.0</v>
      </c>
      <c r="T1302" s="1">
        <v>47.0</v>
      </c>
      <c r="U1302" s="1">
        <v>41.0</v>
      </c>
      <c r="V1302" s="1">
        <v>485.0</v>
      </c>
      <c r="W1302" s="1">
        <v>30309.0</v>
      </c>
      <c r="X1302" s="1">
        <v>5095.0</v>
      </c>
      <c r="Y1302" s="1">
        <v>111.0</v>
      </c>
      <c r="Z1302" s="1">
        <v>371.0</v>
      </c>
      <c r="AA1302" s="1">
        <v>99.0</v>
      </c>
      <c r="AB1302" s="1">
        <v>164.0</v>
      </c>
      <c r="AC1302" s="1">
        <v>59.0</v>
      </c>
      <c r="AD1302" s="1">
        <v>492.0</v>
      </c>
      <c r="AE1302" s="1">
        <v>8.0</v>
      </c>
      <c r="AF1302" s="1">
        <v>442.0</v>
      </c>
      <c r="AG1302" s="1">
        <v>81.0</v>
      </c>
      <c r="AH1302" s="1">
        <v>129.0</v>
      </c>
      <c r="AI1302" s="1">
        <v>0.0</v>
      </c>
      <c r="AJ1302" s="1">
        <v>114.0</v>
      </c>
      <c r="AK1302" s="1">
        <v>0.0</v>
      </c>
      <c r="AL1302" s="1">
        <v>161.0</v>
      </c>
      <c r="AM1302" s="1">
        <v>175.0</v>
      </c>
      <c r="AN1302" s="1">
        <v>155.0</v>
      </c>
      <c r="AO1302" s="1">
        <v>0.0</v>
      </c>
      <c r="AP1302" s="1">
        <v>0.052762</v>
      </c>
      <c r="AQ1302" s="1">
        <v>0.027493</v>
      </c>
      <c r="AR1302" s="1">
        <v>0.032591</v>
      </c>
      <c r="AS1302" s="1">
        <v>0.385446</v>
      </c>
      <c r="AT1302" s="1">
        <v>30309.0</v>
      </c>
      <c r="AU1302" s="1">
        <v>5095.0</v>
      </c>
      <c r="AV1302" s="1">
        <v>0.085384</v>
      </c>
      <c r="AW1302" s="1">
        <v>0.284941</v>
      </c>
      <c r="AX1302" s="1">
        <v>0.064411</v>
      </c>
      <c r="AY1302" s="1">
        <v>0.106701</v>
      </c>
      <c r="AZ1302" s="1">
        <v>0.05941591</v>
      </c>
      <c r="BA1302" s="1">
        <v>0.320104</v>
      </c>
      <c r="BB1302" s="1">
        <v>0.005188</v>
      </c>
      <c r="BC1302" s="1">
        <v>0.286638</v>
      </c>
      <c r="BD1302" s="1">
        <v>0.067953</v>
      </c>
      <c r="BE1302" s="1">
        <v>0.108208</v>
      </c>
      <c r="BF1302" s="1">
        <v>0.0</v>
      </c>
      <c r="BG1302" s="1">
        <v>0.095637</v>
      </c>
      <c r="BH1302" s="1">
        <v>0.0</v>
      </c>
      <c r="BI1302" s="1">
        <v>0.160839</v>
      </c>
      <c r="BJ1302" s="1">
        <v>0.174825</v>
      </c>
      <c r="BK1302" s="1">
        <v>0.15367</v>
      </c>
      <c r="BL1302" s="1">
        <v>0.0</v>
      </c>
      <c r="BM1302" s="1">
        <v>0.181</v>
      </c>
      <c r="BN1302" s="1">
        <v>0.109</v>
      </c>
      <c r="BO1302" s="1">
        <v>0.1899</v>
      </c>
      <c r="BP1302" s="1">
        <v>0.271</v>
      </c>
      <c r="BQ1302" s="1">
        <v>0.7509</v>
      </c>
      <c r="BR1302" s="1">
        <v>0.1422</v>
      </c>
      <c r="BS1302" s="1">
        <v>0.062</v>
      </c>
      <c r="BT1302" s="1">
        <v>0.028</v>
      </c>
      <c r="BU1302" s="1">
        <v>0.127</v>
      </c>
      <c r="BV1302" s="1">
        <v>0.217</v>
      </c>
      <c r="BW1302" s="1">
        <v>0.015</v>
      </c>
      <c r="BX1302" s="1">
        <v>0.802</v>
      </c>
      <c r="BY1302" s="1">
        <v>0.57</v>
      </c>
      <c r="BZ1302" s="1">
        <v>1.372</v>
      </c>
      <c r="CA1302" s="1">
        <v>0.752</v>
      </c>
      <c r="CB1302" s="1">
        <v>0.71</v>
      </c>
      <c r="CC1302" s="1">
        <v>0.0</v>
      </c>
      <c r="CD1302" s="1">
        <v>0.0</v>
      </c>
      <c r="CE1302" s="1">
        <v>0.882</v>
      </c>
      <c r="CF1302" s="1">
        <v>0.0</v>
      </c>
      <c r="CG1302" s="1">
        <v>1.592</v>
      </c>
      <c r="CH1302" s="1">
        <v>0.194</v>
      </c>
      <c r="CI1302" s="1">
        <v>3.9319</v>
      </c>
      <c r="CJ1302" s="1">
        <v>0.0787</v>
      </c>
      <c r="CK1302" s="1">
        <v>0.0</v>
      </c>
      <c r="CL1302" s="1">
        <v>0.0</v>
      </c>
      <c r="CM1302" s="1">
        <v>0.0</v>
      </c>
      <c r="CN1302" s="1">
        <v>0.0</v>
      </c>
      <c r="CO1302" s="1">
        <v>0.0</v>
      </c>
      <c r="CP1302" s="1">
        <v>0.0</v>
      </c>
      <c r="CQ1302" s="1">
        <v>0.0</v>
      </c>
      <c r="CR1302" s="1">
        <v>0.0</v>
      </c>
      <c r="CS1302" s="1">
        <v>0.0</v>
      </c>
      <c r="CT1302" s="1">
        <v>0.0</v>
      </c>
      <c r="CU1302" s="1">
        <v>0.0</v>
      </c>
      <c r="CV1302" s="1">
        <v>0.0</v>
      </c>
      <c r="CW1302" s="1">
        <v>0.0</v>
      </c>
      <c r="CX1302" s="1">
        <v>0.0</v>
      </c>
      <c r="CY1302" s="1">
        <v>0.0</v>
      </c>
      <c r="CZ1302" s="1">
        <v>0.0</v>
      </c>
      <c r="DA1302" s="1">
        <v>0.0</v>
      </c>
      <c r="DB1302" s="1">
        <v>0.0</v>
      </c>
      <c r="DC1302" s="1">
        <v>0.0</v>
      </c>
      <c r="DD1302" s="1" t="s">
        <v>5710</v>
      </c>
      <c r="DE1302" s="1">
        <v>1.11979084143469E-4</v>
      </c>
      <c r="DF1302" s="2" t="s">
        <v>5711</v>
      </c>
    </row>
    <row r="1303" ht="15.75" customHeight="1">
      <c r="A1303" s="1" t="s">
        <v>5712</v>
      </c>
      <c r="B1303" s="1">
        <v>29.0</v>
      </c>
      <c r="C1303" s="1">
        <v>510.0</v>
      </c>
      <c r="D1303" s="1">
        <v>118400.0</v>
      </c>
      <c r="E1303" s="1">
        <v>0.559</v>
      </c>
      <c r="F1303" s="1">
        <v>29510.0</v>
      </c>
      <c r="G1303" s="1">
        <v>2.95101184E10</v>
      </c>
      <c r="H1303" s="1" t="s">
        <v>112</v>
      </c>
      <c r="I1303" s="1" t="s">
        <v>113</v>
      </c>
      <c r="J1303" s="1" t="s">
        <v>5663</v>
      </c>
      <c r="K1303" s="1" t="s">
        <v>5713</v>
      </c>
      <c r="L1303" s="1">
        <v>1159.0</v>
      </c>
      <c r="M1303" s="1">
        <v>1001.0</v>
      </c>
      <c r="N1303" s="1">
        <v>387.0</v>
      </c>
      <c r="O1303" s="1">
        <v>564.0</v>
      </c>
      <c r="P1303" s="1">
        <v>593.0</v>
      </c>
      <c r="Q1303" s="1">
        <v>82.0</v>
      </c>
      <c r="R1303" s="1">
        <v>380.0</v>
      </c>
      <c r="S1303" s="1">
        <v>251.0</v>
      </c>
      <c r="T1303" s="1">
        <v>94.0</v>
      </c>
      <c r="U1303" s="1">
        <v>99.0</v>
      </c>
      <c r="V1303" s="1">
        <v>461.0</v>
      </c>
      <c r="W1303" s="1">
        <v>6759.0</v>
      </c>
      <c r="X1303" s="1">
        <v>2400.0</v>
      </c>
      <c r="Y1303" s="1">
        <v>47.0</v>
      </c>
      <c r="Z1303" s="1">
        <v>413.0</v>
      </c>
      <c r="AA1303" s="1">
        <v>78.0</v>
      </c>
      <c r="AB1303" s="1">
        <v>6.0</v>
      </c>
      <c r="AC1303" s="1">
        <v>4.0</v>
      </c>
      <c r="AD1303" s="1">
        <v>449.0</v>
      </c>
      <c r="AE1303" s="1">
        <v>12.0</v>
      </c>
      <c r="AF1303" s="1">
        <v>442.0</v>
      </c>
      <c r="AG1303" s="1">
        <v>571.0</v>
      </c>
      <c r="AH1303" s="1">
        <v>90.0</v>
      </c>
      <c r="AI1303" s="1">
        <v>0.0</v>
      </c>
      <c r="AJ1303" s="1">
        <v>114.0</v>
      </c>
      <c r="AK1303" s="1">
        <v>0.0</v>
      </c>
      <c r="AL1303" s="1">
        <v>161.0</v>
      </c>
      <c r="AM1303" s="1">
        <v>305.0</v>
      </c>
      <c r="AN1303" s="1">
        <v>131.0</v>
      </c>
      <c r="AO1303" s="1">
        <v>731.0</v>
      </c>
      <c r="AP1303" s="1">
        <v>0.564044</v>
      </c>
      <c r="AQ1303" s="1">
        <v>0.150425</v>
      </c>
      <c r="AR1303" s="1">
        <v>0.205821</v>
      </c>
      <c r="AS1303" s="1">
        <v>0.945252</v>
      </c>
      <c r="AT1303" s="1">
        <v>6759.0</v>
      </c>
      <c r="AU1303" s="1">
        <v>2400.0</v>
      </c>
      <c r="AV1303" s="1">
        <v>0.114634</v>
      </c>
      <c r="AW1303" s="1">
        <v>1.006889</v>
      </c>
      <c r="AX1303" s="1">
        <v>0.067299</v>
      </c>
      <c r="AY1303" s="1">
        <v>0.005176</v>
      </c>
      <c r="AZ1303" s="1">
        <v>0.01052631</v>
      </c>
      <c r="BA1303" s="1">
        <v>0.387402</v>
      </c>
      <c r="BB1303" s="1">
        <v>0.011988</v>
      </c>
      <c r="BC1303" s="1">
        <v>0.441534</v>
      </c>
      <c r="BD1303" s="1">
        <v>0.9629</v>
      </c>
      <c r="BE1303" s="1">
        <v>0.072838</v>
      </c>
      <c r="BF1303" s="1">
        <v>0.0</v>
      </c>
      <c r="BG1303" s="1">
        <v>0.192242</v>
      </c>
      <c r="BH1303" s="1">
        <v>0.0</v>
      </c>
      <c r="BI1303" s="1">
        <v>0.409669</v>
      </c>
      <c r="BJ1303" s="1">
        <v>0.776081</v>
      </c>
      <c r="BK1303" s="1">
        <v>0.298622</v>
      </c>
      <c r="BL1303" s="1">
        <v>0.630716</v>
      </c>
      <c r="BM1303" s="1">
        <v>0.994</v>
      </c>
      <c r="BN1303" s="1">
        <v>0.956</v>
      </c>
      <c r="BO1303" s="1">
        <v>0.9978</v>
      </c>
      <c r="BP1303" s="1">
        <v>0.405</v>
      </c>
      <c r="BQ1303" s="1">
        <v>3.3528</v>
      </c>
      <c r="BR1303" s="1">
        <v>0.8895</v>
      </c>
      <c r="BS1303" s="1">
        <v>0.072</v>
      </c>
      <c r="BT1303" s="1">
        <v>0.001</v>
      </c>
      <c r="BU1303" s="1">
        <v>0.002</v>
      </c>
      <c r="BV1303" s="1">
        <v>0.075</v>
      </c>
      <c r="BW1303" s="1">
        <v>0.008</v>
      </c>
      <c r="BX1303" s="1">
        <v>0.837</v>
      </c>
      <c r="BY1303" s="1">
        <v>0.77</v>
      </c>
      <c r="BZ1303" s="1">
        <v>1.607</v>
      </c>
      <c r="CA1303" s="1">
        <v>0.876</v>
      </c>
      <c r="CB1303" s="1">
        <v>0.998</v>
      </c>
      <c r="CC1303" s="1">
        <v>0.0</v>
      </c>
      <c r="CD1303" s="1">
        <v>0.0</v>
      </c>
      <c r="CE1303" s="1">
        <v>1.0</v>
      </c>
      <c r="CF1303" s="1">
        <v>0.997</v>
      </c>
      <c r="CG1303" s="1">
        <v>2.995</v>
      </c>
      <c r="CH1303" s="1">
        <v>0.774</v>
      </c>
      <c r="CI1303" s="1">
        <v>8.0298</v>
      </c>
      <c r="CJ1303" s="1">
        <v>0.7199</v>
      </c>
      <c r="CK1303" s="1">
        <v>1.0</v>
      </c>
      <c r="CL1303" s="1">
        <v>1.0</v>
      </c>
      <c r="CM1303" s="1">
        <v>1.0</v>
      </c>
      <c r="CN1303" s="1">
        <v>0.0</v>
      </c>
      <c r="CO1303" s="1">
        <v>3.0</v>
      </c>
      <c r="CP1303" s="1">
        <v>0.0</v>
      </c>
      <c r="CQ1303" s="1">
        <v>0.0</v>
      </c>
      <c r="CR1303" s="1">
        <v>0.0</v>
      </c>
      <c r="CS1303" s="1">
        <v>0.0</v>
      </c>
      <c r="CT1303" s="1">
        <v>0.0</v>
      </c>
      <c r="CU1303" s="1">
        <v>0.0</v>
      </c>
      <c r="CV1303" s="1">
        <v>0.0</v>
      </c>
      <c r="CW1303" s="1">
        <v>1.0</v>
      </c>
      <c r="CX1303" s="1">
        <v>0.0</v>
      </c>
      <c r="CY1303" s="1">
        <v>0.0</v>
      </c>
      <c r="CZ1303" s="1">
        <v>1.0</v>
      </c>
      <c r="DA1303" s="1">
        <v>1.0</v>
      </c>
      <c r="DB1303" s="1">
        <v>3.0</v>
      </c>
      <c r="DC1303" s="1">
        <v>6.0</v>
      </c>
      <c r="DD1303" s="1" t="s">
        <v>5714</v>
      </c>
      <c r="DE1303" s="1">
        <v>1.50707445232552E-4</v>
      </c>
      <c r="DF1303" s="1">
        <v>0.0551380875863143</v>
      </c>
    </row>
    <row r="1304" ht="15.75" customHeight="1">
      <c r="A1304" s="1" t="s">
        <v>5715</v>
      </c>
      <c r="B1304" s="1">
        <v>29.0</v>
      </c>
      <c r="C1304" s="1">
        <v>510.0</v>
      </c>
      <c r="D1304" s="1">
        <v>119200.0</v>
      </c>
      <c r="E1304" s="1">
        <v>0.283</v>
      </c>
      <c r="F1304" s="1">
        <v>29510.0</v>
      </c>
      <c r="G1304" s="1">
        <v>2.95101192E10</v>
      </c>
      <c r="H1304" s="1" t="s">
        <v>112</v>
      </c>
      <c r="I1304" s="1" t="s">
        <v>113</v>
      </c>
      <c r="J1304" s="1" t="s">
        <v>5663</v>
      </c>
      <c r="K1304" s="1" t="s">
        <v>5716</v>
      </c>
      <c r="L1304" s="1">
        <v>1703.0</v>
      </c>
      <c r="M1304" s="1">
        <v>1514.0</v>
      </c>
      <c r="N1304" s="1">
        <v>275.0</v>
      </c>
      <c r="O1304" s="1">
        <v>1070.0</v>
      </c>
      <c r="P1304" s="1">
        <v>1017.0</v>
      </c>
      <c r="Q1304" s="1">
        <v>97.0</v>
      </c>
      <c r="R1304" s="1">
        <v>878.0</v>
      </c>
      <c r="S1304" s="1">
        <v>174.0</v>
      </c>
      <c r="T1304" s="1">
        <v>110.0</v>
      </c>
      <c r="U1304" s="1">
        <v>58.0</v>
      </c>
      <c r="V1304" s="1">
        <v>444.0</v>
      </c>
      <c r="W1304" s="1">
        <v>39523.0</v>
      </c>
      <c r="X1304" s="1">
        <v>6253.0</v>
      </c>
      <c r="Y1304" s="1">
        <v>153.0</v>
      </c>
      <c r="Z1304" s="1">
        <v>369.0</v>
      </c>
      <c r="AA1304" s="1">
        <v>269.0</v>
      </c>
      <c r="AB1304" s="1">
        <v>248.0</v>
      </c>
      <c r="AC1304" s="1">
        <v>77.0</v>
      </c>
      <c r="AD1304" s="1">
        <v>1093.0</v>
      </c>
      <c r="AE1304" s="1">
        <v>0.0</v>
      </c>
      <c r="AF1304" s="1">
        <v>456.0</v>
      </c>
      <c r="AG1304" s="1">
        <v>289.0</v>
      </c>
      <c r="AH1304" s="1">
        <v>153.0</v>
      </c>
      <c r="AI1304" s="1">
        <v>0.0</v>
      </c>
      <c r="AJ1304" s="1">
        <v>114.0</v>
      </c>
      <c r="AK1304" s="1">
        <v>11.0</v>
      </c>
      <c r="AL1304" s="1">
        <v>115.0</v>
      </c>
      <c r="AM1304" s="1">
        <v>222.0</v>
      </c>
      <c r="AN1304" s="1">
        <v>94.0</v>
      </c>
      <c r="AO1304" s="1">
        <v>5.0</v>
      </c>
      <c r="AP1304" s="1">
        <v>0.123316</v>
      </c>
      <c r="AQ1304" s="1">
        <v>0.075275</v>
      </c>
      <c r="AR1304" s="1">
        <v>0.062838</v>
      </c>
      <c r="AS1304" s="1">
        <v>0.480862</v>
      </c>
      <c r="AT1304" s="1">
        <v>39523.0</v>
      </c>
      <c r="AU1304" s="1">
        <v>6253.0</v>
      </c>
      <c r="AV1304" s="1">
        <v>0.122302</v>
      </c>
      <c r="AW1304" s="1">
        <v>0.294037</v>
      </c>
      <c r="AX1304" s="1">
        <v>0.157956</v>
      </c>
      <c r="AY1304" s="1">
        <v>0.145625</v>
      </c>
      <c r="AZ1304" s="1">
        <v>0.08769931</v>
      </c>
      <c r="BA1304" s="1">
        <v>0.641808</v>
      </c>
      <c r="BB1304" s="1">
        <v>0.0</v>
      </c>
      <c r="BC1304" s="1">
        <v>0.310415</v>
      </c>
      <c r="BD1304" s="1">
        <v>0.284169</v>
      </c>
      <c r="BE1304" s="1">
        <v>0.14798</v>
      </c>
      <c r="BF1304" s="1">
        <v>0.0</v>
      </c>
      <c r="BG1304" s="1">
        <v>0.112094</v>
      </c>
      <c r="BH1304" s="1">
        <v>0.014686</v>
      </c>
      <c r="BI1304" s="1">
        <v>0.15352</v>
      </c>
      <c r="BJ1304" s="1">
        <v>0.296395</v>
      </c>
      <c r="BK1304" s="1">
        <v>0.116648</v>
      </c>
      <c r="BL1304" s="1">
        <v>0.002936</v>
      </c>
      <c r="BM1304" s="1">
        <v>0.466</v>
      </c>
      <c r="BN1304" s="1">
        <v>0.447</v>
      </c>
      <c r="BO1304" s="1">
        <v>0.0693</v>
      </c>
      <c r="BP1304" s="1">
        <v>0.436</v>
      </c>
      <c r="BQ1304" s="1">
        <v>1.4183</v>
      </c>
      <c r="BR1304" s="1">
        <v>0.3162</v>
      </c>
      <c r="BS1304" s="1">
        <v>0.651</v>
      </c>
      <c r="BT1304" s="1">
        <v>0.06</v>
      </c>
      <c r="BU1304" s="1">
        <v>0.384</v>
      </c>
      <c r="BV1304" s="1">
        <v>1.095</v>
      </c>
      <c r="BW1304" s="1">
        <v>0.161</v>
      </c>
      <c r="BX1304" s="1">
        <v>0.888</v>
      </c>
      <c r="BY1304" s="1">
        <v>0.0</v>
      </c>
      <c r="BZ1304" s="1">
        <v>0.888</v>
      </c>
      <c r="CA1304" s="1">
        <v>0.46</v>
      </c>
      <c r="CB1304" s="1">
        <v>0.936</v>
      </c>
      <c r="CC1304" s="1">
        <v>0.0</v>
      </c>
      <c r="CD1304" s="1">
        <v>0.586</v>
      </c>
      <c r="CE1304" s="1">
        <v>0.965</v>
      </c>
      <c r="CF1304" s="1">
        <v>0.473</v>
      </c>
      <c r="CG1304" s="1">
        <v>2.96</v>
      </c>
      <c r="CH1304" s="1">
        <v>0.758</v>
      </c>
      <c r="CI1304" s="1">
        <v>6.3613</v>
      </c>
      <c r="CJ1304" s="1">
        <v>0.4383</v>
      </c>
      <c r="CK1304" s="1">
        <v>0.0</v>
      </c>
      <c r="CL1304" s="1">
        <v>0.0</v>
      </c>
      <c r="CM1304" s="1">
        <v>0.0</v>
      </c>
      <c r="CN1304" s="1">
        <v>0.0</v>
      </c>
      <c r="CO1304" s="1">
        <v>0.0</v>
      </c>
      <c r="CP1304" s="1">
        <v>0.0</v>
      </c>
      <c r="CQ1304" s="1">
        <v>0.0</v>
      </c>
      <c r="CR1304" s="1">
        <v>0.0</v>
      </c>
      <c r="CS1304" s="1">
        <v>0.0</v>
      </c>
      <c r="CT1304" s="1">
        <v>0.0</v>
      </c>
      <c r="CU1304" s="1">
        <v>0.0</v>
      </c>
      <c r="CV1304" s="1">
        <v>0.0</v>
      </c>
      <c r="CW1304" s="1">
        <v>1.0</v>
      </c>
      <c r="CX1304" s="1">
        <v>0.0</v>
      </c>
      <c r="CY1304" s="1">
        <v>0.0</v>
      </c>
      <c r="CZ1304" s="1">
        <v>1.0</v>
      </c>
      <c r="DA1304" s="1">
        <v>0.0</v>
      </c>
      <c r="DB1304" s="1">
        <v>2.0</v>
      </c>
      <c r="DC1304" s="1">
        <v>2.0</v>
      </c>
      <c r="DD1304" s="1" t="s">
        <v>5717</v>
      </c>
      <c r="DE1304" s="2" t="s">
        <v>5718</v>
      </c>
      <c r="DF1304" s="1">
        <v>0.0461327537618535</v>
      </c>
    </row>
    <row r="1305" ht="15.75" customHeight="1">
      <c r="A1305" s="1" t="s">
        <v>5719</v>
      </c>
      <c r="B1305" s="1">
        <v>29.0</v>
      </c>
      <c r="C1305" s="1">
        <v>510.0</v>
      </c>
      <c r="D1305" s="1">
        <v>125500.0</v>
      </c>
      <c r="E1305" s="1">
        <v>0.425</v>
      </c>
      <c r="F1305" s="1">
        <v>29510.0</v>
      </c>
      <c r="G1305" s="1">
        <v>2.95101255E10</v>
      </c>
      <c r="H1305" s="1" t="s">
        <v>112</v>
      </c>
      <c r="I1305" s="1" t="s">
        <v>113</v>
      </c>
      <c r="J1305" s="1" t="s">
        <v>5663</v>
      </c>
      <c r="K1305" s="1" t="s">
        <v>5720</v>
      </c>
      <c r="L1305" s="1">
        <v>2885.0</v>
      </c>
      <c r="M1305" s="1">
        <v>2036.0</v>
      </c>
      <c r="N1305" s="1">
        <v>552.0</v>
      </c>
      <c r="O1305" s="1">
        <v>3067.0</v>
      </c>
      <c r="P1305" s="1">
        <v>2611.0</v>
      </c>
      <c r="Q1305" s="1">
        <v>167.0</v>
      </c>
      <c r="R1305" s="1">
        <v>1648.0</v>
      </c>
      <c r="S1305" s="1">
        <v>496.0</v>
      </c>
      <c r="T1305" s="1">
        <v>275.0</v>
      </c>
      <c r="U1305" s="1">
        <v>172.0</v>
      </c>
      <c r="V1305" s="1">
        <v>421.0</v>
      </c>
      <c r="W1305" s="1">
        <v>36364.0</v>
      </c>
      <c r="X1305" s="1">
        <v>8609.0</v>
      </c>
      <c r="Y1305" s="1">
        <v>128.0</v>
      </c>
      <c r="Z1305" s="1">
        <v>369.0</v>
      </c>
      <c r="AA1305" s="1">
        <v>152.0</v>
      </c>
      <c r="AB1305" s="1">
        <v>174.0</v>
      </c>
      <c r="AC1305" s="1">
        <v>49.0</v>
      </c>
      <c r="AD1305" s="1">
        <v>1200.0</v>
      </c>
      <c r="AE1305" s="1">
        <v>0.0</v>
      </c>
      <c r="AF1305" s="1">
        <v>456.0</v>
      </c>
      <c r="AG1305" s="1">
        <v>2585.0</v>
      </c>
      <c r="AH1305" s="1">
        <v>247.0</v>
      </c>
      <c r="AI1305" s="1">
        <v>0.0</v>
      </c>
      <c r="AJ1305" s="1">
        <v>114.0</v>
      </c>
      <c r="AK1305" s="1">
        <v>0.0</v>
      </c>
      <c r="AL1305" s="1">
        <v>161.0</v>
      </c>
      <c r="AM1305" s="1">
        <v>272.0</v>
      </c>
      <c r="AN1305" s="1">
        <v>103.0</v>
      </c>
      <c r="AO1305" s="1">
        <v>444.0</v>
      </c>
      <c r="AP1305" s="1">
        <v>0.255275</v>
      </c>
      <c r="AQ1305" s="1">
        <v>0.123293</v>
      </c>
      <c r="AR1305" s="1">
        <v>0.132818</v>
      </c>
      <c r="AS1305" s="1">
        <v>0.322677</v>
      </c>
      <c r="AT1305" s="1">
        <v>36364.0</v>
      </c>
      <c r="AU1305" s="1">
        <v>8609.0</v>
      </c>
      <c r="AV1305" s="1">
        <v>0.071428</v>
      </c>
      <c r="AW1305" s="1">
        <v>0.204928</v>
      </c>
      <c r="AX1305" s="1">
        <v>0.052686</v>
      </c>
      <c r="AY1305" s="1">
        <v>0.060311</v>
      </c>
      <c r="AZ1305" s="1">
        <v>0.029733</v>
      </c>
      <c r="BA1305" s="1">
        <v>0.415944</v>
      </c>
      <c r="BB1305" s="1">
        <v>0.0</v>
      </c>
      <c r="BC1305" s="1">
        <v>0.230769</v>
      </c>
      <c r="BD1305" s="1">
        <v>0.990042</v>
      </c>
      <c r="BE1305" s="1">
        <v>0.07028</v>
      </c>
      <c r="BF1305" s="1">
        <v>0.0</v>
      </c>
      <c r="BG1305" s="1">
        <v>0.043661</v>
      </c>
      <c r="BH1305" s="1">
        <v>0.0</v>
      </c>
      <c r="BI1305" s="1">
        <v>0.133057</v>
      </c>
      <c r="BJ1305" s="1">
        <v>0.224793</v>
      </c>
      <c r="BK1305" s="1">
        <v>0.077628</v>
      </c>
      <c r="BL1305" s="1">
        <v>0.153899</v>
      </c>
      <c r="BM1305" s="1">
        <v>0.835</v>
      </c>
      <c r="BN1305" s="1">
        <v>0.864</v>
      </c>
      <c r="BO1305" s="1">
        <v>0.0982</v>
      </c>
      <c r="BP1305" s="1">
        <v>0.205</v>
      </c>
      <c r="BQ1305" s="1">
        <v>2.0022</v>
      </c>
      <c r="BR1305" s="1">
        <v>0.4953</v>
      </c>
      <c r="BS1305" s="1">
        <v>0.028</v>
      </c>
      <c r="BT1305" s="1">
        <v>0.015</v>
      </c>
      <c r="BU1305" s="1">
        <v>0.017</v>
      </c>
      <c r="BV1305" s="1">
        <v>0.06</v>
      </c>
      <c r="BW1305" s="1">
        <v>0.006</v>
      </c>
      <c r="BX1305" s="1">
        <v>0.847</v>
      </c>
      <c r="BY1305" s="1">
        <v>0.0</v>
      </c>
      <c r="BZ1305" s="1">
        <v>0.847</v>
      </c>
      <c r="CA1305" s="1">
        <v>0.428</v>
      </c>
      <c r="CB1305" s="1">
        <v>1.0</v>
      </c>
      <c r="CC1305" s="1">
        <v>0.0</v>
      </c>
      <c r="CD1305" s="1">
        <v>0.0</v>
      </c>
      <c r="CE1305" s="1">
        <v>0.925</v>
      </c>
      <c r="CF1305" s="1">
        <v>0.957</v>
      </c>
      <c r="CG1305" s="1">
        <v>2.882</v>
      </c>
      <c r="CH1305" s="1">
        <v>0.726</v>
      </c>
      <c r="CI1305" s="1">
        <v>5.7912</v>
      </c>
      <c r="CJ1305" s="1">
        <v>0.3394</v>
      </c>
      <c r="CK1305" s="1">
        <v>0.0</v>
      </c>
      <c r="CL1305" s="1">
        <v>0.0</v>
      </c>
      <c r="CM1305" s="1">
        <v>0.0</v>
      </c>
      <c r="CN1305" s="1">
        <v>0.0</v>
      </c>
      <c r="CO1305" s="1">
        <v>0.0</v>
      </c>
      <c r="CP1305" s="1">
        <v>0.0</v>
      </c>
      <c r="CQ1305" s="1">
        <v>0.0</v>
      </c>
      <c r="CR1305" s="1">
        <v>0.0</v>
      </c>
      <c r="CS1305" s="1">
        <v>0.0</v>
      </c>
      <c r="CT1305" s="1">
        <v>0.0</v>
      </c>
      <c r="CU1305" s="1">
        <v>0.0</v>
      </c>
      <c r="CV1305" s="1">
        <v>0.0</v>
      </c>
      <c r="CW1305" s="1">
        <v>1.0</v>
      </c>
      <c r="CX1305" s="1">
        <v>0.0</v>
      </c>
      <c r="CY1305" s="1">
        <v>0.0</v>
      </c>
      <c r="CZ1305" s="1">
        <v>1.0</v>
      </c>
      <c r="DA1305" s="1">
        <v>1.0</v>
      </c>
      <c r="DB1305" s="1">
        <v>3.0</v>
      </c>
      <c r="DC1305" s="1">
        <v>3.0</v>
      </c>
      <c r="DD1305" s="1" t="s">
        <v>5721</v>
      </c>
      <c r="DE1305" s="1">
        <v>1.13523518039772E-4</v>
      </c>
      <c r="DF1305" s="1">
        <v>0.0474319464024668</v>
      </c>
    </row>
    <row r="1306" ht="15.75" customHeight="1">
      <c r="A1306" s="1" t="s">
        <v>5722</v>
      </c>
      <c r="B1306" s="1">
        <v>29.0</v>
      </c>
      <c r="C1306" s="1">
        <v>510.0</v>
      </c>
      <c r="D1306" s="1">
        <v>126700.0</v>
      </c>
      <c r="E1306" s="1">
        <v>0.867</v>
      </c>
      <c r="F1306" s="1">
        <v>29510.0</v>
      </c>
      <c r="G1306" s="1">
        <v>2.95101267E10</v>
      </c>
      <c r="H1306" s="1" t="s">
        <v>112</v>
      </c>
      <c r="I1306" s="1" t="s">
        <v>113</v>
      </c>
      <c r="J1306" s="1" t="s">
        <v>5663</v>
      </c>
      <c r="K1306" s="1" t="s">
        <v>5723</v>
      </c>
      <c r="L1306" s="1">
        <v>1258.0</v>
      </c>
      <c r="M1306" s="1">
        <v>1909.0</v>
      </c>
      <c r="N1306" s="1">
        <v>592.0</v>
      </c>
      <c r="O1306" s="1">
        <v>1016.0</v>
      </c>
      <c r="P1306" s="1">
        <v>852.0</v>
      </c>
      <c r="Q1306" s="1">
        <v>115.0</v>
      </c>
      <c r="R1306" s="1">
        <v>502.0</v>
      </c>
      <c r="S1306" s="1">
        <v>798.0</v>
      </c>
      <c r="T1306" s="1">
        <v>472.0</v>
      </c>
      <c r="U1306" s="1">
        <v>453.0</v>
      </c>
      <c r="V1306" s="1">
        <v>418.0</v>
      </c>
      <c r="W1306" s="1">
        <v>10227.0</v>
      </c>
      <c r="X1306" s="1">
        <v>3290.0</v>
      </c>
      <c r="Y1306" s="1">
        <v>196.0</v>
      </c>
      <c r="Z1306" s="1">
        <v>363.0</v>
      </c>
      <c r="AA1306" s="1">
        <v>96.0</v>
      </c>
      <c r="AB1306" s="1">
        <v>381.0</v>
      </c>
      <c r="AC1306" s="1">
        <v>144.0</v>
      </c>
      <c r="AD1306" s="1">
        <v>986.0</v>
      </c>
      <c r="AE1306" s="1">
        <v>0.0</v>
      </c>
      <c r="AF1306" s="1">
        <v>456.0</v>
      </c>
      <c r="AG1306" s="1">
        <v>16.0</v>
      </c>
      <c r="AH1306" s="1">
        <v>163.0</v>
      </c>
      <c r="AI1306" s="1">
        <v>0.0</v>
      </c>
      <c r="AJ1306" s="1">
        <v>114.0</v>
      </c>
      <c r="AK1306" s="1">
        <v>72.0</v>
      </c>
      <c r="AL1306" s="1">
        <v>132.0</v>
      </c>
      <c r="AM1306" s="1">
        <v>123.0</v>
      </c>
      <c r="AN1306" s="1">
        <v>137.0</v>
      </c>
      <c r="AO1306" s="1">
        <v>0.0</v>
      </c>
      <c r="AP1306" s="1">
        <v>0.418019</v>
      </c>
      <c r="AQ1306" s="1">
        <v>0.210542</v>
      </c>
      <c r="AR1306" s="1">
        <v>0.437681</v>
      </c>
      <c r="AS1306" s="1">
        <v>0.371967</v>
      </c>
      <c r="AT1306" s="1">
        <v>10227.0</v>
      </c>
      <c r="AU1306" s="1">
        <v>3290.0</v>
      </c>
      <c r="AV1306" s="1">
        <v>0.226589</v>
      </c>
      <c r="AW1306" s="1">
        <v>0.414344</v>
      </c>
      <c r="AX1306" s="1">
        <v>0.076311</v>
      </c>
      <c r="AY1306" s="1">
        <v>0.302861</v>
      </c>
      <c r="AZ1306" s="1">
        <v>0.28685258</v>
      </c>
      <c r="BA1306" s="1">
        <v>0.783783</v>
      </c>
      <c r="BB1306" s="1">
        <v>0.0</v>
      </c>
      <c r="BC1306" s="1">
        <v>0.267135</v>
      </c>
      <c r="BD1306" s="1">
        <v>0.018779</v>
      </c>
      <c r="BE1306" s="1">
        <v>0.191297</v>
      </c>
      <c r="BF1306" s="1">
        <v>0.0</v>
      </c>
      <c r="BG1306" s="1">
        <v>0.133802</v>
      </c>
      <c r="BH1306" s="1">
        <v>0.15859</v>
      </c>
      <c r="BI1306" s="1">
        <v>0.28796</v>
      </c>
      <c r="BJ1306" s="1">
        <v>0.270925</v>
      </c>
      <c r="BK1306" s="1">
        <v>0.293855</v>
      </c>
      <c r="BL1306" s="1">
        <v>0.0</v>
      </c>
      <c r="BM1306" s="1">
        <v>0.967</v>
      </c>
      <c r="BN1306" s="1">
        <v>0.999</v>
      </c>
      <c r="BO1306" s="1">
        <v>0.9863</v>
      </c>
      <c r="BP1306" s="1">
        <v>0.818</v>
      </c>
      <c r="BQ1306" s="1">
        <v>3.7703</v>
      </c>
      <c r="BR1306" s="1">
        <v>0.9762</v>
      </c>
      <c r="BS1306" s="1">
        <v>0.103</v>
      </c>
      <c r="BT1306" s="1">
        <v>0.931</v>
      </c>
      <c r="BU1306" s="1">
        <v>0.976</v>
      </c>
      <c r="BV1306" s="1">
        <v>2.01</v>
      </c>
      <c r="BW1306" s="1">
        <v>0.863</v>
      </c>
      <c r="BX1306" s="1">
        <v>0.922</v>
      </c>
      <c r="BY1306" s="1">
        <v>0.0</v>
      </c>
      <c r="BZ1306" s="1">
        <v>0.922</v>
      </c>
      <c r="CA1306" s="1">
        <v>0.484</v>
      </c>
      <c r="CB1306" s="1">
        <v>0.455</v>
      </c>
      <c r="CC1306" s="1">
        <v>0.0</v>
      </c>
      <c r="CD1306" s="1">
        <v>1.0</v>
      </c>
      <c r="CE1306" s="1">
        <v>0.956</v>
      </c>
      <c r="CF1306" s="1">
        <v>0.0</v>
      </c>
      <c r="CG1306" s="1">
        <v>2.411</v>
      </c>
      <c r="CH1306" s="1">
        <v>0.52</v>
      </c>
      <c r="CI1306" s="1">
        <v>9.1133</v>
      </c>
      <c r="CJ1306" s="1">
        <v>0.8657</v>
      </c>
      <c r="CK1306" s="1">
        <v>1.0</v>
      </c>
      <c r="CL1306" s="1">
        <v>1.0</v>
      </c>
      <c r="CM1306" s="1">
        <v>1.0</v>
      </c>
      <c r="CN1306" s="1">
        <v>0.0</v>
      </c>
      <c r="CO1306" s="1">
        <v>3.0</v>
      </c>
      <c r="CP1306" s="1">
        <v>0.0</v>
      </c>
      <c r="CQ1306" s="1">
        <v>1.0</v>
      </c>
      <c r="CR1306" s="1">
        <v>1.0</v>
      </c>
      <c r="CS1306" s="1">
        <v>2.0</v>
      </c>
      <c r="CT1306" s="1">
        <v>1.0</v>
      </c>
      <c r="CU1306" s="1">
        <v>0.0</v>
      </c>
      <c r="CV1306" s="1">
        <v>1.0</v>
      </c>
      <c r="CW1306" s="1">
        <v>0.0</v>
      </c>
      <c r="CX1306" s="1">
        <v>0.0</v>
      </c>
      <c r="CY1306" s="1">
        <v>1.0</v>
      </c>
      <c r="CZ1306" s="1">
        <v>1.0</v>
      </c>
      <c r="DA1306" s="1">
        <v>0.0</v>
      </c>
      <c r="DB1306" s="1">
        <v>2.0</v>
      </c>
      <c r="DC1306" s="1">
        <v>8.0</v>
      </c>
      <c r="DD1306" s="1" t="s">
        <v>5724</v>
      </c>
      <c r="DE1306" s="1">
        <v>2.76330584709034E-4</v>
      </c>
      <c r="DF1306" s="1">
        <v>0.0686281200177397</v>
      </c>
    </row>
    <row r="1307" ht="15.75" customHeight="1">
      <c r="A1307" s="1" t="s">
        <v>5725</v>
      </c>
      <c r="B1307" s="1">
        <v>29.0</v>
      </c>
      <c r="C1307" s="1">
        <v>510.0</v>
      </c>
      <c r="D1307" s="1">
        <v>127300.0</v>
      </c>
      <c r="E1307" s="1">
        <v>0.826</v>
      </c>
      <c r="F1307" s="1">
        <v>29510.0</v>
      </c>
      <c r="G1307" s="1">
        <v>2.95101273E10</v>
      </c>
      <c r="H1307" s="1" t="s">
        <v>112</v>
      </c>
      <c r="I1307" s="1" t="s">
        <v>113</v>
      </c>
      <c r="J1307" s="1" t="s">
        <v>5663</v>
      </c>
      <c r="K1307" s="1" t="s">
        <v>5726</v>
      </c>
      <c r="L1307" s="1">
        <v>3769.0</v>
      </c>
      <c r="M1307" s="1">
        <v>3319.0</v>
      </c>
      <c r="N1307" s="1">
        <v>466.0</v>
      </c>
      <c r="O1307" s="1">
        <v>1940.0</v>
      </c>
      <c r="P1307" s="1">
        <v>1998.0</v>
      </c>
      <c r="Q1307" s="1">
        <v>126.0</v>
      </c>
      <c r="R1307" s="1">
        <v>1643.0</v>
      </c>
      <c r="S1307" s="1">
        <v>626.0</v>
      </c>
      <c r="T1307" s="1">
        <v>253.0</v>
      </c>
      <c r="U1307" s="1">
        <v>157.0</v>
      </c>
      <c r="V1307" s="1">
        <v>387.0</v>
      </c>
      <c r="W1307" s="1">
        <v>22933.0</v>
      </c>
      <c r="X1307" s="1">
        <v>2824.0</v>
      </c>
      <c r="Y1307" s="1">
        <v>310.0</v>
      </c>
      <c r="Z1307" s="1">
        <v>228.0</v>
      </c>
      <c r="AA1307" s="1">
        <v>352.0</v>
      </c>
      <c r="AB1307" s="1">
        <v>869.0</v>
      </c>
      <c r="AC1307" s="1">
        <v>295.0</v>
      </c>
      <c r="AD1307" s="1">
        <v>2747.0</v>
      </c>
      <c r="AE1307" s="1">
        <v>7.0</v>
      </c>
      <c r="AF1307" s="1">
        <v>442.0</v>
      </c>
      <c r="AG1307" s="1">
        <v>445.0</v>
      </c>
      <c r="AH1307" s="1">
        <v>126.0</v>
      </c>
      <c r="AI1307" s="1">
        <v>0.0</v>
      </c>
      <c r="AJ1307" s="1">
        <v>114.0</v>
      </c>
      <c r="AK1307" s="1">
        <v>29.0</v>
      </c>
      <c r="AL1307" s="1">
        <v>123.0</v>
      </c>
      <c r="AM1307" s="1">
        <v>324.0</v>
      </c>
      <c r="AN1307" s="1">
        <v>124.0</v>
      </c>
      <c r="AO1307" s="1">
        <v>131.0</v>
      </c>
      <c r="AP1307" s="1">
        <v>0.192852</v>
      </c>
      <c r="AQ1307" s="1">
        <v>0.07306</v>
      </c>
      <c r="AR1307" s="1">
        <v>0.098742</v>
      </c>
      <c r="AS1307" s="1">
        <v>0.242943</v>
      </c>
      <c r="AT1307" s="1">
        <v>22933.0</v>
      </c>
      <c r="AU1307" s="1">
        <v>2824.0</v>
      </c>
      <c r="AV1307" s="1">
        <v>0.142659</v>
      </c>
      <c r="AW1307" s="1">
        <v>0.103611</v>
      </c>
      <c r="AX1307" s="1">
        <v>0.093393</v>
      </c>
      <c r="AY1307" s="1">
        <v>0.230565</v>
      </c>
      <c r="AZ1307" s="1">
        <v>0.1795496</v>
      </c>
      <c r="BA1307" s="1">
        <v>0.72884</v>
      </c>
      <c r="BB1307" s="1">
        <v>0.002311</v>
      </c>
      <c r="BC1307" s="1">
        <v>0.14597</v>
      </c>
      <c r="BD1307" s="1">
        <v>0.222722</v>
      </c>
      <c r="BE1307" s="1">
        <v>0.061479</v>
      </c>
      <c r="BF1307" s="1">
        <v>0.0</v>
      </c>
      <c r="BG1307" s="1">
        <v>0.057057</v>
      </c>
      <c r="BH1307" s="1">
        <v>0.01945</v>
      </c>
      <c r="BI1307" s="1">
        <v>0.082463</v>
      </c>
      <c r="BJ1307" s="1">
        <v>0.217303</v>
      </c>
      <c r="BK1307" s="1">
        <v>0.079158</v>
      </c>
      <c r="BL1307" s="1">
        <v>0.034757</v>
      </c>
      <c r="BM1307" s="1">
        <v>0.71</v>
      </c>
      <c r="BN1307" s="1">
        <v>0.724</v>
      </c>
      <c r="BO1307" s="1">
        <v>0.4505</v>
      </c>
      <c r="BP1307" s="1">
        <v>0.538</v>
      </c>
      <c r="BQ1307" s="1">
        <v>2.4225</v>
      </c>
      <c r="BR1307" s="1">
        <v>0.639</v>
      </c>
      <c r="BS1307" s="1">
        <v>0.176</v>
      </c>
      <c r="BT1307" s="1">
        <v>0.392</v>
      </c>
      <c r="BU1307" s="1">
        <v>0.866</v>
      </c>
      <c r="BV1307" s="1">
        <v>1.434</v>
      </c>
      <c r="BW1307" s="1">
        <v>0.421</v>
      </c>
      <c r="BX1307" s="1">
        <v>0.907</v>
      </c>
      <c r="BY1307" s="1">
        <v>0.397</v>
      </c>
      <c r="BZ1307" s="1">
        <v>1.304</v>
      </c>
      <c r="CA1307" s="1">
        <v>0.715</v>
      </c>
      <c r="CB1307" s="1">
        <v>0.907</v>
      </c>
      <c r="CC1307" s="1">
        <v>0.0</v>
      </c>
      <c r="CD1307" s="1">
        <v>0.671</v>
      </c>
      <c r="CE1307" s="1">
        <v>0.92</v>
      </c>
      <c r="CF1307" s="1">
        <v>0.837</v>
      </c>
      <c r="CG1307" s="1">
        <v>3.335</v>
      </c>
      <c r="CH1307" s="1">
        <v>0.886</v>
      </c>
      <c r="CI1307" s="1">
        <v>8.4955</v>
      </c>
      <c r="CJ1307" s="1">
        <v>0.7848</v>
      </c>
      <c r="CK1307" s="1">
        <v>0.0</v>
      </c>
      <c r="CL1307" s="1">
        <v>0.0</v>
      </c>
      <c r="CM1307" s="1">
        <v>0.0</v>
      </c>
      <c r="CN1307" s="1">
        <v>0.0</v>
      </c>
      <c r="CO1307" s="1">
        <v>0.0</v>
      </c>
      <c r="CP1307" s="1">
        <v>0.0</v>
      </c>
      <c r="CQ1307" s="1">
        <v>0.0</v>
      </c>
      <c r="CR1307" s="1">
        <v>0.0</v>
      </c>
      <c r="CS1307" s="1">
        <v>0.0</v>
      </c>
      <c r="CT1307" s="1">
        <v>1.0</v>
      </c>
      <c r="CU1307" s="1">
        <v>0.0</v>
      </c>
      <c r="CV1307" s="1">
        <v>1.0</v>
      </c>
      <c r="CW1307" s="1">
        <v>1.0</v>
      </c>
      <c r="CX1307" s="1">
        <v>0.0</v>
      </c>
      <c r="CY1307" s="1">
        <v>0.0</v>
      </c>
      <c r="CZ1307" s="1">
        <v>1.0</v>
      </c>
      <c r="DA1307" s="1">
        <v>0.0</v>
      </c>
      <c r="DB1307" s="1">
        <v>2.0</v>
      </c>
      <c r="DC1307" s="1">
        <v>3.0</v>
      </c>
      <c r="DD1307" s="1" t="s">
        <v>5727</v>
      </c>
      <c r="DE1307" s="1">
        <v>2.21981944489293E-4</v>
      </c>
      <c r="DF1307" s="2" t="s">
        <v>5728</v>
      </c>
    </row>
    <row r="1308" ht="15.75" customHeight="1">
      <c r="A1308" s="1" t="s">
        <v>5729</v>
      </c>
      <c r="B1308" s="1">
        <v>29.0</v>
      </c>
      <c r="C1308" s="1">
        <v>510.0</v>
      </c>
      <c r="D1308" s="1">
        <v>103700.0</v>
      </c>
      <c r="E1308" s="1">
        <v>0.352</v>
      </c>
      <c r="F1308" s="1">
        <v>29510.0</v>
      </c>
      <c r="G1308" s="1">
        <v>2.95101037E10</v>
      </c>
      <c r="H1308" s="1" t="s">
        <v>112</v>
      </c>
      <c r="I1308" s="1" t="s">
        <v>113</v>
      </c>
      <c r="J1308" s="1" t="s">
        <v>5663</v>
      </c>
      <c r="K1308" s="1" t="s">
        <v>5730</v>
      </c>
      <c r="L1308" s="1">
        <v>2531.0</v>
      </c>
      <c r="M1308" s="1">
        <v>2767.0</v>
      </c>
      <c r="N1308" s="1">
        <v>320.0</v>
      </c>
      <c r="O1308" s="1">
        <v>1458.0</v>
      </c>
      <c r="P1308" s="1">
        <v>1399.0</v>
      </c>
      <c r="Q1308" s="1">
        <v>53.0</v>
      </c>
      <c r="R1308" s="1">
        <v>1310.0</v>
      </c>
      <c r="S1308" s="1">
        <v>231.0</v>
      </c>
      <c r="T1308" s="1">
        <v>112.0</v>
      </c>
      <c r="U1308" s="1">
        <v>71.0</v>
      </c>
      <c r="V1308" s="1">
        <v>461.0</v>
      </c>
      <c r="W1308" s="1">
        <v>26937.0</v>
      </c>
      <c r="X1308" s="1">
        <v>2554.0</v>
      </c>
      <c r="Y1308" s="1">
        <v>225.0</v>
      </c>
      <c r="Z1308" s="1">
        <v>355.0</v>
      </c>
      <c r="AA1308" s="1">
        <v>268.0</v>
      </c>
      <c r="AB1308" s="1">
        <v>388.0</v>
      </c>
      <c r="AC1308" s="1">
        <v>88.0</v>
      </c>
      <c r="AD1308" s="1">
        <v>325.0</v>
      </c>
      <c r="AE1308" s="1">
        <v>130.0</v>
      </c>
      <c r="AF1308" s="1">
        <v>425.0</v>
      </c>
      <c r="AG1308" s="1">
        <v>28.0</v>
      </c>
      <c r="AH1308" s="1">
        <v>118.0</v>
      </c>
      <c r="AI1308" s="1">
        <v>9.0</v>
      </c>
      <c r="AJ1308" s="1">
        <v>15.0</v>
      </c>
      <c r="AK1308" s="1">
        <v>0.0</v>
      </c>
      <c r="AL1308" s="1">
        <v>161.0</v>
      </c>
      <c r="AM1308" s="1">
        <v>187.0</v>
      </c>
      <c r="AN1308" s="1">
        <v>86.0</v>
      </c>
      <c r="AO1308" s="1">
        <v>0.0</v>
      </c>
      <c r="AP1308" s="1">
        <v>0.083483</v>
      </c>
      <c r="AQ1308" s="1">
        <v>0.039308</v>
      </c>
      <c r="AR1308" s="1">
        <v>0.038946</v>
      </c>
      <c r="AS1308" s="1">
        <v>0.252779</v>
      </c>
      <c r="AT1308" s="1">
        <v>26937.0</v>
      </c>
      <c r="AU1308" s="1">
        <v>2554.0</v>
      </c>
      <c r="AV1308" s="1">
        <v>0.112725</v>
      </c>
      <c r="AW1308" s="1">
        <v>0.177485</v>
      </c>
      <c r="AX1308" s="1">
        <v>0.105887</v>
      </c>
      <c r="AY1308" s="1">
        <v>0.153299</v>
      </c>
      <c r="AZ1308" s="1">
        <v>0.06717557</v>
      </c>
      <c r="BA1308" s="1">
        <v>0.128407</v>
      </c>
      <c r="BB1308" s="1">
        <v>0.048927</v>
      </c>
      <c r="BC1308" s="1">
        <v>0.159852</v>
      </c>
      <c r="BD1308" s="1">
        <v>0.020014</v>
      </c>
      <c r="BE1308" s="1">
        <v>0.084342</v>
      </c>
      <c r="BF1308" s="1">
        <v>0.006433</v>
      </c>
      <c r="BG1308" s="1">
        <v>0.010719</v>
      </c>
      <c r="BH1308" s="1">
        <v>0.0</v>
      </c>
      <c r="BI1308" s="1">
        <v>0.123561</v>
      </c>
      <c r="BJ1308" s="1">
        <v>0.143514</v>
      </c>
      <c r="BK1308" s="1">
        <v>0.065252</v>
      </c>
      <c r="BL1308" s="1">
        <v>0.0</v>
      </c>
      <c r="BM1308" s="1">
        <v>0.307</v>
      </c>
      <c r="BN1308" s="1">
        <v>0.174</v>
      </c>
      <c r="BO1308" s="1">
        <v>0.2866</v>
      </c>
      <c r="BP1308" s="1">
        <v>0.391</v>
      </c>
      <c r="BQ1308" s="1">
        <v>1.1586</v>
      </c>
      <c r="BR1308" s="1">
        <v>0.2412</v>
      </c>
      <c r="BS1308" s="1">
        <v>0.244</v>
      </c>
      <c r="BT1308" s="1">
        <v>0.073</v>
      </c>
      <c r="BU1308" s="1">
        <v>0.191</v>
      </c>
      <c r="BV1308" s="1">
        <v>0.508</v>
      </c>
      <c r="BW1308" s="1">
        <v>0.036</v>
      </c>
      <c r="BX1308" s="1">
        <v>0.557</v>
      </c>
      <c r="BY1308" s="1">
        <v>0.958</v>
      </c>
      <c r="BZ1308" s="1">
        <v>1.515</v>
      </c>
      <c r="CA1308" s="1">
        <v>0.836</v>
      </c>
      <c r="CB1308" s="1">
        <v>0.462</v>
      </c>
      <c r="CC1308" s="1">
        <v>0.417</v>
      </c>
      <c r="CD1308" s="1">
        <v>0.0</v>
      </c>
      <c r="CE1308" s="1">
        <v>0.852</v>
      </c>
      <c r="CF1308" s="1">
        <v>0.0</v>
      </c>
      <c r="CG1308" s="1">
        <v>1.731</v>
      </c>
      <c r="CH1308" s="1">
        <v>0.243</v>
      </c>
      <c r="CI1308" s="1">
        <v>4.9126</v>
      </c>
      <c r="CJ1308" s="1">
        <v>0.1906</v>
      </c>
      <c r="CK1308" s="1">
        <v>0.0</v>
      </c>
      <c r="CL1308" s="1">
        <v>0.0</v>
      </c>
      <c r="CM1308" s="1">
        <v>0.0</v>
      </c>
      <c r="CN1308" s="1">
        <v>0.0</v>
      </c>
      <c r="CO1308" s="1">
        <v>0.0</v>
      </c>
      <c r="CP1308" s="1">
        <v>0.0</v>
      </c>
      <c r="CQ1308" s="1">
        <v>0.0</v>
      </c>
      <c r="CR1308" s="1">
        <v>0.0</v>
      </c>
      <c r="CS1308" s="1">
        <v>0.0</v>
      </c>
      <c r="CT1308" s="1">
        <v>0.0</v>
      </c>
      <c r="CU1308" s="1">
        <v>1.0</v>
      </c>
      <c r="CV1308" s="1">
        <v>1.0</v>
      </c>
      <c r="CW1308" s="1">
        <v>0.0</v>
      </c>
      <c r="CX1308" s="1">
        <v>0.0</v>
      </c>
      <c r="CY1308" s="1">
        <v>0.0</v>
      </c>
      <c r="CZ1308" s="1">
        <v>0.0</v>
      </c>
      <c r="DA1308" s="1">
        <v>0.0</v>
      </c>
      <c r="DB1308" s="1">
        <v>0.0</v>
      </c>
      <c r="DC1308" s="1">
        <v>1.0</v>
      </c>
      <c r="DD1308" s="1" t="s">
        <v>5731</v>
      </c>
      <c r="DE1308" s="2" t="s">
        <v>5732</v>
      </c>
      <c r="DF1308" s="1">
        <v>0.0450903699796299</v>
      </c>
    </row>
    <row r="1309" ht="15.75" customHeight="1">
      <c r="A1309" s="1" t="s">
        <v>5733</v>
      </c>
      <c r="B1309" s="1">
        <v>29.0</v>
      </c>
      <c r="C1309" s="1">
        <v>510.0</v>
      </c>
      <c r="D1309" s="1">
        <v>103800.0</v>
      </c>
      <c r="E1309" s="1">
        <v>0.634</v>
      </c>
      <c r="F1309" s="1">
        <v>29510.0</v>
      </c>
      <c r="G1309" s="1">
        <v>2.95101038E10</v>
      </c>
      <c r="H1309" s="1" t="s">
        <v>112</v>
      </c>
      <c r="I1309" s="1" t="s">
        <v>113</v>
      </c>
      <c r="J1309" s="1" t="s">
        <v>5663</v>
      </c>
      <c r="K1309" s="1" t="s">
        <v>5734</v>
      </c>
      <c r="L1309" s="1">
        <v>3819.0</v>
      </c>
      <c r="M1309" s="1">
        <v>4055.0</v>
      </c>
      <c r="N1309" s="1">
        <v>442.0</v>
      </c>
      <c r="O1309" s="1">
        <v>1902.0</v>
      </c>
      <c r="P1309" s="1">
        <v>1851.0</v>
      </c>
      <c r="Q1309" s="1">
        <v>33.0</v>
      </c>
      <c r="R1309" s="1">
        <v>1778.0</v>
      </c>
      <c r="S1309" s="1">
        <v>125.0</v>
      </c>
      <c r="T1309" s="1">
        <v>86.0</v>
      </c>
      <c r="U1309" s="1">
        <v>91.0</v>
      </c>
      <c r="V1309" s="1">
        <v>461.0</v>
      </c>
      <c r="W1309" s="1">
        <v>30532.0</v>
      </c>
      <c r="X1309" s="1">
        <v>3055.0</v>
      </c>
      <c r="Y1309" s="1">
        <v>273.0</v>
      </c>
      <c r="Z1309" s="1">
        <v>310.0</v>
      </c>
      <c r="AA1309" s="1">
        <v>483.0</v>
      </c>
      <c r="AB1309" s="1">
        <v>664.0</v>
      </c>
      <c r="AC1309" s="1">
        <v>100.0</v>
      </c>
      <c r="AD1309" s="1">
        <v>367.0</v>
      </c>
      <c r="AE1309" s="1">
        <v>112.0</v>
      </c>
      <c r="AF1309" s="1">
        <v>441.0</v>
      </c>
      <c r="AG1309" s="1">
        <v>0.0</v>
      </c>
      <c r="AH1309" s="1">
        <v>197.0</v>
      </c>
      <c r="AI1309" s="1">
        <v>0.0</v>
      </c>
      <c r="AJ1309" s="1">
        <v>114.0</v>
      </c>
      <c r="AK1309" s="1">
        <v>11.0</v>
      </c>
      <c r="AL1309" s="1">
        <v>115.0</v>
      </c>
      <c r="AM1309" s="1">
        <v>78.0</v>
      </c>
      <c r="AN1309" s="1">
        <v>124.0</v>
      </c>
      <c r="AO1309" s="1">
        <v>4.0</v>
      </c>
      <c r="AP1309" s="1">
        <v>0.030826</v>
      </c>
      <c r="AQ1309" s="1">
        <v>0.02094</v>
      </c>
      <c r="AR1309" s="1">
        <v>0.038123</v>
      </c>
      <c r="AS1309" s="1">
        <v>0.193067</v>
      </c>
      <c r="AT1309" s="1">
        <v>30532.0</v>
      </c>
      <c r="AU1309" s="1">
        <v>3055.0</v>
      </c>
      <c r="AV1309" s="1">
        <v>0.095421</v>
      </c>
      <c r="AW1309" s="1">
        <v>0.108079</v>
      </c>
      <c r="AX1309" s="1">
        <v>0.126472</v>
      </c>
      <c r="AY1309" s="1">
        <v>0.173867</v>
      </c>
      <c r="AZ1309" s="1">
        <v>0.05624296</v>
      </c>
      <c r="BA1309" s="1">
        <v>0.096098</v>
      </c>
      <c r="BB1309" s="1">
        <v>0.0297</v>
      </c>
      <c r="BC1309" s="1">
        <v>0.116913</v>
      </c>
      <c r="BD1309" s="1">
        <v>0.0</v>
      </c>
      <c r="BE1309" s="1">
        <v>0.106428</v>
      </c>
      <c r="BF1309" s="1">
        <v>0.0</v>
      </c>
      <c r="BG1309" s="1">
        <v>0.061588</v>
      </c>
      <c r="BH1309" s="1">
        <v>0.006332</v>
      </c>
      <c r="BI1309" s="1">
        <v>0.066205</v>
      </c>
      <c r="BJ1309" s="1">
        <v>0.044905</v>
      </c>
      <c r="BK1309" s="1">
        <v>0.071343</v>
      </c>
      <c r="BL1309" s="1">
        <v>0.001047</v>
      </c>
      <c r="BM1309" s="1">
        <v>0.09</v>
      </c>
      <c r="BN1309" s="1">
        <v>0.166</v>
      </c>
      <c r="BO1309" s="1">
        <v>0.1856</v>
      </c>
      <c r="BP1309" s="1">
        <v>0.316</v>
      </c>
      <c r="BQ1309" s="1">
        <v>0.7576</v>
      </c>
      <c r="BR1309" s="1">
        <v>0.1437</v>
      </c>
      <c r="BS1309" s="1">
        <v>0.392</v>
      </c>
      <c r="BT1309" s="1">
        <v>0.11</v>
      </c>
      <c r="BU1309" s="1">
        <v>0.11</v>
      </c>
      <c r="BV1309" s="1">
        <v>0.612</v>
      </c>
      <c r="BW1309" s="1">
        <v>0.046</v>
      </c>
      <c r="BX1309" s="1">
        <v>0.454</v>
      </c>
      <c r="BY1309" s="1">
        <v>0.912</v>
      </c>
      <c r="BZ1309" s="1">
        <v>1.366</v>
      </c>
      <c r="CA1309" s="1">
        <v>0.748</v>
      </c>
      <c r="CB1309" s="1">
        <v>0.0</v>
      </c>
      <c r="CC1309" s="1">
        <v>0.0</v>
      </c>
      <c r="CD1309" s="1">
        <v>0.37</v>
      </c>
      <c r="CE1309" s="1">
        <v>0.441</v>
      </c>
      <c r="CF1309" s="1">
        <v>0.4</v>
      </c>
      <c r="CG1309" s="1">
        <v>1.211</v>
      </c>
      <c r="CH1309" s="1">
        <v>0.113</v>
      </c>
      <c r="CI1309" s="1">
        <v>3.9466</v>
      </c>
      <c r="CJ1309" s="1">
        <v>0.0794</v>
      </c>
      <c r="CK1309" s="1">
        <v>0.0</v>
      </c>
      <c r="CL1309" s="1">
        <v>0.0</v>
      </c>
      <c r="CM1309" s="1">
        <v>0.0</v>
      </c>
      <c r="CN1309" s="1">
        <v>0.0</v>
      </c>
      <c r="CO1309" s="1">
        <v>0.0</v>
      </c>
      <c r="CP1309" s="1">
        <v>0.0</v>
      </c>
      <c r="CQ1309" s="1">
        <v>0.0</v>
      </c>
      <c r="CR1309" s="1">
        <v>0.0</v>
      </c>
      <c r="CS1309" s="1">
        <v>0.0</v>
      </c>
      <c r="CT1309" s="1">
        <v>0.0</v>
      </c>
      <c r="CU1309" s="1">
        <v>1.0</v>
      </c>
      <c r="CV1309" s="1">
        <v>1.0</v>
      </c>
      <c r="CW1309" s="1">
        <v>0.0</v>
      </c>
      <c r="CX1309" s="1">
        <v>0.0</v>
      </c>
      <c r="CY1309" s="1">
        <v>0.0</v>
      </c>
      <c r="CZ1309" s="1">
        <v>0.0</v>
      </c>
      <c r="DA1309" s="1">
        <v>0.0</v>
      </c>
      <c r="DB1309" s="1">
        <v>0.0</v>
      </c>
      <c r="DC1309" s="1">
        <v>1.0</v>
      </c>
      <c r="DD1309" s="1" t="s">
        <v>5735</v>
      </c>
      <c r="DE1309" s="1">
        <v>1.74737792450795E-4</v>
      </c>
      <c r="DF1309" s="2" t="s">
        <v>5736</v>
      </c>
    </row>
    <row r="1310" ht="15.75" customHeight="1">
      <c r="A1310" s="1" t="s">
        <v>5737</v>
      </c>
      <c r="B1310" s="1">
        <v>29.0</v>
      </c>
      <c r="C1310" s="1">
        <v>510.0</v>
      </c>
      <c r="D1310" s="1">
        <v>104200.0</v>
      </c>
      <c r="E1310" s="1">
        <v>0.433</v>
      </c>
      <c r="F1310" s="1">
        <v>29510.0</v>
      </c>
      <c r="G1310" s="1">
        <v>2.95101042E10</v>
      </c>
      <c r="H1310" s="1" t="s">
        <v>112</v>
      </c>
      <c r="I1310" s="1" t="s">
        <v>113</v>
      </c>
      <c r="J1310" s="1" t="s">
        <v>5663</v>
      </c>
      <c r="K1310" s="1" t="s">
        <v>5738</v>
      </c>
      <c r="L1310" s="1">
        <v>3401.0</v>
      </c>
      <c r="M1310" s="1">
        <v>3670.0</v>
      </c>
      <c r="N1310" s="1">
        <v>246.0</v>
      </c>
      <c r="O1310" s="1">
        <v>2080.0</v>
      </c>
      <c r="P1310" s="1">
        <v>2061.0</v>
      </c>
      <c r="Q1310" s="1">
        <v>66.0</v>
      </c>
      <c r="R1310" s="1">
        <v>1853.0</v>
      </c>
      <c r="S1310" s="1">
        <v>476.0</v>
      </c>
      <c r="T1310" s="1">
        <v>235.0</v>
      </c>
      <c r="U1310" s="1">
        <v>118.0</v>
      </c>
      <c r="V1310" s="1">
        <v>402.0</v>
      </c>
      <c r="W1310" s="1">
        <v>29654.0</v>
      </c>
      <c r="X1310" s="1">
        <v>3471.0</v>
      </c>
      <c r="Y1310" s="1">
        <v>253.0</v>
      </c>
      <c r="Z1310" s="1">
        <v>300.0</v>
      </c>
      <c r="AA1310" s="1">
        <v>376.0</v>
      </c>
      <c r="AB1310" s="1">
        <v>406.0</v>
      </c>
      <c r="AC1310" s="1">
        <v>92.0</v>
      </c>
      <c r="AD1310" s="1">
        <v>506.0</v>
      </c>
      <c r="AE1310" s="1">
        <v>33.0</v>
      </c>
      <c r="AF1310" s="1">
        <v>428.0</v>
      </c>
      <c r="AG1310" s="1">
        <v>246.0</v>
      </c>
      <c r="AH1310" s="1">
        <v>100.0</v>
      </c>
      <c r="AI1310" s="1">
        <v>0.0</v>
      </c>
      <c r="AJ1310" s="1">
        <v>114.0</v>
      </c>
      <c r="AK1310" s="1">
        <v>0.0</v>
      </c>
      <c r="AL1310" s="1">
        <v>161.0</v>
      </c>
      <c r="AM1310" s="1">
        <v>165.0</v>
      </c>
      <c r="AN1310" s="1">
        <v>84.0</v>
      </c>
      <c r="AO1310" s="1">
        <v>64.0</v>
      </c>
      <c r="AP1310" s="1">
        <v>0.135419</v>
      </c>
      <c r="AQ1310" s="1">
        <v>0.066271</v>
      </c>
      <c r="AR1310" s="1">
        <v>0.054629</v>
      </c>
      <c r="AS1310" s="1">
        <v>0.18595</v>
      </c>
      <c r="AT1310" s="1">
        <v>29654.0</v>
      </c>
      <c r="AU1310" s="1">
        <v>3471.0</v>
      </c>
      <c r="AV1310" s="1">
        <v>0.089147</v>
      </c>
      <c r="AW1310" s="1">
        <v>0.105411</v>
      </c>
      <c r="AX1310" s="1">
        <v>0.110555</v>
      </c>
      <c r="AY1310" s="1">
        <v>0.119376</v>
      </c>
      <c r="AZ1310" s="1">
        <v>0.04964921</v>
      </c>
      <c r="BA1310" s="1">
        <v>0.148779</v>
      </c>
      <c r="BB1310" s="1">
        <v>0.009488</v>
      </c>
      <c r="BC1310" s="1">
        <v>0.123057</v>
      </c>
      <c r="BD1310" s="1">
        <v>0.119359</v>
      </c>
      <c r="BE1310" s="1">
        <v>0.048369</v>
      </c>
      <c r="BF1310" s="1">
        <v>0.0</v>
      </c>
      <c r="BG1310" s="1">
        <v>0.055312</v>
      </c>
      <c r="BH1310" s="1">
        <v>0.0</v>
      </c>
      <c r="BI1310" s="1">
        <v>0.082606</v>
      </c>
      <c r="BJ1310" s="1">
        <v>0.084658</v>
      </c>
      <c r="BK1310" s="1">
        <v>0.042901</v>
      </c>
      <c r="BL1310" s="1">
        <v>0.018817</v>
      </c>
      <c r="BM1310" s="1">
        <v>0.521</v>
      </c>
      <c r="BN1310" s="1">
        <v>0.342</v>
      </c>
      <c r="BO1310" s="1">
        <v>0.2043</v>
      </c>
      <c r="BP1310" s="1">
        <v>0.292</v>
      </c>
      <c r="BQ1310" s="1">
        <v>1.3593</v>
      </c>
      <c r="BR1310" s="1">
        <v>0.2989</v>
      </c>
      <c r="BS1310" s="1">
        <v>0.276</v>
      </c>
      <c r="BT1310" s="1">
        <v>0.035</v>
      </c>
      <c r="BU1310" s="1">
        <v>0.072</v>
      </c>
      <c r="BV1310" s="1">
        <v>0.383</v>
      </c>
      <c r="BW1310" s="1">
        <v>0.025</v>
      </c>
      <c r="BX1310" s="1">
        <v>0.623</v>
      </c>
      <c r="BY1310" s="1">
        <v>0.707</v>
      </c>
      <c r="BZ1310" s="1">
        <v>1.33</v>
      </c>
      <c r="CA1310" s="1">
        <v>0.725</v>
      </c>
      <c r="CB1310" s="1">
        <v>0.801</v>
      </c>
      <c r="CC1310" s="1">
        <v>0.0</v>
      </c>
      <c r="CD1310" s="1">
        <v>0.0</v>
      </c>
      <c r="CE1310" s="1">
        <v>0.7</v>
      </c>
      <c r="CF1310" s="1">
        <v>0.694</v>
      </c>
      <c r="CG1310" s="1">
        <v>2.195</v>
      </c>
      <c r="CH1310" s="1">
        <v>0.417</v>
      </c>
      <c r="CI1310" s="1">
        <v>5.2673</v>
      </c>
      <c r="CJ1310" s="1">
        <v>0.239</v>
      </c>
      <c r="CK1310" s="1">
        <v>0.0</v>
      </c>
      <c r="CL1310" s="1">
        <v>0.0</v>
      </c>
      <c r="CM1310" s="1">
        <v>0.0</v>
      </c>
      <c r="CN1310" s="1">
        <v>0.0</v>
      </c>
      <c r="CO1310" s="1">
        <v>0.0</v>
      </c>
      <c r="CP1310" s="1">
        <v>0.0</v>
      </c>
      <c r="CQ1310" s="1">
        <v>0.0</v>
      </c>
      <c r="CR1310" s="1">
        <v>0.0</v>
      </c>
      <c r="CS1310" s="1">
        <v>0.0</v>
      </c>
      <c r="CT1310" s="1">
        <v>0.0</v>
      </c>
      <c r="CU1310" s="1">
        <v>0.0</v>
      </c>
      <c r="CV1310" s="1">
        <v>0.0</v>
      </c>
      <c r="CW1310" s="1">
        <v>0.0</v>
      </c>
      <c r="CX1310" s="1">
        <v>0.0</v>
      </c>
      <c r="CY1310" s="1">
        <v>0.0</v>
      </c>
      <c r="CZ1310" s="1">
        <v>0.0</v>
      </c>
      <c r="DA1310" s="1">
        <v>0.0</v>
      </c>
      <c r="DB1310" s="1">
        <v>0.0</v>
      </c>
      <c r="DC1310" s="1">
        <v>0.0</v>
      </c>
      <c r="DD1310" s="1" t="s">
        <v>5739</v>
      </c>
      <c r="DE1310" s="1">
        <v>1.16322157887033E-4</v>
      </c>
      <c r="DF1310" s="2" t="s">
        <v>5740</v>
      </c>
    </row>
    <row r="1311" ht="15.75" customHeight="1">
      <c r="A1311" s="1" t="s">
        <v>5741</v>
      </c>
      <c r="B1311" s="1">
        <v>29.0</v>
      </c>
      <c r="C1311" s="1">
        <v>510.0</v>
      </c>
      <c r="D1311" s="1">
        <v>105198.0</v>
      </c>
      <c r="E1311" s="1">
        <v>0.449</v>
      </c>
      <c r="F1311" s="1">
        <v>29510.0</v>
      </c>
      <c r="G1311" s="1">
        <v>2.9510105198E10</v>
      </c>
      <c r="H1311" s="1" t="s">
        <v>112</v>
      </c>
      <c r="I1311" s="1" t="s">
        <v>113</v>
      </c>
      <c r="J1311" s="1" t="s">
        <v>5663</v>
      </c>
      <c r="K1311" s="1" t="s">
        <v>5742</v>
      </c>
      <c r="L1311" s="1">
        <v>3463.0</v>
      </c>
      <c r="M1311" s="1">
        <v>3002.0</v>
      </c>
      <c r="N1311" s="1">
        <v>332.0</v>
      </c>
      <c r="O1311" s="1">
        <v>2111.0</v>
      </c>
      <c r="P1311" s="1">
        <v>1888.0</v>
      </c>
      <c r="Q1311" s="1">
        <v>163.0</v>
      </c>
      <c r="R1311" s="1">
        <v>1839.0</v>
      </c>
      <c r="S1311" s="1">
        <v>697.0</v>
      </c>
      <c r="T1311" s="1">
        <v>259.0</v>
      </c>
      <c r="U1311" s="1">
        <v>38.0</v>
      </c>
      <c r="V1311" s="1">
        <v>471.0</v>
      </c>
      <c r="W1311" s="1">
        <v>57356.0</v>
      </c>
      <c r="X1311" s="1">
        <v>13222.0</v>
      </c>
      <c r="Y1311" s="1">
        <v>50.0</v>
      </c>
      <c r="Z1311" s="1">
        <v>397.0</v>
      </c>
      <c r="AA1311" s="1">
        <v>394.0</v>
      </c>
      <c r="AB1311" s="1">
        <v>381.0</v>
      </c>
      <c r="AC1311" s="1">
        <v>64.0</v>
      </c>
      <c r="AD1311" s="1">
        <v>1084.0</v>
      </c>
      <c r="AE1311" s="1">
        <v>17.0</v>
      </c>
      <c r="AF1311" s="1">
        <v>442.0</v>
      </c>
      <c r="AG1311" s="1">
        <v>530.0</v>
      </c>
      <c r="AH1311" s="1">
        <v>146.0</v>
      </c>
      <c r="AI1311" s="1">
        <v>0.0</v>
      </c>
      <c r="AJ1311" s="1">
        <v>114.0</v>
      </c>
      <c r="AK1311" s="1">
        <v>0.0</v>
      </c>
      <c r="AL1311" s="1">
        <v>161.0</v>
      </c>
      <c r="AM1311" s="1">
        <v>165.0</v>
      </c>
      <c r="AN1311" s="1">
        <v>89.0</v>
      </c>
      <c r="AO1311" s="1">
        <v>2.0</v>
      </c>
      <c r="AP1311" s="1">
        <v>0.232178</v>
      </c>
      <c r="AQ1311" s="1">
        <v>0.082366</v>
      </c>
      <c r="AR1311" s="1">
        <v>0.024111</v>
      </c>
      <c r="AS1311" s="1">
        <v>0.298836</v>
      </c>
      <c r="AT1311" s="1">
        <v>57356.0</v>
      </c>
      <c r="AU1311" s="1">
        <v>13222.0</v>
      </c>
      <c r="AV1311" s="1">
        <v>0.023912</v>
      </c>
      <c r="AW1311" s="1">
        <v>0.189844</v>
      </c>
      <c r="AX1311" s="1">
        <v>0.113774</v>
      </c>
      <c r="AY1311" s="1">
        <v>0.11002</v>
      </c>
      <c r="AZ1311" s="1">
        <v>0.03480152</v>
      </c>
      <c r="BA1311" s="1">
        <v>0.313023</v>
      </c>
      <c r="BB1311" s="1">
        <v>0.005745</v>
      </c>
      <c r="BC1311" s="1">
        <v>0.149373</v>
      </c>
      <c r="BD1311" s="1">
        <v>0.28072</v>
      </c>
      <c r="BE1311" s="1">
        <v>0.073434</v>
      </c>
      <c r="BF1311" s="1">
        <v>0.0</v>
      </c>
      <c r="BG1311" s="1">
        <v>0.060381</v>
      </c>
      <c r="BH1311" s="1">
        <v>0.0</v>
      </c>
      <c r="BI1311" s="1">
        <v>0.103536</v>
      </c>
      <c r="BJ1311" s="1">
        <v>0.106109</v>
      </c>
      <c r="BK1311" s="1">
        <v>0.056183</v>
      </c>
      <c r="BL1311" s="1">
        <v>5.77E-4</v>
      </c>
      <c r="BM1311" s="1">
        <v>0.794</v>
      </c>
      <c r="BN1311" s="1">
        <v>0.046</v>
      </c>
      <c r="BO1311" s="1">
        <v>0.0152</v>
      </c>
      <c r="BP1311" s="1">
        <v>0.043</v>
      </c>
      <c r="BQ1311" s="1">
        <v>0.8982</v>
      </c>
      <c r="BR1311" s="1">
        <v>0.1791</v>
      </c>
      <c r="BS1311" s="1">
        <v>0.3</v>
      </c>
      <c r="BT1311" s="1">
        <v>0.03</v>
      </c>
      <c r="BU1311" s="1">
        <v>0.023</v>
      </c>
      <c r="BV1311" s="1">
        <v>0.353</v>
      </c>
      <c r="BW1311" s="1">
        <v>0.025</v>
      </c>
      <c r="BX1311" s="1">
        <v>0.797</v>
      </c>
      <c r="BY1311" s="1">
        <v>0.586</v>
      </c>
      <c r="BZ1311" s="1">
        <v>1.383</v>
      </c>
      <c r="CA1311" s="1">
        <v>0.759</v>
      </c>
      <c r="CB1311" s="1">
        <v>0.933</v>
      </c>
      <c r="CC1311" s="1">
        <v>0.0</v>
      </c>
      <c r="CD1311" s="1">
        <v>0.0</v>
      </c>
      <c r="CE1311" s="1">
        <v>0.768</v>
      </c>
      <c r="CF1311" s="1">
        <v>0.372</v>
      </c>
      <c r="CG1311" s="1">
        <v>2.073</v>
      </c>
      <c r="CH1311" s="1">
        <v>0.371</v>
      </c>
      <c r="CI1311" s="1">
        <v>4.7072</v>
      </c>
      <c r="CJ1311" s="1">
        <v>0.1617</v>
      </c>
      <c r="CK1311" s="1">
        <v>0.0</v>
      </c>
      <c r="CL1311" s="1">
        <v>0.0</v>
      </c>
      <c r="CM1311" s="1">
        <v>0.0</v>
      </c>
      <c r="CN1311" s="1">
        <v>0.0</v>
      </c>
      <c r="CO1311" s="1">
        <v>0.0</v>
      </c>
      <c r="CP1311" s="1">
        <v>0.0</v>
      </c>
      <c r="CQ1311" s="1">
        <v>0.0</v>
      </c>
      <c r="CR1311" s="1">
        <v>0.0</v>
      </c>
      <c r="CS1311" s="1">
        <v>0.0</v>
      </c>
      <c r="CT1311" s="1">
        <v>0.0</v>
      </c>
      <c r="CU1311" s="1">
        <v>0.0</v>
      </c>
      <c r="CV1311" s="1">
        <v>0.0</v>
      </c>
      <c r="CW1311" s="1">
        <v>1.0</v>
      </c>
      <c r="CX1311" s="1">
        <v>0.0</v>
      </c>
      <c r="CY1311" s="1">
        <v>0.0</v>
      </c>
      <c r="CZ1311" s="1">
        <v>0.0</v>
      </c>
      <c r="DA1311" s="1">
        <v>0.0</v>
      </c>
      <c r="DB1311" s="1">
        <v>1.0</v>
      </c>
      <c r="DC1311" s="1">
        <v>1.0</v>
      </c>
      <c r="DD1311" s="1" t="s">
        <v>5743</v>
      </c>
      <c r="DE1311" s="1">
        <v>1.20692004795334E-4</v>
      </c>
      <c r="DF1311" s="1">
        <v>0.0706309389647182</v>
      </c>
    </row>
    <row r="1312" ht="15.75" customHeight="1">
      <c r="A1312" s="1" t="s">
        <v>5744</v>
      </c>
      <c r="B1312" s="1">
        <v>29.0</v>
      </c>
      <c r="C1312" s="1">
        <v>510.0</v>
      </c>
      <c r="D1312" s="1">
        <v>102400.0</v>
      </c>
      <c r="E1312" s="1">
        <v>0.226</v>
      </c>
      <c r="F1312" s="1">
        <v>29510.0</v>
      </c>
      <c r="G1312" s="1">
        <v>2.95101024E10</v>
      </c>
      <c r="H1312" s="1" t="s">
        <v>112</v>
      </c>
      <c r="I1312" s="1" t="s">
        <v>113</v>
      </c>
      <c r="J1312" s="1" t="s">
        <v>5663</v>
      </c>
      <c r="K1312" s="1" t="s">
        <v>5745</v>
      </c>
      <c r="L1312" s="1">
        <v>2478.0</v>
      </c>
      <c r="M1312" s="1">
        <v>2336.0</v>
      </c>
      <c r="N1312" s="1">
        <v>226.0</v>
      </c>
      <c r="O1312" s="1">
        <v>1209.0</v>
      </c>
      <c r="P1312" s="1">
        <v>1195.0</v>
      </c>
      <c r="Q1312" s="1">
        <v>39.0</v>
      </c>
      <c r="R1312" s="1">
        <v>1111.0</v>
      </c>
      <c r="S1312" s="1">
        <v>256.0</v>
      </c>
      <c r="T1312" s="1">
        <v>129.0</v>
      </c>
      <c r="U1312" s="1">
        <v>87.0</v>
      </c>
      <c r="V1312" s="1">
        <v>430.0</v>
      </c>
      <c r="W1312" s="1">
        <v>22455.0</v>
      </c>
      <c r="X1312" s="1">
        <v>2665.0</v>
      </c>
      <c r="Y1312" s="1">
        <v>290.0</v>
      </c>
      <c r="Z1312" s="1">
        <v>276.0</v>
      </c>
      <c r="AA1312" s="1">
        <v>218.0</v>
      </c>
      <c r="AB1312" s="1">
        <v>506.0</v>
      </c>
      <c r="AC1312" s="1">
        <v>127.0</v>
      </c>
      <c r="AD1312" s="1">
        <v>449.0</v>
      </c>
      <c r="AE1312" s="1">
        <v>149.0</v>
      </c>
      <c r="AF1312" s="1">
        <v>425.0</v>
      </c>
      <c r="AG1312" s="1">
        <v>136.0</v>
      </c>
      <c r="AH1312" s="1">
        <v>72.0</v>
      </c>
      <c r="AI1312" s="1">
        <v>0.0</v>
      </c>
      <c r="AJ1312" s="1">
        <v>114.0</v>
      </c>
      <c r="AK1312" s="1">
        <v>31.0</v>
      </c>
      <c r="AL1312" s="1">
        <v>117.0</v>
      </c>
      <c r="AM1312" s="1">
        <v>66.0</v>
      </c>
      <c r="AN1312" s="1">
        <v>43.0</v>
      </c>
      <c r="AO1312" s="1">
        <v>0.0</v>
      </c>
      <c r="AP1312" s="1">
        <v>0.109589</v>
      </c>
      <c r="AQ1312" s="1">
        <v>0.054195</v>
      </c>
      <c r="AR1312" s="1">
        <v>0.059426</v>
      </c>
      <c r="AS1312" s="1">
        <v>0.29356</v>
      </c>
      <c r="AT1312" s="1">
        <v>22455.0</v>
      </c>
      <c r="AU1312" s="1">
        <v>2665.0</v>
      </c>
      <c r="AV1312" s="1">
        <v>0.165903</v>
      </c>
      <c r="AW1312" s="1">
        <v>0.157097</v>
      </c>
      <c r="AX1312" s="1">
        <v>0.087974</v>
      </c>
      <c r="AY1312" s="1">
        <v>0.204196</v>
      </c>
      <c r="AZ1312" s="1">
        <v>0.11431143</v>
      </c>
      <c r="BA1312" s="1">
        <v>0.181194</v>
      </c>
      <c r="BB1312" s="1">
        <v>0.06742</v>
      </c>
      <c r="BC1312" s="1">
        <v>0.192204</v>
      </c>
      <c r="BD1312" s="1">
        <v>0.113807</v>
      </c>
      <c r="BE1312" s="1">
        <v>0.060136</v>
      </c>
      <c r="BF1312" s="1">
        <v>0.0</v>
      </c>
      <c r="BG1312" s="1">
        <v>0.095397</v>
      </c>
      <c r="BH1312" s="1">
        <v>0.028971</v>
      </c>
      <c r="BI1312" s="1">
        <v>0.109324</v>
      </c>
      <c r="BJ1312" s="1">
        <v>0.061682</v>
      </c>
      <c r="BK1312" s="1">
        <v>0.039921</v>
      </c>
      <c r="BL1312" s="1">
        <v>0.0</v>
      </c>
      <c r="BM1312" s="1">
        <v>0.411</v>
      </c>
      <c r="BN1312" s="1">
        <v>0.41</v>
      </c>
      <c r="BO1312" s="1">
        <v>0.47</v>
      </c>
      <c r="BP1312" s="1">
        <v>0.638</v>
      </c>
      <c r="BQ1312" s="1">
        <v>1.929</v>
      </c>
      <c r="BR1312" s="1">
        <v>0.4722</v>
      </c>
      <c r="BS1312" s="1">
        <v>0.148</v>
      </c>
      <c r="BT1312" s="1">
        <v>0.208</v>
      </c>
      <c r="BU1312" s="1">
        <v>0.623</v>
      </c>
      <c r="BV1312" s="1">
        <v>0.979</v>
      </c>
      <c r="BW1312" s="1">
        <v>0.107</v>
      </c>
      <c r="BX1312" s="1">
        <v>0.683</v>
      </c>
      <c r="BY1312" s="1">
        <v>0.972</v>
      </c>
      <c r="BZ1312" s="1">
        <v>1.655</v>
      </c>
      <c r="CA1312" s="1">
        <v>0.9</v>
      </c>
      <c r="CB1312" s="1">
        <v>0.793</v>
      </c>
      <c r="CC1312" s="1">
        <v>0.0</v>
      </c>
      <c r="CD1312" s="1">
        <v>0.794</v>
      </c>
      <c r="CE1312" s="1">
        <v>0.575</v>
      </c>
      <c r="CF1312" s="1">
        <v>0.0</v>
      </c>
      <c r="CG1312" s="1">
        <v>2.162</v>
      </c>
      <c r="CH1312" s="1">
        <v>0.403</v>
      </c>
      <c r="CI1312" s="1">
        <v>6.725</v>
      </c>
      <c r="CJ1312" s="1">
        <v>0.4946</v>
      </c>
      <c r="CK1312" s="1">
        <v>0.0</v>
      </c>
      <c r="CL1312" s="1">
        <v>0.0</v>
      </c>
      <c r="CM1312" s="1">
        <v>0.0</v>
      </c>
      <c r="CN1312" s="1">
        <v>0.0</v>
      </c>
      <c r="CO1312" s="1">
        <v>0.0</v>
      </c>
      <c r="CP1312" s="1">
        <v>0.0</v>
      </c>
      <c r="CQ1312" s="1">
        <v>0.0</v>
      </c>
      <c r="CR1312" s="1">
        <v>0.0</v>
      </c>
      <c r="CS1312" s="1">
        <v>0.0</v>
      </c>
      <c r="CT1312" s="1">
        <v>0.0</v>
      </c>
      <c r="CU1312" s="1">
        <v>1.0</v>
      </c>
      <c r="CV1312" s="1">
        <v>1.0</v>
      </c>
      <c r="CW1312" s="1">
        <v>0.0</v>
      </c>
      <c r="CX1312" s="1">
        <v>0.0</v>
      </c>
      <c r="CY1312" s="1">
        <v>0.0</v>
      </c>
      <c r="CZ1312" s="1">
        <v>0.0</v>
      </c>
      <c r="DA1312" s="1">
        <v>0.0</v>
      </c>
      <c r="DB1312" s="1">
        <v>0.0</v>
      </c>
      <c r="DC1312" s="1">
        <v>1.0</v>
      </c>
      <c r="DD1312" s="1" t="s">
        <v>5746</v>
      </c>
      <c r="DE1312" s="2" t="s">
        <v>5747</v>
      </c>
      <c r="DF1312" s="1">
        <v>0.0423731552828023</v>
      </c>
    </row>
    <row r="1313" ht="15.75" customHeight="1">
      <c r="A1313" s="1" t="s">
        <v>5748</v>
      </c>
      <c r="B1313" s="1">
        <v>29.0</v>
      </c>
      <c r="C1313" s="1">
        <v>510.0</v>
      </c>
      <c r="D1313" s="1">
        <v>102500.0</v>
      </c>
      <c r="E1313" s="1">
        <v>0.368</v>
      </c>
      <c r="F1313" s="1">
        <v>29510.0</v>
      </c>
      <c r="G1313" s="1">
        <v>2.95101025E10</v>
      </c>
      <c r="H1313" s="1" t="s">
        <v>112</v>
      </c>
      <c r="I1313" s="1" t="s">
        <v>113</v>
      </c>
      <c r="J1313" s="1" t="s">
        <v>5663</v>
      </c>
      <c r="K1313" s="1" t="s">
        <v>5749</v>
      </c>
      <c r="L1313" s="1">
        <v>1918.0</v>
      </c>
      <c r="M1313" s="1">
        <v>2081.0</v>
      </c>
      <c r="N1313" s="1">
        <v>141.0</v>
      </c>
      <c r="O1313" s="1">
        <v>1030.0</v>
      </c>
      <c r="P1313" s="1">
        <v>1024.0</v>
      </c>
      <c r="Q1313" s="1">
        <v>25.0</v>
      </c>
      <c r="R1313" s="1">
        <v>918.0</v>
      </c>
      <c r="S1313" s="1">
        <v>220.0</v>
      </c>
      <c r="T1313" s="1">
        <v>266.0</v>
      </c>
      <c r="U1313" s="1">
        <v>126.0</v>
      </c>
      <c r="V1313" s="1">
        <v>449.0</v>
      </c>
      <c r="W1313" s="1">
        <v>27468.0</v>
      </c>
      <c r="X1313" s="1">
        <v>5177.0</v>
      </c>
      <c r="Y1313" s="1">
        <v>183.0</v>
      </c>
      <c r="Z1313" s="1">
        <v>336.0</v>
      </c>
      <c r="AA1313" s="1">
        <v>214.0</v>
      </c>
      <c r="AB1313" s="1">
        <v>340.0</v>
      </c>
      <c r="AC1313" s="1">
        <v>62.0</v>
      </c>
      <c r="AD1313" s="1">
        <v>235.0</v>
      </c>
      <c r="AE1313" s="1">
        <v>88.0</v>
      </c>
      <c r="AF1313" s="1">
        <v>434.0</v>
      </c>
      <c r="AG1313" s="1">
        <v>0.0</v>
      </c>
      <c r="AH1313" s="1">
        <v>197.0</v>
      </c>
      <c r="AI1313" s="1">
        <v>0.0</v>
      </c>
      <c r="AJ1313" s="1">
        <v>114.0</v>
      </c>
      <c r="AK1313" s="1">
        <v>0.0</v>
      </c>
      <c r="AL1313" s="1">
        <v>161.0</v>
      </c>
      <c r="AM1313" s="1">
        <v>39.0</v>
      </c>
      <c r="AN1313" s="1">
        <v>118.0</v>
      </c>
      <c r="AO1313" s="1">
        <v>0.0</v>
      </c>
      <c r="AP1313" s="1">
        <v>0.105718</v>
      </c>
      <c r="AQ1313" s="1">
        <v>0.127622</v>
      </c>
      <c r="AR1313" s="1">
        <v>0.104391</v>
      </c>
      <c r="AS1313" s="1">
        <v>0.37106</v>
      </c>
      <c r="AT1313" s="1">
        <v>27468.0</v>
      </c>
      <c r="AU1313" s="1">
        <v>5177.0</v>
      </c>
      <c r="AV1313" s="1">
        <v>0.116412</v>
      </c>
      <c r="AW1313" s="1">
        <v>0.213447</v>
      </c>
      <c r="AX1313" s="1">
        <v>0.111574</v>
      </c>
      <c r="AY1313" s="1">
        <v>0.177267</v>
      </c>
      <c r="AZ1313" s="1">
        <v>0.06753812</v>
      </c>
      <c r="BA1313" s="1">
        <v>0.122523</v>
      </c>
      <c r="BB1313" s="1">
        <v>0.044897</v>
      </c>
      <c r="BC1313" s="1">
        <v>0.221409</v>
      </c>
      <c r="BD1313" s="1">
        <v>0.0</v>
      </c>
      <c r="BE1313" s="1">
        <v>0.192382</v>
      </c>
      <c r="BF1313" s="1">
        <v>0.0</v>
      </c>
      <c r="BG1313" s="1">
        <v>0.111328</v>
      </c>
      <c r="BH1313" s="1">
        <v>0.0</v>
      </c>
      <c r="BI1313" s="1">
        <v>0.169473</v>
      </c>
      <c r="BJ1313" s="1">
        <v>0.041052</v>
      </c>
      <c r="BK1313" s="1">
        <v>0.124173</v>
      </c>
      <c r="BL1313" s="1">
        <v>0.0</v>
      </c>
      <c r="BM1313" s="1">
        <v>0.396</v>
      </c>
      <c r="BN1313" s="1">
        <v>0.758</v>
      </c>
      <c r="BO1313" s="1">
        <v>0.27</v>
      </c>
      <c r="BP1313" s="1">
        <v>0.41</v>
      </c>
      <c r="BQ1313" s="1">
        <v>1.834</v>
      </c>
      <c r="BR1313" s="1">
        <v>0.4426</v>
      </c>
      <c r="BS1313" s="1">
        <v>0.282</v>
      </c>
      <c r="BT1313" s="1">
        <v>0.112</v>
      </c>
      <c r="BU1313" s="1">
        <v>0.193</v>
      </c>
      <c r="BV1313" s="1">
        <v>0.587</v>
      </c>
      <c r="BW1313" s="1">
        <v>0.041</v>
      </c>
      <c r="BX1313" s="1">
        <v>0.541</v>
      </c>
      <c r="BY1313" s="1">
        <v>0.952</v>
      </c>
      <c r="BZ1313" s="1">
        <v>1.493</v>
      </c>
      <c r="CA1313" s="1">
        <v>0.819</v>
      </c>
      <c r="CB1313" s="1">
        <v>0.0</v>
      </c>
      <c r="CC1313" s="1">
        <v>0.0</v>
      </c>
      <c r="CD1313" s="1">
        <v>0.0</v>
      </c>
      <c r="CE1313" s="1">
        <v>0.4</v>
      </c>
      <c r="CF1313" s="1">
        <v>0.0</v>
      </c>
      <c r="CG1313" s="1">
        <v>0.4</v>
      </c>
      <c r="CH1313" s="1">
        <v>0.019</v>
      </c>
      <c r="CI1313" s="1">
        <v>4.314</v>
      </c>
      <c r="CJ1313" s="1">
        <v>0.1177</v>
      </c>
      <c r="CK1313" s="1">
        <v>0.0</v>
      </c>
      <c r="CL1313" s="1">
        <v>0.0</v>
      </c>
      <c r="CM1313" s="1">
        <v>0.0</v>
      </c>
      <c r="CN1313" s="1">
        <v>0.0</v>
      </c>
      <c r="CO1313" s="1">
        <v>0.0</v>
      </c>
      <c r="CP1313" s="1">
        <v>0.0</v>
      </c>
      <c r="CQ1313" s="1">
        <v>0.0</v>
      </c>
      <c r="CR1313" s="1">
        <v>0.0</v>
      </c>
      <c r="CS1313" s="1">
        <v>0.0</v>
      </c>
      <c r="CT1313" s="1">
        <v>0.0</v>
      </c>
      <c r="CU1313" s="1">
        <v>1.0</v>
      </c>
      <c r="CV1313" s="1">
        <v>1.0</v>
      </c>
      <c r="CW1313" s="1">
        <v>0.0</v>
      </c>
      <c r="CX1313" s="1">
        <v>0.0</v>
      </c>
      <c r="CY1313" s="1">
        <v>0.0</v>
      </c>
      <c r="CZ1313" s="1">
        <v>0.0</v>
      </c>
      <c r="DA1313" s="1">
        <v>0.0</v>
      </c>
      <c r="DB1313" s="1">
        <v>0.0</v>
      </c>
      <c r="DC1313" s="1">
        <v>1.0</v>
      </c>
      <c r="DD1313" s="1" t="s">
        <v>5750</v>
      </c>
      <c r="DE1313" s="2" t="s">
        <v>5751</v>
      </c>
      <c r="DF1313" s="1">
        <v>0.0429963204264815</v>
      </c>
    </row>
    <row r="1314" ht="15.75" customHeight="1">
      <c r="A1314" s="1" t="s">
        <v>5752</v>
      </c>
      <c r="B1314" s="1">
        <v>29.0</v>
      </c>
      <c r="C1314" s="1">
        <v>510.0</v>
      </c>
      <c r="D1314" s="1">
        <v>103100.0</v>
      </c>
      <c r="E1314" s="1">
        <v>0.457</v>
      </c>
      <c r="F1314" s="1">
        <v>29510.0</v>
      </c>
      <c r="G1314" s="1">
        <v>2.95101031E10</v>
      </c>
      <c r="H1314" s="1" t="s">
        <v>112</v>
      </c>
      <c r="I1314" s="1" t="s">
        <v>113</v>
      </c>
      <c r="J1314" s="1" t="s">
        <v>5663</v>
      </c>
      <c r="K1314" s="1" t="s">
        <v>5753</v>
      </c>
      <c r="L1314" s="1">
        <v>3299.0</v>
      </c>
      <c r="M1314" s="1">
        <v>3308.0</v>
      </c>
      <c r="N1314" s="1">
        <v>284.0</v>
      </c>
      <c r="O1314" s="1">
        <v>1970.0</v>
      </c>
      <c r="P1314" s="1">
        <v>1843.0</v>
      </c>
      <c r="Q1314" s="1">
        <v>42.0</v>
      </c>
      <c r="R1314" s="1">
        <v>1785.0</v>
      </c>
      <c r="S1314" s="1">
        <v>296.0</v>
      </c>
      <c r="T1314" s="1">
        <v>121.0</v>
      </c>
      <c r="U1314" s="1">
        <v>103.0</v>
      </c>
      <c r="V1314" s="1">
        <v>462.0</v>
      </c>
      <c r="W1314" s="1">
        <v>34272.0</v>
      </c>
      <c r="X1314" s="1">
        <v>5126.0</v>
      </c>
      <c r="Y1314" s="1">
        <v>199.0</v>
      </c>
      <c r="Z1314" s="1">
        <v>267.0</v>
      </c>
      <c r="AA1314" s="1">
        <v>475.0</v>
      </c>
      <c r="AB1314" s="1">
        <v>513.0</v>
      </c>
      <c r="AC1314" s="1">
        <v>84.0</v>
      </c>
      <c r="AD1314" s="1">
        <v>454.0</v>
      </c>
      <c r="AE1314" s="1">
        <v>16.0</v>
      </c>
      <c r="AF1314" s="1">
        <v>442.0</v>
      </c>
      <c r="AG1314" s="1">
        <v>381.0</v>
      </c>
      <c r="AH1314" s="1">
        <v>157.0</v>
      </c>
      <c r="AI1314" s="1">
        <v>0.0</v>
      </c>
      <c r="AJ1314" s="1">
        <v>114.0</v>
      </c>
      <c r="AK1314" s="1">
        <v>0.0</v>
      </c>
      <c r="AL1314" s="1">
        <v>161.0</v>
      </c>
      <c r="AM1314" s="1">
        <v>165.0</v>
      </c>
      <c r="AN1314" s="1">
        <v>103.0</v>
      </c>
      <c r="AO1314" s="1">
        <v>0.0</v>
      </c>
      <c r="AP1314" s="1">
        <v>0.08948</v>
      </c>
      <c r="AQ1314" s="1">
        <v>0.035762</v>
      </c>
      <c r="AR1314" s="1">
        <v>0.051065</v>
      </c>
      <c r="AS1314" s="1">
        <v>0.228956</v>
      </c>
      <c r="AT1314" s="1">
        <v>34272.0</v>
      </c>
      <c r="AU1314" s="1">
        <v>5126.0</v>
      </c>
      <c r="AV1314" s="1">
        <v>0.085628</v>
      </c>
      <c r="AW1314" s="1">
        <v>0.114674</v>
      </c>
      <c r="AX1314" s="1">
        <v>0.143983</v>
      </c>
      <c r="AY1314" s="1">
        <v>0.155501</v>
      </c>
      <c r="AZ1314" s="1">
        <v>0.04705882</v>
      </c>
      <c r="BA1314" s="1">
        <v>0.137617</v>
      </c>
      <c r="BB1314" s="1">
        <v>0.005225</v>
      </c>
      <c r="BC1314" s="1">
        <v>0.144349</v>
      </c>
      <c r="BD1314" s="1">
        <v>0.206728</v>
      </c>
      <c r="BE1314" s="1">
        <v>0.085056</v>
      </c>
      <c r="BF1314" s="1">
        <v>0.0</v>
      </c>
      <c r="BG1314" s="1">
        <v>0.061855</v>
      </c>
      <c r="BH1314" s="1">
        <v>0.0</v>
      </c>
      <c r="BI1314" s="1">
        <v>0.094207</v>
      </c>
      <c r="BJ1314" s="1">
        <v>0.096547</v>
      </c>
      <c r="BK1314" s="1">
        <v>0.059936</v>
      </c>
      <c r="BL1314" s="1">
        <v>0.0</v>
      </c>
      <c r="BM1314" s="1">
        <v>0.335</v>
      </c>
      <c r="BN1314" s="1">
        <v>0.305</v>
      </c>
      <c r="BO1314" s="1">
        <v>0.1249</v>
      </c>
      <c r="BP1314" s="1">
        <v>0.274</v>
      </c>
      <c r="BQ1314" s="1">
        <v>1.0389</v>
      </c>
      <c r="BR1314" s="1">
        <v>0.2101</v>
      </c>
      <c r="BS1314" s="1">
        <v>0.533</v>
      </c>
      <c r="BT1314" s="1">
        <v>0.076</v>
      </c>
      <c r="BU1314" s="1">
        <v>0.063</v>
      </c>
      <c r="BV1314" s="1">
        <v>0.672</v>
      </c>
      <c r="BW1314" s="1">
        <v>0.053</v>
      </c>
      <c r="BX1314" s="1">
        <v>0.582</v>
      </c>
      <c r="BY1314" s="1">
        <v>0.571</v>
      </c>
      <c r="BZ1314" s="1">
        <v>1.153</v>
      </c>
      <c r="CA1314" s="1">
        <v>0.634</v>
      </c>
      <c r="CB1314" s="1">
        <v>0.897</v>
      </c>
      <c r="CC1314" s="1">
        <v>0.0</v>
      </c>
      <c r="CD1314" s="1">
        <v>0.0</v>
      </c>
      <c r="CE1314" s="1">
        <v>0.743</v>
      </c>
      <c r="CF1314" s="1">
        <v>0.0</v>
      </c>
      <c r="CG1314" s="1">
        <v>1.64</v>
      </c>
      <c r="CH1314" s="1">
        <v>0.215</v>
      </c>
      <c r="CI1314" s="1">
        <v>4.5039</v>
      </c>
      <c r="CJ1314" s="1">
        <v>0.135</v>
      </c>
      <c r="CK1314" s="1">
        <v>0.0</v>
      </c>
      <c r="CL1314" s="1">
        <v>0.0</v>
      </c>
      <c r="CM1314" s="1">
        <v>0.0</v>
      </c>
      <c r="CN1314" s="1">
        <v>0.0</v>
      </c>
      <c r="CO1314" s="1">
        <v>0.0</v>
      </c>
      <c r="CP1314" s="1">
        <v>0.0</v>
      </c>
      <c r="CQ1314" s="1">
        <v>0.0</v>
      </c>
      <c r="CR1314" s="1">
        <v>0.0</v>
      </c>
      <c r="CS1314" s="1">
        <v>0.0</v>
      </c>
      <c r="CT1314" s="1">
        <v>0.0</v>
      </c>
      <c r="CU1314" s="1">
        <v>0.0</v>
      </c>
      <c r="CV1314" s="1">
        <v>0.0</v>
      </c>
      <c r="CW1314" s="1">
        <v>0.0</v>
      </c>
      <c r="CX1314" s="1">
        <v>0.0</v>
      </c>
      <c r="CY1314" s="1">
        <v>0.0</v>
      </c>
      <c r="CZ1314" s="1">
        <v>0.0</v>
      </c>
      <c r="DA1314" s="1">
        <v>0.0</v>
      </c>
      <c r="DB1314" s="1">
        <v>0.0</v>
      </c>
      <c r="DC1314" s="1">
        <v>0.0</v>
      </c>
      <c r="DD1314" s="1" t="s">
        <v>5754</v>
      </c>
      <c r="DE1314" s="1">
        <v>1.26791052825289E-4</v>
      </c>
      <c r="DF1314" s="1">
        <v>0.0517940963522273</v>
      </c>
    </row>
    <row r="1315" ht="15.75" customHeight="1">
      <c r="A1315" s="1" t="s">
        <v>5755</v>
      </c>
      <c r="B1315" s="1">
        <v>29.0</v>
      </c>
      <c r="C1315" s="1">
        <v>510.0</v>
      </c>
      <c r="D1315" s="1">
        <v>101200.0</v>
      </c>
      <c r="E1315" s="1">
        <v>0.414</v>
      </c>
      <c r="F1315" s="1">
        <v>29510.0</v>
      </c>
      <c r="G1315" s="1">
        <v>2.95101012E10</v>
      </c>
      <c r="H1315" s="1" t="s">
        <v>112</v>
      </c>
      <c r="I1315" s="1" t="s">
        <v>113</v>
      </c>
      <c r="J1315" s="1" t="s">
        <v>5663</v>
      </c>
      <c r="K1315" s="1" t="s">
        <v>5756</v>
      </c>
      <c r="L1315" s="1">
        <v>3100.0</v>
      </c>
      <c r="M1315" s="1">
        <v>3021.0</v>
      </c>
      <c r="N1315" s="1">
        <v>172.0</v>
      </c>
      <c r="O1315" s="1">
        <v>1562.0</v>
      </c>
      <c r="P1315" s="1">
        <v>1456.0</v>
      </c>
      <c r="Q1315" s="1">
        <v>39.0</v>
      </c>
      <c r="R1315" s="1">
        <v>1437.0</v>
      </c>
      <c r="S1315" s="1">
        <v>128.0</v>
      </c>
      <c r="T1315" s="1">
        <v>82.0</v>
      </c>
      <c r="U1315" s="1">
        <v>50.0</v>
      </c>
      <c r="V1315" s="1">
        <v>457.0</v>
      </c>
      <c r="W1315" s="1">
        <v>29812.0</v>
      </c>
      <c r="X1315" s="1">
        <v>2534.0</v>
      </c>
      <c r="Y1315" s="1">
        <v>121.0</v>
      </c>
      <c r="Z1315" s="1">
        <v>307.0</v>
      </c>
      <c r="AA1315" s="1">
        <v>564.0</v>
      </c>
      <c r="AB1315" s="1">
        <v>570.0</v>
      </c>
      <c r="AC1315" s="1">
        <v>92.0</v>
      </c>
      <c r="AD1315" s="1">
        <v>371.0</v>
      </c>
      <c r="AE1315" s="1">
        <v>25.0</v>
      </c>
      <c r="AF1315" s="1">
        <v>412.0</v>
      </c>
      <c r="AG1315" s="1">
        <v>22.0</v>
      </c>
      <c r="AH1315" s="1">
        <v>163.0</v>
      </c>
      <c r="AI1315" s="1">
        <v>14.0</v>
      </c>
      <c r="AJ1315" s="1">
        <v>21.0</v>
      </c>
      <c r="AK1315" s="1">
        <v>31.0</v>
      </c>
      <c r="AL1315" s="1">
        <v>119.0</v>
      </c>
      <c r="AM1315" s="1">
        <v>37.0</v>
      </c>
      <c r="AN1315" s="1">
        <v>118.0</v>
      </c>
      <c r="AO1315" s="1">
        <v>7.0</v>
      </c>
      <c r="AP1315" s="1">
        <v>0.04237</v>
      </c>
      <c r="AQ1315" s="1">
        <v>0.027035</v>
      </c>
      <c r="AR1315" s="1">
        <v>0.028985</v>
      </c>
      <c r="AS1315" s="1">
        <v>0.264906</v>
      </c>
      <c r="AT1315" s="1">
        <v>29812.0</v>
      </c>
      <c r="AU1315" s="1">
        <v>2534.0</v>
      </c>
      <c r="AV1315" s="1">
        <v>0.052494</v>
      </c>
      <c r="AW1315" s="1">
        <v>0.133156</v>
      </c>
      <c r="AX1315" s="1">
        <v>0.181935</v>
      </c>
      <c r="AY1315" s="1">
        <v>0.18387</v>
      </c>
      <c r="AZ1315" s="1">
        <v>0.06402226</v>
      </c>
      <c r="BA1315" s="1">
        <v>0.119677</v>
      </c>
      <c r="BB1315" s="1">
        <v>0.00889</v>
      </c>
      <c r="BC1315" s="1">
        <v>0.146513</v>
      </c>
      <c r="BD1315" s="1">
        <v>0.015109</v>
      </c>
      <c r="BE1315" s="1">
        <v>0.111949</v>
      </c>
      <c r="BF1315" s="1">
        <v>0.009615</v>
      </c>
      <c r="BG1315" s="1">
        <v>0.01442</v>
      </c>
      <c r="BH1315" s="1">
        <v>0.021438</v>
      </c>
      <c r="BI1315" s="1">
        <v>0.082293</v>
      </c>
      <c r="BJ1315" s="1">
        <v>0.025587</v>
      </c>
      <c r="BK1315" s="1">
        <v>0.081601</v>
      </c>
      <c r="BL1315" s="1">
        <v>0.002258</v>
      </c>
      <c r="BM1315" s="1">
        <v>0.133</v>
      </c>
      <c r="BN1315" s="1">
        <v>0.08</v>
      </c>
      <c r="BO1315" s="1">
        <v>0.2022</v>
      </c>
      <c r="BP1315" s="1">
        <v>0.136</v>
      </c>
      <c r="BQ1315" s="1">
        <v>0.5512</v>
      </c>
      <c r="BR1315" s="1">
        <v>0.0816</v>
      </c>
      <c r="BS1315" s="1">
        <v>0.805</v>
      </c>
      <c r="BT1315" s="1">
        <v>0.131</v>
      </c>
      <c r="BU1315" s="1">
        <v>0.166</v>
      </c>
      <c r="BV1315" s="1">
        <v>1.102</v>
      </c>
      <c r="BW1315" s="1">
        <v>0.166</v>
      </c>
      <c r="BX1315" s="1">
        <v>0.536</v>
      </c>
      <c r="BY1315" s="1">
        <v>0.694</v>
      </c>
      <c r="BZ1315" s="1">
        <v>1.23</v>
      </c>
      <c r="CA1315" s="1">
        <v>0.675</v>
      </c>
      <c r="CB1315" s="1">
        <v>0.427</v>
      </c>
      <c r="CC1315" s="1">
        <v>0.456</v>
      </c>
      <c r="CD1315" s="1">
        <v>0.701</v>
      </c>
      <c r="CE1315" s="1">
        <v>0.246</v>
      </c>
      <c r="CF1315" s="1">
        <v>0.455</v>
      </c>
      <c r="CG1315" s="1">
        <v>2.285</v>
      </c>
      <c r="CH1315" s="1">
        <v>0.452</v>
      </c>
      <c r="CI1315" s="1">
        <v>5.1682</v>
      </c>
      <c r="CJ1315" s="1">
        <v>0.2267</v>
      </c>
      <c r="CK1315" s="1">
        <v>0.0</v>
      </c>
      <c r="CL1315" s="1">
        <v>0.0</v>
      </c>
      <c r="CM1315" s="1">
        <v>0.0</v>
      </c>
      <c r="CN1315" s="1">
        <v>0.0</v>
      </c>
      <c r="CO1315" s="1">
        <v>0.0</v>
      </c>
      <c r="CP1315" s="1">
        <v>0.0</v>
      </c>
      <c r="CQ1315" s="1">
        <v>0.0</v>
      </c>
      <c r="CR1315" s="1">
        <v>0.0</v>
      </c>
      <c r="CS1315" s="1">
        <v>0.0</v>
      </c>
      <c r="CT1315" s="1">
        <v>0.0</v>
      </c>
      <c r="CU1315" s="1">
        <v>0.0</v>
      </c>
      <c r="CV1315" s="1">
        <v>0.0</v>
      </c>
      <c r="CW1315" s="1">
        <v>0.0</v>
      </c>
      <c r="CX1315" s="1">
        <v>0.0</v>
      </c>
      <c r="CY1315" s="1">
        <v>0.0</v>
      </c>
      <c r="CZ1315" s="1">
        <v>0.0</v>
      </c>
      <c r="DA1315" s="1">
        <v>0.0</v>
      </c>
      <c r="DB1315" s="1">
        <v>0.0</v>
      </c>
      <c r="DC1315" s="1">
        <v>0.0</v>
      </c>
      <c r="DD1315" s="1" t="s">
        <v>5757</v>
      </c>
      <c r="DE1315" s="1">
        <v>1.11311574341977E-4</v>
      </c>
      <c r="DF1315" s="1">
        <v>0.0482242942004877</v>
      </c>
    </row>
    <row r="1316" ht="15.75" customHeight="1">
      <c r="A1316" s="1" t="s">
        <v>5758</v>
      </c>
      <c r="B1316" s="1">
        <v>29.0</v>
      </c>
      <c r="C1316" s="1">
        <v>510.0</v>
      </c>
      <c r="D1316" s="1">
        <v>101300.0</v>
      </c>
      <c r="E1316" s="1">
        <v>0.762</v>
      </c>
      <c r="F1316" s="1">
        <v>29510.0</v>
      </c>
      <c r="G1316" s="1">
        <v>2.95101013E10</v>
      </c>
      <c r="H1316" s="1" t="s">
        <v>112</v>
      </c>
      <c r="I1316" s="1" t="s">
        <v>113</v>
      </c>
      <c r="J1316" s="1" t="s">
        <v>5663</v>
      </c>
      <c r="K1316" s="1" t="s">
        <v>5759</v>
      </c>
      <c r="L1316" s="1">
        <v>4336.0</v>
      </c>
      <c r="M1316" s="1">
        <v>4135.0</v>
      </c>
      <c r="N1316" s="1">
        <v>307.0</v>
      </c>
      <c r="O1316" s="1">
        <v>2188.0</v>
      </c>
      <c r="P1316" s="1">
        <v>2186.0</v>
      </c>
      <c r="Q1316" s="1">
        <v>56.0</v>
      </c>
      <c r="R1316" s="1">
        <v>2027.0</v>
      </c>
      <c r="S1316" s="1">
        <v>637.0</v>
      </c>
      <c r="T1316" s="1">
        <v>303.0</v>
      </c>
      <c r="U1316" s="1">
        <v>219.0</v>
      </c>
      <c r="V1316" s="1">
        <v>374.0</v>
      </c>
      <c r="W1316" s="1">
        <v>27504.0</v>
      </c>
      <c r="X1316" s="1">
        <v>3293.0</v>
      </c>
      <c r="Y1316" s="1">
        <v>484.0</v>
      </c>
      <c r="Z1316" s="1">
        <v>297.0</v>
      </c>
      <c r="AA1316" s="1">
        <v>514.0</v>
      </c>
      <c r="AB1316" s="1">
        <v>880.0</v>
      </c>
      <c r="AC1316" s="1">
        <v>161.0</v>
      </c>
      <c r="AD1316" s="1">
        <v>755.0</v>
      </c>
      <c r="AE1316" s="1">
        <v>263.0</v>
      </c>
      <c r="AF1316" s="1">
        <v>414.0</v>
      </c>
      <c r="AG1316" s="1">
        <v>107.0</v>
      </c>
      <c r="AH1316" s="1">
        <v>180.0</v>
      </c>
      <c r="AI1316" s="1">
        <v>0.0</v>
      </c>
      <c r="AJ1316" s="1">
        <v>114.0</v>
      </c>
      <c r="AK1316" s="1">
        <v>46.0</v>
      </c>
      <c r="AL1316" s="1">
        <v>124.0</v>
      </c>
      <c r="AM1316" s="1">
        <v>176.0</v>
      </c>
      <c r="AN1316" s="1">
        <v>82.0</v>
      </c>
      <c r="AO1316" s="1">
        <v>2.0</v>
      </c>
      <c r="AP1316" s="1">
        <v>0.154987</v>
      </c>
      <c r="AQ1316" s="1">
        <v>0.072801</v>
      </c>
      <c r="AR1316" s="1">
        <v>0.082548</v>
      </c>
      <c r="AS1316" s="1">
        <v>0.140558</v>
      </c>
      <c r="AT1316" s="1">
        <v>27504.0</v>
      </c>
      <c r="AU1316" s="1">
        <v>3293.0</v>
      </c>
      <c r="AV1316" s="1">
        <v>0.160637</v>
      </c>
      <c r="AW1316" s="1">
        <v>0.098165</v>
      </c>
      <c r="AX1316" s="1">
        <v>0.118542</v>
      </c>
      <c r="AY1316" s="1">
        <v>0.202952</v>
      </c>
      <c r="AZ1316" s="1">
        <v>0.07942772</v>
      </c>
      <c r="BA1316" s="1">
        <v>0.174123</v>
      </c>
      <c r="BB1316" s="1">
        <v>0.067574</v>
      </c>
      <c r="BC1316" s="1">
        <v>0.106282</v>
      </c>
      <c r="BD1316" s="1">
        <v>0.048947</v>
      </c>
      <c r="BE1316" s="1">
        <v>0.082332</v>
      </c>
      <c r="BF1316" s="1">
        <v>0.0</v>
      </c>
      <c r="BG1316" s="1">
        <v>0.05215</v>
      </c>
      <c r="BH1316" s="1">
        <v>0.023</v>
      </c>
      <c r="BI1316" s="1">
        <v>0.061986</v>
      </c>
      <c r="BJ1316" s="1">
        <v>0.088</v>
      </c>
      <c r="BK1316" s="1">
        <v>0.040708</v>
      </c>
      <c r="BL1316" s="1">
        <v>4.61E-4</v>
      </c>
      <c r="BM1316" s="1">
        <v>0.596</v>
      </c>
      <c r="BN1316" s="1">
        <v>0.634</v>
      </c>
      <c r="BO1316" s="1">
        <v>0.2679</v>
      </c>
      <c r="BP1316" s="1">
        <v>0.615</v>
      </c>
      <c r="BQ1316" s="1">
        <v>2.1129</v>
      </c>
      <c r="BR1316" s="1">
        <v>0.5314</v>
      </c>
      <c r="BS1316" s="1">
        <v>0.334</v>
      </c>
      <c r="BT1316" s="1">
        <v>0.199</v>
      </c>
      <c r="BU1316" s="1">
        <v>0.299</v>
      </c>
      <c r="BV1316" s="1">
        <v>0.832</v>
      </c>
      <c r="BW1316" s="1">
        <v>0.081</v>
      </c>
      <c r="BX1316" s="1">
        <v>0.669</v>
      </c>
      <c r="BY1316" s="1">
        <v>0.973</v>
      </c>
      <c r="BZ1316" s="1">
        <v>1.642</v>
      </c>
      <c r="CA1316" s="1">
        <v>0.891</v>
      </c>
      <c r="CB1316" s="1">
        <v>0.653</v>
      </c>
      <c r="CC1316" s="1">
        <v>0.0</v>
      </c>
      <c r="CD1316" s="1">
        <v>0.726</v>
      </c>
      <c r="CE1316" s="1">
        <v>0.71</v>
      </c>
      <c r="CF1316" s="1">
        <v>0.366</v>
      </c>
      <c r="CG1316" s="1">
        <v>2.455</v>
      </c>
      <c r="CH1316" s="1">
        <v>0.541</v>
      </c>
      <c r="CI1316" s="1">
        <v>7.0419</v>
      </c>
      <c r="CJ1316" s="1">
        <v>0.5545</v>
      </c>
      <c r="CK1316" s="1">
        <v>0.0</v>
      </c>
      <c r="CL1316" s="1">
        <v>0.0</v>
      </c>
      <c r="CM1316" s="1">
        <v>0.0</v>
      </c>
      <c r="CN1316" s="1">
        <v>0.0</v>
      </c>
      <c r="CO1316" s="1">
        <v>0.0</v>
      </c>
      <c r="CP1316" s="1">
        <v>0.0</v>
      </c>
      <c r="CQ1316" s="1">
        <v>0.0</v>
      </c>
      <c r="CR1316" s="1">
        <v>0.0</v>
      </c>
      <c r="CS1316" s="1">
        <v>0.0</v>
      </c>
      <c r="CT1316" s="1">
        <v>0.0</v>
      </c>
      <c r="CU1316" s="1">
        <v>1.0</v>
      </c>
      <c r="CV1316" s="1">
        <v>1.0</v>
      </c>
      <c r="CW1316" s="1">
        <v>0.0</v>
      </c>
      <c r="CX1316" s="1">
        <v>0.0</v>
      </c>
      <c r="CY1316" s="1">
        <v>0.0</v>
      </c>
      <c r="CZ1316" s="1">
        <v>0.0</v>
      </c>
      <c r="DA1316" s="1">
        <v>0.0</v>
      </c>
      <c r="DB1316" s="1">
        <v>0.0</v>
      </c>
      <c r="DC1316" s="1">
        <v>1.0</v>
      </c>
      <c r="DD1316" s="1" t="s">
        <v>5760</v>
      </c>
      <c r="DE1316" s="1">
        <v>2.05273853648939E-4</v>
      </c>
      <c r="DF1316" s="1">
        <v>0.0682714407663872</v>
      </c>
    </row>
    <row r="1317" ht="15.75" customHeight="1">
      <c r="A1317" s="1" t="s">
        <v>5761</v>
      </c>
      <c r="B1317" s="1">
        <v>29.0</v>
      </c>
      <c r="C1317" s="1">
        <v>510.0</v>
      </c>
      <c r="D1317" s="1">
        <v>101400.0</v>
      </c>
      <c r="E1317" s="1">
        <v>0.332</v>
      </c>
      <c r="F1317" s="1">
        <v>29510.0</v>
      </c>
      <c r="G1317" s="1">
        <v>2.95101014E10</v>
      </c>
      <c r="H1317" s="1" t="s">
        <v>112</v>
      </c>
      <c r="I1317" s="1" t="s">
        <v>113</v>
      </c>
      <c r="J1317" s="1" t="s">
        <v>5663</v>
      </c>
      <c r="K1317" s="1" t="s">
        <v>5762</v>
      </c>
      <c r="L1317" s="1">
        <v>2703.0</v>
      </c>
      <c r="M1317" s="1">
        <v>2483.0</v>
      </c>
      <c r="N1317" s="1">
        <v>298.0</v>
      </c>
      <c r="O1317" s="1">
        <v>1432.0</v>
      </c>
      <c r="P1317" s="1">
        <v>1392.0</v>
      </c>
      <c r="Q1317" s="1">
        <v>46.0</v>
      </c>
      <c r="R1317" s="1">
        <v>1221.0</v>
      </c>
      <c r="S1317" s="1">
        <v>386.0</v>
      </c>
      <c r="T1317" s="1">
        <v>188.0</v>
      </c>
      <c r="U1317" s="1">
        <v>143.0</v>
      </c>
      <c r="V1317" s="1">
        <v>419.0</v>
      </c>
      <c r="W1317" s="1">
        <v>21408.0</v>
      </c>
      <c r="X1317" s="1">
        <v>2999.0</v>
      </c>
      <c r="Y1317" s="1">
        <v>212.0</v>
      </c>
      <c r="Z1317" s="1">
        <v>335.0</v>
      </c>
      <c r="AA1317" s="1">
        <v>289.0</v>
      </c>
      <c r="AB1317" s="1">
        <v>575.0</v>
      </c>
      <c r="AC1317" s="1">
        <v>174.0</v>
      </c>
      <c r="AD1317" s="1">
        <v>1024.0</v>
      </c>
      <c r="AE1317" s="1">
        <v>86.0</v>
      </c>
      <c r="AF1317" s="1">
        <v>418.0</v>
      </c>
      <c r="AG1317" s="1">
        <v>31.0</v>
      </c>
      <c r="AH1317" s="1">
        <v>120.0</v>
      </c>
      <c r="AI1317" s="1">
        <v>15.0</v>
      </c>
      <c r="AJ1317" s="1">
        <v>25.0</v>
      </c>
      <c r="AK1317" s="1">
        <v>0.0</v>
      </c>
      <c r="AL1317" s="1">
        <v>161.0</v>
      </c>
      <c r="AM1317" s="1">
        <v>57.0</v>
      </c>
      <c r="AN1317" s="1">
        <v>53.0</v>
      </c>
      <c r="AO1317" s="1">
        <v>0.0</v>
      </c>
      <c r="AP1317" s="1">
        <v>0.155457</v>
      </c>
      <c r="AQ1317" s="1">
        <v>0.07338</v>
      </c>
      <c r="AR1317" s="1">
        <v>0.09862</v>
      </c>
      <c r="AS1317" s="1">
        <v>0.288195</v>
      </c>
      <c r="AT1317" s="1">
        <v>21408.0</v>
      </c>
      <c r="AU1317" s="1">
        <v>2999.0</v>
      </c>
      <c r="AV1317" s="1">
        <v>0.115468</v>
      </c>
      <c r="AW1317" s="1">
        <v>0.182102</v>
      </c>
      <c r="AX1317" s="1">
        <v>0.106918</v>
      </c>
      <c r="AY1317" s="1">
        <v>0.212726</v>
      </c>
      <c r="AZ1317" s="1">
        <v>0.14250614</v>
      </c>
      <c r="BA1317" s="1">
        <v>0.378838</v>
      </c>
      <c r="BB1317" s="1">
        <v>0.036409</v>
      </c>
      <c r="BC1317" s="1">
        <v>0.176917</v>
      </c>
      <c r="BD1317" s="1">
        <v>0.02227</v>
      </c>
      <c r="BE1317" s="1">
        <v>0.086203</v>
      </c>
      <c r="BF1317" s="1">
        <v>0.010775</v>
      </c>
      <c r="BG1317" s="1">
        <v>0.017956</v>
      </c>
      <c r="BH1317" s="1">
        <v>0.0</v>
      </c>
      <c r="BI1317" s="1">
        <v>0.139756</v>
      </c>
      <c r="BJ1317" s="1">
        <v>0.049479</v>
      </c>
      <c r="BK1317" s="1">
        <v>0.04581</v>
      </c>
      <c r="BL1317" s="1">
        <v>0.0</v>
      </c>
      <c r="BM1317" s="1">
        <v>0.598</v>
      </c>
      <c r="BN1317" s="1">
        <v>0.723</v>
      </c>
      <c r="BO1317" s="1">
        <v>0.5285</v>
      </c>
      <c r="BP1317" s="1">
        <v>0.407</v>
      </c>
      <c r="BQ1317" s="1">
        <v>2.2565</v>
      </c>
      <c r="BR1317" s="1">
        <v>0.587</v>
      </c>
      <c r="BS1317" s="1">
        <v>0.248</v>
      </c>
      <c r="BT1317" s="1">
        <v>0.247</v>
      </c>
      <c r="BU1317" s="1">
        <v>0.771</v>
      </c>
      <c r="BV1317" s="1">
        <v>1.266</v>
      </c>
      <c r="BW1317" s="1">
        <v>0.279</v>
      </c>
      <c r="BX1317" s="1">
        <v>0.832</v>
      </c>
      <c r="BY1317" s="1">
        <v>0.938</v>
      </c>
      <c r="BZ1317" s="1">
        <v>1.77</v>
      </c>
      <c r="CA1317" s="1">
        <v>0.951</v>
      </c>
      <c r="CB1317" s="1">
        <v>0.494</v>
      </c>
      <c r="CC1317" s="1">
        <v>0.463</v>
      </c>
      <c r="CD1317" s="1">
        <v>0.0</v>
      </c>
      <c r="CE1317" s="1">
        <v>0.484</v>
      </c>
      <c r="CF1317" s="1">
        <v>0.0</v>
      </c>
      <c r="CG1317" s="1">
        <v>1.441</v>
      </c>
      <c r="CH1317" s="1">
        <v>0.157</v>
      </c>
      <c r="CI1317" s="1">
        <v>6.7335</v>
      </c>
      <c r="CJ1317" s="1">
        <v>0.4975</v>
      </c>
      <c r="CK1317" s="1">
        <v>0.0</v>
      </c>
      <c r="CL1317" s="1">
        <v>0.0</v>
      </c>
      <c r="CM1317" s="1">
        <v>0.0</v>
      </c>
      <c r="CN1317" s="1">
        <v>0.0</v>
      </c>
      <c r="CO1317" s="1">
        <v>0.0</v>
      </c>
      <c r="CP1317" s="1">
        <v>0.0</v>
      </c>
      <c r="CQ1317" s="1">
        <v>0.0</v>
      </c>
      <c r="CR1317" s="1">
        <v>0.0</v>
      </c>
      <c r="CS1317" s="1">
        <v>0.0</v>
      </c>
      <c r="CT1317" s="1">
        <v>0.0</v>
      </c>
      <c r="CU1317" s="1">
        <v>1.0</v>
      </c>
      <c r="CV1317" s="1">
        <v>1.0</v>
      </c>
      <c r="CW1317" s="1">
        <v>0.0</v>
      </c>
      <c r="CX1317" s="1">
        <v>0.0</v>
      </c>
      <c r="CY1317" s="1">
        <v>0.0</v>
      </c>
      <c r="CZ1317" s="1">
        <v>0.0</v>
      </c>
      <c r="DA1317" s="1">
        <v>0.0</v>
      </c>
      <c r="DB1317" s="1">
        <v>0.0</v>
      </c>
      <c r="DC1317" s="1">
        <v>1.0</v>
      </c>
      <c r="DD1317" s="1" t="s">
        <v>5763</v>
      </c>
      <c r="DE1317" s="2" t="s">
        <v>5764</v>
      </c>
      <c r="DF1317" s="1">
        <v>0.0460704073181267</v>
      </c>
    </row>
    <row r="1318" ht="15.75" customHeight="1">
      <c r="A1318" s="1" t="s">
        <v>5765</v>
      </c>
      <c r="B1318" s="1">
        <v>29.0</v>
      </c>
      <c r="C1318" s="1">
        <v>510.0</v>
      </c>
      <c r="D1318" s="1">
        <v>101500.0</v>
      </c>
      <c r="E1318" s="1">
        <v>0.643</v>
      </c>
      <c r="F1318" s="1">
        <v>29510.0</v>
      </c>
      <c r="G1318" s="1">
        <v>2.95101015E10</v>
      </c>
      <c r="H1318" s="1" t="s">
        <v>112</v>
      </c>
      <c r="I1318" s="1" t="s">
        <v>113</v>
      </c>
      <c r="J1318" s="1" t="s">
        <v>5663</v>
      </c>
      <c r="K1318" s="1" t="s">
        <v>5766</v>
      </c>
      <c r="L1318" s="1">
        <v>3126.0</v>
      </c>
      <c r="M1318" s="1">
        <v>3730.0</v>
      </c>
      <c r="N1318" s="1">
        <v>386.0</v>
      </c>
      <c r="O1318" s="1">
        <v>1625.0</v>
      </c>
      <c r="P1318" s="1">
        <v>1641.0</v>
      </c>
      <c r="Q1318" s="1">
        <v>81.0</v>
      </c>
      <c r="R1318" s="1">
        <v>1372.0</v>
      </c>
      <c r="S1318" s="1">
        <v>870.0</v>
      </c>
      <c r="T1318" s="1">
        <v>297.0</v>
      </c>
      <c r="U1318" s="1">
        <v>416.0</v>
      </c>
      <c r="V1318" s="1">
        <v>339.0</v>
      </c>
      <c r="W1318" s="1">
        <v>14432.0</v>
      </c>
      <c r="X1318" s="1">
        <v>1735.0</v>
      </c>
      <c r="Y1318" s="1">
        <v>655.0</v>
      </c>
      <c r="Z1318" s="1">
        <v>253.0</v>
      </c>
      <c r="AA1318" s="1">
        <v>267.0</v>
      </c>
      <c r="AB1318" s="1">
        <v>709.0</v>
      </c>
      <c r="AC1318" s="1">
        <v>281.0</v>
      </c>
      <c r="AD1318" s="1">
        <v>1244.0</v>
      </c>
      <c r="AE1318" s="1">
        <v>76.0</v>
      </c>
      <c r="AF1318" s="1">
        <v>417.0</v>
      </c>
      <c r="AG1318" s="1">
        <v>154.0</v>
      </c>
      <c r="AH1318" s="1">
        <v>80.0</v>
      </c>
      <c r="AI1318" s="1">
        <v>28.0</v>
      </c>
      <c r="AJ1318" s="1">
        <v>45.0</v>
      </c>
      <c r="AK1318" s="1">
        <v>116.0</v>
      </c>
      <c r="AL1318" s="1">
        <v>132.0</v>
      </c>
      <c r="AM1318" s="1">
        <v>408.0</v>
      </c>
      <c r="AN1318" s="1">
        <v>123.0</v>
      </c>
      <c r="AO1318" s="1">
        <v>125.0</v>
      </c>
      <c r="AP1318" s="1">
        <v>0.239339</v>
      </c>
      <c r="AQ1318" s="1">
        <v>0.077276</v>
      </c>
      <c r="AR1318" s="1">
        <v>0.187556</v>
      </c>
      <c r="AS1318" s="1">
        <v>0.149478</v>
      </c>
      <c r="AT1318" s="1">
        <v>14432.0</v>
      </c>
      <c r="AU1318" s="1">
        <v>1735.0</v>
      </c>
      <c r="AV1318" s="1">
        <v>0.280995</v>
      </c>
      <c r="AW1318" s="1">
        <v>0.102163</v>
      </c>
      <c r="AX1318" s="1">
        <v>0.085412</v>
      </c>
      <c r="AY1318" s="1">
        <v>0.226807</v>
      </c>
      <c r="AZ1318" s="1">
        <v>0.20481049</v>
      </c>
      <c r="BA1318" s="1">
        <v>0.397952</v>
      </c>
      <c r="BB1318" s="1">
        <v>0.022734</v>
      </c>
      <c r="BC1318" s="1">
        <v>0.124714</v>
      </c>
      <c r="BD1318" s="1">
        <v>0.093845</v>
      </c>
      <c r="BE1318" s="1">
        <v>0.04853</v>
      </c>
      <c r="BF1318" s="1">
        <v>0.017062</v>
      </c>
      <c r="BG1318" s="1">
        <v>0.027409</v>
      </c>
      <c r="BH1318" s="1">
        <v>0.07754</v>
      </c>
      <c r="BI1318" s="1">
        <v>0.088073</v>
      </c>
      <c r="BJ1318" s="1">
        <v>0.272727</v>
      </c>
      <c r="BK1318" s="1">
        <v>0.080046</v>
      </c>
      <c r="BL1318" s="1">
        <v>0.039987</v>
      </c>
      <c r="BM1318" s="1">
        <v>0.807</v>
      </c>
      <c r="BN1318" s="1">
        <v>0.941</v>
      </c>
      <c r="BO1318" s="1">
        <v>0.8968</v>
      </c>
      <c r="BP1318" s="1">
        <v>0.922</v>
      </c>
      <c r="BQ1318" s="1">
        <v>3.5668</v>
      </c>
      <c r="BR1318" s="1">
        <v>0.935</v>
      </c>
      <c r="BS1318" s="1">
        <v>0.141</v>
      </c>
      <c r="BT1318" s="1">
        <v>0.357</v>
      </c>
      <c r="BU1318" s="1">
        <v>0.9</v>
      </c>
      <c r="BV1318" s="1">
        <v>1.398</v>
      </c>
      <c r="BW1318" s="1">
        <v>0.39</v>
      </c>
      <c r="BX1318" s="1">
        <v>0.841</v>
      </c>
      <c r="BY1318" s="1">
        <v>0.873</v>
      </c>
      <c r="BZ1318" s="1">
        <v>1.714</v>
      </c>
      <c r="CA1318" s="1">
        <v>0.93</v>
      </c>
      <c r="CB1318" s="1">
        <v>0.758</v>
      </c>
      <c r="CC1318" s="1">
        <v>0.497</v>
      </c>
      <c r="CD1318" s="1">
        <v>0.984</v>
      </c>
      <c r="CE1318" s="1">
        <v>0.957</v>
      </c>
      <c r="CF1318" s="1">
        <v>0.866</v>
      </c>
      <c r="CG1318" s="1">
        <v>4.062</v>
      </c>
      <c r="CH1318" s="1">
        <v>0.998</v>
      </c>
      <c r="CI1318" s="1">
        <v>10.7408</v>
      </c>
      <c r="CJ1318" s="1">
        <v>0.9834</v>
      </c>
      <c r="CK1318" s="1">
        <v>0.0</v>
      </c>
      <c r="CL1318" s="1">
        <v>1.0</v>
      </c>
      <c r="CM1318" s="1">
        <v>0.0</v>
      </c>
      <c r="CN1318" s="1">
        <v>1.0</v>
      </c>
      <c r="CO1318" s="1">
        <v>2.0</v>
      </c>
      <c r="CP1318" s="1">
        <v>0.0</v>
      </c>
      <c r="CQ1318" s="1">
        <v>0.0</v>
      </c>
      <c r="CR1318" s="1">
        <v>1.0</v>
      </c>
      <c r="CS1318" s="1">
        <v>1.0</v>
      </c>
      <c r="CT1318" s="1">
        <v>0.0</v>
      </c>
      <c r="CU1318" s="1">
        <v>0.0</v>
      </c>
      <c r="CV1318" s="1">
        <v>0.0</v>
      </c>
      <c r="CW1318" s="1">
        <v>0.0</v>
      </c>
      <c r="CX1318" s="1">
        <v>0.0</v>
      </c>
      <c r="CY1318" s="1">
        <v>1.0</v>
      </c>
      <c r="CZ1318" s="1">
        <v>1.0</v>
      </c>
      <c r="DA1318" s="1">
        <v>0.0</v>
      </c>
      <c r="DB1318" s="1">
        <v>2.0</v>
      </c>
      <c r="DC1318" s="1">
        <v>5.0</v>
      </c>
      <c r="DD1318" s="1" t="s">
        <v>5767</v>
      </c>
      <c r="DE1318" s="1">
        <v>1.79841752552244E-4</v>
      </c>
      <c r="DF1318" s="1">
        <v>0.065250070549018</v>
      </c>
    </row>
    <row r="1319" ht="15.75" customHeight="1">
      <c r="A1319" s="1" t="s">
        <v>5768</v>
      </c>
      <c r="B1319" s="1">
        <v>29.0</v>
      </c>
      <c r="C1319" s="1">
        <v>510.0</v>
      </c>
      <c r="D1319" s="1">
        <v>101800.0</v>
      </c>
      <c r="E1319" s="1">
        <v>0.977</v>
      </c>
      <c r="F1319" s="1">
        <v>29510.0</v>
      </c>
      <c r="G1319" s="1">
        <v>2.95101018E10</v>
      </c>
      <c r="H1319" s="1" t="s">
        <v>112</v>
      </c>
      <c r="I1319" s="1" t="s">
        <v>113</v>
      </c>
      <c r="J1319" s="1" t="s">
        <v>5663</v>
      </c>
      <c r="K1319" s="1" t="s">
        <v>5769</v>
      </c>
      <c r="L1319" s="1">
        <v>3092.0</v>
      </c>
      <c r="M1319" s="1">
        <v>3223.0</v>
      </c>
      <c r="N1319" s="1">
        <v>638.0</v>
      </c>
      <c r="O1319" s="1">
        <v>1600.0</v>
      </c>
      <c r="P1319" s="1">
        <v>1644.0</v>
      </c>
      <c r="Q1319" s="1">
        <v>95.0</v>
      </c>
      <c r="R1319" s="1">
        <v>1241.0</v>
      </c>
      <c r="S1319" s="1">
        <v>842.0</v>
      </c>
      <c r="T1319" s="1">
        <v>325.0</v>
      </c>
      <c r="U1319" s="1">
        <v>172.0</v>
      </c>
      <c r="V1319" s="1">
        <v>354.0</v>
      </c>
      <c r="W1319" s="1">
        <v>16289.0</v>
      </c>
      <c r="X1319" s="1">
        <v>2498.0</v>
      </c>
      <c r="Y1319" s="1">
        <v>768.0</v>
      </c>
      <c r="Z1319" s="1">
        <v>170.0</v>
      </c>
      <c r="AA1319" s="1">
        <v>313.0</v>
      </c>
      <c r="AB1319" s="1">
        <v>736.0</v>
      </c>
      <c r="AC1319" s="1">
        <v>231.0</v>
      </c>
      <c r="AD1319" s="1">
        <v>1242.0</v>
      </c>
      <c r="AE1319" s="1">
        <v>352.0</v>
      </c>
      <c r="AF1319" s="1">
        <v>418.0</v>
      </c>
      <c r="AG1319" s="1">
        <v>67.0</v>
      </c>
      <c r="AH1319" s="1">
        <v>172.0</v>
      </c>
      <c r="AI1319" s="1">
        <v>0.0</v>
      </c>
      <c r="AJ1319" s="1">
        <v>114.0</v>
      </c>
      <c r="AK1319" s="1">
        <v>102.0</v>
      </c>
      <c r="AL1319" s="1">
        <v>135.0</v>
      </c>
      <c r="AM1319" s="1">
        <v>310.0</v>
      </c>
      <c r="AN1319" s="1">
        <v>123.0</v>
      </c>
      <c r="AO1319" s="1">
        <v>67.0</v>
      </c>
      <c r="AP1319" s="1">
        <v>0.261734</v>
      </c>
      <c r="AQ1319" s="1">
        <v>0.086719</v>
      </c>
      <c r="AR1319" s="1">
        <v>0.107098</v>
      </c>
      <c r="AS1319" s="1">
        <v>0.219426</v>
      </c>
      <c r="AT1319" s="1">
        <v>16289.0</v>
      </c>
      <c r="AU1319" s="1">
        <v>2498.0</v>
      </c>
      <c r="AV1319" s="1">
        <v>0.357043</v>
      </c>
      <c r="AW1319" s="1">
        <v>0.055996</v>
      </c>
      <c r="AX1319" s="1">
        <v>0.101228</v>
      </c>
      <c r="AY1319" s="1">
        <v>0.238033</v>
      </c>
      <c r="AZ1319" s="1">
        <v>0.1861402</v>
      </c>
      <c r="BA1319" s="1">
        <v>0.401681</v>
      </c>
      <c r="BB1319" s="1">
        <v>0.120547</v>
      </c>
      <c r="BC1319" s="1">
        <v>0.141331</v>
      </c>
      <c r="BD1319" s="1">
        <v>0.040754</v>
      </c>
      <c r="BE1319" s="1">
        <v>0.104596</v>
      </c>
      <c r="BF1319" s="1">
        <v>0.0</v>
      </c>
      <c r="BG1319" s="1">
        <v>0.069343</v>
      </c>
      <c r="BH1319" s="1">
        <v>0.080314</v>
      </c>
      <c r="BI1319" s="1">
        <v>0.10596</v>
      </c>
      <c r="BJ1319" s="1">
        <v>0.244094</v>
      </c>
      <c r="BK1319" s="1">
        <v>0.093363</v>
      </c>
      <c r="BL1319" s="1">
        <v>0.021668</v>
      </c>
      <c r="BM1319" s="1">
        <v>0.846</v>
      </c>
      <c r="BN1319" s="1">
        <v>0.773</v>
      </c>
      <c r="BO1319" s="1">
        <v>0.8253</v>
      </c>
      <c r="BP1319" s="1">
        <v>0.981</v>
      </c>
      <c r="BQ1319" s="1">
        <v>3.4253</v>
      </c>
      <c r="BR1319" s="1">
        <v>0.9061</v>
      </c>
      <c r="BS1319" s="1">
        <v>0.217</v>
      </c>
      <c r="BT1319" s="1">
        <v>0.475</v>
      </c>
      <c r="BU1319" s="1">
        <v>0.876</v>
      </c>
      <c r="BV1319" s="1">
        <v>1.568</v>
      </c>
      <c r="BW1319" s="1">
        <v>0.537</v>
      </c>
      <c r="BX1319" s="1">
        <v>0.843</v>
      </c>
      <c r="BY1319" s="1">
        <v>0.987</v>
      </c>
      <c r="BZ1319" s="1">
        <v>1.83</v>
      </c>
      <c r="CA1319" s="1">
        <v>0.974</v>
      </c>
      <c r="CB1319" s="1">
        <v>0.613</v>
      </c>
      <c r="CC1319" s="1">
        <v>0.0</v>
      </c>
      <c r="CD1319" s="1">
        <v>0.989</v>
      </c>
      <c r="CE1319" s="1">
        <v>0.935</v>
      </c>
      <c r="CF1319" s="1">
        <v>0.73</v>
      </c>
      <c r="CG1319" s="1">
        <v>3.267</v>
      </c>
      <c r="CH1319" s="1">
        <v>0.864</v>
      </c>
      <c r="CI1319" s="1">
        <v>10.0903</v>
      </c>
      <c r="CJ1319" s="1">
        <v>0.9552</v>
      </c>
      <c r="CK1319" s="1">
        <v>0.0</v>
      </c>
      <c r="CL1319" s="1">
        <v>0.0</v>
      </c>
      <c r="CM1319" s="1">
        <v>0.0</v>
      </c>
      <c r="CN1319" s="1">
        <v>1.0</v>
      </c>
      <c r="CO1319" s="1">
        <v>1.0</v>
      </c>
      <c r="CP1319" s="1">
        <v>0.0</v>
      </c>
      <c r="CQ1319" s="1">
        <v>0.0</v>
      </c>
      <c r="CR1319" s="1">
        <v>0.0</v>
      </c>
      <c r="CS1319" s="1">
        <v>0.0</v>
      </c>
      <c r="CT1319" s="1">
        <v>0.0</v>
      </c>
      <c r="CU1319" s="1">
        <v>1.0</v>
      </c>
      <c r="CV1319" s="1">
        <v>1.0</v>
      </c>
      <c r="CW1319" s="1">
        <v>0.0</v>
      </c>
      <c r="CX1319" s="1">
        <v>0.0</v>
      </c>
      <c r="CY1319" s="1">
        <v>1.0</v>
      </c>
      <c r="CZ1319" s="1">
        <v>1.0</v>
      </c>
      <c r="DA1319" s="1">
        <v>0.0</v>
      </c>
      <c r="DB1319" s="1">
        <v>2.0</v>
      </c>
      <c r="DC1319" s="1">
        <v>4.0</v>
      </c>
      <c r="DD1319" s="1" t="s">
        <v>5770</v>
      </c>
      <c r="DE1319" s="1">
        <v>3.74643050020609E-4</v>
      </c>
      <c r="DF1319" s="1">
        <v>0.0961897163381543</v>
      </c>
    </row>
    <row r="1320" ht="15.75" customHeight="1">
      <c r="A1320" s="1" t="s">
        <v>5771</v>
      </c>
      <c r="B1320" s="1">
        <v>29.0</v>
      </c>
      <c r="C1320" s="1">
        <v>510.0</v>
      </c>
      <c r="D1320" s="1">
        <v>102200.0</v>
      </c>
      <c r="E1320" s="1">
        <v>0.986</v>
      </c>
      <c r="F1320" s="1">
        <v>29510.0</v>
      </c>
      <c r="G1320" s="1">
        <v>2.95101022E10</v>
      </c>
      <c r="H1320" s="1" t="s">
        <v>112</v>
      </c>
      <c r="I1320" s="1" t="s">
        <v>113</v>
      </c>
      <c r="J1320" s="1" t="s">
        <v>5663</v>
      </c>
      <c r="K1320" s="1" t="s">
        <v>5772</v>
      </c>
      <c r="L1320" s="1">
        <v>6028.0</v>
      </c>
      <c r="M1320" s="1">
        <v>6146.0</v>
      </c>
      <c r="N1320" s="1">
        <v>390.0</v>
      </c>
      <c r="O1320" s="1">
        <v>3135.0</v>
      </c>
      <c r="P1320" s="1">
        <v>3003.0</v>
      </c>
      <c r="Q1320" s="1">
        <v>63.0</v>
      </c>
      <c r="R1320" s="1">
        <v>2892.0</v>
      </c>
      <c r="S1320" s="1">
        <v>282.0</v>
      </c>
      <c r="T1320" s="1">
        <v>115.0</v>
      </c>
      <c r="U1320" s="1">
        <v>153.0</v>
      </c>
      <c r="V1320" s="1">
        <v>403.0</v>
      </c>
      <c r="W1320" s="1">
        <v>33925.0</v>
      </c>
      <c r="X1320" s="1">
        <v>2506.0</v>
      </c>
      <c r="Y1320" s="1">
        <v>384.0</v>
      </c>
      <c r="Z1320" s="1">
        <v>280.0</v>
      </c>
      <c r="AA1320" s="1">
        <v>996.0</v>
      </c>
      <c r="AB1320" s="1">
        <v>1025.0</v>
      </c>
      <c r="AC1320" s="1">
        <v>142.0</v>
      </c>
      <c r="AD1320" s="1">
        <v>452.0</v>
      </c>
      <c r="AE1320" s="1">
        <v>0.0</v>
      </c>
      <c r="AF1320" s="1">
        <v>456.0</v>
      </c>
      <c r="AG1320" s="1">
        <v>16.0</v>
      </c>
      <c r="AH1320" s="1">
        <v>163.0</v>
      </c>
      <c r="AI1320" s="1">
        <v>0.0</v>
      </c>
      <c r="AJ1320" s="1">
        <v>114.0</v>
      </c>
      <c r="AK1320" s="1">
        <v>11.0</v>
      </c>
      <c r="AL1320" s="1">
        <v>116.0</v>
      </c>
      <c r="AM1320" s="1">
        <v>155.0</v>
      </c>
      <c r="AN1320" s="1">
        <v>67.0</v>
      </c>
      <c r="AO1320" s="1">
        <v>4.0</v>
      </c>
      <c r="AP1320" s="1">
        <v>0.045883</v>
      </c>
      <c r="AQ1320" s="1">
        <v>0.018483</v>
      </c>
      <c r="AR1320" s="1">
        <v>0.042067</v>
      </c>
      <c r="AS1320" s="1">
        <v>0.11073</v>
      </c>
      <c r="AT1320" s="1">
        <v>33925.0</v>
      </c>
      <c r="AU1320" s="1">
        <v>2506.0</v>
      </c>
      <c r="AV1320" s="1">
        <v>0.083897</v>
      </c>
      <c r="AW1320" s="1">
        <v>0.0609</v>
      </c>
      <c r="AX1320" s="1">
        <v>0.165228</v>
      </c>
      <c r="AY1320" s="1">
        <v>0.170039</v>
      </c>
      <c r="AZ1320" s="1">
        <v>0.04910096</v>
      </c>
      <c r="BA1320" s="1">
        <v>0.074983</v>
      </c>
      <c r="BB1320" s="1">
        <v>0.0</v>
      </c>
      <c r="BC1320" s="1">
        <v>0.078431</v>
      </c>
      <c r="BD1320" s="1">
        <v>0.005328</v>
      </c>
      <c r="BE1320" s="1">
        <v>0.054278</v>
      </c>
      <c r="BF1320" s="1">
        <v>0.0</v>
      </c>
      <c r="BG1320" s="1">
        <v>0.037962</v>
      </c>
      <c r="BH1320" s="1">
        <v>0.003836</v>
      </c>
      <c r="BI1320" s="1">
        <v>0.04046</v>
      </c>
      <c r="BJ1320" s="1">
        <v>0.054063</v>
      </c>
      <c r="BK1320" s="1">
        <v>0.023264</v>
      </c>
      <c r="BL1320" s="1">
        <v>6.63E-4</v>
      </c>
      <c r="BM1320" s="1">
        <v>0.148</v>
      </c>
      <c r="BN1320" s="1">
        <v>0.207</v>
      </c>
      <c r="BO1320" s="1">
        <v>0.1292</v>
      </c>
      <c r="BP1320" s="1">
        <v>0.262</v>
      </c>
      <c r="BQ1320" s="1">
        <v>0.7462</v>
      </c>
      <c r="BR1320" s="1">
        <v>0.1394</v>
      </c>
      <c r="BS1320" s="1">
        <v>0.705</v>
      </c>
      <c r="BT1320" s="1">
        <v>0.102</v>
      </c>
      <c r="BU1320" s="1">
        <v>0.067</v>
      </c>
      <c r="BV1320" s="1">
        <v>0.874</v>
      </c>
      <c r="BW1320" s="1">
        <v>0.087</v>
      </c>
      <c r="BX1320" s="1">
        <v>0.377</v>
      </c>
      <c r="BY1320" s="1">
        <v>0.0</v>
      </c>
      <c r="BZ1320" s="1">
        <v>0.377</v>
      </c>
      <c r="CA1320" s="1">
        <v>0.152</v>
      </c>
      <c r="CB1320" s="1">
        <v>0.323</v>
      </c>
      <c r="CC1320" s="1">
        <v>0.0</v>
      </c>
      <c r="CD1320" s="1">
        <v>0.307</v>
      </c>
      <c r="CE1320" s="1">
        <v>0.521</v>
      </c>
      <c r="CF1320" s="1">
        <v>0.376</v>
      </c>
      <c r="CG1320" s="1">
        <v>1.527</v>
      </c>
      <c r="CH1320" s="1">
        <v>0.182</v>
      </c>
      <c r="CI1320" s="1">
        <v>3.5242</v>
      </c>
      <c r="CJ1320" s="1">
        <v>0.0455</v>
      </c>
      <c r="CK1320" s="1">
        <v>0.0</v>
      </c>
      <c r="CL1320" s="1">
        <v>0.0</v>
      </c>
      <c r="CM1320" s="1">
        <v>0.0</v>
      </c>
      <c r="CN1320" s="1">
        <v>0.0</v>
      </c>
      <c r="CO1320" s="1">
        <v>0.0</v>
      </c>
      <c r="CP1320" s="1">
        <v>0.0</v>
      </c>
      <c r="CQ1320" s="1">
        <v>0.0</v>
      </c>
      <c r="CR1320" s="1">
        <v>0.0</v>
      </c>
      <c r="CS1320" s="1">
        <v>0.0</v>
      </c>
      <c r="CT1320" s="1">
        <v>0.0</v>
      </c>
      <c r="CU1320" s="1">
        <v>0.0</v>
      </c>
      <c r="CV1320" s="1">
        <v>0.0</v>
      </c>
      <c r="CW1320" s="1">
        <v>0.0</v>
      </c>
      <c r="CX1320" s="1">
        <v>0.0</v>
      </c>
      <c r="CY1320" s="1">
        <v>0.0</v>
      </c>
      <c r="CZ1320" s="1">
        <v>0.0</v>
      </c>
      <c r="DA1320" s="1">
        <v>0.0</v>
      </c>
      <c r="DB1320" s="1">
        <v>0.0</v>
      </c>
      <c r="DC1320" s="1">
        <v>0.0</v>
      </c>
      <c r="DD1320" s="1" t="s">
        <v>5773</v>
      </c>
      <c r="DE1320" s="1">
        <v>2.68487561982561E-4</v>
      </c>
      <c r="DF1320" s="1">
        <v>0.0913183586453101</v>
      </c>
    </row>
    <row r="1321" ht="15.75" customHeight="1">
      <c r="A1321" s="1" t="s">
        <v>5774</v>
      </c>
      <c r="B1321" s="1">
        <v>29.0</v>
      </c>
      <c r="C1321" s="1">
        <v>510.0</v>
      </c>
      <c r="D1321" s="1">
        <v>102300.0</v>
      </c>
      <c r="E1321" s="1">
        <v>0.49</v>
      </c>
      <c r="F1321" s="1">
        <v>29510.0</v>
      </c>
      <c r="G1321" s="1">
        <v>2.95101023E10</v>
      </c>
      <c r="H1321" s="1" t="s">
        <v>112</v>
      </c>
      <c r="I1321" s="1" t="s">
        <v>113</v>
      </c>
      <c r="J1321" s="1" t="s">
        <v>5663</v>
      </c>
      <c r="K1321" s="1" t="s">
        <v>5775</v>
      </c>
      <c r="L1321" s="1">
        <v>1846.0</v>
      </c>
      <c r="M1321" s="1">
        <v>1777.0</v>
      </c>
      <c r="N1321" s="1">
        <v>129.0</v>
      </c>
      <c r="O1321" s="1">
        <v>927.0</v>
      </c>
      <c r="P1321" s="1">
        <v>888.0</v>
      </c>
      <c r="Q1321" s="1">
        <v>36.0</v>
      </c>
      <c r="R1321" s="1">
        <v>886.0</v>
      </c>
      <c r="S1321" s="1">
        <v>49.0</v>
      </c>
      <c r="T1321" s="1">
        <v>120.0</v>
      </c>
      <c r="U1321" s="1">
        <v>85.0</v>
      </c>
      <c r="V1321" s="1">
        <v>446.0</v>
      </c>
      <c r="W1321" s="1">
        <v>25657.0</v>
      </c>
      <c r="X1321" s="1">
        <v>2530.0</v>
      </c>
      <c r="Y1321" s="1">
        <v>204.0</v>
      </c>
      <c r="Z1321" s="1">
        <v>240.0</v>
      </c>
      <c r="AA1321" s="1">
        <v>297.0</v>
      </c>
      <c r="AB1321" s="1">
        <v>307.0</v>
      </c>
      <c r="AC1321" s="1">
        <v>61.0</v>
      </c>
      <c r="AD1321" s="1">
        <v>192.0</v>
      </c>
      <c r="AE1321" s="1">
        <v>5.0</v>
      </c>
      <c r="AF1321" s="1">
        <v>442.0</v>
      </c>
      <c r="AG1321" s="1">
        <v>0.0</v>
      </c>
      <c r="AH1321" s="1">
        <v>197.0</v>
      </c>
      <c r="AI1321" s="1">
        <v>8.0</v>
      </c>
      <c r="AJ1321" s="1">
        <v>12.0</v>
      </c>
      <c r="AK1321" s="1">
        <v>13.0</v>
      </c>
      <c r="AL1321" s="1">
        <v>116.0</v>
      </c>
      <c r="AM1321" s="1">
        <v>22.0</v>
      </c>
      <c r="AN1321" s="1">
        <v>116.0</v>
      </c>
      <c r="AO1321" s="1">
        <v>0.0</v>
      </c>
      <c r="AP1321" s="1">
        <v>0.027574</v>
      </c>
      <c r="AQ1321" s="1">
        <v>0.067499</v>
      </c>
      <c r="AR1321" s="1">
        <v>0.078485</v>
      </c>
      <c r="AS1321" s="1">
        <v>0.411329</v>
      </c>
      <c r="AT1321" s="1">
        <v>25657.0</v>
      </c>
      <c r="AU1321" s="1">
        <v>2530.0</v>
      </c>
      <c r="AV1321" s="1">
        <v>0.153846</v>
      </c>
      <c r="AW1321" s="1">
        <v>0.180561</v>
      </c>
      <c r="AX1321" s="1">
        <v>0.160888</v>
      </c>
      <c r="AY1321" s="1">
        <v>0.166305</v>
      </c>
      <c r="AZ1321" s="1">
        <v>0.06884875</v>
      </c>
      <c r="BA1321" s="1">
        <v>0.104008</v>
      </c>
      <c r="BB1321" s="1">
        <v>0.002999</v>
      </c>
      <c r="BC1321" s="1">
        <v>0.265146</v>
      </c>
      <c r="BD1321" s="1">
        <v>0.0</v>
      </c>
      <c r="BE1321" s="1">
        <v>0.221846</v>
      </c>
      <c r="BF1321" s="1">
        <v>0.009009</v>
      </c>
      <c r="BG1321" s="1">
        <v>0.013508</v>
      </c>
      <c r="BH1321" s="1">
        <v>0.015063</v>
      </c>
      <c r="BI1321" s="1">
        <v>0.134412</v>
      </c>
      <c r="BJ1321" s="1">
        <v>0.025492</v>
      </c>
      <c r="BK1321" s="1">
        <v>0.134408</v>
      </c>
      <c r="BL1321" s="1">
        <v>0.0</v>
      </c>
      <c r="BM1321" s="1">
        <v>0.078</v>
      </c>
      <c r="BN1321" s="1">
        <v>0.597</v>
      </c>
      <c r="BO1321" s="1">
        <v>0.3213</v>
      </c>
      <c r="BP1321" s="1">
        <v>0.582</v>
      </c>
      <c r="BQ1321" s="1">
        <v>1.5783</v>
      </c>
      <c r="BR1321" s="1">
        <v>0.3646</v>
      </c>
      <c r="BS1321" s="1">
        <v>0.671</v>
      </c>
      <c r="BT1321" s="1">
        <v>0.094</v>
      </c>
      <c r="BU1321" s="1">
        <v>0.205</v>
      </c>
      <c r="BV1321" s="1">
        <v>0.97</v>
      </c>
      <c r="BW1321" s="1">
        <v>0.104</v>
      </c>
      <c r="BX1321" s="1">
        <v>0.485</v>
      </c>
      <c r="BY1321" s="1">
        <v>0.449</v>
      </c>
      <c r="BZ1321" s="1">
        <v>0.934</v>
      </c>
      <c r="CA1321" s="1">
        <v>0.494</v>
      </c>
      <c r="CB1321" s="1">
        <v>0.0</v>
      </c>
      <c r="CC1321" s="1">
        <v>0.453</v>
      </c>
      <c r="CD1321" s="1">
        <v>0.598</v>
      </c>
      <c r="CE1321" s="1">
        <v>0.245</v>
      </c>
      <c r="CF1321" s="1">
        <v>0.0</v>
      </c>
      <c r="CG1321" s="1">
        <v>1.296</v>
      </c>
      <c r="CH1321" s="1">
        <v>0.124</v>
      </c>
      <c r="CI1321" s="1">
        <v>4.7783</v>
      </c>
      <c r="CJ1321" s="1">
        <v>0.1733</v>
      </c>
      <c r="CK1321" s="1">
        <v>0.0</v>
      </c>
      <c r="CL1321" s="1">
        <v>0.0</v>
      </c>
      <c r="CM1321" s="1">
        <v>0.0</v>
      </c>
      <c r="CN1321" s="1">
        <v>0.0</v>
      </c>
      <c r="CO1321" s="1">
        <v>0.0</v>
      </c>
      <c r="CP1321" s="1">
        <v>0.0</v>
      </c>
      <c r="CQ1321" s="1">
        <v>0.0</v>
      </c>
      <c r="CR1321" s="1">
        <v>0.0</v>
      </c>
      <c r="CS1321" s="1">
        <v>0.0</v>
      </c>
      <c r="CT1321" s="1">
        <v>0.0</v>
      </c>
      <c r="CU1321" s="1">
        <v>0.0</v>
      </c>
      <c r="CV1321" s="1">
        <v>0.0</v>
      </c>
      <c r="CW1321" s="1">
        <v>0.0</v>
      </c>
      <c r="CX1321" s="1">
        <v>0.0</v>
      </c>
      <c r="CY1321" s="1">
        <v>0.0</v>
      </c>
      <c r="CZ1321" s="1">
        <v>0.0</v>
      </c>
      <c r="DA1321" s="1">
        <v>0.0</v>
      </c>
      <c r="DB1321" s="1">
        <v>0.0</v>
      </c>
      <c r="DC1321" s="1">
        <v>0.0</v>
      </c>
      <c r="DD1321" s="1" t="s">
        <v>5776</v>
      </c>
      <c r="DE1321" s="1">
        <v>1.3660767657913E-4</v>
      </c>
      <c r="DF1321" s="1">
        <v>0.049705846949287</v>
      </c>
    </row>
    <row r="1322" ht="15.75" customHeight="1">
      <c r="A1322" s="1" t="s">
        <v>5777</v>
      </c>
      <c r="B1322" s="1">
        <v>29.0</v>
      </c>
      <c r="C1322" s="1">
        <v>510.0</v>
      </c>
      <c r="D1322" s="1">
        <v>103600.0</v>
      </c>
      <c r="E1322" s="1">
        <v>0.53</v>
      </c>
      <c r="F1322" s="1">
        <v>29510.0</v>
      </c>
      <c r="G1322" s="1">
        <v>2.95101036E10</v>
      </c>
      <c r="H1322" s="1" t="s">
        <v>112</v>
      </c>
      <c r="I1322" s="1" t="s">
        <v>113</v>
      </c>
      <c r="J1322" s="1" t="s">
        <v>5663</v>
      </c>
      <c r="K1322" s="1" t="s">
        <v>5778</v>
      </c>
      <c r="L1322" s="1">
        <v>1329.0</v>
      </c>
      <c r="M1322" s="1">
        <v>1356.0</v>
      </c>
      <c r="N1322" s="1">
        <v>185.0</v>
      </c>
      <c r="O1322" s="1">
        <v>696.0</v>
      </c>
      <c r="P1322" s="1">
        <v>702.0</v>
      </c>
      <c r="Q1322" s="1">
        <v>21.0</v>
      </c>
      <c r="R1322" s="1">
        <v>646.0</v>
      </c>
      <c r="S1322" s="1">
        <v>175.0</v>
      </c>
      <c r="T1322" s="1">
        <v>95.0</v>
      </c>
      <c r="U1322" s="1">
        <v>74.0</v>
      </c>
      <c r="V1322" s="1">
        <v>444.0</v>
      </c>
      <c r="W1322" s="1">
        <v>26693.0</v>
      </c>
      <c r="X1322" s="1">
        <v>4832.0</v>
      </c>
      <c r="Y1322" s="1">
        <v>144.0</v>
      </c>
      <c r="Z1322" s="1">
        <v>328.0</v>
      </c>
      <c r="AA1322" s="1">
        <v>159.0</v>
      </c>
      <c r="AB1322" s="1">
        <v>229.0</v>
      </c>
      <c r="AC1322" s="1">
        <v>40.0</v>
      </c>
      <c r="AD1322" s="1">
        <v>166.0</v>
      </c>
      <c r="AE1322" s="1">
        <v>0.0</v>
      </c>
      <c r="AF1322" s="1">
        <v>456.0</v>
      </c>
      <c r="AG1322" s="1">
        <v>109.0</v>
      </c>
      <c r="AH1322" s="1">
        <v>138.0</v>
      </c>
      <c r="AI1322" s="1">
        <v>0.0</v>
      </c>
      <c r="AJ1322" s="1">
        <v>114.0</v>
      </c>
      <c r="AK1322" s="1">
        <v>12.0</v>
      </c>
      <c r="AL1322" s="1">
        <v>115.0</v>
      </c>
      <c r="AM1322" s="1">
        <v>57.0</v>
      </c>
      <c r="AN1322" s="1">
        <v>45.0</v>
      </c>
      <c r="AO1322" s="1">
        <v>0.0</v>
      </c>
      <c r="AP1322" s="1">
        <v>0.129056</v>
      </c>
      <c r="AQ1322" s="1">
        <v>0.06781</v>
      </c>
      <c r="AR1322" s="1">
        <v>0.090909</v>
      </c>
      <c r="AS1322" s="1">
        <v>0.544811</v>
      </c>
      <c r="AT1322" s="1">
        <v>26693.0</v>
      </c>
      <c r="AU1322" s="1">
        <v>4832.0</v>
      </c>
      <c r="AV1322" s="1">
        <v>0.143712</v>
      </c>
      <c r="AW1322" s="1">
        <v>0.326772</v>
      </c>
      <c r="AX1322" s="1">
        <v>0.119638</v>
      </c>
      <c r="AY1322" s="1">
        <v>0.17231</v>
      </c>
      <c r="AZ1322" s="1">
        <v>0.0619195</v>
      </c>
      <c r="BA1322" s="1">
        <v>0.124905</v>
      </c>
      <c r="BB1322" s="1">
        <v>0.0</v>
      </c>
      <c r="BC1322" s="1">
        <v>0.35625</v>
      </c>
      <c r="BD1322" s="1">
        <v>0.15527</v>
      </c>
      <c r="BE1322" s="1">
        <v>0.196526</v>
      </c>
      <c r="BF1322" s="1">
        <v>0.0</v>
      </c>
      <c r="BG1322" s="1">
        <v>0.162393</v>
      </c>
      <c r="BH1322" s="1">
        <v>0.0192</v>
      </c>
      <c r="BI1322" s="1">
        <v>0.183983</v>
      </c>
      <c r="BJ1322" s="1">
        <v>0.0912</v>
      </c>
      <c r="BK1322" s="1">
        <v>0.071047</v>
      </c>
      <c r="BL1322" s="1">
        <v>0.0</v>
      </c>
      <c r="BM1322" s="1">
        <v>0.492</v>
      </c>
      <c r="BN1322" s="1">
        <v>0.686</v>
      </c>
      <c r="BO1322" s="1">
        <v>0.2946</v>
      </c>
      <c r="BP1322" s="1">
        <v>0.542</v>
      </c>
      <c r="BQ1322" s="1">
        <v>2.0146</v>
      </c>
      <c r="BR1322" s="1">
        <v>0.4996</v>
      </c>
      <c r="BS1322" s="1">
        <v>0.342</v>
      </c>
      <c r="BT1322" s="1">
        <v>0.107</v>
      </c>
      <c r="BU1322" s="1">
        <v>0.147</v>
      </c>
      <c r="BV1322" s="1">
        <v>0.596</v>
      </c>
      <c r="BW1322" s="1">
        <v>0.042</v>
      </c>
      <c r="BX1322" s="1">
        <v>0.547</v>
      </c>
      <c r="BY1322" s="1">
        <v>0.0</v>
      </c>
      <c r="BZ1322" s="1">
        <v>0.547</v>
      </c>
      <c r="CA1322" s="1">
        <v>0.239</v>
      </c>
      <c r="CB1322" s="1">
        <v>0.847</v>
      </c>
      <c r="CC1322" s="1">
        <v>0.0</v>
      </c>
      <c r="CD1322" s="1">
        <v>0.666</v>
      </c>
      <c r="CE1322" s="1">
        <v>0.723</v>
      </c>
      <c r="CF1322" s="1">
        <v>0.0</v>
      </c>
      <c r="CG1322" s="1">
        <v>2.236</v>
      </c>
      <c r="CH1322" s="1">
        <v>0.433</v>
      </c>
      <c r="CI1322" s="1">
        <v>5.3936</v>
      </c>
      <c r="CJ1322" s="1">
        <v>0.2628</v>
      </c>
      <c r="CK1322" s="1">
        <v>0.0</v>
      </c>
      <c r="CL1322" s="1">
        <v>0.0</v>
      </c>
      <c r="CM1322" s="1">
        <v>0.0</v>
      </c>
      <c r="CN1322" s="1">
        <v>0.0</v>
      </c>
      <c r="CO1322" s="1">
        <v>0.0</v>
      </c>
      <c r="CP1322" s="1">
        <v>0.0</v>
      </c>
      <c r="CQ1322" s="1">
        <v>0.0</v>
      </c>
      <c r="CR1322" s="1">
        <v>0.0</v>
      </c>
      <c r="CS1322" s="1">
        <v>0.0</v>
      </c>
      <c r="CT1322" s="1">
        <v>0.0</v>
      </c>
      <c r="CU1322" s="1">
        <v>0.0</v>
      </c>
      <c r="CV1322" s="1">
        <v>0.0</v>
      </c>
      <c r="CW1322" s="1">
        <v>0.0</v>
      </c>
      <c r="CX1322" s="1">
        <v>0.0</v>
      </c>
      <c r="CY1322" s="1">
        <v>0.0</v>
      </c>
      <c r="CZ1322" s="1">
        <v>0.0</v>
      </c>
      <c r="DA1322" s="1">
        <v>0.0</v>
      </c>
      <c r="DB1322" s="1">
        <v>0.0</v>
      </c>
      <c r="DC1322" s="1">
        <v>0.0</v>
      </c>
      <c r="DD1322" s="1" t="s">
        <v>5779</v>
      </c>
      <c r="DE1322" s="1">
        <v>1.4182301000388E-4</v>
      </c>
      <c r="DF1322" s="1">
        <v>0.0567475552572845</v>
      </c>
    </row>
    <row r="1323" ht="15.75" customHeight="1">
      <c r="A1323" s="1" t="s">
        <v>5780</v>
      </c>
      <c r="B1323" s="1">
        <v>29.0</v>
      </c>
      <c r="C1323" s="1">
        <v>510.0</v>
      </c>
      <c r="D1323" s="1">
        <v>105200.0</v>
      </c>
      <c r="E1323" s="1">
        <v>0.321</v>
      </c>
      <c r="F1323" s="1">
        <v>29510.0</v>
      </c>
      <c r="G1323" s="1">
        <v>2.95101052E10</v>
      </c>
      <c r="H1323" s="1" t="s">
        <v>112</v>
      </c>
      <c r="I1323" s="1" t="s">
        <v>113</v>
      </c>
      <c r="J1323" s="1" t="s">
        <v>5663</v>
      </c>
      <c r="K1323" s="1" t="s">
        <v>5781</v>
      </c>
      <c r="L1323" s="1">
        <v>2675.0</v>
      </c>
      <c r="M1323" s="1">
        <v>2531.0</v>
      </c>
      <c r="N1323" s="1">
        <v>280.0</v>
      </c>
      <c r="O1323" s="1">
        <v>1647.0</v>
      </c>
      <c r="P1323" s="1">
        <v>1640.0</v>
      </c>
      <c r="Q1323" s="1">
        <v>74.0</v>
      </c>
      <c r="R1323" s="1">
        <v>1434.0</v>
      </c>
      <c r="S1323" s="1">
        <v>501.0</v>
      </c>
      <c r="T1323" s="1">
        <v>171.0</v>
      </c>
      <c r="U1323" s="1">
        <v>166.0</v>
      </c>
      <c r="V1323" s="1">
        <v>370.0</v>
      </c>
      <c r="W1323" s="1">
        <v>29647.0</v>
      </c>
      <c r="X1323" s="1">
        <v>3519.0</v>
      </c>
      <c r="Y1323" s="1">
        <v>100.0</v>
      </c>
      <c r="Z1323" s="1">
        <v>347.0</v>
      </c>
      <c r="AA1323" s="1">
        <v>311.0</v>
      </c>
      <c r="AB1323" s="1">
        <v>356.0</v>
      </c>
      <c r="AC1323" s="1">
        <v>129.0</v>
      </c>
      <c r="AD1323" s="1">
        <v>1722.0</v>
      </c>
      <c r="AE1323" s="1">
        <v>58.0</v>
      </c>
      <c r="AF1323" s="1">
        <v>414.0</v>
      </c>
      <c r="AG1323" s="1">
        <v>842.0</v>
      </c>
      <c r="AH1323" s="1">
        <v>149.0</v>
      </c>
      <c r="AI1323" s="1">
        <v>0.0</v>
      </c>
      <c r="AJ1323" s="1">
        <v>114.0</v>
      </c>
      <c r="AK1323" s="1">
        <v>20.0</v>
      </c>
      <c r="AL1323" s="1">
        <v>116.0</v>
      </c>
      <c r="AM1323" s="1">
        <v>282.0</v>
      </c>
      <c r="AN1323" s="1">
        <v>88.0</v>
      </c>
      <c r="AO1323" s="1">
        <v>0.0</v>
      </c>
      <c r="AP1323" s="1">
        <v>0.197945</v>
      </c>
      <c r="AQ1323" s="1">
        <v>0.063914</v>
      </c>
      <c r="AR1323" s="1">
        <v>0.115438</v>
      </c>
      <c r="AS1323" s="1">
        <v>0.256282</v>
      </c>
      <c r="AT1323" s="1">
        <v>29647.0</v>
      </c>
      <c r="AU1323" s="1">
        <v>3519.0</v>
      </c>
      <c r="AV1323" s="1">
        <v>0.051679</v>
      </c>
      <c r="AW1323" s="1">
        <v>0.17921</v>
      </c>
      <c r="AX1323" s="1">
        <v>0.116261</v>
      </c>
      <c r="AY1323" s="1">
        <v>0.133084</v>
      </c>
      <c r="AZ1323" s="1">
        <v>0.08995815</v>
      </c>
      <c r="BA1323" s="1">
        <v>0.643738</v>
      </c>
      <c r="BB1323" s="1">
        <v>0.024308</v>
      </c>
      <c r="BC1323" s="1">
        <v>0.173489</v>
      </c>
      <c r="BD1323" s="1">
        <v>0.513414</v>
      </c>
      <c r="BE1323" s="1">
        <v>0.08785</v>
      </c>
      <c r="BF1323" s="1">
        <v>0.0</v>
      </c>
      <c r="BG1323" s="1">
        <v>0.069512</v>
      </c>
      <c r="BH1323" s="1">
        <v>0.014771</v>
      </c>
      <c r="BI1323" s="1">
        <v>0.085661</v>
      </c>
      <c r="BJ1323" s="1">
        <v>0.208271</v>
      </c>
      <c r="BK1323" s="1">
        <v>0.06213</v>
      </c>
      <c r="BL1323" s="1">
        <v>0.0</v>
      </c>
      <c r="BM1323" s="1">
        <v>0.725</v>
      </c>
      <c r="BN1323" s="1">
        <v>0.805</v>
      </c>
      <c r="BO1323" s="1">
        <v>0.2051</v>
      </c>
      <c r="BP1323" s="1">
        <v>0.134</v>
      </c>
      <c r="BQ1323" s="1">
        <v>1.8691</v>
      </c>
      <c r="BR1323" s="1">
        <v>0.4534</v>
      </c>
      <c r="BS1323" s="1">
        <v>0.318</v>
      </c>
      <c r="BT1323" s="1">
        <v>0.045</v>
      </c>
      <c r="BU1323" s="1">
        <v>0.4</v>
      </c>
      <c r="BV1323" s="1">
        <v>0.763</v>
      </c>
      <c r="BW1323" s="1">
        <v>0.071</v>
      </c>
      <c r="BX1323" s="1">
        <v>0.889</v>
      </c>
      <c r="BY1323" s="1">
        <v>0.885</v>
      </c>
      <c r="BZ1323" s="1">
        <v>1.774</v>
      </c>
      <c r="CA1323" s="1">
        <v>0.953</v>
      </c>
      <c r="CB1323" s="1">
        <v>0.982</v>
      </c>
      <c r="CC1323" s="1">
        <v>0.0</v>
      </c>
      <c r="CD1323" s="1">
        <v>0.59</v>
      </c>
      <c r="CE1323" s="1">
        <v>0.912</v>
      </c>
      <c r="CF1323" s="1">
        <v>0.0</v>
      </c>
      <c r="CG1323" s="1">
        <v>2.484</v>
      </c>
      <c r="CH1323" s="1">
        <v>0.554</v>
      </c>
      <c r="CI1323" s="1">
        <v>6.8901</v>
      </c>
      <c r="CJ1323" s="1">
        <v>0.5292</v>
      </c>
      <c r="CK1323" s="1">
        <v>0.0</v>
      </c>
      <c r="CL1323" s="1">
        <v>0.0</v>
      </c>
      <c r="CM1323" s="1">
        <v>0.0</v>
      </c>
      <c r="CN1323" s="1">
        <v>0.0</v>
      </c>
      <c r="CO1323" s="1">
        <v>0.0</v>
      </c>
      <c r="CP1323" s="1">
        <v>0.0</v>
      </c>
      <c r="CQ1323" s="1">
        <v>0.0</v>
      </c>
      <c r="CR1323" s="1">
        <v>0.0</v>
      </c>
      <c r="CS1323" s="1">
        <v>0.0</v>
      </c>
      <c r="CT1323" s="1">
        <v>0.0</v>
      </c>
      <c r="CU1323" s="1">
        <v>0.0</v>
      </c>
      <c r="CV1323" s="1">
        <v>0.0</v>
      </c>
      <c r="CW1323" s="1">
        <v>1.0</v>
      </c>
      <c r="CX1323" s="1">
        <v>0.0</v>
      </c>
      <c r="CY1323" s="1">
        <v>0.0</v>
      </c>
      <c r="CZ1323" s="1">
        <v>1.0</v>
      </c>
      <c r="DA1323" s="1">
        <v>0.0</v>
      </c>
      <c r="DB1323" s="1">
        <v>2.0</v>
      </c>
      <c r="DC1323" s="1">
        <v>2.0</v>
      </c>
      <c r="DD1323" s="1" t="s">
        <v>5782</v>
      </c>
      <c r="DE1323" s="2" t="s">
        <v>5783</v>
      </c>
      <c r="DF1323" s="1">
        <v>0.0393742247837019</v>
      </c>
    </row>
    <row r="1324" ht="15.75" customHeight="1">
      <c r="A1324" s="1" t="s">
        <v>5784</v>
      </c>
      <c r="B1324" s="1">
        <v>29.0</v>
      </c>
      <c r="C1324" s="1">
        <v>510.0</v>
      </c>
      <c r="D1324" s="1">
        <v>105300.0</v>
      </c>
      <c r="E1324" s="1">
        <v>0.37</v>
      </c>
      <c r="F1324" s="1">
        <v>29510.0</v>
      </c>
      <c r="G1324" s="1">
        <v>2.95101053E10</v>
      </c>
      <c r="H1324" s="1" t="s">
        <v>112</v>
      </c>
      <c r="I1324" s="1" t="s">
        <v>113</v>
      </c>
      <c r="J1324" s="1" t="s">
        <v>5663</v>
      </c>
      <c r="K1324" s="1" t="s">
        <v>5785</v>
      </c>
      <c r="L1324" s="1">
        <v>2203.0</v>
      </c>
      <c r="M1324" s="1">
        <v>2184.0</v>
      </c>
      <c r="N1324" s="1">
        <v>245.0</v>
      </c>
      <c r="O1324" s="1">
        <v>1539.0</v>
      </c>
      <c r="P1324" s="1">
        <v>1506.0</v>
      </c>
      <c r="Q1324" s="1">
        <v>72.0</v>
      </c>
      <c r="R1324" s="1">
        <v>1072.0</v>
      </c>
      <c r="S1324" s="1">
        <v>1048.0</v>
      </c>
      <c r="T1324" s="1">
        <v>327.0</v>
      </c>
      <c r="U1324" s="1">
        <v>277.0</v>
      </c>
      <c r="V1324" s="1">
        <v>396.0</v>
      </c>
      <c r="W1324" s="1">
        <v>15086.0</v>
      </c>
      <c r="X1324" s="1">
        <v>3384.0</v>
      </c>
      <c r="Y1324" s="1">
        <v>406.0</v>
      </c>
      <c r="Z1324" s="1">
        <v>312.0</v>
      </c>
      <c r="AA1324" s="1">
        <v>313.0</v>
      </c>
      <c r="AB1324" s="1">
        <v>459.0</v>
      </c>
      <c r="AC1324" s="1">
        <v>189.0</v>
      </c>
      <c r="AD1324" s="1">
        <v>2072.0</v>
      </c>
      <c r="AE1324" s="1">
        <v>0.0</v>
      </c>
      <c r="AF1324" s="1">
        <v>456.0</v>
      </c>
      <c r="AG1324" s="1">
        <v>569.0</v>
      </c>
      <c r="AH1324" s="1">
        <v>143.0</v>
      </c>
      <c r="AI1324" s="1">
        <v>35.0</v>
      </c>
      <c r="AJ1324" s="1">
        <v>46.0</v>
      </c>
      <c r="AK1324" s="1">
        <v>27.0</v>
      </c>
      <c r="AL1324" s="1">
        <v>116.0</v>
      </c>
      <c r="AM1324" s="1">
        <v>457.0</v>
      </c>
      <c r="AN1324" s="1">
        <v>116.0</v>
      </c>
      <c r="AO1324" s="1">
        <v>0.0</v>
      </c>
      <c r="AP1324" s="1">
        <v>0.479853</v>
      </c>
      <c r="AQ1324" s="1">
        <v>0.139714</v>
      </c>
      <c r="AR1324" s="1">
        <v>0.265834</v>
      </c>
      <c r="AS1324" s="1">
        <v>0.372918</v>
      </c>
      <c r="AT1324" s="1">
        <v>15086.0</v>
      </c>
      <c r="AU1324" s="1">
        <v>3384.0</v>
      </c>
      <c r="AV1324" s="1">
        <v>0.279807</v>
      </c>
      <c r="AW1324" s="1">
        <v>0.212266</v>
      </c>
      <c r="AX1324" s="1">
        <v>0.142078</v>
      </c>
      <c r="AY1324" s="1">
        <v>0.208352</v>
      </c>
      <c r="AZ1324" s="1">
        <v>0.17630597</v>
      </c>
      <c r="BA1324" s="1">
        <v>0.940535</v>
      </c>
      <c r="BB1324" s="1">
        <v>0.0</v>
      </c>
      <c r="BC1324" s="1">
        <v>0.234809</v>
      </c>
      <c r="BD1324" s="1">
        <v>0.377822</v>
      </c>
      <c r="BE1324" s="1">
        <v>0.093219</v>
      </c>
      <c r="BF1324" s="1">
        <v>0.02324</v>
      </c>
      <c r="BG1324" s="1">
        <v>0.030524</v>
      </c>
      <c r="BH1324" s="1">
        <v>0.024064</v>
      </c>
      <c r="BI1324" s="1">
        <v>0.103358</v>
      </c>
      <c r="BJ1324" s="1">
        <v>0.407308</v>
      </c>
      <c r="BK1324" s="1">
        <v>0.095056</v>
      </c>
      <c r="BL1324" s="1">
        <v>0.0</v>
      </c>
      <c r="BM1324" s="1">
        <v>0.984</v>
      </c>
      <c r="BN1324" s="1">
        <v>0.983</v>
      </c>
      <c r="BO1324" s="1">
        <v>0.8722</v>
      </c>
      <c r="BP1324" s="1">
        <v>0.92</v>
      </c>
      <c r="BQ1324" s="1">
        <v>3.7592</v>
      </c>
      <c r="BR1324" s="1">
        <v>0.9726</v>
      </c>
      <c r="BS1324" s="1">
        <v>0.517</v>
      </c>
      <c r="BT1324" s="1">
        <v>0.228</v>
      </c>
      <c r="BU1324" s="1">
        <v>0.858</v>
      </c>
      <c r="BV1324" s="1">
        <v>1.603</v>
      </c>
      <c r="BW1324" s="1">
        <v>0.568</v>
      </c>
      <c r="BX1324" s="1">
        <v>0.954</v>
      </c>
      <c r="BY1324" s="1">
        <v>0.0</v>
      </c>
      <c r="BZ1324" s="1">
        <v>0.954</v>
      </c>
      <c r="CA1324" s="1">
        <v>0.513</v>
      </c>
      <c r="CB1324" s="1">
        <v>0.965</v>
      </c>
      <c r="CC1324" s="1">
        <v>0.529</v>
      </c>
      <c r="CD1324" s="1">
        <v>0.743</v>
      </c>
      <c r="CE1324" s="1">
        <v>0.987</v>
      </c>
      <c r="CF1324" s="1">
        <v>0.0</v>
      </c>
      <c r="CG1324" s="1">
        <v>3.224</v>
      </c>
      <c r="CH1324" s="1">
        <v>0.849</v>
      </c>
      <c r="CI1324" s="1">
        <v>9.5402</v>
      </c>
      <c r="CJ1324" s="1">
        <v>0.9097</v>
      </c>
      <c r="CK1324" s="1">
        <v>1.0</v>
      </c>
      <c r="CL1324" s="1">
        <v>1.0</v>
      </c>
      <c r="CM1324" s="1">
        <v>0.0</v>
      </c>
      <c r="CN1324" s="1">
        <v>1.0</v>
      </c>
      <c r="CO1324" s="1">
        <v>3.0</v>
      </c>
      <c r="CP1324" s="1">
        <v>0.0</v>
      </c>
      <c r="CQ1324" s="1">
        <v>0.0</v>
      </c>
      <c r="CR1324" s="1">
        <v>0.0</v>
      </c>
      <c r="CS1324" s="1">
        <v>0.0</v>
      </c>
      <c r="CT1324" s="1">
        <v>1.0</v>
      </c>
      <c r="CU1324" s="1">
        <v>0.0</v>
      </c>
      <c r="CV1324" s="1">
        <v>1.0</v>
      </c>
      <c r="CW1324" s="1">
        <v>1.0</v>
      </c>
      <c r="CX1324" s="1">
        <v>0.0</v>
      </c>
      <c r="CY1324" s="1">
        <v>0.0</v>
      </c>
      <c r="CZ1324" s="1">
        <v>1.0</v>
      </c>
      <c r="DA1324" s="1">
        <v>0.0</v>
      </c>
      <c r="DB1324" s="1">
        <v>2.0</v>
      </c>
      <c r="DC1324" s="1">
        <v>6.0</v>
      </c>
      <c r="DD1324" s="1" t="s">
        <v>5786</v>
      </c>
      <c r="DE1324" s="2" t="s">
        <v>5787</v>
      </c>
      <c r="DF1324" s="1">
        <v>0.0484310444876239</v>
      </c>
    </row>
    <row r="1325" ht="15.75" customHeight="1">
      <c r="A1325" s="1" t="s">
        <v>5788</v>
      </c>
      <c r="B1325" s="1">
        <v>29.0</v>
      </c>
      <c r="C1325" s="1">
        <v>510.0</v>
      </c>
      <c r="D1325" s="1">
        <v>105500.0</v>
      </c>
      <c r="E1325" s="1">
        <v>0.462</v>
      </c>
      <c r="F1325" s="1">
        <v>29510.0</v>
      </c>
      <c r="G1325" s="1">
        <v>2.95101055E10</v>
      </c>
      <c r="H1325" s="1" t="s">
        <v>112</v>
      </c>
      <c r="I1325" s="1" t="s">
        <v>113</v>
      </c>
      <c r="J1325" s="1" t="s">
        <v>5663</v>
      </c>
      <c r="K1325" s="1" t="s">
        <v>5789</v>
      </c>
      <c r="L1325" s="1">
        <v>2922.0</v>
      </c>
      <c r="M1325" s="1">
        <v>2723.0</v>
      </c>
      <c r="N1325" s="1">
        <v>370.0</v>
      </c>
      <c r="O1325" s="1">
        <v>1561.0</v>
      </c>
      <c r="P1325" s="1">
        <v>1632.0</v>
      </c>
      <c r="Q1325" s="1">
        <v>83.0</v>
      </c>
      <c r="R1325" s="1">
        <v>1127.0</v>
      </c>
      <c r="S1325" s="1">
        <v>459.0</v>
      </c>
      <c r="T1325" s="1">
        <v>182.0</v>
      </c>
      <c r="U1325" s="1">
        <v>202.0</v>
      </c>
      <c r="V1325" s="1">
        <v>406.0</v>
      </c>
      <c r="W1325" s="1">
        <v>21366.0</v>
      </c>
      <c r="X1325" s="1">
        <v>4339.0</v>
      </c>
      <c r="Y1325" s="1">
        <v>321.0</v>
      </c>
      <c r="Z1325" s="1">
        <v>303.0</v>
      </c>
      <c r="AA1325" s="1">
        <v>434.0</v>
      </c>
      <c r="AB1325" s="1">
        <v>783.0</v>
      </c>
      <c r="AC1325" s="1">
        <v>261.0</v>
      </c>
      <c r="AD1325" s="1">
        <v>2844.0</v>
      </c>
      <c r="AE1325" s="1">
        <v>0.0</v>
      </c>
      <c r="AF1325" s="1">
        <v>456.0</v>
      </c>
      <c r="AG1325" s="1">
        <v>323.0</v>
      </c>
      <c r="AH1325" s="1">
        <v>92.0</v>
      </c>
      <c r="AI1325" s="1">
        <v>0.0</v>
      </c>
      <c r="AJ1325" s="1">
        <v>114.0</v>
      </c>
      <c r="AK1325" s="1">
        <v>26.0</v>
      </c>
      <c r="AL1325" s="1">
        <v>118.0</v>
      </c>
      <c r="AM1325" s="1">
        <v>233.0</v>
      </c>
      <c r="AN1325" s="1">
        <v>88.0</v>
      </c>
      <c r="AO1325" s="1">
        <v>0.0</v>
      </c>
      <c r="AP1325" s="1">
        <v>0.168564</v>
      </c>
      <c r="AQ1325" s="1">
        <v>0.062791</v>
      </c>
      <c r="AR1325" s="1">
        <v>0.148748</v>
      </c>
      <c r="AS1325" s="1">
        <v>0.297588</v>
      </c>
      <c r="AT1325" s="1">
        <v>21366.0</v>
      </c>
      <c r="AU1325" s="1">
        <v>4339.0</v>
      </c>
      <c r="AV1325" s="1">
        <v>0.184376</v>
      </c>
      <c r="AW1325" s="1">
        <v>0.172569</v>
      </c>
      <c r="AX1325" s="1">
        <v>0.148528</v>
      </c>
      <c r="AY1325" s="1">
        <v>0.267967</v>
      </c>
      <c r="AZ1325" s="1">
        <v>0.23158828</v>
      </c>
      <c r="BA1325" s="1">
        <v>0.973305</v>
      </c>
      <c r="BB1325" s="1">
        <v>0.0</v>
      </c>
      <c r="BC1325" s="1">
        <v>0.18088</v>
      </c>
      <c r="BD1325" s="1">
        <v>0.197916</v>
      </c>
      <c r="BE1325" s="1">
        <v>0.055466</v>
      </c>
      <c r="BF1325" s="1">
        <v>0.0</v>
      </c>
      <c r="BG1325" s="1">
        <v>0.069852</v>
      </c>
      <c r="BH1325" s="1">
        <v>0.024276</v>
      </c>
      <c r="BI1325" s="1">
        <v>0.110145</v>
      </c>
      <c r="BJ1325" s="1">
        <v>0.217553</v>
      </c>
      <c r="BK1325" s="1">
        <v>0.078653</v>
      </c>
      <c r="BL1325" s="1">
        <v>0.0</v>
      </c>
      <c r="BM1325" s="1">
        <v>0.638</v>
      </c>
      <c r="BN1325" s="1">
        <v>0.897</v>
      </c>
      <c r="BO1325" s="1">
        <v>0.5314</v>
      </c>
      <c r="BP1325" s="1">
        <v>0.702</v>
      </c>
      <c r="BQ1325" s="1">
        <v>2.7684</v>
      </c>
      <c r="BR1325" s="1">
        <v>0.7386</v>
      </c>
      <c r="BS1325" s="1">
        <v>0.565</v>
      </c>
      <c r="BT1325" s="1">
        <v>0.776</v>
      </c>
      <c r="BU1325" s="1">
        <v>0.929</v>
      </c>
      <c r="BV1325" s="1">
        <v>2.27</v>
      </c>
      <c r="BW1325" s="1">
        <v>0.975</v>
      </c>
      <c r="BX1325" s="1">
        <v>0.977</v>
      </c>
      <c r="BY1325" s="1">
        <v>0.0</v>
      </c>
      <c r="BZ1325" s="1">
        <v>0.977</v>
      </c>
      <c r="CA1325" s="1">
        <v>0.537</v>
      </c>
      <c r="CB1325" s="1">
        <v>0.892</v>
      </c>
      <c r="CC1325" s="1">
        <v>0.0</v>
      </c>
      <c r="CD1325" s="1">
        <v>0.748</v>
      </c>
      <c r="CE1325" s="1">
        <v>0.923</v>
      </c>
      <c r="CF1325" s="1">
        <v>0.0</v>
      </c>
      <c r="CG1325" s="1">
        <v>2.563</v>
      </c>
      <c r="CH1325" s="1">
        <v>0.588</v>
      </c>
      <c r="CI1325" s="1">
        <v>8.5784</v>
      </c>
      <c r="CJ1325" s="1">
        <v>0.7993</v>
      </c>
      <c r="CK1325" s="1">
        <v>0.0</v>
      </c>
      <c r="CL1325" s="1">
        <v>0.0</v>
      </c>
      <c r="CM1325" s="1">
        <v>0.0</v>
      </c>
      <c r="CN1325" s="1">
        <v>0.0</v>
      </c>
      <c r="CO1325" s="1">
        <v>0.0</v>
      </c>
      <c r="CP1325" s="1">
        <v>0.0</v>
      </c>
      <c r="CQ1325" s="1">
        <v>0.0</v>
      </c>
      <c r="CR1325" s="1">
        <v>1.0</v>
      </c>
      <c r="CS1325" s="1">
        <v>1.0</v>
      </c>
      <c r="CT1325" s="1">
        <v>1.0</v>
      </c>
      <c r="CU1325" s="1">
        <v>0.0</v>
      </c>
      <c r="CV1325" s="1">
        <v>1.0</v>
      </c>
      <c r="CW1325" s="1">
        <v>0.0</v>
      </c>
      <c r="CX1325" s="1">
        <v>0.0</v>
      </c>
      <c r="CY1325" s="1">
        <v>0.0</v>
      </c>
      <c r="CZ1325" s="1">
        <v>1.0</v>
      </c>
      <c r="DA1325" s="1">
        <v>0.0</v>
      </c>
      <c r="DB1325" s="1">
        <v>1.0</v>
      </c>
      <c r="DC1325" s="1">
        <v>3.0</v>
      </c>
      <c r="DD1325" s="1" t="s">
        <v>5790</v>
      </c>
      <c r="DE1325" s="1">
        <v>1.23802841765613E-4</v>
      </c>
      <c r="DF1325" s="1">
        <v>0.0576539918530149</v>
      </c>
    </row>
    <row r="1326" ht="15.75" customHeight="1">
      <c r="A1326" s="1" t="s">
        <v>5791</v>
      </c>
      <c r="B1326" s="1">
        <v>29.0</v>
      </c>
      <c r="C1326" s="1">
        <v>510.0</v>
      </c>
      <c r="D1326" s="1">
        <v>106100.0</v>
      </c>
      <c r="E1326" s="1">
        <v>0.369</v>
      </c>
      <c r="F1326" s="1">
        <v>29510.0</v>
      </c>
      <c r="G1326" s="1">
        <v>2.95101061E10</v>
      </c>
      <c r="H1326" s="1" t="s">
        <v>112</v>
      </c>
      <c r="I1326" s="1" t="s">
        <v>113</v>
      </c>
      <c r="J1326" s="1" t="s">
        <v>5663</v>
      </c>
      <c r="K1326" s="1" t="s">
        <v>5792</v>
      </c>
      <c r="L1326" s="1">
        <v>2427.0</v>
      </c>
      <c r="M1326" s="1">
        <v>2441.0</v>
      </c>
      <c r="N1326" s="1">
        <v>456.0</v>
      </c>
      <c r="O1326" s="1">
        <v>1347.0</v>
      </c>
      <c r="P1326" s="1">
        <v>1519.0</v>
      </c>
      <c r="Q1326" s="1">
        <v>98.0</v>
      </c>
      <c r="R1326" s="1">
        <v>942.0</v>
      </c>
      <c r="S1326" s="1">
        <v>789.0</v>
      </c>
      <c r="T1326" s="1">
        <v>361.0</v>
      </c>
      <c r="U1326" s="1">
        <v>242.0</v>
      </c>
      <c r="V1326" s="1">
        <v>377.0</v>
      </c>
      <c r="W1326" s="1">
        <v>13540.0</v>
      </c>
      <c r="X1326" s="1">
        <v>2951.0</v>
      </c>
      <c r="Y1326" s="1">
        <v>347.0</v>
      </c>
      <c r="Z1326" s="1">
        <v>255.0</v>
      </c>
      <c r="AA1326" s="1">
        <v>373.0</v>
      </c>
      <c r="AB1326" s="1">
        <v>707.0</v>
      </c>
      <c r="AC1326" s="1">
        <v>262.0</v>
      </c>
      <c r="AD1326" s="1">
        <v>2405.0</v>
      </c>
      <c r="AE1326" s="1">
        <v>41.0</v>
      </c>
      <c r="AF1326" s="1">
        <v>444.0</v>
      </c>
      <c r="AG1326" s="1">
        <v>216.0</v>
      </c>
      <c r="AH1326" s="1">
        <v>86.0</v>
      </c>
      <c r="AI1326" s="1">
        <v>0.0</v>
      </c>
      <c r="AJ1326" s="1">
        <v>114.0</v>
      </c>
      <c r="AK1326" s="1">
        <v>49.0</v>
      </c>
      <c r="AL1326" s="1">
        <v>122.0</v>
      </c>
      <c r="AM1326" s="1">
        <v>394.0</v>
      </c>
      <c r="AN1326" s="1">
        <v>132.0</v>
      </c>
      <c r="AO1326" s="1">
        <v>2.0</v>
      </c>
      <c r="AP1326" s="1">
        <v>0.329711</v>
      </c>
      <c r="AQ1326" s="1">
        <v>0.137276</v>
      </c>
      <c r="AR1326" s="1">
        <v>0.229601</v>
      </c>
      <c r="AS1326" s="1">
        <v>0.350116</v>
      </c>
      <c r="AT1326" s="1">
        <v>13540.0</v>
      </c>
      <c r="AU1326" s="1">
        <v>2951.0</v>
      </c>
      <c r="AV1326" s="1">
        <v>0.225617</v>
      </c>
      <c r="AW1326" s="1">
        <v>0.162391</v>
      </c>
      <c r="AX1326" s="1">
        <v>0.153687</v>
      </c>
      <c r="AY1326" s="1">
        <v>0.291306</v>
      </c>
      <c r="AZ1326" s="1">
        <v>0.27813163</v>
      </c>
      <c r="BA1326" s="1">
        <v>0.990935</v>
      </c>
      <c r="BB1326" s="1">
        <v>0.017857</v>
      </c>
      <c r="BC1326" s="1">
        <v>0.193354</v>
      </c>
      <c r="BD1326" s="1">
        <v>0.142198</v>
      </c>
      <c r="BE1326" s="1">
        <v>0.055867</v>
      </c>
      <c r="BF1326" s="1">
        <v>0.0</v>
      </c>
      <c r="BG1326" s="1">
        <v>0.075049</v>
      </c>
      <c r="BH1326" s="1">
        <v>0.047711</v>
      </c>
      <c r="BI1326" s="1">
        <v>0.118576</v>
      </c>
      <c r="BJ1326" s="1">
        <v>0.383641</v>
      </c>
      <c r="BK1326" s="1">
        <v>0.114936</v>
      </c>
      <c r="BL1326" s="1">
        <v>8.24E-4</v>
      </c>
      <c r="BM1326" s="1">
        <v>0.91</v>
      </c>
      <c r="BN1326" s="1">
        <v>0.969</v>
      </c>
      <c r="BO1326" s="1">
        <v>0.9227</v>
      </c>
      <c r="BP1326" s="1">
        <v>0.814</v>
      </c>
      <c r="BQ1326" s="1">
        <v>3.6157</v>
      </c>
      <c r="BR1326" s="1">
        <v>0.9408</v>
      </c>
      <c r="BS1326" s="1">
        <v>0.607</v>
      </c>
      <c r="BT1326" s="1">
        <v>0.892</v>
      </c>
      <c r="BU1326" s="1">
        <v>0.969</v>
      </c>
      <c r="BV1326" s="1">
        <v>2.468</v>
      </c>
      <c r="BW1326" s="1">
        <v>0.996</v>
      </c>
      <c r="BX1326" s="1">
        <v>0.992</v>
      </c>
      <c r="BY1326" s="1">
        <v>0.844</v>
      </c>
      <c r="BZ1326" s="1">
        <v>1.836</v>
      </c>
      <c r="CA1326" s="1">
        <v>0.976</v>
      </c>
      <c r="CB1326" s="1">
        <v>0.83</v>
      </c>
      <c r="CC1326" s="1">
        <v>0.0</v>
      </c>
      <c r="CD1326" s="1">
        <v>0.926</v>
      </c>
      <c r="CE1326" s="1">
        <v>0.982</v>
      </c>
      <c r="CF1326" s="1">
        <v>0.387</v>
      </c>
      <c r="CG1326" s="1">
        <v>3.125</v>
      </c>
      <c r="CH1326" s="1">
        <v>0.822</v>
      </c>
      <c r="CI1326" s="1">
        <v>11.0447</v>
      </c>
      <c r="CJ1326" s="1">
        <v>0.9935</v>
      </c>
      <c r="CK1326" s="1">
        <v>1.0</v>
      </c>
      <c r="CL1326" s="1">
        <v>1.0</v>
      </c>
      <c r="CM1326" s="1">
        <v>1.0</v>
      </c>
      <c r="CN1326" s="1">
        <v>0.0</v>
      </c>
      <c r="CO1326" s="1">
        <v>3.0</v>
      </c>
      <c r="CP1326" s="1">
        <v>0.0</v>
      </c>
      <c r="CQ1326" s="1">
        <v>0.0</v>
      </c>
      <c r="CR1326" s="1">
        <v>1.0</v>
      </c>
      <c r="CS1326" s="1">
        <v>1.0</v>
      </c>
      <c r="CT1326" s="1">
        <v>1.0</v>
      </c>
      <c r="CU1326" s="1">
        <v>0.0</v>
      </c>
      <c r="CV1326" s="1">
        <v>1.0</v>
      </c>
      <c r="CW1326" s="1">
        <v>0.0</v>
      </c>
      <c r="CX1326" s="1">
        <v>0.0</v>
      </c>
      <c r="CY1326" s="1">
        <v>1.0</v>
      </c>
      <c r="CZ1326" s="1">
        <v>1.0</v>
      </c>
      <c r="DA1326" s="1">
        <v>0.0</v>
      </c>
      <c r="DB1326" s="1">
        <v>2.0</v>
      </c>
      <c r="DC1326" s="1">
        <v>7.0</v>
      </c>
      <c r="DD1326" s="1" t="s">
        <v>5793</v>
      </c>
      <c r="DE1326" s="2" t="s">
        <v>5794</v>
      </c>
      <c r="DF1326" s="1">
        <v>0.0438965819693089</v>
      </c>
    </row>
    <row r="1327" ht="15.75" customHeight="1">
      <c r="A1327" s="1" t="s">
        <v>5795</v>
      </c>
      <c r="B1327" s="1">
        <v>29.0</v>
      </c>
      <c r="C1327" s="1">
        <v>510.0</v>
      </c>
      <c r="D1327" s="1">
        <v>106200.0</v>
      </c>
      <c r="E1327" s="1">
        <v>0.411</v>
      </c>
      <c r="F1327" s="1">
        <v>29510.0</v>
      </c>
      <c r="G1327" s="1">
        <v>2.95101062E10</v>
      </c>
      <c r="H1327" s="1" t="s">
        <v>112</v>
      </c>
      <c r="I1327" s="1" t="s">
        <v>113</v>
      </c>
      <c r="J1327" s="1" t="s">
        <v>5663</v>
      </c>
      <c r="K1327" s="1" t="s">
        <v>5796</v>
      </c>
      <c r="L1327" s="1">
        <v>1738.0</v>
      </c>
      <c r="M1327" s="1">
        <v>1701.0</v>
      </c>
      <c r="N1327" s="1">
        <v>343.0</v>
      </c>
      <c r="O1327" s="1">
        <v>943.0</v>
      </c>
      <c r="P1327" s="1">
        <v>1053.0</v>
      </c>
      <c r="Q1327" s="1">
        <v>104.0</v>
      </c>
      <c r="R1327" s="1">
        <v>587.0</v>
      </c>
      <c r="S1327" s="1">
        <v>883.0</v>
      </c>
      <c r="T1327" s="1">
        <v>349.0</v>
      </c>
      <c r="U1327" s="1">
        <v>133.0</v>
      </c>
      <c r="V1327" s="1">
        <v>446.0</v>
      </c>
      <c r="W1327" s="1">
        <v>9729.0</v>
      </c>
      <c r="X1327" s="1">
        <v>2434.0</v>
      </c>
      <c r="Y1327" s="1">
        <v>264.0</v>
      </c>
      <c r="Z1327" s="1">
        <v>248.0</v>
      </c>
      <c r="AA1327" s="1">
        <v>189.0</v>
      </c>
      <c r="AB1327" s="1">
        <v>644.0</v>
      </c>
      <c r="AC1327" s="1">
        <v>223.0</v>
      </c>
      <c r="AD1327" s="1">
        <v>1720.0</v>
      </c>
      <c r="AE1327" s="1">
        <v>0.0</v>
      </c>
      <c r="AF1327" s="1">
        <v>456.0</v>
      </c>
      <c r="AG1327" s="1">
        <v>8.0</v>
      </c>
      <c r="AH1327" s="1">
        <v>162.0</v>
      </c>
      <c r="AI1327" s="1">
        <v>0.0</v>
      </c>
      <c r="AJ1327" s="1">
        <v>114.0</v>
      </c>
      <c r="AK1327" s="1">
        <v>12.0</v>
      </c>
      <c r="AL1327" s="1">
        <v>116.0</v>
      </c>
      <c r="AM1327" s="1">
        <v>307.0</v>
      </c>
      <c r="AN1327" s="1">
        <v>100.0</v>
      </c>
      <c r="AO1327" s="1">
        <v>136.0</v>
      </c>
      <c r="AP1327" s="1">
        <v>0.519106</v>
      </c>
      <c r="AQ1327" s="1">
        <v>0.176462</v>
      </c>
      <c r="AR1327" s="1">
        <v>0.221666</v>
      </c>
      <c r="AS1327" s="1">
        <v>0.732706</v>
      </c>
      <c r="AT1327" s="1">
        <v>9729.0</v>
      </c>
      <c r="AU1327" s="1">
        <v>2434.0</v>
      </c>
      <c r="AV1327" s="1">
        <v>0.307334</v>
      </c>
      <c r="AW1327" s="1">
        <v>0.283119</v>
      </c>
      <c r="AX1327" s="1">
        <v>0.108745</v>
      </c>
      <c r="AY1327" s="1">
        <v>0.37054</v>
      </c>
      <c r="AZ1327" s="1">
        <v>0.37989778</v>
      </c>
      <c r="BA1327" s="1">
        <v>0.989643</v>
      </c>
      <c r="BB1327" s="1">
        <v>0.0</v>
      </c>
      <c r="BC1327" s="1">
        <v>0.320224</v>
      </c>
      <c r="BD1327" s="1">
        <v>0.007597</v>
      </c>
      <c r="BE1327" s="1">
        <v>0.153844</v>
      </c>
      <c r="BF1327" s="1">
        <v>0.0</v>
      </c>
      <c r="BG1327" s="1">
        <v>0.108262</v>
      </c>
      <c r="BH1327" s="1">
        <v>0.017725</v>
      </c>
      <c r="BI1327" s="1">
        <v>0.171318</v>
      </c>
      <c r="BJ1327" s="1">
        <v>0.453471</v>
      </c>
      <c r="BK1327" s="1">
        <v>0.126441</v>
      </c>
      <c r="BL1327" s="1">
        <v>0.07825</v>
      </c>
      <c r="BM1327" s="1">
        <v>0.992</v>
      </c>
      <c r="BN1327" s="1">
        <v>0.966</v>
      </c>
      <c r="BO1327" s="1">
        <v>0.9899</v>
      </c>
      <c r="BP1327" s="1">
        <v>0.951</v>
      </c>
      <c r="BQ1327" s="1">
        <v>3.8989</v>
      </c>
      <c r="BR1327" s="1">
        <v>0.9949</v>
      </c>
      <c r="BS1327" s="1">
        <v>0.262</v>
      </c>
      <c r="BT1327" s="1">
        <v>0.992</v>
      </c>
      <c r="BU1327" s="1">
        <v>0.995</v>
      </c>
      <c r="BV1327" s="1">
        <v>2.249</v>
      </c>
      <c r="BW1327" s="1">
        <v>0.972</v>
      </c>
      <c r="BX1327" s="1">
        <v>0.989</v>
      </c>
      <c r="BY1327" s="1">
        <v>0.0</v>
      </c>
      <c r="BZ1327" s="1">
        <v>0.989</v>
      </c>
      <c r="CA1327" s="1">
        <v>0.548</v>
      </c>
      <c r="CB1327" s="1">
        <v>0.36</v>
      </c>
      <c r="CC1327" s="1">
        <v>0.0</v>
      </c>
      <c r="CD1327" s="1">
        <v>0.643</v>
      </c>
      <c r="CE1327" s="1">
        <v>0.994</v>
      </c>
      <c r="CF1327" s="1">
        <v>0.932</v>
      </c>
      <c r="CG1327" s="1">
        <v>2.929</v>
      </c>
      <c r="CH1327" s="1">
        <v>0.743</v>
      </c>
      <c r="CI1327" s="1">
        <v>10.0659</v>
      </c>
      <c r="CJ1327" s="1">
        <v>0.9523</v>
      </c>
      <c r="CK1327" s="1">
        <v>1.0</v>
      </c>
      <c r="CL1327" s="1">
        <v>1.0</v>
      </c>
      <c r="CM1327" s="1">
        <v>1.0</v>
      </c>
      <c r="CN1327" s="1">
        <v>1.0</v>
      </c>
      <c r="CO1327" s="1">
        <v>4.0</v>
      </c>
      <c r="CP1327" s="1">
        <v>0.0</v>
      </c>
      <c r="CQ1327" s="1">
        <v>1.0</v>
      </c>
      <c r="CR1327" s="1">
        <v>1.0</v>
      </c>
      <c r="CS1327" s="1">
        <v>2.0</v>
      </c>
      <c r="CT1327" s="1">
        <v>1.0</v>
      </c>
      <c r="CU1327" s="1">
        <v>0.0</v>
      </c>
      <c r="CV1327" s="1">
        <v>1.0</v>
      </c>
      <c r="CW1327" s="1">
        <v>0.0</v>
      </c>
      <c r="CX1327" s="1">
        <v>0.0</v>
      </c>
      <c r="CY1327" s="1">
        <v>0.0</v>
      </c>
      <c r="CZ1327" s="1">
        <v>1.0</v>
      </c>
      <c r="DA1327" s="1">
        <v>1.0</v>
      </c>
      <c r="DB1327" s="1">
        <v>2.0</v>
      </c>
      <c r="DC1327" s="1">
        <v>9.0</v>
      </c>
      <c r="DD1327" s="1" t="s">
        <v>5797</v>
      </c>
      <c r="DE1327" s="1">
        <v>1.10014255403724E-4</v>
      </c>
      <c r="DF1327" s="1">
        <v>0.0460042806303841</v>
      </c>
    </row>
    <row r="1328" ht="15.75" customHeight="1">
      <c r="A1328" s="1" t="s">
        <v>5798</v>
      </c>
      <c r="B1328" s="1">
        <v>29.0</v>
      </c>
      <c r="C1328" s="1">
        <v>510.0</v>
      </c>
      <c r="D1328" s="1">
        <v>106300.0</v>
      </c>
      <c r="E1328" s="1">
        <v>0.393</v>
      </c>
      <c r="F1328" s="1">
        <v>29510.0</v>
      </c>
      <c r="G1328" s="1">
        <v>2.95101063E10</v>
      </c>
      <c r="H1328" s="1" t="s">
        <v>112</v>
      </c>
      <c r="I1328" s="1" t="s">
        <v>113</v>
      </c>
      <c r="J1328" s="1" t="s">
        <v>5663</v>
      </c>
      <c r="K1328" s="1" t="s">
        <v>5799</v>
      </c>
      <c r="L1328" s="1">
        <v>1966.0</v>
      </c>
      <c r="M1328" s="1">
        <v>1826.0</v>
      </c>
      <c r="N1328" s="1">
        <v>489.0</v>
      </c>
      <c r="O1328" s="1">
        <v>1257.0</v>
      </c>
      <c r="P1328" s="1">
        <v>1290.0</v>
      </c>
      <c r="Q1328" s="1">
        <v>103.0</v>
      </c>
      <c r="R1328" s="1">
        <v>781.0</v>
      </c>
      <c r="S1328" s="1">
        <v>556.0</v>
      </c>
      <c r="T1328" s="1">
        <v>293.0</v>
      </c>
      <c r="U1328" s="1">
        <v>115.0</v>
      </c>
      <c r="V1328" s="1">
        <v>417.0</v>
      </c>
      <c r="W1328" s="1">
        <v>11095.0</v>
      </c>
      <c r="X1328" s="1">
        <v>2091.0</v>
      </c>
      <c r="Y1328" s="1">
        <v>457.0</v>
      </c>
      <c r="Z1328" s="1">
        <v>238.0</v>
      </c>
      <c r="AA1328" s="1">
        <v>234.0</v>
      </c>
      <c r="AB1328" s="1">
        <v>550.0</v>
      </c>
      <c r="AC1328" s="1">
        <v>214.0</v>
      </c>
      <c r="AD1328" s="1">
        <v>1953.0</v>
      </c>
      <c r="AE1328" s="1">
        <v>0.0</v>
      </c>
      <c r="AF1328" s="1">
        <v>456.0</v>
      </c>
      <c r="AG1328" s="1">
        <v>23.0</v>
      </c>
      <c r="AH1328" s="1">
        <v>166.0</v>
      </c>
      <c r="AI1328" s="1">
        <v>24.0</v>
      </c>
      <c r="AJ1328" s="1">
        <v>41.0</v>
      </c>
      <c r="AK1328" s="1">
        <v>15.0</v>
      </c>
      <c r="AL1328" s="1">
        <v>117.0</v>
      </c>
      <c r="AM1328" s="1">
        <v>207.0</v>
      </c>
      <c r="AN1328" s="1">
        <v>96.0</v>
      </c>
      <c r="AO1328" s="1">
        <v>0.0</v>
      </c>
      <c r="AP1328" s="1">
        <v>0.30449</v>
      </c>
      <c r="AQ1328" s="1">
        <v>0.138196</v>
      </c>
      <c r="AR1328" s="1">
        <v>0.145939</v>
      </c>
      <c r="AS1328" s="1">
        <v>0.526104</v>
      </c>
      <c r="AT1328" s="1">
        <v>11095.0</v>
      </c>
      <c r="AU1328" s="1">
        <v>2091.0</v>
      </c>
      <c r="AV1328" s="1">
        <v>0.398778</v>
      </c>
      <c r="AW1328" s="1">
        <v>0.190901</v>
      </c>
      <c r="AX1328" s="1">
        <v>0.119023</v>
      </c>
      <c r="AY1328" s="1">
        <v>0.279755</v>
      </c>
      <c r="AZ1328" s="1">
        <v>0.27400768</v>
      </c>
      <c r="BA1328" s="1">
        <v>0.993387</v>
      </c>
      <c r="BB1328" s="1">
        <v>0.0</v>
      </c>
      <c r="BC1328" s="1">
        <v>0.257336</v>
      </c>
      <c r="BD1328" s="1">
        <v>0.017829</v>
      </c>
      <c r="BE1328" s="1">
        <v>0.128674</v>
      </c>
      <c r="BF1328" s="1">
        <v>0.018604</v>
      </c>
      <c r="BG1328" s="1">
        <v>0.031748</v>
      </c>
      <c r="BH1328" s="1">
        <v>0.020408</v>
      </c>
      <c r="BI1328" s="1">
        <v>0.15914</v>
      </c>
      <c r="BJ1328" s="1">
        <v>0.281632</v>
      </c>
      <c r="BK1328" s="1">
        <v>0.120259</v>
      </c>
      <c r="BL1328" s="1">
        <v>0.0</v>
      </c>
      <c r="BM1328" s="1">
        <v>0.889</v>
      </c>
      <c r="BN1328" s="1">
        <v>0.892</v>
      </c>
      <c r="BO1328" s="1">
        <v>0.9747</v>
      </c>
      <c r="BP1328" s="1">
        <v>0.99</v>
      </c>
      <c r="BQ1328" s="1">
        <v>3.7457</v>
      </c>
      <c r="BR1328" s="1">
        <v>0.9704</v>
      </c>
      <c r="BS1328" s="1">
        <v>0.335</v>
      </c>
      <c r="BT1328" s="1">
        <v>0.848</v>
      </c>
      <c r="BU1328" s="1">
        <v>0.966</v>
      </c>
      <c r="BV1328" s="1">
        <v>2.149</v>
      </c>
      <c r="BW1328" s="1">
        <v>0.947</v>
      </c>
      <c r="BX1328" s="1">
        <v>0.997</v>
      </c>
      <c r="BY1328" s="1">
        <v>0.0</v>
      </c>
      <c r="BZ1328" s="1">
        <v>0.997</v>
      </c>
      <c r="CA1328" s="1">
        <v>0.558</v>
      </c>
      <c r="CB1328" s="1">
        <v>0.446</v>
      </c>
      <c r="CC1328" s="1">
        <v>0.505</v>
      </c>
      <c r="CD1328" s="1">
        <v>0.689</v>
      </c>
      <c r="CE1328" s="1">
        <v>0.961</v>
      </c>
      <c r="CF1328" s="1">
        <v>0.0</v>
      </c>
      <c r="CG1328" s="1">
        <v>2.601</v>
      </c>
      <c r="CH1328" s="1">
        <v>0.603</v>
      </c>
      <c r="CI1328" s="1">
        <v>9.4927</v>
      </c>
      <c r="CJ1328" s="1">
        <v>0.9047</v>
      </c>
      <c r="CK1328" s="1">
        <v>0.0</v>
      </c>
      <c r="CL1328" s="1">
        <v>0.0</v>
      </c>
      <c r="CM1328" s="1">
        <v>1.0</v>
      </c>
      <c r="CN1328" s="1">
        <v>1.0</v>
      </c>
      <c r="CO1328" s="1">
        <v>2.0</v>
      </c>
      <c r="CP1328" s="1">
        <v>0.0</v>
      </c>
      <c r="CQ1328" s="1">
        <v>0.0</v>
      </c>
      <c r="CR1328" s="1">
        <v>1.0</v>
      </c>
      <c r="CS1328" s="1">
        <v>1.0</v>
      </c>
      <c r="CT1328" s="1">
        <v>1.0</v>
      </c>
      <c r="CU1328" s="1">
        <v>0.0</v>
      </c>
      <c r="CV1328" s="1">
        <v>1.0</v>
      </c>
      <c r="CW1328" s="1">
        <v>0.0</v>
      </c>
      <c r="CX1328" s="1">
        <v>0.0</v>
      </c>
      <c r="CY1328" s="1">
        <v>0.0</v>
      </c>
      <c r="CZ1328" s="1">
        <v>1.0</v>
      </c>
      <c r="DA1328" s="1">
        <v>0.0</v>
      </c>
      <c r="DB1328" s="1">
        <v>1.0</v>
      </c>
      <c r="DC1328" s="1">
        <v>5.0</v>
      </c>
      <c r="DD1328" s="1" t="s">
        <v>5800</v>
      </c>
      <c r="DE1328" s="1">
        <v>1.05493093963087E-4</v>
      </c>
      <c r="DF1328" s="2" t="s">
        <v>5801</v>
      </c>
    </row>
    <row r="1329" ht="15.75" customHeight="1">
      <c r="A1329" s="1" t="s">
        <v>5802</v>
      </c>
      <c r="B1329" s="1">
        <v>29.0</v>
      </c>
      <c r="C1329" s="1">
        <v>510.0</v>
      </c>
      <c r="D1329" s="1">
        <v>106500.0</v>
      </c>
      <c r="E1329" s="1">
        <v>0.411</v>
      </c>
      <c r="F1329" s="1">
        <v>29510.0</v>
      </c>
      <c r="G1329" s="1">
        <v>2.95101065E10</v>
      </c>
      <c r="H1329" s="1" t="s">
        <v>112</v>
      </c>
      <c r="I1329" s="1" t="s">
        <v>113</v>
      </c>
      <c r="J1329" s="1" t="s">
        <v>5663</v>
      </c>
      <c r="K1329" s="1" t="s">
        <v>5803</v>
      </c>
      <c r="L1329" s="1">
        <v>3267.0</v>
      </c>
      <c r="M1329" s="1">
        <v>2948.0</v>
      </c>
      <c r="N1329" s="1">
        <v>439.0</v>
      </c>
      <c r="O1329" s="1">
        <v>1555.0</v>
      </c>
      <c r="P1329" s="1">
        <v>1539.0</v>
      </c>
      <c r="Q1329" s="1">
        <v>107.0</v>
      </c>
      <c r="R1329" s="1">
        <v>1115.0</v>
      </c>
      <c r="S1329" s="1">
        <v>776.0</v>
      </c>
      <c r="T1329" s="1">
        <v>327.0</v>
      </c>
      <c r="U1329" s="1">
        <v>249.0</v>
      </c>
      <c r="V1329" s="1">
        <v>395.0</v>
      </c>
      <c r="W1329" s="1">
        <v>12877.0</v>
      </c>
      <c r="X1329" s="1">
        <v>1847.0</v>
      </c>
      <c r="Y1329" s="1">
        <v>747.0</v>
      </c>
      <c r="Z1329" s="1">
        <v>219.0</v>
      </c>
      <c r="AA1329" s="1">
        <v>612.0</v>
      </c>
      <c r="AB1329" s="1">
        <v>715.0</v>
      </c>
      <c r="AC1329" s="1">
        <v>278.0</v>
      </c>
      <c r="AD1329" s="1">
        <v>3164.0</v>
      </c>
      <c r="AE1329" s="1">
        <v>13.0</v>
      </c>
      <c r="AF1329" s="1">
        <v>442.0</v>
      </c>
      <c r="AG1329" s="1">
        <v>143.0</v>
      </c>
      <c r="AH1329" s="1">
        <v>72.0</v>
      </c>
      <c r="AI1329" s="1">
        <v>0.0</v>
      </c>
      <c r="AJ1329" s="1">
        <v>114.0</v>
      </c>
      <c r="AK1329" s="1">
        <v>23.0</v>
      </c>
      <c r="AL1329" s="1">
        <v>119.0</v>
      </c>
      <c r="AM1329" s="1">
        <v>487.0</v>
      </c>
      <c r="AN1329" s="1">
        <v>120.0</v>
      </c>
      <c r="AO1329" s="1">
        <v>499.0</v>
      </c>
      <c r="AP1329" s="1">
        <v>0.281669</v>
      </c>
      <c r="AQ1329" s="1">
        <v>0.111574</v>
      </c>
      <c r="AR1329" s="1">
        <v>0.218612</v>
      </c>
      <c r="AS1329" s="1">
        <v>0.344262</v>
      </c>
      <c r="AT1329" s="1">
        <v>12877.0</v>
      </c>
      <c r="AU1329" s="1">
        <v>1847.0</v>
      </c>
      <c r="AV1329" s="1">
        <v>0.406641</v>
      </c>
      <c r="AW1329" s="1">
        <v>0.106724</v>
      </c>
      <c r="AX1329" s="1">
        <v>0.187327</v>
      </c>
      <c r="AY1329" s="1">
        <v>0.218855</v>
      </c>
      <c r="AZ1329" s="1">
        <v>0.24932735</v>
      </c>
      <c r="BA1329" s="1">
        <v>0.968472</v>
      </c>
      <c r="BB1329" s="1">
        <v>0.004761</v>
      </c>
      <c r="BC1329" s="1">
        <v>0.161903</v>
      </c>
      <c r="BD1329" s="1">
        <v>0.092917</v>
      </c>
      <c r="BE1329" s="1">
        <v>0.046335</v>
      </c>
      <c r="BF1329" s="1">
        <v>0.0</v>
      </c>
      <c r="BG1329" s="1">
        <v>0.074074</v>
      </c>
      <c r="BH1329" s="1">
        <v>0.018945</v>
      </c>
      <c r="BI1329" s="1">
        <v>0.098003</v>
      </c>
      <c r="BJ1329" s="1">
        <v>0.401153</v>
      </c>
      <c r="BK1329" s="1">
        <v>0.089496</v>
      </c>
      <c r="BL1329" s="1">
        <v>0.152739</v>
      </c>
      <c r="BM1329" s="1">
        <v>0.867</v>
      </c>
      <c r="BN1329" s="1">
        <v>0.964</v>
      </c>
      <c r="BO1329" s="1">
        <v>0.9386</v>
      </c>
      <c r="BP1329" s="1">
        <v>0.992</v>
      </c>
      <c r="BQ1329" s="1">
        <v>3.7616</v>
      </c>
      <c r="BR1329" s="1">
        <v>0.9733</v>
      </c>
      <c r="BS1329" s="1">
        <v>0.825</v>
      </c>
      <c r="BT1329" s="1">
        <v>0.297</v>
      </c>
      <c r="BU1329" s="1">
        <v>0.945</v>
      </c>
      <c r="BV1329" s="1">
        <v>2.067</v>
      </c>
      <c r="BW1329" s="1">
        <v>0.901</v>
      </c>
      <c r="BX1329" s="1">
        <v>0.967</v>
      </c>
      <c r="BY1329" s="1">
        <v>0.552</v>
      </c>
      <c r="BZ1329" s="1">
        <v>1.519</v>
      </c>
      <c r="CA1329" s="1">
        <v>0.838</v>
      </c>
      <c r="CB1329" s="1">
        <v>0.754</v>
      </c>
      <c r="CC1329" s="1">
        <v>0.0</v>
      </c>
      <c r="CD1329" s="1">
        <v>0.662</v>
      </c>
      <c r="CE1329" s="1">
        <v>0.984</v>
      </c>
      <c r="CF1329" s="1">
        <v>0.956</v>
      </c>
      <c r="CG1329" s="1">
        <v>3.356</v>
      </c>
      <c r="CH1329" s="1">
        <v>0.897</v>
      </c>
      <c r="CI1329" s="1">
        <v>10.7036</v>
      </c>
      <c r="CJ1329" s="1">
        <v>0.9819</v>
      </c>
      <c r="CK1329" s="1">
        <v>0.0</v>
      </c>
      <c r="CL1329" s="1">
        <v>1.0</v>
      </c>
      <c r="CM1329" s="1">
        <v>1.0</v>
      </c>
      <c r="CN1329" s="1">
        <v>1.0</v>
      </c>
      <c r="CO1329" s="1">
        <v>3.0</v>
      </c>
      <c r="CP1329" s="1">
        <v>0.0</v>
      </c>
      <c r="CQ1329" s="1">
        <v>0.0</v>
      </c>
      <c r="CR1329" s="1">
        <v>1.0</v>
      </c>
      <c r="CS1329" s="1">
        <v>1.0</v>
      </c>
      <c r="CT1329" s="1">
        <v>1.0</v>
      </c>
      <c r="CU1329" s="1">
        <v>0.0</v>
      </c>
      <c r="CV1329" s="1">
        <v>1.0</v>
      </c>
      <c r="CW1329" s="1">
        <v>0.0</v>
      </c>
      <c r="CX1329" s="1">
        <v>0.0</v>
      </c>
      <c r="CY1329" s="1">
        <v>0.0</v>
      </c>
      <c r="CZ1329" s="1">
        <v>1.0</v>
      </c>
      <c r="DA1329" s="1">
        <v>1.0</v>
      </c>
      <c r="DB1329" s="1">
        <v>2.0</v>
      </c>
      <c r="DC1329" s="1">
        <v>7.0</v>
      </c>
      <c r="DD1329" s="1" t="s">
        <v>5804</v>
      </c>
      <c r="DE1329" s="1">
        <v>1.10140993182185E-4</v>
      </c>
      <c r="DF1329" s="1">
        <v>0.0478720793638416</v>
      </c>
    </row>
    <row r="1330" ht="15.75" customHeight="1">
      <c r="A1330" s="1" t="s">
        <v>5805</v>
      </c>
      <c r="B1330" s="1">
        <v>29.0</v>
      </c>
      <c r="C1330" s="1">
        <v>510.0</v>
      </c>
      <c r="D1330" s="1">
        <v>106600.0</v>
      </c>
      <c r="E1330" s="1">
        <v>0.33</v>
      </c>
      <c r="F1330" s="1">
        <v>29510.0</v>
      </c>
      <c r="G1330" s="1">
        <v>2.95101066E10</v>
      </c>
      <c r="H1330" s="1" t="s">
        <v>112</v>
      </c>
      <c r="I1330" s="1" t="s">
        <v>113</v>
      </c>
      <c r="J1330" s="1" t="s">
        <v>5663</v>
      </c>
      <c r="K1330" s="1" t="s">
        <v>5806</v>
      </c>
      <c r="L1330" s="1">
        <v>1783.0</v>
      </c>
      <c r="M1330" s="1">
        <v>2085.0</v>
      </c>
      <c r="N1330" s="1">
        <v>378.0</v>
      </c>
      <c r="O1330" s="1">
        <v>1004.0</v>
      </c>
      <c r="P1330" s="1">
        <v>1238.0</v>
      </c>
      <c r="Q1330" s="1">
        <v>73.0</v>
      </c>
      <c r="R1330" s="1">
        <v>660.0</v>
      </c>
      <c r="S1330" s="1">
        <v>1006.0</v>
      </c>
      <c r="T1330" s="1">
        <v>340.0</v>
      </c>
      <c r="U1330" s="1">
        <v>168.0</v>
      </c>
      <c r="V1330" s="1">
        <v>387.0</v>
      </c>
      <c r="W1330" s="1">
        <v>9981.0</v>
      </c>
      <c r="X1330" s="1">
        <v>2076.0</v>
      </c>
      <c r="Y1330" s="1">
        <v>349.0</v>
      </c>
      <c r="Z1330" s="1">
        <v>306.0</v>
      </c>
      <c r="AA1330" s="1">
        <v>238.0</v>
      </c>
      <c r="AB1330" s="1">
        <v>521.0</v>
      </c>
      <c r="AC1330" s="1">
        <v>172.0</v>
      </c>
      <c r="AD1330" s="1">
        <v>1773.0</v>
      </c>
      <c r="AE1330" s="1">
        <v>0.0</v>
      </c>
      <c r="AF1330" s="1">
        <v>456.0</v>
      </c>
      <c r="AG1330" s="1">
        <v>25.0</v>
      </c>
      <c r="AH1330" s="1">
        <v>166.0</v>
      </c>
      <c r="AI1330" s="1">
        <v>11.0</v>
      </c>
      <c r="AJ1330" s="1">
        <v>16.0</v>
      </c>
      <c r="AK1330" s="1">
        <v>38.0</v>
      </c>
      <c r="AL1330" s="1">
        <v>118.0</v>
      </c>
      <c r="AM1330" s="1">
        <v>202.0</v>
      </c>
      <c r="AN1330" s="1">
        <v>83.0</v>
      </c>
      <c r="AO1330" s="1">
        <v>15.0</v>
      </c>
      <c r="AP1330" s="1">
        <v>0.482494</v>
      </c>
      <c r="AQ1330" s="1">
        <v>0.137622</v>
      </c>
      <c r="AR1330" s="1">
        <v>0.21079</v>
      </c>
      <c r="AS1330" s="1">
        <v>0.478138</v>
      </c>
      <c r="AT1330" s="1">
        <v>9981.0</v>
      </c>
      <c r="AU1330" s="1">
        <v>2076.0</v>
      </c>
      <c r="AV1330" s="1">
        <v>0.252898</v>
      </c>
      <c r="AW1330" s="1">
        <v>0.21847</v>
      </c>
      <c r="AX1330" s="1">
        <v>0.133482</v>
      </c>
      <c r="AY1330" s="1">
        <v>0.292204</v>
      </c>
      <c r="AZ1330" s="1">
        <v>0.26060606</v>
      </c>
      <c r="BA1330" s="1">
        <v>0.994391</v>
      </c>
      <c r="BB1330" s="1">
        <v>0.0</v>
      </c>
      <c r="BC1330" s="1">
        <v>0.230419</v>
      </c>
      <c r="BD1330" s="1">
        <v>0.020193</v>
      </c>
      <c r="BE1330" s="1">
        <v>0.134081</v>
      </c>
      <c r="BF1330" s="1">
        <v>0.008885</v>
      </c>
      <c r="BG1330" s="1">
        <v>0.012913</v>
      </c>
      <c r="BH1330" s="1">
        <v>0.045728</v>
      </c>
      <c r="BI1330" s="1">
        <v>0.141888</v>
      </c>
      <c r="BJ1330" s="1">
        <v>0.24308</v>
      </c>
      <c r="BK1330" s="1">
        <v>0.09541</v>
      </c>
      <c r="BL1330" s="1">
        <v>0.008412</v>
      </c>
      <c r="BM1330" s="1">
        <v>0.985</v>
      </c>
      <c r="BN1330" s="1">
        <v>0.958</v>
      </c>
      <c r="BO1330" s="1">
        <v>0.9892</v>
      </c>
      <c r="BP1330" s="1">
        <v>0.875</v>
      </c>
      <c r="BQ1330" s="1">
        <v>3.8072</v>
      </c>
      <c r="BR1330" s="1">
        <v>0.9812</v>
      </c>
      <c r="BS1330" s="1">
        <v>0.446</v>
      </c>
      <c r="BT1330" s="1">
        <v>0.894</v>
      </c>
      <c r="BU1330" s="1">
        <v>0.956</v>
      </c>
      <c r="BV1330" s="1">
        <v>2.296</v>
      </c>
      <c r="BW1330" s="1">
        <v>0.981</v>
      </c>
      <c r="BX1330" s="1">
        <v>0.997</v>
      </c>
      <c r="BY1330" s="1">
        <v>0.0</v>
      </c>
      <c r="BZ1330" s="1">
        <v>0.997</v>
      </c>
      <c r="CA1330" s="1">
        <v>0.558</v>
      </c>
      <c r="CB1330" s="1">
        <v>0.466</v>
      </c>
      <c r="CC1330" s="1">
        <v>0.45</v>
      </c>
      <c r="CD1330" s="1">
        <v>0.917</v>
      </c>
      <c r="CE1330" s="1">
        <v>0.934</v>
      </c>
      <c r="CF1330" s="1">
        <v>0.556</v>
      </c>
      <c r="CG1330" s="1">
        <v>3.323</v>
      </c>
      <c r="CH1330" s="1">
        <v>0.882</v>
      </c>
      <c r="CI1330" s="1">
        <v>10.4232</v>
      </c>
      <c r="CJ1330" s="1">
        <v>0.9711</v>
      </c>
      <c r="CK1330" s="1">
        <v>1.0</v>
      </c>
      <c r="CL1330" s="1">
        <v>1.0</v>
      </c>
      <c r="CM1330" s="1">
        <v>1.0</v>
      </c>
      <c r="CN1330" s="1">
        <v>0.0</v>
      </c>
      <c r="CO1330" s="1">
        <v>3.0</v>
      </c>
      <c r="CP1330" s="1">
        <v>0.0</v>
      </c>
      <c r="CQ1330" s="1">
        <v>0.0</v>
      </c>
      <c r="CR1330" s="1">
        <v>1.0</v>
      </c>
      <c r="CS1330" s="1">
        <v>1.0</v>
      </c>
      <c r="CT1330" s="1">
        <v>1.0</v>
      </c>
      <c r="CU1330" s="1">
        <v>0.0</v>
      </c>
      <c r="CV1330" s="1">
        <v>1.0</v>
      </c>
      <c r="CW1330" s="1">
        <v>0.0</v>
      </c>
      <c r="CX1330" s="1">
        <v>0.0</v>
      </c>
      <c r="CY1330" s="1">
        <v>1.0</v>
      </c>
      <c r="CZ1330" s="1">
        <v>1.0</v>
      </c>
      <c r="DA1330" s="1">
        <v>0.0</v>
      </c>
      <c r="DB1330" s="1">
        <v>2.0</v>
      </c>
      <c r="DC1330" s="1">
        <v>7.0</v>
      </c>
      <c r="DD1330" s="1" t="s">
        <v>5807</v>
      </c>
      <c r="DE1330" s="2" t="s">
        <v>5808</v>
      </c>
      <c r="DF1330" s="1">
        <v>0.0516812120955487</v>
      </c>
    </row>
    <row r="1331" ht="15.75" customHeight="1">
      <c r="A1331" s="1" t="s">
        <v>5809</v>
      </c>
      <c r="B1331" s="1">
        <v>29.0</v>
      </c>
      <c r="C1331" s="1">
        <v>510.0</v>
      </c>
      <c r="D1331" s="1">
        <v>106700.0</v>
      </c>
      <c r="E1331" s="1">
        <v>0.478</v>
      </c>
      <c r="F1331" s="1">
        <v>29510.0</v>
      </c>
      <c r="G1331" s="1">
        <v>2.95101067E10</v>
      </c>
      <c r="H1331" s="1" t="s">
        <v>112</v>
      </c>
      <c r="I1331" s="1" t="s">
        <v>113</v>
      </c>
      <c r="J1331" s="1" t="s">
        <v>5663</v>
      </c>
      <c r="K1331" s="1" t="s">
        <v>5810</v>
      </c>
      <c r="L1331" s="1">
        <v>3515.0</v>
      </c>
      <c r="M1331" s="1">
        <v>3640.0</v>
      </c>
      <c r="N1331" s="1">
        <v>452.0</v>
      </c>
      <c r="O1331" s="1">
        <v>1948.0</v>
      </c>
      <c r="P1331" s="1">
        <v>2133.0</v>
      </c>
      <c r="Q1331" s="1">
        <v>121.0</v>
      </c>
      <c r="R1331" s="1">
        <v>1451.0</v>
      </c>
      <c r="S1331" s="1">
        <v>1580.0</v>
      </c>
      <c r="T1331" s="1">
        <v>403.0</v>
      </c>
      <c r="U1331" s="1">
        <v>485.0</v>
      </c>
      <c r="V1331" s="1">
        <v>323.0</v>
      </c>
      <c r="W1331" s="1">
        <v>13902.0</v>
      </c>
      <c r="X1331" s="1">
        <v>2362.0</v>
      </c>
      <c r="Y1331" s="1">
        <v>600.0</v>
      </c>
      <c r="Z1331" s="1">
        <v>230.0</v>
      </c>
      <c r="AA1331" s="1">
        <v>494.0</v>
      </c>
      <c r="AB1331" s="1">
        <v>961.0</v>
      </c>
      <c r="AC1331" s="1">
        <v>368.0</v>
      </c>
      <c r="AD1331" s="1">
        <v>3487.0</v>
      </c>
      <c r="AE1331" s="1">
        <v>0.0</v>
      </c>
      <c r="AF1331" s="1">
        <v>456.0</v>
      </c>
      <c r="AG1331" s="1">
        <v>191.0</v>
      </c>
      <c r="AH1331" s="1">
        <v>82.0</v>
      </c>
      <c r="AI1331" s="1">
        <v>0.0</v>
      </c>
      <c r="AJ1331" s="1">
        <v>114.0</v>
      </c>
      <c r="AK1331" s="1">
        <v>73.0</v>
      </c>
      <c r="AL1331" s="1">
        <v>132.0</v>
      </c>
      <c r="AM1331" s="1">
        <v>529.0</v>
      </c>
      <c r="AN1331" s="1">
        <v>147.0</v>
      </c>
      <c r="AO1331" s="1">
        <v>4.0</v>
      </c>
      <c r="AP1331" s="1">
        <v>0.436102</v>
      </c>
      <c r="AQ1331" s="1">
        <v>0.096747</v>
      </c>
      <c r="AR1331" s="1">
        <v>0.300868</v>
      </c>
      <c r="AS1331" s="1">
        <v>0.189807</v>
      </c>
      <c r="AT1331" s="1">
        <v>13902.0</v>
      </c>
      <c r="AU1331" s="1">
        <v>2362.0</v>
      </c>
      <c r="AV1331" s="1">
        <v>0.272232</v>
      </c>
      <c r="AW1331" s="1">
        <v>0.097222</v>
      </c>
      <c r="AX1331" s="1">
        <v>0.14054</v>
      </c>
      <c r="AY1331" s="1">
        <v>0.273399</v>
      </c>
      <c r="AZ1331" s="1">
        <v>0.25361819</v>
      </c>
      <c r="BA1331" s="1">
        <v>0.992034</v>
      </c>
      <c r="BB1331" s="1">
        <v>0.0</v>
      </c>
      <c r="BC1331" s="1">
        <v>0.135071</v>
      </c>
      <c r="BD1331" s="1">
        <v>0.089545</v>
      </c>
      <c r="BE1331" s="1">
        <v>0.038106</v>
      </c>
      <c r="BF1331" s="1">
        <v>0.0</v>
      </c>
      <c r="BG1331" s="1">
        <v>0.053445</v>
      </c>
      <c r="BH1331" s="1">
        <v>0.048089</v>
      </c>
      <c r="BI1331" s="1">
        <v>0.086752</v>
      </c>
      <c r="BJ1331" s="1">
        <v>0.348484</v>
      </c>
      <c r="BK1331" s="1">
        <v>0.086688</v>
      </c>
      <c r="BL1331" s="1">
        <v>0.001137</v>
      </c>
      <c r="BM1331" s="1">
        <v>0.975</v>
      </c>
      <c r="BN1331" s="1">
        <v>0.992</v>
      </c>
      <c r="BO1331" s="1">
        <v>0.9141</v>
      </c>
      <c r="BP1331" s="1">
        <v>0.909</v>
      </c>
      <c r="BQ1331" s="1">
        <v>3.7901</v>
      </c>
      <c r="BR1331" s="1">
        <v>0.9783</v>
      </c>
      <c r="BS1331" s="1">
        <v>0.501</v>
      </c>
      <c r="BT1331" s="1">
        <v>0.812</v>
      </c>
      <c r="BU1331" s="1">
        <v>0.949</v>
      </c>
      <c r="BV1331" s="1">
        <v>2.262</v>
      </c>
      <c r="BW1331" s="1">
        <v>0.974</v>
      </c>
      <c r="BX1331" s="1">
        <v>0.994</v>
      </c>
      <c r="BY1331" s="1">
        <v>0.0</v>
      </c>
      <c r="BZ1331" s="1">
        <v>0.994</v>
      </c>
      <c r="CA1331" s="1">
        <v>0.556</v>
      </c>
      <c r="CB1331" s="1">
        <v>0.748</v>
      </c>
      <c r="CC1331" s="1">
        <v>0.0</v>
      </c>
      <c r="CD1331" s="1">
        <v>0.928</v>
      </c>
      <c r="CE1331" s="1">
        <v>0.979</v>
      </c>
      <c r="CF1331" s="1">
        <v>0.407</v>
      </c>
      <c r="CG1331" s="1">
        <v>3.062</v>
      </c>
      <c r="CH1331" s="1">
        <v>0.801</v>
      </c>
      <c r="CI1331" s="1">
        <v>10.1081</v>
      </c>
      <c r="CJ1331" s="1">
        <v>0.9567</v>
      </c>
      <c r="CK1331" s="1">
        <v>1.0</v>
      </c>
      <c r="CL1331" s="1">
        <v>1.0</v>
      </c>
      <c r="CM1331" s="1">
        <v>1.0</v>
      </c>
      <c r="CN1331" s="1">
        <v>1.0</v>
      </c>
      <c r="CO1331" s="1">
        <v>4.0</v>
      </c>
      <c r="CP1331" s="1">
        <v>0.0</v>
      </c>
      <c r="CQ1331" s="1">
        <v>0.0</v>
      </c>
      <c r="CR1331" s="1">
        <v>1.0</v>
      </c>
      <c r="CS1331" s="1">
        <v>1.0</v>
      </c>
      <c r="CT1331" s="1">
        <v>1.0</v>
      </c>
      <c r="CU1331" s="1">
        <v>0.0</v>
      </c>
      <c r="CV1331" s="1">
        <v>1.0</v>
      </c>
      <c r="CW1331" s="1">
        <v>0.0</v>
      </c>
      <c r="CX1331" s="1">
        <v>0.0</v>
      </c>
      <c r="CY1331" s="1">
        <v>1.0</v>
      </c>
      <c r="CZ1331" s="1">
        <v>1.0</v>
      </c>
      <c r="DA1331" s="1">
        <v>0.0</v>
      </c>
      <c r="DB1331" s="1">
        <v>2.0</v>
      </c>
      <c r="DC1331" s="1">
        <v>8.0</v>
      </c>
      <c r="DD1331" s="1" t="s">
        <v>5811</v>
      </c>
      <c r="DE1331" s="1">
        <v>1.28097236565659E-4</v>
      </c>
      <c r="DF1331" s="1">
        <v>0.0489011904731945</v>
      </c>
    </row>
    <row r="1332" ht="15.75" customHeight="1">
      <c r="A1332" s="1" t="s">
        <v>5812</v>
      </c>
      <c r="B1332" s="1">
        <v>29.0</v>
      </c>
      <c r="C1332" s="1">
        <v>510.0</v>
      </c>
      <c r="D1332" s="1">
        <v>107200.0</v>
      </c>
      <c r="E1332" s="1">
        <v>0.253</v>
      </c>
      <c r="F1332" s="1">
        <v>29510.0</v>
      </c>
      <c r="G1332" s="1">
        <v>2.95101072E10</v>
      </c>
      <c r="H1332" s="1" t="s">
        <v>112</v>
      </c>
      <c r="I1332" s="1" t="s">
        <v>113</v>
      </c>
      <c r="J1332" s="1" t="s">
        <v>5663</v>
      </c>
      <c r="K1332" s="1" t="s">
        <v>5813</v>
      </c>
      <c r="L1332" s="1">
        <v>1342.0</v>
      </c>
      <c r="M1332" s="1">
        <v>1017.0</v>
      </c>
      <c r="N1332" s="1">
        <v>305.0</v>
      </c>
      <c r="O1332" s="1">
        <v>649.0</v>
      </c>
      <c r="P1332" s="1">
        <v>681.0</v>
      </c>
      <c r="Q1332" s="1">
        <v>89.0</v>
      </c>
      <c r="R1332" s="1">
        <v>485.0</v>
      </c>
      <c r="S1332" s="1">
        <v>419.0</v>
      </c>
      <c r="T1332" s="1">
        <v>242.0</v>
      </c>
      <c r="U1332" s="1">
        <v>101.0</v>
      </c>
      <c r="V1332" s="1">
        <v>431.0</v>
      </c>
      <c r="W1332" s="1">
        <v>14485.0</v>
      </c>
      <c r="X1332" s="1">
        <v>4330.0</v>
      </c>
      <c r="Y1332" s="1">
        <v>236.0</v>
      </c>
      <c r="Z1332" s="1">
        <v>279.0</v>
      </c>
      <c r="AA1332" s="1">
        <v>137.0</v>
      </c>
      <c r="AB1332" s="1">
        <v>402.0</v>
      </c>
      <c r="AC1332" s="1">
        <v>141.0</v>
      </c>
      <c r="AD1332" s="1">
        <v>1322.0</v>
      </c>
      <c r="AE1332" s="1">
        <v>0.0</v>
      </c>
      <c r="AF1332" s="1">
        <v>456.0</v>
      </c>
      <c r="AG1332" s="1">
        <v>0.0</v>
      </c>
      <c r="AH1332" s="1">
        <v>197.0</v>
      </c>
      <c r="AI1332" s="1">
        <v>0.0</v>
      </c>
      <c r="AJ1332" s="1">
        <v>114.0</v>
      </c>
      <c r="AK1332" s="1">
        <v>16.0</v>
      </c>
      <c r="AL1332" s="1">
        <v>116.0</v>
      </c>
      <c r="AM1332" s="1">
        <v>73.0</v>
      </c>
      <c r="AN1332" s="1">
        <v>131.0</v>
      </c>
      <c r="AO1332" s="1">
        <v>0.0</v>
      </c>
      <c r="AP1332" s="1">
        <v>0.417746</v>
      </c>
      <c r="AQ1332" s="1">
        <v>0.206149</v>
      </c>
      <c r="AR1332" s="1">
        <v>0.234883</v>
      </c>
      <c r="AS1332" s="1">
        <v>0.983603</v>
      </c>
      <c r="AT1332" s="1">
        <v>14485.0</v>
      </c>
      <c r="AU1332" s="1">
        <v>4330.0</v>
      </c>
      <c r="AV1332" s="1">
        <v>0.373417</v>
      </c>
      <c r="AW1332" s="1">
        <v>0.419826</v>
      </c>
      <c r="AX1332" s="1">
        <v>0.102086</v>
      </c>
      <c r="AY1332" s="1">
        <v>0.299552</v>
      </c>
      <c r="AZ1332" s="1">
        <v>0.29072164</v>
      </c>
      <c r="BA1332" s="1">
        <v>0.985096</v>
      </c>
      <c r="BB1332" s="1">
        <v>0.0</v>
      </c>
      <c r="BC1332" s="1">
        <v>0.485623</v>
      </c>
      <c r="BD1332" s="1">
        <v>0.0</v>
      </c>
      <c r="BE1332" s="1">
        <v>0.28928</v>
      </c>
      <c r="BF1332" s="1">
        <v>0.0</v>
      </c>
      <c r="BG1332" s="1">
        <v>0.1674</v>
      </c>
      <c r="BH1332" s="1">
        <v>0.041775</v>
      </c>
      <c r="BI1332" s="1">
        <v>0.302663</v>
      </c>
      <c r="BJ1332" s="1">
        <v>0.1906</v>
      </c>
      <c r="BK1332" s="1">
        <v>0.338173</v>
      </c>
      <c r="BL1332" s="1">
        <v>0.0</v>
      </c>
      <c r="BM1332" s="1">
        <v>0.966</v>
      </c>
      <c r="BN1332" s="1">
        <v>0.97</v>
      </c>
      <c r="BO1332" s="1">
        <v>0.8939</v>
      </c>
      <c r="BP1332" s="1">
        <v>0.984</v>
      </c>
      <c r="BQ1332" s="1">
        <v>3.8139</v>
      </c>
      <c r="BR1332" s="1">
        <v>0.9834</v>
      </c>
      <c r="BS1332" s="1">
        <v>0.224</v>
      </c>
      <c r="BT1332" s="1">
        <v>0.92</v>
      </c>
      <c r="BU1332" s="1">
        <v>0.978</v>
      </c>
      <c r="BV1332" s="1">
        <v>2.122</v>
      </c>
      <c r="BW1332" s="1">
        <v>0.93</v>
      </c>
      <c r="BX1332" s="1">
        <v>0.984</v>
      </c>
      <c r="BY1332" s="1">
        <v>0.0</v>
      </c>
      <c r="BZ1332" s="1">
        <v>0.984</v>
      </c>
      <c r="CA1332" s="1">
        <v>0.545</v>
      </c>
      <c r="CB1332" s="1">
        <v>0.0</v>
      </c>
      <c r="CC1332" s="1">
        <v>0.0</v>
      </c>
      <c r="CD1332" s="1">
        <v>0.902</v>
      </c>
      <c r="CE1332" s="1">
        <v>0.9</v>
      </c>
      <c r="CF1332" s="1">
        <v>0.0</v>
      </c>
      <c r="CG1332" s="1">
        <v>1.802</v>
      </c>
      <c r="CH1332" s="1">
        <v>0.267</v>
      </c>
      <c r="CI1332" s="1">
        <v>8.7219</v>
      </c>
      <c r="CJ1332" s="1">
        <v>0.8137</v>
      </c>
      <c r="CK1332" s="1">
        <v>1.0</v>
      </c>
      <c r="CL1332" s="1">
        <v>1.0</v>
      </c>
      <c r="CM1332" s="1">
        <v>0.0</v>
      </c>
      <c r="CN1332" s="1">
        <v>1.0</v>
      </c>
      <c r="CO1332" s="1">
        <v>3.0</v>
      </c>
      <c r="CP1332" s="1">
        <v>0.0</v>
      </c>
      <c r="CQ1332" s="1">
        <v>1.0</v>
      </c>
      <c r="CR1332" s="1">
        <v>1.0</v>
      </c>
      <c r="CS1332" s="1">
        <v>2.0</v>
      </c>
      <c r="CT1332" s="1">
        <v>1.0</v>
      </c>
      <c r="CU1332" s="1">
        <v>0.0</v>
      </c>
      <c r="CV1332" s="1">
        <v>1.0</v>
      </c>
      <c r="CW1332" s="1">
        <v>0.0</v>
      </c>
      <c r="CX1332" s="1">
        <v>0.0</v>
      </c>
      <c r="CY1332" s="1">
        <v>1.0</v>
      </c>
      <c r="CZ1332" s="1">
        <v>1.0</v>
      </c>
      <c r="DA1332" s="1">
        <v>0.0</v>
      </c>
      <c r="DB1332" s="1">
        <v>2.0</v>
      </c>
      <c r="DC1332" s="1">
        <v>8.0</v>
      </c>
      <c r="DD1332" s="1" t="s">
        <v>5814</v>
      </c>
      <c r="DE1332" s="2" t="s">
        <v>5815</v>
      </c>
      <c r="DF1332" s="1">
        <v>0.0407064070804031</v>
      </c>
    </row>
    <row r="1333" ht="15.75" customHeight="1">
      <c r="A1333" s="1" t="s">
        <v>5816</v>
      </c>
      <c r="B1333" s="1">
        <v>29.0</v>
      </c>
      <c r="C1333" s="1">
        <v>510.0</v>
      </c>
      <c r="D1333" s="1">
        <v>107300.0</v>
      </c>
      <c r="E1333" s="1">
        <v>0.613</v>
      </c>
      <c r="F1333" s="1">
        <v>29510.0</v>
      </c>
      <c r="G1333" s="1">
        <v>2.95101073E10</v>
      </c>
      <c r="H1333" s="1" t="s">
        <v>112</v>
      </c>
      <c r="I1333" s="1" t="s">
        <v>113</v>
      </c>
      <c r="J1333" s="1" t="s">
        <v>5663</v>
      </c>
      <c r="K1333" s="1" t="s">
        <v>5817</v>
      </c>
      <c r="L1333" s="1">
        <v>4983.0</v>
      </c>
      <c r="M1333" s="1">
        <v>5183.0</v>
      </c>
      <c r="N1333" s="1">
        <v>786.0</v>
      </c>
      <c r="O1333" s="1">
        <v>2217.0</v>
      </c>
      <c r="P1333" s="1">
        <v>2412.0</v>
      </c>
      <c r="Q1333" s="1">
        <v>85.0</v>
      </c>
      <c r="R1333" s="1">
        <v>1840.0</v>
      </c>
      <c r="S1333" s="1">
        <v>1286.0</v>
      </c>
      <c r="T1333" s="1">
        <v>657.0</v>
      </c>
      <c r="U1333" s="1">
        <v>369.0</v>
      </c>
      <c r="V1333" s="1">
        <v>457.0</v>
      </c>
      <c r="W1333" s="1">
        <v>16025.0</v>
      </c>
      <c r="X1333" s="1">
        <v>2546.0</v>
      </c>
      <c r="Y1333" s="1">
        <v>1048.0</v>
      </c>
      <c r="Z1333" s="1">
        <v>398.0</v>
      </c>
      <c r="AA1333" s="1">
        <v>786.0</v>
      </c>
      <c r="AB1333" s="1">
        <v>1234.0</v>
      </c>
      <c r="AC1333" s="1">
        <v>474.0</v>
      </c>
      <c r="AD1333" s="1">
        <v>4933.0</v>
      </c>
      <c r="AE1333" s="1">
        <v>23.0</v>
      </c>
      <c r="AF1333" s="1">
        <v>443.0</v>
      </c>
      <c r="AG1333" s="1">
        <v>0.0</v>
      </c>
      <c r="AH1333" s="1">
        <v>197.0</v>
      </c>
      <c r="AI1333" s="1">
        <v>14.0</v>
      </c>
      <c r="AJ1333" s="1">
        <v>23.0</v>
      </c>
      <c r="AK1333" s="1">
        <v>70.0</v>
      </c>
      <c r="AL1333" s="1">
        <v>144.0</v>
      </c>
      <c r="AM1333" s="1">
        <v>504.0</v>
      </c>
      <c r="AN1333" s="1">
        <v>205.0</v>
      </c>
      <c r="AO1333" s="1">
        <v>0.0</v>
      </c>
      <c r="AP1333" s="1">
        <v>0.254905</v>
      </c>
      <c r="AQ1333" s="1">
        <v>0.125516</v>
      </c>
      <c r="AR1333" s="1">
        <v>0.172268</v>
      </c>
      <c r="AS1333" s="1">
        <v>0.209976</v>
      </c>
      <c r="AT1333" s="1">
        <v>16025.0</v>
      </c>
      <c r="AU1333" s="1">
        <v>2546.0</v>
      </c>
      <c r="AV1333" s="1">
        <v>0.294796</v>
      </c>
      <c r="AW1333" s="1">
        <v>0.10685</v>
      </c>
      <c r="AX1333" s="1">
        <v>0.157736</v>
      </c>
      <c r="AY1333" s="1">
        <v>0.247641</v>
      </c>
      <c r="AZ1333" s="1">
        <v>0.25760869</v>
      </c>
      <c r="BA1333" s="1">
        <v>0.989965</v>
      </c>
      <c r="BB1333" s="1">
        <v>0.004688</v>
      </c>
      <c r="BC1333" s="1">
        <v>0.090294</v>
      </c>
      <c r="BD1333" s="1">
        <v>0.0</v>
      </c>
      <c r="BE1333" s="1">
        <v>0.081674</v>
      </c>
      <c r="BF1333" s="1">
        <v>0.005804</v>
      </c>
      <c r="BG1333" s="1">
        <v>0.009533</v>
      </c>
      <c r="BH1333" s="1">
        <v>0.035732</v>
      </c>
      <c r="BI1333" s="1">
        <v>0.073448</v>
      </c>
      <c r="BJ1333" s="1">
        <v>0.257274</v>
      </c>
      <c r="BK1333" s="1">
        <v>0.102486</v>
      </c>
      <c r="BL1333" s="1">
        <v>0.0</v>
      </c>
      <c r="BM1333" s="1">
        <v>0.834</v>
      </c>
      <c r="BN1333" s="1">
        <v>0.925</v>
      </c>
      <c r="BO1333" s="1">
        <v>0.8383</v>
      </c>
      <c r="BP1333" s="1">
        <v>0.938</v>
      </c>
      <c r="BQ1333" s="1">
        <v>3.5353</v>
      </c>
      <c r="BR1333" s="1">
        <v>0.9292</v>
      </c>
      <c r="BS1333" s="1">
        <v>0.648</v>
      </c>
      <c r="BT1333" s="1">
        <v>0.569</v>
      </c>
      <c r="BU1333" s="1">
        <v>0.952</v>
      </c>
      <c r="BV1333" s="1">
        <v>2.169</v>
      </c>
      <c r="BW1333" s="1">
        <v>0.956</v>
      </c>
      <c r="BX1333" s="1">
        <v>0.99</v>
      </c>
      <c r="BY1333" s="1">
        <v>0.546</v>
      </c>
      <c r="BZ1333" s="1">
        <v>1.536</v>
      </c>
      <c r="CA1333" s="1">
        <v>0.848</v>
      </c>
      <c r="CB1333" s="1">
        <v>0.0</v>
      </c>
      <c r="CC1333" s="1">
        <v>0.407</v>
      </c>
      <c r="CD1333" s="1">
        <v>0.866</v>
      </c>
      <c r="CE1333" s="1">
        <v>0.947</v>
      </c>
      <c r="CF1333" s="1">
        <v>0.0</v>
      </c>
      <c r="CG1333" s="1">
        <v>2.22</v>
      </c>
      <c r="CH1333" s="1">
        <v>0.424</v>
      </c>
      <c r="CI1333" s="1">
        <v>9.4603</v>
      </c>
      <c r="CJ1333" s="1">
        <v>0.9018</v>
      </c>
      <c r="CK1333" s="1">
        <v>0.0</v>
      </c>
      <c r="CL1333" s="1">
        <v>1.0</v>
      </c>
      <c r="CM1333" s="1">
        <v>0.0</v>
      </c>
      <c r="CN1333" s="1">
        <v>1.0</v>
      </c>
      <c r="CO1333" s="1">
        <v>2.0</v>
      </c>
      <c r="CP1333" s="1">
        <v>0.0</v>
      </c>
      <c r="CQ1333" s="1">
        <v>0.0</v>
      </c>
      <c r="CR1333" s="1">
        <v>1.0</v>
      </c>
      <c r="CS1333" s="1">
        <v>1.0</v>
      </c>
      <c r="CT1333" s="1">
        <v>1.0</v>
      </c>
      <c r="CU1333" s="1">
        <v>0.0</v>
      </c>
      <c r="CV1333" s="1">
        <v>1.0</v>
      </c>
      <c r="CW1333" s="1">
        <v>0.0</v>
      </c>
      <c r="CX1333" s="1">
        <v>0.0</v>
      </c>
      <c r="CY1333" s="1">
        <v>0.0</v>
      </c>
      <c r="CZ1333" s="1">
        <v>1.0</v>
      </c>
      <c r="DA1333" s="1">
        <v>0.0</v>
      </c>
      <c r="DB1333" s="1">
        <v>1.0</v>
      </c>
      <c r="DC1333" s="1">
        <v>5.0</v>
      </c>
      <c r="DD1333" s="1" t="s">
        <v>5818</v>
      </c>
      <c r="DE1333" s="1">
        <v>1.6637958966784E-4</v>
      </c>
      <c r="DF1333" s="2" t="s">
        <v>5819</v>
      </c>
    </row>
    <row r="1334" ht="15.75" customHeight="1">
      <c r="A1334" s="1" t="s">
        <v>5820</v>
      </c>
      <c r="B1334" s="1">
        <v>29.0</v>
      </c>
      <c r="C1334" s="1">
        <v>510.0</v>
      </c>
      <c r="D1334" s="1">
        <v>107500.0</v>
      </c>
      <c r="E1334" s="1">
        <v>0.352</v>
      </c>
      <c r="F1334" s="1">
        <v>29510.0</v>
      </c>
      <c r="G1334" s="1">
        <v>2.95101075E10</v>
      </c>
      <c r="H1334" s="1" t="s">
        <v>112</v>
      </c>
      <c r="I1334" s="1" t="s">
        <v>113</v>
      </c>
      <c r="J1334" s="1" t="s">
        <v>5663</v>
      </c>
      <c r="K1334" s="1" t="s">
        <v>5821</v>
      </c>
      <c r="L1334" s="1">
        <v>2711.0</v>
      </c>
      <c r="M1334" s="1">
        <v>2602.0</v>
      </c>
      <c r="N1334" s="1">
        <v>492.0</v>
      </c>
      <c r="O1334" s="1">
        <v>1317.0</v>
      </c>
      <c r="P1334" s="1">
        <v>1298.0</v>
      </c>
      <c r="Q1334" s="1">
        <v>100.0</v>
      </c>
      <c r="R1334" s="1">
        <v>1048.0</v>
      </c>
      <c r="S1334" s="1">
        <v>766.0</v>
      </c>
      <c r="T1334" s="1">
        <v>377.0</v>
      </c>
      <c r="U1334" s="1">
        <v>267.0</v>
      </c>
      <c r="V1334" s="1">
        <v>379.0</v>
      </c>
      <c r="W1334" s="1">
        <v>17227.0</v>
      </c>
      <c r="X1334" s="1">
        <v>4048.0</v>
      </c>
      <c r="Y1334" s="1">
        <v>487.0</v>
      </c>
      <c r="Z1334" s="1">
        <v>280.0</v>
      </c>
      <c r="AA1334" s="1">
        <v>461.0</v>
      </c>
      <c r="AB1334" s="1">
        <v>641.0</v>
      </c>
      <c r="AC1334" s="1">
        <v>248.0</v>
      </c>
      <c r="AD1334" s="1">
        <v>2681.0</v>
      </c>
      <c r="AE1334" s="1">
        <v>12.0</v>
      </c>
      <c r="AF1334" s="1">
        <v>442.0</v>
      </c>
      <c r="AG1334" s="1">
        <v>0.0</v>
      </c>
      <c r="AH1334" s="1">
        <v>197.0</v>
      </c>
      <c r="AI1334" s="1">
        <v>13.0</v>
      </c>
      <c r="AJ1334" s="1">
        <v>23.0</v>
      </c>
      <c r="AK1334" s="1">
        <v>20.0</v>
      </c>
      <c r="AL1334" s="1">
        <v>117.0</v>
      </c>
      <c r="AM1334" s="1">
        <v>209.0</v>
      </c>
      <c r="AN1334" s="1">
        <v>95.0</v>
      </c>
      <c r="AO1334" s="1">
        <v>0.0</v>
      </c>
      <c r="AP1334" s="1">
        <v>0.294388</v>
      </c>
      <c r="AQ1334" s="1">
        <v>0.133768</v>
      </c>
      <c r="AR1334" s="1">
        <v>0.194464</v>
      </c>
      <c r="AS1334" s="1">
        <v>0.272172</v>
      </c>
      <c r="AT1334" s="1">
        <v>17227.0</v>
      </c>
      <c r="AU1334" s="1">
        <v>4048.0</v>
      </c>
      <c r="AV1334" s="1">
        <v>0.267729</v>
      </c>
      <c r="AW1334" s="1">
        <v>0.149247</v>
      </c>
      <c r="AX1334" s="1">
        <v>0.170047</v>
      </c>
      <c r="AY1334" s="1">
        <v>0.236444</v>
      </c>
      <c r="AZ1334" s="1">
        <v>0.23664122</v>
      </c>
      <c r="BA1334" s="1">
        <v>0.988933</v>
      </c>
      <c r="BB1334" s="1">
        <v>0.004718</v>
      </c>
      <c r="BC1334" s="1">
        <v>0.173808</v>
      </c>
      <c r="BD1334" s="1">
        <v>0.0</v>
      </c>
      <c r="BE1334" s="1">
        <v>0.151771</v>
      </c>
      <c r="BF1334" s="1">
        <v>0.010015</v>
      </c>
      <c r="BG1334" s="1">
        <v>0.017702</v>
      </c>
      <c r="BH1334" s="1">
        <v>0.0201</v>
      </c>
      <c r="BI1334" s="1">
        <v>0.117569</v>
      </c>
      <c r="BJ1334" s="1">
        <v>0.21005</v>
      </c>
      <c r="BK1334" s="1">
        <v>0.093017</v>
      </c>
      <c r="BL1334" s="1">
        <v>0.0</v>
      </c>
      <c r="BM1334" s="1">
        <v>0.879</v>
      </c>
      <c r="BN1334" s="1">
        <v>0.947</v>
      </c>
      <c r="BO1334" s="1">
        <v>0.7726</v>
      </c>
      <c r="BP1334" s="1">
        <v>0.902</v>
      </c>
      <c r="BQ1334" s="1">
        <v>3.5006</v>
      </c>
      <c r="BR1334" s="1">
        <v>0.922</v>
      </c>
      <c r="BS1334" s="1">
        <v>0.736</v>
      </c>
      <c r="BT1334" s="1">
        <v>0.456</v>
      </c>
      <c r="BU1334" s="1">
        <v>0.932</v>
      </c>
      <c r="BV1334" s="1">
        <v>2.124</v>
      </c>
      <c r="BW1334" s="1">
        <v>0.933</v>
      </c>
      <c r="BX1334" s="1">
        <v>0.987</v>
      </c>
      <c r="BY1334" s="1">
        <v>0.547</v>
      </c>
      <c r="BZ1334" s="1">
        <v>1.534</v>
      </c>
      <c r="CA1334" s="1">
        <v>0.847</v>
      </c>
      <c r="CB1334" s="1">
        <v>0.0</v>
      </c>
      <c r="CC1334" s="1">
        <v>0.458</v>
      </c>
      <c r="CD1334" s="1">
        <v>0.686</v>
      </c>
      <c r="CE1334" s="1">
        <v>0.914</v>
      </c>
      <c r="CF1334" s="1">
        <v>0.0</v>
      </c>
      <c r="CG1334" s="1">
        <v>2.058</v>
      </c>
      <c r="CH1334" s="1">
        <v>0.368</v>
      </c>
      <c r="CI1334" s="1">
        <v>9.2166</v>
      </c>
      <c r="CJ1334" s="1">
        <v>0.8773</v>
      </c>
      <c r="CK1334" s="1">
        <v>0.0</v>
      </c>
      <c r="CL1334" s="1">
        <v>1.0</v>
      </c>
      <c r="CM1334" s="1">
        <v>0.0</v>
      </c>
      <c r="CN1334" s="1">
        <v>1.0</v>
      </c>
      <c r="CO1334" s="1">
        <v>2.0</v>
      </c>
      <c r="CP1334" s="1">
        <v>0.0</v>
      </c>
      <c r="CQ1334" s="1">
        <v>0.0</v>
      </c>
      <c r="CR1334" s="1">
        <v>1.0</v>
      </c>
      <c r="CS1334" s="1">
        <v>1.0</v>
      </c>
      <c r="CT1334" s="1">
        <v>1.0</v>
      </c>
      <c r="CU1334" s="1">
        <v>0.0</v>
      </c>
      <c r="CV1334" s="1">
        <v>1.0</v>
      </c>
      <c r="CW1334" s="1">
        <v>0.0</v>
      </c>
      <c r="CX1334" s="1">
        <v>0.0</v>
      </c>
      <c r="CY1334" s="1">
        <v>0.0</v>
      </c>
      <c r="CZ1334" s="1">
        <v>1.0</v>
      </c>
      <c r="DA1334" s="1">
        <v>0.0</v>
      </c>
      <c r="DB1334" s="1">
        <v>1.0</v>
      </c>
      <c r="DC1334" s="1">
        <v>5.0</v>
      </c>
      <c r="DD1334" s="1" t="s">
        <v>5822</v>
      </c>
      <c r="DE1334" s="2" t="s">
        <v>5823</v>
      </c>
      <c r="DF1334" s="1">
        <v>0.0437405938132079</v>
      </c>
    </row>
    <row r="1335" ht="15.75" customHeight="1">
      <c r="A1335" s="1" t="s">
        <v>5824</v>
      </c>
      <c r="B1335" s="1">
        <v>29.0</v>
      </c>
      <c r="C1335" s="1">
        <v>510.0</v>
      </c>
      <c r="D1335" s="1">
        <v>107600.0</v>
      </c>
      <c r="E1335" s="1">
        <v>0.45</v>
      </c>
      <c r="F1335" s="1">
        <v>29510.0</v>
      </c>
      <c r="G1335" s="1">
        <v>2.95101076E10</v>
      </c>
      <c r="H1335" s="1" t="s">
        <v>112</v>
      </c>
      <c r="I1335" s="1" t="s">
        <v>113</v>
      </c>
      <c r="J1335" s="1" t="s">
        <v>5663</v>
      </c>
      <c r="K1335" s="1" t="s">
        <v>5825</v>
      </c>
      <c r="L1335" s="1">
        <v>2225.0</v>
      </c>
      <c r="M1335" s="1">
        <v>3123.0</v>
      </c>
      <c r="N1335" s="1">
        <v>602.0</v>
      </c>
      <c r="O1335" s="1">
        <v>1115.0</v>
      </c>
      <c r="P1335" s="1">
        <v>1194.0</v>
      </c>
      <c r="Q1335" s="1">
        <v>82.0</v>
      </c>
      <c r="R1335" s="1">
        <v>929.0</v>
      </c>
      <c r="S1335" s="1">
        <v>1235.0</v>
      </c>
      <c r="T1335" s="1">
        <v>646.0</v>
      </c>
      <c r="U1335" s="1">
        <v>227.0</v>
      </c>
      <c r="V1335" s="1">
        <v>391.0</v>
      </c>
      <c r="W1335" s="1">
        <v>11587.0</v>
      </c>
      <c r="X1335" s="1">
        <v>2390.0</v>
      </c>
      <c r="Y1335" s="1">
        <v>463.0</v>
      </c>
      <c r="Z1335" s="1">
        <v>272.0</v>
      </c>
      <c r="AA1335" s="1">
        <v>351.0</v>
      </c>
      <c r="AB1335" s="1">
        <v>544.0</v>
      </c>
      <c r="AC1335" s="1">
        <v>201.0</v>
      </c>
      <c r="AD1335" s="1">
        <v>2218.0</v>
      </c>
      <c r="AE1335" s="1">
        <v>28.0</v>
      </c>
      <c r="AF1335" s="1">
        <v>444.0</v>
      </c>
      <c r="AG1335" s="1">
        <v>130.0</v>
      </c>
      <c r="AH1335" s="1">
        <v>133.0</v>
      </c>
      <c r="AI1335" s="1">
        <v>0.0</v>
      </c>
      <c r="AJ1335" s="1">
        <v>114.0</v>
      </c>
      <c r="AK1335" s="1">
        <v>123.0</v>
      </c>
      <c r="AL1335" s="1">
        <v>144.0</v>
      </c>
      <c r="AM1335" s="1">
        <v>144.0</v>
      </c>
      <c r="AN1335" s="1">
        <v>79.0</v>
      </c>
      <c r="AO1335" s="1">
        <v>6.0</v>
      </c>
      <c r="AP1335" s="1">
        <v>0.395453</v>
      </c>
      <c r="AQ1335" s="1">
        <v>0.192294</v>
      </c>
      <c r="AR1335" s="1">
        <v>0.205244</v>
      </c>
      <c r="AS1335" s="1">
        <v>0.349232</v>
      </c>
      <c r="AT1335" s="1">
        <v>11587.0</v>
      </c>
      <c r="AU1335" s="1">
        <v>2390.0</v>
      </c>
      <c r="AV1335" s="1">
        <v>0.314751</v>
      </c>
      <c r="AW1335" s="1">
        <v>0.180383</v>
      </c>
      <c r="AX1335" s="1">
        <v>0.157752</v>
      </c>
      <c r="AY1335" s="1">
        <v>0.244494</v>
      </c>
      <c r="AZ1335" s="1">
        <v>0.21636167</v>
      </c>
      <c r="BA1335" s="1">
        <v>0.996853</v>
      </c>
      <c r="BB1335" s="1">
        <v>0.010297</v>
      </c>
      <c r="BC1335" s="1">
        <v>0.163285</v>
      </c>
      <c r="BD1335" s="1">
        <v>0.108877</v>
      </c>
      <c r="BE1335" s="1">
        <v>0.111139</v>
      </c>
      <c r="BF1335" s="1">
        <v>0.0</v>
      </c>
      <c r="BG1335" s="1">
        <v>0.095477</v>
      </c>
      <c r="BH1335" s="1">
        <v>0.11692</v>
      </c>
      <c r="BI1335" s="1">
        <v>0.136345</v>
      </c>
      <c r="BJ1335" s="1">
        <v>0.136882</v>
      </c>
      <c r="BK1335" s="1">
        <v>0.073743</v>
      </c>
      <c r="BL1335" s="1">
        <v>0.002696</v>
      </c>
      <c r="BM1335" s="1">
        <v>0.95</v>
      </c>
      <c r="BN1335" s="1">
        <v>0.954</v>
      </c>
      <c r="BO1335" s="1">
        <v>0.9661</v>
      </c>
      <c r="BP1335" s="1">
        <v>0.955</v>
      </c>
      <c r="BQ1335" s="1">
        <v>3.8251</v>
      </c>
      <c r="BR1335" s="1">
        <v>0.9848</v>
      </c>
      <c r="BS1335" s="1">
        <v>0.648</v>
      </c>
      <c r="BT1335" s="1">
        <v>0.541</v>
      </c>
      <c r="BU1335" s="1">
        <v>0.915</v>
      </c>
      <c r="BV1335" s="1">
        <v>2.104</v>
      </c>
      <c r="BW1335" s="1">
        <v>0.919</v>
      </c>
      <c r="BX1335" s="1">
        <v>0.999</v>
      </c>
      <c r="BY1335" s="1">
        <v>0.728</v>
      </c>
      <c r="BZ1335" s="1">
        <v>1.727</v>
      </c>
      <c r="CA1335" s="1">
        <v>0.934</v>
      </c>
      <c r="CB1335" s="1">
        <v>0.786</v>
      </c>
      <c r="CC1335" s="1">
        <v>0.0</v>
      </c>
      <c r="CD1335" s="1">
        <v>0.997</v>
      </c>
      <c r="CE1335" s="1">
        <v>0.84</v>
      </c>
      <c r="CF1335" s="1">
        <v>0.466</v>
      </c>
      <c r="CG1335" s="1">
        <v>3.089</v>
      </c>
      <c r="CH1335" s="1">
        <v>0.812</v>
      </c>
      <c r="CI1335" s="1">
        <v>10.7451</v>
      </c>
      <c r="CJ1335" s="1">
        <v>0.9841</v>
      </c>
      <c r="CK1335" s="1">
        <v>1.0</v>
      </c>
      <c r="CL1335" s="1">
        <v>1.0</v>
      </c>
      <c r="CM1335" s="1">
        <v>1.0</v>
      </c>
      <c r="CN1335" s="1">
        <v>1.0</v>
      </c>
      <c r="CO1335" s="1">
        <v>4.0</v>
      </c>
      <c r="CP1335" s="1">
        <v>0.0</v>
      </c>
      <c r="CQ1335" s="1">
        <v>0.0</v>
      </c>
      <c r="CR1335" s="1">
        <v>1.0</v>
      </c>
      <c r="CS1335" s="1">
        <v>1.0</v>
      </c>
      <c r="CT1335" s="1">
        <v>1.0</v>
      </c>
      <c r="CU1335" s="1">
        <v>0.0</v>
      </c>
      <c r="CV1335" s="1">
        <v>1.0</v>
      </c>
      <c r="CW1335" s="1">
        <v>0.0</v>
      </c>
      <c r="CX1335" s="1">
        <v>0.0</v>
      </c>
      <c r="CY1335" s="1">
        <v>1.0</v>
      </c>
      <c r="CZ1335" s="1">
        <v>0.0</v>
      </c>
      <c r="DA1335" s="1">
        <v>0.0</v>
      </c>
      <c r="DB1335" s="1">
        <v>1.0</v>
      </c>
      <c r="DC1335" s="1">
        <v>7.0</v>
      </c>
      <c r="DD1335" s="1" t="s">
        <v>5826</v>
      </c>
      <c r="DE1335" s="1">
        <v>1.20490442498185E-4</v>
      </c>
      <c r="DF1335" s="1">
        <v>0.0550722941319411</v>
      </c>
    </row>
    <row r="1336" ht="15.75" customHeight="1">
      <c r="A1336" s="1" t="s">
        <v>5827</v>
      </c>
      <c r="B1336" s="1">
        <v>29.0</v>
      </c>
      <c r="C1336" s="1">
        <v>510.0</v>
      </c>
      <c r="D1336" s="1">
        <v>108100.0</v>
      </c>
      <c r="E1336" s="1">
        <v>1.241</v>
      </c>
      <c r="F1336" s="1">
        <v>29510.0</v>
      </c>
      <c r="G1336" s="1">
        <v>2.95101081E10</v>
      </c>
      <c r="H1336" s="1" t="s">
        <v>112</v>
      </c>
      <c r="I1336" s="1" t="s">
        <v>113</v>
      </c>
      <c r="J1336" s="1" t="s">
        <v>5663</v>
      </c>
      <c r="K1336" s="1" t="s">
        <v>5828</v>
      </c>
      <c r="L1336" s="1">
        <v>3403.0</v>
      </c>
      <c r="M1336" s="1">
        <v>3084.0</v>
      </c>
      <c r="N1336" s="1">
        <v>384.0</v>
      </c>
      <c r="O1336" s="1">
        <v>1454.0</v>
      </c>
      <c r="P1336" s="1">
        <v>1459.0</v>
      </c>
      <c r="Q1336" s="1">
        <v>111.0</v>
      </c>
      <c r="R1336" s="1">
        <v>1226.0</v>
      </c>
      <c r="S1336" s="1">
        <v>633.0</v>
      </c>
      <c r="T1336" s="1">
        <v>232.0</v>
      </c>
      <c r="U1336" s="1">
        <v>348.0</v>
      </c>
      <c r="V1336" s="1">
        <v>362.0</v>
      </c>
      <c r="W1336" s="1">
        <v>16896.0</v>
      </c>
      <c r="X1336" s="1">
        <v>2501.0</v>
      </c>
      <c r="Y1336" s="1">
        <v>443.0</v>
      </c>
      <c r="Z1336" s="1">
        <v>306.0</v>
      </c>
      <c r="AA1336" s="1">
        <v>411.0</v>
      </c>
      <c r="AB1336" s="1">
        <v>927.0</v>
      </c>
      <c r="AC1336" s="1">
        <v>346.0</v>
      </c>
      <c r="AD1336" s="1">
        <v>3268.0</v>
      </c>
      <c r="AE1336" s="1">
        <v>44.0</v>
      </c>
      <c r="AF1336" s="1">
        <v>414.0</v>
      </c>
      <c r="AG1336" s="1">
        <v>51.0</v>
      </c>
      <c r="AH1336" s="1">
        <v>121.0</v>
      </c>
      <c r="AI1336" s="1">
        <v>0.0</v>
      </c>
      <c r="AJ1336" s="1">
        <v>114.0</v>
      </c>
      <c r="AK1336" s="1">
        <v>40.0</v>
      </c>
      <c r="AL1336" s="1">
        <v>119.0</v>
      </c>
      <c r="AM1336" s="1">
        <v>234.0</v>
      </c>
      <c r="AN1336" s="1">
        <v>101.0</v>
      </c>
      <c r="AO1336" s="1">
        <v>1.0</v>
      </c>
      <c r="AP1336" s="1">
        <v>0.205252</v>
      </c>
      <c r="AQ1336" s="1">
        <v>0.070752</v>
      </c>
      <c r="AR1336" s="1">
        <v>0.219281</v>
      </c>
      <c r="AS1336" s="1">
        <v>0.224916</v>
      </c>
      <c r="AT1336" s="1">
        <v>16896.0</v>
      </c>
      <c r="AU1336" s="1">
        <v>2501.0</v>
      </c>
      <c r="AV1336" s="1">
        <v>0.228115</v>
      </c>
      <c r="AW1336" s="1">
        <v>0.156014</v>
      </c>
      <c r="AX1336" s="1">
        <v>0.120775</v>
      </c>
      <c r="AY1336" s="1">
        <v>0.272406</v>
      </c>
      <c r="AZ1336" s="1">
        <v>0.28221859</v>
      </c>
      <c r="BA1336" s="1">
        <v>0.960329</v>
      </c>
      <c r="BB1336" s="1">
        <v>0.015449</v>
      </c>
      <c r="BC1336" s="1">
        <v>0.145352</v>
      </c>
      <c r="BD1336" s="1">
        <v>0.034955</v>
      </c>
      <c r="BE1336" s="1">
        <v>0.08289</v>
      </c>
      <c r="BF1336" s="1">
        <v>0.0</v>
      </c>
      <c r="BG1336" s="1">
        <v>0.078135</v>
      </c>
      <c r="BH1336" s="1">
        <v>0.033361</v>
      </c>
      <c r="BI1336" s="1">
        <v>0.099172</v>
      </c>
      <c r="BJ1336" s="1">
        <v>0.195162</v>
      </c>
      <c r="BK1336" s="1">
        <v>0.081095</v>
      </c>
      <c r="BL1336" s="1">
        <v>2.93E-4</v>
      </c>
      <c r="BM1336" s="1">
        <v>0.744</v>
      </c>
      <c r="BN1336" s="1">
        <v>0.965</v>
      </c>
      <c r="BO1336" s="1">
        <v>0.7942</v>
      </c>
      <c r="BP1336" s="1">
        <v>0.823</v>
      </c>
      <c r="BQ1336" s="1">
        <v>3.3262</v>
      </c>
      <c r="BR1336" s="1">
        <v>0.8852</v>
      </c>
      <c r="BS1336" s="1">
        <v>0.351</v>
      </c>
      <c r="BT1336" s="1">
        <v>0.807</v>
      </c>
      <c r="BU1336" s="1">
        <v>0.974</v>
      </c>
      <c r="BV1336" s="1">
        <v>2.132</v>
      </c>
      <c r="BW1336" s="1">
        <v>0.938</v>
      </c>
      <c r="BX1336" s="1">
        <v>0.963</v>
      </c>
      <c r="BY1336" s="1">
        <v>0.816</v>
      </c>
      <c r="BZ1336" s="1">
        <v>1.779</v>
      </c>
      <c r="CA1336" s="1">
        <v>0.956</v>
      </c>
      <c r="CB1336" s="1">
        <v>0.577</v>
      </c>
      <c r="CC1336" s="1">
        <v>0.0</v>
      </c>
      <c r="CD1336" s="1">
        <v>0.847</v>
      </c>
      <c r="CE1336" s="1">
        <v>0.904</v>
      </c>
      <c r="CF1336" s="1">
        <v>0.352</v>
      </c>
      <c r="CG1336" s="1">
        <v>2.68</v>
      </c>
      <c r="CH1336" s="1">
        <v>0.636</v>
      </c>
      <c r="CI1336" s="1">
        <v>9.9172</v>
      </c>
      <c r="CJ1336" s="1">
        <v>0.9437</v>
      </c>
      <c r="CK1336" s="1">
        <v>0.0</v>
      </c>
      <c r="CL1336" s="1">
        <v>1.0</v>
      </c>
      <c r="CM1336" s="1">
        <v>0.0</v>
      </c>
      <c r="CN1336" s="1">
        <v>0.0</v>
      </c>
      <c r="CO1336" s="1">
        <v>1.0</v>
      </c>
      <c r="CP1336" s="1">
        <v>0.0</v>
      </c>
      <c r="CQ1336" s="1">
        <v>0.0</v>
      </c>
      <c r="CR1336" s="1">
        <v>1.0</v>
      </c>
      <c r="CS1336" s="1">
        <v>1.0</v>
      </c>
      <c r="CT1336" s="1">
        <v>1.0</v>
      </c>
      <c r="CU1336" s="1">
        <v>0.0</v>
      </c>
      <c r="CV1336" s="1">
        <v>1.0</v>
      </c>
      <c r="CW1336" s="1">
        <v>0.0</v>
      </c>
      <c r="CX1336" s="1">
        <v>0.0</v>
      </c>
      <c r="CY1336" s="1">
        <v>0.0</v>
      </c>
      <c r="CZ1336" s="1">
        <v>1.0</v>
      </c>
      <c r="DA1336" s="1">
        <v>0.0</v>
      </c>
      <c r="DB1336" s="1">
        <v>1.0</v>
      </c>
      <c r="DC1336" s="1">
        <v>4.0</v>
      </c>
      <c r="DD1336" s="1" t="s">
        <v>5829</v>
      </c>
      <c r="DE1336" s="1">
        <v>3.30856423117798E-4</v>
      </c>
      <c r="DF1336" s="1">
        <v>0.0866034926049232</v>
      </c>
    </row>
    <row r="1337" ht="15.75" customHeight="1">
      <c r="A1337" s="1" t="s">
        <v>5830</v>
      </c>
      <c r="B1337" s="1">
        <v>29.0</v>
      </c>
      <c r="C1337" s="1">
        <v>510.0</v>
      </c>
      <c r="D1337" s="1">
        <v>108200.0</v>
      </c>
      <c r="E1337" s="1">
        <v>0.319</v>
      </c>
      <c r="F1337" s="1">
        <v>29510.0</v>
      </c>
      <c r="G1337" s="1">
        <v>2.95101082E10</v>
      </c>
      <c r="H1337" s="1" t="s">
        <v>112</v>
      </c>
      <c r="I1337" s="1" t="s">
        <v>113</v>
      </c>
      <c r="J1337" s="1" t="s">
        <v>5663</v>
      </c>
      <c r="K1337" s="1" t="s">
        <v>5831</v>
      </c>
      <c r="L1337" s="1">
        <v>2698.0</v>
      </c>
      <c r="M1337" s="1">
        <v>2569.0</v>
      </c>
      <c r="N1337" s="1">
        <v>367.0</v>
      </c>
      <c r="O1337" s="1">
        <v>1237.0</v>
      </c>
      <c r="P1337" s="1">
        <v>1290.0</v>
      </c>
      <c r="Q1337" s="1">
        <v>66.0</v>
      </c>
      <c r="R1337" s="1">
        <v>1103.0</v>
      </c>
      <c r="S1337" s="1">
        <v>287.0</v>
      </c>
      <c r="T1337" s="1">
        <v>121.0</v>
      </c>
      <c r="U1337" s="1">
        <v>178.0</v>
      </c>
      <c r="V1337" s="1">
        <v>410.0</v>
      </c>
      <c r="W1337" s="1">
        <v>23668.0</v>
      </c>
      <c r="X1337" s="1">
        <v>3917.0</v>
      </c>
      <c r="Y1337" s="1">
        <v>403.0</v>
      </c>
      <c r="Z1337" s="1">
        <v>279.0</v>
      </c>
      <c r="AA1337" s="1">
        <v>475.0</v>
      </c>
      <c r="AB1337" s="1">
        <v>565.0</v>
      </c>
      <c r="AC1337" s="1">
        <v>206.0</v>
      </c>
      <c r="AD1337" s="1">
        <v>2601.0</v>
      </c>
      <c r="AE1337" s="1">
        <v>0.0</v>
      </c>
      <c r="AF1337" s="1">
        <v>456.0</v>
      </c>
      <c r="AG1337" s="1">
        <v>159.0</v>
      </c>
      <c r="AH1337" s="1">
        <v>151.0</v>
      </c>
      <c r="AI1337" s="1">
        <v>0.0</v>
      </c>
      <c r="AJ1337" s="1">
        <v>114.0</v>
      </c>
      <c r="AK1337" s="1">
        <v>0.0</v>
      </c>
      <c r="AL1337" s="1">
        <v>161.0</v>
      </c>
      <c r="AM1337" s="1">
        <v>256.0</v>
      </c>
      <c r="AN1337" s="1">
        <v>82.0</v>
      </c>
      <c r="AO1337" s="1">
        <v>184.0</v>
      </c>
      <c r="AP1337" s="1">
        <v>0.126822</v>
      </c>
      <c r="AQ1337" s="1">
        <v>0.049674</v>
      </c>
      <c r="AR1337" s="1">
        <v>0.130116</v>
      </c>
      <c r="AS1337" s="1">
        <v>0.297978</v>
      </c>
      <c r="AT1337" s="1">
        <v>23668.0</v>
      </c>
      <c r="AU1337" s="1">
        <v>3917.0</v>
      </c>
      <c r="AV1337" s="1">
        <v>0.182023</v>
      </c>
      <c r="AW1337" s="1">
        <v>0.12374</v>
      </c>
      <c r="AX1337" s="1">
        <v>0.176056</v>
      </c>
      <c r="AY1337" s="1">
        <v>0.209414</v>
      </c>
      <c r="AZ1337" s="1">
        <v>0.18676337</v>
      </c>
      <c r="BA1337" s="1">
        <v>0.964047</v>
      </c>
      <c r="BB1337" s="1">
        <v>0.0</v>
      </c>
      <c r="BC1337" s="1">
        <v>0.177985</v>
      </c>
      <c r="BD1337" s="1">
        <v>0.123255</v>
      </c>
      <c r="BE1337" s="1">
        <v>0.116884</v>
      </c>
      <c r="BF1337" s="1">
        <v>0.0</v>
      </c>
      <c r="BG1337" s="1">
        <v>0.088372</v>
      </c>
      <c r="BH1337" s="1">
        <v>0.0</v>
      </c>
      <c r="BI1337" s="1">
        <v>0.15451</v>
      </c>
      <c r="BJ1337" s="1">
        <v>0.245681</v>
      </c>
      <c r="BK1337" s="1">
        <v>0.075005</v>
      </c>
      <c r="BL1337" s="1">
        <v>0.068198</v>
      </c>
      <c r="BM1337" s="1">
        <v>0.484</v>
      </c>
      <c r="BN1337" s="1">
        <v>0.858</v>
      </c>
      <c r="BO1337" s="1">
        <v>0.4152</v>
      </c>
      <c r="BP1337" s="1">
        <v>0.694</v>
      </c>
      <c r="BQ1337" s="1">
        <v>2.4512</v>
      </c>
      <c r="BR1337" s="1">
        <v>0.6491</v>
      </c>
      <c r="BS1337" s="1">
        <v>0.766</v>
      </c>
      <c r="BT1337" s="1">
        <v>0.234</v>
      </c>
      <c r="BU1337" s="1">
        <v>0.877</v>
      </c>
      <c r="BV1337" s="1">
        <v>1.877</v>
      </c>
      <c r="BW1337" s="1">
        <v>0.784</v>
      </c>
      <c r="BX1337" s="1">
        <v>0.965</v>
      </c>
      <c r="BY1337" s="1">
        <v>0.0</v>
      </c>
      <c r="BZ1337" s="1">
        <v>0.965</v>
      </c>
      <c r="CA1337" s="1">
        <v>0.523</v>
      </c>
      <c r="CB1337" s="1">
        <v>0.805</v>
      </c>
      <c r="CC1337" s="1">
        <v>0.0</v>
      </c>
      <c r="CD1337" s="1">
        <v>0.0</v>
      </c>
      <c r="CE1337" s="1">
        <v>0.938</v>
      </c>
      <c r="CF1337" s="1">
        <v>0.918</v>
      </c>
      <c r="CG1337" s="1">
        <v>2.661</v>
      </c>
      <c r="CH1337" s="1">
        <v>0.63</v>
      </c>
      <c r="CI1337" s="1">
        <v>7.9542</v>
      </c>
      <c r="CJ1337" s="1">
        <v>0.7076</v>
      </c>
      <c r="CK1337" s="1">
        <v>0.0</v>
      </c>
      <c r="CL1337" s="1">
        <v>0.0</v>
      </c>
      <c r="CM1337" s="1">
        <v>0.0</v>
      </c>
      <c r="CN1337" s="1">
        <v>0.0</v>
      </c>
      <c r="CO1337" s="1">
        <v>0.0</v>
      </c>
      <c r="CP1337" s="1">
        <v>0.0</v>
      </c>
      <c r="CQ1337" s="1">
        <v>0.0</v>
      </c>
      <c r="CR1337" s="1">
        <v>0.0</v>
      </c>
      <c r="CS1337" s="1">
        <v>0.0</v>
      </c>
      <c r="CT1337" s="1">
        <v>1.0</v>
      </c>
      <c r="CU1337" s="1">
        <v>0.0</v>
      </c>
      <c r="CV1337" s="1">
        <v>1.0</v>
      </c>
      <c r="CW1337" s="1">
        <v>0.0</v>
      </c>
      <c r="CX1337" s="1">
        <v>0.0</v>
      </c>
      <c r="CY1337" s="1">
        <v>0.0</v>
      </c>
      <c r="CZ1337" s="1">
        <v>1.0</v>
      </c>
      <c r="DA1337" s="1">
        <v>1.0</v>
      </c>
      <c r="DB1337" s="1">
        <v>2.0</v>
      </c>
      <c r="DC1337" s="1">
        <v>3.0</v>
      </c>
      <c r="DD1337" s="1" t="s">
        <v>5832</v>
      </c>
      <c r="DE1337" s="2" t="s">
        <v>5833</v>
      </c>
      <c r="DF1337" s="1">
        <v>0.0521045669066552</v>
      </c>
    </row>
    <row r="1338" ht="15.75" customHeight="1">
      <c r="A1338" s="1" t="s">
        <v>5834</v>
      </c>
      <c r="B1338" s="1">
        <v>29.0</v>
      </c>
      <c r="C1338" s="1">
        <v>510.0</v>
      </c>
      <c r="D1338" s="1">
        <v>108300.0</v>
      </c>
      <c r="E1338" s="1">
        <v>0.29</v>
      </c>
      <c r="F1338" s="1">
        <v>29510.0</v>
      </c>
      <c r="G1338" s="1">
        <v>2.95101083E10</v>
      </c>
      <c r="H1338" s="1" t="s">
        <v>112</v>
      </c>
      <c r="I1338" s="1" t="s">
        <v>113</v>
      </c>
      <c r="J1338" s="1" t="s">
        <v>5663</v>
      </c>
      <c r="K1338" s="1" t="s">
        <v>5835</v>
      </c>
      <c r="L1338" s="1">
        <v>2267.0</v>
      </c>
      <c r="M1338" s="1">
        <v>2540.0</v>
      </c>
      <c r="N1338" s="1">
        <v>399.0</v>
      </c>
      <c r="O1338" s="1">
        <v>1043.0</v>
      </c>
      <c r="P1338" s="1">
        <v>1111.0</v>
      </c>
      <c r="Q1338" s="1">
        <v>66.0</v>
      </c>
      <c r="R1338" s="1">
        <v>880.0</v>
      </c>
      <c r="S1338" s="1">
        <v>957.0</v>
      </c>
      <c r="T1338" s="1">
        <v>414.0</v>
      </c>
      <c r="U1338" s="1">
        <v>301.0</v>
      </c>
      <c r="V1338" s="1">
        <v>342.0</v>
      </c>
      <c r="W1338" s="1">
        <v>17442.0</v>
      </c>
      <c r="X1338" s="1">
        <v>6523.0</v>
      </c>
      <c r="Y1338" s="1">
        <v>225.0</v>
      </c>
      <c r="Z1338" s="1">
        <v>355.0</v>
      </c>
      <c r="AA1338" s="1">
        <v>184.0</v>
      </c>
      <c r="AB1338" s="1">
        <v>613.0</v>
      </c>
      <c r="AC1338" s="1">
        <v>244.0</v>
      </c>
      <c r="AD1338" s="1">
        <v>2146.0</v>
      </c>
      <c r="AE1338" s="1">
        <v>0.0</v>
      </c>
      <c r="AF1338" s="1">
        <v>456.0</v>
      </c>
      <c r="AG1338" s="1">
        <v>24.0</v>
      </c>
      <c r="AH1338" s="1">
        <v>165.0</v>
      </c>
      <c r="AI1338" s="1">
        <v>0.0</v>
      </c>
      <c r="AJ1338" s="1">
        <v>114.0</v>
      </c>
      <c r="AK1338" s="1">
        <v>19.0</v>
      </c>
      <c r="AL1338" s="1">
        <v>117.0</v>
      </c>
      <c r="AM1338" s="1">
        <v>228.0</v>
      </c>
      <c r="AN1338" s="1">
        <v>89.0</v>
      </c>
      <c r="AO1338" s="1">
        <v>4.0</v>
      </c>
      <c r="AP1338" s="1">
        <v>0.376771</v>
      </c>
      <c r="AQ1338" s="1">
        <v>0.151866</v>
      </c>
      <c r="AR1338" s="1">
        <v>0.252516</v>
      </c>
      <c r="AS1338" s="1">
        <v>0.281902</v>
      </c>
      <c r="AT1338" s="1">
        <v>17442.0</v>
      </c>
      <c r="AU1338" s="1">
        <v>6523.0</v>
      </c>
      <c r="AV1338" s="1">
        <v>0.159914</v>
      </c>
      <c r="AW1338" s="1">
        <v>0.251488</v>
      </c>
      <c r="AX1338" s="1">
        <v>0.081164</v>
      </c>
      <c r="AY1338" s="1">
        <v>0.270401</v>
      </c>
      <c r="AZ1338" s="1">
        <v>0.27727272</v>
      </c>
      <c r="BA1338" s="1">
        <v>0.946625</v>
      </c>
      <c r="BB1338" s="1">
        <v>0.0</v>
      </c>
      <c r="BC1338" s="1">
        <v>0.195038</v>
      </c>
      <c r="BD1338" s="1">
        <v>0.021602</v>
      </c>
      <c r="BE1338" s="1">
        <v>0.148509</v>
      </c>
      <c r="BF1338" s="1">
        <v>0.0</v>
      </c>
      <c r="BG1338" s="1">
        <v>0.10261</v>
      </c>
      <c r="BH1338" s="1">
        <v>0.019957</v>
      </c>
      <c r="BI1338" s="1">
        <v>0.122879</v>
      </c>
      <c r="BJ1338" s="1">
        <v>0.239495</v>
      </c>
      <c r="BK1338" s="1">
        <v>0.089603</v>
      </c>
      <c r="BL1338" s="1">
        <v>0.001764</v>
      </c>
      <c r="BM1338" s="1">
        <v>0.94</v>
      </c>
      <c r="BN1338" s="1">
        <v>0.978</v>
      </c>
      <c r="BO1338" s="1">
        <v>0.7588</v>
      </c>
      <c r="BP1338" s="1">
        <v>0.612</v>
      </c>
      <c r="BQ1338" s="1">
        <v>3.2888</v>
      </c>
      <c r="BR1338" s="1">
        <v>0.8751</v>
      </c>
      <c r="BS1338" s="1">
        <v>0.122</v>
      </c>
      <c r="BT1338" s="1">
        <v>0.792</v>
      </c>
      <c r="BU1338" s="1">
        <v>0.969</v>
      </c>
      <c r="BV1338" s="1">
        <v>1.883</v>
      </c>
      <c r="BW1338" s="1">
        <v>0.788</v>
      </c>
      <c r="BX1338" s="1">
        <v>0.958</v>
      </c>
      <c r="BY1338" s="1">
        <v>0.0</v>
      </c>
      <c r="BZ1338" s="1">
        <v>0.958</v>
      </c>
      <c r="CA1338" s="1">
        <v>0.516</v>
      </c>
      <c r="CB1338" s="1">
        <v>0.483</v>
      </c>
      <c r="CC1338" s="1">
        <v>0.0</v>
      </c>
      <c r="CD1338" s="1">
        <v>0.684</v>
      </c>
      <c r="CE1338" s="1">
        <v>0.932</v>
      </c>
      <c r="CF1338" s="1">
        <v>0.435</v>
      </c>
      <c r="CG1338" s="1">
        <v>2.534</v>
      </c>
      <c r="CH1338" s="1">
        <v>0.575</v>
      </c>
      <c r="CI1338" s="1">
        <v>8.6638</v>
      </c>
      <c r="CJ1338" s="1">
        <v>0.8065</v>
      </c>
      <c r="CK1338" s="1">
        <v>1.0</v>
      </c>
      <c r="CL1338" s="1">
        <v>1.0</v>
      </c>
      <c r="CM1338" s="1">
        <v>0.0</v>
      </c>
      <c r="CN1338" s="1">
        <v>0.0</v>
      </c>
      <c r="CO1338" s="1">
        <v>2.0</v>
      </c>
      <c r="CP1338" s="1">
        <v>0.0</v>
      </c>
      <c r="CQ1338" s="1">
        <v>0.0</v>
      </c>
      <c r="CR1338" s="1">
        <v>1.0</v>
      </c>
      <c r="CS1338" s="1">
        <v>1.0</v>
      </c>
      <c r="CT1338" s="1">
        <v>1.0</v>
      </c>
      <c r="CU1338" s="1">
        <v>0.0</v>
      </c>
      <c r="CV1338" s="1">
        <v>1.0</v>
      </c>
      <c r="CW1338" s="1">
        <v>0.0</v>
      </c>
      <c r="CX1338" s="1">
        <v>0.0</v>
      </c>
      <c r="CY1338" s="1">
        <v>0.0</v>
      </c>
      <c r="CZ1338" s="1">
        <v>1.0</v>
      </c>
      <c r="DA1338" s="1">
        <v>0.0</v>
      </c>
      <c r="DB1338" s="1">
        <v>1.0</v>
      </c>
      <c r="DC1338" s="1">
        <v>5.0</v>
      </c>
      <c r="DD1338" s="1" t="s">
        <v>5836</v>
      </c>
      <c r="DE1338" s="2" t="s">
        <v>5837</v>
      </c>
      <c r="DF1338" s="1">
        <v>0.037710512878794</v>
      </c>
    </row>
    <row r="1339" ht="15.75" customHeight="1">
      <c r="A1339" s="1" t="s">
        <v>5838</v>
      </c>
      <c r="B1339" s="1">
        <v>29.0</v>
      </c>
      <c r="C1339" s="1">
        <v>510.0</v>
      </c>
      <c r="D1339" s="1">
        <v>109600.0</v>
      </c>
      <c r="E1339" s="1">
        <v>1.121</v>
      </c>
      <c r="F1339" s="1">
        <v>29510.0</v>
      </c>
      <c r="G1339" s="1">
        <v>2.95101096E10</v>
      </c>
      <c r="H1339" s="1" t="s">
        <v>112</v>
      </c>
      <c r="I1339" s="1" t="s">
        <v>113</v>
      </c>
      <c r="J1339" s="1" t="s">
        <v>5663</v>
      </c>
      <c r="K1339" s="1" t="s">
        <v>5839</v>
      </c>
      <c r="L1339" s="1">
        <v>3316.0</v>
      </c>
      <c r="M1339" s="1">
        <v>3963.0</v>
      </c>
      <c r="N1339" s="1">
        <v>571.0</v>
      </c>
      <c r="O1339" s="1">
        <v>1699.0</v>
      </c>
      <c r="P1339" s="1">
        <v>1834.0</v>
      </c>
      <c r="Q1339" s="1">
        <v>99.0</v>
      </c>
      <c r="R1339" s="1">
        <v>1313.0</v>
      </c>
      <c r="S1339" s="1">
        <v>1415.0</v>
      </c>
      <c r="T1339" s="1">
        <v>545.0</v>
      </c>
      <c r="U1339" s="1">
        <v>413.0</v>
      </c>
      <c r="V1339" s="1">
        <v>371.0</v>
      </c>
      <c r="W1339" s="1">
        <v>12897.0</v>
      </c>
      <c r="X1339" s="1">
        <v>2650.0</v>
      </c>
      <c r="Y1339" s="1">
        <v>575.0</v>
      </c>
      <c r="Z1339" s="1">
        <v>186.0</v>
      </c>
      <c r="AA1339" s="1">
        <v>566.0</v>
      </c>
      <c r="AB1339" s="1">
        <v>858.0</v>
      </c>
      <c r="AC1339" s="1">
        <v>334.0</v>
      </c>
      <c r="AD1339" s="1">
        <v>3300.0</v>
      </c>
      <c r="AE1339" s="1">
        <v>0.0</v>
      </c>
      <c r="AF1339" s="1">
        <v>456.0</v>
      </c>
      <c r="AG1339" s="1">
        <v>39.0</v>
      </c>
      <c r="AH1339" s="1">
        <v>125.0</v>
      </c>
      <c r="AI1339" s="1">
        <v>9.0</v>
      </c>
      <c r="AJ1339" s="1">
        <v>13.0</v>
      </c>
      <c r="AK1339" s="1">
        <v>69.0</v>
      </c>
      <c r="AL1339" s="1">
        <v>127.0</v>
      </c>
      <c r="AM1339" s="1">
        <v>362.0</v>
      </c>
      <c r="AN1339" s="1">
        <v>121.0</v>
      </c>
      <c r="AO1339" s="1">
        <v>51.0</v>
      </c>
      <c r="AP1339" s="1">
        <v>0.357052</v>
      </c>
      <c r="AQ1339" s="1">
        <v>0.127537</v>
      </c>
      <c r="AR1339" s="1">
        <v>0.21875</v>
      </c>
      <c r="AS1339" s="1">
        <v>0.192907</v>
      </c>
      <c r="AT1339" s="1">
        <v>12897.0</v>
      </c>
      <c r="AU1339" s="1">
        <v>2650.0</v>
      </c>
      <c r="AV1339" s="1">
        <v>0.238787</v>
      </c>
      <c r="AW1339" s="1">
        <v>0.072002</v>
      </c>
      <c r="AX1339" s="1">
        <v>0.170687</v>
      </c>
      <c r="AY1339" s="1">
        <v>0.258745</v>
      </c>
      <c r="AZ1339" s="1">
        <v>0.25437928</v>
      </c>
      <c r="BA1339" s="1">
        <v>0.995174</v>
      </c>
      <c r="BB1339" s="1">
        <v>0.0</v>
      </c>
      <c r="BC1339" s="1">
        <v>0.122944</v>
      </c>
      <c r="BD1339" s="1">
        <v>0.021264</v>
      </c>
      <c r="BE1339" s="1">
        <v>0.068147</v>
      </c>
      <c r="BF1339" s="1">
        <v>0.004907</v>
      </c>
      <c r="BG1339" s="1">
        <v>0.007083</v>
      </c>
      <c r="BH1339" s="1">
        <v>0.048901</v>
      </c>
      <c r="BI1339" s="1">
        <v>0.089881</v>
      </c>
      <c r="BJ1339" s="1">
        <v>0.256555</v>
      </c>
      <c r="BK1339" s="1">
        <v>0.082057</v>
      </c>
      <c r="BL1339" s="1">
        <v>0.015379</v>
      </c>
      <c r="BM1339" s="1">
        <v>0.928</v>
      </c>
      <c r="BN1339" s="1">
        <v>0.964</v>
      </c>
      <c r="BO1339" s="1">
        <v>0.9379</v>
      </c>
      <c r="BP1339" s="1">
        <v>0.841</v>
      </c>
      <c r="BQ1339" s="1">
        <v>3.6709</v>
      </c>
      <c r="BR1339" s="1">
        <v>0.9516</v>
      </c>
      <c r="BS1339" s="1">
        <v>0.741</v>
      </c>
      <c r="BT1339" s="1">
        <v>0.694</v>
      </c>
      <c r="BU1339" s="1">
        <v>0.951</v>
      </c>
      <c r="BV1339" s="1">
        <v>2.386</v>
      </c>
      <c r="BW1339" s="1">
        <v>0.989</v>
      </c>
      <c r="BX1339" s="1">
        <v>0.998</v>
      </c>
      <c r="BY1339" s="1">
        <v>0.0</v>
      </c>
      <c r="BZ1339" s="1">
        <v>0.998</v>
      </c>
      <c r="CA1339" s="1">
        <v>0.56</v>
      </c>
      <c r="CB1339" s="1">
        <v>0.478</v>
      </c>
      <c r="CC1339" s="1">
        <v>0.394</v>
      </c>
      <c r="CD1339" s="1">
        <v>0.932</v>
      </c>
      <c r="CE1339" s="1">
        <v>0.946</v>
      </c>
      <c r="CF1339" s="1">
        <v>0.652</v>
      </c>
      <c r="CG1339" s="1">
        <v>3.402</v>
      </c>
      <c r="CH1339" s="1">
        <v>0.916</v>
      </c>
      <c r="CI1339" s="1">
        <v>10.4569</v>
      </c>
      <c r="CJ1339" s="1">
        <v>0.9718</v>
      </c>
      <c r="CK1339" s="1">
        <v>1.0</v>
      </c>
      <c r="CL1339" s="1">
        <v>1.0</v>
      </c>
      <c r="CM1339" s="1">
        <v>1.0</v>
      </c>
      <c r="CN1339" s="1">
        <v>0.0</v>
      </c>
      <c r="CO1339" s="1">
        <v>3.0</v>
      </c>
      <c r="CP1339" s="1">
        <v>0.0</v>
      </c>
      <c r="CQ1339" s="1">
        <v>0.0</v>
      </c>
      <c r="CR1339" s="1">
        <v>1.0</v>
      </c>
      <c r="CS1339" s="1">
        <v>1.0</v>
      </c>
      <c r="CT1339" s="1">
        <v>1.0</v>
      </c>
      <c r="CU1339" s="1">
        <v>0.0</v>
      </c>
      <c r="CV1339" s="1">
        <v>1.0</v>
      </c>
      <c r="CW1339" s="1">
        <v>0.0</v>
      </c>
      <c r="CX1339" s="1">
        <v>0.0</v>
      </c>
      <c r="CY1339" s="1">
        <v>1.0</v>
      </c>
      <c r="CZ1339" s="1">
        <v>1.0</v>
      </c>
      <c r="DA1339" s="1">
        <v>0.0</v>
      </c>
      <c r="DB1339" s="1">
        <v>2.0</v>
      </c>
      <c r="DC1339" s="1">
        <v>7.0</v>
      </c>
      <c r="DD1339" s="1" t="s">
        <v>5840</v>
      </c>
      <c r="DE1339" s="1">
        <v>3.29358566945792E-4</v>
      </c>
      <c r="DF1339" s="1">
        <v>0.0975007379171871</v>
      </c>
    </row>
    <row r="1340" ht="15.75" customHeight="1">
      <c r="A1340" s="1" t="s">
        <v>5841</v>
      </c>
      <c r="B1340" s="1">
        <v>29.0</v>
      </c>
      <c r="C1340" s="1">
        <v>510.0</v>
      </c>
      <c r="D1340" s="1">
        <v>110100.0</v>
      </c>
      <c r="E1340" s="1">
        <v>0.384</v>
      </c>
      <c r="F1340" s="1">
        <v>29510.0</v>
      </c>
      <c r="G1340" s="1">
        <v>2.95101101E10</v>
      </c>
      <c r="H1340" s="1" t="s">
        <v>112</v>
      </c>
      <c r="I1340" s="1" t="s">
        <v>113</v>
      </c>
      <c r="J1340" s="1" t="s">
        <v>5663</v>
      </c>
      <c r="K1340" s="1" t="s">
        <v>5842</v>
      </c>
      <c r="L1340" s="1">
        <v>2984.0</v>
      </c>
      <c r="M1340" s="1">
        <v>2888.0</v>
      </c>
      <c r="N1340" s="1">
        <v>574.0</v>
      </c>
      <c r="O1340" s="1">
        <v>1657.0</v>
      </c>
      <c r="P1340" s="1">
        <v>1568.0</v>
      </c>
      <c r="Q1340" s="1">
        <v>114.0</v>
      </c>
      <c r="R1340" s="1">
        <v>1173.0</v>
      </c>
      <c r="S1340" s="1">
        <v>1092.0</v>
      </c>
      <c r="T1340" s="1">
        <v>459.0</v>
      </c>
      <c r="U1340" s="1">
        <v>150.0</v>
      </c>
      <c r="V1340" s="1">
        <v>419.0</v>
      </c>
      <c r="W1340" s="1">
        <v>11192.0</v>
      </c>
      <c r="X1340" s="1">
        <v>2312.0</v>
      </c>
      <c r="Y1340" s="1">
        <v>429.0</v>
      </c>
      <c r="Z1340" s="1">
        <v>288.0</v>
      </c>
      <c r="AA1340" s="1">
        <v>471.0</v>
      </c>
      <c r="AB1340" s="1">
        <v>767.0</v>
      </c>
      <c r="AC1340" s="1">
        <v>327.0</v>
      </c>
      <c r="AD1340" s="1">
        <v>2950.0</v>
      </c>
      <c r="AE1340" s="1">
        <v>0.0</v>
      </c>
      <c r="AF1340" s="1">
        <v>456.0</v>
      </c>
      <c r="AG1340" s="1">
        <v>99.0</v>
      </c>
      <c r="AH1340" s="1">
        <v>134.0</v>
      </c>
      <c r="AI1340" s="1">
        <v>0.0</v>
      </c>
      <c r="AJ1340" s="1">
        <v>114.0</v>
      </c>
      <c r="AK1340" s="1">
        <v>41.0</v>
      </c>
      <c r="AL1340" s="1">
        <v>124.0</v>
      </c>
      <c r="AM1340" s="1">
        <v>250.0</v>
      </c>
      <c r="AN1340" s="1">
        <v>94.0</v>
      </c>
      <c r="AO1340" s="1">
        <v>34.0</v>
      </c>
      <c r="AP1340" s="1">
        <v>0.378116</v>
      </c>
      <c r="AQ1340" s="1">
        <v>0.140043</v>
      </c>
      <c r="AR1340" s="1">
        <v>0.135746</v>
      </c>
      <c r="AS1340" s="1">
        <v>0.377255</v>
      </c>
      <c r="AT1340" s="1">
        <v>11192.0</v>
      </c>
      <c r="AU1340" s="1">
        <v>2312.0</v>
      </c>
      <c r="AV1340" s="1">
        <v>0.271175</v>
      </c>
      <c r="AW1340" s="1">
        <v>0.1757</v>
      </c>
      <c r="AX1340" s="1">
        <v>0.157841</v>
      </c>
      <c r="AY1340" s="1">
        <v>0.257037</v>
      </c>
      <c r="AZ1340" s="1">
        <v>0.27877237</v>
      </c>
      <c r="BA1340" s="1">
        <v>0.988605</v>
      </c>
      <c r="BB1340" s="1">
        <v>0.0</v>
      </c>
      <c r="BC1340" s="1">
        <v>0.173714</v>
      </c>
      <c r="BD1340" s="1">
        <v>0.063137</v>
      </c>
      <c r="BE1340" s="1">
        <v>0.085335</v>
      </c>
      <c r="BF1340" s="1">
        <v>0.0</v>
      </c>
      <c r="BG1340" s="1">
        <v>0.072704</v>
      </c>
      <c r="BH1340" s="1">
        <v>0.037545</v>
      </c>
      <c r="BI1340" s="1">
        <v>0.113429</v>
      </c>
      <c r="BJ1340" s="1">
        <v>0.228937</v>
      </c>
      <c r="BK1340" s="1">
        <v>0.079796</v>
      </c>
      <c r="BL1340" s="1">
        <v>0.011394</v>
      </c>
      <c r="BM1340" s="1">
        <v>0.941</v>
      </c>
      <c r="BN1340" s="1">
        <v>0.871</v>
      </c>
      <c r="BO1340" s="1">
        <v>0.9733</v>
      </c>
      <c r="BP1340" s="1">
        <v>0.907</v>
      </c>
      <c r="BQ1340" s="1">
        <v>3.6923</v>
      </c>
      <c r="BR1340" s="1">
        <v>0.9574</v>
      </c>
      <c r="BS1340" s="1">
        <v>0.649</v>
      </c>
      <c r="BT1340" s="1">
        <v>0.673</v>
      </c>
      <c r="BU1340" s="1">
        <v>0.97</v>
      </c>
      <c r="BV1340" s="1">
        <v>2.292</v>
      </c>
      <c r="BW1340" s="1">
        <v>0.979</v>
      </c>
      <c r="BX1340" s="1">
        <v>0.987</v>
      </c>
      <c r="BY1340" s="1">
        <v>0.0</v>
      </c>
      <c r="BZ1340" s="1">
        <v>0.987</v>
      </c>
      <c r="CA1340" s="1">
        <v>0.547</v>
      </c>
      <c r="CB1340" s="1">
        <v>0.692</v>
      </c>
      <c r="CC1340" s="1">
        <v>0.0</v>
      </c>
      <c r="CD1340" s="1">
        <v>0.878</v>
      </c>
      <c r="CE1340" s="1">
        <v>0.927</v>
      </c>
      <c r="CF1340" s="1">
        <v>0.6</v>
      </c>
      <c r="CG1340" s="1">
        <v>3.097</v>
      </c>
      <c r="CH1340" s="1">
        <v>0.815</v>
      </c>
      <c r="CI1340" s="1">
        <v>10.0683</v>
      </c>
      <c r="CJ1340" s="1">
        <v>0.9538</v>
      </c>
      <c r="CK1340" s="1">
        <v>1.0</v>
      </c>
      <c r="CL1340" s="1">
        <v>0.0</v>
      </c>
      <c r="CM1340" s="1">
        <v>1.0</v>
      </c>
      <c r="CN1340" s="1">
        <v>1.0</v>
      </c>
      <c r="CO1340" s="1">
        <v>3.0</v>
      </c>
      <c r="CP1340" s="1">
        <v>0.0</v>
      </c>
      <c r="CQ1340" s="1">
        <v>0.0</v>
      </c>
      <c r="CR1340" s="1">
        <v>1.0</v>
      </c>
      <c r="CS1340" s="1">
        <v>1.0</v>
      </c>
      <c r="CT1340" s="1">
        <v>1.0</v>
      </c>
      <c r="CU1340" s="1">
        <v>0.0</v>
      </c>
      <c r="CV1340" s="1">
        <v>1.0</v>
      </c>
      <c r="CW1340" s="1">
        <v>0.0</v>
      </c>
      <c r="CX1340" s="1">
        <v>0.0</v>
      </c>
      <c r="CY1340" s="1">
        <v>0.0</v>
      </c>
      <c r="CZ1340" s="1">
        <v>1.0</v>
      </c>
      <c r="DA1340" s="1">
        <v>0.0</v>
      </c>
      <c r="DB1340" s="1">
        <v>1.0</v>
      </c>
      <c r="DC1340" s="1">
        <v>6.0</v>
      </c>
      <c r="DD1340" s="1" t="s">
        <v>5843</v>
      </c>
      <c r="DE1340" s="1">
        <v>1.02621354981609E-4</v>
      </c>
      <c r="DF1340" s="1">
        <v>0.0514479418247632</v>
      </c>
    </row>
    <row r="1341" ht="15.75" customHeight="1">
      <c r="A1341" s="1" t="s">
        <v>5844</v>
      </c>
      <c r="B1341" s="1">
        <v>29.0</v>
      </c>
      <c r="C1341" s="1">
        <v>510.0</v>
      </c>
      <c r="D1341" s="1">
        <v>110200.0</v>
      </c>
      <c r="E1341" s="1">
        <v>0.3</v>
      </c>
      <c r="F1341" s="1">
        <v>29510.0</v>
      </c>
      <c r="G1341" s="1">
        <v>2.95101102E10</v>
      </c>
      <c r="H1341" s="1" t="s">
        <v>112</v>
      </c>
      <c r="I1341" s="1" t="s">
        <v>113</v>
      </c>
      <c r="J1341" s="1" t="s">
        <v>5663</v>
      </c>
      <c r="K1341" s="1" t="s">
        <v>5845</v>
      </c>
      <c r="L1341" s="1">
        <v>2654.0</v>
      </c>
      <c r="M1341" s="1">
        <v>3037.0</v>
      </c>
      <c r="N1341" s="1">
        <v>409.0</v>
      </c>
      <c r="O1341" s="1">
        <v>1475.0</v>
      </c>
      <c r="P1341" s="1">
        <v>1397.0</v>
      </c>
      <c r="Q1341" s="1">
        <v>123.0</v>
      </c>
      <c r="R1341" s="1">
        <v>1018.0</v>
      </c>
      <c r="S1341" s="1">
        <v>987.0</v>
      </c>
      <c r="T1341" s="1">
        <v>377.0</v>
      </c>
      <c r="U1341" s="1">
        <v>316.0</v>
      </c>
      <c r="V1341" s="1">
        <v>360.0</v>
      </c>
      <c r="W1341" s="1">
        <v>12261.0</v>
      </c>
      <c r="X1341" s="1">
        <v>2221.0</v>
      </c>
      <c r="Y1341" s="1">
        <v>615.0</v>
      </c>
      <c r="Z1341" s="1">
        <v>226.0</v>
      </c>
      <c r="AA1341" s="1">
        <v>381.0</v>
      </c>
      <c r="AB1341" s="1">
        <v>729.0</v>
      </c>
      <c r="AC1341" s="1">
        <v>282.0</v>
      </c>
      <c r="AD1341" s="1">
        <v>2615.0</v>
      </c>
      <c r="AE1341" s="1">
        <v>11.0</v>
      </c>
      <c r="AF1341" s="1">
        <v>442.0</v>
      </c>
      <c r="AG1341" s="1">
        <v>10.0</v>
      </c>
      <c r="AH1341" s="1">
        <v>162.0</v>
      </c>
      <c r="AI1341" s="1">
        <v>14.0</v>
      </c>
      <c r="AJ1341" s="1">
        <v>24.0</v>
      </c>
      <c r="AK1341" s="1">
        <v>55.0</v>
      </c>
      <c r="AL1341" s="1">
        <v>122.0</v>
      </c>
      <c r="AM1341" s="1">
        <v>454.0</v>
      </c>
      <c r="AN1341" s="1">
        <v>134.0</v>
      </c>
      <c r="AO1341" s="1">
        <v>50.0</v>
      </c>
      <c r="AP1341" s="1">
        <v>0.326173</v>
      </c>
      <c r="AQ1341" s="1">
        <v>0.116361</v>
      </c>
      <c r="AR1341" s="1">
        <v>0.236173</v>
      </c>
      <c r="AS1341" s="1">
        <v>0.263653</v>
      </c>
      <c r="AT1341" s="1">
        <v>12261.0</v>
      </c>
      <c r="AU1341" s="1">
        <v>2221.0</v>
      </c>
      <c r="AV1341" s="1">
        <v>0.325569</v>
      </c>
      <c r="AW1341" s="1">
        <v>0.11181</v>
      </c>
      <c r="AX1341" s="1">
        <v>0.143556</v>
      </c>
      <c r="AY1341" s="1">
        <v>0.274679</v>
      </c>
      <c r="AZ1341" s="1">
        <v>0.27701375</v>
      </c>
      <c r="BA1341" s="1">
        <v>0.985305</v>
      </c>
      <c r="BB1341" s="1">
        <v>0.003847</v>
      </c>
      <c r="BC1341" s="1">
        <v>0.154598</v>
      </c>
      <c r="BD1341" s="1">
        <v>0.007158</v>
      </c>
      <c r="BE1341" s="1">
        <v>0.115961</v>
      </c>
      <c r="BF1341" s="1">
        <v>0.010021</v>
      </c>
      <c r="BG1341" s="1">
        <v>0.017156</v>
      </c>
      <c r="BH1341" s="1">
        <v>0.050505</v>
      </c>
      <c r="BI1341" s="1">
        <v>0.111849</v>
      </c>
      <c r="BJ1341" s="1">
        <v>0.416896</v>
      </c>
      <c r="BK1341" s="1">
        <v>0.111311</v>
      </c>
      <c r="BL1341" s="1">
        <v>0.018839</v>
      </c>
      <c r="BM1341" s="1">
        <v>0.908</v>
      </c>
      <c r="BN1341" s="1">
        <v>0.972</v>
      </c>
      <c r="BO1341" s="1">
        <v>0.9552</v>
      </c>
      <c r="BP1341" s="1">
        <v>0.964</v>
      </c>
      <c r="BQ1341" s="1">
        <v>3.7992</v>
      </c>
      <c r="BR1341" s="1">
        <v>0.9805</v>
      </c>
      <c r="BS1341" s="1">
        <v>0.53</v>
      </c>
      <c r="BT1341" s="1">
        <v>0.817</v>
      </c>
      <c r="BU1341" s="1">
        <v>0.967</v>
      </c>
      <c r="BV1341" s="1">
        <v>2.314</v>
      </c>
      <c r="BW1341" s="1">
        <v>0.983</v>
      </c>
      <c r="BX1341" s="1">
        <v>0.984</v>
      </c>
      <c r="BY1341" s="1">
        <v>0.505</v>
      </c>
      <c r="BZ1341" s="1">
        <v>1.489</v>
      </c>
      <c r="CA1341" s="1">
        <v>0.817</v>
      </c>
      <c r="CB1341" s="1">
        <v>0.353</v>
      </c>
      <c r="CC1341" s="1">
        <v>0.459</v>
      </c>
      <c r="CD1341" s="1">
        <v>0.937</v>
      </c>
      <c r="CE1341" s="1">
        <v>0.989</v>
      </c>
      <c r="CF1341" s="1">
        <v>0.695</v>
      </c>
      <c r="CG1341" s="1">
        <v>3.433</v>
      </c>
      <c r="CH1341" s="1">
        <v>0.925</v>
      </c>
      <c r="CI1341" s="1">
        <v>11.0352</v>
      </c>
      <c r="CJ1341" s="1">
        <v>0.9928</v>
      </c>
      <c r="CK1341" s="1">
        <v>1.0</v>
      </c>
      <c r="CL1341" s="1">
        <v>1.0</v>
      </c>
      <c r="CM1341" s="1">
        <v>1.0</v>
      </c>
      <c r="CN1341" s="1">
        <v>1.0</v>
      </c>
      <c r="CO1341" s="1">
        <v>4.0</v>
      </c>
      <c r="CP1341" s="1">
        <v>0.0</v>
      </c>
      <c r="CQ1341" s="1">
        <v>0.0</v>
      </c>
      <c r="CR1341" s="1">
        <v>1.0</v>
      </c>
      <c r="CS1341" s="1">
        <v>1.0</v>
      </c>
      <c r="CT1341" s="1">
        <v>1.0</v>
      </c>
      <c r="CU1341" s="1">
        <v>0.0</v>
      </c>
      <c r="CV1341" s="1">
        <v>1.0</v>
      </c>
      <c r="CW1341" s="1">
        <v>0.0</v>
      </c>
      <c r="CX1341" s="1">
        <v>0.0</v>
      </c>
      <c r="CY1341" s="1">
        <v>1.0</v>
      </c>
      <c r="CZ1341" s="1">
        <v>1.0</v>
      </c>
      <c r="DA1341" s="1">
        <v>0.0</v>
      </c>
      <c r="DB1341" s="1">
        <v>2.0</v>
      </c>
      <c r="DC1341" s="1">
        <v>8.0</v>
      </c>
      <c r="DD1341" s="1" t="s">
        <v>5846</v>
      </c>
      <c r="DE1341" s="2" t="s">
        <v>5847</v>
      </c>
      <c r="DF1341" s="2" t="s">
        <v>5848</v>
      </c>
    </row>
    <row r="1342" ht="15.75" customHeight="1">
      <c r="A1342" s="1" t="s">
        <v>5849</v>
      </c>
      <c r="B1342" s="1">
        <v>29.0</v>
      </c>
      <c r="C1342" s="1">
        <v>510.0</v>
      </c>
      <c r="D1342" s="1">
        <v>110300.0</v>
      </c>
      <c r="E1342" s="1">
        <v>0.362</v>
      </c>
      <c r="F1342" s="1">
        <v>29510.0</v>
      </c>
      <c r="G1342" s="1">
        <v>2.95101103E10</v>
      </c>
      <c r="H1342" s="1" t="s">
        <v>112</v>
      </c>
      <c r="I1342" s="1" t="s">
        <v>113</v>
      </c>
      <c r="J1342" s="1" t="s">
        <v>5663</v>
      </c>
      <c r="K1342" s="1" t="s">
        <v>5850</v>
      </c>
      <c r="L1342" s="1">
        <v>2483.0</v>
      </c>
      <c r="M1342" s="1">
        <v>3105.0</v>
      </c>
      <c r="N1342" s="1">
        <v>450.0</v>
      </c>
      <c r="O1342" s="1">
        <v>1573.0</v>
      </c>
      <c r="P1342" s="1">
        <v>1658.0</v>
      </c>
      <c r="Q1342" s="1">
        <v>106.0</v>
      </c>
      <c r="R1342" s="1">
        <v>1078.0</v>
      </c>
      <c r="S1342" s="1">
        <v>1024.0</v>
      </c>
      <c r="T1342" s="1">
        <v>392.0</v>
      </c>
      <c r="U1342" s="1">
        <v>243.0</v>
      </c>
      <c r="V1342" s="1">
        <v>378.0</v>
      </c>
      <c r="W1342" s="1">
        <v>15931.0</v>
      </c>
      <c r="X1342" s="1">
        <v>3020.0</v>
      </c>
      <c r="Y1342" s="1">
        <v>545.0</v>
      </c>
      <c r="Z1342" s="1">
        <v>306.0</v>
      </c>
      <c r="AA1342" s="1">
        <v>342.0</v>
      </c>
      <c r="AB1342" s="1">
        <v>643.0</v>
      </c>
      <c r="AC1342" s="1">
        <v>262.0</v>
      </c>
      <c r="AD1342" s="1">
        <v>2464.0</v>
      </c>
      <c r="AE1342" s="1">
        <v>0.0</v>
      </c>
      <c r="AF1342" s="1">
        <v>456.0</v>
      </c>
      <c r="AG1342" s="1">
        <v>30.0</v>
      </c>
      <c r="AH1342" s="1">
        <v>169.0</v>
      </c>
      <c r="AI1342" s="1">
        <v>35.0</v>
      </c>
      <c r="AJ1342" s="1">
        <v>58.0</v>
      </c>
      <c r="AK1342" s="1">
        <v>38.0</v>
      </c>
      <c r="AL1342" s="1">
        <v>120.0</v>
      </c>
      <c r="AM1342" s="1">
        <v>397.0</v>
      </c>
      <c r="AN1342" s="1">
        <v>139.0</v>
      </c>
      <c r="AO1342" s="1">
        <v>0.0</v>
      </c>
      <c r="AP1342" s="1">
        <v>0.32979</v>
      </c>
      <c r="AQ1342" s="1">
        <v>0.11685</v>
      </c>
      <c r="AR1342" s="1">
        <v>0.17234</v>
      </c>
      <c r="AS1342" s="1">
        <v>0.26615</v>
      </c>
      <c r="AT1342" s="1">
        <v>15931.0</v>
      </c>
      <c r="AU1342" s="1">
        <v>3020.0</v>
      </c>
      <c r="AV1342" s="1">
        <v>0.298466</v>
      </c>
      <c r="AW1342" s="1">
        <v>0.161796</v>
      </c>
      <c r="AX1342" s="1">
        <v>0.137736</v>
      </c>
      <c r="AY1342" s="1">
        <v>0.25896</v>
      </c>
      <c r="AZ1342" s="1">
        <v>0.24304267</v>
      </c>
      <c r="BA1342" s="1">
        <v>0.992347</v>
      </c>
      <c r="BB1342" s="1">
        <v>0.0</v>
      </c>
      <c r="BC1342" s="1">
        <v>0.154419</v>
      </c>
      <c r="BD1342" s="1">
        <v>0.018094</v>
      </c>
      <c r="BE1342" s="1">
        <v>0.101923</v>
      </c>
      <c r="BF1342" s="1">
        <v>0.021109</v>
      </c>
      <c r="BG1342" s="1">
        <v>0.034955</v>
      </c>
      <c r="BH1342" s="1">
        <v>0.029992</v>
      </c>
      <c r="BI1342" s="1">
        <v>0.094653</v>
      </c>
      <c r="BJ1342" s="1">
        <v>0.313338</v>
      </c>
      <c r="BK1342" s="1">
        <v>0.104018</v>
      </c>
      <c r="BL1342" s="1">
        <v>0.0</v>
      </c>
      <c r="BM1342" s="1">
        <v>0.911</v>
      </c>
      <c r="BN1342" s="1">
        <v>0.925</v>
      </c>
      <c r="BO1342" s="1">
        <v>0.8419</v>
      </c>
      <c r="BP1342" s="1">
        <v>0.943</v>
      </c>
      <c r="BQ1342" s="1">
        <v>3.6209</v>
      </c>
      <c r="BR1342" s="1">
        <v>0.9415</v>
      </c>
      <c r="BS1342" s="1">
        <v>0.478</v>
      </c>
      <c r="BT1342" s="1">
        <v>0.697</v>
      </c>
      <c r="BU1342" s="1">
        <v>0.939</v>
      </c>
      <c r="BV1342" s="1">
        <v>2.114</v>
      </c>
      <c r="BW1342" s="1">
        <v>0.924</v>
      </c>
      <c r="BX1342" s="1">
        <v>0.996</v>
      </c>
      <c r="BY1342" s="1">
        <v>0.0</v>
      </c>
      <c r="BZ1342" s="1">
        <v>0.996</v>
      </c>
      <c r="CA1342" s="1">
        <v>0.557</v>
      </c>
      <c r="CB1342" s="1">
        <v>0.448</v>
      </c>
      <c r="CC1342" s="1">
        <v>0.517</v>
      </c>
      <c r="CD1342" s="1">
        <v>0.805</v>
      </c>
      <c r="CE1342" s="1">
        <v>0.969</v>
      </c>
      <c r="CF1342" s="1">
        <v>0.0</v>
      </c>
      <c r="CG1342" s="1">
        <v>2.739</v>
      </c>
      <c r="CH1342" s="1">
        <v>0.661</v>
      </c>
      <c r="CI1342" s="1">
        <v>9.4699</v>
      </c>
      <c r="CJ1342" s="1">
        <v>0.9025</v>
      </c>
      <c r="CK1342" s="1">
        <v>1.0</v>
      </c>
      <c r="CL1342" s="1">
        <v>1.0</v>
      </c>
      <c r="CM1342" s="1">
        <v>0.0</v>
      </c>
      <c r="CN1342" s="1">
        <v>1.0</v>
      </c>
      <c r="CO1342" s="1">
        <v>3.0</v>
      </c>
      <c r="CP1342" s="1">
        <v>0.0</v>
      </c>
      <c r="CQ1342" s="1">
        <v>0.0</v>
      </c>
      <c r="CR1342" s="1">
        <v>1.0</v>
      </c>
      <c r="CS1342" s="1">
        <v>1.0</v>
      </c>
      <c r="CT1342" s="1">
        <v>1.0</v>
      </c>
      <c r="CU1342" s="1">
        <v>0.0</v>
      </c>
      <c r="CV1342" s="1">
        <v>1.0</v>
      </c>
      <c r="CW1342" s="1">
        <v>0.0</v>
      </c>
      <c r="CX1342" s="1">
        <v>0.0</v>
      </c>
      <c r="CY1342" s="1">
        <v>0.0</v>
      </c>
      <c r="CZ1342" s="1">
        <v>1.0</v>
      </c>
      <c r="DA1342" s="1">
        <v>0.0</v>
      </c>
      <c r="DB1342" s="1">
        <v>1.0</v>
      </c>
      <c r="DC1342" s="1">
        <v>6.0</v>
      </c>
      <c r="DD1342" s="1" t="s">
        <v>5851</v>
      </c>
      <c r="DE1342" s="2" t="s">
        <v>5852</v>
      </c>
      <c r="DF1342" s="1">
        <v>0.0442129155542329</v>
      </c>
    </row>
    <row r="1343" ht="15.75" customHeight="1">
      <c r="A1343" s="1" t="s">
        <v>5853</v>
      </c>
      <c r="B1343" s="1">
        <v>29.0</v>
      </c>
      <c r="C1343" s="1">
        <v>510.0</v>
      </c>
      <c r="D1343" s="1">
        <v>110400.0</v>
      </c>
      <c r="E1343" s="1">
        <v>0.342</v>
      </c>
      <c r="F1343" s="1">
        <v>29510.0</v>
      </c>
      <c r="G1343" s="1">
        <v>2.95101104E10</v>
      </c>
      <c r="H1343" s="1" t="s">
        <v>112</v>
      </c>
      <c r="I1343" s="1" t="s">
        <v>113</v>
      </c>
      <c r="J1343" s="1" t="s">
        <v>5663</v>
      </c>
      <c r="K1343" s="1" t="s">
        <v>5854</v>
      </c>
      <c r="L1343" s="1">
        <v>2539.0</v>
      </c>
      <c r="M1343" s="1">
        <v>2759.0</v>
      </c>
      <c r="N1343" s="1">
        <v>509.0</v>
      </c>
      <c r="O1343" s="1">
        <v>1357.0</v>
      </c>
      <c r="P1343" s="1">
        <v>1411.0</v>
      </c>
      <c r="Q1343" s="1">
        <v>105.0</v>
      </c>
      <c r="R1343" s="1">
        <v>985.0</v>
      </c>
      <c r="S1343" s="1">
        <v>867.0</v>
      </c>
      <c r="T1343" s="1">
        <v>331.0</v>
      </c>
      <c r="U1343" s="1">
        <v>242.0</v>
      </c>
      <c r="V1343" s="1">
        <v>396.0</v>
      </c>
      <c r="W1343" s="1">
        <v>13495.0</v>
      </c>
      <c r="X1343" s="1">
        <v>2128.0</v>
      </c>
      <c r="Y1343" s="1">
        <v>281.0</v>
      </c>
      <c r="Z1343" s="1">
        <v>360.0</v>
      </c>
      <c r="AA1343" s="1">
        <v>312.0</v>
      </c>
      <c r="AB1343" s="1">
        <v>670.0</v>
      </c>
      <c r="AC1343" s="1">
        <v>249.0</v>
      </c>
      <c r="AD1343" s="1">
        <v>2504.0</v>
      </c>
      <c r="AE1343" s="1">
        <v>0.0</v>
      </c>
      <c r="AF1343" s="1">
        <v>456.0</v>
      </c>
      <c r="AG1343" s="1">
        <v>37.0</v>
      </c>
      <c r="AH1343" s="1">
        <v>119.0</v>
      </c>
      <c r="AI1343" s="1">
        <v>0.0</v>
      </c>
      <c r="AJ1343" s="1">
        <v>114.0</v>
      </c>
      <c r="AK1343" s="1">
        <v>23.0</v>
      </c>
      <c r="AL1343" s="1">
        <v>120.0</v>
      </c>
      <c r="AM1343" s="1">
        <v>215.0</v>
      </c>
      <c r="AN1343" s="1">
        <v>83.0</v>
      </c>
      <c r="AO1343" s="1">
        <v>9.0</v>
      </c>
      <c r="AP1343" s="1">
        <v>0.314244</v>
      </c>
      <c r="AQ1343" s="1">
        <v>0.105033</v>
      </c>
      <c r="AR1343" s="1">
        <v>0.231357</v>
      </c>
      <c r="AS1343" s="1">
        <v>0.372645</v>
      </c>
      <c r="AT1343" s="1">
        <v>13495.0</v>
      </c>
      <c r="AU1343" s="1">
        <v>2128.0</v>
      </c>
      <c r="AV1343" s="1">
        <v>0.178073</v>
      </c>
      <c r="AW1343" s="1">
        <v>0.226616</v>
      </c>
      <c r="AX1343" s="1">
        <v>0.122883</v>
      </c>
      <c r="AY1343" s="1">
        <v>0.263883</v>
      </c>
      <c r="AZ1343" s="1">
        <v>0.25279187</v>
      </c>
      <c r="BA1343" s="1">
        <v>0.986215</v>
      </c>
      <c r="BB1343" s="1">
        <v>0.0</v>
      </c>
      <c r="BC1343" s="1">
        <v>0.182472</v>
      </c>
      <c r="BD1343" s="1">
        <v>0.026222</v>
      </c>
      <c r="BE1343" s="1">
        <v>0.084314</v>
      </c>
      <c r="BF1343" s="1">
        <v>0.0</v>
      </c>
      <c r="BG1343" s="1">
        <v>0.080793</v>
      </c>
      <c r="BH1343" s="1">
        <v>0.023023</v>
      </c>
      <c r="BI1343" s="1">
        <v>0.120079</v>
      </c>
      <c r="BJ1343" s="1">
        <v>0.215215</v>
      </c>
      <c r="BK1343" s="1">
        <v>0.077826</v>
      </c>
      <c r="BL1343" s="1">
        <v>0.003544</v>
      </c>
      <c r="BM1343" s="1">
        <v>0.897</v>
      </c>
      <c r="BN1343" s="1">
        <v>0.969</v>
      </c>
      <c r="BO1343" s="1">
        <v>0.9249</v>
      </c>
      <c r="BP1343" s="1">
        <v>0.679</v>
      </c>
      <c r="BQ1343" s="1">
        <v>3.4699</v>
      </c>
      <c r="BR1343" s="1">
        <v>0.9177</v>
      </c>
      <c r="BS1343" s="1">
        <v>0.361</v>
      </c>
      <c r="BT1343" s="1">
        <v>0.738</v>
      </c>
      <c r="BU1343" s="1">
        <v>0.948</v>
      </c>
      <c r="BV1343" s="1">
        <v>2.047</v>
      </c>
      <c r="BW1343" s="1">
        <v>0.889</v>
      </c>
      <c r="BX1343" s="1">
        <v>0.985</v>
      </c>
      <c r="BY1343" s="1">
        <v>0.0</v>
      </c>
      <c r="BZ1343" s="1">
        <v>0.985</v>
      </c>
      <c r="CA1343" s="1">
        <v>0.546</v>
      </c>
      <c r="CB1343" s="1">
        <v>0.521</v>
      </c>
      <c r="CC1343" s="1">
        <v>0.0</v>
      </c>
      <c r="CD1343" s="1">
        <v>0.727</v>
      </c>
      <c r="CE1343" s="1">
        <v>0.919</v>
      </c>
      <c r="CF1343" s="1">
        <v>0.488</v>
      </c>
      <c r="CG1343" s="1">
        <v>2.655</v>
      </c>
      <c r="CH1343" s="1">
        <v>0.626</v>
      </c>
      <c r="CI1343" s="1">
        <v>9.1569</v>
      </c>
      <c r="CJ1343" s="1">
        <v>0.8722</v>
      </c>
      <c r="CK1343" s="1">
        <v>0.0</v>
      </c>
      <c r="CL1343" s="1">
        <v>1.0</v>
      </c>
      <c r="CM1343" s="1">
        <v>1.0</v>
      </c>
      <c r="CN1343" s="1">
        <v>0.0</v>
      </c>
      <c r="CO1343" s="1">
        <v>2.0</v>
      </c>
      <c r="CP1343" s="1">
        <v>0.0</v>
      </c>
      <c r="CQ1343" s="1">
        <v>0.0</v>
      </c>
      <c r="CR1343" s="1">
        <v>1.0</v>
      </c>
      <c r="CS1343" s="1">
        <v>1.0</v>
      </c>
      <c r="CT1343" s="1">
        <v>1.0</v>
      </c>
      <c r="CU1343" s="1">
        <v>0.0</v>
      </c>
      <c r="CV1343" s="1">
        <v>1.0</v>
      </c>
      <c r="CW1343" s="1">
        <v>0.0</v>
      </c>
      <c r="CX1343" s="1">
        <v>0.0</v>
      </c>
      <c r="CY1343" s="1">
        <v>0.0</v>
      </c>
      <c r="CZ1343" s="1">
        <v>1.0</v>
      </c>
      <c r="DA1343" s="1">
        <v>0.0</v>
      </c>
      <c r="DB1343" s="1">
        <v>1.0</v>
      </c>
      <c r="DC1343" s="1">
        <v>5.0</v>
      </c>
      <c r="DD1343" s="1" t="s">
        <v>5855</v>
      </c>
      <c r="DE1343" s="2" t="s">
        <v>5856</v>
      </c>
      <c r="DF1343" s="2" t="s">
        <v>5857</v>
      </c>
    </row>
    <row r="1344" ht="15.75" customHeight="1">
      <c r="A1344" s="1" t="s">
        <v>5858</v>
      </c>
      <c r="B1344" s="1">
        <v>29.0</v>
      </c>
      <c r="C1344" s="1">
        <v>510.0</v>
      </c>
      <c r="D1344" s="1">
        <v>110500.0</v>
      </c>
      <c r="E1344" s="1">
        <v>0.482</v>
      </c>
      <c r="F1344" s="1">
        <v>29510.0</v>
      </c>
      <c r="G1344" s="1">
        <v>2.95101105E10</v>
      </c>
      <c r="H1344" s="1" t="s">
        <v>112</v>
      </c>
      <c r="I1344" s="1" t="s">
        <v>113</v>
      </c>
      <c r="J1344" s="1" t="s">
        <v>5663</v>
      </c>
      <c r="K1344" s="1" t="s">
        <v>5859</v>
      </c>
      <c r="L1344" s="1">
        <v>1562.0</v>
      </c>
      <c r="M1344" s="1">
        <v>1685.0</v>
      </c>
      <c r="N1344" s="1">
        <v>492.0</v>
      </c>
      <c r="O1344" s="1">
        <v>902.0</v>
      </c>
      <c r="P1344" s="1">
        <v>915.0</v>
      </c>
      <c r="Q1344" s="1">
        <v>113.0</v>
      </c>
      <c r="R1344" s="1">
        <v>606.0</v>
      </c>
      <c r="S1344" s="1">
        <v>661.0</v>
      </c>
      <c r="T1344" s="1">
        <v>298.0</v>
      </c>
      <c r="U1344" s="1">
        <v>229.0</v>
      </c>
      <c r="V1344" s="1">
        <v>414.0</v>
      </c>
      <c r="W1344" s="1">
        <v>10709.0</v>
      </c>
      <c r="X1344" s="1">
        <v>2475.0</v>
      </c>
      <c r="Y1344" s="1">
        <v>406.0</v>
      </c>
      <c r="Z1344" s="1">
        <v>244.0</v>
      </c>
      <c r="AA1344" s="1">
        <v>220.0</v>
      </c>
      <c r="AB1344" s="1">
        <v>349.0</v>
      </c>
      <c r="AC1344" s="1">
        <v>157.0</v>
      </c>
      <c r="AD1344" s="1">
        <v>1534.0</v>
      </c>
      <c r="AE1344" s="1">
        <v>8.0</v>
      </c>
      <c r="AF1344" s="1">
        <v>442.0</v>
      </c>
      <c r="AG1344" s="1">
        <v>13.0</v>
      </c>
      <c r="AH1344" s="1">
        <v>162.0</v>
      </c>
      <c r="AI1344" s="1">
        <v>7.0</v>
      </c>
      <c r="AJ1344" s="1">
        <v>15.0</v>
      </c>
      <c r="AK1344" s="1">
        <v>21.0</v>
      </c>
      <c r="AL1344" s="1">
        <v>116.0</v>
      </c>
      <c r="AM1344" s="1">
        <v>277.0</v>
      </c>
      <c r="AN1344" s="1">
        <v>90.0</v>
      </c>
      <c r="AO1344" s="1">
        <v>12.0</v>
      </c>
      <c r="AP1344" s="1">
        <v>0.392284</v>
      </c>
      <c r="AQ1344" s="1">
        <v>0.134749</v>
      </c>
      <c r="AR1344" s="1">
        <v>0.353941</v>
      </c>
      <c r="AS1344" s="1">
        <v>0.62497</v>
      </c>
      <c r="AT1344" s="1">
        <v>10709.0</v>
      </c>
      <c r="AU1344" s="1">
        <v>2475.0</v>
      </c>
      <c r="AV1344" s="1">
        <v>0.326104</v>
      </c>
      <c r="AW1344" s="1">
        <v>0.178132</v>
      </c>
      <c r="AX1344" s="1">
        <v>0.140845</v>
      </c>
      <c r="AY1344" s="1">
        <v>0.223431</v>
      </c>
      <c r="AZ1344" s="1">
        <v>0.2590759</v>
      </c>
      <c r="BA1344" s="1">
        <v>0.982074</v>
      </c>
      <c r="BB1344" s="1">
        <v>0.005015</v>
      </c>
      <c r="BC1344" s="1">
        <v>0.277112</v>
      </c>
      <c r="BD1344" s="1">
        <v>0.014207</v>
      </c>
      <c r="BE1344" s="1">
        <v>0.17704</v>
      </c>
      <c r="BF1344" s="1">
        <v>0.00765</v>
      </c>
      <c r="BG1344" s="1">
        <v>0.016366</v>
      </c>
      <c r="BH1344" s="1">
        <v>0.033925</v>
      </c>
      <c r="BI1344" s="1">
        <v>0.187293</v>
      </c>
      <c r="BJ1344" s="1">
        <v>0.447495</v>
      </c>
      <c r="BK1344" s="1">
        <v>0.119281</v>
      </c>
      <c r="BL1344" s="1">
        <v>0.007682</v>
      </c>
      <c r="BM1344" s="1">
        <v>0.949</v>
      </c>
      <c r="BN1344" s="1">
        <v>0.997</v>
      </c>
      <c r="BO1344" s="1">
        <v>0.9812</v>
      </c>
      <c r="BP1344" s="1">
        <v>0.965</v>
      </c>
      <c r="BQ1344" s="1">
        <v>3.8922</v>
      </c>
      <c r="BR1344" s="1">
        <v>0.9935</v>
      </c>
      <c r="BS1344" s="1">
        <v>0.505</v>
      </c>
      <c r="BT1344" s="1">
        <v>0.33</v>
      </c>
      <c r="BU1344" s="1">
        <v>0.955</v>
      </c>
      <c r="BV1344" s="1">
        <v>1.79</v>
      </c>
      <c r="BW1344" s="1">
        <v>0.711</v>
      </c>
      <c r="BX1344" s="1">
        <v>0.981</v>
      </c>
      <c r="BY1344" s="1">
        <v>0.561</v>
      </c>
      <c r="BZ1344" s="1">
        <v>1.542</v>
      </c>
      <c r="CA1344" s="1">
        <v>0.848</v>
      </c>
      <c r="CB1344" s="1">
        <v>0.421</v>
      </c>
      <c r="CC1344" s="1">
        <v>0.434</v>
      </c>
      <c r="CD1344" s="1">
        <v>0.851</v>
      </c>
      <c r="CE1344" s="1">
        <v>0.993</v>
      </c>
      <c r="CF1344" s="1">
        <v>0.548</v>
      </c>
      <c r="CG1344" s="1">
        <v>3.247</v>
      </c>
      <c r="CH1344" s="1">
        <v>0.857</v>
      </c>
      <c r="CI1344" s="1">
        <v>10.4712</v>
      </c>
      <c r="CJ1344" s="1">
        <v>0.9726</v>
      </c>
      <c r="CK1344" s="1">
        <v>1.0</v>
      </c>
      <c r="CL1344" s="1">
        <v>1.0</v>
      </c>
      <c r="CM1344" s="1">
        <v>1.0</v>
      </c>
      <c r="CN1344" s="1">
        <v>1.0</v>
      </c>
      <c r="CO1344" s="1">
        <v>4.0</v>
      </c>
      <c r="CP1344" s="1">
        <v>0.0</v>
      </c>
      <c r="CQ1344" s="1">
        <v>0.0</v>
      </c>
      <c r="CR1344" s="1">
        <v>1.0</v>
      </c>
      <c r="CS1344" s="1">
        <v>1.0</v>
      </c>
      <c r="CT1344" s="1">
        <v>1.0</v>
      </c>
      <c r="CU1344" s="1">
        <v>0.0</v>
      </c>
      <c r="CV1344" s="1">
        <v>1.0</v>
      </c>
      <c r="CW1344" s="1">
        <v>0.0</v>
      </c>
      <c r="CX1344" s="1">
        <v>0.0</v>
      </c>
      <c r="CY1344" s="1">
        <v>0.0</v>
      </c>
      <c r="CZ1344" s="1">
        <v>1.0</v>
      </c>
      <c r="DA1344" s="1">
        <v>0.0</v>
      </c>
      <c r="DB1344" s="1">
        <v>1.0</v>
      </c>
      <c r="DC1344" s="1">
        <v>7.0</v>
      </c>
      <c r="DD1344" s="1" t="s">
        <v>5860</v>
      </c>
      <c r="DE1344" s="1">
        <v>1.28112594823744E-4</v>
      </c>
      <c r="DF1344" s="1">
        <v>0.0522885289385571</v>
      </c>
    </row>
    <row r="1345" ht="15.75" customHeight="1">
      <c r="A1345" s="1" t="s">
        <v>5861</v>
      </c>
      <c r="B1345" s="1">
        <v>29.0</v>
      </c>
      <c r="C1345" s="1">
        <v>510.0</v>
      </c>
      <c r="D1345" s="1">
        <v>111200.0</v>
      </c>
      <c r="E1345" s="1">
        <v>0.404</v>
      </c>
      <c r="F1345" s="1">
        <v>29510.0</v>
      </c>
      <c r="G1345" s="1">
        <v>2.95101112E10</v>
      </c>
      <c r="H1345" s="1" t="s">
        <v>112</v>
      </c>
      <c r="I1345" s="1" t="s">
        <v>113</v>
      </c>
      <c r="J1345" s="1" t="s">
        <v>5663</v>
      </c>
      <c r="K1345" s="1" t="s">
        <v>5862</v>
      </c>
      <c r="L1345" s="1">
        <v>1276.0</v>
      </c>
      <c r="M1345" s="1">
        <v>1492.0</v>
      </c>
      <c r="N1345" s="1">
        <v>333.0</v>
      </c>
      <c r="O1345" s="1">
        <v>730.0</v>
      </c>
      <c r="P1345" s="1">
        <v>955.0</v>
      </c>
      <c r="Q1345" s="1">
        <v>102.0</v>
      </c>
      <c r="R1345" s="1">
        <v>473.0</v>
      </c>
      <c r="S1345" s="1">
        <v>565.0</v>
      </c>
      <c r="T1345" s="1">
        <v>326.0</v>
      </c>
      <c r="U1345" s="1">
        <v>202.0</v>
      </c>
      <c r="V1345" s="1">
        <v>427.0</v>
      </c>
      <c r="W1345" s="1">
        <v>10462.0</v>
      </c>
      <c r="X1345" s="1">
        <v>3263.0</v>
      </c>
      <c r="Y1345" s="1">
        <v>246.0</v>
      </c>
      <c r="Z1345" s="1">
        <v>324.0</v>
      </c>
      <c r="AA1345" s="1">
        <v>134.0</v>
      </c>
      <c r="AB1345" s="1">
        <v>305.0</v>
      </c>
      <c r="AC1345" s="1">
        <v>110.0</v>
      </c>
      <c r="AD1345" s="1">
        <v>1200.0</v>
      </c>
      <c r="AE1345" s="1">
        <v>0.0</v>
      </c>
      <c r="AF1345" s="1">
        <v>456.0</v>
      </c>
      <c r="AG1345" s="1">
        <v>73.0</v>
      </c>
      <c r="AH1345" s="1">
        <v>56.0</v>
      </c>
      <c r="AI1345" s="1">
        <v>8.0</v>
      </c>
      <c r="AJ1345" s="1">
        <v>14.0</v>
      </c>
      <c r="AK1345" s="1">
        <v>8.0</v>
      </c>
      <c r="AL1345" s="1">
        <v>115.0</v>
      </c>
      <c r="AM1345" s="1">
        <v>274.0</v>
      </c>
      <c r="AN1345" s="1">
        <v>123.0</v>
      </c>
      <c r="AO1345" s="1">
        <v>92.0</v>
      </c>
      <c r="AP1345" s="1">
        <v>0.378686</v>
      </c>
      <c r="AQ1345" s="1">
        <v>0.201489</v>
      </c>
      <c r="AR1345" s="1">
        <v>0.353765</v>
      </c>
      <c r="AS1345" s="1">
        <v>0.706848</v>
      </c>
      <c r="AT1345" s="1">
        <v>10462.0</v>
      </c>
      <c r="AU1345" s="1">
        <v>3263.0</v>
      </c>
      <c r="AV1345" s="1">
        <v>0.288393</v>
      </c>
      <c r="AW1345" s="1">
        <v>0.376389</v>
      </c>
      <c r="AX1345" s="1">
        <v>0.105015</v>
      </c>
      <c r="AY1345" s="1">
        <v>0.239028</v>
      </c>
      <c r="AZ1345" s="1">
        <v>0.23255813</v>
      </c>
      <c r="BA1345" s="1">
        <v>0.940438</v>
      </c>
      <c r="BB1345" s="1">
        <v>0.0</v>
      </c>
      <c r="BC1345" s="1">
        <v>0.318213</v>
      </c>
      <c r="BD1345" s="1">
        <v>0.07643900000000001</v>
      </c>
      <c r="BE1345" s="1">
        <v>0.058067</v>
      </c>
      <c r="BF1345" s="1">
        <v>0.008376</v>
      </c>
      <c r="BG1345" s="1">
        <v>0.014632</v>
      </c>
      <c r="BH1345" s="1">
        <v>0.011904</v>
      </c>
      <c r="BI1345" s="1">
        <v>0.171123</v>
      </c>
      <c r="BJ1345" s="1">
        <v>0.407738</v>
      </c>
      <c r="BK1345" s="1">
        <v>0.174315</v>
      </c>
      <c r="BL1345" s="1">
        <v>0.0721</v>
      </c>
      <c r="BM1345" s="1">
        <v>0.942</v>
      </c>
      <c r="BN1345" s="1">
        <v>0.996</v>
      </c>
      <c r="BO1345" s="1">
        <v>0.9841</v>
      </c>
      <c r="BP1345" s="1">
        <v>0.928</v>
      </c>
      <c r="BQ1345" s="1">
        <v>3.8501</v>
      </c>
      <c r="BR1345" s="1">
        <v>0.9877</v>
      </c>
      <c r="BS1345" s="1">
        <v>0.24</v>
      </c>
      <c r="BT1345" s="1">
        <v>0.487</v>
      </c>
      <c r="BU1345" s="1">
        <v>0.93</v>
      </c>
      <c r="BV1345" s="1">
        <v>1.657</v>
      </c>
      <c r="BW1345" s="1">
        <v>0.608</v>
      </c>
      <c r="BX1345" s="1">
        <v>0.953</v>
      </c>
      <c r="BY1345" s="1">
        <v>0.0</v>
      </c>
      <c r="BZ1345" s="1">
        <v>0.953</v>
      </c>
      <c r="CA1345" s="1">
        <v>0.512</v>
      </c>
      <c r="CB1345" s="1">
        <v>0.725</v>
      </c>
      <c r="CC1345" s="1">
        <v>0.443</v>
      </c>
      <c r="CD1345" s="1">
        <v>0.528</v>
      </c>
      <c r="CE1345" s="1">
        <v>0.987</v>
      </c>
      <c r="CF1345" s="1">
        <v>0.925</v>
      </c>
      <c r="CG1345" s="1">
        <v>3.608</v>
      </c>
      <c r="CH1345" s="1">
        <v>0.958</v>
      </c>
      <c r="CI1345" s="1">
        <v>10.0681</v>
      </c>
      <c r="CJ1345" s="1">
        <v>0.9531</v>
      </c>
      <c r="CK1345" s="1">
        <v>1.0</v>
      </c>
      <c r="CL1345" s="1">
        <v>1.0</v>
      </c>
      <c r="CM1345" s="1">
        <v>1.0</v>
      </c>
      <c r="CN1345" s="1">
        <v>1.0</v>
      </c>
      <c r="CO1345" s="1">
        <v>4.0</v>
      </c>
      <c r="CP1345" s="1">
        <v>0.0</v>
      </c>
      <c r="CQ1345" s="1">
        <v>0.0</v>
      </c>
      <c r="CR1345" s="1">
        <v>1.0</v>
      </c>
      <c r="CS1345" s="1">
        <v>1.0</v>
      </c>
      <c r="CT1345" s="1">
        <v>1.0</v>
      </c>
      <c r="CU1345" s="1">
        <v>0.0</v>
      </c>
      <c r="CV1345" s="1">
        <v>1.0</v>
      </c>
      <c r="CW1345" s="1">
        <v>0.0</v>
      </c>
      <c r="CX1345" s="1">
        <v>0.0</v>
      </c>
      <c r="CY1345" s="1">
        <v>0.0</v>
      </c>
      <c r="CZ1345" s="1">
        <v>1.0</v>
      </c>
      <c r="DA1345" s="1">
        <v>1.0</v>
      </c>
      <c r="DB1345" s="1">
        <v>2.0</v>
      </c>
      <c r="DC1345" s="1">
        <v>8.0</v>
      </c>
      <c r="DD1345" s="1" t="s">
        <v>5863</v>
      </c>
      <c r="DE1345" s="1">
        <v>1.08412249639623E-4</v>
      </c>
      <c r="DF1345" s="1">
        <v>0.0653081834078875</v>
      </c>
    </row>
    <row r="1346" ht="15.75" customHeight="1">
      <c r="A1346" s="1" t="s">
        <v>5864</v>
      </c>
      <c r="B1346" s="1">
        <v>29.0</v>
      </c>
      <c r="C1346" s="1">
        <v>510.0</v>
      </c>
      <c r="D1346" s="1">
        <v>111300.0</v>
      </c>
      <c r="E1346" s="1">
        <v>0.367</v>
      </c>
      <c r="F1346" s="1">
        <v>29510.0</v>
      </c>
      <c r="G1346" s="1">
        <v>2.95101113E10</v>
      </c>
      <c r="H1346" s="1" t="s">
        <v>112</v>
      </c>
      <c r="I1346" s="1" t="s">
        <v>113</v>
      </c>
      <c r="J1346" s="1" t="s">
        <v>5663</v>
      </c>
      <c r="K1346" s="1" t="s">
        <v>5865</v>
      </c>
      <c r="L1346" s="1">
        <v>1554.0</v>
      </c>
      <c r="M1346" s="1">
        <v>1658.0</v>
      </c>
      <c r="N1346" s="1">
        <v>387.0</v>
      </c>
      <c r="O1346" s="1">
        <v>1241.0</v>
      </c>
      <c r="P1346" s="1">
        <v>1357.0</v>
      </c>
      <c r="Q1346" s="1">
        <v>122.0</v>
      </c>
      <c r="R1346" s="1">
        <v>735.0</v>
      </c>
      <c r="S1346" s="1">
        <v>718.0</v>
      </c>
      <c r="T1346" s="1">
        <v>277.0</v>
      </c>
      <c r="U1346" s="1">
        <v>294.0</v>
      </c>
      <c r="V1346" s="1">
        <v>342.0</v>
      </c>
      <c r="W1346" s="1">
        <v>12362.0</v>
      </c>
      <c r="X1346" s="1">
        <v>2650.0</v>
      </c>
      <c r="Y1346" s="1">
        <v>347.0</v>
      </c>
      <c r="Z1346" s="1">
        <v>260.0</v>
      </c>
      <c r="AA1346" s="1">
        <v>337.0</v>
      </c>
      <c r="AB1346" s="1">
        <v>335.0</v>
      </c>
      <c r="AC1346" s="1">
        <v>145.0</v>
      </c>
      <c r="AD1346" s="1">
        <v>1541.0</v>
      </c>
      <c r="AE1346" s="1">
        <v>23.0</v>
      </c>
      <c r="AF1346" s="1">
        <v>443.0</v>
      </c>
      <c r="AG1346" s="1">
        <v>488.0</v>
      </c>
      <c r="AH1346" s="1">
        <v>121.0</v>
      </c>
      <c r="AI1346" s="1">
        <v>0.0</v>
      </c>
      <c r="AJ1346" s="1">
        <v>114.0</v>
      </c>
      <c r="AK1346" s="1">
        <v>29.0</v>
      </c>
      <c r="AL1346" s="1">
        <v>123.0</v>
      </c>
      <c r="AM1346" s="1">
        <v>430.0</v>
      </c>
      <c r="AN1346" s="1">
        <v>114.0</v>
      </c>
      <c r="AO1346" s="1">
        <v>3.0</v>
      </c>
      <c r="AP1346" s="1">
        <v>0.433051</v>
      </c>
      <c r="AQ1346" s="1">
        <v>0.133021</v>
      </c>
      <c r="AR1346" s="1">
        <v>0.448854</v>
      </c>
      <c r="AS1346" s="1">
        <v>0.478479</v>
      </c>
      <c r="AT1346" s="1">
        <v>12362.0</v>
      </c>
      <c r="AU1346" s="1">
        <v>2650.0</v>
      </c>
      <c r="AV1346" s="1">
        <v>0.293818</v>
      </c>
      <c r="AW1346" s="1">
        <v>0.210738</v>
      </c>
      <c r="AX1346" s="1">
        <v>0.216859</v>
      </c>
      <c r="AY1346" s="1">
        <v>0.215572</v>
      </c>
      <c r="AZ1346" s="1">
        <v>0.19727891</v>
      </c>
      <c r="BA1346" s="1">
        <v>0.991634</v>
      </c>
      <c r="BB1346" s="1">
        <v>0.014438</v>
      </c>
      <c r="BC1346" s="1">
        <v>0.278071</v>
      </c>
      <c r="BD1346" s="1">
        <v>0.359616</v>
      </c>
      <c r="BE1346" s="1">
        <v>0.083099</v>
      </c>
      <c r="BF1346" s="1">
        <v>0.0</v>
      </c>
      <c r="BG1346" s="1">
        <v>0.084008</v>
      </c>
      <c r="BH1346" s="1">
        <v>0.034855</v>
      </c>
      <c r="BI1346" s="1">
        <v>0.14768</v>
      </c>
      <c r="BJ1346" s="1">
        <v>0.516826</v>
      </c>
      <c r="BK1346" s="1">
        <v>0.092991</v>
      </c>
      <c r="BL1346" s="1">
        <v>0.00193</v>
      </c>
      <c r="BM1346" s="1">
        <v>0.973</v>
      </c>
      <c r="BN1346" s="1">
        <v>1.0</v>
      </c>
      <c r="BO1346" s="1">
        <v>0.9523</v>
      </c>
      <c r="BP1346" s="1">
        <v>0.937</v>
      </c>
      <c r="BQ1346" s="1">
        <v>3.8623</v>
      </c>
      <c r="BR1346" s="1">
        <v>0.9913</v>
      </c>
      <c r="BS1346" s="1">
        <v>0.923</v>
      </c>
      <c r="BT1346" s="1">
        <v>0.273</v>
      </c>
      <c r="BU1346" s="1">
        <v>0.893</v>
      </c>
      <c r="BV1346" s="1">
        <v>2.089</v>
      </c>
      <c r="BW1346" s="1">
        <v>0.912</v>
      </c>
      <c r="BX1346" s="1">
        <v>0.994</v>
      </c>
      <c r="BY1346" s="1">
        <v>0.802</v>
      </c>
      <c r="BZ1346" s="1">
        <v>1.796</v>
      </c>
      <c r="CA1346" s="1">
        <v>0.963</v>
      </c>
      <c r="CB1346" s="1">
        <v>0.96</v>
      </c>
      <c r="CC1346" s="1">
        <v>0.0</v>
      </c>
      <c r="CD1346" s="1">
        <v>0.858</v>
      </c>
      <c r="CE1346" s="1">
        <v>0.997</v>
      </c>
      <c r="CF1346" s="1">
        <v>0.441</v>
      </c>
      <c r="CG1346" s="1">
        <v>3.256</v>
      </c>
      <c r="CH1346" s="1">
        <v>0.86</v>
      </c>
      <c r="CI1346" s="1">
        <v>11.0033</v>
      </c>
      <c r="CJ1346" s="1">
        <v>0.9913</v>
      </c>
      <c r="CK1346" s="1">
        <v>1.0</v>
      </c>
      <c r="CL1346" s="1">
        <v>1.0</v>
      </c>
      <c r="CM1346" s="1">
        <v>1.0</v>
      </c>
      <c r="CN1346" s="1">
        <v>1.0</v>
      </c>
      <c r="CO1346" s="1">
        <v>4.0</v>
      </c>
      <c r="CP1346" s="1">
        <v>1.0</v>
      </c>
      <c r="CQ1346" s="1">
        <v>0.0</v>
      </c>
      <c r="CR1346" s="1">
        <v>0.0</v>
      </c>
      <c r="CS1346" s="1">
        <v>1.0</v>
      </c>
      <c r="CT1346" s="1">
        <v>1.0</v>
      </c>
      <c r="CU1346" s="1">
        <v>0.0</v>
      </c>
      <c r="CV1346" s="1">
        <v>1.0</v>
      </c>
      <c r="CW1346" s="1">
        <v>1.0</v>
      </c>
      <c r="CX1346" s="1">
        <v>0.0</v>
      </c>
      <c r="CY1346" s="1">
        <v>0.0</v>
      </c>
      <c r="CZ1346" s="1">
        <v>1.0</v>
      </c>
      <c r="DA1346" s="1">
        <v>0.0</v>
      </c>
      <c r="DB1346" s="1">
        <v>2.0</v>
      </c>
      <c r="DC1346" s="1">
        <v>8.0</v>
      </c>
      <c r="DD1346" s="1" t="s">
        <v>5866</v>
      </c>
      <c r="DE1346" s="2" t="s">
        <v>5867</v>
      </c>
      <c r="DF1346" s="1">
        <v>0.0409110651067891</v>
      </c>
    </row>
    <row r="1347" ht="15.75" customHeight="1">
      <c r="A1347" s="1" t="s">
        <v>5868</v>
      </c>
      <c r="B1347" s="1">
        <v>29.0</v>
      </c>
      <c r="C1347" s="1">
        <v>510.0</v>
      </c>
      <c r="D1347" s="1">
        <v>111400.0</v>
      </c>
      <c r="E1347" s="1">
        <v>0.352</v>
      </c>
      <c r="F1347" s="1">
        <v>29510.0</v>
      </c>
      <c r="G1347" s="1">
        <v>2.95101114E10</v>
      </c>
      <c r="H1347" s="1" t="s">
        <v>112</v>
      </c>
      <c r="I1347" s="1" t="s">
        <v>113</v>
      </c>
      <c r="J1347" s="1" t="s">
        <v>5663</v>
      </c>
      <c r="K1347" s="1" t="s">
        <v>5869</v>
      </c>
      <c r="L1347" s="1">
        <v>1643.0</v>
      </c>
      <c r="M1347" s="1">
        <v>1701.0</v>
      </c>
      <c r="N1347" s="1">
        <v>376.0</v>
      </c>
      <c r="O1347" s="1">
        <v>915.0</v>
      </c>
      <c r="P1347" s="1">
        <v>975.0</v>
      </c>
      <c r="Q1347" s="1">
        <v>118.0</v>
      </c>
      <c r="R1347" s="1">
        <v>610.0</v>
      </c>
      <c r="S1347" s="1">
        <v>536.0</v>
      </c>
      <c r="T1347" s="1">
        <v>254.0</v>
      </c>
      <c r="U1347" s="1">
        <v>189.0</v>
      </c>
      <c r="V1347" s="1">
        <v>390.0</v>
      </c>
      <c r="W1347" s="1">
        <v>12872.0</v>
      </c>
      <c r="X1347" s="1">
        <v>2157.0</v>
      </c>
      <c r="Y1347" s="1">
        <v>282.0</v>
      </c>
      <c r="Z1347" s="1">
        <v>253.0</v>
      </c>
      <c r="AA1347" s="1">
        <v>185.0</v>
      </c>
      <c r="AB1347" s="1">
        <v>509.0</v>
      </c>
      <c r="AC1347" s="1">
        <v>194.0</v>
      </c>
      <c r="AD1347" s="1">
        <v>1628.0</v>
      </c>
      <c r="AE1347" s="1">
        <v>0.0</v>
      </c>
      <c r="AF1347" s="1">
        <v>456.0</v>
      </c>
      <c r="AG1347" s="1">
        <v>11.0</v>
      </c>
      <c r="AH1347" s="1">
        <v>162.0</v>
      </c>
      <c r="AI1347" s="1">
        <v>0.0</v>
      </c>
      <c r="AJ1347" s="1">
        <v>114.0</v>
      </c>
      <c r="AK1347" s="1">
        <v>45.0</v>
      </c>
      <c r="AL1347" s="1">
        <v>121.0</v>
      </c>
      <c r="AM1347" s="1">
        <v>196.0</v>
      </c>
      <c r="AN1347" s="1">
        <v>87.0</v>
      </c>
      <c r="AO1347" s="1">
        <v>9.0</v>
      </c>
      <c r="AP1347" s="1">
        <v>0.315108</v>
      </c>
      <c r="AQ1347" s="1">
        <v>0.132083</v>
      </c>
      <c r="AR1347" s="1">
        <v>0.244501</v>
      </c>
      <c r="AS1347" s="1">
        <v>0.497727</v>
      </c>
      <c r="AT1347" s="1">
        <v>12872.0</v>
      </c>
      <c r="AU1347" s="1">
        <v>2157.0</v>
      </c>
      <c r="AV1347" s="1">
        <v>0.252236</v>
      </c>
      <c r="AW1347" s="1">
        <v>0.221889</v>
      </c>
      <c r="AX1347" s="1">
        <v>0.112598</v>
      </c>
      <c r="AY1347" s="1">
        <v>0.309799</v>
      </c>
      <c r="AZ1347" s="1">
        <v>0.31803278</v>
      </c>
      <c r="BA1347" s="1">
        <v>0.99087</v>
      </c>
      <c r="BB1347" s="1">
        <v>0.0</v>
      </c>
      <c r="BC1347" s="1">
        <v>0.290816</v>
      </c>
      <c r="BD1347" s="1">
        <v>0.011282</v>
      </c>
      <c r="BE1347" s="1">
        <v>0.166148</v>
      </c>
      <c r="BF1347" s="1">
        <v>0.0</v>
      </c>
      <c r="BG1347" s="1">
        <v>0.116923</v>
      </c>
      <c r="BH1347" s="1">
        <v>0.060975</v>
      </c>
      <c r="BI1347" s="1">
        <v>0.163731</v>
      </c>
      <c r="BJ1347" s="1">
        <v>0.265582</v>
      </c>
      <c r="BK1347" s="1">
        <v>0.111787</v>
      </c>
      <c r="BL1347" s="1">
        <v>0.005477</v>
      </c>
      <c r="BM1347" s="1">
        <v>0.897</v>
      </c>
      <c r="BN1347" s="1">
        <v>0.975</v>
      </c>
      <c r="BO1347" s="1">
        <v>0.9394</v>
      </c>
      <c r="BP1347" s="1">
        <v>0.874</v>
      </c>
      <c r="BQ1347" s="1">
        <v>3.6854</v>
      </c>
      <c r="BR1347" s="1">
        <v>0.9552</v>
      </c>
      <c r="BS1347" s="1">
        <v>0.292</v>
      </c>
      <c r="BT1347" s="1">
        <v>0.946</v>
      </c>
      <c r="BU1347" s="1">
        <v>0.982</v>
      </c>
      <c r="BV1347" s="1">
        <v>2.22</v>
      </c>
      <c r="BW1347" s="1">
        <v>0.966</v>
      </c>
      <c r="BX1347" s="1">
        <v>0.992</v>
      </c>
      <c r="BY1347" s="1">
        <v>0.0</v>
      </c>
      <c r="BZ1347" s="1">
        <v>0.992</v>
      </c>
      <c r="CA1347" s="1">
        <v>0.554</v>
      </c>
      <c r="CB1347" s="1">
        <v>0.394</v>
      </c>
      <c r="CC1347" s="1">
        <v>0.0</v>
      </c>
      <c r="CD1347" s="1">
        <v>0.965</v>
      </c>
      <c r="CE1347" s="1">
        <v>0.952</v>
      </c>
      <c r="CF1347" s="1">
        <v>0.522</v>
      </c>
      <c r="CG1347" s="1">
        <v>2.833</v>
      </c>
      <c r="CH1347" s="1">
        <v>0.702</v>
      </c>
      <c r="CI1347" s="1">
        <v>9.7304</v>
      </c>
      <c r="CJ1347" s="1">
        <v>0.9292</v>
      </c>
      <c r="CK1347" s="1">
        <v>0.0</v>
      </c>
      <c r="CL1347" s="1">
        <v>1.0</v>
      </c>
      <c r="CM1347" s="1">
        <v>1.0</v>
      </c>
      <c r="CN1347" s="1">
        <v>0.0</v>
      </c>
      <c r="CO1347" s="1">
        <v>2.0</v>
      </c>
      <c r="CP1347" s="1">
        <v>0.0</v>
      </c>
      <c r="CQ1347" s="1">
        <v>1.0</v>
      </c>
      <c r="CR1347" s="1">
        <v>1.0</v>
      </c>
      <c r="CS1347" s="1">
        <v>2.0</v>
      </c>
      <c r="CT1347" s="1">
        <v>1.0</v>
      </c>
      <c r="CU1347" s="1">
        <v>0.0</v>
      </c>
      <c r="CV1347" s="1">
        <v>1.0</v>
      </c>
      <c r="CW1347" s="1">
        <v>0.0</v>
      </c>
      <c r="CX1347" s="1">
        <v>0.0</v>
      </c>
      <c r="CY1347" s="1">
        <v>1.0</v>
      </c>
      <c r="CZ1347" s="1">
        <v>1.0</v>
      </c>
      <c r="DA1347" s="1">
        <v>0.0</v>
      </c>
      <c r="DB1347" s="1">
        <v>2.0</v>
      </c>
      <c r="DC1347" s="1">
        <v>7.0</v>
      </c>
      <c r="DD1347" s="1" t="s">
        <v>5870</v>
      </c>
      <c r="DE1347" s="2" t="s">
        <v>5871</v>
      </c>
      <c r="DF1347" s="2" t="s">
        <v>5872</v>
      </c>
    </row>
    <row r="1348" ht="15.75" customHeight="1">
      <c r="A1348" s="1" t="s">
        <v>5873</v>
      </c>
      <c r="B1348" s="1">
        <v>29.0</v>
      </c>
      <c r="C1348" s="1">
        <v>510.0</v>
      </c>
      <c r="D1348" s="1">
        <v>112100.0</v>
      </c>
      <c r="E1348" s="1">
        <v>2.684</v>
      </c>
      <c r="F1348" s="1">
        <v>29510.0</v>
      </c>
      <c r="G1348" s="1">
        <v>2.95101121E10</v>
      </c>
      <c r="H1348" s="1" t="s">
        <v>112</v>
      </c>
      <c r="I1348" s="1" t="s">
        <v>113</v>
      </c>
      <c r="J1348" s="1" t="s">
        <v>5663</v>
      </c>
      <c r="K1348" s="1" t="s">
        <v>5874</v>
      </c>
      <c r="L1348" s="1">
        <v>4285.0</v>
      </c>
      <c r="M1348" s="1">
        <v>4377.0</v>
      </c>
      <c r="N1348" s="1">
        <v>479.0</v>
      </c>
      <c r="O1348" s="1">
        <v>2942.0</v>
      </c>
      <c r="P1348" s="1">
        <v>2818.0</v>
      </c>
      <c r="Q1348" s="1">
        <v>170.0</v>
      </c>
      <c r="R1348" s="1">
        <v>2482.0</v>
      </c>
      <c r="S1348" s="1">
        <v>818.0</v>
      </c>
      <c r="T1348" s="1">
        <v>270.0</v>
      </c>
      <c r="U1348" s="1">
        <v>130.0</v>
      </c>
      <c r="V1348" s="1">
        <v>436.0</v>
      </c>
      <c r="W1348" s="1">
        <v>44693.0</v>
      </c>
      <c r="X1348" s="1">
        <v>7032.0</v>
      </c>
      <c r="Y1348" s="1">
        <v>248.0</v>
      </c>
      <c r="Z1348" s="1">
        <v>337.0</v>
      </c>
      <c r="AA1348" s="1">
        <v>436.0</v>
      </c>
      <c r="AB1348" s="1">
        <v>414.0</v>
      </c>
      <c r="AC1348" s="1">
        <v>80.0</v>
      </c>
      <c r="AD1348" s="1">
        <v>1564.0</v>
      </c>
      <c r="AE1348" s="1">
        <v>40.0</v>
      </c>
      <c r="AF1348" s="1">
        <v>428.0</v>
      </c>
      <c r="AG1348" s="1">
        <v>1780.0</v>
      </c>
      <c r="AH1348" s="1">
        <v>300.0</v>
      </c>
      <c r="AI1348" s="1">
        <v>0.0</v>
      </c>
      <c r="AJ1348" s="1">
        <v>114.0</v>
      </c>
      <c r="AK1348" s="1">
        <v>26.0</v>
      </c>
      <c r="AL1348" s="1">
        <v>118.0</v>
      </c>
      <c r="AM1348" s="1">
        <v>347.0</v>
      </c>
      <c r="AN1348" s="1">
        <v>150.0</v>
      </c>
      <c r="AO1348" s="1">
        <v>130.0</v>
      </c>
      <c r="AP1348" s="1">
        <v>0.190764</v>
      </c>
      <c r="AQ1348" s="1">
        <v>0.059361</v>
      </c>
      <c r="AR1348" s="1">
        <v>0.046279</v>
      </c>
      <c r="AS1348" s="1">
        <v>0.155087</v>
      </c>
      <c r="AT1348" s="1">
        <v>44693.0</v>
      </c>
      <c r="AU1348" s="1">
        <v>7032.0</v>
      </c>
      <c r="AV1348" s="1">
        <v>0.081875</v>
      </c>
      <c r="AW1348" s="1">
        <v>0.110767</v>
      </c>
      <c r="AX1348" s="1">
        <v>0.10175</v>
      </c>
      <c r="AY1348" s="1">
        <v>0.096616</v>
      </c>
      <c r="AZ1348" s="1">
        <v>0.03223207</v>
      </c>
      <c r="BA1348" s="1">
        <v>0.364994</v>
      </c>
      <c r="BB1348" s="1">
        <v>0.009411</v>
      </c>
      <c r="BC1348" s="1">
        <v>0.1007</v>
      </c>
      <c r="BD1348" s="1">
        <v>0.631653</v>
      </c>
      <c r="BE1348" s="1">
        <v>0.099405</v>
      </c>
      <c r="BF1348" s="1">
        <v>0.0</v>
      </c>
      <c r="BG1348" s="1">
        <v>0.040454</v>
      </c>
      <c r="BH1348" s="1">
        <v>0.010612</v>
      </c>
      <c r="BI1348" s="1">
        <v>0.048152</v>
      </c>
      <c r="BJ1348" s="1">
        <v>0.141632</v>
      </c>
      <c r="BK1348" s="1">
        <v>0.059737</v>
      </c>
      <c r="BL1348" s="1">
        <v>0.030338</v>
      </c>
      <c r="BM1348" s="1">
        <v>0.707</v>
      </c>
      <c r="BN1348" s="1">
        <v>0.253</v>
      </c>
      <c r="BO1348" s="1">
        <v>0.0404</v>
      </c>
      <c r="BP1348" s="1">
        <v>0.256</v>
      </c>
      <c r="BQ1348" s="1">
        <v>1.2564</v>
      </c>
      <c r="BR1348" s="1">
        <v>0.2708</v>
      </c>
      <c r="BS1348" s="1">
        <v>0.223</v>
      </c>
      <c r="BT1348" s="1">
        <v>0.023</v>
      </c>
      <c r="BU1348" s="1">
        <v>0.02</v>
      </c>
      <c r="BV1348" s="1">
        <v>0.266</v>
      </c>
      <c r="BW1348" s="1">
        <v>0.019</v>
      </c>
      <c r="BX1348" s="1">
        <v>0.824</v>
      </c>
      <c r="BY1348" s="1">
        <v>0.705</v>
      </c>
      <c r="BZ1348" s="1">
        <v>1.529</v>
      </c>
      <c r="CA1348" s="1">
        <v>0.845</v>
      </c>
      <c r="CB1348" s="1">
        <v>0.988</v>
      </c>
      <c r="CC1348" s="1">
        <v>0.0</v>
      </c>
      <c r="CD1348" s="1">
        <v>0.489</v>
      </c>
      <c r="CE1348" s="1">
        <v>0.85</v>
      </c>
      <c r="CF1348" s="1">
        <v>0.81</v>
      </c>
      <c r="CG1348" s="1">
        <v>3.137</v>
      </c>
      <c r="CH1348" s="1">
        <v>0.827</v>
      </c>
      <c r="CI1348" s="1">
        <v>6.1884</v>
      </c>
      <c r="CJ1348" s="1">
        <v>0.4043</v>
      </c>
      <c r="CK1348" s="1">
        <v>0.0</v>
      </c>
      <c r="CL1348" s="1">
        <v>0.0</v>
      </c>
      <c r="CM1348" s="1">
        <v>0.0</v>
      </c>
      <c r="CN1348" s="1">
        <v>0.0</v>
      </c>
      <c r="CO1348" s="1">
        <v>0.0</v>
      </c>
      <c r="CP1348" s="1">
        <v>0.0</v>
      </c>
      <c r="CQ1348" s="1">
        <v>0.0</v>
      </c>
      <c r="CR1348" s="1">
        <v>0.0</v>
      </c>
      <c r="CS1348" s="1">
        <v>0.0</v>
      </c>
      <c r="CT1348" s="1">
        <v>0.0</v>
      </c>
      <c r="CU1348" s="1">
        <v>0.0</v>
      </c>
      <c r="CV1348" s="1">
        <v>0.0</v>
      </c>
      <c r="CW1348" s="1">
        <v>1.0</v>
      </c>
      <c r="CX1348" s="1">
        <v>0.0</v>
      </c>
      <c r="CY1348" s="1">
        <v>0.0</v>
      </c>
      <c r="CZ1348" s="1">
        <v>0.0</v>
      </c>
      <c r="DA1348" s="1">
        <v>0.0</v>
      </c>
      <c r="DB1348" s="1">
        <v>1.0</v>
      </c>
      <c r="DC1348" s="1">
        <v>1.0</v>
      </c>
      <c r="DD1348" s="1" t="s">
        <v>5875</v>
      </c>
      <c r="DE1348" s="1">
        <v>7.20707196662999E-4</v>
      </c>
      <c r="DF1348" s="2" t="s">
        <v>5876</v>
      </c>
    </row>
    <row r="1349" ht="15.75" customHeight="1">
      <c r="A1349" s="1" t="s">
        <v>5877</v>
      </c>
      <c r="B1349" s="1">
        <v>29.0</v>
      </c>
      <c r="C1349" s="1">
        <v>510.0</v>
      </c>
      <c r="D1349" s="1">
        <v>112200.0</v>
      </c>
      <c r="E1349" s="1">
        <v>0.268</v>
      </c>
      <c r="F1349" s="1">
        <v>29510.0</v>
      </c>
      <c r="G1349" s="1">
        <v>2.95101122E10</v>
      </c>
      <c r="H1349" s="1" t="s">
        <v>112</v>
      </c>
      <c r="I1349" s="1" t="s">
        <v>113</v>
      </c>
      <c r="J1349" s="1" t="s">
        <v>5663</v>
      </c>
      <c r="K1349" s="1" t="s">
        <v>5878</v>
      </c>
      <c r="L1349" s="1">
        <v>1586.0</v>
      </c>
      <c r="M1349" s="1">
        <v>1737.0</v>
      </c>
      <c r="N1349" s="1">
        <v>438.0</v>
      </c>
      <c r="O1349" s="1">
        <v>887.0</v>
      </c>
      <c r="P1349" s="1">
        <v>981.0</v>
      </c>
      <c r="Q1349" s="1">
        <v>75.0</v>
      </c>
      <c r="R1349" s="1">
        <v>612.0</v>
      </c>
      <c r="S1349" s="1">
        <v>430.0</v>
      </c>
      <c r="T1349" s="1">
        <v>347.0</v>
      </c>
      <c r="U1349" s="1">
        <v>199.0</v>
      </c>
      <c r="V1349" s="1">
        <v>424.0</v>
      </c>
      <c r="W1349" s="1">
        <v>15280.0</v>
      </c>
      <c r="X1349" s="1">
        <v>4006.0</v>
      </c>
      <c r="Y1349" s="1">
        <v>244.0</v>
      </c>
      <c r="Z1349" s="1">
        <v>359.0</v>
      </c>
      <c r="AA1349" s="1">
        <v>165.0</v>
      </c>
      <c r="AB1349" s="1">
        <v>417.0</v>
      </c>
      <c r="AC1349" s="1">
        <v>155.0</v>
      </c>
      <c r="AD1349" s="1">
        <v>1538.0</v>
      </c>
      <c r="AE1349" s="1">
        <v>0.0</v>
      </c>
      <c r="AF1349" s="1">
        <v>456.0</v>
      </c>
      <c r="AG1349" s="1">
        <v>155.0</v>
      </c>
      <c r="AH1349" s="1">
        <v>84.0</v>
      </c>
      <c r="AI1349" s="1">
        <v>12.0</v>
      </c>
      <c r="AJ1349" s="1">
        <v>19.0</v>
      </c>
      <c r="AK1349" s="1">
        <v>0.0</v>
      </c>
      <c r="AL1349" s="1">
        <v>161.0</v>
      </c>
      <c r="AM1349" s="1">
        <v>223.0</v>
      </c>
      <c r="AN1349" s="1">
        <v>83.0</v>
      </c>
      <c r="AO1349" s="1">
        <v>59.0</v>
      </c>
      <c r="AP1349" s="1">
        <v>0.265924</v>
      </c>
      <c r="AQ1349" s="1">
        <v>0.20499</v>
      </c>
      <c r="AR1349" s="1">
        <v>0.275242</v>
      </c>
      <c r="AS1349" s="1">
        <v>0.571285</v>
      </c>
      <c r="AT1349" s="1">
        <v>15280.0</v>
      </c>
      <c r="AU1349" s="1">
        <v>4006.0</v>
      </c>
      <c r="AV1349" s="1">
        <v>0.243512</v>
      </c>
      <c r="AW1349" s="1">
        <v>0.353934</v>
      </c>
      <c r="AX1349" s="1">
        <v>0.104035</v>
      </c>
      <c r="AY1349" s="1">
        <v>0.262925</v>
      </c>
      <c r="AZ1349" s="1">
        <v>0.25326797</v>
      </c>
      <c r="BA1349" s="1">
        <v>0.969735</v>
      </c>
      <c r="BB1349" s="1">
        <v>0.0</v>
      </c>
      <c r="BC1349" s="1">
        <v>0.27159</v>
      </c>
      <c r="BD1349" s="1">
        <v>0.158002</v>
      </c>
      <c r="BE1349" s="1">
        <v>0.08477</v>
      </c>
      <c r="BF1349" s="1">
        <v>0.012232</v>
      </c>
      <c r="BG1349" s="1">
        <v>0.019345</v>
      </c>
      <c r="BH1349" s="1">
        <v>0.0</v>
      </c>
      <c r="BI1349" s="1">
        <v>0.232323</v>
      </c>
      <c r="BJ1349" s="1">
        <v>0.321789</v>
      </c>
      <c r="BK1349" s="1">
        <v>0.1065</v>
      </c>
      <c r="BL1349" s="1">
        <v>0.0372</v>
      </c>
      <c r="BM1349" s="1">
        <v>0.85</v>
      </c>
      <c r="BN1349" s="1">
        <v>0.987</v>
      </c>
      <c r="BO1349" s="1">
        <v>0.8657</v>
      </c>
      <c r="BP1349" s="1">
        <v>0.856</v>
      </c>
      <c r="BQ1349" s="1">
        <v>3.5587</v>
      </c>
      <c r="BR1349" s="1">
        <v>0.9329</v>
      </c>
      <c r="BS1349" s="1">
        <v>0.235</v>
      </c>
      <c r="BT1349" s="1">
        <v>0.731</v>
      </c>
      <c r="BU1349" s="1">
        <v>0.948</v>
      </c>
      <c r="BV1349" s="1">
        <v>1.914</v>
      </c>
      <c r="BW1349" s="1">
        <v>0.809</v>
      </c>
      <c r="BX1349" s="1">
        <v>0.971</v>
      </c>
      <c r="BY1349" s="1">
        <v>0.0</v>
      </c>
      <c r="BZ1349" s="1">
        <v>0.971</v>
      </c>
      <c r="CA1349" s="1">
        <v>0.527</v>
      </c>
      <c r="CB1349" s="1">
        <v>0.849</v>
      </c>
      <c r="CC1349" s="1">
        <v>0.474</v>
      </c>
      <c r="CD1349" s="1">
        <v>0.0</v>
      </c>
      <c r="CE1349" s="1">
        <v>0.973</v>
      </c>
      <c r="CF1349" s="1">
        <v>0.856</v>
      </c>
      <c r="CG1349" s="1">
        <v>3.152</v>
      </c>
      <c r="CH1349" s="1">
        <v>0.832</v>
      </c>
      <c r="CI1349" s="1">
        <v>9.5957</v>
      </c>
      <c r="CJ1349" s="1">
        <v>0.9148</v>
      </c>
      <c r="CK1349" s="1">
        <v>0.0</v>
      </c>
      <c r="CL1349" s="1">
        <v>1.0</v>
      </c>
      <c r="CM1349" s="1">
        <v>0.0</v>
      </c>
      <c r="CN1349" s="1">
        <v>0.0</v>
      </c>
      <c r="CO1349" s="1">
        <v>1.0</v>
      </c>
      <c r="CP1349" s="1">
        <v>0.0</v>
      </c>
      <c r="CQ1349" s="1">
        <v>0.0</v>
      </c>
      <c r="CR1349" s="1">
        <v>1.0</v>
      </c>
      <c r="CS1349" s="1">
        <v>1.0</v>
      </c>
      <c r="CT1349" s="1">
        <v>1.0</v>
      </c>
      <c r="CU1349" s="1">
        <v>0.0</v>
      </c>
      <c r="CV1349" s="1">
        <v>1.0</v>
      </c>
      <c r="CW1349" s="1">
        <v>0.0</v>
      </c>
      <c r="CX1349" s="1">
        <v>0.0</v>
      </c>
      <c r="CY1349" s="1">
        <v>0.0</v>
      </c>
      <c r="CZ1349" s="1">
        <v>1.0</v>
      </c>
      <c r="DA1349" s="1">
        <v>0.0</v>
      </c>
      <c r="DB1349" s="1">
        <v>1.0</v>
      </c>
      <c r="DC1349" s="1">
        <v>4.0</v>
      </c>
      <c r="DD1349" s="1" t="s">
        <v>5879</v>
      </c>
      <c r="DE1349" s="2" t="s">
        <v>5880</v>
      </c>
      <c r="DF1349" s="1">
        <v>0.0539890562807873</v>
      </c>
    </row>
    <row r="1350" ht="15.75" customHeight="1">
      <c r="A1350" s="1" t="s">
        <v>5881</v>
      </c>
      <c r="B1350" s="1">
        <v>29.0</v>
      </c>
      <c r="C1350" s="1">
        <v>510.0</v>
      </c>
      <c r="D1350" s="1">
        <v>112300.0</v>
      </c>
      <c r="E1350" s="1">
        <v>0.329</v>
      </c>
      <c r="F1350" s="1">
        <v>29510.0</v>
      </c>
      <c r="G1350" s="1">
        <v>2.95101123E10</v>
      </c>
      <c r="H1350" s="1" t="s">
        <v>112</v>
      </c>
      <c r="I1350" s="1" t="s">
        <v>113</v>
      </c>
      <c r="J1350" s="1" t="s">
        <v>5663</v>
      </c>
      <c r="K1350" s="1" t="s">
        <v>5882</v>
      </c>
      <c r="L1350" s="1">
        <v>2415.0</v>
      </c>
      <c r="M1350" s="1">
        <v>2556.0</v>
      </c>
      <c r="N1350" s="1">
        <v>435.0</v>
      </c>
      <c r="O1350" s="1">
        <v>1313.0</v>
      </c>
      <c r="P1350" s="1">
        <v>1450.0</v>
      </c>
      <c r="Q1350" s="1">
        <v>104.0</v>
      </c>
      <c r="R1350" s="1">
        <v>944.0</v>
      </c>
      <c r="S1350" s="1">
        <v>1044.0</v>
      </c>
      <c r="T1350" s="1">
        <v>344.0</v>
      </c>
      <c r="U1350" s="1">
        <v>327.0</v>
      </c>
      <c r="V1350" s="1">
        <v>403.0</v>
      </c>
      <c r="W1350" s="1">
        <v>10410.0</v>
      </c>
      <c r="X1350" s="1">
        <v>1777.0</v>
      </c>
      <c r="Y1350" s="1">
        <v>446.0</v>
      </c>
      <c r="Z1350" s="1">
        <v>338.0</v>
      </c>
      <c r="AA1350" s="1">
        <v>314.0</v>
      </c>
      <c r="AB1350" s="1">
        <v>773.0</v>
      </c>
      <c r="AC1350" s="1">
        <v>271.0</v>
      </c>
      <c r="AD1350" s="1">
        <v>2389.0</v>
      </c>
      <c r="AE1350" s="1">
        <v>0.0</v>
      </c>
      <c r="AF1350" s="1">
        <v>456.0</v>
      </c>
      <c r="AG1350" s="1">
        <v>216.0</v>
      </c>
      <c r="AH1350" s="1">
        <v>106.0</v>
      </c>
      <c r="AI1350" s="1">
        <v>0.0</v>
      </c>
      <c r="AJ1350" s="1">
        <v>114.0</v>
      </c>
      <c r="AK1350" s="1">
        <v>6.0</v>
      </c>
      <c r="AL1350" s="1">
        <v>115.0</v>
      </c>
      <c r="AM1350" s="1">
        <v>460.0</v>
      </c>
      <c r="AN1350" s="1">
        <v>140.0</v>
      </c>
      <c r="AO1350" s="1">
        <v>0.0</v>
      </c>
      <c r="AP1350" s="1">
        <v>0.40845</v>
      </c>
      <c r="AQ1350" s="1">
        <v>0.115243</v>
      </c>
      <c r="AR1350" s="1">
        <v>0.331643</v>
      </c>
      <c r="AS1350" s="1">
        <v>0.393551</v>
      </c>
      <c r="AT1350" s="1">
        <v>10410.0</v>
      </c>
      <c r="AU1350" s="1">
        <v>1777.0</v>
      </c>
      <c r="AV1350" s="1">
        <v>0.294973</v>
      </c>
      <c r="AW1350" s="1">
        <v>0.219722</v>
      </c>
      <c r="AX1350" s="1">
        <v>0.13002</v>
      </c>
      <c r="AY1350" s="1">
        <v>0.320082</v>
      </c>
      <c r="AZ1350" s="1">
        <v>0.28707627</v>
      </c>
      <c r="BA1350" s="1">
        <v>0.989233</v>
      </c>
      <c r="BB1350" s="1">
        <v>0.0</v>
      </c>
      <c r="BC1350" s="1">
        <v>0.194788</v>
      </c>
      <c r="BD1350" s="1">
        <v>0.148965</v>
      </c>
      <c r="BE1350" s="1">
        <v>0.072318</v>
      </c>
      <c r="BF1350" s="1">
        <v>0.0</v>
      </c>
      <c r="BG1350" s="1">
        <v>0.07862</v>
      </c>
      <c r="BH1350" s="1">
        <v>0.005597</v>
      </c>
      <c r="BI1350" s="1">
        <v>0.107274</v>
      </c>
      <c r="BJ1350" s="1">
        <v>0.429104</v>
      </c>
      <c r="BK1350" s="1">
        <v>0.119955</v>
      </c>
      <c r="BL1350" s="1">
        <v>0.0</v>
      </c>
      <c r="BM1350" s="1">
        <v>0.958</v>
      </c>
      <c r="BN1350" s="1">
        <v>0.994</v>
      </c>
      <c r="BO1350" s="1">
        <v>0.9848</v>
      </c>
      <c r="BP1350" s="1">
        <v>0.939</v>
      </c>
      <c r="BQ1350" s="1">
        <v>3.8758</v>
      </c>
      <c r="BR1350" s="1">
        <v>0.9928</v>
      </c>
      <c r="BS1350" s="1">
        <v>0.42</v>
      </c>
      <c r="BT1350" s="1">
        <v>0.961</v>
      </c>
      <c r="BU1350" s="1">
        <v>0.977</v>
      </c>
      <c r="BV1350" s="1">
        <v>2.358</v>
      </c>
      <c r="BW1350" s="1">
        <v>0.988</v>
      </c>
      <c r="BX1350" s="1">
        <v>0.988</v>
      </c>
      <c r="BY1350" s="1">
        <v>0.0</v>
      </c>
      <c r="BZ1350" s="1">
        <v>0.988</v>
      </c>
      <c r="CA1350" s="1">
        <v>0.548</v>
      </c>
      <c r="CB1350" s="1">
        <v>0.837</v>
      </c>
      <c r="CC1350" s="1">
        <v>0.0</v>
      </c>
      <c r="CD1350" s="1">
        <v>0.351</v>
      </c>
      <c r="CE1350" s="1">
        <v>0.99</v>
      </c>
      <c r="CF1350" s="1">
        <v>0.0</v>
      </c>
      <c r="CG1350" s="1">
        <v>2.178</v>
      </c>
      <c r="CH1350" s="1">
        <v>0.411</v>
      </c>
      <c r="CI1350" s="1">
        <v>9.3998</v>
      </c>
      <c r="CJ1350" s="1">
        <v>0.8968</v>
      </c>
      <c r="CK1350" s="1">
        <v>1.0</v>
      </c>
      <c r="CL1350" s="1">
        <v>1.0</v>
      </c>
      <c r="CM1350" s="1">
        <v>1.0</v>
      </c>
      <c r="CN1350" s="1">
        <v>1.0</v>
      </c>
      <c r="CO1350" s="1">
        <v>4.0</v>
      </c>
      <c r="CP1350" s="1">
        <v>0.0</v>
      </c>
      <c r="CQ1350" s="1">
        <v>1.0</v>
      </c>
      <c r="CR1350" s="1">
        <v>1.0</v>
      </c>
      <c r="CS1350" s="1">
        <v>2.0</v>
      </c>
      <c r="CT1350" s="1">
        <v>1.0</v>
      </c>
      <c r="CU1350" s="1">
        <v>0.0</v>
      </c>
      <c r="CV1350" s="1">
        <v>1.0</v>
      </c>
      <c r="CW1350" s="1">
        <v>0.0</v>
      </c>
      <c r="CX1350" s="1">
        <v>0.0</v>
      </c>
      <c r="CY1350" s="1">
        <v>0.0</v>
      </c>
      <c r="CZ1350" s="1">
        <v>1.0</v>
      </c>
      <c r="DA1350" s="1">
        <v>0.0</v>
      </c>
      <c r="DB1350" s="1">
        <v>1.0</v>
      </c>
      <c r="DC1350" s="1">
        <v>8.0</v>
      </c>
      <c r="DD1350" s="1" t="s">
        <v>5883</v>
      </c>
      <c r="DE1350" s="2" t="s">
        <v>5884</v>
      </c>
      <c r="DF1350" s="2" t="s">
        <v>5885</v>
      </c>
    </row>
    <row r="1351" ht="15.75" customHeight="1">
      <c r="A1351" s="1" t="s">
        <v>5886</v>
      </c>
      <c r="B1351" s="1">
        <v>29.0</v>
      </c>
      <c r="C1351" s="1">
        <v>510.0</v>
      </c>
      <c r="D1351" s="1">
        <v>112400.0</v>
      </c>
      <c r="E1351" s="1">
        <v>0.362</v>
      </c>
      <c r="F1351" s="1">
        <v>29510.0</v>
      </c>
      <c r="G1351" s="1">
        <v>2.95101124E10</v>
      </c>
      <c r="H1351" s="1" t="s">
        <v>112</v>
      </c>
      <c r="I1351" s="1" t="s">
        <v>113</v>
      </c>
      <c r="J1351" s="1" t="s">
        <v>5663</v>
      </c>
      <c r="K1351" s="1" t="s">
        <v>5887</v>
      </c>
      <c r="L1351" s="1">
        <v>4023.0</v>
      </c>
      <c r="M1351" s="1">
        <v>4017.0</v>
      </c>
      <c r="N1351" s="1">
        <v>423.0</v>
      </c>
      <c r="O1351" s="1">
        <v>2748.0</v>
      </c>
      <c r="P1351" s="1">
        <v>2800.0</v>
      </c>
      <c r="Q1351" s="1">
        <v>150.0</v>
      </c>
      <c r="R1351" s="1">
        <v>2370.0</v>
      </c>
      <c r="S1351" s="1">
        <v>924.0</v>
      </c>
      <c r="T1351" s="1">
        <v>251.0</v>
      </c>
      <c r="U1351" s="1">
        <v>67.0</v>
      </c>
      <c r="V1351" s="1">
        <v>460.0</v>
      </c>
      <c r="W1351" s="1">
        <v>45424.0</v>
      </c>
      <c r="X1351" s="1">
        <v>6511.0</v>
      </c>
      <c r="Y1351" s="1">
        <v>169.0</v>
      </c>
      <c r="Z1351" s="1">
        <v>360.0</v>
      </c>
      <c r="AA1351" s="1">
        <v>497.0</v>
      </c>
      <c r="AB1351" s="1">
        <v>222.0</v>
      </c>
      <c r="AC1351" s="1">
        <v>44.0</v>
      </c>
      <c r="AD1351" s="1">
        <v>1389.0</v>
      </c>
      <c r="AE1351" s="1">
        <v>0.0</v>
      </c>
      <c r="AF1351" s="1">
        <v>456.0</v>
      </c>
      <c r="AG1351" s="1">
        <v>2157.0</v>
      </c>
      <c r="AH1351" s="1">
        <v>299.0</v>
      </c>
      <c r="AI1351" s="1">
        <v>13.0</v>
      </c>
      <c r="AJ1351" s="1">
        <v>22.0</v>
      </c>
      <c r="AK1351" s="1">
        <v>28.0</v>
      </c>
      <c r="AL1351" s="1">
        <v>123.0</v>
      </c>
      <c r="AM1351" s="1">
        <v>521.0</v>
      </c>
      <c r="AN1351" s="1">
        <v>199.0</v>
      </c>
      <c r="AO1351" s="1">
        <v>451.0</v>
      </c>
      <c r="AP1351" s="1">
        <v>0.239378</v>
      </c>
      <c r="AQ1351" s="1">
        <v>0.060057</v>
      </c>
      <c r="AR1351" s="1">
        <v>0.028534</v>
      </c>
      <c r="AS1351" s="1">
        <v>0.195862</v>
      </c>
      <c r="AT1351" s="1">
        <v>45424.0</v>
      </c>
      <c r="AU1351" s="1">
        <v>6511.0</v>
      </c>
      <c r="AV1351" s="1">
        <v>0.062592</v>
      </c>
      <c r="AW1351" s="1">
        <v>0.133166</v>
      </c>
      <c r="AX1351" s="1">
        <v>0.123539</v>
      </c>
      <c r="AY1351" s="1">
        <v>0.055182</v>
      </c>
      <c r="AZ1351" s="1">
        <v>0.0185654</v>
      </c>
      <c r="BA1351" s="1">
        <v>0.345264</v>
      </c>
      <c r="BB1351" s="1">
        <v>0.0</v>
      </c>
      <c r="BC1351" s="1">
        <v>0.116001</v>
      </c>
      <c r="BD1351" s="1">
        <v>0.770357</v>
      </c>
      <c r="BE1351" s="1">
        <v>0.098488</v>
      </c>
      <c r="BF1351" s="1">
        <v>0.004642</v>
      </c>
      <c r="BG1351" s="1">
        <v>0.007853</v>
      </c>
      <c r="BH1351" s="1">
        <v>0.011272</v>
      </c>
      <c r="BI1351" s="1">
        <v>0.049509</v>
      </c>
      <c r="BJ1351" s="1">
        <v>0.209742</v>
      </c>
      <c r="BK1351" s="1">
        <v>0.078489</v>
      </c>
      <c r="BL1351" s="1">
        <v>0.112105</v>
      </c>
      <c r="BM1351" s="1">
        <v>0.807</v>
      </c>
      <c r="BN1351" s="1">
        <v>0.074</v>
      </c>
      <c r="BO1351" s="1">
        <v>0.0383</v>
      </c>
      <c r="BP1351" s="1">
        <v>0.177</v>
      </c>
      <c r="BQ1351" s="1">
        <v>1.0963</v>
      </c>
      <c r="BR1351" s="1">
        <v>0.2267</v>
      </c>
      <c r="BS1351" s="1">
        <v>0.367</v>
      </c>
      <c r="BT1351" s="1">
        <v>0.012</v>
      </c>
      <c r="BU1351" s="1">
        <v>0.005</v>
      </c>
      <c r="BV1351" s="1">
        <v>0.384</v>
      </c>
      <c r="BW1351" s="1">
        <v>0.026</v>
      </c>
      <c r="BX1351" s="1">
        <v>0.816</v>
      </c>
      <c r="BY1351" s="1">
        <v>0.0</v>
      </c>
      <c r="BZ1351" s="1">
        <v>0.816</v>
      </c>
      <c r="CA1351" s="1">
        <v>0.41</v>
      </c>
      <c r="CB1351" s="1">
        <v>0.994</v>
      </c>
      <c r="CC1351" s="1">
        <v>0.387</v>
      </c>
      <c r="CD1351" s="1">
        <v>0.507</v>
      </c>
      <c r="CE1351" s="1">
        <v>0.913</v>
      </c>
      <c r="CF1351" s="1">
        <v>0.947</v>
      </c>
      <c r="CG1351" s="1">
        <v>3.748</v>
      </c>
      <c r="CH1351" s="1">
        <v>0.982</v>
      </c>
      <c r="CI1351" s="1">
        <v>6.0443</v>
      </c>
      <c r="CJ1351" s="1">
        <v>0.3776</v>
      </c>
      <c r="CK1351" s="1">
        <v>0.0</v>
      </c>
      <c r="CL1351" s="1">
        <v>0.0</v>
      </c>
      <c r="CM1351" s="1">
        <v>0.0</v>
      </c>
      <c r="CN1351" s="1">
        <v>0.0</v>
      </c>
      <c r="CO1351" s="1">
        <v>0.0</v>
      </c>
      <c r="CP1351" s="1">
        <v>0.0</v>
      </c>
      <c r="CQ1351" s="1">
        <v>0.0</v>
      </c>
      <c r="CR1351" s="1">
        <v>0.0</v>
      </c>
      <c r="CS1351" s="1">
        <v>0.0</v>
      </c>
      <c r="CT1351" s="1">
        <v>0.0</v>
      </c>
      <c r="CU1351" s="1">
        <v>0.0</v>
      </c>
      <c r="CV1351" s="1">
        <v>0.0</v>
      </c>
      <c r="CW1351" s="1">
        <v>1.0</v>
      </c>
      <c r="CX1351" s="1">
        <v>0.0</v>
      </c>
      <c r="CY1351" s="1">
        <v>0.0</v>
      </c>
      <c r="CZ1351" s="1">
        <v>1.0</v>
      </c>
      <c r="DA1351" s="1">
        <v>1.0</v>
      </c>
      <c r="DB1351" s="1">
        <v>3.0</v>
      </c>
      <c r="DC1351" s="1">
        <v>3.0</v>
      </c>
      <c r="DD1351" s="1" t="s">
        <v>5888</v>
      </c>
      <c r="DE1351" s="2" t="s">
        <v>5889</v>
      </c>
      <c r="DF1351" s="1">
        <v>0.051662651326235</v>
      </c>
    </row>
    <row r="1352" ht="15.75" customHeight="1">
      <c r="A1352" s="1" t="s">
        <v>5890</v>
      </c>
      <c r="B1352" s="1">
        <v>29.0</v>
      </c>
      <c r="C1352" s="1">
        <v>510.0</v>
      </c>
      <c r="D1352" s="1">
        <v>113500.0</v>
      </c>
      <c r="E1352" s="1">
        <v>0.694</v>
      </c>
      <c r="F1352" s="1">
        <v>29510.0</v>
      </c>
      <c r="G1352" s="1">
        <v>2.95101135E10</v>
      </c>
      <c r="H1352" s="1" t="s">
        <v>112</v>
      </c>
      <c r="I1352" s="1" t="s">
        <v>113</v>
      </c>
      <c r="J1352" s="1" t="s">
        <v>5663</v>
      </c>
      <c r="K1352" s="1" t="s">
        <v>5891</v>
      </c>
      <c r="L1352" s="1">
        <v>2331.0</v>
      </c>
      <c r="M1352" s="1">
        <v>1977.0</v>
      </c>
      <c r="N1352" s="1">
        <v>175.0</v>
      </c>
      <c r="O1352" s="1">
        <v>1409.0</v>
      </c>
      <c r="P1352" s="1">
        <v>1316.0</v>
      </c>
      <c r="Q1352" s="1">
        <v>79.0</v>
      </c>
      <c r="R1352" s="1">
        <v>1256.0</v>
      </c>
      <c r="S1352" s="1">
        <v>122.0</v>
      </c>
      <c r="T1352" s="1">
        <v>62.0</v>
      </c>
      <c r="U1352" s="1">
        <v>117.0</v>
      </c>
      <c r="V1352" s="1">
        <v>400.0</v>
      </c>
      <c r="W1352" s="1">
        <v>27866.0</v>
      </c>
      <c r="X1352" s="1">
        <v>2837.0</v>
      </c>
      <c r="Y1352" s="1">
        <v>258.0</v>
      </c>
      <c r="Z1352" s="1">
        <v>268.0</v>
      </c>
      <c r="AA1352" s="1">
        <v>427.0</v>
      </c>
      <c r="AB1352" s="1">
        <v>332.0</v>
      </c>
      <c r="AC1352" s="1">
        <v>83.0</v>
      </c>
      <c r="AD1352" s="1">
        <v>149.0</v>
      </c>
      <c r="AE1352" s="1">
        <v>19.0</v>
      </c>
      <c r="AF1352" s="1">
        <v>442.0</v>
      </c>
      <c r="AG1352" s="1">
        <v>9.0</v>
      </c>
      <c r="AH1352" s="1">
        <v>162.0</v>
      </c>
      <c r="AI1352" s="1">
        <v>0.0</v>
      </c>
      <c r="AJ1352" s="1">
        <v>114.0</v>
      </c>
      <c r="AK1352" s="1">
        <v>0.0</v>
      </c>
      <c r="AL1352" s="1">
        <v>161.0</v>
      </c>
      <c r="AM1352" s="1">
        <v>144.0</v>
      </c>
      <c r="AN1352" s="1">
        <v>50.0</v>
      </c>
      <c r="AO1352" s="1">
        <v>5.0</v>
      </c>
      <c r="AP1352" s="1">
        <v>0.061709</v>
      </c>
      <c r="AQ1352" s="1">
        <v>0.030881</v>
      </c>
      <c r="AR1352" s="1">
        <v>0.101562</v>
      </c>
      <c r="AS1352" s="1">
        <v>0.346675</v>
      </c>
      <c r="AT1352" s="1">
        <v>27866.0</v>
      </c>
      <c r="AU1352" s="1">
        <v>2837.0</v>
      </c>
      <c r="AV1352" s="1">
        <v>0.166666</v>
      </c>
      <c r="AW1352" s="1">
        <v>0.172391</v>
      </c>
      <c r="AX1352" s="1">
        <v>0.183183</v>
      </c>
      <c r="AY1352" s="1">
        <v>0.142428</v>
      </c>
      <c r="AZ1352" s="1">
        <v>0.0660828</v>
      </c>
      <c r="BA1352" s="1">
        <v>0.063921</v>
      </c>
      <c r="BB1352" s="1">
        <v>0.009963</v>
      </c>
      <c r="BC1352" s="1">
        <v>0.231776</v>
      </c>
      <c r="BD1352" s="1">
        <v>0.006838</v>
      </c>
      <c r="BE1352" s="1">
        <v>0.123099</v>
      </c>
      <c r="BF1352" s="1">
        <v>0.0</v>
      </c>
      <c r="BG1352" s="1">
        <v>0.086626</v>
      </c>
      <c r="BH1352" s="1">
        <v>0.0</v>
      </c>
      <c r="BI1352" s="1">
        <v>0.144914</v>
      </c>
      <c r="BJ1352" s="1">
        <v>0.129612</v>
      </c>
      <c r="BK1352" s="1">
        <v>0.043558</v>
      </c>
      <c r="BL1352" s="1">
        <v>0.002145</v>
      </c>
      <c r="BM1352" s="1">
        <v>0.212</v>
      </c>
      <c r="BN1352" s="1">
        <v>0.742</v>
      </c>
      <c r="BO1352" s="1">
        <v>0.2563</v>
      </c>
      <c r="BP1352" s="1">
        <v>0.642</v>
      </c>
      <c r="BQ1352" s="1">
        <v>1.8523</v>
      </c>
      <c r="BR1352" s="1">
        <v>0.4477</v>
      </c>
      <c r="BS1352" s="1">
        <v>0.809</v>
      </c>
      <c r="BT1352" s="1">
        <v>0.056</v>
      </c>
      <c r="BU1352" s="1">
        <v>0.182</v>
      </c>
      <c r="BV1352" s="1">
        <v>1.047</v>
      </c>
      <c r="BW1352" s="1">
        <v>0.131</v>
      </c>
      <c r="BX1352" s="1">
        <v>0.334</v>
      </c>
      <c r="BY1352" s="1">
        <v>0.723</v>
      </c>
      <c r="BZ1352" s="1">
        <v>1.057</v>
      </c>
      <c r="CA1352" s="1">
        <v>0.588</v>
      </c>
      <c r="CB1352" s="1">
        <v>0.348</v>
      </c>
      <c r="CC1352" s="1">
        <v>0.0</v>
      </c>
      <c r="CD1352" s="1">
        <v>0.0</v>
      </c>
      <c r="CE1352" s="1">
        <v>0.828</v>
      </c>
      <c r="CF1352" s="1">
        <v>0.452</v>
      </c>
      <c r="CG1352" s="1">
        <v>1.628</v>
      </c>
      <c r="CH1352" s="1">
        <v>0.21</v>
      </c>
      <c r="CI1352" s="1">
        <v>5.5843</v>
      </c>
      <c r="CJ1352" s="1">
        <v>0.2968</v>
      </c>
      <c r="CK1352" s="1">
        <v>0.0</v>
      </c>
      <c r="CL1352" s="1">
        <v>0.0</v>
      </c>
      <c r="CM1352" s="1">
        <v>0.0</v>
      </c>
      <c r="CN1352" s="1">
        <v>0.0</v>
      </c>
      <c r="CO1352" s="1">
        <v>0.0</v>
      </c>
      <c r="CP1352" s="1">
        <v>0.0</v>
      </c>
      <c r="CQ1352" s="1">
        <v>0.0</v>
      </c>
      <c r="CR1352" s="1">
        <v>0.0</v>
      </c>
      <c r="CS1352" s="1">
        <v>0.0</v>
      </c>
      <c r="CT1352" s="1">
        <v>0.0</v>
      </c>
      <c r="CU1352" s="1">
        <v>0.0</v>
      </c>
      <c r="CV1352" s="1">
        <v>0.0</v>
      </c>
      <c r="CW1352" s="1">
        <v>0.0</v>
      </c>
      <c r="CX1352" s="1">
        <v>0.0</v>
      </c>
      <c r="CY1352" s="1">
        <v>0.0</v>
      </c>
      <c r="CZ1352" s="1">
        <v>0.0</v>
      </c>
      <c r="DA1352" s="1">
        <v>0.0</v>
      </c>
      <c r="DB1352" s="1">
        <v>0.0</v>
      </c>
      <c r="DC1352" s="1">
        <v>0.0</v>
      </c>
      <c r="DD1352" s="1" t="s">
        <v>5892</v>
      </c>
      <c r="DE1352" s="1">
        <v>1.85677395631145E-4</v>
      </c>
      <c r="DF1352" s="2" t="s">
        <v>5893</v>
      </c>
    </row>
    <row r="1353" ht="15.75" customHeight="1">
      <c r="A1353" s="1" t="s">
        <v>5894</v>
      </c>
      <c r="B1353" s="1">
        <v>29.0</v>
      </c>
      <c r="C1353" s="1">
        <v>510.0</v>
      </c>
      <c r="D1353" s="1">
        <v>114102.0</v>
      </c>
      <c r="E1353" s="1">
        <v>0.613</v>
      </c>
      <c r="F1353" s="1">
        <v>29510.0</v>
      </c>
      <c r="G1353" s="1">
        <v>2.9510114102E10</v>
      </c>
      <c r="H1353" s="1" t="s">
        <v>112</v>
      </c>
      <c r="I1353" s="1" t="s">
        <v>113</v>
      </c>
      <c r="J1353" s="1" t="s">
        <v>5663</v>
      </c>
      <c r="K1353" s="1" t="s">
        <v>5895</v>
      </c>
      <c r="L1353" s="1">
        <v>4128.0</v>
      </c>
      <c r="M1353" s="1">
        <v>4153.0</v>
      </c>
      <c r="N1353" s="1">
        <v>311.0</v>
      </c>
      <c r="O1353" s="1">
        <v>2302.0</v>
      </c>
      <c r="P1353" s="1">
        <v>2156.0</v>
      </c>
      <c r="Q1353" s="1">
        <v>115.0</v>
      </c>
      <c r="R1353" s="1">
        <v>2075.0</v>
      </c>
      <c r="S1353" s="1">
        <v>425.0</v>
      </c>
      <c r="T1353" s="1">
        <v>237.0</v>
      </c>
      <c r="U1353" s="1">
        <v>140.0</v>
      </c>
      <c r="V1353" s="1">
        <v>467.0</v>
      </c>
      <c r="W1353" s="1">
        <v>33328.0</v>
      </c>
      <c r="X1353" s="1">
        <v>5093.0</v>
      </c>
      <c r="Y1353" s="1">
        <v>161.0</v>
      </c>
      <c r="Z1353" s="1">
        <v>290.0</v>
      </c>
      <c r="AA1353" s="1">
        <v>586.0</v>
      </c>
      <c r="AB1353" s="1">
        <v>782.0</v>
      </c>
      <c r="AC1353" s="1">
        <v>84.0</v>
      </c>
      <c r="AD1353" s="1">
        <v>314.0</v>
      </c>
      <c r="AE1353" s="1">
        <v>12.0</v>
      </c>
      <c r="AF1353" s="1">
        <v>442.0</v>
      </c>
      <c r="AG1353" s="1">
        <v>61.0</v>
      </c>
      <c r="AH1353" s="1">
        <v>124.0</v>
      </c>
      <c r="AI1353" s="1">
        <v>0.0</v>
      </c>
      <c r="AJ1353" s="1">
        <v>114.0</v>
      </c>
      <c r="AK1353" s="1">
        <v>0.0</v>
      </c>
      <c r="AL1353" s="1">
        <v>161.0</v>
      </c>
      <c r="AM1353" s="1">
        <v>112.0</v>
      </c>
      <c r="AN1353" s="1">
        <v>58.0</v>
      </c>
      <c r="AO1353" s="1">
        <v>0.0</v>
      </c>
      <c r="AP1353" s="1">
        <v>0.102335</v>
      </c>
      <c r="AQ1353" s="1">
        <v>0.05655</v>
      </c>
      <c r="AR1353" s="1">
        <v>0.061974</v>
      </c>
      <c r="AS1353" s="1">
        <v>0.206583</v>
      </c>
      <c r="AT1353" s="1">
        <v>33328.0</v>
      </c>
      <c r="AU1353" s="1">
        <v>5093.0</v>
      </c>
      <c r="AV1353" s="1">
        <v>0.051552</v>
      </c>
      <c r="AW1353" s="1">
        <v>0.092814</v>
      </c>
      <c r="AX1353" s="1">
        <v>0.141957</v>
      </c>
      <c r="AY1353" s="1">
        <v>0.189437</v>
      </c>
      <c r="AZ1353" s="1">
        <v>0.04048192</v>
      </c>
      <c r="BA1353" s="1">
        <v>0.076065</v>
      </c>
      <c r="BB1353" s="1">
        <v>0.003162</v>
      </c>
      <c r="BC1353" s="1">
        <v>0.116499</v>
      </c>
      <c r="BD1353" s="1">
        <v>0.028293</v>
      </c>
      <c r="BE1353" s="1">
        <v>0.057494</v>
      </c>
      <c r="BF1353" s="1">
        <v>0.0</v>
      </c>
      <c r="BG1353" s="1">
        <v>0.052875</v>
      </c>
      <c r="BH1353" s="1">
        <v>0.0</v>
      </c>
      <c r="BI1353" s="1">
        <v>0.077478</v>
      </c>
      <c r="BJ1353" s="1">
        <v>0.053897</v>
      </c>
      <c r="BK1353" s="1">
        <v>0.027751</v>
      </c>
      <c r="BL1353" s="1">
        <v>0.0</v>
      </c>
      <c r="BM1353" s="1">
        <v>0.379</v>
      </c>
      <c r="BN1353" s="1">
        <v>0.437</v>
      </c>
      <c r="BO1353" s="1">
        <v>0.1386</v>
      </c>
      <c r="BP1353" s="1">
        <v>0.133</v>
      </c>
      <c r="BQ1353" s="1">
        <v>1.0876</v>
      </c>
      <c r="BR1353" s="1">
        <v>0.2231</v>
      </c>
      <c r="BS1353" s="1">
        <v>0.515</v>
      </c>
      <c r="BT1353" s="1">
        <v>0.15</v>
      </c>
      <c r="BU1353" s="1">
        <v>0.039</v>
      </c>
      <c r="BV1353" s="1">
        <v>0.704</v>
      </c>
      <c r="BW1353" s="1">
        <v>0.058</v>
      </c>
      <c r="BX1353" s="1">
        <v>0.382</v>
      </c>
      <c r="BY1353" s="1">
        <v>0.46</v>
      </c>
      <c r="BZ1353" s="1">
        <v>0.842</v>
      </c>
      <c r="CA1353" s="1">
        <v>0.425</v>
      </c>
      <c r="CB1353" s="1">
        <v>0.538</v>
      </c>
      <c r="CC1353" s="1">
        <v>0.0</v>
      </c>
      <c r="CD1353" s="1">
        <v>0.0</v>
      </c>
      <c r="CE1353" s="1">
        <v>0.52</v>
      </c>
      <c r="CF1353" s="1">
        <v>0.0</v>
      </c>
      <c r="CG1353" s="1">
        <v>1.058</v>
      </c>
      <c r="CH1353" s="1">
        <v>0.087</v>
      </c>
      <c r="CI1353" s="1">
        <v>3.6916</v>
      </c>
      <c r="CJ1353" s="1">
        <v>0.0556</v>
      </c>
      <c r="CK1353" s="1">
        <v>0.0</v>
      </c>
      <c r="CL1353" s="1">
        <v>0.0</v>
      </c>
      <c r="CM1353" s="1">
        <v>0.0</v>
      </c>
      <c r="CN1353" s="1">
        <v>0.0</v>
      </c>
      <c r="CO1353" s="1">
        <v>0.0</v>
      </c>
      <c r="CP1353" s="1">
        <v>0.0</v>
      </c>
      <c r="CQ1353" s="1">
        <v>0.0</v>
      </c>
      <c r="CR1353" s="1">
        <v>0.0</v>
      </c>
      <c r="CS1353" s="1">
        <v>0.0</v>
      </c>
      <c r="CT1353" s="1">
        <v>0.0</v>
      </c>
      <c r="CU1353" s="1">
        <v>0.0</v>
      </c>
      <c r="CV1353" s="1">
        <v>0.0</v>
      </c>
      <c r="CW1353" s="1">
        <v>0.0</v>
      </c>
      <c r="CX1353" s="1">
        <v>0.0</v>
      </c>
      <c r="CY1353" s="1">
        <v>0.0</v>
      </c>
      <c r="CZ1353" s="1">
        <v>0.0</v>
      </c>
      <c r="DA1353" s="1">
        <v>0.0</v>
      </c>
      <c r="DB1353" s="1">
        <v>0.0</v>
      </c>
      <c r="DC1353" s="1">
        <v>0.0</v>
      </c>
      <c r="DD1353" s="1" t="s">
        <v>5896</v>
      </c>
      <c r="DE1353" s="1">
        <v>1.64123527131987E-4</v>
      </c>
      <c r="DF1353" s="2" t="s">
        <v>5897</v>
      </c>
    </row>
    <row r="1354" ht="15.75" customHeight="1">
      <c r="A1354" s="1" t="s">
        <v>5898</v>
      </c>
      <c r="B1354" s="1">
        <v>29.0</v>
      </c>
      <c r="C1354" s="1">
        <v>510.0</v>
      </c>
      <c r="D1354" s="1">
        <v>114200.0</v>
      </c>
      <c r="E1354" s="1">
        <v>0.584</v>
      </c>
      <c r="F1354" s="1">
        <v>29510.0</v>
      </c>
      <c r="G1354" s="1">
        <v>2.95101142E10</v>
      </c>
      <c r="H1354" s="1" t="s">
        <v>112</v>
      </c>
      <c r="I1354" s="1" t="s">
        <v>113</v>
      </c>
      <c r="J1354" s="1" t="s">
        <v>5663</v>
      </c>
      <c r="K1354" s="1" t="s">
        <v>5899</v>
      </c>
      <c r="L1354" s="1">
        <v>4721.0</v>
      </c>
      <c r="M1354" s="1">
        <v>4285.0</v>
      </c>
      <c r="N1354" s="1">
        <v>341.0</v>
      </c>
      <c r="O1354" s="1">
        <v>2684.0</v>
      </c>
      <c r="P1354" s="1">
        <v>2658.0</v>
      </c>
      <c r="Q1354" s="1">
        <v>52.0</v>
      </c>
      <c r="R1354" s="1">
        <v>2463.0</v>
      </c>
      <c r="S1354" s="1">
        <v>394.0</v>
      </c>
      <c r="T1354" s="1">
        <v>216.0</v>
      </c>
      <c r="U1354" s="1">
        <v>166.0</v>
      </c>
      <c r="V1354" s="1">
        <v>386.0</v>
      </c>
      <c r="W1354" s="1">
        <v>29875.0</v>
      </c>
      <c r="X1354" s="1">
        <v>4088.0</v>
      </c>
      <c r="Y1354" s="1">
        <v>465.0</v>
      </c>
      <c r="Z1354" s="1">
        <v>308.0</v>
      </c>
      <c r="AA1354" s="1">
        <v>609.0</v>
      </c>
      <c r="AB1354" s="1">
        <v>724.0</v>
      </c>
      <c r="AC1354" s="1">
        <v>148.0</v>
      </c>
      <c r="AD1354" s="1">
        <v>851.0</v>
      </c>
      <c r="AE1354" s="1">
        <v>47.0</v>
      </c>
      <c r="AF1354" s="1">
        <v>429.0</v>
      </c>
      <c r="AG1354" s="1">
        <v>73.0</v>
      </c>
      <c r="AH1354" s="1">
        <v>147.0</v>
      </c>
      <c r="AI1354" s="1">
        <v>0.0</v>
      </c>
      <c r="AJ1354" s="1">
        <v>114.0</v>
      </c>
      <c r="AK1354" s="1">
        <v>27.0</v>
      </c>
      <c r="AL1354" s="1">
        <v>118.0</v>
      </c>
      <c r="AM1354" s="1">
        <v>233.0</v>
      </c>
      <c r="AN1354" s="1">
        <v>130.0</v>
      </c>
      <c r="AO1354" s="1">
        <v>0.0</v>
      </c>
      <c r="AP1354" s="1">
        <v>0.091948</v>
      </c>
      <c r="AQ1354" s="1">
        <v>0.049874</v>
      </c>
      <c r="AR1354" s="1">
        <v>0.062079</v>
      </c>
      <c r="AS1354" s="1">
        <v>0.14411</v>
      </c>
      <c r="AT1354" s="1">
        <v>29875.0</v>
      </c>
      <c r="AU1354" s="1">
        <v>4088.0</v>
      </c>
      <c r="AV1354" s="1">
        <v>0.140483</v>
      </c>
      <c r="AW1354" s="1">
        <v>0.0923</v>
      </c>
      <c r="AX1354" s="1">
        <v>0.128998</v>
      </c>
      <c r="AY1354" s="1">
        <v>0.153357</v>
      </c>
      <c r="AZ1354" s="1">
        <v>0.06008932</v>
      </c>
      <c r="BA1354" s="1">
        <v>0.180258</v>
      </c>
      <c r="BB1354" s="1">
        <v>0.011469</v>
      </c>
      <c r="BC1354" s="1">
        <v>0.104681</v>
      </c>
      <c r="BD1354" s="1">
        <v>0.027464</v>
      </c>
      <c r="BE1354" s="1">
        <v>0.055302</v>
      </c>
      <c r="BF1354" s="1">
        <v>0.0</v>
      </c>
      <c r="BG1354" s="1">
        <v>0.042889</v>
      </c>
      <c r="BH1354" s="1">
        <v>0.011282</v>
      </c>
      <c r="BI1354" s="1">
        <v>0.049304</v>
      </c>
      <c r="BJ1354" s="1">
        <v>0.097367</v>
      </c>
      <c r="BK1354" s="1">
        <v>0.053893</v>
      </c>
      <c r="BL1354" s="1">
        <v>0.0</v>
      </c>
      <c r="BM1354" s="1">
        <v>0.346</v>
      </c>
      <c r="BN1354" s="1">
        <v>0.438</v>
      </c>
      <c r="BO1354" s="1">
        <v>0.2</v>
      </c>
      <c r="BP1354" s="1">
        <v>0.525</v>
      </c>
      <c r="BQ1354" s="1">
        <v>1.509</v>
      </c>
      <c r="BR1354" s="1">
        <v>0.3422</v>
      </c>
      <c r="BS1354" s="1">
        <v>0.412</v>
      </c>
      <c r="BT1354" s="1">
        <v>0.074</v>
      </c>
      <c r="BU1354" s="1">
        <v>0.13</v>
      </c>
      <c r="BV1354" s="1">
        <v>0.616</v>
      </c>
      <c r="BW1354" s="1">
        <v>0.046</v>
      </c>
      <c r="BX1354" s="1">
        <v>0.679</v>
      </c>
      <c r="BY1354" s="1">
        <v>0.757</v>
      </c>
      <c r="BZ1354" s="1">
        <v>1.436</v>
      </c>
      <c r="CA1354" s="1">
        <v>0.782</v>
      </c>
      <c r="CB1354" s="1">
        <v>0.528</v>
      </c>
      <c r="CC1354" s="1">
        <v>0.0</v>
      </c>
      <c r="CD1354" s="1">
        <v>0.507</v>
      </c>
      <c r="CE1354" s="1">
        <v>0.746</v>
      </c>
      <c r="CF1354" s="1">
        <v>0.0</v>
      </c>
      <c r="CG1354" s="1">
        <v>1.781</v>
      </c>
      <c r="CH1354" s="1">
        <v>0.261</v>
      </c>
      <c r="CI1354" s="1">
        <v>5.342</v>
      </c>
      <c r="CJ1354" s="1">
        <v>0.2534</v>
      </c>
      <c r="CK1354" s="1">
        <v>0.0</v>
      </c>
      <c r="CL1354" s="1">
        <v>0.0</v>
      </c>
      <c r="CM1354" s="1">
        <v>0.0</v>
      </c>
      <c r="CN1354" s="1">
        <v>0.0</v>
      </c>
      <c r="CO1354" s="1">
        <v>0.0</v>
      </c>
      <c r="CP1354" s="1">
        <v>0.0</v>
      </c>
      <c r="CQ1354" s="1">
        <v>0.0</v>
      </c>
      <c r="CR1354" s="1">
        <v>0.0</v>
      </c>
      <c r="CS1354" s="1">
        <v>0.0</v>
      </c>
      <c r="CT1354" s="1">
        <v>0.0</v>
      </c>
      <c r="CU1354" s="1">
        <v>0.0</v>
      </c>
      <c r="CV1354" s="1">
        <v>0.0</v>
      </c>
      <c r="CW1354" s="1">
        <v>0.0</v>
      </c>
      <c r="CX1354" s="1">
        <v>0.0</v>
      </c>
      <c r="CY1354" s="1">
        <v>0.0</v>
      </c>
      <c r="CZ1354" s="1">
        <v>0.0</v>
      </c>
      <c r="DA1354" s="1">
        <v>0.0</v>
      </c>
      <c r="DB1354" s="1">
        <v>0.0</v>
      </c>
      <c r="DC1354" s="1">
        <v>0.0</v>
      </c>
      <c r="DD1354" s="1" t="s">
        <v>5900</v>
      </c>
      <c r="DE1354" s="1">
        <v>1.56409696875508E-4</v>
      </c>
      <c r="DF1354" s="1">
        <v>0.0691120956146653</v>
      </c>
    </row>
    <row r="1355" ht="15.75" customHeight="1">
      <c r="A1355" s="1" t="s">
        <v>5901</v>
      </c>
      <c r="B1355" s="1">
        <v>29.0</v>
      </c>
      <c r="C1355" s="1">
        <v>510.0</v>
      </c>
      <c r="D1355" s="1">
        <v>114300.0</v>
      </c>
      <c r="E1355" s="1">
        <v>0.528</v>
      </c>
      <c r="F1355" s="1">
        <v>29510.0</v>
      </c>
      <c r="G1355" s="1">
        <v>2.95101143E10</v>
      </c>
      <c r="H1355" s="1" t="s">
        <v>112</v>
      </c>
      <c r="I1355" s="1" t="s">
        <v>113</v>
      </c>
      <c r="J1355" s="1" t="s">
        <v>5663</v>
      </c>
      <c r="K1355" s="1" t="s">
        <v>5902</v>
      </c>
      <c r="L1355" s="1">
        <v>5485.0</v>
      </c>
      <c r="M1355" s="1">
        <v>5614.0</v>
      </c>
      <c r="N1355" s="1">
        <v>397.0</v>
      </c>
      <c r="O1355" s="1">
        <v>2755.0</v>
      </c>
      <c r="P1355" s="1">
        <v>2752.0</v>
      </c>
      <c r="Q1355" s="1">
        <v>68.0</v>
      </c>
      <c r="R1355" s="1">
        <v>2560.0</v>
      </c>
      <c r="S1355" s="1">
        <v>472.0</v>
      </c>
      <c r="T1355" s="1">
        <v>271.0</v>
      </c>
      <c r="U1355" s="1">
        <v>240.0</v>
      </c>
      <c r="V1355" s="1">
        <v>360.0</v>
      </c>
      <c r="W1355" s="1">
        <v>27187.0</v>
      </c>
      <c r="X1355" s="1">
        <v>2725.0</v>
      </c>
      <c r="Y1355" s="1">
        <v>277.0</v>
      </c>
      <c r="Z1355" s="1">
        <v>320.0</v>
      </c>
      <c r="AA1355" s="1">
        <v>561.0</v>
      </c>
      <c r="AB1355" s="1">
        <v>1037.0</v>
      </c>
      <c r="AC1355" s="1">
        <v>184.0</v>
      </c>
      <c r="AD1355" s="1">
        <v>703.0</v>
      </c>
      <c r="AE1355" s="1">
        <v>217.0</v>
      </c>
      <c r="AF1355" s="1">
        <v>427.0</v>
      </c>
      <c r="AG1355" s="1">
        <v>16.0</v>
      </c>
      <c r="AH1355" s="1">
        <v>163.0</v>
      </c>
      <c r="AI1355" s="1">
        <v>0.0</v>
      </c>
      <c r="AJ1355" s="1">
        <v>114.0</v>
      </c>
      <c r="AK1355" s="1">
        <v>0.0</v>
      </c>
      <c r="AL1355" s="1">
        <v>161.0</v>
      </c>
      <c r="AM1355" s="1">
        <v>188.0</v>
      </c>
      <c r="AN1355" s="1">
        <v>109.0</v>
      </c>
      <c r="AO1355" s="1">
        <v>2.0</v>
      </c>
      <c r="AP1355" s="1">
        <v>0.084075</v>
      </c>
      <c r="AQ1355" s="1">
        <v>0.047904</v>
      </c>
      <c r="AR1355" s="1">
        <v>0.072573</v>
      </c>
      <c r="AS1355" s="1">
        <v>0.108577</v>
      </c>
      <c r="AT1355" s="1">
        <v>27187.0</v>
      </c>
      <c r="AU1355" s="1">
        <v>2725.0</v>
      </c>
      <c r="AV1355" s="1">
        <v>0.073261</v>
      </c>
      <c r="AW1355" s="1">
        <v>0.084532</v>
      </c>
      <c r="AX1355" s="1">
        <v>0.102278</v>
      </c>
      <c r="AY1355" s="1">
        <v>0.189061</v>
      </c>
      <c r="AZ1355" s="1">
        <v>0.071875</v>
      </c>
      <c r="BA1355" s="1">
        <v>0.128167</v>
      </c>
      <c r="BB1355" s="1">
        <v>0.043732</v>
      </c>
      <c r="BC1355" s="1">
        <v>0.086005</v>
      </c>
      <c r="BD1355" s="1">
        <v>0.005813</v>
      </c>
      <c r="BE1355" s="1">
        <v>0.059229</v>
      </c>
      <c r="BF1355" s="1">
        <v>0.0</v>
      </c>
      <c r="BG1355" s="1">
        <v>0.041424</v>
      </c>
      <c r="BH1355" s="1">
        <v>0.0</v>
      </c>
      <c r="BI1355" s="1">
        <v>0.063112</v>
      </c>
      <c r="BJ1355" s="1">
        <v>0.073696</v>
      </c>
      <c r="BK1355" s="1">
        <v>0.042589</v>
      </c>
      <c r="BL1355" s="1">
        <v>3.64E-4</v>
      </c>
      <c r="BM1355" s="1">
        <v>0.311</v>
      </c>
      <c r="BN1355" s="1">
        <v>0.533</v>
      </c>
      <c r="BO1355" s="1">
        <v>0.2773</v>
      </c>
      <c r="BP1355" s="1">
        <v>0.216</v>
      </c>
      <c r="BQ1355" s="1">
        <v>1.3373</v>
      </c>
      <c r="BR1355" s="1">
        <v>0.2903</v>
      </c>
      <c r="BS1355" s="1">
        <v>0.226</v>
      </c>
      <c r="BT1355" s="1">
        <v>0.147</v>
      </c>
      <c r="BU1355" s="1">
        <v>0.233</v>
      </c>
      <c r="BV1355" s="1">
        <v>0.606</v>
      </c>
      <c r="BW1355" s="1">
        <v>0.043</v>
      </c>
      <c r="BX1355" s="1">
        <v>0.556</v>
      </c>
      <c r="BY1355" s="1">
        <v>0.95</v>
      </c>
      <c r="BZ1355" s="1">
        <v>1.506</v>
      </c>
      <c r="CA1355" s="1">
        <v>0.83</v>
      </c>
      <c r="CB1355" s="1">
        <v>0.333</v>
      </c>
      <c r="CC1355" s="1">
        <v>0.0</v>
      </c>
      <c r="CD1355" s="1">
        <v>0.0</v>
      </c>
      <c r="CE1355" s="1">
        <v>0.643</v>
      </c>
      <c r="CF1355" s="1">
        <v>0.357</v>
      </c>
      <c r="CG1355" s="1">
        <v>1.333</v>
      </c>
      <c r="CH1355" s="1">
        <v>0.137</v>
      </c>
      <c r="CI1355" s="1">
        <v>4.7823</v>
      </c>
      <c r="CJ1355" s="1">
        <v>0.174</v>
      </c>
      <c r="CK1355" s="1">
        <v>0.0</v>
      </c>
      <c r="CL1355" s="1">
        <v>0.0</v>
      </c>
      <c r="CM1355" s="1">
        <v>0.0</v>
      </c>
      <c r="CN1355" s="1">
        <v>0.0</v>
      </c>
      <c r="CO1355" s="1">
        <v>0.0</v>
      </c>
      <c r="CP1355" s="1">
        <v>0.0</v>
      </c>
      <c r="CQ1355" s="1">
        <v>0.0</v>
      </c>
      <c r="CR1355" s="1">
        <v>0.0</v>
      </c>
      <c r="CS1355" s="1">
        <v>0.0</v>
      </c>
      <c r="CT1355" s="1">
        <v>0.0</v>
      </c>
      <c r="CU1355" s="1">
        <v>1.0</v>
      </c>
      <c r="CV1355" s="1">
        <v>1.0</v>
      </c>
      <c r="CW1355" s="1">
        <v>0.0</v>
      </c>
      <c r="CX1355" s="1">
        <v>0.0</v>
      </c>
      <c r="CY1355" s="1">
        <v>0.0</v>
      </c>
      <c r="CZ1355" s="1">
        <v>0.0</v>
      </c>
      <c r="DA1355" s="1">
        <v>0.0</v>
      </c>
      <c r="DB1355" s="1">
        <v>0.0</v>
      </c>
      <c r="DC1355" s="1">
        <v>1.0</v>
      </c>
      <c r="DD1355" s="1" t="s">
        <v>5903</v>
      </c>
      <c r="DE1355" s="1">
        <v>1.41303580497604E-4</v>
      </c>
      <c r="DF1355" s="1">
        <v>0.0506918728797759</v>
      </c>
    </row>
    <row r="1356" ht="15.75" customHeight="1">
      <c r="A1356" s="1" t="s">
        <v>5904</v>
      </c>
      <c r="B1356" s="1">
        <v>29.0</v>
      </c>
      <c r="C1356" s="1">
        <v>510.0</v>
      </c>
      <c r="D1356" s="1">
        <v>115100.0</v>
      </c>
      <c r="E1356" s="1">
        <v>0.442</v>
      </c>
      <c r="F1356" s="1">
        <v>29510.0</v>
      </c>
      <c r="G1356" s="1">
        <v>2.95101151E10</v>
      </c>
      <c r="H1356" s="1" t="s">
        <v>112</v>
      </c>
      <c r="I1356" s="1" t="s">
        <v>113</v>
      </c>
      <c r="J1356" s="1" t="s">
        <v>5663</v>
      </c>
      <c r="K1356" s="1" t="s">
        <v>5905</v>
      </c>
      <c r="L1356" s="1">
        <v>4287.0</v>
      </c>
      <c r="M1356" s="1">
        <v>3961.0</v>
      </c>
      <c r="N1356" s="1">
        <v>427.0</v>
      </c>
      <c r="O1356" s="1">
        <v>2005.0</v>
      </c>
      <c r="P1356" s="1">
        <v>1929.0</v>
      </c>
      <c r="Q1356" s="1">
        <v>53.0</v>
      </c>
      <c r="R1356" s="1">
        <v>1829.0</v>
      </c>
      <c r="S1356" s="1">
        <v>649.0</v>
      </c>
      <c r="T1356" s="1">
        <v>270.0</v>
      </c>
      <c r="U1356" s="1">
        <v>167.0</v>
      </c>
      <c r="V1356" s="1">
        <v>349.0</v>
      </c>
      <c r="W1356" s="1">
        <v>19825.0</v>
      </c>
      <c r="X1356" s="1">
        <v>2550.0</v>
      </c>
      <c r="Y1356" s="1">
        <v>986.0</v>
      </c>
      <c r="Z1356" s="1">
        <v>229.0</v>
      </c>
      <c r="AA1356" s="1">
        <v>777.0</v>
      </c>
      <c r="AB1356" s="1">
        <v>821.0</v>
      </c>
      <c r="AC1356" s="1">
        <v>213.0</v>
      </c>
      <c r="AD1356" s="1">
        <v>1209.0</v>
      </c>
      <c r="AE1356" s="1">
        <v>461.0</v>
      </c>
      <c r="AF1356" s="1">
        <v>372.0</v>
      </c>
      <c r="AG1356" s="1">
        <v>354.0</v>
      </c>
      <c r="AH1356" s="1">
        <v>97.0</v>
      </c>
      <c r="AI1356" s="1">
        <v>0.0</v>
      </c>
      <c r="AJ1356" s="1">
        <v>114.0</v>
      </c>
      <c r="AK1356" s="1">
        <v>9.0</v>
      </c>
      <c r="AL1356" s="1">
        <v>115.0</v>
      </c>
      <c r="AM1356" s="1">
        <v>425.0</v>
      </c>
      <c r="AN1356" s="1">
        <v>99.0</v>
      </c>
      <c r="AO1356" s="1">
        <v>197.0</v>
      </c>
      <c r="AP1356" s="1">
        <v>0.173066</v>
      </c>
      <c r="AQ1356" s="1">
        <v>0.069653</v>
      </c>
      <c r="AR1356" s="1">
        <v>0.085204</v>
      </c>
      <c r="AS1356" s="1">
        <v>0.177704</v>
      </c>
      <c r="AT1356" s="1">
        <v>19825.0</v>
      </c>
      <c r="AU1356" s="1">
        <v>2550.0</v>
      </c>
      <c r="AV1356" s="1">
        <v>0.341649</v>
      </c>
      <c r="AW1356" s="1">
        <v>0.071537</v>
      </c>
      <c r="AX1356" s="1">
        <v>0.181245</v>
      </c>
      <c r="AY1356" s="1">
        <v>0.191509</v>
      </c>
      <c r="AZ1356" s="1">
        <v>0.11645708</v>
      </c>
      <c r="BA1356" s="1">
        <v>0.282015</v>
      </c>
      <c r="BB1356" s="1">
        <v>0.125339</v>
      </c>
      <c r="BC1356" s="1">
        <v>0.100322</v>
      </c>
      <c r="BD1356" s="1">
        <v>0.183514</v>
      </c>
      <c r="BE1356" s="1">
        <v>0.050031</v>
      </c>
      <c r="BF1356" s="1">
        <v>0.0</v>
      </c>
      <c r="BG1356" s="1">
        <v>0.059097</v>
      </c>
      <c r="BH1356" s="1">
        <v>0.005497</v>
      </c>
      <c r="BI1356" s="1">
        <v>0.070249</v>
      </c>
      <c r="BJ1356" s="1">
        <v>0.259621</v>
      </c>
      <c r="BK1356" s="1">
        <v>0.057953</v>
      </c>
      <c r="BL1356" s="1">
        <v>0.045952</v>
      </c>
      <c r="BM1356" s="1">
        <v>0.656</v>
      </c>
      <c r="BN1356" s="1">
        <v>0.65</v>
      </c>
      <c r="BO1356" s="1">
        <v>0.6253</v>
      </c>
      <c r="BP1356" s="1">
        <v>0.971</v>
      </c>
      <c r="BQ1356" s="1">
        <v>2.9023</v>
      </c>
      <c r="BR1356" s="1">
        <v>0.7805</v>
      </c>
      <c r="BS1356" s="1">
        <v>0.797</v>
      </c>
      <c r="BT1356" s="1">
        <v>0.155</v>
      </c>
      <c r="BU1356" s="1">
        <v>0.646</v>
      </c>
      <c r="BV1356" s="1">
        <v>1.598</v>
      </c>
      <c r="BW1356" s="1">
        <v>0.564</v>
      </c>
      <c r="BX1356" s="1">
        <v>0.778</v>
      </c>
      <c r="BY1356" s="1">
        <v>0.988</v>
      </c>
      <c r="BZ1356" s="1">
        <v>1.766</v>
      </c>
      <c r="CA1356" s="1">
        <v>0.95</v>
      </c>
      <c r="CB1356" s="1">
        <v>0.883</v>
      </c>
      <c r="CC1356" s="1">
        <v>0.0</v>
      </c>
      <c r="CD1356" s="1">
        <v>0.347</v>
      </c>
      <c r="CE1356" s="1">
        <v>0.948</v>
      </c>
      <c r="CF1356" s="1">
        <v>0.882</v>
      </c>
      <c r="CG1356" s="1">
        <v>3.06</v>
      </c>
      <c r="CH1356" s="1">
        <v>0.798</v>
      </c>
      <c r="CI1356" s="1">
        <v>9.3263</v>
      </c>
      <c r="CJ1356" s="1">
        <v>0.8895</v>
      </c>
      <c r="CK1356" s="1">
        <v>0.0</v>
      </c>
      <c r="CL1356" s="1">
        <v>0.0</v>
      </c>
      <c r="CM1356" s="1">
        <v>0.0</v>
      </c>
      <c r="CN1356" s="1">
        <v>1.0</v>
      </c>
      <c r="CO1356" s="1">
        <v>1.0</v>
      </c>
      <c r="CP1356" s="1">
        <v>0.0</v>
      </c>
      <c r="CQ1356" s="1">
        <v>0.0</v>
      </c>
      <c r="CR1356" s="1">
        <v>0.0</v>
      </c>
      <c r="CS1356" s="1">
        <v>0.0</v>
      </c>
      <c r="CT1356" s="1">
        <v>0.0</v>
      </c>
      <c r="CU1356" s="1">
        <v>1.0</v>
      </c>
      <c r="CV1356" s="1">
        <v>1.0</v>
      </c>
      <c r="CW1356" s="1">
        <v>0.0</v>
      </c>
      <c r="CX1356" s="1">
        <v>0.0</v>
      </c>
      <c r="CY1356" s="1">
        <v>0.0</v>
      </c>
      <c r="CZ1356" s="1">
        <v>1.0</v>
      </c>
      <c r="DA1356" s="1">
        <v>0.0</v>
      </c>
      <c r="DB1356" s="1">
        <v>1.0</v>
      </c>
      <c r="DC1356" s="1">
        <v>3.0</v>
      </c>
      <c r="DD1356" s="1" t="s">
        <v>5906</v>
      </c>
      <c r="DE1356" s="1">
        <v>1.18536560800401E-4</v>
      </c>
      <c r="DF1356" s="2" t="s">
        <v>5907</v>
      </c>
    </row>
    <row r="1357" ht="15.75" customHeight="1">
      <c r="A1357" s="1" t="s">
        <v>5908</v>
      </c>
      <c r="B1357" s="1">
        <v>29.0</v>
      </c>
      <c r="C1357" s="1">
        <v>510.0</v>
      </c>
      <c r="D1357" s="1">
        <v>115200.0</v>
      </c>
      <c r="E1357" s="1">
        <v>0.52</v>
      </c>
      <c r="F1357" s="1">
        <v>29510.0</v>
      </c>
      <c r="G1357" s="1">
        <v>2.95101152E10</v>
      </c>
      <c r="H1357" s="1" t="s">
        <v>112</v>
      </c>
      <c r="I1357" s="1" t="s">
        <v>113</v>
      </c>
      <c r="J1357" s="1" t="s">
        <v>5663</v>
      </c>
      <c r="K1357" s="1" t="s">
        <v>5909</v>
      </c>
      <c r="L1357" s="1">
        <v>3149.0</v>
      </c>
      <c r="M1357" s="1">
        <v>2855.0</v>
      </c>
      <c r="N1357" s="1">
        <v>313.0</v>
      </c>
      <c r="O1357" s="1">
        <v>1681.0</v>
      </c>
      <c r="P1357" s="1">
        <v>1688.0</v>
      </c>
      <c r="Q1357" s="1">
        <v>58.0</v>
      </c>
      <c r="R1357" s="1">
        <v>1422.0</v>
      </c>
      <c r="S1357" s="1">
        <v>1109.0</v>
      </c>
      <c r="T1357" s="1">
        <v>378.0</v>
      </c>
      <c r="U1357" s="1">
        <v>186.0</v>
      </c>
      <c r="V1357" s="1">
        <v>355.0</v>
      </c>
      <c r="W1357" s="1">
        <v>14278.0</v>
      </c>
      <c r="X1357" s="1">
        <v>2187.0</v>
      </c>
      <c r="Y1357" s="1">
        <v>540.0</v>
      </c>
      <c r="Z1357" s="1">
        <v>203.0</v>
      </c>
      <c r="AA1357" s="1">
        <v>203.0</v>
      </c>
      <c r="AB1357" s="1">
        <v>721.0</v>
      </c>
      <c r="AC1357" s="1">
        <v>213.0</v>
      </c>
      <c r="AD1357" s="1">
        <v>1722.0</v>
      </c>
      <c r="AE1357" s="1">
        <v>392.0</v>
      </c>
      <c r="AF1357" s="1">
        <v>393.0</v>
      </c>
      <c r="AG1357" s="1">
        <v>452.0</v>
      </c>
      <c r="AH1357" s="1">
        <v>113.0</v>
      </c>
      <c r="AI1357" s="1">
        <v>15.0</v>
      </c>
      <c r="AJ1357" s="1">
        <v>23.0</v>
      </c>
      <c r="AK1357" s="1">
        <v>45.0</v>
      </c>
      <c r="AL1357" s="1">
        <v>120.0</v>
      </c>
      <c r="AM1357" s="1">
        <v>318.0</v>
      </c>
      <c r="AN1357" s="1">
        <v>98.0</v>
      </c>
      <c r="AO1357" s="1">
        <v>0.0</v>
      </c>
      <c r="AP1357" s="1">
        <v>0.388441</v>
      </c>
      <c r="AQ1357" s="1">
        <v>0.125363</v>
      </c>
      <c r="AR1357" s="1">
        <v>0.127659</v>
      </c>
      <c r="AS1357" s="1">
        <v>0.24268</v>
      </c>
      <c r="AT1357" s="1">
        <v>14278.0</v>
      </c>
      <c r="AU1357" s="1">
        <v>2187.0</v>
      </c>
      <c r="AV1357" s="1">
        <v>0.291891</v>
      </c>
      <c r="AW1357" s="1">
        <v>0.106239</v>
      </c>
      <c r="AX1357" s="1">
        <v>0.064464</v>
      </c>
      <c r="AY1357" s="1">
        <v>0.228961</v>
      </c>
      <c r="AZ1357" s="1">
        <v>0.14978902</v>
      </c>
      <c r="BA1357" s="1">
        <v>0.54684</v>
      </c>
      <c r="BB1357" s="1">
        <v>0.147202</v>
      </c>
      <c r="BC1357" s="1">
        <v>0.146692</v>
      </c>
      <c r="BD1357" s="1">
        <v>0.267772</v>
      </c>
      <c r="BE1357" s="1">
        <v>0.066307</v>
      </c>
      <c r="BF1357" s="1">
        <v>0.008886</v>
      </c>
      <c r="BG1357" s="1">
        <v>0.013622</v>
      </c>
      <c r="BH1357" s="1">
        <v>0.033358</v>
      </c>
      <c r="BI1357" s="1">
        <v>0.088909</v>
      </c>
      <c r="BJ1357" s="1">
        <v>0.23573</v>
      </c>
      <c r="BK1357" s="1">
        <v>0.069811</v>
      </c>
      <c r="BL1357" s="1">
        <v>0.0</v>
      </c>
      <c r="BM1357" s="1">
        <v>0.946</v>
      </c>
      <c r="BN1357" s="1">
        <v>0.847</v>
      </c>
      <c r="BO1357" s="1">
        <v>0.9018</v>
      </c>
      <c r="BP1357" s="1">
        <v>0.933</v>
      </c>
      <c r="BQ1357" s="1">
        <v>3.6278</v>
      </c>
      <c r="BR1357" s="1">
        <v>0.9437</v>
      </c>
      <c r="BS1357" s="1">
        <v>0.063</v>
      </c>
      <c r="BT1357" s="1">
        <v>0.373</v>
      </c>
      <c r="BU1357" s="1">
        <v>0.792</v>
      </c>
      <c r="BV1357" s="1">
        <v>1.228</v>
      </c>
      <c r="BW1357" s="1">
        <v>0.253</v>
      </c>
      <c r="BX1357" s="1">
        <v>0.872</v>
      </c>
      <c r="BY1357" s="1">
        <v>0.989</v>
      </c>
      <c r="BZ1357" s="1">
        <v>1.861</v>
      </c>
      <c r="CA1357" s="1">
        <v>0.982</v>
      </c>
      <c r="CB1357" s="1">
        <v>0.928</v>
      </c>
      <c r="CC1357" s="1">
        <v>0.451</v>
      </c>
      <c r="CD1357" s="1">
        <v>0.846</v>
      </c>
      <c r="CE1357" s="1">
        <v>0.93</v>
      </c>
      <c r="CF1357" s="1">
        <v>0.0</v>
      </c>
      <c r="CG1357" s="1">
        <v>3.155</v>
      </c>
      <c r="CH1357" s="1">
        <v>0.833</v>
      </c>
      <c r="CI1357" s="1">
        <v>9.8718</v>
      </c>
      <c r="CJ1357" s="1">
        <v>0.9422</v>
      </c>
      <c r="CK1357" s="1">
        <v>1.0</v>
      </c>
      <c r="CL1357" s="1">
        <v>0.0</v>
      </c>
      <c r="CM1357" s="1">
        <v>1.0</v>
      </c>
      <c r="CN1357" s="1">
        <v>1.0</v>
      </c>
      <c r="CO1357" s="1">
        <v>3.0</v>
      </c>
      <c r="CP1357" s="1">
        <v>0.0</v>
      </c>
      <c r="CQ1357" s="1">
        <v>0.0</v>
      </c>
      <c r="CR1357" s="1">
        <v>0.0</v>
      </c>
      <c r="CS1357" s="1">
        <v>0.0</v>
      </c>
      <c r="CT1357" s="1">
        <v>0.0</v>
      </c>
      <c r="CU1357" s="1">
        <v>1.0</v>
      </c>
      <c r="CV1357" s="1">
        <v>1.0</v>
      </c>
      <c r="CW1357" s="1">
        <v>1.0</v>
      </c>
      <c r="CX1357" s="1">
        <v>0.0</v>
      </c>
      <c r="CY1357" s="1">
        <v>0.0</v>
      </c>
      <c r="CZ1357" s="1">
        <v>1.0</v>
      </c>
      <c r="DA1357" s="1">
        <v>0.0</v>
      </c>
      <c r="DB1357" s="1">
        <v>2.0</v>
      </c>
      <c r="DC1357" s="1">
        <v>6.0</v>
      </c>
      <c r="DD1357" s="1" t="s">
        <v>5910</v>
      </c>
      <c r="DE1357" s="1">
        <v>1.39602467800918E-4</v>
      </c>
      <c r="DF1357" s="1">
        <v>0.0651156530061372</v>
      </c>
    </row>
    <row r="1358" ht="15.75" customHeight="1">
      <c r="A1358" s="1" t="s">
        <v>5911</v>
      </c>
      <c r="B1358" s="1">
        <v>29.0</v>
      </c>
      <c r="C1358" s="1">
        <v>510.0</v>
      </c>
      <c r="D1358" s="1">
        <v>115400.0</v>
      </c>
      <c r="E1358" s="1">
        <v>0.378</v>
      </c>
      <c r="F1358" s="1">
        <v>29510.0</v>
      </c>
      <c r="G1358" s="1">
        <v>2.95101154E10</v>
      </c>
      <c r="H1358" s="1" t="s">
        <v>112</v>
      </c>
      <c r="I1358" s="1" t="s">
        <v>113</v>
      </c>
      <c r="J1358" s="1" t="s">
        <v>5663</v>
      </c>
      <c r="K1358" s="1" t="s">
        <v>5912</v>
      </c>
      <c r="L1358" s="1">
        <v>3122.0</v>
      </c>
      <c r="M1358" s="1">
        <v>3104.0</v>
      </c>
      <c r="N1358" s="1">
        <v>302.0</v>
      </c>
      <c r="O1358" s="1">
        <v>1396.0</v>
      </c>
      <c r="P1358" s="1">
        <v>1416.0</v>
      </c>
      <c r="Q1358" s="1">
        <v>33.0</v>
      </c>
      <c r="R1358" s="1">
        <v>1255.0</v>
      </c>
      <c r="S1358" s="1">
        <v>688.0</v>
      </c>
      <c r="T1358" s="1">
        <v>271.0</v>
      </c>
      <c r="U1358" s="1">
        <v>89.0</v>
      </c>
      <c r="V1358" s="1">
        <v>431.0</v>
      </c>
      <c r="W1358" s="1">
        <v>17993.0</v>
      </c>
      <c r="X1358" s="1">
        <v>2301.0</v>
      </c>
      <c r="Y1358" s="1">
        <v>461.0</v>
      </c>
      <c r="Z1358" s="1">
        <v>243.0</v>
      </c>
      <c r="AA1358" s="1">
        <v>265.0</v>
      </c>
      <c r="AB1358" s="1">
        <v>744.0</v>
      </c>
      <c r="AC1358" s="1">
        <v>188.0</v>
      </c>
      <c r="AD1358" s="1">
        <v>1031.0</v>
      </c>
      <c r="AE1358" s="1">
        <v>166.0</v>
      </c>
      <c r="AF1358" s="1">
        <v>406.0</v>
      </c>
      <c r="AG1358" s="1">
        <v>21.0</v>
      </c>
      <c r="AH1358" s="1">
        <v>164.0</v>
      </c>
      <c r="AI1358" s="1">
        <v>0.0</v>
      </c>
      <c r="AJ1358" s="1">
        <v>114.0</v>
      </c>
      <c r="AK1358" s="1">
        <v>18.0</v>
      </c>
      <c r="AL1358" s="1">
        <v>116.0</v>
      </c>
      <c r="AM1358" s="1">
        <v>64.0</v>
      </c>
      <c r="AN1358" s="1">
        <v>51.0</v>
      </c>
      <c r="AO1358" s="1">
        <v>2.0</v>
      </c>
      <c r="AP1358" s="1">
        <v>0.221649</v>
      </c>
      <c r="AQ1358" s="1">
        <v>0.084601</v>
      </c>
      <c r="AR1358" s="1">
        <v>0.061591</v>
      </c>
      <c r="AS1358" s="1">
        <v>0.298081</v>
      </c>
      <c r="AT1358" s="1">
        <v>17993.0</v>
      </c>
      <c r="AU1358" s="1">
        <v>2301.0</v>
      </c>
      <c r="AV1358" s="1">
        <v>0.217452</v>
      </c>
      <c r="AW1358" s="1">
        <v>0.112619</v>
      </c>
      <c r="AX1358" s="1">
        <v>0.084881</v>
      </c>
      <c r="AY1358" s="1">
        <v>0.238308</v>
      </c>
      <c r="AZ1358" s="1">
        <v>0.14980079</v>
      </c>
      <c r="BA1358" s="1">
        <v>0.330237</v>
      </c>
      <c r="BB1358" s="1">
        <v>0.059306</v>
      </c>
      <c r="BC1358" s="1">
        <v>0.144937</v>
      </c>
      <c r="BD1358" s="1">
        <v>0.01483</v>
      </c>
      <c r="BE1358" s="1">
        <v>0.115818</v>
      </c>
      <c r="BF1358" s="1">
        <v>0.0</v>
      </c>
      <c r="BG1358" s="1">
        <v>0.080508</v>
      </c>
      <c r="BH1358" s="1">
        <v>0.014876</v>
      </c>
      <c r="BI1358" s="1">
        <v>0.09586</v>
      </c>
      <c r="BJ1358" s="1">
        <v>0.052892</v>
      </c>
      <c r="BK1358" s="1">
        <v>0.041926</v>
      </c>
      <c r="BL1358" s="1">
        <v>6.4E-4</v>
      </c>
      <c r="BM1358" s="1">
        <v>0.774</v>
      </c>
      <c r="BN1358" s="1">
        <v>0.432</v>
      </c>
      <c r="BO1358" s="1">
        <v>0.7314</v>
      </c>
      <c r="BP1358" s="1">
        <v>0.797</v>
      </c>
      <c r="BQ1358" s="1">
        <v>2.7344</v>
      </c>
      <c r="BR1358" s="1">
        <v>0.7329</v>
      </c>
      <c r="BS1358" s="1">
        <v>0.138</v>
      </c>
      <c r="BT1358" s="1">
        <v>0.478</v>
      </c>
      <c r="BU1358" s="1">
        <v>0.794</v>
      </c>
      <c r="BV1358" s="1">
        <v>1.41</v>
      </c>
      <c r="BW1358" s="1">
        <v>0.399</v>
      </c>
      <c r="BX1358" s="1">
        <v>0.807</v>
      </c>
      <c r="BY1358" s="1">
        <v>0.967</v>
      </c>
      <c r="BZ1358" s="1">
        <v>1.774</v>
      </c>
      <c r="CA1358" s="1">
        <v>0.953</v>
      </c>
      <c r="CB1358" s="1">
        <v>0.423</v>
      </c>
      <c r="CC1358" s="1">
        <v>0.0</v>
      </c>
      <c r="CD1358" s="1">
        <v>0.594</v>
      </c>
      <c r="CE1358" s="1">
        <v>0.512</v>
      </c>
      <c r="CF1358" s="1">
        <v>0.376</v>
      </c>
      <c r="CG1358" s="1">
        <v>1.905</v>
      </c>
      <c r="CH1358" s="1">
        <v>0.307</v>
      </c>
      <c r="CI1358" s="1">
        <v>7.8234</v>
      </c>
      <c r="CJ1358" s="1">
        <v>0.6838</v>
      </c>
      <c r="CK1358" s="1">
        <v>0.0</v>
      </c>
      <c r="CL1358" s="1">
        <v>0.0</v>
      </c>
      <c r="CM1358" s="1">
        <v>0.0</v>
      </c>
      <c r="CN1358" s="1">
        <v>0.0</v>
      </c>
      <c r="CO1358" s="1">
        <v>0.0</v>
      </c>
      <c r="CP1358" s="1">
        <v>0.0</v>
      </c>
      <c r="CQ1358" s="1">
        <v>0.0</v>
      </c>
      <c r="CR1358" s="1">
        <v>0.0</v>
      </c>
      <c r="CS1358" s="1">
        <v>0.0</v>
      </c>
      <c r="CT1358" s="1">
        <v>0.0</v>
      </c>
      <c r="CU1358" s="1">
        <v>1.0</v>
      </c>
      <c r="CV1358" s="1">
        <v>1.0</v>
      </c>
      <c r="CW1358" s="1">
        <v>0.0</v>
      </c>
      <c r="CX1358" s="1">
        <v>0.0</v>
      </c>
      <c r="CY1358" s="1">
        <v>0.0</v>
      </c>
      <c r="CZ1358" s="1">
        <v>0.0</v>
      </c>
      <c r="DA1358" s="1">
        <v>0.0</v>
      </c>
      <c r="DB1358" s="1">
        <v>0.0</v>
      </c>
      <c r="DC1358" s="1">
        <v>1.0</v>
      </c>
      <c r="DD1358" s="1" t="s">
        <v>5913</v>
      </c>
      <c r="DE1358" s="1">
        <v>1.01097419899671E-4</v>
      </c>
      <c r="DF1358" s="1">
        <v>0.0487139772998598</v>
      </c>
    </row>
    <row r="1359" ht="15.75" customHeight="1">
      <c r="A1359" s="1" t="s">
        <v>5914</v>
      </c>
      <c r="B1359" s="1">
        <v>29.0</v>
      </c>
      <c r="C1359" s="1">
        <v>510.0</v>
      </c>
      <c r="D1359" s="1">
        <v>115500.0</v>
      </c>
      <c r="E1359" s="1">
        <v>0.469</v>
      </c>
      <c r="F1359" s="1">
        <v>29510.0</v>
      </c>
      <c r="G1359" s="1">
        <v>2.95101155E10</v>
      </c>
      <c r="H1359" s="1" t="s">
        <v>112</v>
      </c>
      <c r="I1359" s="1" t="s">
        <v>113</v>
      </c>
      <c r="J1359" s="1" t="s">
        <v>5663</v>
      </c>
      <c r="K1359" s="1" t="s">
        <v>5915</v>
      </c>
      <c r="L1359" s="1">
        <v>5625.0</v>
      </c>
      <c r="M1359" s="1">
        <v>5543.0</v>
      </c>
      <c r="N1359" s="1">
        <v>635.0</v>
      </c>
      <c r="O1359" s="1">
        <v>2915.0</v>
      </c>
      <c r="P1359" s="1">
        <v>3064.0</v>
      </c>
      <c r="Q1359" s="1">
        <v>111.0</v>
      </c>
      <c r="R1359" s="1">
        <v>2256.0</v>
      </c>
      <c r="S1359" s="1">
        <v>1844.0</v>
      </c>
      <c r="T1359" s="1">
        <v>598.0</v>
      </c>
      <c r="U1359" s="1">
        <v>323.0</v>
      </c>
      <c r="V1359" s="1">
        <v>408.0</v>
      </c>
      <c r="W1359" s="1">
        <v>16051.0</v>
      </c>
      <c r="X1359" s="1">
        <v>2071.0</v>
      </c>
      <c r="Y1359" s="1">
        <v>941.0</v>
      </c>
      <c r="Z1359" s="1">
        <v>300.0</v>
      </c>
      <c r="AA1359" s="1">
        <v>352.0</v>
      </c>
      <c r="AB1359" s="1">
        <v>1575.0</v>
      </c>
      <c r="AC1359" s="1">
        <v>516.0</v>
      </c>
      <c r="AD1359" s="1">
        <v>3634.0</v>
      </c>
      <c r="AE1359" s="1">
        <v>254.0</v>
      </c>
      <c r="AF1359" s="1">
        <v>454.0</v>
      </c>
      <c r="AG1359" s="1">
        <v>221.0</v>
      </c>
      <c r="AH1359" s="1">
        <v>153.0</v>
      </c>
      <c r="AI1359" s="1">
        <v>0.0</v>
      </c>
      <c r="AJ1359" s="1">
        <v>114.0</v>
      </c>
      <c r="AK1359" s="1">
        <v>47.0</v>
      </c>
      <c r="AL1359" s="1">
        <v>124.0</v>
      </c>
      <c r="AM1359" s="1">
        <v>263.0</v>
      </c>
      <c r="AN1359" s="1">
        <v>132.0</v>
      </c>
      <c r="AO1359" s="1">
        <v>36.0</v>
      </c>
      <c r="AP1359" s="1">
        <v>0.334118</v>
      </c>
      <c r="AQ1359" s="1">
        <v>0.101118</v>
      </c>
      <c r="AR1359" s="1">
        <v>0.106354</v>
      </c>
      <c r="AS1359" s="1">
        <v>0.133394</v>
      </c>
      <c r="AT1359" s="1">
        <v>16051.0</v>
      </c>
      <c r="AU1359" s="1">
        <v>2071.0</v>
      </c>
      <c r="AV1359" s="1">
        <v>0.259514</v>
      </c>
      <c r="AW1359" s="1">
        <v>0.076827</v>
      </c>
      <c r="AX1359" s="1">
        <v>0.062577</v>
      </c>
      <c r="AY1359" s="1">
        <v>0.28</v>
      </c>
      <c r="AZ1359" s="1">
        <v>0.2287234</v>
      </c>
      <c r="BA1359" s="1">
        <v>0.646044</v>
      </c>
      <c r="BB1359" s="1">
        <v>0.04851</v>
      </c>
      <c r="BC1359" s="1">
        <v>0.086527</v>
      </c>
      <c r="BD1359" s="1">
        <v>0.072127</v>
      </c>
      <c r="BE1359" s="1">
        <v>0.049866</v>
      </c>
      <c r="BF1359" s="1">
        <v>0.0</v>
      </c>
      <c r="BG1359" s="1">
        <v>0.037206</v>
      </c>
      <c r="BH1359" s="1">
        <v>0.021749</v>
      </c>
      <c r="BI1359" s="1">
        <v>0.057328</v>
      </c>
      <c r="BJ1359" s="1">
        <v>0.121702</v>
      </c>
      <c r="BK1359" s="1">
        <v>0.05953</v>
      </c>
      <c r="BL1359" s="1">
        <v>0.0064</v>
      </c>
      <c r="BM1359" s="1">
        <v>0.916</v>
      </c>
      <c r="BN1359" s="1">
        <v>0.769</v>
      </c>
      <c r="BO1359" s="1">
        <v>0.8361</v>
      </c>
      <c r="BP1359" s="1">
        <v>0.888</v>
      </c>
      <c r="BQ1359" s="1">
        <v>3.4091</v>
      </c>
      <c r="BR1359" s="1">
        <v>0.9018</v>
      </c>
      <c r="BS1359" s="1">
        <v>0.053</v>
      </c>
      <c r="BT1359" s="1">
        <v>0.849</v>
      </c>
      <c r="BU1359" s="1">
        <v>0.925</v>
      </c>
      <c r="BV1359" s="1">
        <v>1.827</v>
      </c>
      <c r="BW1359" s="1">
        <v>0.747</v>
      </c>
      <c r="BX1359" s="1">
        <v>0.889</v>
      </c>
      <c r="BY1359" s="1">
        <v>0.958</v>
      </c>
      <c r="BZ1359" s="1">
        <v>1.847</v>
      </c>
      <c r="CA1359" s="1">
        <v>0.978</v>
      </c>
      <c r="CB1359" s="1">
        <v>0.718</v>
      </c>
      <c r="CC1359" s="1">
        <v>0.0</v>
      </c>
      <c r="CD1359" s="1">
        <v>0.705</v>
      </c>
      <c r="CE1359" s="1">
        <v>0.812</v>
      </c>
      <c r="CF1359" s="1">
        <v>0.533</v>
      </c>
      <c r="CG1359" s="1">
        <v>2.768</v>
      </c>
      <c r="CH1359" s="1">
        <v>0.675</v>
      </c>
      <c r="CI1359" s="1">
        <v>9.8511</v>
      </c>
      <c r="CJ1359" s="1">
        <v>0.9408</v>
      </c>
      <c r="CK1359" s="1">
        <v>1.0</v>
      </c>
      <c r="CL1359" s="1">
        <v>0.0</v>
      </c>
      <c r="CM1359" s="1">
        <v>0.0</v>
      </c>
      <c r="CN1359" s="1">
        <v>0.0</v>
      </c>
      <c r="CO1359" s="1">
        <v>1.0</v>
      </c>
      <c r="CP1359" s="1">
        <v>0.0</v>
      </c>
      <c r="CQ1359" s="1">
        <v>0.0</v>
      </c>
      <c r="CR1359" s="1">
        <v>1.0</v>
      </c>
      <c r="CS1359" s="1">
        <v>1.0</v>
      </c>
      <c r="CT1359" s="1">
        <v>0.0</v>
      </c>
      <c r="CU1359" s="1">
        <v>1.0</v>
      </c>
      <c r="CV1359" s="1">
        <v>1.0</v>
      </c>
      <c r="CW1359" s="1">
        <v>0.0</v>
      </c>
      <c r="CX1359" s="1">
        <v>0.0</v>
      </c>
      <c r="CY1359" s="1">
        <v>0.0</v>
      </c>
      <c r="CZ1359" s="1">
        <v>0.0</v>
      </c>
      <c r="DA1359" s="1">
        <v>0.0</v>
      </c>
      <c r="DB1359" s="1">
        <v>0.0</v>
      </c>
      <c r="DC1359" s="1">
        <v>3.0</v>
      </c>
      <c r="DD1359" s="1" t="s">
        <v>5916</v>
      </c>
      <c r="DE1359" s="1">
        <v>1.25734664083794E-4</v>
      </c>
      <c r="DF1359" s="1">
        <v>0.0478028583195719</v>
      </c>
    </row>
    <row r="1360" ht="15.75" customHeight="1">
      <c r="A1360" s="1" t="s">
        <v>5917</v>
      </c>
      <c r="B1360" s="1">
        <v>29.0</v>
      </c>
      <c r="C1360" s="1">
        <v>510.0</v>
      </c>
      <c r="D1360" s="1">
        <v>115600.0</v>
      </c>
      <c r="E1360" s="1">
        <v>0.708</v>
      </c>
      <c r="F1360" s="1">
        <v>29510.0</v>
      </c>
      <c r="G1360" s="1">
        <v>2.95101156E10</v>
      </c>
      <c r="H1360" s="1" t="s">
        <v>112</v>
      </c>
      <c r="I1360" s="1" t="s">
        <v>113</v>
      </c>
      <c r="J1360" s="1" t="s">
        <v>5663</v>
      </c>
      <c r="K1360" s="1" t="s">
        <v>5918</v>
      </c>
      <c r="L1360" s="1">
        <v>5279.0</v>
      </c>
      <c r="M1360" s="1">
        <v>5551.0</v>
      </c>
      <c r="N1360" s="1">
        <v>658.0</v>
      </c>
      <c r="O1360" s="1">
        <v>2846.0</v>
      </c>
      <c r="P1360" s="1">
        <v>2756.0</v>
      </c>
      <c r="Q1360" s="1">
        <v>87.0</v>
      </c>
      <c r="R1360" s="1">
        <v>2279.0</v>
      </c>
      <c r="S1360" s="1">
        <v>1951.0</v>
      </c>
      <c r="T1360" s="1">
        <v>602.0</v>
      </c>
      <c r="U1360" s="1">
        <v>355.0</v>
      </c>
      <c r="V1360" s="1">
        <v>374.0</v>
      </c>
      <c r="W1360" s="1">
        <v>15837.0</v>
      </c>
      <c r="X1360" s="1">
        <v>2323.0</v>
      </c>
      <c r="Y1360" s="1">
        <v>1011.0</v>
      </c>
      <c r="Z1360" s="1">
        <v>247.0</v>
      </c>
      <c r="AA1360" s="1">
        <v>923.0</v>
      </c>
      <c r="AB1360" s="1">
        <v>1250.0</v>
      </c>
      <c r="AC1360" s="1">
        <v>429.0</v>
      </c>
      <c r="AD1360" s="1">
        <v>3000.0</v>
      </c>
      <c r="AE1360" s="1">
        <v>337.0</v>
      </c>
      <c r="AF1360" s="1">
        <v>419.0</v>
      </c>
      <c r="AG1360" s="1">
        <v>660.0</v>
      </c>
      <c r="AH1360" s="1">
        <v>156.0</v>
      </c>
      <c r="AI1360" s="1">
        <v>0.0</v>
      </c>
      <c r="AJ1360" s="1">
        <v>114.0</v>
      </c>
      <c r="AK1360" s="1">
        <v>19.0</v>
      </c>
      <c r="AL1360" s="1">
        <v>116.0</v>
      </c>
      <c r="AM1360" s="1">
        <v>672.0</v>
      </c>
      <c r="AN1360" s="1">
        <v>173.0</v>
      </c>
      <c r="AO1360" s="1">
        <v>314.0</v>
      </c>
      <c r="AP1360" s="1">
        <v>0.374328</v>
      </c>
      <c r="AQ1360" s="1">
        <v>0.106148</v>
      </c>
      <c r="AR1360" s="1">
        <v>0.148784</v>
      </c>
      <c r="AS1360" s="1">
        <v>0.154946</v>
      </c>
      <c r="AT1360" s="1">
        <v>15837.0</v>
      </c>
      <c r="AU1360" s="1">
        <v>2323.0</v>
      </c>
      <c r="AV1360" s="1">
        <v>0.285835</v>
      </c>
      <c r="AW1360" s="1">
        <v>0.063184</v>
      </c>
      <c r="AX1360" s="1">
        <v>0.174843</v>
      </c>
      <c r="AY1360" s="1">
        <v>0.236787</v>
      </c>
      <c r="AZ1360" s="1">
        <v>0.18824045</v>
      </c>
      <c r="BA1360" s="1">
        <v>0.568289</v>
      </c>
      <c r="BB1360" s="1">
        <v>0.069714</v>
      </c>
      <c r="BC1360" s="1">
        <v>0.086324</v>
      </c>
      <c r="BD1360" s="1">
        <v>0.239477</v>
      </c>
      <c r="BE1360" s="1">
        <v>0.056096</v>
      </c>
      <c r="BF1360" s="1">
        <v>0.0</v>
      </c>
      <c r="BG1360" s="1">
        <v>0.041364</v>
      </c>
      <c r="BH1360" s="1">
        <v>0.008182</v>
      </c>
      <c r="BI1360" s="1">
        <v>0.049953</v>
      </c>
      <c r="BJ1360" s="1">
        <v>0.289405</v>
      </c>
      <c r="BK1360" s="1">
        <v>0.071645</v>
      </c>
      <c r="BL1360" s="1">
        <v>0.05948</v>
      </c>
      <c r="BM1360" s="1">
        <v>0.938</v>
      </c>
      <c r="BN1360" s="1">
        <v>0.897</v>
      </c>
      <c r="BO1360" s="1">
        <v>0.8455</v>
      </c>
      <c r="BP1360" s="1">
        <v>0.925</v>
      </c>
      <c r="BQ1360" s="1">
        <v>3.6055</v>
      </c>
      <c r="BR1360" s="1">
        <v>0.9379</v>
      </c>
      <c r="BS1360" s="1">
        <v>0.761</v>
      </c>
      <c r="BT1360" s="1">
        <v>0.459</v>
      </c>
      <c r="BU1360" s="1">
        <v>0.88</v>
      </c>
      <c r="BV1360" s="1">
        <v>2.1</v>
      </c>
      <c r="BW1360" s="1">
        <v>0.916</v>
      </c>
      <c r="BX1360" s="1">
        <v>0.875</v>
      </c>
      <c r="BY1360" s="1">
        <v>0.976</v>
      </c>
      <c r="BZ1360" s="1">
        <v>1.851</v>
      </c>
      <c r="CA1360" s="1">
        <v>0.979</v>
      </c>
      <c r="CB1360" s="1">
        <v>0.915</v>
      </c>
      <c r="CC1360" s="1">
        <v>0.0</v>
      </c>
      <c r="CD1360" s="1">
        <v>0.438</v>
      </c>
      <c r="CE1360" s="1">
        <v>0.964</v>
      </c>
      <c r="CF1360" s="1">
        <v>0.909</v>
      </c>
      <c r="CG1360" s="1">
        <v>3.226</v>
      </c>
      <c r="CH1360" s="1">
        <v>0.851</v>
      </c>
      <c r="CI1360" s="1">
        <v>10.7825</v>
      </c>
      <c r="CJ1360" s="1">
        <v>0.9856</v>
      </c>
      <c r="CK1360" s="1">
        <v>1.0</v>
      </c>
      <c r="CL1360" s="1">
        <v>0.0</v>
      </c>
      <c r="CM1360" s="1">
        <v>0.0</v>
      </c>
      <c r="CN1360" s="1">
        <v>1.0</v>
      </c>
      <c r="CO1360" s="1">
        <v>2.0</v>
      </c>
      <c r="CP1360" s="1">
        <v>0.0</v>
      </c>
      <c r="CQ1360" s="1">
        <v>0.0</v>
      </c>
      <c r="CR1360" s="1">
        <v>0.0</v>
      </c>
      <c r="CS1360" s="1">
        <v>0.0</v>
      </c>
      <c r="CT1360" s="1">
        <v>0.0</v>
      </c>
      <c r="CU1360" s="1">
        <v>1.0</v>
      </c>
      <c r="CV1360" s="1">
        <v>1.0</v>
      </c>
      <c r="CW1360" s="1">
        <v>1.0</v>
      </c>
      <c r="CX1360" s="1">
        <v>0.0</v>
      </c>
      <c r="CY1360" s="1">
        <v>0.0</v>
      </c>
      <c r="CZ1360" s="1">
        <v>1.0</v>
      </c>
      <c r="DA1360" s="1">
        <v>1.0</v>
      </c>
      <c r="DB1360" s="1">
        <v>3.0</v>
      </c>
      <c r="DC1360" s="1">
        <v>6.0</v>
      </c>
      <c r="DD1360" s="1" t="s">
        <v>5919</v>
      </c>
      <c r="DE1360" s="1">
        <v>2.77808963761859E-4</v>
      </c>
      <c r="DF1360" s="1">
        <v>0.0737843125613054</v>
      </c>
    </row>
    <row r="1361" ht="15.75" customHeight="1">
      <c r="A1361" s="1" t="s">
        <v>5920</v>
      </c>
      <c r="B1361" s="1">
        <v>29.0</v>
      </c>
      <c r="C1361" s="1">
        <v>510.0</v>
      </c>
      <c r="D1361" s="1">
        <v>115700.0</v>
      </c>
      <c r="E1361" s="1">
        <v>0.37</v>
      </c>
      <c r="F1361" s="1">
        <v>29510.0</v>
      </c>
      <c r="G1361" s="1">
        <v>2.95101157E10</v>
      </c>
      <c r="H1361" s="1" t="s">
        <v>112</v>
      </c>
      <c r="I1361" s="1" t="s">
        <v>113</v>
      </c>
      <c r="J1361" s="1" t="s">
        <v>5663</v>
      </c>
      <c r="K1361" s="1" t="s">
        <v>5921</v>
      </c>
      <c r="L1361" s="1">
        <v>3567.0</v>
      </c>
      <c r="M1361" s="1">
        <v>3383.0</v>
      </c>
      <c r="N1361" s="1">
        <v>438.0</v>
      </c>
      <c r="O1361" s="1">
        <v>1834.0</v>
      </c>
      <c r="P1361" s="1">
        <v>1947.0</v>
      </c>
      <c r="Q1361" s="1">
        <v>90.0</v>
      </c>
      <c r="R1361" s="1">
        <v>1360.0</v>
      </c>
      <c r="S1361" s="1">
        <v>1077.0</v>
      </c>
      <c r="T1361" s="1">
        <v>367.0</v>
      </c>
      <c r="U1361" s="1">
        <v>437.0</v>
      </c>
      <c r="V1361" s="1">
        <v>378.0</v>
      </c>
      <c r="W1361" s="1">
        <v>12430.0</v>
      </c>
      <c r="X1361" s="1">
        <v>1718.0</v>
      </c>
      <c r="Y1361" s="1">
        <v>610.0</v>
      </c>
      <c r="Z1361" s="1">
        <v>261.0</v>
      </c>
      <c r="AA1361" s="1">
        <v>266.0</v>
      </c>
      <c r="AB1361" s="1">
        <v>981.0</v>
      </c>
      <c r="AC1361" s="1">
        <v>334.0</v>
      </c>
      <c r="AD1361" s="1">
        <v>2503.0</v>
      </c>
      <c r="AE1361" s="1">
        <v>53.0</v>
      </c>
      <c r="AF1361" s="1">
        <v>428.0</v>
      </c>
      <c r="AG1361" s="1">
        <v>6.0</v>
      </c>
      <c r="AH1361" s="1">
        <v>162.0</v>
      </c>
      <c r="AI1361" s="1">
        <v>0.0</v>
      </c>
      <c r="AJ1361" s="1">
        <v>114.0</v>
      </c>
      <c r="AK1361" s="1">
        <v>71.0</v>
      </c>
      <c r="AL1361" s="1">
        <v>130.0</v>
      </c>
      <c r="AM1361" s="1">
        <v>468.0</v>
      </c>
      <c r="AN1361" s="1">
        <v>147.0</v>
      </c>
      <c r="AO1361" s="1">
        <v>97.0</v>
      </c>
      <c r="AP1361" s="1">
        <v>0.325377</v>
      </c>
      <c r="AQ1361" s="1">
        <v>0.102216</v>
      </c>
      <c r="AR1361" s="1">
        <v>0.263888</v>
      </c>
      <c r="AS1361" s="1">
        <v>0.223793</v>
      </c>
      <c r="AT1361" s="1">
        <v>12430.0</v>
      </c>
      <c r="AU1361" s="1">
        <v>1718.0</v>
      </c>
      <c r="AV1361" s="1">
        <v>0.291866</v>
      </c>
      <c r="AW1361" s="1">
        <v>0.1194</v>
      </c>
      <c r="AX1361" s="1">
        <v>0.074572</v>
      </c>
      <c r="AY1361" s="1">
        <v>0.275021</v>
      </c>
      <c r="AZ1361" s="1">
        <v>0.24558823</v>
      </c>
      <c r="BA1361" s="1">
        <v>0.70171</v>
      </c>
      <c r="BB1361" s="1">
        <v>0.01675</v>
      </c>
      <c r="BC1361" s="1">
        <v>0.135256</v>
      </c>
      <c r="BD1361" s="1">
        <v>0.003081</v>
      </c>
      <c r="BE1361" s="1">
        <v>0.083204</v>
      </c>
      <c r="BF1361" s="1">
        <v>0.0</v>
      </c>
      <c r="BG1361" s="1">
        <v>0.058551</v>
      </c>
      <c r="BH1361" s="1">
        <v>0.048864</v>
      </c>
      <c r="BI1361" s="1">
        <v>0.08934</v>
      </c>
      <c r="BJ1361" s="1">
        <v>0.322092</v>
      </c>
      <c r="BK1361" s="1">
        <v>0.096075</v>
      </c>
      <c r="BL1361" s="1">
        <v>0.027193</v>
      </c>
      <c r="BM1361" s="1">
        <v>0.907</v>
      </c>
      <c r="BN1361" s="1">
        <v>0.982</v>
      </c>
      <c r="BO1361" s="1">
        <v>0.948</v>
      </c>
      <c r="BP1361" s="1">
        <v>0.932</v>
      </c>
      <c r="BQ1361" s="1">
        <v>3.769</v>
      </c>
      <c r="BR1361" s="1">
        <v>0.9755</v>
      </c>
      <c r="BS1361" s="1">
        <v>0.1</v>
      </c>
      <c r="BT1361" s="1">
        <v>0.82</v>
      </c>
      <c r="BU1361" s="1">
        <v>0.942</v>
      </c>
      <c r="BV1361" s="1">
        <v>1.862</v>
      </c>
      <c r="BW1361" s="1">
        <v>0.775</v>
      </c>
      <c r="BX1361" s="1">
        <v>0.9</v>
      </c>
      <c r="BY1361" s="1">
        <v>0.835</v>
      </c>
      <c r="BZ1361" s="1">
        <v>1.735</v>
      </c>
      <c r="CA1361" s="1">
        <v>0.939</v>
      </c>
      <c r="CB1361" s="1">
        <v>0.286</v>
      </c>
      <c r="CC1361" s="1">
        <v>0.0</v>
      </c>
      <c r="CD1361" s="1">
        <v>0.931</v>
      </c>
      <c r="CE1361" s="1">
        <v>0.974</v>
      </c>
      <c r="CF1361" s="1">
        <v>0.789</v>
      </c>
      <c r="CG1361" s="1">
        <v>2.98</v>
      </c>
      <c r="CH1361" s="1">
        <v>0.768</v>
      </c>
      <c r="CI1361" s="1">
        <v>10.346</v>
      </c>
      <c r="CJ1361" s="1">
        <v>0.9682</v>
      </c>
      <c r="CK1361" s="1">
        <v>1.0</v>
      </c>
      <c r="CL1361" s="1">
        <v>1.0</v>
      </c>
      <c r="CM1361" s="1">
        <v>1.0</v>
      </c>
      <c r="CN1361" s="1">
        <v>1.0</v>
      </c>
      <c r="CO1361" s="1">
        <v>4.0</v>
      </c>
      <c r="CP1361" s="1">
        <v>0.0</v>
      </c>
      <c r="CQ1361" s="1">
        <v>0.0</v>
      </c>
      <c r="CR1361" s="1">
        <v>1.0</v>
      </c>
      <c r="CS1361" s="1">
        <v>1.0</v>
      </c>
      <c r="CT1361" s="1">
        <v>1.0</v>
      </c>
      <c r="CU1361" s="1">
        <v>0.0</v>
      </c>
      <c r="CV1361" s="1">
        <v>1.0</v>
      </c>
      <c r="CW1361" s="1">
        <v>0.0</v>
      </c>
      <c r="CX1361" s="1">
        <v>0.0</v>
      </c>
      <c r="CY1361" s="1">
        <v>1.0</v>
      </c>
      <c r="CZ1361" s="1">
        <v>1.0</v>
      </c>
      <c r="DA1361" s="1">
        <v>0.0</v>
      </c>
      <c r="DB1361" s="1">
        <v>2.0</v>
      </c>
      <c r="DC1361" s="1">
        <v>8.0</v>
      </c>
      <c r="DD1361" s="1" t="s">
        <v>5922</v>
      </c>
      <c r="DE1361" s="1">
        <v>1.09099854092024E-4</v>
      </c>
      <c r="DF1361" s="1">
        <v>0.0765217211616032</v>
      </c>
    </row>
    <row r="1362" ht="15.75" customHeight="1">
      <c r="A1362" s="1" t="s">
        <v>5923</v>
      </c>
      <c r="B1362" s="1">
        <v>29.0</v>
      </c>
      <c r="C1362" s="1">
        <v>510.0</v>
      </c>
      <c r="D1362" s="1">
        <v>116200.0</v>
      </c>
      <c r="E1362" s="1">
        <v>0.907</v>
      </c>
      <c r="F1362" s="1">
        <v>29510.0</v>
      </c>
      <c r="G1362" s="1">
        <v>2.95101162E10</v>
      </c>
      <c r="H1362" s="1" t="s">
        <v>112</v>
      </c>
      <c r="I1362" s="1" t="s">
        <v>113</v>
      </c>
      <c r="J1362" s="1" t="s">
        <v>5663</v>
      </c>
      <c r="K1362" s="1" t="s">
        <v>5924</v>
      </c>
      <c r="L1362" s="1">
        <v>4325.0</v>
      </c>
      <c r="M1362" s="1">
        <v>4501.0</v>
      </c>
      <c r="N1362" s="1">
        <v>522.0</v>
      </c>
      <c r="O1362" s="1">
        <v>2412.0</v>
      </c>
      <c r="P1362" s="1">
        <v>2462.0</v>
      </c>
      <c r="Q1362" s="1">
        <v>124.0</v>
      </c>
      <c r="R1362" s="1">
        <v>2109.0</v>
      </c>
      <c r="S1362" s="1">
        <v>606.0</v>
      </c>
      <c r="T1362" s="1">
        <v>366.0</v>
      </c>
      <c r="U1362" s="1">
        <v>252.0</v>
      </c>
      <c r="V1362" s="1">
        <v>401.0</v>
      </c>
      <c r="W1362" s="1">
        <v>23012.0</v>
      </c>
      <c r="X1362" s="1">
        <v>3169.0</v>
      </c>
      <c r="Y1362" s="1">
        <v>268.0</v>
      </c>
      <c r="Z1362" s="1">
        <v>310.0</v>
      </c>
      <c r="AA1362" s="1">
        <v>319.0</v>
      </c>
      <c r="AB1362" s="1">
        <v>756.0</v>
      </c>
      <c r="AC1362" s="1">
        <v>222.0</v>
      </c>
      <c r="AD1362" s="1">
        <v>1623.0</v>
      </c>
      <c r="AE1362" s="1">
        <v>56.0</v>
      </c>
      <c r="AF1362" s="1">
        <v>430.0</v>
      </c>
      <c r="AG1362" s="1">
        <v>90.0</v>
      </c>
      <c r="AH1362" s="1">
        <v>177.0</v>
      </c>
      <c r="AI1362" s="1">
        <v>0.0</v>
      </c>
      <c r="AJ1362" s="1">
        <v>114.0</v>
      </c>
      <c r="AK1362" s="1">
        <v>70.0</v>
      </c>
      <c r="AL1362" s="1">
        <v>138.0</v>
      </c>
      <c r="AM1362" s="1">
        <v>171.0</v>
      </c>
      <c r="AN1362" s="1">
        <v>98.0</v>
      </c>
      <c r="AO1362" s="1">
        <v>13.0</v>
      </c>
      <c r="AP1362" s="1">
        <v>0.135117</v>
      </c>
      <c r="AQ1362" s="1">
        <v>0.080111</v>
      </c>
      <c r="AR1362" s="1">
        <v>0.088545</v>
      </c>
      <c r="AS1362" s="1">
        <v>0.140251</v>
      </c>
      <c r="AT1362" s="1">
        <v>23012.0</v>
      </c>
      <c r="AU1362" s="1">
        <v>3169.0</v>
      </c>
      <c r="AV1362" s="1">
        <v>0.091812</v>
      </c>
      <c r="AW1362" s="1">
        <v>0.105763</v>
      </c>
      <c r="AX1362" s="1">
        <v>0.073757</v>
      </c>
      <c r="AY1362" s="1">
        <v>0.174797</v>
      </c>
      <c r="AZ1362" s="1">
        <v>0.10526315</v>
      </c>
      <c r="BA1362" s="1">
        <v>0.37526</v>
      </c>
      <c r="BB1362" s="1">
        <v>0.013625</v>
      </c>
      <c r="BC1362" s="1">
        <v>0.104612</v>
      </c>
      <c r="BD1362" s="1">
        <v>0.036555</v>
      </c>
      <c r="BE1362" s="1">
        <v>0.071869</v>
      </c>
      <c r="BF1362" s="1">
        <v>0.0</v>
      </c>
      <c r="BG1362" s="1">
        <v>0.046303</v>
      </c>
      <c r="BH1362" s="1">
        <v>0.032817</v>
      </c>
      <c r="BI1362" s="1">
        <v>0.064644</v>
      </c>
      <c r="BJ1362" s="1">
        <v>0.080168</v>
      </c>
      <c r="BK1362" s="1">
        <v>0.045498</v>
      </c>
      <c r="BL1362" s="1">
        <v>0.003005</v>
      </c>
      <c r="BM1362" s="1">
        <v>0.52</v>
      </c>
      <c r="BN1362" s="1">
        <v>0.671</v>
      </c>
      <c r="BO1362" s="1">
        <v>0.4455</v>
      </c>
      <c r="BP1362" s="1">
        <v>0.301</v>
      </c>
      <c r="BQ1362" s="1">
        <v>1.9375</v>
      </c>
      <c r="BR1362" s="1">
        <v>0.4744</v>
      </c>
      <c r="BS1362" s="1">
        <v>0.096</v>
      </c>
      <c r="BT1362" s="1">
        <v>0.11</v>
      </c>
      <c r="BU1362" s="1">
        <v>0.543</v>
      </c>
      <c r="BV1362" s="1">
        <v>0.749</v>
      </c>
      <c r="BW1362" s="1">
        <v>0.066</v>
      </c>
      <c r="BX1362" s="1">
        <v>0.83</v>
      </c>
      <c r="BY1362" s="1">
        <v>0.792</v>
      </c>
      <c r="BZ1362" s="1">
        <v>1.622</v>
      </c>
      <c r="CA1362" s="1">
        <v>0.88</v>
      </c>
      <c r="CB1362" s="1">
        <v>0.59</v>
      </c>
      <c r="CC1362" s="1">
        <v>0.0</v>
      </c>
      <c r="CD1362" s="1">
        <v>0.841</v>
      </c>
      <c r="CE1362" s="1">
        <v>0.674</v>
      </c>
      <c r="CF1362" s="1">
        <v>0.474</v>
      </c>
      <c r="CG1362" s="1">
        <v>2.579</v>
      </c>
      <c r="CH1362" s="1">
        <v>0.594</v>
      </c>
      <c r="CI1362" s="1">
        <v>6.8875</v>
      </c>
      <c r="CJ1362" s="1">
        <v>0.5285</v>
      </c>
      <c r="CK1362" s="1">
        <v>0.0</v>
      </c>
      <c r="CL1362" s="1">
        <v>0.0</v>
      </c>
      <c r="CM1362" s="1">
        <v>0.0</v>
      </c>
      <c r="CN1362" s="1">
        <v>0.0</v>
      </c>
      <c r="CO1362" s="1">
        <v>0.0</v>
      </c>
      <c r="CP1362" s="1">
        <v>0.0</v>
      </c>
      <c r="CQ1362" s="1">
        <v>0.0</v>
      </c>
      <c r="CR1362" s="1">
        <v>0.0</v>
      </c>
      <c r="CS1362" s="1">
        <v>0.0</v>
      </c>
      <c r="CT1362" s="1">
        <v>0.0</v>
      </c>
      <c r="CU1362" s="1">
        <v>0.0</v>
      </c>
      <c r="CV1362" s="1">
        <v>0.0</v>
      </c>
      <c r="CW1362" s="1">
        <v>0.0</v>
      </c>
      <c r="CX1362" s="1">
        <v>0.0</v>
      </c>
      <c r="CY1362" s="1">
        <v>0.0</v>
      </c>
      <c r="CZ1362" s="1">
        <v>0.0</v>
      </c>
      <c r="DA1362" s="1">
        <v>0.0</v>
      </c>
      <c r="DB1362" s="1">
        <v>0.0</v>
      </c>
      <c r="DC1362" s="1">
        <v>0.0</v>
      </c>
      <c r="DD1362" s="1" t="s">
        <v>5925</v>
      </c>
      <c r="DE1362" s="1">
        <v>2.42675266815077E-4</v>
      </c>
      <c r="DF1362" s="1">
        <v>0.0768520457045371</v>
      </c>
    </row>
    <row r="1363" ht="15.75" customHeight="1">
      <c r="A1363" s="1" t="s">
        <v>5926</v>
      </c>
      <c r="B1363" s="1">
        <v>29.0</v>
      </c>
      <c r="C1363" s="1">
        <v>510.0</v>
      </c>
      <c r="D1363" s="1">
        <v>116302.0</v>
      </c>
      <c r="E1363" s="1">
        <v>0.238</v>
      </c>
      <c r="F1363" s="1">
        <v>29510.0</v>
      </c>
      <c r="G1363" s="1">
        <v>2.9510116302E10</v>
      </c>
      <c r="H1363" s="1" t="s">
        <v>112</v>
      </c>
      <c r="I1363" s="1" t="s">
        <v>113</v>
      </c>
      <c r="J1363" s="1" t="s">
        <v>5663</v>
      </c>
      <c r="K1363" s="1" t="s">
        <v>5927</v>
      </c>
      <c r="L1363" s="1">
        <v>3007.0</v>
      </c>
      <c r="M1363" s="1">
        <v>3135.0</v>
      </c>
      <c r="N1363" s="1">
        <v>501.0</v>
      </c>
      <c r="O1363" s="1">
        <v>1517.0</v>
      </c>
      <c r="P1363" s="1">
        <v>1552.0</v>
      </c>
      <c r="Q1363" s="1">
        <v>110.0</v>
      </c>
      <c r="R1363" s="1">
        <v>1239.0</v>
      </c>
      <c r="S1363" s="1">
        <v>970.0</v>
      </c>
      <c r="T1363" s="1">
        <v>436.0</v>
      </c>
      <c r="U1363" s="1">
        <v>219.0</v>
      </c>
      <c r="V1363" s="1">
        <v>423.0</v>
      </c>
      <c r="W1363" s="1">
        <v>16122.0</v>
      </c>
      <c r="X1363" s="1">
        <v>4178.0</v>
      </c>
      <c r="Y1363" s="1">
        <v>497.0</v>
      </c>
      <c r="Z1363" s="1">
        <v>355.0</v>
      </c>
      <c r="AA1363" s="1">
        <v>199.0</v>
      </c>
      <c r="AB1363" s="1">
        <v>788.0</v>
      </c>
      <c r="AC1363" s="1">
        <v>238.0</v>
      </c>
      <c r="AD1363" s="1">
        <v>2351.0</v>
      </c>
      <c r="AE1363" s="1">
        <v>603.0</v>
      </c>
      <c r="AF1363" s="1">
        <v>462.0</v>
      </c>
      <c r="AG1363" s="1">
        <v>267.0</v>
      </c>
      <c r="AH1363" s="1">
        <v>183.0</v>
      </c>
      <c r="AI1363" s="1">
        <v>31.0</v>
      </c>
      <c r="AJ1363" s="1">
        <v>36.0</v>
      </c>
      <c r="AK1363" s="1">
        <v>116.0</v>
      </c>
      <c r="AL1363" s="1">
        <v>129.0</v>
      </c>
      <c r="AM1363" s="1">
        <v>551.0</v>
      </c>
      <c r="AN1363" s="1">
        <v>191.0</v>
      </c>
      <c r="AO1363" s="1">
        <v>0.0</v>
      </c>
      <c r="AP1363" s="1">
        <v>0.311096</v>
      </c>
      <c r="AQ1363" s="1">
        <v>0.130593</v>
      </c>
      <c r="AR1363" s="1">
        <v>0.137735</v>
      </c>
      <c r="AS1363" s="1">
        <v>0.263883</v>
      </c>
      <c r="AT1363" s="1">
        <v>16122.0</v>
      </c>
      <c r="AU1363" s="1">
        <v>4178.0</v>
      </c>
      <c r="AV1363" s="1">
        <v>0.229986</v>
      </c>
      <c r="AW1363" s="1">
        <v>0.160217</v>
      </c>
      <c r="AX1363" s="1">
        <v>0.066178</v>
      </c>
      <c r="AY1363" s="1">
        <v>0.262055</v>
      </c>
      <c r="AZ1363" s="1">
        <v>0.19209039</v>
      </c>
      <c r="BA1363" s="1">
        <v>0.781842</v>
      </c>
      <c r="BB1363" s="1">
        <v>0.201268</v>
      </c>
      <c r="BC1363" s="1">
        <v>0.150896</v>
      </c>
      <c r="BD1363" s="1">
        <v>0.172036</v>
      </c>
      <c r="BE1363" s="1">
        <v>0.11728</v>
      </c>
      <c r="BF1363" s="1">
        <v>0.019974</v>
      </c>
      <c r="BG1363" s="1">
        <v>0.023152</v>
      </c>
      <c r="BH1363" s="1">
        <v>0.093247</v>
      </c>
      <c r="BI1363" s="1">
        <v>0.102855</v>
      </c>
      <c r="BJ1363" s="1">
        <v>0.442926</v>
      </c>
      <c r="BK1363" s="1">
        <v>0.140166</v>
      </c>
      <c r="BL1363" s="1">
        <v>0.0</v>
      </c>
      <c r="BM1363" s="1">
        <v>0.892</v>
      </c>
      <c r="BN1363" s="1">
        <v>0.874</v>
      </c>
      <c r="BO1363" s="1">
        <v>0.8318</v>
      </c>
      <c r="BP1363" s="1">
        <v>0.826</v>
      </c>
      <c r="BQ1363" s="1">
        <v>3.4238</v>
      </c>
      <c r="BR1363" s="1">
        <v>0.9054</v>
      </c>
      <c r="BS1363" s="1">
        <v>0.067</v>
      </c>
      <c r="BT1363" s="1">
        <v>0.72</v>
      </c>
      <c r="BU1363" s="1">
        <v>0.89</v>
      </c>
      <c r="BV1363" s="1">
        <v>1.677</v>
      </c>
      <c r="BW1363" s="1">
        <v>0.625</v>
      </c>
      <c r="BX1363" s="1">
        <v>0.92</v>
      </c>
      <c r="BY1363" s="1">
        <v>0.994</v>
      </c>
      <c r="BZ1363" s="1">
        <v>1.914</v>
      </c>
      <c r="CA1363" s="1">
        <v>0.997</v>
      </c>
      <c r="CB1363" s="1">
        <v>0.87</v>
      </c>
      <c r="CC1363" s="1">
        <v>0.51</v>
      </c>
      <c r="CD1363" s="1">
        <v>0.994</v>
      </c>
      <c r="CE1363" s="1">
        <v>0.992</v>
      </c>
      <c r="CF1363" s="1">
        <v>0.0</v>
      </c>
      <c r="CG1363" s="1">
        <v>3.366</v>
      </c>
      <c r="CH1363" s="1">
        <v>0.9</v>
      </c>
      <c r="CI1363" s="1">
        <v>10.3808</v>
      </c>
      <c r="CJ1363" s="1">
        <v>0.9697</v>
      </c>
      <c r="CK1363" s="1">
        <v>0.0</v>
      </c>
      <c r="CL1363" s="1">
        <v>0.0</v>
      </c>
      <c r="CM1363" s="1">
        <v>0.0</v>
      </c>
      <c r="CN1363" s="1">
        <v>0.0</v>
      </c>
      <c r="CO1363" s="1">
        <v>0.0</v>
      </c>
      <c r="CP1363" s="1">
        <v>0.0</v>
      </c>
      <c r="CQ1363" s="1">
        <v>0.0</v>
      </c>
      <c r="CR1363" s="1">
        <v>0.0</v>
      </c>
      <c r="CS1363" s="1">
        <v>0.0</v>
      </c>
      <c r="CT1363" s="1">
        <v>1.0</v>
      </c>
      <c r="CU1363" s="1">
        <v>1.0</v>
      </c>
      <c r="CV1363" s="1">
        <v>2.0</v>
      </c>
      <c r="CW1363" s="1">
        <v>0.0</v>
      </c>
      <c r="CX1363" s="1">
        <v>0.0</v>
      </c>
      <c r="CY1363" s="1">
        <v>1.0</v>
      </c>
      <c r="CZ1363" s="1">
        <v>1.0</v>
      </c>
      <c r="DA1363" s="1">
        <v>0.0</v>
      </c>
      <c r="DB1363" s="1">
        <v>2.0</v>
      </c>
      <c r="DC1363" s="1">
        <v>4.0</v>
      </c>
      <c r="DD1363" s="1" t="s">
        <v>5928</v>
      </c>
      <c r="DE1363" s="2" t="s">
        <v>5929</v>
      </c>
      <c r="DF1363" s="2" t="s">
        <v>5930</v>
      </c>
    </row>
    <row r="1364" ht="15.75" customHeight="1">
      <c r="A1364" s="1" t="s">
        <v>5931</v>
      </c>
      <c r="B1364" s="1">
        <v>29.0</v>
      </c>
      <c r="C1364" s="1">
        <v>510.0</v>
      </c>
      <c r="D1364" s="1">
        <v>116400.0</v>
      </c>
      <c r="E1364" s="1">
        <v>0.388</v>
      </c>
      <c r="F1364" s="1">
        <v>29510.0</v>
      </c>
      <c r="G1364" s="1">
        <v>2.95101164E10</v>
      </c>
      <c r="H1364" s="1" t="s">
        <v>112</v>
      </c>
      <c r="I1364" s="1" t="s">
        <v>113</v>
      </c>
      <c r="J1364" s="1" t="s">
        <v>5663</v>
      </c>
      <c r="K1364" s="1" t="s">
        <v>5932</v>
      </c>
      <c r="L1364" s="1">
        <v>4891.0</v>
      </c>
      <c r="M1364" s="1">
        <v>4848.0</v>
      </c>
      <c r="N1364" s="1">
        <v>677.0</v>
      </c>
      <c r="O1364" s="1">
        <v>2482.0</v>
      </c>
      <c r="P1364" s="1">
        <v>2586.0</v>
      </c>
      <c r="Q1364" s="1">
        <v>101.0</v>
      </c>
      <c r="R1364" s="1">
        <v>1825.0</v>
      </c>
      <c r="S1364" s="1">
        <v>2093.0</v>
      </c>
      <c r="T1364" s="1">
        <v>687.0</v>
      </c>
      <c r="U1364" s="1">
        <v>449.0</v>
      </c>
      <c r="V1364" s="1">
        <v>367.0</v>
      </c>
      <c r="W1364" s="1">
        <v>12186.0</v>
      </c>
      <c r="X1364" s="1">
        <v>2691.0</v>
      </c>
      <c r="Y1364" s="1">
        <v>744.0</v>
      </c>
      <c r="Z1364" s="1">
        <v>271.0</v>
      </c>
      <c r="AA1364" s="1">
        <v>297.0</v>
      </c>
      <c r="AB1364" s="1">
        <v>1483.0</v>
      </c>
      <c r="AC1364" s="1">
        <v>437.0</v>
      </c>
      <c r="AD1364" s="1">
        <v>3814.0</v>
      </c>
      <c r="AE1364" s="1">
        <v>240.0</v>
      </c>
      <c r="AF1364" s="1">
        <v>404.0</v>
      </c>
      <c r="AG1364" s="1">
        <v>180.0</v>
      </c>
      <c r="AH1364" s="1">
        <v>87.0</v>
      </c>
      <c r="AI1364" s="1">
        <v>15.0</v>
      </c>
      <c r="AJ1364" s="1">
        <v>26.0</v>
      </c>
      <c r="AK1364" s="1">
        <v>140.0</v>
      </c>
      <c r="AL1364" s="1">
        <v>147.0</v>
      </c>
      <c r="AM1364" s="1">
        <v>602.0</v>
      </c>
      <c r="AN1364" s="1">
        <v>171.0</v>
      </c>
      <c r="AO1364" s="1">
        <v>9.0</v>
      </c>
      <c r="AP1364" s="1">
        <v>0.431724</v>
      </c>
      <c r="AQ1364" s="1">
        <v>0.128243</v>
      </c>
      <c r="AR1364" s="1">
        <v>0.20739</v>
      </c>
      <c r="AS1364" s="1">
        <v>0.166049</v>
      </c>
      <c r="AT1364" s="1">
        <v>12186.0</v>
      </c>
      <c r="AU1364" s="1">
        <v>2691.0</v>
      </c>
      <c r="AV1364" s="1">
        <v>0.275555</v>
      </c>
      <c r="AW1364" s="1">
        <v>0.093444</v>
      </c>
      <c r="AX1364" s="1">
        <v>0.060723</v>
      </c>
      <c r="AY1364" s="1">
        <v>0.303209</v>
      </c>
      <c r="AZ1364" s="1">
        <v>0.23945205</v>
      </c>
      <c r="BA1364" s="1">
        <v>0.779799</v>
      </c>
      <c r="BB1364" s="1">
        <v>0.053859</v>
      </c>
      <c r="BC1364" s="1">
        <v>0.090327</v>
      </c>
      <c r="BD1364" s="1">
        <v>0.069605</v>
      </c>
      <c r="BE1364" s="1">
        <v>0.033532</v>
      </c>
      <c r="BF1364" s="1">
        <v>0.0058</v>
      </c>
      <c r="BG1364" s="1">
        <v>0.010051</v>
      </c>
      <c r="BH1364" s="1">
        <v>0.073336</v>
      </c>
      <c r="BI1364" s="1">
        <v>0.076642</v>
      </c>
      <c r="BJ1364" s="1">
        <v>0.315348</v>
      </c>
      <c r="BK1364" s="1">
        <v>0.083646</v>
      </c>
      <c r="BL1364" s="1">
        <v>0.00184</v>
      </c>
      <c r="BM1364" s="1">
        <v>0.972</v>
      </c>
      <c r="BN1364" s="1">
        <v>0.957</v>
      </c>
      <c r="BO1364" s="1">
        <v>0.9567</v>
      </c>
      <c r="BP1364" s="1">
        <v>0.913</v>
      </c>
      <c r="BQ1364" s="1">
        <v>3.7987</v>
      </c>
      <c r="BR1364" s="1">
        <v>0.9798</v>
      </c>
      <c r="BS1364" s="1">
        <v>0.046</v>
      </c>
      <c r="BT1364" s="1">
        <v>0.933</v>
      </c>
      <c r="BU1364" s="1">
        <v>0.935</v>
      </c>
      <c r="BV1364" s="1">
        <v>1.914</v>
      </c>
      <c r="BW1364" s="1">
        <v>0.81</v>
      </c>
      <c r="BX1364" s="1">
        <v>0.919</v>
      </c>
      <c r="BY1364" s="1">
        <v>0.965</v>
      </c>
      <c r="BZ1364" s="1">
        <v>1.884</v>
      </c>
      <c r="CA1364" s="1">
        <v>0.985</v>
      </c>
      <c r="CB1364" s="1">
        <v>0.714</v>
      </c>
      <c r="CC1364" s="1">
        <v>0.406</v>
      </c>
      <c r="CD1364" s="1">
        <v>0.98</v>
      </c>
      <c r="CE1364" s="1">
        <v>0.97</v>
      </c>
      <c r="CF1364" s="1">
        <v>0.437</v>
      </c>
      <c r="CG1364" s="1">
        <v>3.507</v>
      </c>
      <c r="CH1364" s="1">
        <v>0.936</v>
      </c>
      <c r="CI1364" s="1">
        <v>11.1037</v>
      </c>
      <c r="CJ1364" s="1">
        <v>0.9957</v>
      </c>
      <c r="CK1364" s="1">
        <v>1.0</v>
      </c>
      <c r="CL1364" s="1">
        <v>1.0</v>
      </c>
      <c r="CM1364" s="1">
        <v>1.0</v>
      </c>
      <c r="CN1364" s="1">
        <v>1.0</v>
      </c>
      <c r="CO1364" s="1">
        <v>4.0</v>
      </c>
      <c r="CP1364" s="1">
        <v>0.0</v>
      </c>
      <c r="CQ1364" s="1">
        <v>1.0</v>
      </c>
      <c r="CR1364" s="1">
        <v>1.0</v>
      </c>
      <c r="CS1364" s="1">
        <v>2.0</v>
      </c>
      <c r="CT1364" s="1">
        <v>1.0</v>
      </c>
      <c r="CU1364" s="1">
        <v>1.0</v>
      </c>
      <c r="CV1364" s="1">
        <v>2.0</v>
      </c>
      <c r="CW1364" s="1">
        <v>0.0</v>
      </c>
      <c r="CX1364" s="1">
        <v>0.0</v>
      </c>
      <c r="CY1364" s="1">
        <v>1.0</v>
      </c>
      <c r="CZ1364" s="1">
        <v>1.0</v>
      </c>
      <c r="DA1364" s="1">
        <v>0.0</v>
      </c>
      <c r="DB1364" s="1">
        <v>2.0</v>
      </c>
      <c r="DC1364" s="1">
        <v>10.0</v>
      </c>
      <c r="DD1364" s="1" t="s">
        <v>5933</v>
      </c>
      <c r="DE1364" s="1">
        <v>1.0387942451013E-4</v>
      </c>
      <c r="DF1364" s="1">
        <v>0.0449876426311744</v>
      </c>
    </row>
    <row r="1365" ht="15.75" customHeight="1">
      <c r="A1365" s="1" t="s">
        <v>5934</v>
      </c>
      <c r="B1365" s="1">
        <v>29.0</v>
      </c>
      <c r="C1365" s="1">
        <v>510.0</v>
      </c>
      <c r="D1365" s="1">
        <v>116500.0</v>
      </c>
      <c r="E1365" s="1">
        <v>0.349</v>
      </c>
      <c r="F1365" s="1">
        <v>29510.0</v>
      </c>
      <c r="G1365" s="1">
        <v>2.95101165E10</v>
      </c>
      <c r="H1365" s="1" t="s">
        <v>112</v>
      </c>
      <c r="I1365" s="1" t="s">
        <v>113</v>
      </c>
      <c r="J1365" s="1" t="s">
        <v>5663</v>
      </c>
      <c r="K1365" s="1" t="s">
        <v>5935</v>
      </c>
      <c r="L1365" s="1">
        <v>3844.0</v>
      </c>
      <c r="M1365" s="1">
        <v>4630.0</v>
      </c>
      <c r="N1365" s="1">
        <v>588.0</v>
      </c>
      <c r="O1365" s="1">
        <v>2164.0</v>
      </c>
      <c r="P1365" s="1">
        <v>2349.0</v>
      </c>
      <c r="Q1365" s="1">
        <v>101.0</v>
      </c>
      <c r="R1365" s="1">
        <v>1682.0</v>
      </c>
      <c r="S1365" s="1">
        <v>747.0</v>
      </c>
      <c r="T1365" s="1">
        <v>295.0</v>
      </c>
      <c r="U1365" s="1">
        <v>262.0</v>
      </c>
      <c r="V1365" s="1">
        <v>402.0</v>
      </c>
      <c r="W1365" s="1">
        <v>21049.0</v>
      </c>
      <c r="X1365" s="1">
        <v>2459.0</v>
      </c>
      <c r="Y1365" s="1">
        <v>487.0</v>
      </c>
      <c r="Z1365" s="1">
        <v>253.0</v>
      </c>
      <c r="AA1365" s="1">
        <v>264.0</v>
      </c>
      <c r="AB1365" s="1">
        <v>881.0</v>
      </c>
      <c r="AC1365" s="1">
        <v>295.0</v>
      </c>
      <c r="AD1365" s="1">
        <v>2293.0</v>
      </c>
      <c r="AE1365" s="1">
        <v>189.0</v>
      </c>
      <c r="AF1365" s="1">
        <v>393.0</v>
      </c>
      <c r="AG1365" s="1">
        <v>113.0</v>
      </c>
      <c r="AH1365" s="1">
        <v>144.0</v>
      </c>
      <c r="AI1365" s="1">
        <v>0.0</v>
      </c>
      <c r="AJ1365" s="1">
        <v>114.0</v>
      </c>
      <c r="AK1365" s="1">
        <v>53.0</v>
      </c>
      <c r="AL1365" s="1">
        <v>120.0</v>
      </c>
      <c r="AM1365" s="1">
        <v>290.0</v>
      </c>
      <c r="AN1365" s="1">
        <v>107.0</v>
      </c>
      <c r="AO1365" s="1">
        <v>5.0</v>
      </c>
      <c r="AP1365" s="1">
        <v>0.161339</v>
      </c>
      <c r="AQ1365" s="1">
        <v>0.06033</v>
      </c>
      <c r="AR1365" s="1">
        <v>0.10944</v>
      </c>
      <c r="AS1365" s="1">
        <v>0.16722</v>
      </c>
      <c r="AT1365" s="1">
        <v>21049.0</v>
      </c>
      <c r="AU1365" s="1">
        <v>2459.0</v>
      </c>
      <c r="AV1365" s="1">
        <v>0.165815</v>
      </c>
      <c r="AW1365" s="1">
        <v>0.084539</v>
      </c>
      <c r="AX1365" s="1">
        <v>0.068678</v>
      </c>
      <c r="AY1365" s="1">
        <v>0.229188</v>
      </c>
      <c r="AZ1365" s="1">
        <v>0.17538644</v>
      </c>
      <c r="BA1365" s="1">
        <v>0.596514</v>
      </c>
      <c r="BB1365" s="1">
        <v>0.043578</v>
      </c>
      <c r="BC1365" s="1">
        <v>0.090446</v>
      </c>
      <c r="BD1365" s="1">
        <v>0.048105</v>
      </c>
      <c r="BE1365" s="1">
        <v>0.061267</v>
      </c>
      <c r="BF1365" s="1">
        <v>0.0</v>
      </c>
      <c r="BG1365" s="1">
        <v>0.048531</v>
      </c>
      <c r="BH1365" s="1">
        <v>0.029009</v>
      </c>
      <c r="BI1365" s="1">
        <v>0.065641</v>
      </c>
      <c r="BJ1365" s="1">
        <v>0.15873</v>
      </c>
      <c r="BK1365" s="1">
        <v>0.057195</v>
      </c>
      <c r="BL1365" s="1">
        <v>0.0013</v>
      </c>
      <c r="BM1365" s="1">
        <v>0.615</v>
      </c>
      <c r="BN1365" s="1">
        <v>0.785</v>
      </c>
      <c r="BO1365" s="1">
        <v>0.5473</v>
      </c>
      <c r="BP1365" s="1">
        <v>0.637</v>
      </c>
      <c r="BQ1365" s="1">
        <v>2.5843</v>
      </c>
      <c r="BR1365" s="1">
        <v>0.6975</v>
      </c>
      <c r="BS1365" s="1">
        <v>0.08</v>
      </c>
      <c r="BT1365" s="1">
        <v>0.376</v>
      </c>
      <c r="BU1365" s="1">
        <v>0.856</v>
      </c>
      <c r="BV1365" s="1">
        <v>1.312</v>
      </c>
      <c r="BW1365" s="1">
        <v>0.314</v>
      </c>
      <c r="BX1365" s="1">
        <v>0.883</v>
      </c>
      <c r="BY1365" s="1">
        <v>0.949</v>
      </c>
      <c r="BZ1365" s="1">
        <v>1.832</v>
      </c>
      <c r="CA1365" s="1">
        <v>0.974</v>
      </c>
      <c r="CB1365" s="1">
        <v>0.648</v>
      </c>
      <c r="CC1365" s="1">
        <v>0.0</v>
      </c>
      <c r="CD1365" s="1">
        <v>0.794</v>
      </c>
      <c r="CE1365" s="1">
        <v>0.869</v>
      </c>
      <c r="CF1365" s="1">
        <v>0.415</v>
      </c>
      <c r="CG1365" s="1">
        <v>2.726</v>
      </c>
      <c r="CH1365" s="1">
        <v>0.656</v>
      </c>
      <c r="CI1365" s="1">
        <v>8.4543</v>
      </c>
      <c r="CJ1365" s="1">
        <v>0.7776</v>
      </c>
      <c r="CK1365" s="1">
        <v>0.0</v>
      </c>
      <c r="CL1365" s="1">
        <v>0.0</v>
      </c>
      <c r="CM1365" s="1">
        <v>0.0</v>
      </c>
      <c r="CN1365" s="1">
        <v>0.0</v>
      </c>
      <c r="CO1365" s="1">
        <v>0.0</v>
      </c>
      <c r="CP1365" s="1">
        <v>0.0</v>
      </c>
      <c r="CQ1365" s="1">
        <v>0.0</v>
      </c>
      <c r="CR1365" s="1">
        <v>0.0</v>
      </c>
      <c r="CS1365" s="1">
        <v>0.0</v>
      </c>
      <c r="CT1365" s="1">
        <v>0.0</v>
      </c>
      <c r="CU1365" s="1">
        <v>1.0</v>
      </c>
      <c r="CV1365" s="1">
        <v>1.0</v>
      </c>
      <c r="CW1365" s="1">
        <v>0.0</v>
      </c>
      <c r="CX1365" s="1">
        <v>0.0</v>
      </c>
      <c r="CY1365" s="1">
        <v>0.0</v>
      </c>
      <c r="CZ1365" s="1">
        <v>0.0</v>
      </c>
      <c r="DA1365" s="1">
        <v>0.0</v>
      </c>
      <c r="DB1365" s="1">
        <v>0.0</v>
      </c>
      <c r="DC1365" s="1">
        <v>1.0</v>
      </c>
      <c r="DD1365" s="1" t="s">
        <v>5936</v>
      </c>
      <c r="DE1365" s="2" t="s">
        <v>5937</v>
      </c>
      <c r="DF1365" s="1">
        <v>0.0385910667319144</v>
      </c>
    </row>
    <row r="1366" ht="15.75" customHeight="1">
      <c r="A1366" s="1" t="s">
        <v>5938</v>
      </c>
      <c r="B1366" s="1">
        <v>29.0</v>
      </c>
      <c r="C1366" s="1">
        <v>510.0</v>
      </c>
      <c r="D1366" s="1">
        <v>117200.0</v>
      </c>
      <c r="E1366" s="1">
        <v>0.489</v>
      </c>
      <c r="F1366" s="1">
        <v>29510.0</v>
      </c>
      <c r="G1366" s="1">
        <v>2.95101172E10</v>
      </c>
      <c r="H1366" s="1" t="s">
        <v>112</v>
      </c>
      <c r="I1366" s="1" t="s">
        <v>113</v>
      </c>
      <c r="J1366" s="1" t="s">
        <v>5663</v>
      </c>
      <c r="K1366" s="1" t="s">
        <v>5939</v>
      </c>
      <c r="L1366" s="1">
        <v>5359.0</v>
      </c>
      <c r="M1366" s="1">
        <v>5296.0</v>
      </c>
      <c r="N1366" s="1">
        <v>502.0</v>
      </c>
      <c r="O1366" s="1">
        <v>2855.0</v>
      </c>
      <c r="P1366" s="1">
        <v>3037.0</v>
      </c>
      <c r="Q1366" s="1">
        <v>111.0</v>
      </c>
      <c r="R1366" s="1">
        <v>2319.0</v>
      </c>
      <c r="S1366" s="1">
        <v>1298.0</v>
      </c>
      <c r="T1366" s="1">
        <v>475.0</v>
      </c>
      <c r="U1366" s="1">
        <v>286.0</v>
      </c>
      <c r="V1366" s="1">
        <v>346.0</v>
      </c>
      <c r="W1366" s="1">
        <v>25079.0</v>
      </c>
      <c r="X1366" s="1">
        <v>2846.0</v>
      </c>
      <c r="Y1366" s="1">
        <v>573.0</v>
      </c>
      <c r="Z1366" s="1">
        <v>279.0</v>
      </c>
      <c r="AA1366" s="1">
        <v>316.0</v>
      </c>
      <c r="AB1366" s="1">
        <v>1313.0</v>
      </c>
      <c r="AC1366" s="1">
        <v>369.0</v>
      </c>
      <c r="AD1366" s="1">
        <v>2894.0</v>
      </c>
      <c r="AE1366" s="1">
        <v>55.0</v>
      </c>
      <c r="AF1366" s="1">
        <v>414.0</v>
      </c>
      <c r="AG1366" s="1">
        <v>188.0</v>
      </c>
      <c r="AH1366" s="1">
        <v>154.0</v>
      </c>
      <c r="AI1366" s="1">
        <v>0.0</v>
      </c>
      <c r="AJ1366" s="1">
        <v>114.0</v>
      </c>
      <c r="AK1366" s="1">
        <v>47.0</v>
      </c>
      <c r="AL1366" s="1">
        <v>130.0</v>
      </c>
      <c r="AM1366" s="1">
        <v>427.0</v>
      </c>
      <c r="AN1366" s="1">
        <v>170.0</v>
      </c>
      <c r="AO1366" s="1">
        <v>31.0</v>
      </c>
      <c r="AP1366" s="1">
        <v>0.24509</v>
      </c>
      <c r="AQ1366" s="1">
        <v>0.086629</v>
      </c>
      <c r="AR1366" s="1">
        <v>0.086771</v>
      </c>
      <c r="AS1366" s="1">
        <v>0.104467</v>
      </c>
      <c r="AT1366" s="1">
        <v>25079.0</v>
      </c>
      <c r="AU1366" s="1">
        <v>2846.0</v>
      </c>
      <c r="AV1366" s="1">
        <v>0.162922</v>
      </c>
      <c r="AW1366" s="1">
        <v>0.078366</v>
      </c>
      <c r="AX1366" s="1">
        <v>0.058966</v>
      </c>
      <c r="AY1366" s="1">
        <v>0.245008</v>
      </c>
      <c r="AZ1366" s="1">
        <v>0.15912031</v>
      </c>
      <c r="BA1366" s="1">
        <v>0.540026</v>
      </c>
      <c r="BB1366" s="1">
        <v>0.010856</v>
      </c>
      <c r="BC1366" s="1">
        <v>0.081715</v>
      </c>
      <c r="BD1366" s="1">
        <v>0.061903</v>
      </c>
      <c r="BE1366" s="1">
        <v>0.050657</v>
      </c>
      <c r="BF1366" s="1">
        <v>0.0</v>
      </c>
      <c r="BG1366" s="1">
        <v>0.037537</v>
      </c>
      <c r="BH1366" s="1">
        <v>0.01883</v>
      </c>
      <c r="BI1366" s="1">
        <v>0.052067</v>
      </c>
      <c r="BJ1366" s="1">
        <v>0.171073</v>
      </c>
      <c r="BK1366" s="1">
        <v>0.067092</v>
      </c>
      <c r="BL1366" s="1">
        <v>0.005784</v>
      </c>
      <c r="BM1366" s="1">
        <v>0.817</v>
      </c>
      <c r="BN1366" s="1">
        <v>0.658</v>
      </c>
      <c r="BO1366" s="1">
        <v>0.3437</v>
      </c>
      <c r="BP1366" s="1">
        <v>0.624</v>
      </c>
      <c r="BQ1366" s="1">
        <v>2.4427</v>
      </c>
      <c r="BR1366" s="1">
        <v>0.6462</v>
      </c>
      <c r="BS1366" s="1">
        <v>0.04</v>
      </c>
      <c r="BT1366" s="1">
        <v>0.548</v>
      </c>
      <c r="BU1366" s="1">
        <v>0.82</v>
      </c>
      <c r="BV1366" s="1">
        <v>1.408</v>
      </c>
      <c r="BW1366" s="1">
        <v>0.397</v>
      </c>
      <c r="BX1366" s="1">
        <v>0.871</v>
      </c>
      <c r="BY1366" s="1">
        <v>0.741</v>
      </c>
      <c r="BZ1366" s="1">
        <v>1.612</v>
      </c>
      <c r="CA1366" s="1">
        <v>0.878</v>
      </c>
      <c r="CB1366" s="1">
        <v>0.689</v>
      </c>
      <c r="CC1366" s="1">
        <v>0.0</v>
      </c>
      <c r="CD1366" s="1">
        <v>0.658</v>
      </c>
      <c r="CE1366" s="1">
        <v>0.879</v>
      </c>
      <c r="CF1366" s="1">
        <v>0.528</v>
      </c>
      <c r="CG1366" s="1">
        <v>2.754</v>
      </c>
      <c r="CH1366" s="1">
        <v>0.666</v>
      </c>
      <c r="CI1366" s="1">
        <v>8.2167</v>
      </c>
      <c r="CJ1366" s="1">
        <v>0.7466</v>
      </c>
      <c r="CK1366" s="1">
        <v>0.0</v>
      </c>
      <c r="CL1366" s="1">
        <v>0.0</v>
      </c>
      <c r="CM1366" s="1">
        <v>0.0</v>
      </c>
      <c r="CN1366" s="1">
        <v>0.0</v>
      </c>
      <c r="CO1366" s="1">
        <v>0.0</v>
      </c>
      <c r="CP1366" s="1">
        <v>0.0</v>
      </c>
      <c r="CQ1366" s="1">
        <v>0.0</v>
      </c>
      <c r="CR1366" s="1">
        <v>0.0</v>
      </c>
      <c r="CS1366" s="1">
        <v>0.0</v>
      </c>
      <c r="CT1366" s="1">
        <v>0.0</v>
      </c>
      <c r="CU1366" s="1">
        <v>0.0</v>
      </c>
      <c r="CV1366" s="1">
        <v>0.0</v>
      </c>
      <c r="CW1366" s="1">
        <v>0.0</v>
      </c>
      <c r="CX1366" s="1">
        <v>0.0</v>
      </c>
      <c r="CY1366" s="1">
        <v>0.0</v>
      </c>
      <c r="CZ1366" s="1">
        <v>0.0</v>
      </c>
      <c r="DA1366" s="1">
        <v>0.0</v>
      </c>
      <c r="DB1366" s="1">
        <v>0.0</v>
      </c>
      <c r="DC1366" s="1">
        <v>0.0</v>
      </c>
      <c r="DD1366" s="1" t="s">
        <v>5940</v>
      </c>
      <c r="DE1366" s="1">
        <v>1.31088232483029E-4</v>
      </c>
      <c r="DF1366" s="1">
        <v>0.049904772313018</v>
      </c>
    </row>
    <row r="1367" ht="15.75" customHeight="1">
      <c r="A1367" s="1" t="s">
        <v>5941</v>
      </c>
      <c r="B1367" s="1">
        <v>29.0</v>
      </c>
      <c r="C1367" s="1">
        <v>510.0</v>
      </c>
      <c r="D1367" s="1">
        <v>117400.0</v>
      </c>
      <c r="E1367" s="1">
        <v>0.443</v>
      </c>
      <c r="F1367" s="1">
        <v>29510.0</v>
      </c>
      <c r="G1367" s="1">
        <v>2.95101174E10</v>
      </c>
      <c r="H1367" s="1" t="s">
        <v>112</v>
      </c>
      <c r="I1367" s="1" t="s">
        <v>113</v>
      </c>
      <c r="J1367" s="1" t="s">
        <v>5663</v>
      </c>
      <c r="K1367" s="1" t="s">
        <v>5942</v>
      </c>
      <c r="L1367" s="1">
        <v>4235.0</v>
      </c>
      <c r="M1367" s="1">
        <v>4503.0</v>
      </c>
      <c r="N1367" s="1">
        <v>604.0</v>
      </c>
      <c r="O1367" s="1">
        <v>2308.0</v>
      </c>
      <c r="P1367" s="1">
        <v>2393.0</v>
      </c>
      <c r="Q1367" s="1">
        <v>137.0</v>
      </c>
      <c r="R1367" s="1">
        <v>1872.0</v>
      </c>
      <c r="S1367" s="1">
        <v>640.0</v>
      </c>
      <c r="T1367" s="1">
        <v>333.0</v>
      </c>
      <c r="U1367" s="1">
        <v>181.0</v>
      </c>
      <c r="V1367" s="1">
        <v>427.0</v>
      </c>
      <c r="W1367" s="1">
        <v>33661.0</v>
      </c>
      <c r="X1367" s="1">
        <v>8066.0</v>
      </c>
      <c r="Y1367" s="1">
        <v>310.0</v>
      </c>
      <c r="Z1367" s="1">
        <v>287.0</v>
      </c>
      <c r="AA1367" s="1">
        <v>515.0</v>
      </c>
      <c r="AB1367" s="1">
        <v>792.0</v>
      </c>
      <c r="AC1367" s="1">
        <v>217.0</v>
      </c>
      <c r="AD1367" s="1">
        <v>1902.0</v>
      </c>
      <c r="AE1367" s="1">
        <v>129.0</v>
      </c>
      <c r="AF1367" s="1">
        <v>419.0</v>
      </c>
      <c r="AG1367" s="1">
        <v>332.0</v>
      </c>
      <c r="AH1367" s="1">
        <v>150.0</v>
      </c>
      <c r="AI1367" s="1">
        <v>0.0</v>
      </c>
      <c r="AJ1367" s="1">
        <v>114.0</v>
      </c>
      <c r="AK1367" s="1">
        <v>98.0</v>
      </c>
      <c r="AL1367" s="1">
        <v>142.0</v>
      </c>
      <c r="AM1367" s="1">
        <v>330.0</v>
      </c>
      <c r="AN1367" s="1">
        <v>169.0</v>
      </c>
      <c r="AO1367" s="1">
        <v>236.0</v>
      </c>
      <c r="AP1367" s="1">
        <v>0.142127</v>
      </c>
      <c r="AQ1367" s="1">
        <v>0.071451</v>
      </c>
      <c r="AR1367" s="1">
        <v>0.068742</v>
      </c>
      <c r="AS1367" s="1">
        <v>0.161755</v>
      </c>
      <c r="AT1367" s="1">
        <v>33661.0</v>
      </c>
      <c r="AU1367" s="1">
        <v>8066.0</v>
      </c>
      <c r="AV1367" s="1">
        <v>0.117069</v>
      </c>
      <c r="AW1367" s="1">
        <v>0.107348</v>
      </c>
      <c r="AX1367" s="1">
        <v>0.121605</v>
      </c>
      <c r="AY1367" s="1">
        <v>0.187012</v>
      </c>
      <c r="AZ1367" s="1">
        <v>0.1159188</v>
      </c>
      <c r="BA1367" s="1">
        <v>0.449114</v>
      </c>
      <c r="BB1367" s="1">
        <v>0.029937</v>
      </c>
      <c r="BC1367" s="1">
        <v>0.097159</v>
      </c>
      <c r="BD1367" s="1">
        <v>0.138737</v>
      </c>
      <c r="BE1367" s="1">
        <v>0.062177</v>
      </c>
      <c r="BF1367" s="1">
        <v>0.0</v>
      </c>
      <c r="BG1367" s="1">
        <v>0.047638</v>
      </c>
      <c r="BH1367" s="1">
        <v>0.052518</v>
      </c>
      <c r="BI1367" s="1">
        <v>0.07589</v>
      </c>
      <c r="BJ1367" s="1">
        <v>0.176848</v>
      </c>
      <c r="BK1367" s="1">
        <v>0.088562</v>
      </c>
      <c r="BL1367" s="1">
        <v>0.055726</v>
      </c>
      <c r="BM1367" s="1">
        <v>0.553</v>
      </c>
      <c r="BN1367" s="1">
        <v>0.502</v>
      </c>
      <c r="BO1367" s="1">
        <v>0.1343</v>
      </c>
      <c r="BP1367" s="1">
        <v>0.414</v>
      </c>
      <c r="BQ1367" s="1">
        <v>1.6033</v>
      </c>
      <c r="BR1367" s="1">
        <v>0.374</v>
      </c>
      <c r="BS1367" s="1">
        <v>0.355</v>
      </c>
      <c r="BT1367" s="1">
        <v>0.14</v>
      </c>
      <c r="BU1367" s="1">
        <v>0.643</v>
      </c>
      <c r="BV1367" s="1">
        <v>1.138</v>
      </c>
      <c r="BW1367" s="1">
        <v>0.191</v>
      </c>
      <c r="BX1367" s="1">
        <v>0.856</v>
      </c>
      <c r="BY1367" s="1">
        <v>0.914</v>
      </c>
      <c r="BZ1367" s="1">
        <v>1.77</v>
      </c>
      <c r="CA1367" s="1">
        <v>0.951</v>
      </c>
      <c r="CB1367" s="1">
        <v>0.826</v>
      </c>
      <c r="CC1367" s="1">
        <v>0.0</v>
      </c>
      <c r="CD1367" s="1">
        <v>0.946</v>
      </c>
      <c r="CE1367" s="1">
        <v>0.885</v>
      </c>
      <c r="CF1367" s="1">
        <v>0.906</v>
      </c>
      <c r="CG1367" s="1">
        <v>3.563</v>
      </c>
      <c r="CH1367" s="1">
        <v>0.948</v>
      </c>
      <c r="CI1367" s="1">
        <v>8.0743</v>
      </c>
      <c r="CJ1367" s="1">
        <v>0.7271</v>
      </c>
      <c r="CK1367" s="1">
        <v>0.0</v>
      </c>
      <c r="CL1367" s="1">
        <v>0.0</v>
      </c>
      <c r="CM1367" s="1">
        <v>0.0</v>
      </c>
      <c r="CN1367" s="1">
        <v>0.0</v>
      </c>
      <c r="CO1367" s="1">
        <v>0.0</v>
      </c>
      <c r="CP1367" s="1">
        <v>0.0</v>
      </c>
      <c r="CQ1367" s="1">
        <v>0.0</v>
      </c>
      <c r="CR1367" s="1">
        <v>0.0</v>
      </c>
      <c r="CS1367" s="1">
        <v>0.0</v>
      </c>
      <c r="CT1367" s="1">
        <v>0.0</v>
      </c>
      <c r="CU1367" s="1">
        <v>1.0</v>
      </c>
      <c r="CV1367" s="1">
        <v>1.0</v>
      </c>
      <c r="CW1367" s="1">
        <v>0.0</v>
      </c>
      <c r="CX1367" s="1">
        <v>0.0</v>
      </c>
      <c r="CY1367" s="1">
        <v>1.0</v>
      </c>
      <c r="CZ1367" s="1">
        <v>0.0</v>
      </c>
      <c r="DA1367" s="1">
        <v>1.0</v>
      </c>
      <c r="DB1367" s="1">
        <v>2.0</v>
      </c>
      <c r="DC1367" s="1">
        <v>3.0</v>
      </c>
      <c r="DD1367" s="1" t="s">
        <v>5943</v>
      </c>
      <c r="DE1367" s="1">
        <v>1.18639825531173E-4</v>
      </c>
      <c r="DF1367" s="2" t="s">
        <v>5944</v>
      </c>
    </row>
    <row r="1368" ht="15.75" customHeight="1">
      <c r="A1368" s="1" t="s">
        <v>5945</v>
      </c>
      <c r="B1368" s="1">
        <v>29.0</v>
      </c>
      <c r="C1368" s="1">
        <v>510.0</v>
      </c>
      <c r="D1368" s="1">
        <v>118100.0</v>
      </c>
      <c r="E1368" s="1">
        <v>0.604</v>
      </c>
      <c r="F1368" s="1">
        <v>29510.0</v>
      </c>
      <c r="G1368" s="1">
        <v>2.95101181E10</v>
      </c>
      <c r="H1368" s="1" t="s">
        <v>112</v>
      </c>
      <c r="I1368" s="1" t="s">
        <v>113</v>
      </c>
      <c r="J1368" s="1" t="s">
        <v>5663</v>
      </c>
      <c r="K1368" s="1" t="s">
        <v>5946</v>
      </c>
      <c r="L1368" s="1">
        <v>1324.0</v>
      </c>
      <c r="M1368" s="1">
        <v>1080.0</v>
      </c>
      <c r="N1368" s="1">
        <v>270.0</v>
      </c>
      <c r="O1368" s="1">
        <v>843.0</v>
      </c>
      <c r="P1368" s="1">
        <v>873.0</v>
      </c>
      <c r="Q1368" s="1">
        <v>106.0</v>
      </c>
      <c r="R1368" s="1">
        <v>534.0</v>
      </c>
      <c r="S1368" s="1">
        <v>213.0</v>
      </c>
      <c r="T1368" s="1">
        <v>116.0</v>
      </c>
      <c r="U1368" s="1">
        <v>95.0</v>
      </c>
      <c r="V1368" s="1">
        <v>429.0</v>
      </c>
      <c r="W1368" s="1">
        <v>15859.0</v>
      </c>
      <c r="X1368" s="1">
        <v>3217.0</v>
      </c>
      <c r="Y1368" s="1">
        <v>196.0</v>
      </c>
      <c r="Z1368" s="1">
        <v>312.0</v>
      </c>
      <c r="AA1368" s="1">
        <v>81.0</v>
      </c>
      <c r="AB1368" s="1">
        <v>311.0</v>
      </c>
      <c r="AC1368" s="1">
        <v>120.0</v>
      </c>
      <c r="AD1368" s="1">
        <v>990.0</v>
      </c>
      <c r="AE1368" s="1">
        <v>0.0</v>
      </c>
      <c r="AF1368" s="1">
        <v>456.0</v>
      </c>
      <c r="AG1368" s="1">
        <v>17.0</v>
      </c>
      <c r="AH1368" s="1">
        <v>163.0</v>
      </c>
      <c r="AI1368" s="1">
        <v>0.0</v>
      </c>
      <c r="AJ1368" s="1">
        <v>114.0</v>
      </c>
      <c r="AK1368" s="1">
        <v>27.0</v>
      </c>
      <c r="AL1368" s="1">
        <v>118.0</v>
      </c>
      <c r="AM1368" s="1">
        <v>123.0</v>
      </c>
      <c r="AN1368" s="1">
        <v>77.0</v>
      </c>
      <c r="AO1368" s="1">
        <v>4.0</v>
      </c>
      <c r="AP1368" s="1">
        <v>0.197222</v>
      </c>
      <c r="AQ1368" s="1">
        <v>0.095421</v>
      </c>
      <c r="AR1368" s="1">
        <v>0.157284</v>
      </c>
      <c r="AS1368" s="1">
        <v>0.705451</v>
      </c>
      <c r="AT1368" s="1">
        <v>15859.0</v>
      </c>
      <c r="AU1368" s="1">
        <v>3217.0</v>
      </c>
      <c r="AV1368" s="1">
        <v>0.268861</v>
      </c>
      <c r="AW1368" s="1">
        <v>0.42499</v>
      </c>
      <c r="AX1368" s="1">
        <v>0.061178</v>
      </c>
      <c r="AY1368" s="1">
        <v>0.234894</v>
      </c>
      <c r="AZ1368" s="1">
        <v>0.2247191</v>
      </c>
      <c r="BA1368" s="1">
        <v>0.747734</v>
      </c>
      <c r="BB1368" s="1">
        <v>0.0</v>
      </c>
      <c r="BC1368" s="1">
        <v>0.447058</v>
      </c>
      <c r="BD1368" s="1">
        <v>0.019473</v>
      </c>
      <c r="BE1368" s="1">
        <v>0.186697</v>
      </c>
      <c r="BF1368" s="1">
        <v>0.0</v>
      </c>
      <c r="BG1368" s="1">
        <v>0.130584</v>
      </c>
      <c r="BH1368" s="1">
        <v>0.053149</v>
      </c>
      <c r="BI1368" s="1">
        <v>0.232075</v>
      </c>
      <c r="BJ1368" s="1">
        <v>0.242125</v>
      </c>
      <c r="BK1368" s="1">
        <v>0.144802</v>
      </c>
      <c r="BL1368" s="1">
        <v>0.003021</v>
      </c>
      <c r="BM1368" s="1">
        <v>0.721</v>
      </c>
      <c r="BN1368" s="1">
        <v>0.91</v>
      </c>
      <c r="BO1368" s="1">
        <v>0.8448</v>
      </c>
      <c r="BP1368" s="1">
        <v>0.904</v>
      </c>
      <c r="BQ1368" s="1">
        <v>3.3798</v>
      </c>
      <c r="BR1368" s="1">
        <v>0.8946</v>
      </c>
      <c r="BS1368" s="1">
        <v>0.047</v>
      </c>
      <c r="BT1368" s="1">
        <v>0.436</v>
      </c>
      <c r="BU1368" s="1">
        <v>0.92</v>
      </c>
      <c r="BV1368" s="1">
        <v>1.403</v>
      </c>
      <c r="BW1368" s="1">
        <v>0.393</v>
      </c>
      <c r="BX1368" s="1">
        <v>0.91</v>
      </c>
      <c r="BY1368" s="1">
        <v>0.0</v>
      </c>
      <c r="BZ1368" s="1">
        <v>0.91</v>
      </c>
      <c r="CA1368" s="1">
        <v>0.474</v>
      </c>
      <c r="CB1368" s="1">
        <v>0.458</v>
      </c>
      <c r="CC1368" s="1">
        <v>0.0</v>
      </c>
      <c r="CD1368" s="1">
        <v>0.948</v>
      </c>
      <c r="CE1368" s="1">
        <v>0.933</v>
      </c>
      <c r="CF1368" s="1">
        <v>0.475</v>
      </c>
      <c r="CG1368" s="1">
        <v>2.814</v>
      </c>
      <c r="CH1368" s="1">
        <v>0.694</v>
      </c>
      <c r="CI1368" s="1">
        <v>8.5068</v>
      </c>
      <c r="CJ1368" s="1">
        <v>0.7877</v>
      </c>
      <c r="CK1368" s="1">
        <v>0.0</v>
      </c>
      <c r="CL1368" s="1">
        <v>1.0</v>
      </c>
      <c r="CM1368" s="1">
        <v>0.0</v>
      </c>
      <c r="CN1368" s="1">
        <v>1.0</v>
      </c>
      <c r="CO1368" s="1">
        <v>2.0</v>
      </c>
      <c r="CP1368" s="1">
        <v>0.0</v>
      </c>
      <c r="CQ1368" s="1">
        <v>0.0</v>
      </c>
      <c r="CR1368" s="1">
        <v>1.0</v>
      </c>
      <c r="CS1368" s="1">
        <v>1.0</v>
      </c>
      <c r="CT1368" s="1">
        <v>1.0</v>
      </c>
      <c r="CU1368" s="1">
        <v>0.0</v>
      </c>
      <c r="CV1368" s="1">
        <v>1.0</v>
      </c>
      <c r="CW1368" s="1">
        <v>0.0</v>
      </c>
      <c r="CX1368" s="1">
        <v>0.0</v>
      </c>
      <c r="CY1368" s="1">
        <v>1.0</v>
      </c>
      <c r="CZ1368" s="1">
        <v>1.0</v>
      </c>
      <c r="DA1368" s="1">
        <v>0.0</v>
      </c>
      <c r="DB1368" s="1">
        <v>2.0</v>
      </c>
      <c r="DC1368" s="1">
        <v>6.0</v>
      </c>
      <c r="DD1368" s="1" t="s">
        <v>5947</v>
      </c>
      <c r="DE1368" s="1">
        <v>1.61156789362303E-4</v>
      </c>
      <c r="DF1368" s="1">
        <v>0.0591436276841243</v>
      </c>
    </row>
    <row r="1369" ht="15.75" customHeight="1">
      <c r="A1369" s="1" t="s">
        <v>5948</v>
      </c>
      <c r="B1369" s="1">
        <v>29.0</v>
      </c>
      <c r="C1369" s="1">
        <v>510.0</v>
      </c>
      <c r="D1369" s="1">
        <v>118600.0</v>
      </c>
      <c r="E1369" s="1">
        <v>1.051</v>
      </c>
      <c r="F1369" s="1">
        <v>29510.0</v>
      </c>
      <c r="G1369" s="1">
        <v>2.95101186E10</v>
      </c>
      <c r="H1369" s="1" t="s">
        <v>112</v>
      </c>
      <c r="I1369" s="1" t="s">
        <v>113</v>
      </c>
      <c r="J1369" s="1" t="s">
        <v>5663</v>
      </c>
      <c r="K1369" s="1" t="s">
        <v>5949</v>
      </c>
      <c r="L1369" s="1">
        <v>3421.0</v>
      </c>
      <c r="M1369" s="1">
        <v>3314.0</v>
      </c>
      <c r="N1369" s="1">
        <v>488.0</v>
      </c>
      <c r="O1369" s="1">
        <v>1756.0</v>
      </c>
      <c r="P1369" s="1">
        <v>1634.0</v>
      </c>
      <c r="Q1369" s="1">
        <v>71.0</v>
      </c>
      <c r="R1369" s="1">
        <v>1352.0</v>
      </c>
      <c r="S1369" s="1">
        <v>704.0</v>
      </c>
      <c r="T1369" s="1">
        <v>376.0</v>
      </c>
      <c r="U1369" s="1">
        <v>195.0</v>
      </c>
      <c r="V1369" s="1">
        <v>388.0</v>
      </c>
      <c r="W1369" s="1">
        <v>18132.0</v>
      </c>
      <c r="X1369" s="1">
        <v>3282.0</v>
      </c>
      <c r="Y1369" s="1">
        <v>217.0</v>
      </c>
      <c r="Z1369" s="1">
        <v>336.0</v>
      </c>
      <c r="AA1369" s="1">
        <v>224.0</v>
      </c>
      <c r="AB1369" s="1">
        <v>411.0</v>
      </c>
      <c r="AC1369" s="1">
        <v>153.0</v>
      </c>
      <c r="AD1369" s="1">
        <v>1822.0</v>
      </c>
      <c r="AE1369" s="1">
        <v>23.0</v>
      </c>
      <c r="AF1369" s="1">
        <v>442.0</v>
      </c>
      <c r="AG1369" s="1">
        <v>525.0</v>
      </c>
      <c r="AH1369" s="1">
        <v>131.0</v>
      </c>
      <c r="AI1369" s="1">
        <v>0.0</v>
      </c>
      <c r="AJ1369" s="1">
        <v>114.0</v>
      </c>
      <c r="AK1369" s="1">
        <v>0.0</v>
      </c>
      <c r="AL1369" s="1">
        <v>161.0</v>
      </c>
      <c r="AM1369" s="1">
        <v>282.0</v>
      </c>
      <c r="AN1369" s="1">
        <v>115.0</v>
      </c>
      <c r="AO1369" s="1">
        <v>819.0</v>
      </c>
      <c r="AP1369" s="1">
        <v>0.278481</v>
      </c>
      <c r="AQ1369" s="1">
        <v>0.141954</v>
      </c>
      <c r="AR1369" s="1">
        <v>0.120444</v>
      </c>
      <c r="AS1369" s="1">
        <v>0.23872</v>
      </c>
      <c r="AT1369" s="1">
        <v>18132.0</v>
      </c>
      <c r="AU1369" s="1">
        <v>3282.0</v>
      </c>
      <c r="AV1369" s="1">
        <v>0.138392</v>
      </c>
      <c r="AW1369" s="1">
        <v>0.213396</v>
      </c>
      <c r="AX1369" s="1">
        <v>0.065477</v>
      </c>
      <c r="AY1369" s="1">
        <v>0.12014</v>
      </c>
      <c r="AZ1369" s="1">
        <v>0.11316568</v>
      </c>
      <c r="BA1369" s="1">
        <v>0.532592</v>
      </c>
      <c r="BB1369" s="1">
        <v>0.007127</v>
      </c>
      <c r="BC1369" s="1">
        <v>0.136965</v>
      </c>
      <c r="BD1369" s="1">
        <v>0.321297</v>
      </c>
      <c r="BE1369" s="1">
        <v>0.078946</v>
      </c>
      <c r="BF1369" s="1">
        <v>0.0</v>
      </c>
      <c r="BG1369" s="1">
        <v>0.069767</v>
      </c>
      <c r="BH1369" s="1">
        <v>0.0</v>
      </c>
      <c r="BI1369" s="1">
        <v>0.131967</v>
      </c>
      <c r="BJ1369" s="1">
        <v>0.231147</v>
      </c>
      <c r="BK1369" s="1">
        <v>0.089935</v>
      </c>
      <c r="BL1369" s="1">
        <v>0.239403</v>
      </c>
      <c r="BM1369" s="1">
        <v>0.865</v>
      </c>
      <c r="BN1369" s="1">
        <v>0.823</v>
      </c>
      <c r="BO1369" s="1">
        <v>0.7235</v>
      </c>
      <c r="BP1369" s="1">
        <v>0.514</v>
      </c>
      <c r="BQ1369" s="1">
        <v>2.9255</v>
      </c>
      <c r="BR1369" s="1">
        <v>0.7848</v>
      </c>
      <c r="BS1369" s="1">
        <v>0.066</v>
      </c>
      <c r="BT1369" s="1">
        <v>0.037</v>
      </c>
      <c r="BU1369" s="1">
        <v>0.612</v>
      </c>
      <c r="BV1369" s="1">
        <v>0.715</v>
      </c>
      <c r="BW1369" s="1">
        <v>0.06</v>
      </c>
      <c r="BX1369" s="1">
        <v>0.87</v>
      </c>
      <c r="BY1369" s="1">
        <v>0.638</v>
      </c>
      <c r="BZ1369" s="1">
        <v>1.508</v>
      </c>
      <c r="CA1369" s="1">
        <v>0.831</v>
      </c>
      <c r="CB1369" s="1">
        <v>0.95</v>
      </c>
      <c r="CC1369" s="1">
        <v>0.0</v>
      </c>
      <c r="CD1369" s="1">
        <v>0.0</v>
      </c>
      <c r="CE1369" s="1">
        <v>0.928</v>
      </c>
      <c r="CF1369" s="1">
        <v>0.971</v>
      </c>
      <c r="CG1369" s="1">
        <v>2.849</v>
      </c>
      <c r="CH1369" s="1">
        <v>0.707</v>
      </c>
      <c r="CI1369" s="1">
        <v>7.9975</v>
      </c>
      <c r="CJ1369" s="1">
        <v>0.7119</v>
      </c>
      <c r="CK1369" s="1">
        <v>0.0</v>
      </c>
      <c r="CL1369" s="1">
        <v>0.0</v>
      </c>
      <c r="CM1369" s="1">
        <v>0.0</v>
      </c>
      <c r="CN1369" s="1">
        <v>0.0</v>
      </c>
      <c r="CO1369" s="1">
        <v>0.0</v>
      </c>
      <c r="CP1369" s="1">
        <v>0.0</v>
      </c>
      <c r="CQ1369" s="1">
        <v>0.0</v>
      </c>
      <c r="CR1369" s="1">
        <v>0.0</v>
      </c>
      <c r="CS1369" s="1">
        <v>0.0</v>
      </c>
      <c r="CT1369" s="1">
        <v>0.0</v>
      </c>
      <c r="CU1369" s="1">
        <v>0.0</v>
      </c>
      <c r="CV1369" s="1">
        <v>0.0</v>
      </c>
      <c r="CW1369" s="1">
        <v>1.0</v>
      </c>
      <c r="CX1369" s="1">
        <v>0.0</v>
      </c>
      <c r="CY1369" s="1">
        <v>0.0</v>
      </c>
      <c r="CZ1369" s="1">
        <v>1.0</v>
      </c>
      <c r="DA1369" s="1">
        <v>1.0</v>
      </c>
      <c r="DB1369" s="1">
        <v>3.0</v>
      </c>
      <c r="DC1369" s="1">
        <v>3.0</v>
      </c>
      <c r="DD1369" s="1" t="s">
        <v>5950</v>
      </c>
      <c r="DE1369" s="1">
        <v>2.80768198743803E-4</v>
      </c>
      <c r="DF1369" s="1">
        <v>0.0846783966478582</v>
      </c>
    </row>
    <row r="1370" ht="15.75" customHeight="1">
      <c r="A1370" s="1" t="s">
        <v>5951</v>
      </c>
      <c r="B1370" s="1">
        <v>29.0</v>
      </c>
      <c r="C1370" s="1">
        <v>510.0</v>
      </c>
      <c r="D1370" s="1">
        <v>119101.0</v>
      </c>
      <c r="E1370" s="1">
        <v>0.196</v>
      </c>
      <c r="F1370" s="1">
        <v>29510.0</v>
      </c>
      <c r="G1370" s="1">
        <v>2.9510119101E10</v>
      </c>
      <c r="H1370" s="1" t="s">
        <v>112</v>
      </c>
      <c r="I1370" s="1" t="s">
        <v>113</v>
      </c>
      <c r="J1370" s="1" t="s">
        <v>5663</v>
      </c>
      <c r="K1370" s="1" t="s">
        <v>5952</v>
      </c>
      <c r="L1370" s="1">
        <v>2584.0</v>
      </c>
      <c r="M1370" s="1">
        <v>2687.0</v>
      </c>
      <c r="N1370" s="1">
        <v>282.0</v>
      </c>
      <c r="O1370" s="1">
        <v>2020.0</v>
      </c>
      <c r="P1370" s="1">
        <v>2095.0</v>
      </c>
      <c r="Q1370" s="1">
        <v>121.0</v>
      </c>
      <c r="R1370" s="1">
        <v>1843.0</v>
      </c>
      <c r="S1370" s="1">
        <v>971.0</v>
      </c>
      <c r="T1370" s="1">
        <v>203.0</v>
      </c>
      <c r="U1370" s="1">
        <v>60.0</v>
      </c>
      <c r="V1370" s="1">
        <v>459.0</v>
      </c>
      <c r="W1370" s="1">
        <v>33858.0</v>
      </c>
      <c r="X1370" s="1">
        <v>4829.0</v>
      </c>
      <c r="Y1370" s="1">
        <v>332.0</v>
      </c>
      <c r="Z1370" s="1">
        <v>334.0</v>
      </c>
      <c r="AA1370" s="1">
        <v>422.0</v>
      </c>
      <c r="AB1370" s="1">
        <v>111.0</v>
      </c>
      <c r="AC1370" s="1">
        <v>34.0</v>
      </c>
      <c r="AD1370" s="1">
        <v>1296.0</v>
      </c>
      <c r="AE1370" s="1">
        <v>33.0</v>
      </c>
      <c r="AF1370" s="1">
        <v>428.0</v>
      </c>
      <c r="AG1370" s="1">
        <v>1517.0</v>
      </c>
      <c r="AH1370" s="1">
        <v>228.0</v>
      </c>
      <c r="AI1370" s="1">
        <v>0.0</v>
      </c>
      <c r="AJ1370" s="1">
        <v>114.0</v>
      </c>
      <c r="AK1370" s="1">
        <v>0.0</v>
      </c>
      <c r="AL1370" s="1">
        <v>161.0</v>
      </c>
      <c r="AM1370" s="1">
        <v>761.0</v>
      </c>
      <c r="AN1370" s="1">
        <v>177.0</v>
      </c>
      <c r="AO1370" s="1">
        <v>21.0</v>
      </c>
      <c r="AP1370" s="1">
        <v>0.361369</v>
      </c>
      <c r="AQ1370" s="1">
        <v>0.065339</v>
      </c>
      <c r="AR1370" s="1">
        <v>0.04971</v>
      </c>
      <c r="AS1370" s="1">
        <v>0.380084</v>
      </c>
      <c r="AT1370" s="1">
        <v>33858.0</v>
      </c>
      <c r="AU1370" s="1">
        <v>4829.0</v>
      </c>
      <c r="AV1370" s="1">
        <v>0.154706</v>
      </c>
      <c r="AW1370" s="1">
        <v>0.154389</v>
      </c>
      <c r="AX1370" s="1">
        <v>0.163312</v>
      </c>
      <c r="AY1370" s="1">
        <v>0.042956</v>
      </c>
      <c r="AZ1370" s="1">
        <v>0.01844818</v>
      </c>
      <c r="BA1370" s="1">
        <v>0.501547</v>
      </c>
      <c r="BB1370" s="1">
        <v>0.012448</v>
      </c>
      <c r="BC1370" s="1">
        <v>0.161443</v>
      </c>
      <c r="BD1370" s="1">
        <v>0.724105</v>
      </c>
      <c r="BE1370" s="1">
        <v>0.100473</v>
      </c>
      <c r="BF1370" s="1">
        <v>0.0</v>
      </c>
      <c r="BG1370" s="1">
        <v>0.054415</v>
      </c>
      <c r="BH1370" s="1">
        <v>0.0</v>
      </c>
      <c r="BI1370" s="1">
        <v>0.082989</v>
      </c>
      <c r="BJ1370" s="1">
        <v>0.392268</v>
      </c>
      <c r="BK1370" s="1">
        <v>0.087429</v>
      </c>
      <c r="BL1370" s="1">
        <v>0.008126</v>
      </c>
      <c r="BM1370" s="1">
        <v>0.93</v>
      </c>
      <c r="BN1370" s="1">
        <v>0.288</v>
      </c>
      <c r="BO1370" s="1">
        <v>0.1329</v>
      </c>
      <c r="BP1370" s="1">
        <v>0.586</v>
      </c>
      <c r="BQ1370" s="1">
        <v>1.9369</v>
      </c>
      <c r="BR1370" s="1">
        <v>0.4736</v>
      </c>
      <c r="BS1370" s="1">
        <v>0.692</v>
      </c>
      <c r="BT1370" s="1">
        <v>0.01</v>
      </c>
      <c r="BU1370" s="1">
        <v>0.005</v>
      </c>
      <c r="BV1370" s="1">
        <v>0.707</v>
      </c>
      <c r="BW1370" s="1">
        <v>0.059</v>
      </c>
      <c r="BX1370" s="1">
        <v>0.864</v>
      </c>
      <c r="BY1370" s="1">
        <v>0.779</v>
      </c>
      <c r="BZ1370" s="1">
        <v>1.643</v>
      </c>
      <c r="CA1370" s="1">
        <v>0.892</v>
      </c>
      <c r="CB1370" s="1">
        <v>0.993</v>
      </c>
      <c r="CC1370" s="1">
        <v>0.0</v>
      </c>
      <c r="CD1370" s="1">
        <v>0.0</v>
      </c>
      <c r="CE1370" s="1">
        <v>0.983</v>
      </c>
      <c r="CF1370" s="1">
        <v>0.553</v>
      </c>
      <c r="CG1370" s="1">
        <v>2.529</v>
      </c>
      <c r="CH1370" s="1">
        <v>0.571</v>
      </c>
      <c r="CI1370" s="1">
        <v>6.8159</v>
      </c>
      <c r="CJ1370" s="1">
        <v>0.5134</v>
      </c>
      <c r="CK1370" s="1">
        <v>1.0</v>
      </c>
      <c r="CL1370" s="1">
        <v>0.0</v>
      </c>
      <c r="CM1370" s="1">
        <v>0.0</v>
      </c>
      <c r="CN1370" s="1">
        <v>0.0</v>
      </c>
      <c r="CO1370" s="1">
        <v>1.0</v>
      </c>
      <c r="CP1370" s="1">
        <v>0.0</v>
      </c>
      <c r="CQ1370" s="1">
        <v>0.0</v>
      </c>
      <c r="CR1370" s="1">
        <v>0.0</v>
      </c>
      <c r="CS1370" s="1">
        <v>0.0</v>
      </c>
      <c r="CT1370" s="1">
        <v>0.0</v>
      </c>
      <c r="CU1370" s="1">
        <v>0.0</v>
      </c>
      <c r="CV1370" s="1">
        <v>0.0</v>
      </c>
      <c r="CW1370" s="1">
        <v>1.0</v>
      </c>
      <c r="CX1370" s="1">
        <v>0.0</v>
      </c>
      <c r="CY1370" s="1">
        <v>0.0</v>
      </c>
      <c r="CZ1370" s="1">
        <v>1.0</v>
      </c>
      <c r="DA1370" s="1">
        <v>0.0</v>
      </c>
      <c r="DB1370" s="1">
        <v>2.0</v>
      </c>
      <c r="DC1370" s="1">
        <v>3.0</v>
      </c>
      <c r="DD1370" s="1" t="s">
        <v>5953</v>
      </c>
      <c r="DE1370" s="2" t="s">
        <v>5954</v>
      </c>
      <c r="DF1370" s="1">
        <v>0.0397676861179233</v>
      </c>
    </row>
    <row r="1371" ht="15.75" customHeight="1">
      <c r="A1371" s="1" t="s">
        <v>5955</v>
      </c>
      <c r="B1371" s="1">
        <v>29.0</v>
      </c>
      <c r="C1371" s="1">
        <v>510.0</v>
      </c>
      <c r="D1371" s="1">
        <v>119102.0</v>
      </c>
      <c r="E1371" s="1">
        <v>0.225</v>
      </c>
      <c r="F1371" s="1">
        <v>29510.0</v>
      </c>
      <c r="G1371" s="1">
        <v>2.9510119102E10</v>
      </c>
      <c r="H1371" s="1" t="s">
        <v>112</v>
      </c>
      <c r="I1371" s="1" t="s">
        <v>113</v>
      </c>
      <c r="J1371" s="1" t="s">
        <v>5663</v>
      </c>
      <c r="K1371" s="1" t="s">
        <v>5956</v>
      </c>
      <c r="L1371" s="1">
        <v>2994.0</v>
      </c>
      <c r="M1371" s="1">
        <v>2923.0</v>
      </c>
      <c r="N1371" s="1">
        <v>378.0</v>
      </c>
      <c r="O1371" s="1">
        <v>2146.0</v>
      </c>
      <c r="P1371" s="1">
        <v>2295.0</v>
      </c>
      <c r="Q1371" s="1">
        <v>117.0</v>
      </c>
      <c r="R1371" s="1">
        <v>1863.0</v>
      </c>
      <c r="S1371" s="1">
        <v>701.0</v>
      </c>
      <c r="T1371" s="1">
        <v>217.0</v>
      </c>
      <c r="U1371" s="1">
        <v>114.0</v>
      </c>
      <c r="V1371" s="1">
        <v>448.0</v>
      </c>
      <c r="W1371" s="1">
        <v>37973.0</v>
      </c>
      <c r="X1371" s="1">
        <v>5660.0</v>
      </c>
      <c r="Y1371" s="1">
        <v>186.0</v>
      </c>
      <c r="Z1371" s="1">
        <v>267.0</v>
      </c>
      <c r="AA1371" s="1">
        <v>407.0</v>
      </c>
      <c r="AB1371" s="1">
        <v>123.0</v>
      </c>
      <c r="AC1371" s="1">
        <v>38.0</v>
      </c>
      <c r="AD1371" s="1">
        <v>1142.0</v>
      </c>
      <c r="AE1371" s="1">
        <v>22.0</v>
      </c>
      <c r="AF1371" s="1">
        <v>443.0</v>
      </c>
      <c r="AG1371" s="1">
        <v>1602.0</v>
      </c>
      <c r="AH1371" s="1">
        <v>215.0</v>
      </c>
      <c r="AI1371" s="1">
        <v>0.0</v>
      </c>
      <c r="AJ1371" s="1">
        <v>114.0</v>
      </c>
      <c r="AK1371" s="1">
        <v>0.0</v>
      </c>
      <c r="AL1371" s="1">
        <v>161.0</v>
      </c>
      <c r="AM1371" s="1">
        <v>337.0</v>
      </c>
      <c r="AN1371" s="1">
        <v>114.0</v>
      </c>
      <c r="AO1371" s="1">
        <v>310.0</v>
      </c>
      <c r="AP1371" s="1">
        <v>0.246657</v>
      </c>
      <c r="AQ1371" s="1">
        <v>0.069512</v>
      </c>
      <c r="AR1371" s="1">
        <v>0.064625</v>
      </c>
      <c r="AS1371" s="1">
        <v>0.253536</v>
      </c>
      <c r="AT1371" s="1">
        <v>37973.0</v>
      </c>
      <c r="AU1371" s="1">
        <v>5660.0</v>
      </c>
      <c r="AV1371" s="1">
        <v>0.078315</v>
      </c>
      <c r="AW1371" s="1">
        <v>0.111701</v>
      </c>
      <c r="AX1371" s="1">
        <v>0.135938</v>
      </c>
      <c r="AY1371" s="1">
        <v>0.041082</v>
      </c>
      <c r="AZ1371" s="1">
        <v>0.0203972</v>
      </c>
      <c r="BA1371" s="1">
        <v>0.381429</v>
      </c>
      <c r="BB1371" s="1">
        <v>0.00766</v>
      </c>
      <c r="BC1371" s="1">
        <v>0.154244</v>
      </c>
      <c r="BD1371" s="1">
        <v>0.698039</v>
      </c>
      <c r="BE1371" s="1">
        <v>0.086659</v>
      </c>
      <c r="BF1371" s="1">
        <v>0.0</v>
      </c>
      <c r="BG1371" s="1">
        <v>0.049673</v>
      </c>
      <c r="BH1371" s="1">
        <v>0.0</v>
      </c>
      <c r="BI1371" s="1">
        <v>0.084425</v>
      </c>
      <c r="BJ1371" s="1">
        <v>0.176717</v>
      </c>
      <c r="BK1371" s="1">
        <v>0.058355</v>
      </c>
      <c r="BL1371" s="1">
        <v>0.10354</v>
      </c>
      <c r="BM1371" s="1">
        <v>0.82</v>
      </c>
      <c r="BN1371" s="1">
        <v>0.466</v>
      </c>
      <c r="BO1371" s="1">
        <v>0.0859</v>
      </c>
      <c r="BP1371" s="1">
        <v>0.24</v>
      </c>
      <c r="BQ1371" s="1">
        <v>1.6119</v>
      </c>
      <c r="BR1371" s="1">
        <v>0.3776</v>
      </c>
      <c r="BS1371" s="1">
        <v>0.462</v>
      </c>
      <c r="BT1371" s="1">
        <v>0.007</v>
      </c>
      <c r="BU1371" s="1">
        <v>0.007</v>
      </c>
      <c r="BV1371" s="1">
        <v>0.476</v>
      </c>
      <c r="BW1371" s="1">
        <v>0.033</v>
      </c>
      <c r="BX1371" s="1">
        <v>0.834</v>
      </c>
      <c r="BY1371" s="1">
        <v>0.653</v>
      </c>
      <c r="BZ1371" s="1">
        <v>1.487</v>
      </c>
      <c r="CA1371" s="1">
        <v>0.815</v>
      </c>
      <c r="CB1371" s="1">
        <v>0.992</v>
      </c>
      <c r="CC1371" s="1">
        <v>0.0</v>
      </c>
      <c r="CD1371" s="1">
        <v>0.0</v>
      </c>
      <c r="CE1371" s="1">
        <v>0.884</v>
      </c>
      <c r="CF1371" s="1">
        <v>0.944</v>
      </c>
      <c r="CG1371" s="1">
        <v>2.82</v>
      </c>
      <c r="CH1371" s="1">
        <v>0.696</v>
      </c>
      <c r="CI1371" s="1">
        <v>6.3949</v>
      </c>
      <c r="CJ1371" s="1">
        <v>0.4448</v>
      </c>
      <c r="CK1371" s="1">
        <v>0.0</v>
      </c>
      <c r="CL1371" s="1">
        <v>0.0</v>
      </c>
      <c r="CM1371" s="1">
        <v>0.0</v>
      </c>
      <c r="CN1371" s="1">
        <v>0.0</v>
      </c>
      <c r="CO1371" s="1">
        <v>0.0</v>
      </c>
      <c r="CP1371" s="1">
        <v>0.0</v>
      </c>
      <c r="CQ1371" s="1">
        <v>0.0</v>
      </c>
      <c r="CR1371" s="1">
        <v>0.0</v>
      </c>
      <c r="CS1371" s="1">
        <v>0.0</v>
      </c>
      <c r="CT1371" s="1">
        <v>0.0</v>
      </c>
      <c r="CU1371" s="1">
        <v>0.0</v>
      </c>
      <c r="CV1371" s="1">
        <v>0.0</v>
      </c>
      <c r="CW1371" s="1">
        <v>1.0</v>
      </c>
      <c r="CX1371" s="1">
        <v>0.0</v>
      </c>
      <c r="CY1371" s="1">
        <v>0.0</v>
      </c>
      <c r="CZ1371" s="1">
        <v>0.0</v>
      </c>
      <c r="DA1371" s="1">
        <v>1.0</v>
      </c>
      <c r="DB1371" s="1">
        <v>2.0</v>
      </c>
      <c r="DC1371" s="1">
        <v>2.0</v>
      </c>
      <c r="DD1371" s="1" t="s">
        <v>5957</v>
      </c>
      <c r="DE1371" s="2" t="s">
        <v>5958</v>
      </c>
      <c r="DF1371" s="1">
        <v>0.0408538435500872</v>
      </c>
    </row>
    <row r="1372" ht="15.75" customHeight="1">
      <c r="A1372" s="1" t="s">
        <v>5959</v>
      </c>
      <c r="B1372" s="1">
        <v>29.0</v>
      </c>
      <c r="C1372" s="1">
        <v>510.0</v>
      </c>
      <c r="D1372" s="1">
        <v>119300.0</v>
      </c>
      <c r="E1372" s="1">
        <v>0.456</v>
      </c>
      <c r="F1372" s="1">
        <v>29510.0</v>
      </c>
      <c r="G1372" s="1">
        <v>2.95101193E10</v>
      </c>
      <c r="H1372" s="1" t="s">
        <v>112</v>
      </c>
      <c r="I1372" s="1" t="s">
        <v>113</v>
      </c>
      <c r="J1372" s="1" t="s">
        <v>5663</v>
      </c>
      <c r="K1372" s="1" t="s">
        <v>5960</v>
      </c>
      <c r="L1372" s="1">
        <v>5454.0</v>
      </c>
      <c r="M1372" s="1">
        <v>4464.0</v>
      </c>
      <c r="N1372" s="1">
        <v>638.0</v>
      </c>
      <c r="O1372" s="1">
        <v>1967.0</v>
      </c>
      <c r="P1372" s="1">
        <v>1525.0</v>
      </c>
      <c r="Q1372" s="1">
        <v>118.0</v>
      </c>
      <c r="R1372" s="1">
        <v>1725.0</v>
      </c>
      <c r="S1372" s="1">
        <v>1442.0</v>
      </c>
      <c r="T1372" s="1">
        <v>348.0</v>
      </c>
      <c r="U1372" s="1">
        <v>376.0</v>
      </c>
      <c r="V1372" s="1">
        <v>409.0</v>
      </c>
      <c r="W1372" s="1">
        <v>9516.0</v>
      </c>
      <c r="X1372" s="1">
        <v>2326.0</v>
      </c>
      <c r="Y1372" s="1">
        <v>325.0</v>
      </c>
      <c r="Z1372" s="1">
        <v>343.0</v>
      </c>
      <c r="AA1372" s="1">
        <v>389.0</v>
      </c>
      <c r="AB1372" s="1">
        <v>226.0</v>
      </c>
      <c r="AC1372" s="1">
        <v>94.0</v>
      </c>
      <c r="AD1372" s="1">
        <v>2235.0</v>
      </c>
      <c r="AE1372" s="1">
        <v>27.0</v>
      </c>
      <c r="AF1372" s="1">
        <v>428.0</v>
      </c>
      <c r="AG1372" s="1">
        <v>1008.0</v>
      </c>
      <c r="AH1372" s="1">
        <v>201.0</v>
      </c>
      <c r="AI1372" s="1">
        <v>0.0</v>
      </c>
      <c r="AJ1372" s="1">
        <v>114.0</v>
      </c>
      <c r="AK1372" s="1">
        <v>28.0</v>
      </c>
      <c r="AL1372" s="1">
        <v>119.0</v>
      </c>
      <c r="AM1372" s="1">
        <v>455.0</v>
      </c>
      <c r="AN1372" s="1">
        <v>164.0</v>
      </c>
      <c r="AO1372" s="1">
        <v>2425.0</v>
      </c>
      <c r="AP1372" s="1">
        <v>0.575648</v>
      </c>
      <c r="AQ1372" s="1">
        <v>0.11004</v>
      </c>
      <c r="AR1372" s="1">
        <v>0.194818</v>
      </c>
      <c r="AS1372" s="1">
        <v>0.208015</v>
      </c>
      <c r="AT1372" s="1">
        <v>9516.0</v>
      </c>
      <c r="AU1372" s="1">
        <v>2326.0</v>
      </c>
      <c r="AV1372" s="1">
        <v>0.224447</v>
      </c>
      <c r="AW1372" s="1">
        <v>0.231693</v>
      </c>
      <c r="AX1372" s="1">
        <v>0.071323</v>
      </c>
      <c r="AY1372" s="1">
        <v>0.041437</v>
      </c>
      <c r="AZ1372" s="1">
        <v>0.05449275</v>
      </c>
      <c r="BA1372" s="1">
        <v>0.40979</v>
      </c>
      <c r="BB1372" s="1">
        <v>0.00607</v>
      </c>
      <c r="BC1372" s="1">
        <v>0.096219</v>
      </c>
      <c r="BD1372" s="1">
        <v>0.660983</v>
      </c>
      <c r="BE1372" s="1">
        <v>0.121475</v>
      </c>
      <c r="BF1372" s="1">
        <v>0.0</v>
      </c>
      <c r="BG1372" s="1">
        <v>0.074754</v>
      </c>
      <c r="BH1372" s="1">
        <v>0.021228</v>
      </c>
      <c r="BI1372" s="1">
        <v>0.090199</v>
      </c>
      <c r="BJ1372" s="1">
        <v>0.344958</v>
      </c>
      <c r="BK1372" s="1">
        <v>0.120445</v>
      </c>
      <c r="BL1372" s="1">
        <v>0.444627</v>
      </c>
      <c r="BM1372" s="1">
        <v>0.995</v>
      </c>
      <c r="BN1372" s="1">
        <v>0.948</v>
      </c>
      <c r="BO1372" s="1">
        <v>0.9906</v>
      </c>
      <c r="BP1372" s="1">
        <v>0.811</v>
      </c>
      <c r="BQ1372" s="1">
        <v>3.7446</v>
      </c>
      <c r="BR1372" s="1">
        <v>0.9697</v>
      </c>
      <c r="BS1372" s="1">
        <v>0.087</v>
      </c>
      <c r="BT1372" s="1">
        <v>0.009</v>
      </c>
      <c r="BU1372" s="1">
        <v>0.101</v>
      </c>
      <c r="BV1372" s="1">
        <v>0.197</v>
      </c>
      <c r="BW1372" s="1">
        <v>0.013</v>
      </c>
      <c r="BX1372" s="1">
        <v>0.844</v>
      </c>
      <c r="BY1372" s="1">
        <v>0.602</v>
      </c>
      <c r="BZ1372" s="1">
        <v>1.446</v>
      </c>
      <c r="CA1372" s="1">
        <v>0.79</v>
      </c>
      <c r="CB1372" s="1">
        <v>0.989</v>
      </c>
      <c r="CC1372" s="1">
        <v>0.0</v>
      </c>
      <c r="CD1372" s="1">
        <v>0.698</v>
      </c>
      <c r="CE1372" s="1">
        <v>0.977</v>
      </c>
      <c r="CF1372" s="1">
        <v>0.992</v>
      </c>
      <c r="CG1372" s="1">
        <v>3.656</v>
      </c>
      <c r="CH1372" s="1">
        <v>0.969</v>
      </c>
      <c r="CI1372" s="1">
        <v>9.0436</v>
      </c>
      <c r="CJ1372" s="1">
        <v>0.8578</v>
      </c>
      <c r="CK1372" s="1">
        <v>1.0</v>
      </c>
      <c r="CL1372" s="1">
        <v>1.0</v>
      </c>
      <c r="CM1372" s="1">
        <v>1.0</v>
      </c>
      <c r="CN1372" s="1">
        <v>0.0</v>
      </c>
      <c r="CO1372" s="1">
        <v>3.0</v>
      </c>
      <c r="CP1372" s="1">
        <v>0.0</v>
      </c>
      <c r="CQ1372" s="1">
        <v>0.0</v>
      </c>
      <c r="CR1372" s="1">
        <v>0.0</v>
      </c>
      <c r="CS1372" s="1">
        <v>0.0</v>
      </c>
      <c r="CT1372" s="1">
        <v>0.0</v>
      </c>
      <c r="CU1372" s="1">
        <v>0.0</v>
      </c>
      <c r="CV1372" s="1">
        <v>0.0</v>
      </c>
      <c r="CW1372" s="1">
        <v>1.0</v>
      </c>
      <c r="CX1372" s="1">
        <v>0.0</v>
      </c>
      <c r="CY1372" s="1">
        <v>0.0</v>
      </c>
      <c r="CZ1372" s="1">
        <v>1.0</v>
      </c>
      <c r="DA1372" s="1">
        <v>1.0</v>
      </c>
      <c r="DB1372" s="1">
        <v>3.0</v>
      </c>
      <c r="DC1372" s="1">
        <v>6.0</v>
      </c>
      <c r="DD1372" s="1" t="s">
        <v>5961</v>
      </c>
      <c r="DE1372" s="1">
        <v>1.22106967034766E-4</v>
      </c>
      <c r="DF1372" s="1">
        <v>0.0470357390522087</v>
      </c>
    </row>
    <row r="1373" ht="15.75" customHeight="1">
      <c r="A1373" s="1" t="s">
        <v>5962</v>
      </c>
      <c r="B1373" s="1">
        <v>29.0</v>
      </c>
      <c r="C1373" s="1">
        <v>510.0</v>
      </c>
      <c r="D1373" s="1">
        <v>120200.0</v>
      </c>
      <c r="E1373" s="1">
        <v>0.224</v>
      </c>
      <c r="F1373" s="1">
        <v>29510.0</v>
      </c>
      <c r="G1373" s="1">
        <v>2.95101202E10</v>
      </c>
      <c r="H1373" s="1" t="s">
        <v>112</v>
      </c>
      <c r="I1373" s="1" t="s">
        <v>113</v>
      </c>
      <c r="J1373" s="1" t="s">
        <v>5663</v>
      </c>
      <c r="K1373" s="1" t="s">
        <v>5963</v>
      </c>
      <c r="L1373" s="1">
        <v>1271.0</v>
      </c>
      <c r="M1373" s="1">
        <v>1925.0</v>
      </c>
      <c r="N1373" s="1">
        <v>1177.0</v>
      </c>
      <c r="O1373" s="1">
        <v>628.0</v>
      </c>
      <c r="P1373" s="1">
        <v>528.0</v>
      </c>
      <c r="Q1373" s="1">
        <v>73.0</v>
      </c>
      <c r="R1373" s="1">
        <v>433.0</v>
      </c>
      <c r="S1373" s="1">
        <v>480.0</v>
      </c>
      <c r="T1373" s="1">
        <v>299.0</v>
      </c>
      <c r="U1373" s="1">
        <v>163.0</v>
      </c>
      <c r="V1373" s="1">
        <v>406.0</v>
      </c>
      <c r="W1373" s="1">
        <v>12343.0</v>
      </c>
      <c r="X1373" s="1">
        <v>3678.0</v>
      </c>
      <c r="Y1373" s="1">
        <v>705.0</v>
      </c>
      <c r="Z1373" s="1">
        <v>396.0</v>
      </c>
      <c r="AA1373" s="1">
        <v>169.0</v>
      </c>
      <c r="AB1373" s="1">
        <v>397.0</v>
      </c>
      <c r="AC1373" s="1">
        <v>153.0</v>
      </c>
      <c r="AD1373" s="1">
        <v>1152.0</v>
      </c>
      <c r="AE1373" s="1">
        <v>0.0</v>
      </c>
      <c r="AF1373" s="1">
        <v>456.0</v>
      </c>
      <c r="AG1373" s="1">
        <v>9.0</v>
      </c>
      <c r="AH1373" s="1">
        <v>162.0</v>
      </c>
      <c r="AI1373" s="1">
        <v>0.0</v>
      </c>
      <c r="AJ1373" s="1">
        <v>114.0</v>
      </c>
      <c r="AK1373" s="1">
        <v>23.0</v>
      </c>
      <c r="AL1373" s="1">
        <v>29.0</v>
      </c>
      <c r="AM1373" s="1">
        <v>194.0</v>
      </c>
      <c r="AN1373" s="1">
        <v>94.0</v>
      </c>
      <c r="AO1373" s="1">
        <v>102.0</v>
      </c>
      <c r="AP1373" s="1">
        <v>0.437158</v>
      </c>
      <c r="AQ1373" s="1">
        <v>0.21826</v>
      </c>
      <c r="AR1373" s="1">
        <v>0.329292</v>
      </c>
      <c r="AS1373" s="1">
        <v>0.784256</v>
      </c>
      <c r="AT1373" s="1">
        <v>12343.0</v>
      </c>
      <c r="AU1373" s="1">
        <v>3678.0</v>
      </c>
      <c r="AV1373" s="1">
        <v>0.458984</v>
      </c>
      <c r="AW1373" s="1">
        <v>0.432233</v>
      </c>
      <c r="AX1373" s="1">
        <v>0.132966</v>
      </c>
      <c r="AY1373" s="1">
        <v>0.312352</v>
      </c>
      <c r="AZ1373" s="1">
        <v>0.35334872</v>
      </c>
      <c r="BA1373" s="1">
        <v>0.906372</v>
      </c>
      <c r="BB1373" s="1">
        <v>0.0</v>
      </c>
      <c r="BC1373" s="1">
        <v>0.242295</v>
      </c>
      <c r="BD1373" s="1">
        <v>0.017045</v>
      </c>
      <c r="BE1373" s="1">
        <v>0.306809</v>
      </c>
      <c r="BF1373" s="1">
        <v>0.0</v>
      </c>
      <c r="BG1373" s="1">
        <v>0.215909</v>
      </c>
      <c r="BH1373" s="1">
        <v>0.063535</v>
      </c>
      <c r="BI1373" s="1">
        <v>0.077961</v>
      </c>
      <c r="BJ1373" s="1">
        <v>0.535911</v>
      </c>
      <c r="BK1373" s="1">
        <v>0.208002</v>
      </c>
      <c r="BL1373" s="1">
        <v>0.080251</v>
      </c>
      <c r="BM1373" s="1">
        <v>0.977</v>
      </c>
      <c r="BN1373" s="1">
        <v>0.992</v>
      </c>
      <c r="BO1373" s="1">
        <v>0.9531</v>
      </c>
      <c r="BP1373" s="1">
        <v>0.996</v>
      </c>
      <c r="BQ1373" s="1">
        <v>3.9181</v>
      </c>
      <c r="BR1373" s="1">
        <v>0.9964</v>
      </c>
      <c r="BS1373" s="1">
        <v>0.44</v>
      </c>
      <c r="BT1373" s="1">
        <v>0.953</v>
      </c>
      <c r="BU1373" s="1">
        <v>0.99</v>
      </c>
      <c r="BV1373" s="1">
        <v>2.383</v>
      </c>
      <c r="BW1373" s="1">
        <v>0.989</v>
      </c>
      <c r="BX1373" s="1">
        <v>0.944</v>
      </c>
      <c r="BY1373" s="1">
        <v>0.0</v>
      </c>
      <c r="BZ1373" s="1">
        <v>0.944</v>
      </c>
      <c r="CA1373" s="1">
        <v>0.506</v>
      </c>
      <c r="CB1373" s="1">
        <v>0.441</v>
      </c>
      <c r="CC1373" s="1">
        <v>0.0</v>
      </c>
      <c r="CD1373" s="1">
        <v>0.97</v>
      </c>
      <c r="CE1373" s="1">
        <v>0.997</v>
      </c>
      <c r="CF1373" s="1">
        <v>0.933</v>
      </c>
      <c r="CG1373" s="1">
        <v>3.341</v>
      </c>
      <c r="CH1373" s="1">
        <v>0.891</v>
      </c>
      <c r="CI1373" s="1">
        <v>10.5861</v>
      </c>
      <c r="CJ1373" s="1">
        <v>0.9776</v>
      </c>
      <c r="CK1373" s="1">
        <v>1.0</v>
      </c>
      <c r="CL1373" s="1">
        <v>1.0</v>
      </c>
      <c r="CM1373" s="1">
        <v>1.0</v>
      </c>
      <c r="CN1373" s="1">
        <v>1.0</v>
      </c>
      <c r="CO1373" s="1">
        <v>4.0</v>
      </c>
      <c r="CP1373" s="1">
        <v>0.0</v>
      </c>
      <c r="CQ1373" s="1">
        <v>1.0</v>
      </c>
      <c r="CR1373" s="1">
        <v>1.0</v>
      </c>
      <c r="CS1373" s="1">
        <v>2.0</v>
      </c>
      <c r="CT1373" s="1">
        <v>1.0</v>
      </c>
      <c r="CU1373" s="1">
        <v>0.0</v>
      </c>
      <c r="CV1373" s="1">
        <v>1.0</v>
      </c>
      <c r="CW1373" s="1">
        <v>0.0</v>
      </c>
      <c r="CX1373" s="1">
        <v>0.0</v>
      </c>
      <c r="CY1373" s="1">
        <v>1.0</v>
      </c>
      <c r="CZ1373" s="1">
        <v>1.0</v>
      </c>
      <c r="DA1373" s="1">
        <v>1.0</v>
      </c>
      <c r="DB1373" s="1">
        <v>3.0</v>
      </c>
      <c r="DC1373" s="1">
        <v>10.0</v>
      </c>
      <c r="DD1373" s="1" t="s">
        <v>5964</v>
      </c>
      <c r="DE1373" s="2" t="s">
        <v>5965</v>
      </c>
      <c r="DF1373" s="1">
        <v>0.0360304939251306</v>
      </c>
    </row>
    <row r="1374" ht="15.75" customHeight="1">
      <c r="A1374" s="1" t="s">
        <v>5966</v>
      </c>
      <c r="B1374" s="1">
        <v>29.0</v>
      </c>
      <c r="C1374" s="1">
        <v>510.0</v>
      </c>
      <c r="D1374" s="1">
        <v>121100.0</v>
      </c>
      <c r="E1374" s="1">
        <v>0.424</v>
      </c>
      <c r="F1374" s="1">
        <v>29510.0</v>
      </c>
      <c r="G1374" s="1">
        <v>2.95101211E10</v>
      </c>
      <c r="H1374" s="1" t="s">
        <v>112</v>
      </c>
      <c r="I1374" s="1" t="s">
        <v>113</v>
      </c>
      <c r="J1374" s="1" t="s">
        <v>5663</v>
      </c>
      <c r="K1374" s="1" t="s">
        <v>5967</v>
      </c>
      <c r="L1374" s="1">
        <v>1941.0</v>
      </c>
      <c r="M1374" s="1">
        <v>1552.0</v>
      </c>
      <c r="N1374" s="1">
        <v>284.0</v>
      </c>
      <c r="O1374" s="1">
        <v>1139.0</v>
      </c>
      <c r="P1374" s="1">
        <v>1006.0</v>
      </c>
      <c r="Q1374" s="1">
        <v>83.0</v>
      </c>
      <c r="R1374" s="1">
        <v>988.0</v>
      </c>
      <c r="S1374" s="1">
        <v>462.0</v>
      </c>
      <c r="T1374" s="1">
        <v>145.0</v>
      </c>
      <c r="U1374" s="1">
        <v>62.0</v>
      </c>
      <c r="V1374" s="1">
        <v>458.0</v>
      </c>
      <c r="W1374" s="1">
        <v>14085.0</v>
      </c>
      <c r="X1374" s="1">
        <v>2484.0</v>
      </c>
      <c r="Y1374" s="1">
        <v>267.0</v>
      </c>
      <c r="Z1374" s="1">
        <v>249.0</v>
      </c>
      <c r="AA1374" s="1">
        <v>427.0</v>
      </c>
      <c r="AB1374" s="1">
        <v>257.0</v>
      </c>
      <c r="AC1374" s="1">
        <v>122.0</v>
      </c>
      <c r="AD1374" s="1">
        <v>1680.0</v>
      </c>
      <c r="AE1374" s="1">
        <v>12.0</v>
      </c>
      <c r="AF1374" s="1">
        <v>442.0</v>
      </c>
      <c r="AG1374" s="1">
        <v>481.0</v>
      </c>
      <c r="AH1374" s="1">
        <v>95.0</v>
      </c>
      <c r="AI1374" s="1">
        <v>0.0</v>
      </c>
      <c r="AJ1374" s="1">
        <v>114.0</v>
      </c>
      <c r="AK1374" s="1">
        <v>0.0</v>
      </c>
      <c r="AL1374" s="1">
        <v>161.0</v>
      </c>
      <c r="AM1374" s="1">
        <v>402.0</v>
      </c>
      <c r="AN1374" s="1">
        <v>161.0</v>
      </c>
      <c r="AO1374" s="1">
        <v>372.0</v>
      </c>
      <c r="AP1374" s="1">
        <v>0.29768</v>
      </c>
      <c r="AQ1374" s="1">
        <v>0.075904</v>
      </c>
      <c r="AR1374" s="1">
        <v>0.132762</v>
      </c>
      <c r="AS1374" s="1">
        <v>0.976811</v>
      </c>
      <c r="AT1374" s="1">
        <v>14085.0</v>
      </c>
      <c r="AU1374" s="1">
        <v>2484.0</v>
      </c>
      <c r="AV1374" s="1">
        <v>0.256977</v>
      </c>
      <c r="AW1374" s="1">
        <v>0.237553</v>
      </c>
      <c r="AX1374" s="1">
        <v>0.219989</v>
      </c>
      <c r="AY1374" s="1">
        <v>0.132405</v>
      </c>
      <c r="AZ1374" s="1">
        <v>0.12348178</v>
      </c>
      <c r="BA1374" s="1">
        <v>0.865533</v>
      </c>
      <c r="BB1374" s="1">
        <v>0.008797</v>
      </c>
      <c r="BC1374" s="1">
        <v>0.324044</v>
      </c>
      <c r="BD1374" s="1">
        <v>0.478131</v>
      </c>
      <c r="BE1374" s="1">
        <v>0.085799</v>
      </c>
      <c r="BF1374" s="1">
        <v>0.0</v>
      </c>
      <c r="BG1374" s="1">
        <v>0.11332</v>
      </c>
      <c r="BH1374" s="1">
        <v>0.0</v>
      </c>
      <c r="BI1374" s="1">
        <v>0.173491</v>
      </c>
      <c r="BJ1374" s="1">
        <v>0.433189</v>
      </c>
      <c r="BK1374" s="1">
        <v>0.168443</v>
      </c>
      <c r="BL1374" s="1">
        <v>0.191653</v>
      </c>
      <c r="BM1374" s="1">
        <v>0.884</v>
      </c>
      <c r="BN1374" s="1">
        <v>0.864</v>
      </c>
      <c r="BO1374" s="1">
        <v>0.9105</v>
      </c>
      <c r="BP1374" s="1">
        <v>0.883</v>
      </c>
      <c r="BQ1374" s="1">
        <v>3.5415</v>
      </c>
      <c r="BR1374" s="1">
        <v>0.9307</v>
      </c>
      <c r="BS1374" s="1">
        <v>0.933</v>
      </c>
      <c r="BT1374" s="1">
        <v>0.044</v>
      </c>
      <c r="BU1374" s="1">
        <v>0.688</v>
      </c>
      <c r="BV1374" s="1">
        <v>1.665</v>
      </c>
      <c r="BW1374" s="1">
        <v>0.612</v>
      </c>
      <c r="BX1374" s="1">
        <v>0.937</v>
      </c>
      <c r="BY1374" s="1">
        <v>0.689</v>
      </c>
      <c r="BZ1374" s="1">
        <v>1.626</v>
      </c>
      <c r="CA1374" s="1">
        <v>0.882</v>
      </c>
      <c r="CB1374" s="1">
        <v>0.979</v>
      </c>
      <c r="CC1374" s="1">
        <v>0.0</v>
      </c>
      <c r="CD1374" s="1">
        <v>0.0</v>
      </c>
      <c r="CE1374" s="1">
        <v>0.992</v>
      </c>
      <c r="CF1374" s="1">
        <v>0.965</v>
      </c>
      <c r="CG1374" s="1">
        <v>2.936</v>
      </c>
      <c r="CH1374" s="1">
        <v>0.745</v>
      </c>
      <c r="CI1374" s="1">
        <v>9.7685</v>
      </c>
      <c r="CJ1374" s="1">
        <v>0.9329</v>
      </c>
      <c r="CK1374" s="1">
        <v>0.0</v>
      </c>
      <c r="CL1374" s="1">
        <v>0.0</v>
      </c>
      <c r="CM1374" s="1">
        <v>1.0</v>
      </c>
      <c r="CN1374" s="1">
        <v>0.0</v>
      </c>
      <c r="CO1374" s="1">
        <v>1.0</v>
      </c>
      <c r="CP1374" s="1">
        <v>1.0</v>
      </c>
      <c r="CQ1374" s="1">
        <v>0.0</v>
      </c>
      <c r="CR1374" s="1">
        <v>0.0</v>
      </c>
      <c r="CS1374" s="1">
        <v>1.0</v>
      </c>
      <c r="CT1374" s="1">
        <v>1.0</v>
      </c>
      <c r="CU1374" s="1">
        <v>0.0</v>
      </c>
      <c r="CV1374" s="1">
        <v>1.0</v>
      </c>
      <c r="CW1374" s="1">
        <v>1.0</v>
      </c>
      <c r="CX1374" s="1">
        <v>0.0</v>
      </c>
      <c r="CY1374" s="1">
        <v>0.0</v>
      </c>
      <c r="CZ1374" s="1">
        <v>1.0</v>
      </c>
      <c r="DA1374" s="1">
        <v>1.0</v>
      </c>
      <c r="DB1374" s="1">
        <v>3.0</v>
      </c>
      <c r="DC1374" s="1">
        <v>6.0</v>
      </c>
      <c r="DD1374" s="1" t="s">
        <v>5968</v>
      </c>
      <c r="DE1374" s="1">
        <v>1.11542901614246E-4</v>
      </c>
      <c r="DF1374" s="1">
        <v>0.0460711814874049</v>
      </c>
    </row>
    <row r="1375" ht="15.75" customHeight="1">
      <c r="A1375" s="1" t="s">
        <v>5969</v>
      </c>
      <c r="B1375" s="1">
        <v>29.0</v>
      </c>
      <c r="C1375" s="1">
        <v>510.0</v>
      </c>
      <c r="D1375" s="1">
        <v>121200.0</v>
      </c>
      <c r="E1375" s="1">
        <v>0.331</v>
      </c>
      <c r="F1375" s="1">
        <v>29510.0</v>
      </c>
      <c r="G1375" s="1">
        <v>2.95101212E10</v>
      </c>
      <c r="H1375" s="1" t="s">
        <v>112</v>
      </c>
      <c r="I1375" s="1" t="s">
        <v>113</v>
      </c>
      <c r="J1375" s="1" t="s">
        <v>5663</v>
      </c>
      <c r="K1375" s="1" t="s">
        <v>5970</v>
      </c>
      <c r="L1375" s="1">
        <v>2474.0</v>
      </c>
      <c r="M1375" s="1">
        <v>1498.0</v>
      </c>
      <c r="N1375" s="1">
        <v>391.0</v>
      </c>
      <c r="O1375" s="1">
        <v>1167.0</v>
      </c>
      <c r="P1375" s="1">
        <v>1102.0</v>
      </c>
      <c r="Q1375" s="1">
        <v>124.0</v>
      </c>
      <c r="R1375" s="1">
        <v>955.0</v>
      </c>
      <c r="S1375" s="1">
        <v>907.0</v>
      </c>
      <c r="T1375" s="1">
        <v>352.0</v>
      </c>
      <c r="U1375" s="1">
        <v>107.0</v>
      </c>
      <c r="V1375" s="1">
        <v>431.0</v>
      </c>
      <c r="W1375" s="1">
        <v>8508.0</v>
      </c>
      <c r="X1375" s="1">
        <v>2895.0</v>
      </c>
      <c r="Y1375" s="1">
        <v>221.0</v>
      </c>
      <c r="Z1375" s="1">
        <v>291.0</v>
      </c>
      <c r="AA1375" s="1">
        <v>222.0</v>
      </c>
      <c r="AB1375" s="1">
        <v>1014.0</v>
      </c>
      <c r="AC1375" s="1">
        <v>398.0</v>
      </c>
      <c r="AD1375" s="1">
        <v>2455.0</v>
      </c>
      <c r="AE1375" s="1">
        <v>0.0</v>
      </c>
      <c r="AF1375" s="1">
        <v>456.0</v>
      </c>
      <c r="AG1375" s="1">
        <v>405.0</v>
      </c>
      <c r="AH1375" s="1">
        <v>111.0</v>
      </c>
      <c r="AI1375" s="1">
        <v>0.0</v>
      </c>
      <c r="AJ1375" s="1">
        <v>114.0</v>
      </c>
      <c r="AK1375" s="1">
        <v>19.0</v>
      </c>
      <c r="AL1375" s="1">
        <v>118.0</v>
      </c>
      <c r="AM1375" s="1">
        <v>405.0</v>
      </c>
      <c r="AN1375" s="1">
        <v>95.0</v>
      </c>
      <c r="AO1375" s="1">
        <v>0.0</v>
      </c>
      <c r="AP1375" s="1">
        <v>0.605473</v>
      </c>
      <c r="AQ1375" s="1">
        <v>0.173895</v>
      </c>
      <c r="AR1375" s="1">
        <v>0.25</v>
      </c>
      <c r="AS1375" s="1">
        <v>0.98628</v>
      </c>
      <c r="AT1375" s="1">
        <v>8508.0</v>
      </c>
      <c r="AU1375" s="1">
        <v>2895.0</v>
      </c>
      <c r="AV1375" s="1">
        <v>0.345852</v>
      </c>
      <c r="AW1375" s="1">
        <v>0.451839</v>
      </c>
      <c r="AX1375" s="1">
        <v>0.089733</v>
      </c>
      <c r="AY1375" s="1">
        <v>0.409862</v>
      </c>
      <c r="AZ1375" s="1">
        <v>0.41675392</v>
      </c>
      <c r="BA1375" s="1">
        <v>0.99232</v>
      </c>
      <c r="BB1375" s="1">
        <v>0.0</v>
      </c>
      <c r="BC1375" s="1">
        <v>0.342857</v>
      </c>
      <c r="BD1375" s="1">
        <v>0.367513</v>
      </c>
      <c r="BE1375" s="1">
        <v>0.091845</v>
      </c>
      <c r="BF1375" s="1">
        <v>0.0</v>
      </c>
      <c r="BG1375" s="1">
        <v>0.103448</v>
      </c>
      <c r="BH1375" s="1">
        <v>0.028614</v>
      </c>
      <c r="BI1375" s="1">
        <v>0.177645</v>
      </c>
      <c r="BJ1375" s="1">
        <v>0.609939</v>
      </c>
      <c r="BK1375" s="1">
        <v>0.099423</v>
      </c>
      <c r="BL1375" s="1">
        <v>0.0</v>
      </c>
      <c r="BM1375" s="1">
        <v>0.997</v>
      </c>
      <c r="BN1375" s="1">
        <v>0.977</v>
      </c>
      <c r="BO1375" s="1">
        <v>0.9949</v>
      </c>
      <c r="BP1375" s="1">
        <v>0.974</v>
      </c>
      <c r="BQ1375" s="1">
        <v>3.9429</v>
      </c>
      <c r="BR1375" s="1">
        <v>0.9986</v>
      </c>
      <c r="BS1375" s="1">
        <v>0.157</v>
      </c>
      <c r="BT1375" s="1">
        <v>0.998</v>
      </c>
      <c r="BU1375" s="1">
        <v>0.999</v>
      </c>
      <c r="BV1375" s="1">
        <v>2.154</v>
      </c>
      <c r="BW1375" s="1">
        <v>0.951</v>
      </c>
      <c r="BX1375" s="1">
        <v>0.995</v>
      </c>
      <c r="BY1375" s="1">
        <v>0.0</v>
      </c>
      <c r="BZ1375" s="1">
        <v>0.995</v>
      </c>
      <c r="CA1375" s="1">
        <v>0.556</v>
      </c>
      <c r="CB1375" s="1">
        <v>0.961</v>
      </c>
      <c r="CC1375" s="1">
        <v>0.0</v>
      </c>
      <c r="CD1375" s="1">
        <v>0.791</v>
      </c>
      <c r="CE1375" s="1">
        <v>0.999</v>
      </c>
      <c r="CF1375" s="1">
        <v>0.0</v>
      </c>
      <c r="CG1375" s="1">
        <v>2.751</v>
      </c>
      <c r="CH1375" s="1">
        <v>0.665</v>
      </c>
      <c r="CI1375" s="1">
        <v>9.8429</v>
      </c>
      <c r="CJ1375" s="1">
        <v>0.9394</v>
      </c>
      <c r="CK1375" s="1">
        <v>1.0</v>
      </c>
      <c r="CL1375" s="1">
        <v>1.0</v>
      </c>
      <c r="CM1375" s="1">
        <v>1.0</v>
      </c>
      <c r="CN1375" s="1">
        <v>1.0</v>
      </c>
      <c r="CO1375" s="1">
        <v>4.0</v>
      </c>
      <c r="CP1375" s="1">
        <v>0.0</v>
      </c>
      <c r="CQ1375" s="1">
        <v>1.0</v>
      </c>
      <c r="CR1375" s="1">
        <v>1.0</v>
      </c>
      <c r="CS1375" s="1">
        <v>2.0</v>
      </c>
      <c r="CT1375" s="1">
        <v>1.0</v>
      </c>
      <c r="CU1375" s="1">
        <v>0.0</v>
      </c>
      <c r="CV1375" s="1">
        <v>1.0</v>
      </c>
      <c r="CW1375" s="1">
        <v>1.0</v>
      </c>
      <c r="CX1375" s="1">
        <v>0.0</v>
      </c>
      <c r="CY1375" s="1">
        <v>0.0</v>
      </c>
      <c r="CZ1375" s="1">
        <v>1.0</v>
      </c>
      <c r="DA1375" s="1">
        <v>0.0</v>
      </c>
      <c r="DB1375" s="1">
        <v>2.0</v>
      </c>
      <c r="DC1375" s="1">
        <v>9.0</v>
      </c>
      <c r="DD1375" s="1" t="s">
        <v>5971</v>
      </c>
      <c r="DE1375" s="2" t="s">
        <v>5972</v>
      </c>
      <c r="DF1375" s="1">
        <v>0.0400600444726995</v>
      </c>
    </row>
    <row r="1376" ht="15.75" customHeight="1">
      <c r="A1376" s="1" t="s">
        <v>5973</v>
      </c>
      <c r="B1376" s="1">
        <v>29.0</v>
      </c>
      <c r="C1376" s="1">
        <v>510.0</v>
      </c>
      <c r="D1376" s="1">
        <v>123100.0</v>
      </c>
      <c r="E1376" s="1">
        <v>0.398</v>
      </c>
      <c r="F1376" s="1">
        <v>29510.0</v>
      </c>
      <c r="G1376" s="1">
        <v>2.95101231E10</v>
      </c>
      <c r="H1376" s="1" t="s">
        <v>112</v>
      </c>
      <c r="I1376" s="1" t="s">
        <v>113</v>
      </c>
      <c r="J1376" s="1" t="s">
        <v>5663</v>
      </c>
      <c r="K1376" s="1" t="s">
        <v>5974</v>
      </c>
      <c r="L1376" s="1">
        <v>3351.0</v>
      </c>
      <c r="M1376" s="1">
        <v>3593.0</v>
      </c>
      <c r="N1376" s="1">
        <v>397.0</v>
      </c>
      <c r="O1376" s="1">
        <v>1819.0</v>
      </c>
      <c r="P1376" s="1">
        <v>1959.0</v>
      </c>
      <c r="Q1376" s="1">
        <v>121.0</v>
      </c>
      <c r="R1376" s="1">
        <v>1423.0</v>
      </c>
      <c r="S1376" s="1">
        <v>1027.0</v>
      </c>
      <c r="T1376" s="1">
        <v>411.0</v>
      </c>
      <c r="U1376" s="1">
        <v>124.0</v>
      </c>
      <c r="V1376" s="1">
        <v>386.0</v>
      </c>
      <c r="W1376" s="1">
        <v>21869.0</v>
      </c>
      <c r="X1376" s="1">
        <v>3393.0</v>
      </c>
      <c r="Y1376" s="1">
        <v>499.0</v>
      </c>
      <c r="Z1376" s="1">
        <v>300.0</v>
      </c>
      <c r="AA1376" s="1">
        <v>228.0</v>
      </c>
      <c r="AB1376" s="1">
        <v>853.0</v>
      </c>
      <c r="AC1376" s="1">
        <v>303.0</v>
      </c>
      <c r="AD1376" s="1">
        <v>2430.0</v>
      </c>
      <c r="AE1376" s="1">
        <v>78.0</v>
      </c>
      <c r="AF1376" s="1">
        <v>400.0</v>
      </c>
      <c r="AG1376" s="1">
        <v>180.0</v>
      </c>
      <c r="AH1376" s="1">
        <v>83.0</v>
      </c>
      <c r="AI1376" s="1">
        <v>16.0</v>
      </c>
      <c r="AJ1376" s="1">
        <v>26.0</v>
      </c>
      <c r="AK1376" s="1">
        <v>69.0</v>
      </c>
      <c r="AL1376" s="1">
        <v>127.0</v>
      </c>
      <c r="AM1376" s="1">
        <v>271.0</v>
      </c>
      <c r="AN1376" s="1">
        <v>98.0</v>
      </c>
      <c r="AO1376" s="1">
        <v>38.0</v>
      </c>
      <c r="AP1376" s="1">
        <v>0.285833</v>
      </c>
      <c r="AQ1376" s="1">
        <v>0.109942</v>
      </c>
      <c r="AR1376" s="1">
        <v>0.072898</v>
      </c>
      <c r="AS1376" s="1">
        <v>0.226645</v>
      </c>
      <c r="AT1376" s="1">
        <v>21869.0</v>
      </c>
      <c r="AU1376" s="1">
        <v>3393.0</v>
      </c>
      <c r="AV1376" s="1">
        <v>0.223766</v>
      </c>
      <c r="AW1376" s="1">
        <v>0.132671</v>
      </c>
      <c r="AX1376" s="1">
        <v>0.068039</v>
      </c>
      <c r="AY1376" s="1">
        <v>0.25455</v>
      </c>
      <c r="AZ1376" s="1">
        <v>0.21293042</v>
      </c>
      <c r="BA1376" s="1">
        <v>0.725156</v>
      </c>
      <c r="BB1376" s="1">
        <v>0.023572</v>
      </c>
      <c r="BC1376" s="1">
        <v>0.120857</v>
      </c>
      <c r="BD1376" s="1">
        <v>0.091883</v>
      </c>
      <c r="BE1376" s="1">
        <v>0.041986</v>
      </c>
      <c r="BF1376" s="1">
        <v>0.008167</v>
      </c>
      <c r="BG1376" s="1">
        <v>0.013262</v>
      </c>
      <c r="BH1376" s="1">
        <v>0.045908</v>
      </c>
      <c r="BI1376" s="1">
        <v>0.084378</v>
      </c>
      <c r="BJ1376" s="1">
        <v>0.180306</v>
      </c>
      <c r="BK1376" s="1">
        <v>0.062772</v>
      </c>
      <c r="BL1376" s="1">
        <v>0.011339</v>
      </c>
      <c r="BM1376" s="1">
        <v>0.87</v>
      </c>
      <c r="BN1376" s="1">
        <v>0.537</v>
      </c>
      <c r="BO1376" s="1">
        <v>0.5032</v>
      </c>
      <c r="BP1376" s="1">
        <v>0.81</v>
      </c>
      <c r="BQ1376" s="1">
        <v>2.7202</v>
      </c>
      <c r="BR1376" s="1">
        <v>0.73</v>
      </c>
      <c r="BS1376" s="1">
        <v>0.077</v>
      </c>
      <c r="BT1376" s="1">
        <v>0.651</v>
      </c>
      <c r="BU1376" s="1">
        <v>0.91</v>
      </c>
      <c r="BV1376" s="1">
        <v>1.638</v>
      </c>
      <c r="BW1376" s="1">
        <v>0.591</v>
      </c>
      <c r="BX1376" s="1">
        <v>0.905</v>
      </c>
      <c r="BY1376" s="1">
        <v>0.879</v>
      </c>
      <c r="BZ1376" s="1">
        <v>1.784</v>
      </c>
      <c r="CA1376" s="1">
        <v>0.96</v>
      </c>
      <c r="CB1376" s="1">
        <v>0.751</v>
      </c>
      <c r="CC1376" s="1">
        <v>0.438</v>
      </c>
      <c r="CD1376" s="1">
        <v>0.92</v>
      </c>
      <c r="CE1376" s="1">
        <v>0.892</v>
      </c>
      <c r="CF1376" s="1">
        <v>0.598</v>
      </c>
      <c r="CG1376" s="1">
        <v>3.599</v>
      </c>
      <c r="CH1376" s="1">
        <v>0.956</v>
      </c>
      <c r="CI1376" s="1">
        <v>9.7412</v>
      </c>
      <c r="CJ1376" s="1">
        <v>0.9321</v>
      </c>
      <c r="CK1376" s="1">
        <v>0.0</v>
      </c>
      <c r="CL1376" s="1">
        <v>0.0</v>
      </c>
      <c r="CM1376" s="1">
        <v>0.0</v>
      </c>
      <c r="CN1376" s="1">
        <v>0.0</v>
      </c>
      <c r="CO1376" s="1">
        <v>0.0</v>
      </c>
      <c r="CP1376" s="1">
        <v>0.0</v>
      </c>
      <c r="CQ1376" s="1">
        <v>0.0</v>
      </c>
      <c r="CR1376" s="1">
        <v>1.0</v>
      </c>
      <c r="CS1376" s="1">
        <v>1.0</v>
      </c>
      <c r="CT1376" s="1">
        <v>1.0</v>
      </c>
      <c r="CU1376" s="1">
        <v>0.0</v>
      </c>
      <c r="CV1376" s="1">
        <v>1.0</v>
      </c>
      <c r="CW1376" s="1">
        <v>0.0</v>
      </c>
      <c r="CX1376" s="1">
        <v>0.0</v>
      </c>
      <c r="CY1376" s="1">
        <v>1.0</v>
      </c>
      <c r="CZ1376" s="1">
        <v>0.0</v>
      </c>
      <c r="DA1376" s="1">
        <v>0.0</v>
      </c>
      <c r="DB1376" s="1">
        <v>1.0</v>
      </c>
      <c r="DC1376" s="1">
        <v>3.0</v>
      </c>
      <c r="DD1376" s="1" t="s">
        <v>5975</v>
      </c>
      <c r="DE1376" s="1">
        <v>1.06636449563031E-4</v>
      </c>
      <c r="DF1376" s="1">
        <v>0.0450522508424499</v>
      </c>
    </row>
    <row r="1377" ht="15.75" customHeight="1">
      <c r="A1377" s="1" t="s">
        <v>5976</v>
      </c>
      <c r="B1377" s="1">
        <v>29.0</v>
      </c>
      <c r="C1377" s="1">
        <v>510.0</v>
      </c>
      <c r="D1377" s="1">
        <v>123200.0</v>
      </c>
      <c r="E1377" s="1">
        <v>0.43</v>
      </c>
      <c r="F1377" s="1">
        <v>29510.0</v>
      </c>
      <c r="G1377" s="1">
        <v>2.95101232E10</v>
      </c>
      <c r="H1377" s="1" t="s">
        <v>112</v>
      </c>
      <c r="I1377" s="1" t="s">
        <v>113</v>
      </c>
      <c r="J1377" s="1" t="s">
        <v>5663</v>
      </c>
      <c r="K1377" s="1" t="s">
        <v>5977</v>
      </c>
      <c r="L1377" s="1">
        <v>2298.0</v>
      </c>
      <c r="M1377" s="1">
        <v>2135.0</v>
      </c>
      <c r="N1377" s="1">
        <v>228.0</v>
      </c>
      <c r="O1377" s="1">
        <v>1501.0</v>
      </c>
      <c r="P1377" s="1">
        <v>1469.0</v>
      </c>
      <c r="Q1377" s="1">
        <v>73.0</v>
      </c>
      <c r="R1377" s="1">
        <v>1255.0</v>
      </c>
      <c r="S1377" s="1">
        <v>501.0</v>
      </c>
      <c r="T1377" s="1">
        <v>225.0</v>
      </c>
      <c r="U1377" s="1">
        <v>113.0</v>
      </c>
      <c r="V1377" s="1">
        <v>401.0</v>
      </c>
      <c r="W1377" s="1">
        <v>35778.0</v>
      </c>
      <c r="X1377" s="1">
        <v>6028.0</v>
      </c>
      <c r="Y1377" s="1">
        <v>176.0</v>
      </c>
      <c r="Z1377" s="1">
        <v>265.0</v>
      </c>
      <c r="AA1377" s="1">
        <v>224.0</v>
      </c>
      <c r="AB1377" s="1">
        <v>361.0</v>
      </c>
      <c r="AC1377" s="1">
        <v>123.0</v>
      </c>
      <c r="AD1377" s="1">
        <v>955.0</v>
      </c>
      <c r="AE1377" s="1">
        <v>60.0</v>
      </c>
      <c r="AF1377" s="1">
        <v>381.0</v>
      </c>
      <c r="AG1377" s="1">
        <v>213.0</v>
      </c>
      <c r="AH1377" s="1">
        <v>61.0</v>
      </c>
      <c r="AI1377" s="1">
        <v>0.0</v>
      </c>
      <c r="AJ1377" s="1">
        <v>114.0</v>
      </c>
      <c r="AK1377" s="1">
        <v>11.0</v>
      </c>
      <c r="AL1377" s="1">
        <v>115.0</v>
      </c>
      <c r="AM1377" s="1">
        <v>123.0</v>
      </c>
      <c r="AN1377" s="1">
        <v>59.0</v>
      </c>
      <c r="AO1377" s="1">
        <v>0.0</v>
      </c>
      <c r="AP1377" s="1">
        <v>0.23466</v>
      </c>
      <c r="AQ1377" s="1">
        <v>0.102363</v>
      </c>
      <c r="AR1377" s="1">
        <v>0.080887</v>
      </c>
      <c r="AS1377" s="1">
        <v>0.286437</v>
      </c>
      <c r="AT1377" s="1">
        <v>35778.0</v>
      </c>
      <c r="AU1377" s="1">
        <v>6028.0</v>
      </c>
      <c r="AV1377" s="1">
        <v>0.107382</v>
      </c>
      <c r="AW1377" s="1">
        <v>0.161046</v>
      </c>
      <c r="AX1377" s="1">
        <v>0.097476</v>
      </c>
      <c r="AY1377" s="1">
        <v>0.157093</v>
      </c>
      <c r="AZ1377" s="1">
        <v>0.09800796</v>
      </c>
      <c r="BA1377" s="1">
        <v>0.415578</v>
      </c>
      <c r="BB1377" s="1">
        <v>0.029821</v>
      </c>
      <c r="BC1377" s="1">
        <v>0.189336</v>
      </c>
      <c r="BD1377" s="1">
        <v>0.144996</v>
      </c>
      <c r="BE1377" s="1">
        <v>0.040894</v>
      </c>
      <c r="BF1377" s="1">
        <v>0.0</v>
      </c>
      <c r="BG1377" s="1">
        <v>0.077603</v>
      </c>
      <c r="BH1377" s="1">
        <v>0.00922</v>
      </c>
      <c r="BI1377" s="1">
        <v>0.096392</v>
      </c>
      <c r="BJ1377" s="1">
        <v>0.103101</v>
      </c>
      <c r="BK1377" s="1">
        <v>0.048678</v>
      </c>
      <c r="BL1377" s="1">
        <v>0.0</v>
      </c>
      <c r="BM1377" s="1">
        <v>0.8</v>
      </c>
      <c r="BN1377" s="1">
        <v>0.619</v>
      </c>
      <c r="BO1377" s="1">
        <v>0.1069</v>
      </c>
      <c r="BP1377" s="1">
        <v>0.369</v>
      </c>
      <c r="BQ1377" s="1">
        <v>1.8949</v>
      </c>
      <c r="BR1377" s="1">
        <v>0.4621</v>
      </c>
      <c r="BS1377" s="1">
        <v>0.196</v>
      </c>
      <c r="BT1377" s="1">
        <v>0.078</v>
      </c>
      <c r="BU1377" s="1">
        <v>0.475</v>
      </c>
      <c r="BV1377" s="1">
        <v>0.749</v>
      </c>
      <c r="BW1377" s="1">
        <v>0.065</v>
      </c>
      <c r="BX1377" s="1">
        <v>0.846</v>
      </c>
      <c r="BY1377" s="1">
        <v>0.913</v>
      </c>
      <c r="BZ1377" s="1">
        <v>1.759</v>
      </c>
      <c r="CA1377" s="1">
        <v>0.948</v>
      </c>
      <c r="CB1377" s="1">
        <v>0.833</v>
      </c>
      <c r="CC1377" s="1">
        <v>0.0</v>
      </c>
      <c r="CD1377" s="1">
        <v>0.462</v>
      </c>
      <c r="CE1377" s="1">
        <v>0.763</v>
      </c>
      <c r="CF1377" s="1">
        <v>0.0</v>
      </c>
      <c r="CG1377" s="1">
        <v>2.058</v>
      </c>
      <c r="CH1377" s="1">
        <v>0.366</v>
      </c>
      <c r="CI1377" s="1">
        <v>6.4609</v>
      </c>
      <c r="CJ1377" s="1">
        <v>0.4527</v>
      </c>
      <c r="CK1377" s="1">
        <v>0.0</v>
      </c>
      <c r="CL1377" s="1">
        <v>0.0</v>
      </c>
      <c r="CM1377" s="1">
        <v>0.0</v>
      </c>
      <c r="CN1377" s="1">
        <v>0.0</v>
      </c>
      <c r="CO1377" s="1">
        <v>0.0</v>
      </c>
      <c r="CP1377" s="1">
        <v>0.0</v>
      </c>
      <c r="CQ1377" s="1">
        <v>0.0</v>
      </c>
      <c r="CR1377" s="1">
        <v>0.0</v>
      </c>
      <c r="CS1377" s="1">
        <v>0.0</v>
      </c>
      <c r="CT1377" s="1">
        <v>0.0</v>
      </c>
      <c r="CU1377" s="1">
        <v>1.0</v>
      </c>
      <c r="CV1377" s="1">
        <v>1.0</v>
      </c>
      <c r="CW1377" s="1">
        <v>0.0</v>
      </c>
      <c r="CX1377" s="1">
        <v>0.0</v>
      </c>
      <c r="CY1377" s="1">
        <v>0.0</v>
      </c>
      <c r="CZ1377" s="1">
        <v>0.0</v>
      </c>
      <c r="DA1377" s="1">
        <v>0.0</v>
      </c>
      <c r="DB1377" s="1">
        <v>0.0</v>
      </c>
      <c r="DC1377" s="1">
        <v>1.0</v>
      </c>
      <c r="DD1377" s="1" t="s">
        <v>5978</v>
      </c>
      <c r="DE1377" s="1">
        <v>1.13990272014204E-4</v>
      </c>
      <c r="DF1377" s="1">
        <v>0.0453523075965497</v>
      </c>
    </row>
    <row r="1378" ht="15.75" customHeight="1">
      <c r="A1378" s="1" t="s">
        <v>5979</v>
      </c>
      <c r="B1378" s="1">
        <v>29.0</v>
      </c>
      <c r="C1378" s="1">
        <v>510.0</v>
      </c>
      <c r="D1378" s="1">
        <v>124100.0</v>
      </c>
      <c r="E1378" s="1">
        <v>0.407</v>
      </c>
      <c r="F1378" s="1">
        <v>29510.0</v>
      </c>
      <c r="G1378" s="1">
        <v>2.95101241E10</v>
      </c>
      <c r="H1378" s="1" t="s">
        <v>112</v>
      </c>
      <c r="I1378" s="1" t="s">
        <v>113</v>
      </c>
      <c r="J1378" s="1" t="s">
        <v>5663</v>
      </c>
      <c r="K1378" s="1" t="s">
        <v>5980</v>
      </c>
      <c r="L1378" s="1">
        <v>4644.0</v>
      </c>
      <c r="M1378" s="1">
        <v>5277.0</v>
      </c>
      <c r="N1378" s="1">
        <v>888.0</v>
      </c>
      <c r="O1378" s="1">
        <v>2393.0</v>
      </c>
      <c r="P1378" s="1">
        <v>2711.0</v>
      </c>
      <c r="Q1378" s="1">
        <v>103.0</v>
      </c>
      <c r="R1378" s="1">
        <v>1645.0</v>
      </c>
      <c r="S1378" s="1">
        <v>1784.0</v>
      </c>
      <c r="T1378" s="1">
        <v>661.0</v>
      </c>
      <c r="U1378" s="1">
        <v>292.0</v>
      </c>
      <c r="V1378" s="1">
        <v>382.0</v>
      </c>
      <c r="W1378" s="1">
        <v>14083.0</v>
      </c>
      <c r="X1378" s="1">
        <v>2265.0</v>
      </c>
      <c r="Y1378" s="1">
        <v>696.0</v>
      </c>
      <c r="Z1378" s="1">
        <v>207.0</v>
      </c>
      <c r="AA1378" s="1">
        <v>314.0</v>
      </c>
      <c r="AB1378" s="1">
        <v>1537.0</v>
      </c>
      <c r="AC1378" s="1">
        <v>541.0</v>
      </c>
      <c r="AD1378" s="1">
        <v>3753.0</v>
      </c>
      <c r="AE1378" s="1">
        <v>259.0</v>
      </c>
      <c r="AF1378" s="1">
        <v>424.0</v>
      </c>
      <c r="AG1378" s="1">
        <v>162.0</v>
      </c>
      <c r="AH1378" s="1">
        <v>84.0</v>
      </c>
      <c r="AI1378" s="1">
        <v>8.0</v>
      </c>
      <c r="AJ1378" s="1">
        <v>13.0</v>
      </c>
      <c r="AK1378" s="1">
        <v>101.0</v>
      </c>
      <c r="AL1378" s="1">
        <v>132.0</v>
      </c>
      <c r="AM1378" s="1">
        <v>508.0</v>
      </c>
      <c r="AN1378" s="1">
        <v>154.0</v>
      </c>
      <c r="AO1378" s="1">
        <v>58.0</v>
      </c>
      <c r="AP1378" s="1">
        <v>0.348778</v>
      </c>
      <c r="AQ1378" s="1">
        <v>0.115941</v>
      </c>
      <c r="AR1378" s="1">
        <v>0.126901</v>
      </c>
      <c r="AS1378" s="1">
        <v>0.164735</v>
      </c>
      <c r="AT1378" s="1">
        <v>14083.0</v>
      </c>
      <c r="AU1378" s="1">
        <v>2265.0</v>
      </c>
      <c r="AV1378" s="1">
        <v>0.251717</v>
      </c>
      <c r="AW1378" s="1">
        <v>0.064685</v>
      </c>
      <c r="AX1378" s="1">
        <v>0.067614</v>
      </c>
      <c r="AY1378" s="1">
        <v>0.330964</v>
      </c>
      <c r="AZ1378" s="1">
        <v>0.32887537</v>
      </c>
      <c r="BA1378" s="1">
        <v>0.808139</v>
      </c>
      <c r="BB1378" s="1">
        <v>0.053292</v>
      </c>
      <c r="BC1378" s="1">
        <v>0.086808</v>
      </c>
      <c r="BD1378" s="1">
        <v>0.059756</v>
      </c>
      <c r="BE1378" s="1">
        <v>0.030901</v>
      </c>
      <c r="BF1378" s="1">
        <v>0.00295</v>
      </c>
      <c r="BG1378" s="1">
        <v>0.004793</v>
      </c>
      <c r="BH1378" s="1">
        <v>0.054213</v>
      </c>
      <c r="BI1378" s="1">
        <v>0.070616</v>
      </c>
      <c r="BJ1378" s="1">
        <v>0.272678</v>
      </c>
      <c r="BK1378" s="1">
        <v>0.07736</v>
      </c>
      <c r="BL1378" s="1">
        <v>0.012489</v>
      </c>
      <c r="BM1378" s="1">
        <v>0.925</v>
      </c>
      <c r="BN1378" s="1">
        <v>0.845</v>
      </c>
      <c r="BO1378" s="1">
        <v>0.9112</v>
      </c>
      <c r="BP1378" s="1">
        <v>0.872</v>
      </c>
      <c r="BQ1378" s="1">
        <v>3.5532</v>
      </c>
      <c r="BR1378" s="1">
        <v>0.9321</v>
      </c>
      <c r="BS1378" s="1">
        <v>0.076</v>
      </c>
      <c r="BT1378" s="1">
        <v>0.974</v>
      </c>
      <c r="BU1378" s="1">
        <v>0.985</v>
      </c>
      <c r="BV1378" s="1">
        <v>2.035</v>
      </c>
      <c r="BW1378" s="1">
        <v>0.882</v>
      </c>
      <c r="BX1378" s="1">
        <v>0.924</v>
      </c>
      <c r="BY1378" s="1">
        <v>0.963</v>
      </c>
      <c r="BZ1378" s="1">
        <v>1.887</v>
      </c>
      <c r="CA1378" s="1">
        <v>0.987</v>
      </c>
      <c r="CB1378" s="1">
        <v>0.684</v>
      </c>
      <c r="CC1378" s="1">
        <v>0.371</v>
      </c>
      <c r="CD1378" s="1">
        <v>0.949</v>
      </c>
      <c r="CE1378" s="1">
        <v>0.956</v>
      </c>
      <c r="CF1378" s="1">
        <v>0.612</v>
      </c>
      <c r="CG1378" s="1">
        <v>3.572</v>
      </c>
      <c r="CH1378" s="1">
        <v>0.948</v>
      </c>
      <c r="CI1378" s="1">
        <v>11.0472</v>
      </c>
      <c r="CJ1378" s="1">
        <v>0.9942</v>
      </c>
      <c r="CK1378" s="1">
        <v>1.0</v>
      </c>
      <c r="CL1378" s="1">
        <v>0.0</v>
      </c>
      <c r="CM1378" s="1">
        <v>1.0</v>
      </c>
      <c r="CN1378" s="1">
        <v>0.0</v>
      </c>
      <c r="CO1378" s="1">
        <v>2.0</v>
      </c>
      <c r="CP1378" s="1">
        <v>0.0</v>
      </c>
      <c r="CQ1378" s="1">
        <v>1.0</v>
      </c>
      <c r="CR1378" s="1">
        <v>1.0</v>
      </c>
      <c r="CS1378" s="1">
        <v>2.0</v>
      </c>
      <c r="CT1378" s="1">
        <v>1.0</v>
      </c>
      <c r="CU1378" s="1">
        <v>1.0</v>
      </c>
      <c r="CV1378" s="1">
        <v>2.0</v>
      </c>
      <c r="CW1378" s="1">
        <v>0.0</v>
      </c>
      <c r="CX1378" s="1">
        <v>0.0</v>
      </c>
      <c r="CY1378" s="1">
        <v>1.0</v>
      </c>
      <c r="CZ1378" s="1">
        <v>1.0</v>
      </c>
      <c r="DA1378" s="1">
        <v>0.0</v>
      </c>
      <c r="DB1378" s="1">
        <v>2.0</v>
      </c>
      <c r="DC1378" s="1">
        <v>8.0</v>
      </c>
      <c r="DD1378" s="1" t="s">
        <v>5981</v>
      </c>
      <c r="DE1378" s="1">
        <v>1.08828809618234E-4</v>
      </c>
      <c r="DF1378" s="1">
        <v>0.0449028886942032</v>
      </c>
    </row>
    <row r="1379" ht="15.75" customHeight="1">
      <c r="A1379" s="1" t="s">
        <v>5982</v>
      </c>
      <c r="B1379" s="1">
        <v>29.0</v>
      </c>
      <c r="C1379" s="1">
        <v>510.0</v>
      </c>
      <c r="D1379" s="1">
        <v>124200.0</v>
      </c>
      <c r="E1379" s="1">
        <v>0.308</v>
      </c>
      <c r="F1379" s="1">
        <v>29510.0</v>
      </c>
      <c r="G1379" s="1">
        <v>2.95101242E10</v>
      </c>
      <c r="H1379" s="1" t="s">
        <v>112</v>
      </c>
      <c r="I1379" s="1" t="s">
        <v>113</v>
      </c>
      <c r="J1379" s="1" t="s">
        <v>5663</v>
      </c>
      <c r="K1379" s="1" t="s">
        <v>5983</v>
      </c>
      <c r="L1379" s="1">
        <v>3201.0</v>
      </c>
      <c r="M1379" s="1">
        <v>3407.0</v>
      </c>
      <c r="N1379" s="1">
        <v>413.0</v>
      </c>
      <c r="O1379" s="1">
        <v>1811.0</v>
      </c>
      <c r="P1379" s="1">
        <v>2000.0</v>
      </c>
      <c r="Q1379" s="1">
        <v>86.0</v>
      </c>
      <c r="R1379" s="1">
        <v>1249.0</v>
      </c>
      <c r="S1379" s="1">
        <v>1330.0</v>
      </c>
      <c r="T1379" s="1">
        <v>444.0</v>
      </c>
      <c r="U1379" s="1">
        <v>236.0</v>
      </c>
      <c r="V1379" s="1">
        <v>361.0</v>
      </c>
      <c r="W1379" s="1">
        <v>13227.0</v>
      </c>
      <c r="X1379" s="1">
        <v>1892.0</v>
      </c>
      <c r="Y1379" s="1">
        <v>632.0</v>
      </c>
      <c r="Z1379" s="1">
        <v>232.0</v>
      </c>
      <c r="AA1379" s="1">
        <v>200.0</v>
      </c>
      <c r="AB1379" s="1">
        <v>995.0</v>
      </c>
      <c r="AC1379" s="1">
        <v>333.0</v>
      </c>
      <c r="AD1379" s="1">
        <v>2397.0</v>
      </c>
      <c r="AE1379" s="1">
        <v>211.0</v>
      </c>
      <c r="AF1379" s="1">
        <v>460.0</v>
      </c>
      <c r="AG1379" s="1">
        <v>113.0</v>
      </c>
      <c r="AH1379" s="1">
        <v>52.0</v>
      </c>
      <c r="AI1379" s="1">
        <v>9.0</v>
      </c>
      <c r="AJ1379" s="1">
        <v>13.0</v>
      </c>
      <c r="AK1379" s="1">
        <v>84.0</v>
      </c>
      <c r="AL1379" s="1">
        <v>127.0</v>
      </c>
      <c r="AM1379" s="1">
        <v>368.0</v>
      </c>
      <c r="AN1379" s="1">
        <v>124.0</v>
      </c>
      <c r="AO1379" s="1">
        <v>57.0</v>
      </c>
      <c r="AP1379" s="1">
        <v>0.390372</v>
      </c>
      <c r="AQ1379" s="1">
        <v>0.121424</v>
      </c>
      <c r="AR1379" s="1">
        <v>0.135476</v>
      </c>
      <c r="AS1379" s="1">
        <v>0.205733</v>
      </c>
      <c r="AT1379" s="1">
        <v>13227.0</v>
      </c>
      <c r="AU1379" s="1">
        <v>1892.0</v>
      </c>
      <c r="AV1379" s="1">
        <v>0.302537</v>
      </c>
      <c r="AW1379" s="1">
        <v>0.104583</v>
      </c>
      <c r="AX1379" s="1">
        <v>0.06248</v>
      </c>
      <c r="AY1379" s="1">
        <v>0.31084</v>
      </c>
      <c r="AZ1379" s="1">
        <v>0.26661329</v>
      </c>
      <c r="BA1379" s="1">
        <v>0.748828</v>
      </c>
      <c r="BB1379" s="1">
        <v>0.067606</v>
      </c>
      <c r="BC1379" s="1">
        <v>0.147137</v>
      </c>
      <c r="BD1379" s="1">
        <v>0.0565</v>
      </c>
      <c r="BE1379" s="1">
        <v>0.025886</v>
      </c>
      <c r="BF1379" s="1">
        <v>0.0045</v>
      </c>
      <c r="BG1379" s="1">
        <v>0.006497</v>
      </c>
      <c r="BH1379" s="1">
        <v>0.063348</v>
      </c>
      <c r="BI1379" s="1">
        <v>0.095575</v>
      </c>
      <c r="BJ1379" s="1">
        <v>0.277526</v>
      </c>
      <c r="BK1379" s="1">
        <v>0.089468</v>
      </c>
      <c r="BL1379" s="1">
        <v>0.017806</v>
      </c>
      <c r="BM1379" s="1">
        <v>0.948</v>
      </c>
      <c r="BN1379" s="1">
        <v>0.871</v>
      </c>
      <c r="BO1379" s="1">
        <v>0.9321</v>
      </c>
      <c r="BP1379" s="1">
        <v>0.947</v>
      </c>
      <c r="BQ1379" s="1">
        <v>3.6981</v>
      </c>
      <c r="BR1379" s="1">
        <v>0.9596</v>
      </c>
      <c r="BS1379" s="1">
        <v>0.052</v>
      </c>
      <c r="BT1379" s="1">
        <v>0.951</v>
      </c>
      <c r="BU1379" s="1">
        <v>0.961</v>
      </c>
      <c r="BV1379" s="1">
        <v>1.964</v>
      </c>
      <c r="BW1379" s="1">
        <v>0.841</v>
      </c>
      <c r="BX1379" s="1">
        <v>0.912</v>
      </c>
      <c r="BY1379" s="1">
        <v>0.974</v>
      </c>
      <c r="BZ1379" s="1">
        <v>1.886</v>
      </c>
      <c r="CA1379" s="1">
        <v>0.986</v>
      </c>
      <c r="CB1379" s="1">
        <v>0.674</v>
      </c>
      <c r="CC1379" s="1">
        <v>0.384</v>
      </c>
      <c r="CD1379" s="1">
        <v>0.969</v>
      </c>
      <c r="CE1379" s="1">
        <v>0.959</v>
      </c>
      <c r="CF1379" s="1">
        <v>0.684</v>
      </c>
      <c r="CG1379" s="1">
        <v>3.67</v>
      </c>
      <c r="CH1379" s="1">
        <v>0.971</v>
      </c>
      <c r="CI1379" s="1">
        <v>11.2181</v>
      </c>
      <c r="CJ1379" s="1">
        <v>0.9986</v>
      </c>
      <c r="CK1379" s="1">
        <v>1.0</v>
      </c>
      <c r="CL1379" s="1">
        <v>0.0</v>
      </c>
      <c r="CM1379" s="1">
        <v>1.0</v>
      </c>
      <c r="CN1379" s="1">
        <v>1.0</v>
      </c>
      <c r="CO1379" s="1">
        <v>3.0</v>
      </c>
      <c r="CP1379" s="1">
        <v>0.0</v>
      </c>
      <c r="CQ1379" s="1">
        <v>1.0</v>
      </c>
      <c r="CR1379" s="1">
        <v>1.0</v>
      </c>
      <c r="CS1379" s="1">
        <v>2.0</v>
      </c>
      <c r="CT1379" s="1">
        <v>1.0</v>
      </c>
      <c r="CU1379" s="1">
        <v>1.0</v>
      </c>
      <c r="CV1379" s="1">
        <v>2.0</v>
      </c>
      <c r="CW1379" s="1">
        <v>0.0</v>
      </c>
      <c r="CX1379" s="1">
        <v>0.0</v>
      </c>
      <c r="CY1379" s="1">
        <v>1.0</v>
      </c>
      <c r="CZ1379" s="1">
        <v>1.0</v>
      </c>
      <c r="DA1379" s="1">
        <v>0.0</v>
      </c>
      <c r="DB1379" s="1">
        <v>2.0</v>
      </c>
      <c r="DC1379" s="1">
        <v>9.0</v>
      </c>
      <c r="DD1379" s="1" t="s">
        <v>5984</v>
      </c>
      <c r="DE1379" s="2" t="s">
        <v>5985</v>
      </c>
      <c r="DF1379" s="1">
        <v>0.0373121318493646</v>
      </c>
    </row>
    <row r="1380" ht="15.75" customHeight="1">
      <c r="A1380" s="1" t="s">
        <v>5986</v>
      </c>
      <c r="B1380" s="1">
        <v>29.0</v>
      </c>
      <c r="C1380" s="1">
        <v>510.0</v>
      </c>
      <c r="D1380" s="1">
        <v>124300.0</v>
      </c>
      <c r="E1380" s="1">
        <v>0.451</v>
      </c>
      <c r="F1380" s="1">
        <v>29510.0</v>
      </c>
      <c r="G1380" s="1">
        <v>2.95101243E10</v>
      </c>
      <c r="H1380" s="1" t="s">
        <v>112</v>
      </c>
      <c r="I1380" s="1" t="s">
        <v>113</v>
      </c>
      <c r="J1380" s="1" t="s">
        <v>5663</v>
      </c>
      <c r="K1380" s="1" t="s">
        <v>5987</v>
      </c>
      <c r="L1380" s="1">
        <v>3131.0</v>
      </c>
      <c r="M1380" s="1">
        <v>3180.0</v>
      </c>
      <c r="N1380" s="1">
        <v>462.0</v>
      </c>
      <c r="O1380" s="1">
        <v>2004.0</v>
      </c>
      <c r="P1380" s="1">
        <v>2248.0</v>
      </c>
      <c r="Q1380" s="1">
        <v>61.0</v>
      </c>
      <c r="R1380" s="1">
        <v>1560.0</v>
      </c>
      <c r="S1380" s="1">
        <v>574.0</v>
      </c>
      <c r="T1380" s="1">
        <v>328.0</v>
      </c>
      <c r="U1380" s="1">
        <v>193.0</v>
      </c>
      <c r="V1380" s="1">
        <v>405.0</v>
      </c>
      <c r="W1380" s="1">
        <v>28648.0</v>
      </c>
      <c r="X1380" s="1">
        <v>6853.0</v>
      </c>
      <c r="Y1380" s="1">
        <v>478.0</v>
      </c>
      <c r="Z1380" s="1">
        <v>244.0</v>
      </c>
      <c r="AA1380" s="1">
        <v>268.0</v>
      </c>
      <c r="AB1380" s="1">
        <v>532.0</v>
      </c>
      <c r="AC1380" s="1">
        <v>180.0</v>
      </c>
      <c r="AD1380" s="1">
        <v>1158.0</v>
      </c>
      <c r="AE1380" s="1">
        <v>0.0</v>
      </c>
      <c r="AF1380" s="1">
        <v>456.0</v>
      </c>
      <c r="AG1380" s="1">
        <v>127.0</v>
      </c>
      <c r="AH1380" s="1">
        <v>64.0</v>
      </c>
      <c r="AI1380" s="1">
        <v>0.0</v>
      </c>
      <c r="AJ1380" s="1">
        <v>114.0</v>
      </c>
      <c r="AK1380" s="1">
        <v>34.0</v>
      </c>
      <c r="AL1380" s="1">
        <v>123.0</v>
      </c>
      <c r="AM1380" s="1">
        <v>310.0</v>
      </c>
      <c r="AN1380" s="1">
        <v>116.0</v>
      </c>
      <c r="AO1380" s="1">
        <v>34.0</v>
      </c>
      <c r="AP1380" s="1">
        <v>0.180503</v>
      </c>
      <c r="AQ1380" s="1">
        <v>0.099755</v>
      </c>
      <c r="AR1380" s="1">
        <v>0.116125</v>
      </c>
      <c r="AS1380" s="1">
        <v>0.242977</v>
      </c>
      <c r="AT1380" s="1">
        <v>28648.0</v>
      </c>
      <c r="AU1380" s="1">
        <v>6853.0</v>
      </c>
      <c r="AV1380" s="1">
        <v>0.199</v>
      </c>
      <c r="AW1380" s="1">
        <v>0.098324</v>
      </c>
      <c r="AX1380" s="1">
        <v>0.085595</v>
      </c>
      <c r="AY1380" s="1">
        <v>0.169913</v>
      </c>
      <c r="AZ1380" s="1">
        <v>0.11538461</v>
      </c>
      <c r="BA1380" s="1">
        <v>0.369849</v>
      </c>
      <c r="BB1380" s="1">
        <v>0.0</v>
      </c>
      <c r="BC1380" s="1">
        <v>0.150793</v>
      </c>
      <c r="BD1380" s="1">
        <v>0.056494</v>
      </c>
      <c r="BE1380" s="1">
        <v>0.028428</v>
      </c>
      <c r="BF1380" s="1">
        <v>0.0</v>
      </c>
      <c r="BG1380" s="1">
        <v>0.050711</v>
      </c>
      <c r="BH1380" s="1">
        <v>0.022757</v>
      </c>
      <c r="BI1380" s="1">
        <v>0.082297</v>
      </c>
      <c r="BJ1380" s="1">
        <v>0.207496</v>
      </c>
      <c r="BK1380" s="1">
        <v>0.074796</v>
      </c>
      <c r="BL1380" s="1">
        <v>0.010859</v>
      </c>
      <c r="BM1380" s="1">
        <v>0.676</v>
      </c>
      <c r="BN1380" s="1">
        <v>0.807</v>
      </c>
      <c r="BO1380" s="1">
        <v>0.231</v>
      </c>
      <c r="BP1380" s="1">
        <v>0.748</v>
      </c>
      <c r="BQ1380" s="1">
        <v>2.462</v>
      </c>
      <c r="BR1380" s="1">
        <v>0.6534</v>
      </c>
      <c r="BS1380" s="1">
        <v>0.143</v>
      </c>
      <c r="BT1380" s="1">
        <v>0.1</v>
      </c>
      <c r="BU1380" s="1">
        <v>0.636</v>
      </c>
      <c r="BV1380" s="1">
        <v>0.879</v>
      </c>
      <c r="BW1380" s="1">
        <v>0.087</v>
      </c>
      <c r="BX1380" s="1">
        <v>0.828</v>
      </c>
      <c r="BY1380" s="1">
        <v>0.0</v>
      </c>
      <c r="BZ1380" s="1">
        <v>0.828</v>
      </c>
      <c r="CA1380" s="1">
        <v>0.419</v>
      </c>
      <c r="CB1380" s="1">
        <v>0.674</v>
      </c>
      <c r="CC1380" s="1">
        <v>0.0</v>
      </c>
      <c r="CD1380" s="1">
        <v>0.72</v>
      </c>
      <c r="CE1380" s="1">
        <v>0.912</v>
      </c>
      <c r="CF1380" s="1">
        <v>0.589</v>
      </c>
      <c r="CG1380" s="1">
        <v>2.895</v>
      </c>
      <c r="CH1380" s="1">
        <v>0.73</v>
      </c>
      <c r="CI1380" s="1">
        <v>7.064</v>
      </c>
      <c r="CJ1380" s="1">
        <v>0.5617</v>
      </c>
      <c r="CK1380" s="1">
        <v>0.0</v>
      </c>
      <c r="CL1380" s="1">
        <v>0.0</v>
      </c>
      <c r="CM1380" s="1">
        <v>0.0</v>
      </c>
      <c r="CN1380" s="1">
        <v>0.0</v>
      </c>
      <c r="CO1380" s="1">
        <v>0.0</v>
      </c>
      <c r="CP1380" s="1">
        <v>0.0</v>
      </c>
      <c r="CQ1380" s="1">
        <v>0.0</v>
      </c>
      <c r="CR1380" s="1">
        <v>0.0</v>
      </c>
      <c r="CS1380" s="1">
        <v>0.0</v>
      </c>
      <c r="CT1380" s="1">
        <v>0.0</v>
      </c>
      <c r="CU1380" s="1">
        <v>0.0</v>
      </c>
      <c r="CV1380" s="1">
        <v>0.0</v>
      </c>
      <c r="CW1380" s="1">
        <v>0.0</v>
      </c>
      <c r="CX1380" s="1">
        <v>0.0</v>
      </c>
      <c r="CY1380" s="1">
        <v>0.0</v>
      </c>
      <c r="CZ1380" s="1">
        <v>1.0</v>
      </c>
      <c r="DA1380" s="1">
        <v>0.0</v>
      </c>
      <c r="DB1380" s="1">
        <v>1.0</v>
      </c>
      <c r="DC1380" s="1">
        <v>1.0</v>
      </c>
      <c r="DD1380" s="1" t="s">
        <v>5988</v>
      </c>
      <c r="DE1380" s="1">
        <v>1.22592148000576E-4</v>
      </c>
      <c r="DF1380" s="2" t="s">
        <v>5989</v>
      </c>
    </row>
    <row r="1381" ht="15.75" customHeight="1">
      <c r="A1381" s="1" t="s">
        <v>5990</v>
      </c>
      <c r="B1381" s="1">
        <v>29.0</v>
      </c>
      <c r="C1381" s="1">
        <v>510.0</v>
      </c>
      <c r="D1381" s="1">
        <v>124600.0</v>
      </c>
      <c r="E1381" s="1">
        <v>0.831</v>
      </c>
      <c r="F1381" s="1">
        <v>29510.0</v>
      </c>
      <c r="G1381" s="1">
        <v>2.95101246E10</v>
      </c>
      <c r="H1381" s="1" t="s">
        <v>112</v>
      </c>
      <c r="I1381" s="1" t="s">
        <v>113</v>
      </c>
      <c r="J1381" s="1" t="s">
        <v>5663</v>
      </c>
      <c r="K1381" s="1" t="s">
        <v>5991</v>
      </c>
      <c r="L1381" s="1">
        <v>1845.0</v>
      </c>
      <c r="M1381" s="1">
        <v>1859.0</v>
      </c>
      <c r="N1381" s="1">
        <v>276.0</v>
      </c>
      <c r="O1381" s="1">
        <v>944.0</v>
      </c>
      <c r="P1381" s="1">
        <v>1024.0</v>
      </c>
      <c r="Q1381" s="1">
        <v>61.0</v>
      </c>
      <c r="R1381" s="1">
        <v>748.0</v>
      </c>
      <c r="S1381" s="1">
        <v>641.0</v>
      </c>
      <c r="T1381" s="1">
        <v>258.0</v>
      </c>
      <c r="U1381" s="1">
        <v>65.0</v>
      </c>
      <c r="V1381" s="1">
        <v>444.0</v>
      </c>
      <c r="W1381" s="1">
        <v>13500.0</v>
      </c>
      <c r="X1381" s="1">
        <v>2224.0</v>
      </c>
      <c r="Y1381" s="1">
        <v>336.0</v>
      </c>
      <c r="Z1381" s="1">
        <v>226.0</v>
      </c>
      <c r="AA1381" s="1">
        <v>101.0</v>
      </c>
      <c r="AB1381" s="1">
        <v>566.0</v>
      </c>
      <c r="AC1381" s="1">
        <v>222.0</v>
      </c>
      <c r="AD1381" s="1">
        <v>1323.0</v>
      </c>
      <c r="AE1381" s="1">
        <v>28.0</v>
      </c>
      <c r="AF1381" s="1">
        <v>427.0</v>
      </c>
      <c r="AG1381" s="1">
        <v>35.0</v>
      </c>
      <c r="AH1381" s="1">
        <v>167.0</v>
      </c>
      <c r="AI1381" s="1">
        <v>16.0</v>
      </c>
      <c r="AJ1381" s="1">
        <v>28.0</v>
      </c>
      <c r="AK1381" s="1">
        <v>45.0</v>
      </c>
      <c r="AL1381" s="1">
        <v>121.0</v>
      </c>
      <c r="AM1381" s="1">
        <v>399.0</v>
      </c>
      <c r="AN1381" s="1">
        <v>91.0</v>
      </c>
      <c r="AO1381" s="1">
        <v>7.0</v>
      </c>
      <c r="AP1381" s="1">
        <v>0.344809</v>
      </c>
      <c r="AQ1381" s="1">
        <v>0.128997</v>
      </c>
      <c r="AR1381" s="1">
        <v>0.077565</v>
      </c>
      <c r="AS1381" s="1">
        <v>0.528919</v>
      </c>
      <c r="AT1381" s="1">
        <v>13500.0</v>
      </c>
      <c r="AU1381" s="1">
        <v>2224.0</v>
      </c>
      <c r="AV1381" s="1">
        <v>0.295254</v>
      </c>
      <c r="AW1381" s="1">
        <v>0.194479</v>
      </c>
      <c r="AX1381" s="1">
        <v>0.054742</v>
      </c>
      <c r="AY1381" s="1">
        <v>0.306775</v>
      </c>
      <c r="AZ1381" s="1">
        <v>0.29679144</v>
      </c>
      <c r="BA1381" s="1">
        <v>0.717073</v>
      </c>
      <c r="BB1381" s="1">
        <v>0.016548</v>
      </c>
      <c r="BC1381" s="1">
        <v>0.25235</v>
      </c>
      <c r="BD1381" s="1">
        <v>0.034179</v>
      </c>
      <c r="BE1381" s="1">
        <v>0.163073</v>
      </c>
      <c r="BF1381" s="1">
        <v>0.015625</v>
      </c>
      <c r="BG1381" s="1">
        <v>0.027327</v>
      </c>
      <c r="BH1381" s="1">
        <v>0.053003</v>
      </c>
      <c r="BI1381" s="1">
        <v>0.142394</v>
      </c>
      <c r="BJ1381" s="1">
        <v>0.469964</v>
      </c>
      <c r="BK1381" s="1">
        <v>0.093084</v>
      </c>
      <c r="BL1381" s="1">
        <v>0.003794</v>
      </c>
      <c r="BM1381" s="1">
        <v>0.923</v>
      </c>
      <c r="BN1381" s="1">
        <v>0.588</v>
      </c>
      <c r="BO1381" s="1">
        <v>0.9242</v>
      </c>
      <c r="BP1381" s="1">
        <v>0.941</v>
      </c>
      <c r="BQ1381" s="1">
        <v>3.3762</v>
      </c>
      <c r="BR1381" s="1">
        <v>0.8931</v>
      </c>
      <c r="BS1381" s="1">
        <v>0.033</v>
      </c>
      <c r="BT1381" s="1">
        <v>0.938</v>
      </c>
      <c r="BU1381" s="1">
        <v>0.98</v>
      </c>
      <c r="BV1381" s="1">
        <v>1.951</v>
      </c>
      <c r="BW1381" s="1">
        <v>0.833</v>
      </c>
      <c r="BX1381" s="1">
        <v>0.903</v>
      </c>
      <c r="BY1381" s="1">
        <v>0.83</v>
      </c>
      <c r="BZ1381" s="1">
        <v>1.733</v>
      </c>
      <c r="CA1381" s="1">
        <v>0.938</v>
      </c>
      <c r="CB1381" s="1">
        <v>0.572</v>
      </c>
      <c r="CC1381" s="1">
        <v>0.491</v>
      </c>
      <c r="CD1381" s="1">
        <v>0.947</v>
      </c>
      <c r="CE1381" s="1">
        <v>0.994</v>
      </c>
      <c r="CF1381" s="1">
        <v>0.489</v>
      </c>
      <c r="CG1381" s="1">
        <v>3.493</v>
      </c>
      <c r="CH1381" s="1">
        <v>0.934</v>
      </c>
      <c r="CI1381" s="1">
        <v>10.5532</v>
      </c>
      <c r="CJ1381" s="1">
        <v>0.9755</v>
      </c>
      <c r="CK1381" s="1">
        <v>1.0</v>
      </c>
      <c r="CL1381" s="1">
        <v>0.0</v>
      </c>
      <c r="CM1381" s="1">
        <v>1.0</v>
      </c>
      <c r="CN1381" s="1">
        <v>1.0</v>
      </c>
      <c r="CO1381" s="1">
        <v>3.0</v>
      </c>
      <c r="CP1381" s="1">
        <v>0.0</v>
      </c>
      <c r="CQ1381" s="1">
        <v>1.0</v>
      </c>
      <c r="CR1381" s="1">
        <v>1.0</v>
      </c>
      <c r="CS1381" s="1">
        <v>2.0</v>
      </c>
      <c r="CT1381" s="1">
        <v>1.0</v>
      </c>
      <c r="CU1381" s="1">
        <v>0.0</v>
      </c>
      <c r="CV1381" s="1">
        <v>1.0</v>
      </c>
      <c r="CW1381" s="1">
        <v>0.0</v>
      </c>
      <c r="CX1381" s="1">
        <v>0.0</v>
      </c>
      <c r="CY1381" s="1">
        <v>1.0</v>
      </c>
      <c r="CZ1381" s="1">
        <v>1.0</v>
      </c>
      <c r="DA1381" s="1">
        <v>0.0</v>
      </c>
      <c r="DB1381" s="1">
        <v>2.0</v>
      </c>
      <c r="DC1381" s="1">
        <v>8.0</v>
      </c>
      <c r="DD1381" s="1" t="s">
        <v>5992</v>
      </c>
      <c r="DE1381" s="1">
        <v>2.78121275012505E-4</v>
      </c>
      <c r="DF1381" s="1">
        <v>0.0803120948954952</v>
      </c>
    </row>
    <row r="1382" ht="15.75" customHeight="1">
      <c r="A1382" s="1" t="s">
        <v>5993</v>
      </c>
      <c r="B1382" s="1">
        <v>29.0</v>
      </c>
      <c r="C1382" s="1">
        <v>510.0</v>
      </c>
      <c r="D1382" s="1">
        <v>125600.0</v>
      </c>
      <c r="E1382" s="1">
        <v>0.834</v>
      </c>
      <c r="F1382" s="1">
        <v>29510.0</v>
      </c>
      <c r="G1382" s="1">
        <v>2.95101256E10</v>
      </c>
      <c r="H1382" s="1" t="s">
        <v>112</v>
      </c>
      <c r="I1382" s="1" t="s">
        <v>113</v>
      </c>
      <c r="J1382" s="1" t="s">
        <v>5663</v>
      </c>
      <c r="K1382" s="1" t="s">
        <v>5994</v>
      </c>
      <c r="L1382" s="1">
        <v>4113.0</v>
      </c>
      <c r="M1382" s="1">
        <v>2393.0</v>
      </c>
      <c r="N1382" s="1">
        <v>282.0</v>
      </c>
      <c r="O1382" s="1">
        <v>3149.0</v>
      </c>
      <c r="P1382" s="1">
        <v>2304.0</v>
      </c>
      <c r="Q1382" s="1">
        <v>100.0</v>
      </c>
      <c r="R1382" s="1">
        <v>2448.0</v>
      </c>
      <c r="S1382" s="1">
        <v>278.0</v>
      </c>
      <c r="T1382" s="1">
        <v>112.0</v>
      </c>
      <c r="U1382" s="1">
        <v>67.0</v>
      </c>
      <c r="V1382" s="1">
        <v>460.0</v>
      </c>
      <c r="W1382" s="1">
        <v>43181.0</v>
      </c>
      <c r="X1382" s="1">
        <v>5227.0</v>
      </c>
      <c r="Y1382" s="1">
        <v>72.0</v>
      </c>
      <c r="Z1382" s="1">
        <v>398.0</v>
      </c>
      <c r="AA1382" s="1">
        <v>168.0</v>
      </c>
      <c r="AB1382" s="1">
        <v>231.0</v>
      </c>
      <c r="AC1382" s="1">
        <v>91.0</v>
      </c>
      <c r="AD1382" s="1">
        <v>2158.0</v>
      </c>
      <c r="AE1382" s="1">
        <v>78.0</v>
      </c>
      <c r="AF1382" s="1">
        <v>433.0</v>
      </c>
      <c r="AG1382" s="1">
        <v>1928.0</v>
      </c>
      <c r="AH1382" s="1">
        <v>199.0</v>
      </c>
      <c r="AI1382" s="1">
        <v>0.0</v>
      </c>
      <c r="AJ1382" s="1">
        <v>114.0</v>
      </c>
      <c r="AK1382" s="1">
        <v>65.0</v>
      </c>
      <c r="AL1382" s="1">
        <v>131.0</v>
      </c>
      <c r="AM1382" s="1">
        <v>266.0</v>
      </c>
      <c r="AN1382" s="1">
        <v>90.0</v>
      </c>
      <c r="AO1382" s="1">
        <v>747.0</v>
      </c>
      <c r="AP1382" s="1">
        <v>0.116172</v>
      </c>
      <c r="AQ1382" s="1">
        <v>0.044756</v>
      </c>
      <c r="AR1382" s="1">
        <v>0.038285</v>
      </c>
      <c r="AS1382" s="1">
        <v>0.262723</v>
      </c>
      <c r="AT1382" s="1">
        <v>43181.0</v>
      </c>
      <c r="AU1382" s="1">
        <v>5227.0</v>
      </c>
      <c r="AV1382" s="1">
        <v>0.039495</v>
      </c>
      <c r="AW1382" s="1">
        <v>0.218243</v>
      </c>
      <c r="AX1382" s="1">
        <v>0.040846</v>
      </c>
      <c r="AY1382" s="1">
        <v>0.056163</v>
      </c>
      <c r="AZ1382" s="1">
        <v>0.0371732</v>
      </c>
      <c r="BA1382" s="1">
        <v>0.524677</v>
      </c>
      <c r="BB1382" s="1">
        <v>0.035294</v>
      </c>
      <c r="BC1382" s="1">
        <v>0.195885</v>
      </c>
      <c r="BD1382" s="1">
        <v>0.836805</v>
      </c>
      <c r="BE1382" s="1">
        <v>0.078364</v>
      </c>
      <c r="BF1382" s="1">
        <v>0.0</v>
      </c>
      <c r="BG1382" s="1">
        <v>0.049479</v>
      </c>
      <c r="BH1382" s="1">
        <v>0.03755</v>
      </c>
      <c r="BI1382" s="1">
        <v>0.075596</v>
      </c>
      <c r="BJ1382" s="1">
        <v>0.153668</v>
      </c>
      <c r="BK1382" s="1">
        <v>0.049938</v>
      </c>
      <c r="BL1382" s="1">
        <v>0.181619</v>
      </c>
      <c r="BM1382" s="1">
        <v>0.435</v>
      </c>
      <c r="BN1382" s="1">
        <v>0.167</v>
      </c>
      <c r="BO1382" s="1">
        <v>0.0469</v>
      </c>
      <c r="BP1382" s="1">
        <v>0.098</v>
      </c>
      <c r="BQ1382" s="1">
        <v>0.7469</v>
      </c>
      <c r="BR1382" s="1">
        <v>0.1401</v>
      </c>
      <c r="BS1382" s="1">
        <v>0.018</v>
      </c>
      <c r="BT1382" s="1">
        <v>0.013</v>
      </c>
      <c r="BU1382" s="1">
        <v>0.03</v>
      </c>
      <c r="BV1382" s="1">
        <v>0.061</v>
      </c>
      <c r="BW1382" s="1">
        <v>0.007</v>
      </c>
      <c r="BX1382" s="1">
        <v>0.869</v>
      </c>
      <c r="BY1382" s="1">
        <v>0.935</v>
      </c>
      <c r="BZ1382" s="1">
        <v>1.804</v>
      </c>
      <c r="CA1382" s="1">
        <v>0.966</v>
      </c>
      <c r="CB1382" s="1">
        <v>0.996</v>
      </c>
      <c r="CC1382" s="1">
        <v>0.0</v>
      </c>
      <c r="CD1382" s="1">
        <v>0.879</v>
      </c>
      <c r="CE1382" s="1">
        <v>0.862</v>
      </c>
      <c r="CF1382" s="1">
        <v>0.963</v>
      </c>
      <c r="CG1382" s="1">
        <v>3.7</v>
      </c>
      <c r="CH1382" s="1">
        <v>0.976</v>
      </c>
      <c r="CI1382" s="1">
        <v>6.3119</v>
      </c>
      <c r="CJ1382" s="1">
        <v>0.431</v>
      </c>
      <c r="CK1382" s="1">
        <v>0.0</v>
      </c>
      <c r="CL1382" s="1">
        <v>0.0</v>
      </c>
      <c r="CM1382" s="1">
        <v>0.0</v>
      </c>
      <c r="CN1382" s="1">
        <v>0.0</v>
      </c>
      <c r="CO1382" s="1">
        <v>0.0</v>
      </c>
      <c r="CP1382" s="1">
        <v>0.0</v>
      </c>
      <c r="CQ1382" s="1">
        <v>0.0</v>
      </c>
      <c r="CR1382" s="1">
        <v>0.0</v>
      </c>
      <c r="CS1382" s="1">
        <v>0.0</v>
      </c>
      <c r="CT1382" s="1">
        <v>0.0</v>
      </c>
      <c r="CU1382" s="1">
        <v>1.0</v>
      </c>
      <c r="CV1382" s="1">
        <v>1.0</v>
      </c>
      <c r="CW1382" s="1">
        <v>1.0</v>
      </c>
      <c r="CX1382" s="1">
        <v>0.0</v>
      </c>
      <c r="CY1382" s="1">
        <v>0.0</v>
      </c>
      <c r="CZ1382" s="1">
        <v>0.0</v>
      </c>
      <c r="DA1382" s="1">
        <v>1.0</v>
      </c>
      <c r="DB1382" s="1">
        <v>2.0</v>
      </c>
      <c r="DC1382" s="1">
        <v>3.0</v>
      </c>
      <c r="DD1382" s="1" t="s">
        <v>5995</v>
      </c>
      <c r="DE1382" s="1">
        <v>2.66521165044105E-4</v>
      </c>
      <c r="DF1382" s="1">
        <v>0.0665038867897086</v>
      </c>
    </row>
    <row r="1383" ht="15.75" customHeight="1">
      <c r="A1383" s="1" t="s">
        <v>5996</v>
      </c>
      <c r="B1383" s="1">
        <v>29.0</v>
      </c>
      <c r="C1383" s="1">
        <v>510.0</v>
      </c>
      <c r="D1383" s="1">
        <v>125700.0</v>
      </c>
      <c r="E1383" s="1">
        <v>0.504</v>
      </c>
      <c r="F1383" s="1">
        <v>29510.0</v>
      </c>
      <c r="G1383" s="1">
        <v>2.95101257E10</v>
      </c>
      <c r="H1383" s="1" t="s">
        <v>112</v>
      </c>
      <c r="I1383" s="1" t="s">
        <v>113</v>
      </c>
      <c r="J1383" s="1" t="s">
        <v>5663</v>
      </c>
      <c r="K1383" s="1" t="s">
        <v>5997</v>
      </c>
      <c r="L1383" s="1">
        <v>3329.0</v>
      </c>
      <c r="M1383" s="1">
        <v>2892.0</v>
      </c>
      <c r="N1383" s="1">
        <v>375.0</v>
      </c>
      <c r="O1383" s="1">
        <v>1710.0</v>
      </c>
      <c r="P1383" s="1">
        <v>1644.0</v>
      </c>
      <c r="Q1383" s="1">
        <v>113.0</v>
      </c>
      <c r="R1383" s="1">
        <v>1391.0</v>
      </c>
      <c r="S1383" s="1">
        <v>1773.0</v>
      </c>
      <c r="T1383" s="1">
        <v>424.0</v>
      </c>
      <c r="U1383" s="1">
        <v>286.0</v>
      </c>
      <c r="V1383" s="1">
        <v>429.0</v>
      </c>
      <c r="W1383" s="1">
        <v>9370.0</v>
      </c>
      <c r="X1383" s="1">
        <v>1798.0</v>
      </c>
      <c r="Y1383" s="1">
        <v>519.0</v>
      </c>
      <c r="Z1383" s="1">
        <v>283.0</v>
      </c>
      <c r="AA1383" s="1">
        <v>185.0</v>
      </c>
      <c r="AB1383" s="1">
        <v>1358.0</v>
      </c>
      <c r="AC1383" s="1">
        <v>632.0</v>
      </c>
      <c r="AD1383" s="1">
        <v>3275.0</v>
      </c>
      <c r="AE1383" s="1">
        <v>0.0</v>
      </c>
      <c r="AF1383" s="1">
        <v>456.0</v>
      </c>
      <c r="AG1383" s="1">
        <v>581.0</v>
      </c>
      <c r="AH1383" s="1">
        <v>161.0</v>
      </c>
      <c r="AI1383" s="1">
        <v>0.0</v>
      </c>
      <c r="AJ1383" s="1">
        <v>114.0</v>
      </c>
      <c r="AK1383" s="1">
        <v>0.0</v>
      </c>
      <c r="AL1383" s="1">
        <v>161.0</v>
      </c>
      <c r="AM1383" s="1">
        <v>752.0</v>
      </c>
      <c r="AN1383" s="1">
        <v>172.0</v>
      </c>
      <c r="AO1383" s="1">
        <v>4.0</v>
      </c>
      <c r="AP1383" s="1">
        <v>0.61307</v>
      </c>
      <c r="AQ1383" s="1">
        <v>0.123188</v>
      </c>
      <c r="AR1383" s="1">
        <v>0.253996</v>
      </c>
      <c r="AS1383" s="1">
        <v>0.371536</v>
      </c>
      <c r="AT1383" s="1">
        <v>9370.0</v>
      </c>
      <c r="AU1383" s="1">
        <v>1798.0</v>
      </c>
      <c r="AV1383" s="1">
        <v>0.351864</v>
      </c>
      <c r="AW1383" s="1">
        <v>0.186997</v>
      </c>
      <c r="AX1383" s="1">
        <v>0.055572</v>
      </c>
      <c r="AY1383" s="1">
        <v>0.40793</v>
      </c>
      <c r="AZ1383" s="1">
        <v>0.45434938</v>
      </c>
      <c r="BA1383" s="1">
        <v>0.983778</v>
      </c>
      <c r="BB1383" s="1">
        <v>0.0</v>
      </c>
      <c r="BC1383" s="1">
        <v>0.182546</v>
      </c>
      <c r="BD1383" s="1">
        <v>0.353406</v>
      </c>
      <c r="BE1383" s="1">
        <v>0.094871</v>
      </c>
      <c r="BF1383" s="1">
        <v>0.0</v>
      </c>
      <c r="BG1383" s="1">
        <v>0.069343</v>
      </c>
      <c r="BH1383" s="1">
        <v>0.0</v>
      </c>
      <c r="BI1383" s="1">
        <v>0.121785</v>
      </c>
      <c r="BJ1383" s="1">
        <v>0.568835</v>
      </c>
      <c r="BK1383" s="1">
        <v>0.116202</v>
      </c>
      <c r="BL1383" s="1">
        <v>0.001201</v>
      </c>
      <c r="BM1383" s="1">
        <v>0.998</v>
      </c>
      <c r="BN1383" s="1">
        <v>0.979</v>
      </c>
      <c r="BO1383" s="1">
        <v>0.9921</v>
      </c>
      <c r="BP1383" s="1">
        <v>0.979</v>
      </c>
      <c r="BQ1383" s="1">
        <v>3.9481</v>
      </c>
      <c r="BR1383" s="1">
        <v>0.9993</v>
      </c>
      <c r="BS1383" s="1">
        <v>0.035</v>
      </c>
      <c r="BT1383" s="1">
        <v>0.997</v>
      </c>
      <c r="BU1383" s="1">
        <v>1.0</v>
      </c>
      <c r="BV1383" s="1">
        <v>2.032</v>
      </c>
      <c r="BW1383" s="1">
        <v>0.88</v>
      </c>
      <c r="BX1383" s="1">
        <v>0.983</v>
      </c>
      <c r="BY1383" s="1">
        <v>0.0</v>
      </c>
      <c r="BZ1383" s="1">
        <v>0.983</v>
      </c>
      <c r="CA1383" s="1">
        <v>0.542</v>
      </c>
      <c r="CB1383" s="1">
        <v>0.958</v>
      </c>
      <c r="CC1383" s="1">
        <v>0.0</v>
      </c>
      <c r="CD1383" s="1">
        <v>0.0</v>
      </c>
      <c r="CE1383" s="1">
        <v>0.998</v>
      </c>
      <c r="CF1383" s="1">
        <v>0.412</v>
      </c>
      <c r="CG1383" s="1">
        <v>2.368</v>
      </c>
      <c r="CH1383" s="1">
        <v>0.494</v>
      </c>
      <c r="CI1383" s="1">
        <v>9.3311</v>
      </c>
      <c r="CJ1383" s="1">
        <v>0.891</v>
      </c>
      <c r="CK1383" s="1">
        <v>1.0</v>
      </c>
      <c r="CL1383" s="1">
        <v>1.0</v>
      </c>
      <c r="CM1383" s="1">
        <v>1.0</v>
      </c>
      <c r="CN1383" s="1">
        <v>1.0</v>
      </c>
      <c r="CO1383" s="1">
        <v>4.0</v>
      </c>
      <c r="CP1383" s="1">
        <v>0.0</v>
      </c>
      <c r="CQ1383" s="1">
        <v>1.0</v>
      </c>
      <c r="CR1383" s="1">
        <v>1.0</v>
      </c>
      <c r="CS1383" s="1">
        <v>2.0</v>
      </c>
      <c r="CT1383" s="1">
        <v>1.0</v>
      </c>
      <c r="CU1383" s="1">
        <v>0.0</v>
      </c>
      <c r="CV1383" s="1">
        <v>1.0</v>
      </c>
      <c r="CW1383" s="1">
        <v>1.0</v>
      </c>
      <c r="CX1383" s="1">
        <v>0.0</v>
      </c>
      <c r="CY1383" s="1">
        <v>0.0</v>
      </c>
      <c r="CZ1383" s="1">
        <v>1.0</v>
      </c>
      <c r="DA1383" s="1">
        <v>0.0</v>
      </c>
      <c r="DB1383" s="1">
        <v>2.0</v>
      </c>
      <c r="DC1383" s="1">
        <v>9.0</v>
      </c>
      <c r="DD1383" s="1" t="s">
        <v>5998</v>
      </c>
      <c r="DE1383" s="1">
        <v>1.53779228513593E-4</v>
      </c>
      <c r="DF1383" s="1">
        <v>0.067060908153134</v>
      </c>
    </row>
    <row r="1384" ht="15.75" customHeight="1">
      <c r="A1384" s="1" t="s">
        <v>5999</v>
      </c>
      <c r="B1384" s="1">
        <v>29.0</v>
      </c>
      <c r="C1384" s="1">
        <v>510.0</v>
      </c>
      <c r="D1384" s="1">
        <v>126600.0</v>
      </c>
      <c r="E1384" s="1">
        <v>1.255</v>
      </c>
      <c r="F1384" s="1">
        <v>29510.0</v>
      </c>
      <c r="G1384" s="1">
        <v>2.95101266E10</v>
      </c>
      <c r="H1384" s="1" t="s">
        <v>112</v>
      </c>
      <c r="I1384" s="1" t="s">
        <v>113</v>
      </c>
      <c r="J1384" s="1" t="s">
        <v>5663</v>
      </c>
      <c r="K1384" s="1" t="s">
        <v>6000</v>
      </c>
      <c r="L1384" s="1">
        <v>3543.0</v>
      </c>
      <c r="M1384" s="1">
        <v>3222.0</v>
      </c>
      <c r="N1384" s="1">
        <v>500.0</v>
      </c>
      <c r="O1384" s="1">
        <v>1467.0</v>
      </c>
      <c r="P1384" s="1">
        <v>1400.0</v>
      </c>
      <c r="Q1384" s="1">
        <v>132.0</v>
      </c>
      <c r="R1384" s="1">
        <v>1146.0</v>
      </c>
      <c r="S1384" s="1">
        <v>1067.0</v>
      </c>
      <c r="T1384" s="1">
        <v>386.0</v>
      </c>
      <c r="U1384" s="1">
        <v>181.0</v>
      </c>
      <c r="V1384" s="1">
        <v>404.0</v>
      </c>
      <c r="W1384" s="1">
        <v>11320.0</v>
      </c>
      <c r="X1384" s="1">
        <v>2358.0</v>
      </c>
      <c r="Y1384" s="1">
        <v>826.0</v>
      </c>
      <c r="Z1384" s="1">
        <v>265.0</v>
      </c>
      <c r="AA1384" s="1">
        <v>189.0</v>
      </c>
      <c r="AB1384" s="1">
        <v>1050.0</v>
      </c>
      <c r="AC1384" s="1">
        <v>378.0</v>
      </c>
      <c r="AD1384" s="1">
        <v>2910.0</v>
      </c>
      <c r="AE1384" s="1">
        <v>8.0</v>
      </c>
      <c r="AF1384" s="1">
        <v>442.0</v>
      </c>
      <c r="AG1384" s="1">
        <v>251.0</v>
      </c>
      <c r="AH1384" s="1">
        <v>84.0</v>
      </c>
      <c r="AI1384" s="1">
        <v>0.0</v>
      </c>
      <c r="AJ1384" s="1">
        <v>114.0</v>
      </c>
      <c r="AK1384" s="1">
        <v>44.0</v>
      </c>
      <c r="AL1384" s="1">
        <v>126.0</v>
      </c>
      <c r="AM1384" s="1">
        <v>425.0</v>
      </c>
      <c r="AN1384" s="1">
        <v>116.0</v>
      </c>
      <c r="AO1384" s="1">
        <v>647.0</v>
      </c>
      <c r="AP1384" s="1">
        <v>0.416146</v>
      </c>
      <c r="AQ1384" s="1">
        <v>0.130636</v>
      </c>
      <c r="AR1384" s="1">
        <v>0.17238</v>
      </c>
      <c r="AS1384" s="1">
        <v>0.381886</v>
      </c>
      <c r="AT1384" s="1">
        <v>11320.0</v>
      </c>
      <c r="AU1384" s="1">
        <v>2358.0</v>
      </c>
      <c r="AV1384" s="1">
        <v>0.398072</v>
      </c>
      <c r="AW1384" s="1">
        <v>0.11391</v>
      </c>
      <c r="AX1384" s="1">
        <v>0.053344</v>
      </c>
      <c r="AY1384" s="1">
        <v>0.296359</v>
      </c>
      <c r="AZ1384" s="1">
        <v>0.32984293</v>
      </c>
      <c r="BA1384" s="1">
        <v>0.821337</v>
      </c>
      <c r="BB1384" s="1">
        <v>0.002735</v>
      </c>
      <c r="BC1384" s="1">
        <v>0.151162</v>
      </c>
      <c r="BD1384" s="1">
        <v>0.179285</v>
      </c>
      <c r="BE1384" s="1">
        <v>0.057569</v>
      </c>
      <c r="BF1384" s="1">
        <v>0.0</v>
      </c>
      <c r="BG1384" s="1">
        <v>0.081428</v>
      </c>
      <c r="BH1384" s="1">
        <v>0.041706</v>
      </c>
      <c r="BI1384" s="1">
        <v>0.119325</v>
      </c>
      <c r="BJ1384" s="1">
        <v>0.402843</v>
      </c>
      <c r="BK1384" s="1">
        <v>0.09868</v>
      </c>
      <c r="BL1384" s="1">
        <v>0.182613</v>
      </c>
      <c r="BM1384" s="1">
        <v>0.965</v>
      </c>
      <c r="BN1384" s="1">
        <v>0.926</v>
      </c>
      <c r="BO1384" s="1">
        <v>0.9711</v>
      </c>
      <c r="BP1384" s="1">
        <v>0.989</v>
      </c>
      <c r="BQ1384" s="1">
        <v>3.8511</v>
      </c>
      <c r="BR1384" s="1">
        <v>0.9892</v>
      </c>
      <c r="BS1384" s="1">
        <v>0.03</v>
      </c>
      <c r="BT1384" s="1">
        <v>0.91</v>
      </c>
      <c r="BU1384" s="1">
        <v>0.987</v>
      </c>
      <c r="BV1384" s="1">
        <v>1.927</v>
      </c>
      <c r="BW1384" s="1">
        <v>0.818</v>
      </c>
      <c r="BX1384" s="1">
        <v>0.926</v>
      </c>
      <c r="BY1384" s="1">
        <v>0.431</v>
      </c>
      <c r="BZ1384" s="1">
        <v>1.357</v>
      </c>
      <c r="CA1384" s="1">
        <v>0.744</v>
      </c>
      <c r="CB1384" s="1">
        <v>0.879</v>
      </c>
      <c r="CC1384" s="1">
        <v>0.0</v>
      </c>
      <c r="CD1384" s="1">
        <v>0.901</v>
      </c>
      <c r="CE1384" s="1">
        <v>0.985</v>
      </c>
      <c r="CF1384" s="1">
        <v>0.964</v>
      </c>
      <c r="CG1384" s="1">
        <v>3.729</v>
      </c>
      <c r="CH1384" s="1">
        <v>0.979</v>
      </c>
      <c r="CI1384" s="1">
        <v>10.8641</v>
      </c>
      <c r="CJ1384" s="1">
        <v>0.9877</v>
      </c>
      <c r="CK1384" s="1">
        <v>1.0</v>
      </c>
      <c r="CL1384" s="1">
        <v>1.0</v>
      </c>
      <c r="CM1384" s="1">
        <v>1.0</v>
      </c>
      <c r="CN1384" s="1">
        <v>1.0</v>
      </c>
      <c r="CO1384" s="1">
        <v>4.0</v>
      </c>
      <c r="CP1384" s="1">
        <v>0.0</v>
      </c>
      <c r="CQ1384" s="1">
        <v>1.0</v>
      </c>
      <c r="CR1384" s="1">
        <v>1.0</v>
      </c>
      <c r="CS1384" s="1">
        <v>2.0</v>
      </c>
      <c r="CT1384" s="1">
        <v>1.0</v>
      </c>
      <c r="CU1384" s="1">
        <v>0.0</v>
      </c>
      <c r="CV1384" s="1">
        <v>1.0</v>
      </c>
      <c r="CW1384" s="1">
        <v>0.0</v>
      </c>
      <c r="CX1384" s="1">
        <v>0.0</v>
      </c>
      <c r="CY1384" s="1">
        <v>1.0</v>
      </c>
      <c r="CZ1384" s="1">
        <v>1.0</v>
      </c>
      <c r="DA1384" s="1">
        <v>1.0</v>
      </c>
      <c r="DB1384" s="1">
        <v>3.0</v>
      </c>
      <c r="DC1384" s="1">
        <v>10.0</v>
      </c>
      <c r="DD1384" s="1" t="s">
        <v>6001</v>
      </c>
      <c r="DE1384" s="1">
        <v>3.91121631918908E-4</v>
      </c>
      <c r="DF1384" s="1">
        <v>0.0862533761570371</v>
      </c>
    </row>
    <row r="1385" ht="15.75" customHeight="1">
      <c r="A1385" s="1" t="s">
        <v>6002</v>
      </c>
      <c r="B1385" s="1">
        <v>29.0</v>
      </c>
      <c r="C1385" s="1">
        <v>510.0</v>
      </c>
      <c r="D1385" s="1">
        <v>126800.0</v>
      </c>
      <c r="E1385" s="1">
        <v>1.062</v>
      </c>
      <c r="F1385" s="1">
        <v>29510.0</v>
      </c>
      <c r="G1385" s="1">
        <v>2.95101268E10</v>
      </c>
      <c r="H1385" s="1" t="s">
        <v>112</v>
      </c>
      <c r="I1385" s="1" t="s">
        <v>113</v>
      </c>
      <c r="J1385" s="1" t="s">
        <v>5663</v>
      </c>
      <c r="K1385" s="1" t="s">
        <v>6003</v>
      </c>
      <c r="L1385" s="1">
        <v>3698.0</v>
      </c>
      <c r="M1385" s="1">
        <v>3672.0</v>
      </c>
      <c r="N1385" s="1">
        <v>501.0</v>
      </c>
      <c r="O1385" s="1">
        <v>1962.0</v>
      </c>
      <c r="P1385" s="1">
        <v>1883.0</v>
      </c>
      <c r="Q1385" s="1">
        <v>80.0</v>
      </c>
      <c r="R1385" s="1">
        <v>1789.0</v>
      </c>
      <c r="S1385" s="1">
        <v>308.0</v>
      </c>
      <c r="T1385" s="1">
        <v>164.0</v>
      </c>
      <c r="U1385" s="1">
        <v>176.0</v>
      </c>
      <c r="V1385" s="1">
        <v>404.0</v>
      </c>
      <c r="W1385" s="1">
        <v>25508.0</v>
      </c>
      <c r="X1385" s="1">
        <v>2300.0</v>
      </c>
      <c r="Y1385" s="1">
        <v>337.0</v>
      </c>
      <c r="Z1385" s="1">
        <v>253.0</v>
      </c>
      <c r="AA1385" s="1">
        <v>305.0</v>
      </c>
      <c r="AB1385" s="1">
        <v>558.0</v>
      </c>
      <c r="AC1385" s="1">
        <v>156.0</v>
      </c>
      <c r="AD1385" s="1">
        <v>722.0</v>
      </c>
      <c r="AE1385" s="1">
        <v>13.0</v>
      </c>
      <c r="AF1385" s="1">
        <v>442.0</v>
      </c>
      <c r="AG1385" s="1">
        <v>71.0</v>
      </c>
      <c r="AH1385" s="1">
        <v>126.0</v>
      </c>
      <c r="AI1385" s="1">
        <v>29.0</v>
      </c>
      <c r="AJ1385" s="1">
        <v>45.0</v>
      </c>
      <c r="AK1385" s="1">
        <v>0.0</v>
      </c>
      <c r="AL1385" s="1">
        <v>161.0</v>
      </c>
      <c r="AM1385" s="1">
        <v>129.0</v>
      </c>
      <c r="AN1385" s="1">
        <v>62.0</v>
      </c>
      <c r="AO1385" s="1">
        <v>0.0</v>
      </c>
      <c r="AP1385" s="1">
        <v>0.085035</v>
      </c>
      <c r="AQ1385" s="1">
        <v>0.043743</v>
      </c>
      <c r="AR1385" s="1">
        <v>0.0691</v>
      </c>
      <c r="AS1385" s="1">
        <v>0.158368</v>
      </c>
      <c r="AT1385" s="1">
        <v>25508.0</v>
      </c>
      <c r="AU1385" s="1">
        <v>2300.0</v>
      </c>
      <c r="AV1385" s="1">
        <v>0.123669</v>
      </c>
      <c r="AW1385" s="1">
        <v>0.091483</v>
      </c>
      <c r="AX1385" s="1">
        <v>0.082477</v>
      </c>
      <c r="AY1385" s="1">
        <v>0.150892</v>
      </c>
      <c r="AZ1385" s="1">
        <v>0.08719955</v>
      </c>
      <c r="BA1385" s="1">
        <v>0.19524</v>
      </c>
      <c r="BB1385" s="1">
        <v>0.003669</v>
      </c>
      <c r="BC1385" s="1">
        <v>0.124751</v>
      </c>
      <c r="BD1385" s="1">
        <v>0.037705</v>
      </c>
      <c r="BE1385" s="1">
        <v>0.066895</v>
      </c>
      <c r="BF1385" s="1">
        <v>0.0154</v>
      </c>
      <c r="BG1385" s="1">
        <v>0.023889</v>
      </c>
      <c r="BH1385" s="1">
        <v>0.0</v>
      </c>
      <c r="BI1385" s="1">
        <v>0.100625</v>
      </c>
      <c r="BJ1385" s="1">
        <v>0.080625</v>
      </c>
      <c r="BK1385" s="1">
        <v>0.038093</v>
      </c>
      <c r="BL1385" s="1">
        <v>0.0</v>
      </c>
      <c r="BM1385" s="1">
        <v>0.314</v>
      </c>
      <c r="BN1385" s="1">
        <v>0.505</v>
      </c>
      <c r="BO1385" s="1">
        <v>0.3264</v>
      </c>
      <c r="BP1385" s="1">
        <v>0.445</v>
      </c>
      <c r="BQ1385" s="1">
        <v>1.5904</v>
      </c>
      <c r="BR1385" s="1">
        <v>0.3704</v>
      </c>
      <c r="BS1385" s="1">
        <v>0.127</v>
      </c>
      <c r="BT1385" s="1">
        <v>0.07</v>
      </c>
      <c r="BU1385" s="1">
        <v>0.379</v>
      </c>
      <c r="BV1385" s="1">
        <v>0.576</v>
      </c>
      <c r="BW1385" s="1">
        <v>0.039</v>
      </c>
      <c r="BX1385" s="1">
        <v>0.705</v>
      </c>
      <c r="BY1385" s="1">
        <v>0.497</v>
      </c>
      <c r="BZ1385" s="1">
        <v>1.202</v>
      </c>
      <c r="CA1385" s="1">
        <v>0.662</v>
      </c>
      <c r="CB1385" s="1">
        <v>0.599</v>
      </c>
      <c r="CC1385" s="1">
        <v>0.49</v>
      </c>
      <c r="CD1385" s="1">
        <v>0.0</v>
      </c>
      <c r="CE1385" s="1">
        <v>0.676</v>
      </c>
      <c r="CF1385" s="1">
        <v>0.0</v>
      </c>
      <c r="CG1385" s="1">
        <v>1.765</v>
      </c>
      <c r="CH1385" s="1">
        <v>0.256</v>
      </c>
      <c r="CI1385" s="1">
        <v>5.1334</v>
      </c>
      <c r="CJ1385" s="1">
        <v>0.2224</v>
      </c>
      <c r="CK1385" s="1">
        <v>0.0</v>
      </c>
      <c r="CL1385" s="1">
        <v>0.0</v>
      </c>
      <c r="CM1385" s="1">
        <v>0.0</v>
      </c>
      <c r="CN1385" s="1">
        <v>0.0</v>
      </c>
      <c r="CO1385" s="1">
        <v>0.0</v>
      </c>
      <c r="CP1385" s="1">
        <v>0.0</v>
      </c>
      <c r="CQ1385" s="1">
        <v>0.0</v>
      </c>
      <c r="CR1385" s="1">
        <v>0.0</v>
      </c>
      <c r="CS1385" s="1">
        <v>0.0</v>
      </c>
      <c r="CT1385" s="1">
        <v>0.0</v>
      </c>
      <c r="CU1385" s="1">
        <v>0.0</v>
      </c>
      <c r="CV1385" s="1">
        <v>0.0</v>
      </c>
      <c r="CW1385" s="1">
        <v>0.0</v>
      </c>
      <c r="CX1385" s="1">
        <v>0.0</v>
      </c>
      <c r="CY1385" s="1">
        <v>0.0</v>
      </c>
      <c r="CZ1385" s="1">
        <v>0.0</v>
      </c>
      <c r="DA1385" s="1">
        <v>0.0</v>
      </c>
      <c r="DB1385" s="1">
        <v>0.0</v>
      </c>
      <c r="DC1385" s="1">
        <v>0.0</v>
      </c>
      <c r="DD1385" s="1" t="s">
        <v>6004</v>
      </c>
      <c r="DE1385" s="1">
        <v>2.81769143501827E-4</v>
      </c>
      <c r="DF1385" s="1">
        <v>0.0908407103398757</v>
      </c>
    </row>
    <row r="1386" ht="15.75" customHeight="1">
      <c r="A1386" s="1" t="s">
        <v>6005</v>
      </c>
      <c r="B1386" s="1">
        <v>29.0</v>
      </c>
      <c r="C1386" s="1">
        <v>510.0</v>
      </c>
      <c r="D1386" s="1">
        <v>116100.0</v>
      </c>
      <c r="E1386" s="1">
        <v>0.295</v>
      </c>
      <c r="F1386" s="1">
        <v>29510.0</v>
      </c>
      <c r="G1386" s="1">
        <v>2.95101161E10</v>
      </c>
      <c r="H1386" s="1" t="s">
        <v>112</v>
      </c>
      <c r="I1386" s="1" t="s">
        <v>113</v>
      </c>
      <c r="J1386" s="1" t="s">
        <v>5663</v>
      </c>
      <c r="K1386" s="1" t="s">
        <v>6006</v>
      </c>
      <c r="L1386" s="1">
        <v>3274.0</v>
      </c>
      <c r="M1386" s="1">
        <v>3430.0</v>
      </c>
      <c r="N1386" s="1">
        <v>492.0</v>
      </c>
      <c r="O1386" s="1">
        <v>1750.0</v>
      </c>
      <c r="P1386" s="1">
        <v>1759.0</v>
      </c>
      <c r="Q1386" s="1">
        <v>68.0</v>
      </c>
      <c r="R1386" s="1">
        <v>1489.0</v>
      </c>
      <c r="S1386" s="1">
        <v>1073.0</v>
      </c>
      <c r="T1386" s="1">
        <v>396.0</v>
      </c>
      <c r="U1386" s="1">
        <v>419.0</v>
      </c>
      <c r="V1386" s="1">
        <v>323.0</v>
      </c>
      <c r="W1386" s="1">
        <v>16728.0</v>
      </c>
      <c r="X1386" s="1">
        <v>2490.0</v>
      </c>
      <c r="Y1386" s="1">
        <v>581.0</v>
      </c>
      <c r="Z1386" s="1">
        <v>257.0</v>
      </c>
      <c r="AA1386" s="1">
        <v>249.0</v>
      </c>
      <c r="AB1386" s="1">
        <v>657.0</v>
      </c>
      <c r="AC1386" s="1">
        <v>191.0</v>
      </c>
      <c r="AD1386" s="1">
        <v>1875.0</v>
      </c>
      <c r="AE1386" s="1">
        <v>306.0</v>
      </c>
      <c r="AF1386" s="1">
        <v>407.0</v>
      </c>
      <c r="AG1386" s="1">
        <v>27.0</v>
      </c>
      <c r="AH1386" s="1">
        <v>163.0</v>
      </c>
      <c r="AI1386" s="1">
        <v>0.0</v>
      </c>
      <c r="AJ1386" s="1">
        <v>114.0</v>
      </c>
      <c r="AK1386" s="1">
        <v>97.0</v>
      </c>
      <c r="AL1386" s="1">
        <v>135.0</v>
      </c>
      <c r="AM1386" s="1">
        <v>293.0</v>
      </c>
      <c r="AN1386" s="1">
        <v>114.0</v>
      </c>
      <c r="AO1386" s="1">
        <v>0.0</v>
      </c>
      <c r="AP1386" s="1">
        <v>0.312827</v>
      </c>
      <c r="AQ1386" s="1">
        <v>0.106374</v>
      </c>
      <c r="AR1386" s="1">
        <v>0.216873</v>
      </c>
      <c r="AS1386" s="1">
        <v>0.163826</v>
      </c>
      <c r="AT1386" s="1">
        <v>16728.0</v>
      </c>
      <c r="AU1386" s="1">
        <v>2490.0</v>
      </c>
      <c r="AV1386" s="1">
        <v>0.272898</v>
      </c>
      <c r="AW1386" s="1">
        <v>0.11624</v>
      </c>
      <c r="AX1386" s="1">
        <v>0.076053</v>
      </c>
      <c r="AY1386" s="1">
        <v>0.200671</v>
      </c>
      <c r="AZ1386" s="1">
        <v>0.128274</v>
      </c>
      <c r="BA1386" s="1">
        <v>0.572693</v>
      </c>
      <c r="BB1386" s="1">
        <v>0.097514</v>
      </c>
      <c r="BC1386" s="1">
        <v>0.129038</v>
      </c>
      <c r="BD1386" s="1">
        <v>0.015349</v>
      </c>
      <c r="BE1386" s="1">
        <v>0.092664</v>
      </c>
      <c r="BF1386" s="1">
        <v>0.0</v>
      </c>
      <c r="BG1386" s="1">
        <v>0.064809</v>
      </c>
      <c r="BH1386" s="1">
        <v>0.067361</v>
      </c>
      <c r="BI1386" s="1">
        <v>0.093537</v>
      </c>
      <c r="BJ1386" s="1">
        <v>0.203472</v>
      </c>
      <c r="BK1386" s="1">
        <v>0.076834</v>
      </c>
      <c r="BL1386" s="1">
        <v>0.0</v>
      </c>
      <c r="BM1386" s="1">
        <v>0.896</v>
      </c>
      <c r="BN1386" s="1">
        <v>0.963</v>
      </c>
      <c r="BO1386" s="1">
        <v>0.8007</v>
      </c>
      <c r="BP1386" s="1">
        <v>0.91</v>
      </c>
      <c r="BQ1386" s="1">
        <v>3.5697</v>
      </c>
      <c r="BR1386" s="1">
        <v>0.9357</v>
      </c>
      <c r="BS1386" s="1">
        <v>0.102</v>
      </c>
      <c r="BT1386" s="1">
        <v>0.189</v>
      </c>
      <c r="BU1386" s="1">
        <v>0.708</v>
      </c>
      <c r="BV1386" s="1">
        <v>0.999</v>
      </c>
      <c r="BW1386" s="1">
        <v>0.115</v>
      </c>
      <c r="BX1386" s="1">
        <v>0.876</v>
      </c>
      <c r="BY1386" s="1">
        <v>0.983</v>
      </c>
      <c r="BZ1386" s="1">
        <v>1.859</v>
      </c>
      <c r="CA1386" s="1">
        <v>0.982</v>
      </c>
      <c r="CB1386" s="1">
        <v>0.428</v>
      </c>
      <c r="CC1386" s="1">
        <v>0.0</v>
      </c>
      <c r="CD1386" s="1">
        <v>0.974</v>
      </c>
      <c r="CE1386" s="1">
        <v>0.909</v>
      </c>
      <c r="CF1386" s="1">
        <v>0.0</v>
      </c>
      <c r="CG1386" s="1">
        <v>2.311</v>
      </c>
      <c r="CH1386" s="1">
        <v>0.458</v>
      </c>
      <c r="CI1386" s="1">
        <v>8.7387</v>
      </c>
      <c r="CJ1386" s="1">
        <v>0.8159</v>
      </c>
      <c r="CK1386" s="1">
        <v>0.0</v>
      </c>
      <c r="CL1386" s="1">
        <v>1.0</v>
      </c>
      <c r="CM1386" s="1">
        <v>0.0</v>
      </c>
      <c r="CN1386" s="1">
        <v>1.0</v>
      </c>
      <c r="CO1386" s="1">
        <v>2.0</v>
      </c>
      <c r="CP1386" s="1">
        <v>0.0</v>
      </c>
      <c r="CQ1386" s="1">
        <v>0.0</v>
      </c>
      <c r="CR1386" s="1">
        <v>0.0</v>
      </c>
      <c r="CS1386" s="1">
        <v>0.0</v>
      </c>
      <c r="CT1386" s="1">
        <v>0.0</v>
      </c>
      <c r="CU1386" s="1">
        <v>1.0</v>
      </c>
      <c r="CV1386" s="1">
        <v>1.0</v>
      </c>
      <c r="CW1386" s="1">
        <v>0.0</v>
      </c>
      <c r="CX1386" s="1">
        <v>0.0</v>
      </c>
      <c r="CY1386" s="1">
        <v>1.0</v>
      </c>
      <c r="CZ1386" s="1">
        <v>1.0</v>
      </c>
      <c r="DA1386" s="1">
        <v>0.0</v>
      </c>
      <c r="DB1386" s="1">
        <v>2.0</v>
      </c>
      <c r="DC1386" s="1">
        <v>5.0</v>
      </c>
      <c r="DD1386" s="1" t="s">
        <v>6007</v>
      </c>
      <c r="DE1386" s="2" t="s">
        <v>6008</v>
      </c>
      <c r="DF1386" s="1">
        <v>0.0398671727535917</v>
      </c>
    </row>
    <row r="1387" ht="15.75" customHeight="1">
      <c r="A1387" s="1" t="s">
        <v>6009</v>
      </c>
      <c r="B1387" s="1">
        <v>29.0</v>
      </c>
      <c r="C1387" s="1">
        <v>510.0</v>
      </c>
      <c r="D1387" s="1">
        <v>126900.0</v>
      </c>
      <c r="E1387" s="1">
        <v>1.669</v>
      </c>
      <c r="F1387" s="1">
        <v>29510.0</v>
      </c>
      <c r="G1387" s="1">
        <v>2.95101269E10</v>
      </c>
      <c r="H1387" s="1" t="s">
        <v>112</v>
      </c>
      <c r="I1387" s="1" t="s">
        <v>113</v>
      </c>
      <c r="J1387" s="1" t="s">
        <v>5663</v>
      </c>
      <c r="K1387" s="1" t="s">
        <v>6010</v>
      </c>
      <c r="L1387" s="1">
        <v>5016.0</v>
      </c>
      <c r="M1387" s="1">
        <v>5717.0</v>
      </c>
      <c r="N1387" s="1">
        <v>626.0</v>
      </c>
      <c r="O1387" s="1">
        <v>2275.0</v>
      </c>
      <c r="P1387" s="1">
        <v>2429.0</v>
      </c>
      <c r="Q1387" s="1">
        <v>133.0</v>
      </c>
      <c r="R1387" s="1">
        <v>1874.0</v>
      </c>
      <c r="S1387" s="1">
        <v>1543.0</v>
      </c>
      <c r="T1387" s="1">
        <v>608.0</v>
      </c>
      <c r="U1387" s="1">
        <v>449.0</v>
      </c>
      <c r="V1387" s="1">
        <v>320.0</v>
      </c>
      <c r="W1387" s="1">
        <v>14493.0</v>
      </c>
      <c r="X1387" s="1">
        <v>2130.0</v>
      </c>
      <c r="Y1387" s="1">
        <v>654.0</v>
      </c>
      <c r="Z1387" s="1">
        <v>272.0</v>
      </c>
      <c r="AA1387" s="1">
        <v>791.0</v>
      </c>
      <c r="AB1387" s="1">
        <v>1211.0</v>
      </c>
      <c r="AC1387" s="1">
        <v>410.0</v>
      </c>
      <c r="AD1387" s="1">
        <v>4971.0</v>
      </c>
      <c r="AE1387" s="1">
        <v>0.0</v>
      </c>
      <c r="AF1387" s="1">
        <v>456.0</v>
      </c>
      <c r="AG1387" s="1">
        <v>9.0</v>
      </c>
      <c r="AH1387" s="1">
        <v>162.0</v>
      </c>
      <c r="AI1387" s="1">
        <v>0.0</v>
      </c>
      <c r="AJ1387" s="1">
        <v>114.0</v>
      </c>
      <c r="AK1387" s="1">
        <v>21.0</v>
      </c>
      <c r="AL1387" s="1">
        <v>118.0</v>
      </c>
      <c r="AM1387" s="1">
        <v>602.0</v>
      </c>
      <c r="AN1387" s="1">
        <v>181.0</v>
      </c>
      <c r="AO1387" s="1">
        <v>432.0</v>
      </c>
      <c r="AP1387" s="1">
        <v>0.281158</v>
      </c>
      <c r="AQ1387" s="1">
        <v>0.106377</v>
      </c>
      <c r="AR1387" s="1">
        <v>0.214422</v>
      </c>
      <c r="AS1387" s="1">
        <v>0.147914</v>
      </c>
      <c r="AT1387" s="1">
        <v>14493.0</v>
      </c>
      <c r="AU1387" s="1">
        <v>2130.0</v>
      </c>
      <c r="AV1387" s="1">
        <v>0.197344</v>
      </c>
      <c r="AW1387" s="1">
        <v>0.079629</v>
      </c>
      <c r="AX1387" s="1">
        <v>0.157695</v>
      </c>
      <c r="AY1387" s="1">
        <v>0.241427</v>
      </c>
      <c r="AZ1387" s="1">
        <v>0.21878335</v>
      </c>
      <c r="BA1387" s="1">
        <v>0.991028</v>
      </c>
      <c r="BB1387" s="1">
        <v>0.0</v>
      </c>
      <c r="BC1387" s="1">
        <v>0.083761</v>
      </c>
      <c r="BD1387" s="1">
        <v>0.003705</v>
      </c>
      <c r="BE1387" s="1">
        <v>0.066693</v>
      </c>
      <c r="BF1387" s="1">
        <v>0.0</v>
      </c>
      <c r="BG1387" s="1">
        <v>0.046932</v>
      </c>
      <c r="BH1387" s="1">
        <v>0.010101</v>
      </c>
      <c r="BI1387" s="1">
        <v>0.05675</v>
      </c>
      <c r="BJ1387" s="1">
        <v>0.289562</v>
      </c>
      <c r="BK1387" s="1">
        <v>0.08267</v>
      </c>
      <c r="BL1387" s="1">
        <v>0.086124</v>
      </c>
      <c r="BM1387" s="1">
        <v>0.866</v>
      </c>
      <c r="BN1387" s="1">
        <v>0.961</v>
      </c>
      <c r="BO1387" s="1">
        <v>0.8931</v>
      </c>
      <c r="BP1387" s="1">
        <v>0.744</v>
      </c>
      <c r="BQ1387" s="1">
        <v>3.4641</v>
      </c>
      <c r="BR1387" s="1">
        <v>0.9155</v>
      </c>
      <c r="BS1387" s="1">
        <v>0.647</v>
      </c>
      <c r="BT1387" s="1">
        <v>0.507</v>
      </c>
      <c r="BU1387" s="1">
        <v>0.916</v>
      </c>
      <c r="BV1387" s="1">
        <v>2.07</v>
      </c>
      <c r="BW1387" s="1">
        <v>0.904</v>
      </c>
      <c r="BX1387" s="1">
        <v>0.993</v>
      </c>
      <c r="BY1387" s="1">
        <v>0.0</v>
      </c>
      <c r="BZ1387" s="1">
        <v>0.993</v>
      </c>
      <c r="CA1387" s="1">
        <v>0.555</v>
      </c>
      <c r="CB1387" s="1">
        <v>0.297</v>
      </c>
      <c r="CC1387" s="1">
        <v>0.0</v>
      </c>
      <c r="CD1387" s="1">
        <v>0.479</v>
      </c>
      <c r="CE1387" s="1">
        <v>0.964</v>
      </c>
      <c r="CF1387" s="1">
        <v>0.936</v>
      </c>
      <c r="CG1387" s="1">
        <v>2.676</v>
      </c>
      <c r="CH1387" s="1">
        <v>0.635</v>
      </c>
      <c r="CI1387" s="1">
        <v>9.2031</v>
      </c>
      <c r="CJ1387" s="1">
        <v>0.8765</v>
      </c>
      <c r="CK1387" s="1">
        <v>0.0</v>
      </c>
      <c r="CL1387" s="1">
        <v>1.0</v>
      </c>
      <c r="CM1387" s="1">
        <v>0.0</v>
      </c>
      <c r="CN1387" s="1">
        <v>0.0</v>
      </c>
      <c r="CO1387" s="1">
        <v>1.0</v>
      </c>
      <c r="CP1387" s="1">
        <v>0.0</v>
      </c>
      <c r="CQ1387" s="1">
        <v>0.0</v>
      </c>
      <c r="CR1387" s="1">
        <v>1.0</v>
      </c>
      <c r="CS1387" s="1">
        <v>1.0</v>
      </c>
      <c r="CT1387" s="1">
        <v>1.0</v>
      </c>
      <c r="CU1387" s="1">
        <v>0.0</v>
      </c>
      <c r="CV1387" s="1">
        <v>1.0</v>
      </c>
      <c r="CW1387" s="1">
        <v>0.0</v>
      </c>
      <c r="CX1387" s="1">
        <v>0.0</v>
      </c>
      <c r="CY1387" s="1">
        <v>0.0</v>
      </c>
      <c r="CZ1387" s="1">
        <v>1.0</v>
      </c>
      <c r="DA1387" s="1">
        <v>1.0</v>
      </c>
      <c r="DB1387" s="1">
        <v>2.0</v>
      </c>
      <c r="DC1387" s="1">
        <v>5.0</v>
      </c>
      <c r="DD1387" s="1" t="s">
        <v>6011</v>
      </c>
      <c r="DE1387" s="1">
        <v>4.46848925041103E-4</v>
      </c>
      <c r="DF1387" s="2" t="s">
        <v>6012</v>
      </c>
    </row>
    <row r="1388" ht="15.75" customHeight="1">
      <c r="A1388" s="1" t="s">
        <v>6013</v>
      </c>
      <c r="B1388" s="1">
        <v>29.0</v>
      </c>
      <c r="C1388" s="1">
        <v>510.0</v>
      </c>
      <c r="D1388" s="1">
        <v>127000.0</v>
      </c>
      <c r="E1388" s="1">
        <v>4.066</v>
      </c>
      <c r="F1388" s="1">
        <v>29510.0</v>
      </c>
      <c r="G1388" s="1">
        <v>2.9510127E10</v>
      </c>
      <c r="H1388" s="1" t="s">
        <v>112</v>
      </c>
      <c r="I1388" s="1" t="s">
        <v>113</v>
      </c>
      <c r="J1388" s="1" t="s">
        <v>5663</v>
      </c>
      <c r="K1388" s="1" t="s">
        <v>6014</v>
      </c>
      <c r="L1388" s="1">
        <v>2470.0</v>
      </c>
      <c r="M1388" s="1">
        <v>2974.0</v>
      </c>
      <c r="N1388" s="1">
        <v>361.0</v>
      </c>
      <c r="O1388" s="1">
        <v>848.0</v>
      </c>
      <c r="P1388" s="1">
        <v>907.0</v>
      </c>
      <c r="Q1388" s="1">
        <v>69.0</v>
      </c>
      <c r="R1388" s="1">
        <v>654.0</v>
      </c>
      <c r="S1388" s="1">
        <v>686.0</v>
      </c>
      <c r="T1388" s="1">
        <v>311.0</v>
      </c>
      <c r="U1388" s="1">
        <v>225.0</v>
      </c>
      <c r="V1388" s="1">
        <v>427.0</v>
      </c>
      <c r="W1388" s="1">
        <v>8629.0</v>
      </c>
      <c r="X1388" s="1">
        <v>1441.0</v>
      </c>
      <c r="Y1388" s="1">
        <v>649.0</v>
      </c>
      <c r="Z1388" s="1">
        <v>270.0</v>
      </c>
      <c r="AA1388" s="1">
        <v>106.0</v>
      </c>
      <c r="AB1388" s="1">
        <v>518.0</v>
      </c>
      <c r="AC1388" s="1">
        <v>166.0</v>
      </c>
      <c r="AD1388" s="1">
        <v>2124.0</v>
      </c>
      <c r="AE1388" s="1">
        <v>0.0</v>
      </c>
      <c r="AF1388" s="1">
        <v>456.0</v>
      </c>
      <c r="AG1388" s="1">
        <v>149.0</v>
      </c>
      <c r="AH1388" s="1">
        <v>78.0</v>
      </c>
      <c r="AI1388" s="1">
        <v>0.0</v>
      </c>
      <c r="AJ1388" s="1">
        <v>114.0</v>
      </c>
      <c r="AK1388" s="1">
        <v>25.0</v>
      </c>
      <c r="AL1388" s="1">
        <v>117.0</v>
      </c>
      <c r="AM1388" s="1">
        <v>130.0</v>
      </c>
      <c r="AN1388" s="1">
        <v>66.0</v>
      </c>
      <c r="AO1388" s="1">
        <v>928.0</v>
      </c>
      <c r="AP1388" s="1">
        <v>0.422934</v>
      </c>
      <c r="AQ1388" s="1">
        <v>0.170011</v>
      </c>
      <c r="AR1388" s="1">
        <v>0.255972</v>
      </c>
      <c r="AS1388" s="1">
        <v>0.478017</v>
      </c>
      <c r="AT1388" s="1">
        <v>8629.0</v>
      </c>
      <c r="AU1388" s="1">
        <v>1441.0</v>
      </c>
      <c r="AV1388" s="1">
        <v>0.334019</v>
      </c>
      <c r="AW1388" s="1">
        <v>0.134856</v>
      </c>
      <c r="AX1388" s="1">
        <v>0.042914</v>
      </c>
      <c r="AY1388" s="1">
        <v>0.209716</v>
      </c>
      <c r="AZ1388" s="1">
        <v>0.25382262</v>
      </c>
      <c r="BA1388" s="1">
        <v>0.859919</v>
      </c>
      <c r="BB1388" s="1">
        <v>0.0</v>
      </c>
      <c r="BC1388" s="1">
        <v>0.160112</v>
      </c>
      <c r="BD1388" s="1">
        <v>0.164277</v>
      </c>
      <c r="BE1388" s="1">
        <v>0.085084</v>
      </c>
      <c r="BF1388" s="1">
        <v>0.0</v>
      </c>
      <c r="BG1388" s="1">
        <v>0.125689</v>
      </c>
      <c r="BH1388" s="1">
        <v>0.034674</v>
      </c>
      <c r="BI1388" s="1">
        <v>0.162211</v>
      </c>
      <c r="BJ1388" s="1">
        <v>0.180305</v>
      </c>
      <c r="BK1388" s="1">
        <v>0.088469</v>
      </c>
      <c r="BL1388" s="1">
        <v>0.375708</v>
      </c>
      <c r="BM1388" s="1">
        <v>0.969</v>
      </c>
      <c r="BN1388" s="1">
        <v>0.98</v>
      </c>
      <c r="BO1388" s="1">
        <v>0.9942</v>
      </c>
      <c r="BP1388" s="1">
        <v>0.969</v>
      </c>
      <c r="BQ1388" s="1">
        <v>3.9122</v>
      </c>
      <c r="BR1388" s="1">
        <v>0.9957</v>
      </c>
      <c r="BS1388" s="1">
        <v>0.02</v>
      </c>
      <c r="BT1388" s="1">
        <v>0.235</v>
      </c>
      <c r="BU1388" s="1">
        <v>0.95</v>
      </c>
      <c r="BV1388" s="1">
        <v>1.205</v>
      </c>
      <c r="BW1388" s="1">
        <v>0.233</v>
      </c>
      <c r="BX1388" s="1">
        <v>0.936</v>
      </c>
      <c r="BY1388" s="1">
        <v>0.0</v>
      </c>
      <c r="BZ1388" s="1">
        <v>0.936</v>
      </c>
      <c r="CA1388" s="1">
        <v>0.496</v>
      </c>
      <c r="CB1388" s="1">
        <v>0.858</v>
      </c>
      <c r="CC1388" s="1">
        <v>0.0</v>
      </c>
      <c r="CD1388" s="1">
        <v>0.857</v>
      </c>
      <c r="CE1388" s="1">
        <v>0.891</v>
      </c>
      <c r="CF1388" s="1">
        <v>0.987</v>
      </c>
      <c r="CG1388" s="1">
        <v>3.593</v>
      </c>
      <c r="CH1388" s="1">
        <v>0.953</v>
      </c>
      <c r="CI1388" s="1">
        <v>9.6462</v>
      </c>
      <c r="CJ1388" s="1">
        <v>0.9206</v>
      </c>
      <c r="CK1388" s="1">
        <v>1.0</v>
      </c>
      <c r="CL1388" s="1">
        <v>1.0</v>
      </c>
      <c r="CM1388" s="1">
        <v>1.0</v>
      </c>
      <c r="CN1388" s="1">
        <v>1.0</v>
      </c>
      <c r="CO1388" s="1">
        <v>4.0</v>
      </c>
      <c r="CP1388" s="1">
        <v>0.0</v>
      </c>
      <c r="CQ1388" s="1">
        <v>0.0</v>
      </c>
      <c r="CR1388" s="1">
        <v>1.0</v>
      </c>
      <c r="CS1388" s="1">
        <v>1.0</v>
      </c>
      <c r="CT1388" s="1">
        <v>1.0</v>
      </c>
      <c r="CU1388" s="1">
        <v>0.0</v>
      </c>
      <c r="CV1388" s="1">
        <v>1.0</v>
      </c>
      <c r="CW1388" s="1">
        <v>0.0</v>
      </c>
      <c r="CX1388" s="1">
        <v>0.0</v>
      </c>
      <c r="CY1388" s="1">
        <v>0.0</v>
      </c>
      <c r="CZ1388" s="1">
        <v>0.0</v>
      </c>
      <c r="DA1388" s="1">
        <v>1.0</v>
      </c>
      <c r="DB1388" s="1">
        <v>1.0</v>
      </c>
      <c r="DC1388" s="1">
        <v>7.0</v>
      </c>
      <c r="DD1388" s="1" t="s">
        <v>6015</v>
      </c>
      <c r="DE1388" s="1">
        <v>0.0015786431767511</v>
      </c>
      <c r="DF1388" s="2" t="s">
        <v>6016</v>
      </c>
    </row>
    <row r="1389" ht="15.75" customHeight="1">
      <c r="A1389" s="1" t="s">
        <v>6017</v>
      </c>
      <c r="B1389" s="1">
        <v>29.0</v>
      </c>
      <c r="C1389" s="1">
        <v>510.0</v>
      </c>
      <c r="D1389" s="1">
        <v>127100.0</v>
      </c>
      <c r="E1389" s="1">
        <v>0.672</v>
      </c>
      <c r="F1389" s="1">
        <v>29510.0</v>
      </c>
      <c r="G1389" s="1">
        <v>2.95101271E10</v>
      </c>
      <c r="H1389" s="1" t="s">
        <v>112</v>
      </c>
      <c r="I1389" s="1" t="s">
        <v>113</v>
      </c>
      <c r="J1389" s="1" t="s">
        <v>5663</v>
      </c>
      <c r="K1389" s="1" t="s">
        <v>6018</v>
      </c>
      <c r="L1389" s="1">
        <v>2234.0</v>
      </c>
      <c r="M1389" s="1">
        <v>2354.0</v>
      </c>
      <c r="N1389" s="1">
        <v>238.0</v>
      </c>
      <c r="O1389" s="1">
        <v>1336.0</v>
      </c>
      <c r="P1389" s="1">
        <v>1337.0</v>
      </c>
      <c r="Q1389" s="1">
        <v>92.0</v>
      </c>
      <c r="R1389" s="1">
        <v>927.0</v>
      </c>
      <c r="S1389" s="1">
        <v>672.0</v>
      </c>
      <c r="T1389" s="1">
        <v>240.0</v>
      </c>
      <c r="U1389" s="1">
        <v>127.0</v>
      </c>
      <c r="V1389" s="1">
        <v>418.0</v>
      </c>
      <c r="W1389" s="1">
        <v>14252.0</v>
      </c>
      <c r="X1389" s="1">
        <v>2856.0</v>
      </c>
      <c r="Y1389" s="1">
        <v>381.0</v>
      </c>
      <c r="Z1389" s="1">
        <v>328.0</v>
      </c>
      <c r="AA1389" s="1">
        <v>338.0</v>
      </c>
      <c r="AB1389" s="1">
        <v>622.0</v>
      </c>
      <c r="AC1389" s="1">
        <v>246.0</v>
      </c>
      <c r="AD1389" s="1">
        <v>2174.0</v>
      </c>
      <c r="AE1389" s="1">
        <v>0.0</v>
      </c>
      <c r="AF1389" s="1">
        <v>456.0</v>
      </c>
      <c r="AG1389" s="1">
        <v>379.0</v>
      </c>
      <c r="AH1389" s="1">
        <v>100.0</v>
      </c>
      <c r="AI1389" s="1">
        <v>0.0</v>
      </c>
      <c r="AJ1389" s="1">
        <v>114.0</v>
      </c>
      <c r="AK1389" s="1">
        <v>15.0</v>
      </c>
      <c r="AL1389" s="1">
        <v>116.0</v>
      </c>
      <c r="AM1389" s="1">
        <v>426.0</v>
      </c>
      <c r="AN1389" s="1">
        <v>113.0</v>
      </c>
      <c r="AO1389" s="1">
        <v>74.0</v>
      </c>
      <c r="AP1389" s="1">
        <v>0.285471</v>
      </c>
      <c r="AQ1389" s="1">
        <v>0.097783</v>
      </c>
      <c r="AR1389" s="1">
        <v>0.133684</v>
      </c>
      <c r="AS1389" s="1">
        <v>0.438307</v>
      </c>
      <c r="AT1389" s="1">
        <v>14252.0</v>
      </c>
      <c r="AU1389" s="1">
        <v>2856.0</v>
      </c>
      <c r="AV1389" s="1">
        <v>0.28454</v>
      </c>
      <c r="AW1389" s="1">
        <v>0.241355</v>
      </c>
      <c r="AX1389" s="1">
        <v>0.151298</v>
      </c>
      <c r="AY1389" s="1">
        <v>0.278424</v>
      </c>
      <c r="AZ1389" s="1">
        <v>0.26537216</v>
      </c>
      <c r="BA1389" s="1">
        <v>0.973142</v>
      </c>
      <c r="BB1389" s="1">
        <v>0.0</v>
      </c>
      <c r="BC1389" s="1">
        <v>0.21072</v>
      </c>
      <c r="BD1389" s="1">
        <v>0.28347</v>
      </c>
      <c r="BE1389" s="1">
        <v>0.072206</v>
      </c>
      <c r="BF1389" s="1">
        <v>0.0</v>
      </c>
      <c r="BG1389" s="1">
        <v>0.085265</v>
      </c>
      <c r="BH1389" s="1">
        <v>0.016666</v>
      </c>
      <c r="BI1389" s="1">
        <v>0.128874</v>
      </c>
      <c r="BJ1389" s="1">
        <v>0.473333</v>
      </c>
      <c r="BK1389" s="1">
        <v>0.113015</v>
      </c>
      <c r="BL1389" s="1">
        <v>0.033124</v>
      </c>
      <c r="BM1389" s="1">
        <v>0.869</v>
      </c>
      <c r="BN1389" s="1">
        <v>0.866</v>
      </c>
      <c r="BO1389" s="1">
        <v>0.9054</v>
      </c>
      <c r="BP1389" s="1">
        <v>0.925</v>
      </c>
      <c r="BQ1389" s="1">
        <v>3.5654</v>
      </c>
      <c r="BR1389" s="1">
        <v>0.9343</v>
      </c>
      <c r="BS1389" s="1">
        <v>0.59</v>
      </c>
      <c r="BT1389" s="1">
        <v>0.84</v>
      </c>
      <c r="BU1389" s="1">
        <v>0.96</v>
      </c>
      <c r="BV1389" s="1">
        <v>2.39</v>
      </c>
      <c r="BW1389" s="1">
        <v>0.99</v>
      </c>
      <c r="BX1389" s="1">
        <v>0.976</v>
      </c>
      <c r="BY1389" s="1">
        <v>0.0</v>
      </c>
      <c r="BZ1389" s="1">
        <v>0.976</v>
      </c>
      <c r="CA1389" s="1">
        <v>0.533</v>
      </c>
      <c r="CB1389" s="1">
        <v>0.935</v>
      </c>
      <c r="CC1389" s="1">
        <v>0.0</v>
      </c>
      <c r="CD1389" s="1">
        <v>0.624</v>
      </c>
      <c r="CE1389" s="1">
        <v>0.995</v>
      </c>
      <c r="CF1389" s="1">
        <v>0.824</v>
      </c>
      <c r="CG1389" s="1">
        <v>3.378</v>
      </c>
      <c r="CH1389" s="1">
        <v>0.906</v>
      </c>
      <c r="CI1389" s="1">
        <v>10.3094</v>
      </c>
      <c r="CJ1389" s="1">
        <v>0.9646</v>
      </c>
      <c r="CK1389" s="1">
        <v>0.0</v>
      </c>
      <c r="CL1389" s="1">
        <v>0.0</v>
      </c>
      <c r="CM1389" s="1">
        <v>1.0</v>
      </c>
      <c r="CN1389" s="1">
        <v>1.0</v>
      </c>
      <c r="CO1389" s="1">
        <v>2.0</v>
      </c>
      <c r="CP1389" s="1">
        <v>0.0</v>
      </c>
      <c r="CQ1389" s="1">
        <v>0.0</v>
      </c>
      <c r="CR1389" s="1">
        <v>1.0</v>
      </c>
      <c r="CS1389" s="1">
        <v>1.0</v>
      </c>
      <c r="CT1389" s="1">
        <v>1.0</v>
      </c>
      <c r="CU1389" s="1">
        <v>0.0</v>
      </c>
      <c r="CV1389" s="1">
        <v>1.0</v>
      </c>
      <c r="CW1389" s="1">
        <v>1.0</v>
      </c>
      <c r="CX1389" s="1">
        <v>0.0</v>
      </c>
      <c r="CY1389" s="1">
        <v>0.0</v>
      </c>
      <c r="CZ1389" s="1">
        <v>1.0</v>
      </c>
      <c r="DA1389" s="1">
        <v>0.0</v>
      </c>
      <c r="DB1389" s="1">
        <v>2.0</v>
      </c>
      <c r="DC1389" s="1">
        <v>6.0</v>
      </c>
      <c r="DD1389" s="1" t="s">
        <v>6019</v>
      </c>
      <c r="DE1389" s="1">
        <v>1.80221526811085E-4</v>
      </c>
      <c r="DF1389" s="1">
        <v>0.054550736933216</v>
      </c>
    </row>
    <row r="1390" ht="15.75" customHeight="1">
      <c r="A1390" s="1" t="s">
        <v>6020</v>
      </c>
      <c r="B1390" s="1">
        <v>29.0</v>
      </c>
      <c r="C1390" s="1">
        <v>510.0</v>
      </c>
      <c r="D1390" s="1">
        <v>127200.0</v>
      </c>
      <c r="E1390" s="1">
        <v>0.779</v>
      </c>
      <c r="F1390" s="1">
        <v>29510.0</v>
      </c>
      <c r="G1390" s="1">
        <v>2.95101272E10</v>
      </c>
      <c r="H1390" s="1" t="s">
        <v>112</v>
      </c>
      <c r="I1390" s="1" t="s">
        <v>113</v>
      </c>
      <c r="J1390" s="1" t="s">
        <v>5663</v>
      </c>
      <c r="K1390" s="1" t="s">
        <v>6021</v>
      </c>
      <c r="L1390" s="1">
        <v>4075.0</v>
      </c>
      <c r="M1390" s="1">
        <v>3943.0</v>
      </c>
      <c r="N1390" s="1">
        <v>336.0</v>
      </c>
      <c r="O1390" s="1">
        <v>2393.0</v>
      </c>
      <c r="P1390" s="1">
        <v>2273.0</v>
      </c>
      <c r="Q1390" s="1">
        <v>67.0</v>
      </c>
      <c r="R1390" s="1">
        <v>2100.0</v>
      </c>
      <c r="S1390" s="1">
        <v>664.0</v>
      </c>
      <c r="T1390" s="1">
        <v>233.0</v>
      </c>
      <c r="U1390" s="1">
        <v>222.0</v>
      </c>
      <c r="V1390" s="1">
        <v>389.0</v>
      </c>
      <c r="W1390" s="1">
        <v>25406.0</v>
      </c>
      <c r="X1390" s="1">
        <v>2416.0</v>
      </c>
      <c r="Y1390" s="1">
        <v>502.0</v>
      </c>
      <c r="Z1390" s="1">
        <v>233.0</v>
      </c>
      <c r="AA1390" s="1">
        <v>515.0</v>
      </c>
      <c r="AB1390" s="1">
        <v>537.0</v>
      </c>
      <c r="AC1390" s="1">
        <v>135.0</v>
      </c>
      <c r="AD1390" s="1">
        <v>1060.0</v>
      </c>
      <c r="AE1390" s="1">
        <v>37.0</v>
      </c>
      <c r="AF1390" s="1">
        <v>429.0</v>
      </c>
      <c r="AG1390" s="1">
        <v>225.0</v>
      </c>
      <c r="AH1390" s="1">
        <v>133.0</v>
      </c>
      <c r="AI1390" s="1">
        <v>0.0</v>
      </c>
      <c r="AJ1390" s="1">
        <v>114.0</v>
      </c>
      <c r="AK1390" s="1">
        <v>1.0</v>
      </c>
      <c r="AL1390" s="1">
        <v>114.0</v>
      </c>
      <c r="AM1390" s="1">
        <v>187.0</v>
      </c>
      <c r="AN1390" s="1">
        <v>76.0</v>
      </c>
      <c r="AO1390" s="1">
        <v>199.0</v>
      </c>
      <c r="AP1390" s="1">
        <v>0.172467</v>
      </c>
      <c r="AQ1390" s="1">
        <v>0.059059</v>
      </c>
      <c r="AR1390" s="1">
        <v>0.095979</v>
      </c>
      <c r="AS1390" s="1">
        <v>0.167593</v>
      </c>
      <c r="AT1390" s="1">
        <v>25406.0</v>
      </c>
      <c r="AU1390" s="1">
        <v>2416.0</v>
      </c>
      <c r="AV1390" s="1">
        <v>0.153329</v>
      </c>
      <c r="AW1390" s="1">
        <v>0.06962</v>
      </c>
      <c r="AX1390" s="1">
        <v>0.12638</v>
      </c>
      <c r="AY1390" s="1">
        <v>0.131779</v>
      </c>
      <c r="AZ1390" s="1">
        <v>0.06428571</v>
      </c>
      <c r="BA1390" s="1">
        <v>0.260122</v>
      </c>
      <c r="BB1390" s="1">
        <v>0.00969</v>
      </c>
      <c r="BC1390" s="1">
        <v>0.112359</v>
      </c>
      <c r="BD1390" s="1">
        <v>0.098988</v>
      </c>
      <c r="BE1390" s="1">
        <v>0.05844</v>
      </c>
      <c r="BF1390" s="1">
        <v>0.0</v>
      </c>
      <c r="BG1390" s="1">
        <v>0.050153</v>
      </c>
      <c r="BH1390" s="1">
        <v>5.1E-4</v>
      </c>
      <c r="BI1390" s="1">
        <v>0.058192</v>
      </c>
      <c r="BJ1390" s="1">
        <v>0.095456</v>
      </c>
      <c r="BK1390" s="1">
        <v>0.038494</v>
      </c>
      <c r="BL1390" s="1">
        <v>0.048834</v>
      </c>
      <c r="BM1390" s="1">
        <v>0.655</v>
      </c>
      <c r="BN1390" s="1">
        <v>0.708</v>
      </c>
      <c r="BO1390" s="1">
        <v>0.3314</v>
      </c>
      <c r="BP1390" s="1">
        <v>0.579</v>
      </c>
      <c r="BQ1390" s="1">
        <v>2.2734</v>
      </c>
      <c r="BR1390" s="1">
        <v>0.5906</v>
      </c>
      <c r="BS1390" s="1">
        <v>0.391</v>
      </c>
      <c r="BT1390" s="1">
        <v>0.043</v>
      </c>
      <c r="BU1390" s="1">
        <v>0.168</v>
      </c>
      <c r="BV1390" s="1">
        <v>0.602</v>
      </c>
      <c r="BW1390" s="1">
        <v>0.043</v>
      </c>
      <c r="BX1390" s="1">
        <v>0.766</v>
      </c>
      <c r="BY1390" s="1">
        <v>0.712</v>
      </c>
      <c r="BZ1390" s="1">
        <v>1.478</v>
      </c>
      <c r="CA1390" s="1">
        <v>0.807</v>
      </c>
      <c r="CB1390" s="1">
        <v>0.769</v>
      </c>
      <c r="CC1390" s="1">
        <v>0.0</v>
      </c>
      <c r="CD1390" s="1">
        <v>0.274</v>
      </c>
      <c r="CE1390" s="1">
        <v>0.738</v>
      </c>
      <c r="CF1390" s="1">
        <v>0.892</v>
      </c>
      <c r="CG1390" s="1">
        <v>2.673</v>
      </c>
      <c r="CH1390" s="1">
        <v>0.633</v>
      </c>
      <c r="CI1390" s="1">
        <v>7.0264</v>
      </c>
      <c r="CJ1390" s="1">
        <v>0.5495</v>
      </c>
      <c r="CK1390" s="1">
        <v>0.0</v>
      </c>
      <c r="CL1390" s="1">
        <v>0.0</v>
      </c>
      <c r="CM1390" s="1">
        <v>0.0</v>
      </c>
      <c r="CN1390" s="1">
        <v>0.0</v>
      </c>
      <c r="CO1390" s="1">
        <v>0.0</v>
      </c>
      <c r="CP1390" s="1">
        <v>0.0</v>
      </c>
      <c r="CQ1390" s="1">
        <v>0.0</v>
      </c>
      <c r="CR1390" s="1">
        <v>0.0</v>
      </c>
      <c r="CS1390" s="1">
        <v>0.0</v>
      </c>
      <c r="CT1390" s="1">
        <v>0.0</v>
      </c>
      <c r="CU1390" s="1">
        <v>0.0</v>
      </c>
      <c r="CV1390" s="1">
        <v>0.0</v>
      </c>
      <c r="CW1390" s="1">
        <v>0.0</v>
      </c>
      <c r="CX1390" s="1">
        <v>0.0</v>
      </c>
      <c r="CY1390" s="1">
        <v>0.0</v>
      </c>
      <c r="CZ1390" s="1">
        <v>0.0</v>
      </c>
      <c r="DA1390" s="1">
        <v>0.0</v>
      </c>
      <c r="DB1390" s="1">
        <v>0.0</v>
      </c>
      <c r="DC1390" s="1">
        <v>0.0</v>
      </c>
      <c r="DD1390" s="1" t="s">
        <v>6022</v>
      </c>
      <c r="DE1390" s="1">
        <v>2.07441005753323E-4</v>
      </c>
      <c r="DF1390" s="1">
        <v>0.0666431973783527</v>
      </c>
    </row>
    <row r="1391" ht="15.75" customHeight="1">
      <c r="A1391" s="1" t="s">
        <v>6023</v>
      </c>
      <c r="B1391" s="1">
        <v>29.0</v>
      </c>
      <c r="C1391" s="1">
        <v>510.0</v>
      </c>
      <c r="D1391" s="1">
        <v>127400.0</v>
      </c>
      <c r="E1391" s="1">
        <v>1.279</v>
      </c>
      <c r="F1391" s="1">
        <v>29510.0</v>
      </c>
      <c r="G1391" s="1">
        <v>2.95101274E10</v>
      </c>
      <c r="H1391" s="1" t="s">
        <v>112</v>
      </c>
      <c r="I1391" s="1" t="s">
        <v>113</v>
      </c>
      <c r="J1391" s="1" t="s">
        <v>5663</v>
      </c>
      <c r="K1391" s="1" t="s">
        <v>6024</v>
      </c>
      <c r="L1391" s="1">
        <v>4795.0</v>
      </c>
      <c r="M1391" s="1">
        <v>4498.0</v>
      </c>
      <c r="N1391" s="1">
        <v>546.0</v>
      </c>
      <c r="O1391" s="1">
        <v>2233.0</v>
      </c>
      <c r="P1391" s="1">
        <v>2295.0</v>
      </c>
      <c r="Q1391" s="1">
        <v>114.0</v>
      </c>
      <c r="R1391" s="1">
        <v>2046.0</v>
      </c>
      <c r="S1391" s="1">
        <v>2581.0</v>
      </c>
      <c r="T1391" s="1">
        <v>638.0</v>
      </c>
      <c r="U1391" s="1">
        <v>307.0</v>
      </c>
      <c r="V1391" s="1">
        <v>345.0</v>
      </c>
      <c r="W1391" s="1">
        <v>18234.0</v>
      </c>
      <c r="X1391" s="1">
        <v>3927.0</v>
      </c>
      <c r="Y1391" s="1">
        <v>551.0</v>
      </c>
      <c r="Z1391" s="1">
        <v>289.0</v>
      </c>
      <c r="AA1391" s="1">
        <v>346.0</v>
      </c>
      <c r="AB1391" s="1">
        <v>1610.0</v>
      </c>
      <c r="AC1391" s="1">
        <v>553.0</v>
      </c>
      <c r="AD1391" s="1">
        <v>3622.0</v>
      </c>
      <c r="AE1391" s="1">
        <v>96.0</v>
      </c>
      <c r="AF1391" s="1">
        <v>402.0</v>
      </c>
      <c r="AG1391" s="1">
        <v>666.0</v>
      </c>
      <c r="AH1391" s="1">
        <v>146.0</v>
      </c>
      <c r="AI1391" s="1">
        <v>0.0</v>
      </c>
      <c r="AJ1391" s="1">
        <v>114.0</v>
      </c>
      <c r="AK1391" s="1">
        <v>109.0</v>
      </c>
      <c r="AL1391" s="1">
        <v>131.0</v>
      </c>
      <c r="AM1391" s="1">
        <v>809.0</v>
      </c>
      <c r="AN1391" s="1">
        <v>159.0</v>
      </c>
      <c r="AO1391" s="1">
        <v>0.0</v>
      </c>
      <c r="AP1391" s="1">
        <v>0.57381</v>
      </c>
      <c r="AQ1391" s="1">
        <v>0.12356</v>
      </c>
      <c r="AR1391" s="1">
        <v>0.168774</v>
      </c>
      <c r="AS1391" s="1">
        <v>0.187053</v>
      </c>
      <c r="AT1391" s="1">
        <v>18234.0</v>
      </c>
      <c r="AU1391" s="1">
        <v>3927.0</v>
      </c>
      <c r="AV1391" s="1">
        <v>0.234867</v>
      </c>
      <c r="AW1391" s="1">
        <v>0.121166</v>
      </c>
      <c r="AX1391" s="1">
        <v>0.072158</v>
      </c>
      <c r="AY1391" s="1">
        <v>0.335766</v>
      </c>
      <c r="AZ1391" s="1">
        <v>0.27028347</v>
      </c>
      <c r="BA1391" s="1">
        <v>0.75537</v>
      </c>
      <c r="BB1391" s="1">
        <v>0.024132</v>
      </c>
      <c r="BC1391" s="1">
        <v>0.101015</v>
      </c>
      <c r="BD1391" s="1">
        <v>0.290196</v>
      </c>
      <c r="BE1391" s="1">
        <v>0.061961</v>
      </c>
      <c r="BF1391" s="1">
        <v>0.0</v>
      </c>
      <c r="BG1391" s="1">
        <v>0.049673</v>
      </c>
      <c r="BH1391" s="1">
        <v>0.054472</v>
      </c>
      <c r="BI1391" s="1">
        <v>0.065314</v>
      </c>
      <c r="BJ1391" s="1">
        <v>0.404297</v>
      </c>
      <c r="BK1391" s="1">
        <v>0.072221</v>
      </c>
      <c r="BL1391" s="1">
        <v>0.0</v>
      </c>
      <c r="BM1391" s="1">
        <v>0.994</v>
      </c>
      <c r="BN1391" s="1">
        <v>0.921</v>
      </c>
      <c r="BO1391" s="1">
        <v>0.7184</v>
      </c>
      <c r="BP1391" s="1">
        <v>0.835</v>
      </c>
      <c r="BQ1391" s="1">
        <v>3.4684</v>
      </c>
      <c r="BR1391" s="1">
        <v>0.917</v>
      </c>
      <c r="BS1391" s="1">
        <v>0.092</v>
      </c>
      <c r="BT1391" s="1">
        <v>0.979</v>
      </c>
      <c r="BU1391" s="1">
        <v>0.964</v>
      </c>
      <c r="BV1391" s="1">
        <v>2.035</v>
      </c>
      <c r="BW1391" s="1">
        <v>0.882</v>
      </c>
      <c r="BX1391" s="1">
        <v>0.914</v>
      </c>
      <c r="BY1391" s="1">
        <v>0.882</v>
      </c>
      <c r="BZ1391" s="1">
        <v>1.796</v>
      </c>
      <c r="CA1391" s="1">
        <v>0.963</v>
      </c>
      <c r="CB1391" s="1">
        <v>0.942</v>
      </c>
      <c r="CC1391" s="1">
        <v>0.0</v>
      </c>
      <c r="CD1391" s="1">
        <v>0.95</v>
      </c>
      <c r="CE1391" s="1">
        <v>0.986</v>
      </c>
      <c r="CF1391" s="1">
        <v>0.0</v>
      </c>
      <c r="CG1391" s="1">
        <v>2.878</v>
      </c>
      <c r="CH1391" s="1">
        <v>0.724</v>
      </c>
      <c r="CI1391" s="1">
        <v>10.1774</v>
      </c>
      <c r="CJ1391" s="1">
        <v>0.9603</v>
      </c>
      <c r="CK1391" s="1">
        <v>1.0</v>
      </c>
      <c r="CL1391" s="1">
        <v>1.0</v>
      </c>
      <c r="CM1391" s="1">
        <v>0.0</v>
      </c>
      <c r="CN1391" s="1">
        <v>0.0</v>
      </c>
      <c r="CO1391" s="1">
        <v>2.0</v>
      </c>
      <c r="CP1391" s="1">
        <v>0.0</v>
      </c>
      <c r="CQ1391" s="1">
        <v>1.0</v>
      </c>
      <c r="CR1391" s="1">
        <v>1.0</v>
      </c>
      <c r="CS1391" s="1">
        <v>2.0</v>
      </c>
      <c r="CT1391" s="1">
        <v>1.0</v>
      </c>
      <c r="CU1391" s="1">
        <v>0.0</v>
      </c>
      <c r="CV1391" s="1">
        <v>1.0</v>
      </c>
      <c r="CW1391" s="1">
        <v>1.0</v>
      </c>
      <c r="CX1391" s="1">
        <v>0.0</v>
      </c>
      <c r="CY1391" s="1">
        <v>1.0</v>
      </c>
      <c r="CZ1391" s="1">
        <v>1.0</v>
      </c>
      <c r="DA1391" s="1">
        <v>0.0</v>
      </c>
      <c r="DB1391" s="1">
        <v>3.0</v>
      </c>
      <c r="DC1391" s="1">
        <v>8.0</v>
      </c>
      <c r="DD1391" s="1" t="s">
        <v>6025</v>
      </c>
      <c r="DE1391" s="1">
        <v>3.67102691866557E-4</v>
      </c>
      <c r="DF1391" s="2" t="s">
        <v>6026</v>
      </c>
    </row>
    <row r="1392" ht="15.75" customHeight="1">
      <c r="A1392" s="1" t="s">
        <v>6027</v>
      </c>
      <c r="B1392" s="1">
        <v>29.0</v>
      </c>
      <c r="C1392" s="1">
        <v>510.0</v>
      </c>
      <c r="D1392" s="1">
        <v>127500.0</v>
      </c>
      <c r="E1392" s="1">
        <v>0.687</v>
      </c>
      <c r="F1392" s="1">
        <v>29510.0</v>
      </c>
      <c r="G1392" s="1">
        <v>2.95101275E10</v>
      </c>
      <c r="H1392" s="1" t="s">
        <v>112</v>
      </c>
      <c r="I1392" s="1" t="s">
        <v>113</v>
      </c>
      <c r="J1392" s="1" t="s">
        <v>5663</v>
      </c>
      <c r="K1392" s="1" t="s">
        <v>6028</v>
      </c>
      <c r="L1392" s="1">
        <v>2237.0</v>
      </c>
      <c r="M1392" s="1">
        <v>1850.0</v>
      </c>
      <c r="N1392" s="1">
        <v>310.0</v>
      </c>
      <c r="O1392" s="1">
        <v>1599.0</v>
      </c>
      <c r="P1392" s="1">
        <v>1003.0</v>
      </c>
      <c r="Q1392" s="1">
        <v>93.0</v>
      </c>
      <c r="R1392" s="1">
        <v>1264.0</v>
      </c>
      <c r="S1392" s="1">
        <v>761.0</v>
      </c>
      <c r="T1392" s="1">
        <v>298.0</v>
      </c>
      <c r="U1392" s="1">
        <v>159.0</v>
      </c>
      <c r="V1392" s="1">
        <v>421.0</v>
      </c>
      <c r="W1392" s="1">
        <v>12394.0</v>
      </c>
      <c r="X1392" s="1">
        <v>2386.0</v>
      </c>
      <c r="Y1392" s="1">
        <v>310.0</v>
      </c>
      <c r="Z1392" s="1">
        <v>329.0</v>
      </c>
      <c r="AA1392" s="1">
        <v>180.0</v>
      </c>
      <c r="AB1392" s="1">
        <v>526.0</v>
      </c>
      <c r="AC1392" s="1">
        <v>217.0</v>
      </c>
      <c r="AD1392" s="1">
        <v>1729.0</v>
      </c>
      <c r="AE1392" s="1">
        <v>56.0</v>
      </c>
      <c r="AF1392" s="1">
        <v>415.0</v>
      </c>
      <c r="AG1392" s="1">
        <v>519.0</v>
      </c>
      <c r="AH1392" s="1">
        <v>130.0</v>
      </c>
      <c r="AI1392" s="1">
        <v>0.0</v>
      </c>
      <c r="AJ1392" s="1">
        <v>114.0</v>
      </c>
      <c r="AK1392" s="1">
        <v>0.0</v>
      </c>
      <c r="AL1392" s="1">
        <v>161.0</v>
      </c>
      <c r="AM1392" s="1">
        <v>253.0</v>
      </c>
      <c r="AN1392" s="1">
        <v>109.0</v>
      </c>
      <c r="AO1392" s="1">
        <v>12.0</v>
      </c>
      <c r="AP1392" s="1">
        <v>0.411351</v>
      </c>
      <c r="AQ1392" s="1">
        <v>0.145588</v>
      </c>
      <c r="AR1392" s="1">
        <v>0.211436</v>
      </c>
      <c r="AS1392" s="1">
        <v>0.550248</v>
      </c>
      <c r="AT1392" s="1">
        <v>12394.0</v>
      </c>
      <c r="AU1392" s="1">
        <v>2386.0</v>
      </c>
      <c r="AV1392" s="1">
        <v>0.315361</v>
      </c>
      <c r="AW1392" s="1">
        <v>0.326883</v>
      </c>
      <c r="AX1392" s="1">
        <v>0.080464</v>
      </c>
      <c r="AY1392" s="1">
        <v>0.235136</v>
      </c>
      <c r="AZ1392" s="1">
        <v>0.17167721</v>
      </c>
      <c r="BA1392" s="1">
        <v>0.77291</v>
      </c>
      <c r="BB1392" s="1">
        <v>0.031496</v>
      </c>
      <c r="BC1392" s="1">
        <v>0.233349</v>
      </c>
      <c r="BD1392" s="1">
        <v>0.517447</v>
      </c>
      <c r="BE1392" s="1">
        <v>0.120403</v>
      </c>
      <c r="BF1392" s="1">
        <v>0.0</v>
      </c>
      <c r="BG1392" s="1">
        <v>0.113659</v>
      </c>
      <c r="BH1392" s="1">
        <v>0.0</v>
      </c>
      <c r="BI1392" s="1">
        <v>0.210732</v>
      </c>
      <c r="BJ1392" s="1">
        <v>0.331151</v>
      </c>
      <c r="BK1392" s="1">
        <v>0.133516</v>
      </c>
      <c r="BL1392" s="1">
        <v>0.005364</v>
      </c>
      <c r="BM1392" s="1">
        <v>0.962</v>
      </c>
      <c r="BN1392" s="1">
        <v>0.959</v>
      </c>
      <c r="BO1392" s="1">
        <v>0.9509</v>
      </c>
      <c r="BP1392" s="1">
        <v>0.956</v>
      </c>
      <c r="BQ1392" s="1">
        <v>3.8279</v>
      </c>
      <c r="BR1392" s="1">
        <v>0.9856</v>
      </c>
      <c r="BS1392" s="1">
        <v>0.119</v>
      </c>
      <c r="BT1392" s="1">
        <v>0.441</v>
      </c>
      <c r="BU1392" s="1">
        <v>0.846</v>
      </c>
      <c r="BV1392" s="1">
        <v>1.406</v>
      </c>
      <c r="BW1392" s="1">
        <v>0.395</v>
      </c>
      <c r="BX1392" s="1">
        <v>0.918</v>
      </c>
      <c r="BY1392" s="1">
        <v>0.92</v>
      </c>
      <c r="BZ1392" s="1">
        <v>1.838</v>
      </c>
      <c r="CA1392" s="1">
        <v>0.976</v>
      </c>
      <c r="CB1392" s="1">
        <v>0.983</v>
      </c>
      <c r="CC1392" s="1">
        <v>0.0</v>
      </c>
      <c r="CD1392" s="1">
        <v>0.0</v>
      </c>
      <c r="CE1392" s="1">
        <v>0.976</v>
      </c>
      <c r="CF1392" s="1">
        <v>0.517</v>
      </c>
      <c r="CG1392" s="1">
        <v>2.476</v>
      </c>
      <c r="CH1392" s="1">
        <v>0.553</v>
      </c>
      <c r="CI1392" s="1">
        <v>9.5479</v>
      </c>
      <c r="CJ1392" s="1">
        <v>0.9105</v>
      </c>
      <c r="CK1392" s="1">
        <v>1.0</v>
      </c>
      <c r="CL1392" s="1">
        <v>1.0</v>
      </c>
      <c r="CM1392" s="1">
        <v>1.0</v>
      </c>
      <c r="CN1392" s="1">
        <v>1.0</v>
      </c>
      <c r="CO1392" s="1">
        <v>4.0</v>
      </c>
      <c r="CP1392" s="1">
        <v>0.0</v>
      </c>
      <c r="CQ1392" s="1">
        <v>0.0</v>
      </c>
      <c r="CR1392" s="1">
        <v>0.0</v>
      </c>
      <c r="CS1392" s="1">
        <v>0.0</v>
      </c>
      <c r="CT1392" s="1">
        <v>1.0</v>
      </c>
      <c r="CU1392" s="1">
        <v>1.0</v>
      </c>
      <c r="CV1392" s="1">
        <v>2.0</v>
      </c>
      <c r="CW1392" s="1">
        <v>1.0</v>
      </c>
      <c r="CX1392" s="1">
        <v>0.0</v>
      </c>
      <c r="CY1392" s="1">
        <v>0.0</v>
      </c>
      <c r="CZ1392" s="1">
        <v>1.0</v>
      </c>
      <c r="DA1392" s="1">
        <v>0.0</v>
      </c>
      <c r="DB1392" s="1">
        <v>2.0</v>
      </c>
      <c r="DC1392" s="1">
        <v>8.0</v>
      </c>
      <c r="DD1392" s="1" t="s">
        <v>6029</v>
      </c>
      <c r="DE1392" s="1">
        <v>1.85807878843333E-4</v>
      </c>
      <c r="DF1392" s="1">
        <v>0.0560913672974631</v>
      </c>
    </row>
    <row r="1393" ht="15.75" customHeight="1">
      <c r="A1393" s="1" t="s">
        <v>6030</v>
      </c>
      <c r="B1393" s="1">
        <v>29.0</v>
      </c>
      <c r="C1393" s="1">
        <v>510.0</v>
      </c>
      <c r="D1393" s="1">
        <v>127600.0</v>
      </c>
      <c r="E1393" s="1">
        <v>1.147</v>
      </c>
      <c r="F1393" s="1">
        <v>29510.0</v>
      </c>
      <c r="G1393" s="1">
        <v>2.95101276E10</v>
      </c>
      <c r="H1393" s="1" t="s">
        <v>112</v>
      </c>
      <c r="I1393" s="1" t="s">
        <v>113</v>
      </c>
      <c r="J1393" s="1" t="s">
        <v>5663</v>
      </c>
      <c r="K1393" s="1" t="s">
        <v>6031</v>
      </c>
      <c r="L1393" s="1">
        <v>3239.0</v>
      </c>
      <c r="M1393" s="1">
        <v>2951.0</v>
      </c>
      <c r="N1393" s="1">
        <v>271.0</v>
      </c>
      <c r="O1393" s="1">
        <v>2301.0</v>
      </c>
      <c r="P1393" s="1">
        <v>2281.0</v>
      </c>
      <c r="Q1393" s="1">
        <v>69.0</v>
      </c>
      <c r="R1393" s="1">
        <v>1909.0</v>
      </c>
      <c r="S1393" s="1">
        <v>581.0</v>
      </c>
      <c r="T1393" s="1">
        <v>218.0</v>
      </c>
      <c r="U1393" s="1">
        <v>76.0</v>
      </c>
      <c r="V1393" s="1">
        <v>444.0</v>
      </c>
      <c r="W1393" s="1">
        <v>35214.0</v>
      </c>
      <c r="X1393" s="1">
        <v>3733.0</v>
      </c>
      <c r="Y1393" s="1">
        <v>225.0</v>
      </c>
      <c r="Z1393" s="1">
        <v>313.0</v>
      </c>
      <c r="AA1393" s="1">
        <v>230.0</v>
      </c>
      <c r="AB1393" s="1">
        <v>310.0</v>
      </c>
      <c r="AC1393" s="1">
        <v>114.0</v>
      </c>
      <c r="AD1393" s="1">
        <v>857.0</v>
      </c>
      <c r="AE1393" s="1">
        <v>17.0</v>
      </c>
      <c r="AF1393" s="1">
        <v>442.0</v>
      </c>
      <c r="AG1393" s="1">
        <v>499.0</v>
      </c>
      <c r="AH1393" s="1">
        <v>135.0</v>
      </c>
      <c r="AI1393" s="1">
        <v>0.0</v>
      </c>
      <c r="AJ1393" s="1">
        <v>114.0</v>
      </c>
      <c r="AK1393" s="1">
        <v>15.0</v>
      </c>
      <c r="AL1393" s="1">
        <v>116.0</v>
      </c>
      <c r="AM1393" s="1">
        <v>286.0</v>
      </c>
      <c r="AN1393" s="1">
        <v>142.0</v>
      </c>
      <c r="AO1393" s="1">
        <v>108.0</v>
      </c>
      <c r="AP1393" s="1">
        <v>0.198361</v>
      </c>
      <c r="AQ1393" s="1">
        <v>0.072282</v>
      </c>
      <c r="AR1393" s="1">
        <v>0.03558</v>
      </c>
      <c r="AS1393" s="1">
        <v>0.207797</v>
      </c>
      <c r="AT1393" s="1">
        <v>35214.0</v>
      </c>
      <c r="AU1393" s="1">
        <v>3733.0</v>
      </c>
      <c r="AV1393" s="1">
        <v>0.091949</v>
      </c>
      <c r="AW1393" s="1">
        <v>0.127538</v>
      </c>
      <c r="AX1393" s="1">
        <v>0.071009</v>
      </c>
      <c r="AY1393" s="1">
        <v>0.095708</v>
      </c>
      <c r="AZ1393" s="1">
        <v>0.05971712</v>
      </c>
      <c r="BA1393" s="1">
        <v>0.264587</v>
      </c>
      <c r="BB1393" s="1">
        <v>0.005944</v>
      </c>
      <c r="BC1393" s="1">
        <v>0.154544</v>
      </c>
      <c r="BD1393" s="1">
        <v>0.218763</v>
      </c>
      <c r="BE1393" s="1">
        <v>0.058813</v>
      </c>
      <c r="BF1393" s="1">
        <v>0.0</v>
      </c>
      <c r="BG1393" s="1">
        <v>0.049978</v>
      </c>
      <c r="BH1393" s="1">
        <v>0.008273</v>
      </c>
      <c r="BI1393" s="1">
        <v>0.063979</v>
      </c>
      <c r="BJ1393" s="1">
        <v>0.157749</v>
      </c>
      <c r="BK1393" s="1">
        <v>0.077356</v>
      </c>
      <c r="BL1393" s="1">
        <v>0.033343</v>
      </c>
      <c r="BM1393" s="1">
        <v>0.725</v>
      </c>
      <c r="BN1393" s="1">
        <v>0.142</v>
      </c>
      <c r="BO1393" s="1">
        <v>0.1134</v>
      </c>
      <c r="BP1393" s="1">
        <v>0.302</v>
      </c>
      <c r="BQ1393" s="1">
        <v>1.2824</v>
      </c>
      <c r="BR1393" s="1">
        <v>0.2773</v>
      </c>
      <c r="BS1393" s="1">
        <v>0.087</v>
      </c>
      <c r="BT1393" s="1">
        <v>0.022</v>
      </c>
      <c r="BU1393" s="1">
        <v>0.128</v>
      </c>
      <c r="BV1393" s="1">
        <v>0.237</v>
      </c>
      <c r="BW1393" s="1">
        <v>0.018</v>
      </c>
      <c r="BX1393" s="1">
        <v>0.77</v>
      </c>
      <c r="BY1393" s="1">
        <v>0.597</v>
      </c>
      <c r="BZ1393" s="1">
        <v>1.367</v>
      </c>
      <c r="CA1393" s="1">
        <v>0.748</v>
      </c>
      <c r="CB1393" s="1">
        <v>0.904</v>
      </c>
      <c r="CC1393" s="1">
        <v>0.0</v>
      </c>
      <c r="CD1393" s="1">
        <v>0.441</v>
      </c>
      <c r="CE1393" s="1">
        <v>0.866</v>
      </c>
      <c r="CF1393" s="1">
        <v>0.826</v>
      </c>
      <c r="CG1393" s="1">
        <v>3.037</v>
      </c>
      <c r="CH1393" s="1">
        <v>0.789</v>
      </c>
      <c r="CI1393" s="1">
        <v>5.9234</v>
      </c>
      <c r="CJ1393" s="1">
        <v>0.3588</v>
      </c>
      <c r="CK1393" s="1">
        <v>0.0</v>
      </c>
      <c r="CL1393" s="1">
        <v>0.0</v>
      </c>
      <c r="CM1393" s="1">
        <v>0.0</v>
      </c>
      <c r="CN1393" s="1">
        <v>0.0</v>
      </c>
      <c r="CO1393" s="1">
        <v>0.0</v>
      </c>
      <c r="CP1393" s="1">
        <v>0.0</v>
      </c>
      <c r="CQ1393" s="1">
        <v>0.0</v>
      </c>
      <c r="CR1393" s="1">
        <v>0.0</v>
      </c>
      <c r="CS1393" s="1">
        <v>0.0</v>
      </c>
      <c r="CT1393" s="1">
        <v>0.0</v>
      </c>
      <c r="CU1393" s="1">
        <v>0.0</v>
      </c>
      <c r="CV1393" s="1">
        <v>0.0</v>
      </c>
      <c r="CW1393" s="1">
        <v>1.0</v>
      </c>
      <c r="CX1393" s="1">
        <v>0.0</v>
      </c>
      <c r="CY1393" s="1">
        <v>0.0</v>
      </c>
      <c r="CZ1393" s="1">
        <v>0.0</v>
      </c>
      <c r="DA1393" s="1">
        <v>0.0</v>
      </c>
      <c r="DB1393" s="1">
        <v>1.0</v>
      </c>
      <c r="DC1393" s="1">
        <v>1.0</v>
      </c>
      <c r="DD1393" s="1" t="s">
        <v>6032</v>
      </c>
      <c r="DE1393" s="1">
        <v>3.9496778089656E-4</v>
      </c>
      <c r="DF1393" s="1">
        <v>0.083522054932774</v>
      </c>
    </row>
    <row r="1394" ht="15.75" customHeight="1">
      <c r="A1394" s="1" t="s">
        <v>6033</v>
      </c>
      <c r="B1394" s="1">
        <v>29.0</v>
      </c>
      <c r="C1394" s="1">
        <v>510.0</v>
      </c>
      <c r="D1394" s="1">
        <v>123300.0</v>
      </c>
      <c r="E1394" s="1">
        <v>0.354</v>
      </c>
      <c r="F1394" s="1">
        <v>29510.0</v>
      </c>
      <c r="G1394" s="1">
        <v>2.95101233E10</v>
      </c>
      <c r="H1394" s="1" t="s">
        <v>112</v>
      </c>
      <c r="I1394" s="1" t="s">
        <v>113</v>
      </c>
      <c r="J1394" s="1" t="s">
        <v>5663</v>
      </c>
      <c r="K1394" s="1" t="s">
        <v>6034</v>
      </c>
      <c r="L1394" s="1">
        <v>2586.0</v>
      </c>
      <c r="M1394" s="1">
        <v>2600.0</v>
      </c>
      <c r="N1394" s="1">
        <v>347.0</v>
      </c>
      <c r="O1394" s="1">
        <v>1698.0</v>
      </c>
      <c r="P1394" s="1">
        <v>1813.0</v>
      </c>
      <c r="Q1394" s="1">
        <v>62.0</v>
      </c>
      <c r="R1394" s="1">
        <v>1340.0</v>
      </c>
      <c r="S1394" s="1">
        <v>640.0</v>
      </c>
      <c r="T1394" s="1">
        <v>254.0</v>
      </c>
      <c r="U1394" s="1">
        <v>132.0</v>
      </c>
      <c r="V1394" s="1">
        <v>433.0</v>
      </c>
      <c r="W1394" s="1">
        <v>36666.0</v>
      </c>
      <c r="X1394" s="1">
        <v>7578.0</v>
      </c>
      <c r="Y1394" s="1">
        <v>201.0</v>
      </c>
      <c r="Z1394" s="1">
        <v>337.0</v>
      </c>
      <c r="AA1394" s="1">
        <v>140.0</v>
      </c>
      <c r="AB1394" s="1">
        <v>398.0</v>
      </c>
      <c r="AC1394" s="1">
        <v>140.0</v>
      </c>
      <c r="AD1394" s="1">
        <v>926.0</v>
      </c>
      <c r="AE1394" s="1">
        <v>0.0</v>
      </c>
      <c r="AF1394" s="1">
        <v>456.0</v>
      </c>
      <c r="AG1394" s="1">
        <v>40.0</v>
      </c>
      <c r="AH1394" s="1">
        <v>120.0</v>
      </c>
      <c r="AI1394" s="1">
        <v>0.0</v>
      </c>
      <c r="AJ1394" s="1">
        <v>114.0</v>
      </c>
      <c r="AK1394" s="1">
        <v>0.0</v>
      </c>
      <c r="AL1394" s="1">
        <v>161.0</v>
      </c>
      <c r="AM1394" s="1">
        <v>152.0</v>
      </c>
      <c r="AN1394" s="1">
        <v>80.0</v>
      </c>
      <c r="AO1394" s="1">
        <v>0.0</v>
      </c>
      <c r="AP1394" s="1">
        <v>0.246153</v>
      </c>
      <c r="AQ1394" s="1">
        <v>0.092002</v>
      </c>
      <c r="AR1394" s="1">
        <v>0.078431</v>
      </c>
      <c r="AS1394" s="1">
        <v>0.256769</v>
      </c>
      <c r="AT1394" s="1">
        <v>36666.0</v>
      </c>
      <c r="AU1394" s="1">
        <v>7578.0</v>
      </c>
      <c r="AV1394" s="1">
        <v>0.100349</v>
      </c>
      <c r="AW1394" s="1">
        <v>0.167899</v>
      </c>
      <c r="AX1394" s="1">
        <v>0.054137</v>
      </c>
      <c r="AY1394" s="1">
        <v>0.153905</v>
      </c>
      <c r="AZ1394" s="1">
        <v>0.10447761</v>
      </c>
      <c r="BA1394" s="1">
        <v>0.358081</v>
      </c>
      <c r="BB1394" s="1">
        <v>0.0</v>
      </c>
      <c r="BC1394" s="1">
        <v>0.184242</v>
      </c>
      <c r="BD1394" s="1">
        <v>0.022062</v>
      </c>
      <c r="BE1394" s="1">
        <v>0.066184</v>
      </c>
      <c r="BF1394" s="1">
        <v>0.0</v>
      </c>
      <c r="BG1394" s="1">
        <v>0.062879</v>
      </c>
      <c r="BH1394" s="1">
        <v>0.0</v>
      </c>
      <c r="BI1394" s="1">
        <v>0.119702</v>
      </c>
      <c r="BJ1394" s="1">
        <v>0.113011</v>
      </c>
      <c r="BK1394" s="1">
        <v>0.058404</v>
      </c>
      <c r="BL1394" s="1">
        <v>0.0</v>
      </c>
      <c r="BM1394" s="1">
        <v>0.819</v>
      </c>
      <c r="BN1394" s="1">
        <v>0.597</v>
      </c>
      <c r="BO1394" s="1">
        <v>0.0946</v>
      </c>
      <c r="BP1394" s="1">
        <v>0.342</v>
      </c>
      <c r="BQ1394" s="1">
        <v>1.8526</v>
      </c>
      <c r="BR1394" s="1">
        <v>0.4491</v>
      </c>
      <c r="BS1394" s="1">
        <v>0.031</v>
      </c>
      <c r="BT1394" s="1">
        <v>0.074</v>
      </c>
      <c r="BU1394" s="1">
        <v>0.536</v>
      </c>
      <c r="BV1394" s="1">
        <v>0.641</v>
      </c>
      <c r="BW1394" s="1">
        <v>0.051</v>
      </c>
      <c r="BX1394" s="1">
        <v>0.822</v>
      </c>
      <c r="BY1394" s="1">
        <v>0.0</v>
      </c>
      <c r="BZ1394" s="1">
        <v>0.822</v>
      </c>
      <c r="CA1394" s="1">
        <v>0.415</v>
      </c>
      <c r="CB1394" s="1">
        <v>0.49</v>
      </c>
      <c r="CC1394" s="1">
        <v>0.0</v>
      </c>
      <c r="CD1394" s="1">
        <v>0.0</v>
      </c>
      <c r="CE1394" s="1">
        <v>0.79</v>
      </c>
      <c r="CF1394" s="1">
        <v>0.0</v>
      </c>
      <c r="CG1394" s="1">
        <v>1.28</v>
      </c>
      <c r="CH1394" s="1">
        <v>0.123</v>
      </c>
      <c r="CI1394" s="1">
        <v>4.5956</v>
      </c>
      <c r="CJ1394" s="1">
        <v>0.1415</v>
      </c>
      <c r="CK1394" s="1">
        <v>0.0</v>
      </c>
      <c r="CL1394" s="1">
        <v>0.0</v>
      </c>
      <c r="CM1394" s="1">
        <v>0.0</v>
      </c>
      <c r="CN1394" s="1">
        <v>0.0</v>
      </c>
      <c r="CO1394" s="1">
        <v>0.0</v>
      </c>
      <c r="CP1394" s="1">
        <v>0.0</v>
      </c>
      <c r="CQ1394" s="1">
        <v>0.0</v>
      </c>
      <c r="CR1394" s="1">
        <v>0.0</v>
      </c>
      <c r="CS1394" s="1">
        <v>0.0</v>
      </c>
      <c r="CT1394" s="1">
        <v>0.0</v>
      </c>
      <c r="CU1394" s="1">
        <v>0.0</v>
      </c>
      <c r="CV1394" s="1">
        <v>0.0</v>
      </c>
      <c r="CW1394" s="1">
        <v>0.0</v>
      </c>
      <c r="CX1394" s="1">
        <v>0.0</v>
      </c>
      <c r="CY1394" s="1">
        <v>0.0</v>
      </c>
      <c r="CZ1394" s="1">
        <v>0.0</v>
      </c>
      <c r="DA1394" s="1">
        <v>0.0</v>
      </c>
      <c r="DB1394" s="1">
        <v>0.0</v>
      </c>
      <c r="DC1394" s="1">
        <v>0.0</v>
      </c>
      <c r="DD1394" s="1" t="s">
        <v>6035</v>
      </c>
      <c r="DE1394" s="2" t="s">
        <v>6036</v>
      </c>
      <c r="DF1394" s="2" t="s">
        <v>6037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110" width="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>
      <c r="A2" s="1" t="s">
        <v>2998</v>
      </c>
      <c r="B2" s="1">
        <v>29.0</v>
      </c>
      <c r="C2" s="2" t="s">
        <v>2930</v>
      </c>
      <c r="D2" s="2" t="s">
        <v>143</v>
      </c>
      <c r="E2" s="1">
        <v>2.632</v>
      </c>
      <c r="F2" s="1">
        <v>29097.0</v>
      </c>
      <c r="G2" s="1">
        <v>2.90970101E10</v>
      </c>
      <c r="H2" s="1" t="s">
        <v>112</v>
      </c>
      <c r="I2" s="1" t="s">
        <v>113</v>
      </c>
      <c r="J2" s="1" t="s">
        <v>2931</v>
      </c>
      <c r="K2" s="1" t="s">
        <v>2999</v>
      </c>
      <c r="L2" s="1">
        <v>3437.0</v>
      </c>
      <c r="M2" s="1">
        <v>3433.0</v>
      </c>
      <c r="N2" s="1">
        <v>404.0</v>
      </c>
      <c r="O2" s="1">
        <v>1617.0</v>
      </c>
      <c r="P2" s="1">
        <v>1535.0</v>
      </c>
      <c r="Q2" s="1">
        <v>85.0</v>
      </c>
      <c r="R2" s="1">
        <v>1400.0</v>
      </c>
      <c r="S2" s="1">
        <v>673.0</v>
      </c>
      <c r="T2" s="1">
        <v>217.0</v>
      </c>
      <c r="U2" s="1">
        <v>179.0</v>
      </c>
      <c r="V2" s="1">
        <v>353.0</v>
      </c>
      <c r="W2" s="1">
        <v>17114.0</v>
      </c>
      <c r="X2" s="1">
        <v>5338.0</v>
      </c>
      <c r="Y2" s="1">
        <v>537.0</v>
      </c>
      <c r="Z2" s="1">
        <v>216.0</v>
      </c>
      <c r="AA2" s="1">
        <v>437.0</v>
      </c>
      <c r="AB2" s="1">
        <v>624.0</v>
      </c>
      <c r="AC2" s="1">
        <v>184.0</v>
      </c>
      <c r="AD2" s="1">
        <v>685.0</v>
      </c>
      <c r="AE2" s="1">
        <v>0.0</v>
      </c>
      <c r="AF2" s="1">
        <v>456.0</v>
      </c>
      <c r="AG2" s="1">
        <v>208.0</v>
      </c>
      <c r="AH2" s="1">
        <v>129.0</v>
      </c>
      <c r="AI2" s="1">
        <v>0.0</v>
      </c>
      <c r="AJ2" s="1">
        <v>114.0</v>
      </c>
      <c r="AK2" s="1">
        <v>9.0</v>
      </c>
      <c r="AL2" s="1">
        <v>115.0</v>
      </c>
      <c r="AM2" s="1">
        <v>229.0</v>
      </c>
      <c r="AN2" s="1">
        <v>76.0</v>
      </c>
      <c r="AO2" s="1">
        <v>483.0</v>
      </c>
      <c r="AP2" s="1">
        <v>0.253102</v>
      </c>
      <c r="AQ2" s="1">
        <v>0.0772</v>
      </c>
      <c r="AR2" s="1">
        <v>0.11063</v>
      </c>
      <c r="AS2" s="1">
        <v>0.216957</v>
      </c>
      <c r="AT2" s="1">
        <v>17114.0</v>
      </c>
      <c r="AU2" s="1">
        <v>5338.0</v>
      </c>
      <c r="AV2" s="1">
        <v>0.263106</v>
      </c>
      <c r="AW2" s="1">
        <v>0.102031</v>
      </c>
      <c r="AX2" s="1">
        <v>0.127145</v>
      </c>
      <c r="AY2" s="1">
        <v>0.181553</v>
      </c>
      <c r="AZ2" s="1">
        <v>0.13142857</v>
      </c>
      <c r="BA2" s="1">
        <v>0.199301</v>
      </c>
      <c r="BB2" s="1">
        <v>0.0</v>
      </c>
      <c r="BC2" s="1">
        <v>0.136772</v>
      </c>
      <c r="BD2" s="1">
        <v>0.135504</v>
      </c>
      <c r="BE2" s="1">
        <v>0.083703</v>
      </c>
      <c r="BF2" s="1">
        <v>0.0</v>
      </c>
      <c r="BG2" s="1">
        <v>0.074267</v>
      </c>
      <c r="BH2" s="1">
        <v>0.006818</v>
      </c>
      <c r="BI2" s="1">
        <v>0.087119</v>
      </c>
      <c r="BJ2" s="1">
        <v>0.173484</v>
      </c>
      <c r="BK2" s="1">
        <v>0.055373</v>
      </c>
      <c r="BL2" s="1">
        <v>0.140529</v>
      </c>
      <c r="BM2" s="1">
        <v>0.83</v>
      </c>
      <c r="BN2" s="1">
        <v>0.79</v>
      </c>
      <c r="BO2" s="1">
        <v>0.7791</v>
      </c>
      <c r="BP2" s="1">
        <v>0.894</v>
      </c>
      <c r="BQ2" s="1">
        <v>3.2931</v>
      </c>
      <c r="BR2" s="1">
        <v>0.8773</v>
      </c>
      <c r="BS2" s="1">
        <v>0.397</v>
      </c>
      <c r="BT2" s="1">
        <v>0.124</v>
      </c>
      <c r="BU2" s="1">
        <v>0.722</v>
      </c>
      <c r="BV2" s="1">
        <v>1.243</v>
      </c>
      <c r="BW2" s="1">
        <v>0.261</v>
      </c>
      <c r="BX2" s="1">
        <v>0.71</v>
      </c>
      <c r="BY2" s="1">
        <v>0.0</v>
      </c>
      <c r="BZ2" s="1">
        <v>0.71</v>
      </c>
      <c r="CA2" s="1">
        <v>0.342</v>
      </c>
      <c r="CB2" s="1">
        <v>0.819</v>
      </c>
      <c r="CC2" s="1">
        <v>0.0</v>
      </c>
      <c r="CD2" s="1">
        <v>0.385</v>
      </c>
      <c r="CE2" s="1">
        <v>0.882</v>
      </c>
      <c r="CF2" s="1">
        <v>0.954</v>
      </c>
      <c r="CG2" s="1">
        <v>3.04</v>
      </c>
      <c r="CH2" s="1">
        <v>0.792</v>
      </c>
      <c r="CI2" s="1">
        <v>8.2861</v>
      </c>
      <c r="CJ2" s="1">
        <v>0.7588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0.0</v>
      </c>
      <c r="DA2" s="1">
        <v>1.0</v>
      </c>
      <c r="DB2" s="1">
        <v>1.0</v>
      </c>
      <c r="DC2" s="1">
        <v>1.0</v>
      </c>
      <c r="DD2" s="1" t="s">
        <v>3000</v>
      </c>
      <c r="DE2" s="1">
        <v>6.88389531661685E-4</v>
      </c>
      <c r="DF2" s="2" t="s">
        <v>3001</v>
      </c>
    </row>
    <row r="3">
      <c r="A3" s="1" t="s">
        <v>2994</v>
      </c>
      <c r="B3" s="1">
        <v>29.0</v>
      </c>
      <c r="C3" s="2" t="s">
        <v>2930</v>
      </c>
      <c r="D3" s="2" t="s">
        <v>150</v>
      </c>
      <c r="E3" s="1">
        <v>3.645</v>
      </c>
      <c r="F3" s="1">
        <v>29097.0</v>
      </c>
      <c r="G3" s="1">
        <v>2.90970102E10</v>
      </c>
      <c r="H3" s="1" t="s">
        <v>112</v>
      </c>
      <c r="I3" s="1" t="s">
        <v>113</v>
      </c>
      <c r="J3" s="1" t="s">
        <v>2931</v>
      </c>
      <c r="K3" s="1" t="s">
        <v>2995</v>
      </c>
      <c r="L3" s="1">
        <v>4444.0</v>
      </c>
      <c r="M3" s="1">
        <v>3834.0</v>
      </c>
      <c r="N3" s="1">
        <v>350.0</v>
      </c>
      <c r="O3" s="1">
        <v>2003.0</v>
      </c>
      <c r="P3" s="1">
        <v>1862.0</v>
      </c>
      <c r="Q3" s="1">
        <v>111.0</v>
      </c>
      <c r="R3" s="1">
        <v>1847.0</v>
      </c>
      <c r="S3" s="1">
        <v>550.0</v>
      </c>
      <c r="T3" s="1">
        <v>188.0</v>
      </c>
      <c r="U3" s="1">
        <v>72.0</v>
      </c>
      <c r="V3" s="1">
        <v>458.0</v>
      </c>
      <c r="W3" s="1">
        <v>23677.0</v>
      </c>
      <c r="X3" s="1">
        <v>2215.0</v>
      </c>
      <c r="Y3" s="1">
        <v>371.0</v>
      </c>
      <c r="Z3" s="1">
        <v>253.0</v>
      </c>
      <c r="AA3" s="1">
        <v>694.0</v>
      </c>
      <c r="AB3" s="1">
        <v>982.0</v>
      </c>
      <c r="AC3" s="1">
        <v>176.0</v>
      </c>
      <c r="AD3" s="1">
        <v>531.0</v>
      </c>
      <c r="AE3" s="1">
        <v>17.0</v>
      </c>
      <c r="AF3" s="1">
        <v>442.0</v>
      </c>
      <c r="AG3" s="1">
        <v>0.0</v>
      </c>
      <c r="AH3" s="1">
        <v>197.0</v>
      </c>
      <c r="AI3" s="1">
        <v>72.0</v>
      </c>
      <c r="AJ3" s="1">
        <v>32.0</v>
      </c>
      <c r="AK3" s="1">
        <v>0.0</v>
      </c>
      <c r="AL3" s="1">
        <v>161.0</v>
      </c>
      <c r="AM3" s="1">
        <v>33.0</v>
      </c>
      <c r="AN3" s="1">
        <v>29.0</v>
      </c>
      <c r="AO3" s="1">
        <v>37.0</v>
      </c>
      <c r="AP3" s="1">
        <v>0.145118</v>
      </c>
      <c r="AQ3" s="1">
        <v>0.047967</v>
      </c>
      <c r="AR3" s="1">
        <v>0.036753</v>
      </c>
      <c r="AS3" s="1">
        <v>0.233749</v>
      </c>
      <c r="AT3" s="1">
        <v>23677.0</v>
      </c>
      <c r="AU3" s="1">
        <v>2215.0</v>
      </c>
      <c r="AV3" s="1">
        <v>0.137713</v>
      </c>
      <c r="AW3" s="1">
        <v>0.093179</v>
      </c>
      <c r="AX3" s="1">
        <v>0.156165</v>
      </c>
      <c r="AY3" s="1">
        <v>0.220972</v>
      </c>
      <c r="AZ3" s="1">
        <v>0.09528965</v>
      </c>
      <c r="BA3" s="1">
        <v>0.119486</v>
      </c>
      <c r="BB3" s="1">
        <v>0.004702</v>
      </c>
      <c r="BC3" s="1">
        <v>0.122267</v>
      </c>
      <c r="BD3" s="1">
        <v>0.0</v>
      </c>
      <c r="BE3" s="1">
        <v>0.1058</v>
      </c>
      <c r="BF3" s="1">
        <v>0.038668</v>
      </c>
      <c r="BG3" s="1">
        <v>0.01703</v>
      </c>
      <c r="BH3" s="1">
        <v>0.0</v>
      </c>
      <c r="BI3" s="1">
        <v>0.10113</v>
      </c>
      <c r="BJ3" s="1">
        <v>0.020728</v>
      </c>
      <c r="BK3" s="1">
        <v>0.018131</v>
      </c>
      <c r="BL3" s="1">
        <v>0.008325</v>
      </c>
      <c r="BM3" s="1">
        <v>0.564</v>
      </c>
      <c r="BN3" s="1">
        <v>0.153</v>
      </c>
      <c r="BO3" s="1">
        <v>0.4123</v>
      </c>
      <c r="BP3" s="1">
        <v>0.511</v>
      </c>
      <c r="BQ3" s="1">
        <v>1.6403</v>
      </c>
      <c r="BR3" s="1">
        <v>0.3848</v>
      </c>
      <c r="BS3" s="1">
        <v>0.636</v>
      </c>
      <c r="BT3" s="1">
        <v>0.307</v>
      </c>
      <c r="BU3" s="1">
        <v>0.451</v>
      </c>
      <c r="BV3" s="1">
        <v>1.394</v>
      </c>
      <c r="BW3" s="1">
        <v>0.385</v>
      </c>
      <c r="BX3" s="1">
        <v>0.535</v>
      </c>
      <c r="BY3" s="1">
        <v>0.546</v>
      </c>
      <c r="BZ3" s="1">
        <v>1.081</v>
      </c>
      <c r="CA3" s="1">
        <v>0.602</v>
      </c>
      <c r="CB3" s="1">
        <v>0.0</v>
      </c>
      <c r="CC3" s="1">
        <v>0.574</v>
      </c>
      <c r="CD3" s="1">
        <v>0.0</v>
      </c>
      <c r="CE3" s="1">
        <v>0.189</v>
      </c>
      <c r="CF3" s="1">
        <v>0.554</v>
      </c>
      <c r="CG3" s="1">
        <v>1.317</v>
      </c>
      <c r="CH3" s="1">
        <v>0.13</v>
      </c>
      <c r="CI3" s="1">
        <v>5.4323</v>
      </c>
      <c r="CJ3" s="1">
        <v>0.2708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 t="s">
        <v>2996</v>
      </c>
      <c r="DE3" s="1">
        <v>9.61747157198914E-4</v>
      </c>
      <c r="DF3" s="2" t="s">
        <v>2997</v>
      </c>
    </row>
    <row r="4">
      <c r="A4" s="1" t="s">
        <v>3002</v>
      </c>
      <c r="B4" s="1">
        <v>29.0</v>
      </c>
      <c r="C4" s="2" t="s">
        <v>2930</v>
      </c>
      <c r="D4" s="2" t="s">
        <v>156</v>
      </c>
      <c r="E4" s="1">
        <v>6.973</v>
      </c>
      <c r="F4" s="1">
        <v>29097.0</v>
      </c>
      <c r="G4" s="1">
        <v>2.90970103E10</v>
      </c>
      <c r="H4" s="1" t="s">
        <v>112</v>
      </c>
      <c r="I4" s="1" t="s">
        <v>113</v>
      </c>
      <c r="J4" s="1" t="s">
        <v>2931</v>
      </c>
      <c r="K4" s="1" t="s">
        <v>3003</v>
      </c>
      <c r="L4" s="1">
        <v>6746.0</v>
      </c>
      <c r="M4" s="1">
        <v>6803.0</v>
      </c>
      <c r="N4" s="1">
        <v>562.0</v>
      </c>
      <c r="O4" s="1">
        <v>2761.0</v>
      </c>
      <c r="P4" s="1">
        <v>2803.0</v>
      </c>
      <c r="Q4" s="1">
        <v>145.0</v>
      </c>
      <c r="R4" s="1">
        <v>2537.0</v>
      </c>
      <c r="S4" s="1">
        <v>1532.0</v>
      </c>
      <c r="T4" s="1">
        <v>587.0</v>
      </c>
      <c r="U4" s="1">
        <v>406.0</v>
      </c>
      <c r="V4" s="1">
        <v>324.0</v>
      </c>
      <c r="W4" s="1">
        <v>16716.0</v>
      </c>
      <c r="X4" s="1">
        <v>2022.0</v>
      </c>
      <c r="Y4" s="1">
        <v>432.0</v>
      </c>
      <c r="Z4" s="1">
        <v>268.0</v>
      </c>
      <c r="AA4" s="1">
        <v>830.0</v>
      </c>
      <c r="AB4" s="1">
        <v>1593.0</v>
      </c>
      <c r="AC4" s="1">
        <v>393.0</v>
      </c>
      <c r="AD4" s="1">
        <v>1081.0</v>
      </c>
      <c r="AE4" s="1">
        <v>94.0</v>
      </c>
      <c r="AF4" s="1">
        <v>432.0</v>
      </c>
      <c r="AG4" s="1">
        <v>467.0</v>
      </c>
      <c r="AH4" s="1">
        <v>177.0</v>
      </c>
      <c r="AI4" s="1">
        <v>202.0</v>
      </c>
      <c r="AJ4" s="1">
        <v>83.0</v>
      </c>
      <c r="AK4" s="1">
        <v>64.0</v>
      </c>
      <c r="AL4" s="1">
        <v>128.0</v>
      </c>
      <c r="AM4" s="1">
        <v>185.0</v>
      </c>
      <c r="AN4" s="1">
        <v>158.0</v>
      </c>
      <c r="AO4" s="1">
        <v>658.0</v>
      </c>
      <c r="AP4" s="1">
        <v>0.24858</v>
      </c>
      <c r="AQ4" s="1">
        <v>0.092469</v>
      </c>
      <c r="AR4" s="1">
        <v>0.118852</v>
      </c>
      <c r="AS4" s="1">
        <v>0.093677</v>
      </c>
      <c r="AT4" s="1">
        <v>16716.0</v>
      </c>
      <c r="AU4" s="1">
        <v>2022.0</v>
      </c>
      <c r="AV4" s="1">
        <v>0.119205</v>
      </c>
      <c r="AW4" s="1">
        <v>0.073404</v>
      </c>
      <c r="AX4" s="1">
        <v>0.123035</v>
      </c>
      <c r="AY4" s="1">
        <v>0.236139</v>
      </c>
      <c r="AZ4" s="1">
        <v>0.15490737</v>
      </c>
      <c r="BA4" s="1">
        <v>0.160243</v>
      </c>
      <c r="BB4" s="1">
        <v>0.015078</v>
      </c>
      <c r="BC4" s="1">
        <v>0.069285</v>
      </c>
      <c r="BD4" s="1">
        <v>0.166607</v>
      </c>
      <c r="BE4" s="1">
        <v>0.062555</v>
      </c>
      <c r="BF4" s="1">
        <v>0.072065</v>
      </c>
      <c r="BG4" s="1">
        <v>0.029375</v>
      </c>
      <c r="BH4" s="1">
        <v>0.025487</v>
      </c>
      <c r="BI4" s="1">
        <v>0.050945</v>
      </c>
      <c r="BJ4" s="1">
        <v>0.073675</v>
      </c>
      <c r="BK4" s="1">
        <v>0.062718</v>
      </c>
      <c r="BL4" s="1">
        <v>0.097539</v>
      </c>
      <c r="BM4" s="1">
        <v>0.825</v>
      </c>
      <c r="BN4" s="1">
        <v>0.819</v>
      </c>
      <c r="BO4" s="1">
        <v>0.8014</v>
      </c>
      <c r="BP4" s="1">
        <v>0.425</v>
      </c>
      <c r="BQ4" s="1">
        <v>2.8704</v>
      </c>
      <c r="BR4" s="1">
        <v>0.7726</v>
      </c>
      <c r="BS4" s="1">
        <v>0.363</v>
      </c>
      <c r="BT4" s="1">
        <v>0.452</v>
      </c>
      <c r="BU4" s="1">
        <v>0.81</v>
      </c>
      <c r="BV4" s="1">
        <v>1.625</v>
      </c>
      <c r="BW4" s="1">
        <v>0.584</v>
      </c>
      <c r="BX4" s="1">
        <v>0.648</v>
      </c>
      <c r="BY4" s="1">
        <v>0.812</v>
      </c>
      <c r="BZ4" s="1">
        <v>1.46</v>
      </c>
      <c r="CA4" s="1">
        <v>0.798</v>
      </c>
      <c r="CB4" s="1">
        <v>0.861</v>
      </c>
      <c r="CC4" s="1">
        <v>0.655</v>
      </c>
      <c r="CD4" s="1">
        <v>0.765</v>
      </c>
      <c r="CE4" s="1">
        <v>0.643</v>
      </c>
      <c r="CF4" s="1">
        <v>0.941</v>
      </c>
      <c r="CG4" s="1">
        <v>3.865</v>
      </c>
      <c r="CH4" s="1">
        <v>0.991</v>
      </c>
      <c r="CI4" s="1">
        <v>9.8204</v>
      </c>
      <c r="CJ4" s="1">
        <v>0.9365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1.0</v>
      </c>
      <c r="DB4" s="1">
        <v>1.0</v>
      </c>
      <c r="DC4" s="1">
        <v>1.0</v>
      </c>
      <c r="DD4" s="1" t="s">
        <v>3004</v>
      </c>
      <c r="DE4" s="1">
        <v>0.00183087624733472</v>
      </c>
      <c r="DF4" s="2" t="s">
        <v>3005</v>
      </c>
    </row>
    <row r="5">
      <c r="A5" s="1" t="s">
        <v>3006</v>
      </c>
      <c r="B5" s="1">
        <v>29.0</v>
      </c>
      <c r="C5" s="2" t="s">
        <v>2930</v>
      </c>
      <c r="D5" s="2" t="s">
        <v>161</v>
      </c>
      <c r="E5" s="1">
        <v>6.811</v>
      </c>
      <c r="F5" s="1">
        <v>29097.0</v>
      </c>
      <c r="G5" s="1">
        <v>2.90970104E10</v>
      </c>
      <c r="H5" s="1" t="s">
        <v>112</v>
      </c>
      <c r="I5" s="1" t="s">
        <v>113</v>
      </c>
      <c r="J5" s="1" t="s">
        <v>2931</v>
      </c>
      <c r="K5" s="1" t="s">
        <v>3007</v>
      </c>
      <c r="L5" s="1">
        <v>4913.0</v>
      </c>
      <c r="M5" s="1">
        <v>4481.0</v>
      </c>
      <c r="N5" s="1">
        <v>335.0</v>
      </c>
      <c r="O5" s="1">
        <v>2362.0</v>
      </c>
      <c r="P5" s="1">
        <v>2165.0</v>
      </c>
      <c r="Q5" s="1">
        <v>113.0</v>
      </c>
      <c r="R5" s="1">
        <v>2167.0</v>
      </c>
      <c r="S5" s="1">
        <v>481.0</v>
      </c>
      <c r="T5" s="1">
        <v>194.0</v>
      </c>
      <c r="U5" s="1">
        <v>110.0</v>
      </c>
      <c r="V5" s="1">
        <v>327.0</v>
      </c>
      <c r="W5" s="1">
        <v>23359.0</v>
      </c>
      <c r="X5" s="1">
        <v>2816.0</v>
      </c>
      <c r="Y5" s="1">
        <v>366.0</v>
      </c>
      <c r="Z5" s="1">
        <v>253.0</v>
      </c>
      <c r="AA5" s="1">
        <v>1037.0</v>
      </c>
      <c r="AB5" s="1">
        <v>946.0</v>
      </c>
      <c r="AC5" s="1">
        <v>192.0</v>
      </c>
      <c r="AD5" s="1">
        <v>623.0</v>
      </c>
      <c r="AE5" s="1">
        <v>0.0</v>
      </c>
      <c r="AF5" s="1">
        <v>456.0</v>
      </c>
      <c r="AG5" s="1">
        <v>111.0</v>
      </c>
      <c r="AH5" s="1">
        <v>78.0</v>
      </c>
      <c r="AI5" s="1">
        <v>242.0</v>
      </c>
      <c r="AJ5" s="1">
        <v>78.0</v>
      </c>
      <c r="AK5" s="1">
        <v>3.0</v>
      </c>
      <c r="AL5" s="1">
        <v>114.0</v>
      </c>
      <c r="AM5" s="1">
        <v>131.0</v>
      </c>
      <c r="AN5" s="1">
        <v>77.0</v>
      </c>
      <c r="AO5" s="1">
        <v>160.0</v>
      </c>
      <c r="AP5" s="1">
        <v>0.107342</v>
      </c>
      <c r="AQ5" s="1">
        <v>0.042543</v>
      </c>
      <c r="AR5" s="1">
        <v>0.048954</v>
      </c>
      <c r="AS5" s="1">
        <v>0.145421</v>
      </c>
      <c r="AT5" s="1">
        <v>23359.0</v>
      </c>
      <c r="AU5" s="1">
        <v>2816.0</v>
      </c>
      <c r="AV5" s="1">
        <v>0.117458</v>
      </c>
      <c r="AW5" s="1">
        <v>0.080717</v>
      </c>
      <c r="AX5" s="1">
        <v>0.211072</v>
      </c>
      <c r="AY5" s="1">
        <v>0.19255</v>
      </c>
      <c r="AZ5" s="1">
        <v>0.08860175</v>
      </c>
      <c r="BA5" s="1">
        <v>0.126806</v>
      </c>
      <c r="BB5" s="1">
        <v>0.0</v>
      </c>
      <c r="BC5" s="1">
        <v>0.109457</v>
      </c>
      <c r="BD5" s="1">
        <v>0.05127</v>
      </c>
      <c r="BE5" s="1">
        <v>0.035928</v>
      </c>
      <c r="BF5" s="1">
        <v>0.111778</v>
      </c>
      <c r="BG5" s="1">
        <v>0.035552</v>
      </c>
      <c r="BH5" s="1">
        <v>0.00152</v>
      </c>
      <c r="BI5" s="1">
        <v>0.057779</v>
      </c>
      <c r="BJ5" s="1">
        <v>0.066396</v>
      </c>
      <c r="BK5" s="1">
        <v>0.038745</v>
      </c>
      <c r="BL5" s="1">
        <v>0.032566</v>
      </c>
      <c r="BM5" s="1">
        <v>0.403</v>
      </c>
      <c r="BN5" s="1">
        <v>0.284</v>
      </c>
      <c r="BO5" s="1">
        <v>0.4296</v>
      </c>
      <c r="BP5" s="1">
        <v>0.415</v>
      </c>
      <c r="BQ5" s="1">
        <v>1.5316</v>
      </c>
      <c r="BR5" s="1">
        <v>0.3502</v>
      </c>
      <c r="BS5" s="1">
        <v>0.911</v>
      </c>
      <c r="BT5" s="1">
        <v>0.161</v>
      </c>
      <c r="BU5" s="1">
        <v>0.391</v>
      </c>
      <c r="BV5" s="1">
        <v>1.463</v>
      </c>
      <c r="BW5" s="1">
        <v>0.448</v>
      </c>
      <c r="BX5" s="1">
        <v>0.554</v>
      </c>
      <c r="BY5" s="1">
        <v>0.0</v>
      </c>
      <c r="BZ5" s="1">
        <v>0.554</v>
      </c>
      <c r="CA5" s="1">
        <v>0.243</v>
      </c>
      <c r="CB5" s="1">
        <v>0.66</v>
      </c>
      <c r="CC5" s="1">
        <v>0.743</v>
      </c>
      <c r="CD5" s="1">
        <v>0.277</v>
      </c>
      <c r="CE5" s="1">
        <v>0.605</v>
      </c>
      <c r="CF5" s="1">
        <v>0.82</v>
      </c>
      <c r="CG5" s="1">
        <v>3.105</v>
      </c>
      <c r="CH5" s="1">
        <v>0.818</v>
      </c>
      <c r="CI5" s="1">
        <v>6.6536</v>
      </c>
      <c r="CJ5" s="1">
        <v>0.4845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1.0</v>
      </c>
      <c r="CQ5" s="1">
        <v>0.0</v>
      </c>
      <c r="CR5" s="1">
        <v>0.0</v>
      </c>
      <c r="CS5" s="1">
        <v>1.0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1.0</v>
      </c>
      <c r="DD5" s="1" t="s">
        <v>3008</v>
      </c>
      <c r="DE5" s="1">
        <v>0.00179410055067255</v>
      </c>
      <c r="DF5" s="2" t="s">
        <v>3009</v>
      </c>
    </row>
    <row r="6">
      <c r="A6" s="1" t="s">
        <v>2929</v>
      </c>
      <c r="B6" s="1">
        <v>29.0</v>
      </c>
      <c r="C6" s="2" t="s">
        <v>2930</v>
      </c>
      <c r="D6" s="2" t="s">
        <v>1261</v>
      </c>
      <c r="E6" s="1">
        <v>1.834</v>
      </c>
      <c r="F6" s="1">
        <v>29097.0</v>
      </c>
      <c r="G6" s="1">
        <v>2.90970105E10</v>
      </c>
      <c r="H6" s="1" t="s">
        <v>112</v>
      </c>
      <c r="I6" s="1" t="s">
        <v>113</v>
      </c>
      <c r="J6" s="1" t="s">
        <v>2931</v>
      </c>
      <c r="K6" s="1" t="s">
        <v>2932</v>
      </c>
      <c r="L6" s="1">
        <v>5205.0</v>
      </c>
      <c r="M6" s="1">
        <v>5520.0</v>
      </c>
      <c r="N6" s="1">
        <v>487.0</v>
      </c>
      <c r="O6" s="1">
        <v>2494.0</v>
      </c>
      <c r="P6" s="1">
        <v>2559.0</v>
      </c>
      <c r="Q6" s="1">
        <v>117.0</v>
      </c>
      <c r="R6" s="1">
        <v>2334.0</v>
      </c>
      <c r="S6" s="1">
        <v>729.0</v>
      </c>
      <c r="T6" s="1">
        <v>294.0</v>
      </c>
      <c r="U6" s="1">
        <v>199.0</v>
      </c>
      <c r="V6" s="1">
        <v>440.0</v>
      </c>
      <c r="W6" s="1">
        <v>21771.0</v>
      </c>
      <c r="X6" s="1">
        <v>2471.0</v>
      </c>
      <c r="Y6" s="1">
        <v>429.0</v>
      </c>
      <c r="Z6" s="1">
        <v>346.0</v>
      </c>
      <c r="AA6" s="1">
        <v>928.0</v>
      </c>
      <c r="AB6" s="1">
        <v>1124.0</v>
      </c>
      <c r="AC6" s="1">
        <v>254.0</v>
      </c>
      <c r="AD6" s="1">
        <v>757.0</v>
      </c>
      <c r="AE6" s="1">
        <v>14.0</v>
      </c>
      <c r="AF6" s="1">
        <v>442.0</v>
      </c>
      <c r="AG6" s="1">
        <v>97.0</v>
      </c>
      <c r="AH6" s="1">
        <v>128.0</v>
      </c>
      <c r="AI6" s="1">
        <v>6.0</v>
      </c>
      <c r="AJ6" s="1">
        <v>11.0</v>
      </c>
      <c r="AK6" s="1">
        <v>53.0</v>
      </c>
      <c r="AL6" s="1">
        <v>127.0</v>
      </c>
      <c r="AM6" s="1">
        <v>112.0</v>
      </c>
      <c r="AN6" s="1">
        <v>85.0</v>
      </c>
      <c r="AO6" s="1">
        <v>0.0</v>
      </c>
      <c r="AP6" s="1">
        <v>0.133614</v>
      </c>
      <c r="AQ6" s="1">
        <v>0.052571</v>
      </c>
      <c r="AR6" s="1">
        <v>0.067297</v>
      </c>
      <c r="AS6" s="1">
        <v>0.148553</v>
      </c>
      <c r="AT6" s="1">
        <v>21771.0</v>
      </c>
      <c r="AU6" s="1">
        <v>2471.0</v>
      </c>
      <c r="AV6" s="1">
        <v>0.117469</v>
      </c>
      <c r="AW6" s="1">
        <v>0.094346</v>
      </c>
      <c r="AX6" s="1">
        <v>0.17829</v>
      </c>
      <c r="AY6" s="1">
        <v>0.215946</v>
      </c>
      <c r="AZ6" s="1">
        <v>0.10882604</v>
      </c>
      <c r="BA6" s="1">
        <v>0.145437</v>
      </c>
      <c r="BB6" s="1">
        <v>0.002766</v>
      </c>
      <c r="BC6" s="1">
        <v>0.087351</v>
      </c>
      <c r="BD6" s="1">
        <v>0.037905</v>
      </c>
      <c r="BE6" s="1">
        <v>0.049989</v>
      </c>
      <c r="BF6" s="1">
        <v>0.002344</v>
      </c>
      <c r="BG6" s="1">
        <v>0.004297</v>
      </c>
      <c r="BH6" s="1">
        <v>0.021712</v>
      </c>
      <c r="BI6" s="1">
        <v>0.052015</v>
      </c>
      <c r="BJ6" s="1">
        <v>0.045882</v>
      </c>
      <c r="BK6" s="1">
        <v>0.034742</v>
      </c>
      <c r="BL6" s="1">
        <v>0.0</v>
      </c>
      <c r="BM6" s="1">
        <v>0.511</v>
      </c>
      <c r="BN6" s="1">
        <v>0.492</v>
      </c>
      <c r="BO6" s="1">
        <v>0.5061</v>
      </c>
      <c r="BP6" s="1">
        <v>0.416</v>
      </c>
      <c r="BQ6" s="1">
        <v>1.9251</v>
      </c>
      <c r="BR6" s="1">
        <v>0.4686</v>
      </c>
      <c r="BS6" s="1">
        <v>0.776</v>
      </c>
      <c r="BT6" s="1">
        <v>0.276</v>
      </c>
      <c r="BU6" s="1">
        <v>0.574</v>
      </c>
      <c r="BV6" s="1">
        <v>1.626</v>
      </c>
      <c r="BW6" s="1">
        <v>0.584</v>
      </c>
      <c r="BX6" s="1">
        <v>0.607</v>
      </c>
      <c r="BY6" s="1">
        <v>0.433</v>
      </c>
      <c r="BZ6" s="1">
        <v>1.04</v>
      </c>
      <c r="CA6" s="1">
        <v>0.574</v>
      </c>
      <c r="CB6" s="1">
        <v>0.6</v>
      </c>
      <c r="CC6" s="1">
        <v>0.369</v>
      </c>
      <c r="CD6" s="1">
        <v>0.705</v>
      </c>
      <c r="CE6" s="1">
        <v>0.45</v>
      </c>
      <c r="CF6" s="1">
        <v>0.0</v>
      </c>
      <c r="CG6" s="1">
        <v>2.124</v>
      </c>
      <c r="CH6" s="1">
        <v>0.391</v>
      </c>
      <c r="CI6" s="1">
        <v>6.7151</v>
      </c>
      <c r="CJ6" s="1">
        <v>0.4939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 t="s">
        <v>2933</v>
      </c>
      <c r="DE6" s="1">
        <v>4.80898259708695E-4</v>
      </c>
      <c r="DF6" s="1">
        <v>0.0916561656964325</v>
      </c>
    </row>
    <row r="7">
      <c r="A7" s="1" t="s">
        <v>3010</v>
      </c>
      <c r="B7" s="1">
        <v>29.0</v>
      </c>
      <c r="C7" s="2" t="s">
        <v>2930</v>
      </c>
      <c r="D7" s="2" t="s">
        <v>1251</v>
      </c>
      <c r="E7" s="1">
        <v>1.678</v>
      </c>
      <c r="F7" s="1">
        <v>29097.0</v>
      </c>
      <c r="G7" s="1">
        <v>2.90970106E10</v>
      </c>
      <c r="H7" s="1" t="s">
        <v>112</v>
      </c>
      <c r="I7" s="1" t="s">
        <v>113</v>
      </c>
      <c r="J7" s="1" t="s">
        <v>2931</v>
      </c>
      <c r="K7" s="1" t="s">
        <v>3011</v>
      </c>
      <c r="L7" s="1">
        <v>5990.0</v>
      </c>
      <c r="M7" s="1">
        <v>5845.0</v>
      </c>
      <c r="N7" s="1">
        <v>656.0</v>
      </c>
      <c r="O7" s="1">
        <v>2860.0</v>
      </c>
      <c r="P7" s="1">
        <v>2872.0</v>
      </c>
      <c r="Q7" s="1">
        <v>142.0</v>
      </c>
      <c r="R7" s="1">
        <v>2542.0</v>
      </c>
      <c r="S7" s="1">
        <v>1663.0</v>
      </c>
      <c r="T7" s="1">
        <v>431.0</v>
      </c>
      <c r="U7" s="1">
        <v>319.0</v>
      </c>
      <c r="V7" s="1">
        <v>410.0</v>
      </c>
      <c r="W7" s="1">
        <v>16315.0</v>
      </c>
      <c r="X7" s="1">
        <v>1817.0</v>
      </c>
      <c r="Y7" s="1">
        <v>601.0</v>
      </c>
      <c r="Z7" s="1">
        <v>313.0</v>
      </c>
      <c r="AA7" s="1">
        <v>642.0</v>
      </c>
      <c r="AB7" s="1">
        <v>1565.0</v>
      </c>
      <c r="AC7" s="1">
        <v>477.0</v>
      </c>
      <c r="AD7" s="1">
        <v>1027.0</v>
      </c>
      <c r="AE7" s="1">
        <v>42.0</v>
      </c>
      <c r="AF7" s="1">
        <v>428.0</v>
      </c>
      <c r="AG7" s="1">
        <v>202.0</v>
      </c>
      <c r="AH7" s="1">
        <v>130.0</v>
      </c>
      <c r="AI7" s="1">
        <v>0.0</v>
      </c>
      <c r="AJ7" s="1">
        <v>114.0</v>
      </c>
      <c r="AK7" s="1">
        <v>99.0</v>
      </c>
      <c r="AL7" s="1">
        <v>132.0</v>
      </c>
      <c r="AM7" s="1">
        <v>271.0</v>
      </c>
      <c r="AN7" s="1">
        <v>113.0</v>
      </c>
      <c r="AO7" s="1">
        <v>57.0</v>
      </c>
      <c r="AP7" s="1">
        <v>0.287915</v>
      </c>
      <c r="AQ7" s="1">
        <v>0.067072</v>
      </c>
      <c r="AR7" s="1">
        <v>0.102572</v>
      </c>
      <c r="AS7" s="1">
        <v>0.130933</v>
      </c>
      <c r="AT7" s="1">
        <v>16315.0</v>
      </c>
      <c r="AU7" s="1">
        <v>1817.0</v>
      </c>
      <c r="AV7" s="1">
        <v>0.186994</v>
      </c>
      <c r="AW7" s="1">
        <v>0.096033</v>
      </c>
      <c r="AX7" s="1">
        <v>0.107178</v>
      </c>
      <c r="AY7" s="1">
        <v>0.261268</v>
      </c>
      <c r="AZ7" s="1">
        <v>0.18764752</v>
      </c>
      <c r="BA7" s="1">
        <v>0.171452</v>
      </c>
      <c r="BB7" s="1">
        <v>0.008261</v>
      </c>
      <c r="BC7" s="1">
        <v>0.084179</v>
      </c>
      <c r="BD7" s="1">
        <v>0.070334</v>
      </c>
      <c r="BE7" s="1">
        <v>0.04513</v>
      </c>
      <c r="BF7" s="1">
        <v>0.0</v>
      </c>
      <c r="BG7" s="1">
        <v>0.039693</v>
      </c>
      <c r="BH7" s="1">
        <v>0.041422</v>
      </c>
      <c r="BI7" s="1">
        <v>0.055136</v>
      </c>
      <c r="BJ7" s="1">
        <v>0.113389</v>
      </c>
      <c r="BK7" s="1">
        <v>0.046458</v>
      </c>
      <c r="BL7" s="1">
        <v>0.009515</v>
      </c>
      <c r="BM7" s="1">
        <v>0.872</v>
      </c>
      <c r="BN7" s="1">
        <v>0.746</v>
      </c>
      <c r="BO7" s="1">
        <v>0.8224</v>
      </c>
      <c r="BP7" s="1">
        <v>0.715</v>
      </c>
      <c r="BQ7" s="1">
        <v>3.1554</v>
      </c>
      <c r="BR7" s="1">
        <v>0.8404</v>
      </c>
      <c r="BS7" s="1">
        <v>0.252</v>
      </c>
      <c r="BT7" s="1">
        <v>0.711</v>
      </c>
      <c r="BU7" s="1">
        <v>0.879</v>
      </c>
      <c r="BV7" s="1">
        <v>1.842</v>
      </c>
      <c r="BW7" s="1">
        <v>0.763</v>
      </c>
      <c r="BX7" s="1">
        <v>0.667</v>
      </c>
      <c r="BY7" s="1">
        <v>0.674</v>
      </c>
      <c r="BZ7" s="1">
        <v>1.341</v>
      </c>
      <c r="CA7" s="1">
        <v>0.731</v>
      </c>
      <c r="CB7" s="1">
        <v>0.715</v>
      </c>
      <c r="CC7" s="1">
        <v>0.0</v>
      </c>
      <c r="CD7" s="1">
        <v>0.898</v>
      </c>
      <c r="CE7" s="1">
        <v>0.791</v>
      </c>
      <c r="CF7" s="1">
        <v>0.568</v>
      </c>
      <c r="CG7" s="1">
        <v>2.972</v>
      </c>
      <c r="CH7" s="1">
        <v>0.762</v>
      </c>
      <c r="CI7" s="1">
        <v>9.3104</v>
      </c>
      <c r="CJ7" s="1">
        <v>0.8874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 t="s">
        <v>3012</v>
      </c>
      <c r="DE7" s="1">
        <v>4.40589230390046E-4</v>
      </c>
      <c r="DF7" s="1">
        <v>0.0882094289597715</v>
      </c>
    </row>
    <row r="8">
      <c r="A8" s="1" t="s">
        <v>2934</v>
      </c>
      <c r="B8" s="1">
        <v>29.0</v>
      </c>
      <c r="C8" s="2" t="s">
        <v>2930</v>
      </c>
      <c r="D8" s="2" t="s">
        <v>1294</v>
      </c>
      <c r="E8" s="1">
        <v>0.983</v>
      </c>
      <c r="F8" s="1">
        <v>29097.0</v>
      </c>
      <c r="G8" s="1">
        <v>2.90970108E10</v>
      </c>
      <c r="H8" s="1" t="s">
        <v>112</v>
      </c>
      <c r="I8" s="1" t="s">
        <v>113</v>
      </c>
      <c r="J8" s="1" t="s">
        <v>2931</v>
      </c>
      <c r="K8" s="1" t="s">
        <v>2935</v>
      </c>
      <c r="L8" s="1">
        <v>4444.0</v>
      </c>
      <c r="M8" s="1">
        <v>4217.0</v>
      </c>
      <c r="N8" s="1">
        <v>392.0</v>
      </c>
      <c r="O8" s="1">
        <v>2147.0</v>
      </c>
      <c r="P8" s="1">
        <v>2122.0</v>
      </c>
      <c r="Q8" s="1">
        <v>107.0</v>
      </c>
      <c r="R8" s="1">
        <v>1838.0</v>
      </c>
      <c r="S8" s="1">
        <v>1342.0</v>
      </c>
      <c r="T8" s="1">
        <v>400.0</v>
      </c>
      <c r="U8" s="1">
        <v>161.0</v>
      </c>
      <c r="V8" s="1">
        <v>402.0</v>
      </c>
      <c r="W8" s="1">
        <v>13715.0</v>
      </c>
      <c r="X8" s="1">
        <v>1428.0</v>
      </c>
      <c r="Y8" s="1">
        <v>698.0</v>
      </c>
      <c r="Z8" s="1">
        <v>232.0</v>
      </c>
      <c r="AA8" s="1">
        <v>494.0</v>
      </c>
      <c r="AB8" s="1">
        <v>1037.0</v>
      </c>
      <c r="AC8" s="1">
        <v>275.0</v>
      </c>
      <c r="AD8" s="1">
        <v>657.0</v>
      </c>
      <c r="AE8" s="1">
        <v>17.0</v>
      </c>
      <c r="AF8" s="1">
        <v>427.0</v>
      </c>
      <c r="AG8" s="1">
        <v>0.0</v>
      </c>
      <c r="AH8" s="1">
        <v>197.0</v>
      </c>
      <c r="AI8" s="1">
        <v>32.0</v>
      </c>
      <c r="AJ8" s="1">
        <v>50.0</v>
      </c>
      <c r="AK8" s="1">
        <v>46.0</v>
      </c>
      <c r="AL8" s="1">
        <v>122.0</v>
      </c>
      <c r="AM8" s="1">
        <v>243.0</v>
      </c>
      <c r="AN8" s="1">
        <v>97.0</v>
      </c>
      <c r="AO8" s="1">
        <v>124.0</v>
      </c>
      <c r="AP8" s="1">
        <v>0.326282</v>
      </c>
      <c r="AQ8" s="1">
        <v>0.092742</v>
      </c>
      <c r="AR8" s="1">
        <v>0.078345</v>
      </c>
      <c r="AS8" s="1">
        <v>0.19532</v>
      </c>
      <c r="AT8" s="1">
        <v>13715.0</v>
      </c>
      <c r="AU8" s="1">
        <v>1428.0</v>
      </c>
      <c r="AV8" s="1">
        <v>0.253633</v>
      </c>
      <c r="AW8" s="1">
        <v>0.079009</v>
      </c>
      <c r="AX8" s="1">
        <v>0.111161</v>
      </c>
      <c r="AY8" s="1">
        <v>0.233348</v>
      </c>
      <c r="AZ8" s="1">
        <v>0.14961915</v>
      </c>
      <c r="BA8" s="1">
        <v>0.147839</v>
      </c>
      <c r="BB8" s="1">
        <v>0.004521</v>
      </c>
      <c r="BC8" s="1">
        <v>0.113563</v>
      </c>
      <c r="BD8" s="1">
        <v>0.0</v>
      </c>
      <c r="BE8" s="1">
        <v>0.092836</v>
      </c>
      <c r="BF8" s="1">
        <v>0.01508</v>
      </c>
      <c r="BG8" s="1">
        <v>0.02355</v>
      </c>
      <c r="BH8" s="1">
        <v>0.026195</v>
      </c>
      <c r="BI8" s="1">
        <v>0.069435</v>
      </c>
      <c r="BJ8" s="1">
        <v>0.138382</v>
      </c>
      <c r="BK8" s="1">
        <v>0.05378</v>
      </c>
      <c r="BL8" s="1">
        <v>0.027902</v>
      </c>
      <c r="BM8" s="1">
        <v>0.909</v>
      </c>
      <c r="BN8" s="1">
        <v>0.596</v>
      </c>
      <c r="BO8" s="1">
        <v>0.9184</v>
      </c>
      <c r="BP8" s="1">
        <v>0.877</v>
      </c>
      <c r="BQ8" s="1">
        <v>3.3004</v>
      </c>
      <c r="BR8" s="1">
        <v>0.8787</v>
      </c>
      <c r="BS8" s="1">
        <v>0.281</v>
      </c>
      <c r="BT8" s="1">
        <v>0.421</v>
      </c>
      <c r="BU8" s="1">
        <v>0.792</v>
      </c>
      <c r="BV8" s="1">
        <v>1.494</v>
      </c>
      <c r="BW8" s="1">
        <v>0.481</v>
      </c>
      <c r="BX8" s="1">
        <v>0.619</v>
      </c>
      <c r="BY8" s="1">
        <v>0.539</v>
      </c>
      <c r="BZ8" s="1">
        <v>1.158</v>
      </c>
      <c r="CA8" s="1">
        <v>0.639</v>
      </c>
      <c r="CB8" s="1">
        <v>0.0</v>
      </c>
      <c r="CC8" s="1">
        <v>0.489</v>
      </c>
      <c r="CD8" s="1">
        <v>0.772</v>
      </c>
      <c r="CE8" s="1">
        <v>0.843</v>
      </c>
      <c r="CF8" s="1">
        <v>0.794</v>
      </c>
      <c r="CG8" s="1">
        <v>2.898</v>
      </c>
      <c r="CH8" s="1">
        <v>0.732</v>
      </c>
      <c r="CI8" s="1">
        <v>8.8504</v>
      </c>
      <c r="CJ8" s="1">
        <v>0.8339</v>
      </c>
      <c r="CK8" s="1">
        <v>1.0</v>
      </c>
      <c r="CL8" s="1">
        <v>0.0</v>
      </c>
      <c r="CM8" s="1">
        <v>1.0</v>
      </c>
      <c r="CN8" s="1">
        <v>0.0</v>
      </c>
      <c r="CO8" s="1">
        <v>2.0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2.0</v>
      </c>
      <c r="DD8" s="1" t="s">
        <v>2936</v>
      </c>
      <c r="DE8" s="1">
        <v>2.56922440404525E-4</v>
      </c>
      <c r="DF8" s="1">
        <v>0.0649894391783793</v>
      </c>
    </row>
    <row r="9">
      <c r="A9" s="1" t="s">
        <v>2941</v>
      </c>
      <c r="B9" s="1">
        <v>29.0</v>
      </c>
      <c r="C9" s="2" t="s">
        <v>2930</v>
      </c>
      <c r="D9" s="2" t="s">
        <v>1299</v>
      </c>
      <c r="E9" s="1">
        <v>9.43</v>
      </c>
      <c r="F9" s="1">
        <v>29097.0</v>
      </c>
      <c r="G9" s="1">
        <v>2.90970109E10</v>
      </c>
      <c r="H9" s="1" t="s">
        <v>112</v>
      </c>
      <c r="I9" s="1" t="s">
        <v>113</v>
      </c>
      <c r="J9" s="1" t="s">
        <v>2931</v>
      </c>
      <c r="K9" s="1" t="s">
        <v>2942</v>
      </c>
      <c r="L9" s="1">
        <v>6531.0</v>
      </c>
      <c r="M9" s="1">
        <v>6709.0</v>
      </c>
      <c r="N9" s="1">
        <v>606.0</v>
      </c>
      <c r="O9" s="1">
        <v>2865.0</v>
      </c>
      <c r="P9" s="1">
        <v>2823.0</v>
      </c>
      <c r="Q9" s="1">
        <v>116.0</v>
      </c>
      <c r="R9" s="1">
        <v>2643.0</v>
      </c>
      <c r="S9" s="1">
        <v>875.0</v>
      </c>
      <c r="T9" s="1">
        <v>384.0</v>
      </c>
      <c r="U9" s="1">
        <v>242.0</v>
      </c>
      <c r="V9" s="1">
        <v>389.0</v>
      </c>
      <c r="W9" s="1">
        <v>23854.0</v>
      </c>
      <c r="X9" s="1">
        <v>3149.0</v>
      </c>
      <c r="Y9" s="1">
        <v>996.0</v>
      </c>
      <c r="Z9" s="1">
        <v>374.0</v>
      </c>
      <c r="AA9" s="1">
        <v>925.0</v>
      </c>
      <c r="AB9" s="1">
        <v>1684.0</v>
      </c>
      <c r="AC9" s="1">
        <v>295.0</v>
      </c>
      <c r="AD9" s="1">
        <v>773.0</v>
      </c>
      <c r="AE9" s="1">
        <v>0.0</v>
      </c>
      <c r="AF9" s="1">
        <v>456.0</v>
      </c>
      <c r="AG9" s="1">
        <v>57.0</v>
      </c>
      <c r="AH9" s="1">
        <v>175.0</v>
      </c>
      <c r="AI9" s="1">
        <v>72.0</v>
      </c>
      <c r="AJ9" s="1">
        <v>69.0</v>
      </c>
      <c r="AK9" s="1">
        <v>18.0</v>
      </c>
      <c r="AL9" s="1">
        <v>115.0</v>
      </c>
      <c r="AM9" s="1">
        <v>142.0</v>
      </c>
      <c r="AN9" s="1">
        <v>77.0</v>
      </c>
      <c r="AO9" s="1">
        <v>142.0</v>
      </c>
      <c r="AP9" s="1">
        <v>0.134781</v>
      </c>
      <c r="AQ9" s="1">
        <v>0.057845</v>
      </c>
      <c r="AR9" s="1">
        <v>0.075131</v>
      </c>
      <c r="AS9" s="1">
        <v>0.120325</v>
      </c>
      <c r="AT9" s="1">
        <v>23854.0</v>
      </c>
      <c r="AU9" s="1">
        <v>3149.0</v>
      </c>
      <c r="AV9" s="1">
        <v>0.227865</v>
      </c>
      <c r="AW9" s="1">
        <v>0.083595</v>
      </c>
      <c r="AX9" s="1">
        <v>0.141632</v>
      </c>
      <c r="AY9" s="1">
        <v>0.257847</v>
      </c>
      <c r="AZ9" s="1">
        <v>0.11161558</v>
      </c>
      <c r="BA9" s="1">
        <v>0.118358</v>
      </c>
      <c r="BB9" s="1">
        <v>0.0</v>
      </c>
      <c r="BC9" s="1">
        <v>0.073041</v>
      </c>
      <c r="BD9" s="1">
        <v>0.020191</v>
      </c>
      <c r="BE9" s="1">
        <v>0.061985</v>
      </c>
      <c r="BF9" s="1">
        <v>0.025504</v>
      </c>
      <c r="BG9" s="1">
        <v>0.024419</v>
      </c>
      <c r="BH9" s="1">
        <v>0.006925</v>
      </c>
      <c r="BI9" s="1">
        <v>0.044245</v>
      </c>
      <c r="BJ9" s="1">
        <v>0.054636</v>
      </c>
      <c r="BK9" s="1">
        <v>0.029402</v>
      </c>
      <c r="BL9" s="1">
        <v>0.021742</v>
      </c>
      <c r="BM9" s="1">
        <v>0.516</v>
      </c>
      <c r="BN9" s="1">
        <v>0.561</v>
      </c>
      <c r="BO9" s="1">
        <v>0.4014</v>
      </c>
      <c r="BP9" s="1">
        <v>0.823</v>
      </c>
      <c r="BQ9" s="1">
        <v>2.3014</v>
      </c>
      <c r="BR9" s="1">
        <v>0.6043</v>
      </c>
      <c r="BS9" s="1">
        <v>0.51</v>
      </c>
      <c r="BT9" s="1">
        <v>0.684</v>
      </c>
      <c r="BU9" s="1">
        <v>0.599</v>
      </c>
      <c r="BV9" s="1">
        <v>1.793</v>
      </c>
      <c r="BW9" s="1">
        <v>0.712</v>
      </c>
      <c r="BX9" s="1">
        <v>0.533</v>
      </c>
      <c r="BY9" s="1">
        <v>0.0</v>
      </c>
      <c r="BZ9" s="1">
        <v>0.533</v>
      </c>
      <c r="CA9" s="1">
        <v>0.23</v>
      </c>
      <c r="CB9" s="1">
        <v>0.464</v>
      </c>
      <c r="CC9" s="1">
        <v>0.533</v>
      </c>
      <c r="CD9" s="1">
        <v>0.39</v>
      </c>
      <c r="CE9" s="1">
        <v>0.526</v>
      </c>
      <c r="CF9" s="1">
        <v>0.733</v>
      </c>
      <c r="CG9" s="1">
        <v>2.646</v>
      </c>
      <c r="CH9" s="1">
        <v>0.62</v>
      </c>
      <c r="CI9" s="1">
        <v>7.2734</v>
      </c>
      <c r="CJ9" s="1">
        <v>0.6029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 t="s">
        <v>2943</v>
      </c>
      <c r="DE9" s="1">
        <v>0.00247928709292714</v>
      </c>
      <c r="DF9" s="2" t="s">
        <v>2944</v>
      </c>
    </row>
    <row r="10">
      <c r="A10" s="1" t="s">
        <v>2945</v>
      </c>
      <c r="B10" s="1">
        <v>29.0</v>
      </c>
      <c r="C10" s="2" t="s">
        <v>2930</v>
      </c>
      <c r="D10" s="2" t="s">
        <v>2767</v>
      </c>
      <c r="E10" s="1">
        <v>1.163</v>
      </c>
      <c r="F10" s="1">
        <v>29097.0</v>
      </c>
      <c r="G10" s="1">
        <v>2.9097011E10</v>
      </c>
      <c r="H10" s="1" t="s">
        <v>112</v>
      </c>
      <c r="I10" s="1" t="s">
        <v>113</v>
      </c>
      <c r="J10" s="1" t="s">
        <v>2931</v>
      </c>
      <c r="K10" s="1" t="s">
        <v>2946</v>
      </c>
      <c r="L10" s="1">
        <v>3979.0</v>
      </c>
      <c r="M10" s="1">
        <v>3996.0</v>
      </c>
      <c r="N10" s="1">
        <v>559.0</v>
      </c>
      <c r="O10" s="1">
        <v>2220.0</v>
      </c>
      <c r="P10" s="1">
        <v>2314.0</v>
      </c>
      <c r="Q10" s="1">
        <v>88.0</v>
      </c>
      <c r="R10" s="1">
        <v>1726.0</v>
      </c>
      <c r="S10" s="1">
        <v>1585.0</v>
      </c>
      <c r="T10" s="1">
        <v>501.0</v>
      </c>
      <c r="U10" s="1">
        <v>428.0</v>
      </c>
      <c r="V10" s="1">
        <v>355.0</v>
      </c>
      <c r="W10" s="1">
        <v>14860.0</v>
      </c>
      <c r="X10" s="1">
        <v>2938.0</v>
      </c>
      <c r="Y10" s="1">
        <v>612.0</v>
      </c>
      <c r="Z10" s="1">
        <v>252.0</v>
      </c>
      <c r="AA10" s="1">
        <v>370.0</v>
      </c>
      <c r="AB10" s="1">
        <v>894.0</v>
      </c>
      <c r="AC10" s="1">
        <v>211.0</v>
      </c>
      <c r="AD10" s="1">
        <v>620.0</v>
      </c>
      <c r="AE10" s="1">
        <v>47.0</v>
      </c>
      <c r="AF10" s="1">
        <v>413.0</v>
      </c>
      <c r="AG10" s="1">
        <v>294.0</v>
      </c>
      <c r="AH10" s="1">
        <v>99.0</v>
      </c>
      <c r="AI10" s="1">
        <v>56.0</v>
      </c>
      <c r="AJ10" s="1">
        <v>53.0</v>
      </c>
      <c r="AK10" s="1">
        <v>140.0</v>
      </c>
      <c r="AL10" s="1">
        <v>150.0</v>
      </c>
      <c r="AM10" s="1">
        <v>467.0</v>
      </c>
      <c r="AN10" s="1">
        <v>123.0</v>
      </c>
      <c r="AO10" s="1">
        <v>52.0</v>
      </c>
      <c r="AP10" s="1">
        <v>0.408189</v>
      </c>
      <c r="AQ10" s="1">
        <v>0.116273</v>
      </c>
      <c r="AR10" s="1">
        <v>0.209188</v>
      </c>
      <c r="AS10" s="1">
        <v>0.170095</v>
      </c>
      <c r="AT10" s="1">
        <v>14860.0</v>
      </c>
      <c r="AU10" s="1">
        <v>2938.0</v>
      </c>
      <c r="AV10" s="1">
        <v>0.241229</v>
      </c>
      <c r="AW10" s="1">
        <v>0.095642</v>
      </c>
      <c r="AX10" s="1">
        <v>0.092988</v>
      </c>
      <c r="AY10" s="1">
        <v>0.224679</v>
      </c>
      <c r="AZ10" s="1">
        <v>0.12224797</v>
      </c>
      <c r="BA10" s="1">
        <v>0.155818</v>
      </c>
      <c r="BB10" s="1">
        <v>0.013165</v>
      </c>
      <c r="BC10" s="1">
        <v>0.115675</v>
      </c>
      <c r="BD10" s="1">
        <v>0.127052</v>
      </c>
      <c r="BE10" s="1">
        <v>0.042509</v>
      </c>
      <c r="BF10" s="1">
        <v>0.0242</v>
      </c>
      <c r="BG10" s="1">
        <v>0.022885</v>
      </c>
      <c r="BH10" s="1">
        <v>0.079275</v>
      </c>
      <c r="BI10" s="1">
        <v>0.084618</v>
      </c>
      <c r="BJ10" s="1">
        <v>0.264439</v>
      </c>
      <c r="BK10" s="1">
        <v>0.065176</v>
      </c>
      <c r="BL10" s="1">
        <v>0.013068</v>
      </c>
      <c r="BM10" s="1">
        <v>0.957</v>
      </c>
      <c r="BN10" s="1">
        <v>0.958</v>
      </c>
      <c r="BO10" s="1">
        <v>0.8816</v>
      </c>
      <c r="BP10" s="1">
        <v>0.85</v>
      </c>
      <c r="BQ10" s="1">
        <v>3.6466</v>
      </c>
      <c r="BR10" s="1">
        <v>0.948</v>
      </c>
      <c r="BS10" s="1">
        <v>0.174</v>
      </c>
      <c r="BT10" s="1">
        <v>0.338</v>
      </c>
      <c r="BU10" s="1">
        <v>0.68</v>
      </c>
      <c r="BV10" s="1">
        <v>1.192</v>
      </c>
      <c r="BW10" s="1">
        <v>0.223</v>
      </c>
      <c r="BX10" s="1">
        <v>0.642</v>
      </c>
      <c r="BY10" s="1">
        <v>0.787</v>
      </c>
      <c r="BZ10" s="1">
        <v>1.429</v>
      </c>
      <c r="CA10" s="1">
        <v>0.779</v>
      </c>
      <c r="CB10" s="1">
        <v>0.81</v>
      </c>
      <c r="CC10" s="1">
        <v>0.53</v>
      </c>
      <c r="CD10" s="1">
        <v>0.987</v>
      </c>
      <c r="CE10" s="1">
        <v>0.951</v>
      </c>
      <c r="CF10" s="1">
        <v>0.622</v>
      </c>
      <c r="CG10" s="1">
        <v>3.9</v>
      </c>
      <c r="CH10" s="1">
        <v>0.993</v>
      </c>
      <c r="CI10" s="1">
        <v>10.1676</v>
      </c>
      <c r="CJ10" s="1">
        <v>0.9581</v>
      </c>
      <c r="CK10" s="1">
        <v>1.0</v>
      </c>
      <c r="CL10" s="1">
        <v>1.0</v>
      </c>
      <c r="CM10" s="1">
        <v>0.0</v>
      </c>
      <c r="CN10" s="1">
        <v>0.0</v>
      </c>
      <c r="CO10" s="1">
        <v>2.0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1.0</v>
      </c>
      <c r="CZ10" s="1">
        <v>1.0</v>
      </c>
      <c r="DA10" s="1">
        <v>0.0</v>
      </c>
      <c r="DB10" s="1">
        <v>2.0</v>
      </c>
      <c r="DC10" s="1">
        <v>4.0</v>
      </c>
      <c r="DD10" s="1" t="s">
        <v>2947</v>
      </c>
      <c r="DE10" s="1">
        <v>3.05133988845979E-4</v>
      </c>
      <c r="DF10" s="1">
        <v>0.0708716470537263</v>
      </c>
    </row>
    <row r="11">
      <c r="A11" s="1" t="s">
        <v>2948</v>
      </c>
      <c r="B11" s="1">
        <v>29.0</v>
      </c>
      <c r="C11" s="2" t="s">
        <v>2930</v>
      </c>
      <c r="D11" s="2" t="s">
        <v>2671</v>
      </c>
      <c r="E11" s="1">
        <v>2.152</v>
      </c>
      <c r="F11" s="1">
        <v>29097.0</v>
      </c>
      <c r="G11" s="1">
        <v>2.90970111E10</v>
      </c>
      <c r="H11" s="1" t="s">
        <v>112</v>
      </c>
      <c r="I11" s="1" t="s">
        <v>113</v>
      </c>
      <c r="J11" s="1" t="s">
        <v>2931</v>
      </c>
      <c r="K11" s="1" t="s">
        <v>2949</v>
      </c>
      <c r="L11" s="1">
        <v>1760.0</v>
      </c>
      <c r="M11" s="1">
        <v>2165.0</v>
      </c>
      <c r="N11" s="1">
        <v>285.0</v>
      </c>
      <c r="O11" s="1">
        <v>786.0</v>
      </c>
      <c r="P11" s="1">
        <v>811.0</v>
      </c>
      <c r="Q11" s="1">
        <v>43.0</v>
      </c>
      <c r="R11" s="1">
        <v>697.0</v>
      </c>
      <c r="S11" s="1">
        <v>119.0</v>
      </c>
      <c r="T11" s="1">
        <v>99.0</v>
      </c>
      <c r="U11" s="1">
        <v>49.0</v>
      </c>
      <c r="V11" s="1">
        <v>428.0</v>
      </c>
      <c r="W11" s="1">
        <v>39668.0</v>
      </c>
      <c r="X11" s="1">
        <v>14900.0</v>
      </c>
      <c r="Y11" s="1">
        <v>65.0</v>
      </c>
      <c r="Z11" s="1">
        <v>381.0</v>
      </c>
      <c r="AA11" s="1">
        <v>216.0</v>
      </c>
      <c r="AB11" s="1">
        <v>466.0</v>
      </c>
      <c r="AC11" s="1">
        <v>84.0</v>
      </c>
      <c r="AD11" s="1">
        <v>140.0</v>
      </c>
      <c r="AE11" s="1">
        <v>15.0</v>
      </c>
      <c r="AF11" s="1">
        <v>442.0</v>
      </c>
      <c r="AG11" s="1">
        <v>0.0</v>
      </c>
      <c r="AH11" s="1">
        <v>197.0</v>
      </c>
      <c r="AI11" s="1">
        <v>9.0</v>
      </c>
      <c r="AJ11" s="1">
        <v>18.0</v>
      </c>
      <c r="AK11" s="1">
        <v>5.0</v>
      </c>
      <c r="AL11" s="1">
        <v>115.0</v>
      </c>
      <c r="AM11" s="1">
        <v>27.0</v>
      </c>
      <c r="AN11" s="1">
        <v>119.0</v>
      </c>
      <c r="AO11" s="1">
        <v>0.0</v>
      </c>
      <c r="AP11" s="1">
        <v>0.055894</v>
      </c>
      <c r="AQ11" s="1">
        <v>0.046012</v>
      </c>
      <c r="AR11" s="1">
        <v>0.047388</v>
      </c>
      <c r="AS11" s="1">
        <v>0.413771</v>
      </c>
      <c r="AT11" s="1">
        <v>39668.0</v>
      </c>
      <c r="AU11" s="1">
        <v>14900.0</v>
      </c>
      <c r="AV11" s="1">
        <v>0.049242</v>
      </c>
      <c r="AW11" s="1">
        <v>0.288583</v>
      </c>
      <c r="AX11" s="1">
        <v>0.122727</v>
      </c>
      <c r="AY11" s="1">
        <v>0.264772</v>
      </c>
      <c r="AZ11" s="1">
        <v>0.12051649</v>
      </c>
      <c r="BA11" s="1">
        <v>0.079545</v>
      </c>
      <c r="BB11" s="1">
        <v>0.007739</v>
      </c>
      <c r="BC11" s="1">
        <v>0.228068</v>
      </c>
      <c r="BD11" s="1">
        <v>0.0</v>
      </c>
      <c r="BE11" s="1">
        <v>0.242909</v>
      </c>
      <c r="BF11" s="1">
        <v>0.011097</v>
      </c>
      <c r="BG11" s="1">
        <v>0.022187</v>
      </c>
      <c r="BH11" s="1">
        <v>0.006459</v>
      </c>
      <c r="BI11" s="1">
        <v>0.148577</v>
      </c>
      <c r="BJ11" s="1">
        <v>0.034883</v>
      </c>
      <c r="BK11" s="1">
        <v>0.153718</v>
      </c>
      <c r="BL11" s="1">
        <v>0.0</v>
      </c>
      <c r="BM11" s="1">
        <v>0.193</v>
      </c>
      <c r="BN11" s="1">
        <v>0.269</v>
      </c>
      <c r="BO11" s="1">
        <v>0.0671</v>
      </c>
      <c r="BP11" s="1">
        <v>0.127</v>
      </c>
      <c r="BQ11" s="1">
        <v>0.6561</v>
      </c>
      <c r="BR11" s="1">
        <v>0.1141</v>
      </c>
      <c r="BS11" s="1">
        <v>0.361</v>
      </c>
      <c r="BT11" s="1">
        <v>0.75</v>
      </c>
      <c r="BU11" s="1">
        <v>0.674</v>
      </c>
      <c r="BV11" s="1">
        <v>1.785</v>
      </c>
      <c r="BW11" s="1">
        <v>0.71</v>
      </c>
      <c r="BX11" s="1">
        <v>0.399</v>
      </c>
      <c r="BY11" s="1">
        <v>0.658</v>
      </c>
      <c r="BZ11" s="1">
        <v>1.057</v>
      </c>
      <c r="CA11" s="1">
        <v>0.588</v>
      </c>
      <c r="CB11" s="1">
        <v>0.0</v>
      </c>
      <c r="CC11" s="1">
        <v>0.465</v>
      </c>
      <c r="CD11" s="1">
        <v>0.373</v>
      </c>
      <c r="CE11" s="1">
        <v>0.333</v>
      </c>
      <c r="CF11" s="1">
        <v>0.0</v>
      </c>
      <c r="CG11" s="1">
        <v>1.171</v>
      </c>
      <c r="CH11" s="1">
        <v>0.104</v>
      </c>
      <c r="CI11" s="1">
        <v>4.6691</v>
      </c>
      <c r="CJ11" s="1">
        <v>0.1538</v>
      </c>
      <c r="CK11" s="1">
        <v>0.0</v>
      </c>
      <c r="CL11" s="1">
        <v>0.0</v>
      </c>
      <c r="CM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  <c r="CX11" s="1">
        <v>0.0</v>
      </c>
      <c r="CY11" s="1">
        <v>0.0</v>
      </c>
      <c r="CZ11" s="1">
        <v>0.0</v>
      </c>
      <c r="DA11" s="1">
        <v>0.0</v>
      </c>
      <c r="DB11" s="1">
        <v>0.0</v>
      </c>
      <c r="DC11" s="1">
        <v>0.0</v>
      </c>
      <c r="DD11" s="1" t="s">
        <v>2950</v>
      </c>
      <c r="DE11" s="1">
        <v>5.64257011459873E-4</v>
      </c>
      <c r="DF11" s="2" t="s">
        <v>2951</v>
      </c>
    </row>
    <row r="12" ht="15.75" customHeight="1">
      <c r="A12" s="1" t="s">
        <v>2952</v>
      </c>
      <c r="B12" s="1">
        <v>29.0</v>
      </c>
      <c r="C12" s="2" t="s">
        <v>2930</v>
      </c>
      <c r="D12" s="2" t="s">
        <v>2224</v>
      </c>
      <c r="E12" s="1">
        <v>24.199</v>
      </c>
      <c r="F12" s="1">
        <v>29097.0</v>
      </c>
      <c r="G12" s="1">
        <v>2.90970112E10</v>
      </c>
      <c r="H12" s="1" t="s">
        <v>112</v>
      </c>
      <c r="I12" s="1" t="s">
        <v>113</v>
      </c>
      <c r="J12" s="1" t="s">
        <v>2931</v>
      </c>
      <c r="K12" s="1" t="s">
        <v>2953</v>
      </c>
      <c r="L12" s="1">
        <v>6642.0</v>
      </c>
      <c r="M12" s="1">
        <v>6187.0</v>
      </c>
      <c r="N12" s="1">
        <v>516.0</v>
      </c>
      <c r="O12" s="1">
        <v>2776.0</v>
      </c>
      <c r="P12" s="1">
        <v>2902.0</v>
      </c>
      <c r="Q12" s="1">
        <v>137.0</v>
      </c>
      <c r="R12" s="1">
        <v>2533.0</v>
      </c>
      <c r="S12" s="1">
        <v>992.0</v>
      </c>
      <c r="T12" s="1">
        <v>406.0</v>
      </c>
      <c r="U12" s="1">
        <v>542.0</v>
      </c>
      <c r="V12" s="1">
        <v>447.0</v>
      </c>
      <c r="W12" s="1">
        <v>20483.0</v>
      </c>
      <c r="X12" s="1">
        <v>2088.0</v>
      </c>
      <c r="Y12" s="1">
        <v>724.0</v>
      </c>
      <c r="Z12" s="1">
        <v>292.0</v>
      </c>
      <c r="AA12" s="1">
        <v>765.0</v>
      </c>
      <c r="AB12" s="1">
        <v>1712.0</v>
      </c>
      <c r="AC12" s="1">
        <v>277.0</v>
      </c>
      <c r="AD12" s="1">
        <v>683.0</v>
      </c>
      <c r="AE12" s="1">
        <v>6.0</v>
      </c>
      <c r="AF12" s="1">
        <v>442.0</v>
      </c>
      <c r="AG12" s="1">
        <v>36.0</v>
      </c>
      <c r="AH12" s="1">
        <v>119.0</v>
      </c>
      <c r="AI12" s="1">
        <v>603.0</v>
      </c>
      <c r="AJ12" s="1">
        <v>175.0</v>
      </c>
      <c r="AK12" s="1">
        <v>54.0</v>
      </c>
      <c r="AL12" s="1">
        <v>121.0</v>
      </c>
      <c r="AM12" s="1">
        <v>54.0</v>
      </c>
      <c r="AN12" s="1">
        <v>44.0</v>
      </c>
      <c r="AO12" s="1">
        <v>0.0</v>
      </c>
      <c r="AP12" s="1">
        <v>0.163023</v>
      </c>
      <c r="AQ12" s="1">
        <v>0.065422</v>
      </c>
      <c r="AR12" s="1">
        <v>0.159599</v>
      </c>
      <c r="AS12" s="1">
        <v>0.130309</v>
      </c>
      <c r="AT12" s="1">
        <v>20483.0</v>
      </c>
      <c r="AU12" s="1">
        <v>2088.0</v>
      </c>
      <c r="AV12" s="1">
        <v>0.168215</v>
      </c>
      <c r="AW12" s="1">
        <v>0.06689</v>
      </c>
      <c r="AX12" s="1">
        <v>0.115176</v>
      </c>
      <c r="AY12" s="1">
        <v>0.257753</v>
      </c>
      <c r="AZ12" s="1">
        <v>0.10935649</v>
      </c>
      <c r="BA12" s="1">
        <v>0.10283</v>
      </c>
      <c r="BB12" s="1">
        <v>0.001034</v>
      </c>
      <c r="BC12" s="1">
        <v>0.076206</v>
      </c>
      <c r="BD12" s="1">
        <v>0.012405</v>
      </c>
      <c r="BE12" s="1">
        <v>0.041002</v>
      </c>
      <c r="BF12" s="1">
        <v>0.207787</v>
      </c>
      <c r="BG12" s="1">
        <v>0.0595</v>
      </c>
      <c r="BH12" s="1">
        <v>0.021617</v>
      </c>
      <c r="BI12" s="1">
        <v>0.048418</v>
      </c>
      <c r="BJ12" s="1">
        <v>0.021617</v>
      </c>
      <c r="BK12" s="1">
        <v>0.017559</v>
      </c>
      <c r="BL12" s="1">
        <v>0.0</v>
      </c>
      <c r="BM12" s="1">
        <v>0.619</v>
      </c>
      <c r="BN12" s="1">
        <v>0.911</v>
      </c>
      <c r="BO12" s="1">
        <v>0.5827</v>
      </c>
      <c r="BP12" s="1">
        <v>0.648</v>
      </c>
      <c r="BQ12" s="1">
        <v>2.7607</v>
      </c>
      <c r="BR12" s="1">
        <v>0.7379</v>
      </c>
      <c r="BS12" s="1">
        <v>0.31</v>
      </c>
      <c r="BT12" s="1">
        <v>0.682</v>
      </c>
      <c r="BU12" s="1">
        <v>0.582</v>
      </c>
      <c r="BV12" s="1">
        <v>1.574</v>
      </c>
      <c r="BW12" s="1">
        <v>0.543</v>
      </c>
      <c r="BX12" s="1">
        <v>0.481</v>
      </c>
      <c r="BY12" s="1">
        <v>0.333</v>
      </c>
      <c r="BZ12" s="1">
        <v>0.814</v>
      </c>
      <c r="CA12" s="1">
        <v>0.407</v>
      </c>
      <c r="CB12" s="1">
        <v>0.404</v>
      </c>
      <c r="CC12" s="1">
        <v>0.907</v>
      </c>
      <c r="CD12" s="1">
        <v>0.703</v>
      </c>
      <c r="CE12" s="1">
        <v>0.198</v>
      </c>
      <c r="CF12" s="1">
        <v>0.0</v>
      </c>
      <c r="CG12" s="1">
        <v>2.212</v>
      </c>
      <c r="CH12" s="1">
        <v>0.421</v>
      </c>
      <c r="CI12" s="1">
        <v>7.3607</v>
      </c>
      <c r="CJ12" s="1">
        <v>0.6202</v>
      </c>
      <c r="CK12" s="1">
        <v>0.0</v>
      </c>
      <c r="CL12" s="1">
        <v>1.0</v>
      </c>
      <c r="CM12" s="1">
        <v>0.0</v>
      </c>
      <c r="CN12" s="1">
        <v>0.0</v>
      </c>
      <c r="CO12" s="1">
        <v>1.0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0.0</v>
      </c>
      <c r="CX12" s="1">
        <v>1.0</v>
      </c>
      <c r="CY12" s="1">
        <v>0.0</v>
      </c>
      <c r="CZ12" s="1">
        <v>0.0</v>
      </c>
      <c r="DA12" s="1">
        <v>0.0</v>
      </c>
      <c r="DB12" s="1">
        <v>1.0</v>
      </c>
      <c r="DC12" s="1">
        <v>2.0</v>
      </c>
      <c r="DD12" s="1" t="s">
        <v>2954</v>
      </c>
      <c r="DE12" s="1">
        <v>0.00637441659465911</v>
      </c>
      <c r="DF12" s="2" t="s">
        <v>2955</v>
      </c>
    </row>
    <row r="13" ht="15.75" customHeight="1">
      <c r="A13" s="1" t="s">
        <v>2959</v>
      </c>
      <c r="B13" s="1">
        <v>29.0</v>
      </c>
      <c r="C13" s="2" t="s">
        <v>2930</v>
      </c>
      <c r="D13" s="2" t="s">
        <v>2960</v>
      </c>
      <c r="E13" s="1">
        <v>6.132</v>
      </c>
      <c r="F13" s="1">
        <v>29097.0</v>
      </c>
      <c r="G13" s="1">
        <v>2.90970114E10</v>
      </c>
      <c r="H13" s="1" t="s">
        <v>112</v>
      </c>
      <c r="I13" s="1" t="s">
        <v>113</v>
      </c>
      <c r="J13" s="1" t="s">
        <v>2931</v>
      </c>
      <c r="K13" s="1" t="s">
        <v>2961</v>
      </c>
      <c r="L13" s="1">
        <v>5701.0</v>
      </c>
      <c r="M13" s="1">
        <v>5716.0</v>
      </c>
      <c r="N13" s="1">
        <v>427.0</v>
      </c>
      <c r="O13" s="1">
        <v>2417.0</v>
      </c>
      <c r="P13" s="1">
        <v>2591.0</v>
      </c>
      <c r="Q13" s="1">
        <v>160.0</v>
      </c>
      <c r="R13" s="1">
        <v>2155.0</v>
      </c>
      <c r="S13" s="1">
        <v>987.0</v>
      </c>
      <c r="T13" s="1">
        <v>371.0</v>
      </c>
      <c r="U13" s="1">
        <v>167.0</v>
      </c>
      <c r="V13" s="1">
        <v>440.0</v>
      </c>
      <c r="W13" s="1">
        <v>16651.0</v>
      </c>
      <c r="X13" s="1">
        <v>2089.0</v>
      </c>
      <c r="Y13" s="1">
        <v>509.0</v>
      </c>
      <c r="Z13" s="1">
        <v>288.0</v>
      </c>
      <c r="AA13" s="1">
        <v>684.0</v>
      </c>
      <c r="AB13" s="1">
        <v>1568.0</v>
      </c>
      <c r="AC13" s="1">
        <v>274.0</v>
      </c>
      <c r="AD13" s="1">
        <v>548.0</v>
      </c>
      <c r="AE13" s="1">
        <v>18.0</v>
      </c>
      <c r="AF13" s="1">
        <v>442.0</v>
      </c>
      <c r="AG13" s="1">
        <v>15.0</v>
      </c>
      <c r="AH13" s="1">
        <v>163.0</v>
      </c>
      <c r="AI13" s="1">
        <v>29.0</v>
      </c>
      <c r="AJ13" s="1">
        <v>34.0</v>
      </c>
      <c r="AK13" s="1">
        <v>0.0</v>
      </c>
      <c r="AL13" s="1">
        <v>161.0</v>
      </c>
      <c r="AM13" s="1">
        <v>280.0</v>
      </c>
      <c r="AN13" s="1">
        <v>137.0</v>
      </c>
      <c r="AO13" s="1">
        <v>115.0</v>
      </c>
      <c r="AP13" s="1">
        <v>0.184382</v>
      </c>
      <c r="AQ13" s="1">
        <v>0.067951</v>
      </c>
      <c r="AR13" s="1">
        <v>0.065851</v>
      </c>
      <c r="AS13" s="1">
        <v>0.173287</v>
      </c>
      <c r="AT13" s="1">
        <v>16651.0</v>
      </c>
      <c r="AU13" s="1">
        <v>2089.0</v>
      </c>
      <c r="AV13" s="1">
        <v>0.137122</v>
      </c>
      <c r="AW13" s="1">
        <v>0.076795</v>
      </c>
      <c r="AX13" s="1">
        <v>0.119978</v>
      </c>
      <c r="AY13" s="1">
        <v>0.275039</v>
      </c>
      <c r="AZ13" s="1">
        <v>0.12714617</v>
      </c>
      <c r="BA13" s="1">
        <v>0.096123</v>
      </c>
      <c r="BB13" s="1">
        <v>0.003329</v>
      </c>
      <c r="BC13" s="1">
        <v>0.08176</v>
      </c>
      <c r="BD13" s="1">
        <v>0.005789</v>
      </c>
      <c r="BE13" s="1">
        <v>0.062909</v>
      </c>
      <c r="BF13" s="1">
        <v>0.011192</v>
      </c>
      <c r="BG13" s="1">
        <v>0.013104</v>
      </c>
      <c r="BH13" s="1">
        <v>0.0</v>
      </c>
      <c r="BI13" s="1">
        <v>0.067505</v>
      </c>
      <c r="BJ13" s="1">
        <v>0.1174</v>
      </c>
      <c r="BK13" s="1">
        <v>0.056865</v>
      </c>
      <c r="BL13" s="1">
        <v>0.020171</v>
      </c>
      <c r="BM13" s="1">
        <v>0.685</v>
      </c>
      <c r="BN13" s="1">
        <v>0.477</v>
      </c>
      <c r="BO13" s="1">
        <v>0.8043</v>
      </c>
      <c r="BP13" s="1">
        <v>0.508</v>
      </c>
      <c r="BQ13" s="1">
        <v>2.4743</v>
      </c>
      <c r="BR13" s="1">
        <v>0.6585</v>
      </c>
      <c r="BS13" s="1">
        <v>0.346</v>
      </c>
      <c r="BT13" s="1">
        <v>0.82</v>
      </c>
      <c r="BU13" s="1">
        <v>0.705</v>
      </c>
      <c r="BV13" s="1">
        <v>1.871</v>
      </c>
      <c r="BW13" s="1">
        <v>0.782</v>
      </c>
      <c r="BX13" s="1">
        <v>0.455</v>
      </c>
      <c r="BY13" s="1">
        <v>0.471</v>
      </c>
      <c r="BZ13" s="1">
        <v>0.926</v>
      </c>
      <c r="CA13" s="1">
        <v>0.489</v>
      </c>
      <c r="CB13" s="1">
        <v>0.332</v>
      </c>
      <c r="CC13" s="1">
        <v>0.467</v>
      </c>
      <c r="CD13" s="1">
        <v>0.0</v>
      </c>
      <c r="CE13" s="1">
        <v>0.8</v>
      </c>
      <c r="CF13" s="1">
        <v>0.713</v>
      </c>
      <c r="CG13" s="1">
        <v>2.312</v>
      </c>
      <c r="CH13" s="1">
        <v>0.459</v>
      </c>
      <c r="CI13" s="1">
        <v>7.5833</v>
      </c>
      <c r="CJ13" s="1">
        <v>0.6498</v>
      </c>
      <c r="CK13" s="1">
        <v>0.0</v>
      </c>
      <c r="CL13" s="1">
        <v>0.0</v>
      </c>
      <c r="CM13" s="1">
        <v>0.0</v>
      </c>
      <c r="CN13" s="1">
        <v>0.0</v>
      </c>
      <c r="CO13" s="1">
        <v>0.0</v>
      </c>
      <c r="CP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>
        <v>0.0</v>
      </c>
      <c r="CV13" s="1">
        <v>0.0</v>
      </c>
      <c r="CW13" s="1">
        <v>0.0</v>
      </c>
      <c r="CX13" s="1">
        <v>0.0</v>
      </c>
      <c r="CY13" s="1">
        <v>0.0</v>
      </c>
      <c r="CZ13" s="1">
        <v>0.0</v>
      </c>
      <c r="DA13" s="1">
        <v>0.0</v>
      </c>
      <c r="DB13" s="1">
        <v>0.0</v>
      </c>
      <c r="DC13" s="1">
        <v>0.0</v>
      </c>
      <c r="DD13" s="1" t="s">
        <v>2962</v>
      </c>
      <c r="DE13" s="1">
        <v>0.00160957034529859</v>
      </c>
      <c r="DF13" s="2" t="s">
        <v>2963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6" width="8.63"/>
    <col customWidth="1" min="7" max="7" width="12.0"/>
    <col customWidth="1" min="8" max="110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>
      <c r="A2" s="1" t="s">
        <v>3687</v>
      </c>
      <c r="B2" s="1">
        <v>29.0</v>
      </c>
      <c r="C2" s="1">
        <v>145.0</v>
      </c>
      <c r="D2" s="2" t="s">
        <v>3688</v>
      </c>
      <c r="E2" s="1">
        <v>8.085</v>
      </c>
      <c r="F2" s="1">
        <v>29145.0</v>
      </c>
      <c r="G2" s="1">
        <v>2.9145020501E10</v>
      </c>
      <c r="H2" s="1" t="s">
        <v>112</v>
      </c>
      <c r="I2" s="1" t="s">
        <v>113</v>
      </c>
      <c r="J2" s="1" t="s">
        <v>3672</v>
      </c>
      <c r="K2" s="1" t="s">
        <v>3689</v>
      </c>
      <c r="L2" s="1">
        <v>4005.0</v>
      </c>
      <c r="M2" s="1">
        <v>3889.0</v>
      </c>
      <c r="N2" s="1">
        <v>442.0</v>
      </c>
      <c r="O2" s="1">
        <v>1700.0</v>
      </c>
      <c r="P2" s="1">
        <v>1666.0</v>
      </c>
      <c r="Q2" s="1">
        <v>107.0</v>
      </c>
      <c r="R2" s="1">
        <v>1581.0</v>
      </c>
      <c r="S2" s="1">
        <v>363.0</v>
      </c>
      <c r="T2" s="1">
        <v>159.0</v>
      </c>
      <c r="U2" s="1">
        <v>66.0</v>
      </c>
      <c r="V2" s="1">
        <v>430.0</v>
      </c>
      <c r="W2" s="1">
        <v>30522.0</v>
      </c>
      <c r="X2" s="1">
        <v>3458.0</v>
      </c>
      <c r="Y2" s="1">
        <v>284.0</v>
      </c>
      <c r="Z2" s="1">
        <v>246.0</v>
      </c>
      <c r="AA2" s="1">
        <v>808.0</v>
      </c>
      <c r="AB2" s="1">
        <v>865.0</v>
      </c>
      <c r="AC2" s="1">
        <v>121.0</v>
      </c>
      <c r="AD2" s="1">
        <v>415.0</v>
      </c>
      <c r="AE2" s="1">
        <v>6.0</v>
      </c>
      <c r="AF2" s="1">
        <v>442.0</v>
      </c>
      <c r="AG2" s="1">
        <v>92.0</v>
      </c>
      <c r="AH2" s="1">
        <v>129.0</v>
      </c>
      <c r="AI2" s="1">
        <v>169.0</v>
      </c>
      <c r="AJ2" s="1">
        <v>90.0</v>
      </c>
      <c r="AK2" s="1">
        <v>12.0</v>
      </c>
      <c r="AL2" s="1">
        <v>115.0</v>
      </c>
      <c r="AM2" s="1">
        <v>67.0</v>
      </c>
      <c r="AN2" s="1">
        <v>45.0</v>
      </c>
      <c r="AO2" s="1">
        <v>110.0</v>
      </c>
      <c r="AP2" s="1">
        <v>0.093412</v>
      </c>
      <c r="AQ2" s="1">
        <v>0.039525</v>
      </c>
      <c r="AR2" s="1">
        <v>0.033316</v>
      </c>
      <c r="AS2" s="1">
        <v>0.217033</v>
      </c>
      <c r="AT2" s="1">
        <v>30522.0</v>
      </c>
      <c r="AU2" s="1">
        <v>3458.0</v>
      </c>
      <c r="AV2" s="1">
        <v>0.103385</v>
      </c>
      <c r="AW2" s="1">
        <v>0.089289</v>
      </c>
      <c r="AX2" s="1">
        <v>0.201747</v>
      </c>
      <c r="AY2" s="1">
        <v>0.21598</v>
      </c>
      <c r="AZ2" s="1">
        <v>0.07653383</v>
      </c>
      <c r="BA2" s="1">
        <v>0.10362</v>
      </c>
      <c r="BB2" s="1">
        <v>0.001645</v>
      </c>
      <c r="BC2" s="1">
        <v>0.121195</v>
      </c>
      <c r="BD2" s="1">
        <v>0.055222</v>
      </c>
      <c r="BE2" s="1">
        <v>0.077349</v>
      </c>
      <c r="BF2" s="1">
        <v>0.10144</v>
      </c>
      <c r="BG2" s="1">
        <v>0.053627</v>
      </c>
      <c r="BH2" s="1">
        <v>0.007416</v>
      </c>
      <c r="BI2" s="1">
        <v>0.071073</v>
      </c>
      <c r="BJ2" s="1">
        <v>0.041409</v>
      </c>
      <c r="BK2" s="1">
        <v>0.027666</v>
      </c>
      <c r="BL2" s="1">
        <v>0.027465</v>
      </c>
      <c r="BM2" s="1">
        <v>0.351</v>
      </c>
      <c r="BN2" s="1">
        <v>0.113</v>
      </c>
      <c r="BO2" s="1">
        <v>0.1863</v>
      </c>
      <c r="BP2" s="1">
        <v>0.352</v>
      </c>
      <c r="BQ2" s="1">
        <v>1.0023</v>
      </c>
      <c r="BR2" s="1">
        <v>0.2043</v>
      </c>
      <c r="BS2" s="1">
        <v>0.879</v>
      </c>
      <c r="BT2" s="1">
        <v>0.276</v>
      </c>
      <c r="BU2" s="1">
        <v>0.269</v>
      </c>
      <c r="BV2" s="1">
        <v>1.424</v>
      </c>
      <c r="BW2" s="1">
        <v>0.411</v>
      </c>
      <c r="BX2" s="1">
        <v>0.484</v>
      </c>
      <c r="BY2" s="1">
        <v>0.363</v>
      </c>
      <c r="BZ2" s="1">
        <v>0.847</v>
      </c>
      <c r="CA2" s="1">
        <v>0.428</v>
      </c>
      <c r="CB2" s="1">
        <v>0.669</v>
      </c>
      <c r="CC2" s="1">
        <v>0.72</v>
      </c>
      <c r="CD2" s="1">
        <v>0.409</v>
      </c>
      <c r="CE2" s="1">
        <v>0.405</v>
      </c>
      <c r="CF2" s="1">
        <v>0.791</v>
      </c>
      <c r="CG2" s="1">
        <v>2.994</v>
      </c>
      <c r="CH2" s="1">
        <v>0.773</v>
      </c>
      <c r="CI2" s="1">
        <v>6.2673</v>
      </c>
      <c r="CJ2" s="1">
        <v>0.4202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 t="s">
        <v>3690</v>
      </c>
      <c r="DE2" s="1">
        <v>0.00212962970257998</v>
      </c>
      <c r="DF2" s="2" t="s">
        <v>3691</v>
      </c>
    </row>
    <row r="3">
      <c r="A3" s="1" t="s">
        <v>3692</v>
      </c>
      <c r="B3" s="1">
        <v>29.0</v>
      </c>
      <c r="C3" s="1">
        <v>145.0</v>
      </c>
      <c r="D3" s="2" t="s">
        <v>3693</v>
      </c>
      <c r="E3" s="1">
        <v>12.91</v>
      </c>
      <c r="F3" s="1">
        <v>29145.0</v>
      </c>
      <c r="G3" s="1">
        <v>2.9145020502E10</v>
      </c>
      <c r="H3" s="1" t="s">
        <v>112</v>
      </c>
      <c r="I3" s="1" t="s">
        <v>113</v>
      </c>
      <c r="J3" s="1" t="s">
        <v>3672</v>
      </c>
      <c r="K3" s="1" t="s">
        <v>3694</v>
      </c>
      <c r="L3" s="1">
        <v>5638.0</v>
      </c>
      <c r="M3" s="1">
        <v>6266.0</v>
      </c>
      <c r="N3" s="1">
        <v>412.0</v>
      </c>
      <c r="O3" s="1">
        <v>2541.0</v>
      </c>
      <c r="P3" s="1">
        <v>2651.0</v>
      </c>
      <c r="Q3" s="1">
        <v>172.0</v>
      </c>
      <c r="R3" s="1">
        <v>2314.0</v>
      </c>
      <c r="S3" s="1">
        <v>532.0</v>
      </c>
      <c r="T3" s="1">
        <v>254.0</v>
      </c>
      <c r="U3" s="1">
        <v>315.0</v>
      </c>
      <c r="V3" s="1">
        <v>353.0</v>
      </c>
      <c r="W3" s="1">
        <v>26800.0</v>
      </c>
      <c r="X3" s="1">
        <v>4623.0</v>
      </c>
      <c r="Y3" s="1">
        <v>475.0</v>
      </c>
      <c r="Z3" s="1">
        <v>245.0</v>
      </c>
      <c r="AA3" s="3">
        <v>1033.0</v>
      </c>
      <c r="AB3" s="1">
        <v>1202.0</v>
      </c>
      <c r="AC3" s="1">
        <v>222.0</v>
      </c>
      <c r="AD3" s="1">
        <v>594.0</v>
      </c>
      <c r="AE3" s="1">
        <v>3.0</v>
      </c>
      <c r="AF3" s="1">
        <v>442.0</v>
      </c>
      <c r="AG3" s="1">
        <v>0.0</v>
      </c>
      <c r="AH3" s="1">
        <v>197.0</v>
      </c>
      <c r="AI3" s="1">
        <v>223.0</v>
      </c>
      <c r="AJ3" s="1">
        <v>75.0</v>
      </c>
      <c r="AK3" s="1">
        <v>58.0</v>
      </c>
      <c r="AL3" s="1">
        <v>123.0</v>
      </c>
      <c r="AM3" s="1">
        <v>70.0</v>
      </c>
      <c r="AN3" s="1">
        <v>59.0</v>
      </c>
      <c r="AO3" s="1">
        <v>140.0</v>
      </c>
      <c r="AP3" s="1">
        <v>0.088948</v>
      </c>
      <c r="AQ3" s="1">
        <v>0.042016</v>
      </c>
      <c r="AR3" s="1">
        <v>0.097162</v>
      </c>
      <c r="AS3" s="1">
        <v>0.108391</v>
      </c>
      <c r="AT3" s="1">
        <v>26800.0</v>
      </c>
      <c r="AU3" s="1">
        <v>4623.0</v>
      </c>
      <c r="AV3" s="1">
        <v>0.10732</v>
      </c>
      <c r="AW3" s="1">
        <v>0.054969</v>
      </c>
      <c r="AX3" s="1">
        <v>0.183221</v>
      </c>
      <c r="AY3" s="1">
        <v>0.213196</v>
      </c>
      <c r="AZ3" s="1">
        <v>0.09593777</v>
      </c>
      <c r="BA3" s="1">
        <v>0.105356</v>
      </c>
      <c r="BB3" s="1">
        <v>5.07E-4</v>
      </c>
      <c r="BC3" s="1">
        <v>0.0747</v>
      </c>
      <c r="BD3" s="1">
        <v>0.0</v>
      </c>
      <c r="BE3" s="1">
        <v>0.074311</v>
      </c>
      <c r="BF3" s="1">
        <v>0.084119</v>
      </c>
      <c r="BG3" s="1">
        <v>0.027759</v>
      </c>
      <c r="BH3" s="1">
        <v>0.023848</v>
      </c>
      <c r="BI3" s="1">
        <v>0.050548</v>
      </c>
      <c r="BJ3" s="1">
        <v>0.028782</v>
      </c>
      <c r="BK3" s="1">
        <v>0.024177</v>
      </c>
      <c r="BL3" s="1">
        <v>0.024831</v>
      </c>
      <c r="BM3" s="1">
        <v>0.333</v>
      </c>
      <c r="BN3" s="1">
        <v>0.715</v>
      </c>
      <c r="BO3" s="1">
        <v>0.2903</v>
      </c>
      <c r="BP3" s="1">
        <v>0.369</v>
      </c>
      <c r="BQ3" s="1">
        <v>1.7073</v>
      </c>
      <c r="BR3" s="1">
        <v>0.4043</v>
      </c>
      <c r="BS3" s="1">
        <v>0.81</v>
      </c>
      <c r="BT3" s="1">
        <v>0.25</v>
      </c>
      <c r="BU3" s="1">
        <v>0.455</v>
      </c>
      <c r="BV3" s="1">
        <v>1.515</v>
      </c>
      <c r="BW3" s="1">
        <v>0.496</v>
      </c>
      <c r="BX3" s="1">
        <v>0.489</v>
      </c>
      <c r="BY3" s="1">
        <v>0.319</v>
      </c>
      <c r="BZ3" s="1">
        <v>0.808</v>
      </c>
      <c r="CA3" s="1">
        <v>0.405</v>
      </c>
      <c r="CB3" s="1">
        <v>0.0</v>
      </c>
      <c r="CC3" s="1">
        <v>0.682</v>
      </c>
      <c r="CD3" s="1">
        <v>0.741</v>
      </c>
      <c r="CE3" s="1">
        <v>0.275</v>
      </c>
      <c r="CF3" s="1">
        <v>0.769</v>
      </c>
      <c r="CG3" s="1">
        <v>2.467</v>
      </c>
      <c r="CH3" s="1">
        <v>0.548</v>
      </c>
      <c r="CI3" s="1">
        <v>6.4973</v>
      </c>
      <c r="CJ3" s="1">
        <v>0.4585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 t="s">
        <v>3695</v>
      </c>
      <c r="DE3" s="1">
        <v>0.00344369516153951</v>
      </c>
      <c r="DF3" s="2" t="s">
        <v>3696</v>
      </c>
    </row>
    <row r="4" ht="15.75" customHeight="1">
      <c r="A4" s="1" t="s">
        <v>3697</v>
      </c>
      <c r="B4" s="1">
        <v>29.0</v>
      </c>
      <c r="C4" s="1">
        <v>145.0</v>
      </c>
      <c r="D4" s="2" t="s">
        <v>3698</v>
      </c>
      <c r="E4" s="1">
        <v>43.748</v>
      </c>
      <c r="F4" s="1">
        <v>29145.0</v>
      </c>
      <c r="G4" s="1">
        <v>2.9145020601E10</v>
      </c>
      <c r="H4" s="1" t="s">
        <v>112</v>
      </c>
      <c r="I4" s="1" t="s">
        <v>113</v>
      </c>
      <c r="J4" s="1" t="s">
        <v>3672</v>
      </c>
      <c r="K4" s="1" t="s">
        <v>3699</v>
      </c>
      <c r="L4" s="1">
        <v>5012.0</v>
      </c>
      <c r="M4" s="1">
        <v>5037.0</v>
      </c>
      <c r="N4" s="1">
        <v>590.0</v>
      </c>
      <c r="O4" s="1">
        <v>2065.0</v>
      </c>
      <c r="P4" s="1">
        <v>2025.0</v>
      </c>
      <c r="Q4" s="1">
        <v>115.0</v>
      </c>
      <c r="R4" s="1">
        <v>1903.0</v>
      </c>
      <c r="S4" s="1">
        <v>429.0</v>
      </c>
      <c r="T4" s="1">
        <v>239.0</v>
      </c>
      <c r="U4" s="1">
        <v>237.0</v>
      </c>
      <c r="V4" s="1">
        <v>382.0</v>
      </c>
      <c r="W4" s="1">
        <v>27690.0</v>
      </c>
      <c r="X4" s="1">
        <v>3653.0</v>
      </c>
      <c r="Y4" s="1">
        <v>325.0</v>
      </c>
      <c r="Z4" s="1">
        <v>252.0</v>
      </c>
      <c r="AA4" s="1">
        <v>757.0</v>
      </c>
      <c r="AB4" s="1">
        <v>1184.0</v>
      </c>
      <c r="AC4" s="1">
        <v>142.0</v>
      </c>
      <c r="AD4" s="1">
        <v>505.0</v>
      </c>
      <c r="AE4" s="1">
        <v>39.0</v>
      </c>
      <c r="AF4" s="1">
        <v>428.0</v>
      </c>
      <c r="AG4" s="1">
        <v>0.0</v>
      </c>
      <c r="AH4" s="1">
        <v>197.0</v>
      </c>
      <c r="AI4" s="1">
        <v>526.0</v>
      </c>
      <c r="AJ4" s="1">
        <v>166.0</v>
      </c>
      <c r="AK4" s="1">
        <v>104.0</v>
      </c>
      <c r="AL4" s="1">
        <v>144.0</v>
      </c>
      <c r="AM4" s="1">
        <v>18.0</v>
      </c>
      <c r="AN4" s="1">
        <v>20.0</v>
      </c>
      <c r="AO4" s="1">
        <v>46.0</v>
      </c>
      <c r="AP4" s="1">
        <v>0.085169</v>
      </c>
      <c r="AQ4" s="1">
        <v>0.046388</v>
      </c>
      <c r="AR4" s="1">
        <v>0.097571</v>
      </c>
      <c r="AS4" s="1">
        <v>0.156699</v>
      </c>
      <c r="AT4" s="1">
        <v>27690.0</v>
      </c>
      <c r="AU4" s="1">
        <v>3653.0</v>
      </c>
      <c r="AV4" s="1">
        <v>0.093632</v>
      </c>
      <c r="AW4" s="1">
        <v>0.072033</v>
      </c>
      <c r="AX4" s="1">
        <v>0.151037</v>
      </c>
      <c r="AY4" s="1">
        <v>0.236233</v>
      </c>
      <c r="AZ4" s="1">
        <v>0.07461902</v>
      </c>
      <c r="BA4" s="1">
        <v>0.100758</v>
      </c>
      <c r="BB4" s="1">
        <v>0.008031</v>
      </c>
      <c r="BC4" s="1">
        <v>0.088133</v>
      </c>
      <c r="BD4" s="1">
        <v>0.0</v>
      </c>
      <c r="BE4" s="1">
        <v>0.097283</v>
      </c>
      <c r="BF4" s="1">
        <v>0.259753</v>
      </c>
      <c r="BG4" s="1">
        <v>0.080637</v>
      </c>
      <c r="BH4" s="1">
        <v>0.056368</v>
      </c>
      <c r="BI4" s="1">
        <v>0.077921</v>
      </c>
      <c r="BJ4" s="1">
        <v>0.009756</v>
      </c>
      <c r="BK4" s="1">
        <v>0.010812</v>
      </c>
      <c r="BL4" s="1">
        <v>0.009177</v>
      </c>
      <c r="BM4" s="1">
        <v>0.315</v>
      </c>
      <c r="BN4" s="1">
        <v>0.718</v>
      </c>
      <c r="BO4" s="1">
        <v>0.2621</v>
      </c>
      <c r="BP4" s="1">
        <v>0.31</v>
      </c>
      <c r="BQ4" s="1">
        <v>1.6051</v>
      </c>
      <c r="BR4" s="1">
        <v>0.3747</v>
      </c>
      <c r="BS4" s="1">
        <v>0.589</v>
      </c>
      <c r="BT4" s="1">
        <v>0.453</v>
      </c>
      <c r="BU4" s="1">
        <v>0.256</v>
      </c>
      <c r="BV4" s="1">
        <v>1.298</v>
      </c>
      <c r="BW4" s="1">
        <v>0.302</v>
      </c>
      <c r="BX4" s="1">
        <v>0.471</v>
      </c>
      <c r="BY4" s="1">
        <v>0.669</v>
      </c>
      <c r="BZ4" s="1">
        <v>1.14</v>
      </c>
      <c r="CA4" s="1">
        <v>0.628</v>
      </c>
      <c r="CB4" s="1">
        <v>0.0</v>
      </c>
      <c r="CC4" s="1">
        <v>0.962</v>
      </c>
      <c r="CD4" s="1">
        <v>0.956</v>
      </c>
      <c r="CE4" s="1">
        <v>0.084</v>
      </c>
      <c r="CF4" s="1">
        <v>0.561</v>
      </c>
      <c r="CG4" s="1">
        <v>2.563</v>
      </c>
      <c r="CH4" s="1">
        <v>0.587</v>
      </c>
      <c r="CI4" s="1">
        <v>6.6061</v>
      </c>
      <c r="CJ4" s="1">
        <v>0.478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1.0</v>
      </c>
      <c r="CY4" s="1">
        <v>1.0</v>
      </c>
      <c r="CZ4" s="1">
        <v>0.0</v>
      </c>
      <c r="DA4" s="1">
        <v>0.0</v>
      </c>
      <c r="DB4" s="1">
        <v>2.0</v>
      </c>
      <c r="DC4" s="1">
        <v>2.0</v>
      </c>
      <c r="DD4" s="1" t="s">
        <v>3700</v>
      </c>
      <c r="DE4" s="2" t="s">
        <v>3701</v>
      </c>
      <c r="DF4" s="2" t="s">
        <v>3702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13"/>
    <col customWidth="1" min="3" max="3" width="8.63"/>
    <col customWidth="1" min="4" max="4" width="13.63"/>
    <col customWidth="1" min="5" max="5" width="12.25"/>
    <col customWidth="1" min="6" max="6" width="17.5"/>
    <col customWidth="1" min="7" max="9" width="8.63"/>
    <col customWidth="1" min="10" max="10" width="9.38"/>
    <col customWidth="1" min="11" max="12" width="12.13"/>
    <col customWidth="1" min="13" max="14" width="10.63"/>
    <col customWidth="1" min="15" max="16" width="13.88"/>
    <col customWidth="1" min="17" max="17" width="11.0"/>
    <col customWidth="1" min="18" max="20" width="9.13"/>
    <col customWidth="1" min="21" max="26" width="12.25"/>
    <col customWidth="1" min="27" max="27" width="12.5"/>
    <col customWidth="1" min="28" max="28" width="11.25"/>
    <col customWidth="1" min="29" max="30" width="12.38"/>
    <col customWidth="1" min="31" max="32" width="12.63"/>
    <col customWidth="1" min="33" max="34" width="12.0"/>
    <col customWidth="1" min="35" max="36" width="11.38"/>
    <col customWidth="1" min="37" max="37" width="9.88"/>
    <col customWidth="1" min="38" max="39" width="10.13"/>
    <col customWidth="1" min="40" max="40" width="11.13"/>
    <col customWidth="1" min="41" max="43" width="8.63"/>
    <col customWidth="1" min="44" max="44" width="10.75"/>
    <col customWidth="1" min="45" max="45" width="21.88"/>
    <col customWidth="1" min="46" max="46" width="22.88"/>
    <col customWidth="1" min="47" max="47" width="22.13"/>
    <col customWidth="1" min="48" max="48" width="23.5"/>
    <col customWidth="1" min="49" max="49" width="12.5"/>
    <col customWidth="1" min="50" max="50" width="10.75"/>
    <col customWidth="1" min="51" max="51" width="20.13"/>
    <col customWidth="1" min="52" max="52" width="12.25"/>
    <col customWidth="1" min="53" max="110" width="10.75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6</v>
      </c>
      <c r="F1" s="4" t="s">
        <v>9</v>
      </c>
      <c r="G1" s="4" t="s">
        <v>11</v>
      </c>
      <c r="H1" s="4" t="s">
        <v>14</v>
      </c>
      <c r="I1" s="4" t="s">
        <v>17</v>
      </c>
      <c r="J1" s="5" t="s">
        <v>41</v>
      </c>
      <c r="K1" s="6" t="s">
        <v>6038</v>
      </c>
      <c r="L1" s="5" t="s">
        <v>43</v>
      </c>
      <c r="M1" s="6" t="s">
        <v>6039</v>
      </c>
      <c r="N1" s="5" t="s">
        <v>45</v>
      </c>
      <c r="O1" s="6" t="s">
        <v>6040</v>
      </c>
      <c r="P1" s="5" t="s">
        <v>47</v>
      </c>
      <c r="Q1" s="6" t="s">
        <v>6041</v>
      </c>
      <c r="R1" s="4" t="s">
        <v>49</v>
      </c>
      <c r="S1" s="7" t="s">
        <v>6042</v>
      </c>
      <c r="T1" s="4" t="s">
        <v>50</v>
      </c>
      <c r="U1" s="7" t="s">
        <v>6043</v>
      </c>
      <c r="V1" s="4" t="s">
        <v>51</v>
      </c>
      <c r="W1" s="7" t="s">
        <v>6044</v>
      </c>
      <c r="X1" s="8" t="s">
        <v>53</v>
      </c>
      <c r="Y1" s="9" t="s">
        <v>6045</v>
      </c>
      <c r="Z1" s="10" t="s">
        <v>52</v>
      </c>
      <c r="AA1" s="11" t="s">
        <v>6046</v>
      </c>
      <c r="AB1" s="12" t="s">
        <v>55</v>
      </c>
      <c r="AC1" s="13" t="s">
        <v>6047</v>
      </c>
      <c r="AD1" s="12" t="s">
        <v>57</v>
      </c>
      <c r="AE1" s="13" t="s">
        <v>6048</v>
      </c>
      <c r="AF1" s="12" t="s">
        <v>59</v>
      </c>
      <c r="AG1" s="13" t="s">
        <v>6049</v>
      </c>
      <c r="AH1" s="12" t="s">
        <v>61</v>
      </c>
      <c r="AI1" s="13" t="s">
        <v>6050</v>
      </c>
      <c r="AJ1" s="12" t="s">
        <v>63</v>
      </c>
      <c r="AK1" s="13" t="s">
        <v>6051</v>
      </c>
      <c r="AL1" s="7" t="s">
        <v>6052</v>
      </c>
      <c r="AM1" s="7" t="s">
        <v>6053</v>
      </c>
      <c r="AN1" s="7" t="s">
        <v>6054</v>
      </c>
      <c r="AO1" s="14" t="s">
        <v>6055</v>
      </c>
      <c r="AP1" s="14" t="s">
        <v>6056</v>
      </c>
      <c r="AQ1" s="14" t="s">
        <v>6057</v>
      </c>
      <c r="AR1" s="14" t="s">
        <v>6058</v>
      </c>
      <c r="AS1" s="15" t="s">
        <v>6059</v>
      </c>
      <c r="AT1" s="16" t="s">
        <v>6060</v>
      </c>
      <c r="AU1" s="17" t="s">
        <v>6061</v>
      </c>
      <c r="AV1" s="18" t="s">
        <v>6062</v>
      </c>
      <c r="AW1" s="19" t="s">
        <v>6063</v>
      </c>
      <c r="AX1" s="16" t="s">
        <v>6064</v>
      </c>
      <c r="AY1" s="16" t="s">
        <v>6065</v>
      </c>
      <c r="AZ1" s="4" t="s">
        <v>6</v>
      </c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</row>
    <row r="2">
      <c r="A2" s="20">
        <v>29.0</v>
      </c>
      <c r="B2" s="21" t="s">
        <v>2930</v>
      </c>
      <c r="C2" s="22" t="s">
        <v>143</v>
      </c>
      <c r="D2" s="20">
        <v>2.632</v>
      </c>
      <c r="E2" s="20">
        <v>2.90970101E10</v>
      </c>
      <c r="F2" s="20" t="s">
        <v>2931</v>
      </c>
      <c r="G2" s="20">
        <v>3437.0</v>
      </c>
      <c r="H2" s="20">
        <v>1617.0</v>
      </c>
      <c r="I2" s="20">
        <v>1400.0</v>
      </c>
      <c r="J2" s="23">
        <v>0.253102</v>
      </c>
      <c r="K2" s="23">
        <f t="shared" ref="K2:K17" si="1">(J2-$J$19)/$J$20</f>
        <v>0.8579961104</v>
      </c>
      <c r="L2" s="23">
        <v>0.11063</v>
      </c>
      <c r="M2" s="23">
        <f t="shared" ref="M2:M17" si="2">(L2-$L$19)/$L$20</f>
        <v>0.4691619916</v>
      </c>
      <c r="N2" s="23">
        <v>17114.0</v>
      </c>
      <c r="O2" s="23">
        <f t="shared" ref="O2:O17" si="3">(N2-$N$19)/$N$20</f>
        <v>-0.7137197629</v>
      </c>
      <c r="P2" s="23">
        <v>0.263106</v>
      </c>
      <c r="Q2" s="23">
        <f t="shared" ref="Q2:Q17" si="4">(P2-$P$19)/$P$19</f>
        <v>0.6795894005</v>
      </c>
      <c r="R2" s="23">
        <v>0.127145</v>
      </c>
      <c r="S2" s="23">
        <f t="shared" ref="S2:S17" si="5">(R2-$R$19)/$R$20</f>
        <v>-0.124373326</v>
      </c>
      <c r="T2" s="23">
        <v>0.181553</v>
      </c>
      <c r="U2" s="23">
        <f t="shared" ref="U2:U17" si="6">(T2-$T$19)/T2</f>
        <v>-0.2907911188</v>
      </c>
      <c r="V2" s="23">
        <v>0.13142857</v>
      </c>
      <c r="W2" s="23">
        <f t="shared" ref="W2:W17" si="7">(V2-$V$19)/$V$20</f>
        <v>0.1832903869</v>
      </c>
      <c r="X2" s="24">
        <v>0.0</v>
      </c>
      <c r="Y2" s="24">
        <f t="shared" ref="Y2:Y17" si="8">(X2-$Z$19)/$Z$20</f>
        <v>-1.198987081</v>
      </c>
      <c r="Z2" s="23">
        <v>0.199301</v>
      </c>
      <c r="AA2" s="23">
        <f t="shared" ref="AA2:AA17" si="9">(Z2-$Z$19)/$Z$19</f>
        <v>-0.4479609558</v>
      </c>
      <c r="AB2" s="23">
        <v>0.135504</v>
      </c>
      <c r="AC2" s="23">
        <f t="shared" ref="AC2:AC17" si="10">(AB2-$AB$19)/$AB$20</f>
        <v>0.09870448986</v>
      </c>
      <c r="AD2" s="23">
        <v>0.0</v>
      </c>
      <c r="AE2" s="23">
        <f t="shared" ref="AE2:AE17" si="11">(AD2-$AD$19)/$AD$20</f>
        <v>-0.5759470922</v>
      </c>
      <c r="AF2" s="23">
        <v>0.006818</v>
      </c>
      <c r="AG2" s="23">
        <f t="shared" ref="AG2:AG17" si="12">(AF2-$AF$19)/$AF$20</f>
        <v>-0.4877973656</v>
      </c>
      <c r="AH2" s="23">
        <v>0.173484</v>
      </c>
      <c r="AI2" s="23">
        <f t="shared" ref="AI2:AI17" si="13">(AH2-$AH$19)/$AH$20</f>
        <v>0.6295753443</v>
      </c>
      <c r="AJ2" s="23">
        <v>0.140529</v>
      </c>
      <c r="AK2" s="23">
        <f t="shared" ref="AK2:AK17" si="14">(AJ2-$AJ$19)/$AJ$20</f>
        <v>1.22197081</v>
      </c>
      <c r="AL2" s="25">
        <f t="shared" ref="AL2:AL17" si="15">T2*G2</f>
        <v>623.997661</v>
      </c>
      <c r="AM2" s="23">
        <f t="shared" ref="AM2:AM17" si="16">AL2/I2</f>
        <v>0.445712615</v>
      </c>
      <c r="AN2" s="20">
        <f t="shared" ref="AN2:AN17" si="17">(AM2-$AM$19)/$AM$20</f>
        <v>-0.2285787476</v>
      </c>
      <c r="AO2" s="26">
        <v>13.66887</v>
      </c>
      <c r="AP2" s="26">
        <f t="shared" ref="AP2:AP17" si="18">(AO2-$AO$19)/$AO$20</f>
        <v>-0.7480179315</v>
      </c>
      <c r="AQ2" s="26">
        <v>6.133112</v>
      </c>
      <c r="AR2" s="20">
        <f t="shared" ref="AR2:AR17" si="19">(AQ2-$AQ$19)/$AQ$2</f>
        <v>-9.98495673</v>
      </c>
      <c r="AS2" s="27">
        <f t="shared" ref="AS2:AS17" si="20">sum(-K2,-M2,O2,-Q2)</f>
        <v>-2.720467265</v>
      </c>
      <c r="AT2" s="27">
        <f t="shared" ref="AT2:AT17" si="21">sum(-S2,-AN2,-W2,-Y2)</f>
        <v>1.368648768</v>
      </c>
      <c r="AU2" s="27">
        <f t="shared" ref="AU2:AU17" si="22">sum(-AA2)</f>
        <v>0.4479609558</v>
      </c>
      <c r="AV2" s="27">
        <f t="shared" ref="AV2:AV17" si="23">sum(-AC2,-AE2,-AG2,-AI2,-AK2)</f>
        <v>-0.8865061863</v>
      </c>
      <c r="AW2" s="1">
        <f t="shared" ref="AW2:AW17" si="24">sum(AP2,AR2)</f>
        <v>-10.73297466</v>
      </c>
      <c r="AX2" s="27">
        <f t="shared" ref="AX2:AX17" si="25">sum(AS2:AV2)</f>
        <v>-1.790363728</v>
      </c>
      <c r="AY2" s="27">
        <f t="shared" ref="AY2:AY17" si="26">AX2+AW2</f>
        <v>-12.52333839</v>
      </c>
      <c r="AZ2" s="20">
        <v>2.90970101E10</v>
      </c>
    </row>
    <row r="3">
      <c r="A3" s="20">
        <v>29.0</v>
      </c>
      <c r="B3" s="21" t="s">
        <v>2930</v>
      </c>
      <c r="C3" s="22" t="s">
        <v>150</v>
      </c>
      <c r="D3" s="20">
        <v>3.645</v>
      </c>
      <c r="E3" s="20">
        <v>2.90970102E10</v>
      </c>
      <c r="F3" s="20" t="s">
        <v>2931</v>
      </c>
      <c r="G3" s="20">
        <v>4444.0</v>
      </c>
      <c r="H3" s="20">
        <v>2003.0</v>
      </c>
      <c r="I3" s="20">
        <v>1847.0</v>
      </c>
      <c r="J3" s="23">
        <v>0.145118</v>
      </c>
      <c r="K3" s="23">
        <f t="shared" si="1"/>
        <v>-0.02070127186</v>
      </c>
      <c r="L3" s="23">
        <v>0.036753</v>
      </c>
      <c r="M3" s="23">
        <f t="shared" si="2"/>
        <v>-0.8260168303</v>
      </c>
      <c r="N3" s="23">
        <v>23677.0</v>
      </c>
      <c r="O3" s="23">
        <f t="shared" si="3"/>
        <v>-0.2500070656</v>
      </c>
      <c r="P3" s="23">
        <v>0.137713</v>
      </c>
      <c r="Q3" s="23">
        <f t="shared" si="4"/>
        <v>-0.1208817164</v>
      </c>
      <c r="R3" s="23">
        <v>0.156165</v>
      </c>
      <c r="S3" s="23">
        <f t="shared" si="5"/>
        <v>0.2742256713</v>
      </c>
      <c r="T3" s="23">
        <v>0.220972</v>
      </c>
      <c r="U3" s="23">
        <f t="shared" si="6"/>
        <v>-0.0605280307</v>
      </c>
      <c r="V3" s="23">
        <v>0.09528965</v>
      </c>
      <c r="W3" s="23">
        <f t="shared" si="7"/>
        <v>-0.3317658377</v>
      </c>
      <c r="X3" s="24">
        <v>0.004702</v>
      </c>
      <c r="Y3" s="24">
        <f t="shared" si="8"/>
        <v>-1.183371525</v>
      </c>
      <c r="Z3" s="23">
        <v>0.119486</v>
      </c>
      <c r="AA3" s="23">
        <f t="shared" si="9"/>
        <v>-0.6690386038</v>
      </c>
      <c r="AB3" s="23">
        <v>0.0</v>
      </c>
      <c r="AC3" s="23">
        <f t="shared" si="10"/>
        <v>-0.6445080681</v>
      </c>
      <c r="AD3" s="23">
        <v>0.038668</v>
      </c>
      <c r="AE3" s="23">
        <f t="shared" si="11"/>
        <v>-0.2284882467</v>
      </c>
      <c r="AF3" s="23">
        <v>0.0</v>
      </c>
      <c r="AG3" s="23">
        <f t="shared" si="12"/>
        <v>-0.6113275234</v>
      </c>
      <c r="AH3" s="23">
        <v>0.020728</v>
      </c>
      <c r="AI3" s="23">
        <f t="shared" si="13"/>
        <v>-0.5872451946</v>
      </c>
      <c r="AJ3" s="23">
        <v>0.008325</v>
      </c>
      <c r="AK3" s="23">
        <f t="shared" si="14"/>
        <v>-0.195751252</v>
      </c>
      <c r="AL3" s="25">
        <f t="shared" si="15"/>
        <v>981.999568</v>
      </c>
      <c r="AM3" s="23">
        <f t="shared" si="16"/>
        <v>0.5316727493</v>
      </c>
      <c r="AN3" s="20">
        <f t="shared" si="17"/>
        <v>-0.134264751</v>
      </c>
      <c r="AO3" s="26">
        <v>9.521661</v>
      </c>
      <c r="AP3" s="26">
        <f t="shared" si="18"/>
        <v>-0.7912887848</v>
      </c>
      <c r="AQ3" s="26">
        <v>1.744765</v>
      </c>
      <c r="AR3" s="20">
        <f t="shared" si="19"/>
        <v>-10.70047391</v>
      </c>
      <c r="AS3" s="27">
        <f t="shared" si="20"/>
        <v>0.717592753</v>
      </c>
      <c r="AT3" s="27">
        <f t="shared" si="21"/>
        <v>1.375176443</v>
      </c>
      <c r="AU3" s="27">
        <f t="shared" si="22"/>
        <v>0.6690386038</v>
      </c>
      <c r="AV3" s="27">
        <f t="shared" si="23"/>
        <v>2.267320285</v>
      </c>
      <c r="AW3" s="1">
        <f t="shared" si="24"/>
        <v>-11.49176269</v>
      </c>
      <c r="AX3" s="27">
        <f t="shared" si="25"/>
        <v>5.029128084</v>
      </c>
      <c r="AY3" s="27">
        <f t="shared" si="26"/>
        <v>-6.46263461</v>
      </c>
      <c r="AZ3" s="20">
        <v>2.90970102E10</v>
      </c>
    </row>
    <row r="4">
      <c r="A4" s="20">
        <v>29.0</v>
      </c>
      <c r="B4" s="21" t="s">
        <v>2930</v>
      </c>
      <c r="C4" s="22" t="s">
        <v>156</v>
      </c>
      <c r="D4" s="20">
        <v>6.973</v>
      </c>
      <c r="E4" s="20">
        <v>2.90970103E10</v>
      </c>
      <c r="F4" s="20" t="s">
        <v>2931</v>
      </c>
      <c r="G4" s="20">
        <v>6746.0</v>
      </c>
      <c r="H4" s="20">
        <v>2761.0</v>
      </c>
      <c r="I4" s="20">
        <v>2537.0</v>
      </c>
      <c r="J4" s="23">
        <v>0.24858</v>
      </c>
      <c r="K4" s="23">
        <f t="shared" si="1"/>
        <v>0.8211992742</v>
      </c>
      <c r="L4" s="23">
        <v>0.118852</v>
      </c>
      <c r="M4" s="23">
        <f t="shared" si="2"/>
        <v>0.6133064516</v>
      </c>
      <c r="N4" s="23">
        <v>16716.0</v>
      </c>
      <c r="O4" s="23">
        <f t="shared" si="3"/>
        <v>-0.7418406914</v>
      </c>
      <c r="P4" s="23">
        <v>0.119205</v>
      </c>
      <c r="Q4" s="23">
        <f t="shared" si="4"/>
        <v>-0.2390312099</v>
      </c>
      <c r="R4" s="23">
        <v>0.123035</v>
      </c>
      <c r="S4" s="23">
        <f t="shared" si="5"/>
        <v>-0.1808254928</v>
      </c>
      <c r="T4" s="23">
        <v>0.236139</v>
      </c>
      <c r="U4" s="23">
        <f t="shared" si="6"/>
        <v>0.007588750693</v>
      </c>
      <c r="V4" s="23">
        <v>0.15490737</v>
      </c>
      <c r="W4" s="23">
        <f t="shared" si="7"/>
        <v>0.5179130621</v>
      </c>
      <c r="X4" s="24">
        <v>0.015078</v>
      </c>
      <c r="Y4" s="24">
        <f t="shared" si="8"/>
        <v>-1.148912358</v>
      </c>
      <c r="Z4" s="23">
        <v>0.160243</v>
      </c>
      <c r="AA4" s="23">
        <f t="shared" si="9"/>
        <v>-0.5561467702</v>
      </c>
      <c r="AB4" s="23">
        <v>0.166607</v>
      </c>
      <c r="AC4" s="23">
        <f t="shared" si="10"/>
        <v>0.2692982745</v>
      </c>
      <c r="AD4" s="23">
        <v>0.072065</v>
      </c>
      <c r="AE4" s="23">
        <f t="shared" si="11"/>
        <v>0.07160700165</v>
      </c>
      <c r="AF4" s="23">
        <v>0.025487</v>
      </c>
      <c r="AG4" s="23">
        <f t="shared" si="12"/>
        <v>-0.1495479499</v>
      </c>
      <c r="AH4" s="23">
        <v>0.073675</v>
      </c>
      <c r="AI4" s="23">
        <f t="shared" si="13"/>
        <v>-0.1654810932</v>
      </c>
      <c r="AJ4" s="23">
        <v>0.097539</v>
      </c>
      <c r="AK4" s="23">
        <f t="shared" si="14"/>
        <v>0.7609569871</v>
      </c>
      <c r="AL4" s="25">
        <f t="shared" si="15"/>
        <v>1592.993694</v>
      </c>
      <c r="AM4" s="23">
        <f t="shared" si="16"/>
        <v>0.6279044911</v>
      </c>
      <c r="AN4" s="20">
        <f t="shared" si="17"/>
        <v>-0.02868092149</v>
      </c>
      <c r="AO4" s="26">
        <v>10.39613</v>
      </c>
      <c r="AP4" s="26">
        <f t="shared" si="18"/>
        <v>-0.7821648125</v>
      </c>
      <c r="AQ4" s="26">
        <v>1.903873</v>
      </c>
      <c r="AR4" s="20">
        <f t="shared" si="19"/>
        <v>-10.67453145</v>
      </c>
      <c r="AS4" s="27">
        <f t="shared" si="20"/>
        <v>-1.937315207</v>
      </c>
      <c r="AT4" s="27">
        <f t="shared" si="21"/>
        <v>0.8405057098</v>
      </c>
      <c r="AU4" s="27">
        <f t="shared" si="22"/>
        <v>0.5561467702</v>
      </c>
      <c r="AV4" s="27">
        <f t="shared" si="23"/>
        <v>-0.78683322</v>
      </c>
      <c r="AW4" s="1">
        <f t="shared" si="24"/>
        <v>-11.45669626</v>
      </c>
      <c r="AX4" s="27">
        <f t="shared" si="25"/>
        <v>-1.327495947</v>
      </c>
      <c r="AY4" s="27">
        <f t="shared" si="26"/>
        <v>-12.78419221</v>
      </c>
      <c r="AZ4" s="20">
        <v>2.90970103E10</v>
      </c>
    </row>
    <row r="5">
      <c r="A5" s="28">
        <v>29.0</v>
      </c>
      <c r="B5" s="29" t="s">
        <v>2930</v>
      </c>
      <c r="C5" s="30" t="s">
        <v>161</v>
      </c>
      <c r="D5" s="28">
        <v>6.811</v>
      </c>
      <c r="E5" s="28">
        <v>2.90970104E10</v>
      </c>
      <c r="F5" s="31" t="s">
        <v>2931</v>
      </c>
      <c r="G5" s="28">
        <v>4913.0</v>
      </c>
      <c r="H5" s="28">
        <v>2362.0</v>
      </c>
      <c r="I5" s="28">
        <v>2167.0</v>
      </c>
      <c r="J5" s="32">
        <v>0.107342</v>
      </c>
      <c r="K5" s="33">
        <f t="shared" si="1"/>
        <v>-0.3280956295</v>
      </c>
      <c r="L5" s="32">
        <v>0.048954</v>
      </c>
      <c r="M5" s="33">
        <f t="shared" si="2"/>
        <v>-0.6121143058</v>
      </c>
      <c r="N5" s="32">
        <v>23359.0</v>
      </c>
      <c r="O5" s="33">
        <f t="shared" si="3"/>
        <v>-0.2724755461</v>
      </c>
      <c r="P5" s="32">
        <v>0.117458</v>
      </c>
      <c r="Q5" s="33">
        <f t="shared" si="4"/>
        <v>-0.2501835313</v>
      </c>
      <c r="R5" s="32">
        <v>0.211072</v>
      </c>
      <c r="S5" s="33">
        <f t="shared" si="5"/>
        <v>1.028390907</v>
      </c>
      <c r="T5" s="32">
        <v>0.19255</v>
      </c>
      <c r="U5" s="33">
        <f t="shared" si="6"/>
        <v>-0.2170708907</v>
      </c>
      <c r="V5" s="32">
        <v>0.08860175</v>
      </c>
      <c r="W5" s="33">
        <f t="shared" si="7"/>
        <v>-0.427082591</v>
      </c>
      <c r="X5" s="32">
        <v>0.0</v>
      </c>
      <c r="Y5" s="32">
        <f t="shared" si="8"/>
        <v>-1.198987081</v>
      </c>
      <c r="Z5" s="32">
        <v>0.126806</v>
      </c>
      <c r="AA5" s="33">
        <f t="shared" si="9"/>
        <v>-0.6487631119</v>
      </c>
      <c r="AB5" s="32">
        <v>0.05127</v>
      </c>
      <c r="AC5" s="33">
        <f t="shared" si="10"/>
        <v>-0.3633022894</v>
      </c>
      <c r="AD5" s="32">
        <v>0.111778</v>
      </c>
      <c r="AE5" s="33">
        <f t="shared" si="11"/>
        <v>0.4284558982</v>
      </c>
      <c r="AF5" s="32">
        <v>0.00152</v>
      </c>
      <c r="AG5" s="33">
        <f t="shared" si="12"/>
        <v>-0.5837877992</v>
      </c>
      <c r="AH5" s="32">
        <v>0.066396</v>
      </c>
      <c r="AI5" s="33">
        <f t="shared" si="13"/>
        <v>-0.2234639987</v>
      </c>
      <c r="AJ5" s="32">
        <v>0.032566</v>
      </c>
      <c r="AK5" s="33">
        <f t="shared" si="14"/>
        <v>0.06420306485</v>
      </c>
      <c r="AL5" s="34">
        <f t="shared" si="15"/>
        <v>945.99815</v>
      </c>
      <c r="AM5" s="33">
        <f t="shared" si="16"/>
        <v>0.4365473696</v>
      </c>
      <c r="AN5" s="35">
        <f t="shared" si="17"/>
        <v>-0.2386346988</v>
      </c>
      <c r="AO5" s="36">
        <v>27.34038</v>
      </c>
      <c r="AP5" s="36">
        <f t="shared" si="18"/>
        <v>-0.6053731062</v>
      </c>
      <c r="AQ5" s="36">
        <v>5.315814</v>
      </c>
      <c r="AR5" s="35">
        <f t="shared" si="19"/>
        <v>-10.11821665</v>
      </c>
      <c r="AS5" s="27">
        <f t="shared" si="20"/>
        <v>0.9179179204</v>
      </c>
      <c r="AT5" s="27">
        <f t="shared" si="21"/>
        <v>0.8363134638</v>
      </c>
      <c r="AU5" s="27">
        <f t="shared" si="22"/>
        <v>0.6487631119</v>
      </c>
      <c r="AV5" s="27">
        <f t="shared" si="23"/>
        <v>0.6778951241</v>
      </c>
      <c r="AW5" s="1">
        <f t="shared" si="24"/>
        <v>-10.72358975</v>
      </c>
      <c r="AX5" s="27">
        <f t="shared" si="25"/>
        <v>3.08088962</v>
      </c>
      <c r="AY5" s="27">
        <f t="shared" si="26"/>
        <v>-7.642700134</v>
      </c>
      <c r="AZ5" s="28">
        <v>2.90970104E10</v>
      </c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</row>
    <row r="6">
      <c r="A6" s="28">
        <v>29.0</v>
      </c>
      <c r="B6" s="29" t="s">
        <v>2930</v>
      </c>
      <c r="C6" s="30" t="s">
        <v>1261</v>
      </c>
      <c r="D6" s="28">
        <v>1.834</v>
      </c>
      <c r="E6" s="28">
        <v>2.90970105E10</v>
      </c>
      <c r="F6" s="31" t="s">
        <v>2931</v>
      </c>
      <c r="G6" s="28">
        <v>5205.0</v>
      </c>
      <c r="H6" s="28">
        <v>2494.0</v>
      </c>
      <c r="I6" s="28">
        <v>2334.0</v>
      </c>
      <c r="J6" s="32">
        <v>0.133614</v>
      </c>
      <c r="K6" s="33">
        <f t="shared" si="1"/>
        <v>-0.1143126836</v>
      </c>
      <c r="L6" s="32">
        <v>0.067297</v>
      </c>
      <c r="M6" s="33">
        <f t="shared" si="2"/>
        <v>-0.2905329593</v>
      </c>
      <c r="N6" s="32">
        <v>21771.0</v>
      </c>
      <c r="O6" s="33">
        <f t="shared" si="3"/>
        <v>-0.3846766376</v>
      </c>
      <c r="P6" s="32">
        <v>0.117469</v>
      </c>
      <c r="Q6" s="33">
        <f t="shared" si="4"/>
        <v>-0.2501133106</v>
      </c>
      <c r="R6" s="32">
        <v>0.17829</v>
      </c>
      <c r="S6" s="33">
        <f t="shared" si="5"/>
        <v>0.5781196346</v>
      </c>
      <c r="T6" s="32">
        <v>0.215946</v>
      </c>
      <c r="U6" s="33">
        <f t="shared" si="6"/>
        <v>-0.08521111759</v>
      </c>
      <c r="V6" s="32">
        <v>0.10882604</v>
      </c>
      <c r="W6" s="33">
        <f t="shared" si="7"/>
        <v>-0.138843583</v>
      </c>
      <c r="X6" s="32">
        <v>0.002766</v>
      </c>
      <c r="Y6" s="32">
        <f t="shared" si="8"/>
        <v>-1.189801069</v>
      </c>
      <c r="Z6" s="32">
        <v>0.145437</v>
      </c>
      <c r="AA6" s="33">
        <f t="shared" si="9"/>
        <v>-0.5971575533</v>
      </c>
      <c r="AB6" s="32">
        <v>0.037905</v>
      </c>
      <c r="AC6" s="33">
        <f t="shared" si="10"/>
        <v>-0.4366066629</v>
      </c>
      <c r="AD6" s="32">
        <v>0.002344</v>
      </c>
      <c r="AE6" s="33">
        <f t="shared" si="11"/>
        <v>-0.5548846237</v>
      </c>
      <c r="AF6" s="32">
        <v>0.021712</v>
      </c>
      <c r="AG6" s="33">
        <f t="shared" si="12"/>
        <v>-0.2179443045</v>
      </c>
      <c r="AH6" s="32">
        <v>0.045882</v>
      </c>
      <c r="AI6" s="33">
        <f t="shared" si="13"/>
        <v>-0.3868739893</v>
      </c>
      <c r="AJ6" s="32">
        <v>0.0</v>
      </c>
      <c r="AK6" s="33">
        <f t="shared" si="14"/>
        <v>-0.285026434</v>
      </c>
      <c r="AL6" s="34">
        <f t="shared" si="15"/>
        <v>1123.99893</v>
      </c>
      <c r="AM6" s="33">
        <f t="shared" si="16"/>
        <v>0.4815762339</v>
      </c>
      <c r="AN6" s="35">
        <f t="shared" si="17"/>
        <v>-0.1892297952</v>
      </c>
      <c r="AO6" s="36">
        <v>11.24262</v>
      </c>
      <c r="AP6" s="36">
        <f t="shared" si="18"/>
        <v>-0.7733327656</v>
      </c>
      <c r="AQ6" s="36">
        <v>2.018987</v>
      </c>
      <c r="AR6" s="35">
        <f t="shared" si="19"/>
        <v>-10.65576219</v>
      </c>
      <c r="AS6" s="27">
        <f t="shared" si="20"/>
        <v>0.270282316</v>
      </c>
      <c r="AT6" s="27">
        <f t="shared" si="21"/>
        <v>0.9397548129</v>
      </c>
      <c r="AU6" s="27">
        <f t="shared" si="22"/>
        <v>0.5971575533</v>
      </c>
      <c r="AV6" s="27">
        <f t="shared" si="23"/>
        <v>1.881336015</v>
      </c>
      <c r="AW6" s="1">
        <f t="shared" si="24"/>
        <v>-11.42909495</v>
      </c>
      <c r="AX6" s="27">
        <f t="shared" si="25"/>
        <v>3.688530697</v>
      </c>
      <c r="AY6" s="27">
        <f t="shared" si="26"/>
        <v>-7.740564256</v>
      </c>
      <c r="AZ6" s="28">
        <v>2.90970105E10</v>
      </c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</row>
    <row r="7" ht="15.75" customHeight="1">
      <c r="A7" s="35">
        <v>29.0</v>
      </c>
      <c r="B7" s="38" t="s">
        <v>2930</v>
      </c>
      <c r="C7" s="39" t="s">
        <v>1251</v>
      </c>
      <c r="D7" s="35">
        <v>1.678</v>
      </c>
      <c r="E7" s="35">
        <v>2.90970106E10</v>
      </c>
      <c r="F7" s="35" t="s">
        <v>2931</v>
      </c>
      <c r="G7" s="35">
        <v>5990.0</v>
      </c>
      <c r="H7" s="35">
        <v>2860.0</v>
      </c>
      <c r="I7" s="35">
        <v>2542.0</v>
      </c>
      <c r="J7" s="33">
        <v>0.287915</v>
      </c>
      <c r="K7" s="33">
        <f t="shared" si="1"/>
        <v>1.141279671</v>
      </c>
      <c r="L7" s="33">
        <v>0.102572</v>
      </c>
      <c r="M7" s="33">
        <f t="shared" si="2"/>
        <v>0.3278927069</v>
      </c>
      <c r="N7" s="33">
        <v>16315.0</v>
      </c>
      <c r="O7" s="33">
        <f t="shared" si="3"/>
        <v>-0.7701735867</v>
      </c>
      <c r="P7" s="33">
        <v>0.186994</v>
      </c>
      <c r="Q7" s="33">
        <f t="shared" si="4"/>
        <v>0.1937133336</v>
      </c>
      <c r="R7" s="33">
        <v>0.107178</v>
      </c>
      <c r="S7" s="33">
        <f t="shared" si="5"/>
        <v>-0.398626468</v>
      </c>
      <c r="T7" s="33">
        <v>0.261268</v>
      </c>
      <c r="U7" s="33">
        <f t="shared" si="6"/>
        <v>0.1030397906</v>
      </c>
      <c r="V7" s="33">
        <v>0.18764752</v>
      </c>
      <c r="W7" s="33">
        <f t="shared" si="7"/>
        <v>0.9845296088</v>
      </c>
      <c r="X7" s="32">
        <v>0.008261</v>
      </c>
      <c r="Y7" s="32">
        <f t="shared" si="8"/>
        <v>-1.171551925</v>
      </c>
      <c r="Z7" s="33">
        <v>0.171452</v>
      </c>
      <c r="AA7" s="33">
        <f t="shared" si="9"/>
        <v>-0.5250992308</v>
      </c>
      <c r="AB7" s="33">
        <v>0.070334</v>
      </c>
      <c r="AC7" s="33">
        <f t="shared" si="10"/>
        <v>-0.2587400314</v>
      </c>
      <c r="AD7" s="33">
        <v>0.0</v>
      </c>
      <c r="AE7" s="33">
        <f t="shared" si="11"/>
        <v>-0.5759470922</v>
      </c>
      <c r="AF7" s="33">
        <v>0.041422</v>
      </c>
      <c r="AG7" s="33">
        <f t="shared" si="12"/>
        <v>0.1391661986</v>
      </c>
      <c r="AH7" s="33">
        <v>0.113389</v>
      </c>
      <c r="AI7" s="33">
        <f t="shared" si="13"/>
        <v>0.1508718545</v>
      </c>
      <c r="AJ7" s="33">
        <v>0.009515</v>
      </c>
      <c r="AK7" s="33">
        <f t="shared" si="14"/>
        <v>-0.1829899947</v>
      </c>
      <c r="AL7" s="34">
        <f t="shared" si="15"/>
        <v>1564.99532</v>
      </c>
      <c r="AM7" s="33">
        <f t="shared" si="16"/>
        <v>0.615655122</v>
      </c>
      <c r="AN7" s="35">
        <f t="shared" si="17"/>
        <v>-0.0421207209</v>
      </c>
      <c r="AO7" s="36">
        <v>9.264916</v>
      </c>
      <c r="AP7" s="36">
        <f t="shared" si="18"/>
        <v>-0.7939675924</v>
      </c>
      <c r="AQ7" s="36">
        <v>1.816468</v>
      </c>
      <c r="AR7" s="35">
        <f t="shared" si="19"/>
        <v>-10.68878278</v>
      </c>
      <c r="AS7" s="27">
        <f t="shared" si="20"/>
        <v>-2.433059298</v>
      </c>
      <c r="AT7" s="27">
        <f t="shared" si="21"/>
        <v>0.6277695046</v>
      </c>
      <c r="AU7" s="27">
        <f t="shared" si="22"/>
        <v>0.5250992308</v>
      </c>
      <c r="AV7" s="27">
        <f t="shared" si="23"/>
        <v>0.7276390652</v>
      </c>
      <c r="AW7" s="1">
        <f t="shared" si="24"/>
        <v>-11.48275037</v>
      </c>
      <c r="AX7" s="27">
        <f t="shared" si="25"/>
        <v>-0.5525514971</v>
      </c>
      <c r="AY7" s="27">
        <f t="shared" si="26"/>
        <v>-12.03530187</v>
      </c>
      <c r="AZ7" s="35">
        <v>2.90970106E10</v>
      </c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</row>
    <row r="8" ht="15.75" customHeight="1">
      <c r="A8" s="35">
        <v>29.0</v>
      </c>
      <c r="B8" s="38" t="s">
        <v>2930</v>
      </c>
      <c r="C8" s="39" t="s">
        <v>3014</v>
      </c>
      <c r="D8" s="35">
        <v>1.018</v>
      </c>
      <c r="E8" s="35">
        <v>2.90970107E10</v>
      </c>
      <c r="F8" s="35" t="s">
        <v>2931</v>
      </c>
      <c r="G8" s="35">
        <v>2825.0</v>
      </c>
      <c r="H8" s="35">
        <v>1316.0</v>
      </c>
      <c r="I8" s="35">
        <v>1222.0</v>
      </c>
      <c r="J8" s="33">
        <v>0.096609</v>
      </c>
      <c r="K8" s="33">
        <f t="shared" si="1"/>
        <v>-0.4154331888</v>
      </c>
      <c r="L8" s="33">
        <v>0.027008</v>
      </c>
      <c r="M8" s="33">
        <f t="shared" si="2"/>
        <v>-0.9968618513</v>
      </c>
      <c r="N8" s="33">
        <v>21002.0</v>
      </c>
      <c r="O8" s="33">
        <f t="shared" si="3"/>
        <v>-0.4390107933</v>
      </c>
      <c r="P8" s="33">
        <v>0.158978</v>
      </c>
      <c r="Q8" s="33">
        <f t="shared" si="4"/>
        <v>0.01486763401</v>
      </c>
      <c r="R8" s="33">
        <v>0.234336</v>
      </c>
      <c r="S8" s="33">
        <f t="shared" si="5"/>
        <v>1.3479294</v>
      </c>
      <c r="T8" s="33">
        <v>0.202831</v>
      </c>
      <c r="U8" s="33">
        <f t="shared" si="6"/>
        <v>-0.1553805878</v>
      </c>
      <c r="V8" s="33">
        <v>0.09328968</v>
      </c>
      <c r="W8" s="33">
        <f t="shared" si="7"/>
        <v>-0.3602696501</v>
      </c>
      <c r="X8" s="32">
        <v>0.0</v>
      </c>
      <c r="Y8" s="32">
        <f t="shared" si="8"/>
        <v>-1.198987081</v>
      </c>
      <c r="Z8" s="33">
        <v>0.106548</v>
      </c>
      <c r="AA8" s="33">
        <f t="shared" si="9"/>
        <v>-0.7048752586</v>
      </c>
      <c r="AB8" s="33">
        <v>0.049629</v>
      </c>
      <c r="AC8" s="33">
        <f t="shared" si="10"/>
        <v>-0.3723028488</v>
      </c>
      <c r="AD8" s="33">
        <v>0.016296</v>
      </c>
      <c r="AE8" s="33">
        <f t="shared" si="11"/>
        <v>-0.4295162102</v>
      </c>
      <c r="AF8" s="33">
        <v>0.047346</v>
      </c>
      <c r="AG8" s="33">
        <f t="shared" si="12"/>
        <v>0.2464986502</v>
      </c>
      <c r="AH8" s="33">
        <v>0.017959</v>
      </c>
      <c r="AI8" s="33">
        <f t="shared" si="13"/>
        <v>-0.6093024367</v>
      </c>
      <c r="AJ8" s="33">
        <v>0.035398</v>
      </c>
      <c r="AK8" s="33">
        <f t="shared" si="14"/>
        <v>0.09457271236</v>
      </c>
      <c r="AL8" s="34">
        <f t="shared" si="15"/>
        <v>572.997575</v>
      </c>
      <c r="AM8" s="33">
        <f t="shared" si="16"/>
        <v>0.4689014525</v>
      </c>
      <c r="AN8" s="35">
        <f t="shared" si="17"/>
        <v>-0.2031363496</v>
      </c>
      <c r="AO8" s="36">
        <v>8.497029</v>
      </c>
      <c r="AP8" s="36">
        <f t="shared" si="18"/>
        <v>-0.801979517</v>
      </c>
      <c r="AQ8" s="36">
        <v>1.662376</v>
      </c>
      <c r="AR8" s="35">
        <f t="shared" si="19"/>
        <v>-10.71390738</v>
      </c>
      <c r="AS8" s="27">
        <f t="shared" si="20"/>
        <v>0.9584166127</v>
      </c>
      <c r="AT8" s="27">
        <f t="shared" si="21"/>
        <v>0.4144636804</v>
      </c>
      <c r="AU8" s="27">
        <f t="shared" si="22"/>
        <v>0.7048752586</v>
      </c>
      <c r="AV8" s="27">
        <f t="shared" si="23"/>
        <v>1.070050133</v>
      </c>
      <c r="AW8" s="1">
        <f t="shared" si="24"/>
        <v>-11.5158869</v>
      </c>
      <c r="AX8" s="27">
        <f t="shared" si="25"/>
        <v>3.147805685</v>
      </c>
      <c r="AY8" s="27">
        <f t="shared" si="26"/>
        <v>-8.368081215</v>
      </c>
      <c r="AZ8" s="35">
        <v>2.90970107E10</v>
      </c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</row>
    <row r="9">
      <c r="A9" s="28">
        <v>29.0</v>
      </c>
      <c r="B9" s="29" t="s">
        <v>2930</v>
      </c>
      <c r="C9" s="30" t="s">
        <v>1294</v>
      </c>
      <c r="D9" s="28">
        <v>0.983</v>
      </c>
      <c r="E9" s="28">
        <v>2.90970108E10</v>
      </c>
      <c r="F9" s="31" t="s">
        <v>2931</v>
      </c>
      <c r="G9" s="28">
        <v>4444.0</v>
      </c>
      <c r="H9" s="28">
        <v>2147.0</v>
      </c>
      <c r="I9" s="28">
        <v>1838.0</v>
      </c>
      <c r="J9" s="32">
        <v>0.326282</v>
      </c>
      <c r="K9" s="33">
        <f t="shared" si="1"/>
        <v>1.453483168</v>
      </c>
      <c r="L9" s="32">
        <v>0.078345</v>
      </c>
      <c r="M9" s="33">
        <f t="shared" si="2"/>
        <v>-0.09684431978</v>
      </c>
      <c r="N9" s="32">
        <v>13715.0</v>
      </c>
      <c r="O9" s="33">
        <f t="shared" si="3"/>
        <v>-0.9538781445</v>
      </c>
      <c r="P9" s="32">
        <v>0.253633</v>
      </c>
      <c r="Q9" s="33">
        <f t="shared" si="4"/>
        <v>0.6191166238</v>
      </c>
      <c r="R9" s="32">
        <v>0.111161</v>
      </c>
      <c r="S9" s="33">
        <f t="shared" si="5"/>
        <v>-0.3439186869</v>
      </c>
      <c r="T9" s="32">
        <v>0.233348</v>
      </c>
      <c r="U9" s="33">
        <f t="shared" si="6"/>
        <v>-0.00428115947</v>
      </c>
      <c r="V9" s="32">
        <v>0.14961915</v>
      </c>
      <c r="W9" s="33">
        <f t="shared" si="7"/>
        <v>0.442544716</v>
      </c>
      <c r="X9" s="32">
        <v>0.004521</v>
      </c>
      <c r="Y9" s="32">
        <f t="shared" si="8"/>
        <v>-1.183972635</v>
      </c>
      <c r="Z9" s="32">
        <v>0.147839</v>
      </c>
      <c r="AA9" s="33">
        <f t="shared" si="9"/>
        <v>-0.5905043113</v>
      </c>
      <c r="AB9" s="32">
        <v>0.0</v>
      </c>
      <c r="AC9" s="33">
        <f t="shared" si="10"/>
        <v>-0.6445080681</v>
      </c>
      <c r="AD9" s="32">
        <v>0.01508</v>
      </c>
      <c r="AE9" s="33">
        <f t="shared" si="11"/>
        <v>-0.440442815</v>
      </c>
      <c r="AF9" s="32">
        <v>0.026195</v>
      </c>
      <c r="AG9" s="33">
        <f t="shared" si="12"/>
        <v>-0.1367202363</v>
      </c>
      <c r="AH9" s="32">
        <v>0.138382</v>
      </c>
      <c r="AI9" s="33">
        <f t="shared" si="13"/>
        <v>0.3499605694</v>
      </c>
      <c r="AJ9" s="32">
        <v>0.027902</v>
      </c>
      <c r="AK9" s="33">
        <f t="shared" si="14"/>
        <v>0.01418751542</v>
      </c>
      <c r="AL9" s="34">
        <f t="shared" si="15"/>
        <v>1036.998512</v>
      </c>
      <c r="AM9" s="33">
        <f t="shared" si="16"/>
        <v>0.5641994081</v>
      </c>
      <c r="AN9" s="35">
        <f t="shared" si="17"/>
        <v>-0.09857705455</v>
      </c>
      <c r="AO9" s="36">
        <v>9.109827</v>
      </c>
      <c r="AP9" s="36">
        <f t="shared" si="18"/>
        <v>-0.795585749</v>
      </c>
      <c r="AQ9" s="36">
        <v>1.732081</v>
      </c>
      <c r="AR9" s="35">
        <f t="shared" si="19"/>
        <v>-10.70254203</v>
      </c>
      <c r="AS9" s="27">
        <f t="shared" si="20"/>
        <v>-2.929633617</v>
      </c>
      <c r="AT9" s="27">
        <f t="shared" si="21"/>
        <v>1.18392366</v>
      </c>
      <c r="AU9" s="27">
        <f t="shared" si="22"/>
        <v>0.5905043113</v>
      </c>
      <c r="AV9" s="27">
        <f t="shared" si="23"/>
        <v>0.8575230346</v>
      </c>
      <c r="AW9" s="1">
        <f t="shared" si="24"/>
        <v>-11.49812778</v>
      </c>
      <c r="AX9" s="27">
        <f t="shared" si="25"/>
        <v>-0.2976826106</v>
      </c>
      <c r="AY9" s="27">
        <f t="shared" si="26"/>
        <v>-11.79581039</v>
      </c>
      <c r="AZ9" s="28">
        <v>2.90970108E10</v>
      </c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</row>
    <row r="10">
      <c r="A10" s="28">
        <v>29.0</v>
      </c>
      <c r="B10" s="29" t="s">
        <v>2930</v>
      </c>
      <c r="C10" s="30" t="s">
        <v>1299</v>
      </c>
      <c r="D10" s="28">
        <v>9.43</v>
      </c>
      <c r="E10" s="28">
        <v>2.90970109E10</v>
      </c>
      <c r="F10" s="31" t="s">
        <v>2931</v>
      </c>
      <c r="G10" s="28">
        <v>6531.0</v>
      </c>
      <c r="H10" s="28">
        <v>2865.0</v>
      </c>
      <c r="I10" s="28">
        <v>2643.0</v>
      </c>
      <c r="J10" s="32">
        <v>0.134781</v>
      </c>
      <c r="K10" s="33">
        <f t="shared" si="1"/>
        <v>-0.1048164634</v>
      </c>
      <c r="L10" s="32">
        <v>0.075131</v>
      </c>
      <c r="M10" s="33">
        <f t="shared" si="2"/>
        <v>-0.1531907433</v>
      </c>
      <c r="N10" s="32">
        <v>23854.0</v>
      </c>
      <c r="O10" s="33">
        <f t="shared" si="3"/>
        <v>-0.2375010245</v>
      </c>
      <c r="P10" s="32">
        <v>0.227865</v>
      </c>
      <c r="Q10" s="33">
        <f t="shared" si="4"/>
        <v>0.4546214786</v>
      </c>
      <c r="R10" s="32">
        <v>0.141632</v>
      </c>
      <c r="S10" s="33">
        <f t="shared" si="5"/>
        <v>0.07461026028</v>
      </c>
      <c r="T10" s="32">
        <v>0.257847</v>
      </c>
      <c r="U10" s="33">
        <f t="shared" si="6"/>
        <v>0.09113931905</v>
      </c>
      <c r="V10" s="32">
        <v>0.11161558</v>
      </c>
      <c r="W10" s="33">
        <f t="shared" si="7"/>
        <v>-0.09908672415</v>
      </c>
      <c r="X10" s="32">
        <v>0.0</v>
      </c>
      <c r="Y10" s="32">
        <f t="shared" si="8"/>
        <v>-1.198987081</v>
      </c>
      <c r="Z10" s="32">
        <v>0.118358</v>
      </c>
      <c r="AA10" s="33">
        <f t="shared" si="9"/>
        <v>-0.6721630238</v>
      </c>
      <c r="AB10" s="32">
        <v>0.020191</v>
      </c>
      <c r="AC10" s="33">
        <f t="shared" si="10"/>
        <v>-0.5337644387</v>
      </c>
      <c r="AD10" s="32">
        <v>0.025504</v>
      </c>
      <c r="AE10" s="33">
        <f t="shared" si="11"/>
        <v>-0.3467759327</v>
      </c>
      <c r="AF10" s="32">
        <v>0.006925</v>
      </c>
      <c r="AG10" s="33">
        <f t="shared" si="12"/>
        <v>-0.485858714</v>
      </c>
      <c r="AH10" s="32">
        <v>0.054636</v>
      </c>
      <c r="AI10" s="33">
        <f t="shared" si="13"/>
        <v>-0.3171415599</v>
      </c>
      <c r="AJ10" s="32">
        <v>0.021742</v>
      </c>
      <c r="AK10" s="33">
        <f t="shared" si="14"/>
        <v>-0.05187075742</v>
      </c>
      <c r="AL10" s="34">
        <f t="shared" si="15"/>
        <v>1683.998757</v>
      </c>
      <c r="AM10" s="33">
        <f t="shared" si="16"/>
        <v>0.6371542781</v>
      </c>
      <c r="AN10" s="35">
        <f t="shared" si="17"/>
        <v>-0.01853221264</v>
      </c>
      <c r="AO10" s="36">
        <v>9.186835</v>
      </c>
      <c r="AP10" s="36">
        <f t="shared" si="18"/>
        <v>-0.7947822684</v>
      </c>
      <c r="AQ10" s="36">
        <v>1.801734</v>
      </c>
      <c r="AR10" s="35">
        <f t="shared" si="19"/>
        <v>-10.69118515</v>
      </c>
      <c r="AS10" s="27">
        <f t="shared" si="20"/>
        <v>-0.4341152964</v>
      </c>
      <c r="AT10" s="27">
        <f t="shared" si="21"/>
        <v>1.241995758</v>
      </c>
      <c r="AU10" s="27">
        <f t="shared" si="22"/>
        <v>0.6721630238</v>
      </c>
      <c r="AV10" s="27">
        <f t="shared" si="23"/>
        <v>1.735411403</v>
      </c>
      <c r="AW10" s="1">
        <f t="shared" si="24"/>
        <v>-11.48596742</v>
      </c>
      <c r="AX10" s="27">
        <f t="shared" si="25"/>
        <v>3.215454888</v>
      </c>
      <c r="AY10" s="27">
        <f t="shared" si="26"/>
        <v>-8.270512531</v>
      </c>
      <c r="AZ10" s="28">
        <v>2.90970109E10</v>
      </c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</row>
    <row r="11">
      <c r="A11" s="41">
        <v>29.0</v>
      </c>
      <c r="B11" s="42" t="s">
        <v>2930</v>
      </c>
      <c r="C11" s="43" t="s">
        <v>2767</v>
      </c>
      <c r="D11" s="41">
        <v>1.163</v>
      </c>
      <c r="E11" s="41">
        <v>2.9097011E10</v>
      </c>
      <c r="F11" s="44" t="s">
        <v>2931</v>
      </c>
      <c r="G11" s="41">
        <v>3979.0</v>
      </c>
      <c r="H11" s="41">
        <v>2220.0</v>
      </c>
      <c r="I11" s="41">
        <v>1726.0</v>
      </c>
      <c r="J11" s="24">
        <v>0.408189</v>
      </c>
      <c r="K11" s="23">
        <f t="shared" si="1"/>
        <v>2.119984376</v>
      </c>
      <c r="L11" s="24">
        <v>0.209188</v>
      </c>
      <c r="M11" s="23">
        <f t="shared" si="2"/>
        <v>2.197037167</v>
      </c>
      <c r="N11" s="24">
        <v>14860.0</v>
      </c>
      <c r="O11" s="23">
        <f t="shared" si="3"/>
        <v>-0.8729774835</v>
      </c>
      <c r="P11" s="24">
        <v>0.241229</v>
      </c>
      <c r="Q11" s="23">
        <f t="shared" si="4"/>
        <v>0.5399332265</v>
      </c>
      <c r="R11" s="24">
        <v>0.092988</v>
      </c>
      <c r="S11" s="23">
        <f t="shared" si="5"/>
        <v>-0.5935306641</v>
      </c>
      <c r="T11" s="24">
        <v>0.224679</v>
      </c>
      <c r="U11" s="23">
        <f t="shared" si="6"/>
        <v>-0.04303027875</v>
      </c>
      <c r="V11" s="24">
        <v>0.12224797</v>
      </c>
      <c r="W11" s="23">
        <f t="shared" si="7"/>
        <v>0.05244737405</v>
      </c>
      <c r="X11" s="24">
        <v>0.013165</v>
      </c>
      <c r="Y11" s="24">
        <f t="shared" si="8"/>
        <v>-1.155265518</v>
      </c>
      <c r="Z11" s="24">
        <v>0.155818</v>
      </c>
      <c r="AA11" s="23">
        <f t="shared" si="9"/>
        <v>-0.5684034712</v>
      </c>
      <c r="AB11" s="24">
        <v>0.127052</v>
      </c>
      <c r="AC11" s="23">
        <f t="shared" si="10"/>
        <v>0.05234694661</v>
      </c>
      <c r="AD11" s="24">
        <v>0.0242</v>
      </c>
      <c r="AE11" s="23">
        <f t="shared" si="11"/>
        <v>-0.3584932787</v>
      </c>
      <c r="AF11" s="24">
        <v>0.079275</v>
      </c>
      <c r="AG11" s="23">
        <f t="shared" si="12"/>
        <v>0.8249959234</v>
      </c>
      <c r="AH11" s="24">
        <v>0.264439</v>
      </c>
      <c r="AI11" s="23">
        <f t="shared" si="13"/>
        <v>1.354102774</v>
      </c>
      <c r="AJ11" s="24">
        <v>0.013068</v>
      </c>
      <c r="AK11" s="23">
        <f t="shared" si="14"/>
        <v>-0.1448885267</v>
      </c>
      <c r="AL11" s="25">
        <f t="shared" si="15"/>
        <v>893.997741</v>
      </c>
      <c r="AM11" s="23">
        <f t="shared" si="16"/>
        <v>0.5179592937</v>
      </c>
      <c r="AN11" s="20">
        <f t="shared" si="17"/>
        <v>-0.1493109211</v>
      </c>
      <c r="AO11" s="26">
        <v>9.995193</v>
      </c>
      <c r="AP11" s="26">
        <f t="shared" si="18"/>
        <v>-0.7863480804</v>
      </c>
      <c r="AQ11" s="26">
        <v>1.906731</v>
      </c>
      <c r="AR11" s="20">
        <f t="shared" si="19"/>
        <v>-10.67406546</v>
      </c>
      <c r="AS11" s="27">
        <f t="shared" si="20"/>
        <v>-5.729932253</v>
      </c>
      <c r="AT11" s="27">
        <f t="shared" si="21"/>
        <v>1.845659729</v>
      </c>
      <c r="AU11" s="27">
        <f t="shared" si="22"/>
        <v>0.5684034712</v>
      </c>
      <c r="AV11" s="27">
        <f t="shared" si="23"/>
        <v>-1.728063839</v>
      </c>
      <c r="AW11" s="1">
        <f t="shared" si="24"/>
        <v>-11.46041354</v>
      </c>
      <c r="AX11" s="27">
        <f t="shared" si="25"/>
        <v>-5.043932892</v>
      </c>
      <c r="AY11" s="27">
        <f t="shared" si="26"/>
        <v>-16.50434643</v>
      </c>
      <c r="AZ11" s="41">
        <v>2.9097011E10</v>
      </c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</row>
    <row r="12">
      <c r="A12" s="41">
        <v>29.0</v>
      </c>
      <c r="B12" s="42" t="s">
        <v>2930</v>
      </c>
      <c r="C12" s="43" t="s">
        <v>2671</v>
      </c>
      <c r="D12" s="41">
        <v>2.152</v>
      </c>
      <c r="E12" s="41">
        <v>2.90970111E10</v>
      </c>
      <c r="F12" s="44" t="s">
        <v>2931</v>
      </c>
      <c r="G12" s="41">
        <v>1760.0</v>
      </c>
      <c r="H12" s="41">
        <v>786.0</v>
      </c>
      <c r="I12" s="41">
        <v>697.0</v>
      </c>
      <c r="J12" s="24">
        <v>0.055894</v>
      </c>
      <c r="K12" s="23">
        <f t="shared" si="1"/>
        <v>-0.7467430487</v>
      </c>
      <c r="L12" s="24">
        <v>0.047388</v>
      </c>
      <c r="M12" s="23">
        <f t="shared" si="2"/>
        <v>-0.6395687237</v>
      </c>
      <c r="N12" s="24">
        <v>39668.0</v>
      </c>
      <c r="O12" s="23">
        <f t="shared" si="3"/>
        <v>0.8798466208</v>
      </c>
      <c r="P12" s="24">
        <v>0.049242</v>
      </c>
      <c r="Q12" s="23">
        <f t="shared" si="4"/>
        <v>-0.6856539142</v>
      </c>
      <c r="R12" s="24">
        <v>0.122727</v>
      </c>
      <c r="S12" s="23">
        <f t="shared" si="5"/>
        <v>-0.1850559714</v>
      </c>
      <c r="T12" s="24">
        <v>0.264772</v>
      </c>
      <c r="U12" s="23">
        <f t="shared" si="6"/>
        <v>0.1149101869</v>
      </c>
      <c r="V12" s="24">
        <v>0.12051649</v>
      </c>
      <c r="W12" s="23">
        <f t="shared" si="7"/>
        <v>0.0277701133</v>
      </c>
      <c r="X12" s="24">
        <v>0.007739</v>
      </c>
      <c r="Y12" s="24">
        <f t="shared" si="8"/>
        <v>-1.17328551</v>
      </c>
      <c r="Z12" s="24">
        <v>0.079545</v>
      </c>
      <c r="AA12" s="23">
        <f t="shared" si="9"/>
        <v>-0.7796702186</v>
      </c>
      <c r="AB12" s="24">
        <v>0.0</v>
      </c>
      <c r="AC12" s="23">
        <f t="shared" si="10"/>
        <v>-0.6445080681</v>
      </c>
      <c r="AD12" s="24">
        <v>0.011097</v>
      </c>
      <c r="AE12" s="23">
        <f t="shared" si="11"/>
        <v>-0.4762328373</v>
      </c>
      <c r="AF12" s="24">
        <v>0.006459</v>
      </c>
      <c r="AG12" s="23">
        <f t="shared" si="12"/>
        <v>-0.4943018136</v>
      </c>
      <c r="AH12" s="24">
        <v>0.034883</v>
      </c>
      <c r="AI12" s="23">
        <f t="shared" si="13"/>
        <v>-0.4744895927</v>
      </c>
      <c r="AJ12" s="24">
        <v>0.0</v>
      </c>
      <c r="AK12" s="23">
        <f t="shared" si="14"/>
        <v>-0.285026434</v>
      </c>
      <c r="AL12" s="25">
        <f t="shared" si="15"/>
        <v>465.99872</v>
      </c>
      <c r="AM12" s="23">
        <f t="shared" si="16"/>
        <v>0.6685777905</v>
      </c>
      <c r="AN12" s="20">
        <f t="shared" si="17"/>
        <v>0.01594513046</v>
      </c>
      <c r="AO12" s="26">
        <v>8.503496</v>
      </c>
      <c r="AP12" s="26">
        <f t="shared" si="18"/>
        <v>-0.8019120421</v>
      </c>
      <c r="AQ12" s="26">
        <v>1.659441</v>
      </c>
      <c r="AR12" s="20">
        <f t="shared" si="19"/>
        <v>-10.71438593</v>
      </c>
      <c r="AS12" s="27">
        <f t="shared" si="20"/>
        <v>2.951812307</v>
      </c>
      <c r="AT12" s="27">
        <f t="shared" si="21"/>
        <v>1.314626238</v>
      </c>
      <c r="AU12" s="27">
        <f t="shared" si="22"/>
        <v>0.7796702186</v>
      </c>
      <c r="AV12" s="27">
        <f t="shared" si="23"/>
        <v>2.374558746</v>
      </c>
      <c r="AW12" s="1">
        <f t="shared" si="24"/>
        <v>-11.51629798</v>
      </c>
      <c r="AX12" s="27">
        <f t="shared" si="25"/>
        <v>7.42066751</v>
      </c>
      <c r="AY12" s="27">
        <f t="shared" si="26"/>
        <v>-4.095630466</v>
      </c>
      <c r="AZ12" s="41">
        <v>2.90970111E10</v>
      </c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</row>
    <row r="13">
      <c r="A13" s="41">
        <v>29.0</v>
      </c>
      <c r="B13" s="42" t="s">
        <v>2930</v>
      </c>
      <c r="C13" s="43" t="s">
        <v>2224</v>
      </c>
      <c r="D13" s="41">
        <v>24.199</v>
      </c>
      <c r="E13" s="41">
        <v>2.90970112E10</v>
      </c>
      <c r="F13" s="44" t="s">
        <v>2931</v>
      </c>
      <c r="G13" s="41">
        <v>6642.0</v>
      </c>
      <c r="H13" s="41">
        <v>2776.0</v>
      </c>
      <c r="I13" s="41">
        <v>2533.0</v>
      </c>
      <c r="J13" s="24">
        <v>0.163023</v>
      </c>
      <c r="K13" s="23">
        <f t="shared" si="1"/>
        <v>0.1249969485</v>
      </c>
      <c r="L13" s="24">
        <v>0.159599</v>
      </c>
      <c r="M13" s="23">
        <f t="shared" si="2"/>
        <v>1.327664797</v>
      </c>
      <c r="N13" s="24">
        <v>20483.0</v>
      </c>
      <c r="O13" s="23">
        <f t="shared" si="3"/>
        <v>-0.4756810493</v>
      </c>
      <c r="P13" s="24">
        <v>0.168215</v>
      </c>
      <c r="Q13" s="23">
        <f t="shared" si="4"/>
        <v>0.07383385786</v>
      </c>
      <c r="R13" s="24">
        <v>0.115176</v>
      </c>
      <c r="S13" s="23">
        <f t="shared" si="5"/>
        <v>-0.2887713756</v>
      </c>
      <c r="T13" s="24">
        <v>0.257753</v>
      </c>
      <c r="U13" s="23">
        <f t="shared" si="6"/>
        <v>0.09080786645</v>
      </c>
      <c r="V13" s="24">
        <v>0.10935649</v>
      </c>
      <c r="W13" s="23">
        <f t="shared" si="7"/>
        <v>-0.1312835459</v>
      </c>
      <c r="X13" s="24">
        <v>0.001034</v>
      </c>
      <c r="Y13" s="24">
        <f t="shared" si="8"/>
        <v>-1.19555312</v>
      </c>
      <c r="Z13" s="24">
        <v>0.10283</v>
      </c>
      <c r="AA13" s="23">
        <f t="shared" si="9"/>
        <v>-0.7151736574</v>
      </c>
      <c r="AB13" s="24">
        <v>0.012405</v>
      </c>
      <c r="AC13" s="23">
        <f t="shared" si="10"/>
        <v>-0.5764691041</v>
      </c>
      <c r="AD13" s="24">
        <v>0.207787</v>
      </c>
      <c r="AE13" s="23">
        <f t="shared" si="11"/>
        <v>1.291163468</v>
      </c>
      <c r="AF13" s="24">
        <v>0.021617</v>
      </c>
      <c r="AG13" s="23">
        <f t="shared" si="12"/>
        <v>-0.2196655373</v>
      </c>
      <c r="AH13" s="24">
        <v>0.021617</v>
      </c>
      <c r="AI13" s="23">
        <f t="shared" si="13"/>
        <v>-0.5801636171</v>
      </c>
      <c r="AJ13" s="24">
        <v>0.0</v>
      </c>
      <c r="AK13" s="23">
        <f t="shared" si="14"/>
        <v>-0.285026434</v>
      </c>
      <c r="AL13" s="25">
        <f t="shared" si="15"/>
        <v>1711.995426</v>
      </c>
      <c r="AM13" s="23">
        <f t="shared" si="16"/>
        <v>0.6758765993</v>
      </c>
      <c r="AN13" s="20">
        <f t="shared" si="17"/>
        <v>0.02395325923</v>
      </c>
      <c r="AO13" s="26">
        <v>18.53414</v>
      </c>
      <c r="AP13" s="26">
        <f t="shared" si="18"/>
        <v>-0.6972550246</v>
      </c>
      <c r="AQ13" s="26">
        <v>4.568943</v>
      </c>
      <c r="AR13" s="20">
        <f t="shared" si="19"/>
        <v>-10.23999349</v>
      </c>
      <c r="AS13" s="27">
        <f t="shared" si="20"/>
        <v>-2.002176652</v>
      </c>
      <c r="AT13" s="27">
        <f t="shared" si="21"/>
        <v>1.591654782</v>
      </c>
      <c r="AU13" s="27">
        <f t="shared" si="22"/>
        <v>0.7151736574</v>
      </c>
      <c r="AV13" s="27">
        <f t="shared" si="23"/>
        <v>0.3701612248</v>
      </c>
      <c r="AW13" s="1">
        <f t="shared" si="24"/>
        <v>-10.93724851</v>
      </c>
      <c r="AX13" s="27">
        <f t="shared" si="25"/>
        <v>0.6748130122</v>
      </c>
      <c r="AY13" s="27">
        <f t="shared" si="26"/>
        <v>-10.2624355</v>
      </c>
      <c r="AZ13" s="41">
        <v>2.90970112E10</v>
      </c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</row>
    <row r="14">
      <c r="A14" s="41">
        <v>29.0</v>
      </c>
      <c r="B14" s="42" t="s">
        <v>2930</v>
      </c>
      <c r="C14" s="43" t="s">
        <v>2960</v>
      </c>
      <c r="D14" s="41">
        <v>6.132</v>
      </c>
      <c r="E14" s="41">
        <v>2.90970114E10</v>
      </c>
      <c r="F14" s="44" t="s">
        <v>2931</v>
      </c>
      <c r="G14" s="41">
        <v>5701.0</v>
      </c>
      <c r="H14" s="41">
        <v>2417.0</v>
      </c>
      <c r="I14" s="41">
        <v>2155.0</v>
      </c>
      <c r="J14" s="24">
        <v>0.184382</v>
      </c>
      <c r="K14" s="23">
        <f t="shared" si="1"/>
        <v>0.2988013768</v>
      </c>
      <c r="L14" s="24">
        <v>0.065851</v>
      </c>
      <c r="M14" s="23">
        <f t="shared" si="2"/>
        <v>-0.3158835905</v>
      </c>
      <c r="N14" s="24">
        <v>16651.0</v>
      </c>
      <c r="O14" s="23">
        <f t="shared" si="3"/>
        <v>-0.7464333054</v>
      </c>
      <c r="P14" s="24">
        <v>0.137122</v>
      </c>
      <c r="Q14" s="23">
        <f t="shared" si="4"/>
        <v>-0.1246544823</v>
      </c>
      <c r="R14" s="24">
        <v>0.119978</v>
      </c>
      <c r="S14" s="23">
        <f t="shared" si="5"/>
        <v>-0.2228143671</v>
      </c>
      <c r="T14" s="24">
        <v>0.275039</v>
      </c>
      <c r="U14" s="23">
        <f t="shared" si="6"/>
        <v>0.1479499271</v>
      </c>
      <c r="V14" s="24">
        <v>0.12714617</v>
      </c>
      <c r="W14" s="23">
        <f t="shared" si="7"/>
        <v>0.1222571082</v>
      </c>
      <c r="X14" s="24">
        <v>0.003329</v>
      </c>
      <c r="Y14" s="24">
        <f t="shared" si="8"/>
        <v>-1.187931321</v>
      </c>
      <c r="Z14" s="24">
        <v>0.096123</v>
      </c>
      <c r="AA14" s="23">
        <f t="shared" si="9"/>
        <v>-0.7337512153</v>
      </c>
      <c r="AB14" s="24">
        <v>0.005789</v>
      </c>
      <c r="AC14" s="23">
        <f t="shared" si="10"/>
        <v>-0.6127565516</v>
      </c>
      <c r="AD14" s="24">
        <v>0.011192</v>
      </c>
      <c r="AE14" s="23">
        <f t="shared" si="11"/>
        <v>-0.4753791963</v>
      </c>
      <c r="AF14" s="24">
        <v>0.0</v>
      </c>
      <c r="AG14" s="23">
        <f t="shared" si="12"/>
        <v>-0.6113275234</v>
      </c>
      <c r="AH14" s="24">
        <v>0.1174</v>
      </c>
      <c r="AI14" s="23">
        <f t="shared" si="13"/>
        <v>0.1828225941</v>
      </c>
      <c r="AJ14" s="24">
        <v>0.020171</v>
      </c>
      <c r="AK14" s="23">
        <f t="shared" si="14"/>
        <v>-0.06871776174</v>
      </c>
      <c r="AL14" s="25">
        <f t="shared" si="15"/>
        <v>1567.997339</v>
      </c>
      <c r="AM14" s="23">
        <f t="shared" si="16"/>
        <v>0.727608974</v>
      </c>
      <c r="AN14" s="20">
        <f t="shared" si="17"/>
        <v>0.08071314043</v>
      </c>
      <c r="AO14" s="26">
        <v>10.46</v>
      </c>
      <c r="AP14" s="26">
        <f t="shared" si="18"/>
        <v>-0.7814984103</v>
      </c>
      <c r="AQ14" s="26">
        <v>1.866444</v>
      </c>
      <c r="AR14" s="20">
        <f t="shared" si="19"/>
        <v>-10.68063423</v>
      </c>
      <c r="AS14" s="27">
        <f t="shared" si="20"/>
        <v>-0.6046966094</v>
      </c>
      <c r="AT14" s="27">
        <f t="shared" si="21"/>
        <v>1.207775439</v>
      </c>
      <c r="AU14" s="27">
        <f t="shared" si="22"/>
        <v>0.7337512153</v>
      </c>
      <c r="AV14" s="27">
        <f t="shared" si="23"/>
        <v>1.585358439</v>
      </c>
      <c r="AW14" s="1">
        <f t="shared" si="24"/>
        <v>-11.46213264</v>
      </c>
      <c r="AX14" s="27">
        <f t="shared" si="25"/>
        <v>2.922188484</v>
      </c>
      <c r="AY14" s="27">
        <f t="shared" si="26"/>
        <v>-8.539944152</v>
      </c>
      <c r="AZ14" s="41">
        <v>2.90970114E10</v>
      </c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</row>
    <row r="15">
      <c r="A15" s="46">
        <v>29.0</v>
      </c>
      <c r="B15" s="47">
        <v>145.0</v>
      </c>
      <c r="C15" s="48" t="s">
        <v>3688</v>
      </c>
      <c r="D15" s="46">
        <v>8.085</v>
      </c>
      <c r="E15" s="46">
        <v>2.9145020501E10</v>
      </c>
      <c r="F15" s="46" t="s">
        <v>3672</v>
      </c>
      <c r="G15" s="46">
        <v>4005.0</v>
      </c>
      <c r="H15" s="46">
        <v>1700.0</v>
      </c>
      <c r="I15" s="46">
        <v>1581.0</v>
      </c>
      <c r="J15" s="49">
        <v>0.093412</v>
      </c>
      <c r="K15" s="49">
        <f t="shared" si="1"/>
        <v>-0.4414481126</v>
      </c>
      <c r="L15" s="49">
        <v>0.033316</v>
      </c>
      <c r="M15" s="49">
        <f t="shared" si="2"/>
        <v>-0.886272791</v>
      </c>
      <c r="N15" s="49">
        <v>30522.0</v>
      </c>
      <c r="O15" s="49">
        <f t="shared" si="3"/>
        <v>0.2336305108</v>
      </c>
      <c r="P15" s="49">
        <v>0.103385</v>
      </c>
      <c r="Q15" s="49">
        <f t="shared" si="4"/>
        <v>-0.3400213216</v>
      </c>
      <c r="R15" s="49">
        <v>0.201747</v>
      </c>
      <c r="S15" s="49">
        <f t="shared" si="5"/>
        <v>0.9003090447</v>
      </c>
      <c r="T15" s="49">
        <v>0.21598</v>
      </c>
      <c r="U15" s="49">
        <f t="shared" si="6"/>
        <v>-0.08504028151</v>
      </c>
      <c r="V15" s="49">
        <v>0.07653383</v>
      </c>
      <c r="W15" s="49">
        <f t="shared" si="7"/>
        <v>-0.5990760351</v>
      </c>
      <c r="X15" s="50">
        <v>0.001645</v>
      </c>
      <c r="Y15" s="50">
        <f t="shared" si="8"/>
        <v>-1.193523961</v>
      </c>
      <c r="Z15" s="49">
        <v>0.10362</v>
      </c>
      <c r="AA15" s="49">
        <f t="shared" si="9"/>
        <v>-0.7129854554</v>
      </c>
      <c r="AB15" s="49">
        <v>0.055222</v>
      </c>
      <c r="AC15" s="49">
        <f t="shared" si="10"/>
        <v>-0.3416263534</v>
      </c>
      <c r="AD15" s="49">
        <v>0.10144</v>
      </c>
      <c r="AE15" s="49">
        <f t="shared" si="11"/>
        <v>0.3355617856</v>
      </c>
      <c r="AF15" s="49">
        <v>0.007416</v>
      </c>
      <c r="AG15" s="49">
        <f t="shared" si="12"/>
        <v>-0.4769626583</v>
      </c>
      <c r="AH15" s="49">
        <v>0.041409</v>
      </c>
      <c r="AI15" s="49">
        <f t="shared" si="13"/>
        <v>-0.4225049189</v>
      </c>
      <c r="AJ15" s="49">
        <v>0.027465</v>
      </c>
      <c r="AK15" s="49">
        <f t="shared" si="14"/>
        <v>0.009501238593</v>
      </c>
      <c r="AL15" s="51">
        <f t="shared" si="15"/>
        <v>864.9999</v>
      </c>
      <c r="AM15" s="49">
        <f t="shared" si="16"/>
        <v>0.5471220114</v>
      </c>
      <c r="AN15" s="46">
        <f t="shared" si="17"/>
        <v>-0.1173140836</v>
      </c>
      <c r="AO15" s="52">
        <v>11.37955</v>
      </c>
      <c r="AP15" s="52">
        <f t="shared" si="18"/>
        <v>-0.7719040751</v>
      </c>
      <c r="AQ15" s="52">
        <v>3.975227</v>
      </c>
      <c r="AR15" s="46">
        <f t="shared" si="19"/>
        <v>-10.3367985</v>
      </c>
      <c r="AS15" s="27">
        <f t="shared" si="20"/>
        <v>1.901372736</v>
      </c>
      <c r="AT15" s="27">
        <f t="shared" si="21"/>
        <v>1.009605035</v>
      </c>
      <c r="AU15" s="27">
        <f t="shared" si="22"/>
        <v>0.7129854554</v>
      </c>
      <c r="AV15" s="27">
        <f t="shared" si="23"/>
        <v>0.8960309063</v>
      </c>
      <c r="AW15" s="1">
        <f t="shared" si="24"/>
        <v>-11.10870258</v>
      </c>
      <c r="AX15" s="27">
        <f t="shared" si="25"/>
        <v>4.519994133</v>
      </c>
      <c r="AY15" s="27">
        <f t="shared" si="26"/>
        <v>-6.588708445</v>
      </c>
      <c r="AZ15" s="46">
        <v>2.9145020501E10</v>
      </c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</row>
    <row r="16">
      <c r="A16" s="46">
        <v>29.0</v>
      </c>
      <c r="B16" s="47">
        <v>145.0</v>
      </c>
      <c r="C16" s="48" t="s">
        <v>3693</v>
      </c>
      <c r="D16" s="46">
        <v>12.91</v>
      </c>
      <c r="E16" s="46">
        <v>2.9145020502E10</v>
      </c>
      <c r="F16" s="46" t="s">
        <v>3672</v>
      </c>
      <c r="G16" s="46">
        <v>5638.0</v>
      </c>
      <c r="H16" s="46">
        <v>2541.0</v>
      </c>
      <c r="I16" s="46">
        <v>2314.0</v>
      </c>
      <c r="J16" s="49">
        <v>0.088948</v>
      </c>
      <c r="K16" s="49">
        <f t="shared" si="1"/>
        <v>-0.4777729858</v>
      </c>
      <c r="L16" s="49">
        <v>0.097162</v>
      </c>
      <c r="M16" s="49">
        <f t="shared" si="2"/>
        <v>0.2330469846</v>
      </c>
      <c r="N16" s="49">
        <v>26800.0</v>
      </c>
      <c r="O16" s="49">
        <f t="shared" si="3"/>
        <v>-0.02934962934</v>
      </c>
      <c r="P16" s="49">
        <v>0.10732</v>
      </c>
      <c r="Q16" s="49">
        <f t="shared" si="4"/>
        <v>-0.3149014676</v>
      </c>
      <c r="R16" s="49">
        <v>0.183221</v>
      </c>
      <c r="S16" s="49">
        <f t="shared" si="5"/>
        <v>0.6458484994</v>
      </c>
      <c r="T16" s="49">
        <v>0.213196</v>
      </c>
      <c r="U16" s="49">
        <f t="shared" si="6"/>
        <v>-0.09920917841</v>
      </c>
      <c r="V16" s="49">
        <v>0.09593777</v>
      </c>
      <c r="W16" s="49">
        <f t="shared" si="7"/>
        <v>-0.3225287537</v>
      </c>
      <c r="X16" s="50">
        <v>5.07E-4</v>
      </c>
      <c r="Y16" s="50">
        <f t="shared" si="8"/>
        <v>-1.197303311</v>
      </c>
      <c r="Z16" s="49">
        <v>0.105356</v>
      </c>
      <c r="AA16" s="49">
        <f t="shared" si="9"/>
        <v>-0.7081769508</v>
      </c>
      <c r="AB16" s="49">
        <v>0.0</v>
      </c>
      <c r="AC16" s="49">
        <f t="shared" si="10"/>
        <v>-0.6445080681</v>
      </c>
      <c r="AD16" s="49">
        <v>0.084119</v>
      </c>
      <c r="AE16" s="49">
        <f t="shared" si="11"/>
        <v>0.1799205665</v>
      </c>
      <c r="AF16" s="49">
        <v>0.023848</v>
      </c>
      <c r="AG16" s="49">
        <f t="shared" si="12"/>
        <v>-0.1792437447</v>
      </c>
      <c r="AH16" s="49">
        <v>0.028782</v>
      </c>
      <c r="AI16" s="49">
        <f t="shared" si="13"/>
        <v>-0.5230888105</v>
      </c>
      <c r="AJ16" s="49">
        <v>0.024831</v>
      </c>
      <c r="AK16" s="49">
        <f t="shared" si="14"/>
        <v>-0.01874510729</v>
      </c>
      <c r="AL16" s="51">
        <f t="shared" si="15"/>
        <v>1201.999048</v>
      </c>
      <c r="AM16" s="49">
        <f t="shared" si="16"/>
        <v>0.5194464339</v>
      </c>
      <c r="AN16" s="46">
        <f t="shared" si="17"/>
        <v>-0.1476792562</v>
      </c>
      <c r="AO16" s="52">
        <v>8.791027</v>
      </c>
      <c r="AP16" s="52">
        <f t="shared" si="18"/>
        <v>-0.7989120217</v>
      </c>
      <c r="AQ16" s="52">
        <v>1.692208</v>
      </c>
      <c r="AR16" s="46">
        <f t="shared" si="19"/>
        <v>-10.70904329</v>
      </c>
      <c r="AS16" s="27">
        <f t="shared" si="20"/>
        <v>0.5302778395</v>
      </c>
      <c r="AT16" s="27">
        <f t="shared" si="21"/>
        <v>1.021662822</v>
      </c>
      <c r="AU16" s="27">
        <f t="shared" si="22"/>
        <v>0.7081769508</v>
      </c>
      <c r="AV16" s="27">
        <f t="shared" si="23"/>
        <v>1.185665164</v>
      </c>
      <c r="AW16" s="1">
        <f t="shared" si="24"/>
        <v>-11.50795532</v>
      </c>
      <c r="AX16" s="27">
        <f t="shared" si="25"/>
        <v>3.445782776</v>
      </c>
      <c r="AY16" s="27">
        <f t="shared" si="26"/>
        <v>-8.062172541</v>
      </c>
      <c r="AZ16" s="46">
        <v>2.9145020502E10</v>
      </c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</row>
    <row r="17" ht="15.75" customHeight="1">
      <c r="A17" s="46">
        <v>29.0</v>
      </c>
      <c r="B17" s="47">
        <v>145.0</v>
      </c>
      <c r="C17" s="48" t="s">
        <v>3698</v>
      </c>
      <c r="D17" s="46">
        <v>43.748</v>
      </c>
      <c r="E17" s="46">
        <v>2.9145020601E10</v>
      </c>
      <c r="F17" s="46" t="s">
        <v>3672</v>
      </c>
      <c r="G17" s="46">
        <v>5012.0</v>
      </c>
      <c r="H17" s="46">
        <v>2065.0</v>
      </c>
      <c r="I17" s="46">
        <v>1903.0</v>
      </c>
      <c r="J17" s="49">
        <v>0.085169</v>
      </c>
      <c r="K17" s="49">
        <f t="shared" si="1"/>
        <v>-0.5085238138</v>
      </c>
      <c r="L17" s="49">
        <v>0.097571</v>
      </c>
      <c r="M17" s="49">
        <f t="shared" si="2"/>
        <v>0.2402173913</v>
      </c>
      <c r="N17" s="49">
        <v>27690.0</v>
      </c>
      <c r="O17" s="49">
        <f t="shared" si="3"/>
        <v>0.03353385392</v>
      </c>
      <c r="P17" s="49">
        <v>0.093632</v>
      </c>
      <c r="Q17" s="49">
        <f t="shared" si="4"/>
        <v>-0.4022815339</v>
      </c>
      <c r="R17" s="49">
        <v>0.151037</v>
      </c>
      <c r="S17" s="49">
        <f t="shared" si="5"/>
        <v>0.2037909484</v>
      </c>
      <c r="T17" s="49">
        <v>0.236233</v>
      </c>
      <c r="U17" s="49">
        <f t="shared" si="6"/>
        <v>0.007983643267</v>
      </c>
      <c r="V17" s="49">
        <v>0.07461902</v>
      </c>
      <c r="W17" s="49">
        <f t="shared" si="7"/>
        <v>-0.626366137</v>
      </c>
      <c r="X17" s="50">
        <v>0.008031</v>
      </c>
      <c r="Y17" s="50">
        <f t="shared" si="8"/>
        <v>-1.172315765</v>
      </c>
      <c r="Z17" s="49">
        <v>0.100758</v>
      </c>
      <c r="AA17" s="49">
        <f t="shared" si="9"/>
        <v>-0.7209128403</v>
      </c>
      <c r="AB17" s="49">
        <v>0.0</v>
      </c>
      <c r="AC17" s="49">
        <f t="shared" si="10"/>
        <v>-0.6445080681</v>
      </c>
      <c r="AD17" s="49">
        <v>0.259753</v>
      </c>
      <c r="AE17" s="49">
        <f t="shared" si="11"/>
        <v>1.758114082</v>
      </c>
      <c r="AF17" s="49">
        <v>0.056368</v>
      </c>
      <c r="AG17" s="49">
        <f t="shared" si="12"/>
        <v>0.4099614081</v>
      </c>
      <c r="AH17" s="49">
        <v>0.009756</v>
      </c>
      <c r="AI17" s="49">
        <f t="shared" si="13"/>
        <v>-0.674645722</v>
      </c>
      <c r="AJ17" s="49">
        <v>0.009177</v>
      </c>
      <c r="AK17" s="49">
        <f t="shared" si="14"/>
        <v>-0.1866146208</v>
      </c>
      <c r="AL17" s="51">
        <f t="shared" si="15"/>
        <v>1183.999796</v>
      </c>
      <c r="AM17" s="49">
        <f t="shared" si="16"/>
        <v>0.6221754051</v>
      </c>
      <c r="AN17" s="46">
        <f t="shared" si="17"/>
        <v>-0.03496677713</v>
      </c>
      <c r="AO17" s="52">
        <v>11.2737</v>
      </c>
      <c r="AP17" s="52">
        <f t="shared" si="18"/>
        <v>-0.7730084853</v>
      </c>
      <c r="AQ17" s="52">
        <v>3.60948</v>
      </c>
      <c r="AR17" s="46">
        <f t="shared" si="19"/>
        <v>-10.39643332</v>
      </c>
      <c r="AS17" s="27">
        <f t="shared" si="20"/>
        <v>0.7041218103</v>
      </c>
      <c r="AT17" s="27">
        <f t="shared" si="21"/>
        <v>1.629857731</v>
      </c>
      <c r="AU17" s="27">
        <f t="shared" si="22"/>
        <v>0.7209128403</v>
      </c>
      <c r="AV17" s="27">
        <f t="shared" si="23"/>
        <v>-0.6623070797</v>
      </c>
      <c r="AW17" s="1">
        <f t="shared" si="24"/>
        <v>-11.1694418</v>
      </c>
      <c r="AX17" s="27">
        <f t="shared" si="25"/>
        <v>2.392585302</v>
      </c>
      <c r="AY17" s="27">
        <f t="shared" si="26"/>
        <v>-8.776856502</v>
      </c>
      <c r="AZ17" s="46">
        <v>2.9145020601E10</v>
      </c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</row>
    <row r="18">
      <c r="X18" s="54"/>
      <c r="Y18" s="54"/>
    </row>
    <row r="19">
      <c r="F19" s="55" t="s">
        <v>6066</v>
      </c>
      <c r="G19" s="56">
        <v>4268.297</v>
      </c>
      <c r="H19" s="56">
        <v>1820.895</v>
      </c>
      <c r="I19" s="56">
        <v>1613.68</v>
      </c>
      <c r="J19" s="56">
        <v>0.147662</v>
      </c>
      <c r="K19" s="57"/>
      <c r="L19" s="56">
        <v>0.083869</v>
      </c>
      <c r="M19" s="57"/>
      <c r="N19" s="56">
        <v>27215.39</v>
      </c>
      <c r="O19" s="57"/>
      <c r="P19" s="56">
        <v>0.156649</v>
      </c>
      <c r="Q19" s="57"/>
      <c r="R19" s="56">
        <v>0.1362</v>
      </c>
      <c r="S19" s="57"/>
      <c r="T19" s="56">
        <v>0.234347</v>
      </c>
      <c r="U19" s="57"/>
      <c r="V19" s="56">
        <v>0.118568</v>
      </c>
      <c r="W19" s="57"/>
      <c r="X19" s="58">
        <v>0.045771</v>
      </c>
      <c r="Y19" s="59"/>
      <c r="Z19" s="56">
        <v>0.361027</v>
      </c>
      <c r="AA19" s="57"/>
      <c r="AB19" s="56">
        <v>0.117508</v>
      </c>
      <c r="AC19" s="57"/>
      <c r="AD19" s="56">
        <v>0.064096</v>
      </c>
      <c r="AE19" s="57"/>
      <c r="AF19" s="56">
        <v>0.033741</v>
      </c>
      <c r="AG19" s="57"/>
      <c r="AH19" s="56">
        <v>0.094449</v>
      </c>
      <c r="AI19" s="57"/>
      <c r="AJ19" s="56">
        <v>0.026579</v>
      </c>
      <c r="AL19" s="57"/>
      <c r="AM19" s="56">
        <v>0.654045</v>
      </c>
      <c r="AO19" s="56">
        <v>85.36116314</v>
      </c>
      <c r="AQ19" s="56">
        <v>67.37196994</v>
      </c>
    </row>
    <row r="20">
      <c r="F20" s="55" t="s">
        <v>6067</v>
      </c>
      <c r="G20" s="56">
        <v>1946.309</v>
      </c>
      <c r="H20" s="56">
        <v>821.2667</v>
      </c>
      <c r="I20" s="56">
        <v>721.7215</v>
      </c>
      <c r="J20" s="56">
        <v>0.122891</v>
      </c>
      <c r="K20" s="57"/>
      <c r="L20" s="56">
        <v>0.05704</v>
      </c>
      <c r="M20" s="57"/>
      <c r="N20" s="56">
        <v>14153.16</v>
      </c>
      <c r="O20" s="57"/>
      <c r="P20" s="56">
        <v>0.1207</v>
      </c>
      <c r="Q20" s="57"/>
      <c r="R20" s="56">
        <v>0.072805</v>
      </c>
      <c r="S20" s="57"/>
      <c r="T20" s="56">
        <v>0.064373</v>
      </c>
      <c r="U20" s="57"/>
      <c r="V20" s="56">
        <v>0.070165</v>
      </c>
      <c r="W20" s="57"/>
      <c r="X20" s="58">
        <v>0.07692</v>
      </c>
      <c r="Y20" s="59"/>
      <c r="Z20" s="56">
        <v>0.30111</v>
      </c>
      <c r="AA20" s="57"/>
      <c r="AB20" s="56">
        <v>0.182322</v>
      </c>
      <c r="AC20" s="57"/>
      <c r="AD20" s="56">
        <v>0.111288</v>
      </c>
      <c r="AE20" s="57"/>
      <c r="AF20" s="56">
        <v>0.055193</v>
      </c>
      <c r="AG20" s="57"/>
      <c r="AH20" s="56">
        <v>0.125537</v>
      </c>
      <c r="AI20" s="57"/>
      <c r="AJ20" s="56">
        <v>0.093251</v>
      </c>
      <c r="AL20" s="57"/>
      <c r="AM20" s="56">
        <v>0.911425</v>
      </c>
      <c r="AO20" s="56">
        <v>95.84301408</v>
      </c>
      <c r="AQ20" s="56">
        <v>94.82521115</v>
      </c>
    </row>
    <row r="21">
      <c r="X21" s="54"/>
      <c r="Y21" s="54"/>
    </row>
    <row r="22">
      <c r="X22" s="54"/>
      <c r="Y22" s="54"/>
    </row>
    <row r="23" ht="15.75" customHeight="1">
      <c r="X23" s="54"/>
      <c r="Y23" s="54"/>
    </row>
    <row r="24" ht="15.75" customHeight="1">
      <c r="A24" s="60" t="s">
        <v>1</v>
      </c>
      <c r="B24" s="60" t="s">
        <v>2</v>
      </c>
      <c r="C24" s="60" t="s">
        <v>3</v>
      </c>
      <c r="D24" s="60" t="s">
        <v>4</v>
      </c>
      <c r="E24" s="60" t="s">
        <v>6</v>
      </c>
      <c r="F24" s="60" t="s">
        <v>9</v>
      </c>
      <c r="G24" s="60" t="s">
        <v>11</v>
      </c>
      <c r="H24" s="60" t="s">
        <v>14</v>
      </c>
      <c r="I24" s="60" t="s">
        <v>17</v>
      </c>
      <c r="J24" s="60" t="s">
        <v>41</v>
      </c>
      <c r="K24" s="60" t="s">
        <v>43</v>
      </c>
      <c r="L24" s="60" t="s">
        <v>45</v>
      </c>
      <c r="M24" s="60" t="s">
        <v>47</v>
      </c>
      <c r="N24" s="60" t="s">
        <v>49</v>
      </c>
      <c r="O24" s="60" t="s">
        <v>50</v>
      </c>
      <c r="P24" s="60" t="s">
        <v>51</v>
      </c>
      <c r="Q24" s="60" t="s">
        <v>52</v>
      </c>
      <c r="R24" s="60" t="s">
        <v>53</v>
      </c>
      <c r="S24" s="60" t="s">
        <v>55</v>
      </c>
      <c r="T24" s="60" t="s">
        <v>57</v>
      </c>
      <c r="U24" s="60" t="s">
        <v>59</v>
      </c>
      <c r="V24" s="60" t="s">
        <v>61</v>
      </c>
      <c r="W24" s="60" t="s">
        <v>63</v>
      </c>
      <c r="X24" s="54"/>
      <c r="Y24" s="54"/>
    </row>
    <row r="25" ht="15.75" customHeight="1">
      <c r="A25" s="60" t="s">
        <v>6068</v>
      </c>
      <c r="B25" s="61"/>
      <c r="C25" s="61"/>
      <c r="D25" s="61"/>
      <c r="E25" s="61"/>
      <c r="F25" s="61"/>
      <c r="G25" s="62">
        <v>4268.297</v>
      </c>
      <c r="H25" s="62">
        <v>1820.895</v>
      </c>
      <c r="I25" s="62">
        <v>1613.68</v>
      </c>
      <c r="J25" s="62">
        <v>0.147662</v>
      </c>
      <c r="K25" s="62">
        <v>0.083869</v>
      </c>
      <c r="L25" s="62">
        <v>27215.39</v>
      </c>
      <c r="M25" s="62">
        <v>0.156649</v>
      </c>
      <c r="N25" s="62">
        <v>0.1362</v>
      </c>
      <c r="O25" s="62">
        <v>0.234347</v>
      </c>
      <c r="P25" s="62">
        <v>0.118568</v>
      </c>
      <c r="Q25" s="62">
        <v>0.361027</v>
      </c>
      <c r="R25" s="62">
        <v>0.045771</v>
      </c>
      <c r="S25" s="62">
        <v>0.117508</v>
      </c>
      <c r="T25" s="62">
        <v>0.064096</v>
      </c>
      <c r="U25" s="62">
        <v>0.033741</v>
      </c>
      <c r="V25" s="62">
        <v>0.094449</v>
      </c>
      <c r="W25" s="62">
        <v>0.026579</v>
      </c>
      <c r="X25" s="54"/>
      <c r="Y25" s="54"/>
    </row>
    <row r="26" ht="15.75" customHeight="1">
      <c r="A26" s="60" t="s">
        <v>6069</v>
      </c>
      <c r="B26" s="61"/>
      <c r="C26" s="61"/>
      <c r="D26" s="61"/>
      <c r="E26" s="61"/>
      <c r="F26" s="61"/>
      <c r="G26" s="62">
        <v>1946.309</v>
      </c>
      <c r="H26" s="62">
        <v>821.2667</v>
      </c>
      <c r="I26" s="62">
        <v>721.7215</v>
      </c>
      <c r="J26" s="62">
        <v>0.122891</v>
      </c>
      <c r="K26" s="62">
        <v>0.05704</v>
      </c>
      <c r="L26" s="62">
        <v>14153.16</v>
      </c>
      <c r="M26" s="62">
        <v>0.1207</v>
      </c>
      <c r="N26" s="62">
        <v>0.072805</v>
      </c>
      <c r="O26" s="62">
        <v>0.064373</v>
      </c>
      <c r="P26" s="62">
        <v>0.070165</v>
      </c>
      <c r="Q26" s="62">
        <v>0.30111</v>
      </c>
      <c r="R26" s="62">
        <v>0.07692</v>
      </c>
      <c r="S26" s="62">
        <v>0.182322</v>
      </c>
      <c r="T26" s="62">
        <v>0.111288</v>
      </c>
      <c r="U26" s="62">
        <v>0.055193</v>
      </c>
      <c r="V26" s="62">
        <v>0.125537</v>
      </c>
      <c r="W26" s="62">
        <v>0.093251</v>
      </c>
      <c r="X26" s="54"/>
      <c r="Y26" s="54"/>
    </row>
    <row r="27" ht="15.75" customHeight="1">
      <c r="X27" s="54"/>
      <c r="Y27" s="54"/>
    </row>
    <row r="28" ht="15.75" customHeight="1">
      <c r="X28" s="54"/>
      <c r="Y28" s="54"/>
    </row>
    <row r="29" ht="15.75" customHeight="1">
      <c r="X29" s="54"/>
      <c r="Y29" s="54"/>
    </row>
    <row r="30" ht="15.75" customHeight="1">
      <c r="V30" s="54"/>
      <c r="W30" s="54"/>
    </row>
    <row r="31">
      <c r="A31" s="1" t="s">
        <v>1</v>
      </c>
      <c r="B31" s="1" t="s">
        <v>2</v>
      </c>
      <c r="C31" s="1" t="s">
        <v>3</v>
      </c>
      <c r="D31" s="1" t="s">
        <v>4</v>
      </c>
      <c r="E31" s="1" t="s">
        <v>6</v>
      </c>
      <c r="F31" s="1" t="s">
        <v>9</v>
      </c>
      <c r="G31" s="1" t="s">
        <v>11</v>
      </c>
      <c r="H31" s="1" t="s">
        <v>14</v>
      </c>
      <c r="I31" s="1" t="s">
        <v>17</v>
      </c>
      <c r="J31" s="1" t="s">
        <v>41</v>
      </c>
      <c r="K31" s="63" t="s">
        <v>6038</v>
      </c>
      <c r="L31" s="1" t="s">
        <v>43</v>
      </c>
      <c r="M31" s="63" t="s">
        <v>6039</v>
      </c>
      <c r="N31" s="1" t="s">
        <v>45</v>
      </c>
      <c r="O31" s="63" t="s">
        <v>6040</v>
      </c>
      <c r="P31" s="1" t="s">
        <v>47</v>
      </c>
      <c r="Q31" s="63" t="s">
        <v>6041</v>
      </c>
      <c r="R31" s="1" t="s">
        <v>49</v>
      </c>
      <c r="S31" s="63" t="s">
        <v>6042</v>
      </c>
      <c r="T31" s="1" t="s">
        <v>51</v>
      </c>
      <c r="U31" s="63" t="s">
        <v>6070</v>
      </c>
      <c r="V31" s="1" t="s">
        <v>52</v>
      </c>
      <c r="W31" s="63" t="s">
        <v>6046</v>
      </c>
      <c r="X31" s="1" t="s">
        <v>53</v>
      </c>
      <c r="Y31" s="63" t="s">
        <v>6045</v>
      </c>
      <c r="Z31" s="1" t="s">
        <v>55</v>
      </c>
      <c r="AA31" s="63" t="s">
        <v>6071</v>
      </c>
      <c r="AB31" s="1" t="s">
        <v>57</v>
      </c>
      <c r="AC31" s="63" t="s">
        <v>6048</v>
      </c>
      <c r="AD31" s="1" t="s">
        <v>59</v>
      </c>
      <c r="AE31" s="63" t="s">
        <v>6049</v>
      </c>
      <c r="AF31" s="1" t="s">
        <v>61</v>
      </c>
      <c r="AG31" s="63" t="s">
        <v>6050</v>
      </c>
      <c r="AH31" s="1" t="s">
        <v>63</v>
      </c>
      <c r="AI31" s="63" t="s">
        <v>6072</v>
      </c>
      <c r="AJ31" s="63" t="s">
        <v>6073</v>
      </c>
      <c r="AK31" s="63" t="s">
        <v>6054</v>
      </c>
      <c r="AL31" s="64" t="s">
        <v>6055</v>
      </c>
      <c r="AM31" s="64" t="s">
        <v>6074</v>
      </c>
      <c r="AN31" s="64" t="s">
        <v>6057</v>
      </c>
      <c r="AO31" s="63" t="s">
        <v>6075</v>
      </c>
      <c r="AS31" s="15" t="s">
        <v>6059</v>
      </c>
      <c r="AT31" s="16" t="s">
        <v>6060</v>
      </c>
      <c r="AU31" s="17" t="s">
        <v>6061</v>
      </c>
      <c r="AV31" s="18" t="s">
        <v>6062</v>
      </c>
      <c r="AW31" s="19" t="s">
        <v>6063</v>
      </c>
      <c r="AX31" s="16" t="s">
        <v>6064</v>
      </c>
      <c r="AY31" s="16" t="s">
        <v>6065</v>
      </c>
      <c r="AZ31" s="4" t="s">
        <v>6</v>
      </c>
    </row>
    <row r="32" ht="15.75" customHeight="1">
      <c r="A32" s="1">
        <v>29.0</v>
      </c>
      <c r="B32" s="2" t="s">
        <v>2039</v>
      </c>
      <c r="C32" s="2" t="s">
        <v>2699</v>
      </c>
      <c r="D32" s="1">
        <v>1.266</v>
      </c>
      <c r="E32" s="1">
        <v>2.90950119E10</v>
      </c>
      <c r="F32" s="1" t="s">
        <v>2041</v>
      </c>
      <c r="G32" s="65">
        <v>3423.0</v>
      </c>
      <c r="H32" s="65">
        <v>1661.0</v>
      </c>
      <c r="I32" s="65">
        <v>1509.0</v>
      </c>
      <c r="J32" s="27">
        <v>0.132004</v>
      </c>
      <c r="K32" s="27">
        <f>(J32-J25)/J26</f>
        <v>-0.1274137244</v>
      </c>
      <c r="L32" s="27">
        <v>0.102631</v>
      </c>
      <c r="M32" s="27">
        <f>(L32-L19)/L20</f>
        <v>0.3289270687</v>
      </c>
      <c r="N32" s="27">
        <v>21645.0</v>
      </c>
      <c r="O32" s="27">
        <f>(N32-L25)/L26</f>
        <v>-0.3935792431</v>
      </c>
      <c r="P32" s="27">
        <v>0.179822</v>
      </c>
      <c r="Q32" s="27">
        <f>(P32-M25)/M26</f>
        <v>0.191988401</v>
      </c>
      <c r="R32" s="27">
        <v>0.174408</v>
      </c>
      <c r="S32" s="27">
        <f>(R32-N25)/N26</f>
        <v>0.5247991209</v>
      </c>
      <c r="T32" s="27">
        <v>0.09609012</v>
      </c>
      <c r="U32" s="27">
        <f>(T32-P25)/P26</f>
        <v>-0.3203574432</v>
      </c>
      <c r="V32" s="27">
        <v>0.224364</v>
      </c>
      <c r="W32" s="27">
        <f>(V32-Q25)/Q26</f>
        <v>-0.4538640364</v>
      </c>
      <c r="X32" s="27">
        <v>0.044552</v>
      </c>
      <c r="Y32" s="27">
        <f>(X32-R25)/R26</f>
        <v>-0.01584763391</v>
      </c>
      <c r="Z32" s="27">
        <v>0.018844</v>
      </c>
      <c r="AA32" s="27">
        <f>(Z32-S25)/S26</f>
        <v>-0.5411524665</v>
      </c>
      <c r="AB32" s="27">
        <v>0.0</v>
      </c>
      <c r="AC32" s="27">
        <f>(AB32-T25)/T26</f>
        <v>-0.5759470922</v>
      </c>
      <c r="AD32" s="27">
        <v>0.008603</v>
      </c>
      <c r="AE32" s="27">
        <f>(AD32-U25)/U26</f>
        <v>-0.4554563079</v>
      </c>
      <c r="AF32" s="27">
        <v>0.025148</v>
      </c>
      <c r="AG32" s="27">
        <f>(AF32-V25)/V26</f>
        <v>-0.5520364514</v>
      </c>
      <c r="AH32" s="27">
        <v>0.0</v>
      </c>
      <c r="AI32" s="27">
        <f>(AH32-W25)/W26</f>
        <v>-0.285026434</v>
      </c>
      <c r="AJ32" s="27">
        <f>D35/I32</f>
        <v>0.4791252485</v>
      </c>
      <c r="AK32" s="27">
        <f>(AJ32-AM19)/AM20</f>
        <v>-0.1919189747</v>
      </c>
      <c r="AL32" s="66">
        <v>54.0442</v>
      </c>
      <c r="AM32" s="66">
        <f>(AL32-AO19)/AO20</f>
        <v>-0.3267526949</v>
      </c>
      <c r="AN32" s="66">
        <v>7.769613</v>
      </c>
      <c r="AO32" s="27">
        <f>(AN32-AQ19)/AQ20</f>
        <v>-0.6285496886</v>
      </c>
      <c r="AS32" s="27">
        <f>sum(-K32,-M32,O32,-Q32)</f>
        <v>-0.7870809884</v>
      </c>
      <c r="AT32" s="27">
        <f>sum(-S32,-U32,-Y32,-AJ32)</f>
        <v>-0.6677192924</v>
      </c>
      <c r="AU32" s="27">
        <f>sum(-W32)</f>
        <v>0.4538640364</v>
      </c>
      <c r="AV32" s="27">
        <f>sum(-AA32,-AC32,-AE32,-AG32,-AI32)</f>
        <v>2.409618752</v>
      </c>
      <c r="AW32" s="27">
        <f>sum(AM32,AO32)</f>
        <v>-0.9553023835</v>
      </c>
      <c r="AX32" s="27">
        <f>sum(AS32:AV32)</f>
        <v>1.408682508</v>
      </c>
      <c r="AY32" s="27">
        <f>AX32+AW32</f>
        <v>0.4533801241</v>
      </c>
      <c r="AZ32" s="1">
        <v>2.90950119E10</v>
      </c>
    </row>
    <row r="33" ht="15.75" customHeight="1">
      <c r="X33" s="54"/>
      <c r="Y33" s="54"/>
    </row>
    <row r="34" ht="15.75" customHeight="1">
      <c r="X34" s="54"/>
      <c r="Y34" s="54"/>
    </row>
    <row r="35" ht="15.75" customHeight="1">
      <c r="D35" s="1">
        <v>723.0</v>
      </c>
      <c r="X35" s="54"/>
      <c r="Y35" s="54"/>
    </row>
    <row r="36" ht="15.75" customHeight="1">
      <c r="X36" s="54"/>
      <c r="Y36" s="54"/>
    </row>
    <row r="3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  <c r="V37" s="1" t="s">
        <v>21</v>
      </c>
      <c r="W37" s="1" t="s">
        <v>22</v>
      </c>
      <c r="X37" s="1" t="s">
        <v>23</v>
      </c>
      <c r="Y37" s="1" t="s">
        <v>24</v>
      </c>
      <c r="Z37" s="1" t="s">
        <v>25</v>
      </c>
      <c r="AA37" s="1" t="s">
        <v>26</v>
      </c>
      <c r="AB37" s="1" t="s">
        <v>27</v>
      </c>
      <c r="AC37" s="1" t="s">
        <v>28</v>
      </c>
      <c r="AD37" s="1" t="s">
        <v>29</v>
      </c>
      <c r="AE37" s="1" t="s">
        <v>30</v>
      </c>
      <c r="AF37" s="1" t="s">
        <v>31</v>
      </c>
      <c r="AG37" s="1" t="s">
        <v>32</v>
      </c>
      <c r="AH37" s="1" t="s">
        <v>33</v>
      </c>
      <c r="AI37" s="1" t="s">
        <v>34</v>
      </c>
      <c r="AJ37" s="1" t="s">
        <v>35</v>
      </c>
      <c r="AK37" s="1" t="s">
        <v>36</v>
      </c>
      <c r="AL37" s="1" t="s">
        <v>37</v>
      </c>
      <c r="AM37" s="1" t="s">
        <v>38</v>
      </c>
      <c r="AN37" s="1" t="s">
        <v>39</v>
      </c>
      <c r="AO37" s="1" t="s">
        <v>40</v>
      </c>
      <c r="AP37" s="1" t="s">
        <v>41</v>
      </c>
      <c r="AQ37" s="1" t="s">
        <v>42</v>
      </c>
      <c r="AR37" s="1" t="s">
        <v>43</v>
      </c>
      <c r="AS37" s="1" t="s">
        <v>44</v>
      </c>
      <c r="AT37" s="1" t="s">
        <v>45</v>
      </c>
      <c r="AU37" s="1" t="s">
        <v>46</v>
      </c>
      <c r="AV37" s="1" t="s">
        <v>47</v>
      </c>
      <c r="AW37" s="1" t="s">
        <v>48</v>
      </c>
      <c r="AX37" s="1" t="s">
        <v>49</v>
      </c>
      <c r="AY37" s="1" t="s">
        <v>50</v>
      </c>
      <c r="AZ37" s="1" t="s">
        <v>51</v>
      </c>
      <c r="BA37" s="1" t="s">
        <v>52</v>
      </c>
      <c r="BB37" s="1" t="s">
        <v>53</v>
      </c>
      <c r="BC37" s="1" t="s">
        <v>54</v>
      </c>
      <c r="BD37" s="1" t="s">
        <v>55</v>
      </c>
      <c r="BE37" s="1" t="s">
        <v>56</v>
      </c>
      <c r="BF37" s="1" t="s">
        <v>57</v>
      </c>
      <c r="BG37" s="1" t="s">
        <v>58</v>
      </c>
      <c r="BH37" s="1" t="s">
        <v>59</v>
      </c>
      <c r="BI37" s="1" t="s">
        <v>60</v>
      </c>
      <c r="BJ37" s="1" t="s">
        <v>61</v>
      </c>
      <c r="BK37" s="1" t="s">
        <v>62</v>
      </c>
      <c r="BL37" s="1" t="s">
        <v>63</v>
      </c>
      <c r="BM37" s="1" t="s">
        <v>64</v>
      </c>
      <c r="BN37" s="1" t="s">
        <v>65</v>
      </c>
      <c r="BO37" s="1" t="s">
        <v>66</v>
      </c>
      <c r="BP37" s="1" t="s">
        <v>67</v>
      </c>
      <c r="BQ37" s="1" t="s">
        <v>68</v>
      </c>
      <c r="BR37" s="1" t="s">
        <v>69</v>
      </c>
      <c r="BS37" s="1" t="s">
        <v>70</v>
      </c>
      <c r="BT37" s="1" t="s">
        <v>71</v>
      </c>
      <c r="BU37" s="1" t="s">
        <v>72</v>
      </c>
      <c r="BV37" s="1" t="s">
        <v>73</v>
      </c>
      <c r="BW37" s="1" t="s">
        <v>74</v>
      </c>
      <c r="BX37" s="1" t="s">
        <v>75</v>
      </c>
      <c r="BY37" s="1" t="s">
        <v>76</v>
      </c>
      <c r="BZ37" s="1" t="s">
        <v>77</v>
      </c>
      <c r="CA37" s="1" t="s">
        <v>78</v>
      </c>
      <c r="CB37" s="1" t="s">
        <v>79</v>
      </c>
      <c r="CC37" s="1" t="s">
        <v>80</v>
      </c>
      <c r="CD37" s="1" t="s">
        <v>81</v>
      </c>
      <c r="CE37" s="1" t="s">
        <v>82</v>
      </c>
      <c r="CF37" s="1" t="s">
        <v>83</v>
      </c>
      <c r="CG37" s="1" t="s">
        <v>84</v>
      </c>
      <c r="CH37" s="1" t="s">
        <v>85</v>
      </c>
      <c r="CI37" s="1" t="s">
        <v>86</v>
      </c>
      <c r="CJ37" s="1" t="s">
        <v>87</v>
      </c>
      <c r="CK37" s="1" t="s">
        <v>88</v>
      </c>
      <c r="CL37" s="1" t="s">
        <v>89</v>
      </c>
      <c r="CM37" s="1" t="s">
        <v>90</v>
      </c>
      <c r="CN37" s="1" t="s">
        <v>91</v>
      </c>
      <c r="CO37" s="1" t="s">
        <v>92</v>
      </c>
      <c r="CP37" s="1" t="s">
        <v>93</v>
      </c>
      <c r="CQ37" s="1" t="s">
        <v>94</v>
      </c>
      <c r="CR37" s="1" t="s">
        <v>95</v>
      </c>
      <c r="CS37" s="1" t="s">
        <v>96</v>
      </c>
      <c r="CT37" s="1" t="s">
        <v>97</v>
      </c>
      <c r="CU37" s="1" t="s">
        <v>98</v>
      </c>
      <c r="CV37" s="1" t="s">
        <v>99</v>
      </c>
      <c r="CW37" s="1" t="s">
        <v>100</v>
      </c>
      <c r="CX37" s="1" t="s">
        <v>101</v>
      </c>
      <c r="CY37" s="1" t="s">
        <v>102</v>
      </c>
      <c r="CZ37" s="1" t="s">
        <v>103</v>
      </c>
      <c r="DA37" s="1" t="s">
        <v>104</v>
      </c>
      <c r="DB37" s="1" t="s">
        <v>105</v>
      </c>
      <c r="DC37" s="1" t="s">
        <v>106</v>
      </c>
      <c r="DD37" s="1" t="s">
        <v>107</v>
      </c>
      <c r="DE37" s="1" t="s">
        <v>108</v>
      </c>
      <c r="DF37" s="1" t="s">
        <v>109</v>
      </c>
    </row>
    <row r="38" ht="15.75" customHeight="1">
      <c r="A38" s="1" t="s">
        <v>3703</v>
      </c>
      <c r="B38" s="1">
        <v>29.0</v>
      </c>
      <c r="C38" s="1">
        <v>145.0</v>
      </c>
      <c r="D38" s="2" t="s">
        <v>1077</v>
      </c>
      <c r="E38" s="1">
        <v>62.723</v>
      </c>
      <c r="F38" s="1">
        <v>29145.0</v>
      </c>
      <c r="G38" s="1">
        <v>2.9145020602E10</v>
      </c>
      <c r="H38" s="1" t="s">
        <v>112</v>
      </c>
      <c r="I38" s="1" t="s">
        <v>113</v>
      </c>
      <c r="J38" s="1" t="s">
        <v>3672</v>
      </c>
      <c r="K38" s="1" t="s">
        <v>3704</v>
      </c>
      <c r="L38" s="1">
        <v>5212.0</v>
      </c>
      <c r="M38" s="1">
        <v>5244.0</v>
      </c>
      <c r="N38" s="1">
        <v>524.0</v>
      </c>
      <c r="O38" s="1">
        <v>2179.0</v>
      </c>
      <c r="P38" s="1">
        <v>2110.0</v>
      </c>
      <c r="Q38" s="1">
        <v>116.0</v>
      </c>
      <c r="R38" s="1">
        <v>1979.0</v>
      </c>
      <c r="S38" s="1">
        <v>1110.0</v>
      </c>
      <c r="T38" s="1">
        <v>576.0</v>
      </c>
      <c r="U38" s="1">
        <v>171.0</v>
      </c>
      <c r="V38" s="1">
        <v>423.0</v>
      </c>
      <c r="W38" s="1">
        <v>20718.0</v>
      </c>
      <c r="X38" s="1">
        <v>2893.0</v>
      </c>
      <c r="Y38" s="1">
        <v>367.0</v>
      </c>
      <c r="Z38" s="1">
        <v>308.0</v>
      </c>
      <c r="AA38" s="1">
        <v>739.0</v>
      </c>
      <c r="AB38" s="1">
        <v>1276.0</v>
      </c>
      <c r="AC38" s="1">
        <v>187.0</v>
      </c>
      <c r="AD38" s="1">
        <v>505.0</v>
      </c>
      <c r="AE38" s="1">
        <v>12.0</v>
      </c>
      <c r="AF38" s="1">
        <v>442.0</v>
      </c>
      <c r="AG38" s="1">
        <v>33.0</v>
      </c>
      <c r="AH38" s="1">
        <v>169.0</v>
      </c>
      <c r="AI38" s="1">
        <v>578.0</v>
      </c>
      <c r="AJ38" s="1">
        <v>128.0</v>
      </c>
      <c r="AK38" s="1">
        <v>84.0</v>
      </c>
      <c r="AL38" s="1">
        <v>136.0</v>
      </c>
      <c r="AM38" s="1">
        <v>49.0</v>
      </c>
      <c r="AN38" s="1">
        <v>36.0</v>
      </c>
      <c r="AO38" s="1">
        <v>0.0</v>
      </c>
      <c r="AP38" s="1">
        <v>0.21167</v>
      </c>
      <c r="AQ38" s="1">
        <v>0.107784</v>
      </c>
      <c r="AR38" s="1">
        <v>0.071668</v>
      </c>
      <c r="AS38" s="1">
        <v>0.177051</v>
      </c>
      <c r="AT38" s="1">
        <v>20718.0</v>
      </c>
      <c r="AU38" s="1">
        <v>2893.0</v>
      </c>
      <c r="AV38" s="1">
        <v>0.108004</v>
      </c>
      <c r="AW38" s="1">
        <v>0.090363</v>
      </c>
      <c r="AX38" s="1">
        <v>0.141788</v>
      </c>
      <c r="AY38" s="1">
        <v>0.244819</v>
      </c>
      <c r="AZ38" s="1">
        <v>0.09449216</v>
      </c>
      <c r="BA38" s="1">
        <v>0.096891</v>
      </c>
      <c r="BB38" s="1">
        <v>0.002446</v>
      </c>
      <c r="BC38" s="1">
        <v>0.090111</v>
      </c>
      <c r="BD38" s="1">
        <v>0.015639</v>
      </c>
      <c r="BE38" s="1">
        <v>0.08009</v>
      </c>
      <c r="BF38" s="1">
        <v>0.273933</v>
      </c>
      <c r="BG38" s="1">
        <v>0.058764</v>
      </c>
      <c r="BH38" s="1">
        <v>0.043523</v>
      </c>
      <c r="BI38" s="1">
        <v>0.070401</v>
      </c>
      <c r="BJ38" s="1">
        <v>0.025388</v>
      </c>
      <c r="BK38" s="1">
        <v>0.018569</v>
      </c>
      <c r="BL38" s="1">
        <v>0.0</v>
      </c>
      <c r="BM38" s="1">
        <v>0.756</v>
      </c>
      <c r="BN38" s="1">
        <v>0.528</v>
      </c>
      <c r="BO38" s="1">
        <v>0.5711</v>
      </c>
      <c r="BP38" s="1">
        <v>0.373</v>
      </c>
      <c r="BQ38" s="1">
        <v>2.2281</v>
      </c>
      <c r="BR38" s="1">
        <v>0.5769</v>
      </c>
      <c r="BS38" s="1">
        <v>0.512</v>
      </c>
      <c r="BT38" s="1">
        <v>0.546</v>
      </c>
      <c r="BU38" s="1">
        <v>0.444</v>
      </c>
      <c r="BV38" s="1">
        <v>1.502</v>
      </c>
      <c r="BW38" s="1">
        <v>0.487</v>
      </c>
      <c r="BX38" s="1">
        <v>0.458</v>
      </c>
      <c r="BY38" s="1">
        <v>0.408</v>
      </c>
      <c r="BZ38" s="1">
        <v>0.866</v>
      </c>
      <c r="CA38" s="1">
        <v>0.444</v>
      </c>
      <c r="CB38" s="1">
        <v>0.43</v>
      </c>
      <c r="CC38" s="1">
        <v>0.971</v>
      </c>
      <c r="CD38" s="1">
        <v>0.907</v>
      </c>
      <c r="CE38" s="1">
        <v>0.244</v>
      </c>
      <c r="CF38" s="1">
        <v>0.0</v>
      </c>
      <c r="CG38" s="1">
        <v>2.552</v>
      </c>
      <c r="CH38" s="1">
        <v>0.584</v>
      </c>
      <c r="CI38" s="1">
        <v>7.1481</v>
      </c>
      <c r="CJ38" s="1">
        <v>0.5805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0.0</v>
      </c>
      <c r="CV38" s="1">
        <v>0.0</v>
      </c>
      <c r="CW38" s="1">
        <v>0.0</v>
      </c>
      <c r="CX38" s="1">
        <v>1.0</v>
      </c>
      <c r="CY38" s="1">
        <v>1.0</v>
      </c>
      <c r="CZ38" s="1">
        <v>0.0</v>
      </c>
      <c r="DA38" s="1">
        <v>0.0</v>
      </c>
      <c r="DB38" s="1">
        <v>2.0</v>
      </c>
      <c r="DC38" s="1">
        <v>2.0</v>
      </c>
      <c r="DD38" s="1" t="s">
        <v>3705</v>
      </c>
      <c r="DE38" s="2" t="s">
        <v>3706</v>
      </c>
      <c r="DF38" s="2" t="s">
        <v>3707</v>
      </c>
    </row>
    <row r="39" ht="15.75" customHeight="1">
      <c r="X39" s="54"/>
      <c r="Y39" s="54"/>
    </row>
    <row r="40" ht="15.75" customHeight="1">
      <c r="X40" s="54"/>
      <c r="Y40" s="54"/>
    </row>
    <row r="41" ht="15.75" customHeight="1">
      <c r="X41" s="54"/>
      <c r="Y41" s="54"/>
    </row>
    <row r="42" ht="15.75" customHeight="1">
      <c r="X42" s="54"/>
      <c r="Y42" s="54"/>
    </row>
    <row r="43" ht="15.75" customHeight="1">
      <c r="X43" s="54"/>
      <c r="Y43" s="54"/>
    </row>
    <row r="44" ht="15.75" customHeight="1">
      <c r="X44" s="54"/>
      <c r="Y44" s="54"/>
    </row>
    <row r="45" ht="15.75" customHeight="1">
      <c r="X45" s="54"/>
      <c r="Y45" s="54"/>
    </row>
    <row r="46" ht="15.75" customHeight="1">
      <c r="X46" s="54"/>
      <c r="Y46" s="54"/>
    </row>
    <row r="47" ht="15.75" customHeight="1">
      <c r="X47" s="54"/>
      <c r="Y47" s="54"/>
    </row>
    <row r="48" ht="15.75" customHeight="1">
      <c r="X48" s="54"/>
      <c r="Y48" s="54"/>
    </row>
    <row r="49" ht="15.75" customHeight="1">
      <c r="X49" s="54"/>
      <c r="Y49" s="54"/>
    </row>
    <row r="50" ht="15.75" customHeight="1">
      <c r="X50" s="54"/>
      <c r="Y50" s="54"/>
    </row>
    <row r="51" ht="15.75" customHeight="1">
      <c r="X51" s="54"/>
      <c r="Y51" s="54"/>
    </row>
    <row r="52" ht="15.75" customHeight="1">
      <c r="X52" s="54"/>
      <c r="Y52" s="54"/>
    </row>
    <row r="53" ht="15.75" customHeight="1">
      <c r="X53" s="54"/>
      <c r="Y53" s="54"/>
    </row>
    <row r="54" ht="15.75" customHeight="1">
      <c r="X54" s="54"/>
      <c r="Y54" s="54"/>
    </row>
    <row r="55" ht="15.75" customHeight="1">
      <c r="X55" s="54"/>
      <c r="Y55" s="54"/>
    </row>
    <row r="56" ht="15.75" customHeight="1">
      <c r="X56" s="54"/>
      <c r="Y56" s="54"/>
    </row>
    <row r="57" ht="15.75" customHeight="1">
      <c r="X57" s="54"/>
      <c r="Y57" s="54"/>
    </row>
    <row r="58" ht="15.75" customHeight="1">
      <c r="X58" s="54"/>
      <c r="Y58" s="54"/>
    </row>
    <row r="59" ht="15.75" customHeight="1">
      <c r="X59" s="54"/>
      <c r="Y59" s="54"/>
    </row>
    <row r="60" ht="15.75" customHeight="1">
      <c r="X60" s="54"/>
      <c r="Y60" s="54"/>
    </row>
    <row r="61" ht="15.75" customHeight="1">
      <c r="X61" s="54"/>
      <c r="Y61" s="54"/>
    </row>
    <row r="62" ht="15.75" customHeight="1">
      <c r="X62" s="54"/>
      <c r="Y62" s="54"/>
    </row>
    <row r="63" ht="15.75" customHeight="1">
      <c r="X63" s="54"/>
      <c r="Y63" s="54"/>
    </row>
    <row r="64" ht="15.75" customHeight="1">
      <c r="X64" s="54"/>
      <c r="Y64" s="54"/>
    </row>
    <row r="65" ht="15.75" customHeight="1">
      <c r="X65" s="54"/>
      <c r="Y65" s="54"/>
    </row>
    <row r="66" ht="15.75" customHeight="1">
      <c r="X66" s="54"/>
      <c r="Y66" s="54"/>
    </row>
    <row r="67" ht="15.75" customHeight="1">
      <c r="X67" s="54"/>
      <c r="Y67" s="54"/>
    </row>
    <row r="68" ht="15.75" customHeight="1">
      <c r="X68" s="54"/>
      <c r="Y68" s="54"/>
    </row>
    <row r="69" ht="15.75" customHeight="1">
      <c r="X69" s="54"/>
      <c r="Y69" s="54"/>
    </row>
    <row r="70" ht="15.75" customHeight="1">
      <c r="X70" s="54"/>
      <c r="Y70" s="54"/>
    </row>
    <row r="71" ht="15.75" customHeight="1">
      <c r="X71" s="54"/>
      <c r="Y71" s="54"/>
    </row>
    <row r="72" ht="15.75" customHeight="1">
      <c r="X72" s="54"/>
      <c r="Y72" s="54"/>
    </row>
    <row r="73" ht="15.75" customHeight="1">
      <c r="X73" s="54"/>
      <c r="Y73" s="54"/>
    </row>
    <row r="74" ht="15.75" customHeight="1">
      <c r="X74" s="54"/>
      <c r="Y74" s="54"/>
    </row>
    <row r="75" ht="15.75" customHeight="1">
      <c r="X75" s="54"/>
      <c r="Y75" s="54"/>
    </row>
    <row r="76" ht="15.75" customHeight="1">
      <c r="X76" s="54"/>
      <c r="Y76" s="54"/>
    </row>
    <row r="77" ht="15.75" customHeight="1">
      <c r="X77" s="54"/>
      <c r="Y77" s="54"/>
    </row>
    <row r="78" ht="15.75" customHeight="1">
      <c r="X78" s="54"/>
      <c r="Y78" s="54"/>
    </row>
    <row r="79" ht="15.75" customHeight="1">
      <c r="X79" s="54"/>
      <c r="Y79" s="54"/>
    </row>
    <row r="80" ht="15.75" customHeight="1">
      <c r="X80" s="54"/>
      <c r="Y80" s="54"/>
    </row>
    <row r="81" ht="15.75" customHeight="1">
      <c r="X81" s="54"/>
      <c r="Y81" s="54"/>
    </row>
    <row r="82" ht="15.75" customHeight="1">
      <c r="X82" s="54"/>
      <c r="Y82" s="54"/>
    </row>
    <row r="83" ht="15.75" customHeight="1">
      <c r="X83" s="54"/>
      <c r="Y83" s="54"/>
    </row>
    <row r="84" ht="15.75" customHeight="1">
      <c r="X84" s="54"/>
      <c r="Y84" s="54"/>
    </row>
    <row r="85" ht="15.75" customHeight="1">
      <c r="X85" s="54"/>
      <c r="Y85" s="54"/>
    </row>
    <row r="86" ht="15.75" customHeight="1">
      <c r="X86" s="54"/>
      <c r="Y86" s="54"/>
    </row>
    <row r="87" ht="15.75" customHeight="1">
      <c r="X87" s="54"/>
      <c r="Y87" s="54"/>
    </row>
    <row r="88" ht="15.75" customHeight="1">
      <c r="X88" s="54"/>
      <c r="Y88" s="54"/>
    </row>
    <row r="89" ht="15.75" customHeight="1">
      <c r="X89" s="54"/>
      <c r="Y89" s="54"/>
    </row>
    <row r="90" ht="15.75" customHeight="1">
      <c r="X90" s="54"/>
      <c r="Y90" s="54"/>
    </row>
    <row r="91" ht="15.75" customHeight="1">
      <c r="X91" s="54"/>
      <c r="Y91" s="54"/>
    </row>
    <row r="92" ht="15.75" customHeight="1">
      <c r="X92" s="54"/>
      <c r="Y92" s="54"/>
    </row>
    <row r="93" ht="15.75" customHeight="1">
      <c r="X93" s="54"/>
      <c r="Y93" s="54"/>
    </row>
    <row r="94" ht="15.75" customHeight="1">
      <c r="X94" s="54"/>
      <c r="Y94" s="54"/>
    </row>
    <row r="95" ht="15.75" customHeight="1">
      <c r="X95" s="54"/>
      <c r="Y95" s="54"/>
    </row>
    <row r="96" ht="15.75" customHeight="1">
      <c r="X96" s="54"/>
      <c r="Y96" s="54"/>
    </row>
    <row r="97" ht="15.75" customHeight="1">
      <c r="X97" s="54"/>
      <c r="Y97" s="54"/>
    </row>
    <row r="98" ht="15.75" customHeight="1">
      <c r="X98" s="54"/>
      <c r="Y98" s="54"/>
    </row>
    <row r="99" ht="15.75" customHeight="1">
      <c r="X99" s="54"/>
      <c r="Y99" s="54"/>
    </row>
    <row r="100" ht="15.75" customHeight="1">
      <c r="X100" s="54"/>
      <c r="Y100" s="54"/>
    </row>
    <row r="101" ht="15.75" customHeight="1">
      <c r="X101" s="54"/>
      <c r="Y101" s="54"/>
    </row>
    <row r="102" ht="15.75" customHeight="1">
      <c r="X102" s="54"/>
      <c r="Y102" s="54"/>
    </row>
    <row r="103" ht="15.75" customHeight="1">
      <c r="X103" s="54"/>
      <c r="Y103" s="54"/>
    </row>
    <row r="104" ht="15.75" customHeight="1">
      <c r="X104" s="54"/>
      <c r="Y104" s="54"/>
    </row>
    <row r="105" ht="15.75" customHeight="1">
      <c r="X105" s="54"/>
      <c r="Y105" s="54"/>
    </row>
    <row r="106" ht="15.75" customHeight="1">
      <c r="X106" s="54"/>
      <c r="Y106" s="54"/>
    </row>
    <row r="107" ht="15.75" customHeight="1">
      <c r="X107" s="54"/>
      <c r="Y107" s="54"/>
    </row>
    <row r="108" ht="15.75" customHeight="1">
      <c r="X108" s="54"/>
      <c r="Y108" s="54"/>
    </row>
    <row r="109" ht="15.75" customHeight="1">
      <c r="X109" s="54"/>
      <c r="Y109" s="54"/>
    </row>
    <row r="110" ht="15.75" customHeight="1">
      <c r="X110" s="54"/>
      <c r="Y110" s="54"/>
    </row>
    <row r="111" ht="15.75" customHeight="1">
      <c r="X111" s="54"/>
      <c r="Y111" s="54"/>
    </row>
    <row r="112" ht="15.75" customHeight="1">
      <c r="X112" s="54"/>
      <c r="Y112" s="54"/>
    </row>
    <row r="113" ht="15.75" customHeight="1">
      <c r="X113" s="54"/>
      <c r="Y113" s="54"/>
    </row>
    <row r="114" ht="15.75" customHeight="1">
      <c r="X114" s="54"/>
      <c r="Y114" s="54"/>
    </row>
    <row r="115" ht="15.75" customHeight="1">
      <c r="X115" s="54"/>
      <c r="Y115" s="54"/>
    </row>
    <row r="116" ht="15.75" customHeight="1">
      <c r="X116" s="54"/>
      <c r="Y116" s="54"/>
    </row>
    <row r="117" ht="15.75" customHeight="1">
      <c r="X117" s="54"/>
      <c r="Y117" s="54"/>
    </row>
    <row r="118" ht="15.75" customHeight="1">
      <c r="X118" s="54"/>
      <c r="Y118" s="54"/>
    </row>
    <row r="119" ht="15.75" customHeight="1">
      <c r="X119" s="54"/>
      <c r="Y119" s="54"/>
    </row>
    <row r="120" ht="15.75" customHeight="1">
      <c r="X120" s="54"/>
      <c r="Y120" s="54"/>
    </row>
    <row r="121" ht="15.75" customHeight="1">
      <c r="X121" s="54"/>
      <c r="Y121" s="54"/>
    </row>
    <row r="122" ht="15.75" customHeight="1">
      <c r="X122" s="54"/>
      <c r="Y122" s="54"/>
    </row>
    <row r="123" ht="15.75" customHeight="1">
      <c r="X123" s="54"/>
      <c r="Y123" s="54"/>
    </row>
    <row r="124" ht="15.75" customHeight="1">
      <c r="X124" s="54"/>
      <c r="Y124" s="54"/>
    </row>
    <row r="125" ht="15.75" customHeight="1">
      <c r="X125" s="54"/>
      <c r="Y125" s="54"/>
    </row>
    <row r="126" ht="15.75" customHeight="1">
      <c r="X126" s="54"/>
      <c r="Y126" s="54"/>
    </row>
    <row r="127" ht="15.75" customHeight="1">
      <c r="X127" s="54"/>
      <c r="Y127" s="54"/>
    </row>
    <row r="128" ht="15.75" customHeight="1">
      <c r="X128" s="54"/>
      <c r="Y128" s="54"/>
    </row>
    <row r="129" ht="15.75" customHeight="1">
      <c r="X129" s="54"/>
      <c r="Y129" s="54"/>
    </row>
    <row r="130" ht="15.75" customHeight="1">
      <c r="X130" s="54"/>
      <c r="Y130" s="54"/>
    </row>
    <row r="131" ht="15.75" customHeight="1">
      <c r="X131" s="54"/>
      <c r="Y131" s="54"/>
    </row>
    <row r="132" ht="15.75" customHeight="1">
      <c r="X132" s="54"/>
      <c r="Y132" s="54"/>
    </row>
    <row r="133" ht="15.75" customHeight="1">
      <c r="X133" s="54"/>
      <c r="Y133" s="54"/>
    </row>
    <row r="134" ht="15.75" customHeight="1">
      <c r="X134" s="54"/>
      <c r="Y134" s="54"/>
    </row>
    <row r="135" ht="15.75" customHeight="1">
      <c r="X135" s="54"/>
      <c r="Y135" s="54"/>
    </row>
    <row r="136" ht="15.75" customHeight="1">
      <c r="X136" s="54"/>
      <c r="Y136" s="54"/>
    </row>
    <row r="137" ht="15.75" customHeight="1">
      <c r="X137" s="54"/>
      <c r="Y137" s="54"/>
    </row>
    <row r="138" ht="15.75" customHeight="1">
      <c r="X138" s="54"/>
      <c r="Y138" s="54"/>
    </row>
    <row r="139" ht="15.75" customHeight="1">
      <c r="X139" s="54"/>
      <c r="Y139" s="54"/>
    </row>
    <row r="140" ht="15.75" customHeight="1">
      <c r="X140" s="54"/>
      <c r="Y140" s="54"/>
    </row>
    <row r="141" ht="15.75" customHeight="1">
      <c r="X141" s="54"/>
      <c r="Y141" s="54"/>
    </row>
    <row r="142" ht="15.75" customHeight="1">
      <c r="X142" s="54"/>
      <c r="Y142" s="54"/>
    </row>
    <row r="143" ht="15.75" customHeight="1">
      <c r="X143" s="54"/>
      <c r="Y143" s="54"/>
    </row>
    <row r="144" ht="15.75" customHeight="1">
      <c r="X144" s="54"/>
      <c r="Y144" s="54"/>
    </row>
    <row r="145" ht="15.75" customHeight="1">
      <c r="X145" s="54"/>
      <c r="Y145" s="54"/>
    </row>
    <row r="146" ht="15.75" customHeight="1">
      <c r="X146" s="54"/>
      <c r="Y146" s="54"/>
    </row>
    <row r="147" ht="15.75" customHeight="1">
      <c r="X147" s="54"/>
      <c r="Y147" s="54"/>
    </row>
    <row r="148" ht="15.75" customHeight="1">
      <c r="X148" s="54"/>
      <c r="Y148" s="54"/>
    </row>
    <row r="149" ht="15.75" customHeight="1">
      <c r="X149" s="54"/>
      <c r="Y149" s="54"/>
    </row>
    <row r="150" ht="15.75" customHeight="1">
      <c r="X150" s="54"/>
      <c r="Y150" s="54"/>
    </row>
    <row r="151" ht="15.75" customHeight="1">
      <c r="X151" s="54"/>
      <c r="Y151" s="54"/>
    </row>
    <row r="152" ht="15.75" customHeight="1">
      <c r="X152" s="54"/>
      <c r="Y152" s="54"/>
    </row>
    <row r="153" ht="15.75" customHeight="1">
      <c r="X153" s="54"/>
      <c r="Y153" s="54"/>
    </row>
    <row r="154" ht="15.75" customHeight="1">
      <c r="X154" s="54"/>
      <c r="Y154" s="54"/>
    </row>
    <row r="155" ht="15.75" customHeight="1">
      <c r="X155" s="54"/>
      <c r="Y155" s="54"/>
    </row>
    <row r="156" ht="15.75" customHeight="1">
      <c r="X156" s="54"/>
      <c r="Y156" s="54"/>
    </row>
    <row r="157" ht="15.75" customHeight="1">
      <c r="X157" s="54"/>
      <c r="Y157" s="54"/>
    </row>
    <row r="158" ht="15.75" customHeight="1">
      <c r="X158" s="54"/>
      <c r="Y158" s="54"/>
    </row>
    <row r="159" ht="15.75" customHeight="1">
      <c r="X159" s="54"/>
      <c r="Y159" s="54"/>
    </row>
    <row r="160" ht="15.75" customHeight="1">
      <c r="X160" s="54"/>
      <c r="Y160" s="54"/>
    </row>
    <row r="161" ht="15.75" customHeight="1">
      <c r="X161" s="54"/>
      <c r="Y161" s="54"/>
    </row>
    <row r="162" ht="15.75" customHeight="1">
      <c r="X162" s="54"/>
      <c r="Y162" s="54"/>
    </row>
    <row r="163" ht="15.75" customHeight="1">
      <c r="X163" s="54"/>
      <c r="Y163" s="54"/>
    </row>
    <row r="164" ht="15.75" customHeight="1">
      <c r="X164" s="54"/>
      <c r="Y164" s="54"/>
    </row>
    <row r="165" ht="15.75" customHeight="1">
      <c r="X165" s="54"/>
      <c r="Y165" s="54"/>
    </row>
    <row r="166" ht="15.75" customHeight="1">
      <c r="X166" s="54"/>
      <c r="Y166" s="54"/>
    </row>
    <row r="167" ht="15.75" customHeight="1">
      <c r="X167" s="54"/>
      <c r="Y167" s="54"/>
    </row>
    <row r="168" ht="15.75" customHeight="1">
      <c r="X168" s="54"/>
      <c r="Y168" s="54"/>
    </row>
    <row r="169" ht="15.75" customHeight="1">
      <c r="X169" s="54"/>
      <c r="Y169" s="54"/>
    </row>
    <row r="170" ht="15.75" customHeight="1">
      <c r="X170" s="54"/>
      <c r="Y170" s="54"/>
    </row>
    <row r="171" ht="15.75" customHeight="1">
      <c r="X171" s="54"/>
      <c r="Y171" s="54"/>
    </row>
    <row r="172" ht="15.75" customHeight="1">
      <c r="X172" s="54"/>
      <c r="Y172" s="54"/>
    </row>
    <row r="173" ht="15.75" customHeight="1">
      <c r="X173" s="54"/>
      <c r="Y173" s="54"/>
    </row>
    <row r="174" ht="15.75" customHeight="1">
      <c r="X174" s="54"/>
      <c r="Y174" s="54"/>
    </row>
    <row r="175" ht="15.75" customHeight="1">
      <c r="X175" s="54"/>
      <c r="Y175" s="54"/>
    </row>
    <row r="176" ht="15.75" customHeight="1">
      <c r="X176" s="54"/>
      <c r="Y176" s="54"/>
    </row>
    <row r="177" ht="15.75" customHeight="1">
      <c r="X177" s="54"/>
      <c r="Y177" s="54"/>
    </row>
    <row r="178" ht="15.75" customHeight="1">
      <c r="X178" s="54"/>
      <c r="Y178" s="54"/>
    </row>
    <row r="179" ht="15.75" customHeight="1">
      <c r="X179" s="54"/>
      <c r="Y179" s="54"/>
    </row>
    <row r="180" ht="15.75" customHeight="1">
      <c r="X180" s="54"/>
      <c r="Y180" s="54"/>
    </row>
    <row r="181" ht="15.75" customHeight="1">
      <c r="X181" s="54"/>
      <c r="Y181" s="54"/>
    </row>
    <row r="182" ht="15.75" customHeight="1">
      <c r="X182" s="54"/>
      <c r="Y182" s="54"/>
    </row>
    <row r="183" ht="15.75" customHeight="1">
      <c r="X183" s="54"/>
      <c r="Y183" s="54"/>
    </row>
    <row r="184" ht="15.75" customHeight="1">
      <c r="X184" s="54"/>
      <c r="Y184" s="54"/>
    </row>
    <row r="185" ht="15.75" customHeight="1">
      <c r="X185" s="54"/>
      <c r="Y185" s="54"/>
    </row>
    <row r="186" ht="15.75" customHeight="1">
      <c r="X186" s="54"/>
      <c r="Y186" s="54"/>
    </row>
    <row r="187" ht="15.75" customHeight="1">
      <c r="X187" s="54"/>
      <c r="Y187" s="54"/>
    </row>
    <row r="188" ht="15.75" customHeight="1">
      <c r="X188" s="54"/>
      <c r="Y188" s="54"/>
    </row>
    <row r="189" ht="15.75" customHeight="1">
      <c r="X189" s="54"/>
      <c r="Y189" s="54"/>
    </row>
    <row r="190" ht="15.75" customHeight="1">
      <c r="X190" s="54"/>
      <c r="Y190" s="54"/>
    </row>
    <row r="191" ht="15.75" customHeight="1">
      <c r="X191" s="54"/>
      <c r="Y191" s="54"/>
    </row>
    <row r="192" ht="15.75" customHeight="1">
      <c r="X192" s="54"/>
      <c r="Y192" s="54"/>
    </row>
    <row r="193" ht="15.75" customHeight="1">
      <c r="X193" s="54"/>
      <c r="Y193" s="54"/>
    </row>
    <row r="194" ht="15.75" customHeight="1">
      <c r="X194" s="54"/>
      <c r="Y194" s="54"/>
    </row>
    <row r="195" ht="15.75" customHeight="1">
      <c r="X195" s="54"/>
      <c r="Y195" s="54"/>
    </row>
    <row r="196" ht="15.75" customHeight="1">
      <c r="X196" s="54"/>
      <c r="Y196" s="54"/>
    </row>
    <row r="197" ht="15.75" customHeight="1">
      <c r="X197" s="54"/>
      <c r="Y197" s="54"/>
    </row>
    <row r="198" ht="15.75" customHeight="1">
      <c r="X198" s="54"/>
      <c r="Y198" s="54"/>
    </row>
    <row r="199" ht="15.75" customHeight="1">
      <c r="X199" s="54"/>
      <c r="Y199" s="54"/>
    </row>
    <row r="200" ht="15.75" customHeight="1">
      <c r="X200" s="54"/>
      <c r="Y200" s="54"/>
    </row>
    <row r="201" ht="15.75" customHeight="1">
      <c r="X201" s="54"/>
      <c r="Y201" s="54"/>
    </row>
    <row r="202" ht="15.75" customHeight="1">
      <c r="X202" s="54"/>
      <c r="Y202" s="54"/>
    </row>
    <row r="203" ht="15.75" customHeight="1">
      <c r="X203" s="54"/>
      <c r="Y203" s="54"/>
    </row>
    <row r="204" ht="15.75" customHeight="1">
      <c r="X204" s="54"/>
      <c r="Y204" s="54"/>
    </row>
    <row r="205" ht="15.75" customHeight="1">
      <c r="X205" s="54"/>
      <c r="Y205" s="54"/>
    </row>
    <row r="206" ht="15.75" customHeight="1">
      <c r="X206" s="54"/>
      <c r="Y206" s="54"/>
    </row>
    <row r="207" ht="15.75" customHeight="1">
      <c r="X207" s="54"/>
      <c r="Y207" s="54"/>
    </row>
    <row r="208" ht="15.75" customHeight="1">
      <c r="X208" s="54"/>
      <c r="Y208" s="54"/>
    </row>
    <row r="209" ht="15.75" customHeight="1">
      <c r="X209" s="54"/>
      <c r="Y209" s="54"/>
    </row>
    <row r="210" ht="15.75" customHeight="1">
      <c r="X210" s="54"/>
      <c r="Y210" s="54"/>
    </row>
    <row r="211" ht="15.75" customHeight="1">
      <c r="X211" s="54"/>
      <c r="Y211" s="54"/>
    </row>
    <row r="212" ht="15.75" customHeight="1">
      <c r="X212" s="54"/>
      <c r="Y212" s="54"/>
    </row>
    <row r="213" ht="15.75" customHeight="1">
      <c r="X213" s="54"/>
      <c r="Y213" s="54"/>
    </row>
    <row r="214" ht="15.75" customHeight="1">
      <c r="X214" s="54"/>
      <c r="Y214" s="54"/>
    </row>
    <row r="215" ht="15.75" customHeight="1">
      <c r="X215" s="54"/>
      <c r="Y215" s="54"/>
    </row>
    <row r="216" ht="15.75" customHeight="1">
      <c r="X216" s="54"/>
      <c r="Y216" s="54"/>
    </row>
    <row r="217" ht="15.75" customHeight="1">
      <c r="X217" s="54"/>
      <c r="Y217" s="54"/>
    </row>
    <row r="218" ht="15.75" customHeight="1">
      <c r="X218" s="54"/>
      <c r="Y218" s="54"/>
    </row>
    <row r="219" ht="15.75" customHeight="1">
      <c r="X219" s="54"/>
      <c r="Y219" s="54"/>
    </row>
    <row r="220" ht="15.75" customHeight="1">
      <c r="X220" s="54"/>
      <c r="Y220" s="54"/>
    </row>
    <row r="221" ht="15.75" customHeight="1">
      <c r="X221" s="54"/>
      <c r="Y221" s="54"/>
    </row>
    <row r="222" ht="15.75" customHeight="1">
      <c r="X222" s="54"/>
      <c r="Y222" s="54"/>
    </row>
    <row r="223" ht="15.75" customHeight="1">
      <c r="X223" s="54"/>
      <c r="Y223" s="54"/>
    </row>
    <row r="224" ht="15.75" customHeight="1">
      <c r="X224" s="54"/>
      <c r="Y224" s="54"/>
    </row>
    <row r="225" ht="15.75" customHeight="1">
      <c r="X225" s="54"/>
      <c r="Y225" s="54"/>
    </row>
    <row r="226" ht="15.75" customHeight="1">
      <c r="X226" s="54"/>
      <c r="Y226" s="54"/>
    </row>
    <row r="227" ht="15.75" customHeight="1">
      <c r="X227" s="54"/>
      <c r="Y227" s="54"/>
    </row>
    <row r="228" ht="15.75" customHeight="1">
      <c r="X228" s="54"/>
      <c r="Y228" s="54"/>
    </row>
    <row r="229" ht="15.75" customHeight="1">
      <c r="X229" s="54"/>
      <c r="Y229" s="54"/>
    </row>
    <row r="230" ht="15.75" customHeight="1">
      <c r="X230" s="54"/>
      <c r="Y230" s="54"/>
    </row>
    <row r="231" ht="15.75" customHeight="1">
      <c r="X231" s="54"/>
      <c r="Y231" s="54"/>
    </row>
    <row r="232" ht="15.75" customHeight="1">
      <c r="X232" s="54"/>
      <c r="Y232" s="54"/>
    </row>
    <row r="233" ht="15.75" customHeight="1">
      <c r="X233" s="54"/>
      <c r="Y233" s="54"/>
    </row>
    <row r="234" ht="15.75" customHeight="1">
      <c r="X234" s="54"/>
      <c r="Y234" s="54"/>
    </row>
    <row r="235" ht="15.75" customHeight="1">
      <c r="X235" s="54"/>
      <c r="Y235" s="54"/>
    </row>
    <row r="236" ht="15.75" customHeight="1">
      <c r="X236" s="54"/>
      <c r="Y236" s="54"/>
    </row>
    <row r="237" ht="15.75" customHeight="1">
      <c r="X237" s="54"/>
      <c r="Y237" s="54"/>
    </row>
    <row r="238" ht="15.75" customHeight="1">
      <c r="X238" s="54"/>
      <c r="Y238" s="54"/>
    </row>
    <row r="239" ht="15.75" customHeight="1">
      <c r="X239" s="54"/>
      <c r="Y239" s="54"/>
    </row>
    <row r="240" ht="15.75" customHeight="1">
      <c r="X240" s="54"/>
      <c r="Y240" s="54"/>
    </row>
    <row r="241" ht="15.75" customHeight="1">
      <c r="X241" s="54"/>
      <c r="Y241" s="54"/>
    </row>
    <row r="242" ht="15.75" customHeight="1">
      <c r="X242" s="54"/>
      <c r="Y242" s="54"/>
    </row>
    <row r="243" ht="15.75" customHeight="1">
      <c r="X243" s="54"/>
      <c r="Y243" s="54"/>
    </row>
    <row r="244" ht="15.75" customHeight="1">
      <c r="X244" s="54"/>
      <c r="Y244" s="54"/>
    </row>
    <row r="245" ht="15.75" customHeight="1">
      <c r="X245" s="54"/>
      <c r="Y245" s="54"/>
    </row>
    <row r="246" ht="15.75" customHeight="1">
      <c r="X246" s="54"/>
      <c r="Y246" s="54"/>
    </row>
    <row r="247" ht="15.75" customHeight="1">
      <c r="X247" s="54"/>
      <c r="Y247" s="54"/>
    </row>
    <row r="248" ht="15.75" customHeight="1">
      <c r="X248" s="54"/>
      <c r="Y248" s="54"/>
    </row>
    <row r="249" ht="15.75" customHeight="1">
      <c r="X249" s="54"/>
      <c r="Y249" s="54"/>
    </row>
    <row r="250" ht="15.75" customHeight="1">
      <c r="X250" s="54"/>
      <c r="Y250" s="54"/>
    </row>
    <row r="251" ht="15.75" customHeight="1">
      <c r="X251" s="54"/>
      <c r="Y251" s="54"/>
    </row>
    <row r="252" ht="15.75" customHeight="1">
      <c r="X252" s="54"/>
      <c r="Y252" s="54"/>
    </row>
    <row r="253" ht="15.75" customHeight="1">
      <c r="X253" s="54"/>
      <c r="Y253" s="54"/>
    </row>
    <row r="254" ht="15.75" customHeight="1">
      <c r="X254" s="54"/>
      <c r="Y254" s="54"/>
    </row>
    <row r="255" ht="15.75" customHeight="1">
      <c r="X255" s="54"/>
      <c r="Y255" s="54"/>
    </row>
    <row r="256" ht="15.75" customHeight="1">
      <c r="X256" s="54"/>
      <c r="Y256" s="54"/>
    </row>
    <row r="257" ht="15.75" customHeight="1">
      <c r="X257" s="54"/>
      <c r="Y257" s="54"/>
    </row>
    <row r="258" ht="15.75" customHeight="1">
      <c r="X258" s="54"/>
      <c r="Y258" s="54"/>
    </row>
    <row r="259" ht="15.75" customHeight="1">
      <c r="X259" s="54"/>
      <c r="Y259" s="54"/>
    </row>
    <row r="260" ht="15.75" customHeight="1">
      <c r="X260" s="54"/>
      <c r="Y260" s="54"/>
    </row>
    <row r="261" ht="15.75" customHeight="1">
      <c r="X261" s="54"/>
      <c r="Y261" s="54"/>
    </row>
    <row r="262" ht="15.75" customHeight="1">
      <c r="X262" s="54"/>
      <c r="Y262" s="54"/>
    </row>
    <row r="263" ht="15.75" customHeight="1">
      <c r="X263" s="54"/>
      <c r="Y263" s="54"/>
    </row>
    <row r="264" ht="15.75" customHeight="1">
      <c r="X264" s="54"/>
      <c r="Y264" s="54"/>
    </row>
    <row r="265" ht="15.75" customHeight="1">
      <c r="X265" s="54"/>
      <c r="Y265" s="54"/>
    </row>
    <row r="266" ht="15.75" customHeight="1">
      <c r="X266" s="54"/>
      <c r="Y266" s="54"/>
    </row>
    <row r="267" ht="15.75" customHeight="1">
      <c r="X267" s="54"/>
      <c r="Y267" s="54"/>
    </row>
    <row r="268" ht="15.75" customHeight="1">
      <c r="X268" s="54"/>
      <c r="Y268" s="54"/>
    </row>
    <row r="269" ht="15.75" customHeight="1">
      <c r="X269" s="54"/>
      <c r="Y269" s="54"/>
    </row>
    <row r="270" ht="15.75" customHeight="1">
      <c r="X270" s="54"/>
      <c r="Y270" s="54"/>
    </row>
    <row r="271" ht="15.75" customHeight="1">
      <c r="X271" s="54"/>
      <c r="Y271" s="54"/>
    </row>
    <row r="272" ht="15.75" customHeight="1">
      <c r="X272" s="54"/>
      <c r="Y272" s="54"/>
    </row>
    <row r="273" ht="15.75" customHeight="1">
      <c r="X273" s="54"/>
      <c r="Y273" s="54"/>
    </row>
    <row r="274" ht="15.75" customHeight="1">
      <c r="X274" s="54"/>
      <c r="Y274" s="54"/>
    </row>
    <row r="275" ht="15.75" customHeight="1">
      <c r="X275" s="54"/>
      <c r="Y275" s="54"/>
    </row>
    <row r="276" ht="15.75" customHeight="1">
      <c r="X276" s="54"/>
      <c r="Y276" s="54"/>
    </row>
    <row r="277" ht="15.75" customHeight="1">
      <c r="X277" s="54"/>
      <c r="Y277" s="54"/>
    </row>
    <row r="278" ht="15.75" customHeight="1">
      <c r="X278" s="54"/>
      <c r="Y278" s="54"/>
    </row>
    <row r="279" ht="15.75" customHeight="1">
      <c r="X279" s="54"/>
      <c r="Y279" s="54"/>
    </row>
    <row r="280" ht="15.75" customHeight="1">
      <c r="X280" s="54"/>
      <c r="Y280" s="54"/>
    </row>
    <row r="281" ht="15.75" customHeight="1">
      <c r="X281" s="54"/>
      <c r="Y281" s="54"/>
    </row>
    <row r="282" ht="15.75" customHeight="1">
      <c r="X282" s="54"/>
      <c r="Y282" s="54"/>
    </row>
    <row r="283" ht="15.75" customHeight="1">
      <c r="X283" s="54"/>
      <c r="Y283" s="54"/>
    </row>
    <row r="284" ht="15.75" customHeight="1">
      <c r="X284" s="54"/>
      <c r="Y284" s="54"/>
    </row>
    <row r="285" ht="15.75" customHeight="1">
      <c r="X285" s="54"/>
      <c r="Y285" s="54"/>
    </row>
    <row r="286" ht="15.75" customHeight="1">
      <c r="X286" s="54"/>
      <c r="Y286" s="54"/>
    </row>
    <row r="287" ht="15.75" customHeight="1">
      <c r="X287" s="54"/>
      <c r="Y287" s="54"/>
    </row>
    <row r="288" ht="15.75" customHeight="1">
      <c r="X288" s="54"/>
      <c r="Y288" s="54"/>
    </row>
    <row r="289" ht="15.75" customHeight="1">
      <c r="X289" s="54"/>
      <c r="Y289" s="54"/>
    </row>
    <row r="290" ht="15.75" customHeight="1">
      <c r="X290" s="54"/>
      <c r="Y290" s="54"/>
    </row>
    <row r="291" ht="15.75" customHeight="1">
      <c r="X291" s="54"/>
      <c r="Y291" s="54"/>
    </row>
    <row r="292" ht="15.75" customHeight="1">
      <c r="X292" s="54"/>
      <c r="Y292" s="54"/>
    </row>
    <row r="293" ht="15.75" customHeight="1">
      <c r="X293" s="54"/>
      <c r="Y293" s="54"/>
    </row>
    <row r="294" ht="15.75" customHeight="1">
      <c r="X294" s="54"/>
      <c r="Y294" s="54"/>
    </row>
    <row r="295" ht="15.75" customHeight="1">
      <c r="X295" s="54"/>
      <c r="Y295" s="54"/>
    </row>
    <row r="296" ht="15.75" customHeight="1">
      <c r="X296" s="54"/>
      <c r="Y296" s="54"/>
    </row>
    <row r="297" ht="15.75" customHeight="1">
      <c r="X297" s="54"/>
      <c r="Y297" s="54"/>
    </row>
    <row r="298" ht="15.75" customHeight="1">
      <c r="X298" s="54"/>
      <c r="Y298" s="54"/>
    </row>
    <row r="299" ht="15.75" customHeight="1">
      <c r="X299" s="54"/>
      <c r="Y299" s="54"/>
    </row>
    <row r="300" ht="15.75" customHeight="1">
      <c r="X300" s="54"/>
      <c r="Y300" s="54"/>
    </row>
    <row r="301" ht="15.75" customHeight="1">
      <c r="X301" s="54"/>
      <c r="Y301" s="54"/>
    </row>
    <row r="302" ht="15.75" customHeight="1">
      <c r="X302" s="54"/>
      <c r="Y302" s="54"/>
    </row>
    <row r="303" ht="15.75" customHeight="1">
      <c r="X303" s="54"/>
      <c r="Y303" s="54"/>
    </row>
    <row r="304" ht="15.75" customHeight="1">
      <c r="X304" s="54"/>
      <c r="Y304" s="54"/>
    </row>
    <row r="305" ht="15.75" customHeight="1">
      <c r="X305" s="54"/>
      <c r="Y305" s="54"/>
    </row>
    <row r="306" ht="15.75" customHeight="1">
      <c r="X306" s="54"/>
      <c r="Y306" s="54"/>
    </row>
    <row r="307" ht="15.75" customHeight="1">
      <c r="X307" s="54"/>
      <c r="Y307" s="54"/>
    </row>
    <row r="308" ht="15.75" customHeight="1">
      <c r="X308" s="54"/>
      <c r="Y308" s="54"/>
    </row>
    <row r="309" ht="15.75" customHeight="1">
      <c r="X309" s="54"/>
      <c r="Y309" s="54"/>
    </row>
    <row r="310" ht="15.75" customHeight="1">
      <c r="X310" s="54"/>
      <c r="Y310" s="54"/>
    </row>
    <row r="311" ht="15.75" customHeight="1">
      <c r="X311" s="54"/>
      <c r="Y311" s="54"/>
    </row>
    <row r="312" ht="15.75" customHeight="1">
      <c r="X312" s="54"/>
      <c r="Y312" s="54"/>
    </row>
    <row r="313" ht="15.75" customHeight="1">
      <c r="X313" s="54"/>
      <c r="Y313" s="54"/>
    </row>
    <row r="314" ht="15.75" customHeight="1">
      <c r="X314" s="54"/>
      <c r="Y314" s="54"/>
    </row>
    <row r="315" ht="15.75" customHeight="1">
      <c r="X315" s="54"/>
      <c r="Y315" s="54"/>
    </row>
    <row r="316" ht="15.75" customHeight="1">
      <c r="X316" s="54"/>
      <c r="Y316" s="54"/>
    </row>
    <row r="317" ht="15.75" customHeight="1">
      <c r="X317" s="54"/>
      <c r="Y317" s="54"/>
    </row>
    <row r="318" ht="15.75" customHeight="1">
      <c r="X318" s="54"/>
      <c r="Y318" s="54"/>
    </row>
    <row r="319" ht="15.75" customHeight="1">
      <c r="X319" s="54"/>
      <c r="Y319" s="54"/>
    </row>
    <row r="320" ht="15.75" customHeight="1">
      <c r="X320" s="54"/>
      <c r="Y320" s="54"/>
    </row>
    <row r="321" ht="15.75" customHeight="1">
      <c r="X321" s="54"/>
      <c r="Y321" s="54"/>
    </row>
    <row r="322" ht="15.75" customHeight="1">
      <c r="X322" s="54"/>
      <c r="Y322" s="54"/>
    </row>
    <row r="323" ht="15.75" customHeight="1">
      <c r="X323" s="54"/>
      <c r="Y323" s="54"/>
    </row>
    <row r="324" ht="15.75" customHeight="1">
      <c r="X324" s="54"/>
      <c r="Y324" s="54"/>
    </row>
    <row r="325" ht="15.75" customHeight="1">
      <c r="X325" s="54"/>
      <c r="Y325" s="54"/>
    </row>
    <row r="326" ht="15.75" customHeight="1">
      <c r="X326" s="54"/>
      <c r="Y326" s="54"/>
    </row>
    <row r="327" ht="15.75" customHeight="1">
      <c r="X327" s="54"/>
      <c r="Y327" s="54"/>
    </row>
    <row r="328" ht="15.75" customHeight="1">
      <c r="X328" s="54"/>
      <c r="Y328" s="54"/>
    </row>
    <row r="329" ht="15.75" customHeight="1">
      <c r="X329" s="54"/>
      <c r="Y329" s="54"/>
    </row>
    <row r="330" ht="15.75" customHeight="1">
      <c r="X330" s="54"/>
      <c r="Y330" s="54"/>
    </row>
    <row r="331" ht="15.75" customHeight="1">
      <c r="X331" s="54"/>
      <c r="Y331" s="54"/>
    </row>
    <row r="332" ht="15.75" customHeight="1">
      <c r="X332" s="54"/>
      <c r="Y332" s="54"/>
    </row>
    <row r="333" ht="15.75" customHeight="1">
      <c r="X333" s="54"/>
      <c r="Y333" s="54"/>
    </row>
    <row r="334" ht="15.75" customHeight="1">
      <c r="X334" s="54"/>
      <c r="Y334" s="54"/>
    </row>
    <row r="335" ht="15.75" customHeight="1">
      <c r="X335" s="54"/>
      <c r="Y335" s="54"/>
    </row>
    <row r="336" ht="15.75" customHeight="1">
      <c r="X336" s="54"/>
      <c r="Y336" s="54"/>
    </row>
    <row r="337" ht="15.75" customHeight="1">
      <c r="X337" s="54"/>
      <c r="Y337" s="54"/>
    </row>
    <row r="338" ht="15.75" customHeight="1">
      <c r="X338" s="54"/>
      <c r="Y338" s="54"/>
    </row>
    <row r="339" ht="15.75" customHeight="1">
      <c r="X339" s="54"/>
      <c r="Y339" s="54"/>
    </row>
    <row r="340" ht="15.75" customHeight="1">
      <c r="X340" s="54"/>
      <c r="Y340" s="54"/>
    </row>
    <row r="341" ht="15.75" customHeight="1">
      <c r="X341" s="54"/>
      <c r="Y341" s="54"/>
    </row>
    <row r="342" ht="15.75" customHeight="1">
      <c r="X342" s="54"/>
      <c r="Y342" s="54"/>
    </row>
    <row r="343" ht="15.75" customHeight="1">
      <c r="X343" s="54"/>
      <c r="Y343" s="54"/>
    </row>
    <row r="344" ht="15.75" customHeight="1">
      <c r="X344" s="54"/>
      <c r="Y344" s="54"/>
    </row>
    <row r="345" ht="15.75" customHeight="1">
      <c r="X345" s="54"/>
      <c r="Y345" s="54"/>
    </row>
    <row r="346" ht="15.75" customHeight="1">
      <c r="X346" s="54"/>
      <c r="Y346" s="54"/>
    </row>
    <row r="347" ht="15.75" customHeight="1">
      <c r="X347" s="54"/>
      <c r="Y347" s="54"/>
    </row>
    <row r="348" ht="15.75" customHeight="1">
      <c r="X348" s="54"/>
      <c r="Y348" s="54"/>
    </row>
    <row r="349" ht="15.75" customHeight="1">
      <c r="X349" s="54"/>
      <c r="Y349" s="54"/>
    </row>
    <row r="350" ht="15.75" customHeight="1">
      <c r="X350" s="54"/>
      <c r="Y350" s="54"/>
    </row>
    <row r="351" ht="15.75" customHeight="1">
      <c r="X351" s="54"/>
      <c r="Y351" s="54"/>
    </row>
    <row r="352" ht="15.75" customHeight="1">
      <c r="X352" s="54"/>
      <c r="Y352" s="54"/>
    </row>
    <row r="353" ht="15.75" customHeight="1">
      <c r="X353" s="54"/>
      <c r="Y353" s="54"/>
    </row>
    <row r="354" ht="15.75" customHeight="1">
      <c r="X354" s="54"/>
      <c r="Y354" s="54"/>
    </row>
    <row r="355" ht="15.75" customHeight="1">
      <c r="X355" s="54"/>
      <c r="Y355" s="54"/>
    </row>
    <row r="356" ht="15.75" customHeight="1">
      <c r="X356" s="54"/>
      <c r="Y356" s="54"/>
    </row>
    <row r="357" ht="15.75" customHeight="1">
      <c r="X357" s="54"/>
      <c r="Y357" s="54"/>
    </row>
    <row r="358" ht="15.75" customHeight="1">
      <c r="X358" s="54"/>
      <c r="Y358" s="54"/>
    </row>
    <row r="359" ht="15.75" customHeight="1">
      <c r="X359" s="54"/>
      <c r="Y359" s="54"/>
    </row>
    <row r="360" ht="15.75" customHeight="1">
      <c r="X360" s="54"/>
      <c r="Y360" s="54"/>
    </row>
    <row r="361" ht="15.75" customHeight="1">
      <c r="X361" s="54"/>
      <c r="Y361" s="54"/>
    </row>
    <row r="362" ht="15.75" customHeight="1">
      <c r="X362" s="54"/>
      <c r="Y362" s="54"/>
    </row>
    <row r="363" ht="15.75" customHeight="1">
      <c r="X363" s="54"/>
      <c r="Y363" s="54"/>
    </row>
    <row r="364" ht="15.75" customHeight="1">
      <c r="X364" s="54"/>
      <c r="Y364" s="54"/>
    </row>
    <row r="365" ht="15.75" customHeight="1">
      <c r="X365" s="54"/>
      <c r="Y365" s="54"/>
    </row>
    <row r="366" ht="15.75" customHeight="1">
      <c r="X366" s="54"/>
      <c r="Y366" s="54"/>
    </row>
    <row r="367" ht="15.75" customHeight="1">
      <c r="X367" s="54"/>
      <c r="Y367" s="54"/>
    </row>
    <row r="368" ht="15.75" customHeight="1">
      <c r="X368" s="54"/>
      <c r="Y368" s="54"/>
    </row>
    <row r="369" ht="15.75" customHeight="1">
      <c r="X369" s="54"/>
      <c r="Y369" s="54"/>
    </row>
    <row r="370" ht="15.75" customHeight="1">
      <c r="X370" s="54"/>
      <c r="Y370" s="54"/>
    </row>
    <row r="371" ht="15.75" customHeight="1">
      <c r="X371" s="54"/>
      <c r="Y371" s="54"/>
    </row>
    <row r="372" ht="15.75" customHeight="1">
      <c r="X372" s="54"/>
      <c r="Y372" s="54"/>
    </row>
    <row r="373" ht="15.75" customHeight="1">
      <c r="X373" s="54"/>
      <c r="Y373" s="54"/>
    </row>
    <row r="374" ht="15.75" customHeight="1">
      <c r="X374" s="54"/>
      <c r="Y374" s="54"/>
    </row>
    <row r="375" ht="15.75" customHeight="1">
      <c r="X375" s="54"/>
      <c r="Y375" s="54"/>
    </row>
    <row r="376" ht="15.75" customHeight="1">
      <c r="X376" s="54"/>
      <c r="Y376" s="54"/>
    </row>
    <row r="377" ht="15.75" customHeight="1">
      <c r="X377" s="54"/>
      <c r="Y377" s="54"/>
    </row>
    <row r="378" ht="15.75" customHeight="1">
      <c r="X378" s="54"/>
      <c r="Y378" s="54"/>
    </row>
    <row r="379" ht="15.75" customHeight="1">
      <c r="X379" s="54"/>
      <c r="Y379" s="54"/>
    </row>
    <row r="380" ht="15.75" customHeight="1">
      <c r="X380" s="54"/>
      <c r="Y380" s="54"/>
    </row>
    <row r="381" ht="15.75" customHeight="1">
      <c r="X381" s="54"/>
      <c r="Y381" s="54"/>
    </row>
    <row r="382" ht="15.75" customHeight="1">
      <c r="X382" s="54"/>
      <c r="Y382" s="54"/>
    </row>
    <row r="383" ht="15.75" customHeight="1">
      <c r="X383" s="54"/>
      <c r="Y383" s="54"/>
    </row>
    <row r="384" ht="15.75" customHeight="1">
      <c r="X384" s="54"/>
      <c r="Y384" s="54"/>
    </row>
    <row r="385" ht="15.75" customHeight="1">
      <c r="X385" s="54"/>
      <c r="Y385" s="54"/>
    </row>
    <row r="386" ht="15.75" customHeight="1">
      <c r="X386" s="54"/>
      <c r="Y386" s="54"/>
    </row>
    <row r="387" ht="15.75" customHeight="1">
      <c r="X387" s="54"/>
      <c r="Y387" s="54"/>
    </row>
    <row r="388" ht="15.75" customHeight="1">
      <c r="X388" s="54"/>
      <c r="Y388" s="54"/>
    </row>
    <row r="389" ht="15.75" customHeight="1">
      <c r="X389" s="54"/>
      <c r="Y389" s="54"/>
    </row>
    <row r="390" ht="15.75" customHeight="1">
      <c r="X390" s="54"/>
      <c r="Y390" s="54"/>
    </row>
    <row r="391" ht="15.75" customHeight="1">
      <c r="X391" s="54"/>
      <c r="Y391" s="54"/>
    </row>
    <row r="392" ht="15.75" customHeight="1">
      <c r="X392" s="54"/>
      <c r="Y392" s="54"/>
    </row>
    <row r="393" ht="15.75" customHeight="1">
      <c r="X393" s="54"/>
      <c r="Y393" s="54"/>
    </row>
    <row r="394" ht="15.75" customHeight="1">
      <c r="X394" s="54"/>
      <c r="Y394" s="54"/>
    </row>
    <row r="395" ht="15.75" customHeight="1">
      <c r="X395" s="54"/>
      <c r="Y395" s="54"/>
    </row>
    <row r="396" ht="15.75" customHeight="1">
      <c r="X396" s="54"/>
      <c r="Y396" s="54"/>
    </row>
    <row r="397" ht="15.75" customHeight="1">
      <c r="X397" s="54"/>
      <c r="Y397" s="54"/>
    </row>
    <row r="398" ht="15.75" customHeight="1">
      <c r="X398" s="54"/>
      <c r="Y398" s="54"/>
    </row>
    <row r="399" ht="15.75" customHeight="1">
      <c r="X399" s="54"/>
      <c r="Y399" s="54"/>
    </row>
    <row r="400" ht="15.75" customHeight="1">
      <c r="X400" s="54"/>
      <c r="Y400" s="54"/>
    </row>
    <row r="401" ht="15.75" customHeight="1">
      <c r="X401" s="54"/>
      <c r="Y401" s="54"/>
    </row>
    <row r="402" ht="15.75" customHeight="1">
      <c r="X402" s="54"/>
      <c r="Y402" s="54"/>
    </row>
    <row r="403" ht="15.75" customHeight="1">
      <c r="X403" s="54"/>
      <c r="Y403" s="54"/>
    </row>
    <row r="404" ht="15.75" customHeight="1">
      <c r="X404" s="54"/>
      <c r="Y404" s="54"/>
    </row>
    <row r="405" ht="15.75" customHeight="1">
      <c r="X405" s="54"/>
      <c r="Y405" s="54"/>
    </row>
    <row r="406" ht="15.75" customHeight="1">
      <c r="X406" s="54"/>
      <c r="Y406" s="54"/>
    </row>
    <row r="407" ht="15.75" customHeight="1">
      <c r="X407" s="54"/>
      <c r="Y407" s="54"/>
    </row>
    <row r="408" ht="15.75" customHeight="1">
      <c r="X408" s="54"/>
      <c r="Y408" s="54"/>
    </row>
    <row r="409" ht="15.75" customHeight="1">
      <c r="X409" s="54"/>
      <c r="Y409" s="54"/>
    </row>
    <row r="410" ht="15.75" customHeight="1">
      <c r="X410" s="54"/>
      <c r="Y410" s="54"/>
    </row>
    <row r="411" ht="15.75" customHeight="1">
      <c r="X411" s="54"/>
      <c r="Y411" s="54"/>
    </row>
    <row r="412" ht="15.75" customHeight="1">
      <c r="X412" s="54"/>
      <c r="Y412" s="54"/>
    </row>
    <row r="413" ht="15.75" customHeight="1">
      <c r="X413" s="54"/>
      <c r="Y413" s="54"/>
    </row>
    <row r="414" ht="15.75" customHeight="1">
      <c r="X414" s="54"/>
      <c r="Y414" s="54"/>
    </row>
    <row r="415" ht="15.75" customHeight="1">
      <c r="X415" s="54"/>
      <c r="Y415" s="54"/>
    </row>
    <row r="416" ht="15.75" customHeight="1">
      <c r="X416" s="54"/>
      <c r="Y416" s="54"/>
    </row>
    <row r="417" ht="15.75" customHeight="1">
      <c r="X417" s="54"/>
      <c r="Y417" s="54"/>
    </row>
    <row r="418" ht="15.75" customHeight="1">
      <c r="X418" s="54"/>
      <c r="Y418" s="54"/>
    </row>
    <row r="419" ht="15.75" customHeight="1">
      <c r="X419" s="54"/>
      <c r="Y419" s="54"/>
    </row>
    <row r="420" ht="15.75" customHeight="1">
      <c r="X420" s="54"/>
      <c r="Y420" s="54"/>
    </row>
    <row r="421" ht="15.75" customHeight="1">
      <c r="X421" s="54"/>
      <c r="Y421" s="54"/>
    </row>
    <row r="422" ht="15.75" customHeight="1">
      <c r="X422" s="54"/>
      <c r="Y422" s="54"/>
    </row>
    <row r="423" ht="15.75" customHeight="1">
      <c r="X423" s="54"/>
      <c r="Y423" s="54"/>
    </row>
    <row r="424" ht="15.75" customHeight="1">
      <c r="X424" s="54"/>
      <c r="Y424" s="54"/>
    </row>
    <row r="425" ht="15.75" customHeight="1">
      <c r="X425" s="54"/>
      <c r="Y425" s="54"/>
    </row>
    <row r="426" ht="15.75" customHeight="1">
      <c r="X426" s="54"/>
      <c r="Y426" s="54"/>
    </row>
    <row r="427" ht="15.75" customHeight="1">
      <c r="X427" s="54"/>
      <c r="Y427" s="54"/>
    </row>
    <row r="428" ht="15.75" customHeight="1">
      <c r="X428" s="54"/>
      <c r="Y428" s="54"/>
    </row>
    <row r="429" ht="15.75" customHeight="1">
      <c r="X429" s="54"/>
      <c r="Y429" s="54"/>
    </row>
    <row r="430" ht="15.75" customHeight="1">
      <c r="X430" s="54"/>
      <c r="Y430" s="54"/>
    </row>
    <row r="431" ht="15.75" customHeight="1">
      <c r="X431" s="54"/>
      <c r="Y431" s="54"/>
    </row>
    <row r="432" ht="15.75" customHeight="1">
      <c r="X432" s="54"/>
      <c r="Y432" s="54"/>
    </row>
    <row r="433" ht="15.75" customHeight="1">
      <c r="X433" s="54"/>
      <c r="Y433" s="54"/>
    </row>
    <row r="434" ht="15.75" customHeight="1">
      <c r="X434" s="54"/>
      <c r="Y434" s="54"/>
    </row>
    <row r="435" ht="15.75" customHeight="1">
      <c r="X435" s="54"/>
      <c r="Y435" s="54"/>
    </row>
    <row r="436" ht="15.75" customHeight="1">
      <c r="X436" s="54"/>
      <c r="Y436" s="54"/>
    </row>
    <row r="437" ht="15.75" customHeight="1">
      <c r="X437" s="54"/>
      <c r="Y437" s="54"/>
    </row>
    <row r="438" ht="15.75" customHeight="1">
      <c r="X438" s="54"/>
      <c r="Y438" s="54"/>
    </row>
    <row r="439" ht="15.75" customHeight="1">
      <c r="X439" s="54"/>
      <c r="Y439" s="54"/>
    </row>
    <row r="440" ht="15.75" customHeight="1">
      <c r="X440" s="54"/>
      <c r="Y440" s="54"/>
    </row>
    <row r="441" ht="15.75" customHeight="1">
      <c r="X441" s="54"/>
      <c r="Y441" s="54"/>
    </row>
    <row r="442" ht="15.75" customHeight="1">
      <c r="X442" s="54"/>
      <c r="Y442" s="54"/>
    </row>
    <row r="443" ht="15.75" customHeight="1">
      <c r="X443" s="54"/>
      <c r="Y443" s="54"/>
    </row>
    <row r="444" ht="15.75" customHeight="1">
      <c r="X444" s="54"/>
      <c r="Y444" s="54"/>
    </row>
    <row r="445" ht="15.75" customHeight="1">
      <c r="X445" s="54"/>
      <c r="Y445" s="54"/>
    </row>
    <row r="446" ht="15.75" customHeight="1">
      <c r="X446" s="54"/>
      <c r="Y446" s="54"/>
    </row>
    <row r="447" ht="15.75" customHeight="1">
      <c r="X447" s="54"/>
      <c r="Y447" s="54"/>
    </row>
    <row r="448" ht="15.75" customHeight="1">
      <c r="X448" s="54"/>
      <c r="Y448" s="54"/>
    </row>
    <row r="449" ht="15.75" customHeight="1">
      <c r="X449" s="54"/>
      <c r="Y449" s="54"/>
    </row>
    <row r="450" ht="15.75" customHeight="1">
      <c r="X450" s="54"/>
      <c r="Y450" s="54"/>
    </row>
    <row r="451" ht="15.75" customHeight="1">
      <c r="X451" s="54"/>
      <c r="Y451" s="54"/>
    </row>
    <row r="452" ht="15.75" customHeight="1">
      <c r="X452" s="54"/>
      <c r="Y452" s="54"/>
    </row>
    <row r="453" ht="15.75" customHeight="1">
      <c r="X453" s="54"/>
      <c r="Y453" s="54"/>
    </row>
    <row r="454" ht="15.75" customHeight="1">
      <c r="X454" s="54"/>
      <c r="Y454" s="54"/>
    </row>
    <row r="455" ht="15.75" customHeight="1">
      <c r="X455" s="54"/>
      <c r="Y455" s="54"/>
    </row>
    <row r="456" ht="15.75" customHeight="1">
      <c r="X456" s="54"/>
      <c r="Y456" s="54"/>
    </row>
    <row r="457" ht="15.75" customHeight="1">
      <c r="X457" s="54"/>
      <c r="Y457" s="54"/>
    </row>
    <row r="458" ht="15.75" customHeight="1">
      <c r="X458" s="54"/>
      <c r="Y458" s="54"/>
    </row>
    <row r="459" ht="15.75" customHeight="1">
      <c r="X459" s="54"/>
      <c r="Y459" s="54"/>
    </row>
    <row r="460" ht="15.75" customHeight="1">
      <c r="X460" s="54"/>
      <c r="Y460" s="54"/>
    </row>
    <row r="461" ht="15.75" customHeight="1">
      <c r="X461" s="54"/>
      <c r="Y461" s="54"/>
    </row>
    <row r="462" ht="15.75" customHeight="1">
      <c r="X462" s="54"/>
      <c r="Y462" s="54"/>
    </row>
    <row r="463" ht="15.75" customHeight="1">
      <c r="X463" s="54"/>
      <c r="Y463" s="54"/>
    </row>
    <row r="464" ht="15.75" customHeight="1">
      <c r="X464" s="54"/>
      <c r="Y464" s="54"/>
    </row>
    <row r="465" ht="15.75" customHeight="1">
      <c r="X465" s="54"/>
      <c r="Y465" s="54"/>
    </row>
    <row r="466" ht="15.75" customHeight="1">
      <c r="X466" s="54"/>
      <c r="Y466" s="54"/>
    </row>
    <row r="467" ht="15.75" customHeight="1">
      <c r="X467" s="54"/>
      <c r="Y467" s="54"/>
    </row>
    <row r="468" ht="15.75" customHeight="1">
      <c r="X468" s="54"/>
      <c r="Y468" s="54"/>
    </row>
    <row r="469" ht="15.75" customHeight="1">
      <c r="X469" s="54"/>
      <c r="Y469" s="54"/>
    </row>
    <row r="470" ht="15.75" customHeight="1">
      <c r="X470" s="54"/>
      <c r="Y470" s="54"/>
    </row>
    <row r="471" ht="15.75" customHeight="1">
      <c r="X471" s="54"/>
      <c r="Y471" s="54"/>
    </row>
    <row r="472" ht="15.75" customHeight="1">
      <c r="X472" s="54"/>
      <c r="Y472" s="54"/>
    </row>
    <row r="473" ht="15.75" customHeight="1">
      <c r="X473" s="54"/>
      <c r="Y473" s="54"/>
    </row>
    <row r="474" ht="15.75" customHeight="1">
      <c r="X474" s="54"/>
      <c r="Y474" s="54"/>
    </row>
    <row r="475" ht="15.75" customHeight="1">
      <c r="X475" s="54"/>
      <c r="Y475" s="54"/>
    </row>
    <row r="476" ht="15.75" customHeight="1">
      <c r="X476" s="54"/>
      <c r="Y476" s="54"/>
    </row>
    <row r="477" ht="15.75" customHeight="1">
      <c r="X477" s="54"/>
      <c r="Y477" s="54"/>
    </row>
    <row r="478" ht="15.75" customHeight="1">
      <c r="X478" s="54"/>
      <c r="Y478" s="54"/>
    </row>
    <row r="479" ht="15.75" customHeight="1">
      <c r="X479" s="54"/>
      <c r="Y479" s="54"/>
    </row>
    <row r="480" ht="15.75" customHeight="1">
      <c r="X480" s="54"/>
      <c r="Y480" s="54"/>
    </row>
    <row r="481" ht="15.75" customHeight="1">
      <c r="X481" s="54"/>
      <c r="Y481" s="54"/>
    </row>
    <row r="482" ht="15.75" customHeight="1">
      <c r="X482" s="54"/>
      <c r="Y482" s="54"/>
    </row>
    <row r="483" ht="15.75" customHeight="1">
      <c r="X483" s="54"/>
      <c r="Y483" s="54"/>
    </row>
    <row r="484" ht="15.75" customHeight="1">
      <c r="X484" s="54"/>
      <c r="Y484" s="54"/>
    </row>
    <row r="485" ht="15.75" customHeight="1">
      <c r="X485" s="54"/>
      <c r="Y485" s="54"/>
    </row>
    <row r="486" ht="15.75" customHeight="1">
      <c r="X486" s="54"/>
      <c r="Y486" s="54"/>
    </row>
    <row r="487" ht="15.75" customHeight="1">
      <c r="X487" s="54"/>
      <c r="Y487" s="54"/>
    </row>
    <row r="488" ht="15.75" customHeight="1">
      <c r="X488" s="54"/>
      <c r="Y488" s="54"/>
    </row>
    <row r="489" ht="15.75" customHeight="1">
      <c r="X489" s="54"/>
      <c r="Y489" s="54"/>
    </row>
    <row r="490" ht="15.75" customHeight="1">
      <c r="X490" s="54"/>
      <c r="Y490" s="54"/>
    </row>
    <row r="491" ht="15.75" customHeight="1">
      <c r="X491" s="54"/>
      <c r="Y491" s="54"/>
    </row>
    <row r="492" ht="15.75" customHeight="1">
      <c r="X492" s="54"/>
      <c r="Y492" s="54"/>
    </row>
    <row r="493" ht="15.75" customHeight="1">
      <c r="X493" s="54"/>
      <c r="Y493" s="54"/>
    </row>
    <row r="494" ht="15.75" customHeight="1">
      <c r="X494" s="54"/>
      <c r="Y494" s="54"/>
    </row>
    <row r="495" ht="15.75" customHeight="1">
      <c r="X495" s="54"/>
      <c r="Y495" s="54"/>
    </row>
    <row r="496" ht="15.75" customHeight="1">
      <c r="X496" s="54"/>
      <c r="Y496" s="54"/>
    </row>
    <row r="497" ht="15.75" customHeight="1">
      <c r="X497" s="54"/>
      <c r="Y497" s="54"/>
    </row>
    <row r="498" ht="15.75" customHeight="1">
      <c r="X498" s="54"/>
      <c r="Y498" s="54"/>
    </row>
    <row r="499" ht="15.75" customHeight="1">
      <c r="X499" s="54"/>
      <c r="Y499" s="54"/>
    </row>
    <row r="500" ht="15.75" customHeight="1">
      <c r="X500" s="54"/>
      <c r="Y500" s="54"/>
    </row>
    <row r="501" ht="15.75" customHeight="1">
      <c r="X501" s="54"/>
      <c r="Y501" s="54"/>
    </row>
    <row r="502" ht="15.75" customHeight="1">
      <c r="X502" s="54"/>
      <c r="Y502" s="54"/>
    </row>
    <row r="503" ht="15.75" customHeight="1">
      <c r="X503" s="54"/>
      <c r="Y503" s="54"/>
    </row>
    <row r="504" ht="15.75" customHeight="1">
      <c r="X504" s="54"/>
      <c r="Y504" s="54"/>
    </row>
    <row r="505" ht="15.75" customHeight="1">
      <c r="X505" s="54"/>
      <c r="Y505" s="54"/>
    </row>
    <row r="506" ht="15.75" customHeight="1">
      <c r="X506" s="54"/>
      <c r="Y506" s="54"/>
    </row>
    <row r="507" ht="15.75" customHeight="1">
      <c r="X507" s="54"/>
      <c r="Y507" s="54"/>
    </row>
    <row r="508" ht="15.75" customHeight="1">
      <c r="X508" s="54"/>
      <c r="Y508" s="54"/>
    </row>
    <row r="509" ht="15.75" customHeight="1">
      <c r="X509" s="54"/>
      <c r="Y509" s="54"/>
    </row>
    <row r="510" ht="15.75" customHeight="1">
      <c r="X510" s="54"/>
      <c r="Y510" s="54"/>
    </row>
    <row r="511" ht="15.75" customHeight="1">
      <c r="X511" s="54"/>
      <c r="Y511" s="54"/>
    </row>
    <row r="512" ht="15.75" customHeight="1">
      <c r="X512" s="54"/>
      <c r="Y512" s="54"/>
    </row>
    <row r="513" ht="15.75" customHeight="1">
      <c r="X513" s="54"/>
      <c r="Y513" s="54"/>
    </row>
    <row r="514" ht="15.75" customHeight="1">
      <c r="X514" s="54"/>
      <c r="Y514" s="54"/>
    </row>
    <row r="515" ht="15.75" customHeight="1">
      <c r="X515" s="54"/>
      <c r="Y515" s="54"/>
    </row>
    <row r="516" ht="15.75" customHeight="1">
      <c r="X516" s="54"/>
      <c r="Y516" s="54"/>
    </row>
    <row r="517" ht="15.75" customHeight="1">
      <c r="X517" s="54"/>
      <c r="Y517" s="54"/>
    </row>
    <row r="518" ht="15.75" customHeight="1">
      <c r="X518" s="54"/>
      <c r="Y518" s="54"/>
    </row>
    <row r="519" ht="15.75" customHeight="1">
      <c r="X519" s="54"/>
      <c r="Y519" s="54"/>
    </row>
    <row r="520" ht="15.75" customHeight="1">
      <c r="X520" s="54"/>
      <c r="Y520" s="54"/>
    </row>
    <row r="521" ht="15.75" customHeight="1">
      <c r="X521" s="54"/>
      <c r="Y521" s="54"/>
    </row>
    <row r="522" ht="15.75" customHeight="1">
      <c r="X522" s="54"/>
      <c r="Y522" s="54"/>
    </row>
    <row r="523" ht="15.75" customHeight="1">
      <c r="X523" s="54"/>
      <c r="Y523" s="54"/>
    </row>
    <row r="524" ht="15.75" customHeight="1">
      <c r="X524" s="54"/>
      <c r="Y524" s="54"/>
    </row>
    <row r="525" ht="15.75" customHeight="1">
      <c r="X525" s="54"/>
      <c r="Y525" s="54"/>
    </row>
    <row r="526" ht="15.75" customHeight="1">
      <c r="X526" s="54"/>
      <c r="Y526" s="54"/>
    </row>
    <row r="527" ht="15.75" customHeight="1">
      <c r="X527" s="54"/>
      <c r="Y527" s="54"/>
    </row>
    <row r="528" ht="15.75" customHeight="1">
      <c r="X528" s="54"/>
      <c r="Y528" s="54"/>
    </row>
    <row r="529" ht="15.75" customHeight="1">
      <c r="X529" s="54"/>
      <c r="Y529" s="54"/>
    </row>
    <row r="530" ht="15.75" customHeight="1">
      <c r="X530" s="54"/>
      <c r="Y530" s="54"/>
    </row>
    <row r="531" ht="15.75" customHeight="1">
      <c r="X531" s="54"/>
      <c r="Y531" s="54"/>
    </row>
    <row r="532" ht="15.75" customHeight="1">
      <c r="X532" s="54"/>
      <c r="Y532" s="54"/>
    </row>
    <row r="533" ht="15.75" customHeight="1">
      <c r="X533" s="54"/>
      <c r="Y533" s="54"/>
    </row>
    <row r="534" ht="15.75" customHeight="1">
      <c r="X534" s="54"/>
      <c r="Y534" s="54"/>
    </row>
    <row r="535" ht="15.75" customHeight="1">
      <c r="X535" s="54"/>
      <c r="Y535" s="54"/>
    </row>
    <row r="536" ht="15.75" customHeight="1">
      <c r="X536" s="54"/>
      <c r="Y536" s="54"/>
    </row>
    <row r="537" ht="15.75" customHeight="1">
      <c r="X537" s="54"/>
      <c r="Y537" s="54"/>
    </row>
    <row r="538" ht="15.75" customHeight="1">
      <c r="X538" s="54"/>
      <c r="Y538" s="54"/>
    </row>
    <row r="539" ht="15.75" customHeight="1">
      <c r="X539" s="54"/>
      <c r="Y539" s="54"/>
    </row>
    <row r="540" ht="15.75" customHeight="1">
      <c r="X540" s="54"/>
      <c r="Y540" s="54"/>
    </row>
    <row r="541" ht="15.75" customHeight="1">
      <c r="X541" s="54"/>
      <c r="Y541" s="54"/>
    </row>
    <row r="542" ht="15.75" customHeight="1">
      <c r="X542" s="54"/>
      <c r="Y542" s="54"/>
    </row>
    <row r="543" ht="15.75" customHeight="1">
      <c r="X543" s="54"/>
      <c r="Y543" s="54"/>
    </row>
    <row r="544" ht="15.75" customHeight="1">
      <c r="X544" s="54"/>
      <c r="Y544" s="54"/>
    </row>
    <row r="545" ht="15.75" customHeight="1">
      <c r="X545" s="54"/>
      <c r="Y545" s="54"/>
    </row>
    <row r="546" ht="15.75" customHeight="1">
      <c r="X546" s="54"/>
      <c r="Y546" s="54"/>
    </row>
    <row r="547" ht="15.75" customHeight="1">
      <c r="X547" s="54"/>
      <c r="Y547" s="54"/>
    </row>
    <row r="548" ht="15.75" customHeight="1">
      <c r="X548" s="54"/>
      <c r="Y548" s="54"/>
    </row>
    <row r="549" ht="15.75" customHeight="1">
      <c r="X549" s="54"/>
      <c r="Y549" s="54"/>
    </row>
    <row r="550" ht="15.75" customHeight="1">
      <c r="X550" s="54"/>
      <c r="Y550" s="54"/>
    </row>
    <row r="551" ht="15.75" customHeight="1">
      <c r="X551" s="54"/>
      <c r="Y551" s="54"/>
    </row>
    <row r="552" ht="15.75" customHeight="1">
      <c r="X552" s="54"/>
      <c r="Y552" s="54"/>
    </row>
    <row r="553" ht="15.75" customHeight="1">
      <c r="X553" s="54"/>
      <c r="Y553" s="54"/>
    </row>
    <row r="554" ht="15.75" customHeight="1">
      <c r="X554" s="54"/>
      <c r="Y554" s="54"/>
    </row>
    <row r="555" ht="15.75" customHeight="1">
      <c r="X555" s="54"/>
      <c r="Y555" s="54"/>
    </row>
    <row r="556" ht="15.75" customHeight="1">
      <c r="X556" s="54"/>
      <c r="Y556" s="54"/>
    </row>
    <row r="557" ht="15.75" customHeight="1">
      <c r="X557" s="54"/>
      <c r="Y557" s="54"/>
    </row>
    <row r="558" ht="15.75" customHeight="1">
      <c r="X558" s="54"/>
      <c r="Y558" s="54"/>
    </row>
    <row r="559" ht="15.75" customHeight="1">
      <c r="X559" s="54"/>
      <c r="Y559" s="54"/>
    </row>
    <row r="560" ht="15.75" customHeight="1">
      <c r="X560" s="54"/>
      <c r="Y560" s="54"/>
    </row>
    <row r="561" ht="15.75" customHeight="1">
      <c r="X561" s="54"/>
      <c r="Y561" s="54"/>
    </row>
    <row r="562" ht="15.75" customHeight="1">
      <c r="X562" s="54"/>
      <c r="Y562" s="54"/>
    </row>
    <row r="563" ht="15.75" customHeight="1">
      <c r="X563" s="54"/>
      <c r="Y563" s="54"/>
    </row>
    <row r="564" ht="15.75" customHeight="1">
      <c r="X564" s="54"/>
      <c r="Y564" s="54"/>
    </row>
    <row r="565" ht="15.75" customHeight="1">
      <c r="X565" s="54"/>
      <c r="Y565" s="54"/>
    </row>
    <row r="566" ht="15.75" customHeight="1">
      <c r="X566" s="54"/>
      <c r="Y566" s="54"/>
    </row>
    <row r="567" ht="15.75" customHeight="1">
      <c r="X567" s="54"/>
      <c r="Y567" s="54"/>
    </row>
    <row r="568" ht="15.75" customHeight="1">
      <c r="X568" s="54"/>
      <c r="Y568" s="54"/>
    </row>
    <row r="569" ht="15.75" customHeight="1">
      <c r="X569" s="54"/>
      <c r="Y569" s="54"/>
    </row>
    <row r="570" ht="15.75" customHeight="1">
      <c r="X570" s="54"/>
      <c r="Y570" s="54"/>
    </row>
    <row r="571" ht="15.75" customHeight="1">
      <c r="X571" s="54"/>
      <c r="Y571" s="54"/>
    </row>
    <row r="572" ht="15.75" customHeight="1">
      <c r="X572" s="54"/>
      <c r="Y572" s="54"/>
    </row>
    <row r="573" ht="15.75" customHeight="1">
      <c r="X573" s="54"/>
      <c r="Y573" s="54"/>
    </row>
    <row r="574" ht="15.75" customHeight="1">
      <c r="X574" s="54"/>
      <c r="Y574" s="54"/>
    </row>
    <row r="575" ht="15.75" customHeight="1">
      <c r="X575" s="54"/>
      <c r="Y575" s="54"/>
    </row>
    <row r="576" ht="15.75" customHeight="1">
      <c r="X576" s="54"/>
      <c r="Y576" s="54"/>
    </row>
    <row r="577" ht="15.75" customHeight="1">
      <c r="X577" s="54"/>
      <c r="Y577" s="54"/>
    </row>
    <row r="578" ht="15.75" customHeight="1">
      <c r="X578" s="54"/>
      <c r="Y578" s="54"/>
    </row>
    <row r="579" ht="15.75" customHeight="1">
      <c r="X579" s="54"/>
      <c r="Y579" s="54"/>
    </row>
    <row r="580" ht="15.75" customHeight="1">
      <c r="X580" s="54"/>
      <c r="Y580" s="54"/>
    </row>
    <row r="581" ht="15.75" customHeight="1">
      <c r="X581" s="54"/>
      <c r="Y581" s="54"/>
    </row>
    <row r="582" ht="15.75" customHeight="1">
      <c r="X582" s="54"/>
      <c r="Y582" s="54"/>
    </row>
    <row r="583" ht="15.75" customHeight="1">
      <c r="X583" s="54"/>
      <c r="Y583" s="54"/>
    </row>
    <row r="584" ht="15.75" customHeight="1">
      <c r="X584" s="54"/>
      <c r="Y584" s="54"/>
    </row>
    <row r="585" ht="15.75" customHeight="1">
      <c r="X585" s="54"/>
      <c r="Y585" s="54"/>
    </row>
    <row r="586" ht="15.75" customHeight="1">
      <c r="X586" s="54"/>
      <c r="Y586" s="54"/>
    </row>
    <row r="587" ht="15.75" customHeight="1">
      <c r="X587" s="54"/>
      <c r="Y587" s="54"/>
    </row>
    <row r="588" ht="15.75" customHeight="1">
      <c r="X588" s="54"/>
      <c r="Y588" s="54"/>
    </row>
    <row r="589" ht="15.75" customHeight="1">
      <c r="X589" s="54"/>
      <c r="Y589" s="54"/>
    </row>
    <row r="590" ht="15.75" customHeight="1">
      <c r="X590" s="54"/>
      <c r="Y590" s="54"/>
    </row>
    <row r="591" ht="15.75" customHeight="1">
      <c r="X591" s="54"/>
      <c r="Y591" s="54"/>
    </row>
    <row r="592" ht="15.75" customHeight="1">
      <c r="X592" s="54"/>
      <c r="Y592" s="54"/>
    </row>
    <row r="593" ht="15.75" customHeight="1">
      <c r="X593" s="54"/>
      <c r="Y593" s="54"/>
    </row>
    <row r="594" ht="15.75" customHeight="1">
      <c r="X594" s="54"/>
      <c r="Y594" s="54"/>
    </row>
    <row r="595" ht="15.75" customHeight="1">
      <c r="X595" s="54"/>
      <c r="Y595" s="54"/>
    </row>
    <row r="596" ht="15.75" customHeight="1">
      <c r="X596" s="54"/>
      <c r="Y596" s="54"/>
    </row>
    <row r="597" ht="15.75" customHeight="1">
      <c r="X597" s="54"/>
      <c r="Y597" s="54"/>
    </row>
    <row r="598" ht="15.75" customHeight="1">
      <c r="X598" s="54"/>
      <c r="Y598" s="54"/>
    </row>
    <row r="599" ht="15.75" customHeight="1">
      <c r="X599" s="54"/>
      <c r="Y599" s="54"/>
    </row>
    <row r="600" ht="15.75" customHeight="1">
      <c r="X600" s="54"/>
      <c r="Y600" s="54"/>
    </row>
    <row r="601" ht="15.75" customHeight="1">
      <c r="X601" s="54"/>
      <c r="Y601" s="54"/>
    </row>
    <row r="602" ht="15.75" customHeight="1">
      <c r="X602" s="54"/>
      <c r="Y602" s="54"/>
    </row>
    <row r="603" ht="15.75" customHeight="1">
      <c r="X603" s="54"/>
      <c r="Y603" s="54"/>
    </row>
    <row r="604" ht="15.75" customHeight="1">
      <c r="X604" s="54"/>
      <c r="Y604" s="54"/>
    </row>
    <row r="605" ht="15.75" customHeight="1">
      <c r="X605" s="54"/>
      <c r="Y605" s="54"/>
    </row>
    <row r="606" ht="15.75" customHeight="1">
      <c r="X606" s="54"/>
      <c r="Y606" s="54"/>
    </row>
    <row r="607" ht="15.75" customHeight="1">
      <c r="X607" s="54"/>
      <c r="Y607" s="54"/>
    </row>
    <row r="608" ht="15.75" customHeight="1">
      <c r="X608" s="54"/>
      <c r="Y608" s="54"/>
    </row>
    <row r="609" ht="15.75" customHeight="1">
      <c r="X609" s="54"/>
      <c r="Y609" s="54"/>
    </row>
    <row r="610" ht="15.75" customHeight="1">
      <c r="X610" s="54"/>
      <c r="Y610" s="54"/>
    </row>
    <row r="611" ht="15.75" customHeight="1">
      <c r="X611" s="54"/>
      <c r="Y611" s="54"/>
    </row>
    <row r="612" ht="15.75" customHeight="1">
      <c r="X612" s="54"/>
      <c r="Y612" s="54"/>
    </row>
    <row r="613" ht="15.75" customHeight="1">
      <c r="X613" s="54"/>
      <c r="Y613" s="54"/>
    </row>
    <row r="614" ht="15.75" customHeight="1">
      <c r="X614" s="54"/>
      <c r="Y614" s="54"/>
    </row>
    <row r="615" ht="15.75" customHeight="1">
      <c r="X615" s="54"/>
      <c r="Y615" s="54"/>
    </row>
    <row r="616" ht="15.75" customHeight="1">
      <c r="X616" s="54"/>
      <c r="Y616" s="54"/>
    </row>
    <row r="617" ht="15.75" customHeight="1">
      <c r="X617" s="54"/>
      <c r="Y617" s="54"/>
    </row>
    <row r="618" ht="15.75" customHeight="1">
      <c r="X618" s="54"/>
      <c r="Y618" s="54"/>
    </row>
    <row r="619" ht="15.75" customHeight="1">
      <c r="X619" s="54"/>
      <c r="Y619" s="54"/>
    </row>
    <row r="620" ht="15.75" customHeight="1">
      <c r="X620" s="54"/>
      <c r="Y620" s="54"/>
    </row>
    <row r="621" ht="15.75" customHeight="1">
      <c r="X621" s="54"/>
      <c r="Y621" s="54"/>
    </row>
    <row r="622" ht="15.75" customHeight="1">
      <c r="X622" s="54"/>
      <c r="Y622" s="54"/>
    </row>
    <row r="623" ht="15.75" customHeight="1">
      <c r="X623" s="54"/>
      <c r="Y623" s="54"/>
    </row>
    <row r="624" ht="15.75" customHeight="1">
      <c r="X624" s="54"/>
      <c r="Y624" s="54"/>
    </row>
    <row r="625" ht="15.75" customHeight="1">
      <c r="X625" s="54"/>
      <c r="Y625" s="54"/>
    </row>
    <row r="626" ht="15.75" customHeight="1">
      <c r="X626" s="54"/>
      <c r="Y626" s="54"/>
    </row>
    <row r="627" ht="15.75" customHeight="1">
      <c r="X627" s="54"/>
      <c r="Y627" s="54"/>
    </row>
    <row r="628" ht="15.75" customHeight="1">
      <c r="X628" s="54"/>
      <c r="Y628" s="54"/>
    </row>
    <row r="629" ht="15.75" customHeight="1">
      <c r="X629" s="54"/>
      <c r="Y629" s="54"/>
    </row>
    <row r="630" ht="15.75" customHeight="1">
      <c r="X630" s="54"/>
      <c r="Y630" s="54"/>
    </row>
    <row r="631" ht="15.75" customHeight="1">
      <c r="X631" s="54"/>
      <c r="Y631" s="54"/>
    </row>
    <row r="632" ht="15.75" customHeight="1">
      <c r="X632" s="54"/>
      <c r="Y632" s="54"/>
    </row>
    <row r="633" ht="15.75" customHeight="1">
      <c r="X633" s="54"/>
      <c r="Y633" s="54"/>
    </row>
    <row r="634" ht="15.75" customHeight="1">
      <c r="X634" s="54"/>
      <c r="Y634" s="54"/>
    </row>
    <row r="635" ht="15.75" customHeight="1">
      <c r="X635" s="54"/>
      <c r="Y635" s="54"/>
    </row>
    <row r="636" ht="15.75" customHeight="1">
      <c r="X636" s="54"/>
      <c r="Y636" s="54"/>
    </row>
    <row r="637" ht="15.75" customHeight="1">
      <c r="X637" s="54"/>
      <c r="Y637" s="54"/>
    </row>
    <row r="638" ht="15.75" customHeight="1">
      <c r="X638" s="54"/>
      <c r="Y638" s="54"/>
    </row>
    <row r="639" ht="15.75" customHeight="1">
      <c r="X639" s="54"/>
      <c r="Y639" s="54"/>
    </row>
    <row r="640" ht="15.75" customHeight="1">
      <c r="X640" s="54"/>
      <c r="Y640" s="54"/>
    </row>
    <row r="641" ht="15.75" customHeight="1">
      <c r="X641" s="54"/>
      <c r="Y641" s="54"/>
    </row>
    <row r="642" ht="15.75" customHeight="1">
      <c r="X642" s="54"/>
      <c r="Y642" s="54"/>
    </row>
    <row r="643" ht="15.75" customHeight="1">
      <c r="X643" s="54"/>
      <c r="Y643" s="54"/>
    </row>
    <row r="644" ht="15.75" customHeight="1">
      <c r="X644" s="54"/>
      <c r="Y644" s="54"/>
    </row>
    <row r="645" ht="15.75" customHeight="1">
      <c r="X645" s="54"/>
      <c r="Y645" s="54"/>
    </row>
    <row r="646" ht="15.75" customHeight="1">
      <c r="X646" s="54"/>
      <c r="Y646" s="54"/>
    </row>
    <row r="647" ht="15.75" customHeight="1">
      <c r="X647" s="54"/>
      <c r="Y647" s="54"/>
    </row>
    <row r="648" ht="15.75" customHeight="1">
      <c r="X648" s="54"/>
      <c r="Y648" s="54"/>
    </row>
    <row r="649" ht="15.75" customHeight="1">
      <c r="X649" s="54"/>
      <c r="Y649" s="54"/>
    </row>
    <row r="650" ht="15.75" customHeight="1">
      <c r="X650" s="54"/>
      <c r="Y650" s="54"/>
    </row>
    <row r="651" ht="15.75" customHeight="1">
      <c r="X651" s="54"/>
      <c r="Y651" s="54"/>
    </row>
    <row r="652" ht="15.75" customHeight="1">
      <c r="X652" s="54"/>
      <c r="Y652" s="54"/>
    </row>
    <row r="653" ht="15.75" customHeight="1">
      <c r="X653" s="54"/>
      <c r="Y653" s="54"/>
    </row>
    <row r="654" ht="15.75" customHeight="1">
      <c r="X654" s="54"/>
      <c r="Y654" s="54"/>
    </row>
    <row r="655" ht="15.75" customHeight="1">
      <c r="X655" s="54"/>
      <c r="Y655" s="54"/>
    </row>
    <row r="656" ht="15.75" customHeight="1">
      <c r="X656" s="54"/>
      <c r="Y656" s="54"/>
    </row>
    <row r="657" ht="15.75" customHeight="1">
      <c r="X657" s="54"/>
      <c r="Y657" s="54"/>
    </row>
    <row r="658" ht="15.75" customHeight="1">
      <c r="X658" s="54"/>
      <c r="Y658" s="54"/>
    </row>
    <row r="659" ht="15.75" customHeight="1">
      <c r="X659" s="54"/>
      <c r="Y659" s="54"/>
    </row>
    <row r="660" ht="15.75" customHeight="1">
      <c r="X660" s="54"/>
      <c r="Y660" s="54"/>
    </row>
    <row r="661" ht="15.75" customHeight="1">
      <c r="X661" s="54"/>
      <c r="Y661" s="54"/>
    </row>
    <row r="662" ht="15.75" customHeight="1">
      <c r="X662" s="54"/>
      <c r="Y662" s="54"/>
    </row>
    <row r="663" ht="15.75" customHeight="1">
      <c r="X663" s="54"/>
      <c r="Y663" s="54"/>
    </row>
    <row r="664" ht="15.75" customHeight="1">
      <c r="X664" s="54"/>
      <c r="Y664" s="54"/>
    </row>
    <row r="665" ht="15.75" customHeight="1">
      <c r="X665" s="54"/>
      <c r="Y665" s="54"/>
    </row>
    <row r="666" ht="15.75" customHeight="1">
      <c r="X666" s="54"/>
      <c r="Y666" s="54"/>
    </row>
    <row r="667" ht="15.75" customHeight="1">
      <c r="X667" s="54"/>
      <c r="Y667" s="54"/>
    </row>
    <row r="668" ht="15.75" customHeight="1">
      <c r="X668" s="54"/>
      <c r="Y668" s="54"/>
    </row>
    <row r="669" ht="15.75" customHeight="1">
      <c r="X669" s="54"/>
      <c r="Y669" s="54"/>
    </row>
    <row r="670" ht="15.75" customHeight="1">
      <c r="X670" s="54"/>
      <c r="Y670" s="54"/>
    </row>
    <row r="671" ht="15.75" customHeight="1">
      <c r="X671" s="54"/>
      <c r="Y671" s="54"/>
    </row>
    <row r="672" ht="15.75" customHeight="1">
      <c r="X672" s="54"/>
      <c r="Y672" s="54"/>
    </row>
    <row r="673" ht="15.75" customHeight="1">
      <c r="X673" s="54"/>
      <c r="Y673" s="54"/>
    </row>
    <row r="674" ht="15.75" customHeight="1">
      <c r="X674" s="54"/>
      <c r="Y674" s="54"/>
    </row>
    <row r="675" ht="15.75" customHeight="1">
      <c r="X675" s="54"/>
      <c r="Y675" s="54"/>
    </row>
    <row r="676" ht="15.75" customHeight="1">
      <c r="X676" s="54"/>
      <c r="Y676" s="54"/>
    </row>
    <row r="677" ht="15.75" customHeight="1">
      <c r="X677" s="54"/>
      <c r="Y677" s="54"/>
    </row>
    <row r="678" ht="15.75" customHeight="1">
      <c r="X678" s="54"/>
      <c r="Y678" s="54"/>
    </row>
    <row r="679" ht="15.75" customHeight="1">
      <c r="X679" s="54"/>
      <c r="Y679" s="54"/>
    </row>
    <row r="680" ht="15.75" customHeight="1">
      <c r="X680" s="54"/>
      <c r="Y680" s="54"/>
    </row>
    <row r="681" ht="15.75" customHeight="1">
      <c r="X681" s="54"/>
      <c r="Y681" s="54"/>
    </row>
    <row r="682" ht="15.75" customHeight="1">
      <c r="X682" s="54"/>
      <c r="Y682" s="54"/>
    </row>
    <row r="683" ht="15.75" customHeight="1">
      <c r="X683" s="54"/>
      <c r="Y683" s="54"/>
    </row>
    <row r="684" ht="15.75" customHeight="1">
      <c r="X684" s="54"/>
      <c r="Y684" s="54"/>
    </row>
    <row r="685" ht="15.75" customHeight="1">
      <c r="X685" s="54"/>
      <c r="Y685" s="54"/>
    </row>
    <row r="686" ht="15.75" customHeight="1">
      <c r="X686" s="54"/>
      <c r="Y686" s="54"/>
    </row>
    <row r="687" ht="15.75" customHeight="1">
      <c r="X687" s="54"/>
      <c r="Y687" s="54"/>
    </row>
    <row r="688" ht="15.75" customHeight="1">
      <c r="X688" s="54"/>
      <c r="Y688" s="54"/>
    </row>
    <row r="689" ht="15.75" customHeight="1">
      <c r="X689" s="54"/>
      <c r="Y689" s="54"/>
    </row>
    <row r="690" ht="15.75" customHeight="1">
      <c r="X690" s="54"/>
      <c r="Y690" s="54"/>
    </row>
    <row r="691" ht="15.75" customHeight="1">
      <c r="X691" s="54"/>
      <c r="Y691" s="54"/>
    </row>
    <row r="692" ht="15.75" customHeight="1">
      <c r="X692" s="54"/>
      <c r="Y692" s="54"/>
    </row>
    <row r="693" ht="15.75" customHeight="1">
      <c r="X693" s="54"/>
      <c r="Y693" s="54"/>
    </row>
    <row r="694" ht="15.75" customHeight="1">
      <c r="X694" s="54"/>
      <c r="Y694" s="54"/>
    </row>
    <row r="695" ht="15.75" customHeight="1">
      <c r="X695" s="54"/>
      <c r="Y695" s="54"/>
    </row>
    <row r="696" ht="15.75" customHeight="1">
      <c r="X696" s="54"/>
      <c r="Y696" s="54"/>
    </row>
    <row r="697" ht="15.75" customHeight="1">
      <c r="X697" s="54"/>
      <c r="Y697" s="54"/>
    </row>
    <row r="698" ht="15.75" customHeight="1">
      <c r="X698" s="54"/>
      <c r="Y698" s="54"/>
    </row>
    <row r="699" ht="15.75" customHeight="1">
      <c r="X699" s="54"/>
      <c r="Y699" s="54"/>
    </row>
    <row r="700" ht="15.75" customHeight="1">
      <c r="X700" s="54"/>
      <c r="Y700" s="54"/>
    </row>
    <row r="701" ht="15.75" customHeight="1">
      <c r="X701" s="54"/>
      <c r="Y701" s="54"/>
    </row>
    <row r="702" ht="15.75" customHeight="1">
      <c r="X702" s="54"/>
      <c r="Y702" s="54"/>
    </row>
    <row r="703" ht="15.75" customHeight="1">
      <c r="X703" s="54"/>
      <c r="Y703" s="54"/>
    </row>
    <row r="704" ht="15.75" customHeight="1">
      <c r="X704" s="54"/>
      <c r="Y704" s="54"/>
    </row>
    <row r="705" ht="15.75" customHeight="1">
      <c r="X705" s="54"/>
      <c r="Y705" s="54"/>
    </row>
    <row r="706" ht="15.75" customHeight="1">
      <c r="X706" s="54"/>
      <c r="Y706" s="54"/>
    </row>
    <row r="707" ht="15.75" customHeight="1">
      <c r="X707" s="54"/>
      <c r="Y707" s="54"/>
    </row>
    <row r="708" ht="15.75" customHeight="1">
      <c r="X708" s="54"/>
      <c r="Y708" s="54"/>
    </row>
    <row r="709" ht="15.75" customHeight="1">
      <c r="X709" s="54"/>
      <c r="Y709" s="54"/>
    </row>
    <row r="710" ht="15.75" customHeight="1">
      <c r="X710" s="54"/>
      <c r="Y710" s="54"/>
    </row>
    <row r="711" ht="15.75" customHeight="1">
      <c r="X711" s="54"/>
      <c r="Y711" s="54"/>
    </row>
    <row r="712" ht="15.75" customHeight="1">
      <c r="X712" s="54"/>
      <c r="Y712" s="54"/>
    </row>
    <row r="713" ht="15.75" customHeight="1">
      <c r="X713" s="54"/>
      <c r="Y713" s="54"/>
    </row>
    <row r="714" ht="15.75" customHeight="1">
      <c r="X714" s="54"/>
      <c r="Y714" s="54"/>
    </row>
    <row r="715" ht="15.75" customHeight="1">
      <c r="X715" s="54"/>
      <c r="Y715" s="54"/>
    </row>
    <row r="716" ht="15.75" customHeight="1">
      <c r="X716" s="54"/>
      <c r="Y716" s="54"/>
    </row>
    <row r="717" ht="15.75" customHeight="1">
      <c r="X717" s="54"/>
      <c r="Y717" s="54"/>
    </row>
    <row r="718" ht="15.75" customHeight="1">
      <c r="X718" s="54"/>
      <c r="Y718" s="54"/>
    </row>
    <row r="719" ht="15.75" customHeight="1">
      <c r="X719" s="54"/>
      <c r="Y719" s="54"/>
    </row>
    <row r="720" ht="15.75" customHeight="1">
      <c r="X720" s="54"/>
      <c r="Y720" s="54"/>
    </row>
    <row r="721" ht="15.75" customHeight="1">
      <c r="X721" s="54"/>
      <c r="Y721" s="54"/>
    </row>
    <row r="722" ht="15.75" customHeight="1">
      <c r="X722" s="54"/>
      <c r="Y722" s="54"/>
    </row>
    <row r="723" ht="15.75" customHeight="1">
      <c r="X723" s="54"/>
      <c r="Y723" s="54"/>
    </row>
    <row r="724" ht="15.75" customHeight="1">
      <c r="X724" s="54"/>
      <c r="Y724" s="54"/>
    </row>
    <row r="725" ht="15.75" customHeight="1">
      <c r="X725" s="54"/>
      <c r="Y725" s="54"/>
    </row>
    <row r="726" ht="15.75" customHeight="1">
      <c r="X726" s="54"/>
      <c r="Y726" s="54"/>
    </row>
    <row r="727" ht="15.75" customHeight="1">
      <c r="X727" s="54"/>
      <c r="Y727" s="54"/>
    </row>
    <row r="728" ht="15.75" customHeight="1">
      <c r="X728" s="54"/>
      <c r="Y728" s="54"/>
    </row>
    <row r="729" ht="15.75" customHeight="1">
      <c r="X729" s="54"/>
      <c r="Y729" s="54"/>
    </row>
    <row r="730" ht="15.75" customHeight="1">
      <c r="X730" s="54"/>
      <c r="Y730" s="54"/>
    </row>
    <row r="731" ht="15.75" customHeight="1">
      <c r="X731" s="54"/>
      <c r="Y731" s="54"/>
    </row>
    <row r="732" ht="15.75" customHeight="1">
      <c r="X732" s="54"/>
      <c r="Y732" s="54"/>
    </row>
    <row r="733" ht="15.75" customHeight="1">
      <c r="X733" s="54"/>
      <c r="Y733" s="54"/>
    </row>
    <row r="734" ht="15.75" customHeight="1">
      <c r="X734" s="54"/>
      <c r="Y734" s="54"/>
    </row>
    <row r="735" ht="15.75" customHeight="1">
      <c r="X735" s="54"/>
      <c r="Y735" s="54"/>
    </row>
    <row r="736" ht="15.75" customHeight="1">
      <c r="X736" s="54"/>
      <c r="Y736" s="54"/>
    </row>
    <row r="737" ht="15.75" customHeight="1">
      <c r="X737" s="54"/>
      <c r="Y737" s="54"/>
    </row>
    <row r="738" ht="15.75" customHeight="1">
      <c r="X738" s="54"/>
      <c r="Y738" s="54"/>
    </row>
    <row r="739" ht="15.75" customHeight="1">
      <c r="X739" s="54"/>
      <c r="Y739" s="54"/>
    </row>
    <row r="740" ht="15.75" customHeight="1">
      <c r="X740" s="54"/>
      <c r="Y740" s="54"/>
    </row>
    <row r="741" ht="15.75" customHeight="1">
      <c r="X741" s="54"/>
      <c r="Y741" s="54"/>
    </row>
    <row r="742" ht="15.75" customHeight="1">
      <c r="X742" s="54"/>
      <c r="Y742" s="54"/>
    </row>
    <row r="743" ht="15.75" customHeight="1">
      <c r="X743" s="54"/>
      <c r="Y743" s="54"/>
    </row>
    <row r="744" ht="15.75" customHeight="1">
      <c r="X744" s="54"/>
      <c r="Y744" s="54"/>
    </row>
    <row r="745" ht="15.75" customHeight="1">
      <c r="X745" s="54"/>
      <c r="Y745" s="54"/>
    </row>
    <row r="746" ht="15.75" customHeight="1">
      <c r="X746" s="54"/>
      <c r="Y746" s="54"/>
    </row>
    <row r="747" ht="15.75" customHeight="1">
      <c r="X747" s="54"/>
      <c r="Y747" s="54"/>
    </row>
    <row r="748" ht="15.75" customHeight="1">
      <c r="X748" s="54"/>
      <c r="Y748" s="54"/>
    </row>
    <row r="749" ht="15.75" customHeight="1">
      <c r="X749" s="54"/>
      <c r="Y749" s="54"/>
    </row>
    <row r="750" ht="15.75" customHeight="1">
      <c r="X750" s="54"/>
      <c r="Y750" s="54"/>
    </row>
    <row r="751" ht="15.75" customHeight="1">
      <c r="X751" s="54"/>
      <c r="Y751" s="54"/>
    </row>
    <row r="752" ht="15.75" customHeight="1">
      <c r="X752" s="54"/>
      <c r="Y752" s="54"/>
    </row>
    <row r="753" ht="15.75" customHeight="1">
      <c r="X753" s="54"/>
      <c r="Y753" s="54"/>
    </row>
    <row r="754" ht="15.75" customHeight="1">
      <c r="X754" s="54"/>
      <c r="Y754" s="54"/>
    </row>
    <row r="755" ht="15.75" customHeight="1">
      <c r="X755" s="54"/>
      <c r="Y755" s="54"/>
    </row>
    <row r="756" ht="15.75" customHeight="1">
      <c r="X756" s="54"/>
      <c r="Y756" s="54"/>
    </row>
    <row r="757" ht="15.75" customHeight="1">
      <c r="X757" s="54"/>
      <c r="Y757" s="54"/>
    </row>
    <row r="758" ht="15.75" customHeight="1">
      <c r="X758" s="54"/>
      <c r="Y758" s="54"/>
    </row>
    <row r="759" ht="15.75" customHeight="1">
      <c r="X759" s="54"/>
      <c r="Y759" s="54"/>
    </row>
    <row r="760" ht="15.75" customHeight="1">
      <c r="X760" s="54"/>
      <c r="Y760" s="54"/>
    </row>
    <row r="761" ht="15.75" customHeight="1">
      <c r="X761" s="54"/>
      <c r="Y761" s="54"/>
    </row>
    <row r="762" ht="15.75" customHeight="1">
      <c r="X762" s="54"/>
      <c r="Y762" s="54"/>
    </row>
    <row r="763" ht="15.75" customHeight="1">
      <c r="X763" s="54"/>
      <c r="Y763" s="54"/>
    </row>
    <row r="764" ht="15.75" customHeight="1">
      <c r="X764" s="54"/>
      <c r="Y764" s="54"/>
    </row>
    <row r="765" ht="15.75" customHeight="1">
      <c r="X765" s="54"/>
      <c r="Y765" s="54"/>
    </row>
    <row r="766" ht="15.75" customHeight="1">
      <c r="X766" s="54"/>
      <c r="Y766" s="54"/>
    </row>
    <row r="767" ht="15.75" customHeight="1">
      <c r="X767" s="54"/>
      <c r="Y767" s="54"/>
    </row>
    <row r="768" ht="15.75" customHeight="1">
      <c r="X768" s="54"/>
      <c r="Y768" s="54"/>
    </row>
    <row r="769" ht="15.75" customHeight="1">
      <c r="X769" s="54"/>
      <c r="Y769" s="54"/>
    </row>
    <row r="770" ht="15.75" customHeight="1">
      <c r="X770" s="54"/>
      <c r="Y770" s="54"/>
    </row>
    <row r="771" ht="15.75" customHeight="1">
      <c r="X771" s="54"/>
      <c r="Y771" s="54"/>
    </row>
    <row r="772" ht="15.75" customHeight="1">
      <c r="X772" s="54"/>
      <c r="Y772" s="54"/>
    </row>
    <row r="773" ht="15.75" customHeight="1">
      <c r="X773" s="54"/>
      <c r="Y773" s="54"/>
    </row>
    <row r="774" ht="15.75" customHeight="1">
      <c r="X774" s="54"/>
      <c r="Y774" s="54"/>
    </row>
    <row r="775" ht="15.75" customHeight="1">
      <c r="X775" s="54"/>
      <c r="Y775" s="54"/>
    </row>
    <row r="776" ht="15.75" customHeight="1">
      <c r="X776" s="54"/>
      <c r="Y776" s="54"/>
    </row>
    <row r="777" ht="15.75" customHeight="1">
      <c r="X777" s="54"/>
      <c r="Y777" s="54"/>
    </row>
    <row r="778" ht="15.75" customHeight="1">
      <c r="X778" s="54"/>
      <c r="Y778" s="54"/>
    </row>
    <row r="779" ht="15.75" customHeight="1">
      <c r="X779" s="54"/>
      <c r="Y779" s="54"/>
    </row>
    <row r="780" ht="15.75" customHeight="1">
      <c r="X780" s="54"/>
      <c r="Y780" s="54"/>
    </row>
    <row r="781" ht="15.75" customHeight="1">
      <c r="X781" s="54"/>
      <c r="Y781" s="54"/>
    </row>
    <row r="782" ht="15.75" customHeight="1">
      <c r="X782" s="54"/>
      <c r="Y782" s="54"/>
    </row>
    <row r="783" ht="15.75" customHeight="1">
      <c r="X783" s="54"/>
      <c r="Y783" s="54"/>
    </row>
    <row r="784" ht="15.75" customHeight="1">
      <c r="X784" s="54"/>
      <c r="Y784" s="54"/>
    </row>
    <row r="785" ht="15.75" customHeight="1">
      <c r="X785" s="54"/>
      <c r="Y785" s="54"/>
    </row>
    <row r="786" ht="15.75" customHeight="1">
      <c r="X786" s="54"/>
      <c r="Y786" s="54"/>
    </row>
    <row r="787" ht="15.75" customHeight="1">
      <c r="X787" s="54"/>
      <c r="Y787" s="54"/>
    </row>
    <row r="788" ht="15.75" customHeight="1">
      <c r="X788" s="54"/>
      <c r="Y788" s="54"/>
    </row>
    <row r="789" ht="15.75" customHeight="1">
      <c r="X789" s="54"/>
      <c r="Y789" s="54"/>
    </row>
    <row r="790" ht="15.75" customHeight="1">
      <c r="X790" s="54"/>
      <c r="Y790" s="54"/>
    </row>
    <row r="791" ht="15.75" customHeight="1">
      <c r="X791" s="54"/>
      <c r="Y791" s="54"/>
    </row>
    <row r="792" ht="15.75" customHeight="1">
      <c r="X792" s="54"/>
      <c r="Y792" s="54"/>
    </row>
    <row r="793" ht="15.75" customHeight="1">
      <c r="X793" s="54"/>
      <c r="Y793" s="54"/>
    </row>
    <row r="794" ht="15.75" customHeight="1">
      <c r="X794" s="54"/>
      <c r="Y794" s="54"/>
    </row>
    <row r="795" ht="15.75" customHeight="1">
      <c r="X795" s="54"/>
      <c r="Y795" s="54"/>
    </row>
    <row r="796" ht="15.75" customHeight="1">
      <c r="X796" s="54"/>
      <c r="Y796" s="54"/>
    </row>
    <row r="797" ht="15.75" customHeight="1">
      <c r="X797" s="54"/>
      <c r="Y797" s="54"/>
    </row>
    <row r="798" ht="15.75" customHeight="1">
      <c r="X798" s="54"/>
      <c r="Y798" s="54"/>
    </row>
    <row r="799" ht="15.75" customHeight="1">
      <c r="X799" s="54"/>
      <c r="Y799" s="54"/>
    </row>
    <row r="800" ht="15.75" customHeight="1">
      <c r="X800" s="54"/>
      <c r="Y800" s="54"/>
    </row>
    <row r="801" ht="15.75" customHeight="1">
      <c r="X801" s="54"/>
      <c r="Y801" s="54"/>
    </row>
    <row r="802" ht="15.75" customHeight="1">
      <c r="X802" s="54"/>
      <c r="Y802" s="54"/>
    </row>
    <row r="803" ht="15.75" customHeight="1">
      <c r="X803" s="54"/>
      <c r="Y803" s="54"/>
    </row>
    <row r="804" ht="15.75" customHeight="1">
      <c r="X804" s="54"/>
      <c r="Y804" s="54"/>
    </row>
    <row r="805" ht="15.75" customHeight="1">
      <c r="X805" s="54"/>
      <c r="Y805" s="54"/>
    </row>
    <row r="806" ht="15.75" customHeight="1">
      <c r="X806" s="54"/>
      <c r="Y806" s="54"/>
    </row>
    <row r="807" ht="15.75" customHeight="1">
      <c r="X807" s="54"/>
      <c r="Y807" s="54"/>
    </row>
    <row r="808" ht="15.75" customHeight="1">
      <c r="X808" s="54"/>
      <c r="Y808" s="54"/>
    </row>
    <row r="809" ht="15.75" customHeight="1">
      <c r="X809" s="54"/>
      <c r="Y809" s="54"/>
    </row>
    <row r="810" ht="15.75" customHeight="1">
      <c r="X810" s="54"/>
      <c r="Y810" s="54"/>
    </row>
    <row r="811" ht="15.75" customHeight="1">
      <c r="X811" s="54"/>
      <c r="Y811" s="54"/>
    </row>
    <row r="812" ht="15.75" customHeight="1">
      <c r="X812" s="54"/>
      <c r="Y812" s="54"/>
    </row>
    <row r="813" ht="15.75" customHeight="1">
      <c r="X813" s="54"/>
      <c r="Y813" s="54"/>
    </row>
    <row r="814" ht="15.75" customHeight="1">
      <c r="X814" s="54"/>
      <c r="Y814" s="54"/>
    </row>
    <row r="815" ht="15.75" customHeight="1">
      <c r="X815" s="54"/>
      <c r="Y815" s="54"/>
    </row>
    <row r="816" ht="15.75" customHeight="1">
      <c r="X816" s="54"/>
      <c r="Y816" s="54"/>
    </row>
    <row r="817" ht="15.75" customHeight="1">
      <c r="X817" s="54"/>
      <c r="Y817" s="54"/>
    </row>
    <row r="818" ht="15.75" customHeight="1">
      <c r="X818" s="54"/>
      <c r="Y818" s="54"/>
    </row>
    <row r="819" ht="15.75" customHeight="1">
      <c r="X819" s="54"/>
      <c r="Y819" s="54"/>
    </row>
    <row r="820" ht="15.75" customHeight="1">
      <c r="X820" s="54"/>
      <c r="Y820" s="54"/>
    </row>
    <row r="821" ht="15.75" customHeight="1">
      <c r="X821" s="54"/>
      <c r="Y821" s="54"/>
    </row>
    <row r="822" ht="15.75" customHeight="1">
      <c r="X822" s="54"/>
      <c r="Y822" s="54"/>
    </row>
    <row r="823" ht="15.75" customHeight="1">
      <c r="X823" s="54"/>
      <c r="Y823" s="54"/>
    </row>
    <row r="824" ht="15.75" customHeight="1">
      <c r="X824" s="54"/>
      <c r="Y824" s="54"/>
    </row>
    <row r="825" ht="15.75" customHeight="1">
      <c r="X825" s="54"/>
      <c r="Y825" s="54"/>
    </row>
    <row r="826" ht="15.75" customHeight="1">
      <c r="X826" s="54"/>
      <c r="Y826" s="54"/>
    </row>
    <row r="827" ht="15.75" customHeight="1">
      <c r="X827" s="54"/>
      <c r="Y827" s="54"/>
    </row>
    <row r="828" ht="15.75" customHeight="1">
      <c r="X828" s="54"/>
      <c r="Y828" s="54"/>
    </row>
    <row r="829" ht="15.75" customHeight="1">
      <c r="X829" s="54"/>
      <c r="Y829" s="54"/>
    </row>
    <row r="830" ht="15.75" customHeight="1">
      <c r="X830" s="54"/>
      <c r="Y830" s="54"/>
    </row>
    <row r="831" ht="15.75" customHeight="1">
      <c r="X831" s="54"/>
      <c r="Y831" s="54"/>
    </row>
    <row r="832" ht="15.75" customHeight="1">
      <c r="X832" s="54"/>
      <c r="Y832" s="54"/>
    </row>
    <row r="833" ht="15.75" customHeight="1">
      <c r="X833" s="54"/>
      <c r="Y833" s="54"/>
    </row>
    <row r="834" ht="15.75" customHeight="1">
      <c r="X834" s="54"/>
      <c r="Y834" s="54"/>
    </row>
    <row r="835" ht="15.75" customHeight="1">
      <c r="X835" s="54"/>
      <c r="Y835" s="54"/>
    </row>
    <row r="836" ht="15.75" customHeight="1">
      <c r="X836" s="54"/>
      <c r="Y836" s="54"/>
    </row>
    <row r="837" ht="15.75" customHeight="1">
      <c r="X837" s="54"/>
      <c r="Y837" s="54"/>
    </row>
    <row r="838" ht="15.75" customHeight="1">
      <c r="X838" s="54"/>
      <c r="Y838" s="54"/>
    </row>
    <row r="839" ht="15.75" customHeight="1">
      <c r="X839" s="54"/>
      <c r="Y839" s="54"/>
    </row>
    <row r="840" ht="15.75" customHeight="1">
      <c r="X840" s="54"/>
      <c r="Y840" s="54"/>
    </row>
    <row r="841" ht="15.75" customHeight="1">
      <c r="X841" s="54"/>
      <c r="Y841" s="54"/>
    </row>
    <row r="842" ht="15.75" customHeight="1">
      <c r="X842" s="54"/>
      <c r="Y842" s="54"/>
    </row>
    <row r="843" ht="15.75" customHeight="1">
      <c r="X843" s="54"/>
      <c r="Y843" s="54"/>
    </row>
    <row r="844" ht="15.75" customHeight="1">
      <c r="X844" s="54"/>
      <c r="Y844" s="54"/>
    </row>
    <row r="845" ht="15.75" customHeight="1">
      <c r="X845" s="54"/>
      <c r="Y845" s="54"/>
    </row>
    <row r="846" ht="15.75" customHeight="1">
      <c r="X846" s="54"/>
      <c r="Y846" s="54"/>
    </row>
    <row r="847" ht="15.75" customHeight="1">
      <c r="X847" s="54"/>
      <c r="Y847" s="54"/>
    </row>
    <row r="848" ht="15.75" customHeight="1">
      <c r="X848" s="54"/>
      <c r="Y848" s="54"/>
    </row>
    <row r="849" ht="15.75" customHeight="1">
      <c r="X849" s="54"/>
      <c r="Y849" s="54"/>
    </row>
    <row r="850" ht="15.75" customHeight="1">
      <c r="X850" s="54"/>
      <c r="Y850" s="54"/>
    </row>
    <row r="851" ht="15.75" customHeight="1">
      <c r="X851" s="54"/>
      <c r="Y851" s="54"/>
    </row>
    <row r="852" ht="15.75" customHeight="1">
      <c r="X852" s="54"/>
      <c r="Y852" s="54"/>
    </row>
    <row r="853" ht="15.75" customHeight="1">
      <c r="X853" s="54"/>
      <c r="Y853" s="54"/>
    </row>
    <row r="854" ht="15.75" customHeight="1">
      <c r="X854" s="54"/>
      <c r="Y854" s="54"/>
    </row>
    <row r="855" ht="15.75" customHeight="1">
      <c r="X855" s="54"/>
      <c r="Y855" s="54"/>
    </row>
    <row r="856" ht="15.75" customHeight="1">
      <c r="X856" s="54"/>
      <c r="Y856" s="54"/>
    </row>
    <row r="857" ht="15.75" customHeight="1">
      <c r="X857" s="54"/>
      <c r="Y857" s="54"/>
    </row>
    <row r="858" ht="15.75" customHeight="1">
      <c r="X858" s="54"/>
      <c r="Y858" s="54"/>
    </row>
    <row r="859" ht="15.75" customHeight="1">
      <c r="X859" s="54"/>
      <c r="Y859" s="54"/>
    </row>
    <row r="860" ht="15.75" customHeight="1">
      <c r="X860" s="54"/>
      <c r="Y860" s="54"/>
    </row>
    <row r="861" ht="15.75" customHeight="1">
      <c r="X861" s="54"/>
      <c r="Y861" s="54"/>
    </row>
    <row r="862" ht="15.75" customHeight="1">
      <c r="X862" s="54"/>
      <c r="Y862" s="54"/>
    </row>
    <row r="863" ht="15.75" customHeight="1">
      <c r="X863" s="54"/>
      <c r="Y863" s="54"/>
    </row>
    <row r="864" ht="15.75" customHeight="1">
      <c r="X864" s="54"/>
      <c r="Y864" s="54"/>
    </row>
    <row r="865" ht="15.75" customHeight="1">
      <c r="X865" s="54"/>
      <c r="Y865" s="54"/>
    </row>
    <row r="866" ht="15.75" customHeight="1">
      <c r="X866" s="54"/>
      <c r="Y866" s="54"/>
    </row>
    <row r="867" ht="15.75" customHeight="1">
      <c r="X867" s="54"/>
      <c r="Y867" s="54"/>
    </row>
    <row r="868" ht="15.75" customHeight="1">
      <c r="X868" s="54"/>
      <c r="Y868" s="54"/>
    </row>
    <row r="869" ht="15.75" customHeight="1">
      <c r="X869" s="54"/>
      <c r="Y869" s="54"/>
    </row>
    <row r="870" ht="15.75" customHeight="1">
      <c r="X870" s="54"/>
      <c r="Y870" s="54"/>
    </row>
    <row r="871" ht="15.75" customHeight="1">
      <c r="X871" s="54"/>
      <c r="Y871" s="54"/>
    </row>
    <row r="872" ht="15.75" customHeight="1">
      <c r="X872" s="54"/>
      <c r="Y872" s="54"/>
    </row>
    <row r="873" ht="15.75" customHeight="1">
      <c r="X873" s="54"/>
      <c r="Y873" s="54"/>
    </row>
    <row r="874" ht="15.75" customHeight="1">
      <c r="X874" s="54"/>
      <c r="Y874" s="54"/>
    </row>
    <row r="875" ht="15.75" customHeight="1">
      <c r="X875" s="54"/>
      <c r="Y875" s="54"/>
    </row>
    <row r="876" ht="15.75" customHeight="1">
      <c r="X876" s="54"/>
      <c r="Y876" s="54"/>
    </row>
    <row r="877" ht="15.75" customHeight="1">
      <c r="X877" s="54"/>
      <c r="Y877" s="54"/>
    </row>
    <row r="878" ht="15.75" customHeight="1">
      <c r="X878" s="54"/>
      <c r="Y878" s="54"/>
    </row>
    <row r="879" ht="15.75" customHeight="1">
      <c r="X879" s="54"/>
      <c r="Y879" s="54"/>
    </row>
    <row r="880" ht="15.75" customHeight="1">
      <c r="X880" s="54"/>
      <c r="Y880" s="54"/>
    </row>
    <row r="881" ht="15.75" customHeight="1">
      <c r="X881" s="54"/>
      <c r="Y881" s="54"/>
    </row>
    <row r="882" ht="15.75" customHeight="1">
      <c r="X882" s="54"/>
      <c r="Y882" s="54"/>
    </row>
    <row r="883" ht="15.75" customHeight="1">
      <c r="X883" s="54"/>
      <c r="Y883" s="54"/>
    </row>
    <row r="884" ht="15.75" customHeight="1">
      <c r="X884" s="54"/>
      <c r="Y884" s="54"/>
    </row>
    <row r="885" ht="15.75" customHeight="1">
      <c r="X885" s="54"/>
      <c r="Y885" s="54"/>
    </row>
    <row r="886" ht="15.75" customHeight="1">
      <c r="X886" s="54"/>
      <c r="Y886" s="54"/>
    </row>
    <row r="887" ht="15.75" customHeight="1">
      <c r="X887" s="54"/>
      <c r="Y887" s="54"/>
    </row>
    <row r="888" ht="15.75" customHeight="1">
      <c r="X888" s="54"/>
      <c r="Y888" s="54"/>
    </row>
    <row r="889" ht="15.75" customHeight="1">
      <c r="X889" s="54"/>
      <c r="Y889" s="54"/>
    </row>
    <row r="890" ht="15.75" customHeight="1">
      <c r="X890" s="54"/>
      <c r="Y890" s="54"/>
    </row>
    <row r="891" ht="15.75" customHeight="1">
      <c r="X891" s="54"/>
      <c r="Y891" s="54"/>
    </row>
    <row r="892" ht="15.75" customHeight="1">
      <c r="X892" s="54"/>
      <c r="Y892" s="54"/>
    </row>
    <row r="893" ht="15.75" customHeight="1">
      <c r="X893" s="54"/>
      <c r="Y893" s="54"/>
    </row>
    <row r="894" ht="15.75" customHeight="1">
      <c r="X894" s="54"/>
      <c r="Y894" s="54"/>
    </row>
    <row r="895" ht="15.75" customHeight="1">
      <c r="X895" s="54"/>
      <c r="Y895" s="54"/>
    </row>
    <row r="896" ht="15.75" customHeight="1">
      <c r="X896" s="54"/>
      <c r="Y896" s="54"/>
    </row>
    <row r="897" ht="15.75" customHeight="1">
      <c r="X897" s="54"/>
      <c r="Y897" s="54"/>
    </row>
    <row r="898" ht="15.75" customHeight="1">
      <c r="X898" s="54"/>
      <c r="Y898" s="54"/>
    </row>
    <row r="899" ht="15.75" customHeight="1">
      <c r="X899" s="54"/>
      <c r="Y899" s="54"/>
    </row>
    <row r="900" ht="15.75" customHeight="1">
      <c r="X900" s="54"/>
      <c r="Y900" s="54"/>
    </row>
    <row r="901" ht="15.75" customHeight="1">
      <c r="X901" s="54"/>
      <c r="Y901" s="54"/>
    </row>
    <row r="902" ht="15.75" customHeight="1">
      <c r="X902" s="54"/>
      <c r="Y902" s="54"/>
    </row>
    <row r="903" ht="15.75" customHeight="1">
      <c r="X903" s="54"/>
      <c r="Y903" s="54"/>
    </row>
    <row r="904" ht="15.75" customHeight="1">
      <c r="X904" s="54"/>
      <c r="Y904" s="54"/>
    </row>
    <row r="905" ht="15.75" customHeight="1">
      <c r="X905" s="54"/>
      <c r="Y905" s="54"/>
    </row>
    <row r="906" ht="15.75" customHeight="1">
      <c r="X906" s="54"/>
      <c r="Y906" s="54"/>
    </row>
    <row r="907" ht="15.75" customHeight="1">
      <c r="X907" s="54"/>
      <c r="Y907" s="54"/>
    </row>
    <row r="908" ht="15.75" customHeight="1">
      <c r="X908" s="54"/>
      <c r="Y908" s="54"/>
    </row>
    <row r="909" ht="15.75" customHeight="1">
      <c r="X909" s="54"/>
      <c r="Y909" s="54"/>
    </row>
    <row r="910" ht="15.75" customHeight="1">
      <c r="X910" s="54"/>
      <c r="Y910" s="54"/>
    </row>
    <row r="911" ht="15.75" customHeight="1">
      <c r="X911" s="54"/>
      <c r="Y911" s="54"/>
    </row>
    <row r="912" ht="15.75" customHeight="1">
      <c r="X912" s="54"/>
      <c r="Y912" s="54"/>
    </row>
    <row r="913" ht="15.75" customHeight="1">
      <c r="X913" s="54"/>
      <c r="Y913" s="54"/>
    </row>
    <row r="914" ht="15.75" customHeight="1">
      <c r="X914" s="54"/>
      <c r="Y914" s="54"/>
    </row>
    <row r="915" ht="15.75" customHeight="1">
      <c r="X915" s="54"/>
      <c r="Y915" s="54"/>
    </row>
    <row r="916" ht="15.75" customHeight="1">
      <c r="X916" s="54"/>
      <c r="Y916" s="54"/>
    </row>
    <row r="917" ht="15.75" customHeight="1">
      <c r="X917" s="54"/>
      <c r="Y917" s="54"/>
    </row>
    <row r="918" ht="15.75" customHeight="1">
      <c r="X918" s="54"/>
      <c r="Y918" s="54"/>
    </row>
    <row r="919" ht="15.75" customHeight="1">
      <c r="X919" s="54"/>
      <c r="Y919" s="54"/>
    </row>
    <row r="920" ht="15.75" customHeight="1">
      <c r="X920" s="54"/>
      <c r="Y920" s="54"/>
    </row>
    <row r="921" ht="15.75" customHeight="1">
      <c r="X921" s="54"/>
      <c r="Y921" s="54"/>
    </row>
    <row r="922" ht="15.75" customHeight="1">
      <c r="X922" s="54"/>
      <c r="Y922" s="54"/>
    </row>
    <row r="923" ht="15.75" customHeight="1">
      <c r="X923" s="54"/>
      <c r="Y923" s="54"/>
    </row>
    <row r="924" ht="15.75" customHeight="1">
      <c r="X924" s="54"/>
      <c r="Y924" s="54"/>
    </row>
    <row r="925" ht="15.75" customHeight="1">
      <c r="X925" s="54"/>
      <c r="Y925" s="54"/>
    </row>
    <row r="926" ht="15.75" customHeight="1">
      <c r="X926" s="54"/>
      <c r="Y926" s="54"/>
    </row>
    <row r="927" ht="15.75" customHeight="1">
      <c r="X927" s="54"/>
      <c r="Y927" s="54"/>
    </row>
    <row r="928" ht="15.75" customHeight="1">
      <c r="X928" s="54"/>
      <c r="Y928" s="54"/>
    </row>
    <row r="929" ht="15.75" customHeight="1">
      <c r="X929" s="54"/>
      <c r="Y929" s="54"/>
    </row>
    <row r="930" ht="15.75" customHeight="1">
      <c r="X930" s="54"/>
      <c r="Y930" s="54"/>
    </row>
    <row r="931" ht="15.75" customHeight="1">
      <c r="X931" s="54"/>
      <c r="Y931" s="54"/>
    </row>
    <row r="932" ht="15.75" customHeight="1">
      <c r="X932" s="54"/>
      <c r="Y932" s="54"/>
    </row>
    <row r="933" ht="15.75" customHeight="1">
      <c r="X933" s="54"/>
      <c r="Y933" s="54"/>
    </row>
    <row r="934" ht="15.75" customHeight="1">
      <c r="X934" s="54"/>
      <c r="Y934" s="54"/>
    </row>
    <row r="935" ht="15.75" customHeight="1">
      <c r="X935" s="54"/>
      <c r="Y935" s="54"/>
    </row>
    <row r="936" ht="15.75" customHeight="1">
      <c r="X936" s="54"/>
      <c r="Y936" s="54"/>
    </row>
    <row r="937" ht="15.75" customHeight="1">
      <c r="X937" s="54"/>
      <c r="Y937" s="54"/>
    </row>
    <row r="938" ht="15.75" customHeight="1">
      <c r="X938" s="54"/>
      <c r="Y938" s="54"/>
    </row>
    <row r="939" ht="15.75" customHeight="1">
      <c r="X939" s="54"/>
      <c r="Y939" s="54"/>
    </row>
    <row r="940" ht="15.75" customHeight="1">
      <c r="X940" s="54"/>
      <c r="Y940" s="54"/>
    </row>
    <row r="941" ht="15.75" customHeight="1">
      <c r="X941" s="54"/>
      <c r="Y941" s="54"/>
    </row>
    <row r="942" ht="15.75" customHeight="1">
      <c r="X942" s="54"/>
      <c r="Y942" s="54"/>
    </row>
    <row r="943" ht="15.75" customHeight="1">
      <c r="X943" s="54"/>
      <c r="Y943" s="54"/>
    </row>
    <row r="944" ht="15.75" customHeight="1">
      <c r="X944" s="54"/>
      <c r="Y944" s="54"/>
    </row>
    <row r="945" ht="15.75" customHeight="1">
      <c r="X945" s="54"/>
      <c r="Y945" s="54"/>
    </row>
    <row r="946" ht="15.75" customHeight="1">
      <c r="X946" s="54"/>
      <c r="Y946" s="54"/>
    </row>
    <row r="947" ht="15.75" customHeight="1">
      <c r="X947" s="54"/>
      <c r="Y947" s="54"/>
    </row>
    <row r="948" ht="15.75" customHeight="1">
      <c r="X948" s="54"/>
      <c r="Y948" s="54"/>
    </row>
    <row r="949" ht="15.75" customHeight="1">
      <c r="X949" s="54"/>
      <c r="Y949" s="54"/>
    </row>
    <row r="950" ht="15.75" customHeight="1">
      <c r="X950" s="54"/>
      <c r="Y950" s="54"/>
    </row>
    <row r="951" ht="15.75" customHeight="1">
      <c r="X951" s="54"/>
      <c r="Y951" s="54"/>
    </row>
    <row r="952" ht="15.75" customHeight="1">
      <c r="X952" s="54"/>
      <c r="Y952" s="54"/>
    </row>
    <row r="953" ht="15.75" customHeight="1">
      <c r="X953" s="54"/>
      <c r="Y953" s="54"/>
    </row>
    <row r="954" ht="15.75" customHeight="1">
      <c r="X954" s="54"/>
      <c r="Y954" s="54"/>
    </row>
    <row r="955" ht="15.75" customHeight="1">
      <c r="X955" s="54"/>
      <c r="Y955" s="54"/>
    </row>
    <row r="956" ht="15.75" customHeight="1">
      <c r="X956" s="54"/>
      <c r="Y956" s="54"/>
    </row>
    <row r="957" ht="15.75" customHeight="1">
      <c r="X957" s="54"/>
      <c r="Y957" s="54"/>
    </row>
    <row r="958" ht="15.75" customHeight="1">
      <c r="X958" s="54"/>
      <c r="Y958" s="54"/>
    </row>
    <row r="959" ht="15.75" customHeight="1">
      <c r="X959" s="54"/>
      <c r="Y959" s="54"/>
    </row>
    <row r="960" ht="15.75" customHeight="1">
      <c r="X960" s="54"/>
      <c r="Y960" s="54"/>
    </row>
    <row r="961" ht="15.75" customHeight="1">
      <c r="X961" s="54"/>
      <c r="Y961" s="54"/>
    </row>
    <row r="962" ht="15.75" customHeight="1">
      <c r="X962" s="54"/>
      <c r="Y962" s="54"/>
    </row>
    <row r="963" ht="15.75" customHeight="1">
      <c r="X963" s="54"/>
      <c r="Y963" s="54"/>
    </row>
    <row r="964" ht="15.75" customHeight="1">
      <c r="X964" s="54"/>
      <c r="Y964" s="54"/>
    </row>
    <row r="965" ht="15.75" customHeight="1">
      <c r="X965" s="54"/>
      <c r="Y965" s="54"/>
    </row>
    <row r="966" ht="15.75" customHeight="1">
      <c r="X966" s="54"/>
      <c r="Y966" s="54"/>
    </row>
    <row r="967" ht="15.75" customHeight="1">
      <c r="X967" s="54"/>
      <c r="Y967" s="54"/>
    </row>
    <row r="968" ht="15.75" customHeight="1">
      <c r="X968" s="54"/>
      <c r="Y968" s="54"/>
    </row>
    <row r="969" ht="15.75" customHeight="1">
      <c r="X969" s="54"/>
      <c r="Y969" s="54"/>
    </row>
    <row r="970" ht="15.75" customHeight="1">
      <c r="X970" s="54"/>
      <c r="Y970" s="54"/>
    </row>
    <row r="971" ht="15.75" customHeight="1">
      <c r="X971" s="54"/>
      <c r="Y971" s="54"/>
    </row>
    <row r="972" ht="15.75" customHeight="1">
      <c r="X972" s="54"/>
      <c r="Y972" s="54"/>
    </row>
    <row r="973" ht="15.75" customHeight="1">
      <c r="X973" s="54"/>
      <c r="Y973" s="54"/>
    </row>
    <row r="974" ht="15.75" customHeight="1">
      <c r="X974" s="54"/>
      <c r="Y974" s="54"/>
    </row>
    <row r="975" ht="15.75" customHeight="1">
      <c r="X975" s="54"/>
      <c r="Y975" s="54"/>
    </row>
    <row r="976" ht="15.75" customHeight="1">
      <c r="X976" s="54"/>
      <c r="Y976" s="54"/>
    </row>
    <row r="977" ht="15.75" customHeight="1">
      <c r="X977" s="54"/>
      <c r="Y977" s="54"/>
    </row>
    <row r="978" ht="15.75" customHeight="1">
      <c r="X978" s="54"/>
      <c r="Y978" s="54"/>
    </row>
    <row r="979" ht="15.75" customHeight="1">
      <c r="X979" s="54"/>
      <c r="Y979" s="54"/>
    </row>
    <row r="980" ht="15.75" customHeight="1">
      <c r="X980" s="54"/>
      <c r="Y980" s="54"/>
    </row>
    <row r="981" ht="15.75" customHeight="1">
      <c r="X981" s="54"/>
      <c r="Y981" s="54"/>
    </row>
    <row r="982" ht="15.75" customHeight="1">
      <c r="X982" s="54"/>
      <c r="Y982" s="54"/>
    </row>
    <row r="983" ht="15.75" customHeight="1">
      <c r="X983" s="54"/>
      <c r="Y983" s="54"/>
    </row>
    <row r="984" ht="15.75" customHeight="1">
      <c r="X984" s="54"/>
      <c r="Y984" s="54"/>
    </row>
    <row r="985" ht="15.75" customHeight="1">
      <c r="X985" s="54"/>
      <c r="Y985" s="54"/>
    </row>
    <row r="986" ht="15.75" customHeight="1">
      <c r="X986" s="54"/>
      <c r="Y986" s="54"/>
    </row>
    <row r="987" ht="15.75" customHeight="1">
      <c r="X987" s="54"/>
      <c r="Y987" s="54"/>
    </row>
    <row r="988" ht="15.75" customHeight="1">
      <c r="X988" s="54"/>
      <c r="Y988" s="54"/>
    </row>
    <row r="989" ht="15.75" customHeight="1">
      <c r="X989" s="54"/>
      <c r="Y989" s="54"/>
    </row>
    <row r="990" ht="15.75" customHeight="1">
      <c r="X990" s="54"/>
      <c r="Y990" s="54"/>
    </row>
    <row r="991" ht="15.75" customHeight="1">
      <c r="X991" s="54"/>
      <c r="Y991" s="54"/>
    </row>
    <row r="992" ht="15.75" customHeight="1">
      <c r="X992" s="54"/>
      <c r="Y992" s="54"/>
    </row>
    <row r="993" ht="15.75" customHeight="1">
      <c r="X993" s="54"/>
      <c r="Y993" s="54"/>
    </row>
    <row r="994" ht="15.75" customHeight="1">
      <c r="X994" s="54"/>
      <c r="Y994" s="54"/>
    </row>
    <row r="995" ht="15.75" customHeight="1">
      <c r="X995" s="54"/>
      <c r="Y995" s="54"/>
    </row>
    <row r="996" ht="15.75" customHeight="1">
      <c r="X996" s="54"/>
      <c r="Y996" s="54"/>
    </row>
    <row r="997" ht="15.75" customHeight="1">
      <c r="X997" s="54"/>
      <c r="Y997" s="54"/>
    </row>
    <row r="998" ht="15.75" customHeight="1">
      <c r="X998" s="54"/>
      <c r="Y998" s="54"/>
    </row>
    <row r="999" ht="15.75" customHeight="1">
      <c r="X999" s="54"/>
      <c r="Y999" s="54"/>
    </row>
    <row r="1000" ht="15.75" customHeight="1">
      <c r="X1000" s="54"/>
      <c r="Y1000" s="54"/>
    </row>
    <row r="1001" ht="15.75" customHeight="1">
      <c r="X1001" s="54"/>
      <c r="Y1001" s="54"/>
    </row>
    <row r="1002" ht="15.75" customHeight="1">
      <c r="X1002" s="54"/>
      <c r="Y1002" s="5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21.0"/>
    <col customWidth="1" min="3" max="3" width="21.75"/>
    <col customWidth="1" min="4" max="4" width="28.38"/>
    <col customWidth="1" min="5" max="5" width="23.5"/>
    <col customWidth="1" min="6" max="6" width="14.13"/>
    <col customWidth="1" min="7" max="7" width="10.13"/>
    <col customWidth="1" min="8" max="8" width="19.38"/>
    <col customWidth="1" min="9" max="9" width="18.25"/>
  </cols>
  <sheetData>
    <row r="1">
      <c r="A1" s="54" t="s">
        <v>6</v>
      </c>
      <c r="B1" s="67" t="s">
        <v>6059</v>
      </c>
      <c r="C1" s="67" t="s">
        <v>6060</v>
      </c>
      <c r="D1" s="67" t="s">
        <v>6061</v>
      </c>
      <c r="E1" s="67" t="s">
        <v>6062</v>
      </c>
      <c r="F1" s="68" t="s">
        <v>6076</v>
      </c>
      <c r="G1" s="67" t="s">
        <v>6064</v>
      </c>
      <c r="H1" s="67" t="s">
        <v>6065</v>
      </c>
      <c r="I1" s="63" t="s">
        <v>6077</v>
      </c>
      <c r="J1" s="63" t="s">
        <v>6078</v>
      </c>
    </row>
    <row r="2">
      <c r="A2" s="45">
        <v>2.90970104E10</v>
      </c>
      <c r="B2" s="27">
        <f>Work!AS5</f>
        <v>0.9179179204</v>
      </c>
      <c r="C2" s="27">
        <f>Work!AT5</f>
        <v>0.8363134638</v>
      </c>
      <c r="D2" s="27">
        <f>Work!AU5</f>
        <v>0.6487631119</v>
      </c>
      <c r="E2" s="27">
        <f>Work!AV5</f>
        <v>0.6778951241</v>
      </c>
      <c r="F2" s="27">
        <f>Work!AW5</f>
        <v>-10.72358975</v>
      </c>
      <c r="G2" s="27">
        <f>Work!AX5</f>
        <v>3.08088962</v>
      </c>
      <c r="H2" s="27">
        <f>Work!AY5</f>
        <v>-7.642700134</v>
      </c>
      <c r="I2" s="1">
        <f t="shared" ref="I2:I11" si="1">rank(G2,$G$2:$G$11)</f>
        <v>6</v>
      </c>
      <c r="J2" s="1">
        <f t="shared" ref="J2:J11" si="2">rank(H2,$H$2:$H$11)</f>
        <v>3</v>
      </c>
    </row>
    <row r="3">
      <c r="A3" s="45">
        <v>2.90970105E10</v>
      </c>
      <c r="B3" s="27">
        <f>Work!AS6</f>
        <v>0.270282316</v>
      </c>
      <c r="C3" s="27">
        <f>Work!AT6</f>
        <v>0.9397548129</v>
      </c>
      <c r="D3" s="27">
        <f>Work!AU6</f>
        <v>0.5971575533</v>
      </c>
      <c r="E3" s="27">
        <f>Work!AV6</f>
        <v>1.881336015</v>
      </c>
      <c r="F3" s="27">
        <f>Work!AW6</f>
        <v>-11.42909495</v>
      </c>
      <c r="G3" s="27">
        <f>Work!AX6</f>
        <v>3.688530697</v>
      </c>
      <c r="H3" s="27">
        <f>Work!AY6</f>
        <v>-7.740564256</v>
      </c>
      <c r="I3" s="1">
        <f t="shared" si="1"/>
        <v>2</v>
      </c>
      <c r="J3" s="1">
        <f t="shared" si="2"/>
        <v>4</v>
      </c>
    </row>
    <row r="4">
      <c r="A4" s="45">
        <v>2.90970106E10</v>
      </c>
      <c r="B4" s="27">
        <f>Work!AS7</f>
        <v>-2.433059298</v>
      </c>
      <c r="C4" s="27">
        <f>Work!AT7</f>
        <v>0.6277695046</v>
      </c>
      <c r="D4" s="27">
        <f>Work!AU7</f>
        <v>0.5250992308</v>
      </c>
      <c r="E4" s="27">
        <f>Work!AV7</f>
        <v>0.7276390652</v>
      </c>
      <c r="F4" s="27">
        <f>Work!AW7</f>
        <v>-11.48275037</v>
      </c>
      <c r="G4" s="27">
        <f>Work!AX7</f>
        <v>-0.5525514971</v>
      </c>
      <c r="H4" s="27">
        <f>Work!AY7</f>
        <v>-12.03530187</v>
      </c>
      <c r="I4" s="1">
        <f t="shared" si="1"/>
        <v>10</v>
      </c>
      <c r="J4" s="1">
        <f t="shared" si="2"/>
        <v>10</v>
      </c>
    </row>
    <row r="5">
      <c r="A5" s="45">
        <v>2.90970107E10</v>
      </c>
      <c r="B5" s="27">
        <f>Work!AS8</f>
        <v>0.9584166127</v>
      </c>
      <c r="C5" s="27">
        <f>Work!AT8</f>
        <v>0.4144636804</v>
      </c>
      <c r="D5" s="27">
        <f>Work!AU8</f>
        <v>0.7048752586</v>
      </c>
      <c r="E5" s="27">
        <f>Work!AV8</f>
        <v>1.070050133</v>
      </c>
      <c r="F5" s="27">
        <f>Work!AW8</f>
        <v>-11.5158869</v>
      </c>
      <c r="G5" s="27">
        <f>Work!AX8</f>
        <v>3.147805685</v>
      </c>
      <c r="H5" s="27">
        <f>Work!AY8</f>
        <v>-8.368081215</v>
      </c>
      <c r="I5" s="1">
        <f t="shared" si="1"/>
        <v>5</v>
      </c>
      <c r="J5" s="1">
        <f t="shared" si="2"/>
        <v>7</v>
      </c>
    </row>
    <row r="6">
      <c r="A6" s="45">
        <v>2.90970108E10</v>
      </c>
      <c r="B6" s="27">
        <f>Work!AS9</f>
        <v>-2.929633617</v>
      </c>
      <c r="C6" s="27">
        <f>Work!AT9</f>
        <v>1.18392366</v>
      </c>
      <c r="D6" s="27">
        <f>Work!AU9</f>
        <v>0.5905043113</v>
      </c>
      <c r="E6" s="27">
        <f>Work!AV9</f>
        <v>0.8575230346</v>
      </c>
      <c r="F6" s="27">
        <f>Work!AW9</f>
        <v>-11.49812778</v>
      </c>
      <c r="G6" s="27">
        <f>Work!AX9</f>
        <v>-0.2976826106</v>
      </c>
      <c r="H6" s="27">
        <f>Work!AY9</f>
        <v>-11.79581039</v>
      </c>
      <c r="I6" s="1">
        <f t="shared" si="1"/>
        <v>9</v>
      </c>
      <c r="J6" s="1">
        <f t="shared" si="2"/>
        <v>9</v>
      </c>
    </row>
    <row r="7">
      <c r="A7" s="45">
        <v>2.90970109E10</v>
      </c>
      <c r="B7" s="27">
        <f>Work!AS10</f>
        <v>-0.4341152964</v>
      </c>
      <c r="C7" s="27">
        <f>Work!AT10</f>
        <v>1.241995758</v>
      </c>
      <c r="D7" s="27">
        <f>Work!AU10</f>
        <v>0.6721630238</v>
      </c>
      <c r="E7" s="27">
        <f>Work!AV10</f>
        <v>1.735411403</v>
      </c>
      <c r="F7" s="27">
        <f>Work!AW10</f>
        <v>-11.48596742</v>
      </c>
      <c r="G7" s="27">
        <f>Work!AX10</f>
        <v>3.215454888</v>
      </c>
      <c r="H7" s="27">
        <f>Work!AY10</f>
        <v>-8.270512531</v>
      </c>
      <c r="I7" s="1">
        <f t="shared" si="1"/>
        <v>4</v>
      </c>
      <c r="J7" s="1">
        <f t="shared" si="2"/>
        <v>6</v>
      </c>
    </row>
    <row r="8">
      <c r="A8" s="63">
        <v>2.90970119E10</v>
      </c>
      <c r="B8" s="27">
        <f>Work!AS32</f>
        <v>-0.7870809884</v>
      </c>
      <c r="C8" s="27">
        <f>Work!AT32</f>
        <v>-0.6677192924</v>
      </c>
      <c r="D8" s="27">
        <f>Work!AU32</f>
        <v>0.4538640364</v>
      </c>
      <c r="E8" s="27">
        <f>Work!AV32</f>
        <v>2.409618752</v>
      </c>
      <c r="F8" s="27">
        <f>Work!AW32</f>
        <v>-0.9553023835</v>
      </c>
      <c r="G8" s="27">
        <f>Work!AX32</f>
        <v>1.408682508</v>
      </c>
      <c r="H8" s="27">
        <f>Work!AY32</f>
        <v>0.4533801241</v>
      </c>
      <c r="I8" s="1">
        <f t="shared" si="1"/>
        <v>8</v>
      </c>
      <c r="J8" s="1">
        <f t="shared" si="2"/>
        <v>1</v>
      </c>
    </row>
    <row r="9">
      <c r="A9" s="45">
        <v>2.9145020501E10</v>
      </c>
      <c r="B9" s="27">
        <f>Work!AS15</f>
        <v>1.901372736</v>
      </c>
      <c r="C9" s="27">
        <f>Work!AT15</f>
        <v>1.009605035</v>
      </c>
      <c r="D9" s="27">
        <f>Work!AU15</f>
        <v>0.7129854554</v>
      </c>
      <c r="E9" s="27">
        <f>Work!AV15</f>
        <v>0.8960309063</v>
      </c>
      <c r="F9" s="27">
        <f>Work!AW15</f>
        <v>-11.10870258</v>
      </c>
      <c r="G9" s="27">
        <f>Work!AX15</f>
        <v>4.519994133</v>
      </c>
      <c r="H9" s="27">
        <f>Work!AY15</f>
        <v>-6.588708445</v>
      </c>
      <c r="I9" s="1">
        <f t="shared" si="1"/>
        <v>1</v>
      </c>
      <c r="J9" s="1">
        <f t="shared" si="2"/>
        <v>2</v>
      </c>
    </row>
    <row r="10">
      <c r="A10" s="45">
        <v>2.9145020502E10</v>
      </c>
      <c r="B10" s="27">
        <f>Work!AS16</f>
        <v>0.5302778395</v>
      </c>
      <c r="C10" s="27">
        <f>Work!AT16</f>
        <v>1.021662822</v>
      </c>
      <c r="D10" s="27">
        <f>Work!AU16</f>
        <v>0.7081769508</v>
      </c>
      <c r="E10" s="27">
        <f>Work!AV16</f>
        <v>1.185665164</v>
      </c>
      <c r="F10" s="27">
        <f>Work!AW16</f>
        <v>-11.50795532</v>
      </c>
      <c r="G10" s="27">
        <f>Work!AX16</f>
        <v>3.445782776</v>
      </c>
      <c r="H10" s="27">
        <f>Work!AY16</f>
        <v>-8.062172541</v>
      </c>
      <c r="I10" s="1">
        <f t="shared" si="1"/>
        <v>3</v>
      </c>
      <c r="J10" s="1">
        <f t="shared" si="2"/>
        <v>5</v>
      </c>
    </row>
    <row r="11">
      <c r="A11" s="45">
        <v>2.9145020601E10</v>
      </c>
      <c r="B11" s="27">
        <f>Work!AS17</f>
        <v>0.7041218103</v>
      </c>
      <c r="C11" s="27">
        <f>Work!AT17</f>
        <v>1.629857731</v>
      </c>
      <c r="D11" s="27">
        <f>Work!AU17</f>
        <v>0.7209128403</v>
      </c>
      <c r="E11" s="27">
        <f>Work!AV17</f>
        <v>-0.6623070797</v>
      </c>
      <c r="F11" s="27">
        <f>Work!AW17</f>
        <v>-11.1694418</v>
      </c>
      <c r="G11" s="27">
        <f>Work!AX17</f>
        <v>2.392585302</v>
      </c>
      <c r="H11" s="27">
        <f>Work!AY17</f>
        <v>-8.776856502</v>
      </c>
      <c r="I11" s="1">
        <f t="shared" si="1"/>
        <v>7</v>
      </c>
      <c r="J11" s="1">
        <f t="shared" si="2"/>
        <v>8</v>
      </c>
    </row>
    <row r="13">
      <c r="G13" s="63"/>
      <c r="H13" s="63"/>
    </row>
    <row r="14">
      <c r="G14" s="63"/>
      <c r="H14" s="63"/>
    </row>
    <row r="15">
      <c r="G15" s="6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2025-02-19T20:25:55Z</dcterms:created>
  <dc:creator>Collin Schwab</dc:creator>
</cp:coreProperties>
</file>